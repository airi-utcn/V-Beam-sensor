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147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0.00000"/>
    <numFmt numFmtId="166" formatCode="0.0000"/>
    <numFmt numFmtId="167" formatCode="0.000000"/>
    <numFmt numFmtId="168" formatCode="0.000"/>
  </numFmts>
  <fonts count="3">
    <font>
      <name val="Calibri"/>
      <family val="2"/>
      <color theme="1"/>
      <sz val="11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</fonts>
  <fills count="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0" borderId="1" applyAlignment="1" pivotButton="0" quotePrefix="0" xfId="0">
      <alignment wrapText="1"/>
    </xf>
    <xf numFmtId="0" fontId="0" fillId="2" borderId="1" applyAlignment="1" pivotButton="0" quotePrefix="0" xfId="0">
      <alignment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  <xf numFmtId="2" fontId="0" fillId="0" borderId="0" pivotButton="0" quotePrefix="0" xfId="0"/>
    <xf numFmtId="168" fontId="0" fillId="0" borderId="0" pivotButton="0" quotePrefix="0" xfId="0"/>
    <xf numFmtId="0" fontId="0" fillId="3" borderId="1" applyAlignment="1" pivotButton="0" quotePrefix="0" xfId="0">
      <alignment wrapText="1"/>
    </xf>
    <xf numFmtId="166" fontId="0" fillId="3" borderId="0" pivotButton="0" quotePrefix="0" xfId="0"/>
    <xf numFmtId="0" fontId="0" fillId="3" borderId="0" pivotButton="0" quotePrefix="0" xfId="0"/>
    <xf numFmtId="164" fontId="0" fillId="3" borderId="0" pivotButton="0" quotePrefix="0" xfId="0"/>
    <xf numFmtId="0" fontId="0" fillId="4" borderId="1" applyAlignment="1" pivotButton="0" quotePrefix="0" xfId="0">
      <alignment wrapText="1"/>
    </xf>
    <xf numFmtId="164" fontId="0" fillId="4" borderId="0" pivotButton="0" quotePrefix="0" xfId="0"/>
    <xf numFmtId="0" fontId="0" fillId="4" borderId="0" pivotButton="0" quotePrefix="0" xfId="0"/>
    <xf numFmtId="0" fontId="0" fillId="5" borderId="1" applyAlignment="1" pivotButton="0" quotePrefix="0" xfId="0">
      <alignment wrapText="1"/>
    </xf>
    <xf numFmtId="164" fontId="0" fillId="5" borderId="0" pivotButton="0" quotePrefix="0" xfId="0"/>
    <xf numFmtId="0" fontId="0" fillId="5" borderId="0" pivotButton="0" quotePrefix="0" xfId="0"/>
    <xf numFmtId="2" fontId="0" fillId="5" borderId="0" pivotButton="0" quotePrefix="0" xfId="0"/>
    <xf numFmtId="164" fontId="0" fillId="3" borderId="0" pivotButton="0" quotePrefix="0" xfId="0"/>
    <xf numFmtId="164" fontId="0" fillId="4" borderId="0" pivotButton="0" quotePrefix="0" xfId="0"/>
    <xf numFmtId="165" fontId="0" fillId="0" borderId="0" pivotButton="0" quotePrefix="0" xfId="0"/>
    <xf numFmtId="166" fontId="0" fillId="3" borderId="0" pivotButton="0" quotePrefix="0" xfId="0"/>
    <xf numFmtId="167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8" fontId="0" fillId="0" borderId="0" pivotButton="0" quotePrefix="0" xfId="0"/>
    <xf numFmtId="164" fontId="0" fillId="5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Radu</author>
  </authors>
  <commentList>
    <comment ref="F1" authorId="0" shapeId="0">
      <text>
        <t>Radu:
Dependant on the other geometrical parameters
(=Si substrate expansion)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001"/>
  <sheetViews>
    <sheetView tabSelected="1" workbookViewId="0">
      <selection activeCell="O1" sqref="O1"/>
    </sheetView>
  </sheetViews>
  <sheetFormatPr baseColWidth="8" defaultRowHeight="14.25"/>
  <cols>
    <col width="6.46484375" bestFit="1" customWidth="1" min="1" max="1"/>
    <col width="9.06640625" customWidth="1" min="2" max="2"/>
    <col width="9.06640625" customWidth="1" style="12" min="3" max="3"/>
    <col width="9.06640625" customWidth="1" style="16" min="5" max="5"/>
    <col width="9.06640625" customWidth="1" style="16" min="7" max="8"/>
    <col width="9.06640625" customWidth="1" style="12" min="9" max="9"/>
    <col width="9.06640625" customWidth="1" style="19" min="26" max="27"/>
  </cols>
  <sheetData>
    <row r="1" ht="57" customHeight="1">
      <c r="A1" s="1" t="inlineStr">
        <is>
          <t>Design Point</t>
        </is>
      </c>
      <c r="B1" s="1" t="inlineStr">
        <is>
          <t>P2</t>
        </is>
      </c>
      <c r="C1" s="10" t="inlineStr">
        <is>
          <t>Delta Temp</t>
        </is>
      </c>
      <c r="D1" s="1" t="inlineStr">
        <is>
          <t>P7</t>
        </is>
      </c>
      <c r="E1" s="14" t="inlineStr">
        <is>
          <t>Beta Angle</t>
        </is>
      </c>
      <c r="F1" s="1" t="inlineStr">
        <is>
          <t>Anchor Displacement</t>
        </is>
      </c>
      <c r="G1" s="14" t="inlineStr">
        <is>
          <t>Beam Length</t>
        </is>
      </c>
      <c r="H1" s="14" t="inlineStr">
        <is>
          <t>Beam Width</t>
        </is>
      </c>
      <c r="I1" s="10" t="inlineStr">
        <is>
          <t>Sensor Displacement</t>
        </is>
      </c>
      <c r="J1" s="2" t="inlineStr">
        <is>
          <t>Young's Modulus - E</t>
        </is>
      </c>
      <c r="K1" s="2" t="inlineStr">
        <is>
          <t>CTE - alpha</t>
        </is>
      </c>
      <c r="L1" s="2" t="inlineStr">
        <is>
          <t>Section Area - A</t>
        </is>
      </c>
      <c r="M1" s="2" t="inlineStr">
        <is>
          <t>Section Modulus - Wz</t>
        </is>
      </c>
      <c r="N1" s="2" t="inlineStr">
        <is>
          <t>Second Moment of Area - Iz</t>
        </is>
      </c>
      <c r="O1" s="2" t="inlineStr">
        <is>
          <t>Thermal Load - ThL</t>
        </is>
      </c>
      <c r="P1" s="2" t="inlineStr">
        <is>
          <t>Horizontal Reaction Force - H</t>
        </is>
      </c>
      <c r="Q1" s="2" t="inlineStr">
        <is>
          <t>Reaction Moment - M</t>
        </is>
      </c>
      <c r="R1" s="2" t="inlineStr">
        <is>
          <t>Shear Force - T</t>
        </is>
      </c>
      <c r="S1" s="2" t="inlineStr">
        <is>
          <t>Axial Stress - SigmaA</t>
        </is>
      </c>
      <c r="T1" s="2" t="inlineStr">
        <is>
          <t>Shear Stress - TauS</t>
        </is>
      </c>
      <c r="U1" s="2" t="inlineStr">
        <is>
          <t>Bending Stress - SigmaB</t>
        </is>
      </c>
      <c r="V1" s="2" t="inlineStr">
        <is>
          <t>Equivalent Stress - SigmaEq</t>
        </is>
      </c>
      <c r="W1" s="2" t="inlineStr">
        <is>
          <t>Stress Factor - average =</t>
        </is>
      </c>
      <c r="X1" s="2" t="inlineStr">
        <is>
          <t>Vol</t>
        </is>
      </c>
      <c r="Y1" s="2" t="inlineStr">
        <is>
          <t>Vol Factor - average =</t>
        </is>
      </c>
      <c r="Z1" s="17" t="inlineStr">
        <is>
          <t>Structure Volume</t>
        </is>
      </c>
      <c r="AA1" s="17" t="inlineStr">
        <is>
          <t>Max Mechanical Stress</t>
        </is>
      </c>
      <c r="AB1" t="inlineStr">
        <is>
          <t>Analytical Displacement [mm]</t>
        </is>
      </c>
      <c r="AC1" t="inlineStr">
        <is>
          <t>Analytical Stress Corr. [MPa]</t>
        </is>
      </c>
      <c r="AD1" t="inlineStr">
        <is>
          <t>Displacement Error [%]</t>
        </is>
      </c>
    </row>
    <row r="2">
      <c r="A2" t="n">
        <v>1</v>
      </c>
      <c r="B2" t="n">
        <v>80.8</v>
      </c>
      <c r="C2" s="21">
        <f>B2-20</f>
        <v/>
      </c>
      <c r="D2" t="n">
        <v>129.8</v>
      </c>
      <c r="E2" s="22">
        <f>D2-90</f>
        <v/>
      </c>
      <c r="F2" s="23" t="n">
        <v>0.019815</v>
      </c>
      <c r="G2" s="22" t="n">
        <v>29.4</v>
      </c>
      <c r="H2" s="22" t="n">
        <v>1.3</v>
      </c>
      <c r="I2" s="24" t="n">
        <v>0.0852850079536438</v>
      </c>
      <c r="J2" s="6" t="n">
        <v>71000</v>
      </c>
      <c r="K2" s="25">
        <f>23*10^-6</f>
        <v/>
      </c>
      <c r="L2" s="8">
        <f>H2</f>
        <v/>
      </c>
      <c r="M2" s="26">
        <f>H2^2/6</f>
        <v/>
      </c>
      <c r="N2" s="26">
        <f>H2^3/12</f>
        <v/>
      </c>
      <c r="O2" s="27">
        <f>-J2*L2*K2*C2</f>
        <v/>
      </c>
      <c r="P2" s="28">
        <f>-(12*F2*J2*L2*N2+12*O2*N2*G2*COS(RADIANS(E2)))/(12*N2*G2*COS(RADIANS(E2))^2+L2*G2^3*SIN(RADIANS(E2))^2)</f>
        <v/>
      </c>
      <c r="Q2" s="28">
        <f>-(6*F2*J2*L2*N2*SIN(RADIANS(E2))+6*O2*N2*G2*SIN(RADIANS(E2))*COS(RADIANS(E2)))/(12*N2*COS(RADIANS(E2))^2+L2*G2^2*SIN(RADIANS(E2))^2)</f>
        <v/>
      </c>
      <c r="R2" s="28">
        <f>-P2*SIN(RADIANS(E2))</f>
        <v/>
      </c>
      <c r="S2" s="8">
        <f>(O2+P2*COS(RADIANS(E2)))/L2</f>
        <v/>
      </c>
      <c r="T2" s="8">
        <f>R2/L2</f>
        <v/>
      </c>
      <c r="U2" s="8">
        <f>(Q2-P2*G2*SIN(RADIANS(E2)))/M2</f>
        <v/>
      </c>
      <c r="V2" s="8">
        <f>SQRT((S2+U2)^2+3*T2^2)</f>
        <v/>
      </c>
      <c r="W2" s="8">
        <f>V2/AA2</f>
        <v/>
      </c>
      <c r="X2" s="27">
        <f>((3*10+H2/COS(RADIANS(E2)))*(3+3)+3*G2*H2)*2</f>
        <v/>
      </c>
      <c r="Y2" s="28">
        <f>Z2/X2</f>
        <v/>
      </c>
      <c r="Z2" s="29" t="n">
        <v>620.297101012857</v>
      </c>
      <c r="AA2" s="20" t="n">
        <v>82.8772341650598</v>
      </c>
      <c r="AB2" t="n">
        <v>0.08771664136528411</v>
      </c>
      <c r="AC2" t="n">
        <v>86.40832446710291</v>
      </c>
      <c r="AD2" t="n">
        <v>2.851185067558426</v>
      </c>
    </row>
    <row r="3">
      <c r="A3" t="n">
        <v>2</v>
      </c>
      <c r="B3" t="n">
        <v>89.09999999999999</v>
      </c>
      <c r="C3" s="21">
        <f>B3-20</f>
        <v/>
      </c>
      <c r="D3" t="n">
        <v>101.7</v>
      </c>
      <c r="E3" s="22">
        <f>D3-90</f>
        <v/>
      </c>
      <c r="F3" s="23" t="n">
        <v>0.024628</v>
      </c>
      <c r="G3" s="22" t="n">
        <v>25.8</v>
      </c>
      <c r="H3" s="22" t="n">
        <v>1.1</v>
      </c>
      <c r="I3" s="24" t="n">
        <v>0.214982062578201</v>
      </c>
      <c r="J3" s="6" t="n">
        <v>71000</v>
      </c>
      <c r="K3" s="25">
        <f>23*10^-6</f>
        <v/>
      </c>
      <c r="L3" s="8">
        <f>H3</f>
        <v/>
      </c>
      <c r="M3" s="26">
        <f>H3^2/6</f>
        <v/>
      </c>
      <c r="N3" s="26">
        <f>H3^3/12</f>
        <v/>
      </c>
      <c r="O3" s="27">
        <f>-J3*L3*K3*C3</f>
        <v/>
      </c>
      <c r="P3" s="28">
        <f>-(12*F3*J3*L3*N3+12*O3*N3*G3*COS(RADIANS(E3)))/(12*N3*G3*COS(RADIANS(E3))^2+L3*G3^3*SIN(RADIANS(E3))^2)</f>
        <v/>
      </c>
      <c r="Q3" s="28">
        <f>-(6*F3*J3*L3*N3*SIN(RADIANS(E3))+6*O3*N3*G3*SIN(RADIANS(E3))*COS(RADIANS(E3)))/(12*N3*COS(RADIANS(E3))^2+L3*G3^2*SIN(RADIANS(E3))^2)</f>
        <v/>
      </c>
      <c r="R3" s="28">
        <f>-P3*SIN(RADIANS(E3))</f>
        <v/>
      </c>
      <c r="S3" s="8">
        <f>(O3+P3*COS(RADIANS(E3)))/L3</f>
        <v/>
      </c>
      <c r="T3" s="8">
        <f>R3/L3</f>
        <v/>
      </c>
      <c r="U3" s="8">
        <f>(Q3-P3*G3*SIN(RADIANS(E3)))/M3</f>
        <v/>
      </c>
      <c r="V3" s="8">
        <f>SQRT((S3+U3)^2+3*T3^2)</f>
        <v/>
      </c>
      <c r="W3" s="8">
        <f>V3/AA3</f>
        <v/>
      </c>
      <c r="X3" s="27">
        <f>((3*10+H3/COS(RADIANS(E3)))*(3+3)+3*G3*H3)*2</f>
        <v/>
      </c>
      <c r="Y3" s="28">
        <f>Z3/X3</f>
        <v/>
      </c>
      <c r="Z3" s="29" t="n">
        <v>547.7029404969491</v>
      </c>
      <c r="AA3" s="20" t="n">
        <v>103.268168552402</v>
      </c>
      <c r="AB3" t="n">
        <v>0.3078598906631316</v>
      </c>
      <c r="AC3" t="n">
        <v>112.6135109098357</v>
      </c>
      <c r="AD3" s="27" t="n">
        <v>43.20259419371127</v>
      </c>
    </row>
    <row r="4">
      <c r="A4" t="n">
        <v>3</v>
      </c>
      <c r="B4" t="n">
        <v>56.2</v>
      </c>
      <c r="C4" s="21">
        <f>B4-20</f>
        <v/>
      </c>
      <c r="D4" t="n">
        <v>125.9</v>
      </c>
      <c r="E4" s="22">
        <f>D4-90</f>
        <v/>
      </c>
      <c r="F4" s="23" t="n">
        <v>0.012538</v>
      </c>
      <c r="G4" s="22" t="n">
        <v>30.1</v>
      </c>
      <c r="H4" s="22" t="n">
        <v>1.7</v>
      </c>
      <c r="I4" s="24" t="n">
        <v>0.0549640581011772</v>
      </c>
      <c r="J4" s="6" t="n">
        <v>71000</v>
      </c>
      <c r="K4" s="25">
        <f>23*10^-6</f>
        <v/>
      </c>
      <c r="L4" s="8">
        <f>H4</f>
        <v/>
      </c>
      <c r="M4" s="26">
        <f>H4^2/6</f>
        <v/>
      </c>
      <c r="N4" s="26">
        <f>H4^3/12</f>
        <v/>
      </c>
      <c r="O4" s="27">
        <f>-J4*L4*K4*C4</f>
        <v/>
      </c>
      <c r="P4" s="28">
        <f>-(12*F4*J4*L4*N4+12*O4*N4*G4*COS(RADIANS(E4)))/(12*N4*G4*COS(RADIANS(E4))^2+L4*G4^3*SIN(RADIANS(E4))^2)</f>
        <v/>
      </c>
      <c r="Q4" s="28">
        <f>-(6*F4*J4*L4*N4*SIN(RADIANS(E4))+6*O4*N4*G4*SIN(RADIANS(E4))*COS(RADIANS(E4)))/(12*N4*COS(RADIANS(E4))^2+L4*G4^2*SIN(RADIANS(E4))^2)</f>
        <v/>
      </c>
      <c r="R4" s="28">
        <f>-P4*SIN(RADIANS(E4))</f>
        <v/>
      </c>
      <c r="S4" s="8">
        <f>(O4+P4*COS(RADIANS(E4)))/L4</f>
        <v/>
      </c>
      <c r="T4" s="8">
        <f>R4/L4</f>
        <v/>
      </c>
      <c r="U4" s="8">
        <f>(Q4-P4*G4*SIN(RADIANS(E4)))/M4</f>
        <v/>
      </c>
      <c r="V4" s="8">
        <f>SQRT((S4+U4)^2+3*T4^2)</f>
        <v/>
      </c>
      <c r="W4" s="8">
        <f>V4/AA4</f>
        <v/>
      </c>
      <c r="X4" s="27">
        <f>((3*10+H4/COS(RADIANS(E4)))*(3+3)+3*G4*H4)*2</f>
        <v/>
      </c>
      <c r="Y4" s="28">
        <f>Z4/X4</f>
        <v/>
      </c>
      <c r="Z4" s="29" t="n">
        <v>701.265626427626</v>
      </c>
      <c r="AA4" s="20" t="n">
        <v>54.3026771029126</v>
      </c>
      <c r="AB4" t="n">
        <v>0.05964195526831867</v>
      </c>
      <c r="AC4" t="n">
        <v>52.83398399891857</v>
      </c>
      <c r="AD4" s="27" t="n">
        <v>8.51082931054772</v>
      </c>
    </row>
    <row r="5">
      <c r="A5" t="n">
        <v>4</v>
      </c>
      <c r="B5" t="n">
        <v>46.1</v>
      </c>
      <c r="C5" s="21">
        <f>B5-20</f>
        <v/>
      </c>
      <c r="D5" t="n">
        <v>113.6</v>
      </c>
      <c r="E5" s="22">
        <f>D5-90</f>
        <v/>
      </c>
      <c r="F5" s="23" t="n">
        <v>0.00852</v>
      </c>
      <c r="G5" s="22" t="n">
        <v>24.7</v>
      </c>
      <c r="H5" s="22" t="n">
        <v>1.3</v>
      </c>
      <c r="I5" s="24" t="n">
        <v>0.0460601896047592</v>
      </c>
      <c r="J5" s="6" t="n">
        <v>71000</v>
      </c>
      <c r="K5" s="25">
        <f>23*10^-6</f>
        <v/>
      </c>
      <c r="L5" s="8">
        <f>H5</f>
        <v/>
      </c>
      <c r="M5" s="26">
        <f>H5^2/6</f>
        <v/>
      </c>
      <c r="N5" s="26">
        <f>H5^3/12</f>
        <v/>
      </c>
      <c r="O5" s="27">
        <f>-J5*L5*K5*C5</f>
        <v/>
      </c>
      <c r="P5" s="28">
        <f>-(12*F5*J5*L5*N5+12*O5*N5*G5*COS(RADIANS(E5)))/(12*N5*G5*COS(RADIANS(E5))^2+L5*G5^3*SIN(RADIANS(E5))^2)</f>
        <v/>
      </c>
      <c r="Q5" s="28">
        <f>-(6*F5*J5*L5*N5*SIN(RADIANS(E5))+6*O5*N5*G5*SIN(RADIANS(E5))*COS(RADIANS(E5)))/(12*N5*COS(RADIANS(E5))^2+L5*G5^2*SIN(RADIANS(E5))^2)</f>
        <v/>
      </c>
      <c r="R5" s="28">
        <f>-P5*SIN(RADIANS(E5))</f>
        <v/>
      </c>
      <c r="S5" s="8">
        <f>(O5+P5*COS(RADIANS(E5)))/L5</f>
        <v/>
      </c>
      <c r="T5" s="8">
        <f>R5/L5</f>
        <v/>
      </c>
      <c r="U5" s="8">
        <f>(Q5-P5*G5*SIN(RADIANS(E5)))/M5</f>
        <v/>
      </c>
      <c r="V5" s="8">
        <f>SQRT((S5+U5)^2+3*T5^2)</f>
        <v/>
      </c>
      <c r="W5" s="8">
        <f>V5/AA5</f>
        <v/>
      </c>
      <c r="X5" s="27">
        <f>((3*10+H5/COS(RADIANS(E5)))*(3+3)+3*G5*H5)*2</f>
        <v/>
      </c>
      <c r="Y5" s="28">
        <f>Z5/X5</f>
        <v/>
      </c>
      <c r="Z5" s="29" t="n">
        <v>575.307957863314</v>
      </c>
      <c r="AA5" s="20" t="n">
        <v>38.8910713400789</v>
      </c>
      <c r="AB5" t="n">
        <v>0.05567525612628475</v>
      </c>
      <c r="AC5" t="n">
        <v>39.52618330815055</v>
      </c>
      <c r="AD5" t="n">
        <v>20.8750042152064</v>
      </c>
    </row>
    <row r="6">
      <c r="A6" t="n">
        <v>5</v>
      </c>
      <c r="B6" t="n">
        <v>87.09999999999999</v>
      </c>
      <c r="C6" s="21">
        <f>B6-20</f>
        <v/>
      </c>
      <c r="D6" t="n">
        <v>126.6</v>
      </c>
      <c r="E6" s="22">
        <f>D6-90</f>
        <v/>
      </c>
      <c r="F6" s="23" t="n">
        <v>0.023381</v>
      </c>
      <c r="G6" s="22" t="n">
        <v>30.6</v>
      </c>
      <c r="H6" s="22" t="n">
        <v>1.5</v>
      </c>
      <c r="I6" s="24" t="n">
        <v>0.101692989468574</v>
      </c>
      <c r="J6" s="6" t="n">
        <v>71000</v>
      </c>
      <c r="K6" s="25">
        <f>23*10^-6</f>
        <v/>
      </c>
      <c r="L6" s="8">
        <f>H6</f>
        <v/>
      </c>
      <c r="M6" s="26">
        <f>H6^2/6</f>
        <v/>
      </c>
      <c r="N6" s="26">
        <f>H6^3/12</f>
        <v/>
      </c>
      <c r="O6" s="27">
        <f>-J6*L6*K6*C6</f>
        <v/>
      </c>
      <c r="P6" s="28">
        <f>-(12*F6*J6*L6*N6+12*O6*N6*G6*COS(RADIANS(E6)))/(12*N6*G6*COS(RADIANS(E6))^2+L6*G6^3*SIN(RADIANS(E6))^2)</f>
        <v/>
      </c>
      <c r="Q6" s="28">
        <f>-(6*F6*J6*L6*N6*SIN(RADIANS(E6))+6*O6*N6*G6*SIN(RADIANS(E6))*COS(RADIANS(E6)))/(12*N6*COS(RADIANS(E6))^2+L6*G6^2*SIN(RADIANS(E6))^2)</f>
        <v/>
      </c>
      <c r="R6" s="28">
        <f>-P6*SIN(RADIANS(E6))</f>
        <v/>
      </c>
      <c r="S6" s="8">
        <f>(O6+P6*COS(RADIANS(E6)))/L6</f>
        <v/>
      </c>
      <c r="T6" s="8">
        <f>R6/L6</f>
        <v/>
      </c>
      <c r="U6" s="8">
        <f>(Q6-P6*G6*SIN(RADIANS(E6)))/M6</f>
        <v/>
      </c>
      <c r="V6" s="8">
        <f>SQRT((S6+U6)^2+3*T6^2)</f>
        <v/>
      </c>
      <c r="W6" s="8">
        <f>V6/AA6</f>
        <v/>
      </c>
      <c r="X6" s="27">
        <f>((3*10+H6/COS(RADIANS(E6)))*(3+3)+3*G6*H6)*2</f>
        <v/>
      </c>
      <c r="Y6" s="28">
        <f>Z6/X6</f>
        <v/>
      </c>
      <c r="Z6" s="29" t="n">
        <v>667.149381468643</v>
      </c>
      <c r="AA6" s="20" t="n">
        <v>96.4501227451628</v>
      </c>
      <c r="AB6" t="n">
        <v>0.1101341652608347</v>
      </c>
      <c r="AC6" t="n">
        <v>96.78420263809944</v>
      </c>
      <c r="AD6" t="n">
        <v>8.300646717509711</v>
      </c>
    </row>
    <row r="7">
      <c r="A7" t="n">
        <v>6</v>
      </c>
      <c r="B7" t="n">
        <v>56.3</v>
      </c>
      <c r="C7" s="21">
        <f>B7-20</f>
        <v/>
      </c>
      <c r="D7" t="n">
        <v>121.4</v>
      </c>
      <c r="E7" s="22">
        <f>D7-90</f>
        <v/>
      </c>
      <c r="F7" s="23" t="n">
        <v>0.010572</v>
      </c>
      <c r="G7" s="22" t="n">
        <v>22.9</v>
      </c>
      <c r="H7" s="22" t="n">
        <v>1.6</v>
      </c>
      <c r="I7" s="24" t="n">
        <v>0.0503776334226131</v>
      </c>
      <c r="J7" s="6" t="n">
        <v>71000</v>
      </c>
      <c r="K7" s="25">
        <f>23*10^-6</f>
        <v/>
      </c>
      <c r="L7" s="8">
        <f>H7</f>
        <v/>
      </c>
      <c r="M7" s="26">
        <f>H7^2/6</f>
        <v/>
      </c>
      <c r="N7" s="26">
        <f>H7^3/12</f>
        <v/>
      </c>
      <c r="O7" s="27">
        <f>-J7*L7*K7*C7</f>
        <v/>
      </c>
      <c r="P7" s="28">
        <f>-(12*F7*J7*L7*N7+12*O7*N7*G7*COS(RADIANS(E7)))/(12*N7*G7*COS(RADIANS(E7))^2+L7*G7^3*SIN(RADIANS(E7))^2)</f>
        <v/>
      </c>
      <c r="Q7" s="28">
        <f>-(6*F7*J7*L7*N7*SIN(RADIANS(E7))+6*O7*N7*G7*SIN(RADIANS(E7))*COS(RADIANS(E7)))/(12*N7*COS(RADIANS(E7))^2+L7*G7^2*SIN(RADIANS(E7))^2)</f>
        <v/>
      </c>
      <c r="R7" s="28">
        <f>-P7*SIN(RADIANS(E7))</f>
        <v/>
      </c>
      <c r="S7" s="8">
        <f>(O7+P7*COS(RADIANS(E7)))/L7</f>
        <v/>
      </c>
      <c r="T7" s="8">
        <f>R7/L7</f>
        <v/>
      </c>
      <c r="U7" s="8">
        <f>(Q7-P7*G7*SIN(RADIANS(E7)))/M7</f>
        <v/>
      </c>
      <c r="V7" s="8">
        <f>SQRT((S7+U7)^2+3*T7^2)</f>
        <v/>
      </c>
      <c r="W7" s="8">
        <f>V7/AA7</f>
        <v/>
      </c>
      <c r="X7" s="27">
        <f>((3*10+H7/COS(RADIANS(E7)))*(3+3)+3*G7*H7)*2</f>
        <v/>
      </c>
      <c r="Y7" s="28">
        <f>Z7/X7</f>
        <v/>
      </c>
      <c r="Z7" s="29" t="n">
        <v>609.88573136938</v>
      </c>
      <c r="AA7" s="20" t="n">
        <v>57.0126326047235</v>
      </c>
      <c r="AB7" t="n">
        <v>0.0532334736904977</v>
      </c>
      <c r="AC7" t="n">
        <v>54.35405609844702</v>
      </c>
      <c r="AD7" t="n">
        <v>5.668865474341031</v>
      </c>
    </row>
    <row r="8">
      <c r="A8" t="n">
        <v>7</v>
      </c>
      <c r="B8" t="n">
        <v>85.3</v>
      </c>
      <c r="C8" s="21">
        <f>B8-20</f>
        <v/>
      </c>
      <c r="D8" t="n">
        <v>118.6</v>
      </c>
      <c r="E8" s="22">
        <f>D8-90</f>
        <v/>
      </c>
      <c r="F8" s="23" t="n">
        <v>0.018845</v>
      </c>
      <c r="G8" s="22" t="n">
        <v>22</v>
      </c>
      <c r="H8" s="22" t="n">
        <v>1.3</v>
      </c>
      <c r="I8" s="24" t="n">
        <v>0.0939739346504211</v>
      </c>
      <c r="J8" s="6" t="n">
        <v>71000</v>
      </c>
      <c r="K8" s="25">
        <f>23*10^-6</f>
        <v/>
      </c>
      <c r="L8" s="8">
        <f>H8</f>
        <v/>
      </c>
      <c r="M8" s="26">
        <f>H8^2/6</f>
        <v/>
      </c>
      <c r="N8" s="26">
        <f>H8^3/12</f>
        <v/>
      </c>
      <c r="O8" s="27">
        <f>-J8*L8*K8*C8</f>
        <v/>
      </c>
      <c r="P8" s="28">
        <f>-(12*F8*J8*L8*N8+12*O8*N8*G8*COS(RADIANS(E8)))/(12*N8*G8*COS(RADIANS(E8))^2+L8*G8^3*SIN(RADIANS(E8))^2)</f>
        <v/>
      </c>
      <c r="Q8" s="28">
        <f>-(6*F8*J8*L8*N8*SIN(RADIANS(E8))+6*O8*N8*G8*SIN(RADIANS(E8))*COS(RADIANS(E8)))/(12*N8*COS(RADIANS(E8))^2+L8*G8^2*SIN(RADIANS(E8))^2)</f>
        <v/>
      </c>
      <c r="R8" s="28">
        <f>-P8*SIN(RADIANS(E8))</f>
        <v/>
      </c>
      <c r="S8" s="8">
        <f>(O8+P8*COS(RADIANS(E8)))/L8</f>
        <v/>
      </c>
      <c r="T8" s="8">
        <f>R8/L8</f>
        <v/>
      </c>
      <c r="U8" s="8">
        <f>(Q8-P8*G8*SIN(RADIANS(E8)))/M8</f>
        <v/>
      </c>
      <c r="V8" s="8">
        <f>SQRT((S8+U8)^2+3*T8^2)</f>
        <v/>
      </c>
      <c r="W8" s="8">
        <f>V8/AA8</f>
        <v/>
      </c>
      <c r="X8" s="27">
        <f>((3*10+H8/COS(RADIANS(E8)))*(3+3)+3*G8*H8)*2</f>
        <v/>
      </c>
      <c r="Y8" s="28">
        <f>Z8/X8</f>
        <v/>
      </c>
      <c r="Z8" s="29" t="n">
        <v>556.137009642754</v>
      </c>
      <c r="AA8" s="20" t="n">
        <v>95.7300483601441</v>
      </c>
      <c r="AB8" t="n">
        <v>0.1022682459376435</v>
      </c>
      <c r="AC8" t="n">
        <v>97.22539197302223</v>
      </c>
      <c r="AD8" t="n">
        <v>8.826182832587444</v>
      </c>
    </row>
    <row r="9">
      <c r="A9" t="n">
        <v>8</v>
      </c>
      <c r="B9" t="n">
        <v>45.1</v>
      </c>
      <c r="C9" s="21">
        <f>B9-20</f>
        <v/>
      </c>
      <c r="D9" t="n">
        <v>114.1</v>
      </c>
      <c r="E9" s="22">
        <f>D9-90</f>
        <v/>
      </c>
      <c r="F9" s="23" t="n">
        <v>0.007751</v>
      </c>
      <c r="G9" s="22" t="n">
        <v>23.1</v>
      </c>
      <c r="H9" s="22" t="n">
        <v>1.9</v>
      </c>
      <c r="I9" s="24" t="n">
        <v>0.0415225699543952</v>
      </c>
      <c r="J9" s="6" t="n">
        <v>71000</v>
      </c>
      <c r="K9" s="25">
        <f>23*10^-6</f>
        <v/>
      </c>
      <c r="L9" s="8">
        <f>H9</f>
        <v/>
      </c>
      <c r="M9" s="26">
        <f>H9^2/6</f>
        <v/>
      </c>
      <c r="N9" s="26">
        <f>H9^3/12</f>
        <v/>
      </c>
      <c r="O9" s="27">
        <f>-J9*L9*K9*C9</f>
        <v/>
      </c>
      <c r="P9" s="28">
        <f>-(12*F9*J9*L9*N9+12*O9*N9*G9*COS(RADIANS(E9)))/(12*N9*G9*COS(RADIANS(E9))^2+L9*G9^3*SIN(RADIANS(E9))^2)</f>
        <v/>
      </c>
      <c r="Q9" s="28">
        <f>-(6*F9*J9*L9*N9*SIN(RADIANS(E9))+6*O9*N9*G9*SIN(RADIANS(E9))*COS(RADIANS(E9)))/(12*N9*COS(RADIANS(E9))^2+L9*G9^2*SIN(RADIANS(E9))^2)</f>
        <v/>
      </c>
      <c r="R9" s="28">
        <f>-P9*SIN(RADIANS(E9))</f>
        <v/>
      </c>
      <c r="S9" s="8">
        <f>(O9+P9*COS(RADIANS(E9)))/L9</f>
        <v/>
      </c>
      <c r="T9" s="8">
        <f>R9/L9</f>
        <v/>
      </c>
      <c r="U9" s="8">
        <f>(Q9-P9*G9*SIN(RADIANS(E9)))/M9</f>
        <v/>
      </c>
      <c r="V9" s="8">
        <f>SQRT((S9+U9)^2+3*T9^2)</f>
        <v/>
      </c>
      <c r="W9" s="8">
        <f>V9/AA9</f>
        <v/>
      </c>
      <c r="X9" s="27">
        <f>((3*10+H9/COS(RADIANS(E9)))*(3+3)+3*G9*H9)*2</f>
        <v/>
      </c>
      <c r="Y9" s="28">
        <f>Z9/X9</f>
        <v/>
      </c>
      <c r="Z9" s="29" t="n">
        <v>654.0425248403</v>
      </c>
      <c r="AA9" s="20" t="n">
        <v>42.6898676701469</v>
      </c>
      <c r="AB9" t="n">
        <v>0.04823731021364244</v>
      </c>
      <c r="AC9" t="n">
        <v>39.84838331683325</v>
      </c>
      <c r="AD9" t="n">
        <v>16.1713021776401</v>
      </c>
    </row>
    <row r="10">
      <c r="A10" t="n">
        <v>9</v>
      </c>
      <c r="B10" t="n">
        <v>78.90000000000001</v>
      </c>
      <c r="C10" s="21">
        <f>B10-20</f>
        <v/>
      </c>
      <c r="D10" t="n">
        <v>104.9</v>
      </c>
      <c r="E10" s="22">
        <f>D10-90</f>
        <v/>
      </c>
      <c r="F10" s="23" t="n">
        <v>0.026026</v>
      </c>
      <c r="G10" s="22" t="n">
        <v>33.9</v>
      </c>
      <c r="H10" s="22" t="n">
        <v>1.2</v>
      </c>
      <c r="I10" s="24" t="n">
        <v>0.185022294521331</v>
      </c>
      <c r="J10" s="6" t="n">
        <v>71000</v>
      </c>
      <c r="K10" s="25">
        <f>23*10^-6</f>
        <v/>
      </c>
      <c r="L10" s="8">
        <f>H10</f>
        <v/>
      </c>
      <c r="M10" s="26">
        <f>H10^2/6</f>
        <v/>
      </c>
      <c r="N10" s="26">
        <f>H10^3/12</f>
        <v/>
      </c>
      <c r="O10" s="27">
        <f>-J10*L10*K10*C10</f>
        <v/>
      </c>
      <c r="P10" s="28">
        <f>-(12*F10*J10*L10*N10+12*O10*N10*G10*COS(RADIANS(E10)))/(12*N10*G10*COS(RADIANS(E10))^2+L10*G10^3*SIN(RADIANS(E10))^2)</f>
        <v/>
      </c>
      <c r="Q10" s="28">
        <f>-(6*F10*J10*L10*N10*SIN(RADIANS(E10))+6*O10*N10*G10*SIN(RADIANS(E10))*COS(RADIANS(E10)))/(12*N10*COS(RADIANS(E10))^2+L10*G10^2*SIN(RADIANS(E10))^2)</f>
        <v/>
      </c>
      <c r="R10" s="28">
        <f>-P10*SIN(RADIANS(E10))</f>
        <v/>
      </c>
      <c r="S10" s="8">
        <f>(O10+P10*COS(RADIANS(E10)))/L10</f>
        <v/>
      </c>
      <c r="T10" s="8">
        <f>R10/L10</f>
        <v/>
      </c>
      <c r="U10" s="8">
        <f>(Q10-P10*G10*SIN(RADIANS(E10)))/M10</f>
        <v/>
      </c>
      <c r="V10" s="8">
        <f>SQRT((S10+U10)^2+3*T10^2)</f>
        <v/>
      </c>
      <c r="W10" s="8">
        <f>V10/AA10</f>
        <v/>
      </c>
      <c r="X10" s="27">
        <f>((3*10+H10/COS(RADIANS(E10)))*(3+3)+3*G10*H10)*2</f>
        <v/>
      </c>
      <c r="Y10" s="28">
        <f>Z10/X10</f>
        <v/>
      </c>
      <c r="Z10" s="29" t="n">
        <v>623.249712285134</v>
      </c>
      <c r="AA10" s="20" t="n">
        <v>85.7891142103434</v>
      </c>
      <c r="AB10" t="n">
        <v>0.2714865785041374</v>
      </c>
      <c r="AC10" t="n">
        <v>91.37192618031266</v>
      </c>
      <c r="AD10" t="n">
        <v>46.73181910671747</v>
      </c>
    </row>
    <row r="11">
      <c r="A11" t="n">
        <v>10</v>
      </c>
      <c r="B11" t="n">
        <v>60.6</v>
      </c>
      <c r="C11" s="21">
        <f>B11-20</f>
        <v/>
      </c>
      <c r="D11" t="n">
        <v>122</v>
      </c>
      <c r="E11" s="22">
        <f>D11-90</f>
        <v/>
      </c>
      <c r="F11" s="23" t="n">
        <v>0.014317</v>
      </c>
      <c r="G11" s="22" t="n">
        <v>29.4</v>
      </c>
      <c r="H11" s="22" t="n">
        <v>1.3</v>
      </c>
      <c r="I11" s="24" t="n">
        <v>0.0651854127645492</v>
      </c>
      <c r="J11" s="6" t="n">
        <v>71000</v>
      </c>
      <c r="K11" s="25">
        <f>23*10^-6</f>
        <v/>
      </c>
      <c r="L11" s="8">
        <f>H11</f>
        <v/>
      </c>
      <c r="M11" s="26">
        <f>H11^2/6</f>
        <v/>
      </c>
      <c r="N11" s="26">
        <f>H11^3/12</f>
        <v/>
      </c>
      <c r="O11" s="27">
        <f>-J11*L11*K11*C11</f>
        <v/>
      </c>
      <c r="P11" s="28">
        <f>-(12*F11*J11*L11*N11+12*O11*N11*G11*COS(RADIANS(E11)))/(12*N11*G11*COS(RADIANS(E11))^2+L11*G11^3*SIN(RADIANS(E11))^2)</f>
        <v/>
      </c>
      <c r="Q11" s="28">
        <f>-(6*F11*J11*L11*N11*SIN(RADIANS(E11))+6*O11*N11*G11*SIN(RADIANS(E11))*COS(RADIANS(E11)))/(12*N11*COS(RADIANS(E11))^2+L11*G11^2*SIN(RADIANS(E11))^2)</f>
        <v/>
      </c>
      <c r="R11" s="28">
        <f>-P11*SIN(RADIANS(E11))</f>
        <v/>
      </c>
      <c r="S11" s="8">
        <f>(O11+P11*COS(RADIANS(E11)))/L11</f>
        <v/>
      </c>
      <c r="T11" s="8">
        <f>R11/L11</f>
        <v/>
      </c>
      <c r="U11" s="8">
        <f>(Q11-P11*G11*SIN(RADIANS(E11)))/M11</f>
        <v/>
      </c>
      <c r="V11" s="8">
        <f>SQRT((S11+U11)^2+3*T11^2)</f>
        <v/>
      </c>
      <c r="W11" s="8">
        <f>V11/AA11</f>
        <v/>
      </c>
      <c r="X11" s="27">
        <f>((3*10+H11/COS(RADIANS(E11)))*(3+3)+3*G11*H11)*2</f>
        <v/>
      </c>
      <c r="Y11" s="28">
        <f>Z11/X11</f>
        <v/>
      </c>
      <c r="Z11" s="29" t="n">
        <v>615.4490941587781</v>
      </c>
      <c r="AA11" s="20" t="n">
        <v>57.6669583179306</v>
      </c>
      <c r="AB11" t="n">
        <v>0.07430225534308152</v>
      </c>
      <c r="AC11" t="n">
        <v>58.86165536483357</v>
      </c>
      <c r="AD11" t="n">
        <v>13.98601649031894</v>
      </c>
    </row>
    <row r="12">
      <c r="A12" t="n">
        <v>11</v>
      </c>
      <c r="B12" t="n">
        <v>89.2</v>
      </c>
      <c r="C12" s="21">
        <f>B12-20</f>
        <v/>
      </c>
      <c r="D12" t="n">
        <v>106.4</v>
      </c>
      <c r="E12" s="22">
        <f>D12-90</f>
        <v/>
      </c>
      <c r="F12" s="23" t="n">
        <v>0.029177</v>
      </c>
      <c r="G12" s="22" t="n">
        <v>32.3</v>
      </c>
      <c r="H12" s="22" t="n">
        <v>1.5</v>
      </c>
      <c r="I12" s="24" t="n">
        <v>0.192999511957168</v>
      </c>
      <c r="J12" s="6" t="n">
        <v>71000</v>
      </c>
      <c r="K12" s="25">
        <f>23*10^-6</f>
        <v/>
      </c>
      <c r="L12" s="8">
        <f>H12</f>
        <v/>
      </c>
      <c r="M12" s="26">
        <f>H12^2/6</f>
        <v/>
      </c>
      <c r="N12" s="26">
        <f>H12^3/12</f>
        <v/>
      </c>
      <c r="O12" s="27">
        <f>-J12*L12*K12*C12</f>
        <v/>
      </c>
      <c r="P12" s="28">
        <f>-(12*F12*J12*L12*N12+12*O12*N12*G12*COS(RADIANS(E12)))/(12*N12*G12*COS(RADIANS(E12))^2+L12*G12^3*SIN(RADIANS(E12))^2)</f>
        <v/>
      </c>
      <c r="Q12" s="28">
        <f>-(6*F12*J12*L12*N12*SIN(RADIANS(E12))+6*O12*N12*G12*SIN(RADIANS(E12))*COS(RADIANS(E12)))/(12*N12*COS(RADIANS(E12))^2+L12*G12^2*SIN(RADIANS(E12))^2)</f>
        <v/>
      </c>
      <c r="R12" s="28">
        <f>-P12*SIN(RADIANS(E12))</f>
        <v/>
      </c>
      <c r="S12" s="8">
        <f>(O12+P12*COS(RADIANS(E12)))/L12</f>
        <v/>
      </c>
      <c r="T12" s="8">
        <f>R12/L12</f>
        <v/>
      </c>
      <c r="U12" s="8">
        <f>(Q12-P12*G12*SIN(RADIANS(E12)))/M12</f>
        <v/>
      </c>
      <c r="V12" s="8">
        <f>SQRT((S12+U12)^2+3*T12^2)</f>
        <v/>
      </c>
      <c r="W12" s="8">
        <f>V12/AA12</f>
        <v/>
      </c>
      <c r="X12" s="27">
        <f>((3*10+H12/COS(RADIANS(E12)))*(3+3)+3*G12*H12)*2</f>
        <v/>
      </c>
      <c r="Y12" s="28">
        <f>Z12/X12</f>
        <v/>
      </c>
      <c r="Z12" s="29" t="n">
        <v>673.914915924427</v>
      </c>
      <c r="AA12" s="20" t="n">
        <v>108.064520894079</v>
      </c>
      <c r="AB12" t="n">
        <v>0.2741760774607881</v>
      </c>
      <c r="AC12" t="n">
        <v>109.5533470919878</v>
      </c>
      <c r="AD12" t="n">
        <v>42.06050299320728</v>
      </c>
    </row>
    <row r="13">
      <c r="A13" t="n">
        <v>12</v>
      </c>
      <c r="B13" t="n">
        <v>84.40000000000001</v>
      </c>
      <c r="C13" s="21">
        <f>B13-20</f>
        <v/>
      </c>
      <c r="D13" t="n">
        <v>118.8</v>
      </c>
      <c r="E13" s="22">
        <f>D13-90</f>
        <v/>
      </c>
      <c r="F13" s="23" t="n">
        <v>0.024735</v>
      </c>
      <c r="G13" s="22" t="n">
        <v>31.6</v>
      </c>
      <c r="H13" s="22" t="n">
        <v>1</v>
      </c>
      <c r="I13" s="24" t="n">
        <v>0.116345755755901</v>
      </c>
      <c r="J13" s="6" t="n">
        <v>71000</v>
      </c>
      <c r="K13" s="25">
        <f>23*10^-6</f>
        <v/>
      </c>
      <c r="L13" s="8">
        <f>H13</f>
        <v/>
      </c>
      <c r="M13" s="26">
        <f>H13^2/6</f>
        <v/>
      </c>
      <c r="N13" s="26">
        <f>H13^3/12</f>
        <v/>
      </c>
      <c r="O13" s="27">
        <f>-J13*L13*K13*C13</f>
        <v/>
      </c>
      <c r="P13" s="28">
        <f>-(12*F13*J13*L13*N13+12*O13*N13*G13*COS(RADIANS(E13)))/(12*N13*G13*COS(RADIANS(E13))^2+L13*G13^3*SIN(RADIANS(E13))^2)</f>
        <v/>
      </c>
      <c r="Q13" s="28">
        <f>-(6*F13*J13*L13*N13*SIN(RADIANS(E13))+6*O13*N13*G13*SIN(RADIANS(E13))*COS(RADIANS(E13)))/(12*N13*COS(RADIANS(E13))^2+L13*G13^2*SIN(RADIANS(E13))^2)</f>
        <v/>
      </c>
      <c r="R13" s="28">
        <f>-P13*SIN(RADIANS(E13))</f>
        <v/>
      </c>
      <c r="S13" s="8">
        <f>(O13+P13*COS(RADIANS(E13)))/L13</f>
        <v/>
      </c>
      <c r="T13" s="8">
        <f>R13/L13</f>
        <v/>
      </c>
      <c r="U13" s="8">
        <f>(Q13-P13*G13*SIN(RADIANS(E13)))/M13</f>
        <v/>
      </c>
      <c r="V13" s="8">
        <f>SQRT((S13+U13)^2+3*T13^2)</f>
        <v/>
      </c>
      <c r="W13" s="8">
        <f>V13/AA13</f>
        <v/>
      </c>
      <c r="X13" s="27">
        <f>((3*10+H13/COS(RADIANS(E13)))*(3+3)+3*G13*H13)*2</f>
        <v/>
      </c>
      <c r="Y13" s="28">
        <f>Z13/X13</f>
        <v/>
      </c>
      <c r="Z13" s="29" t="n">
        <v>570.115137514963</v>
      </c>
      <c r="AA13" s="20" t="n">
        <v>86.1991529484817</v>
      </c>
      <c r="AB13" t="n">
        <v>0.1416354336549256</v>
      </c>
      <c r="AC13" t="n">
        <v>92.29338164868693</v>
      </c>
      <c r="AD13" t="n">
        <v>21.73665703120581</v>
      </c>
    </row>
    <row r="14">
      <c r="A14" t="n">
        <v>13</v>
      </c>
      <c r="B14" t="n">
        <v>87.59999999999999</v>
      </c>
      <c r="C14" s="21">
        <f>B14-20</f>
        <v/>
      </c>
      <c r="D14" t="n">
        <v>105.1</v>
      </c>
      <c r="E14" s="22">
        <f>D14-90</f>
        <v/>
      </c>
      <c r="F14" s="23" t="n">
        <v>0.02635</v>
      </c>
      <c r="G14" s="22" t="n">
        <v>29.2</v>
      </c>
      <c r="H14" s="22" t="n">
        <v>1.5</v>
      </c>
      <c r="I14" s="24" t="n">
        <v>0.186270847916603</v>
      </c>
      <c r="J14" s="6" t="n">
        <v>71000</v>
      </c>
      <c r="K14" s="25">
        <f>23*10^-6</f>
        <v/>
      </c>
      <c r="L14" s="8">
        <f>H14</f>
        <v/>
      </c>
      <c r="M14" s="26">
        <f>H14^2/6</f>
        <v/>
      </c>
      <c r="N14" s="26">
        <f>H14^3/12</f>
        <v/>
      </c>
      <c r="O14" s="27">
        <f>-J14*L14*K14*C14</f>
        <v/>
      </c>
      <c r="P14" s="28">
        <f>-(12*F14*J14*L14*N14+12*O14*N14*G14*COS(RADIANS(E14)))/(12*N14*G14*COS(RADIANS(E14))^2+L14*G14^3*SIN(RADIANS(E14))^2)</f>
        <v/>
      </c>
      <c r="Q14" s="28">
        <f>-(6*F14*J14*L14*N14*SIN(RADIANS(E14))+6*O14*N14*G14*SIN(RADIANS(E14))*COS(RADIANS(E14)))/(12*N14*COS(RADIANS(E14))^2+L14*G14^2*SIN(RADIANS(E14))^2)</f>
        <v/>
      </c>
      <c r="R14" s="28">
        <f>-P14*SIN(RADIANS(E14))</f>
        <v/>
      </c>
      <c r="S14" s="8">
        <f>(O14+P14*COS(RADIANS(E14)))/L14</f>
        <v/>
      </c>
      <c r="T14" s="8">
        <f>R14/L14</f>
        <v/>
      </c>
      <c r="U14" s="8">
        <f>(Q14-P14*G14*SIN(RADIANS(E14)))/M14</f>
        <v/>
      </c>
      <c r="V14" s="8">
        <f>SQRT((S14+U14)^2+3*T14^2)</f>
        <v/>
      </c>
      <c r="W14" s="8">
        <f>V14/AA14</f>
        <v/>
      </c>
      <c r="X14" s="27">
        <f>((3*10+H14/COS(RADIANS(E14)))*(3+3)+3*G14*H14)*2</f>
        <v/>
      </c>
      <c r="Y14" s="28">
        <f>Z14/X14</f>
        <v/>
      </c>
      <c r="Z14" s="29" t="n">
        <v>645.735639340861</v>
      </c>
      <c r="AA14" s="20" t="n">
        <v>106.137598833925</v>
      </c>
      <c r="AB14" t="n">
        <v>0.2621731117060783</v>
      </c>
      <c r="AC14" t="n">
        <v>109.4903908081588</v>
      </c>
      <c r="AD14" t="n">
        <v>40.74833214022741</v>
      </c>
    </row>
    <row r="15">
      <c r="A15" t="n">
        <v>14</v>
      </c>
      <c r="B15" t="n">
        <v>74.40000000000001</v>
      </c>
      <c r="C15" s="21">
        <f>B15-20</f>
        <v/>
      </c>
      <c r="D15" t="n">
        <v>112.6</v>
      </c>
      <c r="E15" s="22">
        <f>D15-90</f>
        <v/>
      </c>
      <c r="F15" s="23" t="n">
        <v>0.016374</v>
      </c>
      <c r="G15" s="22" t="n">
        <v>22.1</v>
      </c>
      <c r="H15" s="22" t="n">
        <v>1.4</v>
      </c>
      <c r="I15" s="24" t="n">
        <v>0.0920219793915748</v>
      </c>
      <c r="J15" s="6" t="n">
        <v>71000</v>
      </c>
      <c r="K15" s="25">
        <f>23*10^-6</f>
        <v/>
      </c>
      <c r="L15" s="8">
        <f>H15</f>
        <v/>
      </c>
      <c r="M15" s="26">
        <f>H15^2/6</f>
        <v/>
      </c>
      <c r="N15" s="26">
        <f>H15^3/12</f>
        <v/>
      </c>
      <c r="O15" s="27">
        <f>-J15*L15*K15*C15</f>
        <v/>
      </c>
      <c r="P15" s="28">
        <f>-(12*F15*J15*L15*N15+12*O15*N15*G15*COS(RADIANS(E15)))/(12*N15*G15*COS(RADIANS(E15))^2+L15*G15^3*SIN(RADIANS(E15))^2)</f>
        <v/>
      </c>
      <c r="Q15" s="28">
        <f>-(6*F15*J15*L15*N15*SIN(RADIANS(E15))+6*O15*N15*G15*SIN(RADIANS(E15))*COS(RADIANS(E15)))/(12*N15*COS(RADIANS(E15))^2+L15*G15^2*SIN(RADIANS(E15))^2)</f>
        <v/>
      </c>
      <c r="R15" s="28">
        <f>-P15*SIN(RADIANS(E15))</f>
        <v/>
      </c>
      <c r="S15" s="8">
        <f>(O15+P15*COS(RADIANS(E15)))/L15</f>
        <v/>
      </c>
      <c r="T15" s="8">
        <f>R15/L15</f>
        <v/>
      </c>
      <c r="U15" s="8">
        <f>(Q15-P15*G15*SIN(RADIANS(E15)))/M15</f>
        <v/>
      </c>
      <c r="V15" s="8">
        <f>SQRT((S15+U15)^2+3*T15^2)</f>
        <v/>
      </c>
      <c r="W15" s="8">
        <f>V15/AA15</f>
        <v/>
      </c>
      <c r="X15" s="27">
        <f>((3*10+H15/COS(RADIANS(E15)))*(3+3)+3*G15*H15)*2</f>
        <v/>
      </c>
      <c r="Y15" s="28">
        <f>Z15/X15</f>
        <v/>
      </c>
      <c r="Z15" s="29" t="n">
        <v>569.267247744402</v>
      </c>
      <c r="AA15" s="20" t="n">
        <v>84.1810176995744</v>
      </c>
      <c r="AB15" t="n">
        <v>0.1086165214970571</v>
      </c>
      <c r="AC15" t="n">
        <v>84.16499278845541</v>
      </c>
      <c r="AD15" t="n">
        <v>18.0332375104307</v>
      </c>
    </row>
    <row r="16">
      <c r="A16" t="n">
        <v>15</v>
      </c>
      <c r="B16" t="n">
        <v>49.9</v>
      </c>
      <c r="C16" s="21">
        <f>B16-20</f>
        <v/>
      </c>
      <c r="D16" t="n">
        <v>100</v>
      </c>
      <c r="E16" s="22">
        <f>D16-90</f>
        <v/>
      </c>
      <c r="F16" s="23" t="n">
        <v>0.009329</v>
      </c>
      <c r="G16" s="22" t="n">
        <v>21.7</v>
      </c>
      <c r="H16" s="22" t="n">
        <v>1.6</v>
      </c>
      <c r="I16" s="24" t="n">
        <v>0.0851735472679138</v>
      </c>
      <c r="J16" s="6" t="n">
        <v>71000</v>
      </c>
      <c r="K16" s="25">
        <f>23*10^-6</f>
        <v/>
      </c>
      <c r="L16" s="8">
        <f>H16</f>
        <v/>
      </c>
      <c r="M16" s="26">
        <f>H16^2/6</f>
        <v/>
      </c>
      <c r="N16" s="26">
        <f>H16^3/12</f>
        <v/>
      </c>
      <c r="O16" s="27">
        <f>-J16*L16*K16*C16</f>
        <v/>
      </c>
      <c r="P16" s="28">
        <f>-(12*F16*J16*L16*N16+12*O16*N16*G16*COS(RADIANS(E16)))/(12*N16*G16*COS(RADIANS(E16))^2+L16*G16^3*SIN(RADIANS(E16))^2)</f>
        <v/>
      </c>
      <c r="Q16" s="28">
        <f>-(6*F16*J16*L16*N16*SIN(RADIANS(E16))+6*O16*N16*G16*SIN(RADIANS(E16))*COS(RADIANS(E16)))/(12*N16*COS(RADIANS(E16))^2+L16*G16^2*SIN(RADIANS(E16))^2)</f>
        <v/>
      </c>
      <c r="R16" s="28">
        <f>-P16*SIN(RADIANS(E16))</f>
        <v/>
      </c>
      <c r="S16" s="8">
        <f>(O16+P16*COS(RADIANS(E16)))/L16</f>
        <v/>
      </c>
      <c r="T16" s="8">
        <f>R16/L16</f>
        <v/>
      </c>
      <c r="U16" s="8">
        <f>(Q16-P16*G16*SIN(RADIANS(E16)))/M16</f>
        <v/>
      </c>
      <c r="V16" s="8">
        <f>SQRT((S16+U16)^2+3*T16^2)</f>
        <v/>
      </c>
      <c r="W16" s="8">
        <f>V16/AA16</f>
        <v/>
      </c>
      <c r="X16" s="27">
        <f>((3*10+H16/COS(RADIANS(E16)))*(3+3)+3*G16*H16)*2</f>
        <v/>
      </c>
      <c r="Y16" s="28">
        <f>Z16/X16</f>
        <v/>
      </c>
      <c r="Z16" s="29" t="n">
        <v>591.620059019105</v>
      </c>
      <c r="AA16" s="20" t="n">
        <v>69.3855442110611</v>
      </c>
      <c r="AB16" t="n">
        <v>0.1179385648092973</v>
      </c>
      <c r="AC16" t="n">
        <v>53.64027457666428</v>
      </c>
      <c r="AD16" t="n">
        <v>38.46853699578934</v>
      </c>
    </row>
    <row r="17">
      <c r="A17" t="n">
        <v>16</v>
      </c>
      <c r="B17" t="n">
        <v>56.5</v>
      </c>
      <c r="C17" s="21">
        <f>B17-20</f>
        <v/>
      </c>
      <c r="D17" t="n">
        <v>115</v>
      </c>
      <c r="E17" s="22">
        <f>D17-90</f>
        <v/>
      </c>
      <c r="F17" s="23" t="n">
        <v>0.012188</v>
      </c>
      <c r="G17" s="22" t="n">
        <v>25.7</v>
      </c>
      <c r="H17" s="22" t="n">
        <v>1.2</v>
      </c>
      <c r="I17" s="24" t="n">
        <v>0.0634852424263954</v>
      </c>
      <c r="J17" s="6" t="n">
        <v>71000</v>
      </c>
      <c r="K17" s="25">
        <f>23*10^-6</f>
        <v/>
      </c>
      <c r="L17" s="8">
        <f>H17</f>
        <v/>
      </c>
      <c r="M17" s="26">
        <f>H17^2/6</f>
        <v/>
      </c>
      <c r="N17" s="26">
        <f>H17^3/12</f>
        <v/>
      </c>
      <c r="O17" s="27">
        <f>-J17*L17*K17*C17</f>
        <v/>
      </c>
      <c r="P17" s="28">
        <f>-(12*F17*J17*L17*N17+12*O17*N17*G17*COS(RADIANS(E17)))/(12*N17*G17*COS(RADIANS(E17))^2+L17*G17^3*SIN(RADIANS(E17))^2)</f>
        <v/>
      </c>
      <c r="Q17" s="28">
        <f>-(6*F17*J17*L17*N17*SIN(RADIANS(E17))+6*O17*N17*G17*SIN(RADIANS(E17))*COS(RADIANS(E17)))/(12*N17*COS(RADIANS(E17))^2+L17*G17^2*SIN(RADIANS(E17))^2)</f>
        <v/>
      </c>
      <c r="R17" s="28">
        <f>-P17*SIN(RADIANS(E17))</f>
        <v/>
      </c>
      <c r="S17" s="8">
        <f>(O17+P17*COS(RADIANS(E17)))/L17</f>
        <v/>
      </c>
      <c r="T17" s="8">
        <f>R17/L17</f>
        <v/>
      </c>
      <c r="U17" s="8">
        <f>(Q17-P17*G17*SIN(RADIANS(E17)))/M17</f>
        <v/>
      </c>
      <c r="V17" s="8">
        <f>SQRT((S17+U17)^2+3*T17^2)</f>
        <v/>
      </c>
      <c r="W17" s="8">
        <f>V17/AA17</f>
        <v/>
      </c>
      <c r="X17" s="27">
        <f>((3*10+H17/COS(RADIANS(E17)))*(3+3)+3*G17*H17)*2</f>
        <v/>
      </c>
      <c r="Y17" s="28">
        <f>Z17/X17</f>
        <v/>
      </c>
      <c r="Z17" s="29" t="n">
        <v>566.843341473799</v>
      </c>
      <c r="AA17" s="20" t="n">
        <v>52.5191899361109</v>
      </c>
      <c r="AB17" t="n">
        <v>0.07636668286386912</v>
      </c>
      <c r="AC17" t="n">
        <v>54.33281311669833</v>
      </c>
      <c r="AD17" t="n">
        <v>20.29044852811017</v>
      </c>
    </row>
    <row r="18">
      <c r="A18" t="n">
        <v>17</v>
      </c>
      <c r="B18" t="n">
        <v>57.9</v>
      </c>
      <c r="C18" s="21">
        <f>B18-20</f>
        <v/>
      </c>
      <c r="D18" t="n">
        <v>108.8</v>
      </c>
      <c r="E18" s="22">
        <f>D18-90</f>
        <v/>
      </c>
      <c r="F18" s="23" t="n">
        <v>0.012572</v>
      </c>
      <c r="G18" s="22" t="n">
        <v>24.4</v>
      </c>
      <c r="H18" s="22" t="n">
        <v>1.6</v>
      </c>
      <c r="I18" s="24" t="n">
        <v>0.07767511159181591</v>
      </c>
      <c r="J18" s="6" t="n">
        <v>71000</v>
      </c>
      <c r="K18" s="25">
        <f>23*10^-6</f>
        <v/>
      </c>
      <c r="L18" s="8">
        <f>H18</f>
        <v/>
      </c>
      <c r="M18" s="26">
        <f>H18^2/6</f>
        <v/>
      </c>
      <c r="N18" s="26">
        <f>H18^3/12</f>
        <v/>
      </c>
      <c r="O18" s="27">
        <f>-J18*L18*K18*C18</f>
        <v/>
      </c>
      <c r="P18" s="28">
        <f>-(12*F18*J18*L18*N18+12*O18*N18*G18*COS(RADIANS(E18)))/(12*N18*G18*COS(RADIANS(E18))^2+L18*G18^3*SIN(RADIANS(E18))^2)</f>
        <v/>
      </c>
      <c r="Q18" s="28">
        <f>-(6*F18*J18*L18*N18*SIN(RADIANS(E18))+6*O18*N18*G18*SIN(RADIANS(E18))*COS(RADIANS(E18)))/(12*N18*COS(RADIANS(E18))^2+L18*G18^2*SIN(RADIANS(E18))^2)</f>
        <v/>
      </c>
      <c r="R18" s="28">
        <f>-P18*SIN(RADIANS(E18))</f>
        <v/>
      </c>
      <c r="S18" s="8">
        <f>(O18+P18*COS(RADIANS(E18)))/L18</f>
        <v/>
      </c>
      <c r="T18" s="8">
        <f>R18/L18</f>
        <v/>
      </c>
      <c r="U18" s="8">
        <f>(Q18-P18*G18*SIN(RADIANS(E18)))/M18</f>
        <v/>
      </c>
      <c r="V18" s="8">
        <f>SQRT((S18+U18)^2+3*T18^2)</f>
        <v/>
      </c>
      <c r="W18" s="8">
        <f>V18/AA18</f>
        <v/>
      </c>
      <c r="X18" s="27">
        <f>((3*10+H18/COS(RADIANS(E18)))*(3+3)+3*G18*H18)*2</f>
        <v/>
      </c>
      <c r="Y18" s="28">
        <f>Z18/X18</f>
        <v/>
      </c>
      <c r="Z18" s="29" t="n">
        <v>619.308271295908</v>
      </c>
      <c r="AA18" s="20" t="n">
        <v>60.9344012332968</v>
      </c>
      <c r="AB18" t="n">
        <v>0.09909485545172236</v>
      </c>
      <c r="AC18" t="n">
        <v>60.87482338754262</v>
      </c>
      <c r="AD18" t="n">
        <v>27.57607092020362</v>
      </c>
    </row>
    <row r="19">
      <c r="A19" t="n">
        <v>18</v>
      </c>
      <c r="B19" t="n">
        <v>67.40000000000001</v>
      </c>
      <c r="C19" s="21">
        <f>B19-20</f>
        <v/>
      </c>
      <c r="D19" t="n">
        <v>106</v>
      </c>
      <c r="E19" s="22">
        <f>D19-90</f>
        <v/>
      </c>
      <c r="F19" s="23" t="n">
        <v>0.017267</v>
      </c>
      <c r="G19" s="22" t="n">
        <v>27</v>
      </c>
      <c r="H19" s="22" t="n">
        <v>1.7</v>
      </c>
      <c r="I19" s="24" t="n">
        <v>0.117088630795478</v>
      </c>
      <c r="J19" s="6" t="n">
        <v>71000</v>
      </c>
      <c r="K19" s="25">
        <f>23*10^-6</f>
        <v/>
      </c>
      <c r="L19" s="8">
        <f>H19</f>
        <v/>
      </c>
      <c r="M19" s="26">
        <f>H19^2/6</f>
        <v/>
      </c>
      <c r="N19" s="26">
        <f>H19^3/12</f>
        <v/>
      </c>
      <c r="O19" s="27">
        <f>-J19*L19*K19*C19</f>
        <v/>
      </c>
      <c r="P19" s="28">
        <f>-(12*F19*J19*L19*N19+12*O19*N19*G19*COS(RADIANS(E19)))/(12*N19*G19*COS(RADIANS(E19))^2+L19*G19^3*SIN(RADIANS(E19))^2)</f>
        <v/>
      </c>
      <c r="Q19" s="28">
        <f>-(6*F19*J19*L19*N19*SIN(RADIANS(E19))+6*O19*N19*G19*SIN(RADIANS(E19))*COS(RADIANS(E19)))/(12*N19*COS(RADIANS(E19))^2+L19*G19^2*SIN(RADIANS(E19))^2)</f>
        <v/>
      </c>
      <c r="R19" s="28">
        <f>-P19*SIN(RADIANS(E19))</f>
        <v/>
      </c>
      <c r="S19" s="8">
        <f>(O19+P19*COS(RADIANS(E19)))/L19</f>
        <v/>
      </c>
      <c r="T19" s="8">
        <f>R19/L19</f>
        <v/>
      </c>
      <c r="U19" s="8">
        <f>(Q19-P19*G19*SIN(RADIANS(E19)))/M19</f>
        <v/>
      </c>
      <c r="V19" s="8">
        <f>SQRT((S19+U19)^2+3*T19^2)</f>
        <v/>
      </c>
      <c r="W19" s="8">
        <f>V19/AA19</f>
        <v/>
      </c>
      <c r="X19" s="27">
        <f>((3*10+H19/COS(RADIANS(E19)))*(3+3)+3*G19*H19)*2</f>
        <v/>
      </c>
      <c r="Y19" s="28">
        <f>Z19/X19</f>
        <v/>
      </c>
      <c r="Z19" s="29" t="n">
        <v>661.022924337896</v>
      </c>
      <c r="AA19" s="20" t="n">
        <v>78.8868814599448</v>
      </c>
      <c r="AB19" t="n">
        <v>0.1590969571519353</v>
      </c>
      <c r="AC19" t="n">
        <v>78.11853207446069</v>
      </c>
      <c r="AD19" t="n">
        <v>35.87737431982988</v>
      </c>
    </row>
    <row r="20">
      <c r="A20" t="n">
        <v>19</v>
      </c>
      <c r="B20" t="n">
        <v>73.7</v>
      </c>
      <c r="C20" s="21">
        <f>B20-20</f>
        <v/>
      </c>
      <c r="D20" t="n">
        <v>110.4</v>
      </c>
      <c r="E20" s="22">
        <f>D20-90</f>
        <v/>
      </c>
      <c r="F20" s="23" t="n">
        <v>0.019337</v>
      </c>
      <c r="G20" s="22" t="n">
        <v>27.3</v>
      </c>
      <c r="H20" s="22" t="n">
        <v>1.8</v>
      </c>
      <c r="I20" s="24" t="n">
        <v>0.11185523122549</v>
      </c>
      <c r="J20" s="6" t="n">
        <v>71000</v>
      </c>
      <c r="K20" s="25">
        <f>23*10^-6</f>
        <v/>
      </c>
      <c r="L20" s="8">
        <f>H20</f>
        <v/>
      </c>
      <c r="M20" s="26">
        <f>H20^2/6</f>
        <v/>
      </c>
      <c r="N20" s="26">
        <f>H20^3/12</f>
        <v/>
      </c>
      <c r="O20" s="27">
        <f>-J20*L20*K20*C20</f>
        <v/>
      </c>
      <c r="P20" s="28">
        <f>-(12*F20*J20*L20*N20+12*O20*N20*G20*COS(RADIANS(E20)))/(12*N20*G20*COS(RADIANS(E20))^2+L20*G20^3*SIN(RADIANS(E20))^2)</f>
        <v/>
      </c>
      <c r="Q20" s="28">
        <f>-(6*F20*J20*L20*N20*SIN(RADIANS(E20))+6*O20*N20*G20*SIN(RADIANS(E20))*COS(RADIANS(E20)))/(12*N20*COS(RADIANS(E20))^2+L20*G20^2*SIN(RADIANS(E20))^2)</f>
        <v/>
      </c>
      <c r="R20" s="28">
        <f>-P20*SIN(RADIANS(E20))</f>
        <v/>
      </c>
      <c r="S20" s="8">
        <f>(O20+P20*COS(RADIANS(E20)))/L20</f>
        <v/>
      </c>
      <c r="T20" s="8">
        <f>R20/L20</f>
        <v/>
      </c>
      <c r="U20" s="8">
        <f>(Q20-P20*G20*SIN(RADIANS(E20)))/M20</f>
        <v/>
      </c>
      <c r="V20" s="8">
        <f>SQRT((S20+U20)^2+3*T20^2)</f>
        <v/>
      </c>
      <c r="W20" s="8">
        <f>V20/AA20</f>
        <v/>
      </c>
      <c r="X20" s="27">
        <f>((3*10+H20/COS(RADIANS(E20)))*(3+3)+3*G20*H20)*2</f>
        <v/>
      </c>
      <c r="Y20" s="28">
        <f>Z20/X20</f>
        <v/>
      </c>
      <c r="Z20" s="29" t="n">
        <v>682.924942983077</v>
      </c>
      <c r="AA20" s="20" t="n">
        <v>88.25013423551459</v>
      </c>
      <c r="AB20" t="n">
        <v>0.1439776235697458</v>
      </c>
      <c r="AC20" t="n">
        <v>85.70962650623802</v>
      </c>
      <c r="AD20" t="n">
        <v>28.71782749212683</v>
      </c>
    </row>
    <row r="21">
      <c r="A21" t="n">
        <v>20</v>
      </c>
      <c r="B21" t="n">
        <v>71.3</v>
      </c>
      <c r="C21" s="21">
        <f>B21-20</f>
        <v/>
      </c>
      <c r="D21" t="n">
        <v>112.2</v>
      </c>
      <c r="E21" s="22">
        <f>D21-90</f>
        <v/>
      </c>
      <c r="F21" s="23" t="n">
        <v>0.019753</v>
      </c>
      <c r="G21" s="22" t="n">
        <v>30</v>
      </c>
      <c r="H21" s="22" t="n">
        <v>1.5</v>
      </c>
      <c r="I21" s="24" t="n">
        <v>0.107731990516185</v>
      </c>
      <c r="J21" s="6" t="n">
        <v>71000</v>
      </c>
      <c r="K21" s="25">
        <f>23*10^-6</f>
        <v/>
      </c>
      <c r="L21" s="8">
        <f>H21</f>
        <v/>
      </c>
      <c r="M21" s="26">
        <f>H21^2/6</f>
        <v/>
      </c>
      <c r="N21" s="26">
        <f>H21^3/12</f>
        <v/>
      </c>
      <c r="O21" s="27">
        <f>-J21*L21*K21*C21</f>
        <v/>
      </c>
      <c r="P21" s="28">
        <f>-(12*F21*J21*L21*N21+12*O21*N21*G21*COS(RADIANS(E21)))/(12*N21*G21*COS(RADIANS(E21))^2+L21*G21^3*SIN(RADIANS(E21))^2)</f>
        <v/>
      </c>
      <c r="Q21" s="28">
        <f>-(6*F21*J21*L21*N21*SIN(RADIANS(E21))+6*O21*N21*G21*SIN(RADIANS(E21))*COS(RADIANS(E21)))/(12*N21*COS(RADIANS(E21))^2+L21*G21^2*SIN(RADIANS(E21))^2)</f>
        <v/>
      </c>
      <c r="R21" s="28">
        <f>-P21*SIN(RADIANS(E21))</f>
        <v/>
      </c>
      <c r="S21" s="8">
        <f>(O21+P21*COS(RADIANS(E21)))/L21</f>
        <v/>
      </c>
      <c r="T21" s="8">
        <f>R21/L21</f>
        <v/>
      </c>
      <c r="U21" s="8">
        <f>(Q21-P21*G21*SIN(RADIANS(E21)))/M21</f>
        <v/>
      </c>
      <c r="V21" s="8">
        <f>SQRT((S21+U21)^2+3*T21^2)</f>
        <v/>
      </c>
      <c r="W21" s="8">
        <f>V21/AA21</f>
        <v/>
      </c>
      <c r="X21" s="27">
        <f>((3*10+H21/COS(RADIANS(E21)))*(3+3)+3*G21*H21)*2</f>
        <v/>
      </c>
      <c r="Y21" s="28">
        <f>Z21/X21</f>
        <v/>
      </c>
      <c r="Z21" s="29" t="n">
        <v>654.796340642548</v>
      </c>
      <c r="AA21" s="20" t="n">
        <v>78.2862420710275</v>
      </c>
      <c r="AB21" t="n">
        <v>0.1398648567547801</v>
      </c>
      <c r="AC21" t="n">
        <v>78.41046713370162</v>
      </c>
      <c r="AD21" t="n">
        <v>29.82667087522869</v>
      </c>
    </row>
    <row r="22">
      <c r="A22" t="n">
        <v>21</v>
      </c>
      <c r="B22" t="n">
        <v>60.4</v>
      </c>
      <c r="C22" s="21">
        <f>B22-20</f>
        <v/>
      </c>
      <c r="D22" t="n">
        <v>107.2</v>
      </c>
      <c r="E22" s="22">
        <f>D22-90</f>
        <v/>
      </c>
      <c r="F22" s="23" t="n">
        <v>0.01429</v>
      </c>
      <c r="G22" s="22" t="n">
        <v>26.2</v>
      </c>
      <c r="H22" s="22" t="n">
        <v>1.6</v>
      </c>
      <c r="I22" s="24" t="n">
        <v>0.0928891524672508</v>
      </c>
      <c r="J22" s="6" t="n">
        <v>71000</v>
      </c>
      <c r="K22" s="25">
        <f>23*10^-6</f>
        <v/>
      </c>
      <c r="L22" s="8">
        <f>H22</f>
        <v/>
      </c>
      <c r="M22" s="26">
        <f>H22^2/6</f>
        <v/>
      </c>
      <c r="N22" s="26">
        <f>H22^3/12</f>
        <v/>
      </c>
      <c r="O22" s="27">
        <f>-J22*L22*K22*C22</f>
        <v/>
      </c>
      <c r="P22" s="28">
        <f>-(12*F22*J22*L22*N22+12*O22*N22*G22*COS(RADIANS(E22)))/(12*N22*G22*COS(RADIANS(E22))^2+L22*G22^3*SIN(RADIANS(E22))^2)</f>
        <v/>
      </c>
      <c r="Q22" s="28">
        <f>-(6*F22*J22*L22*N22*SIN(RADIANS(E22))+6*O22*N22*G22*SIN(RADIANS(E22))*COS(RADIANS(E22)))/(12*N22*COS(RADIANS(E22))^2+L22*G22^2*SIN(RADIANS(E22))^2)</f>
        <v/>
      </c>
      <c r="R22" s="28">
        <f>-P22*SIN(RADIANS(E22))</f>
        <v/>
      </c>
      <c r="S22" s="8">
        <f>(O22+P22*COS(RADIANS(E22)))/L22</f>
        <v/>
      </c>
      <c r="T22" s="8">
        <f>R22/L22</f>
        <v/>
      </c>
      <c r="U22" s="8">
        <f>(Q22-P22*G22*SIN(RADIANS(E22)))/M22</f>
        <v/>
      </c>
      <c r="V22" s="8">
        <f>SQRT((S22+U22)^2+3*T22^2)</f>
        <v/>
      </c>
      <c r="W22" s="8">
        <f>V22/AA22</f>
        <v/>
      </c>
      <c r="X22" s="27">
        <f>((3*10+H22/COS(RADIANS(E22)))*(3+3)+3*G22*H22)*2</f>
        <v/>
      </c>
      <c r="Y22" s="28">
        <f>Z22/X22</f>
        <v/>
      </c>
      <c r="Z22" s="29" t="n">
        <v>636.17605010919</v>
      </c>
      <c r="AA22" s="20" t="n">
        <v>65.43724179851149</v>
      </c>
      <c r="AB22" t="n">
        <v>0.123513461819156</v>
      </c>
      <c r="AC22" t="n">
        <v>65.39695648423648</v>
      </c>
      <c r="AD22" t="n">
        <v>32.96866053622585</v>
      </c>
    </row>
    <row r="23">
      <c r="A23" t="n">
        <v>22</v>
      </c>
      <c r="B23" t="n">
        <v>71.8</v>
      </c>
      <c r="C23" s="21">
        <f>B23-20</f>
        <v/>
      </c>
      <c r="D23" t="n">
        <v>102.2</v>
      </c>
      <c r="E23" s="22">
        <f>D23-90</f>
        <v/>
      </c>
      <c r="F23" s="23" t="n">
        <v>0.02311</v>
      </c>
      <c r="G23" s="22" t="n">
        <v>33.9</v>
      </c>
      <c r="H23" s="22" t="n">
        <v>1.3</v>
      </c>
      <c r="I23" s="24" t="n">
        <v>0.191086992621421</v>
      </c>
      <c r="J23" s="6" t="n">
        <v>71000</v>
      </c>
      <c r="K23" s="25">
        <f>23*10^-6</f>
        <v/>
      </c>
      <c r="L23" s="8">
        <f>H23</f>
        <v/>
      </c>
      <c r="M23" s="26">
        <f>H23^2/6</f>
        <v/>
      </c>
      <c r="N23" s="26">
        <f>H23^3/12</f>
        <v/>
      </c>
      <c r="O23" s="27">
        <f>-J23*L23*K23*C23</f>
        <v/>
      </c>
      <c r="P23" s="28">
        <f>-(12*F23*J23*L23*N23+12*O23*N23*G23*COS(RADIANS(E23)))/(12*N23*G23*COS(RADIANS(E23))^2+L23*G23^3*SIN(RADIANS(E23))^2)</f>
        <v/>
      </c>
      <c r="Q23" s="28">
        <f>-(6*F23*J23*L23*N23*SIN(RADIANS(E23))+6*O23*N23*G23*SIN(RADIANS(E23))*COS(RADIANS(E23)))/(12*N23*COS(RADIANS(E23))^2+L23*G23^2*SIN(RADIANS(E23))^2)</f>
        <v/>
      </c>
      <c r="R23" s="28">
        <f>-P23*SIN(RADIANS(E23))</f>
        <v/>
      </c>
      <c r="S23" s="8">
        <f>(O23+P23*COS(RADIANS(E23)))/L23</f>
        <v/>
      </c>
      <c r="T23" s="8">
        <f>R23/L23</f>
        <v/>
      </c>
      <c r="U23" s="8">
        <f>(Q23-P23*G23*SIN(RADIANS(E23)))/M23</f>
        <v/>
      </c>
      <c r="V23" s="8">
        <f>SQRT((S23+U23)^2+3*T23^2)</f>
        <v/>
      </c>
      <c r="W23" s="8">
        <f>V23/AA23</f>
        <v/>
      </c>
      <c r="X23" s="27">
        <f>((3*10+H23/COS(RADIANS(E23)))*(3+3)+3*G23*H23)*2</f>
        <v/>
      </c>
      <c r="Y23" s="28">
        <f>Z23/X23</f>
        <v/>
      </c>
      <c r="Z23" s="29" t="n">
        <v>644.368624314104</v>
      </c>
      <c r="AA23" s="20" t="n">
        <v>78.60643831447609</v>
      </c>
      <c r="AB23" t="n">
        <v>0.2887651950118156</v>
      </c>
      <c r="AC23" t="n">
        <v>83.57480853428451</v>
      </c>
      <c r="AD23" t="n">
        <v>51.11713835170001</v>
      </c>
    </row>
    <row r="24">
      <c r="A24" t="n">
        <v>23</v>
      </c>
      <c r="B24" t="n">
        <v>47.8</v>
      </c>
      <c r="C24" s="21">
        <f>B24-20</f>
        <v/>
      </c>
      <c r="D24" t="n">
        <v>129.7</v>
      </c>
      <c r="E24" s="22">
        <f>D24-90</f>
        <v/>
      </c>
      <c r="F24" s="23" t="n">
        <v>0.010338</v>
      </c>
      <c r="G24" s="22" t="n">
        <v>34.6</v>
      </c>
      <c r="H24" s="22" t="n">
        <v>1.2</v>
      </c>
      <c r="I24" s="24" t="n">
        <v>0.0435039699077606</v>
      </c>
      <c r="J24" s="6" t="n">
        <v>71000</v>
      </c>
      <c r="K24" s="25">
        <f>23*10^-6</f>
        <v/>
      </c>
      <c r="L24" s="8">
        <f>H24</f>
        <v/>
      </c>
      <c r="M24" s="26">
        <f>H24^2/6</f>
        <v/>
      </c>
      <c r="N24" s="26">
        <f>H24^3/12</f>
        <v/>
      </c>
      <c r="O24" s="27">
        <f>-J24*L24*K24*C24</f>
        <v/>
      </c>
      <c r="P24" s="28">
        <f>-(12*F24*J24*L24*N24+12*O24*N24*G24*COS(RADIANS(E24)))/(12*N24*G24*COS(RADIANS(E24))^2+L24*G24^3*SIN(RADIANS(E24))^2)</f>
        <v/>
      </c>
      <c r="Q24" s="28">
        <f>-(6*F24*J24*L24*N24*SIN(RADIANS(E24))+6*O24*N24*G24*SIN(RADIANS(E24))*COS(RADIANS(E24)))/(12*N24*COS(RADIANS(E24))^2+L24*G24^2*SIN(RADIANS(E24))^2)</f>
        <v/>
      </c>
      <c r="R24" s="28">
        <f>-P24*SIN(RADIANS(E24))</f>
        <v/>
      </c>
      <c r="S24" s="8">
        <f>(O24+P24*COS(RADIANS(E24)))/L24</f>
        <v/>
      </c>
      <c r="T24" s="8">
        <f>R24/L24</f>
        <v/>
      </c>
      <c r="U24" s="8">
        <f>(Q24-P24*G24*SIN(RADIANS(E24)))/M24</f>
        <v/>
      </c>
      <c r="V24" s="8">
        <f>SQRT((S24+U24)^2+3*T24^2)</f>
        <v/>
      </c>
      <c r="W24" s="8">
        <f>V24/AA24</f>
        <v/>
      </c>
      <c r="X24" s="27">
        <f>((3*10+H24/COS(RADIANS(E24)))*(3+3)+3*G24*H24)*2</f>
        <v/>
      </c>
      <c r="Y24" s="28">
        <f>Z24/X24</f>
        <v/>
      </c>
      <c r="Z24" s="29" t="n">
        <v>638.46267826423</v>
      </c>
      <c r="AA24" s="20" t="n">
        <v>36.1344230698347</v>
      </c>
      <c r="AB24" t="n">
        <v>0.04698982617554118</v>
      </c>
      <c r="AC24" t="n">
        <v>39.14735376782966</v>
      </c>
      <c r="AD24" t="n">
        <v>8.012731424675664</v>
      </c>
    </row>
    <row r="25">
      <c r="A25" t="n">
        <v>24</v>
      </c>
      <c r="B25" t="n">
        <v>83</v>
      </c>
      <c r="C25" s="21">
        <f>B25-20</f>
        <v/>
      </c>
      <c r="D25" t="n">
        <v>110.4</v>
      </c>
      <c r="E25" s="22">
        <f>D25-90</f>
        <v/>
      </c>
      <c r="F25" s="23" t="n">
        <v>0.019186</v>
      </c>
      <c r="G25" s="22" t="n">
        <v>22.1</v>
      </c>
      <c r="H25" s="22" t="n">
        <v>1.6</v>
      </c>
      <c r="I25" s="24" t="n">
        <v>0.113957315683364</v>
      </c>
      <c r="J25" s="6" t="n">
        <v>71000</v>
      </c>
      <c r="K25" s="25">
        <f>23*10^-6</f>
        <v/>
      </c>
      <c r="L25" s="8">
        <f>H25</f>
        <v/>
      </c>
      <c r="M25" s="26">
        <f>H25^2/6</f>
        <v/>
      </c>
      <c r="N25" s="26">
        <f>H25^3/12</f>
        <v/>
      </c>
      <c r="O25" s="27">
        <f>-J25*L25*K25*C25</f>
        <v/>
      </c>
      <c r="P25" s="28">
        <f>-(12*F25*J25*L25*N25+12*O25*N25*G25*COS(RADIANS(E25)))/(12*N25*G25*COS(RADIANS(E25))^2+L25*G25^3*SIN(RADIANS(E25))^2)</f>
        <v/>
      </c>
      <c r="Q25" s="28">
        <f>-(6*F25*J25*L25*N25*SIN(RADIANS(E25))+6*O25*N25*G25*SIN(RADIANS(E25))*COS(RADIANS(E25)))/(12*N25*COS(RADIANS(E25))^2+L25*G25^2*SIN(RADIANS(E25))^2)</f>
        <v/>
      </c>
      <c r="R25" s="28">
        <f>-P25*SIN(RADIANS(E25))</f>
        <v/>
      </c>
      <c r="S25" s="8">
        <f>(O25+P25*COS(RADIANS(E25)))/L25</f>
        <v/>
      </c>
      <c r="T25" s="8">
        <f>R25/L25</f>
        <v/>
      </c>
      <c r="U25" s="8">
        <f>(Q25-P25*G25*SIN(RADIANS(E25)))/M25</f>
        <v/>
      </c>
      <c r="V25" s="8">
        <f>SQRT((S25+U25)^2+3*T25^2)</f>
        <v/>
      </c>
      <c r="W25" s="8">
        <f>V25/AA25</f>
        <v/>
      </c>
      <c r="X25" s="27">
        <f>((3*10+H25/COS(RADIANS(E25)))*(3+3)+3*G25*H25)*2</f>
        <v/>
      </c>
      <c r="Y25" s="28">
        <f>Z25/X25</f>
        <v/>
      </c>
      <c r="Z25" s="29" t="n">
        <v>597.68434753058</v>
      </c>
      <c r="AA25" s="20" t="n">
        <v>101.849887547074</v>
      </c>
      <c r="AB25" t="n">
        <v>0.1379595353305571</v>
      </c>
      <c r="AC25" t="n">
        <v>100.68225721907</v>
      </c>
      <c r="AD25" t="n">
        <v>21.06246492667876</v>
      </c>
    </row>
    <row r="26">
      <c r="A26" t="n">
        <v>25</v>
      </c>
      <c r="B26" t="n">
        <v>58.2</v>
      </c>
      <c r="C26" s="21">
        <f>B26-20</f>
        <v/>
      </c>
      <c r="D26" t="n">
        <v>111.5</v>
      </c>
      <c r="E26" s="22">
        <f>D26-90</f>
        <v/>
      </c>
      <c r="F26" s="23" t="n">
        <v>0.01412</v>
      </c>
      <c r="G26" s="22" t="n">
        <v>28.4</v>
      </c>
      <c r="H26" s="22" t="n">
        <v>1.1</v>
      </c>
      <c r="I26" s="24" t="n">
        <v>0.0792863592505455</v>
      </c>
      <c r="J26" s="6" t="n">
        <v>71000</v>
      </c>
      <c r="K26" s="25">
        <f>23*10^-6</f>
        <v/>
      </c>
      <c r="L26" s="8">
        <f>H26</f>
        <v/>
      </c>
      <c r="M26" s="26">
        <f>H26^2/6</f>
        <v/>
      </c>
      <c r="N26" s="26">
        <f>H26^3/12</f>
        <v/>
      </c>
      <c r="O26" s="27">
        <f>-J26*L26*K26*C26</f>
        <v/>
      </c>
      <c r="P26" s="28">
        <f>-(12*F26*J26*L26*N26+12*O26*N26*G26*COS(RADIANS(E26)))/(12*N26*G26*COS(RADIANS(E26))^2+L26*G26^3*SIN(RADIANS(E26))^2)</f>
        <v/>
      </c>
      <c r="Q26" s="28">
        <f>-(6*F26*J26*L26*N26*SIN(RADIANS(E26))+6*O26*N26*G26*SIN(RADIANS(E26))*COS(RADIANS(E26)))/(12*N26*COS(RADIANS(E26))^2+L26*G26^2*SIN(RADIANS(E26))^2)</f>
        <v/>
      </c>
      <c r="R26" s="28">
        <f>-P26*SIN(RADIANS(E26))</f>
        <v/>
      </c>
      <c r="S26" s="8">
        <f>(O26+P26*COS(RADIANS(E26)))/L26</f>
        <v/>
      </c>
      <c r="T26" s="8">
        <f>R26/L26</f>
        <v/>
      </c>
      <c r="U26" s="8">
        <f>(Q26-P26*G26*SIN(RADIANS(E26)))/M26</f>
        <v/>
      </c>
      <c r="V26" s="8">
        <f>SQRT((S26+U26)^2+3*T26^2)</f>
        <v/>
      </c>
      <c r="W26" s="8">
        <f>V26/AA26</f>
        <v/>
      </c>
      <c r="X26" s="27">
        <f>((3*10+H26/COS(RADIANS(E26)))*(3+3)+3*G26*H26)*2</f>
        <v/>
      </c>
      <c r="Y26" s="28">
        <f>Z26/X26</f>
        <v/>
      </c>
      <c r="Z26" s="29" t="n">
        <v>566.8556775327791</v>
      </c>
      <c r="AA26" s="20" t="n">
        <v>54.6873419939543</v>
      </c>
      <c r="AB26" t="n">
        <v>0.1028793913040922</v>
      </c>
      <c r="AC26" t="n">
        <v>56.98791780266922</v>
      </c>
      <c r="AD26" t="n">
        <v>29.75673530296995</v>
      </c>
    </row>
    <row r="27">
      <c r="A27" t="n">
        <v>26</v>
      </c>
      <c r="B27" t="n">
        <v>79.3</v>
      </c>
      <c r="C27" s="21">
        <f>B27-20</f>
        <v/>
      </c>
      <c r="D27" t="n">
        <v>102.5</v>
      </c>
      <c r="E27" s="22">
        <f>D27-90</f>
        <v/>
      </c>
      <c r="F27" s="23" t="n">
        <v>0.026628</v>
      </c>
      <c r="G27" s="22" t="n">
        <v>34.2</v>
      </c>
      <c r="H27" s="22" t="n">
        <v>1.8</v>
      </c>
      <c r="I27" s="24" t="n">
        <v>0.21173982322216</v>
      </c>
      <c r="J27" s="6" t="n">
        <v>71000</v>
      </c>
      <c r="K27" s="25">
        <f>23*10^-6</f>
        <v/>
      </c>
      <c r="L27" s="8">
        <f>H27</f>
        <v/>
      </c>
      <c r="M27" s="26">
        <f>H27^2/6</f>
        <v/>
      </c>
      <c r="N27" s="26">
        <f>H27^3/12</f>
        <v/>
      </c>
      <c r="O27" s="27">
        <f>-J27*L27*K27*C27</f>
        <v/>
      </c>
      <c r="P27" s="28">
        <f>-(12*F27*J27*L27*N27+12*O27*N27*G27*COS(RADIANS(E27)))/(12*N27*G27*COS(RADIANS(E27))^2+L27*G27^3*SIN(RADIANS(E27))^2)</f>
        <v/>
      </c>
      <c r="Q27" s="28">
        <f>-(6*F27*J27*L27*N27*SIN(RADIANS(E27))+6*O27*N27*G27*SIN(RADIANS(E27))*COS(RADIANS(E27)))/(12*N27*COS(RADIANS(E27))^2+L27*G27^2*SIN(RADIANS(E27))^2)</f>
        <v/>
      </c>
      <c r="R27" s="28">
        <f>-P27*SIN(RADIANS(E27))</f>
        <v/>
      </c>
      <c r="S27" s="8">
        <f>(O27+P27*COS(RADIANS(E27)))/L27</f>
        <v/>
      </c>
      <c r="T27" s="8">
        <f>R27/L27</f>
        <v/>
      </c>
      <c r="U27" s="8">
        <f>(Q27-P27*G27*SIN(RADIANS(E27)))/M27</f>
        <v/>
      </c>
      <c r="V27" s="8">
        <f>SQRT((S27+U27)^2+3*T27^2)</f>
        <v/>
      </c>
      <c r="W27" s="8">
        <f>V27/AA27</f>
        <v/>
      </c>
      <c r="X27" s="27">
        <f>((3*10+H27/COS(RADIANS(E27)))*(3+3)+3*G27*H27)*2</f>
        <v/>
      </c>
      <c r="Y27" s="28">
        <f>Z27/X27</f>
        <v/>
      </c>
      <c r="Z27" s="29" t="n">
        <v>755.500775238384</v>
      </c>
      <c r="AA27" s="20" t="n">
        <v>100.647709015328</v>
      </c>
      <c r="AB27" t="n">
        <v>0.3174013028716465</v>
      </c>
      <c r="AC27" t="n">
        <v>100.1849106274461</v>
      </c>
      <c r="AD27" t="n">
        <v>49.90156222933329</v>
      </c>
    </row>
    <row r="28">
      <c r="A28" t="n">
        <v>27</v>
      </c>
      <c r="B28" t="n">
        <v>59</v>
      </c>
      <c r="C28" s="21">
        <f>B28-20</f>
        <v/>
      </c>
      <c r="D28" t="n">
        <v>112.4</v>
      </c>
      <c r="E28" s="22">
        <f>D28-90</f>
        <v/>
      </c>
      <c r="F28" s="23" t="n">
        <v>0.012738</v>
      </c>
      <c r="G28" s="22" t="n">
        <v>24.5</v>
      </c>
      <c r="H28" s="22" t="n">
        <v>1.5</v>
      </c>
      <c r="I28" s="24" t="n">
        <v>0.0709008574485778</v>
      </c>
      <c r="J28" s="6" t="n">
        <v>71000</v>
      </c>
      <c r="K28" s="25">
        <f>23*10^-6</f>
        <v/>
      </c>
      <c r="L28" s="8">
        <f>H28</f>
        <v/>
      </c>
      <c r="M28" s="26">
        <f>H28^2/6</f>
        <v/>
      </c>
      <c r="N28" s="26">
        <f>H28^3/12</f>
        <v/>
      </c>
      <c r="O28" s="27">
        <f>-J28*L28*K28*C28</f>
        <v/>
      </c>
      <c r="P28" s="28">
        <f>-(12*F28*J28*L28*N28+12*O28*N28*G28*COS(RADIANS(E28)))/(12*N28*G28*COS(RADIANS(E28))^2+L28*G28^3*SIN(RADIANS(E28))^2)</f>
        <v/>
      </c>
      <c r="Q28" s="28">
        <f>-(6*F28*J28*L28*N28*SIN(RADIANS(E28))+6*O28*N28*G28*SIN(RADIANS(E28))*COS(RADIANS(E28)))/(12*N28*COS(RADIANS(E28))^2+L28*G28^2*SIN(RADIANS(E28))^2)</f>
        <v/>
      </c>
      <c r="R28" s="28">
        <f>-P28*SIN(RADIANS(E28))</f>
        <v/>
      </c>
      <c r="S28" s="8">
        <f>(O28+P28*COS(RADIANS(E28)))/L28</f>
        <v/>
      </c>
      <c r="T28" s="8">
        <f>R28/L28</f>
        <v/>
      </c>
      <c r="U28" s="8">
        <f>(Q28-P28*G28*SIN(RADIANS(E28)))/M28</f>
        <v/>
      </c>
      <c r="V28" s="8">
        <f>SQRT((S28+U28)^2+3*T28^2)</f>
        <v/>
      </c>
      <c r="W28" s="8">
        <f>V28/AA28</f>
        <v/>
      </c>
      <c r="X28" s="27">
        <f>((3*10+H28/COS(RADIANS(E28)))*(3+3)+3*G28*H28)*2</f>
        <v/>
      </c>
      <c r="Y28" s="28">
        <f>Z28/X28</f>
        <v/>
      </c>
      <c r="Z28" s="29" t="n">
        <v>605.36132954666</v>
      </c>
      <c r="AA28" s="20" t="n">
        <v>60.7406841550732</v>
      </c>
      <c r="AB28" t="n">
        <v>0.08655057480018749</v>
      </c>
      <c r="AC28" t="n">
        <v>60.48072951135744</v>
      </c>
      <c r="AD28" t="n">
        <v>22.07267713646475</v>
      </c>
    </row>
    <row r="29">
      <c r="A29" t="n">
        <v>28</v>
      </c>
      <c r="B29" t="n">
        <v>63.5</v>
      </c>
      <c r="C29" s="21">
        <f>B29-20</f>
        <v/>
      </c>
      <c r="D29" t="n">
        <v>121.7</v>
      </c>
      <c r="E29" s="22">
        <f>D29-90</f>
        <v/>
      </c>
      <c r="F29" s="23" t="n">
        <v>0.016097</v>
      </c>
      <c r="G29" s="22" t="n">
        <v>31.1</v>
      </c>
      <c r="H29" s="22" t="n">
        <v>2</v>
      </c>
      <c r="I29" s="24" t="n">
        <v>0.0730765387415885</v>
      </c>
      <c r="J29" s="6" t="n">
        <v>71000</v>
      </c>
      <c r="K29" s="25">
        <f>23*10^-6</f>
        <v/>
      </c>
      <c r="L29" s="8">
        <f>H29</f>
        <v/>
      </c>
      <c r="M29" s="26">
        <f>H29^2/6</f>
        <v/>
      </c>
      <c r="N29" s="26">
        <f>H29^3/12</f>
        <v/>
      </c>
      <c r="O29" s="27">
        <f>-J29*L29*K29*C29</f>
        <v/>
      </c>
      <c r="P29" s="28">
        <f>-(12*F29*J29*L29*N29+12*O29*N29*G29*COS(RADIANS(E29)))/(12*N29*G29*COS(RADIANS(E29))^2+L29*G29^3*SIN(RADIANS(E29))^2)</f>
        <v/>
      </c>
      <c r="Q29" s="28">
        <f>-(6*F29*J29*L29*N29*SIN(RADIANS(E29))+6*O29*N29*G29*SIN(RADIANS(E29))*COS(RADIANS(E29)))/(12*N29*COS(RADIANS(E29))^2+L29*G29^2*SIN(RADIANS(E29))^2)</f>
        <v/>
      </c>
      <c r="R29" s="28">
        <f>-P29*SIN(RADIANS(E29))</f>
        <v/>
      </c>
      <c r="S29" s="8">
        <f>(O29+P29*COS(RADIANS(E29)))/L29</f>
        <v/>
      </c>
      <c r="T29" s="8">
        <f>R29/L29</f>
        <v/>
      </c>
      <c r="U29" s="8">
        <f>(Q29-P29*G29*SIN(RADIANS(E29)))/M29</f>
        <v/>
      </c>
      <c r="V29" s="8">
        <f>SQRT((S29+U29)^2+3*T29^2)</f>
        <v/>
      </c>
      <c r="W29" s="8">
        <f>V29/AA29</f>
        <v/>
      </c>
      <c r="X29" s="27">
        <f>((3*10+H29/COS(RADIANS(E29)))*(3+3)+3*G29*H29)*2</f>
        <v/>
      </c>
      <c r="Y29" s="28">
        <f>Z29/X29</f>
        <v/>
      </c>
      <c r="Z29" s="29" t="n">
        <v>769.050382138779</v>
      </c>
      <c r="AA29" s="20" t="n">
        <v>69.9242741551305</v>
      </c>
      <c r="AB29" t="n">
        <v>0.08425653120674706</v>
      </c>
      <c r="AC29" t="n">
        <v>65.25739805496001</v>
      </c>
      <c r="AD29" t="n">
        <v>15.29901752010038</v>
      </c>
    </row>
    <row r="30">
      <c r="A30" t="n">
        <v>29</v>
      </c>
      <c r="B30" t="n">
        <v>76</v>
      </c>
      <c r="C30" s="21">
        <f>B30-20</f>
        <v/>
      </c>
      <c r="D30" t="n">
        <v>122</v>
      </c>
      <c r="E30" s="22">
        <f>D30-90</f>
        <v/>
      </c>
      <c r="F30" s="23" t="n">
        <v>0.015633</v>
      </c>
      <c r="G30" s="22" t="n">
        <v>21.8</v>
      </c>
      <c r="H30" s="22" t="n">
        <v>1.8</v>
      </c>
      <c r="I30" s="24" t="n">
        <v>0.0745226368308067</v>
      </c>
      <c r="J30" s="6" t="n">
        <v>71000</v>
      </c>
      <c r="K30" s="25">
        <f>23*10^-6</f>
        <v/>
      </c>
      <c r="L30" s="8">
        <f>H30</f>
        <v/>
      </c>
      <c r="M30" s="26">
        <f>H30^2/6</f>
        <v/>
      </c>
      <c r="N30" s="26">
        <f>H30^3/12</f>
        <v/>
      </c>
      <c r="O30" s="27">
        <f>-J30*L30*K30*C30</f>
        <v/>
      </c>
      <c r="P30" s="28">
        <f>-(12*F30*J30*L30*N30+12*O30*N30*G30*COS(RADIANS(E30)))/(12*N30*G30*COS(RADIANS(E30))^2+L30*G30^3*SIN(RADIANS(E30))^2)</f>
        <v/>
      </c>
      <c r="Q30" s="28">
        <f>-(6*F30*J30*L30*N30*SIN(RADIANS(E30))+6*O30*N30*G30*SIN(RADIANS(E30))*COS(RADIANS(E30)))/(12*N30*COS(RADIANS(E30))^2+L30*G30^2*SIN(RADIANS(E30))^2)</f>
        <v/>
      </c>
      <c r="R30" s="28">
        <f>-P30*SIN(RADIANS(E30))</f>
        <v/>
      </c>
      <c r="S30" s="8">
        <f>(O30+P30*COS(RADIANS(E30)))/L30</f>
        <v/>
      </c>
      <c r="T30" s="8">
        <f>R30/L30</f>
        <v/>
      </c>
      <c r="U30" s="8">
        <f>(Q30-P30*G30*SIN(RADIANS(E30)))/M30</f>
        <v/>
      </c>
      <c r="V30" s="8">
        <f>SQRT((S30+U30)^2+3*T30^2)</f>
        <v/>
      </c>
      <c r="W30" s="8">
        <f>V30/AA30</f>
        <v/>
      </c>
      <c r="X30" s="27">
        <f>((3*10+H30/COS(RADIANS(E30)))*(3+3)+3*G30*H30)*2</f>
        <v/>
      </c>
      <c r="Y30" s="28">
        <f>Z30/X30</f>
        <v/>
      </c>
      <c r="Z30" s="29" t="n">
        <v>628.6441645789509</v>
      </c>
      <c r="AA30" s="20" t="n">
        <v>92.13416141747101</v>
      </c>
      <c r="AB30" t="n">
        <v>0.07649763547232608</v>
      </c>
      <c r="AC30" t="n">
        <v>84.83845406568346</v>
      </c>
      <c r="AD30" t="n">
        <v>2.650199624582972</v>
      </c>
    </row>
    <row r="31">
      <c r="A31" t="n">
        <v>30</v>
      </c>
      <c r="B31" t="n">
        <v>70.8</v>
      </c>
      <c r="C31" s="21">
        <f>B31-20</f>
        <v/>
      </c>
      <c r="D31" t="n">
        <v>113.8</v>
      </c>
      <c r="E31" s="22">
        <f>D31-90</f>
        <v/>
      </c>
      <c r="F31" s="23" t="n">
        <v>0.020378</v>
      </c>
      <c r="G31" s="22" t="n">
        <v>31.9</v>
      </c>
      <c r="H31" s="22" t="n">
        <v>1.2</v>
      </c>
      <c r="I31" s="24" t="n">
        <v>0.105903640389442</v>
      </c>
      <c r="J31" s="6" t="n">
        <v>71000</v>
      </c>
      <c r="K31" s="25">
        <f>23*10^-6</f>
        <v/>
      </c>
      <c r="L31" s="8">
        <f>H31</f>
        <v/>
      </c>
      <c r="M31" s="26">
        <f>H31^2/6</f>
        <v/>
      </c>
      <c r="N31" s="26">
        <f>H31^3/12</f>
        <v/>
      </c>
      <c r="O31" s="27">
        <f>-J31*L31*K31*C31</f>
        <v/>
      </c>
      <c r="P31" s="28">
        <f>-(12*F31*J31*L31*N31+12*O31*N31*G31*COS(RADIANS(E31)))/(12*N31*G31*COS(RADIANS(E31))^2+L31*G31^3*SIN(RADIANS(E31))^2)</f>
        <v/>
      </c>
      <c r="Q31" s="28">
        <f>-(6*F31*J31*L31*N31*SIN(RADIANS(E31))+6*O31*N31*G31*SIN(RADIANS(E31))*COS(RADIANS(E31)))/(12*N31*COS(RADIANS(E31))^2+L31*G31^2*SIN(RADIANS(E31))^2)</f>
        <v/>
      </c>
      <c r="R31" s="28">
        <f>-P31*SIN(RADIANS(E31))</f>
        <v/>
      </c>
      <c r="S31" s="8">
        <f>(O31+P31*COS(RADIANS(E31)))/L31</f>
        <v/>
      </c>
      <c r="T31" s="8">
        <f>R31/L31</f>
        <v/>
      </c>
      <c r="U31" s="8">
        <f>(Q31-P31*G31*SIN(RADIANS(E31)))/M31</f>
        <v/>
      </c>
      <c r="V31" s="8">
        <f>SQRT((S31+U31)^2+3*T31^2)</f>
        <v/>
      </c>
      <c r="W31" s="8">
        <f>V31/AA31</f>
        <v/>
      </c>
      <c r="X31" s="27">
        <f>((3*10+H31/COS(RADIANS(E31)))*(3+3)+3*G31*H31)*2</f>
        <v/>
      </c>
      <c r="Y31" s="28">
        <f>Z31/X31</f>
        <v/>
      </c>
      <c r="Z31" s="29" t="n">
        <v>611.082692448541</v>
      </c>
      <c r="AA31" s="20" t="n">
        <v>72.02719727218989</v>
      </c>
      <c r="AB31" t="n">
        <v>0.1374979245955701</v>
      </c>
      <c r="AC31" t="n">
        <v>75.00781651860314</v>
      </c>
      <c r="AD31" t="n">
        <v>29.83304831632382</v>
      </c>
    </row>
    <row r="32">
      <c r="A32" t="n">
        <v>31</v>
      </c>
      <c r="B32" t="n">
        <v>86.90000000000001</v>
      </c>
      <c r="C32" s="21">
        <f>B32-20</f>
        <v/>
      </c>
      <c r="D32" t="n">
        <v>127.2</v>
      </c>
      <c r="E32" s="22">
        <f>D32-90</f>
        <v/>
      </c>
      <c r="F32" s="23" t="n">
        <v>0.018062</v>
      </c>
      <c r="G32" s="22" t="n">
        <v>22.2</v>
      </c>
      <c r="H32" s="22" t="n">
        <v>1.8</v>
      </c>
      <c r="I32" s="24" t="n">
        <v>0.0821935907006263</v>
      </c>
      <c r="J32" s="6" t="n">
        <v>71000</v>
      </c>
      <c r="K32" s="25">
        <f>23*10^-6</f>
        <v/>
      </c>
      <c r="L32" s="8">
        <f>H32</f>
        <v/>
      </c>
      <c r="M32" s="26">
        <f>H32^2/6</f>
        <v/>
      </c>
      <c r="N32" s="26">
        <f>H32^3/12</f>
        <v/>
      </c>
      <c r="O32" s="27">
        <f>-J32*L32*K32*C32</f>
        <v/>
      </c>
      <c r="P32" s="28">
        <f>-(12*F32*J32*L32*N32+12*O32*N32*G32*COS(RADIANS(E32)))/(12*N32*G32*COS(RADIANS(E32))^2+L32*G32^3*SIN(RADIANS(E32))^2)</f>
        <v/>
      </c>
      <c r="Q32" s="28">
        <f>-(6*F32*J32*L32*N32*SIN(RADIANS(E32))+6*O32*N32*G32*SIN(RADIANS(E32))*COS(RADIANS(E32)))/(12*N32*COS(RADIANS(E32))^2+L32*G32^2*SIN(RADIANS(E32))^2)</f>
        <v/>
      </c>
      <c r="R32" s="28">
        <f>-P32*SIN(RADIANS(E32))</f>
        <v/>
      </c>
      <c r="S32" s="8">
        <f>(O32+P32*COS(RADIANS(E32)))/L32</f>
        <v/>
      </c>
      <c r="T32" s="8">
        <f>R32/L32</f>
        <v/>
      </c>
      <c r="U32" s="8">
        <f>(Q32-P32*G32*SIN(RADIANS(E32)))/M32</f>
        <v/>
      </c>
      <c r="V32" s="8">
        <f>SQRT((S32+U32)^2+3*T32^2)</f>
        <v/>
      </c>
      <c r="W32" s="8">
        <f>V32/AA32</f>
        <v/>
      </c>
      <c r="X32" s="27">
        <f>((3*10+H32/COS(RADIANS(E32)))*(3+3)+3*G32*H32)*2</f>
        <v/>
      </c>
      <c r="Y32" s="28">
        <f>Z32/X32</f>
        <v/>
      </c>
      <c r="Z32" s="29" t="n">
        <v>636.44194984184</v>
      </c>
      <c r="AA32" s="20" t="n">
        <v>106.74846411123</v>
      </c>
      <c r="AB32" t="n">
        <v>0.0792341509547827</v>
      </c>
      <c r="AC32" t="n">
        <v>99.08575244348974</v>
      </c>
      <c r="AD32" t="n">
        <v>-3.600572405484474</v>
      </c>
    </row>
    <row r="33">
      <c r="A33" t="n">
        <v>32</v>
      </c>
      <c r="B33" t="n">
        <v>66</v>
      </c>
      <c r="C33" s="21">
        <f>B33-20</f>
        <v/>
      </c>
      <c r="D33" t="n">
        <v>108.2</v>
      </c>
      <c r="E33" s="22">
        <f>D33-90</f>
        <v/>
      </c>
      <c r="F33" s="23" t="n">
        <v>0.013359</v>
      </c>
      <c r="G33" s="22" t="n">
        <v>20.5</v>
      </c>
      <c r="H33" s="22" t="n">
        <v>1.3</v>
      </c>
      <c r="I33" s="24" t="n">
        <v>0.0864679664373397</v>
      </c>
      <c r="J33" s="6" t="n">
        <v>71000</v>
      </c>
      <c r="K33" s="25">
        <f>23*10^-6</f>
        <v/>
      </c>
      <c r="L33" s="8">
        <f>H33</f>
        <v/>
      </c>
      <c r="M33" s="26">
        <f>H33^2/6</f>
        <v/>
      </c>
      <c r="N33" s="26">
        <f>H33^3/12</f>
        <v/>
      </c>
      <c r="O33" s="27">
        <f>-J33*L33*K33*C33</f>
        <v/>
      </c>
      <c r="P33" s="28">
        <f>-(12*F33*J33*L33*N33+12*O33*N33*G33*COS(RADIANS(E33)))/(12*N33*G33*COS(RADIANS(E33))^2+L33*G33^3*SIN(RADIANS(E33))^2)</f>
        <v/>
      </c>
      <c r="Q33" s="28">
        <f>-(6*F33*J33*L33*N33*SIN(RADIANS(E33))+6*O33*N33*G33*SIN(RADIANS(E33))*COS(RADIANS(E33)))/(12*N33*COS(RADIANS(E33))^2+L33*G33^2*SIN(RADIANS(E33))^2)</f>
        <v/>
      </c>
      <c r="R33" s="28">
        <f>-P33*SIN(RADIANS(E33))</f>
        <v/>
      </c>
      <c r="S33" s="8">
        <f>(O33+P33*COS(RADIANS(E33)))/L33</f>
        <v/>
      </c>
      <c r="T33" s="8">
        <f>R33/L33</f>
        <v/>
      </c>
      <c r="U33" s="8">
        <f>(Q33-P33*G33*SIN(RADIANS(E33)))/M33</f>
        <v/>
      </c>
      <c r="V33" s="8">
        <f>SQRT((S33+U33)^2+3*T33^2)</f>
        <v/>
      </c>
      <c r="W33" s="8">
        <f>V33/AA33</f>
        <v/>
      </c>
      <c r="X33" s="27">
        <f>((3*10+H33/COS(RADIANS(E33)))*(3+3)+3*G33*H33)*2</f>
        <v/>
      </c>
      <c r="Y33" s="28">
        <f>Z33/X33</f>
        <v/>
      </c>
      <c r="Z33" s="29" t="n">
        <v>541.019066274488</v>
      </c>
      <c r="AA33" s="20" t="n">
        <v>70.9816697281293</v>
      </c>
      <c r="AB33" t="n">
        <v>0.1059669567104699</v>
      </c>
      <c r="AC33" t="n">
        <v>73.12582167537703</v>
      </c>
      <c r="AD33" t="n">
        <v>22.55053643161645</v>
      </c>
    </row>
    <row r="34">
      <c r="A34" t="n">
        <v>33</v>
      </c>
      <c r="B34" t="n">
        <v>65</v>
      </c>
      <c r="C34" s="21">
        <f>B34-20</f>
        <v/>
      </c>
      <c r="D34" t="n">
        <v>109.5</v>
      </c>
      <c r="E34" s="22">
        <f>D34-90</f>
        <v/>
      </c>
      <c r="F34" s="23" t="n">
        <v>0.019036</v>
      </c>
      <c r="G34" s="22" t="n">
        <v>33</v>
      </c>
      <c r="H34" s="22" t="n">
        <v>1.2</v>
      </c>
      <c r="I34" s="24" t="n">
        <v>0.111776910722255</v>
      </c>
      <c r="J34" s="6" t="n">
        <v>71000</v>
      </c>
      <c r="K34" s="25">
        <f>23*10^-6</f>
        <v/>
      </c>
      <c r="L34" s="8">
        <f>H34</f>
        <v/>
      </c>
      <c r="M34" s="26">
        <f>H34^2/6</f>
        <v/>
      </c>
      <c r="N34" s="26">
        <f>H34^3/12</f>
        <v/>
      </c>
      <c r="O34" s="27">
        <f>-J34*L34*K34*C34</f>
        <v/>
      </c>
      <c r="P34" s="28">
        <f>-(12*F34*J34*L34*N34+12*O34*N34*G34*COS(RADIANS(E34)))/(12*N34*G34*COS(RADIANS(E34))^2+L34*G34^3*SIN(RADIANS(E34))^2)</f>
        <v/>
      </c>
      <c r="Q34" s="28">
        <f>-(6*F34*J34*L34*N34*SIN(RADIANS(E34))+6*O34*N34*G34*SIN(RADIANS(E34))*COS(RADIANS(E34)))/(12*N34*COS(RADIANS(E34))^2+L34*G34^2*SIN(RADIANS(E34))^2)</f>
        <v/>
      </c>
      <c r="R34" s="28">
        <f>-P34*SIN(RADIANS(E34))</f>
        <v/>
      </c>
      <c r="S34" s="8">
        <f>(O34+P34*COS(RADIANS(E34)))/L34</f>
        <v/>
      </c>
      <c r="T34" s="8">
        <f>R34/L34</f>
        <v/>
      </c>
      <c r="U34" s="8">
        <f>(Q34-P34*G34*SIN(RADIANS(E34)))/M34</f>
        <v/>
      </c>
      <c r="V34" s="8">
        <f>SQRT((S34+U34)^2+3*T34^2)</f>
        <v/>
      </c>
      <c r="W34" s="8">
        <f>V34/AA34</f>
        <v/>
      </c>
      <c r="X34" s="27">
        <f>((3*10+H34/COS(RADIANS(E34)))*(3+3)+3*G34*H34)*2</f>
        <v/>
      </c>
      <c r="Y34" s="28">
        <f>Z34/X34</f>
        <v/>
      </c>
      <c r="Z34" s="29" t="n">
        <v>617.770219449705</v>
      </c>
      <c r="AA34" s="20" t="n">
        <v>65.0010127943186</v>
      </c>
      <c r="AB34" t="n">
        <v>0.1543766412426596</v>
      </c>
      <c r="AC34" t="n">
        <v>67.71404455212365</v>
      </c>
      <c r="AD34" t="n">
        <v>38.11138655125037</v>
      </c>
    </row>
    <row r="35">
      <c r="A35" t="n">
        <v>34</v>
      </c>
      <c r="B35" t="n">
        <v>85.59999999999999</v>
      </c>
      <c r="C35" s="21">
        <f>B35-20</f>
        <v/>
      </c>
      <c r="D35" t="n">
        <v>105.3</v>
      </c>
      <c r="E35" s="22">
        <f>D35-90</f>
        <v/>
      </c>
      <c r="F35" s="23" t="n">
        <v>0.028147</v>
      </c>
      <c r="G35" s="22" t="n">
        <v>32.8</v>
      </c>
      <c r="H35" s="22" t="n">
        <v>1.2</v>
      </c>
      <c r="I35" s="24" t="n">
        <v>0.196722343564033</v>
      </c>
      <c r="J35" s="6" t="n">
        <v>71000</v>
      </c>
      <c r="K35" s="25">
        <f>23*10^-6</f>
        <v/>
      </c>
      <c r="L35" s="8">
        <f>H35</f>
        <v/>
      </c>
      <c r="M35" s="26">
        <f>H35^2/6</f>
        <v/>
      </c>
      <c r="N35" s="26">
        <f>H35^3/12</f>
        <v/>
      </c>
      <c r="O35" s="27">
        <f>-J35*L35*K35*C35</f>
        <v/>
      </c>
      <c r="P35" s="28">
        <f>-(12*F35*J35*L35*N35+12*O35*N35*G35*COS(RADIANS(E35)))/(12*N35*G35*COS(RADIANS(E35))^2+L35*G35^3*SIN(RADIANS(E35))^2)</f>
        <v/>
      </c>
      <c r="Q35" s="28">
        <f>-(6*F35*J35*L35*N35*SIN(RADIANS(E35))+6*O35*N35*G35*SIN(RADIANS(E35))*COS(RADIANS(E35)))/(12*N35*COS(RADIANS(E35))^2+L35*G35^2*SIN(RADIANS(E35))^2)</f>
        <v/>
      </c>
      <c r="R35" s="28">
        <f>-P35*SIN(RADIANS(E35))</f>
        <v/>
      </c>
      <c r="S35" s="8">
        <f>(O35+P35*COS(RADIANS(E35)))/L35</f>
        <v/>
      </c>
      <c r="T35" s="8">
        <f>R35/L35</f>
        <v/>
      </c>
      <c r="U35" s="8">
        <f>(Q35-P35*G35*SIN(RADIANS(E35)))/M35</f>
        <v/>
      </c>
      <c r="V35" s="8">
        <f>SQRT((S35+U35)^2+3*T35^2)</f>
        <v/>
      </c>
      <c r="W35" s="8">
        <f>V35/AA35</f>
        <v/>
      </c>
      <c r="X35" s="27">
        <f>((3*10+H35/COS(RADIANS(E35)))*(3+3)+3*G35*H35)*2</f>
        <v/>
      </c>
      <c r="Y35" s="28">
        <f>Z35/X35</f>
        <v/>
      </c>
      <c r="Z35" s="29" t="n">
        <v>615.404634168948</v>
      </c>
      <c r="AA35" s="20" t="n">
        <v>95.66681999638089</v>
      </c>
      <c r="AB35" t="n">
        <v>0.2851962310443508</v>
      </c>
      <c r="AC35" t="n">
        <v>101.7245474779199</v>
      </c>
      <c r="AD35" t="n">
        <v>44.97399018201487</v>
      </c>
    </row>
    <row r="36">
      <c r="A36" t="n">
        <v>35</v>
      </c>
      <c r="B36" t="n">
        <v>49.6</v>
      </c>
      <c r="C36" s="21">
        <f>B36-20</f>
        <v/>
      </c>
      <c r="D36" t="n">
        <v>110.1</v>
      </c>
      <c r="E36" s="22">
        <f>D36-90</f>
        <v/>
      </c>
      <c r="F36" s="23" t="n">
        <v>0.011975</v>
      </c>
      <c r="G36" s="22" t="n">
        <v>31.4</v>
      </c>
      <c r="H36" s="22" t="n">
        <v>1.3</v>
      </c>
      <c r="I36" s="24" t="n">
        <v>0.0692555233836174</v>
      </c>
      <c r="J36" s="6" t="n">
        <v>71000</v>
      </c>
      <c r="K36" s="25">
        <f>23*10^-6</f>
        <v/>
      </c>
      <c r="L36" s="8">
        <f>H36</f>
        <v/>
      </c>
      <c r="M36" s="26">
        <f>H36^2/6</f>
        <v/>
      </c>
      <c r="N36" s="26">
        <f>H36^3/12</f>
        <v/>
      </c>
      <c r="O36" s="27">
        <f>-J36*L36*K36*C36</f>
        <v/>
      </c>
      <c r="P36" s="28">
        <f>-(12*F36*J36*L36*N36+12*O36*N36*G36*COS(RADIANS(E36)))/(12*N36*G36*COS(RADIANS(E36))^2+L36*G36^3*SIN(RADIANS(E36))^2)</f>
        <v/>
      </c>
      <c r="Q36" s="28">
        <f>-(6*F36*J36*L36*N36*SIN(RADIANS(E36))+6*O36*N36*G36*SIN(RADIANS(E36))*COS(RADIANS(E36)))/(12*N36*COS(RADIANS(E36))^2+L36*G36^2*SIN(RADIANS(E36))^2)</f>
        <v/>
      </c>
      <c r="R36" s="28">
        <f>-P36*SIN(RADIANS(E36))</f>
        <v/>
      </c>
      <c r="S36" s="8">
        <f>(O36+P36*COS(RADIANS(E36)))/L36</f>
        <v/>
      </c>
      <c r="T36" s="8">
        <f>R36/L36</f>
        <v/>
      </c>
      <c r="U36" s="8">
        <f>(Q36-P36*G36*SIN(RADIANS(E36)))/M36</f>
        <v/>
      </c>
      <c r="V36" s="8">
        <f>SQRT((S36+U36)^2+3*T36^2)</f>
        <v/>
      </c>
      <c r="W36" s="8">
        <f>V36/AA36</f>
        <v/>
      </c>
      <c r="X36" s="27">
        <f>((3*10+H36/COS(RADIANS(E36)))*(3+3)+3*G36*H36)*2</f>
        <v/>
      </c>
      <c r="Y36" s="28">
        <f>Z36/X36</f>
        <v/>
      </c>
      <c r="Z36" s="29" t="n">
        <v>626.521920706421</v>
      </c>
      <c r="AA36" s="20" t="n">
        <v>43.3676146225903</v>
      </c>
      <c r="AB36" t="n">
        <v>0.09367230368695199</v>
      </c>
      <c r="AC36" t="n">
        <v>44.92955233906262</v>
      </c>
      <c r="AD36" t="n">
        <v>35.25607649816773</v>
      </c>
    </row>
    <row r="37">
      <c r="A37" t="n">
        <v>36</v>
      </c>
      <c r="B37" t="n">
        <v>48.6</v>
      </c>
      <c r="C37" s="21">
        <f>B37-20</f>
        <v/>
      </c>
      <c r="D37" t="n">
        <v>102.5</v>
      </c>
      <c r="E37" s="22">
        <f>D37-90</f>
        <v/>
      </c>
      <c r="F37" s="23" t="n">
        <v>0.012301</v>
      </c>
      <c r="G37" s="22" t="n">
        <v>32.5</v>
      </c>
      <c r="H37" s="22" t="n">
        <v>1.5</v>
      </c>
      <c r="I37" s="24" t="n">
        <v>0.09925073385238641</v>
      </c>
      <c r="J37" s="6" t="n">
        <v>71000</v>
      </c>
      <c r="K37" s="25">
        <f>23*10^-6</f>
        <v/>
      </c>
      <c r="L37" s="8">
        <f>H37</f>
        <v/>
      </c>
      <c r="M37" s="26">
        <f>H37^2/6</f>
        <v/>
      </c>
      <c r="N37" s="26">
        <f>H37^3/12</f>
        <v/>
      </c>
      <c r="O37" s="27">
        <f>-J37*L37*K37*C37</f>
        <v/>
      </c>
      <c r="P37" s="28">
        <f>-(12*F37*J37*L37*N37+12*O37*N37*G37*COS(RADIANS(E37)))/(12*N37*G37*COS(RADIANS(E37))^2+L37*G37^3*SIN(RADIANS(E37))^2)</f>
        <v/>
      </c>
      <c r="Q37" s="28">
        <f>-(6*F37*J37*L37*N37*SIN(RADIANS(E37))+6*O37*N37*G37*SIN(RADIANS(E37))*COS(RADIANS(E37)))/(12*N37*COS(RADIANS(E37))^2+L37*G37^2*SIN(RADIANS(E37))^2)</f>
        <v/>
      </c>
      <c r="R37" s="28">
        <f>-P37*SIN(RADIANS(E37))</f>
        <v/>
      </c>
      <c r="S37" s="8">
        <f>(O37+P37*COS(RADIANS(E37)))/L37</f>
        <v/>
      </c>
      <c r="T37" s="8">
        <f>R37/L37</f>
        <v/>
      </c>
      <c r="U37" s="8">
        <f>(Q37-P37*G37*SIN(RADIANS(E37)))/M37</f>
        <v/>
      </c>
      <c r="V37" s="8">
        <f>SQRT((S37+U37)^2+3*T37^2)</f>
        <v/>
      </c>
      <c r="W37" s="8">
        <f>V37/AA37</f>
        <v/>
      </c>
      <c r="X37" s="27">
        <f>((3*10+H37/COS(RADIANS(E37)))*(3+3)+3*G37*H37)*2</f>
        <v/>
      </c>
      <c r="Y37" s="28">
        <f>Z37/X37</f>
        <v/>
      </c>
      <c r="Z37" s="29" t="n">
        <v>674.95336898685</v>
      </c>
      <c r="AA37" s="20" t="n">
        <v>45.7867783526332</v>
      </c>
      <c r="AB37" t="n">
        <v>0.1477398936888757</v>
      </c>
      <c r="AC37" t="n">
        <v>47.20080753759884</v>
      </c>
      <c r="AD37" t="n">
        <v>48.85521542702767</v>
      </c>
    </row>
    <row r="38">
      <c r="A38" t="n">
        <v>37</v>
      </c>
      <c r="B38" t="n">
        <v>41.8</v>
      </c>
      <c r="C38" s="21">
        <f>B38-20</f>
        <v/>
      </c>
      <c r="D38" t="n">
        <v>117</v>
      </c>
      <c r="E38" s="22">
        <f>D38-90</f>
        <v/>
      </c>
      <c r="F38" s="23" t="n">
        <v>0.008599000000000001</v>
      </c>
      <c r="G38" s="22" t="n">
        <v>32.1</v>
      </c>
      <c r="H38" s="22" t="n">
        <v>1.3</v>
      </c>
      <c r="I38" s="24" t="n">
        <v>0.0416766479611396</v>
      </c>
      <c r="J38" s="6" t="n">
        <v>71000</v>
      </c>
      <c r="K38" s="25">
        <f>23*10^-6</f>
        <v/>
      </c>
      <c r="L38" s="8">
        <f>H38</f>
        <v/>
      </c>
      <c r="M38" s="26">
        <f>H38^2/6</f>
        <v/>
      </c>
      <c r="N38" s="26">
        <f>H38^3/12</f>
        <v/>
      </c>
      <c r="O38" s="27">
        <f>-J38*L38*K38*C38</f>
        <v/>
      </c>
      <c r="P38" s="28">
        <f>-(12*F38*J38*L38*N38+12*O38*N38*G38*COS(RADIANS(E38)))/(12*N38*G38*COS(RADIANS(E38))^2+L38*G38^3*SIN(RADIANS(E38))^2)</f>
        <v/>
      </c>
      <c r="Q38" s="28">
        <f>-(6*F38*J38*L38*N38*SIN(RADIANS(E38))+6*O38*N38*G38*SIN(RADIANS(E38))*COS(RADIANS(E38)))/(12*N38*COS(RADIANS(E38))^2+L38*G38^2*SIN(RADIANS(E38))^2)</f>
        <v/>
      </c>
      <c r="R38" s="28">
        <f>-P38*SIN(RADIANS(E38))</f>
        <v/>
      </c>
      <c r="S38" s="8">
        <f>(O38+P38*COS(RADIANS(E38)))/L38</f>
        <v/>
      </c>
      <c r="T38" s="8">
        <f>R38/L38</f>
        <v/>
      </c>
      <c r="U38" s="8">
        <f>(Q38-P38*G38*SIN(RADIANS(E38)))/M38</f>
        <v/>
      </c>
      <c r="V38" s="8">
        <f>SQRT((S38+U38)^2+3*T38^2)</f>
        <v/>
      </c>
      <c r="W38" s="8">
        <f>V38/AA38</f>
        <v/>
      </c>
      <c r="X38" s="27">
        <f>((3*10+H38/COS(RADIANS(E38)))*(3+3)+3*G38*H38)*2</f>
        <v/>
      </c>
      <c r="Y38" s="28">
        <f>Z38/X38</f>
        <v/>
      </c>
      <c r="Z38" s="29" t="n">
        <v>634.257748395961</v>
      </c>
      <c r="AA38" s="20" t="n">
        <v>31.2684195151872</v>
      </c>
      <c r="AB38" t="n">
        <v>0.0519728516197463</v>
      </c>
      <c r="AC38" t="n">
        <v>31.98424239965287</v>
      </c>
      <c r="AD38" t="n">
        <v>24.70497067856117</v>
      </c>
    </row>
    <row r="39">
      <c r="A39" t="n">
        <v>38</v>
      </c>
      <c r="B39" t="n">
        <v>76.09999999999999</v>
      </c>
      <c r="C39" s="21">
        <f>B39-20</f>
        <v/>
      </c>
      <c r="D39" t="n">
        <v>113.8</v>
      </c>
      <c r="E39" s="22">
        <f>D39-90</f>
        <v/>
      </c>
      <c r="F39" s="23" t="n">
        <v>0.020982</v>
      </c>
      <c r="G39" s="22" t="n">
        <v>29.3</v>
      </c>
      <c r="H39" s="22" t="n">
        <v>1.8</v>
      </c>
      <c r="I39" s="24" t="n">
        <v>0.109993763267993</v>
      </c>
      <c r="J39" s="6" t="n">
        <v>71000</v>
      </c>
      <c r="K39" s="25">
        <f>23*10^-6</f>
        <v/>
      </c>
      <c r="L39" s="8">
        <f>H39</f>
        <v/>
      </c>
      <c r="M39" s="26">
        <f>H39^2/6</f>
        <v/>
      </c>
      <c r="N39" s="26">
        <f>H39^3/12</f>
        <v/>
      </c>
      <c r="O39" s="27">
        <f>-J39*L39*K39*C39</f>
        <v/>
      </c>
      <c r="P39" s="28">
        <f>-(12*F39*J39*L39*N39+12*O39*N39*G39*COS(RADIANS(E39)))/(12*N39*G39*COS(RADIANS(E39))^2+L39*G39^3*SIN(RADIANS(E39))^2)</f>
        <v/>
      </c>
      <c r="Q39" s="28">
        <f>-(6*F39*J39*L39*N39*SIN(RADIANS(E39))+6*O39*N39*G39*SIN(RADIANS(E39))*COS(RADIANS(E39)))/(12*N39*COS(RADIANS(E39))^2+L39*G39^2*SIN(RADIANS(E39))^2)</f>
        <v/>
      </c>
      <c r="R39" s="28">
        <f>-P39*SIN(RADIANS(E39))</f>
        <v/>
      </c>
      <c r="S39" s="8">
        <f>(O39+P39*COS(RADIANS(E39)))/L39</f>
        <v/>
      </c>
      <c r="T39" s="8">
        <f>R39/L39</f>
        <v/>
      </c>
      <c r="U39" s="8">
        <f>(Q39-P39*G39*SIN(RADIANS(E39)))/M39</f>
        <v/>
      </c>
      <c r="V39" s="8">
        <f>SQRT((S39+U39)^2+3*T39^2)</f>
        <v/>
      </c>
      <c r="W39" s="8">
        <f>V39/AA39</f>
        <v/>
      </c>
      <c r="X39" s="27">
        <f>((3*10+H39/COS(RADIANS(E39)))*(3+3)+3*G39*H39)*2</f>
        <v/>
      </c>
      <c r="Y39" s="28">
        <f>Z39/X39</f>
        <v/>
      </c>
      <c r="Z39" s="29" t="n">
        <v>705.711891772836</v>
      </c>
      <c r="AA39" s="20" t="n">
        <v>89.7877739534032</v>
      </c>
      <c r="AB39" t="n">
        <v>0.1383926866330308</v>
      </c>
      <c r="AC39" t="n">
        <v>86.93718743220224</v>
      </c>
      <c r="AD39" t="n">
        <v>25.8186669146373</v>
      </c>
    </row>
    <row r="40">
      <c r="A40" t="n">
        <v>39</v>
      </c>
      <c r="B40" t="n">
        <v>50.5</v>
      </c>
      <c r="C40" s="21">
        <f>B40-20</f>
        <v/>
      </c>
      <c r="D40" t="n">
        <v>120.8</v>
      </c>
      <c r="E40" s="22">
        <f>D40-90</f>
        <v/>
      </c>
      <c r="F40" s="23" t="n">
        <v>0.012091</v>
      </c>
      <c r="G40" s="22" t="n">
        <v>33.5</v>
      </c>
      <c r="H40" s="22" t="n">
        <v>1.2</v>
      </c>
      <c r="I40" s="24" t="n">
        <v>0.0548187531530857</v>
      </c>
      <c r="J40" s="6" t="n">
        <v>71000</v>
      </c>
      <c r="K40" s="25">
        <f>23*10^-6</f>
        <v/>
      </c>
      <c r="L40" s="8">
        <f>H40</f>
        <v/>
      </c>
      <c r="M40" s="26">
        <f>H40^2/6</f>
        <v/>
      </c>
      <c r="N40" s="26">
        <f>H40^3/12</f>
        <v/>
      </c>
      <c r="O40" s="27">
        <f>-J40*L40*K40*C40</f>
        <v/>
      </c>
      <c r="P40" s="28">
        <f>-(12*F40*J40*L40*N40+12*O40*N40*G40*COS(RADIANS(E40)))/(12*N40*G40*COS(RADIANS(E40))^2+L40*G40^3*SIN(RADIANS(E40))^2)</f>
        <v/>
      </c>
      <c r="Q40" s="28">
        <f>-(6*F40*J40*L40*N40*SIN(RADIANS(E40))+6*O40*N40*G40*SIN(RADIANS(E40))*COS(RADIANS(E40)))/(12*N40*COS(RADIANS(E40))^2+L40*G40^2*SIN(RADIANS(E40))^2)</f>
        <v/>
      </c>
      <c r="R40" s="28">
        <f>-P40*SIN(RADIANS(E40))</f>
        <v/>
      </c>
      <c r="S40" s="8">
        <f>(O40+P40*COS(RADIANS(E40)))/L40</f>
        <v/>
      </c>
      <c r="T40" s="8">
        <f>R40/L40</f>
        <v/>
      </c>
      <c r="U40" s="8">
        <f>(Q40-P40*G40*SIN(RADIANS(E40)))/M40</f>
        <v/>
      </c>
      <c r="V40" s="8">
        <f>SQRT((S40+U40)^2+3*T40^2)</f>
        <v/>
      </c>
      <c r="W40" s="8">
        <f>V40/AA40</f>
        <v/>
      </c>
      <c r="X40" s="27">
        <f>((3*10+H40/COS(RADIANS(E40)))*(3+3)+3*G40*H40)*2</f>
        <v/>
      </c>
      <c r="Y40" s="28">
        <f>Z40/X40</f>
        <v/>
      </c>
      <c r="Z40" s="29" t="n">
        <v>625.338859673126</v>
      </c>
      <c r="AA40" s="20" t="n">
        <v>41.8228389280551</v>
      </c>
      <c r="AB40" t="n">
        <v>0.06591443306715421</v>
      </c>
      <c r="AC40" t="n">
        <v>43.85676092243713</v>
      </c>
      <c r="AD40" t="n">
        <v>20.24066450961215</v>
      </c>
    </row>
    <row r="41">
      <c r="A41" t="n">
        <v>40</v>
      </c>
      <c r="B41" t="n">
        <v>49.2</v>
      </c>
      <c r="C41" s="21">
        <f>B41-20</f>
        <v/>
      </c>
      <c r="D41" t="n">
        <v>117.8</v>
      </c>
      <c r="E41" s="22">
        <f>D41-90</f>
        <v/>
      </c>
      <c r="F41" s="23" t="n">
        <v>0.008593</v>
      </c>
      <c r="G41" s="22" t="n">
        <v>22.4</v>
      </c>
      <c r="H41" s="22" t="n">
        <v>1</v>
      </c>
      <c r="I41" s="24" t="n">
        <v>0.043304968625307</v>
      </c>
      <c r="J41" s="6" t="n">
        <v>71000</v>
      </c>
      <c r="K41" s="25">
        <f>23*10^-6</f>
        <v/>
      </c>
      <c r="L41" s="8">
        <f>H41</f>
        <v/>
      </c>
      <c r="M41" s="26">
        <f>H41^2/6</f>
        <v/>
      </c>
      <c r="N41" s="26">
        <f>H41^3/12</f>
        <v/>
      </c>
      <c r="O41" s="27">
        <f>-J41*L41*K41*C41</f>
        <v/>
      </c>
      <c r="P41" s="28">
        <f>-(12*F41*J41*L41*N41+12*O41*N41*G41*COS(RADIANS(E41)))/(12*N41*G41*COS(RADIANS(E41))^2+L41*G41^3*SIN(RADIANS(E41))^2)</f>
        <v/>
      </c>
      <c r="Q41" s="28">
        <f>-(6*F41*J41*L41*N41*SIN(RADIANS(E41))+6*O41*N41*G41*SIN(RADIANS(E41))*COS(RADIANS(E41)))/(12*N41*COS(RADIANS(E41))^2+L41*G41^2*SIN(RADIANS(E41))^2)</f>
        <v/>
      </c>
      <c r="R41" s="28">
        <f>-P41*SIN(RADIANS(E41))</f>
        <v/>
      </c>
      <c r="S41" s="8">
        <f>(O41+P41*COS(RADIANS(E41)))/L41</f>
        <v/>
      </c>
      <c r="T41" s="8">
        <f>R41/L41</f>
        <v/>
      </c>
      <c r="U41" s="8">
        <f>(Q41-P41*G41*SIN(RADIANS(E41)))/M41</f>
        <v/>
      </c>
      <c r="V41" s="8">
        <f>SQRT((S41+U41)^2+3*T41^2)</f>
        <v/>
      </c>
      <c r="W41" s="8">
        <f>V41/AA41</f>
        <v/>
      </c>
      <c r="X41" s="27">
        <f>((3*10+H41/COS(RADIANS(E41)))*(3+3)+3*G41*H41)*2</f>
        <v/>
      </c>
      <c r="Y41" s="28">
        <f>Z41/X41</f>
        <v/>
      </c>
      <c r="Z41" s="29" t="n">
        <v>514.530864583635</v>
      </c>
      <c r="AA41" s="20" t="n">
        <v>40.4315687313222</v>
      </c>
      <c r="AB41" t="n">
        <v>0.04817666659897207</v>
      </c>
      <c r="AC41" t="n">
        <v>42.62447491983665</v>
      </c>
      <c r="AD41" t="n">
        <v>11.24974368603537</v>
      </c>
    </row>
    <row r="42">
      <c r="A42" t="n">
        <v>41</v>
      </c>
      <c r="B42" t="n">
        <v>67.2</v>
      </c>
      <c r="C42" s="21">
        <f>B42-20</f>
        <v/>
      </c>
      <c r="D42" t="n">
        <v>111</v>
      </c>
      <c r="E42" s="22">
        <f>D42-90</f>
        <v/>
      </c>
      <c r="F42" s="23" t="n">
        <v>0.017244</v>
      </c>
      <c r="G42" s="22" t="n">
        <v>27.9</v>
      </c>
      <c r="H42" s="22" t="n">
        <v>2</v>
      </c>
      <c r="I42" s="24" t="n">
        <v>0.0974681675434112</v>
      </c>
      <c r="J42" s="6" t="n">
        <v>71000</v>
      </c>
      <c r="K42" s="25">
        <f>23*10^-6</f>
        <v/>
      </c>
      <c r="L42" s="8">
        <f>H42</f>
        <v/>
      </c>
      <c r="M42" s="26">
        <f>H42^2/6</f>
        <v/>
      </c>
      <c r="N42" s="26">
        <f>H42^3/12</f>
        <v/>
      </c>
      <c r="O42" s="27">
        <f>-J42*L42*K42*C42</f>
        <v/>
      </c>
      <c r="P42" s="28">
        <f>-(12*F42*J42*L42*N42+12*O42*N42*G42*COS(RADIANS(E42)))/(12*N42*G42*COS(RADIANS(E42))^2+L42*G42^3*SIN(RADIANS(E42))^2)</f>
        <v/>
      </c>
      <c r="Q42" s="28">
        <f>-(6*F42*J42*L42*N42*SIN(RADIANS(E42))+6*O42*N42*G42*SIN(RADIANS(E42))*COS(RADIANS(E42)))/(12*N42*COS(RADIANS(E42))^2+L42*G42^2*SIN(RADIANS(E42))^2)</f>
        <v/>
      </c>
      <c r="R42" s="28">
        <f>-P42*SIN(RADIANS(E42))</f>
        <v/>
      </c>
      <c r="S42" s="8">
        <f>(O42+P42*COS(RADIANS(E42)))/L42</f>
        <v/>
      </c>
      <c r="T42" s="8">
        <f>R42/L42</f>
        <v/>
      </c>
      <c r="U42" s="8">
        <f>(Q42-P42*G42*SIN(RADIANS(E42)))/M42</f>
        <v/>
      </c>
      <c r="V42" s="8">
        <f>SQRT((S42+U42)^2+3*T42^2)</f>
        <v/>
      </c>
      <c r="W42" s="8">
        <f>V42/AA42</f>
        <v/>
      </c>
      <c r="X42" s="27">
        <f>((3*10+H42/COS(RADIANS(E42)))*(3+3)+3*G42*H42)*2</f>
        <v/>
      </c>
      <c r="Y42" s="28">
        <f>Z42/X42</f>
        <v/>
      </c>
      <c r="Z42" s="29" t="n">
        <v>725.6485890802199</v>
      </c>
      <c r="AA42" s="20" t="n">
        <v>80.748324282342</v>
      </c>
      <c r="AB42" t="n">
        <v>0.1248538320472874</v>
      </c>
      <c r="AC42" t="n">
        <v>75.95426299486296</v>
      </c>
      <c r="AD42" t="n">
        <v>28.09703433859981</v>
      </c>
    </row>
    <row r="43">
      <c r="A43" t="n">
        <v>42</v>
      </c>
      <c r="B43" t="n">
        <v>77.8</v>
      </c>
      <c r="C43" s="21">
        <f>B43-20</f>
        <v/>
      </c>
      <c r="D43" t="n">
        <v>128.5</v>
      </c>
      <c r="E43" s="22">
        <f>D43-90</f>
        <v/>
      </c>
      <c r="F43" s="23" t="n">
        <v>0.017</v>
      </c>
      <c r="G43" s="22" t="n">
        <v>25.3</v>
      </c>
      <c r="H43" s="22" t="n">
        <v>1.9</v>
      </c>
      <c r="I43" s="24" t="n">
        <v>0.0753669366240501</v>
      </c>
      <c r="J43" s="6" t="n">
        <v>71000</v>
      </c>
      <c r="K43" s="25">
        <f>23*10^-6</f>
        <v/>
      </c>
      <c r="L43" s="8">
        <f>H43</f>
        <v/>
      </c>
      <c r="M43" s="26">
        <f>H43^2/6</f>
        <v/>
      </c>
      <c r="N43" s="26">
        <f>H43^3/12</f>
        <v/>
      </c>
      <c r="O43" s="27">
        <f>-J43*L43*K43*C43</f>
        <v/>
      </c>
      <c r="P43" s="28">
        <f>-(12*F43*J43*L43*N43+12*O43*N43*G43*COS(RADIANS(E43)))/(12*N43*G43*COS(RADIANS(E43))^2+L43*G43^3*SIN(RADIANS(E43))^2)</f>
        <v/>
      </c>
      <c r="Q43" s="28">
        <f>-(6*F43*J43*L43*N43*SIN(RADIANS(E43))+6*O43*N43*G43*SIN(RADIANS(E43))*COS(RADIANS(E43)))/(12*N43*COS(RADIANS(E43))^2+L43*G43^2*SIN(RADIANS(E43))^2)</f>
        <v/>
      </c>
      <c r="R43" s="28">
        <f>-P43*SIN(RADIANS(E43))</f>
        <v/>
      </c>
      <c r="S43" s="8">
        <f>(O43+P43*COS(RADIANS(E43)))/L43</f>
        <v/>
      </c>
      <c r="T43" s="8">
        <f>R43/L43</f>
        <v/>
      </c>
      <c r="U43" s="8">
        <f>(Q43-P43*G43*SIN(RADIANS(E43)))/M43</f>
        <v/>
      </c>
      <c r="V43" s="8">
        <f>SQRT((S43+U43)^2+3*T43^2)</f>
        <v/>
      </c>
      <c r="W43" s="8">
        <f>V43/AA43</f>
        <v/>
      </c>
      <c r="X43" s="27">
        <f>((3*10+H43/COS(RADIANS(E43)))*(3+3)+3*G43*H43)*2</f>
        <v/>
      </c>
      <c r="Y43" s="28">
        <f>Z43/X43</f>
        <v/>
      </c>
      <c r="Z43" s="29" t="n">
        <v>687.653670555958</v>
      </c>
      <c r="AA43" s="20" t="n">
        <v>91.3726022965018</v>
      </c>
      <c r="AB43" t="n">
        <v>0.07461542031377098</v>
      </c>
      <c r="AC43" t="n">
        <v>85.10850073347169</v>
      </c>
      <c r="AD43" t="n">
        <v>-0.997143235405566</v>
      </c>
    </row>
    <row r="44">
      <c r="A44" t="n">
        <v>43</v>
      </c>
      <c r="B44" t="n">
        <v>58.9</v>
      </c>
      <c r="C44" s="21">
        <f>B44-20</f>
        <v/>
      </c>
      <c r="D44" t="n">
        <v>112.8</v>
      </c>
      <c r="E44" s="22">
        <f>D44-90</f>
        <v/>
      </c>
      <c r="F44" s="23" t="n">
        <v>0.015865</v>
      </c>
      <c r="G44" s="22" t="n">
        <v>32.3</v>
      </c>
      <c r="H44" s="22" t="n">
        <v>1.6</v>
      </c>
      <c r="I44" s="24" t="n">
        <v>0.0843353345990181</v>
      </c>
      <c r="J44" s="6" t="n">
        <v>71000</v>
      </c>
      <c r="K44" s="25">
        <f>23*10^-6</f>
        <v/>
      </c>
      <c r="L44" s="8">
        <f>H44</f>
        <v/>
      </c>
      <c r="M44" s="26">
        <f>H44^2/6</f>
        <v/>
      </c>
      <c r="N44" s="26">
        <f>H44^3/12</f>
        <v/>
      </c>
      <c r="O44" s="27">
        <f>-J44*L44*K44*C44</f>
        <v/>
      </c>
      <c r="P44" s="28">
        <f>-(12*F44*J44*L44*N44+12*O44*N44*G44*COS(RADIANS(E44)))/(12*N44*G44*COS(RADIANS(E44))^2+L44*G44^3*SIN(RADIANS(E44))^2)</f>
        <v/>
      </c>
      <c r="Q44" s="28">
        <f>-(6*F44*J44*L44*N44*SIN(RADIANS(E44))+6*O44*N44*G44*SIN(RADIANS(E44))*COS(RADIANS(E44)))/(12*N44*COS(RADIANS(E44))^2+L44*G44^2*SIN(RADIANS(E44))^2)</f>
        <v/>
      </c>
      <c r="R44" s="28">
        <f>-P44*SIN(RADIANS(E44))</f>
        <v/>
      </c>
      <c r="S44" s="8">
        <f>(O44+P44*COS(RADIANS(E44)))/L44</f>
        <v/>
      </c>
      <c r="T44" s="8">
        <f>R44/L44</f>
        <v/>
      </c>
      <c r="U44" s="8">
        <f>(Q44-P44*G44*SIN(RADIANS(E44)))/M44</f>
        <v/>
      </c>
      <c r="V44" s="8">
        <f>SQRT((S44+U44)^2+3*T44^2)</f>
        <v/>
      </c>
      <c r="W44" s="8">
        <f>V44/AA44</f>
        <v/>
      </c>
      <c r="X44" s="27">
        <f>((3*10+H44/COS(RADIANS(E44)))*(3+3)+3*G44*H44)*2</f>
        <v/>
      </c>
      <c r="Y44" s="28">
        <f>Z44/X44</f>
        <v/>
      </c>
      <c r="Z44" s="29" t="n">
        <v>696.375248624419</v>
      </c>
      <c r="AA44" s="20" t="n">
        <v>59.7091284321091</v>
      </c>
      <c r="AB44" t="n">
        <v>0.1106869892887372</v>
      </c>
      <c r="AC44" t="n">
        <v>59.3268514559054</v>
      </c>
      <c r="AD44" t="n">
        <v>31.24627988376525</v>
      </c>
    </row>
    <row r="45">
      <c r="A45" t="n">
        <v>44</v>
      </c>
      <c r="B45" t="n">
        <v>51.2</v>
      </c>
      <c r="C45" s="21">
        <f>B45-20</f>
        <v/>
      </c>
      <c r="D45" t="n">
        <v>116</v>
      </c>
      <c r="E45" s="22">
        <f>D45-90</f>
        <v/>
      </c>
      <c r="F45" s="23" t="n">
        <v>0.01246</v>
      </c>
      <c r="G45" s="22" t="n">
        <v>32.3</v>
      </c>
      <c r="H45" s="22" t="n">
        <v>1.4</v>
      </c>
      <c r="I45" s="24" t="n">
        <v>0.0615317970514297</v>
      </c>
      <c r="J45" s="6" t="n">
        <v>71000</v>
      </c>
      <c r="K45" s="25">
        <f>23*10^-6</f>
        <v/>
      </c>
      <c r="L45" s="8">
        <f>H45</f>
        <v/>
      </c>
      <c r="M45" s="26">
        <f>H45^2/6</f>
        <v/>
      </c>
      <c r="N45" s="26">
        <f>H45^3/12</f>
        <v/>
      </c>
      <c r="O45" s="27">
        <f>-J45*L45*K45*C45</f>
        <v/>
      </c>
      <c r="P45" s="28">
        <f>-(12*F45*J45*L45*N45+12*O45*N45*G45*COS(RADIANS(E45)))/(12*N45*G45*COS(RADIANS(E45))^2+L45*G45^3*SIN(RADIANS(E45))^2)</f>
        <v/>
      </c>
      <c r="Q45" s="28">
        <f>-(6*F45*J45*L45*N45*SIN(RADIANS(E45))+6*O45*N45*G45*SIN(RADIANS(E45))*COS(RADIANS(E45)))/(12*N45*COS(RADIANS(E45))^2+L45*G45^2*SIN(RADIANS(E45))^2)</f>
        <v/>
      </c>
      <c r="R45" s="28">
        <f>-P45*SIN(RADIANS(E45))</f>
        <v/>
      </c>
      <c r="S45" s="8">
        <f>(O45+P45*COS(RADIANS(E45)))/L45</f>
        <v/>
      </c>
      <c r="T45" s="8">
        <f>R45/L45</f>
        <v/>
      </c>
      <c r="U45" s="8">
        <f>(Q45-P45*G45*SIN(RADIANS(E45)))/M45</f>
        <v/>
      </c>
      <c r="V45" s="8">
        <f>SQRT((S45+U45)^2+3*T45^2)</f>
        <v/>
      </c>
      <c r="W45" s="8">
        <f>V45/AA45</f>
        <v/>
      </c>
      <c r="X45" s="27">
        <f>((3*10+H45/COS(RADIANS(E45)))*(3+3)+3*G45*H45)*2</f>
        <v/>
      </c>
      <c r="Y45" s="28">
        <f>Z45/X45</f>
        <v/>
      </c>
      <c r="Z45" s="29" t="n">
        <v>656.147788557028</v>
      </c>
      <c r="AA45" s="20" t="n">
        <v>45.5233771963862</v>
      </c>
      <c r="AB45" t="n">
        <v>0.07775847644441325</v>
      </c>
      <c r="AC45" t="n">
        <v>46.22851387090635</v>
      </c>
      <c r="AD45" t="n">
        <v>26.37120996063371</v>
      </c>
    </row>
    <row r="46">
      <c r="A46" t="n">
        <v>45</v>
      </c>
      <c r="B46" t="n">
        <v>72.5</v>
      </c>
      <c r="C46" s="21">
        <f>B46-20</f>
        <v/>
      </c>
      <c r="D46" t="n">
        <v>121.8</v>
      </c>
      <c r="E46" s="22">
        <f>D46-90</f>
        <v/>
      </c>
      <c r="F46" s="23" t="n">
        <v>0.017681</v>
      </c>
      <c r="G46" s="22" t="n">
        <v>27.7</v>
      </c>
      <c r="H46" s="22" t="n">
        <v>2</v>
      </c>
      <c r="I46" s="24" t="n">
        <v>0.08150427788496011</v>
      </c>
      <c r="J46" s="6" t="n">
        <v>71000</v>
      </c>
      <c r="K46" s="25">
        <f>23*10^-6</f>
        <v/>
      </c>
      <c r="L46" s="8">
        <f>H46</f>
        <v/>
      </c>
      <c r="M46" s="26">
        <f>H46^2/6</f>
        <v/>
      </c>
      <c r="N46" s="26">
        <f>H46^3/12</f>
        <v/>
      </c>
      <c r="O46" s="27">
        <f>-J46*L46*K46*C46</f>
        <v/>
      </c>
      <c r="P46" s="28">
        <f>-(12*F46*J46*L46*N46+12*O46*N46*G46*COS(RADIANS(E46)))/(12*N46*G46*COS(RADIANS(E46))^2+L46*G46^3*SIN(RADIANS(E46))^2)</f>
        <v/>
      </c>
      <c r="Q46" s="28">
        <f>-(6*F46*J46*L46*N46*SIN(RADIANS(E46))+6*O46*N46*G46*SIN(RADIANS(E46))*COS(RADIANS(E46)))/(12*N46*COS(RADIANS(E46))^2+L46*G46^2*SIN(RADIANS(E46))^2)</f>
        <v/>
      </c>
      <c r="R46" s="28">
        <f>-P46*SIN(RADIANS(E46))</f>
        <v/>
      </c>
      <c r="S46" s="8">
        <f>(O46+P46*COS(RADIANS(E46)))/L46</f>
        <v/>
      </c>
      <c r="T46" s="8">
        <f>R46/L46</f>
        <v/>
      </c>
      <c r="U46" s="8">
        <f>(Q46-P46*G46*SIN(RADIANS(E46)))/M46</f>
        <v/>
      </c>
      <c r="V46" s="8">
        <f>SQRT((S46+U46)^2+3*T46^2)</f>
        <v/>
      </c>
      <c r="W46" s="8">
        <f>V46/AA46</f>
        <v/>
      </c>
      <c r="X46" s="27">
        <f>((3*10+H46/COS(RADIANS(E46)))*(3+3)+3*G46*H46)*2</f>
        <v/>
      </c>
      <c r="Y46" s="28">
        <f>Z46/X46</f>
        <v/>
      </c>
      <c r="Z46" s="29" t="n">
        <v>728.311347568284</v>
      </c>
      <c r="AA46" s="20" t="n">
        <v>86.127093677121</v>
      </c>
      <c r="AB46" t="n">
        <v>0.0906124946428883</v>
      </c>
      <c r="AC46" t="n">
        <v>79.34580389030516</v>
      </c>
      <c r="AD46" t="n">
        <v>11.17513950713613</v>
      </c>
    </row>
    <row r="47">
      <c r="A47" t="n">
        <v>46</v>
      </c>
      <c r="B47" t="n">
        <v>60</v>
      </c>
      <c r="C47" s="21">
        <f>B47-20</f>
        <v/>
      </c>
      <c r="D47" t="n">
        <v>116.6</v>
      </c>
      <c r="E47" s="22">
        <f>D47-90</f>
        <v/>
      </c>
      <c r="F47" s="23" t="n">
        <v>0.011339</v>
      </c>
      <c r="G47" s="22" t="n">
        <v>21.1</v>
      </c>
      <c r="H47" s="22" t="n">
        <v>2</v>
      </c>
      <c r="I47" s="24" t="n">
        <v>0.0584905259311199</v>
      </c>
      <c r="J47" s="6" t="n">
        <v>71000</v>
      </c>
      <c r="K47" s="25">
        <f>23*10^-6</f>
        <v/>
      </c>
      <c r="L47" s="8">
        <f>H47</f>
        <v/>
      </c>
      <c r="M47" s="26">
        <f>H47^2/6</f>
        <v/>
      </c>
      <c r="N47" s="26">
        <f>H47^3/12</f>
        <v/>
      </c>
      <c r="O47" s="27">
        <f>-J47*L47*K47*C47</f>
        <v/>
      </c>
      <c r="P47" s="28">
        <f>-(12*F47*J47*L47*N47+12*O47*N47*G47*COS(RADIANS(E47)))/(12*N47*G47*COS(RADIANS(E47))^2+L47*G47^3*SIN(RADIANS(E47))^2)</f>
        <v/>
      </c>
      <c r="Q47" s="28">
        <f>-(6*F47*J47*L47*N47*SIN(RADIANS(E47))+6*O47*N47*G47*SIN(RADIANS(E47))*COS(RADIANS(E47)))/(12*N47*COS(RADIANS(E47))^2+L47*G47^2*SIN(RADIANS(E47))^2)</f>
        <v/>
      </c>
      <c r="R47" s="28">
        <f>-P47*SIN(RADIANS(E47))</f>
        <v/>
      </c>
      <c r="S47" s="8">
        <f>(O47+P47*COS(RADIANS(E47)))/L47</f>
        <v/>
      </c>
      <c r="T47" s="8">
        <f>R47/L47</f>
        <v/>
      </c>
      <c r="U47" s="8">
        <f>(Q47-P47*G47*SIN(RADIANS(E47)))/M47</f>
        <v/>
      </c>
      <c r="V47" s="8">
        <f>SQRT((S47+U47)^2+3*T47^2)</f>
        <v/>
      </c>
      <c r="W47" s="8">
        <f>V47/AA47</f>
        <v/>
      </c>
      <c r="X47" s="27">
        <f>((3*10+H47/COS(RADIANS(E47)))*(3+3)+3*G47*H47)*2</f>
        <v/>
      </c>
      <c r="Y47" s="28">
        <f>Z47/X47</f>
        <v/>
      </c>
      <c r="Z47" s="29" t="n">
        <v>646.315643094673</v>
      </c>
      <c r="AA47" s="20" t="n">
        <v>70.378208987132</v>
      </c>
      <c r="AB47" t="n">
        <v>0.06351829594470848</v>
      </c>
      <c r="AC47" t="n">
        <v>63.2947908264287</v>
      </c>
      <c r="AD47" t="n">
        <v>8.59587075607668</v>
      </c>
    </row>
    <row r="48">
      <c r="A48" t="n">
        <v>47</v>
      </c>
      <c r="B48" t="n">
        <v>63.3</v>
      </c>
      <c r="C48" s="21">
        <f>B48-20</f>
        <v/>
      </c>
      <c r="D48" t="n">
        <v>121.1</v>
      </c>
      <c r="E48" s="22">
        <f>D48-90</f>
        <v/>
      </c>
      <c r="F48" s="23" t="n">
        <v>0.016022</v>
      </c>
      <c r="G48" s="22" t="n">
        <v>30.9</v>
      </c>
      <c r="H48" s="22" t="n">
        <v>1.2</v>
      </c>
      <c r="I48" s="24" t="n">
        <v>0.0731932520866394</v>
      </c>
      <c r="J48" s="6" t="n">
        <v>71000</v>
      </c>
      <c r="K48" s="25">
        <f>23*10^-6</f>
        <v/>
      </c>
      <c r="L48" s="8">
        <f>H48</f>
        <v/>
      </c>
      <c r="M48" s="26">
        <f>H48^2/6</f>
        <v/>
      </c>
      <c r="N48" s="26">
        <f>H48^3/12</f>
        <v/>
      </c>
      <c r="O48" s="27">
        <f>-J48*L48*K48*C48</f>
        <v/>
      </c>
      <c r="P48" s="28">
        <f>-(12*F48*J48*L48*N48+12*O48*N48*G48*COS(RADIANS(E48)))/(12*N48*G48*COS(RADIANS(E48))^2+L48*G48^3*SIN(RADIANS(E48))^2)</f>
        <v/>
      </c>
      <c r="Q48" s="28">
        <f>-(6*F48*J48*L48*N48*SIN(RADIANS(E48))+6*O48*N48*G48*SIN(RADIANS(E48))*COS(RADIANS(E48)))/(12*N48*COS(RADIANS(E48))^2+L48*G48^2*SIN(RADIANS(E48))^2)</f>
        <v/>
      </c>
      <c r="R48" s="28">
        <f>-P48*SIN(RADIANS(E48))</f>
        <v/>
      </c>
      <c r="S48" s="8">
        <f>(O48+P48*COS(RADIANS(E48)))/L48</f>
        <v/>
      </c>
      <c r="T48" s="8">
        <f>R48/L48</f>
        <v/>
      </c>
      <c r="U48" s="8">
        <f>(Q48-P48*G48*SIN(RADIANS(E48)))/M48</f>
        <v/>
      </c>
      <c r="V48" s="8">
        <f>SQRT((S48+U48)^2+3*T48^2)</f>
        <v/>
      </c>
      <c r="W48" s="8">
        <f>V48/AA48</f>
        <v/>
      </c>
      <c r="X48" s="27">
        <f>((3*10+H48/COS(RADIANS(E48)))*(3+3)+3*G48*H48)*2</f>
        <v/>
      </c>
      <c r="Y48" s="28">
        <f>Z48/X48</f>
        <v/>
      </c>
      <c r="Z48" s="29" t="n">
        <v>606.759449913617</v>
      </c>
      <c r="AA48" s="20" t="n">
        <v>60.0873685120494</v>
      </c>
      <c r="AB48" t="n">
        <v>0.08574158231416396</v>
      </c>
      <c r="AC48" t="n">
        <v>62.44733652152856</v>
      </c>
      <c r="AD48" t="n">
        <v>17.14410805612381</v>
      </c>
    </row>
    <row r="49">
      <c r="A49" t="n">
        <v>48</v>
      </c>
      <c r="B49" t="n">
        <v>84.40000000000001</v>
      </c>
      <c r="C49" s="21">
        <f>B49-20</f>
        <v/>
      </c>
      <c r="D49" t="n">
        <v>129.4</v>
      </c>
      <c r="E49" s="22">
        <f>D49-90</f>
        <v/>
      </c>
      <c r="F49" s="23" t="n">
        <v>0.02097</v>
      </c>
      <c r="G49" s="22" t="n">
        <v>29.2</v>
      </c>
      <c r="H49" s="22" t="n">
        <v>1.3</v>
      </c>
      <c r="I49" s="24" t="n">
        <v>0.0904666632413864</v>
      </c>
      <c r="J49" s="6" t="n">
        <v>71000</v>
      </c>
      <c r="K49" s="25">
        <f>23*10^-6</f>
        <v/>
      </c>
      <c r="L49" s="8">
        <f>H49</f>
        <v/>
      </c>
      <c r="M49" s="26">
        <f>H49^2/6</f>
        <v/>
      </c>
      <c r="N49" s="26">
        <f>H49^3/12</f>
        <v/>
      </c>
      <c r="O49" s="27">
        <f>-J49*L49*K49*C49</f>
        <v/>
      </c>
      <c r="P49" s="28">
        <f>-(12*F49*J49*L49*N49+12*O49*N49*G49*COS(RADIANS(E49)))/(12*N49*G49*COS(RADIANS(E49))^2+L49*G49^3*SIN(RADIANS(E49))^2)</f>
        <v/>
      </c>
      <c r="Q49" s="28">
        <f>-(6*F49*J49*L49*N49*SIN(RADIANS(E49))+6*O49*N49*G49*SIN(RADIANS(E49))*COS(RADIANS(E49)))/(12*N49*COS(RADIANS(E49))^2+L49*G49^2*SIN(RADIANS(E49))^2)</f>
        <v/>
      </c>
      <c r="R49" s="28">
        <f>-P49*SIN(RADIANS(E49))</f>
        <v/>
      </c>
      <c r="S49" s="8">
        <f>(O49+P49*COS(RADIANS(E49)))/L49</f>
        <v/>
      </c>
      <c r="T49" s="8">
        <f>R49/L49</f>
        <v/>
      </c>
      <c r="U49" s="8">
        <f>(Q49-P49*G49*SIN(RADIANS(E49)))/M49</f>
        <v/>
      </c>
      <c r="V49" s="8">
        <f>SQRT((S49+U49)^2+3*T49^2)</f>
        <v/>
      </c>
      <c r="W49" s="8">
        <f>V49/AA49</f>
        <v/>
      </c>
      <c r="X49" s="27">
        <f>((3*10+H49/COS(RADIANS(E49)))*(3+3)+3*G49*H49)*2</f>
        <v/>
      </c>
      <c r="Y49" s="28">
        <f>Z49/X49</f>
        <v/>
      </c>
      <c r="Z49" s="29" t="n">
        <v>618.440270347249</v>
      </c>
      <c r="AA49" s="20" t="n">
        <v>88.3127464288326</v>
      </c>
      <c r="AB49" t="n">
        <v>0.09334577204054804</v>
      </c>
      <c r="AC49" t="n">
        <v>91.62702343980247</v>
      </c>
      <c r="AD49" t="n">
        <v>3.18250800461105</v>
      </c>
    </row>
    <row r="50">
      <c r="A50" t="n">
        <v>49</v>
      </c>
      <c r="B50" t="n">
        <v>77.59999999999999</v>
      </c>
      <c r="C50" s="21">
        <f>B50-20</f>
        <v/>
      </c>
      <c r="D50" t="n">
        <v>103.3</v>
      </c>
      <c r="E50" s="22">
        <f>D50-90</f>
        <v/>
      </c>
      <c r="F50" s="23" t="n">
        <v>0.021321</v>
      </c>
      <c r="G50" s="22" t="n">
        <v>27.2</v>
      </c>
      <c r="H50" s="22" t="n">
        <v>1.3</v>
      </c>
      <c r="I50" s="24" t="n">
        <v>0.167113900184631</v>
      </c>
      <c r="J50" s="6" t="n">
        <v>71000</v>
      </c>
      <c r="K50" s="25">
        <f>23*10^-6</f>
        <v/>
      </c>
      <c r="L50" s="8">
        <f>H50</f>
        <v/>
      </c>
      <c r="M50" s="26">
        <f>H50^2/6</f>
        <v/>
      </c>
      <c r="N50" s="26">
        <f>H50^3/12</f>
        <v/>
      </c>
      <c r="O50" s="27">
        <f>-J50*L50*K50*C50</f>
        <v/>
      </c>
      <c r="P50" s="28">
        <f>-(12*F50*J50*L50*N50+12*O50*N50*G50*COS(RADIANS(E50)))/(12*N50*G50*COS(RADIANS(E50))^2+L50*G50^3*SIN(RADIANS(E50))^2)</f>
        <v/>
      </c>
      <c r="Q50" s="28">
        <f>-(6*F50*J50*L50*N50*SIN(RADIANS(E50))+6*O50*N50*G50*SIN(RADIANS(E50))*COS(RADIANS(E50)))/(12*N50*COS(RADIANS(E50))^2+L50*G50^2*SIN(RADIANS(E50))^2)</f>
        <v/>
      </c>
      <c r="R50" s="28">
        <f>-P50*SIN(RADIANS(E50))</f>
        <v/>
      </c>
      <c r="S50" s="8">
        <f>(O50+P50*COS(RADIANS(E50)))/L50</f>
        <v/>
      </c>
      <c r="T50" s="8">
        <f>R50/L50</f>
        <v/>
      </c>
      <c r="U50" s="8">
        <f>(Q50-P50*G50*SIN(RADIANS(E50)))/M50</f>
        <v/>
      </c>
      <c r="V50" s="8">
        <f>SQRT((S50+U50)^2+3*T50^2)</f>
        <v/>
      </c>
      <c r="W50" s="8">
        <f>V50/AA50</f>
        <v/>
      </c>
      <c r="X50" s="27">
        <f>((3*10+H50/COS(RADIANS(E50)))*(3+3)+3*G50*H50)*2</f>
        <v/>
      </c>
      <c r="Y50" s="28">
        <f>Z50/X50</f>
        <v/>
      </c>
      <c r="Z50" s="29" t="n">
        <v>592.285018304716</v>
      </c>
      <c r="AA50" s="20" t="n">
        <v>89.06061274038009</v>
      </c>
      <c r="AB50" t="n">
        <v>0.2369422410369143</v>
      </c>
      <c r="AC50" t="n">
        <v>93.84618202418955</v>
      </c>
      <c r="AD50" t="n">
        <v>41.78487892098472</v>
      </c>
    </row>
    <row r="51">
      <c r="A51" t="n">
        <v>50</v>
      </c>
      <c r="B51" t="n">
        <v>82.5</v>
      </c>
      <c r="C51" s="21">
        <f>B51-20</f>
        <v/>
      </c>
      <c r="D51" t="n">
        <v>111.6</v>
      </c>
      <c r="E51" s="22">
        <f>D51-90</f>
        <v/>
      </c>
      <c r="F51" s="23" t="n">
        <v>0.024679</v>
      </c>
      <c r="G51" s="22" t="n">
        <v>30.8</v>
      </c>
      <c r="H51" s="22" t="n">
        <v>1.2</v>
      </c>
      <c r="I51" s="24" t="n">
        <v>0.136670276522636</v>
      </c>
      <c r="J51" s="6" t="n">
        <v>71000</v>
      </c>
      <c r="K51" s="25">
        <f>23*10^-6</f>
        <v/>
      </c>
      <c r="L51" s="8">
        <f>H51</f>
        <v/>
      </c>
      <c r="M51" s="26">
        <f>H51^2/6</f>
        <v/>
      </c>
      <c r="N51" s="26">
        <f>H51^3/12</f>
        <v/>
      </c>
      <c r="O51" s="27">
        <f>-J51*L51*K51*C51</f>
        <v/>
      </c>
      <c r="P51" s="28">
        <f>-(12*F51*J51*L51*N51+12*O51*N51*G51*COS(RADIANS(E51)))/(12*N51*G51*COS(RADIANS(E51))^2+L51*G51^3*SIN(RADIANS(E51))^2)</f>
        <v/>
      </c>
      <c r="Q51" s="28">
        <f>-(6*F51*J51*L51*N51*SIN(RADIANS(E51))+6*O51*N51*G51*SIN(RADIANS(E51))*COS(RADIANS(E51)))/(12*N51*COS(RADIANS(E51))^2+L51*G51^2*SIN(RADIANS(E51))^2)</f>
        <v/>
      </c>
      <c r="R51" s="28">
        <f>-P51*SIN(RADIANS(E51))</f>
        <v/>
      </c>
      <c r="S51" s="8">
        <f>(O51+P51*COS(RADIANS(E51)))/L51</f>
        <v/>
      </c>
      <c r="T51" s="8">
        <f>R51/L51</f>
        <v/>
      </c>
      <c r="U51" s="8">
        <f>(Q51-P51*G51*SIN(RADIANS(E51)))/M51</f>
        <v/>
      </c>
      <c r="V51" s="8">
        <f>SQRT((S51+U51)^2+3*T51^2)</f>
        <v/>
      </c>
      <c r="W51" s="8">
        <f>V51/AA51</f>
        <v/>
      </c>
      <c r="X51" s="27">
        <f>((3*10+H51/COS(RADIANS(E51)))*(3+3)+3*G51*H51)*2</f>
        <v/>
      </c>
      <c r="Y51" s="28">
        <f>Z51/X51</f>
        <v/>
      </c>
      <c r="Z51" s="29" t="n">
        <v>602.493877975296</v>
      </c>
      <c r="AA51" s="20" t="n">
        <v>89.68782377261989</v>
      </c>
      <c r="AB51" t="n">
        <v>0.1807587134492871</v>
      </c>
      <c r="AC51" t="n">
        <v>93.45273833762799</v>
      </c>
      <c r="AD51" t="n">
        <v>32.25897982239682</v>
      </c>
    </row>
    <row r="52">
      <c r="A52" t="n">
        <v>51</v>
      </c>
      <c r="B52" t="n">
        <v>44.9</v>
      </c>
      <c r="C52" s="21">
        <f>B52-20</f>
        <v/>
      </c>
      <c r="D52" t="n">
        <v>130</v>
      </c>
      <c r="E52" s="22">
        <f>D52-90</f>
        <v/>
      </c>
      <c r="F52" s="23" t="n">
        <v>0.008835000000000001</v>
      </c>
      <c r="G52" s="22" t="n">
        <v>32.8</v>
      </c>
      <c r="H52" s="22" t="n">
        <v>1.2</v>
      </c>
      <c r="I52" s="24" t="n">
        <v>0.0374137312173843</v>
      </c>
      <c r="J52" s="6" t="n">
        <v>71000</v>
      </c>
      <c r="K52" s="25">
        <f>23*10^-6</f>
        <v/>
      </c>
      <c r="L52" s="8">
        <f>H52</f>
        <v/>
      </c>
      <c r="M52" s="26">
        <f>H52^2/6</f>
        <v/>
      </c>
      <c r="N52" s="26">
        <f>H52^3/12</f>
        <v/>
      </c>
      <c r="O52" s="27">
        <f>-J52*L52*K52*C52</f>
        <v/>
      </c>
      <c r="P52" s="28">
        <f>-(12*F52*J52*L52*N52+12*O52*N52*G52*COS(RADIANS(E52)))/(12*N52*G52*COS(RADIANS(E52))^2+L52*G52^3*SIN(RADIANS(E52))^2)</f>
        <v/>
      </c>
      <c r="Q52" s="28">
        <f>-(6*F52*J52*L52*N52*SIN(RADIANS(E52))+6*O52*N52*G52*SIN(RADIANS(E52))*COS(RADIANS(E52)))/(12*N52*COS(RADIANS(E52))^2+L52*G52^2*SIN(RADIANS(E52))^2)</f>
        <v/>
      </c>
      <c r="R52" s="28">
        <f>-P52*SIN(RADIANS(E52))</f>
        <v/>
      </c>
      <c r="S52" s="8">
        <f>(O52+P52*COS(RADIANS(E52)))/L52</f>
        <v/>
      </c>
      <c r="T52" s="8">
        <f>R52/L52</f>
        <v/>
      </c>
      <c r="U52" s="8">
        <f>(Q52-P52*G52*SIN(RADIANS(E52)))/M52</f>
        <v/>
      </c>
      <c r="V52" s="8">
        <f>SQRT((S52+U52)^2+3*T52^2)</f>
        <v/>
      </c>
      <c r="W52" s="8">
        <f>V52/AA52</f>
        <v/>
      </c>
      <c r="X52" s="27">
        <f>((3*10+H52/COS(RADIANS(E52)))*(3+3)+3*G52*H52)*2</f>
        <v/>
      </c>
      <c r="Y52" s="28">
        <f>Z52/X52</f>
        <v/>
      </c>
      <c r="Z52" s="29" t="n">
        <v>625.721269296001</v>
      </c>
      <c r="AA52" s="20" t="n">
        <v>32.3757148653721</v>
      </c>
      <c r="AB52" t="n">
        <v>0.03966383000826873</v>
      </c>
      <c r="AC52" t="n">
        <v>35.10454053512545</v>
      </c>
      <c r="AD52" t="n">
        <v>6.014098882067461</v>
      </c>
    </row>
    <row r="53">
      <c r="A53" t="n">
        <v>52</v>
      </c>
      <c r="B53" t="n">
        <v>79.3</v>
      </c>
      <c r="C53" s="21">
        <f>B53-20</f>
        <v/>
      </c>
      <c r="D53" t="n">
        <v>111</v>
      </c>
      <c r="E53" s="22">
        <f>D53-90</f>
        <v/>
      </c>
      <c r="F53" s="23" t="n">
        <v>0.017057</v>
      </c>
      <c r="G53" s="22" t="n">
        <v>20.6</v>
      </c>
      <c r="H53" s="22" t="n">
        <v>1.4</v>
      </c>
      <c r="I53" s="24" t="n">
        <v>0.100900933146476</v>
      </c>
      <c r="J53" s="6" t="n">
        <v>71000</v>
      </c>
      <c r="K53" s="25">
        <f>23*10^-6</f>
        <v/>
      </c>
      <c r="L53" s="8">
        <f>H53</f>
        <v/>
      </c>
      <c r="M53" s="26">
        <f>H53^2/6</f>
        <v/>
      </c>
      <c r="N53" s="26">
        <f>H53^3/12</f>
        <v/>
      </c>
      <c r="O53" s="27">
        <f>-J53*L53*K53*C53</f>
        <v/>
      </c>
      <c r="P53" s="28">
        <f>-(12*F53*J53*L53*N53+12*O53*N53*G53*COS(RADIANS(E53)))/(12*N53*G53*COS(RADIANS(E53))^2+L53*G53^3*SIN(RADIANS(E53))^2)</f>
        <v/>
      </c>
      <c r="Q53" s="28">
        <f>-(6*F53*J53*L53*N53*SIN(RADIANS(E53))+6*O53*N53*G53*SIN(RADIANS(E53))*COS(RADIANS(E53)))/(12*N53*COS(RADIANS(E53))^2+L53*G53^2*SIN(RADIANS(E53))^2)</f>
        <v/>
      </c>
      <c r="R53" s="28">
        <f>-P53*SIN(RADIANS(E53))</f>
        <v/>
      </c>
      <c r="S53" s="8">
        <f>(O53+P53*COS(RADIANS(E53)))/L53</f>
        <v/>
      </c>
      <c r="T53" s="8">
        <f>R53/L53</f>
        <v/>
      </c>
      <c r="U53" s="8">
        <f>(Q53-P53*G53*SIN(RADIANS(E53)))/M53</f>
        <v/>
      </c>
      <c r="V53" s="8">
        <f>SQRT((S53+U53)^2+3*T53^2)</f>
        <v/>
      </c>
      <c r="W53" s="8">
        <f>V53/AA53</f>
        <v/>
      </c>
      <c r="X53" s="27">
        <f>((3*10+H53/COS(RADIANS(E53)))*(3+3)+3*G53*H53)*2</f>
        <v/>
      </c>
      <c r="Y53" s="28">
        <f>Z53/X53</f>
        <v/>
      </c>
      <c r="Z53" s="29" t="n">
        <v>556.1763451260319</v>
      </c>
      <c r="AA53" s="20" t="n">
        <v>92.32994508422409</v>
      </c>
      <c r="AB53" t="n">
        <v>0.1189040017012164</v>
      </c>
      <c r="AC53" t="n">
        <v>93.14659448745286</v>
      </c>
      <c r="AD53" t="n">
        <v>17.8423211692261</v>
      </c>
    </row>
    <row r="54">
      <c r="A54" t="n">
        <v>53</v>
      </c>
      <c r="B54" t="n">
        <v>52.3</v>
      </c>
      <c r="C54" s="21">
        <f>B54-20</f>
        <v/>
      </c>
      <c r="D54" t="n">
        <v>104</v>
      </c>
      <c r="E54" s="22">
        <f>D54-90</f>
        <v/>
      </c>
      <c r="F54" s="23" t="n">
        <v>0.012821</v>
      </c>
      <c r="G54" s="22" t="n">
        <v>29.7</v>
      </c>
      <c r="H54" s="22" t="n">
        <v>1.3</v>
      </c>
      <c r="I54" s="24" t="n">
        <v>0.09624841809272761</v>
      </c>
      <c r="J54" s="6" t="n">
        <v>71000</v>
      </c>
      <c r="K54" s="25">
        <f>23*10^-6</f>
        <v/>
      </c>
      <c r="L54" s="8">
        <f>H54</f>
        <v/>
      </c>
      <c r="M54" s="26">
        <f>H54^2/6</f>
        <v/>
      </c>
      <c r="N54" s="26">
        <f>H54^3/12</f>
        <v/>
      </c>
      <c r="O54" s="27">
        <f>-J54*L54*K54*C54</f>
        <v/>
      </c>
      <c r="P54" s="28">
        <f>-(12*F54*J54*L54*N54+12*O54*N54*G54*COS(RADIANS(E54)))/(12*N54*G54*COS(RADIANS(E54))^2+L54*G54^3*SIN(RADIANS(E54))^2)</f>
        <v/>
      </c>
      <c r="Q54" s="28">
        <f>-(6*F54*J54*L54*N54*SIN(RADIANS(E54))+6*O54*N54*G54*SIN(RADIANS(E54))*COS(RADIANS(E54)))/(12*N54*COS(RADIANS(E54))^2+L54*G54^2*SIN(RADIANS(E54))^2)</f>
        <v/>
      </c>
      <c r="R54" s="28">
        <f>-P54*SIN(RADIANS(E54))</f>
        <v/>
      </c>
      <c r="S54" s="8">
        <f>(O54+P54*COS(RADIANS(E54)))/L54</f>
        <v/>
      </c>
      <c r="T54" s="8">
        <f>R54/L54</f>
        <v/>
      </c>
      <c r="U54" s="8">
        <f>(Q54-P54*G54*SIN(RADIANS(E54)))/M54</f>
        <v/>
      </c>
      <c r="V54" s="8">
        <f>SQRT((S54+U54)^2+3*T54^2)</f>
        <v/>
      </c>
      <c r="W54" s="8">
        <f>V54/AA54</f>
        <v/>
      </c>
      <c r="X54" s="27">
        <f>((3*10+H54/COS(RADIANS(E54)))*(3+3)+3*G54*H54)*2</f>
        <v/>
      </c>
      <c r="Y54" s="28">
        <f>Z54/X54</f>
        <v/>
      </c>
      <c r="Z54" s="29" t="n">
        <v>611.905929107897</v>
      </c>
      <c r="AA54" s="20" t="n">
        <v>48.8990213378803</v>
      </c>
      <c r="AB54" t="n">
        <v>0.1382643459583429</v>
      </c>
      <c r="AC54" t="n">
        <v>51.75455298603521</v>
      </c>
      <c r="AD54" t="n">
        <v>43.65362953304468</v>
      </c>
    </row>
    <row r="55">
      <c r="A55" t="n">
        <v>54</v>
      </c>
      <c r="B55" t="n">
        <v>80.40000000000001</v>
      </c>
      <c r="C55" s="21">
        <f>B55-20</f>
        <v/>
      </c>
      <c r="D55" t="n">
        <v>121.5</v>
      </c>
      <c r="E55" s="22">
        <f>D55-90</f>
        <v/>
      </c>
      <c r="F55" s="23" t="n">
        <v>0.023505</v>
      </c>
      <c r="G55" s="22" t="n">
        <v>33</v>
      </c>
      <c r="H55" s="22" t="n">
        <v>1.1</v>
      </c>
      <c r="I55" s="24" t="n">
        <v>0.105797886848449</v>
      </c>
      <c r="J55" s="6" t="n">
        <v>71000</v>
      </c>
      <c r="K55" s="25">
        <f>23*10^-6</f>
        <v/>
      </c>
      <c r="L55" s="8">
        <f>H55</f>
        <v/>
      </c>
      <c r="M55" s="26">
        <f>H55^2/6</f>
        <v/>
      </c>
      <c r="N55" s="26">
        <f>H55^3/12</f>
        <v/>
      </c>
      <c r="O55" s="27">
        <f>-J55*L55*K55*C55</f>
        <v/>
      </c>
      <c r="P55" s="28">
        <f>-(12*F55*J55*L55*N55+12*O55*N55*G55*COS(RADIANS(E55)))/(12*N55*G55*COS(RADIANS(E55))^2+L55*G55^3*SIN(RADIANS(E55))^2)</f>
        <v/>
      </c>
      <c r="Q55" s="28">
        <f>-(6*F55*J55*L55*N55*SIN(RADIANS(E55))+6*O55*N55*G55*SIN(RADIANS(E55))*COS(RADIANS(E55)))/(12*N55*COS(RADIANS(E55))^2+L55*G55^2*SIN(RADIANS(E55))^2)</f>
        <v/>
      </c>
      <c r="R55" s="28">
        <f>-P55*SIN(RADIANS(E55))</f>
        <v/>
      </c>
      <c r="S55" s="8">
        <f>(O55+P55*COS(RADIANS(E55)))/L55</f>
        <v/>
      </c>
      <c r="T55" s="8">
        <f>R55/L55</f>
        <v/>
      </c>
      <c r="U55" s="8">
        <f>(Q55-P55*G55*SIN(RADIANS(E55)))/M55</f>
        <v/>
      </c>
      <c r="V55" s="8">
        <f>SQRT((S55+U55)^2+3*T55^2)</f>
        <v/>
      </c>
      <c r="W55" s="8">
        <f>V55/AA55</f>
        <v/>
      </c>
      <c r="X55" s="27">
        <f>((3*10+H55/COS(RADIANS(E55)))*(3+3)+3*G55*H55)*2</f>
        <v/>
      </c>
      <c r="Y55" s="28">
        <f>Z55/X55</f>
        <v/>
      </c>
      <c r="Z55" s="29" t="n">
        <v>600.8628196996819</v>
      </c>
      <c r="AA55" s="20" t="n">
        <v>81.127413204706</v>
      </c>
      <c r="AB55" t="n">
        <v>0.1256821210416123</v>
      </c>
      <c r="AC55" t="n">
        <v>86.29108551665227</v>
      </c>
      <c r="AD55" t="n">
        <v>18.7945475902053</v>
      </c>
    </row>
    <row r="56">
      <c r="A56" t="n">
        <v>55</v>
      </c>
      <c r="B56" t="n">
        <v>58.8</v>
      </c>
      <c r="C56" s="21">
        <f>B56-20</f>
        <v/>
      </c>
      <c r="D56" t="n">
        <v>109.7</v>
      </c>
      <c r="E56" s="22">
        <f>D56-90</f>
        <v/>
      </c>
      <c r="F56" s="23" t="n">
        <v>0.014605</v>
      </c>
      <c r="G56" s="22" t="n">
        <v>28.7</v>
      </c>
      <c r="H56" s="22" t="n">
        <v>1.7</v>
      </c>
      <c r="I56" s="24" t="n">
        <v>0.0860318019986152</v>
      </c>
      <c r="J56" s="6" t="n">
        <v>71000</v>
      </c>
      <c r="K56" s="25">
        <f>23*10^-6</f>
        <v/>
      </c>
      <c r="L56" s="8">
        <f>H56</f>
        <v/>
      </c>
      <c r="M56" s="26">
        <f>H56^2/6</f>
        <v/>
      </c>
      <c r="N56" s="26">
        <f>H56^3/12</f>
        <v/>
      </c>
      <c r="O56" s="27">
        <f>-J56*L56*K56*C56</f>
        <v/>
      </c>
      <c r="P56" s="28">
        <f>-(12*F56*J56*L56*N56+12*O56*N56*G56*COS(RADIANS(E56)))/(12*N56*G56*COS(RADIANS(E56))^2+L56*G56^3*SIN(RADIANS(E56))^2)</f>
        <v/>
      </c>
      <c r="Q56" s="28">
        <f>-(6*F56*J56*L56*N56*SIN(RADIANS(E56))+6*O56*N56*G56*SIN(RADIANS(E56))*COS(RADIANS(E56)))/(12*N56*COS(RADIANS(E56))^2+L56*G56^2*SIN(RADIANS(E56))^2)</f>
        <v/>
      </c>
      <c r="R56" s="28">
        <f>-P56*SIN(RADIANS(E56))</f>
        <v/>
      </c>
      <c r="S56" s="8">
        <f>(O56+P56*COS(RADIANS(E56)))/L56</f>
        <v/>
      </c>
      <c r="T56" s="8">
        <f>R56/L56</f>
        <v/>
      </c>
      <c r="U56" s="8">
        <f>(Q56-P56*G56*SIN(RADIANS(E56)))/M56</f>
        <v/>
      </c>
      <c r="V56" s="8">
        <f>SQRT((S56+U56)^2+3*T56^2)</f>
        <v/>
      </c>
      <c r="W56" s="8">
        <f>V56/AA56</f>
        <v/>
      </c>
      <c r="X56" s="27">
        <f>((3*10+H56/COS(RADIANS(E56)))*(3+3)+3*G56*H56)*2</f>
        <v/>
      </c>
      <c r="Y56" s="28">
        <f>Z56/X56</f>
        <v/>
      </c>
      <c r="Z56" s="29" t="n">
        <v>679.3338939787971</v>
      </c>
      <c r="AA56" s="20" t="n">
        <v>62.4327392992531</v>
      </c>
      <c r="AB56" t="n">
        <v>0.1135198126887419</v>
      </c>
      <c r="AC56" t="n">
        <v>61.4926476710236</v>
      </c>
      <c r="AD56" t="n">
        <v>31.95098795044319</v>
      </c>
    </row>
    <row r="57">
      <c r="A57" t="n">
        <v>56</v>
      </c>
      <c r="B57" t="n">
        <v>76</v>
      </c>
      <c r="C57" s="21">
        <f>B57-20</f>
        <v/>
      </c>
      <c r="D57" t="n">
        <v>119.4</v>
      </c>
      <c r="E57" s="22">
        <f>D57-90</f>
        <v/>
      </c>
      <c r="F57" s="23" t="n">
        <v>0.018402</v>
      </c>
      <c r="G57" s="22" t="n">
        <v>26.2</v>
      </c>
      <c r="H57" s="22" t="n">
        <v>1.9</v>
      </c>
      <c r="I57" s="24" t="n">
        <v>0.08820184320211411</v>
      </c>
      <c r="J57" s="6" t="n">
        <v>71000</v>
      </c>
      <c r="K57" s="25">
        <f>23*10^-6</f>
        <v/>
      </c>
      <c r="L57" s="8">
        <f>H57</f>
        <v/>
      </c>
      <c r="M57" s="26">
        <f>H57^2/6</f>
        <v/>
      </c>
      <c r="N57" s="26">
        <f>H57^3/12</f>
        <v/>
      </c>
      <c r="O57" s="27">
        <f>-J57*L57*K57*C57</f>
        <v/>
      </c>
      <c r="P57" s="28">
        <f>-(12*F57*J57*L57*N57+12*O57*N57*G57*COS(RADIANS(E57)))/(12*N57*G57*COS(RADIANS(E57))^2+L57*G57^3*SIN(RADIANS(E57))^2)</f>
        <v/>
      </c>
      <c r="Q57" s="28">
        <f>-(6*F57*J57*L57*N57*SIN(RADIANS(E57))+6*O57*N57*G57*SIN(RADIANS(E57))*COS(RADIANS(E57)))/(12*N57*COS(RADIANS(E57))^2+L57*G57^2*SIN(RADIANS(E57))^2)</f>
        <v/>
      </c>
      <c r="R57" s="28">
        <f>-P57*SIN(RADIANS(E57))</f>
        <v/>
      </c>
      <c r="S57" s="8">
        <f>(O57+P57*COS(RADIANS(E57)))/L57</f>
        <v/>
      </c>
      <c r="T57" s="8">
        <f>R57/L57</f>
        <v/>
      </c>
      <c r="U57" s="8">
        <f>(Q57-P57*G57*SIN(RADIANS(E57)))/M57</f>
        <v/>
      </c>
      <c r="V57" s="8">
        <f>SQRT((S57+U57)^2+3*T57^2)</f>
        <v/>
      </c>
      <c r="W57" s="8">
        <f>V57/AA57</f>
        <v/>
      </c>
      <c r="X57" s="27">
        <f>((3*10+H57/COS(RADIANS(E57)))*(3+3)+3*G57*H57)*2</f>
        <v/>
      </c>
      <c r="Y57" s="28">
        <f>Z57/X57</f>
        <v/>
      </c>
      <c r="Z57" s="29" t="n">
        <v>691.831786056993</v>
      </c>
      <c r="AA57" s="20" t="n">
        <v>91.25778063665049</v>
      </c>
      <c r="AB57" t="n">
        <v>0.09957959262533385</v>
      </c>
      <c r="AC57" t="n">
        <v>85.44343162111511</v>
      </c>
      <c r="AD57" t="n">
        <v>12.89967307956103</v>
      </c>
    </row>
    <row r="58">
      <c r="A58" t="n">
        <v>57</v>
      </c>
      <c r="B58" t="n">
        <v>45.3</v>
      </c>
      <c r="C58" s="21">
        <f>B58-20</f>
        <v/>
      </c>
      <c r="D58" t="n">
        <v>127.9</v>
      </c>
      <c r="E58" s="22">
        <f>D58-90</f>
        <v/>
      </c>
      <c r="F58" s="23" t="n">
        <v>0.007102</v>
      </c>
      <c r="G58" s="22" t="n">
        <v>23.6</v>
      </c>
      <c r="H58" s="22" t="n">
        <v>1</v>
      </c>
      <c r="I58" s="24" t="n">
        <v>0.0317846275866031</v>
      </c>
      <c r="J58" s="6" t="n">
        <v>71000</v>
      </c>
      <c r="K58" s="25">
        <f>23*10^-6</f>
        <v/>
      </c>
      <c r="L58" s="8">
        <f>H58</f>
        <v/>
      </c>
      <c r="M58" s="26">
        <f>H58^2/6</f>
        <v/>
      </c>
      <c r="N58" s="26">
        <f>H58^3/12</f>
        <v/>
      </c>
      <c r="O58" s="27">
        <f>-J58*L58*K58*C58</f>
        <v/>
      </c>
      <c r="P58" s="28">
        <f>-(12*F58*J58*L58*N58+12*O58*N58*G58*COS(RADIANS(E58)))/(12*N58*G58*COS(RADIANS(E58))^2+L58*G58^3*SIN(RADIANS(E58))^2)</f>
        <v/>
      </c>
      <c r="Q58" s="28">
        <f>-(6*F58*J58*L58*N58*SIN(RADIANS(E58))+6*O58*N58*G58*SIN(RADIANS(E58))*COS(RADIANS(E58)))/(12*N58*COS(RADIANS(E58))^2+L58*G58^2*SIN(RADIANS(E58))^2)</f>
        <v/>
      </c>
      <c r="R58" s="28">
        <f>-P58*SIN(RADIANS(E58))</f>
        <v/>
      </c>
      <c r="S58" s="8">
        <f>(O58+P58*COS(RADIANS(E58)))/L58</f>
        <v/>
      </c>
      <c r="T58" s="8">
        <f>R58/L58</f>
        <v/>
      </c>
      <c r="U58" s="8">
        <f>(Q58-P58*G58*SIN(RADIANS(E58)))/M58</f>
        <v/>
      </c>
      <c r="V58" s="8">
        <f>SQRT((S58+U58)^2+3*T58^2)</f>
        <v/>
      </c>
      <c r="W58" s="8">
        <f>V58/AA58</f>
        <v/>
      </c>
      <c r="X58" s="27">
        <f>((3*10+H58/COS(RADIANS(E58)))*(3+3)+3*G58*H58)*2</f>
        <v/>
      </c>
      <c r="Y58" s="28">
        <f>Z58/X58</f>
        <v/>
      </c>
      <c r="Z58" s="29" t="n">
        <v>526.656143756263</v>
      </c>
      <c r="AA58" s="20" t="n">
        <v>33.5690103447466</v>
      </c>
      <c r="AB58" t="n">
        <v>0.03136888199816749</v>
      </c>
      <c r="AC58" t="n">
        <v>35.8531427180485</v>
      </c>
      <c r="AD58" t="n">
        <v>-1.308008367575904</v>
      </c>
    </row>
    <row r="59">
      <c r="A59" t="n">
        <v>58</v>
      </c>
      <c r="B59" t="n">
        <v>84</v>
      </c>
      <c r="C59" s="21">
        <f>B59-20</f>
        <v/>
      </c>
      <c r="D59" t="n">
        <v>122.8</v>
      </c>
      <c r="E59" s="22">
        <f>D59-90</f>
        <v/>
      </c>
      <c r="F59" s="23" t="n">
        <v>0.0216109999999999</v>
      </c>
      <c r="G59" s="22" t="n">
        <v>28.1</v>
      </c>
      <c r="H59" s="22" t="n">
        <v>1</v>
      </c>
      <c r="I59" s="24" t="n">
        <v>0.0980544984340667</v>
      </c>
      <c r="J59" s="6" t="n">
        <v>71000</v>
      </c>
      <c r="K59" s="25">
        <f>23*10^-6</f>
        <v/>
      </c>
      <c r="L59" s="8">
        <f>H59</f>
        <v/>
      </c>
      <c r="M59" s="26">
        <f>H59^2/6</f>
        <v/>
      </c>
      <c r="N59" s="26">
        <f>H59^3/12</f>
        <v/>
      </c>
      <c r="O59" s="27">
        <f>-J59*L59*K59*C59</f>
        <v/>
      </c>
      <c r="P59" s="28">
        <f>-(12*F59*J59*L59*N59+12*O59*N59*G59*COS(RADIANS(E59)))/(12*N59*G59*COS(RADIANS(E59))^2+L59*G59^3*SIN(RADIANS(E59))^2)</f>
        <v/>
      </c>
      <c r="Q59" s="28">
        <f>-(6*F59*J59*L59*N59*SIN(RADIANS(E59))+6*O59*N59*G59*SIN(RADIANS(E59))*COS(RADIANS(E59)))/(12*N59*COS(RADIANS(E59))^2+L59*G59^2*SIN(RADIANS(E59))^2)</f>
        <v/>
      </c>
      <c r="R59" s="28">
        <f>-P59*SIN(RADIANS(E59))</f>
        <v/>
      </c>
      <c r="S59" s="8">
        <f>(O59+P59*COS(RADIANS(E59)))/L59</f>
        <v/>
      </c>
      <c r="T59" s="8">
        <f>R59/L59</f>
        <v/>
      </c>
      <c r="U59" s="8">
        <f>(Q59-P59*G59*SIN(RADIANS(E59)))/M59</f>
        <v/>
      </c>
      <c r="V59" s="8">
        <f>SQRT((S59+U59)^2+3*T59^2)</f>
        <v/>
      </c>
      <c r="W59" s="8">
        <f>V59/AA59</f>
        <v/>
      </c>
      <c r="X59" s="27">
        <f>((3*10+H59/COS(RADIANS(E59)))*(3+3)+3*G59*H59)*2</f>
        <v/>
      </c>
      <c r="Y59" s="28">
        <f>Z59/X59</f>
        <v/>
      </c>
      <c r="Z59" s="29" t="n">
        <v>550.861883387509</v>
      </c>
      <c r="AA59" s="20" t="n">
        <v>84.8950216123808</v>
      </c>
      <c r="AB59" t="n">
        <v>0.1095137997210937</v>
      </c>
      <c r="AC59" t="n">
        <v>91.23359749123904</v>
      </c>
      <c r="AD59" t="n">
        <v>11.68666554827409</v>
      </c>
    </row>
    <row r="60">
      <c r="A60" t="n">
        <v>59</v>
      </c>
      <c r="B60" t="n">
        <v>82.40000000000001</v>
      </c>
      <c r="C60" s="21">
        <f>B60-20</f>
        <v/>
      </c>
      <c r="D60" t="n">
        <v>121.2</v>
      </c>
      <c r="E60" s="22">
        <f>D60-90</f>
        <v/>
      </c>
      <c r="F60" s="23" t="n">
        <v>0.022583</v>
      </c>
      <c r="G60" s="22" t="n">
        <v>30.1</v>
      </c>
      <c r="H60" s="22" t="n">
        <v>1.6</v>
      </c>
      <c r="I60" s="24" t="n">
        <v>0.103551857173442</v>
      </c>
      <c r="J60" s="6" t="n">
        <v>71000</v>
      </c>
      <c r="K60" s="25">
        <f>23*10^-6</f>
        <v/>
      </c>
      <c r="L60" s="8">
        <f>H60</f>
        <v/>
      </c>
      <c r="M60" s="26">
        <f>H60^2/6</f>
        <v/>
      </c>
      <c r="N60" s="26">
        <f>H60^3/12</f>
        <v/>
      </c>
      <c r="O60" s="27">
        <f>-J60*L60*K60*C60</f>
        <v/>
      </c>
      <c r="P60" s="28">
        <f>-(12*F60*J60*L60*N60+12*O60*N60*G60*COS(RADIANS(E60)))/(12*N60*G60*COS(RADIANS(E60))^2+L60*G60^3*SIN(RADIANS(E60))^2)</f>
        <v/>
      </c>
      <c r="Q60" s="28">
        <f>-(6*F60*J60*L60*N60*SIN(RADIANS(E60))+6*O60*N60*G60*SIN(RADIANS(E60))*COS(RADIANS(E60)))/(12*N60*COS(RADIANS(E60))^2+L60*G60^2*SIN(RADIANS(E60))^2)</f>
        <v/>
      </c>
      <c r="R60" s="28">
        <f>-P60*SIN(RADIANS(E60))</f>
        <v/>
      </c>
      <c r="S60" s="8">
        <f>(O60+P60*COS(RADIANS(E60)))/L60</f>
        <v/>
      </c>
      <c r="T60" s="8">
        <f>R60/L60</f>
        <v/>
      </c>
      <c r="U60" s="8">
        <f>(Q60-P60*G60*SIN(RADIANS(E60)))/M60</f>
        <v/>
      </c>
      <c r="V60" s="8">
        <f>SQRT((S60+U60)^2+3*T60^2)</f>
        <v/>
      </c>
      <c r="W60" s="8">
        <f>V60/AA60</f>
        <v/>
      </c>
      <c r="X60" s="27">
        <f>((3*10+H60/COS(RADIANS(E60)))*(3+3)+3*G60*H60)*2</f>
        <v/>
      </c>
      <c r="Y60" s="28">
        <f>Z60/X60</f>
        <v/>
      </c>
      <c r="Z60" s="29" t="n">
        <v>678.898428349176</v>
      </c>
      <c r="AA60" s="20" t="n">
        <v>94.68329976965489</v>
      </c>
      <c r="AB60" t="n">
        <v>0.119654489295171</v>
      </c>
      <c r="AC60" t="n">
        <v>92.07748921006748</v>
      </c>
      <c r="AD60" t="n">
        <v>15.55030741240905</v>
      </c>
    </row>
    <row r="61">
      <c r="A61" t="n">
        <v>60</v>
      </c>
      <c r="B61" t="n">
        <v>69.59999999999999</v>
      </c>
      <c r="C61" s="21">
        <f>B61-20</f>
        <v/>
      </c>
      <c r="D61" t="n">
        <v>122.3</v>
      </c>
      <c r="E61" s="22">
        <f>D61-90</f>
        <v/>
      </c>
      <c r="F61" s="23" t="n">
        <v>0.016106</v>
      </c>
      <c r="G61" s="22" t="n">
        <v>26.6</v>
      </c>
      <c r="H61" s="22" t="n">
        <v>1</v>
      </c>
      <c r="I61" s="24" t="n">
        <v>0.07410140335559839</v>
      </c>
      <c r="J61" s="6" t="n">
        <v>71000</v>
      </c>
      <c r="K61" s="25">
        <f>23*10^-6</f>
        <v/>
      </c>
      <c r="L61" s="8">
        <f>H61</f>
        <v/>
      </c>
      <c r="M61" s="26">
        <f>H61^2/6</f>
        <v/>
      </c>
      <c r="N61" s="26">
        <f>H61^3/12</f>
        <v/>
      </c>
      <c r="O61" s="27">
        <f>-J61*L61*K61*C61</f>
        <v/>
      </c>
      <c r="P61" s="28">
        <f>-(12*F61*J61*L61*N61+12*O61*N61*G61*COS(RADIANS(E61)))/(12*N61*G61*COS(RADIANS(E61))^2+L61*G61^3*SIN(RADIANS(E61))^2)</f>
        <v/>
      </c>
      <c r="Q61" s="28">
        <f>-(6*F61*J61*L61*N61*SIN(RADIANS(E61))+6*O61*N61*G61*SIN(RADIANS(E61))*COS(RADIANS(E61)))/(12*N61*COS(RADIANS(E61))^2+L61*G61^2*SIN(RADIANS(E61))^2)</f>
        <v/>
      </c>
      <c r="R61" s="28">
        <f>-P61*SIN(RADIANS(E61))</f>
        <v/>
      </c>
      <c r="S61" s="8">
        <f>(O61+P61*COS(RADIANS(E61)))/L61</f>
        <v/>
      </c>
      <c r="T61" s="8">
        <f>R61/L61</f>
        <v/>
      </c>
      <c r="U61" s="8">
        <f>(Q61-P61*G61*SIN(RADIANS(E61)))/M61</f>
        <v/>
      </c>
      <c r="V61" s="8">
        <f>SQRT((S61+U61)^2+3*T61^2)</f>
        <v/>
      </c>
      <c r="W61" s="8">
        <f>V61/AA61</f>
        <v/>
      </c>
      <c r="X61" s="27">
        <f>((3*10+H61/COS(RADIANS(E61)))*(3+3)+3*G61*H61)*2</f>
        <v/>
      </c>
      <c r="Y61" s="28">
        <f>Z61/X61</f>
        <v/>
      </c>
      <c r="Z61" s="29" t="n">
        <v>541.6239825579599</v>
      </c>
      <c r="AA61" s="20" t="n">
        <v>66.5309817620836</v>
      </c>
      <c r="AB61" t="n">
        <v>0.08194024393327511</v>
      </c>
      <c r="AC61" t="n">
        <v>70.93809337448349</v>
      </c>
      <c r="AD61" t="n">
        <v>10.57853188023933</v>
      </c>
    </row>
    <row r="62">
      <c r="A62" t="n">
        <v>61</v>
      </c>
      <c r="B62" t="n">
        <v>67.8</v>
      </c>
      <c r="C62" s="21">
        <f>B62-20</f>
        <v/>
      </c>
      <c r="D62" t="n">
        <v>126.3</v>
      </c>
      <c r="E62" s="22">
        <f>D62-90</f>
        <v/>
      </c>
      <c r="F62" s="23" t="n">
        <v>0.013722</v>
      </c>
      <c r="G62" s="22" t="n">
        <v>23.8</v>
      </c>
      <c r="H62" s="22" t="n">
        <v>1.4</v>
      </c>
      <c r="I62" s="24" t="n">
        <v>0.0620564147830009</v>
      </c>
      <c r="J62" s="6" t="n">
        <v>71000</v>
      </c>
      <c r="K62" s="25">
        <f>23*10^-6</f>
        <v/>
      </c>
      <c r="L62" s="8">
        <f>H62</f>
        <v/>
      </c>
      <c r="M62" s="26">
        <f>H62^2/6</f>
        <v/>
      </c>
      <c r="N62" s="26">
        <f>H62^3/12</f>
        <v/>
      </c>
      <c r="O62" s="27">
        <f>-J62*L62*K62*C62</f>
        <v/>
      </c>
      <c r="P62" s="28">
        <f>-(12*F62*J62*L62*N62+12*O62*N62*G62*COS(RADIANS(E62)))/(12*N62*G62*COS(RADIANS(E62))^2+L62*G62^3*SIN(RADIANS(E62))^2)</f>
        <v/>
      </c>
      <c r="Q62" s="28">
        <f>-(6*F62*J62*L62*N62*SIN(RADIANS(E62))+6*O62*N62*G62*SIN(RADIANS(E62))*COS(RADIANS(E62)))/(12*N62*COS(RADIANS(E62))^2+L62*G62^2*SIN(RADIANS(E62))^2)</f>
        <v/>
      </c>
      <c r="R62" s="28">
        <f>-P62*SIN(RADIANS(E62))</f>
        <v/>
      </c>
      <c r="S62" s="8">
        <f>(O62+P62*COS(RADIANS(E62)))/L62</f>
        <v/>
      </c>
      <c r="T62" s="8">
        <f>R62/L62</f>
        <v/>
      </c>
      <c r="U62" s="8">
        <f>(Q62-P62*G62*SIN(RADIANS(E62)))/M62</f>
        <v/>
      </c>
      <c r="V62" s="8">
        <f>SQRT((S62+U62)^2+3*T62^2)</f>
        <v/>
      </c>
      <c r="W62" s="8">
        <f>V62/AA62</f>
        <v/>
      </c>
      <c r="X62" s="27">
        <f>((3*10+H62/COS(RADIANS(E62)))*(3+3)+3*G62*H62)*2</f>
        <v/>
      </c>
      <c r="Y62" s="28">
        <f>Z62/X62</f>
        <v/>
      </c>
      <c r="Z62" s="29" t="n">
        <v>589.97848137144</v>
      </c>
      <c r="AA62" s="20" t="n">
        <v>70.5449255619982</v>
      </c>
      <c r="AB62" t="n">
        <v>0.0624128103036542</v>
      </c>
      <c r="AC62" t="n">
        <v>69.41164722741051</v>
      </c>
      <c r="AD62" t="n">
        <v>0.5743089121399388</v>
      </c>
    </row>
    <row r="63">
      <c r="A63" t="n">
        <v>62</v>
      </c>
      <c r="B63" t="n">
        <v>66.3</v>
      </c>
      <c r="C63" s="21">
        <f>B63-20</f>
        <v/>
      </c>
      <c r="D63" t="n">
        <v>111.9</v>
      </c>
      <c r="E63" s="22">
        <f>D63-90</f>
        <v/>
      </c>
      <c r="F63" s="23" t="n">
        <v>0.013794</v>
      </c>
      <c r="G63" s="22" t="n">
        <v>21.7</v>
      </c>
      <c r="H63" s="22" t="n">
        <v>1.8</v>
      </c>
      <c r="I63" s="24" t="n">
        <v>0.078480839729309</v>
      </c>
      <c r="J63" s="6" t="n">
        <v>71000</v>
      </c>
      <c r="K63" s="25">
        <f>23*10^-6</f>
        <v/>
      </c>
      <c r="L63" s="8">
        <f>H63</f>
        <v/>
      </c>
      <c r="M63" s="26">
        <f>H63^2/6</f>
        <v/>
      </c>
      <c r="N63" s="26">
        <f>H63^3/12</f>
        <v/>
      </c>
      <c r="O63" s="27">
        <f>-J63*L63*K63*C63</f>
        <v/>
      </c>
      <c r="P63" s="28">
        <f>-(12*F63*J63*L63*N63+12*O63*N63*G63*COS(RADIANS(E63)))/(12*N63*G63*COS(RADIANS(E63))^2+L63*G63^3*SIN(RADIANS(E63))^2)</f>
        <v/>
      </c>
      <c r="Q63" s="28">
        <f>-(6*F63*J63*L63*N63*SIN(RADIANS(E63))+6*O63*N63*G63*SIN(RADIANS(E63))*COS(RADIANS(E63)))/(12*N63*COS(RADIANS(E63))^2+L63*G63^2*SIN(RADIANS(E63))^2)</f>
        <v/>
      </c>
      <c r="R63" s="28">
        <f>-P63*SIN(RADIANS(E63))</f>
        <v/>
      </c>
      <c r="S63" s="8">
        <f>(O63+P63*COS(RADIANS(E63)))/L63</f>
        <v/>
      </c>
      <c r="T63" s="8">
        <f>R63/L63</f>
        <v/>
      </c>
      <c r="U63" s="8">
        <f>(Q63-P63*G63*SIN(RADIANS(E63)))/M63</f>
        <v/>
      </c>
      <c r="V63" s="8">
        <f>SQRT((S63+U63)^2+3*T63^2)</f>
        <v/>
      </c>
      <c r="W63" s="8">
        <f>V63/AA63</f>
        <v/>
      </c>
      <c r="X63" s="27">
        <f>((3*10+H63/COS(RADIANS(E63)))*(3+3)+3*G63*H63)*2</f>
        <v/>
      </c>
      <c r="Y63" s="28">
        <f>Z63/X63</f>
        <v/>
      </c>
      <c r="Z63" s="29" t="n">
        <v>622.940232364757</v>
      </c>
      <c r="AA63" s="20" t="n">
        <v>78.2616215950801</v>
      </c>
      <c r="AB63" t="n">
        <v>0.09211056346244295</v>
      </c>
      <c r="AC63" t="n">
        <v>74.45177408281725</v>
      </c>
      <c r="AD63" t="n">
        <v>17.36694431423607</v>
      </c>
    </row>
    <row r="64">
      <c r="A64" t="n">
        <v>63</v>
      </c>
      <c r="B64" t="n">
        <v>86.09999999999999</v>
      </c>
      <c r="C64" s="21">
        <f>B64-20</f>
        <v/>
      </c>
      <c r="D64" t="n">
        <v>107.1</v>
      </c>
      <c r="E64" s="22">
        <f>D64-90</f>
        <v/>
      </c>
      <c r="F64" s="23" t="n">
        <v>0.029297</v>
      </c>
      <c r="G64" s="22" t="n">
        <v>34.4</v>
      </c>
      <c r="H64" s="22" t="n">
        <v>1.1</v>
      </c>
      <c r="I64" s="24" t="n">
        <v>0.187989965081214</v>
      </c>
      <c r="J64" s="6" t="n">
        <v>71000</v>
      </c>
      <c r="K64" s="25">
        <f>23*10^-6</f>
        <v/>
      </c>
      <c r="L64" s="8">
        <f>H64</f>
        <v/>
      </c>
      <c r="M64" s="26">
        <f>H64^2/6</f>
        <v/>
      </c>
      <c r="N64" s="26">
        <f>H64^3/12</f>
        <v/>
      </c>
      <c r="O64" s="27">
        <f>-J64*L64*K64*C64</f>
        <v/>
      </c>
      <c r="P64" s="28">
        <f>-(12*F64*J64*L64*N64+12*O64*N64*G64*COS(RADIANS(E64)))/(12*N64*G64*COS(RADIANS(E64))^2+L64*G64^3*SIN(RADIANS(E64))^2)</f>
        <v/>
      </c>
      <c r="Q64" s="28">
        <f>-(6*F64*J64*L64*N64*SIN(RADIANS(E64))+6*O64*N64*G64*SIN(RADIANS(E64))*COS(RADIANS(E64)))/(12*N64*COS(RADIANS(E64))^2+L64*G64^2*SIN(RADIANS(E64))^2)</f>
        <v/>
      </c>
      <c r="R64" s="28">
        <f>-P64*SIN(RADIANS(E64))</f>
        <v/>
      </c>
      <c r="S64" s="8">
        <f>(O64+P64*COS(RADIANS(E64)))/L64</f>
        <v/>
      </c>
      <c r="T64" s="8">
        <f>R64/L64</f>
        <v/>
      </c>
      <c r="U64" s="8">
        <f>(Q64-P64*G64*SIN(RADIANS(E64)))/M64</f>
        <v/>
      </c>
      <c r="V64" s="8">
        <f>SQRT((S64+U64)^2+3*T64^2)</f>
        <v/>
      </c>
      <c r="W64" s="8">
        <f>V64/AA64</f>
        <v/>
      </c>
      <c r="X64" s="27">
        <f>((3*10+H64/COS(RADIANS(E64)))*(3+3)+3*G64*H64)*2</f>
        <v/>
      </c>
      <c r="Y64" s="28">
        <f>Z64/X64</f>
        <v/>
      </c>
      <c r="Z64" s="29" t="n">
        <v>605.394190034275</v>
      </c>
      <c r="AA64" s="20" t="n">
        <v>93.1873306239235</v>
      </c>
      <c r="AB64" t="n">
        <v>0.2700774561360711</v>
      </c>
      <c r="AC64" t="n">
        <v>99.72363546460133</v>
      </c>
      <c r="AD64" t="n">
        <v>43.66588983587198</v>
      </c>
    </row>
    <row r="65">
      <c r="A65" t="n">
        <v>64</v>
      </c>
      <c r="B65" t="n">
        <v>59</v>
      </c>
      <c r="C65" s="21">
        <f>B65-20</f>
        <v/>
      </c>
      <c r="D65" t="n">
        <v>122</v>
      </c>
      <c r="E65" s="22">
        <f>D65-90</f>
        <v/>
      </c>
      <c r="F65" s="23" t="n">
        <v>0.012207</v>
      </c>
      <c r="G65" s="22" t="n">
        <v>25.3</v>
      </c>
      <c r="H65" s="22" t="n">
        <v>1.6</v>
      </c>
      <c r="I65" s="24" t="n">
        <v>0.0568854808807373</v>
      </c>
      <c r="J65" s="6" t="n">
        <v>71000</v>
      </c>
      <c r="K65" s="25">
        <f>23*10^-6</f>
        <v/>
      </c>
      <c r="L65" s="8">
        <f>H65</f>
        <v/>
      </c>
      <c r="M65" s="26">
        <f>H65^2/6</f>
        <v/>
      </c>
      <c r="N65" s="26">
        <f>H65^3/12</f>
        <v/>
      </c>
      <c r="O65" s="27">
        <f>-J65*L65*K65*C65</f>
        <v/>
      </c>
      <c r="P65" s="28">
        <f>-(12*F65*J65*L65*N65+12*O65*N65*G65*COS(RADIANS(E65)))/(12*N65*G65*COS(RADIANS(E65))^2+L65*G65^3*SIN(RADIANS(E65))^2)</f>
        <v/>
      </c>
      <c r="Q65" s="28">
        <f>-(6*F65*J65*L65*N65*SIN(RADIANS(E65))+6*O65*N65*G65*SIN(RADIANS(E65))*COS(RADIANS(E65)))/(12*N65*COS(RADIANS(E65))^2+L65*G65^2*SIN(RADIANS(E65))^2)</f>
        <v/>
      </c>
      <c r="R65" s="28">
        <f>-P65*SIN(RADIANS(E65))</f>
        <v/>
      </c>
      <c r="S65" s="8">
        <f>(O65+P65*COS(RADIANS(E65)))/L65</f>
        <v/>
      </c>
      <c r="T65" s="8">
        <f>R65/L65</f>
        <v/>
      </c>
      <c r="U65" s="8">
        <f>(Q65-P65*G65*SIN(RADIANS(E65)))/M65</f>
        <v/>
      </c>
      <c r="V65" s="8">
        <f>SQRT((S65+U65)^2+3*T65^2)</f>
        <v/>
      </c>
      <c r="W65" s="8">
        <f>V65/AA65</f>
        <v/>
      </c>
      <c r="X65" s="27">
        <f>((3*10+H65/COS(RADIANS(E65)))*(3+3)+3*G65*H65)*2</f>
        <v/>
      </c>
      <c r="Y65" s="28">
        <f>Z65/X65</f>
        <v/>
      </c>
      <c r="Z65" s="29" t="n">
        <v>633.254136410882</v>
      </c>
      <c r="AA65" s="20" t="n">
        <v>60.0021363329465</v>
      </c>
      <c r="AB65" t="n">
        <v>0.06165088249538399</v>
      </c>
      <c r="AC65" t="n">
        <v>57.9456657017628</v>
      </c>
      <c r="AD65" t="n">
        <v>8.377184372647834</v>
      </c>
    </row>
    <row r="66">
      <c r="A66" t="n">
        <v>65</v>
      </c>
      <c r="B66" t="n">
        <v>60.6</v>
      </c>
      <c r="C66" s="21">
        <f>B66-20</f>
        <v/>
      </c>
      <c r="D66" t="n">
        <v>107.9</v>
      </c>
      <c r="E66" s="22">
        <f>D66-90</f>
        <v/>
      </c>
      <c r="F66" s="23" t="n">
        <v>0.01762</v>
      </c>
      <c r="G66" s="22" t="n">
        <v>33.7</v>
      </c>
      <c r="H66" s="22" t="n">
        <v>1.1</v>
      </c>
      <c r="I66" s="24" t="n">
        <v>0.109630234539508</v>
      </c>
      <c r="J66" s="6" t="n">
        <v>71000</v>
      </c>
      <c r="K66" s="25">
        <f>23*10^-6</f>
        <v/>
      </c>
      <c r="L66" s="8">
        <f>H66</f>
        <v/>
      </c>
      <c r="M66" s="26">
        <f>H66^2/6</f>
        <v/>
      </c>
      <c r="N66" s="26">
        <f>H66^3/12</f>
        <v/>
      </c>
      <c r="O66" s="27">
        <f>-J66*L66*K66*C66</f>
        <v/>
      </c>
      <c r="P66" s="28">
        <f>-(12*F66*J66*L66*N66+12*O66*N66*G66*COS(RADIANS(E66)))/(12*N66*G66*COS(RADIANS(E66))^2+L66*G66^3*SIN(RADIANS(E66))^2)</f>
        <v/>
      </c>
      <c r="Q66" s="28">
        <f>-(6*F66*J66*L66*N66*SIN(RADIANS(E66))+6*O66*N66*G66*SIN(RADIANS(E66))*COS(RADIANS(E66)))/(12*N66*COS(RADIANS(E66))^2+L66*G66^2*SIN(RADIANS(E66))^2)</f>
        <v/>
      </c>
      <c r="R66" s="28">
        <f>-P66*SIN(RADIANS(E66))</f>
        <v/>
      </c>
      <c r="S66" s="8">
        <f>(O66+P66*COS(RADIANS(E66)))/L66</f>
        <v/>
      </c>
      <c r="T66" s="8">
        <f>R66/L66</f>
        <v/>
      </c>
      <c r="U66" s="8">
        <f>(Q66-P66*G66*SIN(RADIANS(E66)))/M66</f>
        <v/>
      </c>
      <c r="V66" s="8">
        <f>SQRT((S66+U66)^2+3*T66^2)</f>
        <v/>
      </c>
      <c r="W66" s="8">
        <f>V66/AA66</f>
        <v/>
      </c>
      <c r="X66" s="27">
        <f>((3*10+H66/COS(RADIANS(E66)))*(3+3)+3*G66*H66)*2</f>
        <v/>
      </c>
      <c r="Y66" s="28">
        <f>Z66/X66</f>
        <v/>
      </c>
      <c r="Z66" s="29" t="n">
        <v>600.945914763047</v>
      </c>
      <c r="AA66" s="20" t="n">
        <v>57.829139915445</v>
      </c>
      <c r="AB66" t="n">
        <v>0.1552937834353129</v>
      </c>
      <c r="AC66" t="n">
        <v>61.04004088081868</v>
      </c>
      <c r="AD66" t="n">
        <v>41.65233166526603</v>
      </c>
    </row>
    <row r="67">
      <c r="A67" t="n">
        <v>66</v>
      </c>
      <c r="B67" t="n">
        <v>52.1</v>
      </c>
      <c r="C67" s="21">
        <f>B67-20</f>
        <v/>
      </c>
      <c r="D67" t="n">
        <v>111.8</v>
      </c>
      <c r="E67" s="22">
        <f>D67-90</f>
        <v/>
      </c>
      <c r="F67" s="23" t="n">
        <v>0.010962</v>
      </c>
      <c r="G67" s="22" t="n">
        <v>25.8</v>
      </c>
      <c r="H67" s="22" t="n">
        <v>1.5</v>
      </c>
      <c r="I67" s="24" t="n">
        <v>0.0615866854786872</v>
      </c>
      <c r="J67" s="6" t="n">
        <v>71000</v>
      </c>
      <c r="K67" s="25">
        <f>23*10^-6</f>
        <v/>
      </c>
      <c r="L67" s="8">
        <f>H67</f>
        <v/>
      </c>
      <c r="M67" s="26">
        <f>H67^2/6</f>
        <v/>
      </c>
      <c r="N67" s="26">
        <f>H67^3/12</f>
        <v/>
      </c>
      <c r="O67" s="27">
        <f>-J67*L67*K67*C67</f>
        <v/>
      </c>
      <c r="P67" s="28">
        <f>-(12*F67*J67*L67*N67+12*O67*N67*G67*COS(RADIANS(E67)))/(12*N67*G67*COS(RADIANS(E67))^2+L67*G67^3*SIN(RADIANS(E67))^2)</f>
        <v/>
      </c>
      <c r="Q67" s="28">
        <f>-(6*F67*J67*L67*N67*SIN(RADIANS(E67))+6*O67*N67*G67*SIN(RADIANS(E67))*COS(RADIANS(E67)))/(12*N67*COS(RADIANS(E67))^2+L67*G67^2*SIN(RADIANS(E67))^2)</f>
        <v/>
      </c>
      <c r="R67" s="28">
        <f>-P67*SIN(RADIANS(E67))</f>
        <v/>
      </c>
      <c r="S67" s="8">
        <f>(O67+P67*COS(RADIANS(E67)))/L67</f>
        <v/>
      </c>
      <c r="T67" s="8">
        <f>R67/L67</f>
        <v/>
      </c>
      <c r="U67" s="8">
        <f>(Q67-P67*G67*SIN(RADIANS(E67)))/M67</f>
        <v/>
      </c>
      <c r="V67" s="8">
        <f>SQRT((S67+U67)^2+3*T67^2)</f>
        <v/>
      </c>
      <c r="W67" s="8">
        <f>V67/AA67</f>
        <v/>
      </c>
      <c r="X67" s="27">
        <f>((3*10+H67/COS(RADIANS(E67)))*(3+3)+3*G67*H67)*2</f>
        <v/>
      </c>
      <c r="Y67" s="28">
        <f>Z67/X67</f>
        <v/>
      </c>
      <c r="Z67" s="29" t="n">
        <v>616.868568664243</v>
      </c>
      <c r="AA67" s="20" t="n">
        <v>49.5522252461832</v>
      </c>
      <c r="AB67" t="n">
        <v>0.07697891862684146</v>
      </c>
      <c r="AC67" t="n">
        <v>49.77585235432239</v>
      </c>
      <c r="AD67" t="n">
        <v>24.99279353729942</v>
      </c>
    </row>
    <row r="68">
      <c r="A68" t="n">
        <v>67</v>
      </c>
      <c r="B68" t="n">
        <v>89.2</v>
      </c>
      <c r="C68" s="21">
        <f>B68-20</f>
        <v/>
      </c>
      <c r="D68" t="n">
        <v>103.9</v>
      </c>
      <c r="E68" s="22">
        <f>D68-90</f>
        <v/>
      </c>
      <c r="F68" s="23" t="n">
        <v>0.027247</v>
      </c>
      <c r="G68" s="22" t="n">
        <v>29.4</v>
      </c>
      <c r="H68" s="22" t="n">
        <v>1.7</v>
      </c>
      <c r="I68" s="24" t="n">
        <v>0.202540889382362</v>
      </c>
      <c r="J68" s="6" t="n">
        <v>71000</v>
      </c>
      <c r="K68" s="25">
        <f>23*10^-6</f>
        <v/>
      </c>
      <c r="L68" s="8">
        <f>H68</f>
        <v/>
      </c>
      <c r="M68" s="26">
        <f>H68^2/6</f>
        <v/>
      </c>
      <c r="N68" s="26">
        <f>H68^3/12</f>
        <v/>
      </c>
      <c r="O68" s="27">
        <f>-J68*L68*K68*C68</f>
        <v/>
      </c>
      <c r="P68" s="28">
        <f>-(12*F68*J68*L68*N68+12*O68*N68*G68*COS(RADIANS(E68)))/(12*N68*G68*COS(RADIANS(E68))^2+L68*G68^3*SIN(RADIANS(E68))^2)</f>
        <v/>
      </c>
      <c r="Q68" s="28">
        <f>-(6*F68*J68*L68*N68*SIN(RADIANS(E68))+6*O68*N68*G68*SIN(RADIANS(E68))*COS(RADIANS(E68)))/(12*N68*COS(RADIANS(E68))^2+L68*G68^2*SIN(RADIANS(E68))^2)</f>
        <v/>
      </c>
      <c r="R68" s="28">
        <f>-P68*SIN(RADIANS(E68))</f>
        <v/>
      </c>
      <c r="S68" s="8">
        <f>(O68+P68*COS(RADIANS(E68)))/L68</f>
        <v/>
      </c>
      <c r="T68" s="8">
        <f>R68/L68</f>
        <v/>
      </c>
      <c r="U68" s="8">
        <f>(Q68-P68*G68*SIN(RADIANS(E68)))/M68</f>
        <v/>
      </c>
      <c r="V68" s="8">
        <f>SQRT((S68+U68)^2+3*T68^2)</f>
        <v/>
      </c>
      <c r="W68" s="8">
        <f>V68/AA68</f>
        <v/>
      </c>
      <c r="X68" s="27">
        <f>((3*10+H68/COS(RADIANS(E68)))*(3+3)+3*G68*H68)*2</f>
        <v/>
      </c>
      <c r="Y68" s="28">
        <f>Z68/X68</f>
        <v/>
      </c>
      <c r="Z68" s="29" t="n">
        <v>685.053040266783</v>
      </c>
      <c r="AA68" s="20" t="n">
        <v>115.27560158884</v>
      </c>
      <c r="AB68" t="n">
        <v>0.2887544284266793</v>
      </c>
      <c r="AC68" t="n">
        <v>115.7412970173393</v>
      </c>
      <c r="AD68" t="n">
        <v>42.56599213483312</v>
      </c>
    </row>
    <row r="69">
      <c r="A69" t="n">
        <v>68</v>
      </c>
      <c r="B69" t="n">
        <v>60.7</v>
      </c>
      <c r="C69" s="21">
        <f>B69-20</f>
        <v/>
      </c>
      <c r="D69" t="n">
        <v>109.4</v>
      </c>
      <c r="E69" s="22">
        <f>D69-90</f>
        <v/>
      </c>
      <c r="F69" s="23" t="n">
        <v>0.012106</v>
      </c>
      <c r="G69" s="22" t="n">
        <v>21.3</v>
      </c>
      <c r="H69" s="22" t="n">
        <v>1.9</v>
      </c>
      <c r="I69" s="24" t="n">
        <v>0.07354976981878281</v>
      </c>
      <c r="J69" s="6" t="n">
        <v>71000</v>
      </c>
      <c r="K69" s="25">
        <f>23*10^-6</f>
        <v/>
      </c>
      <c r="L69" s="8">
        <f>H69</f>
        <v/>
      </c>
      <c r="M69" s="26">
        <f>H69^2/6</f>
        <v/>
      </c>
      <c r="N69" s="26">
        <f>H69^3/12</f>
        <v/>
      </c>
      <c r="O69" s="27">
        <f>-J69*L69*K69*C69</f>
        <v/>
      </c>
      <c r="P69" s="28">
        <f>-(12*F69*J69*L69*N69+12*O69*N69*G69*COS(RADIANS(E69)))/(12*N69*G69*COS(RADIANS(E69))^2+L69*G69^3*SIN(RADIANS(E69))^2)</f>
        <v/>
      </c>
      <c r="Q69" s="28">
        <f>-(6*F69*J69*L69*N69*SIN(RADIANS(E69))+6*O69*N69*G69*SIN(RADIANS(E69))*COS(RADIANS(E69)))/(12*N69*COS(RADIANS(E69))^2+L69*G69^2*SIN(RADIANS(E69))^2)</f>
        <v/>
      </c>
      <c r="R69" s="28">
        <f>-P69*SIN(RADIANS(E69))</f>
        <v/>
      </c>
      <c r="S69" s="8">
        <f>(O69+P69*COS(RADIANS(E69)))/L69</f>
        <v/>
      </c>
      <c r="T69" s="8">
        <f>R69/L69</f>
        <v/>
      </c>
      <c r="U69" s="8">
        <f>(Q69-P69*G69*SIN(RADIANS(E69)))/M69</f>
        <v/>
      </c>
      <c r="V69" s="8">
        <f>SQRT((S69+U69)^2+3*T69^2)</f>
        <v/>
      </c>
      <c r="W69" s="8">
        <f>V69/AA69</f>
        <v/>
      </c>
      <c r="X69" s="27">
        <f>((3*10+H69/COS(RADIANS(E69)))*(3+3)+3*G69*H69)*2</f>
        <v/>
      </c>
      <c r="Y69" s="28">
        <f>Z69/X69</f>
        <v/>
      </c>
      <c r="Z69" s="29" t="n">
        <v>631.870758072768</v>
      </c>
      <c r="AA69" s="20" t="n">
        <v>72.3144195818261</v>
      </c>
      <c r="AB69" t="n">
        <v>0.08845446522499517</v>
      </c>
      <c r="AC69" t="n">
        <v>67.40372895893555</v>
      </c>
      <c r="AD69" t="n">
        <v>20.26477505359381</v>
      </c>
    </row>
    <row r="70">
      <c r="A70" t="n">
        <v>69</v>
      </c>
      <c r="B70" t="n">
        <v>43.4</v>
      </c>
      <c r="C70" s="21">
        <f>B70-20</f>
        <v/>
      </c>
      <c r="D70" t="n">
        <v>121.9</v>
      </c>
      <c r="E70" s="22">
        <f>D70-90</f>
        <v/>
      </c>
      <c r="F70" s="23" t="n">
        <v>0.008281</v>
      </c>
      <c r="G70" s="22" t="n">
        <v>29.5</v>
      </c>
      <c r="H70" s="22" t="n">
        <v>1.3</v>
      </c>
      <c r="I70" s="24" t="n">
        <v>0.037730399519205</v>
      </c>
      <c r="J70" s="6" t="n">
        <v>71000</v>
      </c>
      <c r="K70" s="25">
        <f>23*10^-6</f>
        <v/>
      </c>
      <c r="L70" s="8">
        <f>H70</f>
        <v/>
      </c>
      <c r="M70" s="26">
        <f>H70^2/6</f>
        <v/>
      </c>
      <c r="N70" s="26">
        <f>H70^3/12</f>
        <v/>
      </c>
      <c r="O70" s="27">
        <f>-J70*L70*K70*C70</f>
        <v/>
      </c>
      <c r="P70" s="28">
        <f>-(12*F70*J70*L70*N70+12*O70*N70*G70*COS(RADIANS(E70)))/(12*N70*G70*COS(RADIANS(E70))^2+L70*G70^3*SIN(RADIANS(E70))^2)</f>
        <v/>
      </c>
      <c r="Q70" s="28">
        <f>-(6*F70*J70*L70*N70*SIN(RADIANS(E70))+6*O70*N70*G70*SIN(RADIANS(E70))*COS(RADIANS(E70)))/(12*N70*COS(RADIANS(E70))^2+L70*G70^2*SIN(RADIANS(E70))^2)</f>
        <v/>
      </c>
      <c r="R70" s="28">
        <f>-P70*SIN(RADIANS(E70))</f>
        <v/>
      </c>
      <c r="S70" s="8">
        <f>(O70+P70*COS(RADIANS(E70)))/L70</f>
        <v/>
      </c>
      <c r="T70" s="8">
        <f>R70/L70</f>
        <v/>
      </c>
      <c r="U70" s="8">
        <f>(Q70-P70*G70*SIN(RADIANS(E70)))/M70</f>
        <v/>
      </c>
      <c r="V70" s="8">
        <f>SQRT((S70+U70)^2+3*T70^2)</f>
        <v/>
      </c>
      <c r="W70" s="8">
        <f>V70/AA70</f>
        <v/>
      </c>
      <c r="X70" s="27">
        <f>((3*10+H70/COS(RADIANS(E70)))*(3+3)+3*G70*H70)*2</f>
        <v/>
      </c>
      <c r="Y70" s="28">
        <f>Z70/X70</f>
        <v/>
      </c>
      <c r="Z70" s="29" t="n">
        <v>616.178294428109</v>
      </c>
      <c r="AA70" s="20" t="n">
        <v>33.1905309169999</v>
      </c>
      <c r="AB70" t="n">
        <v>0.043107781040155</v>
      </c>
      <c r="AC70" t="n">
        <v>33.9298363313363</v>
      </c>
      <c r="AD70" t="n">
        <v>14.25211921811981</v>
      </c>
    </row>
    <row r="71">
      <c r="A71" t="n">
        <v>70</v>
      </c>
      <c r="B71" t="n">
        <v>71.7</v>
      </c>
      <c r="C71" s="21">
        <f>B71-20</f>
        <v/>
      </c>
      <c r="D71" t="n">
        <v>111.8</v>
      </c>
      <c r="E71" s="22">
        <f>D71-90</f>
        <v/>
      </c>
      <c r="F71" s="23" t="n">
        <v>0.015575</v>
      </c>
      <c r="G71" s="22" t="n">
        <v>22</v>
      </c>
      <c r="H71" s="22" t="n">
        <v>1.7</v>
      </c>
      <c r="I71" s="24" t="n">
        <v>0.08890416473150251</v>
      </c>
      <c r="J71" s="6" t="n">
        <v>71000</v>
      </c>
      <c r="K71" s="25">
        <f>23*10^-6</f>
        <v/>
      </c>
      <c r="L71" s="8">
        <f>H71</f>
        <v/>
      </c>
      <c r="M71" s="26">
        <f>H71^2/6</f>
        <v/>
      </c>
      <c r="N71" s="26">
        <f>H71^3/12</f>
        <v/>
      </c>
      <c r="O71" s="27">
        <f>-J71*L71*K71*C71</f>
        <v/>
      </c>
      <c r="P71" s="28">
        <f>-(12*F71*J71*L71*N71+12*O71*N71*G71*COS(RADIANS(E71)))/(12*N71*G71*COS(RADIANS(E71))^2+L71*G71^3*SIN(RADIANS(E71))^2)</f>
        <v/>
      </c>
      <c r="Q71" s="28">
        <f>-(6*F71*J71*L71*N71*SIN(RADIANS(E71))+6*O71*N71*G71*SIN(RADIANS(E71))*COS(RADIANS(E71)))/(12*N71*COS(RADIANS(E71))^2+L71*G71^2*SIN(RADIANS(E71))^2)</f>
        <v/>
      </c>
      <c r="R71" s="28">
        <f>-P71*SIN(RADIANS(E71))</f>
        <v/>
      </c>
      <c r="S71" s="8">
        <f>(O71+P71*COS(RADIANS(E71)))/L71</f>
        <v/>
      </c>
      <c r="T71" s="8">
        <f>R71/L71</f>
        <v/>
      </c>
      <c r="U71" s="8">
        <f>(Q71-P71*G71*SIN(RADIANS(E71)))/M71</f>
        <v/>
      </c>
      <c r="V71" s="8">
        <f>SQRT((S71+U71)^2+3*T71^2)</f>
        <v/>
      </c>
      <c r="W71" s="8">
        <f>V71/AA71</f>
        <v/>
      </c>
      <c r="X71" s="27">
        <f>((3*10+H71/COS(RADIANS(E71)))*(3+3)+3*G71*H71)*2</f>
        <v/>
      </c>
      <c r="Y71" s="28">
        <f>Z71/X71</f>
        <v/>
      </c>
      <c r="Z71" s="29" t="n">
        <v>611.6534223373041</v>
      </c>
      <c r="AA71" s="20" t="n">
        <v>86.1457091591152</v>
      </c>
      <c r="AB71" t="n">
        <v>0.1052240483437851</v>
      </c>
      <c r="AC71" t="n">
        <v>82.46441578671502</v>
      </c>
      <c r="AD71" t="n">
        <v>18.35671440316649</v>
      </c>
    </row>
    <row r="72">
      <c r="A72" t="n">
        <v>71</v>
      </c>
      <c r="B72" t="n">
        <v>84.40000000000001</v>
      </c>
      <c r="C72" s="21">
        <f>B72-20</f>
        <v/>
      </c>
      <c r="D72" t="n">
        <v>129</v>
      </c>
      <c r="E72" s="22">
        <f>D72-90</f>
        <v/>
      </c>
      <c r="F72" s="23" t="n">
        <v>0.021921</v>
      </c>
      <c r="G72" s="22" t="n">
        <v>30.7</v>
      </c>
      <c r="H72" s="22" t="n">
        <v>1.4</v>
      </c>
      <c r="I72" s="24" t="n">
        <v>0.0940944924950599</v>
      </c>
      <c r="J72" s="6" t="n">
        <v>71000</v>
      </c>
      <c r="K72" s="25">
        <f>23*10^-6</f>
        <v/>
      </c>
      <c r="L72" s="8">
        <f>H72</f>
        <v/>
      </c>
      <c r="M72" s="26">
        <f>H72^2/6</f>
        <v/>
      </c>
      <c r="N72" s="26">
        <f>H72^3/12</f>
        <v/>
      </c>
      <c r="O72" s="27">
        <f>-J72*L72*K72*C72</f>
        <v/>
      </c>
      <c r="P72" s="28">
        <f>-(12*F72*J72*L72*N72+12*O72*N72*G72*COS(RADIANS(E72)))/(12*N72*G72*COS(RADIANS(E72))^2+L72*G72^3*SIN(RADIANS(E72))^2)</f>
        <v/>
      </c>
      <c r="Q72" s="28">
        <f>-(6*F72*J72*L72*N72*SIN(RADIANS(E72))+6*O72*N72*G72*SIN(RADIANS(E72))*COS(RADIANS(E72)))/(12*N72*COS(RADIANS(E72))^2+L72*G72^2*SIN(RADIANS(E72))^2)</f>
        <v/>
      </c>
      <c r="R72" s="28">
        <f>-P72*SIN(RADIANS(E72))</f>
        <v/>
      </c>
      <c r="S72" s="8">
        <f>(O72+P72*COS(RADIANS(E72)))/L72</f>
        <v/>
      </c>
      <c r="T72" s="8">
        <f>R72/L72</f>
        <v/>
      </c>
      <c r="U72" s="8">
        <f>(Q72-P72*G72*SIN(RADIANS(E72)))/M72</f>
        <v/>
      </c>
      <c r="V72" s="8">
        <f>SQRT((S72+U72)^2+3*T72^2)</f>
        <v/>
      </c>
      <c r="W72" s="8">
        <f>V72/AA72</f>
        <v/>
      </c>
      <c r="X72" s="27">
        <f>((3*10+H72/COS(RADIANS(E72)))*(3+3)+3*G72*H72)*2</f>
        <v/>
      </c>
      <c r="Y72" s="28">
        <f>Z72/X72</f>
        <v/>
      </c>
      <c r="Z72" s="29" t="n">
        <v>649.813419674082</v>
      </c>
      <c r="AA72" s="20" t="n">
        <v>89.71898617993099</v>
      </c>
      <c r="AB72" t="n">
        <v>0.09895690814467677</v>
      </c>
      <c r="AC72" t="n">
        <v>91.92431096362776</v>
      </c>
      <c r="AD72" t="n">
        <v>5.167587943441167</v>
      </c>
    </row>
    <row r="73">
      <c r="A73" t="n">
        <v>72</v>
      </c>
      <c r="B73" t="n">
        <v>86.90000000000001</v>
      </c>
      <c r="C73" s="21">
        <f>B73-20</f>
        <v/>
      </c>
      <c r="D73" t="n">
        <v>118.7</v>
      </c>
      <c r="E73" s="22">
        <f>D73-90</f>
        <v/>
      </c>
      <c r="F73" s="23" t="n">
        <v>0.025515</v>
      </c>
      <c r="G73" s="22" t="n">
        <v>31.3</v>
      </c>
      <c r="H73" s="22" t="n">
        <v>1.3</v>
      </c>
      <c r="I73" s="24" t="n">
        <v>0.120474703609943</v>
      </c>
      <c r="J73" s="6" t="n">
        <v>71000</v>
      </c>
      <c r="K73" s="25">
        <f>23*10^-6</f>
        <v/>
      </c>
      <c r="L73" s="8">
        <f>H73</f>
        <v/>
      </c>
      <c r="M73" s="26">
        <f>H73^2/6</f>
        <v/>
      </c>
      <c r="N73" s="26">
        <f>H73^3/12</f>
        <v/>
      </c>
      <c r="O73" s="27">
        <f>-J73*L73*K73*C73</f>
        <v/>
      </c>
      <c r="P73" s="28">
        <f>-(12*F73*J73*L73*N73+12*O73*N73*G73*COS(RADIANS(E73)))/(12*N73*G73*COS(RADIANS(E73))^2+L73*G73^3*SIN(RADIANS(E73))^2)</f>
        <v/>
      </c>
      <c r="Q73" s="28">
        <f>-(6*F73*J73*L73*N73*SIN(RADIANS(E73))+6*O73*N73*G73*SIN(RADIANS(E73))*COS(RADIANS(E73)))/(12*N73*COS(RADIANS(E73))^2+L73*G73^2*SIN(RADIANS(E73))^2)</f>
        <v/>
      </c>
      <c r="R73" s="28">
        <f>-P73*SIN(RADIANS(E73))</f>
        <v/>
      </c>
      <c r="S73" s="8">
        <f>(O73+P73*COS(RADIANS(E73)))/L73</f>
        <v/>
      </c>
      <c r="T73" s="8">
        <f>R73/L73</f>
        <v/>
      </c>
      <c r="U73" s="8">
        <f>(Q73-P73*G73*SIN(RADIANS(E73)))/M73</f>
        <v/>
      </c>
      <c r="V73" s="8">
        <f>SQRT((S73+U73)^2+3*T73^2)</f>
        <v/>
      </c>
      <c r="W73" s="8">
        <f>V73/AA73</f>
        <v/>
      </c>
      <c r="X73" s="27">
        <f>((3*10+H73/COS(RADIANS(E73)))*(3+3)+3*G73*H73)*2</f>
        <v/>
      </c>
      <c r="Y73" s="28">
        <f>Z73/X73</f>
        <v/>
      </c>
      <c r="Z73" s="29" t="n">
        <v>628.72003900192</v>
      </c>
      <c r="AA73" s="20" t="n">
        <v>95.6697648509749</v>
      </c>
      <c r="AB73" t="n">
        <v>0.1459721498981199</v>
      </c>
      <c r="AC73" t="n">
        <v>97.70369262694288</v>
      </c>
      <c r="AD73" t="n">
        <v>21.16414942237928</v>
      </c>
    </row>
    <row r="74">
      <c r="A74" t="n">
        <v>73</v>
      </c>
      <c r="B74" t="n">
        <v>81.5</v>
      </c>
      <c r="C74" s="21">
        <f>B74-20</f>
        <v/>
      </c>
      <c r="D74" t="n">
        <v>100.9</v>
      </c>
      <c r="E74" s="22">
        <f>D74-90</f>
        <v/>
      </c>
      <c r="F74" s="23" t="n">
        <v>0.021074</v>
      </c>
      <c r="G74" s="22" t="n">
        <v>24.5</v>
      </c>
      <c r="H74" s="22" t="n">
        <v>1.7</v>
      </c>
      <c r="I74" s="24" t="n">
        <v>0.183314099907875</v>
      </c>
      <c r="J74" s="6" t="n">
        <v>71000</v>
      </c>
      <c r="K74" s="25">
        <f>23*10^-6</f>
        <v/>
      </c>
      <c r="L74" s="8">
        <f>H74</f>
        <v/>
      </c>
      <c r="M74" s="26">
        <f>H74^2/6</f>
        <v/>
      </c>
      <c r="N74" s="26">
        <f>H74^3/12</f>
        <v/>
      </c>
      <c r="O74" s="27">
        <f>-J74*L74*K74*C74</f>
        <v/>
      </c>
      <c r="P74" s="28">
        <f>-(12*F74*J74*L74*N74+12*O74*N74*G74*COS(RADIANS(E74)))/(12*N74*G74*COS(RADIANS(E74))^2+L74*G74^3*SIN(RADIANS(E74))^2)</f>
        <v/>
      </c>
      <c r="Q74" s="28">
        <f>-(6*F74*J74*L74*N74*SIN(RADIANS(E74))+6*O74*N74*G74*SIN(RADIANS(E74))*COS(RADIANS(E74)))/(12*N74*COS(RADIANS(E74))^2+L74*G74^2*SIN(RADIANS(E74))^2)</f>
        <v/>
      </c>
      <c r="R74" s="28">
        <f>-P74*SIN(RADIANS(E74))</f>
        <v/>
      </c>
      <c r="S74" s="8">
        <f>(O74+P74*COS(RADIANS(E74)))/L74</f>
        <v/>
      </c>
      <c r="T74" s="8">
        <f>R74/L74</f>
        <v/>
      </c>
      <c r="U74" s="8">
        <f>(Q74-P74*G74*SIN(RADIANS(E74)))/M74</f>
        <v/>
      </c>
      <c r="V74" s="8">
        <f>SQRT((S74+U74)^2+3*T74^2)</f>
        <v/>
      </c>
      <c r="W74" s="8">
        <f>V74/AA74</f>
        <v/>
      </c>
      <c r="X74" s="27">
        <f>((3*10+H74/COS(RADIANS(E74)))*(3+3)+3*G74*H74)*2</f>
        <v/>
      </c>
      <c r="Y74" s="28">
        <f>Z74/X74</f>
        <v/>
      </c>
      <c r="Z74" s="29" t="n">
        <v>634.549379728217</v>
      </c>
      <c r="AA74" s="20" t="n">
        <v>120.672782107284</v>
      </c>
      <c r="AB74" t="n">
        <v>0.2586003753806111</v>
      </c>
      <c r="AC74" t="n">
        <v>109.0839397320783</v>
      </c>
      <c r="AD74" t="n">
        <v>41.06954975671343</v>
      </c>
    </row>
    <row r="75">
      <c r="A75" t="n">
        <v>74</v>
      </c>
      <c r="B75" t="n">
        <v>56.5</v>
      </c>
      <c r="C75" s="21">
        <f>B75-20</f>
        <v/>
      </c>
      <c r="D75" t="n">
        <v>102.7</v>
      </c>
      <c r="E75" s="22">
        <f>D75-90</f>
        <v/>
      </c>
      <c r="F75" s="23" t="n">
        <v>0.014025</v>
      </c>
      <c r="G75" s="22" t="n">
        <v>28.4</v>
      </c>
      <c r="H75" s="22" t="n">
        <v>1.6</v>
      </c>
      <c r="I75" s="24" t="n">
        <v>0.111703038215637</v>
      </c>
      <c r="J75" s="6" t="n">
        <v>71000</v>
      </c>
      <c r="K75" s="25">
        <f>23*10^-6</f>
        <v/>
      </c>
      <c r="L75" s="8">
        <f>H75</f>
        <v/>
      </c>
      <c r="M75" s="26">
        <f>H75^2/6</f>
        <v/>
      </c>
      <c r="N75" s="26">
        <f>H75^3/12</f>
        <v/>
      </c>
      <c r="O75" s="27">
        <f>-J75*L75*K75*C75</f>
        <v/>
      </c>
      <c r="P75" s="28">
        <f>-(12*F75*J75*L75*N75+12*O75*N75*G75*COS(RADIANS(E75)))/(12*N75*G75*COS(RADIANS(E75))^2+L75*G75^3*SIN(RADIANS(E75))^2)</f>
        <v/>
      </c>
      <c r="Q75" s="28">
        <f>-(6*F75*J75*L75*N75*SIN(RADIANS(E75))+6*O75*N75*G75*SIN(RADIANS(E75))*COS(RADIANS(E75)))/(12*N75*COS(RADIANS(E75))^2+L75*G75^2*SIN(RADIANS(E75))^2)</f>
        <v/>
      </c>
      <c r="R75" s="28">
        <f>-P75*SIN(RADIANS(E75))</f>
        <v/>
      </c>
      <c r="S75" s="8">
        <f>(O75+P75*COS(RADIANS(E75)))/L75</f>
        <v/>
      </c>
      <c r="T75" s="8">
        <f>R75/L75</f>
        <v/>
      </c>
      <c r="U75" s="8">
        <f>(Q75-P75*G75*SIN(RADIANS(E75)))/M75</f>
        <v/>
      </c>
      <c r="V75" s="8">
        <f>SQRT((S75+U75)^2+3*T75^2)</f>
        <v/>
      </c>
      <c r="W75" s="8">
        <f>V75/AA75</f>
        <v/>
      </c>
      <c r="X75" s="27">
        <f>((3*10+H75/COS(RADIANS(E75)))*(3+3)+3*G75*H75)*2</f>
        <v/>
      </c>
      <c r="Y75" s="28">
        <f>Z75/X75</f>
        <v/>
      </c>
      <c r="Z75" s="29" t="n">
        <v>656.357043302757</v>
      </c>
      <c r="AA75" s="20" t="n">
        <v>60.3227893966549</v>
      </c>
      <c r="AB75" t="n">
        <v>0.1604549654519692</v>
      </c>
      <c r="AC75" t="n">
        <v>61.61877062546824</v>
      </c>
      <c r="AD75" t="n">
        <v>43.64422670600877</v>
      </c>
    </row>
    <row r="76">
      <c r="A76" t="n">
        <v>75</v>
      </c>
      <c r="B76" t="n">
        <v>75.2</v>
      </c>
      <c r="C76" s="21">
        <f>B76-20</f>
        <v/>
      </c>
      <c r="D76" t="n">
        <v>101.4</v>
      </c>
      <c r="E76" s="22">
        <f>D76-90</f>
        <v/>
      </c>
      <c r="F76" s="23" t="n">
        <v>0.019938</v>
      </c>
      <c r="G76" s="22" t="n">
        <v>26.2</v>
      </c>
      <c r="H76" s="22" t="n">
        <v>1.6</v>
      </c>
      <c r="I76" s="24" t="n">
        <v>0.170875951647758</v>
      </c>
      <c r="J76" s="6" t="n">
        <v>71000</v>
      </c>
      <c r="K76" s="25">
        <f>23*10^-6</f>
        <v/>
      </c>
      <c r="L76" s="8">
        <f>H76</f>
        <v/>
      </c>
      <c r="M76" s="26">
        <f>H76^2/6</f>
        <v/>
      </c>
      <c r="N76" s="26">
        <f>H76^3/12</f>
        <v/>
      </c>
      <c r="O76" s="27">
        <f>-J76*L76*K76*C76</f>
        <v/>
      </c>
      <c r="P76" s="28">
        <f>-(12*F76*J76*L76*N76+12*O76*N76*G76*COS(RADIANS(E76)))/(12*N76*G76*COS(RADIANS(E76))^2+L76*G76^3*SIN(RADIANS(E76))^2)</f>
        <v/>
      </c>
      <c r="Q76" s="28">
        <f>-(6*F76*J76*L76*N76*SIN(RADIANS(E76))+6*O76*N76*G76*SIN(RADIANS(E76))*COS(RADIANS(E76)))/(12*N76*COS(RADIANS(E76))^2+L76*G76^2*SIN(RADIANS(E76))^2)</f>
        <v/>
      </c>
      <c r="R76" s="28">
        <f>-P76*SIN(RADIANS(E76))</f>
        <v/>
      </c>
      <c r="S76" s="8">
        <f>(O76+P76*COS(RADIANS(E76)))/L76</f>
        <v/>
      </c>
      <c r="T76" s="8">
        <f>R76/L76</f>
        <v/>
      </c>
      <c r="U76" s="8">
        <f>(Q76-P76*G76*SIN(RADIANS(E76)))/M76</f>
        <v/>
      </c>
      <c r="V76" s="8">
        <f>SQRT((S76+U76)^2+3*T76^2)</f>
        <v/>
      </c>
      <c r="W76" s="8">
        <f>V76/AA76</f>
        <v/>
      </c>
      <c r="X76" s="27">
        <f>((3*10+H76/COS(RADIANS(E76)))*(3+3)+3*G76*H76)*2</f>
        <v/>
      </c>
      <c r="Y76" s="28">
        <f>Z76/X76</f>
        <v/>
      </c>
      <c r="Z76" s="29" t="n">
        <v>635.023067637431</v>
      </c>
      <c r="AA76" s="20" t="n">
        <v>94.17587295145761</v>
      </c>
      <c r="AB76" t="n">
        <v>0.2443824418194235</v>
      </c>
      <c r="AC76" t="n">
        <v>95.69892882016335</v>
      </c>
      <c r="AD76" t="n">
        <v>43.01745767197894</v>
      </c>
    </row>
    <row r="77">
      <c r="A77" t="n">
        <v>76</v>
      </c>
      <c r="B77" t="n">
        <v>49.1</v>
      </c>
      <c r="C77" s="21">
        <f>B77-20</f>
        <v/>
      </c>
      <c r="D77" t="n">
        <v>101.3</v>
      </c>
      <c r="E77" s="22">
        <f>D77-90</f>
        <v/>
      </c>
      <c r="F77" s="23" t="n">
        <v>0.012042</v>
      </c>
      <c r="G77" s="22" t="n">
        <v>30.9</v>
      </c>
      <c r="H77" s="22" t="n">
        <v>2</v>
      </c>
      <c r="I77" s="24" t="n">
        <v>0.101299807429313</v>
      </c>
      <c r="J77" s="6" t="n">
        <v>71000</v>
      </c>
      <c r="K77" s="25">
        <f>23*10^-6</f>
        <v/>
      </c>
      <c r="L77" s="8">
        <f>H77</f>
        <v/>
      </c>
      <c r="M77" s="26">
        <f>H77^2/6</f>
        <v/>
      </c>
      <c r="N77" s="26">
        <f>H77^3/12</f>
        <v/>
      </c>
      <c r="O77" s="27">
        <f>-J77*L77*K77*C77</f>
        <v/>
      </c>
      <c r="P77" s="28">
        <f>-(12*F77*J77*L77*N77+12*O77*N77*G77*COS(RADIANS(E77)))/(12*N77*G77*COS(RADIANS(E77))^2+L77*G77^3*SIN(RADIANS(E77))^2)</f>
        <v/>
      </c>
      <c r="Q77" s="28">
        <f>-(6*F77*J77*L77*N77*SIN(RADIANS(E77))+6*O77*N77*G77*SIN(RADIANS(E77))*COS(RADIANS(E77)))/(12*N77*COS(RADIANS(E77))^2+L77*G77^2*SIN(RADIANS(E77))^2)</f>
        <v/>
      </c>
      <c r="R77" s="28">
        <f>-P77*SIN(RADIANS(E77))</f>
        <v/>
      </c>
      <c r="S77" s="8">
        <f>(O77+P77*COS(RADIANS(E77)))/L77</f>
        <v/>
      </c>
      <c r="T77" s="8">
        <f>R77/L77</f>
        <v/>
      </c>
      <c r="U77" s="8">
        <f>(Q77-P77*G77*SIN(RADIANS(E77)))/M77</f>
        <v/>
      </c>
      <c r="V77" s="8">
        <f>SQRT((S77+U77)^2+3*T77^2)</f>
        <v/>
      </c>
      <c r="W77" s="8">
        <f>V77/AA77</f>
        <v/>
      </c>
      <c r="X77" s="27">
        <f>((3*10+H77/COS(RADIANS(E77)))*(3+3)+3*G77*H77)*2</f>
        <v/>
      </c>
      <c r="Y77" s="28">
        <f>Z77/X77</f>
        <v/>
      </c>
      <c r="Z77" s="29" t="n">
        <v>759.182520350765</v>
      </c>
      <c r="AA77" s="20" t="n">
        <v>53.5552608807993</v>
      </c>
      <c r="AB77" t="n">
        <v>0.1498390913509353</v>
      </c>
      <c r="AC77" t="n">
        <v>51.54267537261162</v>
      </c>
      <c r="AD77" t="n">
        <v>47.91646218626132</v>
      </c>
    </row>
    <row r="78">
      <c r="A78" t="n">
        <v>77</v>
      </c>
      <c r="B78" t="n">
        <v>47.2</v>
      </c>
      <c r="C78" s="21">
        <f>B78-20</f>
        <v/>
      </c>
      <c r="D78" t="n">
        <v>108.1</v>
      </c>
      <c r="E78" s="22">
        <f>D78-90</f>
        <v/>
      </c>
      <c r="F78" s="23" t="n">
        <v>0.010349</v>
      </c>
      <c r="G78" s="22" t="n">
        <v>28.8</v>
      </c>
      <c r="H78" s="22" t="n">
        <v>1.1</v>
      </c>
      <c r="I78" s="24" t="n">
        <v>0.0650212615728378</v>
      </c>
      <c r="J78" s="6" t="n">
        <v>71000</v>
      </c>
      <c r="K78" s="25">
        <f>23*10^-6</f>
        <v/>
      </c>
      <c r="L78" s="8">
        <f>H78</f>
        <v/>
      </c>
      <c r="M78" s="26">
        <f>H78^2/6</f>
        <v/>
      </c>
      <c r="N78" s="26">
        <f>H78^3/12</f>
        <v/>
      </c>
      <c r="O78" s="27">
        <f>-J78*L78*K78*C78</f>
        <v/>
      </c>
      <c r="P78" s="28">
        <f>-(12*F78*J78*L78*N78+12*O78*N78*G78*COS(RADIANS(E78)))/(12*N78*G78*COS(RADIANS(E78))^2+L78*G78^3*SIN(RADIANS(E78))^2)</f>
        <v/>
      </c>
      <c r="Q78" s="28">
        <f>-(6*F78*J78*L78*N78*SIN(RADIANS(E78))+6*O78*N78*G78*SIN(RADIANS(E78))*COS(RADIANS(E78)))/(12*N78*COS(RADIANS(E78))^2+L78*G78^2*SIN(RADIANS(E78))^2)</f>
        <v/>
      </c>
      <c r="R78" s="28">
        <f>-P78*SIN(RADIANS(E78))</f>
        <v/>
      </c>
      <c r="S78" s="8">
        <f>(O78+P78*COS(RADIANS(E78)))/L78</f>
        <v/>
      </c>
      <c r="T78" s="8">
        <f>R78/L78</f>
        <v/>
      </c>
      <c r="U78" s="8">
        <f>(Q78-P78*G78*SIN(RADIANS(E78)))/M78</f>
        <v/>
      </c>
      <c r="V78" s="8">
        <f>SQRT((S78+U78)^2+3*T78^2)</f>
        <v/>
      </c>
      <c r="W78" s="8">
        <f>V78/AA78</f>
        <v/>
      </c>
      <c r="X78" s="27">
        <f>((3*10+H78/COS(RADIANS(E78)))*(3+3)+3*G78*H78)*2</f>
        <v/>
      </c>
      <c r="Y78" s="28">
        <f>Z78/X78</f>
        <v/>
      </c>
      <c r="Z78" s="29" t="n">
        <v>568.650277798913</v>
      </c>
      <c r="AA78" s="20" t="n">
        <v>38.7972379572814</v>
      </c>
      <c r="AB78" t="n">
        <v>0.08840277586828395</v>
      </c>
      <c r="AC78" t="n">
        <v>41.33798773176035</v>
      </c>
      <c r="AD78" t="n">
        <v>35.95979796432252</v>
      </c>
    </row>
    <row r="79">
      <c r="A79" t="n">
        <v>78</v>
      </c>
      <c r="B79" t="n">
        <v>45.2</v>
      </c>
      <c r="C79" s="21">
        <f>B79-20</f>
        <v/>
      </c>
      <c r="D79" t="n">
        <v>104.7</v>
      </c>
      <c r="E79" s="22">
        <f>D79-90</f>
        <v/>
      </c>
      <c r="F79" s="23" t="n">
        <v>0.008226000000000001</v>
      </c>
      <c r="G79" s="22" t="n">
        <v>23.4</v>
      </c>
      <c r="H79" s="22" t="n">
        <v>1.7</v>
      </c>
      <c r="I79" s="24" t="n">
        <v>0.0592935979366302</v>
      </c>
      <c r="J79" s="6" t="n">
        <v>71000</v>
      </c>
      <c r="K79" s="25">
        <f>23*10^-6</f>
        <v/>
      </c>
      <c r="L79" s="8">
        <f>H79</f>
        <v/>
      </c>
      <c r="M79" s="26">
        <f>H79^2/6</f>
        <v/>
      </c>
      <c r="N79" s="26">
        <f>H79^3/12</f>
        <v/>
      </c>
      <c r="O79" s="27">
        <f>-J79*L79*K79*C79</f>
        <v/>
      </c>
      <c r="P79" s="28">
        <f>-(12*F79*J79*L79*N79+12*O79*N79*G79*COS(RADIANS(E79)))/(12*N79*G79*COS(RADIANS(E79))^2+L79*G79^3*SIN(RADIANS(E79))^2)</f>
        <v/>
      </c>
      <c r="Q79" s="28">
        <f>-(6*F79*J79*L79*N79*SIN(RADIANS(E79))+6*O79*N79*G79*SIN(RADIANS(E79))*COS(RADIANS(E79)))/(12*N79*COS(RADIANS(E79))^2+L79*G79^2*SIN(RADIANS(E79))^2)</f>
        <v/>
      </c>
      <c r="R79" s="28">
        <f>-P79*SIN(RADIANS(E79))</f>
        <v/>
      </c>
      <c r="S79" s="8">
        <f>(O79+P79*COS(RADIANS(E79)))/L79</f>
        <v/>
      </c>
      <c r="T79" s="8">
        <f>R79/L79</f>
        <v/>
      </c>
      <c r="U79" s="8">
        <f>(Q79-P79*G79*SIN(RADIANS(E79)))/M79</f>
        <v/>
      </c>
      <c r="V79" s="8">
        <f>SQRT((S79+U79)^2+3*T79^2)</f>
        <v/>
      </c>
      <c r="W79" s="8">
        <f>V79/AA79</f>
        <v/>
      </c>
      <c r="X79" s="27">
        <f>((3*10+H79/COS(RADIANS(E79)))*(3+3)+3*G79*H79)*2</f>
        <v/>
      </c>
      <c r="Y79" s="28">
        <f>Z79/X79</f>
        <v/>
      </c>
      <c r="Z79" s="29" t="n">
        <v>624.016121092389</v>
      </c>
      <c r="AA79" s="20" t="n">
        <v>43.5686793109564</v>
      </c>
      <c r="AB79" t="n">
        <v>0.07860901690806714</v>
      </c>
      <c r="AC79" t="n">
        <v>42.68966502687878</v>
      </c>
      <c r="AD79" t="n">
        <v>32.57589291862541</v>
      </c>
    </row>
    <row r="80">
      <c r="A80" t="n">
        <v>79</v>
      </c>
      <c r="B80" t="n">
        <v>41.5</v>
      </c>
      <c r="C80" s="21">
        <f>B80-20</f>
        <v/>
      </c>
      <c r="D80" t="n">
        <v>121.1</v>
      </c>
      <c r="E80" s="22">
        <f>D80-90</f>
        <v/>
      </c>
      <c r="F80" s="23" t="n">
        <v>0.008815999999999999</v>
      </c>
      <c r="G80" s="22" t="n">
        <v>35</v>
      </c>
      <c r="H80" s="22" t="n">
        <v>1.2</v>
      </c>
      <c r="I80" s="24" t="n">
        <v>0.0395744442939758</v>
      </c>
      <c r="J80" s="6" t="n">
        <v>71000</v>
      </c>
      <c r="K80" s="25">
        <f>23*10^-6</f>
        <v/>
      </c>
      <c r="L80" s="8">
        <f>H80</f>
        <v/>
      </c>
      <c r="M80" s="26">
        <f>H80^2/6</f>
        <v/>
      </c>
      <c r="N80" s="26">
        <f>H80^3/12</f>
        <v/>
      </c>
      <c r="O80" s="27">
        <f>-J80*L80*K80*C80</f>
        <v/>
      </c>
      <c r="P80" s="28">
        <f>-(12*F80*J80*L80*N80+12*O80*N80*G80*COS(RADIANS(E80)))/(12*N80*G80*COS(RADIANS(E80))^2+L80*G80^3*SIN(RADIANS(E80))^2)</f>
        <v/>
      </c>
      <c r="Q80" s="28">
        <f>-(6*F80*J80*L80*N80*SIN(RADIANS(E80))+6*O80*N80*G80*SIN(RADIANS(E80))*COS(RADIANS(E80)))/(12*N80*COS(RADIANS(E80))^2+L80*G80^2*SIN(RADIANS(E80))^2)</f>
        <v/>
      </c>
      <c r="R80" s="28">
        <f>-P80*SIN(RADIANS(E80))</f>
        <v/>
      </c>
      <c r="S80" s="8">
        <f>(O80+P80*COS(RADIANS(E80)))/L80</f>
        <v/>
      </c>
      <c r="T80" s="8">
        <f>R80/L80</f>
        <v/>
      </c>
      <c r="U80" s="8">
        <f>(Q80-P80*G80*SIN(RADIANS(E80)))/M80</f>
        <v/>
      </c>
      <c r="V80" s="8">
        <f>SQRT((S80+U80)^2+3*T80^2)</f>
        <v/>
      </c>
      <c r="W80" s="8">
        <f>V80/AA80</f>
        <v/>
      </c>
      <c r="X80" s="27">
        <f>((3*10+H80/COS(RADIANS(E80)))*(3+3)+3*G80*H80)*2</f>
        <v/>
      </c>
      <c r="Y80" s="28">
        <f>Z80/X80</f>
        <v/>
      </c>
      <c r="Z80" s="29" t="n">
        <v>636.279449913618</v>
      </c>
      <c r="AA80" s="20" t="n">
        <v>29.3891557347485</v>
      </c>
      <c r="AB80" t="n">
        <v>0.04794955614070294</v>
      </c>
      <c r="AC80" t="n">
        <v>30.82773269907242</v>
      </c>
      <c r="AD80" t="n">
        <v>21.16292975464986</v>
      </c>
    </row>
    <row r="81">
      <c r="A81" t="n">
        <v>80</v>
      </c>
      <c r="B81" t="n">
        <v>74.7</v>
      </c>
      <c r="C81" s="21">
        <f>B81-20</f>
        <v/>
      </c>
      <c r="D81" t="n">
        <v>109.6</v>
      </c>
      <c r="E81" s="22">
        <f>D81-90</f>
        <v/>
      </c>
      <c r="F81" s="23" t="n">
        <v>0.018369</v>
      </c>
      <c r="G81" s="22" t="n">
        <v>24.9</v>
      </c>
      <c r="H81" s="22" t="n">
        <v>1.9</v>
      </c>
      <c r="I81" s="24" t="n">
        <v>0.10957184433937</v>
      </c>
      <c r="J81" s="6" t="n">
        <v>71000</v>
      </c>
      <c r="K81" s="25">
        <f>23*10^-6</f>
        <v/>
      </c>
      <c r="L81" s="8">
        <f>H81</f>
        <v/>
      </c>
      <c r="M81" s="26">
        <f>H81^2/6</f>
        <v/>
      </c>
      <c r="N81" s="26">
        <f>H81^3/12</f>
        <v/>
      </c>
      <c r="O81" s="27">
        <f>-J81*L81*K81*C81</f>
        <v/>
      </c>
      <c r="P81" s="28">
        <f>-(12*F81*J81*L81*N81+12*O81*N81*G81*COS(RADIANS(E81)))/(12*N81*G81*COS(RADIANS(E81))^2+L81*G81^3*SIN(RADIANS(E81))^2)</f>
        <v/>
      </c>
      <c r="Q81" s="28">
        <f>-(6*F81*J81*L81*N81*SIN(RADIANS(E81))+6*O81*N81*G81*SIN(RADIANS(E81))*COS(RADIANS(E81)))/(12*N81*COS(RADIANS(E81))^2+L81*G81^2*SIN(RADIANS(E81))^2)</f>
        <v/>
      </c>
      <c r="R81" s="28">
        <f>-P81*SIN(RADIANS(E81))</f>
        <v/>
      </c>
      <c r="S81" s="8">
        <f>(O81+P81*COS(RADIANS(E81)))/L81</f>
        <v/>
      </c>
      <c r="T81" s="8">
        <f>R81/L81</f>
        <v/>
      </c>
      <c r="U81" s="8">
        <f>(Q81-P81*G81*SIN(RADIANS(E81)))/M81</f>
        <v/>
      </c>
      <c r="V81" s="8">
        <f>SQRT((S81+U81)^2+3*T81^2)</f>
        <v/>
      </c>
      <c r="W81" s="8">
        <f>V81/AA81</f>
        <v/>
      </c>
      <c r="X81" s="27">
        <f>((3*10+H81/COS(RADIANS(E81)))*(3+3)+3*G81*H81)*2</f>
        <v/>
      </c>
      <c r="Y81" s="28">
        <f>Z81/X81</f>
        <v/>
      </c>
      <c r="Z81" s="29" t="n">
        <v>672.972128145489</v>
      </c>
      <c r="AA81" s="20" t="n">
        <v>94.1512934082177</v>
      </c>
      <c r="AB81" t="n">
        <v>0.1383205379335644</v>
      </c>
      <c r="AC81" t="n">
        <v>89.3038816469613</v>
      </c>
      <c r="AD81" t="n">
        <v>26.23730007240989</v>
      </c>
    </row>
    <row r="82">
      <c r="A82" t="n">
        <v>81</v>
      </c>
      <c r="B82" t="n">
        <v>46.4</v>
      </c>
      <c r="C82" s="21">
        <f>B82-20</f>
        <v/>
      </c>
      <c r="D82" t="n">
        <v>105.8</v>
      </c>
      <c r="E82" s="22">
        <f>D82-90</f>
        <v/>
      </c>
      <c r="F82" s="23" t="n">
        <v>0.009913999999999999</v>
      </c>
      <c r="G82" s="22" t="n">
        <v>28</v>
      </c>
      <c r="H82" s="22" t="n">
        <v>1.3</v>
      </c>
      <c r="I82" s="24" t="n">
        <v>0.0684913843870163</v>
      </c>
      <c r="J82" s="6" t="n">
        <v>71000</v>
      </c>
      <c r="K82" s="25">
        <f>23*10^-6</f>
        <v/>
      </c>
      <c r="L82" s="8">
        <f>H82</f>
        <v/>
      </c>
      <c r="M82" s="26">
        <f>H82^2/6</f>
        <v/>
      </c>
      <c r="N82" s="26">
        <f>H82^3/12</f>
        <v/>
      </c>
      <c r="O82" s="27">
        <f>-J82*L82*K82*C82</f>
        <v/>
      </c>
      <c r="P82" s="28">
        <f>-(12*F82*J82*L82*N82+12*O82*N82*G82*COS(RADIANS(E82)))/(12*N82*G82*COS(RADIANS(E82))^2+L82*G82^3*SIN(RADIANS(E82))^2)</f>
        <v/>
      </c>
      <c r="Q82" s="28">
        <f>-(6*F82*J82*L82*N82*SIN(RADIANS(E82))+6*O82*N82*G82*SIN(RADIANS(E82))*COS(RADIANS(E82)))/(12*N82*COS(RADIANS(E82))^2+L82*G82^2*SIN(RADIANS(E82))^2)</f>
        <v/>
      </c>
      <c r="R82" s="28">
        <f>-P82*SIN(RADIANS(E82))</f>
        <v/>
      </c>
      <c r="S82" s="8">
        <f>(O82+P82*COS(RADIANS(E82)))/L82</f>
        <v/>
      </c>
      <c r="T82" s="8">
        <f>R82/L82</f>
        <v/>
      </c>
      <c r="U82" s="8">
        <f>(Q82-P82*G82*SIN(RADIANS(E82)))/M82</f>
        <v/>
      </c>
      <c r="V82" s="8">
        <f>SQRT((S82+U82)^2+3*T82^2)</f>
        <v/>
      </c>
      <c r="W82" s="8">
        <f>V82/AA82</f>
        <v/>
      </c>
      <c r="X82" s="27">
        <f>((3*10+H82/COS(RADIANS(E82)))*(3+3)+3*G82*H82)*2</f>
        <v/>
      </c>
      <c r="Y82" s="28">
        <f>Z82/X82</f>
        <v/>
      </c>
      <c r="Z82" s="29" t="n">
        <v>598.988544660871</v>
      </c>
      <c r="AA82" s="20" t="n">
        <v>40.0277712388262</v>
      </c>
      <c r="AB82" t="n">
        <v>0.09484886756817626</v>
      </c>
      <c r="AC82" t="n">
        <v>41.78840499067596</v>
      </c>
      <c r="AD82" t="n">
        <v>38.48291784003781</v>
      </c>
    </row>
    <row r="83">
      <c r="A83" t="n">
        <v>82</v>
      </c>
      <c r="B83" t="n">
        <v>72.3</v>
      </c>
      <c r="C83" s="21">
        <f>B83-20</f>
        <v/>
      </c>
      <c r="D83" t="n">
        <v>110.9</v>
      </c>
      <c r="E83" s="22">
        <f>D83-90</f>
        <v/>
      </c>
      <c r="F83" s="23" t="n">
        <v>0.015497</v>
      </c>
      <c r="G83" s="22" t="n">
        <v>21.4</v>
      </c>
      <c r="H83" s="22" t="n">
        <v>1.7</v>
      </c>
      <c r="I83" s="24" t="n">
        <v>0.09084520488977429</v>
      </c>
      <c r="J83" s="6" t="n">
        <v>71000</v>
      </c>
      <c r="K83" s="25">
        <f>23*10^-6</f>
        <v/>
      </c>
      <c r="L83" s="8">
        <f>H83</f>
        <v/>
      </c>
      <c r="M83" s="26">
        <f>H83^2/6</f>
        <v/>
      </c>
      <c r="N83" s="26">
        <f>H83^3/12</f>
        <v/>
      </c>
      <c r="O83" s="27">
        <f>-J83*L83*K83*C83</f>
        <v/>
      </c>
      <c r="P83" s="28">
        <f>-(12*F83*J83*L83*N83+12*O83*N83*G83*COS(RADIANS(E83)))/(12*N83*G83*COS(RADIANS(E83))^2+L83*G83^3*SIN(RADIANS(E83))^2)</f>
        <v/>
      </c>
      <c r="Q83" s="28">
        <f>-(6*F83*J83*L83*N83*SIN(RADIANS(E83))+6*O83*N83*G83*SIN(RADIANS(E83))*COS(RADIANS(E83)))/(12*N83*COS(RADIANS(E83))^2+L83*G83^2*SIN(RADIANS(E83))^2)</f>
        <v/>
      </c>
      <c r="R83" s="28">
        <f>-P83*SIN(RADIANS(E83))</f>
        <v/>
      </c>
      <c r="S83" s="8">
        <f>(O83+P83*COS(RADIANS(E83)))/L83</f>
        <v/>
      </c>
      <c r="T83" s="8">
        <f>R83/L83</f>
        <v/>
      </c>
      <c r="U83" s="8">
        <f>(Q83-P83*G83*SIN(RADIANS(E83)))/M83</f>
        <v/>
      </c>
      <c r="V83" s="8">
        <f>SQRT((S83+U83)^2+3*T83^2)</f>
        <v/>
      </c>
      <c r="W83" s="8">
        <f>V83/AA83</f>
        <v/>
      </c>
      <c r="X83" s="27">
        <f>((3*10+H83/COS(RADIANS(E83)))*(3+3)+3*G83*H83)*2</f>
        <v/>
      </c>
      <c r="Y83" s="28">
        <f>Z83/X83</f>
        <v/>
      </c>
      <c r="Z83" s="29" t="n">
        <v>605.240697838474</v>
      </c>
      <c r="AA83" s="20" t="n">
        <v>87.3029992254227</v>
      </c>
      <c r="AB83" t="n">
        <v>0.1078198315132113</v>
      </c>
      <c r="AC83" t="n">
        <v>84.15419343791972</v>
      </c>
      <c r="AD83" t="n">
        <v>18.68522025354327</v>
      </c>
    </row>
    <row r="84">
      <c r="A84" t="n">
        <v>83</v>
      </c>
      <c r="B84" t="n">
        <v>64.7</v>
      </c>
      <c r="C84" s="21">
        <f>B84-20</f>
        <v/>
      </c>
      <c r="D84" t="n">
        <v>105.5</v>
      </c>
      <c r="E84" s="22">
        <f>D84-90</f>
        <v/>
      </c>
      <c r="F84" s="23" t="n">
        <v>0.019213</v>
      </c>
      <c r="G84" s="22" t="n">
        <v>32.9</v>
      </c>
      <c r="H84" s="22" t="n">
        <v>1.3</v>
      </c>
      <c r="I84" s="24" t="n">
        <v>0.132703602313995</v>
      </c>
      <c r="J84" s="6" t="n">
        <v>71000</v>
      </c>
      <c r="K84" s="25">
        <f>23*10^-6</f>
        <v/>
      </c>
      <c r="L84" s="8">
        <f>H84</f>
        <v/>
      </c>
      <c r="M84" s="26">
        <f>H84^2/6</f>
        <v/>
      </c>
      <c r="N84" s="26">
        <f>H84^3/12</f>
        <v/>
      </c>
      <c r="O84" s="27">
        <f>-J84*L84*K84*C84</f>
        <v/>
      </c>
      <c r="P84" s="28">
        <f>-(12*F84*J84*L84*N84+12*O84*N84*G84*COS(RADIANS(E84)))/(12*N84*G84*COS(RADIANS(E84))^2+L84*G84^3*SIN(RADIANS(E84))^2)</f>
        <v/>
      </c>
      <c r="Q84" s="28">
        <f>-(6*F84*J84*L84*N84*SIN(RADIANS(E84))+6*O84*N84*G84*SIN(RADIANS(E84))*COS(RADIANS(E84)))/(12*N84*COS(RADIANS(E84))^2+L84*G84^2*SIN(RADIANS(E84))^2)</f>
        <v/>
      </c>
      <c r="R84" s="28">
        <f>-P84*SIN(RADIANS(E84))</f>
        <v/>
      </c>
      <c r="S84" s="8">
        <f>(O84+P84*COS(RADIANS(E84)))/L84</f>
        <v/>
      </c>
      <c r="T84" s="8">
        <f>R84/L84</f>
        <v/>
      </c>
      <c r="U84" s="8">
        <f>(Q84-P84*G84*SIN(RADIANS(E84)))/M84</f>
        <v/>
      </c>
      <c r="V84" s="8">
        <f>SQRT((S84+U84)^2+3*T84^2)</f>
        <v/>
      </c>
      <c r="W84" s="8">
        <f>V84/AA84</f>
        <v/>
      </c>
      <c r="X84" s="27">
        <f>((3*10+H84/COS(RADIANS(E84)))*(3+3)+3*G84*H84)*2</f>
        <v/>
      </c>
      <c r="Y84" s="28">
        <f>Z84/X84</f>
        <v/>
      </c>
      <c r="Z84" s="29" t="n">
        <v>637.148221060429</v>
      </c>
      <c r="AA84" s="20" t="n">
        <v>66.5852227064555</v>
      </c>
      <c r="AB84" t="n">
        <v>0.1918471674957938</v>
      </c>
      <c r="AC84" t="n">
        <v>69.87351616539071</v>
      </c>
      <c r="AD84" t="n">
        <v>44.56816857304066</v>
      </c>
    </row>
    <row r="85">
      <c r="A85" t="n">
        <v>84</v>
      </c>
      <c r="B85" t="n">
        <v>79.59999999999999</v>
      </c>
      <c r="C85" s="21">
        <f>B85-20</f>
        <v/>
      </c>
      <c r="D85" t="n">
        <v>126.1</v>
      </c>
      <c r="E85" s="22">
        <f>D85-90</f>
        <v/>
      </c>
      <c r="F85" s="23" t="n">
        <v>0.015935</v>
      </c>
      <c r="G85" s="22" t="n">
        <v>21.6</v>
      </c>
      <c r="H85" s="22" t="n">
        <v>1.7</v>
      </c>
      <c r="I85" s="24" t="n">
        <v>0.07332479208707809</v>
      </c>
      <c r="J85" s="6" t="n">
        <v>71000</v>
      </c>
      <c r="K85" s="25">
        <f>23*10^-6</f>
        <v/>
      </c>
      <c r="L85" s="8">
        <f>H85</f>
        <v/>
      </c>
      <c r="M85" s="26">
        <f>H85^2/6</f>
        <v/>
      </c>
      <c r="N85" s="26">
        <f>H85^3/12</f>
        <v/>
      </c>
      <c r="O85" s="27">
        <f>-J85*L85*K85*C85</f>
        <v/>
      </c>
      <c r="P85" s="28">
        <f>-(12*F85*J85*L85*N85+12*O85*N85*G85*COS(RADIANS(E85)))/(12*N85*G85*COS(RADIANS(E85))^2+L85*G85^3*SIN(RADIANS(E85))^2)</f>
        <v/>
      </c>
      <c r="Q85" s="28">
        <f>-(6*F85*J85*L85*N85*SIN(RADIANS(E85))+6*O85*N85*G85*SIN(RADIANS(E85))*COS(RADIANS(E85)))/(12*N85*COS(RADIANS(E85))^2+L85*G85^2*SIN(RADIANS(E85))^2)</f>
        <v/>
      </c>
      <c r="R85" s="28">
        <f>-P85*SIN(RADIANS(E85))</f>
        <v/>
      </c>
      <c r="S85" s="8">
        <f>(O85+P85*COS(RADIANS(E85)))/L85</f>
        <v/>
      </c>
      <c r="T85" s="8">
        <f>R85/L85</f>
        <v/>
      </c>
      <c r="U85" s="8">
        <f>(Q85-P85*G85*SIN(RADIANS(E85)))/M85</f>
        <v/>
      </c>
      <c r="V85" s="8">
        <f>SQRT((S85+U85)^2+3*T85^2)</f>
        <v/>
      </c>
      <c r="W85" s="8">
        <f>V85/AA85</f>
        <v/>
      </c>
      <c r="X85" s="27">
        <f>((3*10+H85/COS(RADIANS(E85)))*(3+3)+3*G85*H85)*2</f>
        <v/>
      </c>
      <c r="Y85" s="28">
        <f>Z85/X85</f>
        <v/>
      </c>
      <c r="Z85" s="29" t="n">
        <v>614.7048124200099</v>
      </c>
      <c r="AA85" s="20" t="n">
        <v>94.57882673820539</v>
      </c>
      <c r="AB85" t="n">
        <v>0.07114142216390718</v>
      </c>
      <c r="AC85" t="n">
        <v>88.2990780352674</v>
      </c>
      <c r="AD85" t="n">
        <v>-2.977669436250186</v>
      </c>
    </row>
    <row r="86">
      <c r="A86" t="n">
        <v>85</v>
      </c>
      <c r="B86" t="n">
        <v>58.7</v>
      </c>
      <c r="C86" s="21">
        <f>B86-20</f>
        <v/>
      </c>
      <c r="D86" t="n">
        <v>108.5</v>
      </c>
      <c r="E86" s="22">
        <f>D86-90</f>
        <v/>
      </c>
      <c r="F86" s="23" t="n">
        <v>0.015575</v>
      </c>
      <c r="G86" s="22" t="n">
        <v>30.9</v>
      </c>
      <c r="H86" s="22" t="n">
        <v>1</v>
      </c>
      <c r="I86" s="24" t="n">
        <v>0.0956915095448494</v>
      </c>
      <c r="J86" s="6" t="n">
        <v>71000</v>
      </c>
      <c r="K86" s="25">
        <f>23*10^-6</f>
        <v/>
      </c>
      <c r="L86" s="8">
        <f>H86</f>
        <v/>
      </c>
      <c r="M86" s="26">
        <f>H86^2/6</f>
        <v/>
      </c>
      <c r="N86" s="26">
        <f>H86^3/12</f>
        <v/>
      </c>
      <c r="O86" s="27">
        <f>-J86*L86*K86*C86</f>
        <v/>
      </c>
      <c r="P86" s="28">
        <f>-(12*F86*J86*L86*N86+12*O86*N86*G86*COS(RADIANS(E86)))/(12*N86*G86*COS(RADIANS(E86))^2+L86*G86^3*SIN(RADIANS(E86))^2)</f>
        <v/>
      </c>
      <c r="Q86" s="28">
        <f>-(6*F86*J86*L86*N86*SIN(RADIANS(E86))+6*O86*N86*G86*SIN(RADIANS(E86))*COS(RADIANS(E86)))/(12*N86*COS(RADIANS(E86))^2+L86*G86^2*SIN(RADIANS(E86))^2)</f>
        <v/>
      </c>
      <c r="R86" s="28">
        <f>-P86*SIN(RADIANS(E86))</f>
        <v/>
      </c>
      <c r="S86" s="8">
        <f>(O86+P86*COS(RADIANS(E86)))/L86</f>
        <v/>
      </c>
      <c r="T86" s="8">
        <f>R86/L86</f>
        <v/>
      </c>
      <c r="U86" s="8">
        <f>(Q86-P86*G86*SIN(RADIANS(E86)))/M86</f>
        <v/>
      </c>
      <c r="V86" s="8">
        <f>SQRT((S86+U86)^2+3*T86^2)</f>
        <v/>
      </c>
      <c r="W86" s="8">
        <f>V86/AA86</f>
        <v/>
      </c>
      <c r="X86" s="27">
        <f>((3*10+H86/COS(RADIANS(E86)))*(3+3)+3*G86*H86)*2</f>
        <v/>
      </c>
      <c r="Y86" s="28">
        <f>Z86/X86</f>
        <v/>
      </c>
      <c r="Z86" s="29" t="n">
        <v>562.795352477082</v>
      </c>
      <c r="AA86" s="20" t="n">
        <v>53.8480047503863</v>
      </c>
      <c r="AB86" t="n">
        <v>0.1319462439823344</v>
      </c>
      <c r="AC86" t="n">
        <v>57.8045648055759</v>
      </c>
      <c r="AD86" t="n">
        <v>37.88709636824456</v>
      </c>
    </row>
    <row r="87">
      <c r="A87" t="n">
        <v>86</v>
      </c>
      <c r="B87" t="n">
        <v>81.59999999999999</v>
      </c>
      <c r="C87" s="21">
        <f>B87-20</f>
        <v/>
      </c>
      <c r="D87" t="n">
        <v>120.3</v>
      </c>
      <c r="E87" s="22">
        <f>D87-90</f>
        <v/>
      </c>
      <c r="F87" s="23" t="n">
        <v>0.016764</v>
      </c>
      <c r="G87" s="22" t="n">
        <v>20.7</v>
      </c>
      <c r="H87" s="22" t="n">
        <v>1.5</v>
      </c>
      <c r="I87" s="24" t="n">
        <v>0.0823074728250503</v>
      </c>
      <c r="J87" s="6" t="n">
        <v>71000</v>
      </c>
      <c r="K87" s="25">
        <f>23*10^-6</f>
        <v/>
      </c>
      <c r="L87" s="8">
        <f>H87</f>
        <v/>
      </c>
      <c r="M87" s="26">
        <f>H87^2/6</f>
        <v/>
      </c>
      <c r="N87" s="26">
        <f>H87^3/12</f>
        <v/>
      </c>
      <c r="O87" s="27">
        <f>-J87*L87*K87*C87</f>
        <v/>
      </c>
      <c r="P87" s="28">
        <f>-(12*F87*J87*L87*N87+12*O87*N87*G87*COS(RADIANS(E87)))/(12*N87*G87*COS(RADIANS(E87))^2+L87*G87^3*SIN(RADIANS(E87))^2)</f>
        <v/>
      </c>
      <c r="Q87" s="28">
        <f>-(6*F87*J87*L87*N87*SIN(RADIANS(E87))+6*O87*N87*G87*SIN(RADIANS(E87))*COS(RADIANS(E87)))/(12*N87*COS(RADIANS(E87))^2+L87*G87^2*SIN(RADIANS(E87))^2)</f>
        <v/>
      </c>
      <c r="R87" s="28">
        <f>-P87*SIN(RADIANS(E87))</f>
        <v/>
      </c>
      <c r="S87" s="8">
        <f>(O87+P87*COS(RADIANS(E87)))/L87</f>
        <v/>
      </c>
      <c r="T87" s="8">
        <f>R87/L87</f>
        <v/>
      </c>
      <c r="U87" s="8">
        <f>(Q87-P87*G87*SIN(RADIANS(E87)))/M87</f>
        <v/>
      </c>
      <c r="V87" s="8">
        <f>SQRT((S87+U87)^2+3*T87^2)</f>
        <v/>
      </c>
      <c r="W87" s="8">
        <f>V87/AA87</f>
        <v/>
      </c>
      <c r="X87" s="27">
        <f>((3*10+H87/COS(RADIANS(E87)))*(3+3)+3*G87*H87)*2</f>
        <v/>
      </c>
      <c r="Y87" s="28">
        <f>Z87/X87</f>
        <v/>
      </c>
      <c r="Z87" s="29" t="n">
        <v>574.378772356881</v>
      </c>
      <c r="AA87" s="20" t="n">
        <v>96.5816661222829</v>
      </c>
      <c r="AB87" t="n">
        <v>0.08535422877656174</v>
      </c>
      <c r="AC87" t="n">
        <v>92.55819083375314</v>
      </c>
      <c r="AD87" t="n">
        <v>3.701675980244842</v>
      </c>
    </row>
    <row r="88">
      <c r="A88" t="n">
        <v>87</v>
      </c>
      <c r="B88" t="n">
        <v>85.7</v>
      </c>
      <c r="C88" s="21">
        <f>B88-20</f>
        <v/>
      </c>
      <c r="D88" t="n">
        <v>123.3</v>
      </c>
      <c r="E88" s="22">
        <f>D88-90</f>
        <v/>
      </c>
      <c r="F88" s="23" t="n">
        <v>0.025215</v>
      </c>
      <c r="G88" s="22" t="n">
        <v>33.1</v>
      </c>
      <c r="H88" s="22" t="n">
        <v>1</v>
      </c>
      <c r="I88" s="24" t="n">
        <v>0.111125417053699</v>
      </c>
      <c r="J88" s="6" t="n">
        <v>71000</v>
      </c>
      <c r="K88" s="25">
        <f>23*10^-6</f>
        <v/>
      </c>
      <c r="L88" s="8">
        <f>H88</f>
        <v/>
      </c>
      <c r="M88" s="26">
        <f>H88^2/6</f>
        <v/>
      </c>
      <c r="N88" s="26">
        <f>H88^3/12</f>
        <v/>
      </c>
      <c r="O88" s="27">
        <f>-J88*L88*K88*C88</f>
        <v/>
      </c>
      <c r="P88" s="28">
        <f>-(12*F88*J88*L88*N88+12*O88*N88*G88*COS(RADIANS(E88)))/(12*N88*G88*COS(RADIANS(E88))^2+L88*G88^3*SIN(RADIANS(E88))^2)</f>
        <v/>
      </c>
      <c r="Q88" s="28">
        <f>-(6*F88*J88*L88*N88*SIN(RADIANS(E88))+6*O88*N88*G88*SIN(RADIANS(E88))*COS(RADIANS(E88)))/(12*N88*COS(RADIANS(E88))^2+L88*G88^2*SIN(RADIANS(E88))^2)</f>
        <v/>
      </c>
      <c r="R88" s="28">
        <f>-P88*SIN(RADIANS(E88))</f>
        <v/>
      </c>
      <c r="S88" s="8">
        <f>(O88+P88*COS(RADIANS(E88)))/L88</f>
        <v/>
      </c>
      <c r="T88" s="8">
        <f>R88/L88</f>
        <v/>
      </c>
      <c r="U88" s="8">
        <f>(Q88-P88*G88*SIN(RADIANS(E88)))/M88</f>
        <v/>
      </c>
      <c r="V88" s="8">
        <f>SQRT((S88+U88)^2+3*T88^2)</f>
        <v/>
      </c>
      <c r="W88" s="8">
        <f>V88/AA88</f>
        <v/>
      </c>
      <c r="X88" s="27">
        <f>((3*10+H88/COS(RADIANS(E88)))*(3+3)+3*G88*H88)*2</f>
        <v/>
      </c>
      <c r="Y88" s="28">
        <f>Z88/X88</f>
        <v/>
      </c>
      <c r="Z88" s="29" t="n">
        <v>581.105755408874</v>
      </c>
      <c r="AA88" s="20" t="n">
        <v>85.5652261877693</v>
      </c>
      <c r="AB88" t="n">
        <v>0.1291798431012357</v>
      </c>
      <c r="AC88" t="n">
        <v>92.99084445690717</v>
      </c>
      <c r="AD88" t="n">
        <v>16.24689159889703</v>
      </c>
    </row>
    <row r="89">
      <c r="A89" t="n">
        <v>88</v>
      </c>
      <c r="B89" t="n">
        <v>81.40000000000001</v>
      </c>
      <c r="C89" s="21">
        <f>B89-20</f>
        <v/>
      </c>
      <c r="D89" t="n">
        <v>106.9</v>
      </c>
      <c r="E89" s="22">
        <f>D89-90</f>
        <v/>
      </c>
      <c r="F89" s="23" t="n">
        <v>0.024961</v>
      </c>
      <c r="G89" s="22" t="n">
        <v>31</v>
      </c>
      <c r="H89" s="22" t="n">
        <v>1.8</v>
      </c>
      <c r="I89" s="24" t="n">
        <v>0.161160454154014</v>
      </c>
      <c r="J89" s="6" t="n">
        <v>71000</v>
      </c>
      <c r="K89" s="25">
        <f>23*10^-6</f>
        <v/>
      </c>
      <c r="L89" s="8">
        <f>H89</f>
        <v/>
      </c>
      <c r="M89" s="26">
        <f>H89^2/6</f>
        <v/>
      </c>
      <c r="N89" s="26">
        <f>H89^3/12</f>
        <v/>
      </c>
      <c r="O89" s="27">
        <f>-J89*L89*K89*C89</f>
        <v/>
      </c>
      <c r="P89" s="28">
        <f>-(12*F89*J89*L89*N89+12*O89*N89*G89*COS(RADIANS(E89)))/(12*N89*G89*COS(RADIANS(E89))^2+L89*G89^3*SIN(RADIANS(E89))^2)</f>
        <v/>
      </c>
      <c r="Q89" s="28">
        <f>-(6*F89*J89*L89*N89*SIN(RADIANS(E89))+6*O89*N89*G89*SIN(RADIANS(E89))*COS(RADIANS(E89)))/(12*N89*COS(RADIANS(E89))^2+L89*G89^2*SIN(RADIANS(E89))^2)</f>
        <v/>
      </c>
      <c r="R89" s="28">
        <f>-P89*SIN(RADIANS(E89))</f>
        <v/>
      </c>
      <c r="S89" s="8">
        <f>(O89+P89*COS(RADIANS(E89)))/L89</f>
        <v/>
      </c>
      <c r="T89" s="8">
        <f>R89/L89</f>
        <v/>
      </c>
      <c r="U89" s="8">
        <f>(Q89-P89*G89*SIN(RADIANS(E89)))/M89</f>
        <v/>
      </c>
      <c r="V89" s="8">
        <f>SQRT((S89+U89)^2+3*T89^2)</f>
        <v/>
      </c>
      <c r="W89" s="8">
        <f>V89/AA89</f>
        <v/>
      </c>
      <c r="X89" s="27">
        <f>((3*10+H89/COS(RADIANS(E89)))*(3+3)+3*G89*H89)*2</f>
        <v/>
      </c>
      <c r="Y89" s="28">
        <f>Z89/X89</f>
        <v/>
      </c>
      <c r="Z89" s="29" t="n">
        <v>721.891815640295</v>
      </c>
      <c r="AA89" s="20" t="n">
        <v>101.220423079463</v>
      </c>
      <c r="AB89" t="n">
        <v>0.2242836466411011</v>
      </c>
      <c r="AC89" t="n">
        <v>99.7279486120447</v>
      </c>
      <c r="AD89" t="n">
        <v>39.16791673146007</v>
      </c>
    </row>
    <row r="90">
      <c r="A90" t="n">
        <v>89</v>
      </c>
      <c r="B90" t="n">
        <v>68.7</v>
      </c>
      <c r="C90" s="21">
        <f>B90-20</f>
        <v/>
      </c>
      <c r="D90" t="n">
        <v>117.6</v>
      </c>
      <c r="E90" s="22">
        <f>D90-90</f>
        <v/>
      </c>
      <c r="F90" s="23" t="n">
        <v>0.013171</v>
      </c>
      <c r="G90" s="22" t="n">
        <v>20</v>
      </c>
      <c r="H90" s="22" t="n">
        <v>1.2</v>
      </c>
      <c r="I90" s="24" t="n">
        <v>0.06780022382736201</v>
      </c>
      <c r="J90" s="6" t="n">
        <v>71000</v>
      </c>
      <c r="K90" s="25">
        <f>23*10^-6</f>
        <v/>
      </c>
      <c r="L90" s="8">
        <f>H90</f>
        <v/>
      </c>
      <c r="M90" s="26">
        <f>H90^2/6</f>
        <v/>
      </c>
      <c r="N90" s="26">
        <f>H90^3/12</f>
        <v/>
      </c>
      <c r="O90" s="27">
        <f>-J90*L90*K90*C90</f>
        <v/>
      </c>
      <c r="P90" s="28">
        <f>-(12*F90*J90*L90*N90+12*O90*N90*G90*COS(RADIANS(E90)))/(12*N90*G90*COS(RADIANS(E90))^2+L90*G90^3*SIN(RADIANS(E90))^2)</f>
        <v/>
      </c>
      <c r="Q90" s="28">
        <f>-(6*F90*J90*L90*N90*SIN(RADIANS(E90))+6*O90*N90*G90*SIN(RADIANS(E90))*COS(RADIANS(E90)))/(12*N90*COS(RADIANS(E90))^2+L90*G90^2*SIN(RADIANS(E90))^2)</f>
        <v/>
      </c>
      <c r="R90" s="28">
        <f>-P90*SIN(RADIANS(E90))</f>
        <v/>
      </c>
      <c r="S90" s="8">
        <f>(O90+P90*COS(RADIANS(E90)))/L90</f>
        <v/>
      </c>
      <c r="T90" s="8">
        <f>R90/L90</f>
        <v/>
      </c>
      <c r="U90" s="8">
        <f>(Q90-P90*G90*SIN(RADIANS(E90)))/M90</f>
        <v/>
      </c>
      <c r="V90" s="8">
        <f>SQRT((S90+U90)^2+3*T90^2)</f>
        <v/>
      </c>
      <c r="W90" s="8">
        <f>V90/AA90</f>
        <v/>
      </c>
      <c r="X90" s="27">
        <f>((3*10+H90/COS(RADIANS(E90)))*(3+3)+3*G90*H90)*2</f>
        <v/>
      </c>
      <c r="Y90" s="28">
        <f>Z90/X90</f>
        <v/>
      </c>
      <c r="Z90" s="29" t="n">
        <v>526.764530884945</v>
      </c>
      <c r="AA90" s="20" t="n">
        <v>71.79475689929821</v>
      </c>
      <c r="AB90" t="n">
        <v>0.07250188609636313</v>
      </c>
      <c r="AC90" t="n">
        <v>72.60539406497429</v>
      </c>
      <c r="AD90" t="n">
        <v>6.934582223464108</v>
      </c>
    </row>
    <row r="91">
      <c r="A91" t="n">
        <v>90</v>
      </c>
      <c r="B91" t="n">
        <v>49.7</v>
      </c>
      <c r="C91" s="21">
        <f>B91-20</f>
        <v/>
      </c>
      <c r="D91" t="n">
        <v>117.9</v>
      </c>
      <c r="E91" s="22">
        <f>D91-90</f>
        <v/>
      </c>
      <c r="F91" s="23" t="n">
        <v>0.011218</v>
      </c>
      <c r="G91" s="22" t="n">
        <v>30.7</v>
      </c>
      <c r="H91" s="22" t="n">
        <v>1.9</v>
      </c>
      <c r="I91" s="24" t="n">
        <v>0.0538277737796306</v>
      </c>
      <c r="J91" s="6" t="n">
        <v>71000</v>
      </c>
      <c r="K91" s="25">
        <f>23*10^-6</f>
        <v/>
      </c>
      <c r="L91" s="8">
        <f>H91</f>
        <v/>
      </c>
      <c r="M91" s="26">
        <f>H91^2/6</f>
        <v/>
      </c>
      <c r="N91" s="26">
        <f>H91^3/12</f>
        <v/>
      </c>
      <c r="O91" s="27">
        <f>-J91*L91*K91*C91</f>
        <v/>
      </c>
      <c r="P91" s="28">
        <f>-(12*F91*J91*L91*N91+12*O91*N91*G91*COS(RADIANS(E91)))/(12*N91*G91*COS(RADIANS(E91))^2+L91*G91^3*SIN(RADIANS(E91))^2)</f>
        <v/>
      </c>
      <c r="Q91" s="28">
        <f>-(6*F91*J91*L91*N91*SIN(RADIANS(E91))+6*O91*N91*G91*SIN(RADIANS(E91))*COS(RADIANS(E91)))/(12*N91*COS(RADIANS(E91))^2+L91*G91^2*SIN(RADIANS(E91))^2)</f>
        <v/>
      </c>
      <c r="R91" s="28">
        <f>-P91*SIN(RADIANS(E91))</f>
        <v/>
      </c>
      <c r="S91" s="8">
        <f>(O91+P91*COS(RADIANS(E91)))/L91</f>
        <v/>
      </c>
      <c r="T91" s="8">
        <f>R91/L91</f>
        <v/>
      </c>
      <c r="U91" s="8">
        <f>(Q91-P91*G91*SIN(RADIANS(E91)))/M91</f>
        <v/>
      </c>
      <c r="V91" s="8">
        <f>SQRT((S91+U91)^2+3*T91^2)</f>
        <v/>
      </c>
      <c r="W91" s="8">
        <f>V91/AA91</f>
        <v/>
      </c>
      <c r="X91" s="27">
        <f>((3*10+H91/COS(RADIANS(E91)))*(3+3)+3*G91*H91)*2</f>
        <v/>
      </c>
      <c r="Y91" s="28">
        <f>Z91/X91</f>
        <v/>
      </c>
      <c r="Z91" s="29" t="n">
        <v>742.368845572656</v>
      </c>
      <c r="AA91" s="20" t="n">
        <v>48.1717040780512</v>
      </c>
      <c r="AB91" t="n">
        <v>0.0650337588270099</v>
      </c>
      <c r="AC91" t="n">
        <v>45.12613406581797</v>
      </c>
      <c r="AD91" t="n">
        <v>20.8182212648368</v>
      </c>
    </row>
    <row r="92">
      <c r="A92" t="n">
        <v>91</v>
      </c>
      <c r="B92" t="n">
        <v>61.7</v>
      </c>
      <c r="C92" s="21">
        <f>B92-20</f>
        <v/>
      </c>
      <c r="D92" t="n">
        <v>118</v>
      </c>
      <c r="E92" s="22">
        <f>D92-90</f>
        <v/>
      </c>
      <c r="F92" s="23" t="n">
        <v>0.013598</v>
      </c>
      <c r="G92" s="22" t="n">
        <v>25.6</v>
      </c>
      <c r="H92" s="22" t="n">
        <v>1.2</v>
      </c>
      <c r="I92" s="24" t="n">
        <v>0.0668908730149269</v>
      </c>
      <c r="J92" s="6" t="n">
        <v>71000</v>
      </c>
      <c r="K92" s="25">
        <f>23*10^-6</f>
        <v/>
      </c>
      <c r="L92" s="8">
        <f>H92</f>
        <v/>
      </c>
      <c r="M92" s="26">
        <f>H92^2/6</f>
        <v/>
      </c>
      <c r="N92" s="26">
        <f>H92^3/12</f>
        <v/>
      </c>
      <c r="O92" s="27">
        <f>-J92*L92*K92*C92</f>
        <v/>
      </c>
      <c r="P92" s="28">
        <f>-(12*F92*J92*L92*N92+12*O92*N92*G92*COS(RADIANS(E92)))/(12*N92*G92*COS(RADIANS(E92))^2+L92*G92^3*SIN(RADIANS(E92))^2)</f>
        <v/>
      </c>
      <c r="Q92" s="28">
        <f>-(6*F92*J92*L92*N92*SIN(RADIANS(E92))+6*O92*N92*G92*SIN(RADIANS(E92))*COS(RADIANS(E92)))/(12*N92*COS(RADIANS(E92))^2+L92*G92^2*SIN(RADIANS(E92))^2)</f>
        <v/>
      </c>
      <c r="R92" s="28">
        <f>-P92*SIN(RADIANS(E92))</f>
        <v/>
      </c>
      <c r="S92" s="8">
        <f>(O92+P92*COS(RADIANS(E92)))/L92</f>
        <v/>
      </c>
      <c r="T92" s="8">
        <f>R92/L92</f>
        <v/>
      </c>
      <c r="U92" s="8">
        <f>(Q92-P92*G92*SIN(RADIANS(E92)))/M92</f>
        <v/>
      </c>
      <c r="V92" s="8">
        <f>SQRT((S92+U92)^2+3*T92^2)</f>
        <v/>
      </c>
      <c r="W92" s="8">
        <f>V92/AA92</f>
        <v/>
      </c>
      <c r="X92" s="27">
        <f>((3*10+H92/COS(RADIANS(E92)))*(3+3)+3*G92*H92)*2</f>
        <v/>
      </c>
      <c r="Y92" s="28">
        <f>Z92/X92</f>
        <v/>
      </c>
      <c r="Z92" s="29" t="n">
        <v>567.2443193321</v>
      </c>
      <c r="AA92" s="20" t="n">
        <v>59.5151144634566</v>
      </c>
      <c r="AB92" t="n">
        <v>0.07721602739909132</v>
      </c>
      <c r="AC92" t="n">
        <v>61.3266369262877</v>
      </c>
      <c r="AD92" t="n">
        <v>15.43581944559213</v>
      </c>
    </row>
    <row r="93">
      <c r="A93" t="n">
        <v>92</v>
      </c>
      <c r="B93" t="n">
        <v>41.1</v>
      </c>
      <c r="C93" s="21">
        <f>B93-20</f>
        <v/>
      </c>
      <c r="D93" t="n">
        <v>106.1</v>
      </c>
      <c r="E93" s="22">
        <f>D93-90</f>
        <v/>
      </c>
      <c r="F93" s="23" t="n">
        <v>0.007105</v>
      </c>
      <c r="G93" s="22" t="n">
        <v>24.5</v>
      </c>
      <c r="H93" s="22" t="n">
        <v>1.4</v>
      </c>
      <c r="I93" s="24" t="n">
        <v>0.0488436855375766</v>
      </c>
      <c r="J93" s="6" t="n">
        <v>71000</v>
      </c>
      <c r="K93" s="25">
        <f>23*10^-6</f>
        <v/>
      </c>
      <c r="L93" s="8">
        <f>H93</f>
        <v/>
      </c>
      <c r="M93" s="26">
        <f>H93^2/6</f>
        <v/>
      </c>
      <c r="N93" s="26">
        <f>H93^3/12</f>
        <v/>
      </c>
      <c r="O93" s="27">
        <f>-J93*L93*K93*C93</f>
        <v/>
      </c>
      <c r="P93" s="28">
        <f>-(12*F93*J93*L93*N93+12*O93*N93*G93*COS(RADIANS(E93)))/(12*N93*G93*COS(RADIANS(E93))^2+L93*G93^3*SIN(RADIANS(E93))^2)</f>
        <v/>
      </c>
      <c r="Q93" s="28">
        <f>-(6*F93*J93*L93*N93*SIN(RADIANS(E93))+6*O93*N93*G93*SIN(RADIANS(E93))*COS(RADIANS(E93)))/(12*N93*COS(RADIANS(E93))^2+L93*G93^2*SIN(RADIANS(E93))^2)</f>
        <v/>
      </c>
      <c r="R93" s="28">
        <f>-P93*SIN(RADIANS(E93))</f>
        <v/>
      </c>
      <c r="S93" s="8">
        <f>(O93+P93*COS(RADIANS(E93)))/L93</f>
        <v/>
      </c>
      <c r="T93" s="8">
        <f>R93/L93</f>
        <v/>
      </c>
      <c r="U93" s="8">
        <f>(Q93-P93*G93*SIN(RADIANS(E93)))/M93</f>
        <v/>
      </c>
      <c r="V93" s="8">
        <f>SQRT((S93+U93)^2+3*T93^2)</f>
        <v/>
      </c>
      <c r="W93" s="8">
        <f>V93/AA93</f>
        <v/>
      </c>
      <c r="X93" s="27">
        <f>((3*10+H93/COS(RADIANS(E93)))*(3+3)+3*G93*H93)*2</f>
        <v/>
      </c>
      <c r="Y93" s="28">
        <f>Z93/X93</f>
        <v/>
      </c>
      <c r="Z93" s="29" t="n">
        <v>587.699163554908</v>
      </c>
      <c r="AA93" s="20" t="n">
        <v>32.9557683473653</v>
      </c>
      <c r="AB93" t="n">
        <v>0.06486905146642426</v>
      </c>
      <c r="AC93" t="n">
        <v>34.05900756146672</v>
      </c>
      <c r="AD93" t="n">
        <v>32.80949369907594</v>
      </c>
    </row>
    <row r="94">
      <c r="A94" t="n">
        <v>93</v>
      </c>
      <c r="B94" t="n">
        <v>70.5</v>
      </c>
      <c r="C94" s="21">
        <f>B94-20</f>
        <v/>
      </c>
      <c r="D94" t="n">
        <v>126.3</v>
      </c>
      <c r="E94" s="22">
        <f>D94-90</f>
        <v/>
      </c>
      <c r="F94" s="23" t="n">
        <v>0.014218</v>
      </c>
      <c r="G94" s="22" t="n">
        <v>23.2</v>
      </c>
      <c r="H94" s="22" t="n">
        <v>1.8</v>
      </c>
      <c r="I94" s="24" t="n">
        <v>0.064631775021553</v>
      </c>
      <c r="J94" s="6" t="n">
        <v>71000</v>
      </c>
      <c r="K94" s="25">
        <f>23*10^-6</f>
        <v/>
      </c>
      <c r="L94" s="8">
        <f>H94</f>
        <v/>
      </c>
      <c r="M94" s="26">
        <f>H94^2/6</f>
        <v/>
      </c>
      <c r="N94" s="26">
        <f>H94^3/12</f>
        <v/>
      </c>
      <c r="O94" s="27">
        <f>-J94*L94*K94*C94</f>
        <v/>
      </c>
      <c r="P94" s="28">
        <f>-(12*F94*J94*L94*N94+12*O94*N94*G94*COS(RADIANS(E94)))/(12*N94*G94*COS(RADIANS(E94))^2+L94*G94^3*SIN(RADIANS(E94))^2)</f>
        <v/>
      </c>
      <c r="Q94" s="28">
        <f>-(6*F94*J94*L94*N94*SIN(RADIANS(E94))+6*O94*N94*G94*SIN(RADIANS(E94))*COS(RADIANS(E94)))/(12*N94*COS(RADIANS(E94))^2+L94*G94^2*SIN(RADIANS(E94))^2)</f>
        <v/>
      </c>
      <c r="R94" s="28">
        <f>-P94*SIN(RADIANS(E94))</f>
        <v/>
      </c>
      <c r="S94" s="8">
        <f>(O94+P94*COS(RADIANS(E94)))/L94</f>
        <v/>
      </c>
      <c r="T94" s="8">
        <f>R94/L94</f>
        <v/>
      </c>
      <c r="U94" s="8">
        <f>(Q94-P94*G94*SIN(RADIANS(E94)))/M94</f>
        <v/>
      </c>
      <c r="V94" s="8">
        <f>SQRT((S94+U94)^2+3*T94^2)</f>
        <v/>
      </c>
      <c r="W94" s="8">
        <f>V94/AA94</f>
        <v/>
      </c>
      <c r="X94" s="27">
        <f>((3*10+H94/COS(RADIANS(E94)))*(3+3)+3*G94*H94)*2</f>
        <v/>
      </c>
      <c r="Y94" s="28">
        <f>Z94/X94</f>
        <v/>
      </c>
      <c r="Z94" s="29" t="n">
        <v>646.574346310946</v>
      </c>
      <c r="AA94" s="20" t="n">
        <v>80.68058047309781</v>
      </c>
      <c r="AB94" t="n">
        <v>0.0640422420145933</v>
      </c>
      <c r="AC94" t="n">
        <v>74.90912138077366</v>
      </c>
      <c r="AD94" t="n">
        <v>-0.9121411360946007</v>
      </c>
    </row>
    <row r="95">
      <c r="A95" t="n">
        <v>94</v>
      </c>
      <c r="B95" t="n">
        <v>58.6</v>
      </c>
      <c r="C95" s="21">
        <f>B95-20</f>
        <v/>
      </c>
      <c r="D95" t="n">
        <v>109.5</v>
      </c>
      <c r="E95" s="22">
        <f>D95-90</f>
        <v/>
      </c>
      <c r="F95" s="23" t="n">
        <v>0.0116</v>
      </c>
      <c r="G95" s="22" t="n">
        <v>21.6</v>
      </c>
      <c r="H95" s="22" t="n">
        <v>1.8</v>
      </c>
      <c r="I95" s="24" t="n">
        <v>0.070453755557537</v>
      </c>
      <c r="J95" s="6" t="n">
        <v>71000</v>
      </c>
      <c r="K95" s="25">
        <f>23*10^-6</f>
        <v/>
      </c>
      <c r="L95" s="8">
        <f>H95</f>
        <v/>
      </c>
      <c r="M95" s="26">
        <f>H95^2/6</f>
        <v/>
      </c>
      <c r="N95" s="26">
        <f>H95^3/12</f>
        <v/>
      </c>
      <c r="O95" s="27">
        <f>-J95*L95*K95*C95</f>
        <v/>
      </c>
      <c r="P95" s="28">
        <f>-(12*F95*J95*L95*N95+12*O95*N95*G95*COS(RADIANS(E95)))/(12*N95*G95*COS(RADIANS(E95))^2+L95*G95^3*SIN(RADIANS(E95))^2)</f>
        <v/>
      </c>
      <c r="Q95" s="28">
        <f>-(6*F95*J95*L95*N95*SIN(RADIANS(E95))+6*O95*N95*G95*SIN(RADIANS(E95))*COS(RADIANS(E95)))/(12*N95*COS(RADIANS(E95))^2+L95*G95^2*SIN(RADIANS(E95))^2)</f>
        <v/>
      </c>
      <c r="R95" s="28">
        <f>-P95*SIN(RADIANS(E95))</f>
        <v/>
      </c>
      <c r="S95" s="8">
        <f>(O95+P95*COS(RADIANS(E95)))/L95</f>
        <v/>
      </c>
      <c r="T95" s="8">
        <f>R95/L95</f>
        <v/>
      </c>
      <c r="U95" s="8">
        <f>(Q95-P95*G95*SIN(RADIANS(E95)))/M95</f>
        <v/>
      </c>
      <c r="V95" s="8">
        <f>SQRT((S95+U95)^2+3*T95^2)</f>
        <v/>
      </c>
      <c r="W95" s="8">
        <f>V95/AA95</f>
        <v/>
      </c>
      <c r="X95" s="27">
        <f>((3*10+H95/COS(RADIANS(E95)))*(3+3)+3*G95*H95)*2</f>
        <v/>
      </c>
      <c r="Y95" s="28">
        <f>Z95/X95</f>
        <v/>
      </c>
      <c r="Z95" s="29" t="n">
        <v>621.088330086717</v>
      </c>
      <c r="AA95" s="20" t="n">
        <v>66.7174955935856</v>
      </c>
      <c r="AB95" t="n">
        <v>0.08525616514086405</v>
      </c>
      <c r="AC95" t="n">
        <v>63.2982347014723</v>
      </c>
      <c r="AD95" t="n">
        <v>21.01010722024388</v>
      </c>
    </row>
    <row r="96">
      <c r="A96" t="n">
        <v>95</v>
      </c>
      <c r="B96" t="n">
        <v>83.8</v>
      </c>
      <c r="C96" s="21">
        <f>B96-20</f>
        <v/>
      </c>
      <c r="D96" t="n">
        <v>113.4</v>
      </c>
      <c r="E96" s="22">
        <f>D96-90</f>
        <v/>
      </c>
      <c r="F96" s="23" t="n">
        <v>0.019917</v>
      </c>
      <c r="G96" s="22" t="n">
        <v>23.3</v>
      </c>
      <c r="H96" s="22" t="n">
        <v>1.8</v>
      </c>
      <c r="I96" s="24" t="n">
        <v>0.108423061668872</v>
      </c>
      <c r="J96" s="6" t="n">
        <v>71000</v>
      </c>
      <c r="K96" s="25">
        <f>23*10^-6</f>
        <v/>
      </c>
      <c r="L96" s="8">
        <f>H96</f>
        <v/>
      </c>
      <c r="M96" s="26">
        <f>H96^2/6</f>
        <v/>
      </c>
      <c r="N96" s="26">
        <f>H96^3/12</f>
        <v/>
      </c>
      <c r="O96" s="27">
        <f>-J96*L96*K96*C96</f>
        <v/>
      </c>
      <c r="P96" s="28">
        <f>-(12*F96*J96*L96*N96+12*O96*N96*G96*COS(RADIANS(E96)))/(12*N96*G96*COS(RADIANS(E96))^2+L96*G96^3*SIN(RADIANS(E96))^2)</f>
        <v/>
      </c>
      <c r="Q96" s="28">
        <f>-(6*F96*J96*L96*N96*SIN(RADIANS(E96))+6*O96*N96*G96*SIN(RADIANS(E96))*COS(RADIANS(E96)))/(12*N96*COS(RADIANS(E96))^2+L96*G96^2*SIN(RADIANS(E96))^2)</f>
        <v/>
      </c>
      <c r="R96" s="28">
        <f>-P96*SIN(RADIANS(E96))</f>
        <v/>
      </c>
      <c r="S96" s="8">
        <f>(O96+P96*COS(RADIANS(E96)))/L96</f>
        <v/>
      </c>
      <c r="T96" s="8">
        <f>R96/L96</f>
        <v/>
      </c>
      <c r="U96" s="8">
        <f>(Q96-P96*G96*SIN(RADIANS(E96)))/M96</f>
        <v/>
      </c>
      <c r="V96" s="8">
        <f>SQRT((S96+U96)^2+3*T96^2)</f>
        <v/>
      </c>
      <c r="W96" s="8">
        <f>V96/AA96</f>
        <v/>
      </c>
      <c r="X96" s="27">
        <f>((3*10+H96/COS(RADIANS(E96)))*(3+3)+3*G96*H96)*2</f>
        <v/>
      </c>
      <c r="Y96" s="28">
        <f>Z96/X96</f>
        <v/>
      </c>
      <c r="Z96" s="29" t="n">
        <v>640.760112813621</v>
      </c>
      <c r="AA96" s="20" t="n">
        <v>105.282725748623</v>
      </c>
      <c r="AB96" t="n">
        <v>0.1277680296102259</v>
      </c>
      <c r="AC96" t="n">
        <v>100.9727762940018</v>
      </c>
      <c r="AD96" t="n">
        <v>17.84211554589202</v>
      </c>
    </row>
    <row r="97">
      <c r="A97" t="n">
        <v>96</v>
      </c>
      <c r="B97" t="n">
        <v>43.5</v>
      </c>
      <c r="C97" s="21">
        <f>B97-20</f>
        <v/>
      </c>
      <c r="D97" t="n">
        <v>109.5</v>
      </c>
      <c r="E97" s="22">
        <f>D97-90</f>
        <v/>
      </c>
      <c r="F97" s="23" t="n">
        <v>0.007997000000000001</v>
      </c>
      <c r="G97" s="22" t="n">
        <v>25.3</v>
      </c>
      <c r="H97" s="22" t="n">
        <v>1.5</v>
      </c>
      <c r="I97" s="24" t="n">
        <v>0.0482143275439739</v>
      </c>
      <c r="J97" s="6" t="n">
        <v>71000</v>
      </c>
      <c r="K97" s="25">
        <f>23*10^-6</f>
        <v/>
      </c>
      <c r="L97" s="8">
        <f>H97</f>
        <v/>
      </c>
      <c r="M97" s="26">
        <f>H97^2/6</f>
        <v/>
      </c>
      <c r="N97" s="26">
        <f>H97^3/12</f>
        <v/>
      </c>
      <c r="O97" s="27">
        <f>-J97*L97*K97*C97</f>
        <v/>
      </c>
      <c r="P97" s="28">
        <f>-(12*F97*J97*L97*N97+12*O97*N97*G97*COS(RADIANS(E97)))/(12*N97*G97*COS(RADIANS(E97))^2+L97*G97^3*SIN(RADIANS(E97))^2)</f>
        <v/>
      </c>
      <c r="Q97" s="28">
        <f>-(6*F97*J97*L97*N97*SIN(RADIANS(E97))+6*O97*N97*G97*SIN(RADIANS(E97))*COS(RADIANS(E97)))/(12*N97*COS(RADIANS(E97))^2+L97*G97^2*SIN(RADIANS(E97))^2)</f>
        <v/>
      </c>
      <c r="R97" s="28">
        <f>-P97*SIN(RADIANS(E97))</f>
        <v/>
      </c>
      <c r="S97" s="8">
        <f>(O97+P97*COS(RADIANS(E97)))/L97</f>
        <v/>
      </c>
      <c r="T97" s="8">
        <f>R97/L97</f>
        <v/>
      </c>
      <c r="U97" s="8">
        <f>(Q97-P97*G97*SIN(RADIANS(E97)))/M97</f>
        <v/>
      </c>
      <c r="V97" s="8">
        <f>SQRT((S97+U97)^2+3*T97^2)</f>
        <v/>
      </c>
      <c r="W97" s="8">
        <f>V97/AA97</f>
        <v/>
      </c>
      <c r="X97" s="27">
        <f>((3*10+H97/COS(RADIANS(E97)))*(3+3)+3*G97*H97)*2</f>
        <v/>
      </c>
      <c r="Y97" s="28">
        <f>Z97/X97</f>
        <v/>
      </c>
      <c r="Z97" s="29" t="n">
        <v>611.689274768211</v>
      </c>
      <c r="AA97" s="20" t="n">
        <v>36.8825693881173</v>
      </c>
      <c r="AB97" t="n">
        <v>0.06173722394585665</v>
      </c>
      <c r="AC97" t="n">
        <v>37.09180904303344</v>
      </c>
      <c r="AD97" t="n">
        <v>28.0474645001513</v>
      </c>
    </row>
    <row r="98">
      <c r="A98" t="n">
        <v>97</v>
      </c>
      <c r="B98" t="n">
        <v>80.8</v>
      </c>
      <c r="C98" s="21">
        <f>B98-20</f>
        <v/>
      </c>
      <c r="D98" t="n">
        <v>119.5</v>
      </c>
      <c r="E98" s="22">
        <f>D98-90</f>
        <v/>
      </c>
      <c r="F98" s="23" t="n">
        <v>0.020869</v>
      </c>
      <c r="G98" s="22" t="n">
        <v>27.7</v>
      </c>
      <c r="H98" s="22" t="n">
        <v>1.8</v>
      </c>
      <c r="I98" s="24" t="n">
        <v>0.09909672290086741</v>
      </c>
      <c r="J98" s="6" t="n">
        <v>71000</v>
      </c>
      <c r="K98" s="25">
        <f>23*10^-6</f>
        <v/>
      </c>
      <c r="L98" s="8">
        <f>H98</f>
        <v/>
      </c>
      <c r="M98" s="26">
        <f>H98^2/6</f>
        <v/>
      </c>
      <c r="N98" s="26">
        <f>H98^3/12</f>
        <v/>
      </c>
      <c r="O98" s="27">
        <f>-J98*L98*K98*C98</f>
        <v/>
      </c>
      <c r="P98" s="28">
        <f>-(12*F98*J98*L98*N98+12*O98*N98*G98*COS(RADIANS(E98)))/(12*N98*G98*COS(RADIANS(E98))^2+L98*G98^3*SIN(RADIANS(E98))^2)</f>
        <v/>
      </c>
      <c r="Q98" s="28">
        <f>-(6*F98*J98*L98*N98*SIN(RADIANS(E98))+6*O98*N98*G98*SIN(RADIANS(E98))*COS(RADIANS(E98)))/(12*N98*COS(RADIANS(E98))^2+L98*G98^2*SIN(RADIANS(E98))^2)</f>
        <v/>
      </c>
      <c r="R98" s="28">
        <f>-P98*SIN(RADIANS(E98))</f>
        <v/>
      </c>
      <c r="S98" s="8">
        <f>(O98+P98*COS(RADIANS(E98)))/L98</f>
        <v/>
      </c>
      <c r="T98" s="8">
        <f>R98/L98</f>
        <v/>
      </c>
      <c r="U98" s="8">
        <f>(Q98-P98*G98*SIN(RADIANS(E98)))/M98</f>
        <v/>
      </c>
      <c r="V98" s="8">
        <f>SQRT((S98+U98)^2+3*T98^2)</f>
        <v/>
      </c>
      <c r="W98" s="8">
        <f>V98/AA98</f>
        <v/>
      </c>
      <c r="X98" s="27">
        <f>((3*10+H98/COS(RADIANS(E98)))*(3+3)+3*G98*H98)*2</f>
        <v/>
      </c>
      <c r="Y98" s="28">
        <f>Z98/X98</f>
        <v/>
      </c>
      <c r="Z98" s="29" t="n">
        <v>690.986002081904</v>
      </c>
      <c r="AA98" s="20" t="n">
        <v>96.58724849063729</v>
      </c>
      <c r="AB98" t="n">
        <v>0.1138910781017501</v>
      </c>
      <c r="AC98" t="n">
        <v>91.83828587112762</v>
      </c>
      <c r="AD98" t="n">
        <v>14.92920731161046</v>
      </c>
    </row>
    <row r="99">
      <c r="A99" t="n">
        <v>98</v>
      </c>
      <c r="B99" t="n">
        <v>68.3</v>
      </c>
      <c r="C99" s="21">
        <f>B99-20</f>
        <v/>
      </c>
      <c r="D99" t="n">
        <v>109.9</v>
      </c>
      <c r="E99" s="22">
        <f>D99-90</f>
        <v/>
      </c>
      <c r="F99" s="23" t="n">
        <v>0.013866</v>
      </c>
      <c r="G99" s="22" t="n">
        <v>20.4</v>
      </c>
      <c r="H99" s="22" t="n">
        <v>1.9</v>
      </c>
      <c r="I99" s="24" t="n">
        <v>0.0833321958780288</v>
      </c>
      <c r="J99" s="6" t="n">
        <v>71000</v>
      </c>
      <c r="K99" s="25">
        <f>23*10^-6</f>
        <v/>
      </c>
      <c r="L99" s="8">
        <f>H99</f>
        <v/>
      </c>
      <c r="M99" s="26">
        <f>H99^2/6</f>
        <v/>
      </c>
      <c r="N99" s="26">
        <f>H99^3/12</f>
        <v/>
      </c>
      <c r="O99" s="27">
        <f>-J99*L99*K99*C99</f>
        <v/>
      </c>
      <c r="P99" s="28">
        <f>-(12*F99*J99*L99*N99+12*O99*N99*G99*COS(RADIANS(E99)))/(12*N99*G99*COS(RADIANS(E99))^2+L99*G99^3*SIN(RADIANS(E99))^2)</f>
        <v/>
      </c>
      <c r="Q99" s="28">
        <f>-(6*F99*J99*L99*N99*SIN(RADIANS(E99))+6*O99*N99*G99*SIN(RADIANS(E99))*COS(RADIANS(E99)))/(12*N99*COS(RADIANS(E99))^2+L99*G99^2*SIN(RADIANS(E99))^2)</f>
        <v/>
      </c>
      <c r="R99" s="28">
        <f>-P99*SIN(RADIANS(E99))</f>
        <v/>
      </c>
      <c r="S99" s="8">
        <f>(O99+P99*COS(RADIANS(E99)))/L99</f>
        <v/>
      </c>
      <c r="T99" s="8">
        <f>R99/L99</f>
        <v/>
      </c>
      <c r="U99" s="8">
        <f>(Q99-P99*G99*SIN(RADIANS(E99)))/M99</f>
        <v/>
      </c>
      <c r="V99" s="8">
        <f>SQRT((S99+U99)^2+3*T99^2)</f>
        <v/>
      </c>
      <c r="W99" s="8">
        <f>V99/AA99</f>
        <v/>
      </c>
      <c r="X99" s="27">
        <f>((3*10+H99/COS(RADIANS(E99)))*(3+3)+3*G99*H99)*2</f>
        <v/>
      </c>
      <c r="Y99" s="28">
        <f>Z99/X99</f>
        <v/>
      </c>
      <c r="Z99" s="29" t="n">
        <v>621.7656074162441</v>
      </c>
      <c r="AA99" s="20" t="n">
        <v>86.62656739318599</v>
      </c>
      <c r="AB99" t="n">
        <v>0.09805953366733984</v>
      </c>
      <c r="AC99" t="n">
        <v>79.87572107073514</v>
      </c>
      <c r="AD99" t="n">
        <v>17.67304657478013</v>
      </c>
    </row>
    <row r="100">
      <c r="A100" t="n">
        <v>99</v>
      </c>
      <c r="B100" t="n">
        <v>58.3</v>
      </c>
      <c r="C100" s="21">
        <f>B100-20</f>
        <v/>
      </c>
      <c r="D100" t="n">
        <v>123.3</v>
      </c>
      <c r="E100" s="22">
        <f>D100-90</f>
        <v/>
      </c>
      <c r="F100" s="23" t="n">
        <v>0.011013</v>
      </c>
      <c r="G100" s="22" t="n">
        <v>23</v>
      </c>
      <c r="H100" s="22" t="n">
        <v>2</v>
      </c>
      <c r="I100" s="24" t="n">
        <v>0.0513665825128555</v>
      </c>
      <c r="J100" s="6" t="n">
        <v>71000</v>
      </c>
      <c r="K100" s="25">
        <f>23*10^-6</f>
        <v/>
      </c>
      <c r="L100" s="8">
        <f>H100</f>
        <v/>
      </c>
      <c r="M100" s="26">
        <f>H100^2/6</f>
        <v/>
      </c>
      <c r="N100" s="26">
        <f>H100^3/12</f>
        <v/>
      </c>
      <c r="O100" s="27">
        <f>-J100*L100*K100*C100</f>
        <v/>
      </c>
      <c r="P100" s="28">
        <f>-(12*F100*J100*L100*N100+12*O100*N100*G100*COS(RADIANS(E100)))/(12*N100*G100*COS(RADIANS(E100))^2+L100*G100^3*SIN(RADIANS(E100))^2)</f>
        <v/>
      </c>
      <c r="Q100" s="28">
        <f>-(6*F100*J100*L100*N100*SIN(RADIANS(E100))+6*O100*N100*G100*SIN(RADIANS(E100))*COS(RADIANS(E100)))/(12*N100*COS(RADIANS(E100))^2+L100*G100^2*SIN(RADIANS(E100))^2)</f>
        <v/>
      </c>
      <c r="R100" s="28">
        <f>-P100*SIN(RADIANS(E100))</f>
        <v/>
      </c>
      <c r="S100" s="8">
        <f>(O100+P100*COS(RADIANS(E100)))/L100</f>
        <v/>
      </c>
      <c r="T100" s="8">
        <f>R100/L100</f>
        <v/>
      </c>
      <c r="U100" s="8">
        <f>(Q100-P100*G100*SIN(RADIANS(E100)))/M100</f>
        <v/>
      </c>
      <c r="V100" s="8">
        <f>SQRT((S100+U100)^2+3*T100^2)</f>
        <v/>
      </c>
      <c r="W100" s="8">
        <f>V100/AA100</f>
        <v/>
      </c>
      <c r="X100" s="27">
        <f>((3*10+H100/COS(RADIANS(E100)))*(3+3)+3*G100*H100)*2</f>
        <v/>
      </c>
      <c r="Y100" s="28">
        <f>Z100/X100</f>
        <v/>
      </c>
      <c r="Z100" s="29" t="n">
        <v>672.863130749952</v>
      </c>
      <c r="AA100" s="20" t="n">
        <v>64.98374855440819</v>
      </c>
      <c r="AB100" t="n">
        <v>0.05262017150263972</v>
      </c>
      <c r="AC100" t="n">
        <v>58.15283123549774</v>
      </c>
      <c r="AD100" t="n">
        <v>2.440475749910916</v>
      </c>
    </row>
    <row r="101">
      <c r="A101" t="n">
        <v>100</v>
      </c>
      <c r="B101" t="n">
        <v>80.2</v>
      </c>
      <c r="C101" s="21">
        <f>B101-20</f>
        <v/>
      </c>
      <c r="D101" t="n">
        <v>103.6</v>
      </c>
      <c r="E101" s="22">
        <f>D101-90</f>
        <v/>
      </c>
      <c r="F101" s="23" t="n">
        <v>0.018459</v>
      </c>
      <c r="G101" s="22" t="n">
        <v>21.5</v>
      </c>
      <c r="H101" s="22" t="n">
        <v>1.7</v>
      </c>
      <c r="I101" s="24" t="n">
        <v>0.139519095420837</v>
      </c>
      <c r="J101" s="6" t="n">
        <v>71000</v>
      </c>
      <c r="K101" s="25">
        <f>23*10^-6</f>
        <v/>
      </c>
      <c r="L101" s="8">
        <f>H101</f>
        <v/>
      </c>
      <c r="M101" s="26">
        <f>H101^2/6</f>
        <v/>
      </c>
      <c r="N101" s="26">
        <f>H101^3/12</f>
        <v/>
      </c>
      <c r="O101" s="27">
        <f>-J101*L101*K101*C101</f>
        <v/>
      </c>
      <c r="P101" s="28">
        <f>-(12*F101*J101*L101*N101+12*O101*N101*G101*COS(RADIANS(E101)))/(12*N101*G101*COS(RADIANS(E101))^2+L101*G101^3*SIN(RADIANS(E101))^2)</f>
        <v/>
      </c>
      <c r="Q101" s="28">
        <f>-(6*F101*J101*L101*N101*SIN(RADIANS(E101))+6*O101*N101*G101*SIN(RADIANS(E101))*COS(RADIANS(E101)))/(12*N101*COS(RADIANS(E101))^2+L101*G101^2*SIN(RADIANS(E101))^2)</f>
        <v/>
      </c>
      <c r="R101" s="28">
        <f>-P101*SIN(RADIANS(E101))</f>
        <v/>
      </c>
      <c r="S101" s="8">
        <f>(O101+P101*COS(RADIANS(E101)))/L101</f>
        <v/>
      </c>
      <c r="T101" s="8">
        <f>R101/L101</f>
        <v/>
      </c>
      <c r="U101" s="8">
        <f>(Q101-P101*G101*SIN(RADIANS(E101)))/M101</f>
        <v/>
      </c>
      <c r="V101" s="8">
        <f>SQRT((S101+U101)^2+3*T101^2)</f>
        <v/>
      </c>
      <c r="W101" s="8">
        <f>V101/AA101</f>
        <v/>
      </c>
      <c r="X101" s="27">
        <f>((3*10+H101/COS(RADIANS(E101)))*(3+3)+3*G101*H101)*2</f>
        <v/>
      </c>
      <c r="Y101" s="28">
        <f>Z101/X101</f>
        <v/>
      </c>
      <c r="Z101" s="29" t="n">
        <v>604.414474577548</v>
      </c>
      <c r="AA101" s="20" t="n">
        <v>112.123273137852</v>
      </c>
      <c r="AB101" t="n">
        <v>0.1828866847099528</v>
      </c>
      <c r="AC101" t="n">
        <v>103.9694414941051</v>
      </c>
      <c r="AD101" t="n">
        <v>31.08362275307508</v>
      </c>
    </row>
    <row r="102">
      <c r="A102" t="n">
        <v>101</v>
      </c>
      <c r="B102" t="n">
        <v>85</v>
      </c>
      <c r="C102" s="21">
        <f>B102-20</f>
        <v/>
      </c>
      <c r="D102" t="n">
        <v>129.5</v>
      </c>
      <c r="E102" s="22">
        <f>D102-90</f>
        <v/>
      </c>
      <c r="F102" s="23" t="n">
        <v>0.018683</v>
      </c>
      <c r="G102" s="22" t="n">
        <v>24.9</v>
      </c>
      <c r="H102" s="22" t="n">
        <v>1.4</v>
      </c>
      <c r="I102" s="24" t="n">
        <v>0.0825080871582031</v>
      </c>
      <c r="J102" s="6" t="n">
        <v>71000</v>
      </c>
      <c r="K102" s="25">
        <f>23*10^-6</f>
        <v/>
      </c>
      <c r="L102" s="8">
        <f>H102</f>
        <v/>
      </c>
      <c r="M102" s="26">
        <f>H102^2/6</f>
        <v/>
      </c>
      <c r="N102" s="26">
        <f>H102^3/12</f>
        <v/>
      </c>
      <c r="O102" s="27">
        <f>-J102*L102*K102*C102</f>
        <v/>
      </c>
      <c r="P102" s="28">
        <f>-(12*F102*J102*L102*N102+12*O102*N102*G102*COS(RADIANS(E102)))/(12*N102*G102*COS(RADIANS(E102))^2+L102*G102^3*SIN(RADIANS(E102))^2)</f>
        <v/>
      </c>
      <c r="Q102" s="28">
        <f>-(6*F102*J102*L102*N102*SIN(RADIANS(E102))+6*O102*N102*G102*SIN(RADIANS(E102))*COS(RADIANS(E102)))/(12*N102*COS(RADIANS(E102))^2+L102*G102^2*SIN(RADIANS(E102))^2)</f>
        <v/>
      </c>
      <c r="R102" s="28">
        <f>-P102*SIN(RADIANS(E102))</f>
        <v/>
      </c>
      <c r="S102" s="8">
        <f>(O102+P102*COS(RADIANS(E102)))/L102</f>
        <v/>
      </c>
      <c r="T102" s="8">
        <f>R102/L102</f>
        <v/>
      </c>
      <c r="U102" s="8">
        <f>(Q102-P102*G102*SIN(RADIANS(E102)))/M102</f>
        <v/>
      </c>
      <c r="V102" s="8">
        <f>SQRT((S102+U102)^2+3*T102^2)</f>
        <v/>
      </c>
      <c r="W102" s="8">
        <f>V102/AA102</f>
        <v/>
      </c>
      <c r="X102" s="27">
        <f>((3*10+H102/COS(RADIANS(E102)))*(3+3)+3*G102*H102)*2</f>
        <v/>
      </c>
      <c r="Y102" s="28">
        <f>Z102/X102</f>
        <v/>
      </c>
      <c r="Z102" s="29" t="n">
        <v>601.469083172861</v>
      </c>
      <c r="AA102" s="20" t="n">
        <v>92.269345132759</v>
      </c>
      <c r="AB102" t="n">
        <v>0.08074069669465073</v>
      </c>
      <c r="AC102" t="n">
        <v>93.37739438253256</v>
      </c>
      <c r="AD102" t="n">
        <v>-2.142081490949525</v>
      </c>
    </row>
    <row r="103">
      <c r="A103" t="n">
        <v>102</v>
      </c>
      <c r="B103" t="n">
        <v>83.7</v>
      </c>
      <c r="C103" s="21">
        <f>B103-20</f>
        <v/>
      </c>
      <c r="D103" t="n">
        <v>120.9</v>
      </c>
      <c r="E103" s="22">
        <f>D103-90</f>
        <v/>
      </c>
      <c r="F103" s="23" t="n">
        <v>0.025667</v>
      </c>
      <c r="G103" s="22" t="n">
        <v>34.2</v>
      </c>
      <c r="H103" s="22" t="n">
        <v>1.8</v>
      </c>
      <c r="I103" s="24" t="n">
        <v>0.116099782288074</v>
      </c>
      <c r="J103" s="6" t="n">
        <v>71000</v>
      </c>
      <c r="K103" s="25">
        <f>23*10^-6</f>
        <v/>
      </c>
      <c r="L103" s="8">
        <f>H103</f>
        <v/>
      </c>
      <c r="M103" s="26">
        <f>H103^2/6</f>
        <v/>
      </c>
      <c r="N103" s="26">
        <f>H103^3/12</f>
        <v/>
      </c>
      <c r="O103" s="27">
        <f>-J103*L103*K103*C103</f>
        <v/>
      </c>
      <c r="P103" s="28">
        <f>-(12*F103*J103*L103*N103+12*O103*N103*G103*COS(RADIANS(E103)))/(12*N103*G103*COS(RADIANS(E103))^2+L103*G103^3*SIN(RADIANS(E103))^2)</f>
        <v/>
      </c>
      <c r="Q103" s="28">
        <f>-(6*F103*J103*L103*N103*SIN(RADIANS(E103))+6*O103*N103*G103*SIN(RADIANS(E103))*COS(RADIANS(E103)))/(12*N103*COS(RADIANS(E103))^2+L103*G103^2*SIN(RADIANS(E103))^2)</f>
        <v/>
      </c>
      <c r="R103" s="28">
        <f>-P103*SIN(RADIANS(E103))</f>
        <v/>
      </c>
      <c r="S103" s="8">
        <f>(O103+P103*COS(RADIANS(E103)))/L103</f>
        <v/>
      </c>
      <c r="T103" s="8">
        <f>R103/L103</f>
        <v/>
      </c>
      <c r="U103" s="8">
        <f>(Q103-P103*G103*SIN(RADIANS(E103)))/M103</f>
        <v/>
      </c>
      <c r="V103" s="8">
        <f>SQRT((S103+U103)^2+3*T103^2)</f>
        <v/>
      </c>
      <c r="W103" s="8">
        <f>V103/AA103</f>
        <v/>
      </c>
      <c r="X103" s="27">
        <f>((3*10+H103/COS(RADIANS(E103)))*(3+3)+3*G103*H103)*2</f>
        <v/>
      </c>
      <c r="Y103" s="28">
        <f>Z103/X103</f>
        <v/>
      </c>
      <c r="Z103" s="29" t="n">
        <v>761.93646239959</v>
      </c>
      <c r="AA103" s="20" t="n">
        <v>97.9769976167925</v>
      </c>
      <c r="AB103" t="n">
        <v>0.1392617382904427</v>
      </c>
      <c r="AC103" t="n">
        <v>94.3193932909102</v>
      </c>
      <c r="AD103" t="n">
        <v>19.95004258052601</v>
      </c>
    </row>
    <row r="104">
      <c r="A104" t="n">
        <v>103</v>
      </c>
      <c r="B104" t="n">
        <v>89</v>
      </c>
      <c r="C104" s="21">
        <f>B104-20</f>
        <v/>
      </c>
      <c r="D104" t="n">
        <v>100.2</v>
      </c>
      <c r="E104" s="22">
        <f>D104-90</f>
        <v/>
      </c>
      <c r="F104" s="23" t="n">
        <v>0.030886</v>
      </c>
      <c r="G104" s="22" t="n">
        <v>33.8</v>
      </c>
      <c r="H104" s="22" t="n">
        <v>1.5</v>
      </c>
      <c r="I104" s="24" t="n">
        <v>0.290222257375717</v>
      </c>
      <c r="J104" s="6" t="n">
        <v>71000</v>
      </c>
      <c r="K104" s="25">
        <f>23*10^-6</f>
        <v/>
      </c>
      <c r="L104" s="8">
        <f>H104</f>
        <v/>
      </c>
      <c r="M104" s="26">
        <f>H104^2/6</f>
        <v/>
      </c>
      <c r="N104" s="26">
        <f>H104^3/12</f>
        <v/>
      </c>
      <c r="O104" s="27">
        <f>-J104*L104*K104*C104</f>
        <v/>
      </c>
      <c r="P104" s="28">
        <f>-(12*F104*J104*L104*N104+12*O104*N104*G104*COS(RADIANS(E104)))/(12*N104*G104*COS(RADIANS(E104))^2+L104*G104^3*SIN(RADIANS(E104))^2)</f>
        <v/>
      </c>
      <c r="Q104" s="28">
        <f>-(6*F104*J104*L104*N104*SIN(RADIANS(E104))+6*O104*N104*G104*SIN(RADIANS(E104))*COS(RADIANS(E104)))/(12*N104*COS(RADIANS(E104))^2+L104*G104^2*SIN(RADIANS(E104))^2)</f>
        <v/>
      </c>
      <c r="R104" s="28">
        <f>-P104*SIN(RADIANS(E104))</f>
        <v/>
      </c>
      <c r="S104" s="8">
        <f>(O104+P104*COS(RADIANS(E104)))/L104</f>
        <v/>
      </c>
      <c r="T104" s="8">
        <f>R104/L104</f>
        <v/>
      </c>
      <c r="U104" s="8">
        <f>(Q104-P104*G104*SIN(RADIANS(E104)))/M104</f>
        <v/>
      </c>
      <c r="V104" s="8">
        <f>SQRT((S104+U104)^2+3*T104^2)</f>
        <v/>
      </c>
      <c r="W104" s="8">
        <f>V104/AA104</f>
        <v/>
      </c>
      <c r="X104" s="27">
        <f>((3*10+H104/COS(RADIANS(E104)))*(3+3)+3*G104*H104)*2</f>
        <v/>
      </c>
      <c r="Y104" s="28">
        <f>Z104/X104</f>
        <v/>
      </c>
      <c r="Z104" s="29" t="n">
        <v>686.308073022573</v>
      </c>
      <c r="AA104" s="20" t="n">
        <v>112.131720340883</v>
      </c>
      <c r="AB104" t="n">
        <v>0.4470358324747719</v>
      </c>
      <c r="AC104" t="n">
        <v>117.2950990241325</v>
      </c>
      <c r="AD104" t="n">
        <v>54.03223602387137</v>
      </c>
    </row>
    <row r="105">
      <c r="A105" t="n">
        <v>104</v>
      </c>
      <c r="B105" t="n">
        <v>78</v>
      </c>
      <c r="C105" s="21">
        <f>B105-20</f>
        <v/>
      </c>
      <c r="D105" t="n">
        <v>123.3</v>
      </c>
      <c r="E105" s="22">
        <f>D105-90</f>
        <v/>
      </c>
      <c r="F105" s="23" t="n">
        <v>0.022094</v>
      </c>
      <c r="G105" s="22" t="n">
        <v>32.8</v>
      </c>
      <c r="H105" s="22" t="n">
        <v>1.6</v>
      </c>
      <c r="I105" s="24" t="n">
        <v>0.0977537930011749</v>
      </c>
      <c r="J105" s="6" t="n">
        <v>71000</v>
      </c>
      <c r="K105" s="25">
        <f>23*10^-6</f>
        <v/>
      </c>
      <c r="L105" s="8">
        <f>H105</f>
        <v/>
      </c>
      <c r="M105" s="26">
        <f>H105^2/6</f>
        <v/>
      </c>
      <c r="N105" s="26">
        <f>H105^3/12</f>
        <v/>
      </c>
      <c r="O105" s="27">
        <f>-J105*L105*K105*C105</f>
        <v/>
      </c>
      <c r="P105" s="28">
        <f>-(12*F105*J105*L105*N105+12*O105*N105*G105*COS(RADIANS(E105)))/(12*N105*G105*COS(RADIANS(E105))^2+L105*G105^3*SIN(RADIANS(E105))^2)</f>
        <v/>
      </c>
      <c r="Q105" s="28">
        <f>-(6*F105*J105*L105*N105*SIN(RADIANS(E105))+6*O105*N105*G105*SIN(RADIANS(E105))*COS(RADIANS(E105)))/(12*N105*COS(RADIANS(E105))^2+L105*G105^2*SIN(RADIANS(E105))^2)</f>
        <v/>
      </c>
      <c r="R105" s="28">
        <f>-P105*SIN(RADIANS(E105))</f>
        <v/>
      </c>
      <c r="S105" s="8">
        <f>(O105+P105*COS(RADIANS(E105)))/L105</f>
        <v/>
      </c>
      <c r="T105" s="8">
        <f>R105/L105</f>
        <v/>
      </c>
      <c r="U105" s="8">
        <f>(Q105-P105*G105*SIN(RADIANS(E105)))/M105</f>
        <v/>
      </c>
      <c r="V105" s="8">
        <f>SQRT((S105+U105)^2+3*T105^2)</f>
        <v/>
      </c>
      <c r="W105" s="8">
        <f>V105/AA105</f>
        <v/>
      </c>
      <c r="X105" s="27">
        <f>((3*10+H105/COS(RADIANS(E105)))*(3+3)+3*G105*H105)*2</f>
        <v/>
      </c>
      <c r="Y105" s="28">
        <f>Z105/X105</f>
        <v/>
      </c>
      <c r="Z105" s="29" t="n">
        <v>706.00018061352</v>
      </c>
      <c r="AA105" s="20" t="n">
        <v>86.0776541866791</v>
      </c>
      <c r="AB105" t="n">
        <v>0.112629724726124</v>
      </c>
      <c r="AC105" t="n">
        <v>84.56472659223607</v>
      </c>
      <c r="AD105" t="n">
        <v>15.2177539799098</v>
      </c>
    </row>
    <row r="106">
      <c r="A106" t="n">
        <v>105</v>
      </c>
      <c r="B106" t="n">
        <v>85.90000000000001</v>
      </c>
      <c r="C106" s="21">
        <f>B106-20</f>
        <v/>
      </c>
      <c r="D106" t="n">
        <v>124.8</v>
      </c>
      <c r="E106" s="22">
        <f>D106-90</f>
        <v/>
      </c>
      <c r="F106" s="23" t="n">
        <v>0.022089</v>
      </c>
      <c r="G106" s="22" t="n">
        <v>28.5</v>
      </c>
      <c r="H106" s="22" t="n">
        <v>1</v>
      </c>
      <c r="I106" s="24" t="n">
        <v>0.0981175079941749</v>
      </c>
      <c r="J106" s="6" t="n">
        <v>71000</v>
      </c>
      <c r="K106" s="25">
        <f>23*10^-6</f>
        <v/>
      </c>
      <c r="L106" s="8">
        <f>H106</f>
        <v/>
      </c>
      <c r="M106" s="26">
        <f>H106^2/6</f>
        <v/>
      </c>
      <c r="N106" s="26">
        <f>H106^3/12</f>
        <v/>
      </c>
      <c r="O106" s="27">
        <f>-J106*L106*K106*C106</f>
        <v/>
      </c>
      <c r="P106" s="28">
        <f>-(12*F106*J106*L106*N106+12*O106*N106*G106*COS(RADIANS(E106)))/(12*N106*G106*COS(RADIANS(E106))^2+L106*G106^3*SIN(RADIANS(E106))^2)</f>
        <v/>
      </c>
      <c r="Q106" s="28">
        <f>-(6*F106*J106*L106*N106*SIN(RADIANS(E106))+6*O106*N106*G106*SIN(RADIANS(E106))*COS(RADIANS(E106)))/(12*N106*COS(RADIANS(E106))^2+L106*G106^2*SIN(RADIANS(E106))^2)</f>
        <v/>
      </c>
      <c r="R106" s="28">
        <f>-P106*SIN(RADIANS(E106))</f>
        <v/>
      </c>
      <c r="S106" s="8">
        <f>(O106+P106*COS(RADIANS(E106)))/L106</f>
        <v/>
      </c>
      <c r="T106" s="8">
        <f>R106/L106</f>
        <v/>
      </c>
      <c r="U106" s="8">
        <f>(Q106-P106*G106*SIN(RADIANS(E106)))/M106</f>
        <v/>
      </c>
      <c r="V106" s="8">
        <f>SQRT((S106+U106)^2+3*T106^2)</f>
        <v/>
      </c>
      <c r="W106" s="8">
        <f>V106/AA106</f>
        <v/>
      </c>
      <c r="X106" s="27">
        <f>((3*10+H106/COS(RADIANS(E106)))*(3+3)+3*G106*H106)*2</f>
        <v/>
      </c>
      <c r="Y106" s="28">
        <f>Z106/X106</f>
        <v/>
      </c>
      <c r="Z106" s="29" t="n">
        <v>554.274626368369</v>
      </c>
      <c r="AA106" s="20" t="n">
        <v>86.6163638175435</v>
      </c>
      <c r="AB106" t="n">
        <v>0.1071600652898327</v>
      </c>
      <c r="AC106" t="n">
        <v>93.47146288504419</v>
      </c>
      <c r="AD106" t="n">
        <v>9.21604867522184</v>
      </c>
    </row>
    <row r="107">
      <c r="A107" t="n">
        <v>106</v>
      </c>
      <c r="B107" t="n">
        <v>86.09999999999999</v>
      </c>
      <c r="C107" s="21">
        <f>B107-20</f>
        <v/>
      </c>
      <c r="D107" t="n">
        <v>117.5</v>
      </c>
      <c r="E107" s="22">
        <f>D107-90</f>
        <v/>
      </c>
      <c r="F107" s="23" t="n">
        <v>0.025843</v>
      </c>
      <c r="G107" s="22" t="n">
        <v>31.9</v>
      </c>
      <c r="H107" s="22" t="n">
        <v>2</v>
      </c>
      <c r="I107" s="24" t="n">
        <v>0.124202162027359</v>
      </c>
      <c r="J107" s="6" t="n">
        <v>71000</v>
      </c>
      <c r="K107" s="25">
        <f>23*10^-6</f>
        <v/>
      </c>
      <c r="L107" s="8">
        <f>H107</f>
        <v/>
      </c>
      <c r="M107" s="26">
        <f>H107^2/6</f>
        <v/>
      </c>
      <c r="N107" s="26">
        <f>H107^3/12</f>
        <v/>
      </c>
      <c r="O107" s="27">
        <f>-J107*L107*K107*C107</f>
        <v/>
      </c>
      <c r="P107" s="28">
        <f>-(12*F107*J107*L107*N107+12*O107*N107*G107*COS(RADIANS(E107)))/(12*N107*G107*COS(RADIANS(E107))^2+L107*G107^3*SIN(RADIANS(E107))^2)</f>
        <v/>
      </c>
      <c r="Q107" s="28">
        <f>-(6*F107*J107*L107*N107*SIN(RADIANS(E107))+6*O107*N107*G107*SIN(RADIANS(E107))*COS(RADIANS(E107)))/(12*N107*COS(RADIANS(E107))^2+L107*G107^2*SIN(RADIANS(E107))^2)</f>
        <v/>
      </c>
      <c r="R107" s="28">
        <f>-P107*SIN(RADIANS(E107))</f>
        <v/>
      </c>
      <c r="S107" s="8">
        <f>(O107+P107*COS(RADIANS(E107)))/L107</f>
        <v/>
      </c>
      <c r="T107" s="8">
        <f>R107/L107</f>
        <v/>
      </c>
      <c r="U107" s="8">
        <f>(Q107-P107*G107*SIN(RADIANS(E107)))/M107</f>
        <v/>
      </c>
      <c r="V107" s="8">
        <f>SQRT((S107+U107)^2+3*T107^2)</f>
        <v/>
      </c>
      <c r="W107" s="8">
        <f>V107/AA107</f>
        <v/>
      </c>
      <c r="X107" s="27">
        <f>((3*10+H107/COS(RADIANS(E107)))*(3+3)+3*G107*H107)*2</f>
        <v/>
      </c>
      <c r="Y107" s="28">
        <f>Z107/X107</f>
        <v/>
      </c>
      <c r="Z107" s="29" t="n">
        <v>776.347962835225</v>
      </c>
      <c r="AA107" s="20" t="n">
        <v>107.675475136607</v>
      </c>
      <c r="AB107" t="n">
        <v>0.1522705928523014</v>
      </c>
      <c r="AC107" t="n">
        <v>100.8982379234956</v>
      </c>
      <c r="AD107" t="n">
        <v>22.59898730165386</v>
      </c>
    </row>
    <row r="108">
      <c r="A108" t="n">
        <v>107</v>
      </c>
      <c r="B108" t="n">
        <v>77.40000000000001</v>
      </c>
      <c r="C108" s="21">
        <f>B108-20</f>
        <v/>
      </c>
      <c r="D108" t="n">
        <v>100.8</v>
      </c>
      <c r="E108" s="22">
        <f>D108-90</f>
        <v/>
      </c>
      <c r="F108" s="23" t="n">
        <v>0.018453</v>
      </c>
      <c r="G108" s="22" t="n">
        <v>22.6</v>
      </c>
      <c r="H108" s="22" t="n">
        <v>1.1</v>
      </c>
      <c r="I108" s="24" t="n">
        <v>0.171356841921806</v>
      </c>
      <c r="J108" s="6" t="n">
        <v>71000</v>
      </c>
      <c r="K108" s="25">
        <f>23*10^-6</f>
        <v/>
      </c>
      <c r="L108" s="8">
        <f>H108</f>
        <v/>
      </c>
      <c r="M108" s="26">
        <f>H108^2/6</f>
        <v/>
      </c>
      <c r="N108" s="26">
        <f>H108^3/12</f>
        <v/>
      </c>
      <c r="O108" s="27">
        <f>-J108*L108*K108*C108</f>
        <v/>
      </c>
      <c r="P108" s="28">
        <f>-(12*F108*J108*L108*N108+12*O108*N108*G108*COS(RADIANS(E108)))/(12*N108*G108*COS(RADIANS(E108))^2+L108*G108^3*SIN(RADIANS(E108))^2)</f>
        <v/>
      </c>
      <c r="Q108" s="28">
        <f>-(6*F108*J108*L108*N108*SIN(RADIANS(E108))+6*O108*N108*G108*SIN(RADIANS(E108))*COS(RADIANS(E108)))/(12*N108*COS(RADIANS(E108))^2+L108*G108^2*SIN(RADIANS(E108))^2)</f>
        <v/>
      </c>
      <c r="R108" s="28">
        <f>-P108*SIN(RADIANS(E108))</f>
        <v/>
      </c>
      <c r="S108" s="8">
        <f>(O108+P108*COS(RADIANS(E108)))/L108</f>
        <v/>
      </c>
      <c r="T108" s="8">
        <f>R108/L108</f>
        <v/>
      </c>
      <c r="U108" s="8">
        <f>(Q108-P108*G108*SIN(RADIANS(E108)))/M108</f>
        <v/>
      </c>
      <c r="V108" s="8">
        <f>SQRT((S108+U108)^2+3*T108^2)</f>
        <v/>
      </c>
      <c r="W108" s="8">
        <f>V108/AA108</f>
        <v/>
      </c>
      <c r="X108" s="27">
        <f>((3*10+H108/COS(RADIANS(E108)))*(3+3)+3*G108*H108)*2</f>
        <v/>
      </c>
      <c r="Y108" s="28">
        <f>Z108/X108</f>
        <v/>
      </c>
      <c r="Z108" s="29" t="n">
        <v>526.464425298347</v>
      </c>
      <c r="AA108" s="20" t="n">
        <v>87.3324720890588</v>
      </c>
      <c r="AB108" t="n">
        <v>0.2401014082538347</v>
      </c>
      <c r="AC108" t="n">
        <v>95.87296130170864</v>
      </c>
      <c r="AD108" t="n">
        <v>40.11778319502319</v>
      </c>
    </row>
    <row r="109">
      <c r="A109" t="n">
        <v>108</v>
      </c>
      <c r="B109" t="n">
        <v>48.6</v>
      </c>
      <c r="C109" s="21">
        <f>B109-20</f>
        <v/>
      </c>
      <c r="D109" t="n">
        <v>112.4</v>
      </c>
      <c r="E109" s="22">
        <f>D109-90</f>
        <v/>
      </c>
      <c r="F109" s="23" t="n">
        <v>0.010547</v>
      </c>
      <c r="G109" s="22" t="n">
        <v>28.5</v>
      </c>
      <c r="H109" s="22" t="n">
        <v>2</v>
      </c>
      <c r="I109" s="24" t="n">
        <v>0.0572945177555084</v>
      </c>
      <c r="J109" s="6" t="n">
        <v>71000</v>
      </c>
      <c r="K109" s="25">
        <f>23*10^-6</f>
        <v/>
      </c>
      <c r="L109" s="8">
        <f>H109</f>
        <v/>
      </c>
      <c r="M109" s="26">
        <f>H109^2/6</f>
        <v/>
      </c>
      <c r="N109" s="26">
        <f>H109^3/12</f>
        <v/>
      </c>
      <c r="O109" s="27">
        <f>-J109*L109*K109*C109</f>
        <v/>
      </c>
      <c r="P109" s="28">
        <f>-(12*F109*J109*L109*N109+12*O109*N109*G109*COS(RADIANS(E109)))/(12*N109*G109*COS(RADIANS(E109))^2+L109*G109^3*SIN(RADIANS(E109))^2)</f>
        <v/>
      </c>
      <c r="Q109" s="28">
        <f>-(6*F109*J109*L109*N109*SIN(RADIANS(E109))+6*O109*N109*G109*SIN(RADIANS(E109))*COS(RADIANS(E109)))/(12*N109*COS(RADIANS(E109))^2+L109*G109^2*SIN(RADIANS(E109))^2)</f>
        <v/>
      </c>
      <c r="R109" s="28">
        <f>-P109*SIN(RADIANS(E109))</f>
        <v/>
      </c>
      <c r="S109" s="8">
        <f>(O109+P109*COS(RADIANS(E109)))/L109</f>
        <v/>
      </c>
      <c r="T109" s="8">
        <f>R109/L109</f>
        <v/>
      </c>
      <c r="U109" s="8">
        <f>(Q109-P109*G109*SIN(RADIANS(E109)))/M109</f>
        <v/>
      </c>
      <c r="V109" s="8">
        <f>SQRT((S109+U109)^2+3*T109^2)</f>
        <v/>
      </c>
      <c r="W109" s="8">
        <f>V109/AA109</f>
        <v/>
      </c>
      <c r="X109" s="27">
        <f>((3*10+H109/COS(RADIANS(E109)))*(3+3)+3*G109*H109)*2</f>
        <v/>
      </c>
      <c r="Y109" s="28">
        <f>Z109/X109</f>
        <v/>
      </c>
      <c r="Z109" s="29" t="n">
        <v>733.351000998235</v>
      </c>
      <c r="AA109" s="20" t="n">
        <v>48.5322356038098</v>
      </c>
      <c r="AB109" t="n">
        <v>0.07255668877293138</v>
      </c>
      <c r="AC109" t="n">
        <v>45.45535225319734</v>
      </c>
      <c r="AD109" t="n">
        <v>26.63810014520219</v>
      </c>
    </row>
    <row r="110">
      <c r="A110" t="n">
        <v>109</v>
      </c>
      <c r="B110" t="n">
        <v>83.3</v>
      </c>
      <c r="C110" s="21">
        <f>B110-20</f>
        <v/>
      </c>
      <c r="D110" t="n">
        <v>103.4</v>
      </c>
      <c r="E110" s="22">
        <f>D110-90</f>
        <v/>
      </c>
      <c r="F110" s="23" t="n">
        <v>0.023774</v>
      </c>
      <c r="G110" s="22" t="n">
        <v>27.7</v>
      </c>
      <c r="H110" s="22" t="n">
        <v>1.1</v>
      </c>
      <c r="I110" s="24" t="n">
        <v>0.186623394489288</v>
      </c>
      <c r="J110" s="6" t="n">
        <v>71000</v>
      </c>
      <c r="K110" s="25">
        <f>23*10^-6</f>
        <v/>
      </c>
      <c r="L110" s="8">
        <f>H110</f>
        <v/>
      </c>
      <c r="M110" s="26">
        <f>H110^2/6</f>
        <v/>
      </c>
      <c r="N110" s="26">
        <f>H110^3/12</f>
        <v/>
      </c>
      <c r="O110" s="27">
        <f>-J110*L110*K110*C110</f>
        <v/>
      </c>
      <c r="P110" s="28">
        <f>-(12*F110*J110*L110*N110+12*O110*N110*G110*COS(RADIANS(E110)))/(12*N110*G110*COS(RADIANS(E110))^2+L110*G110^3*SIN(RADIANS(E110))^2)</f>
        <v/>
      </c>
      <c r="Q110" s="28">
        <f>-(6*F110*J110*L110*N110*SIN(RADIANS(E110))+6*O110*N110*G110*SIN(RADIANS(E110))*COS(RADIANS(E110)))/(12*N110*COS(RADIANS(E110))^2+L110*G110^2*SIN(RADIANS(E110))^2)</f>
        <v/>
      </c>
      <c r="R110" s="28">
        <f>-P110*SIN(RADIANS(E110))</f>
        <v/>
      </c>
      <c r="S110" s="8">
        <f>(O110+P110*COS(RADIANS(E110)))/L110</f>
        <v/>
      </c>
      <c r="T110" s="8">
        <f>R110/L110</f>
        <v/>
      </c>
      <c r="U110" s="8">
        <f>(Q110-P110*G110*SIN(RADIANS(E110)))/M110</f>
        <v/>
      </c>
      <c r="V110" s="8">
        <f>SQRT((S110+U110)^2+3*T110^2)</f>
        <v/>
      </c>
      <c r="W110" s="8">
        <f>V110/AA110</f>
        <v/>
      </c>
      <c r="X110" s="27">
        <f>((3*10+H110/COS(RADIANS(E110)))*(3+3)+3*G110*H110)*2</f>
        <v/>
      </c>
      <c r="Y110" s="28">
        <f>Z110/X110</f>
        <v/>
      </c>
      <c r="Z110" s="29" t="n">
        <v>560.4947091999099</v>
      </c>
      <c r="AA110" s="20" t="n">
        <v>93.1978343967144</v>
      </c>
      <c r="AB110" t="n">
        <v>0.2662575779419006</v>
      </c>
      <c r="AC110" t="n">
        <v>100.4122816830573</v>
      </c>
      <c r="AD110" t="n">
        <v>42.67106150894898</v>
      </c>
    </row>
    <row r="111">
      <c r="A111" t="n">
        <v>110</v>
      </c>
      <c r="B111" t="n">
        <v>76.7</v>
      </c>
      <c r="C111" s="21">
        <f>B111-20</f>
        <v/>
      </c>
      <c r="D111" t="n">
        <v>115.9</v>
      </c>
      <c r="E111" s="22">
        <f>D111-90</f>
        <v/>
      </c>
      <c r="F111" s="23" t="n">
        <v>0.021031</v>
      </c>
      <c r="G111" s="22" t="n">
        <v>29.5</v>
      </c>
      <c r="H111" s="22" t="n">
        <v>1.7</v>
      </c>
      <c r="I111" s="24" t="n">
        <v>0.105302289128303</v>
      </c>
      <c r="J111" s="6" t="n">
        <v>71000</v>
      </c>
      <c r="K111" s="25">
        <f>23*10^-6</f>
        <v/>
      </c>
      <c r="L111" s="8">
        <f>H111</f>
        <v/>
      </c>
      <c r="M111" s="26">
        <f>H111^2/6</f>
        <v/>
      </c>
      <c r="N111" s="26">
        <f>H111^3/12</f>
        <v/>
      </c>
      <c r="O111" s="27">
        <f>-J111*L111*K111*C111</f>
        <v/>
      </c>
      <c r="P111" s="28">
        <f>-(12*F111*J111*L111*N111+12*O111*N111*G111*COS(RADIANS(E111)))/(12*N111*G111*COS(RADIANS(E111))^2+L111*G111^3*SIN(RADIANS(E111))^2)</f>
        <v/>
      </c>
      <c r="Q111" s="28">
        <f>-(6*F111*J111*L111*N111*SIN(RADIANS(E111))+6*O111*N111*G111*SIN(RADIANS(E111))*COS(RADIANS(E111)))/(12*N111*COS(RADIANS(E111))^2+L111*G111^2*SIN(RADIANS(E111))^2)</f>
        <v/>
      </c>
      <c r="R111" s="28">
        <f>-P111*SIN(RADIANS(E111))</f>
        <v/>
      </c>
      <c r="S111" s="8">
        <f>(O111+P111*COS(RADIANS(E111)))/L111</f>
        <v/>
      </c>
      <c r="T111" s="8">
        <f>R111/L111</f>
        <v/>
      </c>
      <c r="U111" s="8">
        <f>(Q111-P111*G111*SIN(RADIANS(E111)))/M111</f>
        <v/>
      </c>
      <c r="V111" s="8">
        <f>SQRT((S111+U111)^2+3*T111^2)</f>
        <v/>
      </c>
      <c r="W111" s="8">
        <f>V111/AA111</f>
        <v/>
      </c>
      <c r="X111" s="27">
        <f>((3*10+H111/COS(RADIANS(E111)))*(3+3)+3*G111*H111)*2</f>
        <v/>
      </c>
      <c r="Y111" s="28">
        <f>Z111/X111</f>
        <v/>
      </c>
      <c r="Z111" s="29" t="n">
        <v>689.6912149001261</v>
      </c>
      <c r="AA111" s="20" t="n">
        <v>88.6825133864009</v>
      </c>
      <c r="AB111" t="n">
        <v>0.1294196286083794</v>
      </c>
      <c r="AC111" t="n">
        <v>86.22924721022636</v>
      </c>
      <c r="AD111" t="n">
        <v>22.90295840643234</v>
      </c>
    </row>
    <row r="112">
      <c r="A112" t="n">
        <v>111</v>
      </c>
      <c r="B112" t="n">
        <v>52.4</v>
      </c>
      <c r="C112" s="21">
        <f>B112-20</f>
        <v/>
      </c>
      <c r="D112" t="n">
        <v>123.6</v>
      </c>
      <c r="E112" s="22">
        <f>D112-90</f>
        <v/>
      </c>
      <c r="F112" s="23" t="n">
        <v>0.009783999999999999</v>
      </c>
      <c r="G112" s="22" t="n">
        <v>24.6</v>
      </c>
      <c r="H112" s="22" t="n">
        <v>1.7</v>
      </c>
      <c r="I112" s="24" t="n">
        <v>0.0450414158403873</v>
      </c>
      <c r="J112" s="6" t="n">
        <v>71000</v>
      </c>
      <c r="K112" s="25">
        <f>23*10^-6</f>
        <v/>
      </c>
      <c r="L112" s="8">
        <f>H112</f>
        <v/>
      </c>
      <c r="M112" s="26">
        <f>H112^2/6</f>
        <v/>
      </c>
      <c r="N112" s="26">
        <f>H112^3/12</f>
        <v/>
      </c>
      <c r="O112" s="27">
        <f>-J112*L112*K112*C112</f>
        <v/>
      </c>
      <c r="P112" s="28">
        <f>-(12*F112*J112*L112*N112+12*O112*N112*G112*COS(RADIANS(E112)))/(12*N112*G112*COS(RADIANS(E112))^2+L112*G112^3*SIN(RADIANS(E112))^2)</f>
        <v/>
      </c>
      <c r="Q112" s="28">
        <f>-(6*F112*J112*L112*N112*SIN(RADIANS(E112))+6*O112*N112*G112*SIN(RADIANS(E112))*COS(RADIANS(E112)))/(12*N112*COS(RADIANS(E112))^2+L112*G112^2*SIN(RADIANS(E112))^2)</f>
        <v/>
      </c>
      <c r="R112" s="28">
        <f>-P112*SIN(RADIANS(E112))</f>
        <v/>
      </c>
      <c r="S112" s="8">
        <f>(O112+P112*COS(RADIANS(E112)))/L112</f>
        <v/>
      </c>
      <c r="T112" s="8">
        <f>R112/L112</f>
        <v/>
      </c>
      <c r="U112" s="8">
        <f>(Q112-P112*G112*SIN(RADIANS(E112)))/M112</f>
        <v/>
      </c>
      <c r="V112" s="8">
        <f>SQRT((S112+U112)^2+3*T112^2)</f>
        <v/>
      </c>
      <c r="W112" s="8">
        <f>V112/AA112</f>
        <v/>
      </c>
      <c r="X112" s="27">
        <f>((3*10+H112/COS(RADIANS(E112)))*(3+3)+3*G112*H112)*2</f>
        <v/>
      </c>
      <c r="Y112" s="28">
        <f>Z112/X112</f>
        <v/>
      </c>
      <c r="Z112" s="29" t="n">
        <v>643.659989975205</v>
      </c>
      <c r="AA112" s="20" t="n">
        <v>50.6276348701749</v>
      </c>
      <c r="AB112" t="n">
        <v>0.047271302811296</v>
      </c>
      <c r="AC112" t="n">
        <v>48.1756493187343</v>
      </c>
      <c r="AD112" t="n">
        <v>4.95074794897815</v>
      </c>
    </row>
    <row r="113">
      <c r="A113" t="n">
        <v>112</v>
      </c>
      <c r="B113" t="n">
        <v>44.5</v>
      </c>
      <c r="C113" s="21">
        <f>B113-20</f>
        <v/>
      </c>
      <c r="D113" t="n">
        <v>105.1</v>
      </c>
      <c r="E113" s="22">
        <f>D113-90</f>
        <v/>
      </c>
      <c r="F113" s="23" t="n">
        <v>0.008416999999999999</v>
      </c>
      <c r="G113" s="22" t="n">
        <v>25</v>
      </c>
      <c r="H113" s="22" t="n">
        <v>1.3</v>
      </c>
      <c r="I113" s="24" t="n">
        <v>0.0605962574481964</v>
      </c>
      <c r="J113" s="6" t="n">
        <v>71000</v>
      </c>
      <c r="K113" s="25">
        <f>23*10^-6</f>
        <v/>
      </c>
      <c r="L113" s="8">
        <f>H113</f>
        <v/>
      </c>
      <c r="M113" s="26">
        <f>H113^2/6</f>
        <v/>
      </c>
      <c r="N113" s="26">
        <f>H113^3/12</f>
        <v/>
      </c>
      <c r="O113" s="27">
        <f>-J113*L113*K113*C113</f>
        <v/>
      </c>
      <c r="P113" s="28">
        <f>-(12*F113*J113*L113*N113+12*O113*N113*G113*COS(RADIANS(E113)))/(12*N113*G113*COS(RADIANS(E113))^2+L113*G113^3*SIN(RADIANS(E113))^2)</f>
        <v/>
      </c>
      <c r="Q113" s="28">
        <f>-(6*F113*J113*L113*N113*SIN(RADIANS(E113))+6*O113*N113*G113*SIN(RADIANS(E113))*COS(RADIANS(E113)))/(12*N113*COS(RADIANS(E113))^2+L113*G113^2*SIN(RADIANS(E113))^2)</f>
        <v/>
      </c>
      <c r="R113" s="28">
        <f>-P113*SIN(RADIANS(E113))</f>
        <v/>
      </c>
      <c r="S113" s="8">
        <f>(O113+P113*COS(RADIANS(E113)))/L113</f>
        <v/>
      </c>
      <c r="T113" s="8">
        <f>R113/L113</f>
        <v/>
      </c>
      <c r="U113" s="8">
        <f>(Q113-P113*G113*SIN(RADIANS(E113)))/M113</f>
        <v/>
      </c>
      <c r="V113" s="8">
        <f>SQRT((S113+U113)^2+3*T113^2)</f>
        <v/>
      </c>
      <c r="W113" s="8">
        <f>V113/AA113</f>
        <v/>
      </c>
      <c r="X113" s="27">
        <f>((3*10+H113/COS(RADIANS(E113)))*(3+3)+3*G113*H113)*2</f>
        <v/>
      </c>
      <c r="Y113" s="28">
        <f>Z113/X113</f>
        <v/>
      </c>
      <c r="Z113" s="29" t="n">
        <v>575.449810200561</v>
      </c>
      <c r="AA113" s="20" t="n">
        <v>37.6285145846362</v>
      </c>
      <c r="AB113" t="n">
        <v>0.08213826769444407</v>
      </c>
      <c r="AC113" t="n">
        <v>39.44943409043049</v>
      </c>
      <c r="AD113" t="n">
        <v>35.55006720450334</v>
      </c>
    </row>
    <row r="114">
      <c r="A114" t="n">
        <v>113</v>
      </c>
      <c r="B114" t="n">
        <v>59.9</v>
      </c>
      <c r="C114" s="21">
        <f>B114-20</f>
        <v/>
      </c>
      <c r="D114" t="n">
        <v>105.7</v>
      </c>
      <c r="E114" s="22">
        <f>D114-90</f>
        <v/>
      </c>
      <c r="F114" s="23" t="n">
        <v>0.014771</v>
      </c>
      <c r="G114" s="22" t="n">
        <v>27.5</v>
      </c>
      <c r="H114" s="22" t="n">
        <v>1.9</v>
      </c>
      <c r="I114" s="24" t="n">
        <v>0.100541800260543</v>
      </c>
      <c r="J114" s="6" t="n">
        <v>71000</v>
      </c>
      <c r="K114" s="25">
        <f>23*10^-6</f>
        <v/>
      </c>
      <c r="L114" s="8">
        <f>H114</f>
        <v/>
      </c>
      <c r="M114" s="26">
        <f>H114^2/6</f>
        <v/>
      </c>
      <c r="N114" s="26">
        <f>H114^3/12</f>
        <v/>
      </c>
      <c r="O114" s="27">
        <f>-J114*L114*K114*C114</f>
        <v/>
      </c>
      <c r="P114" s="28">
        <f>-(12*F114*J114*L114*N114+12*O114*N114*G114*COS(RADIANS(E114)))/(12*N114*G114*COS(RADIANS(E114))^2+L114*G114^3*SIN(RADIANS(E114))^2)</f>
        <v/>
      </c>
      <c r="Q114" s="28">
        <f>-(6*F114*J114*L114*N114*SIN(RADIANS(E114))+6*O114*N114*G114*SIN(RADIANS(E114))*COS(RADIANS(E114)))/(12*N114*COS(RADIANS(E114))^2+L114*G114^2*SIN(RADIANS(E114))^2)</f>
        <v/>
      </c>
      <c r="R114" s="28">
        <f>-P114*SIN(RADIANS(E114))</f>
        <v/>
      </c>
      <c r="S114" s="8">
        <f>(O114+P114*COS(RADIANS(E114)))/L114</f>
        <v/>
      </c>
      <c r="T114" s="8">
        <f>R114/L114</f>
        <v/>
      </c>
      <c r="U114" s="8">
        <f>(Q114-P114*G114*SIN(RADIANS(E114)))/M114</f>
        <v/>
      </c>
      <c r="V114" s="8">
        <f>SQRT((S114+U114)^2+3*T114^2)</f>
        <v/>
      </c>
      <c r="W114" s="8">
        <f>V114/AA114</f>
        <v/>
      </c>
      <c r="X114" s="27">
        <f>((3*10+H114/COS(RADIANS(E114)))*(3+3)+3*G114*H114)*2</f>
        <v/>
      </c>
      <c r="Y114" s="28">
        <f>Z114/X114</f>
        <v/>
      </c>
      <c r="Z114" s="29" t="n">
        <v>701.5473213319181</v>
      </c>
      <c r="AA114" s="20" t="n">
        <v>69.5296820429335</v>
      </c>
      <c r="AB114" t="n">
        <v>0.1372678595595657</v>
      </c>
      <c r="AC114" t="n">
        <v>67.00490508752823</v>
      </c>
      <c r="AD114" t="n">
        <v>36.52814968883706</v>
      </c>
    </row>
    <row r="115">
      <c r="A115" t="n">
        <v>114</v>
      </c>
      <c r="B115" t="n">
        <v>78.2</v>
      </c>
      <c r="C115" s="21">
        <f>B115-20</f>
        <v/>
      </c>
      <c r="D115" t="n">
        <v>100.3</v>
      </c>
      <c r="E115" s="22">
        <f>D115-90</f>
        <v/>
      </c>
      <c r="F115" s="23" t="n">
        <v>0.022194</v>
      </c>
      <c r="G115" s="22" t="n">
        <v>27.9</v>
      </c>
      <c r="H115" s="22" t="n">
        <v>1.8</v>
      </c>
      <c r="I115" s="24" t="n">
        <v>0.200192585587501</v>
      </c>
      <c r="J115" s="6" t="n">
        <v>71000</v>
      </c>
      <c r="K115" s="25">
        <f>23*10^-6</f>
        <v/>
      </c>
      <c r="L115" s="8">
        <f>H115</f>
        <v/>
      </c>
      <c r="M115" s="26">
        <f>H115^2/6</f>
        <v/>
      </c>
      <c r="N115" s="26">
        <f>H115^3/12</f>
        <v/>
      </c>
      <c r="O115" s="27">
        <f>-J115*L115*K115*C115</f>
        <v/>
      </c>
      <c r="P115" s="28">
        <f>-(12*F115*J115*L115*N115+12*O115*N115*G115*COS(RADIANS(E115)))/(12*N115*G115*COS(RADIANS(E115))^2+L115*G115^3*SIN(RADIANS(E115))^2)</f>
        <v/>
      </c>
      <c r="Q115" s="28">
        <f>-(6*F115*J115*L115*N115*SIN(RADIANS(E115))+6*O115*N115*G115*SIN(RADIANS(E115))*COS(RADIANS(E115)))/(12*N115*COS(RADIANS(E115))^2+L115*G115^2*SIN(RADIANS(E115))^2)</f>
        <v/>
      </c>
      <c r="R115" s="28">
        <f>-P115*SIN(RADIANS(E115))</f>
        <v/>
      </c>
      <c r="S115" s="8">
        <f>(O115+P115*COS(RADIANS(E115)))/L115</f>
        <v/>
      </c>
      <c r="T115" s="8">
        <f>R115/L115</f>
        <v/>
      </c>
      <c r="U115" s="8">
        <f>(Q115-P115*G115*SIN(RADIANS(E115)))/M115</f>
        <v/>
      </c>
      <c r="V115" s="8">
        <f>SQRT((S115+U115)^2+3*T115^2)</f>
        <v/>
      </c>
      <c r="W115" s="8">
        <f>V115/AA115</f>
        <v/>
      </c>
      <c r="X115" s="27">
        <f>((3*10+H115/COS(RADIANS(E115)))*(3+3)+3*G115*H115)*2</f>
        <v/>
      </c>
      <c r="Y115" s="28">
        <f>Z115/X115</f>
        <v/>
      </c>
      <c r="Z115" s="29" t="n">
        <v>687.100507569471</v>
      </c>
      <c r="AA115" s="20" t="n">
        <v>109.833892078242</v>
      </c>
      <c r="AB115" t="n">
        <v>0.2934983773159515</v>
      </c>
      <c r="AC115" t="n">
        <v>103.989484079712</v>
      </c>
      <c r="AD115" t="n">
        <v>46.6080157037924</v>
      </c>
    </row>
    <row r="116">
      <c r="A116" t="n">
        <v>115</v>
      </c>
      <c r="B116" t="n">
        <v>73</v>
      </c>
      <c r="C116" s="21">
        <f>B116-20</f>
        <v/>
      </c>
      <c r="D116" t="n">
        <v>123.9</v>
      </c>
      <c r="E116" s="22">
        <f>D116-90</f>
        <v/>
      </c>
      <c r="F116" s="23" t="n">
        <v>0.016965</v>
      </c>
      <c r="G116" s="22" t="n">
        <v>26.6</v>
      </c>
      <c r="H116" s="22" t="n">
        <v>1.2</v>
      </c>
      <c r="I116" s="24" t="n">
        <v>0.076833851635456</v>
      </c>
      <c r="J116" s="6" t="n">
        <v>71000</v>
      </c>
      <c r="K116" s="25">
        <f>23*10^-6</f>
        <v/>
      </c>
      <c r="L116" s="8">
        <f>H116</f>
        <v/>
      </c>
      <c r="M116" s="26">
        <f>H116^2/6</f>
        <v/>
      </c>
      <c r="N116" s="26">
        <f>H116^3/12</f>
        <v/>
      </c>
      <c r="O116" s="27">
        <f>-J116*L116*K116*C116</f>
        <v/>
      </c>
      <c r="P116" s="28">
        <f>-(12*F116*J116*L116*N116+12*O116*N116*G116*COS(RADIANS(E116)))/(12*N116*G116*COS(RADIANS(E116))^2+L116*G116^3*SIN(RADIANS(E116))^2)</f>
        <v/>
      </c>
      <c r="Q116" s="28">
        <f>-(6*F116*J116*L116*N116*SIN(RADIANS(E116))+6*O116*N116*G116*SIN(RADIANS(E116))*COS(RADIANS(E116)))/(12*N116*COS(RADIANS(E116))^2+L116*G116^2*SIN(RADIANS(E116))^2)</f>
        <v/>
      </c>
      <c r="R116" s="28">
        <f>-P116*SIN(RADIANS(E116))</f>
        <v/>
      </c>
      <c r="S116" s="8">
        <f>(O116+P116*COS(RADIANS(E116)))/L116</f>
        <v/>
      </c>
      <c r="T116" s="8">
        <f>R116/L116</f>
        <v/>
      </c>
      <c r="U116" s="8">
        <f>(Q116-P116*G116*SIN(RADIANS(E116)))/M116</f>
        <v/>
      </c>
      <c r="V116" s="8">
        <f>SQRT((S116+U116)^2+3*T116^2)</f>
        <v/>
      </c>
      <c r="W116" s="8">
        <f>V116/AA116</f>
        <v/>
      </c>
      <c r="X116" s="27">
        <f>((3*10+H116/COS(RADIANS(E116)))*(3+3)+3*G116*H116)*2</f>
        <v/>
      </c>
      <c r="Y116" s="28">
        <f>Z116/X116</f>
        <v/>
      </c>
      <c r="Z116" s="29" t="n">
        <v>577.218004852793</v>
      </c>
      <c r="AA116" s="20" t="n">
        <v>74.0217786070058</v>
      </c>
      <c r="AB116" t="n">
        <v>0.08295778483872779</v>
      </c>
      <c r="AC116" t="n">
        <v>76.34337072842706</v>
      </c>
      <c r="AD116" t="n">
        <v>7.970358211803892</v>
      </c>
    </row>
    <row r="117">
      <c r="A117" t="n">
        <v>116</v>
      </c>
      <c r="B117" t="n">
        <v>41.4</v>
      </c>
      <c r="C117" s="21">
        <f>B117-20</f>
        <v/>
      </c>
      <c r="D117" t="n">
        <v>118.8</v>
      </c>
      <c r="E117" s="22">
        <f>D117-90</f>
        <v/>
      </c>
      <c r="F117" s="23" t="n">
        <v>0.008754</v>
      </c>
      <c r="G117" s="22" t="n">
        <v>34.1</v>
      </c>
      <c r="H117" s="22" t="n">
        <v>1.9</v>
      </c>
      <c r="I117" s="24" t="n">
        <v>0.040818765759468</v>
      </c>
      <c r="J117" s="6" t="n">
        <v>71000</v>
      </c>
      <c r="K117" s="25">
        <f>23*10^-6</f>
        <v/>
      </c>
      <c r="L117" s="8">
        <f>H117</f>
        <v/>
      </c>
      <c r="M117" s="26">
        <f>H117^2/6</f>
        <v/>
      </c>
      <c r="N117" s="26">
        <f>H117^3/12</f>
        <v/>
      </c>
      <c r="O117" s="27">
        <f>-J117*L117*K117*C117</f>
        <v/>
      </c>
      <c r="P117" s="28">
        <f>-(12*F117*J117*L117*N117+12*O117*N117*G117*COS(RADIANS(E117)))/(12*N117*G117*COS(RADIANS(E117))^2+L117*G117^3*SIN(RADIANS(E117))^2)</f>
        <v/>
      </c>
      <c r="Q117" s="28">
        <f>-(6*F117*J117*L117*N117*SIN(RADIANS(E117))+6*O117*N117*G117*SIN(RADIANS(E117))*COS(RADIANS(E117)))/(12*N117*COS(RADIANS(E117))^2+L117*G117^2*SIN(RADIANS(E117))^2)</f>
        <v/>
      </c>
      <c r="R117" s="28">
        <f>-P117*SIN(RADIANS(E117))</f>
        <v/>
      </c>
      <c r="S117" s="8">
        <f>(O117+P117*COS(RADIANS(E117)))/L117</f>
        <v/>
      </c>
      <c r="T117" s="8">
        <f>R117/L117</f>
        <v/>
      </c>
      <c r="U117" s="8">
        <f>(Q117-P117*G117*SIN(RADIANS(E117)))/M117</f>
        <v/>
      </c>
      <c r="V117" s="8">
        <f>SQRT((S117+U117)^2+3*T117^2)</f>
        <v/>
      </c>
      <c r="W117" s="8">
        <f>V117/AA117</f>
        <v/>
      </c>
      <c r="X117" s="27">
        <f>((3*10+H117/COS(RADIANS(E117)))*(3+3)+3*G117*H117)*2</f>
        <v/>
      </c>
      <c r="Y117" s="28">
        <f>Z117/X117</f>
        <v/>
      </c>
      <c r="Z117" s="29" t="n">
        <v>781.579589953758</v>
      </c>
      <c r="AA117" s="20" t="n">
        <v>33.9293760302067</v>
      </c>
      <c r="AB117" t="n">
        <v>0.05019743337708034</v>
      </c>
      <c r="AC117" t="n">
        <v>32.12662685206555</v>
      </c>
      <c r="AD117" t="n">
        <v>22.97636257028897</v>
      </c>
    </row>
    <row r="118">
      <c r="A118" t="n">
        <v>117</v>
      </c>
      <c r="B118" t="n">
        <v>83.90000000000001</v>
      </c>
      <c r="C118" s="21">
        <f>B118-20</f>
        <v/>
      </c>
      <c r="D118" t="n">
        <v>126.9</v>
      </c>
      <c r="E118" s="22">
        <f>D118-90</f>
        <v/>
      </c>
      <c r="F118" s="23" t="n">
        <v>0.019225</v>
      </c>
      <c r="G118" s="22" t="n">
        <v>25.5</v>
      </c>
      <c r="H118" s="22" t="n">
        <v>1.9</v>
      </c>
      <c r="I118" s="24" t="n">
        <v>0.0858492031693458</v>
      </c>
      <c r="J118" s="6" t="n">
        <v>71000</v>
      </c>
      <c r="K118" s="25">
        <f>23*10^-6</f>
        <v/>
      </c>
      <c r="L118" s="8">
        <f>H118</f>
        <v/>
      </c>
      <c r="M118" s="26">
        <f>H118^2/6</f>
        <v/>
      </c>
      <c r="N118" s="26">
        <f>H118^3/12</f>
        <v/>
      </c>
      <c r="O118" s="27">
        <f>-J118*L118*K118*C118</f>
        <v/>
      </c>
      <c r="P118" s="28">
        <f>-(12*F118*J118*L118*N118+12*O118*N118*G118*COS(RADIANS(E118)))/(12*N118*G118*COS(RADIANS(E118))^2+L118*G118^3*SIN(RADIANS(E118))^2)</f>
        <v/>
      </c>
      <c r="Q118" s="28">
        <f>-(6*F118*J118*L118*N118*SIN(RADIANS(E118))+6*O118*N118*G118*SIN(RADIANS(E118))*COS(RADIANS(E118)))/(12*N118*COS(RADIANS(E118))^2+L118*G118^2*SIN(RADIANS(E118))^2)</f>
        <v/>
      </c>
      <c r="R118" s="28">
        <f>-P118*SIN(RADIANS(E118))</f>
        <v/>
      </c>
      <c r="S118" s="8">
        <f>(O118+P118*COS(RADIANS(E118)))/L118</f>
        <v/>
      </c>
      <c r="T118" s="8">
        <f>R118/L118</f>
        <v/>
      </c>
      <c r="U118" s="8">
        <f>(Q118-P118*G118*SIN(RADIANS(E118)))/M118</f>
        <v/>
      </c>
      <c r="V118" s="8">
        <f>SQRT((S118+U118)^2+3*T118^2)</f>
        <v/>
      </c>
      <c r="W118" s="8">
        <f>V118/AA118</f>
        <v/>
      </c>
      <c r="X118" s="27">
        <f>((3*10+H118/COS(RADIANS(E118)))*(3+3)+3*G118*H118)*2</f>
        <v/>
      </c>
      <c r="Y118" s="28">
        <f>Z118/X118</f>
        <v/>
      </c>
      <c r="Z118" s="29" t="n">
        <v>688.656697826818</v>
      </c>
      <c r="AA118" s="20" t="n">
        <v>102.092449581929</v>
      </c>
      <c r="AB118" t="n">
        <v>0.08702528417085321</v>
      </c>
      <c r="AC118" t="n">
        <v>94.59724789946087</v>
      </c>
      <c r="AD118" t="n">
        <v>1.369938168427122</v>
      </c>
    </row>
    <row r="119">
      <c r="A119" t="n">
        <v>118</v>
      </c>
      <c r="B119" t="n">
        <v>89.5</v>
      </c>
      <c r="C119" s="21">
        <f>B119-20</f>
        <v/>
      </c>
      <c r="D119" t="n">
        <v>120.6</v>
      </c>
      <c r="E119" s="22">
        <f>D119-90</f>
        <v/>
      </c>
      <c r="F119" s="23" t="n">
        <v>0.024394</v>
      </c>
      <c r="G119" s="22" t="n">
        <v>28.8</v>
      </c>
      <c r="H119" s="22" t="n">
        <v>1.9</v>
      </c>
      <c r="I119" s="24" t="n">
        <v>0.113465748727321</v>
      </c>
      <c r="J119" s="6" t="n">
        <v>71000</v>
      </c>
      <c r="K119" s="25">
        <f>23*10^-6</f>
        <v/>
      </c>
      <c r="L119" s="8">
        <f>H119</f>
        <v/>
      </c>
      <c r="M119" s="26">
        <f>H119^2/6</f>
        <v/>
      </c>
      <c r="N119" s="26">
        <f>H119^3/12</f>
        <v/>
      </c>
      <c r="O119" s="27">
        <f>-J119*L119*K119*C119</f>
        <v/>
      </c>
      <c r="P119" s="28">
        <f>-(12*F119*J119*L119*N119+12*O119*N119*G119*COS(RADIANS(E119)))/(12*N119*G119*COS(RADIANS(E119))^2+L119*G119^3*SIN(RADIANS(E119))^2)</f>
        <v/>
      </c>
      <c r="Q119" s="28">
        <f>-(6*F119*J119*L119*N119*SIN(RADIANS(E119))+6*O119*N119*G119*SIN(RADIANS(E119))*COS(RADIANS(E119)))/(12*N119*COS(RADIANS(E119))^2+L119*G119^2*SIN(RADIANS(E119))^2)</f>
        <v/>
      </c>
      <c r="R119" s="28">
        <f>-P119*SIN(RADIANS(E119))</f>
        <v/>
      </c>
      <c r="S119" s="8">
        <f>(O119+P119*COS(RADIANS(E119)))/L119</f>
        <v/>
      </c>
      <c r="T119" s="8">
        <f>R119/L119</f>
        <v/>
      </c>
      <c r="U119" s="8">
        <f>(Q119-P119*G119*SIN(RADIANS(E119)))/M119</f>
        <v/>
      </c>
      <c r="V119" s="8">
        <f>SQRT((S119+U119)^2+3*T119^2)</f>
        <v/>
      </c>
      <c r="W119" s="8">
        <f>V119/AA119</f>
        <v/>
      </c>
      <c r="X119" s="27">
        <f>((3*10+H119/COS(RADIANS(E119)))*(3+3)+3*G119*H119)*2</f>
        <v/>
      </c>
      <c r="Y119" s="28">
        <f>Z119/X119</f>
        <v/>
      </c>
      <c r="Z119" s="29" t="n">
        <v>722.125320939847</v>
      </c>
      <c r="AA119" s="20" t="n">
        <v>111.198214276703</v>
      </c>
      <c r="AB119" t="n">
        <v>0.1298910297033079</v>
      </c>
      <c r="AC119" t="n">
        <v>104.7670648027404</v>
      </c>
      <c r="AD119" t="n">
        <v>14.47598165985745</v>
      </c>
    </row>
    <row r="120">
      <c r="A120" t="n">
        <v>119</v>
      </c>
      <c r="B120" t="n">
        <v>84.7</v>
      </c>
      <c r="C120" s="21">
        <f>B120-20</f>
        <v/>
      </c>
      <c r="D120" t="n">
        <v>128</v>
      </c>
      <c r="E120" s="22">
        <f>D120-90</f>
        <v/>
      </c>
      <c r="F120" s="23" t="n">
        <v>0.021862</v>
      </c>
      <c r="G120" s="22" t="n">
        <v>30</v>
      </c>
      <c r="H120" s="22" t="n">
        <v>1.3</v>
      </c>
      <c r="I120" s="24" t="n">
        <v>0.09451645612716671</v>
      </c>
      <c r="J120" s="6" t="n">
        <v>71000</v>
      </c>
      <c r="K120" s="25">
        <f>23*10^-6</f>
        <v/>
      </c>
      <c r="L120" s="8">
        <f>H120</f>
        <v/>
      </c>
      <c r="M120" s="26">
        <f>H120^2/6</f>
        <v/>
      </c>
      <c r="N120" s="26">
        <f>H120^3/12</f>
        <v/>
      </c>
      <c r="O120" s="27">
        <f>-J120*L120*K120*C120</f>
        <v/>
      </c>
      <c r="P120" s="28">
        <f>-(12*F120*J120*L120*N120+12*O120*N120*G120*COS(RADIANS(E120)))/(12*N120*G120*COS(RADIANS(E120))^2+L120*G120^3*SIN(RADIANS(E120))^2)</f>
        <v/>
      </c>
      <c r="Q120" s="28">
        <f>-(6*F120*J120*L120*N120*SIN(RADIANS(E120))+6*O120*N120*G120*SIN(RADIANS(E120))*COS(RADIANS(E120)))/(12*N120*COS(RADIANS(E120))^2+L120*G120^2*SIN(RADIANS(E120))^2)</f>
        <v/>
      </c>
      <c r="R120" s="28">
        <f>-P120*SIN(RADIANS(E120))</f>
        <v/>
      </c>
      <c r="S120" s="8">
        <f>(O120+P120*COS(RADIANS(E120)))/L120</f>
        <v/>
      </c>
      <c r="T120" s="8">
        <f>R120/L120</f>
        <v/>
      </c>
      <c r="U120" s="8">
        <f>(Q120-P120*G120*SIN(RADIANS(E120)))/M120</f>
        <v/>
      </c>
      <c r="V120" s="8">
        <f>SQRT((S120+U120)^2+3*T120^2)</f>
        <v/>
      </c>
      <c r="W120" s="8">
        <f>V120/AA120</f>
        <v/>
      </c>
      <c r="X120" s="27">
        <f>((3*10+H120/COS(RADIANS(E120)))*(3+3)+3*G120*H120)*2</f>
        <v/>
      </c>
      <c r="Y120" s="28">
        <f>Z120/X120</f>
        <v/>
      </c>
      <c r="Z120" s="29" t="n">
        <v>623.686750702515</v>
      </c>
      <c r="AA120" s="20" t="n">
        <v>88.7835036537347</v>
      </c>
      <c r="AB120" t="n">
        <v>0.1001338922536292</v>
      </c>
      <c r="AC120" t="n">
        <v>92.25597102857948</v>
      </c>
      <c r="AD120" t="n">
        <v>5.9433418863108</v>
      </c>
    </row>
    <row r="121">
      <c r="A121" t="n">
        <v>120</v>
      </c>
      <c r="B121" t="n">
        <v>88.5</v>
      </c>
      <c r="C121" s="21">
        <f>B121-20</f>
        <v/>
      </c>
      <c r="D121" t="n">
        <v>119.4</v>
      </c>
      <c r="E121" s="22">
        <f>D121-90</f>
        <v/>
      </c>
      <c r="F121" s="23" t="n">
        <v>0.018972</v>
      </c>
      <c r="G121" s="22" t="n">
        <v>21</v>
      </c>
      <c r="H121" s="22" t="n">
        <v>1.7</v>
      </c>
      <c r="I121" s="24" t="n">
        <v>0.09401392191648481</v>
      </c>
      <c r="J121" s="6" t="n">
        <v>71000</v>
      </c>
      <c r="K121" s="25">
        <f>23*10^-6</f>
        <v/>
      </c>
      <c r="L121" s="8">
        <f>H121</f>
        <v/>
      </c>
      <c r="M121" s="26">
        <f>H121^2/6</f>
        <v/>
      </c>
      <c r="N121" s="26">
        <f>H121^3/12</f>
        <v/>
      </c>
      <c r="O121" s="27">
        <f>-J121*L121*K121*C121</f>
        <v/>
      </c>
      <c r="P121" s="28">
        <f>-(12*F121*J121*L121*N121+12*O121*N121*G121*COS(RADIANS(E121)))/(12*N121*G121*COS(RADIANS(E121))^2+L121*G121^3*SIN(RADIANS(E121))^2)</f>
        <v/>
      </c>
      <c r="Q121" s="28">
        <f>-(6*F121*J121*L121*N121*SIN(RADIANS(E121))+6*O121*N121*G121*SIN(RADIANS(E121))*COS(RADIANS(E121)))/(12*N121*COS(RADIANS(E121))^2+L121*G121^2*SIN(RADIANS(E121))^2)</f>
        <v/>
      </c>
      <c r="R121" s="28">
        <f>-P121*SIN(RADIANS(E121))</f>
        <v/>
      </c>
      <c r="S121" s="8">
        <f>(O121+P121*COS(RADIANS(E121)))/L121</f>
        <v/>
      </c>
      <c r="T121" s="8">
        <f>R121/L121</f>
        <v/>
      </c>
      <c r="U121" s="8">
        <f>(Q121-P121*G121*SIN(RADIANS(E121)))/M121</f>
        <v/>
      </c>
      <c r="V121" s="8">
        <f>SQRT((S121+U121)^2+3*T121^2)</f>
        <v/>
      </c>
      <c r="W121" s="8">
        <f>V121/AA121</f>
        <v/>
      </c>
      <c r="X121" s="27">
        <f>((3*10+H121/COS(RADIANS(E121)))*(3+3)+3*G121*H121)*2</f>
        <v/>
      </c>
      <c r="Y121" s="28">
        <f>Z121/X121</f>
        <v/>
      </c>
      <c r="Z121" s="29" t="n">
        <v>604.597008791796</v>
      </c>
      <c r="AA121" s="20" t="n">
        <v>111.666198918139</v>
      </c>
      <c r="AB121" t="n">
        <v>0.09880754533443216</v>
      </c>
      <c r="AC121" t="n">
        <v>104.6491992163338</v>
      </c>
      <c r="AD121" t="n">
        <v>5.098844213951273</v>
      </c>
    </row>
    <row r="122">
      <c r="A122" t="n">
        <v>121</v>
      </c>
      <c r="B122" t="n">
        <v>47.5</v>
      </c>
      <c r="C122" s="21">
        <f>B122-20</f>
        <v/>
      </c>
      <c r="D122" t="n">
        <v>107.3</v>
      </c>
      <c r="E122" s="22">
        <f>D122-90</f>
        <v/>
      </c>
      <c r="F122" s="23" t="n">
        <v>0.008376</v>
      </c>
      <c r="G122" s="22" t="n">
        <v>21.7</v>
      </c>
      <c r="H122" s="22" t="n">
        <v>1.3</v>
      </c>
      <c r="I122" s="24" t="n">
        <v>0.0556882917881011</v>
      </c>
      <c r="J122" s="6" t="n">
        <v>71000</v>
      </c>
      <c r="K122" s="25">
        <f>23*10^-6</f>
        <v/>
      </c>
      <c r="L122" s="8">
        <f>H122</f>
        <v/>
      </c>
      <c r="M122" s="26">
        <f>H122^2/6</f>
        <v/>
      </c>
      <c r="N122" s="26">
        <f>H122^3/12</f>
        <v/>
      </c>
      <c r="O122" s="27">
        <f>-J122*L122*K122*C122</f>
        <v/>
      </c>
      <c r="P122" s="28">
        <f>-(12*F122*J122*L122*N122+12*O122*N122*G122*COS(RADIANS(E122)))/(12*N122*G122*COS(RADIANS(E122))^2+L122*G122^3*SIN(RADIANS(E122))^2)</f>
        <v/>
      </c>
      <c r="Q122" s="28">
        <f>-(6*F122*J122*L122*N122*SIN(RADIANS(E122))+6*O122*N122*G122*SIN(RADIANS(E122))*COS(RADIANS(E122)))/(12*N122*COS(RADIANS(E122))^2+L122*G122^2*SIN(RADIANS(E122))^2)</f>
        <v/>
      </c>
      <c r="R122" s="28">
        <f>-P122*SIN(RADIANS(E122))</f>
        <v/>
      </c>
      <c r="S122" s="8">
        <f>(O122+P122*COS(RADIANS(E122)))/L122</f>
        <v/>
      </c>
      <c r="T122" s="8">
        <f>R122/L122</f>
        <v/>
      </c>
      <c r="U122" s="8">
        <f>(Q122-P122*G122*SIN(RADIANS(E122)))/M122</f>
        <v/>
      </c>
      <c r="V122" s="8">
        <f>SQRT((S122+U122)^2+3*T122^2)</f>
        <v/>
      </c>
      <c r="W122" s="8">
        <f>V122/AA122</f>
        <v/>
      </c>
      <c r="X122" s="27">
        <f>((3*10+H122/COS(RADIANS(E122)))*(3+3)+3*G122*H122)*2</f>
        <v/>
      </c>
      <c r="Y122" s="28">
        <f>Z122/X122</f>
        <v/>
      </c>
      <c r="Z122" s="29" t="n">
        <v>550.169986626766</v>
      </c>
      <c r="AA122" s="20" t="n">
        <v>42.3456882316664</v>
      </c>
      <c r="AB122" t="n">
        <v>0.07034846870397736</v>
      </c>
      <c r="AC122" t="n">
        <v>43.87665215876252</v>
      </c>
      <c r="AD122" t="n">
        <v>26.3254203803908</v>
      </c>
    </row>
    <row r="123">
      <c r="A123" t="n">
        <v>122</v>
      </c>
      <c r="B123" t="n">
        <v>83.3</v>
      </c>
      <c r="C123" s="21">
        <f>B123-20</f>
        <v/>
      </c>
      <c r="D123" t="n">
        <v>110.6</v>
      </c>
      <c r="E123" s="22">
        <f>D123-90</f>
        <v/>
      </c>
      <c r="F123" s="23" t="n">
        <v>0.021352</v>
      </c>
      <c r="G123" s="22" t="n">
        <v>25.2</v>
      </c>
      <c r="H123" s="22" t="n">
        <v>1.6</v>
      </c>
      <c r="I123" s="24" t="n">
        <v>0.124276772141456</v>
      </c>
      <c r="J123" s="6" t="n">
        <v>71000</v>
      </c>
      <c r="K123" s="25">
        <f>23*10^-6</f>
        <v/>
      </c>
      <c r="L123" s="8">
        <f>H123</f>
        <v/>
      </c>
      <c r="M123" s="26">
        <f>H123^2/6</f>
        <v/>
      </c>
      <c r="N123" s="26">
        <f>H123^3/12</f>
        <v/>
      </c>
      <c r="O123" s="27">
        <f>-J123*L123*K123*C123</f>
        <v/>
      </c>
      <c r="P123" s="28">
        <f>-(12*F123*J123*L123*N123+12*O123*N123*G123*COS(RADIANS(E123)))/(12*N123*G123*COS(RADIANS(E123))^2+L123*G123^3*SIN(RADIANS(E123))^2)</f>
        <v/>
      </c>
      <c r="Q123" s="28">
        <f>-(6*F123*J123*L123*N123*SIN(RADIANS(E123))+6*O123*N123*G123*SIN(RADIANS(E123))*COS(RADIANS(E123)))/(12*N123*COS(RADIANS(E123))^2+L123*G123^2*SIN(RADIANS(E123))^2)</f>
        <v/>
      </c>
      <c r="R123" s="28">
        <f>-P123*SIN(RADIANS(E123))</f>
        <v/>
      </c>
      <c r="S123" s="8">
        <f>(O123+P123*COS(RADIANS(E123)))/L123</f>
        <v/>
      </c>
      <c r="T123" s="8">
        <f>R123/L123</f>
        <v/>
      </c>
      <c r="U123" s="8">
        <f>(Q123-P123*G123*SIN(RADIANS(E123)))/M123</f>
        <v/>
      </c>
      <c r="V123" s="8">
        <f>SQRT((S123+U123)^2+3*T123^2)</f>
        <v/>
      </c>
      <c r="W123" s="8">
        <f>V123/AA123</f>
        <v/>
      </c>
      <c r="X123" s="27">
        <f>((3*10+H123/COS(RADIANS(E123)))*(3+3)+3*G123*H123)*2</f>
        <v/>
      </c>
      <c r="Y123" s="28">
        <f>Z123/X123</f>
        <v/>
      </c>
      <c r="Z123" s="29" t="n">
        <v>627.504540038878</v>
      </c>
      <c r="AA123" s="20" t="n">
        <v>100.674541860957</v>
      </c>
      <c r="AB123" t="n">
        <v>0.1563903299958356</v>
      </c>
      <c r="AC123" t="n">
        <v>99.97446937919788</v>
      </c>
      <c r="AD123" t="n">
        <v>25.84035399457182</v>
      </c>
    </row>
    <row r="124">
      <c r="A124" t="n">
        <v>123</v>
      </c>
      <c r="B124" t="n">
        <v>45.1</v>
      </c>
      <c r="C124" s="21">
        <f>B124-20</f>
        <v/>
      </c>
      <c r="D124" t="n">
        <v>103.8</v>
      </c>
      <c r="E124" s="22">
        <f>D124-90</f>
        <v/>
      </c>
      <c r="F124" s="23" t="n">
        <v>0.008108000000000001</v>
      </c>
      <c r="G124" s="22" t="n">
        <v>23</v>
      </c>
      <c r="H124" s="22" t="n">
        <v>2</v>
      </c>
      <c r="I124" s="24" t="n">
        <v>0.0594025403261184</v>
      </c>
      <c r="J124" s="6" t="n">
        <v>71000</v>
      </c>
      <c r="K124" s="25">
        <f>23*10^-6</f>
        <v/>
      </c>
      <c r="L124" s="8">
        <f>H124</f>
        <v/>
      </c>
      <c r="M124" s="26">
        <f>H124^2/6</f>
        <v/>
      </c>
      <c r="N124" s="26">
        <f>H124^3/12</f>
        <v/>
      </c>
      <c r="O124" s="27">
        <f>-J124*L124*K124*C124</f>
        <v/>
      </c>
      <c r="P124" s="28">
        <f>-(12*F124*J124*L124*N124+12*O124*N124*G124*COS(RADIANS(E124)))/(12*N124*G124*COS(RADIANS(E124))^2+L124*G124^3*SIN(RADIANS(E124))^2)</f>
        <v/>
      </c>
      <c r="Q124" s="28">
        <f>-(6*F124*J124*L124*N124*SIN(RADIANS(E124))+6*O124*N124*G124*SIN(RADIANS(E124))*COS(RADIANS(E124)))/(12*N124*COS(RADIANS(E124))^2+L124*G124^2*SIN(RADIANS(E124))^2)</f>
        <v/>
      </c>
      <c r="R124" s="28">
        <f>-P124*SIN(RADIANS(E124))</f>
        <v/>
      </c>
      <c r="S124" s="8">
        <f>(O124+P124*COS(RADIANS(E124)))/L124</f>
        <v/>
      </c>
      <c r="T124" s="8">
        <f>R124/L124</f>
        <v/>
      </c>
      <c r="U124" s="8">
        <f>(Q124-P124*G124*SIN(RADIANS(E124)))/M124</f>
        <v/>
      </c>
      <c r="V124" s="8">
        <f>SQRT((S124+U124)^2+3*T124^2)</f>
        <v/>
      </c>
      <c r="W124" s="8">
        <f>V124/AA124</f>
        <v/>
      </c>
      <c r="X124" s="27">
        <f>((3*10+H124/COS(RADIANS(E124)))*(3+3)+3*G124*H124)*2</f>
        <v/>
      </c>
      <c r="Y124" s="28">
        <f>Z124/X124</f>
        <v/>
      </c>
      <c r="Z124" s="29" t="n">
        <v>664.860367781145</v>
      </c>
      <c r="AA124" s="20" t="n">
        <v>49.5772661222778</v>
      </c>
      <c r="AB124" t="n">
        <v>0.07857707178836963</v>
      </c>
      <c r="AC124" t="n">
        <v>44.13321593979997</v>
      </c>
      <c r="AD124" t="n">
        <v>32.27897554041217</v>
      </c>
    </row>
    <row r="125">
      <c r="A125" t="n">
        <v>124</v>
      </c>
      <c r="B125" t="n">
        <v>60.7</v>
      </c>
      <c r="C125" s="21">
        <f>B125-20</f>
        <v/>
      </c>
      <c r="D125" t="n">
        <v>112.3</v>
      </c>
      <c r="E125" s="22">
        <f>D125-90</f>
        <v/>
      </c>
      <c r="F125" s="23" t="n">
        <v>0.012228</v>
      </c>
      <c r="G125" s="22" t="n">
        <v>22</v>
      </c>
      <c r="H125" s="22" t="n">
        <v>1.2</v>
      </c>
      <c r="I125" s="24" t="n">
        <v>0.06947913765907281</v>
      </c>
      <c r="J125" s="6" t="n">
        <v>71000</v>
      </c>
      <c r="K125" s="25">
        <f>23*10^-6</f>
        <v/>
      </c>
      <c r="L125" s="8">
        <f>H125</f>
        <v/>
      </c>
      <c r="M125" s="26">
        <f>H125^2/6</f>
        <v/>
      </c>
      <c r="N125" s="26">
        <f>H125^3/12</f>
        <v/>
      </c>
      <c r="O125" s="27">
        <f>-J125*L125*K125*C125</f>
        <v/>
      </c>
      <c r="P125" s="28">
        <f>-(12*F125*J125*L125*N125+12*O125*N125*G125*COS(RADIANS(E125)))/(12*N125*G125*COS(RADIANS(E125))^2+L125*G125^3*SIN(RADIANS(E125))^2)</f>
        <v/>
      </c>
      <c r="Q125" s="28">
        <f>-(6*F125*J125*L125*N125*SIN(RADIANS(E125))+6*O125*N125*G125*SIN(RADIANS(E125))*COS(RADIANS(E125)))/(12*N125*COS(RADIANS(E125))^2+L125*G125^2*SIN(RADIANS(E125))^2)</f>
        <v/>
      </c>
      <c r="R125" s="28">
        <f>-P125*SIN(RADIANS(E125))</f>
        <v/>
      </c>
      <c r="S125" s="8">
        <f>(O125+P125*COS(RADIANS(E125)))/L125</f>
        <v/>
      </c>
      <c r="T125" s="8">
        <f>R125/L125</f>
        <v/>
      </c>
      <c r="U125" s="8">
        <f>(Q125-P125*G125*SIN(RADIANS(E125)))/M125</f>
        <v/>
      </c>
      <c r="V125" s="8">
        <f>SQRT((S125+U125)^2+3*T125^2)</f>
        <v/>
      </c>
      <c r="W125" s="8">
        <f>V125/AA125</f>
        <v/>
      </c>
      <c r="X125" s="27">
        <f>((3*10+H125/COS(RADIANS(E125)))*(3+3)+3*G125*H125)*2</f>
        <v/>
      </c>
      <c r="Y125" s="28">
        <f>Z125/X125</f>
        <v/>
      </c>
      <c r="Z125" s="29" t="n">
        <v>539.337732981738</v>
      </c>
      <c r="AA125" s="20" t="n">
        <v>59.9754759020859</v>
      </c>
      <c r="AB125" t="n">
        <v>0.08253926918125365</v>
      </c>
      <c r="AC125" t="n">
        <v>62.0028108386345</v>
      </c>
      <c r="AD125" t="n">
        <v>18.79719864438388</v>
      </c>
    </row>
    <row r="126">
      <c r="A126" t="n">
        <v>125</v>
      </c>
      <c r="B126" t="n">
        <v>79.8</v>
      </c>
      <c r="C126" s="21">
        <f>B126-20</f>
        <v/>
      </c>
      <c r="D126" t="n">
        <v>107.8</v>
      </c>
      <c r="E126" s="22">
        <f>D126-90</f>
        <v/>
      </c>
      <c r="F126" s="23" t="n">
        <v>0.017526</v>
      </c>
      <c r="G126" s="22" t="n">
        <v>20.7</v>
      </c>
      <c r="H126" s="22" t="n">
        <v>1</v>
      </c>
      <c r="I126" s="24" t="n">
        <v>0.116021737456321</v>
      </c>
      <c r="J126" s="6" t="n">
        <v>71000</v>
      </c>
      <c r="K126" s="25">
        <f>23*10^-6</f>
        <v/>
      </c>
      <c r="L126" s="8">
        <f>H126</f>
        <v/>
      </c>
      <c r="M126" s="26">
        <f>H126^2/6</f>
        <v/>
      </c>
      <c r="N126" s="26">
        <f>H126^3/12</f>
        <v/>
      </c>
      <c r="O126" s="27">
        <f>-J126*L126*K126*C126</f>
        <v/>
      </c>
      <c r="P126" s="28">
        <f>-(12*F126*J126*L126*N126+12*O126*N126*G126*COS(RADIANS(E126)))/(12*N126*G126*COS(RADIANS(E126))^2+L126*G126^3*SIN(RADIANS(E126))^2)</f>
        <v/>
      </c>
      <c r="Q126" s="28">
        <f>-(6*F126*J126*L126*N126*SIN(RADIANS(E126))+6*O126*N126*G126*SIN(RADIANS(E126))*COS(RADIANS(E126)))/(12*N126*COS(RADIANS(E126))^2+L126*G126^2*SIN(RADIANS(E126))^2)</f>
        <v/>
      </c>
      <c r="R126" s="28">
        <f>-P126*SIN(RADIANS(E126))</f>
        <v/>
      </c>
      <c r="S126" s="8">
        <f>(O126+P126*COS(RADIANS(E126)))/L126</f>
        <v/>
      </c>
      <c r="T126" s="8">
        <f>R126/L126</f>
        <v/>
      </c>
      <c r="U126" s="8">
        <f>(Q126-P126*G126*SIN(RADIANS(E126)))/M126</f>
        <v/>
      </c>
      <c r="V126" s="8">
        <f>SQRT((S126+U126)^2+3*T126^2)</f>
        <v/>
      </c>
      <c r="W126" s="8">
        <f>V126/AA126</f>
        <v/>
      </c>
      <c r="X126" s="27">
        <f>((3*10+H126/COS(RADIANS(E126)))*(3+3)+3*G126*H126)*2</f>
        <v/>
      </c>
      <c r="Y126" s="28">
        <f>Z126/X126</f>
        <v/>
      </c>
      <c r="Z126" s="29" t="n">
        <v>501.443616425657</v>
      </c>
      <c r="AA126" s="20" t="n">
        <v>85.6612873809882</v>
      </c>
      <c r="AB126" t="n">
        <v>0.1443278650009097</v>
      </c>
      <c r="AC126" t="n">
        <v>92.22186708411091</v>
      </c>
      <c r="AD126" t="n">
        <v>24.39726224169427</v>
      </c>
    </row>
    <row r="127">
      <c r="A127" t="n">
        <v>126</v>
      </c>
      <c r="B127" t="n">
        <v>43.8</v>
      </c>
      <c r="C127" s="21">
        <f>B127-20</f>
        <v/>
      </c>
      <c r="D127" t="n">
        <v>120.5</v>
      </c>
      <c r="E127" s="22">
        <f>D127-90</f>
        <v/>
      </c>
      <c r="F127" s="23" t="n">
        <v>0.006981</v>
      </c>
      <c r="G127" s="22" t="n">
        <v>22.9</v>
      </c>
      <c r="H127" s="22" t="n">
        <v>1.3</v>
      </c>
      <c r="I127" s="24" t="n">
        <v>0.0336520969867706</v>
      </c>
      <c r="J127" s="6" t="n">
        <v>71000</v>
      </c>
      <c r="K127" s="25">
        <f>23*10^-6</f>
        <v/>
      </c>
      <c r="L127" s="8">
        <f>H127</f>
        <v/>
      </c>
      <c r="M127" s="26">
        <f>H127^2/6</f>
        <v/>
      </c>
      <c r="N127" s="26">
        <f>H127^3/12</f>
        <v/>
      </c>
      <c r="O127" s="27">
        <f>-J127*L127*K127*C127</f>
        <v/>
      </c>
      <c r="P127" s="28">
        <f>-(12*F127*J127*L127*N127+12*O127*N127*G127*COS(RADIANS(E127)))/(12*N127*G127*COS(RADIANS(E127))^2+L127*G127^3*SIN(RADIANS(E127))^2)</f>
        <v/>
      </c>
      <c r="Q127" s="28">
        <f>-(6*F127*J127*L127*N127*SIN(RADIANS(E127))+6*O127*N127*G127*SIN(RADIANS(E127))*COS(RADIANS(E127)))/(12*N127*COS(RADIANS(E127))^2+L127*G127^2*SIN(RADIANS(E127))^2)</f>
        <v/>
      </c>
      <c r="R127" s="28">
        <f>-P127*SIN(RADIANS(E127))</f>
        <v/>
      </c>
      <c r="S127" s="8">
        <f>(O127+P127*COS(RADIANS(E127)))/L127</f>
        <v/>
      </c>
      <c r="T127" s="8">
        <f>R127/L127</f>
        <v/>
      </c>
      <c r="U127" s="8">
        <f>(Q127-P127*G127*SIN(RADIANS(E127)))/M127</f>
        <v/>
      </c>
      <c r="V127" s="8">
        <f>SQRT((S127+U127)^2+3*T127^2)</f>
        <v/>
      </c>
      <c r="W127" s="8">
        <f>V127/AA127</f>
        <v/>
      </c>
      <c r="X127" s="27">
        <f>((3*10+H127/COS(RADIANS(E127)))*(3+3)+3*G127*H127)*2</f>
        <v/>
      </c>
      <c r="Y127" s="28">
        <f>Z127/X127</f>
        <v/>
      </c>
      <c r="Z127" s="29" t="n">
        <v>564.013076695556</v>
      </c>
      <c r="AA127" s="20" t="n">
        <v>34.9456489803657</v>
      </c>
      <c r="AB127" t="n">
        <v>0.03617644382342527</v>
      </c>
      <c r="AC127" t="n">
        <v>35.10060591042238</v>
      </c>
      <c r="AD127" t="n">
        <v>7.501306196897775</v>
      </c>
    </row>
    <row r="128">
      <c r="A128" t="n">
        <v>127</v>
      </c>
      <c r="B128" t="n">
        <v>53.7</v>
      </c>
      <c r="C128" s="21">
        <f>B128-20</f>
        <v/>
      </c>
      <c r="D128" t="n">
        <v>104.3</v>
      </c>
      <c r="E128" s="22">
        <f>D128-90</f>
        <v/>
      </c>
      <c r="F128" s="23" t="n">
        <v>0.01392</v>
      </c>
      <c r="G128" s="22" t="n">
        <v>31.2</v>
      </c>
      <c r="H128" s="22" t="n">
        <v>2</v>
      </c>
      <c r="I128" s="24" t="n">
        <v>0.0999837443232536</v>
      </c>
      <c r="J128" s="6" t="n">
        <v>71000</v>
      </c>
      <c r="K128" s="25">
        <f>23*10^-6</f>
        <v/>
      </c>
      <c r="L128" s="8">
        <f>H128</f>
        <v/>
      </c>
      <c r="M128" s="26">
        <f>H128^2/6</f>
        <v/>
      </c>
      <c r="N128" s="26">
        <f>H128^3/12</f>
        <v/>
      </c>
      <c r="O128" s="27">
        <f>-J128*L128*K128*C128</f>
        <v/>
      </c>
      <c r="P128" s="28">
        <f>-(12*F128*J128*L128*N128+12*O128*N128*G128*COS(RADIANS(E128)))/(12*N128*G128*COS(RADIANS(E128))^2+L128*G128^3*SIN(RADIANS(E128))^2)</f>
        <v/>
      </c>
      <c r="Q128" s="28">
        <f>-(6*F128*J128*L128*N128*SIN(RADIANS(E128))+6*O128*N128*G128*SIN(RADIANS(E128))*COS(RADIANS(E128)))/(12*N128*COS(RADIANS(E128))^2+L128*G128^2*SIN(RADIANS(E128))^2)</f>
        <v/>
      </c>
      <c r="R128" s="28">
        <f>-P128*SIN(RADIANS(E128))</f>
        <v/>
      </c>
      <c r="S128" s="8">
        <f>(O128+P128*COS(RADIANS(E128)))/L128</f>
        <v/>
      </c>
      <c r="T128" s="8">
        <f>R128/L128</f>
        <v/>
      </c>
      <c r="U128" s="8">
        <f>(Q128-P128*G128*SIN(RADIANS(E128)))/M128</f>
        <v/>
      </c>
      <c r="V128" s="8">
        <f>SQRT((S128+U128)^2+3*T128^2)</f>
        <v/>
      </c>
      <c r="W128" s="8">
        <f>V128/AA128</f>
        <v/>
      </c>
      <c r="X128" s="27">
        <f>((3*10+H128/COS(RADIANS(E128)))*(3+3)+3*G128*H128)*2</f>
        <v/>
      </c>
      <c r="Y128" s="28">
        <f>Z128/X128</f>
        <v/>
      </c>
      <c r="Z128" s="29" t="n">
        <v>763.368428919093</v>
      </c>
      <c r="AA128" s="20" t="n">
        <v>59.4731330933594</v>
      </c>
      <c r="AB128" t="n">
        <v>0.1432352786288527</v>
      </c>
      <c r="AC128" t="n">
        <v>57.21136065537994</v>
      </c>
      <c r="AD128" t="n">
        <v>43.25856627829844</v>
      </c>
    </row>
    <row r="129">
      <c r="A129" t="n">
        <v>128</v>
      </c>
      <c r="B129" t="n">
        <v>81.7</v>
      </c>
      <c r="C129" s="21">
        <f>B129-20</f>
        <v/>
      </c>
      <c r="D129" t="n">
        <v>108</v>
      </c>
      <c r="E129" s="22">
        <f>D129-90</f>
        <v/>
      </c>
      <c r="F129" s="23" t="n">
        <v>0.02168</v>
      </c>
      <c r="G129" s="22" t="n">
        <v>26.1</v>
      </c>
      <c r="H129" s="22" t="n">
        <v>1.4</v>
      </c>
      <c r="I129" s="24" t="n">
        <v>0.137508988380432</v>
      </c>
      <c r="J129" s="6" t="n">
        <v>71000</v>
      </c>
      <c r="K129" s="25">
        <f>23*10^-6</f>
        <v/>
      </c>
      <c r="L129" s="8">
        <f>H129</f>
        <v/>
      </c>
      <c r="M129" s="26">
        <f>H129^2/6</f>
        <v/>
      </c>
      <c r="N129" s="26">
        <f>H129^3/12</f>
        <v/>
      </c>
      <c r="O129" s="27">
        <f>-J129*L129*K129*C129</f>
        <v/>
      </c>
      <c r="P129" s="28">
        <f>-(12*F129*J129*L129*N129+12*O129*N129*G129*COS(RADIANS(E129)))/(12*N129*G129*COS(RADIANS(E129))^2+L129*G129^3*SIN(RADIANS(E129))^2)</f>
        <v/>
      </c>
      <c r="Q129" s="28">
        <f>-(6*F129*J129*L129*N129*SIN(RADIANS(E129))+6*O129*N129*G129*SIN(RADIANS(E129))*COS(RADIANS(E129)))/(12*N129*COS(RADIANS(E129))^2+L129*G129^2*SIN(RADIANS(E129))^2)</f>
        <v/>
      </c>
      <c r="R129" s="28">
        <f>-P129*SIN(RADIANS(E129))</f>
        <v/>
      </c>
      <c r="S129" s="8">
        <f>(O129+P129*COS(RADIANS(E129)))/L129</f>
        <v/>
      </c>
      <c r="T129" s="8">
        <f>R129/L129</f>
        <v/>
      </c>
      <c r="U129" s="8">
        <f>(Q129-P129*G129*SIN(RADIANS(E129)))/M129</f>
        <v/>
      </c>
      <c r="V129" s="8">
        <f>SQRT((S129+U129)^2+3*T129^2)</f>
        <v/>
      </c>
      <c r="W129" s="8">
        <f>V129/AA129</f>
        <v/>
      </c>
      <c r="X129" s="27">
        <f>((3*10+H129/COS(RADIANS(E129)))*(3+3)+3*G129*H129)*2</f>
        <v/>
      </c>
      <c r="Y129" s="28">
        <f>Z129/X129</f>
        <v/>
      </c>
      <c r="Z129" s="29" t="n">
        <v>601.573288134561</v>
      </c>
      <c r="AA129" s="20" t="n">
        <v>94.8213122944989</v>
      </c>
      <c r="AB129" t="n">
        <v>0.1814462288806999</v>
      </c>
      <c r="AC129" t="n">
        <v>97.39003887447168</v>
      </c>
      <c r="AD129" t="n">
        <v>31.95226800644572</v>
      </c>
    </row>
    <row r="130">
      <c r="A130" t="n">
        <v>129</v>
      </c>
      <c r="B130" t="n">
        <v>83.7</v>
      </c>
      <c r="C130" s="21">
        <f>B130-20</f>
        <v/>
      </c>
      <c r="D130" t="n">
        <v>106.7</v>
      </c>
      <c r="E130" s="22">
        <f>D130-90</f>
        <v/>
      </c>
      <c r="F130" s="23" t="n">
        <v>0.01952</v>
      </c>
      <c r="G130" s="22" t="n">
        <v>21.8</v>
      </c>
      <c r="H130" s="22" t="n">
        <v>1.9</v>
      </c>
      <c r="I130" s="24" t="n">
        <v>0.128997787833213</v>
      </c>
      <c r="J130" s="6" t="n">
        <v>71000</v>
      </c>
      <c r="K130" s="25">
        <f>23*10^-6</f>
        <v/>
      </c>
      <c r="L130" s="8">
        <f>H130</f>
        <v/>
      </c>
      <c r="M130" s="26">
        <f>H130^2/6</f>
        <v/>
      </c>
      <c r="N130" s="26">
        <f>H130^3/12</f>
        <v/>
      </c>
      <c r="O130" s="27">
        <f>-J130*L130*K130*C130</f>
        <v/>
      </c>
      <c r="P130" s="28">
        <f>-(12*F130*J130*L130*N130+12*O130*N130*G130*COS(RADIANS(E130)))/(12*N130*G130*COS(RADIANS(E130))^2+L130*G130^3*SIN(RADIANS(E130))^2)</f>
        <v/>
      </c>
      <c r="Q130" s="28">
        <f>-(6*F130*J130*L130*N130*SIN(RADIANS(E130))+6*O130*N130*G130*SIN(RADIANS(E130))*COS(RADIANS(E130)))/(12*N130*COS(RADIANS(E130))^2+L130*G130^2*SIN(RADIANS(E130))^2)</f>
        <v/>
      </c>
      <c r="R130" s="28">
        <f>-P130*SIN(RADIANS(E130))</f>
        <v/>
      </c>
      <c r="S130" s="8">
        <f>(O130+P130*COS(RADIANS(E130)))/L130</f>
        <v/>
      </c>
      <c r="T130" s="8">
        <f>R130/L130</f>
        <v/>
      </c>
      <c r="U130" s="8">
        <f>(Q130-P130*G130*SIN(RADIANS(E130)))/M130</f>
        <v/>
      </c>
      <c r="V130" s="8">
        <f>SQRT((S130+U130)^2+3*T130^2)</f>
        <v/>
      </c>
      <c r="W130" s="8">
        <f>V130/AA130</f>
        <v/>
      </c>
      <c r="X130" s="27">
        <f>((3*10+H130/COS(RADIANS(E130)))*(3+3)+3*G130*H130)*2</f>
        <v/>
      </c>
      <c r="Y130" s="28">
        <f>Z130/X130</f>
        <v/>
      </c>
      <c r="Z130" s="29" t="n">
        <v>636.81445720276</v>
      </c>
      <c r="AA130" s="20" t="n">
        <v>114.738830686041</v>
      </c>
      <c r="AB130" t="n">
        <v>0.1620411284082211</v>
      </c>
      <c r="AC130" t="n">
        <v>108.040436318697</v>
      </c>
      <c r="AD130" t="n">
        <v>25.61543196208239</v>
      </c>
    </row>
    <row r="131">
      <c r="A131" t="n">
        <v>130</v>
      </c>
      <c r="B131" t="n">
        <v>52.3</v>
      </c>
      <c r="C131" s="21">
        <f>B131-20</f>
        <v/>
      </c>
      <c r="D131" t="n">
        <v>129.8</v>
      </c>
      <c r="E131" s="22">
        <f>D131-90</f>
        <v/>
      </c>
      <c r="F131" s="23" t="n">
        <v>0.008744</v>
      </c>
      <c r="G131" s="22" t="n">
        <v>23.1</v>
      </c>
      <c r="H131" s="22" t="n">
        <v>1.5</v>
      </c>
      <c r="I131" s="24" t="n">
        <v>0.0390270799398422</v>
      </c>
      <c r="J131" s="6" t="n">
        <v>71000</v>
      </c>
      <c r="K131" s="25">
        <f>23*10^-6</f>
        <v/>
      </c>
      <c r="L131" s="8">
        <f>H131</f>
        <v/>
      </c>
      <c r="M131" s="26">
        <f>H131^2/6</f>
        <v/>
      </c>
      <c r="N131" s="26">
        <f>H131^3/12</f>
        <v/>
      </c>
      <c r="O131" s="27">
        <f>-J131*L131*K131*C131</f>
        <v/>
      </c>
      <c r="P131" s="28">
        <f>-(12*F131*J131*L131*N131+12*O131*N131*G131*COS(RADIANS(E131)))/(12*N131*G131*COS(RADIANS(E131))^2+L131*G131^3*SIN(RADIANS(E131))^2)</f>
        <v/>
      </c>
      <c r="Q131" s="28">
        <f>-(6*F131*J131*L131*N131*SIN(RADIANS(E131))+6*O131*N131*G131*SIN(RADIANS(E131))*COS(RADIANS(E131)))/(12*N131*COS(RADIANS(E131))^2+L131*G131^2*SIN(RADIANS(E131))^2)</f>
        <v/>
      </c>
      <c r="R131" s="28">
        <f>-P131*SIN(RADIANS(E131))</f>
        <v/>
      </c>
      <c r="S131" s="8">
        <f>(O131+P131*COS(RADIANS(E131)))/L131</f>
        <v/>
      </c>
      <c r="T131" s="8">
        <f>R131/L131</f>
        <v/>
      </c>
      <c r="U131" s="8">
        <f>(Q131-P131*G131*SIN(RADIANS(E131)))/M131</f>
        <v/>
      </c>
      <c r="V131" s="8">
        <f>SQRT((S131+U131)^2+3*T131^2)</f>
        <v/>
      </c>
      <c r="W131" s="8">
        <f>V131/AA131</f>
        <v/>
      </c>
      <c r="X131" s="27">
        <f>((3*10+H131/COS(RADIANS(E131)))*(3+3)+3*G131*H131)*2</f>
        <v/>
      </c>
      <c r="Y131" s="28">
        <f>Z131/X131</f>
        <v/>
      </c>
      <c r="Z131" s="29" t="n">
        <v>602.000947778141</v>
      </c>
      <c r="AA131" s="20" t="n">
        <v>48.0055525697596</v>
      </c>
      <c r="AB131" t="n">
        <v>0.03703540925019135</v>
      </c>
      <c r="AC131" t="n">
        <v>46.69022842661008</v>
      </c>
      <c r="AD131" t="n">
        <v>-5.103304404841187</v>
      </c>
    </row>
    <row r="132">
      <c r="A132" t="n">
        <v>131</v>
      </c>
      <c r="B132" t="n">
        <v>66.3</v>
      </c>
      <c r="C132" s="21">
        <f>B132-20</f>
        <v/>
      </c>
      <c r="D132" t="n">
        <v>100.2</v>
      </c>
      <c r="E132" s="22">
        <f>D132-90</f>
        <v/>
      </c>
      <c r="F132" s="23" t="n">
        <v>0.015427</v>
      </c>
      <c r="G132" s="22" t="n">
        <v>23.6</v>
      </c>
      <c r="H132" s="22" t="n">
        <v>2</v>
      </c>
      <c r="I132" s="24" t="n">
        <v>0.133207991719245</v>
      </c>
      <c r="J132" s="6" t="n">
        <v>71000</v>
      </c>
      <c r="K132" s="25">
        <f>23*10^-6</f>
        <v/>
      </c>
      <c r="L132" s="8">
        <f>H132</f>
        <v/>
      </c>
      <c r="M132" s="26">
        <f>H132^2/6</f>
        <v/>
      </c>
      <c r="N132" s="26">
        <f>H132^3/12</f>
        <v/>
      </c>
      <c r="O132" s="27">
        <f>-J132*L132*K132*C132</f>
        <v/>
      </c>
      <c r="P132" s="28">
        <f>-(12*F132*J132*L132*N132+12*O132*N132*G132*COS(RADIANS(E132)))/(12*N132*G132*COS(RADIANS(E132))^2+L132*G132^3*SIN(RADIANS(E132))^2)</f>
        <v/>
      </c>
      <c r="Q132" s="28">
        <f>-(6*F132*J132*L132*N132*SIN(RADIANS(E132))+6*O132*N132*G132*SIN(RADIANS(E132))*COS(RADIANS(E132)))/(12*N132*COS(RADIANS(E132))^2+L132*G132^2*SIN(RADIANS(E132))^2)</f>
        <v/>
      </c>
      <c r="R132" s="28">
        <f>-P132*SIN(RADIANS(E132))</f>
        <v/>
      </c>
      <c r="S132" s="8">
        <f>(O132+P132*COS(RADIANS(E132)))/L132</f>
        <v/>
      </c>
      <c r="T132" s="8">
        <f>R132/L132</f>
        <v/>
      </c>
      <c r="U132" s="8">
        <f>(Q132-P132*G132*SIN(RADIANS(E132)))/M132</f>
        <v/>
      </c>
      <c r="V132" s="8">
        <f>SQRT((S132+U132)^2+3*T132^2)</f>
        <v/>
      </c>
      <c r="W132" s="8">
        <f>V132/AA132</f>
        <v/>
      </c>
      <c r="X132" s="27">
        <f>((3*10+H132/COS(RADIANS(E132)))*(3+3)+3*G132*H132)*2</f>
        <v/>
      </c>
      <c r="Y132" s="28">
        <f>Z132/X132</f>
        <v/>
      </c>
      <c r="Z132" s="29" t="n">
        <v>671.404422113564</v>
      </c>
      <c r="AA132" s="20" t="n">
        <v>116.969163758514</v>
      </c>
      <c r="AB132" t="n">
        <v>0.185818717175866</v>
      </c>
      <c r="AC132" t="n">
        <v>85.01056147340918</v>
      </c>
      <c r="AD132" t="n">
        <v>39.49517200702619</v>
      </c>
    </row>
    <row r="133">
      <c r="A133" t="n">
        <v>132</v>
      </c>
      <c r="B133" t="n">
        <v>69.3</v>
      </c>
      <c r="C133" s="21">
        <f>B133-20</f>
        <v/>
      </c>
      <c r="D133" t="n">
        <v>103.6</v>
      </c>
      <c r="E133" s="22">
        <f>D133-90</f>
        <v/>
      </c>
      <c r="F133" s="23" t="n">
        <v>0.020361</v>
      </c>
      <c r="G133" s="22" t="n">
        <v>31.1</v>
      </c>
      <c r="H133" s="22" t="n">
        <v>1</v>
      </c>
      <c r="I133" s="24" t="n">
        <v>0.157038196921348</v>
      </c>
      <c r="J133" s="6" t="n">
        <v>71000</v>
      </c>
      <c r="K133" s="25">
        <f>23*10^-6</f>
        <v/>
      </c>
      <c r="L133" s="8">
        <f>H133</f>
        <v/>
      </c>
      <c r="M133" s="26">
        <f>H133^2/6</f>
        <v/>
      </c>
      <c r="N133" s="26">
        <f>H133^3/12</f>
        <v/>
      </c>
      <c r="O133" s="27">
        <f>-J133*L133*K133*C133</f>
        <v/>
      </c>
      <c r="P133" s="28">
        <f>-(12*F133*J133*L133*N133+12*O133*N133*G133*COS(RADIANS(E133)))/(12*N133*G133*COS(RADIANS(E133))^2+L133*G133^3*SIN(RADIANS(E133))^2)</f>
        <v/>
      </c>
      <c r="Q133" s="28">
        <f>-(6*F133*J133*L133*N133*SIN(RADIANS(E133))+6*O133*N133*G133*SIN(RADIANS(E133))*COS(RADIANS(E133)))/(12*N133*COS(RADIANS(E133))^2+L133*G133^2*SIN(RADIANS(E133))^2)</f>
        <v/>
      </c>
      <c r="R133" s="28">
        <f>-P133*SIN(RADIANS(E133))</f>
        <v/>
      </c>
      <c r="S133" s="8">
        <f>(O133+P133*COS(RADIANS(E133)))/L133</f>
        <v/>
      </c>
      <c r="T133" s="8">
        <f>R133/L133</f>
        <v/>
      </c>
      <c r="U133" s="8">
        <f>(Q133-P133*G133*SIN(RADIANS(E133)))/M133</f>
        <v/>
      </c>
      <c r="V133" s="8">
        <f>SQRT((S133+U133)^2+3*T133^2)</f>
        <v/>
      </c>
      <c r="W133" s="8">
        <f>V133/AA133</f>
        <v/>
      </c>
      <c r="X133" s="27">
        <f>((3*10+H133/COS(RADIANS(E133)))*(3+3)+3*G133*H133)*2</f>
        <v/>
      </c>
      <c r="Y133" s="28">
        <f>Z133/X133</f>
        <v/>
      </c>
      <c r="Z133" s="29" t="n">
        <v>563.072152514215</v>
      </c>
      <c r="AA133" s="20" t="n">
        <v>69.691273401198</v>
      </c>
      <c r="AB133" t="n">
        <v>0.2299821246438772</v>
      </c>
      <c r="AC133" t="n">
        <v>76.28182885164479</v>
      </c>
      <c r="AD133" t="n">
        <v>46.44979957268797</v>
      </c>
    </row>
    <row r="134">
      <c r="A134" t="n">
        <v>133</v>
      </c>
      <c r="B134" t="n">
        <v>48</v>
      </c>
      <c r="C134" s="21">
        <f>B134-20</f>
        <v/>
      </c>
      <c r="D134" t="n">
        <v>119.4</v>
      </c>
      <c r="E134" s="22">
        <f>D134-90</f>
        <v/>
      </c>
      <c r="F134" s="23" t="n">
        <v>0.009062000000000001</v>
      </c>
      <c r="G134" s="22" t="n">
        <v>25.7</v>
      </c>
      <c r="H134" s="22" t="n">
        <v>1.6</v>
      </c>
      <c r="I134" s="24" t="n">
        <v>0.043577391654253</v>
      </c>
      <c r="J134" s="6" t="n">
        <v>71000</v>
      </c>
      <c r="K134" s="25">
        <f>23*10^-6</f>
        <v/>
      </c>
      <c r="L134" s="8">
        <f>H134</f>
        <v/>
      </c>
      <c r="M134" s="26">
        <f>H134^2/6</f>
        <v/>
      </c>
      <c r="N134" s="26">
        <f>H134^3/12</f>
        <v/>
      </c>
      <c r="O134" s="27">
        <f>-J134*L134*K134*C134</f>
        <v/>
      </c>
      <c r="P134" s="28">
        <f>-(12*F134*J134*L134*N134+12*O134*N134*G134*COS(RADIANS(E134)))/(12*N134*G134*COS(RADIANS(E134))^2+L134*G134^3*SIN(RADIANS(E134))^2)</f>
        <v/>
      </c>
      <c r="Q134" s="28">
        <f>-(6*F134*J134*L134*N134*SIN(RADIANS(E134))+6*O134*N134*G134*SIN(RADIANS(E134))*COS(RADIANS(E134)))/(12*N134*COS(RADIANS(E134))^2+L134*G134^2*SIN(RADIANS(E134))^2)</f>
        <v/>
      </c>
      <c r="R134" s="28">
        <f>-P134*SIN(RADIANS(E134))</f>
        <v/>
      </c>
      <c r="S134" s="8">
        <f>(O134+P134*COS(RADIANS(E134)))/L134</f>
        <v/>
      </c>
      <c r="T134" s="8">
        <f>R134/L134</f>
        <v/>
      </c>
      <c r="U134" s="8">
        <f>(Q134-P134*G134*SIN(RADIANS(E134)))/M134</f>
        <v/>
      </c>
      <c r="V134" s="8">
        <f>SQRT((S134+U134)^2+3*T134^2)</f>
        <v/>
      </c>
      <c r="W134" s="8">
        <f>V134/AA134</f>
        <v/>
      </c>
      <c r="X134" s="27">
        <f>((3*10+H134/COS(RADIANS(E134)))*(3+3)+3*G134*H134)*2</f>
        <v/>
      </c>
      <c r="Y134" s="28">
        <f>Z134/X134</f>
        <v/>
      </c>
      <c r="Z134" s="29" t="n">
        <v>635.739620159197</v>
      </c>
      <c r="AA134" s="20" t="n">
        <v>43.3415496312102</v>
      </c>
      <c r="AB134" t="n">
        <v>0.04913552257497371</v>
      </c>
      <c r="AC134" t="n">
        <v>42.01459171214675</v>
      </c>
      <c r="AD134" t="n">
        <v>12.75462048031563</v>
      </c>
    </row>
    <row r="135">
      <c r="A135" t="n">
        <v>134</v>
      </c>
      <c r="B135" t="n">
        <v>72.8</v>
      </c>
      <c r="C135" s="21">
        <f>B135-20</f>
        <v/>
      </c>
      <c r="D135" t="n">
        <v>113.1</v>
      </c>
      <c r="E135" s="22">
        <f>D135-90</f>
        <v/>
      </c>
      <c r="F135" s="23" t="n">
        <v>0.020553</v>
      </c>
      <c r="G135" s="22" t="n">
        <v>30.6</v>
      </c>
      <c r="H135" s="22" t="n">
        <v>1.7</v>
      </c>
      <c r="I135" s="24" t="n">
        <v>0.109076149761676</v>
      </c>
      <c r="J135" s="6" t="n">
        <v>71000</v>
      </c>
      <c r="K135" s="25">
        <f>23*10^-6</f>
        <v/>
      </c>
      <c r="L135" s="8">
        <f>H135</f>
        <v/>
      </c>
      <c r="M135" s="26">
        <f>H135^2/6</f>
        <v/>
      </c>
      <c r="N135" s="26">
        <f>H135^3/12</f>
        <v/>
      </c>
      <c r="O135" s="27">
        <f>-J135*L135*K135*C135</f>
        <v/>
      </c>
      <c r="P135" s="28">
        <f>-(12*F135*J135*L135*N135+12*O135*N135*G135*COS(RADIANS(E135)))/(12*N135*G135*COS(RADIANS(E135))^2+L135*G135^3*SIN(RADIANS(E135))^2)</f>
        <v/>
      </c>
      <c r="Q135" s="28">
        <f>-(6*F135*J135*L135*N135*SIN(RADIANS(E135))+6*O135*N135*G135*SIN(RADIANS(E135))*COS(RADIANS(E135)))/(12*N135*COS(RADIANS(E135))^2+L135*G135^2*SIN(RADIANS(E135))^2)</f>
        <v/>
      </c>
      <c r="R135" s="28">
        <f>-P135*SIN(RADIANS(E135))</f>
        <v/>
      </c>
      <c r="S135" s="8">
        <f>(O135+P135*COS(RADIANS(E135)))/L135</f>
        <v/>
      </c>
      <c r="T135" s="8">
        <f>R135/L135</f>
        <v/>
      </c>
      <c r="U135" s="8">
        <f>(Q135-P135*G135*SIN(RADIANS(E135)))/M135</f>
        <v/>
      </c>
      <c r="V135" s="8">
        <f>SQRT((S135+U135)^2+3*T135^2)</f>
        <v/>
      </c>
      <c r="W135" s="8">
        <f>V135/AA135</f>
        <v/>
      </c>
      <c r="X135" s="27">
        <f>((3*10+H135/COS(RADIANS(E135)))*(3+3)+3*G135*H135)*2</f>
        <v/>
      </c>
      <c r="Y135" s="28">
        <f>Z135/X135</f>
        <v/>
      </c>
      <c r="Z135" s="29" t="n">
        <v>699.823864566358</v>
      </c>
      <c r="AA135" s="20" t="n">
        <v>82.9708646212151</v>
      </c>
      <c r="AB135" t="n">
        <v>0.1403729702072927</v>
      </c>
      <c r="AC135" t="n">
        <v>81.3094002190456</v>
      </c>
      <c r="AD135" t="n">
        <v>28.69263401210818</v>
      </c>
    </row>
    <row r="136">
      <c r="A136" t="n">
        <v>135</v>
      </c>
      <c r="B136" t="n">
        <v>52.1</v>
      </c>
      <c r="C136" s="21">
        <f>B136-20</f>
        <v/>
      </c>
      <c r="D136" t="n">
        <v>102.4</v>
      </c>
      <c r="E136" s="22">
        <f>D136-90</f>
        <v/>
      </c>
      <c r="F136" s="23" t="n">
        <v>0.009737000000000001</v>
      </c>
      <c r="G136" s="22" t="n">
        <v>21.1</v>
      </c>
      <c r="H136" s="22" t="n">
        <v>1.8</v>
      </c>
      <c r="I136" s="24" t="n">
        <v>0.07671698927879329</v>
      </c>
      <c r="J136" s="6" t="n">
        <v>71000</v>
      </c>
      <c r="K136" s="25">
        <f>23*10^-6</f>
        <v/>
      </c>
      <c r="L136" s="8">
        <f>H136</f>
        <v/>
      </c>
      <c r="M136" s="26">
        <f>H136^2/6</f>
        <v/>
      </c>
      <c r="N136" s="26">
        <f>H136^3/12</f>
        <v/>
      </c>
      <c r="O136" s="27">
        <f>-J136*L136*K136*C136</f>
        <v/>
      </c>
      <c r="P136" s="28">
        <f>-(12*F136*J136*L136*N136+12*O136*N136*G136*COS(RADIANS(E136)))/(12*N136*G136*COS(RADIANS(E136))^2+L136*G136^3*SIN(RADIANS(E136))^2)</f>
        <v/>
      </c>
      <c r="Q136" s="28">
        <f>-(6*F136*J136*L136*N136*SIN(RADIANS(E136))+6*O136*N136*G136*SIN(RADIANS(E136))*COS(RADIANS(E136)))/(12*N136*COS(RADIANS(E136))^2+L136*G136^2*SIN(RADIANS(E136))^2)</f>
        <v/>
      </c>
      <c r="R136" s="28">
        <f>-P136*SIN(RADIANS(E136))</f>
        <v/>
      </c>
      <c r="S136" s="8">
        <f>(O136+P136*COS(RADIANS(E136)))/L136</f>
        <v/>
      </c>
      <c r="T136" s="8">
        <f>R136/L136</f>
        <v/>
      </c>
      <c r="U136" s="8">
        <f>(Q136-P136*G136*SIN(RADIANS(E136)))/M136</f>
        <v/>
      </c>
      <c r="V136" s="8">
        <f>SQRT((S136+U136)^2+3*T136^2)</f>
        <v/>
      </c>
      <c r="W136" s="8">
        <f>V136/AA136</f>
        <v/>
      </c>
      <c r="X136" s="27">
        <f>((3*10+H136/COS(RADIANS(E136)))*(3+3)+3*G136*H136)*2</f>
        <v/>
      </c>
      <c r="Y136" s="28">
        <f>Z136/X136</f>
        <v/>
      </c>
      <c r="Z136" s="29" t="n">
        <v>614.002780917387</v>
      </c>
      <c r="AA136" s="20" t="n">
        <v>70.49344179955339</v>
      </c>
      <c r="AB136" t="n">
        <v>0.1012642061489799</v>
      </c>
      <c r="AC136" t="n">
        <v>56.7926962250575</v>
      </c>
      <c r="AD136" t="n">
        <v>31.99710663954871</v>
      </c>
    </row>
    <row r="137">
      <c r="A137" t="n">
        <v>136</v>
      </c>
      <c r="B137" t="n">
        <v>84.59999999999999</v>
      </c>
      <c r="C137" s="21">
        <f>B137-20</f>
        <v/>
      </c>
      <c r="D137" t="n">
        <v>110</v>
      </c>
      <c r="E137" s="22">
        <f>D137-90</f>
        <v/>
      </c>
      <c r="F137" s="23" t="n">
        <v>0.018605</v>
      </c>
      <c r="G137" s="22" t="n">
        <v>20.5</v>
      </c>
      <c r="H137" s="22" t="n">
        <v>1.6</v>
      </c>
      <c r="I137" s="24" t="n">
        <v>0.112648680806159</v>
      </c>
      <c r="J137" s="6" t="n">
        <v>71000</v>
      </c>
      <c r="K137" s="25">
        <f>23*10^-6</f>
        <v/>
      </c>
      <c r="L137" s="8">
        <f>H137</f>
        <v/>
      </c>
      <c r="M137" s="26">
        <f>H137^2/6</f>
        <v/>
      </c>
      <c r="N137" s="26">
        <f>H137^3/12</f>
        <v/>
      </c>
      <c r="O137" s="27">
        <f>-J137*L137*K137*C137</f>
        <v/>
      </c>
      <c r="P137" s="28">
        <f>-(12*F137*J137*L137*N137+12*O137*N137*G137*COS(RADIANS(E137)))/(12*N137*G137*COS(RADIANS(E137))^2+L137*G137^3*SIN(RADIANS(E137))^2)</f>
        <v/>
      </c>
      <c r="Q137" s="28">
        <f>-(6*F137*J137*L137*N137*SIN(RADIANS(E137))+6*O137*N137*G137*SIN(RADIANS(E137))*COS(RADIANS(E137)))/(12*N137*COS(RADIANS(E137))^2+L137*G137^2*SIN(RADIANS(E137))^2)</f>
        <v/>
      </c>
      <c r="R137" s="28">
        <f>-P137*SIN(RADIANS(E137))</f>
        <v/>
      </c>
      <c r="S137" s="8">
        <f>(O137+P137*COS(RADIANS(E137)))/L137</f>
        <v/>
      </c>
      <c r="T137" s="8">
        <f>R137/L137</f>
        <v/>
      </c>
      <c r="U137" s="8">
        <f>(Q137-P137*G137*SIN(RADIANS(E137)))/M137</f>
        <v/>
      </c>
      <c r="V137" s="8">
        <f>SQRT((S137+U137)^2+3*T137^2)</f>
        <v/>
      </c>
      <c r="W137" s="8">
        <f>V137/AA137</f>
        <v/>
      </c>
      <c r="X137" s="27">
        <f>((3*10+H137/COS(RADIANS(E137)))*(3+3)+3*G137*H137)*2</f>
        <v/>
      </c>
      <c r="Y137" s="28">
        <f>Z137/X137</f>
        <v/>
      </c>
      <c r="Z137" s="29" t="n">
        <v>582.2061091566</v>
      </c>
      <c r="AA137" s="20" t="n">
        <v>106.310778323495</v>
      </c>
      <c r="AB137" t="n">
        <v>0.1337132587358821</v>
      </c>
      <c r="AC137" t="n">
        <v>104.1096444694706</v>
      </c>
      <c r="AD137" t="n">
        <v>18.69935606788876</v>
      </c>
    </row>
    <row r="138">
      <c r="A138" t="n">
        <v>137</v>
      </c>
      <c r="B138" t="n">
        <v>77.59999999999999</v>
      </c>
      <c r="C138" s="21">
        <f>B138-20</f>
        <v/>
      </c>
      <c r="D138" t="n">
        <v>129.9</v>
      </c>
      <c r="E138" s="22">
        <f>D138-90</f>
        <v/>
      </c>
      <c r="F138" s="23" t="n">
        <v>0.018146</v>
      </c>
      <c r="G138" s="22" t="n">
        <v>28.2</v>
      </c>
      <c r="H138" s="22" t="n">
        <v>1.3</v>
      </c>
      <c r="I138" s="24" t="n">
        <v>0.07853935658931729</v>
      </c>
      <c r="J138" s="6" t="n">
        <v>71000</v>
      </c>
      <c r="K138" s="25">
        <f>23*10^-6</f>
        <v/>
      </c>
      <c r="L138" s="8">
        <f>H138</f>
        <v/>
      </c>
      <c r="M138" s="26">
        <f>H138^2/6</f>
        <v/>
      </c>
      <c r="N138" s="26">
        <f>H138^3/12</f>
        <v/>
      </c>
      <c r="O138" s="27">
        <f>-J138*L138*K138*C138</f>
        <v/>
      </c>
      <c r="P138" s="28">
        <f>-(12*F138*J138*L138*N138+12*O138*N138*G138*COS(RADIANS(E138)))/(12*N138*G138*COS(RADIANS(E138))^2+L138*G138^3*SIN(RADIANS(E138))^2)</f>
        <v/>
      </c>
      <c r="Q138" s="28">
        <f>-(6*F138*J138*L138*N138*SIN(RADIANS(E138))+6*O138*N138*G138*SIN(RADIANS(E138))*COS(RADIANS(E138)))/(12*N138*COS(RADIANS(E138))^2+L138*G138^2*SIN(RADIANS(E138))^2)</f>
        <v/>
      </c>
      <c r="R138" s="28">
        <f>-P138*SIN(RADIANS(E138))</f>
        <v/>
      </c>
      <c r="S138" s="8">
        <f>(O138+P138*COS(RADIANS(E138)))/L138</f>
        <v/>
      </c>
      <c r="T138" s="8">
        <f>R138/L138</f>
        <v/>
      </c>
      <c r="U138" s="8">
        <f>(Q138-P138*G138*SIN(RADIANS(E138)))/M138</f>
        <v/>
      </c>
      <c r="V138" s="8">
        <f>SQRT((S138+U138)^2+3*T138^2)</f>
        <v/>
      </c>
      <c r="W138" s="8">
        <f>V138/AA138</f>
        <v/>
      </c>
      <c r="X138" s="27">
        <f>((3*10+H138/COS(RADIANS(E138)))*(3+3)+3*G138*H138)*2</f>
        <v/>
      </c>
      <c r="Y138" s="28">
        <f>Z138/X138</f>
        <v/>
      </c>
      <c r="Z138" s="29" t="n">
        <v>611.012240979633</v>
      </c>
      <c r="AA138" s="20" t="n">
        <v>78.98724544137789</v>
      </c>
      <c r="AB138" t="n">
        <v>0.0796557505585901</v>
      </c>
      <c r="AC138" t="n">
        <v>81.95829936847234</v>
      </c>
      <c r="AD138" t="n">
        <v>1.421445269930639</v>
      </c>
    </row>
    <row r="139">
      <c r="A139" t="n">
        <v>138</v>
      </c>
      <c r="B139" t="n">
        <v>43.4</v>
      </c>
      <c r="C139" s="21">
        <f>B139-20</f>
        <v/>
      </c>
      <c r="D139" t="n">
        <v>111.1</v>
      </c>
      <c r="E139" s="22">
        <f>D139-90</f>
        <v/>
      </c>
      <c r="F139" s="23" t="n">
        <v>0.008966999999999999</v>
      </c>
      <c r="G139" s="22" t="n">
        <v>29.6</v>
      </c>
      <c r="H139" s="22" t="n">
        <v>1.7</v>
      </c>
      <c r="I139" s="24" t="n">
        <v>0.0504375956952571</v>
      </c>
      <c r="J139" s="6" t="n">
        <v>71000</v>
      </c>
      <c r="K139" s="25">
        <f>23*10^-6</f>
        <v/>
      </c>
      <c r="L139" s="8">
        <f>H139</f>
        <v/>
      </c>
      <c r="M139" s="26">
        <f>H139^2/6</f>
        <v/>
      </c>
      <c r="N139" s="26">
        <f>H139^3/12</f>
        <v/>
      </c>
      <c r="O139" s="27">
        <f>-J139*L139*K139*C139</f>
        <v/>
      </c>
      <c r="P139" s="28">
        <f>-(12*F139*J139*L139*N139+12*O139*N139*G139*COS(RADIANS(E139)))/(12*N139*G139*COS(RADIANS(E139))^2+L139*G139^3*SIN(RADIANS(E139))^2)</f>
        <v/>
      </c>
      <c r="Q139" s="28">
        <f>-(6*F139*J139*L139*N139*SIN(RADIANS(E139))+6*O139*N139*G139*SIN(RADIANS(E139))*COS(RADIANS(E139)))/(12*N139*COS(RADIANS(E139))^2+L139*G139^2*SIN(RADIANS(E139))^2)</f>
        <v/>
      </c>
      <c r="R139" s="28">
        <f>-P139*SIN(RADIANS(E139))</f>
        <v/>
      </c>
      <c r="S139" s="8">
        <f>(O139+P139*COS(RADIANS(E139)))/L139</f>
        <v/>
      </c>
      <c r="T139" s="8">
        <f>R139/L139</f>
        <v/>
      </c>
      <c r="U139" s="8">
        <f>(Q139-P139*G139*SIN(RADIANS(E139)))/M139</f>
        <v/>
      </c>
      <c r="V139" s="8">
        <f>SQRT((S139+U139)^2+3*T139^2)</f>
        <v/>
      </c>
      <c r="W139" s="8">
        <f>V139/AA139</f>
        <v/>
      </c>
      <c r="X139" s="27">
        <f>((3*10+H139/COS(RADIANS(E139)))*(3+3)+3*G139*H139)*2</f>
        <v/>
      </c>
      <c r="Y139" s="28">
        <f>Z139/X139</f>
        <v/>
      </c>
      <c r="Z139" s="29" t="n">
        <v>688.944423935024</v>
      </c>
      <c r="AA139" s="20" t="n">
        <v>37.2981363449967</v>
      </c>
      <c r="AB139" t="n">
        <v>0.06595382113537222</v>
      </c>
      <c r="AC139" t="n">
        <v>36.60519153618052</v>
      </c>
      <c r="AD139" t="n">
        <v>30.76321388089915</v>
      </c>
    </row>
    <row r="140">
      <c r="A140" t="n">
        <v>139</v>
      </c>
      <c r="B140" t="n">
        <v>60.4</v>
      </c>
      <c r="C140" s="21">
        <f>B140-20</f>
        <v/>
      </c>
      <c r="D140" t="n">
        <v>122.8</v>
      </c>
      <c r="E140" s="22">
        <f>D140-90</f>
        <v/>
      </c>
      <c r="F140" s="23" t="n">
        <v>0.011164</v>
      </c>
      <c r="G140" s="22" t="n">
        <v>21.7</v>
      </c>
      <c r="H140" s="22" t="n">
        <v>1</v>
      </c>
      <c r="I140" s="24" t="n">
        <v>0.0527662597596645</v>
      </c>
      <c r="J140" s="6" t="n">
        <v>71000</v>
      </c>
      <c r="K140" s="25">
        <f>23*10^-6</f>
        <v/>
      </c>
      <c r="L140" s="8">
        <f>H140</f>
        <v/>
      </c>
      <c r="M140" s="26">
        <f>H140^2/6</f>
        <v/>
      </c>
      <c r="N140" s="26">
        <f>H140^3/12</f>
        <v/>
      </c>
      <c r="O140" s="27">
        <f>-J140*L140*K140*C140</f>
        <v/>
      </c>
      <c r="P140" s="28">
        <f>-(12*F140*J140*L140*N140+12*O140*N140*G140*COS(RADIANS(E140)))/(12*N140*G140*COS(RADIANS(E140))^2+L140*G140^3*SIN(RADIANS(E140))^2)</f>
        <v/>
      </c>
      <c r="Q140" s="28">
        <f>-(6*F140*J140*L140*N140*SIN(RADIANS(E140))+6*O140*N140*G140*SIN(RADIANS(E140))*COS(RADIANS(E140)))/(12*N140*COS(RADIANS(E140))^2+L140*G140^2*SIN(RADIANS(E140))^2)</f>
        <v/>
      </c>
      <c r="R140" s="28">
        <f>-P140*SIN(RADIANS(E140))</f>
        <v/>
      </c>
      <c r="S140" s="8">
        <f>(O140+P140*COS(RADIANS(E140)))/L140</f>
        <v/>
      </c>
      <c r="T140" s="8">
        <f>R140/L140</f>
        <v/>
      </c>
      <c r="U140" s="8">
        <f>(Q140-P140*G140*SIN(RADIANS(E140)))/M140</f>
        <v/>
      </c>
      <c r="V140" s="8">
        <f>SQRT((S140+U140)^2+3*T140^2)</f>
        <v/>
      </c>
      <c r="W140" s="8">
        <f>V140/AA140</f>
        <v/>
      </c>
      <c r="X140" s="27">
        <f>((3*10+H140/COS(RADIANS(E140)))*(3+3)+3*G140*H140)*2</f>
        <v/>
      </c>
      <c r="Y140" s="28">
        <f>Z140/X140</f>
        <v/>
      </c>
      <c r="Z140" s="29" t="n">
        <v>512.461883387508</v>
      </c>
      <c r="AA140" s="20" t="n">
        <v>55.3047089277943</v>
      </c>
      <c r="AB140" t="n">
        <v>0.05423154913697523</v>
      </c>
      <c r="AC140" t="n">
        <v>58.12066706871116</v>
      </c>
      <c r="AD140" t="n">
        <v>2.776943797011034</v>
      </c>
    </row>
    <row r="141">
      <c r="A141" t="n">
        <v>140</v>
      </c>
      <c r="B141" t="n">
        <v>76.90000000000001</v>
      </c>
      <c r="C141" s="21">
        <f>B141-20</f>
        <v/>
      </c>
      <c r="D141" t="n">
        <v>109.4</v>
      </c>
      <c r="E141" s="22">
        <f>D141-90</f>
        <v/>
      </c>
      <c r="F141" s="23" t="n">
        <v>0.02188</v>
      </c>
      <c r="G141" s="22" t="n">
        <v>29.4</v>
      </c>
      <c r="H141" s="22" t="n">
        <v>1.3</v>
      </c>
      <c r="I141" s="24" t="n">
        <v>0.130537375807762</v>
      </c>
      <c r="J141" s="6" t="n">
        <v>71000</v>
      </c>
      <c r="K141" s="25">
        <f>23*10^-6</f>
        <v/>
      </c>
      <c r="L141" s="8">
        <f>H141</f>
        <v/>
      </c>
      <c r="M141" s="26">
        <f>H141^2/6</f>
        <v/>
      </c>
      <c r="N141" s="26">
        <f>H141^3/12</f>
        <v/>
      </c>
      <c r="O141" s="27">
        <f>-J141*L141*K141*C141</f>
        <v/>
      </c>
      <c r="P141" s="28">
        <f>-(12*F141*J141*L141*N141+12*O141*N141*G141*COS(RADIANS(E141)))/(12*N141*G141*COS(RADIANS(E141))^2+L141*G141^3*SIN(RADIANS(E141))^2)</f>
        <v/>
      </c>
      <c r="Q141" s="28">
        <f>-(6*F141*J141*L141*N141*SIN(RADIANS(E141))+6*O141*N141*G141*SIN(RADIANS(E141))*COS(RADIANS(E141)))/(12*N141*COS(RADIANS(E141))^2+L141*G141^2*SIN(RADIANS(E141))^2)</f>
        <v/>
      </c>
      <c r="R141" s="28">
        <f>-P141*SIN(RADIANS(E141))</f>
        <v/>
      </c>
      <c r="S141" s="8">
        <f>(O141+P141*COS(RADIANS(E141)))/L141</f>
        <v/>
      </c>
      <c r="T141" s="8">
        <f>R141/L141</f>
        <v/>
      </c>
      <c r="U141" s="8">
        <f>(Q141-P141*G141*SIN(RADIANS(E141)))/M141</f>
        <v/>
      </c>
      <c r="V141" s="8">
        <f>SQRT((S141+U141)^2+3*T141^2)</f>
        <v/>
      </c>
      <c r="W141" s="8">
        <f>V141/AA141</f>
        <v/>
      </c>
      <c r="X141" s="27">
        <f>((3*10+H141/COS(RADIANS(E141)))*(3+3)+3*G141*H141)*2</f>
        <v/>
      </c>
      <c r="Y141" s="28">
        <f>Z141/X141</f>
        <v/>
      </c>
      <c r="Z141" s="29" t="n">
        <v>610.737353659363</v>
      </c>
      <c r="AA141" s="20" t="n">
        <v>84.81924118475141</v>
      </c>
      <c r="AB141" t="n">
        <v>0.1750838448323682</v>
      </c>
      <c r="AC141" t="n">
        <v>87.20739197400653</v>
      </c>
      <c r="AD141" t="n">
        <v>34.12545161793988</v>
      </c>
    </row>
    <row r="142">
      <c r="A142" t="n">
        <v>141</v>
      </c>
      <c r="B142" t="n">
        <v>70.90000000000001</v>
      </c>
      <c r="C142" s="21">
        <f>B142-20</f>
        <v/>
      </c>
      <c r="D142" t="n">
        <v>106.8</v>
      </c>
      <c r="E142" s="22">
        <f>D142-90</f>
        <v/>
      </c>
      <c r="F142" s="23" t="n">
        <v>0.017813</v>
      </c>
      <c r="G142" s="22" t="n">
        <v>25.8</v>
      </c>
      <c r="H142" s="22" t="n">
        <v>1.3</v>
      </c>
      <c r="I142" s="24" t="n">
        <v>0.118788205087184</v>
      </c>
      <c r="J142" s="6" t="n">
        <v>71000</v>
      </c>
      <c r="K142" s="25">
        <f>23*10^-6</f>
        <v/>
      </c>
      <c r="L142" s="8">
        <f>H142</f>
        <v/>
      </c>
      <c r="M142" s="26">
        <f>H142^2/6</f>
        <v/>
      </c>
      <c r="N142" s="26">
        <f>H142^3/12</f>
        <v/>
      </c>
      <c r="O142" s="27">
        <f>-J142*L142*K142*C142</f>
        <v/>
      </c>
      <c r="P142" s="28">
        <f>-(12*F142*J142*L142*N142+12*O142*N142*G142*COS(RADIANS(E142)))/(12*N142*G142*COS(RADIANS(E142))^2+L142*G142^3*SIN(RADIANS(E142))^2)</f>
        <v/>
      </c>
      <c r="Q142" s="28">
        <f>-(6*F142*J142*L142*N142*SIN(RADIANS(E142))+6*O142*N142*G142*SIN(RADIANS(E142))*COS(RADIANS(E142)))/(12*N142*COS(RADIANS(E142))^2+L142*G142^2*SIN(RADIANS(E142))^2)</f>
        <v/>
      </c>
      <c r="R142" s="28">
        <f>-P142*SIN(RADIANS(E142))</f>
        <v/>
      </c>
      <c r="S142" s="8">
        <f>(O142+P142*COS(RADIANS(E142)))/L142</f>
        <v/>
      </c>
      <c r="T142" s="8">
        <f>R142/L142</f>
        <v/>
      </c>
      <c r="U142" s="8">
        <f>(Q142-P142*G142*SIN(RADIANS(E142)))/M142</f>
        <v/>
      </c>
      <c r="V142" s="8">
        <f>SQRT((S142+U142)^2+3*T142^2)</f>
        <v/>
      </c>
      <c r="W142" s="8">
        <f>V142/AA142</f>
        <v/>
      </c>
      <c r="X142" s="27">
        <f>((3*10+H142/COS(RADIANS(E142)))*(3+3)+3*G142*H142)*2</f>
        <v/>
      </c>
      <c r="Y142" s="28">
        <f>Z142/X142</f>
        <v/>
      </c>
      <c r="Z142" s="29" t="n">
        <v>582.03912972496</v>
      </c>
      <c r="AA142" s="20" t="n">
        <v>77.0093040786853</v>
      </c>
      <c r="AB142" t="n">
        <v>0.1589250376757306</v>
      </c>
      <c r="AC142" t="n">
        <v>80.44007070491554</v>
      </c>
      <c r="AD142" t="n">
        <v>33.78856727323087</v>
      </c>
    </row>
    <row r="143">
      <c r="A143" t="n">
        <v>142</v>
      </c>
      <c r="B143" t="n">
        <v>43</v>
      </c>
      <c r="C143" s="21">
        <f>B143-20</f>
        <v/>
      </c>
      <c r="D143" t="n">
        <v>119</v>
      </c>
      <c r="E143" s="22">
        <f>D143-90</f>
        <v/>
      </c>
      <c r="F143" s="23" t="n">
        <v>0.00765</v>
      </c>
      <c r="G143" s="22" t="n">
        <v>26.5</v>
      </c>
      <c r="H143" s="22" t="n">
        <v>1.2</v>
      </c>
      <c r="I143" s="24" t="n">
        <v>0.0368339978158474</v>
      </c>
      <c r="J143" s="6" t="n">
        <v>71000</v>
      </c>
      <c r="K143" s="25">
        <f>23*10^-6</f>
        <v/>
      </c>
      <c r="L143" s="8">
        <f>H143</f>
        <v/>
      </c>
      <c r="M143" s="26">
        <f>H143^2/6</f>
        <v/>
      </c>
      <c r="N143" s="26">
        <f>H143^3/12</f>
        <v/>
      </c>
      <c r="O143" s="27">
        <f>-J143*L143*K143*C143</f>
        <v/>
      </c>
      <c r="P143" s="28">
        <f>-(12*F143*J143*L143*N143+12*O143*N143*G143*COS(RADIANS(E143)))/(12*N143*G143*COS(RADIANS(E143))^2+L143*G143^3*SIN(RADIANS(E143))^2)</f>
        <v/>
      </c>
      <c r="Q143" s="28">
        <f>-(6*F143*J143*L143*N143*SIN(RADIANS(E143))+6*O143*N143*G143*SIN(RADIANS(E143))*COS(RADIANS(E143)))/(12*N143*COS(RADIANS(E143))^2+L143*G143^2*SIN(RADIANS(E143))^2)</f>
        <v/>
      </c>
      <c r="R143" s="28">
        <f>-P143*SIN(RADIANS(E143))</f>
        <v/>
      </c>
      <c r="S143" s="8">
        <f>(O143+P143*COS(RADIANS(E143)))/L143</f>
        <v/>
      </c>
      <c r="T143" s="8">
        <f>R143/L143</f>
        <v/>
      </c>
      <c r="U143" s="8">
        <f>(Q143-P143*G143*SIN(RADIANS(E143)))/M143</f>
        <v/>
      </c>
      <c r="V143" s="8">
        <f>SQRT((S143+U143)^2+3*T143^2)</f>
        <v/>
      </c>
      <c r="W143" s="8">
        <f>V143/AA143</f>
        <v/>
      </c>
      <c r="X143" s="27">
        <f>((3*10+H143/COS(RADIANS(E143)))*(3+3)+3*G143*H143)*2</f>
        <v/>
      </c>
      <c r="Y143" s="28">
        <f>Z143/X143</f>
        <v/>
      </c>
      <c r="Z143" s="29" t="n">
        <v>574.138425591975</v>
      </c>
      <c r="AA143" s="20" t="n">
        <v>32.5331739622936</v>
      </c>
      <c r="AB143" t="n">
        <v>0.04240571302127559</v>
      </c>
      <c r="AC143" t="n">
        <v>33.64291298881685</v>
      </c>
      <c r="AD143" t="n">
        <v>15.12655572518666</v>
      </c>
    </row>
    <row r="144">
      <c r="A144" t="n">
        <v>143</v>
      </c>
      <c r="B144" t="n">
        <v>55.9</v>
      </c>
      <c r="C144" s="21">
        <f>B144-20</f>
        <v/>
      </c>
      <c r="D144" t="n">
        <v>111.3</v>
      </c>
      <c r="E144" s="22">
        <f>D144-90</f>
        <v/>
      </c>
      <c r="F144" s="23" t="n">
        <v>0.014505</v>
      </c>
      <c r="G144" s="22" t="n">
        <v>31.6</v>
      </c>
      <c r="H144" s="22" t="n">
        <v>1.6</v>
      </c>
      <c r="I144" s="24" t="n">
        <v>0.0805799663066864</v>
      </c>
      <c r="J144" s="6" t="n">
        <v>71000</v>
      </c>
      <c r="K144" s="25">
        <f>23*10^-6</f>
        <v/>
      </c>
      <c r="L144" s="8">
        <f>H144</f>
        <v/>
      </c>
      <c r="M144" s="26">
        <f>H144^2/6</f>
        <v/>
      </c>
      <c r="N144" s="26">
        <f>H144^3/12</f>
        <v/>
      </c>
      <c r="O144" s="27">
        <f>-J144*L144*K144*C144</f>
        <v/>
      </c>
      <c r="P144" s="28">
        <f>-(12*F144*J144*L144*N144+12*O144*N144*G144*COS(RADIANS(E144)))/(12*N144*G144*COS(RADIANS(E144))^2+L144*G144^3*SIN(RADIANS(E144))^2)</f>
        <v/>
      </c>
      <c r="Q144" s="28">
        <f>-(6*F144*J144*L144*N144*SIN(RADIANS(E144))+6*O144*N144*G144*SIN(RADIANS(E144))*COS(RADIANS(E144)))/(12*N144*COS(RADIANS(E144))^2+L144*G144^2*SIN(RADIANS(E144))^2)</f>
        <v/>
      </c>
      <c r="R144" s="28">
        <f>-P144*SIN(RADIANS(E144))</f>
        <v/>
      </c>
      <c r="S144" s="8">
        <f>(O144+P144*COS(RADIANS(E144)))/L144</f>
        <v/>
      </c>
      <c r="T144" s="8">
        <f>R144/L144</f>
        <v/>
      </c>
      <c r="U144" s="8">
        <f>(Q144-P144*G144*SIN(RADIANS(E144)))/M144</f>
        <v/>
      </c>
      <c r="V144" s="8">
        <f>SQRT((S144+U144)^2+3*T144^2)</f>
        <v/>
      </c>
      <c r="W144" s="8">
        <f>V144/AA144</f>
        <v/>
      </c>
      <c r="X144" s="27">
        <f>((3*10+H144/COS(RADIANS(E144)))*(3+3)+3*G144*H144)*2</f>
        <v/>
      </c>
      <c r="Y144" s="28">
        <f>Z144/X144</f>
        <v/>
      </c>
      <c r="Z144" s="29" t="n">
        <v>689.160922240756</v>
      </c>
      <c r="AA144" s="20" t="n">
        <v>55.7742416297218</v>
      </c>
      <c r="AB144" t="n">
        <v>0.1071300405641532</v>
      </c>
      <c r="AC144" t="n">
        <v>55.34721810390035</v>
      </c>
      <c r="AD144" t="n">
        <v>32.94872841770317</v>
      </c>
    </row>
    <row r="145">
      <c r="A145" t="n">
        <v>144</v>
      </c>
      <c r="B145" t="n">
        <v>61.3</v>
      </c>
      <c r="C145" s="21">
        <f>B145-20</f>
        <v/>
      </c>
      <c r="D145" t="n">
        <v>112.6</v>
      </c>
      <c r="E145" s="22">
        <f>D145-90</f>
        <v/>
      </c>
      <c r="F145" s="23" t="n">
        <v>0.014735</v>
      </c>
      <c r="G145" s="22" t="n">
        <v>27.4</v>
      </c>
      <c r="H145" s="22" t="n">
        <v>1.4</v>
      </c>
      <c r="I145" s="24" t="n">
        <v>0.0804878920316696</v>
      </c>
      <c r="J145" s="6" t="n">
        <v>71000</v>
      </c>
      <c r="K145" s="25">
        <f>23*10^-6</f>
        <v/>
      </c>
      <c r="L145" s="8">
        <f>H145</f>
        <v/>
      </c>
      <c r="M145" s="26">
        <f>H145^2/6</f>
        <v/>
      </c>
      <c r="N145" s="26">
        <f>H145^3/12</f>
        <v/>
      </c>
      <c r="O145" s="27">
        <f>-J145*L145*K145*C145</f>
        <v/>
      </c>
      <c r="P145" s="28">
        <f>-(12*F145*J145*L145*N145+12*O145*N145*G145*COS(RADIANS(E145)))/(12*N145*G145*COS(RADIANS(E145))^2+L145*G145^3*SIN(RADIANS(E145))^2)</f>
        <v/>
      </c>
      <c r="Q145" s="28">
        <f>-(6*F145*J145*L145*N145*SIN(RADIANS(E145))+6*O145*N145*G145*SIN(RADIANS(E145))*COS(RADIANS(E145)))/(12*N145*COS(RADIANS(E145))^2+L145*G145^2*SIN(RADIANS(E145))^2)</f>
        <v/>
      </c>
      <c r="R145" s="28">
        <f>-P145*SIN(RADIANS(E145))</f>
        <v/>
      </c>
      <c r="S145" s="8">
        <f>(O145+P145*COS(RADIANS(E145)))/L145</f>
        <v/>
      </c>
      <c r="T145" s="8">
        <f>R145/L145</f>
        <v/>
      </c>
      <c r="U145" s="8">
        <f>(Q145-P145*G145*SIN(RADIANS(E145)))/M145</f>
        <v/>
      </c>
      <c r="V145" s="8">
        <f>SQRT((S145+U145)^2+3*T145^2)</f>
        <v/>
      </c>
      <c r="W145" s="8">
        <f>V145/AA145</f>
        <v/>
      </c>
      <c r="X145" s="27">
        <f>((3*10+H145/COS(RADIANS(E145)))*(3+3)+3*G145*H145)*2</f>
        <v/>
      </c>
      <c r="Y145" s="28">
        <f>Z145/X145</f>
        <v/>
      </c>
      <c r="Z145" s="29" t="n">
        <v>613.787247744402</v>
      </c>
      <c r="AA145" s="20" t="n">
        <v>61.8456139423103</v>
      </c>
      <c r="AB145" t="n">
        <v>0.1015034696682154</v>
      </c>
      <c r="AC145" t="n">
        <v>62.93628840716537</v>
      </c>
      <c r="AD145" t="n">
        <v>26.11023485156849</v>
      </c>
    </row>
    <row r="146">
      <c r="A146" t="n">
        <v>145</v>
      </c>
      <c r="B146" t="n">
        <v>40.8</v>
      </c>
      <c r="C146" s="21">
        <f>B146-20</f>
        <v/>
      </c>
      <c r="D146" t="n">
        <v>116.2</v>
      </c>
      <c r="E146" s="22">
        <f>D146-90</f>
        <v/>
      </c>
      <c r="F146" s="23" t="n">
        <v>0.007657</v>
      </c>
      <c r="G146" s="22" t="n">
        <v>29.3</v>
      </c>
      <c r="H146" s="22" t="n">
        <v>1.2</v>
      </c>
      <c r="I146" s="24" t="n">
        <v>0.0381667464971542</v>
      </c>
      <c r="J146" s="6" t="n">
        <v>71000</v>
      </c>
      <c r="K146" s="25">
        <f>23*10^-6</f>
        <v/>
      </c>
      <c r="L146" s="8">
        <f>H146</f>
        <v/>
      </c>
      <c r="M146" s="26">
        <f>H146^2/6</f>
        <v/>
      </c>
      <c r="N146" s="26">
        <f>H146^3/12</f>
        <v/>
      </c>
      <c r="O146" s="27">
        <f>-J146*L146*K146*C146</f>
        <v/>
      </c>
      <c r="P146" s="28">
        <f>-(12*F146*J146*L146*N146+12*O146*N146*G146*COS(RADIANS(E146)))/(12*N146*G146*COS(RADIANS(E146))^2+L146*G146^3*SIN(RADIANS(E146))^2)</f>
        <v/>
      </c>
      <c r="Q146" s="28">
        <f>-(6*F146*J146*L146*N146*SIN(RADIANS(E146))+6*O146*N146*G146*SIN(RADIANS(E146))*COS(RADIANS(E146)))/(12*N146*COS(RADIANS(E146))^2+L146*G146^2*SIN(RADIANS(E146))^2)</f>
        <v/>
      </c>
      <c r="R146" s="28">
        <f>-P146*SIN(RADIANS(E146))</f>
        <v/>
      </c>
      <c r="S146" s="8">
        <f>(O146+P146*COS(RADIANS(E146)))/L146</f>
        <v/>
      </c>
      <c r="T146" s="8">
        <f>R146/L146</f>
        <v/>
      </c>
      <c r="U146" s="8">
        <f>(Q146-P146*G146*SIN(RADIANS(E146)))/M146</f>
        <v/>
      </c>
      <c r="V146" s="8">
        <f>SQRT((S146+U146)^2+3*T146^2)</f>
        <v/>
      </c>
      <c r="W146" s="8">
        <f>V146/AA146</f>
        <v/>
      </c>
      <c r="X146" s="27">
        <f>((3*10+H146/COS(RADIANS(E146)))*(3+3)+3*G146*H146)*2</f>
        <v/>
      </c>
      <c r="Y146" s="28">
        <f>Z146/X146</f>
        <v/>
      </c>
      <c r="Z146" s="29" t="n">
        <v>593.19066678072</v>
      </c>
      <c r="AA146" s="20" t="n">
        <v>29.5451203237173</v>
      </c>
      <c r="AB146" t="n">
        <v>0.04695714674960125</v>
      </c>
      <c r="AC146" t="n">
        <v>30.57212773406688</v>
      </c>
      <c r="AD146" t="n">
        <v>23.03156820847299</v>
      </c>
    </row>
    <row r="147">
      <c r="A147" t="n">
        <v>146</v>
      </c>
      <c r="B147" t="n">
        <v>51.2</v>
      </c>
      <c r="C147" s="21">
        <f>B147-20</f>
        <v/>
      </c>
      <c r="D147" t="n">
        <v>113.2</v>
      </c>
      <c r="E147" s="22">
        <f>D147-90</f>
        <v/>
      </c>
      <c r="F147" s="23" t="n">
        <v>0.010601</v>
      </c>
      <c r="G147" s="22" t="n">
        <v>25.9</v>
      </c>
      <c r="H147" s="22" t="n">
        <v>1.1</v>
      </c>
      <c r="I147" s="24" t="n">
        <v>0.0575571320950984</v>
      </c>
      <c r="J147" s="6" t="n">
        <v>71000</v>
      </c>
      <c r="K147" s="25">
        <f>23*10^-6</f>
        <v/>
      </c>
      <c r="L147" s="8">
        <f>H147</f>
        <v/>
      </c>
      <c r="M147" s="26">
        <f>H147^2/6</f>
        <v/>
      </c>
      <c r="N147" s="26">
        <f>H147^3/12</f>
        <v/>
      </c>
      <c r="O147" s="27">
        <f>-J147*L147*K147*C147</f>
        <v/>
      </c>
      <c r="P147" s="28">
        <f>-(12*F147*J147*L147*N147+12*O147*N147*G147*COS(RADIANS(E147)))/(12*N147*G147*COS(RADIANS(E147))^2+L147*G147^3*SIN(RADIANS(E147))^2)</f>
        <v/>
      </c>
      <c r="Q147" s="28">
        <f>-(6*F147*J147*L147*N147*SIN(RADIANS(E147))+6*O147*N147*G147*SIN(RADIANS(E147))*COS(RADIANS(E147)))/(12*N147*COS(RADIANS(E147))^2+L147*G147^2*SIN(RADIANS(E147))^2)</f>
        <v/>
      </c>
      <c r="R147" s="28">
        <f>-P147*SIN(RADIANS(E147))</f>
        <v/>
      </c>
      <c r="S147" s="8">
        <f>(O147+P147*COS(RADIANS(E147)))/L147</f>
        <v/>
      </c>
      <c r="T147" s="8">
        <f>R147/L147</f>
        <v/>
      </c>
      <c r="U147" s="8">
        <f>(Q147-P147*G147*SIN(RADIANS(E147)))/M147</f>
        <v/>
      </c>
      <c r="V147" s="8">
        <f>SQRT((S147+U147)^2+3*T147^2)</f>
        <v/>
      </c>
      <c r="W147" s="8">
        <f>V147/AA147</f>
        <v/>
      </c>
      <c r="X147" s="27">
        <f>((3*10+H147/COS(RADIANS(E147)))*(3+3)+3*G147*H147)*2</f>
        <v/>
      </c>
      <c r="Y147" s="28">
        <f>Z147/X147</f>
        <v/>
      </c>
      <c r="Z147" s="29" t="n">
        <v>550.84645031987</v>
      </c>
      <c r="AA147" s="20" t="n">
        <v>44.2127725960043</v>
      </c>
      <c r="AB147" t="n">
        <v>0.07117026809782612</v>
      </c>
      <c r="AC147" t="n">
        <v>46.43160377421467</v>
      </c>
      <c r="AD147" t="n">
        <v>23.65151894683617</v>
      </c>
    </row>
    <row r="148">
      <c r="A148" t="n">
        <v>147</v>
      </c>
      <c r="B148" t="n">
        <v>56.3</v>
      </c>
      <c r="C148" s="21">
        <f>B148-20</f>
        <v/>
      </c>
      <c r="D148" t="n">
        <v>126.7</v>
      </c>
      <c r="E148" s="22">
        <f>D148-90</f>
        <v/>
      </c>
      <c r="F148" s="23" t="n">
        <v>0.013299</v>
      </c>
      <c r="G148" s="22" t="n">
        <v>32.6</v>
      </c>
      <c r="H148" s="22" t="n">
        <v>2</v>
      </c>
      <c r="I148" s="24" t="n">
        <v>0.0574188008904457</v>
      </c>
      <c r="J148" s="6" t="n">
        <v>71000</v>
      </c>
      <c r="K148" s="25">
        <f>23*10^-6</f>
        <v/>
      </c>
      <c r="L148" s="8">
        <f>H148</f>
        <v/>
      </c>
      <c r="M148" s="26">
        <f>H148^2/6</f>
        <v/>
      </c>
      <c r="N148" s="26">
        <f>H148^3/12</f>
        <v/>
      </c>
      <c r="O148" s="27">
        <f>-J148*L148*K148*C148</f>
        <v/>
      </c>
      <c r="P148" s="28">
        <f>-(12*F148*J148*L148*N148+12*O148*N148*G148*COS(RADIANS(E148)))/(12*N148*G148*COS(RADIANS(E148))^2+L148*G148^3*SIN(RADIANS(E148))^2)</f>
        <v/>
      </c>
      <c r="Q148" s="28">
        <f>-(6*F148*J148*L148*N148*SIN(RADIANS(E148))+6*O148*N148*G148*SIN(RADIANS(E148))*COS(RADIANS(E148)))/(12*N148*COS(RADIANS(E148))^2+L148*G148^2*SIN(RADIANS(E148))^2)</f>
        <v/>
      </c>
      <c r="R148" s="28">
        <f>-P148*SIN(RADIANS(E148))</f>
        <v/>
      </c>
      <c r="S148" s="8">
        <f>(O148+P148*COS(RADIANS(E148)))/L148</f>
        <v/>
      </c>
      <c r="T148" s="8">
        <f>R148/L148</f>
        <v/>
      </c>
      <c r="U148" s="8">
        <f>(Q148-P148*G148*SIN(RADIANS(E148)))/M148</f>
        <v/>
      </c>
      <c r="V148" s="8">
        <f>SQRT((S148+U148)^2+3*T148^2)</f>
        <v/>
      </c>
      <c r="W148" s="8">
        <f>V148/AA148</f>
        <v/>
      </c>
      <c r="X148" s="27">
        <f>((3*10+H148/COS(RADIANS(E148)))*(3+3)+3*G148*H148)*2</f>
        <v/>
      </c>
      <c r="Y148" s="28">
        <f>Z148/X148</f>
        <v/>
      </c>
      <c r="Z148" s="29" t="n">
        <v>790.500750998289</v>
      </c>
      <c r="AA148" s="20" t="n">
        <v>56.9071305723992</v>
      </c>
      <c r="AB148" t="n">
        <v>0.06289232902404628</v>
      </c>
      <c r="AC148" t="n">
        <v>53.29771952466481</v>
      </c>
      <c r="AD148" t="n">
        <v>9.532640962050028</v>
      </c>
    </row>
    <row r="149">
      <c r="A149" t="n">
        <v>148</v>
      </c>
      <c r="B149" t="n">
        <v>79.40000000000001</v>
      </c>
      <c r="C149" s="21">
        <f>B149-20</f>
        <v/>
      </c>
      <c r="D149" t="n">
        <v>108.5</v>
      </c>
      <c r="E149" s="22">
        <f>D149-90</f>
        <v/>
      </c>
      <c r="F149" s="23" t="n">
        <v>0.019282</v>
      </c>
      <c r="G149" s="22" t="n">
        <v>23.7</v>
      </c>
      <c r="H149" s="22" t="n">
        <v>1.5</v>
      </c>
      <c r="I149" s="24" t="n">
        <v>0.121012456715106</v>
      </c>
      <c r="J149" s="6" t="n">
        <v>71000</v>
      </c>
      <c r="K149" s="25">
        <f>23*10^-6</f>
        <v/>
      </c>
      <c r="L149" s="8">
        <f>H149</f>
        <v/>
      </c>
      <c r="M149" s="26">
        <f>H149^2/6</f>
        <v/>
      </c>
      <c r="N149" s="26">
        <f>H149^3/12</f>
        <v/>
      </c>
      <c r="O149" s="27">
        <f>-J149*L149*K149*C149</f>
        <v/>
      </c>
      <c r="P149" s="28">
        <f>-(12*F149*J149*L149*N149+12*O149*N149*G149*COS(RADIANS(E149)))/(12*N149*G149*COS(RADIANS(E149))^2+L149*G149^3*SIN(RADIANS(E149))^2)</f>
        <v/>
      </c>
      <c r="Q149" s="28">
        <f>-(6*F149*J149*L149*N149*SIN(RADIANS(E149))+6*O149*N149*G149*SIN(RADIANS(E149))*COS(RADIANS(E149)))/(12*N149*COS(RADIANS(E149))^2+L149*G149^2*SIN(RADIANS(E149))^2)</f>
        <v/>
      </c>
      <c r="R149" s="28">
        <f>-P149*SIN(RADIANS(E149))</f>
        <v/>
      </c>
      <c r="S149" s="8">
        <f>(O149+P149*COS(RADIANS(E149)))/L149</f>
        <v/>
      </c>
      <c r="T149" s="8">
        <f>R149/L149</f>
        <v/>
      </c>
      <c r="U149" s="8">
        <f>(Q149-P149*G149*SIN(RADIANS(E149)))/M149</f>
        <v/>
      </c>
      <c r="V149" s="8">
        <f>SQRT((S149+U149)^2+3*T149^2)</f>
        <v/>
      </c>
      <c r="W149" s="8">
        <f>V149/AA149</f>
        <v/>
      </c>
      <c r="X149" s="27">
        <f>((3*10+H149/COS(RADIANS(E149)))*(3+3)+3*G149*H149)*2</f>
        <v/>
      </c>
      <c r="Y149" s="28">
        <f>Z149/X149</f>
        <v/>
      </c>
      <c r="Z149" s="29" t="n">
        <v>597.022306325654</v>
      </c>
      <c r="AA149" s="20" t="n">
        <v>93.9458499346557</v>
      </c>
      <c r="AB149" t="n">
        <v>0.1539337874723497</v>
      </c>
      <c r="AC149" t="n">
        <v>95.01918108220671</v>
      </c>
      <c r="AD149" t="n">
        <v>27.20491067688083</v>
      </c>
    </row>
    <row r="150">
      <c r="A150" t="n">
        <v>149</v>
      </c>
      <c r="B150" t="n">
        <v>84.8</v>
      </c>
      <c r="C150" s="21">
        <f>B150-20</f>
        <v/>
      </c>
      <c r="D150" t="n">
        <v>109.5</v>
      </c>
      <c r="E150" s="22">
        <f>D150-90</f>
        <v/>
      </c>
      <c r="F150" s="23" t="n">
        <v>0.021493</v>
      </c>
      <c r="G150" s="22" t="n">
        <v>24.5</v>
      </c>
      <c r="H150" s="22" t="n">
        <v>1.5</v>
      </c>
      <c r="I150" s="24" t="n">
        <v>0.130045875906944</v>
      </c>
      <c r="J150" s="6" t="n">
        <v>71000</v>
      </c>
      <c r="K150" s="25">
        <f>23*10^-6</f>
        <v/>
      </c>
      <c r="L150" s="8">
        <f>H150</f>
        <v/>
      </c>
      <c r="M150" s="26">
        <f>H150^2/6</f>
        <v/>
      </c>
      <c r="N150" s="26">
        <f>H150^3/12</f>
        <v/>
      </c>
      <c r="O150" s="27">
        <f>-J150*L150*K150*C150</f>
        <v/>
      </c>
      <c r="P150" s="28">
        <f>-(12*F150*J150*L150*N150+12*O150*N150*G150*COS(RADIANS(E150)))/(12*N150*G150*COS(RADIANS(E150))^2+L150*G150^3*SIN(RADIANS(E150))^2)</f>
        <v/>
      </c>
      <c r="Q150" s="28">
        <f>-(6*F150*J150*L150*N150*SIN(RADIANS(E150))+6*O150*N150*G150*SIN(RADIANS(E150))*COS(RADIANS(E150)))/(12*N150*COS(RADIANS(E150))^2+L150*G150^2*SIN(RADIANS(E150))^2)</f>
        <v/>
      </c>
      <c r="R150" s="28">
        <f>-P150*SIN(RADIANS(E150))</f>
        <v/>
      </c>
      <c r="S150" s="8">
        <f>(O150+P150*COS(RADIANS(E150)))/L150</f>
        <v/>
      </c>
      <c r="T150" s="8">
        <f>R150/L150</f>
        <v/>
      </c>
      <c r="U150" s="8">
        <f>(Q150-P150*G150*SIN(RADIANS(E150)))/M150</f>
        <v/>
      </c>
      <c r="V150" s="8">
        <f>SQRT((S150+U150)^2+3*T150^2)</f>
        <v/>
      </c>
      <c r="W150" s="8">
        <f>V150/AA150</f>
        <v/>
      </c>
      <c r="X150" s="27">
        <f>((3*10+H150/COS(RADIANS(E150)))*(3+3)+3*G150*H150)*2</f>
        <v/>
      </c>
      <c r="Y150" s="28">
        <f>Z150/X150</f>
        <v/>
      </c>
      <c r="Z150" s="29" t="n">
        <v>604.489274768211</v>
      </c>
      <c r="AA150" s="20" t="n">
        <v>102.778018820768</v>
      </c>
      <c r="AB150" t="n">
        <v>0.1649255002298259</v>
      </c>
      <c r="AC150" t="n">
        <v>102.54962667515</v>
      </c>
      <c r="AD150" t="n">
        <v>26.82101533757247</v>
      </c>
    </row>
    <row r="151">
      <c r="A151" t="n">
        <v>150</v>
      </c>
      <c r="B151" t="n">
        <v>74.7</v>
      </c>
      <c r="C151" s="21">
        <f>B151-20</f>
        <v/>
      </c>
      <c r="D151" t="n">
        <v>114.1</v>
      </c>
      <c r="E151" s="22">
        <f>D151-90</f>
        <v/>
      </c>
      <c r="F151" s="23" t="n">
        <v>0.021957</v>
      </c>
      <c r="G151" s="22" t="n">
        <v>32</v>
      </c>
      <c r="H151" s="22" t="n">
        <v>1.6</v>
      </c>
      <c r="I151" s="24" t="n">
        <v>0.11314620822668</v>
      </c>
      <c r="J151" s="6" t="n">
        <v>71000</v>
      </c>
      <c r="K151" s="25">
        <f>23*10^-6</f>
        <v/>
      </c>
      <c r="L151" s="8">
        <f>H151</f>
        <v/>
      </c>
      <c r="M151" s="26">
        <f>H151^2/6</f>
        <v/>
      </c>
      <c r="N151" s="26">
        <f>H151^3/12</f>
        <v/>
      </c>
      <c r="O151" s="27">
        <f>-J151*L151*K151*C151</f>
        <v/>
      </c>
      <c r="P151" s="28">
        <f>-(12*F151*J151*L151*N151+12*O151*N151*G151*COS(RADIANS(E151)))/(12*N151*G151*COS(RADIANS(E151))^2+L151*G151^3*SIN(RADIANS(E151))^2)</f>
        <v/>
      </c>
      <c r="Q151" s="28">
        <f>-(6*F151*J151*L151*N151*SIN(RADIANS(E151))+6*O151*N151*G151*SIN(RADIANS(E151))*COS(RADIANS(E151)))/(12*N151*COS(RADIANS(E151))^2+L151*G151^2*SIN(RADIANS(E151))^2)</f>
        <v/>
      </c>
      <c r="R151" s="28">
        <f>-P151*SIN(RADIANS(E151))</f>
        <v/>
      </c>
      <c r="S151" s="8">
        <f>(O151+P151*COS(RADIANS(E151)))/L151</f>
        <v/>
      </c>
      <c r="T151" s="8">
        <f>R151/L151</f>
        <v/>
      </c>
      <c r="U151" s="8">
        <f>(Q151-P151*G151*SIN(RADIANS(E151)))/M151</f>
        <v/>
      </c>
      <c r="V151" s="8">
        <f>SQRT((S151+U151)^2+3*T151^2)</f>
        <v/>
      </c>
      <c r="W151" s="8">
        <f>V151/AA151</f>
        <v/>
      </c>
      <c r="X151" s="27">
        <f>((3*10+H151/COS(RADIANS(E151)))*(3+3)+3*G151*H151)*2</f>
        <v/>
      </c>
      <c r="Y151" s="28">
        <f>Z151/X151</f>
        <v/>
      </c>
      <c r="Z151" s="29" t="n">
        <v>693.958763651479</v>
      </c>
      <c r="AA151" s="20" t="n">
        <v>83.0387053864891</v>
      </c>
      <c r="AB151" t="n">
        <v>0.1457359044968669</v>
      </c>
      <c r="AC151" t="n">
        <v>82.89890222439547</v>
      </c>
      <c r="AD151" t="n">
        <v>28.80317138414026</v>
      </c>
    </row>
    <row r="152">
      <c r="A152" t="n">
        <v>151</v>
      </c>
      <c r="B152" t="n">
        <v>70.5</v>
      </c>
      <c r="C152" s="21">
        <f>B152-20</f>
        <v/>
      </c>
      <c r="D152" t="n">
        <v>117.5</v>
      </c>
      <c r="E152" s="22">
        <f>D152-90</f>
        <v/>
      </c>
      <c r="F152" s="23" t="n">
        <v>0.019744</v>
      </c>
      <c r="G152" s="22" t="n">
        <v>31.9</v>
      </c>
      <c r="H152" s="22" t="n">
        <v>1.2</v>
      </c>
      <c r="I152" s="24" t="n">
        <v>0.0948828235268592</v>
      </c>
      <c r="J152" s="6" t="n">
        <v>71000</v>
      </c>
      <c r="K152" s="25">
        <f>23*10^-6</f>
        <v/>
      </c>
      <c r="L152" s="8">
        <f>H152</f>
        <v/>
      </c>
      <c r="M152" s="26">
        <f>H152^2/6</f>
        <v/>
      </c>
      <c r="N152" s="26">
        <f>H152^3/12</f>
        <v/>
      </c>
      <c r="O152" s="27">
        <f>-J152*L152*K152*C152</f>
        <v/>
      </c>
      <c r="P152" s="28">
        <f>-(12*F152*J152*L152*N152+12*O152*N152*G152*COS(RADIANS(E152)))/(12*N152*G152*COS(RADIANS(E152))^2+L152*G152^3*SIN(RADIANS(E152))^2)</f>
        <v/>
      </c>
      <c r="Q152" s="28">
        <f>-(6*F152*J152*L152*N152*SIN(RADIANS(E152))+6*O152*N152*G152*SIN(RADIANS(E152))*COS(RADIANS(E152)))/(12*N152*COS(RADIANS(E152))^2+L152*G152^2*SIN(RADIANS(E152))^2)</f>
        <v/>
      </c>
      <c r="R152" s="28">
        <f>-P152*SIN(RADIANS(E152))</f>
        <v/>
      </c>
      <c r="S152" s="8">
        <f>(O152+P152*COS(RADIANS(E152)))/L152</f>
        <v/>
      </c>
      <c r="T152" s="8">
        <f>R152/L152</f>
        <v/>
      </c>
      <c r="U152" s="8">
        <f>(Q152-P152*G152*SIN(RADIANS(E152)))/M152</f>
        <v/>
      </c>
      <c r="V152" s="8">
        <f>SQRT((S152+U152)^2+3*T152^2)</f>
        <v/>
      </c>
      <c r="W152" s="8">
        <f>V152/AA152</f>
        <v/>
      </c>
      <c r="X152" s="27">
        <f>((3*10+H152/COS(RADIANS(E152)))*(3+3)+3*G152*H152)*2</f>
        <v/>
      </c>
      <c r="Y152" s="28">
        <f>Z152/X152</f>
        <v/>
      </c>
      <c r="Z152" s="29" t="n">
        <v>612.405096145308</v>
      </c>
      <c r="AA152" s="20" t="n">
        <v>71.0598339751657</v>
      </c>
      <c r="AB152" t="n">
        <v>0.1175030895360945</v>
      </c>
      <c r="AC152" t="n">
        <v>73.52713773729532</v>
      </c>
      <c r="AD152" t="n">
        <v>23.8402117142224</v>
      </c>
    </row>
    <row r="153">
      <c r="A153" t="n">
        <v>152</v>
      </c>
      <c r="B153" t="n">
        <v>46.9</v>
      </c>
      <c r="C153" s="21">
        <f>B153-20</f>
        <v/>
      </c>
      <c r="D153" t="n">
        <v>128</v>
      </c>
      <c r="E153" s="22">
        <f>D153-90</f>
        <v/>
      </c>
      <c r="F153" s="23" t="n">
        <v>0.008147</v>
      </c>
      <c r="G153" s="22" t="n">
        <v>26.1</v>
      </c>
      <c r="H153" s="22" t="n">
        <v>1.5</v>
      </c>
      <c r="I153" s="24" t="n">
        <v>0.0359808094799518</v>
      </c>
      <c r="J153" s="6" t="n">
        <v>71000</v>
      </c>
      <c r="K153" s="25">
        <f>23*10^-6</f>
        <v/>
      </c>
      <c r="L153" s="8">
        <f>H153</f>
        <v/>
      </c>
      <c r="M153" s="26">
        <f>H153^2/6</f>
        <v/>
      </c>
      <c r="N153" s="26">
        <f>H153^3/12</f>
        <v/>
      </c>
      <c r="O153" s="27">
        <f>-J153*L153*K153*C153</f>
        <v/>
      </c>
      <c r="P153" s="28">
        <f>-(12*F153*J153*L153*N153+12*O153*N153*G153*COS(RADIANS(E153)))/(12*N153*G153*COS(RADIANS(E153))^2+L153*G153^3*SIN(RADIANS(E153))^2)</f>
        <v/>
      </c>
      <c r="Q153" s="28">
        <f>-(6*F153*J153*L153*N153*SIN(RADIANS(E153))+6*O153*N153*G153*SIN(RADIANS(E153))*COS(RADIANS(E153)))/(12*N153*COS(RADIANS(E153))^2+L153*G153^2*SIN(RADIANS(E153))^2)</f>
        <v/>
      </c>
      <c r="R153" s="28">
        <f>-P153*SIN(RADIANS(E153))</f>
        <v/>
      </c>
      <c r="S153" s="8">
        <f>(O153+P153*COS(RADIANS(E153)))/L153</f>
        <v/>
      </c>
      <c r="T153" s="8">
        <f>R153/L153</f>
        <v/>
      </c>
      <c r="U153" s="8">
        <f>(Q153-P153*G153*SIN(RADIANS(E153)))/M153</f>
        <v/>
      </c>
      <c r="V153" s="8">
        <f>SQRT((S153+U153)^2+3*T153^2)</f>
        <v/>
      </c>
      <c r="W153" s="8">
        <f>V153/AA153</f>
        <v/>
      </c>
      <c r="X153" s="27">
        <f>((3*10+H153/COS(RADIANS(E153)))*(3+3)+3*G153*H153)*2</f>
        <v/>
      </c>
      <c r="Y153" s="28">
        <f>Z153/X153</f>
        <v/>
      </c>
      <c r="Z153" s="29" t="n">
        <v>627.63239441869</v>
      </c>
      <c r="AA153" s="20" t="n">
        <v>39.3349386840975</v>
      </c>
      <c r="AB153" t="n">
        <v>0.03642503581579558</v>
      </c>
      <c r="AC153" t="n">
        <v>38.91302662324706</v>
      </c>
      <c r="AD153" t="n">
        <v>1.234620182993088</v>
      </c>
    </row>
    <row r="154">
      <c r="A154" t="n">
        <v>153</v>
      </c>
      <c r="B154" t="n">
        <v>49.6</v>
      </c>
      <c r="C154" s="21">
        <f>B154-20</f>
        <v/>
      </c>
      <c r="D154" t="n">
        <v>117</v>
      </c>
      <c r="E154" s="22">
        <f>D154-90</f>
        <v/>
      </c>
      <c r="F154" s="23" t="n">
        <v>0.008248</v>
      </c>
      <c r="G154" s="22" t="n">
        <v>20.7</v>
      </c>
      <c r="H154" s="22" t="n">
        <v>1.1</v>
      </c>
      <c r="I154" s="24" t="n">
        <v>0.042689312249422</v>
      </c>
      <c r="J154" s="6" t="n">
        <v>71000</v>
      </c>
      <c r="K154" s="25">
        <f>23*10^-6</f>
        <v/>
      </c>
      <c r="L154" s="8">
        <f>H154</f>
        <v/>
      </c>
      <c r="M154" s="26">
        <f>H154^2/6</f>
        <v/>
      </c>
      <c r="N154" s="26">
        <f>H154^3/12</f>
        <v/>
      </c>
      <c r="O154" s="27">
        <f>-J154*L154*K154*C154</f>
        <v/>
      </c>
      <c r="P154" s="28">
        <f>-(12*F154*J154*L154*N154+12*O154*N154*G154*COS(RADIANS(E154)))/(12*N154*G154*COS(RADIANS(E154))^2+L154*G154^3*SIN(RADIANS(E154))^2)</f>
        <v/>
      </c>
      <c r="Q154" s="28">
        <f>-(6*F154*J154*L154*N154*SIN(RADIANS(E154))+6*O154*N154*G154*SIN(RADIANS(E154))*COS(RADIANS(E154)))/(12*N154*COS(RADIANS(E154))^2+L154*G154^2*SIN(RADIANS(E154))^2)</f>
        <v/>
      </c>
      <c r="R154" s="28">
        <f>-P154*SIN(RADIANS(E154))</f>
        <v/>
      </c>
      <c r="S154" s="8">
        <f>(O154+P154*COS(RADIANS(E154)))/L154</f>
        <v/>
      </c>
      <c r="T154" s="8">
        <f>R154/L154</f>
        <v/>
      </c>
      <c r="U154" s="8">
        <f>(Q154-P154*G154*SIN(RADIANS(E154)))/M154</f>
        <v/>
      </c>
      <c r="V154" s="8">
        <f>SQRT((S154+U154)^2+3*T154^2)</f>
        <v/>
      </c>
      <c r="W154" s="8">
        <f>V154/AA154</f>
        <v/>
      </c>
      <c r="X154" s="27">
        <f>((3*10+H154/COS(RADIANS(E154)))*(3+3)+3*G154*H154)*2</f>
        <v/>
      </c>
      <c r="Y154" s="28">
        <f>Z154/X154</f>
        <v/>
      </c>
      <c r="Z154" s="29" t="n">
        <v>517.804165425639</v>
      </c>
      <c r="AA154" s="20" t="n">
        <v>42.5648966643722</v>
      </c>
      <c r="AB154" t="n">
        <v>0.0466763684051176</v>
      </c>
      <c r="AC154" t="n">
        <v>43.83175726994497</v>
      </c>
      <c r="AD154" t="n">
        <v>9.339705761480355</v>
      </c>
    </row>
    <row r="155">
      <c r="A155" t="n">
        <v>154</v>
      </c>
      <c r="B155" t="n">
        <v>46.6</v>
      </c>
      <c r="C155" s="21">
        <f>B155-20</f>
        <v/>
      </c>
      <c r="D155" t="n">
        <v>129.6</v>
      </c>
      <c r="E155" s="22">
        <f>D155-90</f>
        <v/>
      </c>
      <c r="F155" s="23" t="n">
        <v>0.009109000000000001</v>
      </c>
      <c r="G155" s="22" t="n">
        <v>31.2</v>
      </c>
      <c r="H155" s="22" t="n">
        <v>1</v>
      </c>
      <c r="I155" s="24" t="n">
        <v>0.0388394109904766</v>
      </c>
      <c r="J155" s="6" t="n">
        <v>71000</v>
      </c>
      <c r="K155" s="25">
        <f>23*10^-6</f>
        <v/>
      </c>
      <c r="L155" s="8">
        <f>H155</f>
        <v/>
      </c>
      <c r="M155" s="26">
        <f>H155^2/6</f>
        <v/>
      </c>
      <c r="N155" s="26">
        <f>H155^3/12</f>
        <v/>
      </c>
      <c r="O155" s="27">
        <f>-J155*L155*K155*C155</f>
        <v/>
      </c>
      <c r="P155" s="28">
        <f>-(12*F155*J155*L155*N155+12*O155*N155*G155*COS(RADIANS(E155)))/(12*N155*G155*COS(RADIANS(E155))^2+L155*G155^3*SIN(RADIANS(E155))^2)</f>
        <v/>
      </c>
      <c r="Q155" s="28">
        <f>-(6*F155*J155*L155*N155*SIN(RADIANS(E155))+6*O155*N155*G155*SIN(RADIANS(E155))*COS(RADIANS(E155)))/(12*N155*COS(RADIANS(E155))^2+L155*G155^2*SIN(RADIANS(E155))^2)</f>
        <v/>
      </c>
      <c r="R155" s="28">
        <f>-P155*SIN(RADIANS(E155))</f>
        <v/>
      </c>
      <c r="S155" s="8">
        <f>(O155+P155*COS(RADIANS(E155)))/L155</f>
        <v/>
      </c>
      <c r="T155" s="8">
        <f>R155/L155</f>
        <v/>
      </c>
      <c r="U155" s="8">
        <f>(Q155-P155*G155*SIN(RADIANS(E155)))/M155</f>
        <v/>
      </c>
      <c r="V155" s="8">
        <f>SQRT((S155+U155)^2+3*T155^2)</f>
        <v/>
      </c>
      <c r="W155" s="8">
        <f>V155/AA155</f>
        <v/>
      </c>
      <c r="X155" s="27">
        <f>((3*10+H155/COS(RADIANS(E155)))*(3+3)+3*G155*H155)*2</f>
        <v/>
      </c>
      <c r="Y155" s="28">
        <f>Z155/X155</f>
        <v/>
      </c>
      <c r="Z155" s="29" t="n">
        <v>573.355733564292</v>
      </c>
      <c r="AA155" s="20" t="n">
        <v>33.3429459503587</v>
      </c>
      <c r="AB155" t="n">
        <v>0.04088439390138721</v>
      </c>
      <c r="AC155" t="n">
        <v>37.28490330309532</v>
      </c>
      <c r="AD155" t="n">
        <v>5.265226373829493</v>
      </c>
    </row>
    <row r="156">
      <c r="A156" t="n">
        <v>155</v>
      </c>
      <c r="B156" t="n">
        <v>85.2</v>
      </c>
      <c r="C156" s="21">
        <f>B156-20</f>
        <v/>
      </c>
      <c r="D156" t="n">
        <v>116.3</v>
      </c>
      <c r="E156" s="22">
        <f>D156-90</f>
        <v/>
      </c>
      <c r="F156" s="23" t="n">
        <v>0.024383</v>
      </c>
      <c r="G156" s="22" t="n">
        <v>29.9</v>
      </c>
      <c r="H156" s="22" t="n">
        <v>1.4</v>
      </c>
      <c r="I156" s="24" t="n">
        <v>0.120963640511035</v>
      </c>
      <c r="J156" s="6" t="n">
        <v>71000</v>
      </c>
      <c r="K156" s="25">
        <f>23*10^-6</f>
        <v/>
      </c>
      <c r="L156" s="8">
        <f>H156</f>
        <v/>
      </c>
      <c r="M156" s="26">
        <f>H156^2/6</f>
        <v/>
      </c>
      <c r="N156" s="26">
        <f>H156^3/12</f>
        <v/>
      </c>
      <c r="O156" s="27">
        <f>-J156*L156*K156*C156</f>
        <v/>
      </c>
      <c r="P156" s="28">
        <f>-(12*F156*J156*L156*N156+12*O156*N156*G156*COS(RADIANS(E156)))/(12*N156*G156*COS(RADIANS(E156))^2+L156*G156^3*SIN(RADIANS(E156))^2)</f>
        <v/>
      </c>
      <c r="Q156" s="28">
        <f>-(6*F156*J156*L156*N156*SIN(RADIANS(E156))+6*O156*N156*G156*SIN(RADIANS(E156))*COS(RADIANS(E156)))/(12*N156*COS(RADIANS(E156))^2+L156*G156^2*SIN(RADIANS(E156))^2)</f>
        <v/>
      </c>
      <c r="R156" s="28">
        <f>-P156*SIN(RADIANS(E156))</f>
        <v/>
      </c>
      <c r="S156" s="8">
        <f>(O156+P156*COS(RADIANS(E156)))/L156</f>
        <v/>
      </c>
      <c r="T156" s="8">
        <f>R156/L156</f>
        <v/>
      </c>
      <c r="U156" s="8">
        <f>(Q156-P156*G156*SIN(RADIANS(E156)))/M156</f>
        <v/>
      </c>
      <c r="V156" s="8">
        <f>SQRT((S156+U156)^2+3*T156^2)</f>
        <v/>
      </c>
      <c r="W156" s="8">
        <f>V156/AA156</f>
        <v/>
      </c>
      <c r="X156" s="27">
        <f>((3*10+H156/COS(RADIANS(E156)))*(3+3)+3*G156*H156)*2</f>
        <v/>
      </c>
      <c r="Y156" s="28">
        <f>Z156/X156</f>
        <v/>
      </c>
      <c r="Z156" s="29" t="n">
        <v>636.104636152969</v>
      </c>
      <c r="AA156" s="20" t="n">
        <v>95.93241499276709</v>
      </c>
      <c r="AB156" t="n">
        <v>0.1490877645417646</v>
      </c>
      <c r="AC156" t="n">
        <v>96.96971438128176</v>
      </c>
      <c r="AD156" t="n">
        <v>23.25006416135757</v>
      </c>
    </row>
    <row r="157">
      <c r="A157" t="n">
        <v>156</v>
      </c>
      <c r="B157" t="n">
        <v>66.3</v>
      </c>
      <c r="C157" s="21">
        <f>B157-20</f>
        <v/>
      </c>
      <c r="D157" t="n">
        <v>111.9</v>
      </c>
      <c r="E157" s="22">
        <f>D157-90</f>
        <v/>
      </c>
      <c r="F157" s="23" t="n">
        <v>0.015312</v>
      </c>
      <c r="G157" s="22" t="n">
        <v>24.8</v>
      </c>
      <c r="H157" s="22" t="n">
        <v>1.1</v>
      </c>
      <c r="I157" s="24" t="n">
        <v>0.08657135814428329</v>
      </c>
      <c r="J157" s="6" t="n">
        <v>71000</v>
      </c>
      <c r="K157" s="25">
        <f>23*10^-6</f>
        <v/>
      </c>
      <c r="L157" s="8">
        <f>H157</f>
        <v/>
      </c>
      <c r="M157" s="26">
        <f>H157^2/6</f>
        <v/>
      </c>
      <c r="N157" s="26">
        <f>H157^3/12</f>
        <v/>
      </c>
      <c r="O157" s="27">
        <f>-J157*L157*K157*C157</f>
        <v/>
      </c>
      <c r="P157" s="28">
        <f>-(12*F157*J157*L157*N157+12*O157*N157*G157*COS(RADIANS(E157)))/(12*N157*G157*COS(RADIANS(E157))^2+L157*G157^3*SIN(RADIANS(E157))^2)</f>
        <v/>
      </c>
      <c r="Q157" s="28">
        <f>-(6*F157*J157*L157*N157*SIN(RADIANS(E157))+6*O157*N157*G157*SIN(RADIANS(E157))*COS(RADIANS(E157)))/(12*N157*COS(RADIANS(E157))^2+L157*G157^2*SIN(RADIANS(E157))^2)</f>
        <v/>
      </c>
      <c r="R157" s="28">
        <f>-P157*SIN(RADIANS(E157))</f>
        <v/>
      </c>
      <c r="S157" s="8">
        <f>(O157+P157*COS(RADIANS(E157)))/L157</f>
        <v/>
      </c>
      <c r="T157" s="8">
        <f>R157/L157</f>
        <v/>
      </c>
      <c r="U157" s="8">
        <f>(Q157-P157*G157*SIN(RADIANS(E157)))/M157</f>
        <v/>
      </c>
      <c r="V157" s="8">
        <f>SQRT((S157+U157)^2+3*T157^2)</f>
        <v/>
      </c>
      <c r="W157" s="8">
        <f>V157/AA157</f>
        <v/>
      </c>
      <c r="X157" s="27">
        <f>((3*10+H157/COS(RADIANS(E157)))*(3+3)+3*G157*H157)*2</f>
        <v/>
      </c>
      <c r="Y157" s="28">
        <f>Z157/X157</f>
        <v/>
      </c>
      <c r="Z157" s="29" t="n">
        <v>543.20691076334</v>
      </c>
      <c r="AA157" s="20" t="n">
        <v>66.7720309346347</v>
      </c>
      <c r="AB157" t="n">
        <v>0.1075119145525592</v>
      </c>
      <c r="AC157" t="n">
        <v>69.53459598685798</v>
      </c>
      <c r="AD157" t="n">
        <v>24.18878120564489</v>
      </c>
    </row>
    <row r="158">
      <c r="A158" t="n">
        <v>157</v>
      </c>
      <c r="B158" t="n">
        <v>54.6</v>
      </c>
      <c r="C158" s="21">
        <f>B158-20</f>
        <v/>
      </c>
      <c r="D158" t="n">
        <v>126.6</v>
      </c>
      <c r="E158" s="22">
        <f>D158-90</f>
        <v/>
      </c>
      <c r="F158" s="23" t="n">
        <v>0.010632</v>
      </c>
      <c r="G158" s="22" t="n">
        <v>26.1</v>
      </c>
      <c r="H158" s="22" t="n">
        <v>2</v>
      </c>
      <c r="I158" s="24" t="n">
        <v>0.0474097765982151</v>
      </c>
      <c r="J158" s="6" t="n">
        <v>71000</v>
      </c>
      <c r="K158" s="25">
        <f>23*10^-6</f>
        <v/>
      </c>
      <c r="L158" s="8">
        <f>H158</f>
        <v/>
      </c>
      <c r="M158" s="26">
        <f>H158^2/6</f>
        <v/>
      </c>
      <c r="N158" s="26">
        <f>H158^3/12</f>
        <v/>
      </c>
      <c r="O158" s="27">
        <f>-J158*L158*K158*C158</f>
        <v/>
      </c>
      <c r="P158" s="28">
        <f>-(12*F158*J158*L158*N158+12*O158*N158*G158*COS(RADIANS(E158)))/(12*N158*G158*COS(RADIANS(E158))^2+L158*G158^3*SIN(RADIANS(E158))^2)</f>
        <v/>
      </c>
      <c r="Q158" s="28">
        <f>-(6*F158*J158*L158*N158*SIN(RADIANS(E158))+6*O158*N158*G158*SIN(RADIANS(E158))*COS(RADIANS(E158)))/(12*N158*COS(RADIANS(E158))^2+L158*G158^2*SIN(RADIANS(E158))^2)</f>
        <v/>
      </c>
      <c r="R158" s="28">
        <f>-P158*SIN(RADIANS(E158))</f>
        <v/>
      </c>
      <c r="S158" s="8">
        <f>(O158+P158*COS(RADIANS(E158)))/L158</f>
        <v/>
      </c>
      <c r="T158" s="8">
        <f>R158/L158</f>
        <v/>
      </c>
      <c r="U158" s="8">
        <f>(Q158-P158*G158*SIN(RADIANS(E158)))/M158</f>
        <v/>
      </c>
      <c r="V158" s="8">
        <f>SQRT((S158+U158)^2+3*T158^2)</f>
        <v/>
      </c>
      <c r="W158" s="8">
        <f>V158/AA158</f>
        <v/>
      </c>
      <c r="X158" s="27">
        <f>((3*10+H158/COS(RADIANS(E158)))*(3+3)+3*G158*H158)*2</f>
        <v/>
      </c>
      <c r="Y158" s="28">
        <f>Z158/X158</f>
        <v/>
      </c>
      <c r="Z158" s="29" t="n">
        <v>712.4230603376431</v>
      </c>
      <c r="AA158" s="20" t="n">
        <v>56.4827759292979</v>
      </c>
      <c r="AB158" t="n">
        <v>0.04855094566748919</v>
      </c>
      <c r="AC158" t="n">
        <v>51.45352984701285</v>
      </c>
      <c r="AD158" t="n">
        <v>2.407033213729691</v>
      </c>
    </row>
    <row r="159">
      <c r="A159" t="n">
        <v>158</v>
      </c>
      <c r="B159" t="n">
        <v>45.8</v>
      </c>
      <c r="C159" s="21">
        <f>B159-20</f>
        <v/>
      </c>
      <c r="D159" t="n">
        <v>125.3</v>
      </c>
      <c r="E159" s="22">
        <f>D159-90</f>
        <v/>
      </c>
      <c r="F159" s="23" t="n">
        <v>0.006926</v>
      </c>
      <c r="G159" s="22" t="n">
        <v>21.5</v>
      </c>
      <c r="H159" s="22" t="n">
        <v>1.9</v>
      </c>
      <c r="I159" s="24" t="n">
        <v>0.0320824831724166</v>
      </c>
      <c r="J159" s="6" t="n">
        <v>71000</v>
      </c>
      <c r="K159" s="25">
        <f>23*10^-6</f>
        <v/>
      </c>
      <c r="L159" s="8">
        <f>H159</f>
        <v/>
      </c>
      <c r="M159" s="26">
        <f>H159^2/6</f>
        <v/>
      </c>
      <c r="N159" s="26">
        <f>H159^3/12</f>
        <v/>
      </c>
      <c r="O159" s="27">
        <f>-J159*L159*K159*C159</f>
        <v/>
      </c>
      <c r="P159" s="28">
        <f>-(12*F159*J159*L159*N159+12*O159*N159*G159*COS(RADIANS(E159)))/(12*N159*G159*COS(RADIANS(E159))^2+L159*G159^3*SIN(RADIANS(E159))^2)</f>
        <v/>
      </c>
      <c r="Q159" s="28">
        <f>-(6*F159*J159*L159*N159*SIN(RADIANS(E159))+6*O159*N159*G159*SIN(RADIANS(E159))*COS(RADIANS(E159)))/(12*N159*COS(RADIANS(E159))^2+L159*G159^2*SIN(RADIANS(E159))^2)</f>
        <v/>
      </c>
      <c r="R159" s="28">
        <f>-P159*SIN(RADIANS(E159))</f>
        <v/>
      </c>
      <c r="S159" s="8">
        <f>(O159+P159*COS(RADIANS(E159)))/L159</f>
        <v/>
      </c>
      <c r="T159" s="8">
        <f>R159/L159</f>
        <v/>
      </c>
      <c r="U159" s="8">
        <f>(Q159-P159*G159*SIN(RADIANS(E159)))/M159</f>
        <v/>
      </c>
      <c r="V159" s="8">
        <f>SQRT((S159+U159)^2+3*T159^2)</f>
        <v/>
      </c>
      <c r="W159" s="8">
        <f>V159/AA159</f>
        <v/>
      </c>
      <c r="X159" s="27">
        <f>((3*10+H159/COS(RADIANS(E159)))*(3+3)+3*G159*H159)*2</f>
        <v/>
      </c>
      <c r="Y159" s="28">
        <f>Z159/X159</f>
        <v/>
      </c>
      <c r="Z159" s="29" t="n">
        <v>641.876901609388</v>
      </c>
      <c r="AA159" s="20" t="n">
        <v>42.8344448300475</v>
      </c>
      <c r="AB159" t="n">
        <v>0.03129577675764115</v>
      </c>
      <c r="AC159" t="n">
        <v>38.75342084757497</v>
      </c>
      <c r="AD159" t="n">
        <v>-2.452136920161564</v>
      </c>
    </row>
    <row r="160">
      <c r="A160" t="n">
        <v>159</v>
      </c>
      <c r="B160" t="n">
        <v>42.2</v>
      </c>
      <c r="C160" s="21">
        <f>B160-20</f>
        <v/>
      </c>
      <c r="D160" t="n">
        <v>110.1</v>
      </c>
      <c r="E160" s="22">
        <f>D160-90</f>
        <v/>
      </c>
      <c r="F160" s="23" t="n">
        <v>0.009623</v>
      </c>
      <c r="G160" s="22" t="n">
        <v>34.1</v>
      </c>
      <c r="H160" s="22" t="n">
        <v>1.2</v>
      </c>
      <c r="I160" s="24" t="n">
        <v>0.0551566630601882</v>
      </c>
      <c r="J160" s="6" t="n">
        <v>71000</v>
      </c>
      <c r="K160" s="25">
        <f>23*10^-6</f>
        <v/>
      </c>
      <c r="L160" s="8">
        <f>H160</f>
        <v/>
      </c>
      <c r="M160" s="26">
        <f>H160^2/6</f>
        <v/>
      </c>
      <c r="N160" s="26">
        <f>H160^3/12</f>
        <v/>
      </c>
      <c r="O160" s="27">
        <f>-J160*L160*K160*C160</f>
        <v/>
      </c>
      <c r="P160" s="28">
        <f>-(12*F160*J160*L160*N160+12*O160*N160*G160*COS(RADIANS(E160)))/(12*N160*G160*COS(RADIANS(E160))^2+L160*G160^3*SIN(RADIANS(E160))^2)</f>
        <v/>
      </c>
      <c r="Q160" s="28">
        <f>-(6*F160*J160*L160*N160*SIN(RADIANS(E160))+6*O160*N160*G160*SIN(RADIANS(E160))*COS(RADIANS(E160)))/(12*N160*COS(RADIANS(E160))^2+L160*G160^2*SIN(RADIANS(E160))^2)</f>
        <v/>
      </c>
      <c r="R160" s="28">
        <f>-P160*SIN(RADIANS(E160))</f>
        <v/>
      </c>
      <c r="S160" s="8">
        <f>(O160+P160*COS(RADIANS(E160)))/L160</f>
        <v/>
      </c>
      <c r="T160" s="8">
        <f>R160/L160</f>
        <v/>
      </c>
      <c r="U160" s="8">
        <f>(Q160-P160*G160*SIN(RADIANS(E160)))/M160</f>
        <v/>
      </c>
      <c r="V160" s="8">
        <f>SQRT((S160+U160)^2+3*T160^2)</f>
        <v/>
      </c>
      <c r="W160" s="8">
        <f>V160/AA160</f>
        <v/>
      </c>
      <c r="X160" s="27">
        <f>((3*10+H160/COS(RADIANS(E160)))*(3+3)+3*G160*H160)*2</f>
        <v/>
      </c>
      <c r="Y160" s="28">
        <f>Z160/X160</f>
        <v/>
      </c>
      <c r="Z160" s="29" t="n">
        <v>625.8440936967</v>
      </c>
      <c r="AA160" s="20" t="n">
        <v>31.7141209986809</v>
      </c>
      <c r="AB160" t="n">
        <v>0.07622318917116558</v>
      </c>
      <c r="AC160" t="n">
        <v>33.2120381179553</v>
      </c>
      <c r="AD160" t="n">
        <v>38.19398227189543</v>
      </c>
    </row>
    <row r="161">
      <c r="A161" t="n">
        <v>160</v>
      </c>
      <c r="B161" t="n">
        <v>49.3</v>
      </c>
      <c r="C161" s="21">
        <f>B161-20</f>
        <v/>
      </c>
      <c r="D161" t="n">
        <v>112.4</v>
      </c>
      <c r="E161" s="22">
        <f>D161-90</f>
        <v/>
      </c>
      <c r="F161" s="23" t="n">
        <v>0.009848000000000001</v>
      </c>
      <c r="G161" s="22" t="n">
        <v>25.4</v>
      </c>
      <c r="H161" s="22" t="n">
        <v>1.6</v>
      </c>
      <c r="I161" s="24" t="n">
        <v>0.0544972084462642</v>
      </c>
      <c r="J161" s="6" t="n">
        <v>71000</v>
      </c>
      <c r="K161" s="25">
        <f>23*10^-6</f>
        <v/>
      </c>
      <c r="L161" s="8">
        <f>H161</f>
        <v/>
      </c>
      <c r="M161" s="26">
        <f>H161^2/6</f>
        <v/>
      </c>
      <c r="N161" s="26">
        <f>H161^3/12</f>
        <v/>
      </c>
      <c r="O161" s="27">
        <f>-J161*L161*K161*C161</f>
        <v/>
      </c>
      <c r="P161" s="28">
        <f>-(12*F161*J161*L161*N161+12*O161*N161*G161*COS(RADIANS(E161)))/(12*N161*G161*COS(RADIANS(E161))^2+L161*G161^3*SIN(RADIANS(E161))^2)</f>
        <v/>
      </c>
      <c r="Q161" s="28">
        <f>-(6*F161*J161*L161*N161*SIN(RADIANS(E161))+6*O161*N161*G161*SIN(RADIANS(E161))*COS(RADIANS(E161)))/(12*N161*COS(RADIANS(E161))^2+L161*G161^2*SIN(RADIANS(E161))^2)</f>
        <v/>
      </c>
      <c r="R161" s="28">
        <f>-P161*SIN(RADIANS(E161))</f>
        <v/>
      </c>
      <c r="S161" s="8">
        <f>(O161+P161*COS(RADIANS(E161)))/L161</f>
        <v/>
      </c>
      <c r="T161" s="8">
        <f>R161/L161</f>
        <v/>
      </c>
      <c r="U161" s="8">
        <f>(Q161-P161*G161*SIN(RADIANS(E161)))/M161</f>
        <v/>
      </c>
      <c r="V161" s="8">
        <f>SQRT((S161+U161)^2+3*T161^2)</f>
        <v/>
      </c>
      <c r="W161" s="8">
        <f>V161/AA161</f>
        <v/>
      </c>
      <c r="X161" s="27">
        <f>((3*10+H161/COS(RADIANS(E161)))*(3+3)+3*G161*H161)*2</f>
        <v/>
      </c>
      <c r="Y161" s="28">
        <f>Z161/X161</f>
        <v/>
      </c>
      <c r="Z161" s="29" t="n">
        <v>629.999263836976</v>
      </c>
      <c r="AA161" s="20" t="n">
        <v>46.2465571108713</v>
      </c>
      <c r="AB161" t="n">
        <v>0.06714837362641923</v>
      </c>
      <c r="AC161" t="n">
        <v>45.67435593558972</v>
      </c>
      <c r="AD161" t="n">
        <v>23.21433618499826</v>
      </c>
    </row>
    <row r="162">
      <c r="A162" t="n">
        <v>161</v>
      </c>
      <c r="B162" t="n">
        <v>82.90000000000001</v>
      </c>
      <c r="C162" s="21">
        <f>B162-20</f>
        <v/>
      </c>
      <c r="D162" t="n">
        <v>108</v>
      </c>
      <c r="E162" s="22">
        <f>D162-90</f>
        <v/>
      </c>
      <c r="F162" s="23" t="n">
        <v>0.023534</v>
      </c>
      <c r="G162" s="22" t="n">
        <v>28.2</v>
      </c>
      <c r="H162" s="22" t="n">
        <v>1</v>
      </c>
      <c r="I162" s="24" t="n">
        <v>0.148970514535903</v>
      </c>
      <c r="J162" s="6" t="n">
        <v>71000</v>
      </c>
      <c r="K162" s="25">
        <f>23*10^-6</f>
        <v/>
      </c>
      <c r="L162" s="8">
        <f>H162</f>
        <v/>
      </c>
      <c r="M162" s="26">
        <f>H162^2/6</f>
        <v/>
      </c>
      <c r="N162" s="26">
        <f>H162^3/12</f>
        <v/>
      </c>
      <c r="O162" s="27">
        <f>-J162*L162*K162*C162</f>
        <v/>
      </c>
      <c r="P162" s="28">
        <f>-(12*F162*J162*L162*N162+12*O162*N162*G162*COS(RADIANS(E162)))/(12*N162*G162*COS(RADIANS(E162))^2+L162*G162^3*SIN(RADIANS(E162))^2)</f>
        <v/>
      </c>
      <c r="Q162" s="28">
        <f>-(6*F162*J162*L162*N162*SIN(RADIANS(E162))+6*O162*N162*G162*SIN(RADIANS(E162))*COS(RADIANS(E162)))/(12*N162*COS(RADIANS(E162))^2+L162*G162^2*SIN(RADIANS(E162))^2)</f>
        <v/>
      </c>
      <c r="R162" s="28">
        <f>-P162*SIN(RADIANS(E162))</f>
        <v/>
      </c>
      <c r="S162" s="8">
        <f>(O162+P162*COS(RADIANS(E162)))/L162</f>
        <v/>
      </c>
      <c r="T162" s="8">
        <f>R162/L162</f>
        <v/>
      </c>
      <c r="U162" s="8">
        <f>(Q162-P162*G162*SIN(RADIANS(E162)))/M162</f>
        <v/>
      </c>
      <c r="V162" s="8">
        <f>SQRT((S162+U162)^2+3*T162^2)</f>
        <v/>
      </c>
      <c r="W162" s="8">
        <f>V162/AA162</f>
        <v/>
      </c>
      <c r="X162" s="27">
        <f>((3*10+H162/COS(RADIANS(E162)))*(3+3)+3*G162*H162)*2</f>
        <v/>
      </c>
      <c r="Y162" s="28">
        <f>Z162/X162</f>
        <v/>
      </c>
      <c r="Z162" s="29" t="n">
        <v>546.486269458218</v>
      </c>
      <c r="AA162" s="20" t="n">
        <v>88.2904962880021</v>
      </c>
      <c r="AB162" t="n">
        <v>0.2019545729941757</v>
      </c>
      <c r="AC162" t="n">
        <v>94.84659599815953</v>
      </c>
      <c r="AD162" t="n">
        <v>35.56680905838125</v>
      </c>
    </row>
    <row r="163">
      <c r="A163" t="n">
        <v>162</v>
      </c>
      <c r="B163" t="n">
        <v>74.59999999999999</v>
      </c>
      <c r="C163" s="21">
        <f>B163-20</f>
        <v/>
      </c>
      <c r="D163" t="n">
        <v>126.1</v>
      </c>
      <c r="E163" s="22">
        <f>D163-90</f>
        <v/>
      </c>
      <c r="F163" s="23" t="n">
        <v>0.015704</v>
      </c>
      <c r="G163" s="22" t="n">
        <v>23.8</v>
      </c>
      <c r="H163" s="22" t="n">
        <v>1.9</v>
      </c>
      <c r="I163" s="24" t="n">
        <v>0.07121867686510081</v>
      </c>
      <c r="J163" s="6" t="n">
        <v>71000</v>
      </c>
      <c r="K163" s="25">
        <f>23*10^-6</f>
        <v/>
      </c>
      <c r="L163" s="8">
        <f>H163</f>
        <v/>
      </c>
      <c r="M163" s="26">
        <f>H163^2/6</f>
        <v/>
      </c>
      <c r="N163" s="26">
        <f>H163^3/12</f>
        <v/>
      </c>
      <c r="O163" s="27">
        <f>-J163*L163*K163*C163</f>
        <v/>
      </c>
      <c r="P163" s="28">
        <f>-(12*F163*J163*L163*N163+12*O163*N163*G163*COS(RADIANS(E163)))/(12*N163*G163*COS(RADIANS(E163))^2+L163*G163^3*SIN(RADIANS(E163))^2)</f>
        <v/>
      </c>
      <c r="Q163" s="28">
        <f>-(6*F163*J163*L163*N163*SIN(RADIANS(E163))+6*O163*N163*G163*SIN(RADIANS(E163))*COS(RADIANS(E163)))/(12*N163*COS(RADIANS(E163))^2+L163*G163^2*SIN(RADIANS(E163))^2)</f>
        <v/>
      </c>
      <c r="R163" s="28">
        <f>-P163*SIN(RADIANS(E163))</f>
        <v/>
      </c>
      <c r="S163" s="8">
        <f>(O163+P163*COS(RADIANS(E163)))/L163</f>
        <v/>
      </c>
      <c r="T163" s="8">
        <f>R163/L163</f>
        <v/>
      </c>
      <c r="U163" s="8">
        <f>(Q163-P163*G163*SIN(RADIANS(E163)))/M163</f>
        <v/>
      </c>
      <c r="V163" s="8">
        <f>SQRT((S163+U163)^2+3*T163^2)</f>
        <v/>
      </c>
      <c r="W163" s="8">
        <f>V163/AA163</f>
        <v/>
      </c>
      <c r="X163" s="27">
        <f>((3*10+H163/COS(RADIANS(E163)))*(3+3)+3*G163*H163)*2</f>
        <v/>
      </c>
      <c r="Y163" s="28">
        <f>Z163/X163</f>
        <v/>
      </c>
      <c r="Z163" s="29" t="n">
        <v>668.675146638084</v>
      </c>
      <c r="AA163" s="20" t="n">
        <v>89.28241005939481</v>
      </c>
      <c r="AB163" t="n">
        <v>0.07127125544475313</v>
      </c>
      <c r="AC163" t="n">
        <v>81.35443029341226</v>
      </c>
      <c r="AD163" t="n">
        <v>0.0738269537805591</v>
      </c>
    </row>
    <row r="164">
      <c r="A164" t="n">
        <v>163</v>
      </c>
      <c r="B164" t="n">
        <v>63.7</v>
      </c>
      <c r="C164" s="21">
        <f>B164-20</f>
        <v/>
      </c>
      <c r="D164" t="n">
        <v>122.3</v>
      </c>
      <c r="E164" s="22">
        <f>D164-90</f>
        <v/>
      </c>
      <c r="F164" s="23" t="n">
        <v>0.01339</v>
      </c>
      <c r="G164" s="22" t="n">
        <v>24.7</v>
      </c>
      <c r="H164" s="22" t="n">
        <v>1.5</v>
      </c>
      <c r="I164" s="24" t="n">
        <v>0.0624109469354152</v>
      </c>
      <c r="J164" s="6" t="n">
        <v>71000</v>
      </c>
      <c r="K164" s="25">
        <f>23*10^-6</f>
        <v/>
      </c>
      <c r="L164" s="8">
        <f>H164</f>
        <v/>
      </c>
      <c r="M164" s="26">
        <f>H164^2/6</f>
        <v/>
      </c>
      <c r="N164" s="26">
        <f>H164^3/12</f>
        <v/>
      </c>
      <c r="O164" s="27">
        <f>-J164*L164*K164*C164</f>
        <v/>
      </c>
      <c r="P164" s="28">
        <f>-(12*F164*J164*L164*N164+12*O164*N164*G164*COS(RADIANS(E164)))/(12*N164*G164*COS(RADIANS(E164))^2+L164*G164^3*SIN(RADIANS(E164))^2)</f>
        <v/>
      </c>
      <c r="Q164" s="28">
        <f>-(6*F164*J164*L164*N164*SIN(RADIANS(E164))+6*O164*N164*G164*SIN(RADIANS(E164))*COS(RADIANS(E164)))/(12*N164*COS(RADIANS(E164))^2+L164*G164^2*SIN(RADIANS(E164))^2)</f>
        <v/>
      </c>
      <c r="R164" s="28">
        <f>-P164*SIN(RADIANS(E164))</f>
        <v/>
      </c>
      <c r="S164" s="8">
        <f>(O164+P164*COS(RADIANS(E164)))/L164</f>
        <v/>
      </c>
      <c r="T164" s="8">
        <f>R164/L164</f>
        <v/>
      </c>
      <c r="U164" s="8">
        <f>(Q164-P164*G164*SIN(RADIANS(E164)))/M164</f>
        <v/>
      </c>
      <c r="V164" s="8">
        <f>SQRT((S164+U164)^2+3*T164^2)</f>
        <v/>
      </c>
      <c r="W164" s="8">
        <f>V164/AA164</f>
        <v/>
      </c>
      <c r="X164" s="27">
        <f>((3*10+H164/COS(RADIANS(E164)))*(3+3)+3*G164*H164)*2</f>
        <v/>
      </c>
      <c r="Y164" s="28">
        <f>Z164/X164</f>
        <v/>
      </c>
      <c r="Z164" s="29" t="n">
        <v>611.422374753345</v>
      </c>
      <c r="AA164" s="20" t="n">
        <v>66.0262697041605</v>
      </c>
      <c r="AB164" t="n">
        <v>0.06694501914912031</v>
      </c>
      <c r="AC164" t="n">
        <v>64.56619732338672</v>
      </c>
      <c r="AD164" t="n">
        <v>7.264866880480294</v>
      </c>
    </row>
    <row r="165">
      <c r="A165" t="n">
        <v>164</v>
      </c>
      <c r="B165" t="n">
        <v>55.2</v>
      </c>
      <c r="C165" s="21">
        <f>B165-20</f>
        <v/>
      </c>
      <c r="D165" t="n">
        <v>121</v>
      </c>
      <c r="E165" s="22">
        <f>D165-90</f>
        <v/>
      </c>
      <c r="F165" s="23" t="n">
        <v>0.010112</v>
      </c>
      <c r="G165" s="22" t="n">
        <v>22.4</v>
      </c>
      <c r="H165" s="22" t="n">
        <v>1.2</v>
      </c>
      <c r="I165" s="24" t="n">
        <v>0.0485905334353446</v>
      </c>
      <c r="J165" s="6" t="n">
        <v>71000</v>
      </c>
      <c r="K165" s="25">
        <f>23*10^-6</f>
        <v/>
      </c>
      <c r="L165" s="8">
        <f>H165</f>
        <v/>
      </c>
      <c r="M165" s="26">
        <f>H165^2/6</f>
        <v/>
      </c>
      <c r="N165" s="26">
        <f>H165^3/12</f>
        <v/>
      </c>
      <c r="O165" s="27">
        <f>-J165*L165*K165*C165</f>
        <v/>
      </c>
      <c r="P165" s="28">
        <f>-(12*F165*J165*L165*N165+12*O165*N165*G165*COS(RADIANS(E165)))/(12*N165*G165*COS(RADIANS(E165))^2+L165*G165^3*SIN(RADIANS(E165))^2)</f>
        <v/>
      </c>
      <c r="Q165" s="28">
        <f>-(6*F165*J165*L165*N165*SIN(RADIANS(E165))+6*O165*N165*G165*SIN(RADIANS(E165))*COS(RADIANS(E165)))/(12*N165*COS(RADIANS(E165))^2+L165*G165^2*SIN(RADIANS(E165))^2)</f>
        <v/>
      </c>
      <c r="R165" s="28">
        <f>-P165*SIN(RADIANS(E165))</f>
        <v/>
      </c>
      <c r="S165" s="8">
        <f>(O165+P165*COS(RADIANS(E165)))/L165</f>
        <v/>
      </c>
      <c r="T165" s="8">
        <f>R165/L165</f>
        <v/>
      </c>
      <c r="U165" s="8">
        <f>(Q165-P165*G165*SIN(RADIANS(E165)))/M165</f>
        <v/>
      </c>
      <c r="V165" s="8">
        <f>SQRT((S165+U165)^2+3*T165^2)</f>
        <v/>
      </c>
      <c r="W165" s="8">
        <f>V165/AA165</f>
        <v/>
      </c>
      <c r="X165" s="27">
        <f>((3*10+H165/COS(RADIANS(E165)))*(3+3)+3*G165*H165)*2</f>
        <v/>
      </c>
      <c r="Y165" s="28">
        <f>Z165/X165</f>
        <v/>
      </c>
      <c r="Z165" s="29" t="n">
        <v>545.512351838709</v>
      </c>
      <c r="AA165" s="20" t="n">
        <v>50.8894418951399</v>
      </c>
      <c r="AB165" t="n">
        <v>0.05158271507253818</v>
      </c>
      <c r="AC165" t="n">
        <v>51.5320129247339</v>
      </c>
      <c r="AD165" t="n">
        <v>6.157951818279654</v>
      </c>
    </row>
    <row r="166">
      <c r="A166" t="n">
        <v>165</v>
      </c>
      <c r="B166" t="n">
        <v>60.9</v>
      </c>
      <c r="C166" s="21">
        <f>B166-20</f>
        <v/>
      </c>
      <c r="D166" t="n">
        <v>116.6</v>
      </c>
      <c r="E166" s="22">
        <f>D166-90</f>
        <v/>
      </c>
      <c r="F166" s="23" t="n">
        <v>0.015513</v>
      </c>
      <c r="G166" s="22" t="n">
        <v>30.5</v>
      </c>
      <c r="H166" s="22" t="n">
        <v>1.7</v>
      </c>
      <c r="I166" s="24" t="n">
        <v>0.0762804672122001</v>
      </c>
      <c r="J166" s="6" t="n">
        <v>71000</v>
      </c>
      <c r="K166" s="25">
        <f>23*10^-6</f>
        <v/>
      </c>
      <c r="L166" s="8">
        <f>H166</f>
        <v/>
      </c>
      <c r="M166" s="26">
        <f>H166^2/6</f>
        <v/>
      </c>
      <c r="N166" s="26">
        <f>H166^3/12</f>
        <v/>
      </c>
      <c r="O166" s="27">
        <f>-J166*L166*K166*C166</f>
        <v/>
      </c>
      <c r="P166" s="28">
        <f>-(12*F166*J166*L166*N166+12*O166*N166*G166*COS(RADIANS(E166)))/(12*N166*G166*COS(RADIANS(E166))^2+L166*G166^3*SIN(RADIANS(E166))^2)</f>
        <v/>
      </c>
      <c r="Q166" s="28">
        <f>-(6*F166*J166*L166*N166*SIN(RADIANS(E166))+6*O166*N166*G166*SIN(RADIANS(E166))*COS(RADIANS(E166)))/(12*N166*COS(RADIANS(E166))^2+L166*G166^2*SIN(RADIANS(E166))^2)</f>
        <v/>
      </c>
      <c r="R166" s="28">
        <f>-P166*SIN(RADIANS(E166))</f>
        <v/>
      </c>
      <c r="S166" s="8">
        <f>(O166+P166*COS(RADIANS(E166)))/L166</f>
        <v/>
      </c>
      <c r="T166" s="8">
        <f>R166/L166</f>
        <v/>
      </c>
      <c r="U166" s="8">
        <f>(Q166-P166*G166*SIN(RADIANS(E166)))/M166</f>
        <v/>
      </c>
      <c r="V166" s="8">
        <f>SQRT((S166+U166)^2+3*T166^2)</f>
        <v/>
      </c>
      <c r="W166" s="8">
        <f>V166/AA166</f>
        <v/>
      </c>
      <c r="X166" s="27">
        <f>((3*10+H166/COS(RADIANS(E166)))*(3+3)+3*G166*H166)*2</f>
        <v/>
      </c>
      <c r="Y166" s="28">
        <f>Z166/X166</f>
        <v/>
      </c>
      <c r="Z166" s="29" t="n">
        <v>700.1894920664949</v>
      </c>
      <c r="AA166" s="20" t="n">
        <v>63.5456103909126</v>
      </c>
      <c r="AB166" t="n">
        <v>0.09379861505564357</v>
      </c>
      <c r="AC166" t="n">
        <v>61.8306955077049</v>
      </c>
      <c r="AD166" t="n">
        <v>22.96544382025189</v>
      </c>
    </row>
    <row r="167">
      <c r="A167" t="n">
        <v>166</v>
      </c>
      <c r="B167" t="n">
        <v>84.3</v>
      </c>
      <c r="C167" s="21">
        <f>B167-20</f>
        <v/>
      </c>
      <c r="D167" t="n">
        <v>126.9</v>
      </c>
      <c r="E167" s="22">
        <f>D167-90</f>
        <v/>
      </c>
      <c r="F167" s="23" t="n">
        <v>0.02427</v>
      </c>
      <c r="G167" s="22" t="n">
        <v>33.9</v>
      </c>
      <c r="H167" s="22" t="n">
        <v>1.5</v>
      </c>
      <c r="I167" s="24" t="n">
        <v>0.103864133358001</v>
      </c>
      <c r="J167" s="6" t="n">
        <v>71000</v>
      </c>
      <c r="K167" s="25">
        <f>23*10^-6</f>
        <v/>
      </c>
      <c r="L167" s="8">
        <f>H167</f>
        <v/>
      </c>
      <c r="M167" s="26">
        <f>H167^2/6</f>
        <v/>
      </c>
      <c r="N167" s="26">
        <f>H167^3/12</f>
        <v/>
      </c>
      <c r="O167" s="27">
        <f>-J167*L167*K167*C167</f>
        <v/>
      </c>
      <c r="P167" s="28">
        <f>-(12*F167*J167*L167*N167+12*O167*N167*G167*COS(RADIANS(E167)))/(12*N167*G167*COS(RADIANS(E167))^2+L167*G167^3*SIN(RADIANS(E167))^2)</f>
        <v/>
      </c>
      <c r="Q167" s="28">
        <f>-(6*F167*J167*L167*N167*SIN(RADIANS(E167))+6*O167*N167*G167*SIN(RADIANS(E167))*COS(RADIANS(E167)))/(12*N167*COS(RADIANS(E167))^2+L167*G167^2*SIN(RADIANS(E167))^2)</f>
        <v/>
      </c>
      <c r="R167" s="28">
        <f>-P167*SIN(RADIANS(E167))</f>
        <v/>
      </c>
      <c r="S167" s="8">
        <f>(O167+P167*COS(RADIANS(E167)))/L167</f>
        <v/>
      </c>
      <c r="T167" s="8">
        <f>R167/L167</f>
        <v/>
      </c>
      <c r="U167" s="8">
        <f>(Q167-P167*G167*SIN(RADIANS(E167)))/M167</f>
        <v/>
      </c>
      <c r="V167" s="8">
        <f>SQRT((S167+U167)^2+3*T167^2)</f>
        <v/>
      </c>
      <c r="W167" s="8">
        <f>V167/AA167</f>
        <v/>
      </c>
      <c r="X167" s="27">
        <f>((3*10+H167/COS(RADIANS(E167)))*(3+3)+3*G167*H167)*2</f>
        <v/>
      </c>
      <c r="Y167" s="28">
        <f>Z167/X167</f>
        <v/>
      </c>
      <c r="Z167" s="29" t="n">
        <v>697.0543318328509</v>
      </c>
      <c r="AA167" s="20" t="n">
        <v>91.3498583935405</v>
      </c>
      <c r="AB167" t="n">
        <v>0.1153597536443414</v>
      </c>
      <c r="AC167" t="n">
        <v>92.24972502459255</v>
      </c>
      <c r="AD167" t="n">
        <v>11.06794031267472</v>
      </c>
    </row>
    <row r="168">
      <c r="A168" t="n">
        <v>167</v>
      </c>
      <c r="B168" t="n">
        <v>41.5</v>
      </c>
      <c r="C168" s="21">
        <f>B168-20</f>
        <v/>
      </c>
      <c r="D168" t="n">
        <v>129.6</v>
      </c>
      <c r="E168" s="22">
        <f>D168-90</f>
        <v/>
      </c>
      <c r="F168" s="23" t="n">
        <v>0.007268</v>
      </c>
      <c r="G168" s="22" t="n">
        <v>30.7</v>
      </c>
      <c r="H168" s="22" t="n">
        <v>1.1</v>
      </c>
      <c r="I168" s="24" t="n">
        <v>0.0310789979994297</v>
      </c>
      <c r="J168" s="6" t="n">
        <v>71000</v>
      </c>
      <c r="K168" s="25">
        <f>23*10^-6</f>
        <v/>
      </c>
      <c r="L168" s="8">
        <f>H168</f>
        <v/>
      </c>
      <c r="M168" s="26">
        <f>H168^2/6</f>
        <v/>
      </c>
      <c r="N168" s="26">
        <f>H168^3/12</f>
        <v/>
      </c>
      <c r="O168" s="27">
        <f>-J168*L168*K168*C168</f>
        <v/>
      </c>
      <c r="P168" s="28">
        <f>-(12*F168*J168*L168*N168+12*O168*N168*G168*COS(RADIANS(E168)))/(12*N168*G168*COS(RADIANS(E168))^2+L168*G168^3*SIN(RADIANS(E168))^2)</f>
        <v/>
      </c>
      <c r="Q168" s="28">
        <f>-(6*F168*J168*L168*N168*SIN(RADIANS(E168))+6*O168*N168*G168*SIN(RADIANS(E168))*COS(RADIANS(E168)))/(12*N168*COS(RADIANS(E168))^2+L168*G168^2*SIN(RADIANS(E168))^2)</f>
        <v/>
      </c>
      <c r="R168" s="28">
        <f>-P168*SIN(RADIANS(E168))</f>
        <v/>
      </c>
      <c r="S168" s="8">
        <f>(O168+P168*COS(RADIANS(E168)))/L168</f>
        <v/>
      </c>
      <c r="T168" s="8">
        <f>R168/L168</f>
        <v/>
      </c>
      <c r="U168" s="8">
        <f>(Q168-P168*G168*SIN(RADIANS(E168)))/M168</f>
        <v/>
      </c>
      <c r="V168" s="8">
        <f>SQRT((S168+U168)^2+3*T168^2)</f>
        <v/>
      </c>
      <c r="W168" s="8">
        <f>V168/AA168</f>
        <v/>
      </c>
      <c r="X168" s="27">
        <f>((3*10+H168/COS(RADIANS(E168)))*(3+3)+3*G168*H168)*2</f>
        <v/>
      </c>
      <c r="Y168" s="28">
        <f>Z168/X168</f>
        <v/>
      </c>
      <c r="Z168" s="29" t="n">
        <v>590.3331370369129</v>
      </c>
      <c r="AA168" s="20" t="n">
        <v>27.9131588615445</v>
      </c>
      <c r="AB168" t="n">
        <v>0.03253006825276856</v>
      </c>
      <c r="AC168" t="n">
        <v>30.27464246016419</v>
      </c>
      <c r="AD168" t="n">
        <v>4.668973733855532</v>
      </c>
    </row>
    <row r="169">
      <c r="A169" t="n">
        <v>168</v>
      </c>
      <c r="B169" t="n">
        <v>79.5</v>
      </c>
      <c r="C169" s="21">
        <f>B169-20</f>
        <v/>
      </c>
      <c r="D169" t="n">
        <v>110.9</v>
      </c>
      <c r="E169" s="22">
        <f>D169-90</f>
        <v/>
      </c>
      <c r="F169" s="23" t="n">
        <v>0.020735</v>
      </c>
      <c r="G169" s="22" t="n">
        <v>26.3</v>
      </c>
      <c r="H169" s="22" t="n">
        <v>1.8</v>
      </c>
      <c r="I169" s="24" t="n">
        <v>0.118673883378505</v>
      </c>
      <c r="J169" s="6" t="n">
        <v>71000</v>
      </c>
      <c r="K169" s="25">
        <f>23*10^-6</f>
        <v/>
      </c>
      <c r="L169" s="8">
        <f>H169</f>
        <v/>
      </c>
      <c r="M169" s="26">
        <f>H169^2/6</f>
        <v/>
      </c>
      <c r="N169" s="26">
        <f>H169^3/12</f>
        <v/>
      </c>
      <c r="O169" s="27">
        <f>-J169*L169*K169*C169</f>
        <v/>
      </c>
      <c r="P169" s="28">
        <f>-(12*F169*J169*L169*N169+12*O169*N169*G169*COS(RADIANS(E169)))/(12*N169*G169*COS(RADIANS(E169))^2+L169*G169^3*SIN(RADIANS(E169))^2)</f>
        <v/>
      </c>
      <c r="Q169" s="28">
        <f>-(6*F169*J169*L169*N169*SIN(RADIANS(E169))+6*O169*N169*G169*SIN(RADIANS(E169))*COS(RADIANS(E169)))/(12*N169*COS(RADIANS(E169))^2+L169*G169^2*SIN(RADIANS(E169))^2)</f>
        <v/>
      </c>
      <c r="R169" s="28">
        <f>-P169*SIN(RADIANS(E169))</f>
        <v/>
      </c>
      <c r="S169" s="8">
        <f>(O169+P169*COS(RADIANS(E169)))/L169</f>
        <v/>
      </c>
      <c r="T169" s="8">
        <f>R169/L169</f>
        <v/>
      </c>
      <c r="U169" s="8">
        <f>(Q169-P169*G169*SIN(RADIANS(E169)))/M169</f>
        <v/>
      </c>
      <c r="V169" s="8">
        <f>SQRT((S169+U169)^2+3*T169^2)</f>
        <v/>
      </c>
      <c r="W169" s="8">
        <f>V169/AA169</f>
        <v/>
      </c>
      <c r="X169" s="27">
        <f>((3*10+H169/COS(RADIANS(E169)))*(3+3)+3*G169*H169)*2</f>
        <v/>
      </c>
      <c r="Y169" s="28">
        <f>Z169/X169</f>
        <v/>
      </c>
      <c r="Z169" s="29" t="n">
        <v>672.285213202067</v>
      </c>
      <c r="AA169" s="20" t="n">
        <v>97.95213278258019</v>
      </c>
      <c r="AB169" t="n">
        <v>0.1501146936780878</v>
      </c>
      <c r="AC169" t="n">
        <v>94.92238953943463</v>
      </c>
      <c r="AD169" t="n">
        <v>26.49345366014845</v>
      </c>
    </row>
    <row r="170">
      <c r="A170" t="n">
        <v>169</v>
      </c>
      <c r="B170" t="n">
        <v>88.7</v>
      </c>
      <c r="C170" s="21">
        <f>B170-20</f>
        <v/>
      </c>
      <c r="D170" t="n">
        <v>121.6</v>
      </c>
      <c r="E170" s="22">
        <f>D170-90</f>
        <v/>
      </c>
      <c r="F170" s="23" t="n">
        <v>0.027379</v>
      </c>
      <c r="G170" s="22" t="n">
        <v>34</v>
      </c>
      <c r="H170" s="22" t="n">
        <v>1.4</v>
      </c>
      <c r="I170" s="24" t="n">
        <v>0.122722476720809</v>
      </c>
      <c r="J170" s="6" t="n">
        <v>71000</v>
      </c>
      <c r="K170" s="25">
        <f>23*10^-6</f>
        <v/>
      </c>
      <c r="L170" s="8">
        <f>H170</f>
        <v/>
      </c>
      <c r="M170" s="26">
        <f>H170^2/6</f>
        <v/>
      </c>
      <c r="N170" s="26">
        <f>H170^3/12</f>
        <v/>
      </c>
      <c r="O170" s="27">
        <f>-J170*L170*K170*C170</f>
        <v/>
      </c>
      <c r="P170" s="28">
        <f>-(12*F170*J170*L170*N170+12*O170*N170*G170*COS(RADIANS(E170)))/(12*N170*G170*COS(RADIANS(E170))^2+L170*G170^3*SIN(RADIANS(E170))^2)</f>
        <v/>
      </c>
      <c r="Q170" s="28">
        <f>-(6*F170*J170*L170*N170*SIN(RADIANS(E170))+6*O170*N170*G170*SIN(RADIANS(E170))*COS(RADIANS(E170)))/(12*N170*COS(RADIANS(E170))^2+L170*G170^2*SIN(RADIANS(E170))^2)</f>
        <v/>
      </c>
      <c r="R170" s="28">
        <f>-P170*SIN(RADIANS(E170))</f>
        <v/>
      </c>
      <c r="S170" s="8">
        <f>(O170+P170*COS(RADIANS(E170)))/L170</f>
        <v/>
      </c>
      <c r="T170" s="8">
        <f>R170/L170</f>
        <v/>
      </c>
      <c r="U170" s="8">
        <f>(Q170-P170*G170*SIN(RADIANS(E170)))/M170</f>
        <v/>
      </c>
      <c r="V170" s="8">
        <f>SQRT((S170+U170)^2+3*T170^2)</f>
        <v/>
      </c>
      <c r="W170" s="8">
        <f>V170/AA170</f>
        <v/>
      </c>
      <c r="X170" s="27">
        <f>((3*10+H170/COS(RADIANS(E170)))*(3+3)+3*G170*H170)*2</f>
        <v/>
      </c>
      <c r="Y170" s="28">
        <f>Z170/X170</f>
        <v/>
      </c>
      <c r="Z170" s="29" t="n">
        <v>672.936306129158</v>
      </c>
      <c r="AA170" s="20" t="n">
        <v>97.1284894856597</v>
      </c>
      <c r="AB170" t="n">
        <v>0.1463013470025749</v>
      </c>
      <c r="AC170" t="n">
        <v>99.51580299163111</v>
      </c>
      <c r="AD170" t="n">
        <v>19.21316364516284</v>
      </c>
    </row>
    <row r="171">
      <c r="A171" t="n">
        <v>170</v>
      </c>
      <c r="B171" t="n">
        <v>60.7</v>
      </c>
      <c r="C171" s="21">
        <f>B171-20</f>
        <v/>
      </c>
      <c r="D171" t="n">
        <v>102.1</v>
      </c>
      <c r="E171" s="22">
        <f>D171-90</f>
        <v/>
      </c>
      <c r="F171" s="23" t="n">
        <v>0.013627</v>
      </c>
      <c r="G171" s="22" t="n">
        <v>23.9</v>
      </c>
      <c r="H171" s="22" t="n">
        <v>1.9</v>
      </c>
      <c r="I171" s="24" t="n">
        <v>0.108879178762435</v>
      </c>
      <c r="J171" s="6" t="n">
        <v>71000</v>
      </c>
      <c r="K171" s="25">
        <f>23*10^-6</f>
        <v/>
      </c>
      <c r="L171" s="8">
        <f>H171</f>
        <v/>
      </c>
      <c r="M171" s="26">
        <f>H171^2/6</f>
        <v/>
      </c>
      <c r="N171" s="26">
        <f>H171^3/12</f>
        <v/>
      </c>
      <c r="O171" s="27">
        <f>-J171*L171*K171*C171</f>
        <v/>
      </c>
      <c r="P171" s="28">
        <f>-(12*F171*J171*L171*N171+12*O171*N171*G171*COS(RADIANS(E171)))/(12*N171*G171*COS(RADIANS(E171))^2+L171*G171^3*SIN(RADIANS(E171))^2)</f>
        <v/>
      </c>
      <c r="Q171" s="28">
        <f>-(6*F171*J171*L171*N171*SIN(RADIANS(E171))+6*O171*N171*G171*SIN(RADIANS(E171))*COS(RADIANS(E171)))/(12*N171*COS(RADIANS(E171))^2+L171*G171^2*SIN(RADIANS(E171))^2)</f>
        <v/>
      </c>
      <c r="R171" s="28">
        <f>-P171*SIN(RADIANS(E171))</f>
        <v/>
      </c>
      <c r="S171" s="8">
        <f>(O171+P171*COS(RADIANS(E171)))/L171</f>
        <v/>
      </c>
      <c r="T171" s="8">
        <f>R171/L171</f>
        <v/>
      </c>
      <c r="U171" s="8">
        <f>(Q171-P171*G171*SIN(RADIANS(E171)))/M171</f>
        <v/>
      </c>
      <c r="V171" s="8">
        <f>SQRT((S171+U171)^2+3*T171^2)</f>
        <v/>
      </c>
      <c r="W171" s="8">
        <f>V171/AA171</f>
        <v/>
      </c>
      <c r="X171" s="27">
        <f>((3*10+H171/COS(RADIANS(E171)))*(3+3)+3*G171*H171)*2</f>
        <v/>
      </c>
      <c r="Y171" s="28">
        <f>Z171/X171</f>
        <v/>
      </c>
      <c r="Z171" s="29" t="n">
        <v>659.756998525762</v>
      </c>
      <c r="AA171" s="20" t="n">
        <v>83.404560426568</v>
      </c>
      <c r="AB171" t="n">
        <v>0.1493540276017782</v>
      </c>
      <c r="AC171" t="n">
        <v>72.33887234736969</v>
      </c>
      <c r="AD171" t="n">
        <v>37.1740945324871</v>
      </c>
    </row>
    <row r="172">
      <c r="A172" t="n">
        <v>171</v>
      </c>
      <c r="B172" t="n">
        <v>75.2</v>
      </c>
      <c r="C172" s="21">
        <f>B172-20</f>
        <v/>
      </c>
      <c r="D172" t="n">
        <v>109.4</v>
      </c>
      <c r="E172" s="22">
        <f>D172-90</f>
        <v/>
      </c>
      <c r="F172" s="23" t="n">
        <v>0.016893</v>
      </c>
      <c r="G172" s="22" t="n">
        <v>22.1</v>
      </c>
      <c r="H172" s="22" t="n">
        <v>1.6</v>
      </c>
      <c r="I172" s="24" t="n">
        <v>0.103369809687137</v>
      </c>
      <c r="J172" s="6" t="n">
        <v>71000</v>
      </c>
      <c r="K172" s="25">
        <f>23*10^-6</f>
        <v/>
      </c>
      <c r="L172" s="8">
        <f>H172</f>
        <v/>
      </c>
      <c r="M172" s="26">
        <f>H172^2/6</f>
        <v/>
      </c>
      <c r="N172" s="26">
        <f>H172^3/12</f>
        <v/>
      </c>
      <c r="O172" s="27">
        <f>-J172*L172*K172*C172</f>
        <v/>
      </c>
      <c r="P172" s="28">
        <f>-(12*F172*J172*L172*N172+12*O172*N172*G172*COS(RADIANS(E172)))/(12*N172*G172*COS(RADIANS(E172))^2+L172*G172^3*SIN(RADIANS(E172))^2)</f>
        <v/>
      </c>
      <c r="Q172" s="28">
        <f>-(6*F172*J172*L172*N172*SIN(RADIANS(E172))+6*O172*N172*G172*SIN(RADIANS(E172))*COS(RADIANS(E172)))/(12*N172*COS(RADIANS(E172))^2+L172*G172^2*SIN(RADIANS(E172))^2)</f>
        <v/>
      </c>
      <c r="R172" s="28">
        <f>-P172*SIN(RADIANS(E172))</f>
        <v/>
      </c>
      <c r="S172" s="8">
        <f>(O172+P172*COS(RADIANS(E172)))/L172</f>
        <v/>
      </c>
      <c r="T172" s="8">
        <f>R172/L172</f>
        <v/>
      </c>
      <c r="U172" s="8">
        <f>(Q172-P172*G172*SIN(RADIANS(E172)))/M172</f>
        <v/>
      </c>
      <c r="V172" s="8">
        <f>SQRT((S172+U172)^2+3*T172^2)</f>
        <v/>
      </c>
      <c r="W172" s="8">
        <f>V172/AA172</f>
        <v/>
      </c>
      <c r="X172" s="27">
        <f>((3*10+H172/COS(RADIANS(E172)))*(3+3)+3*G172*H172)*2</f>
        <v/>
      </c>
      <c r="Y172" s="28">
        <f>Z172/X172</f>
        <v/>
      </c>
      <c r="Z172" s="29" t="n">
        <v>597.3940558660649</v>
      </c>
      <c r="AA172" s="20" t="n">
        <v>90.70835485732189</v>
      </c>
      <c r="AB172" t="n">
        <v>0.1268302759209046</v>
      </c>
      <c r="AC172" t="n">
        <v>88.9231268118741</v>
      </c>
      <c r="AD172" t="n">
        <v>22.69566549921482</v>
      </c>
    </row>
    <row r="173">
      <c r="A173" t="n">
        <v>172</v>
      </c>
      <c r="B173" t="n">
        <v>64.2</v>
      </c>
      <c r="C173" s="21">
        <f>B173-20</f>
        <v/>
      </c>
      <c r="D173" t="n">
        <v>127.3</v>
      </c>
      <c r="E173" s="22">
        <f>D173-90</f>
        <v/>
      </c>
      <c r="F173" s="23" t="n">
        <v>0.013886</v>
      </c>
      <c r="G173" s="22" t="n">
        <v>27.1</v>
      </c>
      <c r="H173" s="22" t="n">
        <v>1.9</v>
      </c>
      <c r="I173" s="24" t="n">
        <v>0.0613084398210048</v>
      </c>
      <c r="J173" s="6" t="n">
        <v>71000</v>
      </c>
      <c r="K173" s="25">
        <f>23*10^-6</f>
        <v/>
      </c>
      <c r="L173" s="8">
        <f>H173</f>
        <v/>
      </c>
      <c r="M173" s="26">
        <f>H173^2/6</f>
        <v/>
      </c>
      <c r="N173" s="26">
        <f>H173^3/12</f>
        <v/>
      </c>
      <c r="O173" s="27">
        <f>-J173*L173*K173*C173</f>
        <v/>
      </c>
      <c r="P173" s="28">
        <f>-(12*F173*J173*L173*N173+12*O173*N173*G173*COS(RADIANS(E173)))/(12*N173*G173*COS(RADIANS(E173))^2+L173*G173^3*SIN(RADIANS(E173))^2)</f>
        <v/>
      </c>
      <c r="Q173" s="28">
        <f>-(6*F173*J173*L173*N173*SIN(RADIANS(E173))+6*O173*N173*G173*SIN(RADIANS(E173))*COS(RADIANS(E173)))/(12*N173*COS(RADIANS(E173))^2+L173*G173^2*SIN(RADIANS(E173))^2)</f>
        <v/>
      </c>
      <c r="R173" s="28">
        <f>-P173*SIN(RADIANS(E173))</f>
        <v/>
      </c>
      <c r="S173" s="8">
        <f>(O173+P173*COS(RADIANS(E173)))/L173</f>
        <v/>
      </c>
      <c r="T173" s="8">
        <f>R173/L173</f>
        <v/>
      </c>
      <c r="U173" s="8">
        <f>(Q173-P173*G173*SIN(RADIANS(E173)))/M173</f>
        <v/>
      </c>
      <c r="V173" s="8">
        <f>SQRT((S173+U173)^2+3*T173^2)</f>
        <v/>
      </c>
      <c r="W173" s="8">
        <f>V173/AA173</f>
        <v/>
      </c>
      <c r="X173" s="27">
        <f>((3*10+H173/COS(RADIANS(E173)))*(3+3)+3*G173*H173)*2</f>
        <v/>
      </c>
      <c r="Y173" s="28">
        <f>Z173/X173</f>
        <v/>
      </c>
      <c r="Z173" s="29" t="n">
        <v>707.206514612316</v>
      </c>
      <c r="AA173" s="20" t="n">
        <v>69.9672611745378</v>
      </c>
      <c r="AB173" t="n">
        <v>0.06306634628001888</v>
      </c>
      <c r="AC173" t="n">
        <v>65.13880276226899</v>
      </c>
      <c r="AD173" t="n">
        <v>2.867315599852871</v>
      </c>
    </row>
    <row r="174">
      <c r="A174" t="n">
        <v>173</v>
      </c>
      <c r="B174" t="n">
        <v>42.7</v>
      </c>
      <c r="C174" s="21">
        <f>B174-20</f>
        <v/>
      </c>
      <c r="D174" t="n">
        <v>102.5</v>
      </c>
      <c r="E174" s="22">
        <f>D174-90</f>
        <v/>
      </c>
      <c r="F174" s="23" t="n">
        <v>0.007237</v>
      </c>
      <c r="G174" s="22" t="n">
        <v>22.5</v>
      </c>
      <c r="H174" s="22" t="n">
        <v>1.4</v>
      </c>
      <c r="I174" s="24" t="n">
        <v>0.059189461171627</v>
      </c>
      <c r="J174" s="6" t="n">
        <v>71000</v>
      </c>
      <c r="K174" s="25">
        <f>23*10^-6</f>
        <v/>
      </c>
      <c r="L174" s="8">
        <f>H174</f>
        <v/>
      </c>
      <c r="M174" s="26">
        <f>H174^2/6</f>
        <v/>
      </c>
      <c r="N174" s="26">
        <f>H174^3/12</f>
        <v/>
      </c>
      <c r="O174" s="27">
        <f>-J174*L174*K174*C174</f>
        <v/>
      </c>
      <c r="P174" s="28">
        <f>-(12*F174*J174*L174*N174+12*O174*N174*G174*COS(RADIANS(E174)))/(12*N174*G174*COS(RADIANS(E174))^2+L174*G174^3*SIN(RADIANS(E174))^2)</f>
        <v/>
      </c>
      <c r="Q174" s="28">
        <f>-(6*F174*J174*L174*N174*SIN(RADIANS(E174))+6*O174*N174*G174*SIN(RADIANS(E174))*COS(RADIANS(E174)))/(12*N174*COS(RADIANS(E174))^2+L174*G174^2*SIN(RADIANS(E174))^2)</f>
        <v/>
      </c>
      <c r="R174" s="28">
        <f>-P174*SIN(RADIANS(E174))</f>
        <v/>
      </c>
      <c r="S174" s="8">
        <f>(O174+P174*COS(RADIANS(E174)))/L174</f>
        <v/>
      </c>
      <c r="T174" s="8">
        <f>R174/L174</f>
        <v/>
      </c>
      <c r="U174" s="8">
        <f>(Q174-P174*G174*SIN(RADIANS(E174)))/M174</f>
        <v/>
      </c>
      <c r="V174" s="8">
        <f>SQRT((S174+U174)^2+3*T174^2)</f>
        <v/>
      </c>
      <c r="W174" s="8">
        <f>V174/AA174</f>
        <v/>
      </c>
      <c r="X174" s="27">
        <f>((3*10+H174/COS(RADIANS(E174)))*(3+3)+3*G174*H174)*2</f>
        <v/>
      </c>
      <c r="Y174" s="28">
        <f>Z174/X174</f>
        <v/>
      </c>
      <c r="Z174" s="29" t="n">
        <v>570.2242335696729</v>
      </c>
      <c r="AA174" s="20" t="n">
        <v>36.9872055505819</v>
      </c>
      <c r="AB174" t="n">
        <v>0.08045573445263728</v>
      </c>
      <c r="AC174" t="n">
        <v>38.44894812351394</v>
      </c>
      <c r="AD174" t="n">
        <v>35.92915505573896</v>
      </c>
    </row>
    <row r="175">
      <c r="A175" t="n">
        <v>174</v>
      </c>
      <c r="B175" t="n">
        <v>47.2</v>
      </c>
      <c r="C175" s="21">
        <f>B175-20</f>
        <v/>
      </c>
      <c r="D175" t="n">
        <v>120.5</v>
      </c>
      <c r="E175" s="22">
        <f>D175-90</f>
        <v/>
      </c>
      <c r="F175" s="23" t="n">
        <v>0.009021</v>
      </c>
      <c r="G175" s="22" t="n">
        <v>26.8</v>
      </c>
      <c r="H175" s="22" t="n">
        <v>1.3</v>
      </c>
      <c r="I175" s="24" t="n">
        <v>0.042434561997652</v>
      </c>
      <c r="J175" s="6" t="n">
        <v>71000</v>
      </c>
      <c r="K175" s="25">
        <f>23*10^-6</f>
        <v/>
      </c>
      <c r="L175" s="8">
        <f>H175</f>
        <v/>
      </c>
      <c r="M175" s="26">
        <f>H175^2/6</f>
        <v/>
      </c>
      <c r="N175" s="26">
        <f>H175^3/12</f>
        <v/>
      </c>
      <c r="O175" s="27">
        <f>-J175*L175*K175*C175</f>
        <v/>
      </c>
      <c r="P175" s="28">
        <f>-(12*F175*J175*L175*N175+12*O175*N175*G175*COS(RADIANS(E175)))/(12*N175*G175*COS(RADIANS(E175))^2+L175*G175^3*SIN(RADIANS(E175))^2)</f>
        <v/>
      </c>
      <c r="Q175" s="28">
        <f>-(6*F175*J175*L175*N175*SIN(RADIANS(E175))+6*O175*N175*G175*SIN(RADIANS(E175))*COS(RADIANS(E175)))/(12*N175*COS(RADIANS(E175))^2+L175*G175^2*SIN(RADIANS(E175))^2)</f>
        <v/>
      </c>
      <c r="R175" s="28">
        <f>-P175*SIN(RADIANS(E175))</f>
        <v/>
      </c>
      <c r="S175" s="8">
        <f>(O175+P175*COS(RADIANS(E175)))/L175</f>
        <v/>
      </c>
      <c r="T175" s="8">
        <f>R175/L175</f>
        <v/>
      </c>
      <c r="U175" s="8">
        <f>(Q175-P175*G175*SIN(RADIANS(E175)))/M175</f>
        <v/>
      </c>
      <c r="V175" s="8">
        <f>SQRT((S175+U175)^2+3*T175^2)</f>
        <v/>
      </c>
      <c r="W175" s="8">
        <f>V175/AA175</f>
        <v/>
      </c>
      <c r="X175" s="27">
        <f>((3*10+H175/COS(RADIANS(E175)))*(3+3)+3*G175*H175)*2</f>
        <v/>
      </c>
      <c r="Y175" s="28">
        <f>Z175/X175</f>
        <v/>
      </c>
      <c r="Z175" s="29" t="n">
        <v>594.433076695556</v>
      </c>
      <c r="AA175" s="20" t="n">
        <v>39.3065301082004</v>
      </c>
      <c r="AB175" t="n">
        <v>0.04798684296554818</v>
      </c>
      <c r="AC175" t="n">
        <v>39.80732290854109</v>
      </c>
      <c r="AD175" t="n">
        <v>13.08433669753303</v>
      </c>
    </row>
    <row r="176">
      <c r="A176" t="n">
        <v>175</v>
      </c>
      <c r="B176" t="n">
        <v>62.5</v>
      </c>
      <c r="C176" s="21">
        <f>B176-20</f>
        <v/>
      </c>
      <c r="D176" t="n">
        <v>118.7</v>
      </c>
      <c r="E176" s="22">
        <f>D176-90</f>
        <v/>
      </c>
      <c r="F176" s="23" t="n">
        <v>0.012554</v>
      </c>
      <c r="G176" s="22" t="n">
        <v>22.7</v>
      </c>
      <c r="H176" s="22" t="n">
        <v>1.5</v>
      </c>
      <c r="I176" s="24" t="n">
        <v>0.062169887125492</v>
      </c>
      <c r="J176" s="6" t="n">
        <v>71000</v>
      </c>
      <c r="K176" s="25">
        <f>23*10^-6</f>
        <v/>
      </c>
      <c r="L176" s="8">
        <f>H176</f>
        <v/>
      </c>
      <c r="M176" s="26">
        <f>H176^2/6</f>
        <v/>
      </c>
      <c r="N176" s="26">
        <f>H176^3/12</f>
        <v/>
      </c>
      <c r="O176" s="27">
        <f>-J176*L176*K176*C176</f>
        <v/>
      </c>
      <c r="P176" s="28">
        <f>-(12*F176*J176*L176*N176+12*O176*N176*G176*COS(RADIANS(E176)))/(12*N176*G176*COS(RADIANS(E176))^2+L176*G176^3*SIN(RADIANS(E176))^2)</f>
        <v/>
      </c>
      <c r="Q176" s="28">
        <f>-(6*F176*J176*L176*N176*SIN(RADIANS(E176))+6*O176*N176*G176*SIN(RADIANS(E176))*COS(RADIANS(E176)))/(12*N176*COS(RADIANS(E176))^2+L176*G176^2*SIN(RADIANS(E176))^2)</f>
        <v/>
      </c>
      <c r="R176" s="28">
        <f>-P176*SIN(RADIANS(E176))</f>
        <v/>
      </c>
      <c r="S176" s="8">
        <f>(O176+P176*COS(RADIANS(E176)))/L176</f>
        <v/>
      </c>
      <c r="T176" s="8">
        <f>R176/L176</f>
        <v/>
      </c>
      <c r="U176" s="8">
        <f>(Q176-P176*G176*SIN(RADIANS(E176)))/M176</f>
        <v/>
      </c>
      <c r="V176" s="8">
        <f>SQRT((S176+U176)^2+3*T176^2)</f>
        <v/>
      </c>
      <c r="W176" s="8">
        <f>V176/AA176</f>
        <v/>
      </c>
      <c r="X176" s="27">
        <f>((3*10+H176/COS(RADIANS(E176)))*(3+3)+3*G176*H176)*2</f>
        <v/>
      </c>
      <c r="Y176" s="28">
        <f>Z176/X176</f>
        <v/>
      </c>
      <c r="Z176" s="29" t="n">
        <v>591.61618503927</v>
      </c>
      <c r="AA176" s="20" t="n">
        <v>65.89205731623581</v>
      </c>
      <c r="AB176" t="n">
        <v>0.06804503527180021</v>
      </c>
      <c r="AC176" t="n">
        <v>64.02418569281193</v>
      </c>
      <c r="AD176" t="n">
        <v>9.450150897731291</v>
      </c>
    </row>
    <row r="177">
      <c r="A177" t="n">
        <v>176</v>
      </c>
      <c r="B177" t="n">
        <v>63.6</v>
      </c>
      <c r="C177" s="21">
        <f>B177-20</f>
        <v/>
      </c>
      <c r="D177" t="n">
        <v>102.7</v>
      </c>
      <c r="E177" s="22">
        <f>D177-90</f>
        <v/>
      </c>
      <c r="F177" s="23" t="n">
        <v>0.017432</v>
      </c>
      <c r="G177" s="22" t="n">
        <v>29.8</v>
      </c>
      <c r="H177" s="22" t="n">
        <v>1.9</v>
      </c>
      <c r="I177" s="24" t="n">
        <v>0.136405810713768</v>
      </c>
      <c r="J177" s="6" t="n">
        <v>71000</v>
      </c>
      <c r="K177" s="25">
        <f>23*10^-6</f>
        <v/>
      </c>
      <c r="L177" s="8">
        <f>H177</f>
        <v/>
      </c>
      <c r="M177" s="26">
        <f>H177^2/6</f>
        <v/>
      </c>
      <c r="N177" s="26">
        <f>H177^3/12</f>
        <v/>
      </c>
      <c r="O177" s="27">
        <f>-J177*L177*K177*C177</f>
        <v/>
      </c>
      <c r="P177" s="28">
        <f>-(12*F177*J177*L177*N177+12*O177*N177*G177*COS(RADIANS(E177)))/(12*N177*G177*COS(RADIANS(E177))^2+L177*G177^3*SIN(RADIANS(E177))^2)</f>
        <v/>
      </c>
      <c r="Q177" s="28">
        <f>-(6*F177*J177*L177*N177*SIN(RADIANS(E177))+6*O177*N177*G177*SIN(RADIANS(E177))*COS(RADIANS(E177)))/(12*N177*COS(RADIANS(E177))^2+L177*G177^2*SIN(RADIANS(E177))^2)</f>
        <v/>
      </c>
      <c r="R177" s="28">
        <f>-P177*SIN(RADIANS(E177))</f>
        <v/>
      </c>
      <c r="S177" s="8">
        <f>(O177+P177*COS(RADIANS(E177)))/L177</f>
        <v/>
      </c>
      <c r="T177" s="8">
        <f>R177/L177</f>
        <v/>
      </c>
      <c r="U177" s="8">
        <f>(Q177-P177*G177*SIN(RADIANS(E177)))/M177</f>
        <v/>
      </c>
      <c r="V177" s="8">
        <f>SQRT((S177+U177)^2+3*T177^2)</f>
        <v/>
      </c>
      <c r="W177" s="8">
        <f>V177/AA177</f>
        <v/>
      </c>
      <c r="X177" s="27">
        <f>((3*10+H177/COS(RADIANS(E177)))*(3+3)+3*G177*H177)*2</f>
        <v/>
      </c>
      <c r="Y177" s="28">
        <f>Z177/X177</f>
        <v/>
      </c>
      <c r="Z177" s="29" t="n">
        <v>727.127327795851</v>
      </c>
      <c r="AA177" s="20" t="n">
        <v>77.23820063562989</v>
      </c>
      <c r="AB177" t="n">
        <v>0.1971817817664615</v>
      </c>
      <c r="AC177" t="n">
        <v>75.32042774834677</v>
      </c>
      <c r="AD177" t="n">
        <v>44.55526544996307</v>
      </c>
    </row>
    <row r="178">
      <c r="A178" t="n">
        <v>177</v>
      </c>
      <c r="B178" t="n">
        <v>55.6</v>
      </c>
      <c r="C178" s="21">
        <f>B178-20</f>
        <v/>
      </c>
      <c r="D178" t="n">
        <v>113.6</v>
      </c>
      <c r="E178" s="22">
        <f>D178-90</f>
        <v/>
      </c>
      <c r="F178" s="23" t="n">
        <v>0.010803</v>
      </c>
      <c r="G178" s="22" t="n">
        <v>22.5</v>
      </c>
      <c r="H178" s="22" t="n">
        <v>1.6</v>
      </c>
      <c r="I178" s="24" t="n">
        <v>0.0589707121253013</v>
      </c>
      <c r="J178" s="6" t="n">
        <v>71000</v>
      </c>
      <c r="K178" s="25">
        <f>23*10^-6</f>
        <v/>
      </c>
      <c r="L178" s="8">
        <f>H178</f>
        <v/>
      </c>
      <c r="M178" s="26">
        <f>H178^2/6</f>
        <v/>
      </c>
      <c r="N178" s="26">
        <f>H178^3/12</f>
        <v/>
      </c>
      <c r="O178" s="27">
        <f>-J178*L178*K178*C178</f>
        <v/>
      </c>
      <c r="P178" s="28">
        <f>-(12*F178*J178*L178*N178+12*O178*N178*G178*COS(RADIANS(E178)))/(12*N178*G178*COS(RADIANS(E178))^2+L178*G178^3*SIN(RADIANS(E178))^2)</f>
        <v/>
      </c>
      <c r="Q178" s="28">
        <f>-(6*F178*J178*L178*N178*SIN(RADIANS(E178))+6*O178*N178*G178*SIN(RADIANS(E178))*COS(RADIANS(E178)))/(12*N178*COS(RADIANS(E178))^2+L178*G178^2*SIN(RADIANS(E178))^2)</f>
        <v/>
      </c>
      <c r="R178" s="28">
        <f>-P178*SIN(RADIANS(E178))</f>
        <v/>
      </c>
      <c r="S178" s="8">
        <f>(O178+P178*COS(RADIANS(E178)))/L178</f>
        <v/>
      </c>
      <c r="T178" s="8">
        <f>R178/L178</f>
        <v/>
      </c>
      <c r="U178" s="8">
        <f>(Q178-P178*G178*SIN(RADIANS(E178)))/M178</f>
        <v/>
      </c>
      <c r="V178" s="8">
        <f>SQRT((S178+U178)^2+3*T178^2)</f>
        <v/>
      </c>
      <c r="W178" s="8">
        <f>V178/AA178</f>
        <v/>
      </c>
      <c r="X178" s="27">
        <f>((3*10+H178/COS(RADIANS(E178)))*(3+3)+3*G178*H178)*2</f>
        <v/>
      </c>
      <c r="Y178" s="28">
        <f>Z178/X178</f>
        <v/>
      </c>
      <c r="Z178" s="29" t="n">
        <v>602.576533179466</v>
      </c>
      <c r="AA178" s="20" t="n">
        <v>56.9312703864356</v>
      </c>
      <c r="AB178" t="n">
        <v>0.06879612633747861</v>
      </c>
      <c r="AC178" t="n">
        <v>55.56261860377932</v>
      </c>
      <c r="AD178" t="n">
        <v>16.66151528117927</v>
      </c>
    </row>
    <row r="179">
      <c r="A179" t="n">
        <v>178</v>
      </c>
      <c r="B179" t="n">
        <v>53</v>
      </c>
      <c r="C179" s="21">
        <f>B179-20</f>
        <v/>
      </c>
      <c r="D179" t="n">
        <v>117</v>
      </c>
      <c r="E179" s="22">
        <f>D179-90</f>
        <v/>
      </c>
      <c r="F179" s="23" t="n">
        <v>0.012849</v>
      </c>
      <c r="G179" s="22" t="n">
        <v>31.6</v>
      </c>
      <c r="H179" s="22" t="n">
        <v>1.1</v>
      </c>
      <c r="I179" s="24" t="n">
        <v>0.0623874999582767</v>
      </c>
      <c r="J179" s="6" t="n">
        <v>71000</v>
      </c>
      <c r="K179" s="25">
        <f>23*10^-6</f>
        <v/>
      </c>
      <c r="L179" s="8">
        <f>H179</f>
        <v/>
      </c>
      <c r="M179" s="26">
        <f>H179^2/6</f>
        <v/>
      </c>
      <c r="N179" s="26">
        <f>H179^3/12</f>
        <v/>
      </c>
      <c r="O179" s="27">
        <f>-J179*L179*K179*C179</f>
        <v/>
      </c>
      <c r="P179" s="28">
        <f>-(12*F179*J179*L179*N179+12*O179*N179*G179*COS(RADIANS(E179)))/(12*N179*G179*COS(RADIANS(E179))^2+L179*G179^3*SIN(RADIANS(E179))^2)</f>
        <v/>
      </c>
      <c r="Q179" s="28">
        <f>-(6*F179*J179*L179*N179*SIN(RADIANS(E179))+6*O179*N179*G179*SIN(RADIANS(E179))*COS(RADIANS(E179)))/(12*N179*COS(RADIANS(E179))^2+L179*G179^2*SIN(RADIANS(E179))^2)</f>
        <v/>
      </c>
      <c r="R179" s="28">
        <f>-P179*SIN(RADIANS(E179))</f>
        <v/>
      </c>
      <c r="S179" s="8">
        <f>(O179+P179*COS(RADIANS(E179)))/L179</f>
        <v/>
      </c>
      <c r="T179" s="8">
        <f>R179/L179</f>
        <v/>
      </c>
      <c r="U179" s="8">
        <f>(Q179-P179*G179*SIN(RADIANS(E179)))/M179</f>
        <v/>
      </c>
      <c r="V179" s="8">
        <f>SQRT((S179+U179)^2+3*T179^2)</f>
        <v/>
      </c>
      <c r="W179" s="8">
        <f>V179/AA179</f>
        <v/>
      </c>
      <c r="X179" s="27">
        <f>((3*10+H179/COS(RADIANS(E179)))*(3+3)+3*G179*H179)*2</f>
        <v/>
      </c>
      <c r="Y179" s="28">
        <f>Z179/X179</f>
        <v/>
      </c>
      <c r="Z179" s="29" t="n">
        <v>589.744165425639</v>
      </c>
      <c r="AA179" s="20" t="n">
        <v>45.3520323440969</v>
      </c>
      <c r="AB179" t="n">
        <v>0.07765556431764649</v>
      </c>
      <c r="AC179" t="n">
        <v>47.84622832694824</v>
      </c>
      <c r="AD179" t="n">
        <v>24.47295430908549</v>
      </c>
    </row>
    <row r="180">
      <c r="A180" t="n">
        <v>179</v>
      </c>
      <c r="B180" t="n">
        <v>50.3</v>
      </c>
      <c r="C180" s="21">
        <f>B180-20</f>
        <v/>
      </c>
      <c r="D180" t="n">
        <v>106.7</v>
      </c>
      <c r="E180" s="22">
        <f>D180-90</f>
        <v/>
      </c>
      <c r="F180" s="23" t="n">
        <v>0.010245</v>
      </c>
      <c r="G180" s="22" t="n">
        <v>24.7</v>
      </c>
      <c r="H180" s="22" t="n">
        <v>1.7</v>
      </c>
      <c r="I180" s="24" t="n">
        <v>0.06793329119682311</v>
      </c>
      <c r="J180" s="6" t="n">
        <v>71000</v>
      </c>
      <c r="K180" s="25">
        <f>23*10^-6</f>
        <v/>
      </c>
      <c r="L180" s="8">
        <f>H180</f>
        <v/>
      </c>
      <c r="M180" s="26">
        <f>H180^2/6</f>
        <v/>
      </c>
      <c r="N180" s="26">
        <f>H180^3/12</f>
        <v/>
      </c>
      <c r="O180" s="27">
        <f>-J180*L180*K180*C180</f>
        <v/>
      </c>
      <c r="P180" s="28">
        <f>-(12*F180*J180*L180*N180+12*O180*N180*G180*COS(RADIANS(E180)))/(12*N180*G180*COS(RADIANS(E180))^2+L180*G180^3*SIN(RADIANS(E180))^2)</f>
        <v/>
      </c>
      <c r="Q180" s="28">
        <f>-(6*F180*J180*L180*N180*SIN(RADIANS(E180))+6*O180*N180*G180*SIN(RADIANS(E180))*COS(RADIANS(E180)))/(12*N180*COS(RADIANS(E180))^2+L180*G180^2*SIN(RADIANS(E180))^2)</f>
        <v/>
      </c>
      <c r="R180" s="28">
        <f>-P180*SIN(RADIANS(E180))</f>
        <v/>
      </c>
      <c r="S180" s="8">
        <f>(O180+P180*COS(RADIANS(E180)))/L180</f>
        <v/>
      </c>
      <c r="T180" s="8">
        <f>R180/L180</f>
        <v/>
      </c>
      <c r="U180" s="8">
        <f>(Q180-P180*G180*SIN(RADIANS(E180)))/M180</f>
        <v/>
      </c>
      <c r="V180" s="8">
        <f>SQRT((S180+U180)^2+3*T180^2)</f>
        <v/>
      </c>
      <c r="W180" s="8">
        <f>V180/AA180</f>
        <v/>
      </c>
      <c r="X180" s="27">
        <f>((3*10+H180/COS(RADIANS(E180)))*(3+3)+3*G180*H180)*2</f>
        <v/>
      </c>
      <c r="Y180" s="28">
        <f>Z180/X180</f>
        <v/>
      </c>
      <c r="Z180" s="29" t="n">
        <v>637.728773724959</v>
      </c>
      <c r="AA180" s="20" t="n">
        <v>50.9072388201305</v>
      </c>
      <c r="AB180" t="n">
        <v>0.08919286658895917</v>
      </c>
      <c r="AC180" t="n">
        <v>50.00274172271852</v>
      </c>
      <c r="AD180" t="n">
        <v>31.29478200981121</v>
      </c>
    </row>
    <row r="181">
      <c r="A181" t="n">
        <v>180</v>
      </c>
      <c r="B181" t="n">
        <v>41.4</v>
      </c>
      <c r="C181" s="21">
        <f>B181-20</f>
        <v/>
      </c>
      <c r="D181" t="n">
        <v>121</v>
      </c>
      <c r="E181" s="22">
        <f>D181-90</f>
        <v/>
      </c>
      <c r="F181" s="23" t="n">
        <v>0.006524</v>
      </c>
      <c r="G181" s="22" t="n">
        <v>24.2</v>
      </c>
      <c r="H181" s="22" t="n">
        <v>1.2</v>
      </c>
      <c r="I181" s="24" t="n">
        <v>0.0309668444097042</v>
      </c>
      <c r="J181" s="6" t="n">
        <v>71000</v>
      </c>
      <c r="K181" s="25">
        <f>23*10^-6</f>
        <v/>
      </c>
      <c r="L181" s="8">
        <f>H181</f>
        <v/>
      </c>
      <c r="M181" s="26">
        <f>H181^2/6</f>
        <v/>
      </c>
      <c r="N181" s="26">
        <f>H181^3/12</f>
        <v/>
      </c>
      <c r="O181" s="27">
        <f>-J181*L181*K181*C181</f>
        <v/>
      </c>
      <c r="P181" s="28">
        <f>-(12*F181*J181*L181*N181+12*O181*N181*G181*COS(RADIANS(E181)))/(12*N181*G181*COS(RADIANS(E181))^2+L181*G181^3*SIN(RADIANS(E181))^2)</f>
        <v/>
      </c>
      <c r="Q181" s="28">
        <f>-(6*F181*J181*L181*N181*SIN(RADIANS(E181))+6*O181*N181*G181*SIN(RADIANS(E181))*COS(RADIANS(E181)))/(12*N181*COS(RADIANS(E181))^2+L181*G181^2*SIN(RADIANS(E181))^2)</f>
        <v/>
      </c>
      <c r="R181" s="28">
        <f>-P181*SIN(RADIANS(E181))</f>
        <v/>
      </c>
      <c r="S181" s="8">
        <f>(O181+P181*COS(RADIANS(E181)))/L181</f>
        <v/>
      </c>
      <c r="T181" s="8">
        <f>R181/L181</f>
        <v/>
      </c>
      <c r="U181" s="8">
        <f>(Q181-P181*G181*SIN(RADIANS(E181)))/M181</f>
        <v/>
      </c>
      <c r="V181" s="8">
        <f>SQRT((S181+U181)^2+3*T181^2)</f>
        <v/>
      </c>
      <c r="W181" s="8">
        <f>V181/AA181</f>
        <v/>
      </c>
      <c r="X181" s="27">
        <f>((3*10+H181/COS(RADIANS(E181)))*(3+3)+3*G181*H181)*2</f>
        <v/>
      </c>
      <c r="Y181" s="28">
        <f>Z181/X181</f>
        <v/>
      </c>
      <c r="Z181" s="29" t="n">
        <v>558.472351838709</v>
      </c>
      <c r="AA181" s="20" t="n">
        <v>30.692384471023</v>
      </c>
      <c r="AB181" t="n">
        <v>0.03372881118909712</v>
      </c>
      <c r="AC181" t="n">
        <v>31.22408796697308</v>
      </c>
      <c r="AD181" t="n">
        <v>8.919109557470401</v>
      </c>
    </row>
    <row r="182">
      <c r="A182" t="n">
        <v>181</v>
      </c>
      <c r="B182" t="n">
        <v>60.1</v>
      </c>
      <c r="C182" s="21">
        <f>B182-20</f>
        <v/>
      </c>
      <c r="D182" t="n">
        <v>109.7</v>
      </c>
      <c r="E182" s="22">
        <f>D182-90</f>
        <v/>
      </c>
      <c r="F182" s="23" t="n">
        <v>0.014019</v>
      </c>
      <c r="G182" s="22" t="n">
        <v>26.2</v>
      </c>
      <c r="H182" s="22" t="n">
        <v>1.6</v>
      </c>
      <c r="I182" s="24" t="n">
        <v>0.08351157605648039</v>
      </c>
      <c r="J182" s="6" t="n">
        <v>71000</v>
      </c>
      <c r="K182" s="25">
        <f>23*10^-6</f>
        <v/>
      </c>
      <c r="L182" s="8">
        <f>H182</f>
        <v/>
      </c>
      <c r="M182" s="26">
        <f>H182^2/6</f>
        <v/>
      </c>
      <c r="N182" s="26">
        <f>H182^3/12</f>
        <v/>
      </c>
      <c r="O182" s="27">
        <f>-J182*L182*K182*C182</f>
        <v/>
      </c>
      <c r="P182" s="28">
        <f>-(12*F182*J182*L182*N182+12*O182*N182*G182*COS(RADIANS(E182)))/(12*N182*G182*COS(RADIANS(E182))^2+L182*G182^3*SIN(RADIANS(E182))^2)</f>
        <v/>
      </c>
      <c r="Q182" s="28">
        <f>-(6*F182*J182*L182*N182*SIN(RADIANS(E182))+6*O182*N182*G182*SIN(RADIANS(E182))*COS(RADIANS(E182)))/(12*N182*COS(RADIANS(E182))^2+L182*G182^2*SIN(RADIANS(E182))^2)</f>
        <v/>
      </c>
      <c r="R182" s="28">
        <f>-P182*SIN(RADIANS(E182))</f>
        <v/>
      </c>
      <c r="S182" s="8">
        <f>(O182+P182*COS(RADIANS(E182)))/L182</f>
        <v/>
      </c>
      <c r="T182" s="8">
        <f>R182/L182</f>
        <v/>
      </c>
      <c r="U182" s="8">
        <f>(Q182-P182*G182*SIN(RADIANS(E182)))/M182</f>
        <v/>
      </c>
      <c r="V182" s="8">
        <f>SQRT((S182+U182)^2+3*T182^2)</f>
        <v/>
      </c>
      <c r="W182" s="8">
        <f>V182/AA182</f>
        <v/>
      </c>
      <c r="X182" s="27">
        <f>((3*10+H182/COS(RADIANS(E182)))*(3+3)+3*G182*H182)*2</f>
        <v/>
      </c>
      <c r="Y182" s="28">
        <f>Z182/X182</f>
        <v/>
      </c>
      <c r="Z182" s="29" t="n">
        <v>636.839292233036</v>
      </c>
      <c r="AA182" s="20" t="n">
        <v>63.6603859490521</v>
      </c>
      <c r="AB182" t="n">
        <v>0.1075620229936182</v>
      </c>
      <c r="AC182" t="n">
        <v>63.55333546443697</v>
      </c>
      <c r="AD182" t="n">
        <v>28.79893791116104</v>
      </c>
    </row>
    <row r="183">
      <c r="A183" t="n">
        <v>182</v>
      </c>
      <c r="B183" t="n">
        <v>54.6</v>
      </c>
      <c r="C183" s="21">
        <f>B183-20</f>
        <v/>
      </c>
      <c r="D183" t="n">
        <v>114.8</v>
      </c>
      <c r="E183" s="22">
        <f>D183-90</f>
        <v/>
      </c>
      <c r="F183" s="23" t="n">
        <v>0.013252</v>
      </c>
      <c r="G183" s="22" t="n">
        <v>30.4</v>
      </c>
      <c r="H183" s="22" t="n">
        <v>1</v>
      </c>
      <c r="I183" s="24" t="n">
        <v>0.067700058221817</v>
      </c>
      <c r="J183" s="6" t="n">
        <v>71000</v>
      </c>
      <c r="K183" s="25">
        <f>23*10^-6</f>
        <v/>
      </c>
      <c r="L183" s="8">
        <f>H183</f>
        <v/>
      </c>
      <c r="M183" s="26">
        <f>H183^2/6</f>
        <v/>
      </c>
      <c r="N183" s="26">
        <f>H183^3/12</f>
        <v/>
      </c>
      <c r="O183" s="27">
        <f>-J183*L183*K183*C183</f>
        <v/>
      </c>
      <c r="P183" s="28">
        <f>-(12*F183*J183*L183*N183+12*O183*N183*G183*COS(RADIANS(E183)))/(12*N183*G183*COS(RADIANS(E183))^2+L183*G183^3*SIN(RADIANS(E183))^2)</f>
        <v/>
      </c>
      <c r="Q183" s="28">
        <f>-(6*F183*J183*L183*N183*SIN(RADIANS(E183))+6*O183*N183*G183*SIN(RADIANS(E183))*COS(RADIANS(E183)))/(12*N183*COS(RADIANS(E183))^2+L183*G183^2*SIN(RADIANS(E183))^2)</f>
        <v/>
      </c>
      <c r="R183" s="28">
        <f>-P183*SIN(RADIANS(E183))</f>
        <v/>
      </c>
      <c r="S183" s="8">
        <f>(O183+P183*COS(RADIANS(E183)))/L183</f>
        <v/>
      </c>
      <c r="T183" s="8">
        <f>R183/L183</f>
        <v/>
      </c>
      <c r="U183" s="8">
        <f>(Q183-P183*G183*SIN(RADIANS(E183)))/M183</f>
        <v/>
      </c>
      <c r="V183" s="8">
        <f>SQRT((S183+U183)^2+3*T183^2)</f>
        <v/>
      </c>
      <c r="W183" s="8">
        <f>V183/AA183</f>
        <v/>
      </c>
      <c r="X183" s="27">
        <f>((3*10+H183/COS(RADIANS(E183)))*(3+3)+3*G183*H183)*2</f>
        <v/>
      </c>
      <c r="Y183" s="28">
        <f>Z183/X183</f>
        <v/>
      </c>
      <c r="Z183" s="29" t="n">
        <v>561.490925200228</v>
      </c>
      <c r="AA183" s="20" t="n">
        <v>47.1660424287295</v>
      </c>
      <c r="AB183" t="n">
        <v>0.08588914962222076</v>
      </c>
      <c r="AC183" t="n">
        <v>50.29538904060064</v>
      </c>
      <c r="AD183" t="n">
        <v>26.86717246358607</v>
      </c>
    </row>
    <row r="184">
      <c r="A184" t="n">
        <v>183</v>
      </c>
      <c r="B184" t="n">
        <v>89.90000000000001</v>
      </c>
      <c r="C184" s="21">
        <f>B184-20</f>
        <v/>
      </c>
      <c r="D184" t="n">
        <v>118</v>
      </c>
      <c r="E184" s="22">
        <f>D184-90</f>
        <v/>
      </c>
      <c r="F184" s="23" t="n">
        <v>0.020471</v>
      </c>
      <c r="G184" s="22" t="n">
        <v>22.3</v>
      </c>
      <c r="H184" s="22" t="n">
        <v>1.7</v>
      </c>
      <c r="I184" s="24" t="n">
        <v>0.102677926421165</v>
      </c>
      <c r="J184" s="6" t="n">
        <v>71000</v>
      </c>
      <c r="K184" s="25">
        <f>23*10^-6</f>
        <v/>
      </c>
      <c r="L184" s="8">
        <f>H184</f>
        <v/>
      </c>
      <c r="M184" s="26">
        <f>H184^2/6</f>
        <v/>
      </c>
      <c r="N184" s="26">
        <f>H184^3/12</f>
        <v/>
      </c>
      <c r="O184" s="27">
        <f>-J184*L184*K184*C184</f>
        <v/>
      </c>
      <c r="P184" s="28">
        <f>-(12*F184*J184*L184*N184+12*O184*N184*G184*COS(RADIANS(E184)))/(12*N184*G184*COS(RADIANS(E184))^2+L184*G184^3*SIN(RADIANS(E184))^2)</f>
        <v/>
      </c>
      <c r="Q184" s="28">
        <f>-(6*F184*J184*L184*N184*SIN(RADIANS(E184))+6*O184*N184*G184*SIN(RADIANS(E184))*COS(RADIANS(E184)))/(12*N184*COS(RADIANS(E184))^2+L184*G184^2*SIN(RADIANS(E184))^2)</f>
        <v/>
      </c>
      <c r="R184" s="28">
        <f>-P184*SIN(RADIANS(E184))</f>
        <v/>
      </c>
      <c r="S184" s="8">
        <f>(O184+P184*COS(RADIANS(E184)))/L184</f>
        <v/>
      </c>
      <c r="T184" s="8">
        <f>R184/L184</f>
        <v/>
      </c>
      <c r="U184" s="8">
        <f>(Q184-P184*G184*SIN(RADIANS(E184)))/M184</f>
        <v/>
      </c>
      <c r="V184" s="8">
        <f>SQRT((S184+U184)^2+3*T184^2)</f>
        <v/>
      </c>
      <c r="W184" s="8">
        <f>V184/AA184</f>
        <v/>
      </c>
      <c r="X184" s="27">
        <f>((3*10+H184/COS(RADIANS(E184)))*(3+3)+3*G184*H184)*2</f>
        <v/>
      </c>
      <c r="Y184" s="28">
        <f>Z184/X184</f>
        <v/>
      </c>
      <c r="Z184" s="29" t="n">
        <v>617.179739636235</v>
      </c>
      <c r="AA184" s="20" t="n">
        <v>113.437910121991</v>
      </c>
      <c r="AB184" t="n">
        <v>0.1123337874103941</v>
      </c>
      <c r="AC184" t="n">
        <v>107.1975971913109</v>
      </c>
      <c r="AD184" t="n">
        <v>9.404028037752356</v>
      </c>
    </row>
    <row r="185">
      <c r="A185" t="n">
        <v>184</v>
      </c>
      <c r="B185" t="n">
        <v>84.2</v>
      </c>
      <c r="C185" s="21">
        <f>B185-20</f>
        <v/>
      </c>
      <c r="D185" t="n">
        <v>121.1</v>
      </c>
      <c r="E185" s="22">
        <f>D185-90</f>
        <v/>
      </c>
      <c r="F185" s="23" t="n">
        <v>0.025072</v>
      </c>
      <c r="G185" s="22" t="n">
        <v>33</v>
      </c>
      <c r="H185" s="22" t="n">
        <v>1.2</v>
      </c>
      <c r="I185" s="24" t="n">
        <v>0.113463804125785</v>
      </c>
      <c r="J185" s="6" t="n">
        <v>71000</v>
      </c>
      <c r="K185" s="25">
        <f>23*10^-6</f>
        <v/>
      </c>
      <c r="L185" s="8">
        <f>H185</f>
        <v/>
      </c>
      <c r="M185" s="26">
        <f>H185^2/6</f>
        <v/>
      </c>
      <c r="N185" s="26">
        <f>H185^3/12</f>
        <v/>
      </c>
      <c r="O185" s="27">
        <f>-J185*L185*K185*C185</f>
        <v/>
      </c>
      <c r="P185" s="28">
        <f>-(12*F185*J185*L185*N185+12*O185*N185*G185*COS(RADIANS(E185)))/(12*N185*G185*COS(RADIANS(E185))^2+L185*G185^3*SIN(RADIANS(E185))^2)</f>
        <v/>
      </c>
      <c r="Q185" s="28">
        <f>-(6*F185*J185*L185*N185*SIN(RADIANS(E185))+6*O185*N185*G185*SIN(RADIANS(E185))*COS(RADIANS(E185)))/(12*N185*COS(RADIANS(E185))^2+L185*G185^2*SIN(RADIANS(E185))^2)</f>
        <v/>
      </c>
      <c r="R185" s="28">
        <f>-P185*SIN(RADIANS(E185))</f>
        <v/>
      </c>
      <c r="S185" s="8">
        <f>(O185+P185*COS(RADIANS(E185)))/L185</f>
        <v/>
      </c>
      <c r="T185" s="8">
        <f>R185/L185</f>
        <v/>
      </c>
      <c r="U185" s="8">
        <f>(Q185-P185*G185*SIN(RADIANS(E185)))/M185</f>
        <v/>
      </c>
      <c r="V185" s="8">
        <f>SQRT((S185+U185)^2+3*T185^2)</f>
        <v/>
      </c>
      <c r="W185" s="8">
        <f>V185/AA185</f>
        <v/>
      </c>
      <c r="X185" s="27">
        <f>((3*10+H185/COS(RADIANS(E185)))*(3+3)+3*G185*H185)*2</f>
        <v/>
      </c>
      <c r="Y185" s="28">
        <f>Z185/X185</f>
        <v/>
      </c>
      <c r="Z185" s="29" t="n">
        <v>621.879449913618</v>
      </c>
      <c r="AA185" s="20" t="n">
        <v>88.7170158367538</v>
      </c>
      <c r="AB185" t="n">
        <v>0.1353515484605025</v>
      </c>
      <c r="AC185" t="n">
        <v>92.30479291641375</v>
      </c>
      <c r="AD185" t="n">
        <v>19.29050810816545</v>
      </c>
    </row>
    <row r="186">
      <c r="A186" t="n">
        <v>185</v>
      </c>
      <c r="B186" t="n">
        <v>64.90000000000001</v>
      </c>
      <c r="C186" s="21">
        <f>B186-20</f>
        <v/>
      </c>
      <c r="D186" t="n">
        <v>127.3</v>
      </c>
      <c r="E186" s="22">
        <f>D186-90</f>
        <v/>
      </c>
      <c r="F186" s="23" t="n">
        <v>0.013332</v>
      </c>
      <c r="G186" s="22" t="n">
        <v>25.2</v>
      </c>
      <c r="H186" s="22" t="n">
        <v>1.2</v>
      </c>
      <c r="I186" s="24" t="n">
        <v>0.0593319237232208</v>
      </c>
      <c r="J186" s="6" t="n">
        <v>71000</v>
      </c>
      <c r="K186" s="25">
        <f>23*10^-6</f>
        <v/>
      </c>
      <c r="L186" s="8">
        <f>H186</f>
        <v/>
      </c>
      <c r="M186" s="26">
        <f>H186^2/6</f>
        <v/>
      </c>
      <c r="N186" s="26">
        <f>H186^3/12</f>
        <v/>
      </c>
      <c r="O186" s="27">
        <f>-J186*L186*K186*C186</f>
        <v/>
      </c>
      <c r="P186" s="28">
        <f>-(12*F186*J186*L186*N186+12*O186*N186*G186*COS(RADIANS(E186)))/(12*N186*G186*COS(RADIANS(E186))^2+L186*G186^3*SIN(RADIANS(E186))^2)</f>
        <v/>
      </c>
      <c r="Q186" s="28">
        <f>-(6*F186*J186*L186*N186*SIN(RADIANS(E186))+6*O186*N186*G186*SIN(RADIANS(E186))*COS(RADIANS(E186)))/(12*N186*COS(RADIANS(E186))^2+L186*G186^2*SIN(RADIANS(E186))^2)</f>
        <v/>
      </c>
      <c r="R186" s="28">
        <f>-P186*SIN(RADIANS(E186))</f>
        <v/>
      </c>
      <c r="S186" s="8">
        <f>(O186+P186*COS(RADIANS(E186)))/L186</f>
        <v/>
      </c>
      <c r="T186" s="8">
        <f>R186/L186</f>
        <v/>
      </c>
      <c r="U186" s="8">
        <f>(Q186-P186*G186*SIN(RADIANS(E186)))/M186</f>
        <v/>
      </c>
      <c r="V186" s="8">
        <f>SQRT((S186+U186)^2+3*T186^2)</f>
        <v/>
      </c>
      <c r="W186" s="8">
        <f>V186/AA186</f>
        <v/>
      </c>
      <c r="X186" s="27">
        <f>((3*10+H186/COS(RADIANS(E186)))*(3+3)+3*G186*H186)*2</f>
        <v/>
      </c>
      <c r="Y186" s="28">
        <f>Z186/X186</f>
        <v/>
      </c>
      <c r="Z186" s="29" t="n">
        <v>569.146765981887</v>
      </c>
      <c r="AA186" s="20" t="n">
        <v>62.0932317170191</v>
      </c>
      <c r="AB186" t="n">
        <v>0.06017057177841693</v>
      </c>
      <c r="AC186" t="n">
        <v>64.23291594992914</v>
      </c>
      <c r="AD186" t="n">
        <v>1.413485359261854</v>
      </c>
    </row>
    <row r="187">
      <c r="A187" t="n">
        <v>186</v>
      </c>
      <c r="B187" t="n">
        <v>89.90000000000001</v>
      </c>
      <c r="C187" s="21">
        <f>B187-20</f>
        <v/>
      </c>
      <c r="D187" t="n">
        <v>110.3</v>
      </c>
      <c r="E187" s="22">
        <f>D187-90</f>
        <v/>
      </c>
      <c r="F187" s="23" t="n">
        <v>0.021597</v>
      </c>
      <c r="G187" s="22" t="n">
        <v>22.5</v>
      </c>
      <c r="H187" s="22" t="n">
        <v>1.6</v>
      </c>
      <c r="I187" s="24" t="n">
        <v>0.128400236368179</v>
      </c>
      <c r="J187" s="6" t="n">
        <v>71000</v>
      </c>
      <c r="K187" s="25">
        <f>23*10^-6</f>
        <v/>
      </c>
      <c r="L187" s="8">
        <f>H187</f>
        <v/>
      </c>
      <c r="M187" s="26">
        <f>H187^2/6</f>
        <v/>
      </c>
      <c r="N187" s="26">
        <f>H187^3/12</f>
        <v/>
      </c>
      <c r="O187" s="27">
        <f>-J187*L187*K187*C187</f>
        <v/>
      </c>
      <c r="P187" s="28">
        <f>-(12*F187*J187*L187*N187+12*O187*N187*G187*COS(RADIANS(E187)))/(12*N187*G187*COS(RADIANS(E187))^2+L187*G187^3*SIN(RADIANS(E187))^2)</f>
        <v/>
      </c>
      <c r="Q187" s="28">
        <f>-(6*F187*J187*L187*N187*SIN(RADIANS(E187))+6*O187*N187*G187*SIN(RADIANS(E187))*COS(RADIANS(E187)))/(12*N187*COS(RADIANS(E187))^2+L187*G187^2*SIN(RADIANS(E187))^2)</f>
        <v/>
      </c>
      <c r="R187" s="28">
        <f>-P187*SIN(RADIANS(E187))</f>
        <v/>
      </c>
      <c r="S187" s="8">
        <f>(O187+P187*COS(RADIANS(E187)))/L187</f>
        <v/>
      </c>
      <c r="T187" s="8">
        <f>R187/L187</f>
        <v/>
      </c>
      <c r="U187" s="8">
        <f>(Q187-P187*G187*SIN(RADIANS(E187)))/M187</f>
        <v/>
      </c>
      <c r="V187" s="8">
        <f>SQRT((S187+U187)^2+3*T187^2)</f>
        <v/>
      </c>
      <c r="W187" s="8">
        <f>V187/AA187</f>
        <v/>
      </c>
      <c r="X187" s="27">
        <f>((3*10+H187/COS(RADIANS(E187)))*(3+3)+3*G187*H187)*2</f>
        <v/>
      </c>
      <c r="Y187" s="28">
        <f>Z187/X187</f>
        <v/>
      </c>
      <c r="Z187" s="29" t="n">
        <v>601.494520399219</v>
      </c>
      <c r="AA187" s="20" t="n">
        <v>112.816300309384</v>
      </c>
      <c r="AB187" t="n">
        <v>0.1565677314088245</v>
      </c>
      <c r="AC187" t="n">
        <v>111.6468201457423</v>
      </c>
      <c r="AD187" t="n">
        <v>21.93726104979829</v>
      </c>
    </row>
    <row r="188">
      <c r="A188" t="n">
        <v>187</v>
      </c>
      <c r="B188" t="n">
        <v>62.9</v>
      </c>
      <c r="C188" s="21">
        <f>B188-20</f>
        <v/>
      </c>
      <c r="D188" t="n">
        <v>125.5</v>
      </c>
      <c r="E188" s="22">
        <f>D188-90</f>
        <v/>
      </c>
      <c r="F188" s="23" t="n">
        <v>0.012251</v>
      </c>
      <c r="G188" s="22" t="n">
        <v>23.4</v>
      </c>
      <c r="H188" s="22" t="n">
        <v>1.7</v>
      </c>
      <c r="I188" s="24" t="n">
        <v>0.055923156440258</v>
      </c>
      <c r="J188" s="6" t="n">
        <v>71000</v>
      </c>
      <c r="K188" s="25">
        <f>23*10^-6</f>
        <v/>
      </c>
      <c r="L188" s="8">
        <f>H188</f>
        <v/>
      </c>
      <c r="M188" s="26">
        <f>H188^2/6</f>
        <v/>
      </c>
      <c r="N188" s="26">
        <f>H188^3/12</f>
        <v/>
      </c>
      <c r="O188" s="27">
        <f>-J188*L188*K188*C188</f>
        <v/>
      </c>
      <c r="P188" s="28">
        <f>-(12*F188*J188*L188*N188+12*O188*N188*G188*COS(RADIANS(E188)))/(12*N188*G188*COS(RADIANS(E188))^2+L188*G188^3*SIN(RADIANS(E188))^2)</f>
        <v/>
      </c>
      <c r="Q188" s="28">
        <f>-(6*F188*J188*L188*N188*SIN(RADIANS(E188))+6*O188*N188*G188*SIN(RADIANS(E188))*COS(RADIANS(E188)))/(12*N188*COS(RADIANS(E188))^2+L188*G188^2*SIN(RADIANS(E188))^2)</f>
        <v/>
      </c>
      <c r="R188" s="28">
        <f>-P188*SIN(RADIANS(E188))</f>
        <v/>
      </c>
      <c r="S188" s="8">
        <f>(O188+P188*COS(RADIANS(E188)))/L188</f>
        <v/>
      </c>
      <c r="T188" s="8">
        <f>R188/L188</f>
        <v/>
      </c>
      <c r="U188" s="8">
        <f>(Q188-P188*G188*SIN(RADIANS(E188)))/M188</f>
        <v/>
      </c>
      <c r="V188" s="8">
        <f>SQRT((S188+U188)^2+3*T188^2)</f>
        <v/>
      </c>
      <c r="W188" s="8">
        <f>V188/AA188</f>
        <v/>
      </c>
      <c r="X188" s="27">
        <f>((3*10+H188/COS(RADIANS(E188)))*(3+3)+3*G188*H188)*2</f>
        <v/>
      </c>
      <c r="Y188" s="28">
        <f>Z188/X188</f>
        <v/>
      </c>
      <c r="Z188" s="29" t="n">
        <v>632.651344241689</v>
      </c>
      <c r="AA188" s="20" t="n">
        <v>68.1929515092325</v>
      </c>
      <c r="AB188" t="n">
        <v>0.05626118003901323</v>
      </c>
      <c r="AC188" t="n">
        <v>63.48250084063955</v>
      </c>
      <c r="AD188" t="n">
        <v>0.6044429897592405</v>
      </c>
    </row>
    <row r="189">
      <c r="A189" t="n">
        <v>188</v>
      </c>
      <c r="B189" t="n">
        <v>48.6</v>
      </c>
      <c r="C189" s="21">
        <f>B189-20</f>
        <v/>
      </c>
      <c r="D189" t="n">
        <v>119.7</v>
      </c>
      <c r="E189" s="22">
        <f>D189-90</f>
        <v/>
      </c>
      <c r="F189" s="23" t="n">
        <v>0.007904</v>
      </c>
      <c r="G189" s="22" t="n">
        <v>21</v>
      </c>
      <c r="H189" s="22" t="n">
        <v>1.9</v>
      </c>
      <c r="I189" s="24" t="n">
        <v>0.0389541611075401</v>
      </c>
      <c r="J189" s="6" t="n">
        <v>71000</v>
      </c>
      <c r="K189" s="25">
        <f>23*10^-6</f>
        <v/>
      </c>
      <c r="L189" s="8">
        <f>H189</f>
        <v/>
      </c>
      <c r="M189" s="26">
        <f>H189^2/6</f>
        <v/>
      </c>
      <c r="N189" s="26">
        <f>H189^3/12</f>
        <v/>
      </c>
      <c r="O189" s="27">
        <f>-J189*L189*K189*C189</f>
        <v/>
      </c>
      <c r="P189" s="28">
        <f>-(12*F189*J189*L189*N189+12*O189*N189*G189*COS(RADIANS(E189)))/(12*N189*G189*COS(RADIANS(E189))^2+L189*G189^3*SIN(RADIANS(E189))^2)</f>
        <v/>
      </c>
      <c r="Q189" s="28">
        <f>-(6*F189*J189*L189*N189*SIN(RADIANS(E189))+6*O189*N189*G189*SIN(RADIANS(E189))*COS(RADIANS(E189)))/(12*N189*COS(RADIANS(E189))^2+L189*G189^2*SIN(RADIANS(E189))^2)</f>
        <v/>
      </c>
      <c r="R189" s="28">
        <f>-P189*SIN(RADIANS(E189))</f>
        <v/>
      </c>
      <c r="S189" s="8">
        <f>(O189+P189*COS(RADIANS(E189)))/L189</f>
        <v/>
      </c>
      <c r="T189" s="8">
        <f>R189/L189</f>
        <v/>
      </c>
      <c r="U189" s="8">
        <f>(Q189-P189*G189*SIN(RADIANS(E189)))/M189</f>
        <v/>
      </c>
      <c r="V189" s="8">
        <f>SQRT((S189+U189)^2+3*T189^2)</f>
        <v/>
      </c>
      <c r="W189" s="8">
        <f>V189/AA189</f>
        <v/>
      </c>
      <c r="X189" s="27">
        <f>((3*10+H189/COS(RADIANS(E189)))*(3+3)+3*G189*H189)*2</f>
        <v/>
      </c>
      <c r="Y189" s="28">
        <f>Z189/X189</f>
        <v/>
      </c>
      <c r="Z189" s="29" t="n">
        <v>632.711481181368</v>
      </c>
      <c r="AA189" s="20" t="n">
        <v>48.4168669021527</v>
      </c>
      <c r="AB189" t="n">
        <v>0.04060233780925127</v>
      </c>
      <c r="AC189" t="n">
        <v>44.17856706914104</v>
      </c>
      <c r="AD189" t="n">
        <v>4.23106711799304</v>
      </c>
    </row>
    <row r="190">
      <c r="A190" t="n">
        <v>189</v>
      </c>
      <c r="B190" t="n">
        <v>43.8</v>
      </c>
      <c r="C190" s="21">
        <f>B190-20</f>
        <v/>
      </c>
      <c r="D190" t="n">
        <v>118.7</v>
      </c>
      <c r="E190" s="22">
        <f>D190-90</f>
        <v/>
      </c>
      <c r="F190" s="23" t="n">
        <v>0.008625000000000001</v>
      </c>
      <c r="G190" s="22" t="n">
        <v>29.4</v>
      </c>
      <c r="H190" s="22" t="n">
        <v>1.2</v>
      </c>
      <c r="I190" s="24" t="n">
        <v>0.0410836152732372</v>
      </c>
      <c r="J190" s="6" t="n">
        <v>71000</v>
      </c>
      <c r="K190" s="25">
        <f>23*10^-6</f>
        <v/>
      </c>
      <c r="L190" s="8">
        <f>H190</f>
        <v/>
      </c>
      <c r="M190" s="26">
        <f>H190^2/6</f>
        <v/>
      </c>
      <c r="N190" s="26">
        <f>H190^3/12</f>
        <v/>
      </c>
      <c r="O190" s="27">
        <f>-J190*L190*K190*C190</f>
        <v/>
      </c>
      <c r="P190" s="28">
        <f>-(12*F190*J190*L190*N190+12*O190*N190*G190*COS(RADIANS(E190)))/(12*N190*G190*COS(RADIANS(E190))^2+L190*G190^3*SIN(RADIANS(E190))^2)</f>
        <v/>
      </c>
      <c r="Q190" s="28">
        <f>-(6*F190*J190*L190*N190*SIN(RADIANS(E190))+6*O190*N190*G190*SIN(RADIANS(E190))*COS(RADIANS(E190)))/(12*N190*COS(RADIANS(E190))^2+L190*G190^2*SIN(RADIANS(E190))^2)</f>
        <v/>
      </c>
      <c r="R190" s="28">
        <f>-P190*SIN(RADIANS(E190))</f>
        <v/>
      </c>
      <c r="S190" s="8">
        <f>(O190+P190*COS(RADIANS(E190)))/L190</f>
        <v/>
      </c>
      <c r="T190" s="8">
        <f>R190/L190</f>
        <v/>
      </c>
      <c r="U190" s="8">
        <f>(Q190-P190*G190*SIN(RADIANS(E190)))/M190</f>
        <v/>
      </c>
      <c r="V190" s="8">
        <f>SQRT((S190+U190)^2+3*T190^2)</f>
        <v/>
      </c>
      <c r="W190" s="8">
        <f>V190/AA190</f>
        <v/>
      </c>
      <c r="X190" s="27">
        <f>((3*10+H190/COS(RADIANS(E190)))*(3+3)+3*G190*H190)*2</f>
        <v/>
      </c>
      <c r="Y190" s="28">
        <f>Z190/X190</f>
        <v/>
      </c>
      <c r="Z190" s="29" t="n">
        <v>594.891965983245</v>
      </c>
      <c r="AA190" s="20" t="n">
        <v>33.6944671998072</v>
      </c>
      <c r="AB190" t="n">
        <v>0.0489676566790906</v>
      </c>
      <c r="AC190" t="n">
        <v>34.66357133570138</v>
      </c>
      <c r="AD190" t="n">
        <v>19.19023278116725</v>
      </c>
    </row>
    <row r="191">
      <c r="A191" t="n">
        <v>190</v>
      </c>
      <c r="B191" t="n">
        <v>54.9</v>
      </c>
      <c r="C191" s="21">
        <f>B191-20</f>
        <v/>
      </c>
      <c r="D191" t="n">
        <v>101.6</v>
      </c>
      <c r="E191" s="22">
        <f>D191-90</f>
        <v/>
      </c>
      <c r="F191" s="23" t="n">
        <v>0.010455</v>
      </c>
      <c r="G191" s="22" t="n">
        <v>20.7</v>
      </c>
      <c r="H191" s="22" t="n">
        <v>1</v>
      </c>
      <c r="I191" s="24" t="n">
        <v>0.0932567045092582</v>
      </c>
      <c r="J191" s="6" t="n">
        <v>71000</v>
      </c>
      <c r="K191" s="25">
        <f>23*10^-6</f>
        <v/>
      </c>
      <c r="L191" s="8">
        <f>H191</f>
        <v/>
      </c>
      <c r="M191" s="26">
        <f>H191^2/6</f>
        <v/>
      </c>
      <c r="N191" s="26">
        <f>H191^3/12</f>
        <v/>
      </c>
      <c r="O191" s="27">
        <f>-J191*L191*K191*C191</f>
        <v/>
      </c>
      <c r="P191" s="28">
        <f>-(12*F191*J191*L191*N191+12*O191*N191*G191*COS(RADIANS(E191)))/(12*N191*G191*COS(RADIANS(E191))^2+L191*G191^3*SIN(RADIANS(E191))^2)</f>
        <v/>
      </c>
      <c r="Q191" s="28">
        <f>-(6*F191*J191*L191*N191*SIN(RADIANS(E191))+6*O191*N191*G191*SIN(RADIANS(E191))*COS(RADIANS(E191)))/(12*N191*COS(RADIANS(E191))^2+L191*G191^2*SIN(RADIANS(E191))^2)</f>
        <v/>
      </c>
      <c r="R191" s="28">
        <f>-P191*SIN(RADIANS(E191))</f>
        <v/>
      </c>
      <c r="S191" s="8">
        <f>(O191+P191*COS(RADIANS(E191)))/L191</f>
        <v/>
      </c>
      <c r="T191" s="8">
        <f>R191/L191</f>
        <v/>
      </c>
      <c r="U191" s="8">
        <f>(Q191-P191*G191*SIN(RADIANS(E191)))/M191</f>
        <v/>
      </c>
      <c r="V191" s="8">
        <f>SQRT((S191+U191)^2+3*T191^2)</f>
        <v/>
      </c>
      <c r="W191" s="8">
        <f>V191/AA191</f>
        <v/>
      </c>
      <c r="X191" s="27">
        <f>((3*10+H191/COS(RADIANS(E191)))*(3+3)+3*G191*H191)*2</f>
        <v/>
      </c>
      <c r="Y191" s="28">
        <f>Z191/X191</f>
        <v/>
      </c>
      <c r="Z191" s="29" t="n">
        <v>500.384251672927</v>
      </c>
      <c r="AA191" s="20" t="n">
        <v>51.6728823668366</v>
      </c>
      <c r="AB191" t="n">
        <v>0.1264430329178935</v>
      </c>
      <c r="AC191" t="n">
        <v>57.21227395765209</v>
      </c>
      <c r="AD191" t="n">
        <v>35.58599736423315</v>
      </c>
    </row>
    <row r="192">
      <c r="A192" t="n">
        <v>191</v>
      </c>
      <c r="B192" t="n">
        <v>78.8</v>
      </c>
      <c r="C192" s="21">
        <f>B192-20</f>
        <v/>
      </c>
      <c r="D192" t="n">
        <v>121.7</v>
      </c>
      <c r="E192" s="22">
        <f>D192-90</f>
        <v/>
      </c>
      <c r="F192" s="23" t="n">
        <v>0.021873</v>
      </c>
      <c r="G192" s="22" t="n">
        <v>31.3</v>
      </c>
      <c r="H192" s="22" t="n">
        <v>1.2</v>
      </c>
      <c r="I192" s="24" t="n">
        <v>0.0989941358566284</v>
      </c>
      <c r="J192" s="6" t="n">
        <v>71000</v>
      </c>
      <c r="K192" s="25">
        <f>23*10^-6</f>
        <v/>
      </c>
      <c r="L192" s="8">
        <f>H192</f>
        <v/>
      </c>
      <c r="M192" s="26">
        <f>H192^2/6</f>
        <v/>
      </c>
      <c r="N192" s="26">
        <f>H192^3/12</f>
        <v/>
      </c>
      <c r="O192" s="27">
        <f>-J192*L192*K192*C192</f>
        <v/>
      </c>
      <c r="P192" s="28">
        <f>-(12*F192*J192*L192*N192+12*O192*N192*G192*COS(RADIANS(E192)))/(12*N192*G192*COS(RADIANS(E192))^2+L192*G192^3*SIN(RADIANS(E192))^2)</f>
        <v/>
      </c>
      <c r="Q192" s="28">
        <f>-(6*F192*J192*L192*N192*SIN(RADIANS(E192))+6*O192*N192*G192*SIN(RADIANS(E192))*COS(RADIANS(E192)))/(12*N192*COS(RADIANS(E192))^2+L192*G192^2*SIN(RADIANS(E192))^2)</f>
        <v/>
      </c>
      <c r="R192" s="28">
        <f>-P192*SIN(RADIANS(E192))</f>
        <v/>
      </c>
      <c r="S192" s="8">
        <f>(O192+P192*COS(RADIANS(E192)))/L192</f>
        <v/>
      </c>
      <c r="T192" s="8">
        <f>R192/L192</f>
        <v/>
      </c>
      <c r="U192" s="8">
        <f>(Q192-P192*G192*SIN(RADIANS(E192)))/M192</f>
        <v/>
      </c>
      <c r="V192" s="8">
        <f>SQRT((S192+U192)^2+3*T192^2)</f>
        <v/>
      </c>
      <c r="W192" s="8">
        <f>V192/AA192</f>
        <v/>
      </c>
      <c r="X192" s="27">
        <f>((3*10+H192/COS(RADIANS(E192)))*(3+3)+3*G192*H192)*2</f>
        <v/>
      </c>
      <c r="Y192" s="28">
        <f>Z192/X192</f>
        <v/>
      </c>
      <c r="Z192" s="29" t="n">
        <v>609.927031588152</v>
      </c>
      <c r="AA192" s="20" t="n">
        <v>81.327992875615</v>
      </c>
      <c r="AB192" t="n">
        <v>0.1154744914389728</v>
      </c>
      <c r="AC192" t="n">
        <v>84.60958201492228</v>
      </c>
      <c r="AD192" t="n">
        <v>16.64780993311833</v>
      </c>
    </row>
    <row r="193">
      <c r="A193" t="n">
        <v>192</v>
      </c>
      <c r="B193" t="n">
        <v>76.2</v>
      </c>
      <c r="C193" s="21">
        <f>B193-20</f>
        <v/>
      </c>
      <c r="D193" t="n">
        <v>101.4</v>
      </c>
      <c r="E193" s="22">
        <f>D193-90</f>
        <v/>
      </c>
      <c r="F193" s="23" t="n">
        <v>0.023062</v>
      </c>
      <c r="G193" s="22" t="n">
        <v>30.6</v>
      </c>
      <c r="H193" s="22" t="n">
        <v>1.4</v>
      </c>
      <c r="I193" s="24" t="n">
        <v>0.200641319155693</v>
      </c>
      <c r="J193" s="6" t="n">
        <v>71000</v>
      </c>
      <c r="K193" s="25">
        <f>23*10^-6</f>
        <v/>
      </c>
      <c r="L193" s="8">
        <f>H193</f>
        <v/>
      </c>
      <c r="M193" s="26">
        <f>H193^2/6</f>
        <v/>
      </c>
      <c r="N193" s="26">
        <f>H193^3/12</f>
        <v/>
      </c>
      <c r="O193" s="27">
        <f>-J193*L193*K193*C193</f>
        <v/>
      </c>
      <c r="P193" s="28">
        <f>-(12*F193*J193*L193*N193+12*O193*N193*G193*COS(RADIANS(E193)))/(12*N193*G193*COS(RADIANS(E193))^2+L193*G193^3*SIN(RADIANS(E193))^2)</f>
        <v/>
      </c>
      <c r="Q193" s="28">
        <f>-(6*F193*J193*L193*N193*SIN(RADIANS(E193))+6*O193*N193*G193*SIN(RADIANS(E193))*COS(RADIANS(E193)))/(12*N193*COS(RADIANS(E193))^2+L193*G193^2*SIN(RADIANS(E193))^2)</f>
        <v/>
      </c>
      <c r="R193" s="28">
        <f>-P193*SIN(RADIANS(E193))</f>
        <v/>
      </c>
      <c r="S193" s="8">
        <f>(O193+P193*COS(RADIANS(E193)))/L193</f>
        <v/>
      </c>
      <c r="T193" s="8">
        <f>R193/L193</f>
        <v/>
      </c>
      <c r="U193" s="8">
        <f>(Q193-P193*G193*SIN(RADIANS(E193)))/M193</f>
        <v/>
      </c>
      <c r="V193" s="8">
        <f>SQRT((S193+U193)^2+3*T193^2)</f>
        <v/>
      </c>
      <c r="W193" s="8">
        <f>V193/AA193</f>
        <v/>
      </c>
      <c r="X193" s="27">
        <f>((3*10+H193/COS(RADIANS(E193)))*(3+3)+3*G193*H193)*2</f>
        <v/>
      </c>
      <c r="Y193" s="28">
        <f>Z193/X193</f>
        <v/>
      </c>
      <c r="Z193" s="29" t="n">
        <v>638.094765512331</v>
      </c>
      <c r="AA193" s="20" t="n">
        <v>88.1371384798837</v>
      </c>
      <c r="AB193" t="n">
        <v>0.2988608504791942</v>
      </c>
      <c r="AC193" t="n">
        <v>93.78809707589339</v>
      </c>
      <c r="AD193" t="n">
        <v>48.95279383968021</v>
      </c>
    </row>
    <row r="194">
      <c r="A194" t="n">
        <v>193</v>
      </c>
      <c r="B194" t="n">
        <v>76.40000000000001</v>
      </c>
      <c r="C194" s="21">
        <f>B194-20</f>
        <v/>
      </c>
      <c r="D194" t="n">
        <v>114.3</v>
      </c>
      <c r="E194" s="22">
        <f>D194-90</f>
        <v/>
      </c>
      <c r="F194" s="23" t="n">
        <v>0.01757</v>
      </c>
      <c r="G194" s="22" t="n">
        <v>23.4</v>
      </c>
      <c r="H194" s="22" t="n">
        <v>1.8</v>
      </c>
      <c r="I194" s="24" t="n">
        <v>0.0937143191695213</v>
      </c>
      <c r="J194" s="6" t="n">
        <v>71000</v>
      </c>
      <c r="K194" s="25">
        <f>23*10^-6</f>
        <v/>
      </c>
      <c r="L194" s="8">
        <f>H194</f>
        <v/>
      </c>
      <c r="M194" s="26">
        <f>H194^2/6</f>
        <v/>
      </c>
      <c r="N194" s="26">
        <f>H194^3/12</f>
        <v/>
      </c>
      <c r="O194" s="27">
        <f>-J194*L194*K194*C194</f>
        <v/>
      </c>
      <c r="P194" s="28">
        <f>-(12*F194*J194*L194*N194+12*O194*N194*G194*COS(RADIANS(E194)))/(12*N194*G194*COS(RADIANS(E194))^2+L194*G194^3*SIN(RADIANS(E194))^2)</f>
        <v/>
      </c>
      <c r="Q194" s="28">
        <f>-(6*F194*J194*L194*N194*SIN(RADIANS(E194))+6*O194*N194*G194*SIN(RADIANS(E194))*COS(RADIANS(E194)))/(12*N194*COS(RADIANS(E194))^2+L194*G194^2*SIN(RADIANS(E194))^2)</f>
        <v/>
      </c>
      <c r="R194" s="28">
        <f>-P194*SIN(RADIANS(E194))</f>
        <v/>
      </c>
      <c r="S194" s="8">
        <f>(O194+P194*COS(RADIANS(E194)))/L194</f>
        <v/>
      </c>
      <c r="T194" s="8">
        <f>R194/L194</f>
        <v/>
      </c>
      <c r="U194" s="8">
        <f>(Q194-P194*G194*SIN(RADIANS(E194)))/M194</f>
        <v/>
      </c>
      <c r="V194" s="8">
        <f>SQRT((S194+U194)^2+3*T194^2)</f>
        <v/>
      </c>
      <c r="W194" s="8">
        <f>V194/AA194</f>
        <v/>
      </c>
      <c r="X194" s="27">
        <f>((3*10+H194/COS(RADIANS(E194)))*(3+3)+3*G194*H194)*2</f>
        <v/>
      </c>
      <c r="Y194" s="28">
        <f>Z194/X194</f>
        <v/>
      </c>
      <c r="Z194" s="29" t="n">
        <v>642.186365901948</v>
      </c>
      <c r="AA194" s="20" t="n">
        <v>93.8069101817341</v>
      </c>
      <c r="AB194" t="n">
        <v>0.1092743572244028</v>
      </c>
      <c r="AC194" t="n">
        <v>88.70377412018753</v>
      </c>
      <c r="AD194" t="n">
        <v>16.6036932165454</v>
      </c>
    </row>
    <row r="195">
      <c r="A195" t="n">
        <v>194</v>
      </c>
      <c r="B195" t="n">
        <v>85.59999999999999</v>
      </c>
      <c r="C195" s="21">
        <f>B195-20</f>
        <v/>
      </c>
      <c r="D195" t="n">
        <v>120.7</v>
      </c>
      <c r="E195" s="22">
        <f>D195-90</f>
        <v/>
      </c>
      <c r="F195" s="23" t="n">
        <v>0.018377</v>
      </c>
      <c r="G195" s="22" t="n">
        <v>21.6</v>
      </c>
      <c r="H195" s="22" t="n">
        <v>1</v>
      </c>
      <c r="I195" s="24" t="n">
        <v>0.08914183080196381</v>
      </c>
      <c r="J195" s="6" t="n">
        <v>71000</v>
      </c>
      <c r="K195" s="25">
        <f>23*10^-6</f>
        <v/>
      </c>
      <c r="L195" s="8">
        <f>H195</f>
        <v/>
      </c>
      <c r="M195" s="26">
        <f>H195^2/6</f>
        <v/>
      </c>
      <c r="N195" s="26">
        <f>H195^3/12</f>
        <v/>
      </c>
      <c r="O195" s="27">
        <f>-J195*L195*K195*C195</f>
        <v/>
      </c>
      <c r="P195" s="28">
        <f>-(12*F195*J195*L195*N195+12*O195*N195*G195*COS(RADIANS(E195)))/(12*N195*G195*COS(RADIANS(E195))^2+L195*G195^3*SIN(RADIANS(E195))^2)</f>
        <v/>
      </c>
      <c r="Q195" s="28">
        <f>-(6*F195*J195*L195*N195*SIN(RADIANS(E195))+6*O195*N195*G195*SIN(RADIANS(E195))*COS(RADIANS(E195)))/(12*N195*COS(RADIANS(E195))^2+L195*G195^2*SIN(RADIANS(E195))^2)</f>
        <v/>
      </c>
      <c r="R195" s="28">
        <f>-P195*SIN(RADIANS(E195))</f>
        <v/>
      </c>
      <c r="S195" s="8">
        <f>(O195+P195*COS(RADIANS(E195)))/L195</f>
        <v/>
      </c>
      <c r="T195" s="8">
        <f>R195/L195</f>
        <v/>
      </c>
      <c r="U195" s="8">
        <f>(Q195-P195*G195*SIN(RADIANS(E195)))/M195</f>
        <v/>
      </c>
      <c r="V195" s="8">
        <f>SQRT((S195+U195)^2+3*T195^2)</f>
        <v/>
      </c>
      <c r="W195" s="8">
        <f>V195/AA195</f>
        <v/>
      </c>
      <c r="X195" s="27">
        <f>((3*10+H195/COS(RADIANS(E195)))*(3+3)+3*G195*H195)*2</f>
        <v/>
      </c>
      <c r="Y195" s="28">
        <f>Z195/X195</f>
        <v/>
      </c>
      <c r="Z195" s="29" t="n">
        <v>510.901286411355</v>
      </c>
      <c r="AA195" s="20" t="n">
        <v>91.02925212399779</v>
      </c>
      <c r="AB195" t="n">
        <v>0.09414506543148803</v>
      </c>
      <c r="AC195" t="n">
        <v>94.97725715121558</v>
      </c>
      <c r="AD195" t="n">
        <v>5.612667570895344</v>
      </c>
    </row>
    <row r="196">
      <c r="A196" t="n">
        <v>195</v>
      </c>
      <c r="B196" t="n">
        <v>40.1</v>
      </c>
      <c r="C196" s="21">
        <f>B196-20</f>
        <v/>
      </c>
      <c r="D196" t="n">
        <v>103.6</v>
      </c>
      <c r="E196" s="22">
        <f>D196-90</f>
        <v/>
      </c>
      <c r="F196" s="23" t="n">
        <v>0.00839</v>
      </c>
      <c r="G196" s="22" t="n">
        <v>31.5</v>
      </c>
      <c r="H196" s="22" t="n">
        <v>1.2</v>
      </c>
      <c r="I196" s="24" t="n">
        <v>0.06430871784687039</v>
      </c>
      <c r="J196" s="6" t="n">
        <v>71000</v>
      </c>
      <c r="K196" s="25">
        <f>23*10^-6</f>
        <v/>
      </c>
      <c r="L196" s="8">
        <f>H196</f>
        <v/>
      </c>
      <c r="M196" s="26">
        <f>H196^2/6</f>
        <v/>
      </c>
      <c r="N196" s="26">
        <f>H196^3/12</f>
        <v/>
      </c>
      <c r="O196" s="27">
        <f>-J196*L196*K196*C196</f>
        <v/>
      </c>
      <c r="P196" s="28">
        <f>-(12*F196*J196*L196*N196+12*O196*N196*G196*COS(RADIANS(E196)))/(12*N196*G196*COS(RADIANS(E196))^2+L196*G196^3*SIN(RADIANS(E196))^2)</f>
        <v/>
      </c>
      <c r="Q196" s="28">
        <f>-(6*F196*J196*L196*N196*SIN(RADIANS(E196))+6*O196*N196*G196*SIN(RADIANS(E196))*COS(RADIANS(E196)))/(12*N196*COS(RADIANS(E196))^2+L196*G196^2*SIN(RADIANS(E196))^2)</f>
        <v/>
      </c>
      <c r="R196" s="28">
        <f>-P196*SIN(RADIANS(E196))</f>
        <v/>
      </c>
      <c r="S196" s="8">
        <f>(O196+P196*COS(RADIANS(E196)))/L196</f>
        <v/>
      </c>
      <c r="T196" s="8">
        <f>R196/L196</f>
        <v/>
      </c>
      <c r="U196" s="8">
        <f>(Q196-P196*G196*SIN(RADIANS(E196)))/M196</f>
        <v/>
      </c>
      <c r="V196" s="8">
        <f>SQRT((S196+U196)^2+3*T196^2)</f>
        <v/>
      </c>
      <c r="W196" s="8">
        <f>V196/AA196</f>
        <v/>
      </c>
      <c r="X196" s="27">
        <f>((3*10+H196/COS(RADIANS(E196)))*(3+3)+3*G196*H196)*2</f>
        <v/>
      </c>
      <c r="Y196" s="28">
        <f>Z196/X196</f>
        <v/>
      </c>
      <c r="Z196" s="29" t="n">
        <v>605.741387389452</v>
      </c>
      <c r="AA196" s="20" t="n">
        <v>29.5680661093694</v>
      </c>
      <c r="AB196" t="n">
        <v>0.09422531696056027</v>
      </c>
      <c r="AC196" t="n">
        <v>31.79858347680487</v>
      </c>
      <c r="AD196" t="n">
        <v>46.52028545325101</v>
      </c>
    </row>
    <row r="197">
      <c r="A197" t="n">
        <v>196</v>
      </c>
      <c r="B197" t="n">
        <v>46.7</v>
      </c>
      <c r="C197" s="21">
        <f>B197-20</f>
        <v/>
      </c>
      <c r="D197" t="n">
        <v>112.1</v>
      </c>
      <c r="E197" s="22">
        <f>D197-90</f>
        <v/>
      </c>
      <c r="F197" s="23" t="n">
        <v>0.011499</v>
      </c>
      <c r="G197" s="22" t="n">
        <v>34.3</v>
      </c>
      <c r="H197" s="22" t="n">
        <v>1.1</v>
      </c>
      <c r="I197" s="24" t="n">
        <v>0.061943344771862</v>
      </c>
      <c r="J197" s="6" t="n">
        <v>71000</v>
      </c>
      <c r="K197" s="25">
        <f>23*10^-6</f>
        <v/>
      </c>
      <c r="L197" s="8">
        <f>H197</f>
        <v/>
      </c>
      <c r="M197" s="26">
        <f>H197^2/6</f>
        <v/>
      </c>
      <c r="N197" s="26">
        <f>H197^3/12</f>
        <v/>
      </c>
      <c r="O197" s="27">
        <f>-J197*L197*K197*C197</f>
        <v/>
      </c>
      <c r="P197" s="28">
        <f>-(12*F197*J197*L197*N197+12*O197*N197*G197*COS(RADIANS(E197)))/(12*N197*G197*COS(RADIANS(E197))^2+L197*G197^3*SIN(RADIANS(E197))^2)</f>
        <v/>
      </c>
      <c r="Q197" s="28">
        <f>-(6*F197*J197*L197*N197*SIN(RADIANS(E197))+6*O197*N197*G197*SIN(RADIANS(E197))*COS(RADIANS(E197)))/(12*N197*COS(RADIANS(E197))^2+L197*G197^2*SIN(RADIANS(E197))^2)</f>
        <v/>
      </c>
      <c r="R197" s="28">
        <f>-P197*SIN(RADIANS(E197))</f>
        <v/>
      </c>
      <c r="S197" s="8">
        <f>(O197+P197*COS(RADIANS(E197)))/L197</f>
        <v/>
      </c>
      <c r="T197" s="8">
        <f>R197/L197</f>
        <v/>
      </c>
      <c r="U197" s="8">
        <f>(Q197-P197*G197*SIN(RADIANS(E197)))/M197</f>
        <v/>
      </c>
      <c r="V197" s="8">
        <f>SQRT((S197+U197)^2+3*T197^2)</f>
        <v/>
      </c>
      <c r="W197" s="8">
        <f>V197/AA197</f>
        <v/>
      </c>
      <c r="X197" s="27">
        <f>((3*10+H197/COS(RADIANS(E197)))*(3+3)+3*G197*H197)*2</f>
        <v/>
      </c>
      <c r="Y197" s="28">
        <f>Z197/X197</f>
        <v/>
      </c>
      <c r="Z197" s="29" t="n">
        <v>605.963494981263</v>
      </c>
      <c r="AA197" s="20" t="n">
        <v>37.1781019191353</v>
      </c>
      <c r="AB197" t="n">
        <v>0.08375508232046877</v>
      </c>
      <c r="AC197" t="n">
        <v>39.23867333078342</v>
      </c>
      <c r="AD197" t="n">
        <v>35.21239873135626</v>
      </c>
    </row>
    <row r="198">
      <c r="A198" t="n">
        <v>197</v>
      </c>
      <c r="B198" t="n">
        <v>57.1</v>
      </c>
      <c r="C198" s="21">
        <f>B198-20</f>
        <v/>
      </c>
      <c r="D198" t="n">
        <v>123.9</v>
      </c>
      <c r="E198" s="22">
        <f>D198-90</f>
        <v/>
      </c>
      <c r="F198" s="23" t="n">
        <v>0.012858</v>
      </c>
      <c r="G198" s="22" t="n">
        <v>29.4</v>
      </c>
      <c r="H198" s="22" t="n">
        <v>1.5</v>
      </c>
      <c r="I198" s="24" t="n">
        <v>0.0574408769607543</v>
      </c>
      <c r="J198" s="6" t="n">
        <v>71000</v>
      </c>
      <c r="K198" s="25">
        <f>23*10^-6</f>
        <v/>
      </c>
      <c r="L198" s="8">
        <f>H198</f>
        <v/>
      </c>
      <c r="M198" s="26">
        <f>H198^2/6</f>
        <v/>
      </c>
      <c r="N198" s="26">
        <f>H198^3/12</f>
        <v/>
      </c>
      <c r="O198" s="27">
        <f>-J198*L198*K198*C198</f>
        <v/>
      </c>
      <c r="P198" s="28">
        <f>-(12*F198*J198*L198*N198+12*O198*N198*G198*COS(RADIANS(E198)))/(12*N198*G198*COS(RADIANS(E198))^2+L198*G198^3*SIN(RADIANS(E198))^2)</f>
        <v/>
      </c>
      <c r="Q198" s="28">
        <f>-(6*F198*J198*L198*N198*SIN(RADIANS(E198))+6*O198*N198*G198*SIN(RADIANS(E198))*COS(RADIANS(E198)))/(12*N198*COS(RADIANS(E198))^2+L198*G198^2*SIN(RADIANS(E198))^2)</f>
        <v/>
      </c>
      <c r="R198" s="28">
        <f>-P198*SIN(RADIANS(E198))</f>
        <v/>
      </c>
      <c r="S198" s="8">
        <f>(O198+P198*COS(RADIANS(E198)))/L198</f>
        <v/>
      </c>
      <c r="T198" s="8">
        <f>R198/L198</f>
        <v/>
      </c>
      <c r="U198" s="8">
        <f>(Q198-P198*G198*SIN(RADIANS(E198)))/M198</f>
        <v/>
      </c>
      <c r="V198" s="8">
        <f>SQRT((S198+U198)^2+3*T198^2)</f>
        <v/>
      </c>
      <c r="W198" s="8">
        <f>V198/AA198</f>
        <v/>
      </c>
      <c r="X198" s="27">
        <f>((3*10+H198/COS(RADIANS(E198)))*(3+3)+3*G198*H198)*2</f>
        <v/>
      </c>
      <c r="Y198" s="28">
        <f>Z198/X198</f>
        <v/>
      </c>
      <c r="Z198" s="29" t="n">
        <v>654.635290052839</v>
      </c>
      <c r="AA198" s="20" t="n">
        <v>54.6960708673269</v>
      </c>
      <c r="AB198" t="n">
        <v>0.06369762793103062</v>
      </c>
      <c r="AC198" t="n">
        <v>54.037000627292</v>
      </c>
      <c r="AD198" t="n">
        <v>10.89250600152077</v>
      </c>
    </row>
    <row r="199">
      <c r="A199" t="n">
        <v>198</v>
      </c>
      <c r="B199" t="n">
        <v>73.5</v>
      </c>
      <c r="C199" s="21">
        <f>B199-20</f>
        <v/>
      </c>
      <c r="D199" t="n">
        <v>113.5</v>
      </c>
      <c r="E199" s="22">
        <f>D199-90</f>
        <v/>
      </c>
      <c r="F199" s="23" t="n">
        <v>0.018649</v>
      </c>
      <c r="G199" s="22" t="n">
        <v>26.8</v>
      </c>
      <c r="H199" s="22" t="n">
        <v>1.5</v>
      </c>
      <c r="I199" s="24" t="n">
        <v>0.0998096093535423</v>
      </c>
      <c r="J199" s="6" t="n">
        <v>71000</v>
      </c>
      <c r="K199" s="25">
        <f>23*10^-6</f>
        <v/>
      </c>
      <c r="L199" s="8">
        <f>H199</f>
        <v/>
      </c>
      <c r="M199" s="26">
        <f>H199^2/6</f>
        <v/>
      </c>
      <c r="N199" s="26">
        <f>H199^3/12</f>
        <v/>
      </c>
      <c r="O199" s="27">
        <f>-J199*L199*K199*C199</f>
        <v/>
      </c>
      <c r="P199" s="28">
        <f>-(12*F199*J199*L199*N199+12*O199*N199*G199*COS(RADIANS(E199)))/(12*N199*G199*COS(RADIANS(E199))^2+L199*G199^3*SIN(RADIANS(E199))^2)</f>
        <v/>
      </c>
      <c r="Q199" s="28">
        <f>-(6*F199*J199*L199*N199*SIN(RADIANS(E199))+6*O199*N199*G199*SIN(RADIANS(E199))*COS(RADIANS(E199)))/(12*N199*COS(RADIANS(E199))^2+L199*G199^2*SIN(RADIANS(E199))^2)</f>
        <v/>
      </c>
      <c r="R199" s="28">
        <f>-P199*SIN(RADIANS(E199))</f>
        <v/>
      </c>
      <c r="S199" s="8">
        <f>(O199+P199*COS(RADIANS(E199)))/L199</f>
        <v/>
      </c>
      <c r="T199" s="8">
        <f>R199/L199</f>
        <v/>
      </c>
      <c r="U199" s="8">
        <f>(Q199-P199*G199*SIN(RADIANS(E199)))/M199</f>
        <v/>
      </c>
      <c r="V199" s="8">
        <f>SQRT((S199+U199)^2+3*T199^2)</f>
        <v/>
      </c>
      <c r="W199" s="8">
        <f>V199/AA199</f>
        <v/>
      </c>
      <c r="X199" s="27">
        <f>((3*10+H199/COS(RADIANS(E199)))*(3+3)+3*G199*H199)*2</f>
        <v/>
      </c>
      <c r="Y199" s="28">
        <f>Z199/X199</f>
        <v/>
      </c>
      <c r="Z199" s="29" t="n">
        <v>626.432155756075</v>
      </c>
      <c r="AA199" s="20" t="n">
        <v>81.9899193407157</v>
      </c>
      <c r="AB199" t="n">
        <v>0.1234127476908169</v>
      </c>
      <c r="AC199" t="n">
        <v>81.87266471292057</v>
      </c>
      <c r="AD199" t="n">
        <v>23.64816222621247</v>
      </c>
    </row>
    <row r="200">
      <c r="A200" t="n">
        <v>199</v>
      </c>
      <c r="B200" t="n">
        <v>86</v>
      </c>
      <c r="C200" s="21">
        <f>B200-20</f>
        <v/>
      </c>
      <c r="D200" t="n">
        <v>125.3</v>
      </c>
      <c r="E200" s="22">
        <f>D200-90</f>
        <v/>
      </c>
      <c r="F200" s="23" t="n">
        <v>0.02441</v>
      </c>
      <c r="G200" s="22" t="n">
        <v>32.4</v>
      </c>
      <c r="H200" s="22" t="n">
        <v>1.4</v>
      </c>
      <c r="I200" s="24" t="n">
        <v>0.10621827840805</v>
      </c>
      <c r="J200" s="6" t="n">
        <v>71000</v>
      </c>
      <c r="K200" s="25">
        <f>23*10^-6</f>
        <v/>
      </c>
      <c r="L200" s="8">
        <f>H200</f>
        <v/>
      </c>
      <c r="M200" s="26">
        <f>H200^2/6</f>
        <v/>
      </c>
      <c r="N200" s="26">
        <f>H200^3/12</f>
        <v/>
      </c>
      <c r="O200" s="27">
        <f>-J200*L200*K200*C200</f>
        <v/>
      </c>
      <c r="P200" s="28">
        <f>-(12*F200*J200*L200*N200+12*O200*N200*G200*COS(RADIANS(E200)))/(12*N200*G200*COS(RADIANS(E200))^2+L200*G200^3*SIN(RADIANS(E200))^2)</f>
        <v/>
      </c>
      <c r="Q200" s="28">
        <f>-(6*F200*J200*L200*N200*SIN(RADIANS(E200))+6*O200*N200*G200*SIN(RADIANS(E200))*COS(RADIANS(E200)))/(12*N200*COS(RADIANS(E200))^2+L200*G200^2*SIN(RADIANS(E200))^2)</f>
        <v/>
      </c>
      <c r="R200" s="28">
        <f>-P200*SIN(RADIANS(E200))</f>
        <v/>
      </c>
      <c r="S200" s="8">
        <f>(O200+P200*COS(RADIANS(E200)))/L200</f>
        <v/>
      </c>
      <c r="T200" s="8">
        <f>R200/L200</f>
        <v/>
      </c>
      <c r="U200" s="8">
        <f>(Q200-P200*G200*SIN(RADIANS(E200)))/M200</f>
        <v/>
      </c>
      <c r="V200" s="8">
        <f>SQRT((S200+U200)^2+3*T200^2)</f>
        <v/>
      </c>
      <c r="W200" s="8">
        <f>V200/AA200</f>
        <v/>
      </c>
      <c r="X200" s="27">
        <f>((3*10+H200/COS(RADIANS(E200)))*(3+3)+3*G200*H200)*2</f>
        <v/>
      </c>
      <c r="Y200" s="28">
        <f>Z200/X200</f>
        <v/>
      </c>
      <c r="Z200" s="29" t="n">
        <v>661.585200042242</v>
      </c>
      <c r="AA200" s="20" t="n">
        <v>93.2570043956833</v>
      </c>
      <c r="AB200" t="n">
        <v>0.1190806276183064</v>
      </c>
      <c r="AC200" t="n">
        <v>94.85366354595132</v>
      </c>
      <c r="AD200" t="n">
        <v>12.10935575593139</v>
      </c>
    </row>
    <row r="201">
      <c r="A201" t="n">
        <v>200</v>
      </c>
      <c r="B201" t="n">
        <v>88.3</v>
      </c>
      <c r="C201" s="21">
        <f>B201-20</f>
        <v/>
      </c>
      <c r="D201" t="n">
        <v>114.8</v>
      </c>
      <c r="E201" s="22">
        <f>D201-90</f>
        <v/>
      </c>
      <c r="F201" s="23" t="n">
        <v>0.025452</v>
      </c>
      <c r="G201" s="22" t="n">
        <v>29.4</v>
      </c>
      <c r="H201" s="22" t="n">
        <v>1.1</v>
      </c>
      <c r="I201" s="24" t="n">
        <v>0.130645155906677</v>
      </c>
      <c r="J201" s="6" t="n">
        <v>71000</v>
      </c>
      <c r="K201" s="25">
        <f>23*10^-6</f>
        <v/>
      </c>
      <c r="L201" s="8">
        <f>H201</f>
        <v/>
      </c>
      <c r="M201" s="26">
        <f>H201^2/6</f>
        <v/>
      </c>
      <c r="N201" s="26">
        <f>H201^3/12</f>
        <v/>
      </c>
      <c r="O201" s="27">
        <f>-J201*L201*K201*C201</f>
        <v/>
      </c>
      <c r="P201" s="28">
        <f>-(12*F201*J201*L201*N201+12*O201*N201*G201*COS(RADIANS(E201)))/(12*N201*G201*COS(RADIANS(E201))^2+L201*G201^3*SIN(RADIANS(E201))^2)</f>
        <v/>
      </c>
      <c r="Q201" s="28">
        <f>-(6*F201*J201*L201*N201*SIN(RADIANS(E201))+6*O201*N201*G201*SIN(RADIANS(E201))*COS(RADIANS(E201)))/(12*N201*COS(RADIANS(E201))^2+L201*G201^2*SIN(RADIANS(E201))^2)</f>
        <v/>
      </c>
      <c r="R201" s="28">
        <f>-P201*SIN(RADIANS(E201))</f>
        <v/>
      </c>
      <c r="S201" s="8">
        <f>(O201+P201*COS(RADIANS(E201)))/L201</f>
        <v/>
      </c>
      <c r="T201" s="8">
        <f>R201/L201</f>
        <v/>
      </c>
      <c r="U201" s="8">
        <f>(Q201-P201*G201*SIN(RADIANS(E201)))/M201</f>
        <v/>
      </c>
      <c r="V201" s="8">
        <f>SQRT((S201+U201)^2+3*T201^2)</f>
        <v/>
      </c>
      <c r="W201" s="8">
        <f>V201/AA201</f>
        <v/>
      </c>
      <c r="X201" s="27">
        <f>((3*10+H201/COS(RADIANS(E201)))*(3+3)+3*G201*H201)*2</f>
        <v/>
      </c>
      <c r="Y201" s="28">
        <f>Z201/X201</f>
        <v/>
      </c>
      <c r="Z201" s="29" t="n">
        <v>574.452835060715</v>
      </c>
      <c r="AA201" s="20" t="n">
        <v>95.41489357372321</v>
      </c>
      <c r="AB201" t="n">
        <v>0.1640372569794333</v>
      </c>
      <c r="AC201" t="n">
        <v>100.1994051218031</v>
      </c>
      <c r="AD201" t="n">
        <v>25.55938705956236</v>
      </c>
    </row>
    <row r="202">
      <c r="A202" t="n">
        <v>201</v>
      </c>
      <c r="B202" t="n">
        <v>48.9</v>
      </c>
      <c r="C202" s="21">
        <f>B202-20</f>
        <v/>
      </c>
      <c r="D202" t="n">
        <v>129.4</v>
      </c>
      <c r="E202" s="22">
        <f>D202-90</f>
        <v/>
      </c>
      <c r="F202" s="23" t="n">
        <v>0.010582</v>
      </c>
      <c r="G202" s="22" t="n">
        <v>33.8</v>
      </c>
      <c r="H202" s="22" t="n">
        <v>1.4</v>
      </c>
      <c r="I202" s="24" t="n">
        <v>0.0447620712220668</v>
      </c>
      <c r="J202" s="6" t="n">
        <v>71000</v>
      </c>
      <c r="K202" s="25">
        <f>23*10^-6</f>
        <v/>
      </c>
      <c r="L202" s="8">
        <f>H202</f>
        <v/>
      </c>
      <c r="M202" s="26">
        <f>H202^2/6</f>
        <v/>
      </c>
      <c r="N202" s="26">
        <f>H202^3/12</f>
        <v/>
      </c>
      <c r="O202" s="27">
        <f>-J202*L202*K202*C202</f>
        <v/>
      </c>
      <c r="P202" s="28">
        <f>-(12*F202*J202*L202*N202+12*O202*N202*G202*COS(RADIANS(E202)))/(12*N202*G202*COS(RADIANS(E202))^2+L202*G202^3*SIN(RADIANS(E202))^2)</f>
        <v/>
      </c>
      <c r="Q202" s="28">
        <f>-(6*F202*J202*L202*N202*SIN(RADIANS(E202))+6*O202*N202*G202*SIN(RADIANS(E202))*COS(RADIANS(E202)))/(12*N202*COS(RADIANS(E202))^2+L202*G202^2*SIN(RADIANS(E202))^2)</f>
        <v/>
      </c>
      <c r="R202" s="28">
        <f>-P202*SIN(RADIANS(E202))</f>
        <v/>
      </c>
      <c r="S202" s="8">
        <f>(O202+P202*COS(RADIANS(E202)))/L202</f>
        <v/>
      </c>
      <c r="T202" s="8">
        <f>R202/L202</f>
        <v/>
      </c>
      <c r="U202" s="8">
        <f>(Q202-P202*G202*SIN(RADIANS(E202)))/M202</f>
        <v/>
      </c>
      <c r="V202" s="8">
        <f>SQRT((S202+U202)^2+3*T202^2)</f>
        <v/>
      </c>
      <c r="W202" s="8">
        <f>V202/AA202</f>
        <v/>
      </c>
      <c r="X202" s="27">
        <f>((3*10+H202/COS(RADIANS(E202)))*(3+3)+3*G202*H202)*2</f>
        <v/>
      </c>
      <c r="Y202" s="28">
        <f>Z202/X202</f>
        <v/>
      </c>
      <c r="Z202" s="29" t="n">
        <v>676.153198861237</v>
      </c>
      <c r="AA202" s="20" t="n">
        <v>39.3068560250382</v>
      </c>
      <c r="AB202" t="n">
        <v>0.04813381440303958</v>
      </c>
      <c r="AC202" t="n">
        <v>41.06489462592975</v>
      </c>
      <c r="AD202" t="n">
        <v>7.532589732600623</v>
      </c>
    </row>
    <row r="203">
      <c r="A203" t="n">
        <v>202</v>
      </c>
      <c r="B203" t="n">
        <v>66.3</v>
      </c>
      <c r="C203" s="21">
        <f>B203-20</f>
        <v/>
      </c>
      <c r="D203" t="n">
        <v>112.3</v>
      </c>
      <c r="E203" s="22">
        <f>D203-90</f>
        <v/>
      </c>
      <c r="F203" s="23" t="n">
        <v>0.013569</v>
      </c>
      <c r="G203" s="22" t="n">
        <v>21.3</v>
      </c>
      <c r="H203" s="22" t="n">
        <v>1.4</v>
      </c>
      <c r="I203" s="24" t="n">
        <v>0.0772111043334007</v>
      </c>
      <c r="J203" s="6" t="n">
        <v>71000</v>
      </c>
      <c r="K203" s="25">
        <f>23*10^-6</f>
        <v/>
      </c>
      <c r="L203" s="8">
        <f>H203</f>
        <v/>
      </c>
      <c r="M203" s="26">
        <f>H203^2/6</f>
        <v/>
      </c>
      <c r="N203" s="26">
        <f>H203^3/12</f>
        <v/>
      </c>
      <c r="O203" s="27">
        <f>-J203*L203*K203*C203</f>
        <v/>
      </c>
      <c r="P203" s="28">
        <f>-(12*F203*J203*L203*N203+12*O203*N203*G203*COS(RADIANS(E203)))/(12*N203*G203*COS(RADIANS(E203))^2+L203*G203^3*SIN(RADIANS(E203))^2)</f>
        <v/>
      </c>
      <c r="Q203" s="28">
        <f>-(6*F203*J203*L203*N203*SIN(RADIANS(E203))+6*O203*N203*G203*SIN(RADIANS(E203))*COS(RADIANS(E203)))/(12*N203*COS(RADIANS(E203))^2+L203*G203^2*SIN(RADIANS(E203))^2)</f>
        <v/>
      </c>
      <c r="R203" s="28">
        <f>-P203*SIN(RADIANS(E203))</f>
        <v/>
      </c>
      <c r="S203" s="8">
        <f>(O203+P203*COS(RADIANS(E203)))/L203</f>
        <v/>
      </c>
      <c r="T203" s="8">
        <f>R203/L203</f>
        <v/>
      </c>
      <c r="U203" s="8">
        <f>(Q203-P203*G203*SIN(RADIANS(E203)))/M203</f>
        <v/>
      </c>
      <c r="V203" s="8">
        <f>SQRT((S203+U203)^2+3*T203^2)</f>
        <v/>
      </c>
      <c r="W203" s="8">
        <f>V203/AA203</f>
        <v/>
      </c>
      <c r="X203" s="27">
        <f>((3*10+H203/COS(RADIANS(E203)))*(3+3)+3*G203*H203)*2</f>
        <v/>
      </c>
      <c r="Y203" s="28">
        <f>Z203/X203</f>
        <v/>
      </c>
      <c r="Z203" s="29" t="n">
        <v>562.451739456495</v>
      </c>
      <c r="AA203" s="20" t="n">
        <v>71.47667597581049</v>
      </c>
      <c r="AB203" t="n">
        <v>0.09039519645203509</v>
      </c>
      <c r="AC203" t="n">
        <v>71.93981263514497</v>
      </c>
      <c r="AD203" t="n">
        <v>17.07538343410417</v>
      </c>
    </row>
    <row r="204">
      <c r="A204" t="n">
        <v>203</v>
      </c>
      <c r="B204" t="n">
        <v>70.59999999999999</v>
      </c>
      <c r="C204" s="21">
        <f>B204-20</f>
        <v/>
      </c>
      <c r="D204" t="n">
        <v>113.6</v>
      </c>
      <c r="E204" s="22">
        <f>D204-90</f>
        <v/>
      </c>
      <c r="F204" s="23" t="n">
        <v>0.0162</v>
      </c>
      <c r="G204" s="22" t="n">
        <v>24.1</v>
      </c>
      <c r="H204" s="22" t="n">
        <v>1.1</v>
      </c>
      <c r="I204" s="24" t="n">
        <v>0.0879958719015121</v>
      </c>
      <c r="J204" s="6" t="n">
        <v>71000</v>
      </c>
      <c r="K204" s="25">
        <f>23*10^-6</f>
        <v/>
      </c>
      <c r="L204" s="8">
        <f>H204</f>
        <v/>
      </c>
      <c r="M204" s="26">
        <f>H204^2/6</f>
        <v/>
      </c>
      <c r="N204" s="26">
        <f>H204^3/12</f>
        <v/>
      </c>
      <c r="O204" s="27">
        <f>-J204*L204*K204*C204</f>
        <v/>
      </c>
      <c r="P204" s="28">
        <f>-(12*F204*J204*L204*N204+12*O204*N204*G204*COS(RADIANS(E204)))/(12*N204*G204*COS(RADIANS(E204))^2+L204*G204^3*SIN(RADIANS(E204))^2)</f>
        <v/>
      </c>
      <c r="Q204" s="28">
        <f>-(6*F204*J204*L204*N204*SIN(RADIANS(E204))+6*O204*N204*G204*SIN(RADIANS(E204))*COS(RADIANS(E204)))/(12*N204*COS(RADIANS(E204))^2+L204*G204^2*SIN(RADIANS(E204))^2)</f>
        <v/>
      </c>
      <c r="R204" s="28">
        <f>-P204*SIN(RADIANS(E204))</f>
        <v/>
      </c>
      <c r="S204" s="8">
        <f>(O204+P204*COS(RADIANS(E204)))/L204</f>
        <v/>
      </c>
      <c r="T204" s="8">
        <f>R204/L204</f>
        <v/>
      </c>
      <c r="U204" s="8">
        <f>(Q204-P204*G204*SIN(RADIANS(E204)))/M204</f>
        <v/>
      </c>
      <c r="V204" s="8">
        <f>SQRT((S204+U204)^2+3*T204^2)</f>
        <v/>
      </c>
      <c r="W204" s="8">
        <f>V204/AA204</f>
        <v/>
      </c>
      <c r="X204" s="27">
        <f>((3*10+H204/COS(RADIANS(E204)))*(3+3)+3*G204*H204)*2</f>
        <v/>
      </c>
      <c r="Y204" s="28">
        <f>Z204/X204</f>
        <v/>
      </c>
      <c r="Z204" s="29" t="n">
        <v>539.088907652545</v>
      </c>
      <c r="AA204" s="20" t="n">
        <v>72.04190330268101</v>
      </c>
      <c r="AB204" t="n">
        <v>0.1059053798407317</v>
      </c>
      <c r="AC204" t="n">
        <v>75.48042958767333</v>
      </c>
      <c r="AD204" t="n">
        <v>20.35266831524155</v>
      </c>
    </row>
    <row r="205">
      <c r="A205" t="n">
        <v>204</v>
      </c>
      <c r="B205" t="n">
        <v>58</v>
      </c>
      <c r="C205" s="21">
        <f>B205-20</f>
        <v/>
      </c>
      <c r="D205" t="n">
        <v>105.2</v>
      </c>
      <c r="E205" s="22">
        <f>D205-90</f>
        <v/>
      </c>
      <c r="F205" s="23" t="n">
        <v>0.01234</v>
      </c>
      <c r="G205" s="22" t="n">
        <v>23.3</v>
      </c>
      <c r="H205" s="22" t="n">
        <v>1.2</v>
      </c>
      <c r="I205" s="24" t="n">
        <v>0.0892672836780548</v>
      </c>
      <c r="J205" s="6" t="n">
        <v>71000</v>
      </c>
      <c r="K205" s="25">
        <f>23*10^-6</f>
        <v/>
      </c>
      <c r="L205" s="8">
        <f>H205</f>
        <v/>
      </c>
      <c r="M205" s="26">
        <f>H205^2/6</f>
        <v/>
      </c>
      <c r="N205" s="26">
        <f>H205^3/12</f>
        <v/>
      </c>
      <c r="O205" s="27">
        <f>-J205*L205*K205*C205</f>
        <v/>
      </c>
      <c r="P205" s="28">
        <f>-(12*F205*J205*L205*N205+12*O205*N205*G205*COS(RADIANS(E205)))/(12*N205*G205*COS(RADIANS(E205))^2+L205*G205^3*SIN(RADIANS(E205))^2)</f>
        <v/>
      </c>
      <c r="Q205" s="28">
        <f>-(6*F205*J205*L205*N205*SIN(RADIANS(E205))+6*O205*N205*G205*SIN(RADIANS(E205))*COS(RADIANS(E205)))/(12*N205*COS(RADIANS(E205))^2+L205*G205^2*SIN(RADIANS(E205))^2)</f>
        <v/>
      </c>
      <c r="R205" s="28">
        <f>-P205*SIN(RADIANS(E205))</f>
        <v/>
      </c>
      <c r="S205" s="8">
        <f>(O205+P205*COS(RADIANS(E205)))/L205</f>
        <v/>
      </c>
      <c r="T205" s="8">
        <f>R205/L205</f>
        <v/>
      </c>
      <c r="U205" s="8">
        <f>(Q205-P205*G205*SIN(RADIANS(E205)))/M205</f>
        <v/>
      </c>
      <c r="V205" s="8">
        <f>SQRT((S205+U205)^2+3*T205^2)</f>
        <v/>
      </c>
      <c r="W205" s="8">
        <f>V205/AA205</f>
        <v/>
      </c>
      <c r="X205" s="27">
        <f>((3*10+H205/COS(RADIANS(E205)))*(3+3)+3*G205*H205)*2</f>
        <v/>
      </c>
      <c r="Y205" s="28">
        <f>Z205/X205</f>
        <v/>
      </c>
      <c r="Z205" s="29" t="n">
        <v>546.985695345092</v>
      </c>
      <c r="AA205" s="20" t="n">
        <v>57.3208580866034</v>
      </c>
      <c r="AB205" t="n">
        <v>0.1187015917915037</v>
      </c>
      <c r="AC205" t="n">
        <v>60.80565504464065</v>
      </c>
      <c r="AD205" t="n">
        <v>32.97323151402773</v>
      </c>
    </row>
    <row r="206">
      <c r="A206" t="n">
        <v>205</v>
      </c>
      <c r="B206" t="n">
        <v>60.3</v>
      </c>
      <c r="C206" s="21">
        <f>B206-20</f>
        <v/>
      </c>
      <c r="D206" t="n">
        <v>116.7</v>
      </c>
      <c r="E206" s="22">
        <f>D206-90</f>
        <v/>
      </c>
      <c r="F206" s="23" t="n">
        <v>0.015849</v>
      </c>
      <c r="G206" s="22" t="n">
        <v>31.9</v>
      </c>
      <c r="H206" s="22" t="n">
        <v>1.2</v>
      </c>
      <c r="I206" s="24" t="n">
        <v>0.0773085430264473</v>
      </c>
      <c r="J206" s="6" t="n">
        <v>71000</v>
      </c>
      <c r="K206" s="25">
        <f>23*10^-6</f>
        <v/>
      </c>
      <c r="L206" s="8">
        <f>H206</f>
        <v/>
      </c>
      <c r="M206" s="26">
        <f>H206^2/6</f>
        <v/>
      </c>
      <c r="N206" s="26">
        <f>H206^3/12</f>
        <v/>
      </c>
      <c r="O206" s="27">
        <f>-J206*L206*K206*C206</f>
        <v/>
      </c>
      <c r="P206" s="28">
        <f>-(12*F206*J206*L206*N206+12*O206*N206*G206*COS(RADIANS(E206)))/(12*N206*G206*COS(RADIANS(E206))^2+L206*G206^3*SIN(RADIANS(E206))^2)</f>
        <v/>
      </c>
      <c r="Q206" s="28">
        <f>-(6*F206*J206*L206*N206*SIN(RADIANS(E206))+6*O206*N206*G206*SIN(RADIANS(E206))*COS(RADIANS(E206)))/(12*N206*COS(RADIANS(E206))^2+L206*G206^2*SIN(RADIANS(E206))^2)</f>
        <v/>
      </c>
      <c r="R206" s="28">
        <f>-P206*SIN(RADIANS(E206))</f>
        <v/>
      </c>
      <c r="S206" s="8">
        <f>(O206+P206*COS(RADIANS(E206)))/L206</f>
        <v/>
      </c>
      <c r="T206" s="8">
        <f>R206/L206</f>
        <v/>
      </c>
      <c r="U206" s="8">
        <f>(Q206-P206*G206*SIN(RADIANS(E206)))/M206</f>
        <v/>
      </c>
      <c r="V206" s="8">
        <f>SQRT((S206+U206)^2+3*T206^2)</f>
        <v/>
      </c>
      <c r="W206" s="8">
        <f>V206/AA206</f>
        <v/>
      </c>
      <c r="X206" s="27">
        <f>((3*10+H206/COS(RADIANS(E206)))*(3+3)+3*G206*H206)*2</f>
        <v/>
      </c>
      <c r="Y206" s="28">
        <f>Z206/X206</f>
        <v/>
      </c>
      <c r="Z206" s="29" t="n">
        <v>612.096872974709</v>
      </c>
      <c r="AA206" s="20" t="n">
        <v>56.7001330105655</v>
      </c>
      <c r="AB206" t="n">
        <v>0.09673363119092515</v>
      </c>
      <c r="AC206" t="n">
        <v>58.83845500574395</v>
      </c>
      <c r="AD206" t="n">
        <v>25.12670321290691</v>
      </c>
    </row>
    <row r="207">
      <c r="A207" t="n">
        <v>206</v>
      </c>
      <c r="B207" t="n">
        <v>68</v>
      </c>
      <c r="C207" s="21">
        <f>B207-20</f>
        <v/>
      </c>
      <c r="D207" t="n">
        <v>120.9</v>
      </c>
      <c r="E207" s="22">
        <f>D207-90</f>
        <v/>
      </c>
      <c r="F207" s="23" t="n">
        <v>0.015397</v>
      </c>
      <c r="G207" s="22" t="n">
        <v>25.8</v>
      </c>
      <c r="H207" s="22" t="n">
        <v>1.2</v>
      </c>
      <c r="I207" s="24" t="n">
        <v>0.07244715839624399</v>
      </c>
      <c r="J207" s="6" t="n">
        <v>71000</v>
      </c>
      <c r="K207" s="25">
        <f>23*10^-6</f>
        <v/>
      </c>
      <c r="L207" s="8">
        <f>H207</f>
        <v/>
      </c>
      <c r="M207" s="26">
        <f>H207^2/6</f>
        <v/>
      </c>
      <c r="N207" s="26">
        <f>H207^3/12</f>
        <v/>
      </c>
      <c r="O207" s="27">
        <f>-J207*L207*K207*C207</f>
        <v/>
      </c>
      <c r="P207" s="28">
        <f>-(12*F207*J207*L207*N207+12*O207*N207*G207*COS(RADIANS(E207)))/(12*N207*G207*COS(RADIANS(E207))^2+L207*G207^3*SIN(RADIANS(E207))^2)</f>
        <v/>
      </c>
      <c r="Q207" s="28">
        <f>-(6*F207*J207*L207*N207*SIN(RADIANS(E207))+6*O207*N207*G207*SIN(RADIANS(E207))*COS(RADIANS(E207)))/(12*N207*COS(RADIANS(E207))^2+L207*G207^2*SIN(RADIANS(E207))^2)</f>
        <v/>
      </c>
      <c r="R207" s="28">
        <f>-P207*SIN(RADIANS(E207))</f>
        <v/>
      </c>
      <c r="S207" s="8">
        <f>(O207+P207*COS(RADIANS(E207)))/L207</f>
        <v/>
      </c>
      <c r="T207" s="8">
        <f>R207/L207</f>
        <v/>
      </c>
      <c r="U207" s="8">
        <f>(Q207-P207*G207*SIN(RADIANS(E207)))/M207</f>
        <v/>
      </c>
      <c r="V207" s="8">
        <f>SQRT((S207+U207)^2+3*T207^2)</f>
        <v/>
      </c>
      <c r="W207" s="8">
        <f>V207/AA207</f>
        <v/>
      </c>
      <c r="X207" s="27">
        <f>((3*10+H207/COS(RADIANS(E207)))*(3+3)+3*G207*H207)*2</f>
        <v/>
      </c>
      <c r="Y207" s="28">
        <f>Z207/X207</f>
        <v/>
      </c>
      <c r="Z207" s="29" t="n">
        <v>569.945488765808</v>
      </c>
      <c r="AA207" s="20" t="n">
        <v>67.826383116659</v>
      </c>
      <c r="AB207" t="n">
        <v>0.08064831435318118</v>
      </c>
      <c r="AC207" t="n">
        <v>69.85497082166144</v>
      </c>
      <c r="AD207" t="n">
        <v>11.32018996808903</v>
      </c>
    </row>
    <row r="208">
      <c r="A208" t="n">
        <v>207</v>
      </c>
      <c r="B208" t="n">
        <v>55.5</v>
      </c>
      <c r="C208" s="21">
        <f>B208-20</f>
        <v/>
      </c>
      <c r="D208" t="n">
        <v>119.3</v>
      </c>
      <c r="E208" s="22">
        <f>D208-90</f>
        <v/>
      </c>
      <c r="F208" s="23" t="n">
        <v>0.012628</v>
      </c>
      <c r="G208" s="22" t="n">
        <v>28.9</v>
      </c>
      <c r="H208" s="22" t="n">
        <v>2</v>
      </c>
      <c r="I208" s="24" t="n">
        <v>0.0597666390240192</v>
      </c>
      <c r="J208" s="6" t="n">
        <v>71000</v>
      </c>
      <c r="K208" s="25">
        <f>23*10^-6</f>
        <v/>
      </c>
      <c r="L208" s="8">
        <f>H208</f>
        <v/>
      </c>
      <c r="M208" s="26">
        <f>H208^2/6</f>
        <v/>
      </c>
      <c r="N208" s="26">
        <f>H208^3/12</f>
        <v/>
      </c>
      <c r="O208" s="27">
        <f>-J208*L208*K208*C208</f>
        <v/>
      </c>
      <c r="P208" s="28">
        <f>-(12*F208*J208*L208*N208+12*O208*N208*G208*COS(RADIANS(E208)))/(12*N208*G208*COS(RADIANS(E208))^2+L208*G208^3*SIN(RADIANS(E208))^2)</f>
        <v/>
      </c>
      <c r="Q208" s="28">
        <f>-(6*F208*J208*L208*N208*SIN(RADIANS(E208))+6*O208*N208*G208*SIN(RADIANS(E208))*COS(RADIANS(E208)))/(12*N208*COS(RADIANS(E208))^2+L208*G208^2*SIN(RADIANS(E208))^2)</f>
        <v/>
      </c>
      <c r="R208" s="28">
        <f>-P208*SIN(RADIANS(E208))</f>
        <v/>
      </c>
      <c r="S208" s="8">
        <f>(O208+P208*COS(RADIANS(E208)))/L208</f>
        <v/>
      </c>
      <c r="T208" s="8">
        <f>R208/L208</f>
        <v/>
      </c>
      <c r="U208" s="8">
        <f>(Q208-P208*G208*SIN(RADIANS(E208)))/M208</f>
        <v/>
      </c>
      <c r="V208" s="8">
        <f>SQRT((S208+U208)^2+3*T208^2)</f>
        <v/>
      </c>
      <c r="W208" s="8">
        <f>V208/AA208</f>
        <v/>
      </c>
      <c r="X208" s="27">
        <f>((3*10+H208/COS(RADIANS(E208)))*(3+3)+3*G208*H208)*2</f>
        <v/>
      </c>
      <c r="Y208" s="28">
        <f>Z208/X208</f>
        <v/>
      </c>
      <c r="Z208" s="29" t="n">
        <v>741.275128401118</v>
      </c>
      <c r="AA208" s="20" t="n">
        <v>57.8287548892839</v>
      </c>
      <c r="AB208" t="n">
        <v>0.06955448681513157</v>
      </c>
      <c r="AC208" t="n">
        <v>54.11860531662671</v>
      </c>
      <c r="AD208" t="n">
        <v>16.37677465379775</v>
      </c>
    </row>
    <row r="209">
      <c r="A209" t="n">
        <v>208</v>
      </c>
      <c r="B209" t="n">
        <v>54</v>
      </c>
      <c r="C209" s="21">
        <f>B209-20</f>
        <v/>
      </c>
      <c r="D209" t="n">
        <v>123.7</v>
      </c>
      <c r="E209" s="22">
        <f>D209-90</f>
        <v/>
      </c>
      <c r="F209" s="23" t="n">
        <v>0.010355</v>
      </c>
      <c r="G209" s="22" t="n">
        <v>24.9</v>
      </c>
      <c r="H209" s="22" t="n">
        <v>1.3</v>
      </c>
      <c r="I209" s="24" t="n">
        <v>0.047489657998085</v>
      </c>
      <c r="J209" s="6" t="n">
        <v>71000</v>
      </c>
      <c r="K209" s="25">
        <f>23*10^-6</f>
        <v/>
      </c>
      <c r="L209" s="8">
        <f>H209</f>
        <v/>
      </c>
      <c r="M209" s="26">
        <f>H209^2/6</f>
        <v/>
      </c>
      <c r="N209" s="26">
        <f>H209^3/12</f>
        <v/>
      </c>
      <c r="O209" s="27">
        <f>-J209*L209*K209*C209</f>
        <v/>
      </c>
      <c r="P209" s="28">
        <f>-(12*F209*J209*L209*N209+12*O209*N209*G209*COS(RADIANS(E209)))/(12*N209*G209*COS(RADIANS(E209))^2+L209*G209^3*SIN(RADIANS(E209))^2)</f>
        <v/>
      </c>
      <c r="Q209" s="28">
        <f>-(6*F209*J209*L209*N209*SIN(RADIANS(E209))+6*O209*N209*G209*SIN(RADIANS(E209))*COS(RADIANS(E209)))/(12*N209*COS(RADIANS(E209))^2+L209*G209^2*SIN(RADIANS(E209))^2)</f>
        <v/>
      </c>
      <c r="R209" s="28">
        <f>-P209*SIN(RADIANS(E209))</f>
        <v/>
      </c>
      <c r="S209" s="8">
        <f>(O209+P209*COS(RADIANS(E209)))/L209</f>
        <v/>
      </c>
      <c r="T209" s="8">
        <f>R209/L209</f>
        <v/>
      </c>
      <c r="U209" s="8">
        <f>(Q209-P209*G209*SIN(RADIANS(E209)))/M209</f>
        <v/>
      </c>
      <c r="V209" s="8">
        <f>SQRT((S209+U209)^2+3*T209^2)</f>
        <v/>
      </c>
      <c r="W209" s="8">
        <f>V209/AA209</f>
        <v/>
      </c>
      <c r="X209" s="27">
        <f>((3*10+H209/COS(RADIANS(E209)))*(3+3)+3*G209*H209)*2</f>
        <v/>
      </c>
      <c r="Y209" s="28">
        <f>Z209/X209</f>
        <v/>
      </c>
      <c r="Z209" s="29" t="n">
        <v>581.252407907937</v>
      </c>
      <c r="AA209" s="20" t="n">
        <v>48.9826044214987</v>
      </c>
      <c r="AB209" t="n">
        <v>0.05027041525830983</v>
      </c>
      <c r="AC209" t="n">
        <v>49.41169278226195</v>
      </c>
      <c r="AD209" t="n">
        <v>5.855500707831929</v>
      </c>
    </row>
    <row r="210">
      <c r="A210" t="n">
        <v>209</v>
      </c>
      <c r="B210" t="n">
        <v>68</v>
      </c>
      <c r="C210" s="21">
        <f>B210-20</f>
        <v/>
      </c>
      <c r="D210" t="n">
        <v>100.9</v>
      </c>
      <c r="E210" s="22">
        <f>D210-90</f>
        <v/>
      </c>
      <c r="F210" s="23" t="n">
        <v>0.014997</v>
      </c>
      <c r="G210" s="22" t="n">
        <v>21.8</v>
      </c>
      <c r="H210" s="22" t="n">
        <v>1.1</v>
      </c>
      <c r="I210" s="24" t="n">
        <v>0.138368472456932</v>
      </c>
      <c r="J210" s="6" t="n">
        <v>71000</v>
      </c>
      <c r="K210" s="25">
        <f>23*10^-6</f>
        <v/>
      </c>
      <c r="L210" s="8">
        <f>H210</f>
        <v/>
      </c>
      <c r="M210" s="26">
        <f>H210^2/6</f>
        <v/>
      </c>
      <c r="N210" s="26">
        <f>H210^3/12</f>
        <v/>
      </c>
      <c r="O210" s="27">
        <f>-J210*L210*K210*C210</f>
        <v/>
      </c>
      <c r="P210" s="28">
        <f>-(12*F210*J210*L210*N210+12*O210*N210*G210*COS(RADIANS(E210)))/(12*N210*G210*COS(RADIANS(E210))^2+L210*G210^3*SIN(RADIANS(E210))^2)</f>
        <v/>
      </c>
      <c r="Q210" s="28">
        <f>-(6*F210*J210*L210*N210*SIN(RADIANS(E210))+6*O210*N210*G210*SIN(RADIANS(E210))*COS(RADIANS(E210)))/(12*N210*COS(RADIANS(E210))^2+L210*G210^2*SIN(RADIANS(E210))^2)</f>
        <v/>
      </c>
      <c r="R210" s="28">
        <f>-P210*SIN(RADIANS(E210))</f>
        <v/>
      </c>
      <c r="S210" s="8">
        <f>(O210+P210*COS(RADIANS(E210)))/L210</f>
        <v/>
      </c>
      <c r="T210" s="8">
        <f>R210/L210</f>
        <v/>
      </c>
      <c r="U210" s="8">
        <f>(Q210-P210*G210*SIN(RADIANS(E210)))/M210</f>
        <v/>
      </c>
      <c r="V210" s="8">
        <f>SQRT((S210+U210)^2+3*T210^2)</f>
        <v/>
      </c>
      <c r="W210" s="8">
        <f>V210/AA210</f>
        <v/>
      </c>
      <c r="X210" s="27">
        <f>((3*10+H210/COS(RADIANS(E210)))*(3+3)+3*G210*H210)*2</f>
        <v/>
      </c>
      <c r="Y210" s="28">
        <f>Z210/X210</f>
        <v/>
      </c>
      <c r="Z210" s="29" t="n">
        <v>521.19709588888</v>
      </c>
      <c r="AA210" s="20" t="n">
        <v>73.3509213656898</v>
      </c>
      <c r="AB210" t="n">
        <v>0.1917872646515691</v>
      </c>
      <c r="AC210" t="n">
        <v>80.28717213126437</v>
      </c>
      <c r="AD210" t="n">
        <v>38.60618770021036</v>
      </c>
    </row>
    <row r="211">
      <c r="A211" t="n">
        <v>210</v>
      </c>
      <c r="B211" t="n">
        <v>50.9</v>
      </c>
      <c r="C211" s="21">
        <f>B211-20</f>
        <v/>
      </c>
      <c r="D211" t="n">
        <v>129.8</v>
      </c>
      <c r="E211" s="22">
        <f>D211-90</f>
        <v/>
      </c>
      <c r="F211" s="23" t="n">
        <v>0.01145</v>
      </c>
      <c r="G211" s="22" t="n">
        <v>34.5</v>
      </c>
      <c r="H211" s="22" t="n">
        <v>1.8</v>
      </c>
      <c r="I211" s="24" t="n">
        <v>0.0483504571020603</v>
      </c>
      <c r="J211" s="6" t="n">
        <v>71000</v>
      </c>
      <c r="K211" s="25">
        <f>23*10^-6</f>
        <v/>
      </c>
      <c r="L211" s="8">
        <f>H211</f>
        <v/>
      </c>
      <c r="M211" s="26">
        <f>H211^2/6</f>
        <v/>
      </c>
      <c r="N211" s="26">
        <f>H211^3/12</f>
        <v/>
      </c>
      <c r="O211" s="27">
        <f>-J211*L211*K211*C211</f>
        <v/>
      </c>
      <c r="P211" s="28">
        <f>-(12*F211*J211*L211*N211+12*O211*N211*G211*COS(RADIANS(E211)))/(12*N211*G211*COS(RADIANS(E211))^2+L211*G211^3*SIN(RADIANS(E211))^2)</f>
        <v/>
      </c>
      <c r="Q211" s="28">
        <f>-(6*F211*J211*L211*N211*SIN(RADIANS(E211))+6*O211*N211*G211*SIN(RADIANS(E211))*COS(RADIANS(E211)))/(12*N211*COS(RADIANS(E211))^2+L211*G211^2*SIN(RADIANS(E211))^2)</f>
        <v/>
      </c>
      <c r="R211" s="28">
        <f>-P211*SIN(RADIANS(E211))</f>
        <v/>
      </c>
      <c r="S211" s="8">
        <f>(O211+P211*COS(RADIANS(E211)))/L211</f>
        <v/>
      </c>
      <c r="T211" s="8">
        <f>R211/L211</f>
        <v/>
      </c>
      <c r="U211" s="8">
        <f>(Q211-P211*G211*SIN(RADIANS(E211)))/M211</f>
        <v/>
      </c>
      <c r="V211" s="8">
        <f>SQRT((S211+U211)^2+3*T211^2)</f>
        <v/>
      </c>
      <c r="W211" s="8">
        <f>V211/AA211</f>
        <v/>
      </c>
      <c r="X211" s="27">
        <f>((3*10+H211/COS(RADIANS(E211)))*(3+3)+3*G211*H211)*2</f>
        <v/>
      </c>
      <c r="Y211" s="28">
        <f>Z211/X211</f>
        <v/>
      </c>
      <c r="Z211" s="29" t="n">
        <v>771.38671792607</v>
      </c>
      <c r="AA211" s="20" t="n">
        <v>45.450338768026</v>
      </c>
      <c r="AB211" t="n">
        <v>0.05180733901911176</v>
      </c>
      <c r="AC211" t="n">
        <v>44.48451165015523</v>
      </c>
      <c r="AD211" t="n">
        <v>7.149636475523953</v>
      </c>
    </row>
    <row r="212">
      <c r="A212" t="n">
        <v>211</v>
      </c>
      <c r="B212" t="n">
        <v>84.5</v>
      </c>
      <c r="C212" s="21">
        <f>B212-20</f>
        <v/>
      </c>
      <c r="D212" t="n">
        <v>101.2</v>
      </c>
      <c r="E212" s="22">
        <f>D212-90</f>
        <v/>
      </c>
      <c r="F212" s="23" t="n">
        <v>0.019198</v>
      </c>
      <c r="G212" s="22" t="n">
        <v>20.5</v>
      </c>
      <c r="H212" s="22" t="n">
        <v>1.5</v>
      </c>
      <c r="I212" s="24" t="n">
        <v>0.165667355060577</v>
      </c>
      <c r="J212" s="6" t="n">
        <v>71000</v>
      </c>
      <c r="K212" s="25">
        <f>23*10^-6</f>
        <v/>
      </c>
      <c r="L212" s="8">
        <f>H212</f>
        <v/>
      </c>
      <c r="M212" s="26">
        <f>H212^2/6</f>
        <v/>
      </c>
      <c r="N212" s="26">
        <f>H212^3/12</f>
        <v/>
      </c>
      <c r="O212" s="27">
        <f>-J212*L212*K212*C212</f>
        <v/>
      </c>
      <c r="P212" s="28">
        <f>-(12*F212*J212*L212*N212+12*O212*N212*G212*COS(RADIANS(E212)))/(12*N212*G212*COS(RADIANS(E212))^2+L212*G212^3*SIN(RADIANS(E212))^2)</f>
        <v/>
      </c>
      <c r="Q212" s="28">
        <f>-(6*F212*J212*L212*N212*SIN(RADIANS(E212))+6*O212*N212*G212*SIN(RADIANS(E212))*COS(RADIANS(E212)))/(12*N212*COS(RADIANS(E212))^2+L212*G212^2*SIN(RADIANS(E212))^2)</f>
        <v/>
      </c>
      <c r="R212" s="28">
        <f>-P212*SIN(RADIANS(E212))</f>
        <v/>
      </c>
      <c r="S212" s="8">
        <f>(O212+P212*COS(RADIANS(E212)))/L212</f>
        <v/>
      </c>
      <c r="T212" s="8">
        <f>R212/L212</f>
        <v/>
      </c>
      <c r="U212" s="8">
        <f>(Q212-P212*G212*SIN(RADIANS(E212)))/M212</f>
        <v/>
      </c>
      <c r="V212" s="8">
        <f>SQRT((S212+U212)^2+3*T212^2)</f>
        <v/>
      </c>
      <c r="W212" s="8">
        <f>V212/AA212</f>
        <v/>
      </c>
      <c r="X212" s="27">
        <f>((3*10+H212/COS(RADIANS(E212)))*(3+3)+3*G212*H212)*2</f>
        <v/>
      </c>
      <c r="Y212" s="28">
        <f>Z212/X212</f>
        <v/>
      </c>
      <c r="Z212" s="29" t="n">
        <v>566.749042272735</v>
      </c>
      <c r="AA212" s="20" t="n">
        <v>136.330825198033</v>
      </c>
      <c r="AB212" t="n">
        <v>0.2226124414927003</v>
      </c>
      <c r="AC212" t="n">
        <v>113.049691838426</v>
      </c>
      <c r="AD212" t="n">
        <v>34.37314877834628</v>
      </c>
    </row>
    <row r="213">
      <c r="A213" t="n">
        <v>212</v>
      </c>
      <c r="B213" t="n">
        <v>76.7</v>
      </c>
      <c r="C213" s="21">
        <f>B213-20</f>
        <v/>
      </c>
      <c r="D213" t="n">
        <v>117.4</v>
      </c>
      <c r="E213" s="22">
        <f>D213-90</f>
        <v/>
      </c>
      <c r="F213" s="23" t="n">
        <v>0.022012</v>
      </c>
      <c r="G213" s="22" t="n">
        <v>31.6</v>
      </c>
      <c r="H213" s="22" t="n">
        <v>2</v>
      </c>
      <c r="I213" s="24" t="n">
        <v>0.106110759079456</v>
      </c>
      <c r="J213" s="6" t="n">
        <v>71000</v>
      </c>
      <c r="K213" s="25">
        <f>23*10^-6</f>
        <v/>
      </c>
      <c r="L213" s="8">
        <f>H213</f>
        <v/>
      </c>
      <c r="M213" s="26">
        <f>H213^2/6</f>
        <v/>
      </c>
      <c r="N213" s="26">
        <f>H213^3/12</f>
        <v/>
      </c>
      <c r="O213" s="27">
        <f>-J213*L213*K213*C213</f>
        <v/>
      </c>
      <c r="P213" s="28">
        <f>-(12*F213*J213*L213*N213+12*O213*N213*G213*COS(RADIANS(E213)))/(12*N213*G213*COS(RADIANS(E213))^2+L213*G213^3*SIN(RADIANS(E213))^2)</f>
        <v/>
      </c>
      <c r="Q213" s="28">
        <f>-(6*F213*J213*L213*N213*SIN(RADIANS(E213))+6*O213*N213*G213*SIN(RADIANS(E213))*COS(RADIANS(E213)))/(12*N213*COS(RADIANS(E213))^2+L213*G213^2*SIN(RADIANS(E213))^2)</f>
        <v/>
      </c>
      <c r="R213" s="28">
        <f>-P213*SIN(RADIANS(E213))</f>
        <v/>
      </c>
      <c r="S213" s="8">
        <f>(O213+P213*COS(RADIANS(E213)))/L213</f>
        <v/>
      </c>
      <c r="T213" s="8">
        <f>R213/L213</f>
        <v/>
      </c>
      <c r="U213" s="8">
        <f>(Q213-P213*G213*SIN(RADIANS(E213)))/M213</f>
        <v/>
      </c>
      <c r="V213" s="8">
        <f>SQRT((S213+U213)^2+3*T213^2)</f>
        <v/>
      </c>
      <c r="W213" s="8">
        <f>V213/AA213</f>
        <v/>
      </c>
      <c r="X213" s="27">
        <f>((3*10+H213/COS(RADIANS(E213)))*(3+3)+3*G213*H213)*2</f>
        <v/>
      </c>
      <c r="Y213" s="28">
        <f>Z213/X213</f>
        <v/>
      </c>
      <c r="Z213" s="29" t="n">
        <v>772.69892359388</v>
      </c>
      <c r="AA213" s="20" t="n">
        <v>92.66563322414309</v>
      </c>
      <c r="AB213" t="n">
        <v>0.1299065853542455</v>
      </c>
      <c r="AC213" t="n">
        <v>86.65915010806629</v>
      </c>
      <c r="AD213" t="n">
        <v>22.42546041629122</v>
      </c>
    </row>
    <row r="214">
      <c r="A214" t="n">
        <v>213</v>
      </c>
      <c r="B214" t="n">
        <v>86.8</v>
      </c>
      <c r="C214" s="21">
        <f>B214-20</f>
        <v/>
      </c>
      <c r="D214" t="n">
        <v>110.8</v>
      </c>
      <c r="E214" s="22">
        <f>D214-90</f>
        <v/>
      </c>
      <c r="F214" s="23" t="n">
        <v>0.019448</v>
      </c>
      <c r="G214" s="22" t="n">
        <v>20.9</v>
      </c>
      <c r="H214" s="22" t="n">
        <v>1.5</v>
      </c>
      <c r="I214" s="24" t="n">
        <v>0.115208931267261</v>
      </c>
      <c r="J214" s="6" t="n">
        <v>71000</v>
      </c>
      <c r="K214" s="25">
        <f>23*10^-6</f>
        <v/>
      </c>
      <c r="L214" s="8">
        <f>H214</f>
        <v/>
      </c>
      <c r="M214" s="26">
        <f>H214^2/6</f>
        <v/>
      </c>
      <c r="N214" s="26">
        <f>H214^3/12</f>
        <v/>
      </c>
      <c r="O214" s="27">
        <f>-J214*L214*K214*C214</f>
        <v/>
      </c>
      <c r="P214" s="28">
        <f>-(12*F214*J214*L214*N214+12*O214*N214*G214*COS(RADIANS(E214)))/(12*N214*G214*COS(RADIANS(E214))^2+L214*G214^3*SIN(RADIANS(E214))^2)</f>
        <v/>
      </c>
      <c r="Q214" s="28">
        <f>-(6*F214*J214*L214*N214*SIN(RADIANS(E214))+6*O214*N214*G214*SIN(RADIANS(E214))*COS(RADIANS(E214)))/(12*N214*COS(RADIANS(E214))^2+L214*G214^2*SIN(RADIANS(E214))^2)</f>
        <v/>
      </c>
      <c r="R214" s="28">
        <f>-P214*SIN(RADIANS(E214))</f>
        <v/>
      </c>
      <c r="S214" s="8">
        <f>(O214+P214*COS(RADIANS(E214)))/L214</f>
        <v/>
      </c>
      <c r="T214" s="8">
        <f>R214/L214</f>
        <v/>
      </c>
      <c r="U214" s="8">
        <f>(Q214-P214*G214*SIN(RADIANS(E214)))/M214</f>
        <v/>
      </c>
      <c r="V214" s="8">
        <f>SQRT((S214+U214)^2+3*T214^2)</f>
        <v/>
      </c>
      <c r="W214" s="8">
        <f>V214/AA214</f>
        <v/>
      </c>
      <c r="X214" s="27">
        <f>((3*10+H214/COS(RADIANS(E214)))*(3+3)+3*G214*H214)*2</f>
        <v/>
      </c>
      <c r="Y214" s="28">
        <f>Z214/X214</f>
        <v/>
      </c>
      <c r="Z214" s="29" t="n">
        <v>572.461791994439</v>
      </c>
      <c r="AA214" s="20" t="n">
        <v>106.002421358981</v>
      </c>
      <c r="AB214" t="n">
        <v>0.1364858786212241</v>
      </c>
      <c r="AC214" t="n">
        <v>105.924378280301</v>
      </c>
      <c r="AD214" t="n">
        <v>18.46814055119126</v>
      </c>
    </row>
    <row r="215">
      <c r="A215" t="n">
        <v>214</v>
      </c>
      <c r="B215" t="n">
        <v>46.2</v>
      </c>
      <c r="C215" s="21">
        <f>B215-20</f>
        <v/>
      </c>
      <c r="D215" t="n">
        <v>121.6</v>
      </c>
      <c r="E215" s="22">
        <f>D215-90</f>
        <v/>
      </c>
      <c r="F215" s="23" t="n">
        <v>0.007618</v>
      </c>
      <c r="G215" s="22" t="n">
        <v>22.9</v>
      </c>
      <c r="H215" s="22" t="n">
        <v>1.8</v>
      </c>
      <c r="I215" s="24" t="n">
        <v>0.0362056531012058</v>
      </c>
      <c r="J215" s="6" t="n">
        <v>71000</v>
      </c>
      <c r="K215" s="25">
        <f>23*10^-6</f>
        <v/>
      </c>
      <c r="L215" s="8">
        <f>H215</f>
        <v/>
      </c>
      <c r="M215" s="26">
        <f>H215^2/6</f>
        <v/>
      </c>
      <c r="N215" s="26">
        <f>H215^3/12</f>
        <v/>
      </c>
      <c r="O215" s="27">
        <f>-J215*L215*K215*C215</f>
        <v/>
      </c>
      <c r="P215" s="28">
        <f>-(12*F215*J215*L215*N215+12*O215*N215*G215*COS(RADIANS(E215)))/(12*N215*G215*COS(RADIANS(E215))^2+L215*G215^3*SIN(RADIANS(E215))^2)</f>
        <v/>
      </c>
      <c r="Q215" s="28">
        <f>-(6*F215*J215*L215*N215*SIN(RADIANS(E215))+6*O215*N215*G215*SIN(RADIANS(E215))*COS(RADIANS(E215)))/(12*N215*COS(RADIANS(E215))^2+L215*G215^2*SIN(RADIANS(E215))^2)</f>
        <v/>
      </c>
      <c r="R215" s="28">
        <f>-P215*SIN(RADIANS(E215))</f>
        <v/>
      </c>
      <c r="S215" s="8">
        <f>(O215+P215*COS(RADIANS(E215)))/L215</f>
        <v/>
      </c>
      <c r="T215" s="8">
        <f>R215/L215</f>
        <v/>
      </c>
      <c r="U215" s="8">
        <f>(Q215-P215*G215*SIN(RADIANS(E215)))/M215</f>
        <v/>
      </c>
      <c r="V215" s="8">
        <f>SQRT((S215+U215)^2+3*T215^2)</f>
        <v/>
      </c>
      <c r="W215" s="8">
        <f>V215/AA215</f>
        <v/>
      </c>
      <c r="X215" s="27">
        <f>((3*10+H215/COS(RADIANS(E215)))*(3+3)+3*G215*H215)*2</f>
        <v/>
      </c>
      <c r="Y215" s="28">
        <f>Z215/X215</f>
        <v/>
      </c>
      <c r="Z215" s="29" t="n">
        <v>640.291915157805</v>
      </c>
      <c r="AA215" s="20" t="n">
        <v>42.7620911723018</v>
      </c>
      <c r="AB215" t="n">
        <v>0.0380209302237596</v>
      </c>
      <c r="AC215" t="n">
        <v>39.66138410006582</v>
      </c>
      <c r="AD215" t="n">
        <v>5.013794717304377</v>
      </c>
    </row>
    <row r="216">
      <c r="A216" t="n">
        <v>215</v>
      </c>
      <c r="B216" t="n">
        <v>59.5</v>
      </c>
      <c r="C216" s="21">
        <f>B216-20</f>
        <v/>
      </c>
      <c r="D216" t="n">
        <v>115.3</v>
      </c>
      <c r="E216" s="22">
        <f>D216-90</f>
        <v/>
      </c>
      <c r="F216" s="23" t="n">
        <v>0.015892</v>
      </c>
      <c r="G216" s="22" t="n">
        <v>32.4</v>
      </c>
      <c r="H216" s="22" t="n">
        <v>1.3</v>
      </c>
      <c r="I216" s="24" t="n">
        <v>0.079608678817749</v>
      </c>
      <c r="J216" s="6" t="n">
        <v>71000</v>
      </c>
      <c r="K216" s="25">
        <f>23*10^-6</f>
        <v/>
      </c>
      <c r="L216" s="8">
        <f>H216</f>
        <v/>
      </c>
      <c r="M216" s="26">
        <f>H216^2/6</f>
        <v/>
      </c>
      <c r="N216" s="26">
        <f>H216^3/12</f>
        <v/>
      </c>
      <c r="O216" s="27">
        <f>-J216*L216*K216*C216</f>
        <v/>
      </c>
      <c r="P216" s="28">
        <f>-(12*F216*J216*L216*N216+12*O216*N216*G216*COS(RADIANS(E216)))/(12*N216*G216*COS(RADIANS(E216))^2+L216*G216^3*SIN(RADIANS(E216))^2)</f>
        <v/>
      </c>
      <c r="Q216" s="28">
        <f>-(6*F216*J216*L216*N216*SIN(RADIANS(E216))+6*O216*N216*G216*SIN(RADIANS(E216))*COS(RADIANS(E216)))/(12*N216*COS(RADIANS(E216))^2+L216*G216^2*SIN(RADIANS(E216))^2)</f>
        <v/>
      </c>
      <c r="R216" s="28">
        <f>-P216*SIN(RADIANS(E216))</f>
        <v/>
      </c>
      <c r="S216" s="8">
        <f>(O216+P216*COS(RADIANS(E216)))/L216</f>
        <v/>
      </c>
      <c r="T216" s="8">
        <f>R216/L216</f>
        <v/>
      </c>
      <c r="U216" s="8">
        <f>(Q216-P216*G216*SIN(RADIANS(E216)))/M216</f>
        <v/>
      </c>
      <c r="V216" s="8">
        <f>SQRT((S216+U216)^2+3*T216^2)</f>
        <v/>
      </c>
      <c r="W216" s="8">
        <f>V216/AA216</f>
        <v/>
      </c>
      <c r="X216" s="27">
        <f>((3*10+H216/COS(RADIANS(E216)))*(3+3)+3*G216*H216)*2</f>
        <v/>
      </c>
      <c r="Y216" s="28">
        <f>Z216/X216</f>
        <v/>
      </c>
      <c r="Z216" s="29" t="n">
        <v>635.954939359889</v>
      </c>
      <c r="AA216" s="20" t="n">
        <v>56.8927028856608</v>
      </c>
      <c r="AB216" t="n">
        <v>0.1017107161254826</v>
      </c>
      <c r="AC216" t="n">
        <v>58.30363847684574</v>
      </c>
      <c r="AD216" t="n">
        <v>27.76335147871583</v>
      </c>
    </row>
    <row r="217">
      <c r="A217" t="n">
        <v>216</v>
      </c>
      <c r="B217" t="n">
        <v>67.59999999999999</v>
      </c>
      <c r="C217" s="21">
        <f>B217-20</f>
        <v/>
      </c>
      <c r="D217" t="n">
        <v>107.5</v>
      </c>
      <c r="E217" s="22">
        <f>D217-90</f>
        <v/>
      </c>
      <c r="F217" s="23" t="n">
        <v>0.015832</v>
      </c>
      <c r="G217" s="22" t="n">
        <v>24.3</v>
      </c>
      <c r="H217" s="22" t="n">
        <v>1.2</v>
      </c>
      <c r="I217" s="24" t="n">
        <v>0.103572562336921</v>
      </c>
      <c r="J217" s="6" t="n">
        <v>71000</v>
      </c>
      <c r="K217" s="25">
        <f>23*10^-6</f>
        <v/>
      </c>
      <c r="L217" s="8">
        <f>H217</f>
        <v/>
      </c>
      <c r="M217" s="26">
        <f>H217^2/6</f>
        <v/>
      </c>
      <c r="N217" s="26">
        <f>H217^3/12</f>
        <v/>
      </c>
      <c r="O217" s="27">
        <f>-J217*L217*K217*C217</f>
        <v/>
      </c>
      <c r="P217" s="28">
        <f>-(12*F217*J217*L217*N217+12*O217*N217*G217*COS(RADIANS(E217)))/(12*N217*G217*COS(RADIANS(E217))^2+L217*G217^3*SIN(RADIANS(E217))^2)</f>
        <v/>
      </c>
      <c r="Q217" s="28">
        <f>-(6*F217*J217*L217*N217*SIN(RADIANS(E217))+6*O217*N217*G217*SIN(RADIANS(E217))*COS(RADIANS(E217)))/(12*N217*COS(RADIANS(E217))^2+L217*G217^2*SIN(RADIANS(E217))^2)</f>
        <v/>
      </c>
      <c r="R217" s="28">
        <f>-P217*SIN(RADIANS(E217))</f>
        <v/>
      </c>
      <c r="S217" s="8">
        <f>(O217+P217*COS(RADIANS(E217)))/L217</f>
        <v/>
      </c>
      <c r="T217" s="8">
        <f>R217/L217</f>
        <v/>
      </c>
      <c r="U217" s="8">
        <f>(Q217-P217*G217*SIN(RADIANS(E217)))/M217</f>
        <v/>
      </c>
      <c r="V217" s="8">
        <f>SQRT((S217+U217)^2+3*T217^2)</f>
        <v/>
      </c>
      <c r="W217" s="8">
        <f>V217/AA217</f>
        <v/>
      </c>
      <c r="X217" s="27">
        <f>((3*10+H217/COS(RADIANS(E217)))*(3+3)+3*G217*H217)*2</f>
        <v/>
      </c>
      <c r="Y217" s="28">
        <f>Z217/X217</f>
        <v/>
      </c>
      <c r="Z217" s="29" t="n">
        <v>554.657147791047</v>
      </c>
      <c r="AA217" s="20" t="n">
        <v>70.5669707914175</v>
      </c>
      <c r="AB217" t="n">
        <v>0.1352423809874675</v>
      </c>
      <c r="AC217" t="n">
        <v>74.38285856337343</v>
      </c>
      <c r="AD217" t="n">
        <v>30.57742121656197</v>
      </c>
    </row>
    <row r="218">
      <c r="A218" t="n">
        <v>217</v>
      </c>
      <c r="B218" t="n">
        <v>50.8</v>
      </c>
      <c r="C218" s="21">
        <f>B218-20</f>
        <v/>
      </c>
      <c r="D218" t="n">
        <v>124.2</v>
      </c>
      <c r="E218" s="22">
        <f>D218-90</f>
        <v/>
      </c>
      <c r="F218" s="23" t="n">
        <v>0.010906</v>
      </c>
      <c r="G218" s="22" t="n">
        <v>30.3</v>
      </c>
      <c r="H218" s="22" t="n">
        <v>1</v>
      </c>
      <c r="I218" s="24" t="n">
        <v>0.0482601784169673</v>
      </c>
      <c r="J218" s="6" t="n">
        <v>71000</v>
      </c>
      <c r="K218" s="25">
        <f>23*10^-6</f>
        <v/>
      </c>
      <c r="L218" s="8">
        <f>H218</f>
        <v/>
      </c>
      <c r="M218" s="26">
        <f>H218^2/6</f>
        <v/>
      </c>
      <c r="N218" s="26">
        <f>H218^3/12</f>
        <v/>
      </c>
      <c r="O218" s="27">
        <f>-J218*L218*K218*C218</f>
        <v/>
      </c>
      <c r="P218" s="28">
        <f>-(12*F218*J218*L218*N218+12*O218*N218*G218*COS(RADIANS(E218)))/(12*N218*G218*COS(RADIANS(E218))^2+L218*G218^3*SIN(RADIANS(E218))^2)</f>
        <v/>
      </c>
      <c r="Q218" s="28">
        <f>-(6*F218*J218*L218*N218*SIN(RADIANS(E218))+6*O218*N218*G218*SIN(RADIANS(E218))*COS(RADIANS(E218)))/(12*N218*COS(RADIANS(E218))^2+L218*G218^2*SIN(RADIANS(E218))^2)</f>
        <v/>
      </c>
      <c r="R218" s="28">
        <f>-P218*SIN(RADIANS(E218))</f>
        <v/>
      </c>
      <c r="S218" s="8">
        <f>(O218+P218*COS(RADIANS(E218)))/L218</f>
        <v/>
      </c>
      <c r="T218" s="8">
        <f>R218/L218</f>
        <v/>
      </c>
      <c r="U218" s="8">
        <f>(Q218-P218*G218*SIN(RADIANS(E218)))/M218</f>
        <v/>
      </c>
      <c r="V218" s="8">
        <f>SQRT((S218+U218)^2+3*T218^2)</f>
        <v/>
      </c>
      <c r="W218" s="8">
        <f>V218/AA218</f>
        <v/>
      </c>
      <c r="X218" s="27">
        <f>((3*10+H218/COS(RADIANS(E218)))*(3+3)+3*G218*H218)*2</f>
        <v/>
      </c>
      <c r="Y218" s="28">
        <f>Z218/X218</f>
        <v/>
      </c>
      <c r="Z218" s="29" t="n">
        <v>564.760222948276</v>
      </c>
      <c r="AA218" s="20" t="n">
        <v>40.1641070816545</v>
      </c>
      <c r="AB218" t="n">
        <v>0.05409004605331257</v>
      </c>
      <c r="AC218" t="n">
        <v>43.64956714006193</v>
      </c>
      <c r="AD218" t="n">
        <v>12.08007891304355</v>
      </c>
    </row>
    <row r="219">
      <c r="A219" t="n">
        <v>218</v>
      </c>
      <c r="B219" t="n">
        <v>78.8</v>
      </c>
      <c r="C219" s="21">
        <f>B219-20</f>
        <v/>
      </c>
      <c r="D219" t="n">
        <v>125.8</v>
      </c>
      <c r="E219" s="22">
        <f>D219-90</f>
        <v/>
      </c>
      <c r="F219" s="23" t="n">
        <v>0.018429</v>
      </c>
      <c r="G219" s="22" t="n">
        <v>26.5</v>
      </c>
      <c r="H219" s="22" t="n">
        <v>1.3</v>
      </c>
      <c r="I219" s="24" t="n">
        <v>0.0822380855679512</v>
      </c>
      <c r="J219" s="6" t="n">
        <v>71000</v>
      </c>
      <c r="K219" s="25">
        <f>23*10^-6</f>
        <v/>
      </c>
      <c r="L219" s="8">
        <f>H219</f>
        <v/>
      </c>
      <c r="M219" s="26">
        <f>H219^2/6</f>
        <v/>
      </c>
      <c r="N219" s="26">
        <f>H219^3/12</f>
        <v/>
      </c>
      <c r="O219" s="27">
        <f>-J219*L219*K219*C219</f>
        <v/>
      </c>
      <c r="P219" s="28">
        <f>-(12*F219*J219*L219*N219+12*O219*N219*G219*COS(RADIANS(E219)))/(12*N219*G219*COS(RADIANS(E219))^2+L219*G219^3*SIN(RADIANS(E219))^2)</f>
        <v/>
      </c>
      <c r="Q219" s="28">
        <f>-(6*F219*J219*L219*N219*SIN(RADIANS(E219))+6*O219*N219*G219*SIN(RADIANS(E219))*COS(RADIANS(E219)))/(12*N219*COS(RADIANS(E219))^2+L219*G219^2*SIN(RADIANS(E219))^2)</f>
        <v/>
      </c>
      <c r="R219" s="28">
        <f>-P219*SIN(RADIANS(E219))</f>
        <v/>
      </c>
      <c r="S219" s="8">
        <f>(O219+P219*COS(RADIANS(E219)))/L219</f>
        <v/>
      </c>
      <c r="T219" s="8">
        <f>R219/L219</f>
        <v/>
      </c>
      <c r="U219" s="8">
        <f>(Q219-P219*G219*SIN(RADIANS(E219)))/M219</f>
        <v/>
      </c>
      <c r="V219" s="8">
        <f>SQRT((S219+U219)^2+3*T219^2)</f>
        <v/>
      </c>
      <c r="W219" s="8">
        <f>V219/AA219</f>
        <v/>
      </c>
      <c r="X219" s="27">
        <f>((3*10+H219/COS(RADIANS(E219)))*(3+3)+3*G219*H219)*2</f>
        <v/>
      </c>
      <c r="Y219" s="28">
        <f>Z219/X219</f>
        <v/>
      </c>
      <c r="Z219" s="29" t="n">
        <v>594.95839393912</v>
      </c>
      <c r="AA219" s="20" t="n">
        <v>83.69432024513711</v>
      </c>
      <c r="AB219" t="n">
        <v>0.08635872665627681</v>
      </c>
      <c r="AC219" t="n">
        <v>84.71335549401057</v>
      </c>
      <c r="AD219" t="n">
        <v>5.010623800235265</v>
      </c>
    </row>
    <row r="220">
      <c r="A220" t="n">
        <v>219</v>
      </c>
      <c r="B220" t="n">
        <v>77.3</v>
      </c>
      <c r="C220" s="21">
        <f>B220-20</f>
        <v/>
      </c>
      <c r="D220" t="n">
        <v>109.7</v>
      </c>
      <c r="E220" s="22">
        <f>D220-90</f>
        <v/>
      </c>
      <c r="F220" s="23" t="n">
        <v>0.021323</v>
      </c>
      <c r="G220" s="22" t="n">
        <v>28.3</v>
      </c>
      <c r="H220" s="22" t="n">
        <v>1.6</v>
      </c>
      <c r="I220" s="24" t="n">
        <v>0.125986769795417</v>
      </c>
      <c r="J220" s="6" t="n">
        <v>71000</v>
      </c>
      <c r="K220" s="25">
        <f>23*10^-6</f>
        <v/>
      </c>
      <c r="L220" s="8">
        <f>H220</f>
        <v/>
      </c>
      <c r="M220" s="26">
        <f>H220^2/6</f>
        <v/>
      </c>
      <c r="N220" s="26">
        <f>H220^3/12</f>
        <v/>
      </c>
      <c r="O220" s="27">
        <f>-J220*L220*K220*C220</f>
        <v/>
      </c>
      <c r="P220" s="28">
        <f>-(12*F220*J220*L220*N220+12*O220*N220*G220*COS(RADIANS(E220)))/(12*N220*G220*COS(RADIANS(E220))^2+L220*G220^3*SIN(RADIANS(E220))^2)</f>
        <v/>
      </c>
      <c r="Q220" s="28">
        <f>-(6*F220*J220*L220*N220*SIN(RADIANS(E220))+6*O220*N220*G220*SIN(RADIANS(E220))*COS(RADIANS(E220)))/(12*N220*COS(RADIANS(E220))^2+L220*G220^2*SIN(RADIANS(E220))^2)</f>
        <v/>
      </c>
      <c r="R220" s="28">
        <f>-P220*SIN(RADIANS(E220))</f>
        <v/>
      </c>
      <c r="S220" s="8">
        <f>(O220+P220*COS(RADIANS(E220)))/L220</f>
        <v/>
      </c>
      <c r="T220" s="8">
        <f>R220/L220</f>
        <v/>
      </c>
      <c r="U220" s="8">
        <f>(Q220-P220*G220*SIN(RADIANS(E220)))/M220</f>
        <v/>
      </c>
      <c r="V220" s="8">
        <f>SQRT((S220+U220)^2+3*T220^2)</f>
        <v/>
      </c>
      <c r="W220" s="8">
        <f>V220/AA220</f>
        <v/>
      </c>
      <c r="X220" s="27">
        <f>((3*10+H220/COS(RADIANS(E220)))*(3+3)+3*G220*H220)*2</f>
        <v/>
      </c>
      <c r="Y220" s="28">
        <f>Z220/X220</f>
        <v/>
      </c>
      <c r="Z220" s="29" t="n">
        <v>656.999292233037</v>
      </c>
      <c r="AA220" s="20" t="n">
        <v>90.5570635148825</v>
      </c>
      <c r="AB220" t="n">
        <v>0.16586917823229</v>
      </c>
      <c r="AC220" t="n">
        <v>90.19607420582726</v>
      </c>
      <c r="AD220" t="n">
        <v>31.65602904307797</v>
      </c>
    </row>
    <row r="221">
      <c r="A221" t="n">
        <v>220</v>
      </c>
      <c r="B221" t="n">
        <v>41.7</v>
      </c>
      <c r="C221" s="21">
        <f>B221-20</f>
        <v/>
      </c>
      <c r="D221" t="n">
        <v>110.3</v>
      </c>
      <c r="E221" s="22">
        <f>D221-90</f>
        <v/>
      </c>
      <c r="F221" s="23" t="n">
        <v>0.009512</v>
      </c>
      <c r="G221" s="22" t="n">
        <v>34.6</v>
      </c>
      <c r="H221" s="22" t="n">
        <v>1.8</v>
      </c>
      <c r="I221" s="24" t="n">
        <v>0.053842969238758</v>
      </c>
      <c r="J221" s="6" t="n">
        <v>71000</v>
      </c>
      <c r="K221" s="25">
        <f>23*10^-6</f>
        <v/>
      </c>
      <c r="L221" s="8">
        <f>H221</f>
        <v/>
      </c>
      <c r="M221" s="26">
        <f>H221^2/6</f>
        <v/>
      </c>
      <c r="N221" s="26">
        <f>H221^3/12</f>
        <v/>
      </c>
      <c r="O221" s="27">
        <f>-J221*L221*K221*C221</f>
        <v/>
      </c>
      <c r="P221" s="28">
        <f>-(12*F221*J221*L221*N221+12*O221*N221*G221*COS(RADIANS(E221)))/(12*N221*G221*COS(RADIANS(E221))^2+L221*G221^3*SIN(RADIANS(E221))^2)</f>
        <v/>
      </c>
      <c r="Q221" s="28">
        <f>-(6*F221*J221*L221*N221*SIN(RADIANS(E221))+6*O221*N221*G221*SIN(RADIANS(E221))*COS(RADIANS(E221)))/(12*N221*COS(RADIANS(E221))^2+L221*G221^2*SIN(RADIANS(E221))^2)</f>
        <v/>
      </c>
      <c r="R221" s="28">
        <f>-P221*SIN(RADIANS(E221))</f>
        <v/>
      </c>
      <c r="S221" s="8">
        <f>(O221+P221*COS(RADIANS(E221)))/L221</f>
        <v/>
      </c>
      <c r="T221" s="8">
        <f>R221/L221</f>
        <v/>
      </c>
      <c r="U221" s="8">
        <f>(Q221-P221*G221*SIN(RADIANS(E221)))/M221</f>
        <v/>
      </c>
      <c r="V221" s="8">
        <f>SQRT((S221+U221)^2+3*T221^2)</f>
        <v/>
      </c>
      <c r="W221" s="8">
        <f>V221/AA221</f>
        <v/>
      </c>
      <c r="X221" s="27">
        <f>((3*10+H221/COS(RADIANS(E221)))*(3+3)+3*G221*H221)*2</f>
        <v/>
      </c>
      <c r="Y221" s="28">
        <f>Z221/X221</f>
        <v/>
      </c>
      <c r="Z221" s="29" t="n">
        <v>761.733458788862</v>
      </c>
      <c r="AA221" s="20" t="n">
        <v>34.8238623453978</v>
      </c>
      <c r="AB221" t="n">
        <v>0.07395729636150587</v>
      </c>
      <c r="AC221" t="n">
        <v>33.88930274358894</v>
      </c>
      <c r="AD221" t="n">
        <v>37.35738835938658</v>
      </c>
    </row>
    <row r="222">
      <c r="A222" t="n">
        <v>221</v>
      </c>
      <c r="B222" t="n">
        <v>67.40000000000001</v>
      </c>
      <c r="C222" s="21">
        <f>B222-20</f>
        <v/>
      </c>
      <c r="D222" t="n">
        <v>102.6</v>
      </c>
      <c r="E222" s="22">
        <f>D222-90</f>
        <v/>
      </c>
      <c r="F222" s="23" t="n">
        <v>0.017164</v>
      </c>
      <c r="G222" s="22" t="n">
        <v>26.4</v>
      </c>
      <c r="H222" s="22" t="n">
        <v>1.3</v>
      </c>
      <c r="I222" s="24" t="n">
        <v>0.140112355351448</v>
      </c>
      <c r="J222" s="6" t="n">
        <v>71000</v>
      </c>
      <c r="K222" s="25">
        <f>23*10^-6</f>
        <v/>
      </c>
      <c r="L222" s="8">
        <f>H222</f>
        <v/>
      </c>
      <c r="M222" s="26">
        <f>H222^2/6</f>
        <v/>
      </c>
      <c r="N222" s="26">
        <f>H222^3/12</f>
        <v/>
      </c>
      <c r="O222" s="27">
        <f>-J222*L222*K222*C222</f>
        <v/>
      </c>
      <c r="P222" s="28">
        <f>-(12*F222*J222*L222*N222+12*O222*N222*G222*COS(RADIANS(E222)))/(12*N222*G222*COS(RADIANS(E222))^2+L222*G222^3*SIN(RADIANS(E222))^2)</f>
        <v/>
      </c>
      <c r="Q222" s="28">
        <f>-(6*F222*J222*L222*N222*SIN(RADIANS(E222))+6*O222*N222*G222*SIN(RADIANS(E222))*COS(RADIANS(E222)))/(12*N222*COS(RADIANS(E222))^2+L222*G222^2*SIN(RADIANS(E222))^2)</f>
        <v/>
      </c>
      <c r="R222" s="28">
        <f>-P222*SIN(RADIANS(E222))</f>
        <v/>
      </c>
      <c r="S222" s="8">
        <f>(O222+P222*COS(RADIANS(E222)))/L222</f>
        <v/>
      </c>
      <c r="T222" s="8">
        <f>R222/L222</f>
        <v/>
      </c>
      <c r="U222" s="8">
        <f>(Q222-P222*G222*SIN(RADIANS(E222)))/M222</f>
        <v/>
      </c>
      <c r="V222" s="8">
        <f>SQRT((S222+U222)^2+3*T222^2)</f>
        <v/>
      </c>
      <c r="W222" s="8">
        <f>V222/AA222</f>
        <v/>
      </c>
      <c r="X222" s="27">
        <f>((3*10+H222/COS(RADIANS(E222)))*(3+3)+3*G222*H222)*2</f>
        <v/>
      </c>
      <c r="Y222" s="28">
        <f>Z222/X222</f>
        <v/>
      </c>
      <c r="Z222" s="29" t="n">
        <v>585.930860502495</v>
      </c>
      <c r="AA222" s="20" t="n">
        <v>73.95324203370259</v>
      </c>
      <c r="AB222" t="n">
        <v>0.1988869041009304</v>
      </c>
      <c r="AC222" t="n">
        <v>78.12559626354823</v>
      </c>
      <c r="AD222" t="n">
        <v>41.94815553707338</v>
      </c>
    </row>
    <row r="223">
      <c r="A223" t="n">
        <v>222</v>
      </c>
      <c r="B223" t="n">
        <v>88.09999999999999</v>
      </c>
      <c r="C223" s="21">
        <f>B223-20</f>
        <v/>
      </c>
      <c r="D223" t="n">
        <v>129.4</v>
      </c>
      <c r="E223" s="22">
        <f>D223-90</f>
        <v/>
      </c>
      <c r="F223" s="23" t="n">
        <v>0.017376</v>
      </c>
      <c r="G223" s="22" t="n">
        <v>21.2</v>
      </c>
      <c r="H223" s="22" t="n">
        <v>1</v>
      </c>
      <c r="I223" s="24" t="n">
        <v>0.07851669937372199</v>
      </c>
      <c r="J223" s="6" t="n">
        <v>71000</v>
      </c>
      <c r="K223" s="25">
        <f>23*10^-6</f>
        <v/>
      </c>
      <c r="L223" s="8">
        <f>H223</f>
        <v/>
      </c>
      <c r="M223" s="26">
        <f>H223^2/6</f>
        <v/>
      </c>
      <c r="N223" s="26">
        <f>H223^3/12</f>
        <v/>
      </c>
      <c r="O223" s="27">
        <f>-J223*L223*K223*C223</f>
        <v/>
      </c>
      <c r="P223" s="28">
        <f>-(12*F223*J223*L223*N223+12*O223*N223*G223*COS(RADIANS(E223)))/(12*N223*G223*COS(RADIANS(E223))^2+L223*G223^3*SIN(RADIANS(E223))^2)</f>
        <v/>
      </c>
      <c r="Q223" s="28">
        <f>-(6*F223*J223*L223*N223*SIN(RADIANS(E223))+6*O223*N223*G223*SIN(RADIANS(E223))*COS(RADIANS(E223)))/(12*N223*COS(RADIANS(E223))^2+L223*G223^2*SIN(RADIANS(E223))^2)</f>
        <v/>
      </c>
      <c r="R223" s="28">
        <f>-P223*SIN(RADIANS(E223))</f>
        <v/>
      </c>
      <c r="S223" s="8">
        <f>(O223+P223*COS(RADIANS(E223)))/L223</f>
        <v/>
      </c>
      <c r="T223" s="8">
        <f>R223/L223</f>
        <v/>
      </c>
      <c r="U223" s="8">
        <f>(Q223-P223*G223*SIN(RADIANS(E223)))/M223</f>
        <v/>
      </c>
      <c r="V223" s="8">
        <f>SQRT((S223+U223)^2+3*T223^2)</f>
        <v/>
      </c>
      <c r="W223" s="8">
        <f>V223/AA223</f>
        <v/>
      </c>
      <c r="X223" s="27">
        <f>((3*10+H223/COS(RADIANS(E223)))*(3+3)+3*G223*H223)*2</f>
        <v/>
      </c>
      <c r="Y223" s="28">
        <f>Z223/X223</f>
        <v/>
      </c>
      <c r="Z223" s="29" t="n">
        <v>513.2214848052849</v>
      </c>
      <c r="AA223" s="20" t="n">
        <v>90.42683960204739</v>
      </c>
      <c r="AB223" t="n">
        <v>0.07317992459861747</v>
      </c>
      <c r="AC223" t="n">
        <v>96.43956899351458</v>
      </c>
      <c r="AD223" t="n">
        <v>-6.796993273625354</v>
      </c>
    </row>
    <row r="224">
      <c r="A224" t="n">
        <v>223</v>
      </c>
      <c r="B224" t="n">
        <v>48.5</v>
      </c>
      <c r="C224" s="21">
        <f>B224-20</f>
        <v/>
      </c>
      <c r="D224" t="n">
        <v>129.3</v>
      </c>
      <c r="E224" s="22">
        <f>D224-90</f>
        <v/>
      </c>
      <c r="F224" s="23" t="n">
        <v>0.009743</v>
      </c>
      <c r="G224" s="22" t="n">
        <v>31</v>
      </c>
      <c r="H224" s="22" t="n">
        <v>1.1</v>
      </c>
      <c r="I224" s="24" t="n">
        <v>0.0416491702198982</v>
      </c>
      <c r="J224" s="6" t="n">
        <v>71000</v>
      </c>
      <c r="K224" s="25">
        <f>23*10^-6</f>
        <v/>
      </c>
      <c r="L224" s="8">
        <f>H224</f>
        <v/>
      </c>
      <c r="M224" s="26">
        <f>H224^2/6</f>
        <v/>
      </c>
      <c r="N224" s="26">
        <f>H224^3/12</f>
        <v/>
      </c>
      <c r="O224" s="27">
        <f>-J224*L224*K224*C224</f>
        <v/>
      </c>
      <c r="P224" s="28">
        <f>-(12*F224*J224*L224*N224+12*O224*N224*G224*COS(RADIANS(E224)))/(12*N224*G224*COS(RADIANS(E224))^2+L224*G224^3*SIN(RADIANS(E224))^2)</f>
        <v/>
      </c>
      <c r="Q224" s="28">
        <f>-(6*F224*J224*L224*N224*SIN(RADIANS(E224))+6*O224*N224*G224*SIN(RADIANS(E224))*COS(RADIANS(E224)))/(12*N224*COS(RADIANS(E224))^2+L224*G224^2*SIN(RADIANS(E224))^2)</f>
        <v/>
      </c>
      <c r="R224" s="28">
        <f>-P224*SIN(RADIANS(E224))</f>
        <v/>
      </c>
      <c r="S224" s="8">
        <f>(O224+P224*COS(RADIANS(E224)))/L224</f>
        <v/>
      </c>
      <c r="T224" s="8">
        <f>R224/L224</f>
        <v/>
      </c>
      <c r="U224" s="8">
        <f>(Q224-P224*G224*SIN(RADIANS(E224)))/M224</f>
        <v/>
      </c>
      <c r="V224" s="8">
        <f>SQRT((S224+U224)^2+3*T224^2)</f>
        <v/>
      </c>
      <c r="W224" s="8">
        <f>V224/AA224</f>
        <v/>
      </c>
      <c r="X224" s="27">
        <f>((3*10+H224/COS(RADIANS(E224)))*(3+3)+3*G224*H224)*2</f>
        <v/>
      </c>
      <c r="Y224" s="28">
        <f>Z224/X224</f>
        <v/>
      </c>
      <c r="Z224" s="29" t="n">
        <v>592.105569215632</v>
      </c>
      <c r="AA224" s="20" t="n">
        <v>36.702145794461</v>
      </c>
      <c r="AB224" t="n">
        <v>0.04388927374804526</v>
      </c>
      <c r="AC224" t="n">
        <v>40.14180560026169</v>
      </c>
      <c r="AD224" t="n">
        <v>5.378506981819376</v>
      </c>
    </row>
    <row r="225">
      <c r="A225" t="n">
        <v>224</v>
      </c>
      <c r="B225" t="n">
        <v>45</v>
      </c>
      <c r="C225" s="21">
        <f>B225-20</f>
        <v/>
      </c>
      <c r="D225" t="n">
        <v>114.7</v>
      </c>
      <c r="E225" s="22">
        <f>D225-90</f>
        <v/>
      </c>
      <c r="F225" s="23" t="n">
        <v>0.007432</v>
      </c>
      <c r="G225" s="22" t="n">
        <v>22.1</v>
      </c>
      <c r="H225" s="22" t="n">
        <v>1.3</v>
      </c>
      <c r="I225" s="24" t="n">
        <v>0.0398148782551288</v>
      </c>
      <c r="J225" s="6" t="n">
        <v>71000</v>
      </c>
      <c r="K225" s="25">
        <f>23*10^-6</f>
        <v/>
      </c>
      <c r="L225" s="8">
        <f>H225</f>
        <v/>
      </c>
      <c r="M225" s="26">
        <f>H225^2/6</f>
        <v/>
      </c>
      <c r="N225" s="26">
        <f>H225^3/12</f>
        <v/>
      </c>
      <c r="O225" s="27">
        <f>-J225*L225*K225*C225</f>
        <v/>
      </c>
      <c r="P225" s="28">
        <f>-(12*F225*J225*L225*N225+12*O225*N225*G225*COS(RADIANS(E225)))/(12*N225*G225*COS(RADIANS(E225))^2+L225*G225^3*SIN(RADIANS(E225))^2)</f>
        <v/>
      </c>
      <c r="Q225" s="28">
        <f>-(6*F225*J225*L225*N225*SIN(RADIANS(E225))+6*O225*N225*G225*SIN(RADIANS(E225))*COS(RADIANS(E225)))/(12*N225*COS(RADIANS(E225))^2+L225*G225^2*SIN(RADIANS(E225))^2)</f>
        <v/>
      </c>
      <c r="R225" s="28">
        <f>-P225*SIN(RADIANS(E225))</f>
        <v/>
      </c>
      <c r="S225" s="8">
        <f>(O225+P225*COS(RADIANS(E225)))/L225</f>
        <v/>
      </c>
      <c r="T225" s="8">
        <f>R225/L225</f>
        <v/>
      </c>
      <c r="U225" s="8">
        <f>(Q225-P225*G225*SIN(RADIANS(E225)))/M225</f>
        <v/>
      </c>
      <c r="V225" s="8">
        <f>SQRT((S225+U225)^2+3*T225^2)</f>
        <v/>
      </c>
      <c r="W225" s="8">
        <f>V225/AA225</f>
        <v/>
      </c>
      <c r="X225" s="27">
        <f>((3*10+H225/COS(RADIANS(E225)))*(3+3)+3*G225*H225)*2</f>
        <v/>
      </c>
      <c r="Y225" s="28">
        <f>Z225/X225</f>
        <v/>
      </c>
      <c r="Z225" s="29" t="n">
        <v>555.40156946099</v>
      </c>
      <c r="AA225" s="20" t="n">
        <v>37.6371709894824</v>
      </c>
      <c r="AB225" t="n">
        <v>0.04576478153415451</v>
      </c>
      <c r="AC225" t="n">
        <v>37.90129932503401</v>
      </c>
      <c r="AD225" t="n">
        <v>14.94391930800207</v>
      </c>
    </row>
    <row r="226">
      <c r="A226" t="n">
        <v>225</v>
      </c>
      <c r="B226" t="n">
        <v>48.1</v>
      </c>
      <c r="C226" s="21">
        <f>B226-20</f>
        <v/>
      </c>
      <c r="D226" t="n">
        <v>124</v>
      </c>
      <c r="E226" s="22">
        <f>D226-90</f>
        <v/>
      </c>
      <c r="F226" s="23" t="n">
        <v>0.008429000000000001</v>
      </c>
      <c r="G226" s="22" t="n">
        <v>24.5</v>
      </c>
      <c r="H226" s="22" t="n">
        <v>1.6</v>
      </c>
      <c r="I226" s="24" t="n">
        <v>0.0386740155518054</v>
      </c>
      <c r="J226" s="6" t="n">
        <v>71000</v>
      </c>
      <c r="K226" s="25">
        <f>23*10^-6</f>
        <v/>
      </c>
      <c r="L226" s="8">
        <f>H226</f>
        <v/>
      </c>
      <c r="M226" s="26">
        <f>H226^2/6</f>
        <v/>
      </c>
      <c r="N226" s="26">
        <f>H226^3/12</f>
        <v/>
      </c>
      <c r="O226" s="27">
        <f>-J226*L226*K226*C226</f>
        <v/>
      </c>
      <c r="P226" s="28">
        <f>-(12*F226*J226*L226*N226+12*O226*N226*G226*COS(RADIANS(E226)))/(12*N226*G226*COS(RADIANS(E226))^2+L226*G226^3*SIN(RADIANS(E226))^2)</f>
        <v/>
      </c>
      <c r="Q226" s="28">
        <f>-(6*F226*J226*L226*N226*SIN(RADIANS(E226))+6*O226*N226*G226*SIN(RADIANS(E226))*COS(RADIANS(E226)))/(12*N226*COS(RADIANS(E226))^2+L226*G226^2*SIN(RADIANS(E226))^2)</f>
        <v/>
      </c>
      <c r="R226" s="28">
        <f>-P226*SIN(RADIANS(E226))</f>
        <v/>
      </c>
      <c r="S226" s="8">
        <f>(O226+P226*COS(RADIANS(E226)))/L226</f>
        <v/>
      </c>
      <c r="T226" s="8">
        <f>R226/L226</f>
        <v/>
      </c>
      <c r="U226" s="8">
        <f>(Q226-P226*G226*SIN(RADIANS(E226)))/M226</f>
        <v/>
      </c>
      <c r="V226" s="8">
        <f>SQRT((S226+U226)^2+3*T226^2)</f>
        <v/>
      </c>
      <c r="W226" s="8">
        <f>V226/AA226</f>
        <v/>
      </c>
      <c r="X226" s="27">
        <f>((3*10+H226/COS(RADIANS(E226)))*(3+3)+3*G226*H226)*2</f>
        <v/>
      </c>
      <c r="Y226" s="28">
        <f>Z226/X226</f>
        <v/>
      </c>
      <c r="Z226" s="29" t="n">
        <v>626.7422447610101</v>
      </c>
      <c r="AA226" s="20" t="n">
        <v>43.3696505440731</v>
      </c>
      <c r="AB226" t="n">
        <v>0.04038052227842417</v>
      </c>
      <c r="AC226" t="n">
        <v>41.50387649039395</v>
      </c>
      <c r="AD226" t="n">
        <v>4.412540829469443</v>
      </c>
    </row>
    <row r="227">
      <c r="A227" t="n">
        <v>226</v>
      </c>
      <c r="B227" t="n">
        <v>78.2</v>
      </c>
      <c r="C227" s="21">
        <f>B227-20</f>
        <v/>
      </c>
      <c r="D227" t="n">
        <v>118.7</v>
      </c>
      <c r="E227" s="22">
        <f>D227-90</f>
        <v/>
      </c>
      <c r="F227" s="23" t="n">
        <v>0.022604</v>
      </c>
      <c r="G227" s="22" t="n">
        <v>32</v>
      </c>
      <c r="H227" s="22" t="n">
        <v>1.3</v>
      </c>
      <c r="I227" s="24" t="n">
        <v>0.106399647891521</v>
      </c>
      <c r="J227" s="6" t="n">
        <v>71000</v>
      </c>
      <c r="K227" s="25">
        <f>23*10^-6</f>
        <v/>
      </c>
      <c r="L227" s="8">
        <f>H227</f>
        <v/>
      </c>
      <c r="M227" s="26">
        <f>H227^2/6</f>
        <v/>
      </c>
      <c r="N227" s="26">
        <f>H227^3/12</f>
        <v/>
      </c>
      <c r="O227" s="27">
        <f>-J227*L227*K227*C227</f>
        <v/>
      </c>
      <c r="P227" s="28">
        <f>-(12*F227*J227*L227*N227+12*O227*N227*G227*COS(RADIANS(E227)))/(12*N227*G227*COS(RADIANS(E227))^2+L227*G227^3*SIN(RADIANS(E227))^2)</f>
        <v/>
      </c>
      <c r="Q227" s="28">
        <f>-(6*F227*J227*L227*N227*SIN(RADIANS(E227))+6*O227*N227*G227*SIN(RADIANS(E227))*COS(RADIANS(E227)))/(12*N227*COS(RADIANS(E227))^2+L227*G227^2*SIN(RADIANS(E227))^2)</f>
        <v/>
      </c>
      <c r="R227" s="28">
        <f>-P227*SIN(RADIANS(E227))</f>
        <v/>
      </c>
      <c r="S227" s="8">
        <f>(O227+P227*COS(RADIANS(E227)))/L227</f>
        <v/>
      </c>
      <c r="T227" s="8">
        <f>R227/L227</f>
        <v/>
      </c>
      <c r="U227" s="8">
        <f>(Q227-P227*G227*SIN(RADIANS(E227)))/M227</f>
        <v/>
      </c>
      <c r="V227" s="8">
        <f>SQRT((S227+U227)^2+3*T227^2)</f>
        <v/>
      </c>
      <c r="W227" s="8">
        <f>V227/AA227</f>
        <v/>
      </c>
      <c r="X227" s="27">
        <f>((3*10+H227/COS(RADIANS(E227)))*(3+3)+3*G227*H227)*2</f>
        <v/>
      </c>
      <c r="Y227" s="28">
        <f>Z227/X227</f>
        <v/>
      </c>
      <c r="Z227" s="29" t="n">
        <v>634.18003900192</v>
      </c>
      <c r="AA227" s="20" t="n">
        <v>82.7341039679677</v>
      </c>
      <c r="AB227" t="n">
        <v>0.1297030130511607</v>
      </c>
      <c r="AC227" t="n">
        <v>84.89389383233875</v>
      </c>
      <c r="AD227" t="n">
        <v>21.9017314638094</v>
      </c>
    </row>
    <row r="228">
      <c r="A228" t="n">
        <v>227</v>
      </c>
      <c r="B228" t="n">
        <v>68.09999999999999</v>
      </c>
      <c r="C228" s="21">
        <f>B228-20</f>
        <v/>
      </c>
      <c r="D228" t="n">
        <v>113.7</v>
      </c>
      <c r="E228" s="22">
        <f>D228-90</f>
        <v/>
      </c>
      <c r="F228" s="23" t="n">
        <v>0.017248</v>
      </c>
      <c r="G228" s="22" t="n">
        <v>27.8</v>
      </c>
      <c r="H228" s="22" t="n">
        <v>1.8</v>
      </c>
      <c r="I228" s="24" t="n">
        <v>0.0912262871861457</v>
      </c>
      <c r="J228" s="6" t="n">
        <v>71000</v>
      </c>
      <c r="K228" s="25">
        <f>23*10^-6</f>
        <v/>
      </c>
      <c r="L228" s="8">
        <f>H228</f>
        <v/>
      </c>
      <c r="M228" s="26">
        <f>H228^2/6</f>
        <v/>
      </c>
      <c r="N228" s="26">
        <f>H228^3/12</f>
        <v/>
      </c>
      <c r="O228" s="27">
        <f>-J228*L228*K228*C228</f>
        <v/>
      </c>
      <c r="P228" s="28">
        <f>-(12*F228*J228*L228*N228+12*O228*N228*G228*COS(RADIANS(E228)))/(12*N228*G228*COS(RADIANS(E228))^2+L228*G228^3*SIN(RADIANS(E228))^2)</f>
        <v/>
      </c>
      <c r="Q228" s="28">
        <f>-(6*F228*J228*L228*N228*SIN(RADIANS(E228))+6*O228*N228*G228*SIN(RADIANS(E228))*COS(RADIANS(E228)))/(12*N228*COS(RADIANS(E228))^2+L228*G228^2*SIN(RADIANS(E228))^2)</f>
        <v/>
      </c>
      <c r="R228" s="28">
        <f>-P228*SIN(RADIANS(E228))</f>
        <v/>
      </c>
      <c r="S228" s="8">
        <f>(O228+P228*COS(RADIANS(E228)))/L228</f>
        <v/>
      </c>
      <c r="T228" s="8">
        <f>R228/L228</f>
        <v/>
      </c>
      <c r="U228" s="8">
        <f>(Q228-P228*G228*SIN(RADIANS(E228)))/M228</f>
        <v/>
      </c>
      <c r="V228" s="8">
        <f>SQRT((S228+U228)^2+3*T228^2)</f>
        <v/>
      </c>
      <c r="W228" s="8">
        <f>V228/AA228</f>
        <v/>
      </c>
      <c r="X228" s="27">
        <f>((3*10+H228/COS(RADIANS(E228)))*(3+3)+3*G228*H228)*2</f>
        <v/>
      </c>
      <c r="Y228" s="28">
        <f>Z228/X228</f>
        <v/>
      </c>
      <c r="Z228" s="29" t="n">
        <v>689.473632499987</v>
      </c>
      <c r="AA228" s="20" t="n">
        <v>77.8839428549813</v>
      </c>
      <c r="AB228" t="n">
        <v>0.1131807736448769</v>
      </c>
      <c r="AC228" t="n">
        <v>74.91441674266257</v>
      </c>
      <c r="AD228" t="n">
        <v>24.0659651246504</v>
      </c>
    </row>
    <row r="229">
      <c r="A229" t="n">
        <v>228</v>
      </c>
      <c r="B229" t="n">
        <v>56.3</v>
      </c>
      <c r="C229" s="21">
        <f>B229-20</f>
        <v/>
      </c>
      <c r="D229" t="n">
        <v>123.4</v>
      </c>
      <c r="E229" s="22">
        <f>D229-90</f>
        <v/>
      </c>
      <c r="F229" s="23" t="n">
        <v>0.009979999999999999</v>
      </c>
      <c r="G229" s="22" t="n">
        <v>21.7</v>
      </c>
      <c r="H229" s="22" t="n">
        <v>1.4</v>
      </c>
      <c r="I229" s="24" t="n">
        <v>0.0469225719571113</v>
      </c>
      <c r="J229" s="6" t="n">
        <v>71000</v>
      </c>
      <c r="K229" s="25">
        <f>23*10^-6</f>
        <v/>
      </c>
      <c r="L229" s="8">
        <f>H229</f>
        <v/>
      </c>
      <c r="M229" s="26">
        <f>H229^2/6</f>
        <v/>
      </c>
      <c r="N229" s="26">
        <f>H229^3/12</f>
        <v/>
      </c>
      <c r="O229" s="27">
        <f>-J229*L229*K229*C229</f>
        <v/>
      </c>
      <c r="P229" s="28">
        <f>-(12*F229*J229*L229*N229+12*O229*N229*G229*COS(RADIANS(E229)))/(12*N229*G229*COS(RADIANS(E229))^2+L229*G229^3*SIN(RADIANS(E229))^2)</f>
        <v/>
      </c>
      <c r="Q229" s="28">
        <f>-(6*F229*J229*L229*N229*SIN(RADIANS(E229))+6*O229*N229*G229*SIN(RADIANS(E229))*COS(RADIANS(E229)))/(12*N229*COS(RADIANS(E229))^2+L229*G229^2*SIN(RADIANS(E229))^2)</f>
        <v/>
      </c>
      <c r="R229" s="28">
        <f>-P229*SIN(RADIANS(E229))</f>
        <v/>
      </c>
      <c r="S229" s="8">
        <f>(O229+P229*COS(RADIANS(E229)))/L229</f>
        <v/>
      </c>
      <c r="T229" s="8">
        <f>R229/L229</f>
        <v/>
      </c>
      <c r="U229" s="8">
        <f>(Q229-P229*G229*SIN(RADIANS(E229)))/M229</f>
        <v/>
      </c>
      <c r="V229" s="8">
        <f>SQRT((S229+U229)^2+3*T229^2)</f>
        <v/>
      </c>
      <c r="W229" s="8">
        <f>V229/AA229</f>
        <v/>
      </c>
      <c r="X229" s="27">
        <f>((3*10+H229/COS(RADIANS(E229)))*(3+3)+3*G229*H229)*2</f>
        <v/>
      </c>
      <c r="Y229" s="28">
        <f>Z229/X229</f>
        <v/>
      </c>
      <c r="Z229" s="29" t="n">
        <v>570.5848091482781</v>
      </c>
      <c r="AA229" s="20" t="n">
        <v>54.5065437302895</v>
      </c>
      <c r="AB229" t="n">
        <v>0.04752892955778298</v>
      </c>
      <c r="AC229" t="n">
        <v>53.42067246858551</v>
      </c>
      <c r="AD229" t="n">
        <v>1.292251416281935</v>
      </c>
    </row>
    <row r="230">
      <c r="A230" t="n">
        <v>229</v>
      </c>
      <c r="B230" t="n">
        <v>53</v>
      </c>
      <c r="C230" s="21">
        <f>B230-20</f>
        <v/>
      </c>
      <c r="D230" t="n">
        <v>107.1</v>
      </c>
      <c r="E230" s="22">
        <f>D230-90</f>
        <v/>
      </c>
      <c r="F230" s="23" t="n">
        <v>0.014339</v>
      </c>
      <c r="G230" s="22" t="n">
        <v>33.6</v>
      </c>
      <c r="H230" s="22" t="n">
        <v>1.9</v>
      </c>
      <c r="I230" s="24" t="n">
        <v>0.0910792276263237</v>
      </c>
      <c r="J230" s="6" t="n">
        <v>71000</v>
      </c>
      <c r="K230" s="25">
        <f>23*10^-6</f>
        <v/>
      </c>
      <c r="L230" s="8">
        <f>H230</f>
        <v/>
      </c>
      <c r="M230" s="26">
        <f>H230^2/6</f>
        <v/>
      </c>
      <c r="N230" s="26">
        <f>H230^3/12</f>
        <v/>
      </c>
      <c r="O230" s="27">
        <f>-J230*L230*K230*C230</f>
        <v/>
      </c>
      <c r="P230" s="28">
        <f>-(12*F230*J230*L230*N230+12*O230*N230*G230*COS(RADIANS(E230)))/(12*N230*G230*COS(RADIANS(E230))^2+L230*G230^3*SIN(RADIANS(E230))^2)</f>
        <v/>
      </c>
      <c r="Q230" s="28">
        <f>-(6*F230*J230*L230*N230*SIN(RADIANS(E230))+6*O230*N230*G230*SIN(RADIANS(E230))*COS(RADIANS(E230)))/(12*N230*COS(RADIANS(E230))^2+L230*G230^2*SIN(RADIANS(E230))^2)</f>
        <v/>
      </c>
      <c r="R230" s="28">
        <f>-P230*SIN(RADIANS(E230))</f>
        <v/>
      </c>
      <c r="S230" s="8">
        <f>(O230+P230*COS(RADIANS(E230)))/L230</f>
        <v/>
      </c>
      <c r="T230" s="8">
        <f>R230/L230</f>
        <v/>
      </c>
      <c r="U230" s="8">
        <f>(Q230-P230*G230*SIN(RADIANS(E230)))/M230</f>
        <v/>
      </c>
      <c r="V230" s="8">
        <f>SQRT((S230+U230)^2+3*T230^2)</f>
        <v/>
      </c>
      <c r="W230" s="8">
        <f>V230/AA230</f>
        <v/>
      </c>
      <c r="X230" s="27">
        <f>((3*10+H230/COS(RADIANS(E230)))*(3+3)+3*G230*H230)*2</f>
        <v/>
      </c>
      <c r="Y230" s="28">
        <f>Z230/X230</f>
        <v/>
      </c>
      <c r="Z230" s="29" t="n">
        <v>771.438205685535</v>
      </c>
      <c r="AA230" s="20" t="n">
        <v>54.9204064890297</v>
      </c>
      <c r="AB230" t="n">
        <v>0.1288377228943375</v>
      </c>
      <c r="AC230" t="n">
        <v>53.46210234176796</v>
      </c>
      <c r="AD230" t="n">
        <v>41.45675831038872</v>
      </c>
    </row>
    <row r="231">
      <c r="A231" t="n">
        <v>230</v>
      </c>
      <c r="B231" t="n">
        <v>53.7</v>
      </c>
      <c r="C231" s="21">
        <f>B231-20</f>
        <v/>
      </c>
      <c r="D231" t="n">
        <v>128.2</v>
      </c>
      <c r="E231" s="22">
        <f>D231-90</f>
        <v/>
      </c>
      <c r="F231" s="23" t="n">
        <v>0.009823</v>
      </c>
      <c r="G231" s="22" t="n">
        <v>24.9</v>
      </c>
      <c r="H231" s="22" t="n">
        <v>2</v>
      </c>
      <c r="I231" s="24" t="n">
        <v>0.0437233112752437</v>
      </c>
      <c r="J231" s="6" t="n">
        <v>71000</v>
      </c>
      <c r="K231" s="25">
        <f>23*10^-6</f>
        <v/>
      </c>
      <c r="L231" s="8">
        <f>H231</f>
        <v/>
      </c>
      <c r="M231" s="26">
        <f>H231^2/6</f>
        <v/>
      </c>
      <c r="N231" s="26">
        <f>H231^3/12</f>
        <v/>
      </c>
      <c r="O231" s="27">
        <f>-J231*L231*K231*C231</f>
        <v/>
      </c>
      <c r="P231" s="28">
        <f>-(12*F231*J231*L231*N231+12*O231*N231*G231*COS(RADIANS(E231)))/(12*N231*G231*COS(RADIANS(E231))^2+L231*G231^3*SIN(RADIANS(E231))^2)</f>
        <v/>
      </c>
      <c r="Q231" s="28">
        <f>-(6*F231*J231*L231*N231*SIN(RADIANS(E231))+6*O231*N231*G231*SIN(RADIANS(E231))*COS(RADIANS(E231)))/(12*N231*COS(RADIANS(E231))^2+L231*G231^2*SIN(RADIANS(E231))^2)</f>
        <v/>
      </c>
      <c r="R231" s="28">
        <f>-P231*SIN(RADIANS(E231))</f>
        <v/>
      </c>
      <c r="S231" s="8">
        <f>(O231+P231*COS(RADIANS(E231)))/L231</f>
        <v/>
      </c>
      <c r="T231" s="8">
        <f>R231/L231</f>
        <v/>
      </c>
      <c r="U231" s="8">
        <f>(Q231-P231*G231*SIN(RADIANS(E231)))/M231</f>
        <v/>
      </c>
      <c r="V231" s="8">
        <f>SQRT((S231+U231)^2+3*T231^2)</f>
        <v/>
      </c>
      <c r="W231" s="8">
        <f>V231/AA231</f>
        <v/>
      </c>
      <c r="X231" s="27">
        <f>((3*10+H231/COS(RADIANS(E231)))*(3+3)+3*G231*H231)*2</f>
        <v/>
      </c>
      <c r="Y231" s="28">
        <f>Z231/X231</f>
        <v/>
      </c>
      <c r="Z231" s="29" t="n">
        <v>699.313452463919</v>
      </c>
      <c r="AA231" s="20" t="n">
        <v>54.4956209630972</v>
      </c>
      <c r="AB231" t="n">
        <v>0.04316129863995334</v>
      </c>
      <c r="AC231" t="n">
        <v>49.93270598711322</v>
      </c>
      <c r="AD231" t="n">
        <v>-1.285384429720833</v>
      </c>
    </row>
    <row r="232">
      <c r="A232" t="n">
        <v>231</v>
      </c>
      <c r="B232" t="n">
        <v>67.40000000000001</v>
      </c>
      <c r="C232" s="21">
        <f>B232-20</f>
        <v/>
      </c>
      <c r="D232" t="n">
        <v>110.8</v>
      </c>
      <c r="E232" s="22">
        <f>D232-90</f>
        <v/>
      </c>
      <c r="F232" s="23" t="n">
        <v>0.015012</v>
      </c>
      <c r="G232" s="22" t="n">
        <v>23.3</v>
      </c>
      <c r="H232" s="22" t="n">
        <v>1.3</v>
      </c>
      <c r="I232" s="24" t="n">
        <v>0.08812586218118661</v>
      </c>
      <c r="J232" s="6" t="n">
        <v>71000</v>
      </c>
      <c r="K232" s="25">
        <f>23*10^-6</f>
        <v/>
      </c>
      <c r="L232" s="8">
        <f>H232</f>
        <v/>
      </c>
      <c r="M232" s="26">
        <f>H232^2/6</f>
        <v/>
      </c>
      <c r="N232" s="26">
        <f>H232^3/12</f>
        <v/>
      </c>
      <c r="O232" s="27">
        <f>-J232*L232*K232*C232</f>
        <v/>
      </c>
      <c r="P232" s="28">
        <f>-(12*F232*J232*L232*N232+12*O232*N232*G232*COS(RADIANS(E232)))/(12*N232*G232*COS(RADIANS(E232))^2+L232*G232^3*SIN(RADIANS(E232))^2)</f>
        <v/>
      </c>
      <c r="Q232" s="28">
        <f>-(6*F232*J232*L232*N232*SIN(RADIANS(E232))+6*O232*N232*G232*SIN(RADIANS(E232))*COS(RADIANS(E232)))/(12*N232*COS(RADIANS(E232))^2+L232*G232^2*SIN(RADIANS(E232))^2)</f>
        <v/>
      </c>
      <c r="R232" s="28">
        <f>-P232*SIN(RADIANS(E232))</f>
        <v/>
      </c>
      <c r="S232" s="8">
        <f>(O232+P232*COS(RADIANS(E232)))/L232</f>
        <v/>
      </c>
      <c r="T232" s="8">
        <f>R232/L232</f>
        <v/>
      </c>
      <c r="U232" s="8">
        <f>(Q232-P232*G232*SIN(RADIANS(E232)))/M232</f>
        <v/>
      </c>
      <c r="V232" s="8">
        <f>SQRT((S232+U232)^2+3*T232^2)</f>
        <v/>
      </c>
      <c r="W232" s="8">
        <f>V232/AA232</f>
        <v/>
      </c>
      <c r="X232" s="27">
        <f>((3*10+H232/COS(RADIANS(E232)))*(3+3)+3*G232*H232)*2</f>
        <v/>
      </c>
      <c r="Y232" s="28">
        <f>Z232/X232</f>
        <v/>
      </c>
      <c r="Z232" s="29" t="n">
        <v>563.5344684167929</v>
      </c>
      <c r="AA232" s="20" t="n">
        <v>71.4216519643859</v>
      </c>
      <c r="AB232" t="n">
        <v>0.1085861397907285</v>
      </c>
      <c r="AC232" t="n">
        <v>73.27038193266704</v>
      </c>
      <c r="AD232" t="n">
        <v>23.21710914722804</v>
      </c>
    </row>
    <row r="233">
      <c r="A233" t="n">
        <v>232</v>
      </c>
      <c r="B233" t="n">
        <v>75.8</v>
      </c>
      <c r="C233" s="21">
        <f>B233-20</f>
        <v/>
      </c>
      <c r="D233" t="n">
        <v>127.5</v>
      </c>
      <c r="E233" s="22">
        <f>D233-90</f>
        <v/>
      </c>
      <c r="F233" s="23" t="n">
        <v>0.019613</v>
      </c>
      <c r="G233" s="22" t="n">
        <v>31.3</v>
      </c>
      <c r="H233" s="22" t="n">
        <v>1.4</v>
      </c>
      <c r="I233" s="24" t="n">
        <v>0.0845434144139289</v>
      </c>
      <c r="J233" s="6" t="n">
        <v>71000</v>
      </c>
      <c r="K233" s="25">
        <f>23*10^-6</f>
        <v/>
      </c>
      <c r="L233" s="8">
        <f>H233</f>
        <v/>
      </c>
      <c r="M233" s="26">
        <f>H233^2/6</f>
        <v/>
      </c>
      <c r="N233" s="26">
        <f>H233^3/12</f>
        <v/>
      </c>
      <c r="O233" s="27">
        <f>-J233*L233*K233*C233</f>
        <v/>
      </c>
      <c r="P233" s="28">
        <f>-(12*F233*J233*L233*N233+12*O233*N233*G233*COS(RADIANS(E233)))/(12*N233*G233*COS(RADIANS(E233))^2+L233*G233^3*SIN(RADIANS(E233))^2)</f>
        <v/>
      </c>
      <c r="Q233" s="28">
        <f>-(6*F233*J233*L233*N233*SIN(RADIANS(E233))+6*O233*N233*G233*SIN(RADIANS(E233))*COS(RADIANS(E233)))/(12*N233*COS(RADIANS(E233))^2+L233*G233^2*SIN(RADIANS(E233))^2)</f>
        <v/>
      </c>
      <c r="R233" s="28">
        <f>-P233*SIN(RADIANS(E233))</f>
        <v/>
      </c>
      <c r="S233" s="8">
        <f>(O233+P233*COS(RADIANS(E233)))/L233</f>
        <v/>
      </c>
      <c r="T233" s="8">
        <f>R233/L233</f>
        <v/>
      </c>
      <c r="U233" s="8">
        <f>(Q233-P233*G233*SIN(RADIANS(E233)))/M233</f>
        <v/>
      </c>
      <c r="V233" s="8">
        <f>SQRT((S233+U233)^2+3*T233^2)</f>
        <v/>
      </c>
      <c r="W233" s="8">
        <f>V233/AA233</f>
        <v/>
      </c>
      <c r="X233" s="27">
        <f>((3*10+H233/COS(RADIANS(E233)))*(3+3)+3*G233*H233)*2</f>
        <v/>
      </c>
      <c r="Y233" s="28">
        <f>Z233/X233</f>
        <v/>
      </c>
      <c r="Z233" s="29" t="n">
        <v>653.780903877259</v>
      </c>
      <c r="AA233" s="20" t="n">
        <v>78.5239509734449</v>
      </c>
      <c r="AB233" t="n">
        <v>0.09118608905353193</v>
      </c>
      <c r="AC233" t="n">
        <v>79.87199769829191</v>
      </c>
      <c r="AD233" t="n">
        <v>7.857116589921656</v>
      </c>
    </row>
    <row r="234">
      <c r="A234" t="n">
        <v>233</v>
      </c>
      <c r="B234" t="n">
        <v>79.09999999999999</v>
      </c>
      <c r="C234" s="21">
        <f>B234-20</f>
        <v/>
      </c>
      <c r="D234" t="n">
        <v>118.7</v>
      </c>
      <c r="E234" s="22">
        <f>D234-90</f>
        <v/>
      </c>
      <c r="F234" s="23" t="n">
        <v>0.022008</v>
      </c>
      <c r="G234" s="22" t="n">
        <v>30.4</v>
      </c>
      <c r="H234" s="22" t="n">
        <v>1.7</v>
      </c>
      <c r="I234" s="24" t="n">
        <v>0.104396596550941</v>
      </c>
      <c r="J234" s="6" t="n">
        <v>71000</v>
      </c>
      <c r="K234" s="25">
        <f>23*10^-6</f>
        <v/>
      </c>
      <c r="L234" s="8">
        <f>H234</f>
        <v/>
      </c>
      <c r="M234" s="26">
        <f>H234^2/6</f>
        <v/>
      </c>
      <c r="N234" s="26">
        <f>H234^3/12</f>
        <v/>
      </c>
      <c r="O234" s="27">
        <f>-J234*L234*K234*C234</f>
        <v/>
      </c>
      <c r="P234" s="28">
        <f>-(12*F234*J234*L234*N234+12*O234*N234*G234*COS(RADIANS(E234)))/(12*N234*G234*COS(RADIANS(E234))^2+L234*G234^3*SIN(RADIANS(E234))^2)</f>
        <v/>
      </c>
      <c r="Q234" s="28">
        <f>-(6*F234*J234*L234*N234*SIN(RADIANS(E234))+6*O234*N234*G234*SIN(RADIANS(E234))*COS(RADIANS(E234)))/(12*N234*COS(RADIANS(E234))^2+L234*G234^2*SIN(RADIANS(E234))^2)</f>
        <v/>
      </c>
      <c r="R234" s="28">
        <f>-P234*SIN(RADIANS(E234))</f>
        <v/>
      </c>
      <c r="S234" s="8">
        <f>(O234+P234*COS(RADIANS(E234)))/L234</f>
        <v/>
      </c>
      <c r="T234" s="8">
        <f>R234/L234</f>
        <v/>
      </c>
      <c r="U234" s="8">
        <f>(Q234-P234*G234*SIN(RADIANS(E234)))/M234</f>
        <v/>
      </c>
      <c r="V234" s="8">
        <f>SQRT((S234+U234)^2+3*T234^2)</f>
        <v/>
      </c>
      <c r="W234" s="8">
        <f>V234/AA234</f>
        <v/>
      </c>
      <c r="X234" s="27">
        <f>((3*10+H234/COS(RADIANS(E234)))*(3+3)+3*G234*H234)*2</f>
        <v/>
      </c>
      <c r="Y234" s="28">
        <f>Z234/X234</f>
        <v/>
      </c>
      <c r="Z234" s="29" t="n">
        <v>700.1323310766199</v>
      </c>
      <c r="AA234" s="20" t="n">
        <v>91.3109469146807</v>
      </c>
      <c r="AB234" t="n">
        <v>0.1248192101022593</v>
      </c>
      <c r="AC234" t="n">
        <v>88.51314697561382</v>
      </c>
      <c r="AD234" t="n">
        <v>19.56252811493998</v>
      </c>
    </row>
    <row r="235">
      <c r="A235" t="n">
        <v>234</v>
      </c>
      <c r="B235" t="n">
        <v>40.1</v>
      </c>
      <c r="C235" s="21">
        <f>B235-20</f>
        <v/>
      </c>
      <c r="D235" t="n">
        <v>113.1</v>
      </c>
      <c r="E235" s="22">
        <f>D235-90</f>
        <v/>
      </c>
      <c r="F235" s="23" t="n">
        <v>0.008414</v>
      </c>
      <c r="G235" s="22" t="n">
        <v>33.4</v>
      </c>
      <c r="H235" s="22" t="n">
        <v>1.5</v>
      </c>
      <c r="I235" s="24" t="n">
        <v>0.0442187823355197</v>
      </c>
      <c r="J235" s="6" t="n">
        <v>71000</v>
      </c>
      <c r="K235" s="25">
        <f>23*10^-6</f>
        <v/>
      </c>
      <c r="L235" s="8">
        <f>H235</f>
        <v/>
      </c>
      <c r="M235" s="26">
        <f>H235^2/6</f>
        <v/>
      </c>
      <c r="N235" s="26">
        <f>H235^3/12</f>
        <v/>
      </c>
      <c r="O235" s="27">
        <f>-J235*L235*K235*C235</f>
        <v/>
      </c>
      <c r="P235" s="28">
        <f>-(12*F235*J235*L235*N235+12*O235*N235*G235*COS(RADIANS(E235)))/(12*N235*G235*COS(RADIANS(E235))^2+L235*G235^3*SIN(RADIANS(E235))^2)</f>
        <v/>
      </c>
      <c r="Q235" s="28">
        <f>-(6*F235*J235*L235*N235*SIN(RADIANS(E235))+6*O235*N235*G235*SIN(RADIANS(E235))*COS(RADIANS(E235)))/(12*N235*COS(RADIANS(E235))^2+L235*G235^2*SIN(RADIANS(E235))^2)</f>
        <v/>
      </c>
      <c r="R235" s="28">
        <f>-P235*SIN(RADIANS(E235))</f>
        <v/>
      </c>
      <c r="S235" s="8">
        <f>(O235+P235*COS(RADIANS(E235)))/L235</f>
        <v/>
      </c>
      <c r="T235" s="8">
        <f>R235/L235</f>
        <v/>
      </c>
      <c r="U235" s="8">
        <f>(Q235-P235*G235*SIN(RADIANS(E235)))/M235</f>
        <v/>
      </c>
      <c r="V235" s="8">
        <f>SQRT((S235+U235)^2+3*T235^2)</f>
        <v/>
      </c>
      <c r="W235" s="8">
        <f>V235/AA235</f>
        <v/>
      </c>
      <c r="X235" s="27">
        <f>((3*10+H235/COS(RADIANS(E235)))*(3+3)+3*G235*H235)*2</f>
        <v/>
      </c>
      <c r="Y235" s="28">
        <f>Z235/X235</f>
        <v/>
      </c>
      <c r="Z235" s="29" t="n">
        <v>685.6946626647</v>
      </c>
      <c r="AA235" s="20" t="n">
        <v>30.2976244019594</v>
      </c>
      <c r="AB235" t="n">
        <v>0.05839631672699528</v>
      </c>
      <c r="AC235" t="n">
        <v>30.31347111959763</v>
      </c>
      <c r="AD235" t="n">
        <v>32.06224514257411</v>
      </c>
    </row>
    <row r="236">
      <c r="A236" t="n">
        <v>235</v>
      </c>
      <c r="B236" t="n">
        <v>74.7</v>
      </c>
      <c r="C236" s="21">
        <f>B236-20</f>
        <v/>
      </c>
      <c r="D236" t="n">
        <v>114.8</v>
      </c>
      <c r="E236" s="22">
        <f>D236-90</f>
        <v/>
      </c>
      <c r="F236" s="23" t="n">
        <v>0.016138</v>
      </c>
      <c r="G236" s="22" t="n">
        <v>21.9</v>
      </c>
      <c r="H236" s="22" t="n">
        <v>1.2</v>
      </c>
      <c r="I236" s="24" t="n">
        <v>0.0864486247301101</v>
      </c>
      <c r="J236" s="6" t="n">
        <v>71000</v>
      </c>
      <c r="K236" s="25">
        <f>23*10^-6</f>
        <v/>
      </c>
      <c r="L236" s="8">
        <f>H236</f>
        <v/>
      </c>
      <c r="M236" s="26">
        <f>H236^2/6</f>
        <v/>
      </c>
      <c r="N236" s="26">
        <f>H236^3/12</f>
        <v/>
      </c>
      <c r="O236" s="27">
        <f>-J236*L236*K236*C236</f>
        <v/>
      </c>
      <c r="P236" s="28">
        <f>-(12*F236*J236*L236*N236+12*O236*N236*G236*COS(RADIANS(E236)))/(12*N236*G236*COS(RADIANS(E236))^2+L236*G236^3*SIN(RADIANS(E236))^2)</f>
        <v/>
      </c>
      <c r="Q236" s="28">
        <f>-(6*F236*J236*L236*N236*SIN(RADIANS(E236))+6*O236*N236*G236*SIN(RADIANS(E236))*COS(RADIANS(E236)))/(12*N236*COS(RADIANS(E236))^2+L236*G236^2*SIN(RADIANS(E236))^2)</f>
        <v/>
      </c>
      <c r="R236" s="28">
        <f>-P236*SIN(RADIANS(E236))</f>
        <v/>
      </c>
      <c r="S236" s="8">
        <f>(O236+P236*COS(RADIANS(E236)))/L236</f>
        <v/>
      </c>
      <c r="T236" s="8">
        <f>R236/L236</f>
        <v/>
      </c>
      <c r="U236" s="8">
        <f>(Q236-P236*G236*SIN(RADIANS(E236)))/M236</f>
        <v/>
      </c>
      <c r="V236" s="8">
        <f>SQRT((S236+U236)^2+3*T236^2)</f>
        <v/>
      </c>
      <c r="W236" s="8">
        <f>V236/AA236</f>
        <v/>
      </c>
      <c r="X236" s="27">
        <f>((3*10+H236/COS(RADIANS(E236)))*(3+3)+3*G236*H236)*2</f>
        <v/>
      </c>
      <c r="Y236" s="28">
        <f>Z236/X236</f>
        <v/>
      </c>
      <c r="Z236" s="29" t="n">
        <v>539.414744921201</v>
      </c>
      <c r="AA236" s="20" t="n">
        <v>80.39839267322149</v>
      </c>
      <c r="AB236" t="n">
        <v>0.09911475044256403</v>
      </c>
      <c r="AC236" t="n">
        <v>82.25151695366047</v>
      </c>
      <c r="AD236" t="n">
        <v>14.65162199167098</v>
      </c>
    </row>
    <row r="237">
      <c r="A237" t="n">
        <v>236</v>
      </c>
      <c r="B237" t="n">
        <v>60.2</v>
      </c>
      <c r="C237" s="21">
        <f>B237-20</f>
        <v/>
      </c>
      <c r="D237" t="n">
        <v>119.1</v>
      </c>
      <c r="E237" s="22">
        <f>D237-90</f>
        <v/>
      </c>
      <c r="F237" s="23" t="n">
        <v>0.012841</v>
      </c>
      <c r="G237" s="22" t="n">
        <v>25.2</v>
      </c>
      <c r="H237" s="22" t="n">
        <v>1.8</v>
      </c>
      <c r="I237" s="24" t="n">
        <v>0.0621752403676509</v>
      </c>
      <c r="J237" s="6" t="n">
        <v>71000</v>
      </c>
      <c r="K237" s="25">
        <f>23*10^-6</f>
        <v/>
      </c>
      <c r="L237" s="8">
        <f>H237</f>
        <v/>
      </c>
      <c r="M237" s="26">
        <f>H237^2/6</f>
        <v/>
      </c>
      <c r="N237" s="26">
        <f>H237^3/12</f>
        <v/>
      </c>
      <c r="O237" s="27">
        <f>-J237*L237*K237*C237</f>
        <v/>
      </c>
      <c r="P237" s="28">
        <f>-(12*F237*J237*L237*N237+12*O237*N237*G237*COS(RADIANS(E237)))/(12*N237*G237*COS(RADIANS(E237))^2+L237*G237^3*SIN(RADIANS(E237))^2)</f>
        <v/>
      </c>
      <c r="Q237" s="28">
        <f>-(6*F237*J237*L237*N237*SIN(RADIANS(E237))+6*O237*N237*G237*SIN(RADIANS(E237))*COS(RADIANS(E237)))/(12*N237*COS(RADIANS(E237))^2+L237*G237^2*SIN(RADIANS(E237))^2)</f>
        <v/>
      </c>
      <c r="R237" s="28">
        <f>-P237*SIN(RADIANS(E237))</f>
        <v/>
      </c>
      <c r="S237" s="8">
        <f>(O237+P237*COS(RADIANS(E237)))/L237</f>
        <v/>
      </c>
      <c r="T237" s="8">
        <f>R237/L237</f>
        <v/>
      </c>
      <c r="U237" s="8">
        <f>(Q237-P237*G237*SIN(RADIANS(E237)))/M237</f>
        <v/>
      </c>
      <c r="V237" s="8">
        <f>SQRT((S237+U237)^2+3*T237^2)</f>
        <v/>
      </c>
      <c r="W237" s="8">
        <f>V237/AA237</f>
        <v/>
      </c>
      <c r="X237" s="27">
        <f>((3*10+H237/COS(RADIANS(E237)))*(3+3)+3*G237*H237)*2</f>
        <v/>
      </c>
      <c r="Y237" s="28">
        <f>Z237/X237</f>
        <v/>
      </c>
      <c r="Z237" s="29" t="n">
        <v>663.781143245474</v>
      </c>
      <c r="AA237" s="20" t="n">
        <v>65.1377354633325</v>
      </c>
      <c r="AB237" t="n">
        <v>0.06971330449495498</v>
      </c>
      <c r="AC237" t="n">
        <v>61.22326760402475</v>
      </c>
      <c r="AD237" t="n">
        <v>12.12390025793298</v>
      </c>
    </row>
    <row r="238">
      <c r="A238" t="n">
        <v>237</v>
      </c>
      <c r="B238" t="n">
        <v>54.4</v>
      </c>
      <c r="C238" s="21">
        <f>B238-20</f>
        <v/>
      </c>
      <c r="D238" t="n">
        <v>107.1</v>
      </c>
      <c r="E238" s="22">
        <f>D238-90</f>
        <v/>
      </c>
      <c r="F238" s="23" t="n">
        <v>0.014835</v>
      </c>
      <c r="G238" s="22" t="n">
        <v>33.3</v>
      </c>
      <c r="H238" s="22" t="n">
        <v>1</v>
      </c>
      <c r="I238" s="24" t="n">
        <v>0.0955980569124221</v>
      </c>
      <c r="J238" s="6" t="n">
        <v>71000</v>
      </c>
      <c r="K238" s="25">
        <f>23*10^-6</f>
        <v/>
      </c>
      <c r="L238" s="8">
        <f>H238</f>
        <v/>
      </c>
      <c r="M238" s="26">
        <f>H238^2/6</f>
        <v/>
      </c>
      <c r="N238" s="26">
        <f>H238^3/12</f>
        <v/>
      </c>
      <c r="O238" s="27">
        <f>-J238*L238*K238*C238</f>
        <v/>
      </c>
      <c r="P238" s="28">
        <f>-(12*F238*J238*L238*N238+12*O238*N238*G238*COS(RADIANS(E238)))/(12*N238*G238*COS(RADIANS(E238))^2+L238*G238^3*SIN(RADIANS(E238))^2)</f>
        <v/>
      </c>
      <c r="Q238" s="28">
        <f>-(6*F238*J238*L238*N238*SIN(RADIANS(E238))+6*O238*N238*G238*SIN(RADIANS(E238))*COS(RADIANS(E238)))/(12*N238*COS(RADIANS(E238))^2+L238*G238^2*SIN(RADIANS(E238))^2)</f>
        <v/>
      </c>
      <c r="R238" s="28">
        <f>-P238*SIN(RADIANS(E238))</f>
        <v/>
      </c>
      <c r="S238" s="8">
        <f>(O238+P238*COS(RADIANS(E238)))/L238</f>
        <v/>
      </c>
      <c r="T238" s="8">
        <f>R238/L238</f>
        <v/>
      </c>
      <c r="U238" s="8">
        <f>(Q238-P238*G238*SIN(RADIANS(E238)))/M238</f>
        <v/>
      </c>
      <c r="V238" s="8">
        <f>SQRT((S238+U238)^2+3*T238^2)</f>
        <v/>
      </c>
      <c r="W238" s="8">
        <f>V238/AA238</f>
        <v/>
      </c>
      <c r="X238" s="27">
        <f>((3*10+H238/COS(RADIANS(E238)))*(3+3)+3*G238*H238)*2</f>
        <v/>
      </c>
      <c r="Y238" s="28">
        <f>Z238/X238</f>
        <v/>
      </c>
      <c r="Z238" s="29" t="n">
        <v>576.898688077869</v>
      </c>
      <c r="AA238" s="20" t="n">
        <v>47.9160381833699</v>
      </c>
      <c r="AB238" t="n">
        <v>0.1364798788955103</v>
      </c>
      <c r="AC238" t="n">
        <v>51.53151377441688</v>
      </c>
      <c r="AD238" t="n">
        <v>42.76428130808168</v>
      </c>
    </row>
    <row r="239">
      <c r="A239" t="n">
        <v>238</v>
      </c>
      <c r="B239" t="n">
        <v>79.90000000000001</v>
      </c>
      <c r="C239" s="21">
        <f>B239-20</f>
        <v/>
      </c>
      <c r="D239" t="n">
        <v>108.1</v>
      </c>
      <c r="E239" s="22">
        <f>D239-90</f>
        <v/>
      </c>
      <c r="F239" s="23" t="n">
        <v>0.024738</v>
      </c>
      <c r="G239" s="22" t="n">
        <v>31.8</v>
      </c>
      <c r="H239" s="22" t="n">
        <v>1.3</v>
      </c>
      <c r="I239" s="24" t="n">
        <v>0.153364926576614</v>
      </c>
      <c r="J239" s="6" t="n">
        <v>71000</v>
      </c>
      <c r="K239" s="25">
        <f>23*10^-6</f>
        <v/>
      </c>
      <c r="L239" s="8">
        <f>H239</f>
        <v/>
      </c>
      <c r="M239" s="26">
        <f>H239^2/6</f>
        <v/>
      </c>
      <c r="N239" s="26">
        <f>H239^3/12</f>
        <v/>
      </c>
      <c r="O239" s="27">
        <f>-J239*L239*K239*C239</f>
        <v/>
      </c>
      <c r="P239" s="28">
        <f>-(12*F239*J239*L239*N239+12*O239*N239*G239*COS(RADIANS(E239)))/(12*N239*G239*COS(RADIANS(E239))^2+L239*G239^3*SIN(RADIANS(E239))^2)</f>
        <v/>
      </c>
      <c r="Q239" s="28">
        <f>-(6*F239*J239*L239*N239*SIN(RADIANS(E239))+6*O239*N239*G239*SIN(RADIANS(E239))*COS(RADIANS(E239)))/(12*N239*COS(RADIANS(E239))^2+L239*G239^2*SIN(RADIANS(E239))^2)</f>
        <v/>
      </c>
      <c r="R239" s="28">
        <f>-P239*SIN(RADIANS(E239))</f>
        <v/>
      </c>
      <c r="S239" s="8">
        <f>(O239+P239*COS(RADIANS(E239)))/L239</f>
        <v/>
      </c>
      <c r="T239" s="8">
        <f>R239/L239</f>
        <v/>
      </c>
      <c r="U239" s="8">
        <f>(Q239-P239*G239*SIN(RADIANS(E239)))/M239</f>
        <v/>
      </c>
      <c r="V239" s="8">
        <f>SQRT((S239+U239)^2+3*T239^2)</f>
        <v/>
      </c>
      <c r="W239" s="8">
        <f>V239/AA239</f>
        <v/>
      </c>
      <c r="X239" s="27">
        <f>((3*10+H239/COS(RADIANS(E239)))*(3+3)+3*G239*H239)*2</f>
        <v/>
      </c>
      <c r="Y239" s="28">
        <f>Z239/X239</f>
        <v/>
      </c>
      <c r="Z239" s="29" t="n">
        <v>629.135222857834</v>
      </c>
      <c r="AA239" s="20" t="n">
        <v>89.0832583546331</v>
      </c>
      <c r="AB239" t="n">
        <v>0.2132399994700011</v>
      </c>
      <c r="AC239" t="n">
        <v>92.01656158306314</v>
      </c>
      <c r="AD239" t="n">
        <v>39.04091647934661</v>
      </c>
    </row>
    <row r="240">
      <c r="A240" t="n">
        <v>239</v>
      </c>
      <c r="B240" t="n">
        <v>78.8</v>
      </c>
      <c r="C240" s="21">
        <f>B240-20</f>
        <v/>
      </c>
      <c r="D240" t="n">
        <v>116.1</v>
      </c>
      <c r="E240" s="22">
        <f>D240-90</f>
        <v/>
      </c>
      <c r="F240" s="23" t="n">
        <v>0.022683</v>
      </c>
      <c r="G240" s="22" t="n">
        <v>31</v>
      </c>
      <c r="H240" s="22" t="n">
        <v>1.2</v>
      </c>
      <c r="I240" s="24" t="n">
        <v>0.112407125532627</v>
      </c>
      <c r="J240" s="6" t="n">
        <v>71000</v>
      </c>
      <c r="K240" s="25">
        <f>23*10^-6</f>
        <v/>
      </c>
      <c r="L240" s="8">
        <f>H240</f>
        <v/>
      </c>
      <c r="M240" s="26">
        <f>H240^2/6</f>
        <v/>
      </c>
      <c r="N240" s="26">
        <f>H240^3/12</f>
        <v/>
      </c>
      <c r="O240" s="27">
        <f>-J240*L240*K240*C240</f>
        <v/>
      </c>
      <c r="P240" s="28">
        <f>-(12*F240*J240*L240*N240+12*O240*N240*G240*COS(RADIANS(E240)))/(12*N240*G240*COS(RADIANS(E240))^2+L240*G240^3*SIN(RADIANS(E240))^2)</f>
        <v/>
      </c>
      <c r="Q240" s="28">
        <f>-(6*F240*J240*L240*N240*SIN(RADIANS(E240))+6*O240*N240*G240*SIN(RADIANS(E240))*COS(RADIANS(E240)))/(12*N240*COS(RADIANS(E240))^2+L240*G240^2*SIN(RADIANS(E240))^2)</f>
        <v/>
      </c>
      <c r="R240" s="28">
        <f>-P240*SIN(RADIANS(E240))</f>
        <v/>
      </c>
      <c r="S240" s="8">
        <f>(O240+P240*COS(RADIANS(E240)))/L240</f>
        <v/>
      </c>
      <c r="T240" s="8">
        <f>R240/L240</f>
        <v/>
      </c>
      <c r="U240" s="8">
        <f>(Q240-P240*G240*SIN(RADIANS(E240)))/M240</f>
        <v/>
      </c>
      <c r="V240" s="8">
        <f>SQRT((S240+U240)^2+3*T240^2)</f>
        <v/>
      </c>
      <c r="W240" s="8">
        <f>V240/AA240</f>
        <v/>
      </c>
      <c r="X240" s="27">
        <f>((3*10+H240/COS(RADIANS(E240)))*(3+3)+3*G240*H240)*2</f>
        <v/>
      </c>
      <c r="Y240" s="28">
        <f>Z240/X240</f>
        <v/>
      </c>
      <c r="Z240" s="29" t="n">
        <v>605.394008951353</v>
      </c>
      <c r="AA240" s="20" t="n">
        <v>83.25397852143441</v>
      </c>
      <c r="AB240" t="n">
        <v>0.1406498448244956</v>
      </c>
      <c r="AC240" t="n">
        <v>86.17671081479985</v>
      </c>
      <c r="AD240" t="n">
        <v>25.12538165000127</v>
      </c>
    </row>
    <row r="241">
      <c r="A241" t="n">
        <v>240</v>
      </c>
      <c r="B241" t="n">
        <v>70.09999999999999</v>
      </c>
      <c r="C241" s="21">
        <f>B241-20</f>
        <v/>
      </c>
      <c r="D241" t="n">
        <v>116.3</v>
      </c>
      <c r="E241" s="22">
        <f>D241-90</f>
        <v/>
      </c>
      <c r="F241" s="23" t="n">
        <v>0.014179</v>
      </c>
      <c r="G241" s="22" t="n">
        <v>21</v>
      </c>
      <c r="H241" s="22" t="n">
        <v>1.8</v>
      </c>
      <c r="I241" s="24" t="n">
        <v>0.0737608820199966</v>
      </c>
      <c r="J241" s="6" t="n">
        <v>71000</v>
      </c>
      <c r="K241" s="25">
        <f>23*10^-6</f>
        <v/>
      </c>
      <c r="L241" s="8">
        <f>H241</f>
        <v/>
      </c>
      <c r="M241" s="26">
        <f>H241^2/6</f>
        <v/>
      </c>
      <c r="N241" s="26">
        <f>H241^3/12</f>
        <v/>
      </c>
      <c r="O241" s="27">
        <f>-J241*L241*K241*C241</f>
        <v/>
      </c>
      <c r="P241" s="28">
        <f>-(12*F241*J241*L241*N241+12*O241*N241*G241*COS(RADIANS(E241)))/(12*N241*G241*COS(RADIANS(E241))^2+L241*G241^3*SIN(RADIANS(E241))^2)</f>
        <v/>
      </c>
      <c r="Q241" s="28">
        <f>-(6*F241*J241*L241*N241*SIN(RADIANS(E241))+6*O241*N241*G241*SIN(RADIANS(E241))*COS(RADIANS(E241)))/(12*N241*COS(RADIANS(E241))^2+L241*G241^2*SIN(RADIANS(E241))^2)</f>
        <v/>
      </c>
      <c r="R241" s="28">
        <f>-P241*SIN(RADIANS(E241))</f>
        <v/>
      </c>
      <c r="S241" s="8">
        <f>(O241+P241*COS(RADIANS(E241)))/L241</f>
        <v/>
      </c>
      <c r="T241" s="8">
        <f>R241/L241</f>
        <v/>
      </c>
      <c r="U241" s="8">
        <f>(Q241-P241*G241*SIN(RADIANS(E241)))/M241</f>
        <v/>
      </c>
      <c r="V241" s="8">
        <f>SQRT((S241+U241)^2+3*T241^2)</f>
        <v/>
      </c>
      <c r="W241" s="8">
        <f>V241/AA241</f>
        <v/>
      </c>
      <c r="X241" s="27">
        <f>((3*10+H241/COS(RADIANS(E241)))*(3+3)+3*G241*H241)*2</f>
        <v/>
      </c>
      <c r="Y241" s="28">
        <f>Z241/X241</f>
        <v/>
      </c>
      <c r="Z241" s="29" t="n">
        <v>617.098872243244</v>
      </c>
      <c r="AA241" s="20" t="n">
        <v>84.52475619345719</v>
      </c>
      <c r="AB241" t="n">
        <v>0.08066736503383971</v>
      </c>
      <c r="AC241" t="n">
        <v>78.38478091210453</v>
      </c>
      <c r="AD241" t="n">
        <v>9.363341143305149</v>
      </c>
    </row>
    <row r="242">
      <c r="A242" t="n">
        <v>241</v>
      </c>
      <c r="B242" t="n">
        <v>43.4</v>
      </c>
      <c r="C242" s="21">
        <f>B242-20</f>
        <v/>
      </c>
      <c r="D242" t="n">
        <v>111</v>
      </c>
      <c r="E242" s="22">
        <f>D242-90</f>
        <v/>
      </c>
      <c r="F242" s="23" t="n">
        <v>0.008149999999999999</v>
      </c>
      <c r="G242" s="22" t="n">
        <v>26.3</v>
      </c>
      <c r="H242" s="22" t="n">
        <v>1.3</v>
      </c>
      <c r="I242" s="24" t="n">
        <v>0.0468381270766258</v>
      </c>
      <c r="J242" s="6" t="n">
        <v>71000</v>
      </c>
      <c r="K242" s="25">
        <f>23*10^-6</f>
        <v/>
      </c>
      <c r="L242" s="8">
        <f>H242</f>
        <v/>
      </c>
      <c r="M242" s="26">
        <f>H242^2/6</f>
        <v/>
      </c>
      <c r="N242" s="26">
        <f>H242^3/12</f>
        <v/>
      </c>
      <c r="O242" s="27">
        <f>-J242*L242*K242*C242</f>
        <v/>
      </c>
      <c r="P242" s="28">
        <f>-(12*F242*J242*L242*N242+12*O242*N242*G242*COS(RADIANS(E242)))/(12*N242*G242*COS(RADIANS(E242))^2+L242*G242^3*SIN(RADIANS(E242))^2)</f>
        <v/>
      </c>
      <c r="Q242" s="28">
        <f>-(6*F242*J242*L242*N242*SIN(RADIANS(E242))+6*O242*N242*G242*SIN(RADIANS(E242))*COS(RADIANS(E242)))/(12*N242*COS(RADIANS(E242))^2+L242*G242^2*SIN(RADIANS(E242))^2)</f>
        <v/>
      </c>
      <c r="R242" s="28">
        <f>-P242*SIN(RADIANS(E242))</f>
        <v/>
      </c>
      <c r="S242" s="8">
        <f>(O242+P242*COS(RADIANS(E242)))/L242</f>
        <v/>
      </c>
      <c r="T242" s="8">
        <f>R242/L242</f>
        <v/>
      </c>
      <c r="U242" s="8">
        <f>(Q242-P242*G242*SIN(RADIANS(E242)))/M242</f>
        <v/>
      </c>
      <c r="V242" s="8">
        <f>SQRT((S242+U242)^2+3*T242^2)</f>
        <v/>
      </c>
      <c r="W242" s="8">
        <f>V242/AA242</f>
        <v/>
      </c>
      <c r="X242" s="27">
        <f>((3*10+H242/COS(RADIANS(E242)))*(3+3)+3*G242*H242)*2</f>
        <v/>
      </c>
      <c r="Y242" s="28">
        <f>Z242/X242</f>
        <v/>
      </c>
      <c r="Z242" s="29" t="n">
        <v>586.990971133667</v>
      </c>
      <c r="AA242" s="20" t="n">
        <v>34.6334673599197</v>
      </c>
      <c r="AB242" t="n">
        <v>0.05968838885993615</v>
      </c>
      <c r="AC242" t="n">
        <v>35.80975277074939</v>
      </c>
      <c r="AD242" t="n">
        <v>27.43547316118702</v>
      </c>
    </row>
    <row r="243">
      <c r="A243" t="n">
        <v>242</v>
      </c>
      <c r="B243" t="n">
        <v>69.2</v>
      </c>
      <c r="C243" s="21">
        <f>B243-20</f>
        <v/>
      </c>
      <c r="D243" t="n">
        <v>124.1</v>
      </c>
      <c r="E243" s="22">
        <f>D243-90</f>
        <v/>
      </c>
      <c r="F243" s="23" t="n">
        <v>0.019296</v>
      </c>
      <c r="G243" s="22" t="n">
        <v>34.3</v>
      </c>
      <c r="H243" s="22" t="n">
        <v>1.9</v>
      </c>
      <c r="I243" s="24" t="n">
        <v>0.0843023210763931</v>
      </c>
      <c r="J243" s="6" t="n">
        <v>71000</v>
      </c>
      <c r="K243" s="25">
        <f>23*10^-6</f>
        <v/>
      </c>
      <c r="L243" s="8">
        <f>H243</f>
        <v/>
      </c>
      <c r="M243" s="26">
        <f>H243^2/6</f>
        <v/>
      </c>
      <c r="N243" s="26">
        <f>H243^3/12</f>
        <v/>
      </c>
      <c r="O243" s="27">
        <f>-J243*L243*K243*C243</f>
        <v/>
      </c>
      <c r="P243" s="28">
        <f>-(12*F243*J243*L243*N243+12*O243*N243*G243*COS(RADIANS(E243)))/(12*N243*G243*COS(RADIANS(E243))^2+L243*G243^3*SIN(RADIANS(E243))^2)</f>
        <v/>
      </c>
      <c r="Q243" s="28">
        <f>-(6*F243*J243*L243*N243*SIN(RADIANS(E243))+6*O243*N243*G243*SIN(RADIANS(E243))*COS(RADIANS(E243)))/(12*N243*COS(RADIANS(E243))^2+L243*G243^2*SIN(RADIANS(E243))^2)</f>
        <v/>
      </c>
      <c r="R243" s="28">
        <f>-P243*SIN(RADIANS(E243))</f>
        <v/>
      </c>
      <c r="S243" s="8">
        <f>(O243+P243*COS(RADIANS(E243)))/L243</f>
        <v/>
      </c>
      <c r="T243" s="8">
        <f>R243/L243</f>
        <v/>
      </c>
      <c r="U243" s="8">
        <f>(Q243-P243*G243*SIN(RADIANS(E243)))/M243</f>
        <v/>
      </c>
      <c r="V243" s="8">
        <f>SQRT((S243+U243)^2+3*T243^2)</f>
        <v/>
      </c>
      <c r="W243" s="8">
        <f>V243/AA243</f>
        <v/>
      </c>
      <c r="X243" s="27">
        <f>((3*10+H243/COS(RADIANS(E243)))*(3+3)+3*G243*H243)*2</f>
        <v/>
      </c>
      <c r="Y243" s="28">
        <f>Z243/X243</f>
        <v/>
      </c>
      <c r="Z243" s="29" t="n">
        <v>786.971250195644</v>
      </c>
      <c r="AA243" s="20" t="n">
        <v>76.44659647745689</v>
      </c>
      <c r="AB243" t="n">
        <v>0.09699435334803659</v>
      </c>
      <c r="AC243" t="n">
        <v>72.34515001437818</v>
      </c>
      <c r="AD243" t="n">
        <v>15.05537701641954</v>
      </c>
    </row>
    <row r="244">
      <c r="A244" t="n">
        <v>243</v>
      </c>
      <c r="B244" t="n">
        <v>85.3</v>
      </c>
      <c r="C244" s="21">
        <f>B244-20</f>
        <v/>
      </c>
      <c r="D244" t="n">
        <v>106.3</v>
      </c>
      <c r="E244" s="22">
        <f>D244-90</f>
        <v/>
      </c>
      <c r="F244" s="23" t="n">
        <v>0.024187</v>
      </c>
      <c r="G244" s="22" t="n">
        <v>27.6</v>
      </c>
      <c r="H244" s="22" t="n">
        <v>1.8</v>
      </c>
      <c r="I244" s="24" t="n">
        <v>0.161220863461494</v>
      </c>
      <c r="J244" s="6" t="n">
        <v>71000</v>
      </c>
      <c r="K244" s="25">
        <f>23*10^-6</f>
        <v/>
      </c>
      <c r="L244" s="8">
        <f>H244</f>
        <v/>
      </c>
      <c r="M244" s="26">
        <f>H244^2/6</f>
        <v/>
      </c>
      <c r="N244" s="26">
        <f>H244^3/12</f>
        <v/>
      </c>
      <c r="O244" s="27">
        <f>-J244*L244*K244*C244</f>
        <v/>
      </c>
      <c r="P244" s="28">
        <f>-(12*F244*J244*L244*N244+12*O244*N244*G244*COS(RADIANS(E244)))/(12*N244*G244*COS(RADIANS(E244))^2+L244*G244^3*SIN(RADIANS(E244))^2)</f>
        <v/>
      </c>
      <c r="Q244" s="28">
        <f>-(6*F244*J244*L244*N244*SIN(RADIANS(E244))+6*O244*N244*G244*SIN(RADIANS(E244))*COS(RADIANS(E244)))/(12*N244*COS(RADIANS(E244))^2+L244*G244^2*SIN(RADIANS(E244))^2)</f>
        <v/>
      </c>
      <c r="R244" s="28">
        <f>-P244*SIN(RADIANS(E244))</f>
        <v/>
      </c>
      <c r="S244" s="8">
        <f>(O244+P244*COS(RADIANS(E244)))/L244</f>
        <v/>
      </c>
      <c r="T244" s="8">
        <f>R244/L244</f>
        <v/>
      </c>
      <c r="U244" s="8">
        <f>(Q244-P244*G244*SIN(RADIANS(E244)))/M244</f>
        <v/>
      </c>
      <c r="V244" s="8">
        <f>SQRT((S244+U244)^2+3*T244^2)</f>
        <v/>
      </c>
      <c r="W244" s="8">
        <f>V244/AA244</f>
        <v/>
      </c>
      <c r="X244" s="27">
        <f>((3*10+H244/COS(RADIANS(E244)))*(3+3)+3*G244*H244)*2</f>
        <v/>
      </c>
      <c r="Y244" s="28">
        <f>Z244/X244</f>
        <v/>
      </c>
      <c r="Z244" s="29" t="n">
        <v>685.023265330821</v>
      </c>
      <c r="AA244" s="20" t="n">
        <v>110.419725129318</v>
      </c>
      <c r="AB244" t="n">
        <v>0.2191521572517351</v>
      </c>
      <c r="AC244" t="n">
        <v>107.9976226538888</v>
      </c>
      <c r="AD244" t="n">
        <v>35.93287651884922</v>
      </c>
    </row>
    <row r="245">
      <c r="A245" t="n">
        <v>244</v>
      </c>
      <c r="B245" t="n">
        <v>46.9</v>
      </c>
      <c r="C245" s="21">
        <f>B245-20</f>
        <v/>
      </c>
      <c r="D245" t="n">
        <v>102.3</v>
      </c>
      <c r="E245" s="22">
        <f>D245-90</f>
        <v/>
      </c>
      <c r="F245" s="23" t="n">
        <v>0.011068</v>
      </c>
      <c r="G245" s="22" t="n">
        <v>30.8</v>
      </c>
      <c r="H245" s="22" t="n">
        <v>1.4</v>
      </c>
      <c r="I245" s="24" t="n">
        <v>0.0909635871648788</v>
      </c>
      <c r="J245" s="6" t="n">
        <v>71000</v>
      </c>
      <c r="K245" s="25">
        <f>23*10^-6</f>
        <v/>
      </c>
      <c r="L245" s="8">
        <f>H245</f>
        <v/>
      </c>
      <c r="M245" s="26">
        <f>H245^2/6</f>
        <v/>
      </c>
      <c r="N245" s="26">
        <f>H245^3/12</f>
        <v/>
      </c>
      <c r="O245" s="27">
        <f>-J245*L245*K245*C245</f>
        <v/>
      </c>
      <c r="P245" s="28">
        <f>-(12*F245*J245*L245*N245+12*O245*N245*G245*COS(RADIANS(E245)))/(12*N245*G245*COS(RADIANS(E245))^2+L245*G245^3*SIN(RADIANS(E245))^2)</f>
        <v/>
      </c>
      <c r="Q245" s="28">
        <f>-(6*F245*J245*L245*N245*SIN(RADIANS(E245))+6*O245*N245*G245*SIN(RADIANS(E245))*COS(RADIANS(E245)))/(12*N245*COS(RADIANS(E245))^2+L245*G245^2*SIN(RADIANS(E245))^2)</f>
        <v/>
      </c>
      <c r="R245" s="28">
        <f>-P245*SIN(RADIANS(E245))</f>
        <v/>
      </c>
      <c r="S245" s="8">
        <f>(O245+P245*COS(RADIANS(E245)))/L245</f>
        <v/>
      </c>
      <c r="T245" s="8">
        <f>R245/L245</f>
        <v/>
      </c>
      <c r="U245" s="8">
        <f>(Q245-P245*G245*SIN(RADIANS(E245)))/M245</f>
        <v/>
      </c>
      <c r="V245" s="8">
        <f>SQRT((S245+U245)^2+3*T245^2)</f>
        <v/>
      </c>
      <c r="W245" s="8">
        <f>V245/AA245</f>
        <v/>
      </c>
      <c r="X245" s="27">
        <f>((3*10+H245/COS(RADIANS(E245)))*(3+3)+3*G245*H245)*2</f>
        <v/>
      </c>
      <c r="Y245" s="28">
        <f>Z245/X245</f>
        <v/>
      </c>
      <c r="Z245" s="29" t="n">
        <v>639.912172761248</v>
      </c>
      <c r="AA245" s="20" t="n">
        <v>42.2662310060093</v>
      </c>
      <c r="AB245" t="n">
        <v>0.1342749319224358</v>
      </c>
      <c r="AC245" t="n">
        <v>44.30200848263233</v>
      </c>
      <c r="AD245" t="n">
        <v>47.61393663934091</v>
      </c>
    </row>
    <row r="246">
      <c r="A246" t="n">
        <v>245</v>
      </c>
      <c r="B246" t="n">
        <v>55</v>
      </c>
      <c r="C246" s="21">
        <f>B246-20</f>
        <v/>
      </c>
      <c r="D246" t="n">
        <v>110.1</v>
      </c>
      <c r="E246" s="22">
        <f>D246-90</f>
        <v/>
      </c>
      <c r="F246" s="23" t="n">
        <v>0.011012</v>
      </c>
      <c r="G246" s="22" t="n">
        <v>23</v>
      </c>
      <c r="H246" s="22" t="n">
        <v>1.3</v>
      </c>
      <c r="I246" s="24" t="n">
        <v>0.0661286562681198</v>
      </c>
      <c r="J246" s="6" t="n">
        <v>71000</v>
      </c>
      <c r="K246" s="25">
        <f>23*10^-6</f>
        <v/>
      </c>
      <c r="L246" s="8">
        <f>H246</f>
        <v/>
      </c>
      <c r="M246" s="26">
        <f>H246^2/6</f>
        <v/>
      </c>
      <c r="N246" s="26">
        <f>H246^3/12</f>
        <v/>
      </c>
      <c r="O246" s="27">
        <f>-J246*L246*K246*C246</f>
        <v/>
      </c>
      <c r="P246" s="28">
        <f>-(12*F246*J246*L246*N246+12*O246*N246*G246*COS(RADIANS(E246)))/(12*N246*G246*COS(RADIANS(E246))^2+L246*G246^3*SIN(RADIANS(E246))^2)</f>
        <v/>
      </c>
      <c r="Q246" s="28">
        <f>-(6*F246*J246*L246*N246*SIN(RADIANS(E246))+6*O246*N246*G246*SIN(RADIANS(E246))*COS(RADIANS(E246)))/(12*N246*COS(RADIANS(E246))^2+L246*G246^2*SIN(RADIANS(E246))^2)</f>
        <v/>
      </c>
      <c r="R246" s="28">
        <f>-P246*SIN(RADIANS(E246))</f>
        <v/>
      </c>
      <c r="S246" s="8">
        <f>(O246+P246*COS(RADIANS(E246)))/L246</f>
        <v/>
      </c>
      <c r="T246" s="8">
        <f>R246/L246</f>
        <v/>
      </c>
      <c r="U246" s="8">
        <f>(Q246-P246*G246*SIN(RADIANS(E246)))/M246</f>
        <v/>
      </c>
      <c r="V246" s="8">
        <f>SQRT((S246+U246)^2+3*T246^2)</f>
        <v/>
      </c>
      <c r="W246" s="8">
        <f>V246/AA246</f>
        <v/>
      </c>
      <c r="X246" s="27">
        <f>((3*10+H246/COS(RADIANS(E246)))*(3+3)+3*G246*H246)*2</f>
        <v/>
      </c>
      <c r="Y246" s="28">
        <f>Z246/X246</f>
        <v/>
      </c>
      <c r="Z246" s="29" t="n">
        <v>561.0019207064209</v>
      </c>
      <c r="AA246" s="20" t="n">
        <v>52.7506871294759</v>
      </c>
      <c r="AB246" t="n">
        <v>0.08191752686338991</v>
      </c>
      <c r="AC246" t="n">
        <v>54.40879319056062</v>
      </c>
      <c r="AD246" t="n">
        <v>23.87598884703457</v>
      </c>
    </row>
    <row r="247">
      <c r="A247" t="n">
        <v>246</v>
      </c>
      <c r="B247" t="n">
        <v>60.9</v>
      </c>
      <c r="C247" s="21">
        <f>B247-20</f>
        <v/>
      </c>
      <c r="D247" t="n">
        <v>126.2</v>
      </c>
      <c r="E247" s="22">
        <f>D247-90</f>
        <v/>
      </c>
      <c r="F247" s="23" t="n">
        <v>0.012693</v>
      </c>
      <c r="G247" s="22" t="n">
        <v>26.3</v>
      </c>
      <c r="H247" s="22" t="n">
        <v>1.7</v>
      </c>
      <c r="I247" s="24" t="n">
        <v>0.0566384270787239</v>
      </c>
      <c r="J247" s="6" t="n">
        <v>71000</v>
      </c>
      <c r="K247" s="25">
        <f>23*10^-6</f>
        <v/>
      </c>
      <c r="L247" s="8">
        <f>H247</f>
        <v/>
      </c>
      <c r="M247" s="26">
        <f>H247^2/6</f>
        <v/>
      </c>
      <c r="N247" s="26">
        <f>H247^3/12</f>
        <v/>
      </c>
      <c r="O247" s="27">
        <f>-J247*L247*K247*C247</f>
        <v/>
      </c>
      <c r="P247" s="28">
        <f>-(12*F247*J247*L247*N247+12*O247*N247*G247*COS(RADIANS(E247)))/(12*N247*G247*COS(RADIANS(E247))^2+L247*G247^3*SIN(RADIANS(E247))^2)</f>
        <v/>
      </c>
      <c r="Q247" s="28">
        <f>-(6*F247*J247*L247*N247*SIN(RADIANS(E247))+6*O247*N247*G247*SIN(RADIANS(E247))*COS(RADIANS(E247)))/(12*N247*COS(RADIANS(E247))^2+L247*G247^2*SIN(RADIANS(E247))^2)</f>
        <v/>
      </c>
      <c r="R247" s="28">
        <f>-P247*SIN(RADIANS(E247))</f>
        <v/>
      </c>
      <c r="S247" s="8">
        <f>(O247+P247*COS(RADIANS(E247)))/L247</f>
        <v/>
      </c>
      <c r="T247" s="8">
        <f>R247/L247</f>
        <v/>
      </c>
      <c r="U247" s="8">
        <f>(Q247-P247*G247*SIN(RADIANS(E247)))/M247</f>
        <v/>
      </c>
      <c r="V247" s="8">
        <f>SQRT((S247+U247)^2+3*T247^2)</f>
        <v/>
      </c>
      <c r="W247" s="8">
        <f>V247/AA247</f>
        <v/>
      </c>
      <c r="X247" s="27">
        <f>((3*10+H247/COS(RADIANS(E247)))*(3+3)+3*G247*H247)*2</f>
        <v/>
      </c>
      <c r="Y247" s="28">
        <f>Z247/X247</f>
        <v/>
      </c>
      <c r="Z247" s="29" t="n">
        <v>662.7149226659089</v>
      </c>
      <c r="AA247" s="20" t="n">
        <v>62.9499530317839</v>
      </c>
      <c r="AB247" t="n">
        <v>0.05870237085921702</v>
      </c>
      <c r="AC247" t="n">
        <v>60.03925696832404</v>
      </c>
      <c r="AD247" t="n">
        <v>3.64406973665488</v>
      </c>
    </row>
    <row r="248">
      <c r="A248" t="n">
        <v>247</v>
      </c>
      <c r="B248" t="n">
        <v>87.7</v>
      </c>
      <c r="C248" s="21">
        <f>B248-20</f>
        <v/>
      </c>
      <c r="D248" t="n">
        <v>112.3</v>
      </c>
      <c r="E248" s="22">
        <f>D248-90</f>
        <v/>
      </c>
      <c r="F248" s="23" t="n">
        <v>0.027052</v>
      </c>
      <c r="G248" s="22" t="n">
        <v>31.4</v>
      </c>
      <c r="H248" s="22" t="n">
        <v>1</v>
      </c>
      <c r="I248" s="24" t="n">
        <v>0.146561846137046</v>
      </c>
      <c r="J248" s="6" t="n">
        <v>71000</v>
      </c>
      <c r="K248" s="25">
        <f>23*10^-6</f>
        <v/>
      </c>
      <c r="L248" s="8">
        <f>H248</f>
        <v/>
      </c>
      <c r="M248" s="26">
        <f>H248^2/6</f>
        <v/>
      </c>
      <c r="N248" s="26">
        <f>H248^3/12</f>
        <v/>
      </c>
      <c r="O248" s="27">
        <f>-J248*L248*K248*C248</f>
        <v/>
      </c>
      <c r="P248" s="28">
        <f>-(12*F248*J248*L248*N248+12*O248*N248*G248*COS(RADIANS(E248)))/(12*N248*G248*COS(RADIANS(E248))^2+L248*G248^3*SIN(RADIANS(E248))^2)</f>
        <v/>
      </c>
      <c r="Q248" s="28">
        <f>-(6*F248*J248*L248*N248*SIN(RADIANS(E248))+6*O248*N248*G248*SIN(RADIANS(E248))*COS(RADIANS(E248)))/(12*N248*COS(RADIANS(E248))^2+L248*G248^2*SIN(RADIANS(E248))^2)</f>
        <v/>
      </c>
      <c r="R248" s="28">
        <f>-P248*SIN(RADIANS(E248))</f>
        <v/>
      </c>
      <c r="S248" s="8">
        <f>(O248+P248*COS(RADIANS(E248)))/L248</f>
        <v/>
      </c>
      <c r="T248" s="8">
        <f>R248/L248</f>
        <v/>
      </c>
      <c r="U248" s="8">
        <f>(Q248-P248*G248*SIN(RADIANS(E248)))/M248</f>
        <v/>
      </c>
      <c r="V248" s="8">
        <f>SQRT((S248+U248)^2+3*T248^2)</f>
        <v/>
      </c>
      <c r="W248" s="8">
        <f>V248/AA248</f>
        <v/>
      </c>
      <c r="X248" s="27">
        <f>((3*10+H248/COS(RADIANS(E248)))*(3+3)+3*G248*H248)*2</f>
        <v/>
      </c>
      <c r="Y248" s="28">
        <f>Z248/X248</f>
        <v/>
      </c>
      <c r="Z248" s="29" t="n">
        <v>566.7437265069819</v>
      </c>
      <c r="AA248" s="20" t="n">
        <v>92.6015483499952</v>
      </c>
      <c r="AB248" t="n">
        <v>0.1935757932118511</v>
      </c>
      <c r="AC248" t="n">
        <v>99.17418636881843</v>
      </c>
      <c r="AD248" t="n">
        <v>32.07788951487662</v>
      </c>
    </row>
    <row r="249">
      <c r="A249" t="n">
        <v>248</v>
      </c>
      <c r="B249" t="n">
        <v>84.90000000000001</v>
      </c>
      <c r="C249" s="21">
        <f>B249-20</f>
        <v/>
      </c>
      <c r="D249" t="n">
        <v>126.9</v>
      </c>
      <c r="E249" s="22">
        <f>D249-90</f>
        <v/>
      </c>
      <c r="F249" s="23" t="n">
        <v>0.024555</v>
      </c>
      <c r="G249" s="22" t="n">
        <v>34</v>
      </c>
      <c r="H249" s="22" t="n">
        <v>1.2</v>
      </c>
      <c r="I249" s="24" t="n">
        <v>0.104877486824989</v>
      </c>
      <c r="J249" s="6" t="n">
        <v>71000</v>
      </c>
      <c r="K249" s="25">
        <f>23*10^-6</f>
        <v/>
      </c>
      <c r="L249" s="8">
        <f>H249</f>
        <v/>
      </c>
      <c r="M249" s="26">
        <f>H249^2/6</f>
        <v/>
      </c>
      <c r="N249" s="26">
        <f>H249^3/12</f>
        <v/>
      </c>
      <c r="O249" s="27">
        <f>-J249*L249*K249*C249</f>
        <v/>
      </c>
      <c r="P249" s="28">
        <f>-(12*F249*J249*L249*N249+12*O249*N249*G249*COS(RADIANS(E249)))/(12*N249*G249*COS(RADIANS(E249))^2+L249*G249^3*SIN(RADIANS(E249))^2)</f>
        <v/>
      </c>
      <c r="Q249" s="28">
        <f>-(6*F249*J249*L249*N249*SIN(RADIANS(E249))+6*O249*N249*G249*SIN(RADIANS(E249))*COS(RADIANS(E249)))/(12*N249*COS(RADIANS(E249))^2+L249*G249^2*SIN(RADIANS(E249))^2)</f>
        <v/>
      </c>
      <c r="R249" s="28">
        <f>-P249*SIN(RADIANS(E249))</f>
        <v/>
      </c>
      <c r="S249" s="8">
        <f>(O249+P249*COS(RADIANS(E249)))/L249</f>
        <v/>
      </c>
      <c r="T249" s="8">
        <f>R249/L249</f>
        <v/>
      </c>
      <c r="U249" s="8">
        <f>(Q249-P249*G249*SIN(RADIANS(E249)))/M249</f>
        <v/>
      </c>
      <c r="V249" s="8">
        <f>SQRT((S249+U249)^2+3*T249^2)</f>
        <v/>
      </c>
      <c r="W249" s="8">
        <f>V249/AA249</f>
        <v/>
      </c>
      <c r="X249" s="27">
        <f>((3*10+H249/COS(RADIANS(E249)))*(3+3)+3*G249*H249)*2</f>
        <v/>
      </c>
      <c r="Y249" s="28">
        <f>Z249/X249</f>
        <v/>
      </c>
      <c r="Z249" s="29" t="n">
        <v>632.252557337375</v>
      </c>
      <c r="AA249" s="20" t="n">
        <v>86.74794064818281</v>
      </c>
      <c r="AB249" t="n">
        <v>0.1169327560186157</v>
      </c>
      <c r="AC249" t="n">
        <v>91.93721280184421</v>
      </c>
      <c r="AD249" t="n">
        <v>11.49462058882431</v>
      </c>
    </row>
    <row r="250">
      <c r="A250" t="n">
        <v>249</v>
      </c>
      <c r="B250" t="n">
        <v>79.8</v>
      </c>
      <c r="C250" s="21">
        <f>B250-20</f>
        <v/>
      </c>
      <c r="D250" t="n">
        <v>121</v>
      </c>
      <c r="E250" s="22">
        <f>D250-90</f>
        <v/>
      </c>
      <c r="F250" s="23" t="n">
        <v>0.016478</v>
      </c>
      <c r="G250" s="22" t="n">
        <v>21.2</v>
      </c>
      <c r="H250" s="22" t="n">
        <v>1.2</v>
      </c>
      <c r="I250" s="24" t="n">
        <v>0.0798896849155426</v>
      </c>
      <c r="J250" s="6" t="n">
        <v>71000</v>
      </c>
      <c r="K250" s="25">
        <f>23*10^-6</f>
        <v/>
      </c>
      <c r="L250" s="8">
        <f>H250</f>
        <v/>
      </c>
      <c r="M250" s="26">
        <f>H250^2/6</f>
        <v/>
      </c>
      <c r="N250" s="26">
        <f>H250^3/12</f>
        <v/>
      </c>
      <c r="O250" s="27">
        <f>-J250*L250*K250*C250</f>
        <v/>
      </c>
      <c r="P250" s="28">
        <f>-(12*F250*J250*L250*N250+12*O250*N250*G250*COS(RADIANS(E250)))/(12*N250*G250*COS(RADIANS(E250))^2+L250*G250^3*SIN(RADIANS(E250))^2)</f>
        <v/>
      </c>
      <c r="Q250" s="28">
        <f>-(6*F250*J250*L250*N250*SIN(RADIANS(E250))+6*O250*N250*G250*SIN(RADIANS(E250))*COS(RADIANS(E250)))/(12*N250*COS(RADIANS(E250))^2+L250*G250^2*SIN(RADIANS(E250))^2)</f>
        <v/>
      </c>
      <c r="R250" s="28">
        <f>-P250*SIN(RADIANS(E250))</f>
        <v/>
      </c>
      <c r="S250" s="8">
        <f>(O250+P250*COS(RADIANS(E250)))/L250</f>
        <v/>
      </c>
      <c r="T250" s="8">
        <f>R250/L250</f>
        <v/>
      </c>
      <c r="U250" s="8">
        <f>(Q250-P250*G250*SIN(RADIANS(E250)))/M250</f>
        <v/>
      </c>
      <c r="V250" s="8">
        <f>SQRT((S250+U250)^2+3*T250^2)</f>
        <v/>
      </c>
      <c r="W250" s="8">
        <f>V250/AA250</f>
        <v/>
      </c>
      <c r="X250" s="27">
        <f>((3*10+H250/COS(RADIANS(E250)))*(3+3)+3*G250*H250)*2</f>
        <v/>
      </c>
      <c r="Y250" s="28">
        <f>Z250/X250</f>
        <v/>
      </c>
      <c r="Z250" s="29" t="n">
        <v>536.872351838708</v>
      </c>
      <c r="AA250" s="20" t="n">
        <v>86.6033016366582</v>
      </c>
      <c r="AB250" t="n">
        <v>0.08321271189964566</v>
      </c>
      <c r="AC250" t="n">
        <v>87.74369598291646</v>
      </c>
      <c r="AD250" t="n">
        <v>4.159519451874266</v>
      </c>
    </row>
    <row r="251">
      <c r="A251" t="n">
        <v>250</v>
      </c>
      <c r="B251" t="n">
        <v>53.4</v>
      </c>
      <c r="C251" s="21">
        <f>B251-20</f>
        <v/>
      </c>
      <c r="D251" t="n">
        <v>105.8</v>
      </c>
      <c r="E251" s="22">
        <f>D251-90</f>
        <v/>
      </c>
      <c r="F251" s="23" t="n">
        <v>0.014375</v>
      </c>
      <c r="G251" s="22" t="n">
        <v>33</v>
      </c>
      <c r="H251" s="22" t="n">
        <v>1.6</v>
      </c>
      <c r="I251" s="24" t="n">
        <v>0.0972655117511749</v>
      </c>
      <c r="J251" s="6" t="n">
        <v>71000</v>
      </c>
      <c r="K251" s="25">
        <f>23*10^-6</f>
        <v/>
      </c>
      <c r="L251" s="8">
        <f>H251</f>
        <v/>
      </c>
      <c r="M251" s="26">
        <f>H251^2/6</f>
        <v/>
      </c>
      <c r="N251" s="26">
        <f>H251^3/12</f>
        <v/>
      </c>
      <c r="O251" s="27">
        <f>-J251*L251*K251*C251</f>
        <v/>
      </c>
      <c r="P251" s="28">
        <f>-(12*F251*J251*L251*N251+12*O251*N251*G251*COS(RADIANS(E251)))/(12*N251*G251*COS(RADIANS(E251))^2+L251*G251^3*SIN(RADIANS(E251))^2)</f>
        <v/>
      </c>
      <c r="Q251" s="28">
        <f>-(6*F251*J251*L251*N251*SIN(RADIANS(E251))+6*O251*N251*G251*SIN(RADIANS(E251))*COS(RADIANS(E251)))/(12*N251*COS(RADIANS(E251))^2+L251*G251^2*SIN(RADIANS(E251))^2)</f>
        <v/>
      </c>
      <c r="R251" s="28">
        <f>-P251*SIN(RADIANS(E251))</f>
        <v/>
      </c>
      <c r="S251" s="8">
        <f>(O251+P251*COS(RADIANS(E251)))/L251</f>
        <v/>
      </c>
      <c r="T251" s="8">
        <f>R251/L251</f>
        <v/>
      </c>
      <c r="U251" s="8">
        <f>(Q251-P251*G251*SIN(RADIANS(E251)))/M251</f>
        <v/>
      </c>
      <c r="V251" s="8">
        <f>SQRT((S251+U251)^2+3*T251^2)</f>
        <v/>
      </c>
      <c r="W251" s="8">
        <f>V251/AA251</f>
        <v/>
      </c>
      <c r="X251" s="27">
        <f>((3*10+H251/COS(RADIANS(E251)))*(3+3)+3*G251*H251)*2</f>
        <v/>
      </c>
      <c r="Y251" s="28">
        <f>Z251/X251</f>
        <v/>
      </c>
      <c r="Z251" s="29" t="n">
        <v>701.129900594984</v>
      </c>
      <c r="AA251" s="20" t="n">
        <v>53.1029107585163</v>
      </c>
      <c r="AB251" t="n">
        <v>0.1396843727224712</v>
      </c>
      <c r="AC251" t="n">
        <v>53.5355386106338</v>
      </c>
      <c r="AD251" t="n">
        <v>43.61140984875752</v>
      </c>
    </row>
    <row r="252">
      <c r="A252" t="n">
        <v>251</v>
      </c>
      <c r="B252" t="n">
        <v>87.3</v>
      </c>
      <c r="C252" s="21">
        <f>B252-20</f>
        <v/>
      </c>
      <c r="D252" t="n">
        <v>122.3</v>
      </c>
      <c r="E252" s="22">
        <f>D252-90</f>
        <v/>
      </c>
      <c r="F252" s="23" t="n">
        <v>0.019973</v>
      </c>
      <c r="G252" s="22" t="n">
        <v>23.7</v>
      </c>
      <c r="H252" s="22" t="n">
        <v>1.3</v>
      </c>
      <c r="I252" s="24" t="n">
        <v>0.093661218881607</v>
      </c>
      <c r="J252" s="6" t="n">
        <v>71000</v>
      </c>
      <c r="K252" s="25">
        <f>23*10^-6</f>
        <v/>
      </c>
      <c r="L252" s="8">
        <f>H252</f>
        <v/>
      </c>
      <c r="M252" s="26">
        <f>H252^2/6</f>
        <v/>
      </c>
      <c r="N252" s="26">
        <f>H252^3/12</f>
        <v/>
      </c>
      <c r="O252" s="27">
        <f>-J252*L252*K252*C252</f>
        <v/>
      </c>
      <c r="P252" s="28">
        <f>-(12*F252*J252*L252*N252+12*O252*N252*G252*COS(RADIANS(E252)))/(12*N252*G252*COS(RADIANS(E252))^2+L252*G252^3*SIN(RADIANS(E252))^2)</f>
        <v/>
      </c>
      <c r="Q252" s="28">
        <f>-(6*F252*J252*L252*N252*SIN(RADIANS(E252))+6*O252*N252*G252*SIN(RADIANS(E252))*COS(RADIANS(E252)))/(12*N252*COS(RADIANS(E252))^2+L252*G252^2*SIN(RADIANS(E252))^2)</f>
        <v/>
      </c>
      <c r="R252" s="28">
        <f>-P252*SIN(RADIANS(E252))</f>
        <v/>
      </c>
      <c r="S252" s="8">
        <f>(O252+P252*COS(RADIANS(E252)))/L252</f>
        <v/>
      </c>
      <c r="T252" s="8">
        <f>R252/L252</f>
        <v/>
      </c>
      <c r="U252" s="8">
        <f>(Q252-P252*G252*SIN(RADIANS(E252)))/M252</f>
        <v/>
      </c>
      <c r="V252" s="8">
        <f>SQRT((S252+U252)^2+3*T252^2)</f>
        <v/>
      </c>
      <c r="W252" s="8">
        <f>V252/AA252</f>
        <v/>
      </c>
      <c r="X252" s="27">
        <f>((3*10+H252/COS(RADIANS(E252)))*(3+3)+3*G252*H252)*2</f>
        <v/>
      </c>
      <c r="Y252" s="28">
        <f>Z252/X252</f>
        <v/>
      </c>
      <c r="Z252" s="29" t="n">
        <v>571.143017875192</v>
      </c>
      <c r="AA252" s="20" t="n">
        <v>97.8919704633459</v>
      </c>
      <c r="AB252" t="n">
        <v>0.09940406046329738</v>
      </c>
      <c r="AC252" t="n">
        <v>98.46339296403126</v>
      </c>
      <c r="AD252" t="n">
        <v>6.131504213018673</v>
      </c>
    </row>
    <row r="253">
      <c r="A253" t="n">
        <v>252</v>
      </c>
      <c r="B253" t="n">
        <v>61.9</v>
      </c>
      <c r="C253" s="21">
        <f>B253-20</f>
        <v/>
      </c>
      <c r="D253" t="n">
        <v>113</v>
      </c>
      <c r="E253" s="22">
        <f>D253-90</f>
        <v/>
      </c>
      <c r="F253" s="23" t="n">
        <v>0.017332</v>
      </c>
      <c r="G253" s="22" t="n">
        <v>32.9</v>
      </c>
      <c r="H253" s="22" t="n">
        <v>1.8</v>
      </c>
      <c r="I253" s="24" t="n">
        <v>0.0913540497422218</v>
      </c>
      <c r="J253" s="6" t="n">
        <v>71000</v>
      </c>
      <c r="K253" s="25">
        <f>23*10^-6</f>
        <v/>
      </c>
      <c r="L253" s="8">
        <f>H253</f>
        <v/>
      </c>
      <c r="M253" s="26">
        <f>H253^2/6</f>
        <v/>
      </c>
      <c r="N253" s="26">
        <f>H253^3/12</f>
        <v/>
      </c>
      <c r="O253" s="27">
        <f>-J253*L253*K253*C253</f>
        <v/>
      </c>
      <c r="P253" s="28">
        <f>-(12*F253*J253*L253*N253+12*O253*N253*G253*COS(RADIANS(E253)))/(12*N253*G253*COS(RADIANS(E253))^2+L253*G253^3*SIN(RADIANS(E253))^2)</f>
        <v/>
      </c>
      <c r="Q253" s="28">
        <f>-(6*F253*J253*L253*N253*SIN(RADIANS(E253))+6*O253*N253*G253*SIN(RADIANS(E253))*COS(RADIANS(E253)))/(12*N253*COS(RADIANS(E253))^2+L253*G253^2*SIN(RADIANS(E253))^2)</f>
        <v/>
      </c>
      <c r="R253" s="28">
        <f>-P253*SIN(RADIANS(E253))</f>
        <v/>
      </c>
      <c r="S253" s="8">
        <f>(O253+P253*COS(RADIANS(E253)))/L253</f>
        <v/>
      </c>
      <c r="T253" s="8">
        <f>R253/L253</f>
        <v/>
      </c>
      <c r="U253" s="8">
        <f>(Q253-P253*G253*SIN(RADIANS(E253)))/M253</f>
        <v/>
      </c>
      <c r="V253" s="8">
        <f>SQRT((S253+U253)^2+3*T253^2)</f>
        <v/>
      </c>
      <c r="W253" s="8">
        <f>V253/AA253</f>
        <v/>
      </c>
      <c r="X253" s="27">
        <f>((3*10+H253/COS(RADIANS(E253)))*(3+3)+3*G253*H253)*2</f>
        <v/>
      </c>
      <c r="Y253" s="28">
        <f>Z253/X253</f>
        <v/>
      </c>
      <c r="Z253" s="29" t="n">
        <v>744.291662595323</v>
      </c>
      <c r="AA253" s="20" t="n">
        <v>66.7307480053291</v>
      </c>
      <c r="AB253" t="n">
        <v>0.1198620702522069</v>
      </c>
      <c r="AC253" t="n">
        <v>64.59752915127609</v>
      </c>
      <c r="AD253" t="n">
        <v>31.20608291633215</v>
      </c>
    </row>
    <row r="254">
      <c r="A254" t="n">
        <v>253</v>
      </c>
      <c r="B254" t="n">
        <v>74.3</v>
      </c>
      <c r="C254" s="21">
        <f>B254-20</f>
        <v/>
      </c>
      <c r="D254" t="n">
        <v>115.2</v>
      </c>
      <c r="E254" s="22">
        <f>D254-90</f>
        <v/>
      </c>
      <c r="F254" s="23" t="n">
        <v>0.020909</v>
      </c>
      <c r="G254" s="22" t="n">
        <v>30.7</v>
      </c>
      <c r="H254" s="22" t="n">
        <v>1.6</v>
      </c>
      <c r="I254" s="24" t="n">
        <v>0.105685465037822</v>
      </c>
      <c r="J254" s="6" t="n">
        <v>71000</v>
      </c>
      <c r="K254" s="25">
        <f>23*10^-6</f>
        <v/>
      </c>
      <c r="L254" s="8">
        <f>H254</f>
        <v/>
      </c>
      <c r="M254" s="26">
        <f>H254^2/6</f>
        <v/>
      </c>
      <c r="N254" s="26">
        <f>H254^3/12</f>
        <v/>
      </c>
      <c r="O254" s="27">
        <f>-J254*L254*K254*C254</f>
        <v/>
      </c>
      <c r="P254" s="28">
        <f>-(12*F254*J254*L254*N254+12*O254*N254*G254*COS(RADIANS(E254)))/(12*N254*G254*COS(RADIANS(E254))^2+L254*G254^3*SIN(RADIANS(E254))^2)</f>
        <v/>
      </c>
      <c r="Q254" s="28">
        <f>-(6*F254*J254*L254*N254*SIN(RADIANS(E254))+6*O254*N254*G254*SIN(RADIANS(E254))*COS(RADIANS(E254)))/(12*N254*COS(RADIANS(E254))^2+L254*G254^2*SIN(RADIANS(E254))^2)</f>
        <v/>
      </c>
      <c r="R254" s="28">
        <f>-P254*SIN(RADIANS(E254))</f>
        <v/>
      </c>
      <c r="S254" s="8">
        <f>(O254+P254*COS(RADIANS(E254)))/L254</f>
        <v/>
      </c>
      <c r="T254" s="8">
        <f>R254/L254</f>
        <v/>
      </c>
      <c r="U254" s="8">
        <f>(Q254-P254*G254*SIN(RADIANS(E254)))/M254</f>
        <v/>
      </c>
      <c r="V254" s="8">
        <f>SQRT((S254+U254)^2+3*T254^2)</f>
        <v/>
      </c>
      <c r="W254" s="8">
        <f>V254/AA254</f>
        <v/>
      </c>
      <c r="X254" s="27">
        <f>((3*10+H254/COS(RADIANS(E254)))*(3+3)+3*G254*H254)*2</f>
        <v/>
      </c>
      <c r="Y254" s="28">
        <f>Z254/X254</f>
        <v/>
      </c>
      <c r="Z254" s="29" t="n">
        <v>681.897559987917</v>
      </c>
      <c r="AA254" s="20" t="n">
        <v>83.3129502696285</v>
      </c>
      <c r="AB254" t="n">
        <v>0.1327353172403805</v>
      </c>
      <c r="AC254" t="n">
        <v>82.09148225684039</v>
      </c>
      <c r="AD254" t="n">
        <v>25.59467585526358</v>
      </c>
    </row>
    <row r="255">
      <c r="A255" t="n">
        <v>254</v>
      </c>
      <c r="B255" t="n">
        <v>81.5</v>
      </c>
      <c r="C255" s="21">
        <f>B255-20</f>
        <v/>
      </c>
      <c r="D255" t="n">
        <v>121.9</v>
      </c>
      <c r="E255" s="22">
        <f>D255-90</f>
        <v/>
      </c>
      <c r="F255" s="23" t="n">
        <v>0.024622</v>
      </c>
      <c r="G255" s="22" t="n">
        <v>34.3</v>
      </c>
      <c r="H255" s="22" t="n">
        <v>1.4</v>
      </c>
      <c r="I255" s="24" t="n">
        <v>0.10983720421791</v>
      </c>
      <c r="J255" s="6" t="n">
        <v>71000</v>
      </c>
      <c r="K255" s="25">
        <f>23*10^-6</f>
        <v/>
      </c>
      <c r="L255" s="8">
        <f>H255</f>
        <v/>
      </c>
      <c r="M255" s="26">
        <f>H255^2/6</f>
        <v/>
      </c>
      <c r="N255" s="26">
        <f>H255^3/12</f>
        <v/>
      </c>
      <c r="O255" s="27">
        <f>-J255*L255*K255*C255</f>
        <v/>
      </c>
      <c r="P255" s="28">
        <f>-(12*F255*J255*L255*N255+12*O255*N255*G255*COS(RADIANS(E255)))/(12*N255*G255*COS(RADIANS(E255))^2+L255*G255^3*SIN(RADIANS(E255))^2)</f>
        <v/>
      </c>
      <c r="Q255" s="28">
        <f>-(6*F255*J255*L255*N255*SIN(RADIANS(E255))+6*O255*N255*G255*SIN(RADIANS(E255))*COS(RADIANS(E255)))/(12*N255*COS(RADIANS(E255))^2+L255*G255^2*SIN(RADIANS(E255))^2)</f>
        <v/>
      </c>
      <c r="R255" s="28">
        <f>-P255*SIN(RADIANS(E255))</f>
        <v/>
      </c>
      <c r="S255" s="8">
        <f>(O255+P255*COS(RADIANS(E255)))/L255</f>
        <v/>
      </c>
      <c r="T255" s="8">
        <f>R255/L255</f>
        <v/>
      </c>
      <c r="U255" s="8">
        <f>(Q255-P255*G255*SIN(RADIANS(E255)))/M255</f>
        <v/>
      </c>
      <c r="V255" s="8">
        <f>SQRT((S255+U255)^2+3*T255^2)</f>
        <v/>
      </c>
      <c r="W255" s="8">
        <f>V255/AA255</f>
        <v/>
      </c>
      <c r="X255" s="27">
        <f>((3*10+H255/COS(RADIANS(E255)))*(3+3)+3*G255*H255)*2</f>
        <v/>
      </c>
      <c r="Y255" s="28">
        <f>Z255/X255</f>
        <v/>
      </c>
      <c r="Z255" s="29" t="n">
        <v>675.611769126366</v>
      </c>
      <c r="AA255" s="20" t="n">
        <v>87.5898830255925</v>
      </c>
      <c r="AB255" t="n">
        <v>0.1307422168963543</v>
      </c>
      <c r="AC255" t="n">
        <v>88.96777183631323</v>
      </c>
      <c r="AD255" t="n">
        <v>19.032724683132</v>
      </c>
    </row>
    <row r="256">
      <c r="A256" t="n">
        <v>255</v>
      </c>
      <c r="B256" t="n">
        <v>57.4</v>
      </c>
      <c r="C256" s="21">
        <f>B256-20</f>
        <v/>
      </c>
      <c r="D256" t="n">
        <v>102.3</v>
      </c>
      <c r="E256" s="22">
        <f>D256-90</f>
        <v/>
      </c>
      <c r="F256" s="23" t="n">
        <v>0.015055</v>
      </c>
      <c r="G256" s="22" t="n">
        <v>30</v>
      </c>
      <c r="H256" s="22" t="n">
        <v>1.1</v>
      </c>
      <c r="I256" s="24" t="n">
        <v>0.125488623976707</v>
      </c>
      <c r="J256" s="6" t="n">
        <v>71000</v>
      </c>
      <c r="K256" s="25">
        <f>23*10^-6</f>
        <v/>
      </c>
      <c r="L256" s="8">
        <f>H256</f>
        <v/>
      </c>
      <c r="M256" s="26">
        <f>H256^2/6</f>
        <v/>
      </c>
      <c r="N256" s="26">
        <f>H256^3/12</f>
        <v/>
      </c>
      <c r="O256" s="27">
        <f>-J256*L256*K256*C256</f>
        <v/>
      </c>
      <c r="P256" s="28">
        <f>-(12*F256*J256*L256*N256+12*O256*N256*G256*COS(RADIANS(E256)))/(12*N256*G256*COS(RADIANS(E256))^2+L256*G256^3*SIN(RADIANS(E256))^2)</f>
        <v/>
      </c>
      <c r="Q256" s="28">
        <f>-(6*F256*J256*L256*N256*SIN(RADIANS(E256))+6*O256*N256*G256*SIN(RADIANS(E256))*COS(RADIANS(E256)))/(12*N256*COS(RADIANS(E256))^2+L256*G256^2*SIN(RADIANS(E256))^2)</f>
        <v/>
      </c>
      <c r="R256" s="28">
        <f>-P256*SIN(RADIANS(E256))</f>
        <v/>
      </c>
      <c r="S256" s="8">
        <f>(O256+P256*COS(RADIANS(E256)))/L256</f>
        <v/>
      </c>
      <c r="T256" s="8">
        <f>R256/L256</f>
        <v/>
      </c>
      <c r="U256" s="8">
        <f>(Q256-P256*G256*SIN(RADIANS(E256)))/M256</f>
        <v/>
      </c>
      <c r="V256" s="8">
        <f>SQRT((S256+U256)^2+3*T256^2)</f>
        <v/>
      </c>
      <c r="W256" s="8">
        <f>V256/AA256</f>
        <v/>
      </c>
      <c r="X256" s="27">
        <f>((3*10+H256/COS(RADIANS(E256)))*(3+3)+3*G256*H256)*2</f>
        <v/>
      </c>
      <c r="Y256" s="28">
        <f>Z256/X256</f>
        <v/>
      </c>
      <c r="Z256" s="29" t="n">
        <v>575.507595404577</v>
      </c>
      <c r="AA256" s="20" t="n">
        <v>55.1178473283802</v>
      </c>
      <c r="AB256" t="n">
        <v>0.1848667530222517</v>
      </c>
      <c r="AC256" t="n">
        <v>59.60594171154394</v>
      </c>
      <c r="AD256" t="n">
        <v>47.31753936242571</v>
      </c>
    </row>
    <row r="257">
      <c r="A257" t="n">
        <v>256</v>
      </c>
      <c r="B257" t="n">
        <v>85.40000000000001</v>
      </c>
      <c r="C257" s="21">
        <f>B257-20</f>
        <v/>
      </c>
      <c r="D257" t="n">
        <v>112.2</v>
      </c>
      <c r="E257" s="22">
        <f>D257-90</f>
        <v/>
      </c>
      <c r="F257" s="23" t="n">
        <v>0.024009</v>
      </c>
      <c r="G257" s="22" t="n">
        <v>28.3</v>
      </c>
      <c r="H257" s="22" t="n">
        <v>1.3</v>
      </c>
      <c r="I257" s="24" t="n">
        <v>0.132088482379913</v>
      </c>
      <c r="J257" s="6" t="n">
        <v>71000</v>
      </c>
      <c r="K257" s="25">
        <f>23*10^-6</f>
        <v/>
      </c>
      <c r="L257" s="8">
        <f>H257</f>
        <v/>
      </c>
      <c r="M257" s="26">
        <f>H257^2/6</f>
        <v/>
      </c>
      <c r="N257" s="26">
        <f>H257^3/12</f>
        <v/>
      </c>
      <c r="O257" s="27">
        <f>-J257*L257*K257*C257</f>
        <v/>
      </c>
      <c r="P257" s="28">
        <f>-(12*F257*J257*L257*N257+12*O257*N257*G257*COS(RADIANS(E257)))/(12*N257*G257*COS(RADIANS(E257))^2+L257*G257^3*SIN(RADIANS(E257))^2)</f>
        <v/>
      </c>
      <c r="Q257" s="28">
        <f>-(6*F257*J257*L257*N257*SIN(RADIANS(E257))+6*O257*N257*G257*SIN(RADIANS(E257))*COS(RADIANS(E257)))/(12*N257*COS(RADIANS(E257))^2+L257*G257^2*SIN(RADIANS(E257))^2)</f>
        <v/>
      </c>
      <c r="R257" s="28">
        <f>-P257*SIN(RADIANS(E257))</f>
        <v/>
      </c>
      <c r="S257" s="8">
        <f>(O257+P257*COS(RADIANS(E257)))/L257</f>
        <v/>
      </c>
      <c r="T257" s="8">
        <f>R257/L257</f>
        <v/>
      </c>
      <c r="U257" s="8">
        <f>(Q257-P257*G257*SIN(RADIANS(E257)))/M257</f>
        <v/>
      </c>
      <c r="V257" s="8">
        <f>SQRT((S257+U257)^2+3*T257^2)</f>
        <v/>
      </c>
      <c r="W257" s="8">
        <f>V257/AA257</f>
        <v/>
      </c>
      <c r="X257" s="27">
        <f>((3*10+H257/COS(RADIANS(E257)))*(3+3)+3*G257*H257)*2</f>
        <v/>
      </c>
      <c r="Y257" s="28">
        <f>Z257/X257</f>
        <v/>
      </c>
      <c r="Z257" s="29" t="n">
        <v>602.944185713582</v>
      </c>
      <c r="AA257" s="20" t="n">
        <v>95.92216854816</v>
      </c>
      <c r="AB257" t="n">
        <v>0.1692264848078618</v>
      </c>
      <c r="AC257" t="n">
        <v>98.8596175231341</v>
      </c>
      <c r="AD257" t="n">
        <v>28.11600357488586</v>
      </c>
    </row>
    <row r="258">
      <c r="A258" t="n">
        <v>257</v>
      </c>
      <c r="B258" t="n">
        <v>88.09999999999999</v>
      </c>
      <c r="C258" s="21">
        <f>B258-20</f>
        <v/>
      </c>
      <c r="D258" t="n">
        <v>128.4</v>
      </c>
      <c r="E258" s="22">
        <f>D258-90</f>
        <v/>
      </c>
      <c r="F258" s="23" t="n">
        <v>0.017678</v>
      </c>
      <c r="G258" s="22" t="n">
        <v>21.4</v>
      </c>
      <c r="H258" s="22" t="n">
        <v>1.8</v>
      </c>
      <c r="I258" s="24" t="n">
        <v>0.0803794339299202</v>
      </c>
      <c r="J258" s="6" t="n">
        <v>71000</v>
      </c>
      <c r="K258" s="25">
        <f>23*10^-6</f>
        <v/>
      </c>
      <c r="L258" s="8">
        <f>H258</f>
        <v/>
      </c>
      <c r="M258" s="26">
        <f>H258^2/6</f>
        <v/>
      </c>
      <c r="N258" s="26">
        <f>H258^3/12</f>
        <v/>
      </c>
      <c r="O258" s="27">
        <f>-J258*L258*K258*C258</f>
        <v/>
      </c>
      <c r="P258" s="28">
        <f>-(12*F258*J258*L258*N258+12*O258*N258*G258*COS(RADIANS(E258)))/(12*N258*G258*COS(RADIANS(E258))^2+L258*G258^3*SIN(RADIANS(E258))^2)</f>
        <v/>
      </c>
      <c r="Q258" s="28">
        <f>-(6*F258*J258*L258*N258*SIN(RADIANS(E258))+6*O258*N258*G258*SIN(RADIANS(E258))*COS(RADIANS(E258)))/(12*N258*COS(RADIANS(E258))^2+L258*G258^2*SIN(RADIANS(E258))^2)</f>
        <v/>
      </c>
      <c r="R258" s="28">
        <f>-P258*SIN(RADIANS(E258))</f>
        <v/>
      </c>
      <c r="S258" s="8">
        <f>(O258+P258*COS(RADIANS(E258)))/L258</f>
        <v/>
      </c>
      <c r="T258" s="8">
        <f>R258/L258</f>
        <v/>
      </c>
      <c r="U258" s="8">
        <f>(Q258-P258*G258*SIN(RADIANS(E258)))/M258</f>
        <v/>
      </c>
      <c r="V258" s="8">
        <f>SQRT((S258+U258)^2+3*T258^2)</f>
        <v/>
      </c>
      <c r="W258" s="8">
        <f>V258/AA258</f>
        <v/>
      </c>
      <c r="X258" s="27">
        <f>((3*10+H258/COS(RADIANS(E258)))*(3+3)+3*G258*H258)*2</f>
        <v/>
      </c>
      <c r="Y258" s="28">
        <f>Z258/X258</f>
        <v/>
      </c>
      <c r="Z258" s="29" t="n">
        <v>628.739645325596</v>
      </c>
      <c r="AA258" s="20" t="n">
        <v>109.81410679359</v>
      </c>
      <c r="AB258" t="n">
        <v>0.07526148395148434</v>
      </c>
      <c r="AC258" t="n">
        <v>100.5513606998505</v>
      </c>
      <c r="AD258" t="n">
        <v>-6.367238145640594</v>
      </c>
    </row>
    <row r="259">
      <c r="A259" t="n">
        <v>258</v>
      </c>
      <c r="B259" t="n">
        <v>86.7</v>
      </c>
      <c r="C259" s="21">
        <f>B259-20</f>
        <v/>
      </c>
      <c r="D259" t="n">
        <v>118.4</v>
      </c>
      <c r="E259" s="22">
        <f>D259-90</f>
        <v/>
      </c>
      <c r="F259" s="23" t="n">
        <v>0.026434</v>
      </c>
      <c r="G259" s="22" t="n">
        <v>32.7</v>
      </c>
      <c r="H259" s="22" t="n">
        <v>1.5</v>
      </c>
      <c r="I259" s="24" t="n">
        <v>0.124716080725193</v>
      </c>
      <c r="J259" s="6" t="n">
        <v>71000</v>
      </c>
      <c r="K259" s="25">
        <f>23*10^-6</f>
        <v/>
      </c>
      <c r="L259" s="8">
        <f>H259</f>
        <v/>
      </c>
      <c r="M259" s="26">
        <f>H259^2/6</f>
        <v/>
      </c>
      <c r="N259" s="26">
        <f>H259^3/12</f>
        <v/>
      </c>
      <c r="O259" s="27">
        <f>-J259*L259*K259*C259</f>
        <v/>
      </c>
      <c r="P259" s="28">
        <f>-(12*F259*J259*L259*N259+12*O259*N259*G259*COS(RADIANS(E259)))/(12*N259*G259*COS(RADIANS(E259))^2+L259*G259^3*SIN(RADIANS(E259))^2)</f>
        <v/>
      </c>
      <c r="Q259" s="28">
        <f>-(6*F259*J259*L259*N259*SIN(RADIANS(E259))+6*O259*N259*G259*SIN(RADIANS(E259))*COS(RADIANS(E259)))/(12*N259*COS(RADIANS(E259))^2+L259*G259^2*SIN(RADIANS(E259))^2)</f>
        <v/>
      </c>
      <c r="R259" s="28">
        <f>-P259*SIN(RADIANS(E259))</f>
        <v/>
      </c>
      <c r="S259" s="8">
        <f>(O259+P259*COS(RADIANS(E259)))/L259</f>
        <v/>
      </c>
      <c r="T259" s="8">
        <f>R259/L259</f>
        <v/>
      </c>
      <c r="U259" s="8">
        <f>(Q259-P259*G259*SIN(RADIANS(E259)))/M259</f>
        <v/>
      </c>
      <c r="V259" s="8">
        <f>SQRT((S259+U259)^2+3*T259^2)</f>
        <v/>
      </c>
      <c r="W259" s="8">
        <f>V259/AA259</f>
        <v/>
      </c>
      <c r="X259" s="27">
        <f>((3*10+H259/COS(RADIANS(E259)))*(3+3)+3*G259*H259)*2</f>
        <v/>
      </c>
      <c r="Y259" s="28">
        <f>Z259/X259</f>
        <v/>
      </c>
      <c r="Z259" s="29" t="n">
        <v>681.4799695668451</v>
      </c>
      <c r="AA259" s="20" t="n">
        <v>98.4048180213906</v>
      </c>
      <c r="AB259" t="n">
        <v>0.1531559666273994</v>
      </c>
      <c r="AC259" t="n">
        <v>98.40664513218692</v>
      </c>
      <c r="AD259" t="n">
        <v>22.80370401060996</v>
      </c>
    </row>
    <row r="260">
      <c r="A260" t="n">
        <v>259</v>
      </c>
      <c r="B260" t="n">
        <v>58.2</v>
      </c>
      <c r="C260" s="21">
        <f>B260-20</f>
        <v/>
      </c>
      <c r="D260" t="n">
        <v>102</v>
      </c>
      <c r="E260" s="22">
        <f>D260-90</f>
        <v/>
      </c>
      <c r="F260" s="23" t="n">
        <v>0.016755</v>
      </c>
      <c r="G260" s="22" t="n">
        <v>33.2</v>
      </c>
      <c r="H260" s="22" t="n">
        <v>1.6</v>
      </c>
      <c r="I260" s="24" t="n">
        <v>0.138634920120239</v>
      </c>
      <c r="J260" s="6" t="n">
        <v>71000</v>
      </c>
      <c r="K260" s="25">
        <f>23*10^-6</f>
        <v/>
      </c>
      <c r="L260" s="8">
        <f>H260</f>
        <v/>
      </c>
      <c r="M260" s="26">
        <f>H260^2/6</f>
        <v/>
      </c>
      <c r="N260" s="26">
        <f>H260^3/12</f>
        <v/>
      </c>
      <c r="O260" s="27">
        <f>-J260*L260*K260*C260</f>
        <v/>
      </c>
      <c r="P260" s="28">
        <f>-(12*F260*J260*L260*N260+12*O260*N260*G260*COS(RADIANS(E260)))/(12*N260*G260*COS(RADIANS(E260))^2+L260*G260^3*SIN(RADIANS(E260))^2)</f>
        <v/>
      </c>
      <c r="Q260" s="28">
        <f>-(6*F260*J260*L260*N260*SIN(RADIANS(E260))+6*O260*N260*G260*SIN(RADIANS(E260))*COS(RADIANS(E260)))/(12*N260*COS(RADIANS(E260))^2+L260*G260^2*SIN(RADIANS(E260))^2)</f>
        <v/>
      </c>
      <c r="R260" s="28">
        <f>-P260*SIN(RADIANS(E260))</f>
        <v/>
      </c>
      <c r="S260" s="8">
        <f>(O260+P260*COS(RADIANS(E260)))/L260</f>
        <v/>
      </c>
      <c r="T260" s="8">
        <f>R260/L260</f>
        <v/>
      </c>
      <c r="U260" s="8">
        <f>(Q260-P260*G260*SIN(RADIANS(E260)))/M260</f>
        <v/>
      </c>
      <c r="V260" s="8">
        <f>SQRT((S260+U260)^2+3*T260^2)</f>
        <v/>
      </c>
      <c r="W260" s="8">
        <f>V260/AA260</f>
        <v/>
      </c>
      <c r="X260" s="27">
        <f>((3*10+H260/COS(RADIANS(E260)))*(3+3)+3*G260*H260)*2</f>
        <v/>
      </c>
      <c r="Y260" s="28">
        <f>Z260/X260</f>
        <v/>
      </c>
      <c r="Z260" s="29" t="n">
        <v>702.318743083811</v>
      </c>
      <c r="AA260" s="20" t="n">
        <v>62.3920657058694</v>
      </c>
      <c r="AB260" t="n">
        <v>0.208235481240782</v>
      </c>
      <c r="AC260" t="n">
        <v>63.9736843075332</v>
      </c>
      <c r="AD260" t="n">
        <v>50.20420616982933</v>
      </c>
    </row>
    <row r="261">
      <c r="A261" t="n">
        <v>260</v>
      </c>
      <c r="B261" t="n">
        <v>59</v>
      </c>
      <c r="C261" s="21">
        <f>B261-20</f>
        <v/>
      </c>
      <c r="D261" t="n">
        <v>109.4</v>
      </c>
      <c r="E261" s="22">
        <f>D261-90</f>
        <v/>
      </c>
      <c r="F261" s="23" t="n">
        <v>0.012648</v>
      </c>
      <c r="G261" s="22" t="n">
        <v>23.8</v>
      </c>
      <c r="H261" s="22" t="n">
        <v>2</v>
      </c>
      <c r="I261" s="24" t="n">
        <v>0.0759636536240577</v>
      </c>
      <c r="J261" s="6" t="n">
        <v>71000</v>
      </c>
      <c r="K261" s="25">
        <f>23*10^-6</f>
        <v/>
      </c>
      <c r="L261" s="8">
        <f>H261</f>
        <v/>
      </c>
      <c r="M261" s="26">
        <f>H261^2/6</f>
        <v/>
      </c>
      <c r="N261" s="26">
        <f>H261^3/12</f>
        <v/>
      </c>
      <c r="O261" s="27">
        <f>-J261*L261*K261*C261</f>
        <v/>
      </c>
      <c r="P261" s="28">
        <f>-(12*F261*J261*L261*N261+12*O261*N261*G261*COS(RADIANS(E261)))/(12*N261*G261*COS(RADIANS(E261))^2+L261*G261^3*SIN(RADIANS(E261))^2)</f>
        <v/>
      </c>
      <c r="Q261" s="28">
        <f>-(6*F261*J261*L261*N261*SIN(RADIANS(E261))+6*O261*N261*G261*SIN(RADIANS(E261))*COS(RADIANS(E261)))/(12*N261*COS(RADIANS(E261))^2+L261*G261^2*SIN(RADIANS(E261))^2)</f>
        <v/>
      </c>
      <c r="R261" s="28">
        <f>-P261*SIN(RADIANS(E261))</f>
        <v/>
      </c>
      <c r="S261" s="8">
        <f>(O261+P261*COS(RADIANS(E261)))/L261</f>
        <v/>
      </c>
      <c r="T261" s="8">
        <f>R261/L261</f>
        <v/>
      </c>
      <c r="U261" s="8">
        <f>(Q261-P261*G261*SIN(RADIANS(E261)))/M261</f>
        <v/>
      </c>
      <c r="V261" s="8">
        <f>SQRT((S261+U261)^2+3*T261^2)</f>
        <v/>
      </c>
      <c r="W261" s="8">
        <f>V261/AA261</f>
        <v/>
      </c>
      <c r="X261" s="27">
        <f>((3*10+H261/COS(RADIANS(E261)))*(3+3)+3*G261*H261)*2</f>
        <v/>
      </c>
      <c r="Y261" s="28">
        <f>Z261/X261</f>
        <v/>
      </c>
      <c r="Z261" s="29" t="n">
        <v>675.9229921416691</v>
      </c>
      <c r="AA261" s="20" t="n">
        <v>69.4289368320585</v>
      </c>
      <c r="AB261" t="n">
        <v>0.09455098392610593</v>
      </c>
      <c r="AC261" t="n">
        <v>64.52898076540612</v>
      </c>
      <c r="AD261" t="n">
        <v>24.46871551760331</v>
      </c>
    </row>
    <row r="262">
      <c r="A262" t="n">
        <v>261</v>
      </c>
      <c r="B262" t="n">
        <v>73.2</v>
      </c>
      <c r="C262" s="21">
        <f>B262-20</f>
        <v/>
      </c>
      <c r="D262" t="n">
        <v>108.7</v>
      </c>
      <c r="E262" s="22">
        <f>D262-90</f>
        <v/>
      </c>
      <c r="F262" s="23" t="n">
        <v>0.019035</v>
      </c>
      <c r="G262" s="22" t="n">
        <v>26.8</v>
      </c>
      <c r="H262" s="22" t="n">
        <v>1.7</v>
      </c>
      <c r="I262" s="24" t="n">
        <v>0.116671331226825</v>
      </c>
      <c r="J262" s="6" t="n">
        <v>71000</v>
      </c>
      <c r="K262" s="25">
        <f>23*10^-6</f>
        <v/>
      </c>
      <c r="L262" s="8">
        <f>H262</f>
        <v/>
      </c>
      <c r="M262" s="26">
        <f>H262^2/6</f>
        <v/>
      </c>
      <c r="N262" s="26">
        <f>H262^3/12</f>
        <v/>
      </c>
      <c r="O262" s="27">
        <f>-J262*L262*K262*C262</f>
        <v/>
      </c>
      <c r="P262" s="28">
        <f>-(12*F262*J262*L262*N262+12*O262*N262*G262*COS(RADIANS(E262)))/(12*N262*G262*COS(RADIANS(E262))^2+L262*G262^3*SIN(RADIANS(E262))^2)</f>
        <v/>
      </c>
      <c r="Q262" s="28">
        <f>-(6*F262*J262*L262*N262*SIN(RADIANS(E262))+6*O262*N262*G262*SIN(RADIANS(E262))*COS(RADIANS(E262)))/(12*N262*COS(RADIANS(E262))^2+L262*G262^2*SIN(RADIANS(E262))^2)</f>
        <v/>
      </c>
      <c r="R262" s="28">
        <f>-P262*SIN(RADIANS(E262))</f>
        <v/>
      </c>
      <c r="S262" s="8">
        <f>(O262+P262*COS(RADIANS(E262)))/L262</f>
        <v/>
      </c>
      <c r="T262" s="8">
        <f>R262/L262</f>
        <v/>
      </c>
      <c r="U262" s="8">
        <f>(Q262-P262*G262*SIN(RADIANS(E262)))/M262</f>
        <v/>
      </c>
      <c r="V262" s="8">
        <f>SQRT((S262+U262)^2+3*T262^2)</f>
        <v/>
      </c>
      <c r="W262" s="8">
        <f>V262/AA262</f>
        <v/>
      </c>
      <c r="X262" s="27">
        <f>((3*10+H262/COS(RADIANS(E262)))*(3+3)+3*G262*H262)*2</f>
        <v/>
      </c>
      <c r="Y262" s="28">
        <f>Z262/X262</f>
        <v/>
      </c>
      <c r="Z262" s="29" t="n">
        <v>659.668120766427</v>
      </c>
      <c r="AA262" s="20" t="n">
        <v>87.52807685040101</v>
      </c>
      <c r="AB262" t="n">
        <v>0.1529187956477397</v>
      </c>
      <c r="AC262" t="n">
        <v>85.54394597697701</v>
      </c>
      <c r="AD262" t="n">
        <v>31.06801305836195</v>
      </c>
    </row>
    <row r="263">
      <c r="A263" t="n">
        <v>262</v>
      </c>
      <c r="B263" t="n">
        <v>82.59999999999999</v>
      </c>
      <c r="C263" s="21">
        <f>B263-20</f>
        <v/>
      </c>
      <c r="D263" t="n">
        <v>106.7</v>
      </c>
      <c r="E263" s="22">
        <f>D263-90</f>
        <v/>
      </c>
      <c r="F263" s="23" t="n">
        <v>0.028001</v>
      </c>
      <c r="G263" s="22" t="n">
        <v>34.7</v>
      </c>
      <c r="H263" s="22" t="n">
        <v>1.2</v>
      </c>
      <c r="I263" s="24" t="n">
        <v>0.182452023029327</v>
      </c>
      <c r="J263" s="6" t="n">
        <v>71000</v>
      </c>
      <c r="K263" s="25">
        <f>23*10^-6</f>
        <v/>
      </c>
      <c r="L263" s="8">
        <f>H263</f>
        <v/>
      </c>
      <c r="M263" s="26">
        <f>H263^2/6</f>
        <v/>
      </c>
      <c r="N263" s="26">
        <f>H263^3/12</f>
        <v/>
      </c>
      <c r="O263" s="27">
        <f>-J263*L263*K263*C263</f>
        <v/>
      </c>
      <c r="P263" s="28">
        <f>-(12*F263*J263*L263*N263+12*O263*N263*G263*COS(RADIANS(E263)))/(12*N263*G263*COS(RADIANS(E263))^2+L263*G263^3*SIN(RADIANS(E263))^2)</f>
        <v/>
      </c>
      <c r="Q263" s="28">
        <f>-(6*F263*J263*L263*N263*SIN(RADIANS(E263))+6*O263*N263*G263*SIN(RADIANS(E263))*COS(RADIANS(E263)))/(12*N263*COS(RADIANS(E263))^2+L263*G263^2*SIN(RADIANS(E263))^2)</f>
        <v/>
      </c>
      <c r="R263" s="28">
        <f>-P263*SIN(RADIANS(E263))</f>
        <v/>
      </c>
      <c r="S263" s="8">
        <f>(O263+P263*COS(RADIANS(E263)))/L263</f>
        <v/>
      </c>
      <c r="T263" s="8">
        <f>R263/L263</f>
        <v/>
      </c>
      <c r="U263" s="8">
        <f>(Q263-P263*G263*SIN(RADIANS(E263)))/M263</f>
        <v/>
      </c>
      <c r="V263" s="8">
        <f>SQRT((S263+U263)^2+3*T263^2)</f>
        <v/>
      </c>
      <c r="W263" s="8">
        <f>V263/AA263</f>
        <v/>
      </c>
      <c r="X263" s="27">
        <f>((3*10+H263/COS(RADIANS(E263)))*(3+3)+3*G263*H263)*2</f>
        <v/>
      </c>
      <c r="Y263" s="28">
        <f>Z263/X263</f>
        <v/>
      </c>
      <c r="Z263" s="29" t="n">
        <v>629.364565030457</v>
      </c>
      <c r="AA263" s="20" t="n">
        <v>91.1626534012198</v>
      </c>
      <c r="AB263" t="n">
        <v>0.2635793851183463</v>
      </c>
      <c r="AC263" t="n">
        <v>95.52646595818503</v>
      </c>
      <c r="AD263" t="n">
        <v>44.46503839312268</v>
      </c>
    </row>
    <row r="264">
      <c r="A264" t="n">
        <v>263</v>
      </c>
      <c r="B264" t="n">
        <v>88.5</v>
      </c>
      <c r="C264" s="21">
        <f>B264-20</f>
        <v/>
      </c>
      <c r="D264" t="n">
        <v>104.1</v>
      </c>
      <c r="E264" s="22">
        <f>D264-90</f>
        <v/>
      </c>
      <c r="F264" s="23" t="n">
        <v>0.026119</v>
      </c>
      <c r="G264" s="22" t="n">
        <v>28.3</v>
      </c>
      <c r="H264" s="22" t="n">
        <v>1</v>
      </c>
      <c r="I264" s="24" t="n">
        <v>0.197558984160423</v>
      </c>
      <c r="J264" s="6" t="n">
        <v>71000</v>
      </c>
      <c r="K264" s="25">
        <f>23*10^-6</f>
        <v/>
      </c>
      <c r="L264" s="8">
        <f>H264</f>
        <v/>
      </c>
      <c r="M264" s="26">
        <f>H264^2/6</f>
        <v/>
      </c>
      <c r="N264" s="26">
        <f>H264^3/12</f>
        <v/>
      </c>
      <c r="O264" s="27">
        <f>-J264*L264*K264*C264</f>
        <v/>
      </c>
      <c r="P264" s="28">
        <f>-(12*F264*J264*L264*N264+12*O264*N264*G264*COS(RADIANS(E264)))/(12*N264*G264*COS(RADIANS(E264))^2+L264*G264^3*SIN(RADIANS(E264))^2)</f>
        <v/>
      </c>
      <c r="Q264" s="28">
        <f>-(6*F264*J264*L264*N264*SIN(RADIANS(E264))+6*O264*N264*G264*SIN(RADIANS(E264))*COS(RADIANS(E264)))/(12*N264*COS(RADIANS(E264))^2+L264*G264^2*SIN(RADIANS(E264))^2)</f>
        <v/>
      </c>
      <c r="R264" s="28">
        <f>-P264*SIN(RADIANS(E264))</f>
        <v/>
      </c>
      <c r="S264" s="8">
        <f>(O264+P264*COS(RADIANS(E264)))/L264</f>
        <v/>
      </c>
      <c r="T264" s="8">
        <f>R264/L264</f>
        <v/>
      </c>
      <c r="U264" s="8">
        <f>(Q264-P264*G264*SIN(RADIANS(E264)))/M264</f>
        <v/>
      </c>
      <c r="V264" s="8">
        <f>SQRT((S264+U264)^2+3*T264^2)</f>
        <v/>
      </c>
      <c r="W264" s="8">
        <f>V264/AA264</f>
        <v/>
      </c>
      <c r="X264" s="27">
        <f>((3*10+H264/COS(RADIANS(E264)))*(3+3)+3*G264*H264)*2</f>
        <v/>
      </c>
      <c r="Y264" s="28">
        <f>Z264/X264</f>
        <v/>
      </c>
      <c r="Z264" s="29" t="n">
        <v>546.351928947497</v>
      </c>
      <c r="AA264" s="20" t="n">
        <v>98.1995604165208</v>
      </c>
      <c r="AB264" t="n">
        <v>0.28130831841161</v>
      </c>
      <c r="AC264" t="n">
        <v>106.3748246183683</v>
      </c>
      <c r="AD264" t="n">
        <v>42.39206564414221</v>
      </c>
    </row>
    <row r="265">
      <c r="A265" t="n">
        <v>264</v>
      </c>
      <c r="B265" t="n">
        <v>44.5</v>
      </c>
      <c r="C265" s="21">
        <f>B265-20</f>
        <v/>
      </c>
      <c r="D265" t="n">
        <v>113.1</v>
      </c>
      <c r="E265" s="22">
        <f>D265-90</f>
        <v/>
      </c>
      <c r="F265" s="23" t="n">
        <v>0.007713</v>
      </c>
      <c r="G265" s="22" t="n">
        <v>23.5</v>
      </c>
      <c r="H265" s="22" t="n">
        <v>1.7</v>
      </c>
      <c r="I265" s="24" t="n">
        <v>0.0423014387488365</v>
      </c>
      <c r="J265" s="6" t="n">
        <v>71000</v>
      </c>
      <c r="K265" s="25">
        <f>23*10^-6</f>
        <v/>
      </c>
      <c r="L265" s="8">
        <f>H265</f>
        <v/>
      </c>
      <c r="M265" s="26">
        <f>H265^2/6</f>
        <v/>
      </c>
      <c r="N265" s="26">
        <f>H265^3/12</f>
        <v/>
      </c>
      <c r="O265" s="27">
        <f>-J265*L265*K265*C265</f>
        <v/>
      </c>
      <c r="P265" s="28">
        <f>-(12*F265*J265*L265*N265+12*O265*N265*G265*COS(RADIANS(E265)))/(12*N265*G265*COS(RADIANS(E265))^2+L265*G265^3*SIN(RADIANS(E265))^2)</f>
        <v/>
      </c>
      <c r="Q265" s="28">
        <f>-(6*F265*J265*L265*N265*SIN(RADIANS(E265))+6*O265*N265*G265*SIN(RADIANS(E265))*COS(RADIANS(E265)))/(12*N265*COS(RADIANS(E265))^2+L265*G265^2*SIN(RADIANS(E265))^2)</f>
        <v/>
      </c>
      <c r="R265" s="28">
        <f>-P265*SIN(RADIANS(E265))</f>
        <v/>
      </c>
      <c r="S265" s="8">
        <f>(O265+P265*COS(RADIANS(E265)))/L265</f>
        <v/>
      </c>
      <c r="T265" s="8">
        <f>R265/L265</f>
        <v/>
      </c>
      <c r="U265" s="8">
        <f>(Q265-P265*G265*SIN(RADIANS(E265)))/M265</f>
        <v/>
      </c>
      <c r="V265" s="8">
        <f>SQRT((S265+U265)^2+3*T265^2)</f>
        <v/>
      </c>
      <c r="W265" s="8">
        <f>V265/AA265</f>
        <v/>
      </c>
      <c r="X265" s="27">
        <f>((3*10+H265/COS(RADIANS(E265)))*(3+3)+3*G265*H265)*2</f>
        <v/>
      </c>
      <c r="Y265" s="28">
        <f>Z265/X265</f>
        <v/>
      </c>
      <c r="Z265" s="29" t="n">
        <v>627.4038645663589</v>
      </c>
      <c r="AA265" s="20" t="n">
        <v>39.9483168172651</v>
      </c>
      <c r="AB265" t="n">
        <v>0.05029402752207501</v>
      </c>
      <c r="AC265" t="n">
        <v>38.53882915285617</v>
      </c>
      <c r="AD265" t="n">
        <v>18.89436626658081</v>
      </c>
    </row>
    <row r="266">
      <c r="A266" t="n">
        <v>265</v>
      </c>
      <c r="B266" t="n">
        <v>79.5</v>
      </c>
      <c r="C266" s="21">
        <f>B266-20</f>
        <v/>
      </c>
      <c r="D266" t="n">
        <v>107.9</v>
      </c>
      <c r="E266" s="22">
        <f>D266-90</f>
        <v/>
      </c>
      <c r="F266" s="23" t="n">
        <v>0.022724</v>
      </c>
      <c r="G266" s="22" t="n">
        <v>28.9</v>
      </c>
      <c r="H266" s="22" t="n">
        <v>1.6</v>
      </c>
      <c r="I266" s="24" t="n">
        <v>0.142615810036659</v>
      </c>
      <c r="J266" s="6" t="n">
        <v>71000</v>
      </c>
      <c r="K266" s="25">
        <f>23*10^-6</f>
        <v/>
      </c>
      <c r="L266" s="8">
        <f>H266</f>
        <v/>
      </c>
      <c r="M266" s="26">
        <f>H266^2/6</f>
        <v/>
      </c>
      <c r="N266" s="26">
        <f>H266^3/12</f>
        <v/>
      </c>
      <c r="O266" s="27">
        <f>-J266*L266*K266*C266</f>
        <v/>
      </c>
      <c r="P266" s="28">
        <f>-(12*F266*J266*L266*N266+12*O266*N266*G266*COS(RADIANS(E266)))/(12*N266*G266*COS(RADIANS(E266))^2+L266*G266^3*SIN(RADIANS(E266))^2)</f>
        <v/>
      </c>
      <c r="Q266" s="28">
        <f>-(6*F266*J266*L266*N266*SIN(RADIANS(E266))+6*O266*N266*G266*SIN(RADIANS(E266))*COS(RADIANS(E266)))/(12*N266*COS(RADIANS(E266))^2+L266*G266^2*SIN(RADIANS(E266))^2)</f>
        <v/>
      </c>
      <c r="R266" s="28">
        <f>-P266*SIN(RADIANS(E266))</f>
        <v/>
      </c>
      <c r="S266" s="8">
        <f>(O266+P266*COS(RADIANS(E266)))/L266</f>
        <v/>
      </c>
      <c r="T266" s="8">
        <f>R266/L266</f>
        <v/>
      </c>
      <c r="U266" s="8">
        <f>(Q266-P266*G266*SIN(RADIANS(E266)))/M266</f>
        <v/>
      </c>
      <c r="V266" s="8">
        <f>SQRT((S266+U266)^2+3*T266^2)</f>
        <v/>
      </c>
      <c r="W266" s="8">
        <f>V266/AA266</f>
        <v/>
      </c>
      <c r="X266" s="27">
        <f>((3*10+H266/COS(RADIANS(E266)))*(3+3)+3*G266*H266)*2</f>
        <v/>
      </c>
      <c r="Y266" s="28">
        <f>Z266/X266</f>
        <v/>
      </c>
      <c r="Z266" s="29" t="n">
        <v>662.271122081984</v>
      </c>
      <c r="AA266" s="20" t="n">
        <v>94.7362633994111</v>
      </c>
      <c r="AB266" t="n">
        <v>0.1931406686761173</v>
      </c>
      <c r="AC266" t="n">
        <v>94.83064595406179</v>
      </c>
      <c r="AD266" t="n">
        <v>35.42724935368035</v>
      </c>
    </row>
    <row r="267">
      <c r="A267" t="n">
        <v>266</v>
      </c>
      <c r="B267" t="n">
        <v>79.7</v>
      </c>
      <c r="C267" s="21">
        <f>B267-20</f>
        <v/>
      </c>
      <c r="D267" t="n">
        <v>108.2</v>
      </c>
      <c r="E267" s="22">
        <f>D267-90</f>
        <v/>
      </c>
      <c r="F267" s="23" t="n">
        <v>0.023867</v>
      </c>
      <c r="G267" s="22" t="n">
        <v>30.6</v>
      </c>
      <c r="H267" s="22" t="n">
        <v>1.2</v>
      </c>
      <c r="I267" s="24" t="n">
        <v>0.148191824555397</v>
      </c>
      <c r="J267" s="6" t="n">
        <v>71000</v>
      </c>
      <c r="K267" s="25">
        <f>23*10^-6</f>
        <v/>
      </c>
      <c r="L267" s="8">
        <f>H267</f>
        <v/>
      </c>
      <c r="M267" s="26">
        <f>H267^2/6</f>
        <v/>
      </c>
      <c r="N267" s="26">
        <f>H267^3/12</f>
        <v/>
      </c>
      <c r="O267" s="27">
        <f>-J267*L267*K267*C267</f>
        <v/>
      </c>
      <c r="P267" s="28">
        <f>-(12*F267*J267*L267*N267+12*O267*N267*G267*COS(RADIANS(E267)))/(12*N267*G267*COS(RADIANS(E267))^2+L267*G267^3*SIN(RADIANS(E267))^2)</f>
        <v/>
      </c>
      <c r="Q267" s="28">
        <f>-(6*F267*J267*L267*N267*SIN(RADIANS(E267))+6*O267*N267*G267*SIN(RADIANS(E267))*COS(RADIANS(E267)))/(12*N267*COS(RADIANS(E267))^2+L267*G267^2*SIN(RADIANS(E267))^2)</f>
        <v/>
      </c>
      <c r="R267" s="28">
        <f>-P267*SIN(RADIANS(E267))</f>
        <v/>
      </c>
      <c r="S267" s="8">
        <f>(O267+P267*COS(RADIANS(E267)))/L267</f>
        <v/>
      </c>
      <c r="T267" s="8">
        <f>R267/L267</f>
        <v/>
      </c>
      <c r="U267" s="8">
        <f>(Q267-P267*G267*SIN(RADIANS(E267)))/M267</f>
        <v/>
      </c>
      <c r="V267" s="8">
        <f>SQRT((S267+U267)^2+3*T267^2)</f>
        <v/>
      </c>
      <c r="W267" s="8">
        <f>V267/AA267</f>
        <v/>
      </c>
      <c r="X267" s="27">
        <f>((3*10+H267/COS(RADIANS(E267)))*(3+3)+3*G267*H267)*2</f>
        <v/>
      </c>
      <c r="Y267" s="28">
        <f>Z267/X267</f>
        <v/>
      </c>
      <c r="Z267" s="29" t="n">
        <v>600.175871217251</v>
      </c>
      <c r="AA267" s="20" t="n">
        <v>86.4424183019525</v>
      </c>
      <c r="AB267" t="n">
        <v>0.2041026800227878</v>
      </c>
      <c r="AC267" t="n">
        <v>91.10608485757247</v>
      </c>
      <c r="AD267" t="n">
        <v>37.72870442423779</v>
      </c>
    </row>
    <row r="268">
      <c r="A268" t="n">
        <v>267</v>
      </c>
      <c r="B268" t="n">
        <v>68.2</v>
      </c>
      <c r="C268" s="21">
        <f>B268-20</f>
        <v/>
      </c>
      <c r="D268" t="n">
        <v>102</v>
      </c>
      <c r="E268" s="22">
        <f>D268-90</f>
        <v/>
      </c>
      <c r="F268" s="23" t="n">
        <v>0.018776</v>
      </c>
      <c r="G268" s="22" t="n">
        <v>28.8</v>
      </c>
      <c r="H268" s="22" t="n">
        <v>1.1</v>
      </c>
      <c r="I268" s="24" t="n">
        <v>0.159904479980468</v>
      </c>
      <c r="J268" s="6" t="n">
        <v>71000</v>
      </c>
      <c r="K268" s="25">
        <f>23*10^-6</f>
        <v/>
      </c>
      <c r="L268" s="8">
        <f>H268</f>
        <v/>
      </c>
      <c r="M268" s="26">
        <f>H268^2/6</f>
        <v/>
      </c>
      <c r="N268" s="26">
        <f>H268^3/12</f>
        <v/>
      </c>
      <c r="O268" s="27">
        <f>-J268*L268*K268*C268</f>
        <v/>
      </c>
      <c r="P268" s="28">
        <f>-(12*F268*J268*L268*N268+12*O268*N268*G268*COS(RADIANS(E268)))/(12*N268*G268*COS(RADIANS(E268))^2+L268*G268^3*SIN(RADIANS(E268))^2)</f>
        <v/>
      </c>
      <c r="Q268" s="28">
        <f>-(6*F268*J268*L268*N268*SIN(RADIANS(E268))+6*O268*N268*G268*SIN(RADIANS(E268))*COS(RADIANS(E268)))/(12*N268*COS(RADIANS(E268))^2+L268*G268^2*SIN(RADIANS(E268))^2)</f>
        <v/>
      </c>
      <c r="R268" s="28">
        <f>-P268*SIN(RADIANS(E268))</f>
        <v/>
      </c>
      <c r="S268" s="8">
        <f>(O268+P268*COS(RADIANS(E268)))/L268</f>
        <v/>
      </c>
      <c r="T268" s="8">
        <f>R268/L268</f>
        <v/>
      </c>
      <c r="U268" s="8">
        <f>(Q268-P268*G268*SIN(RADIANS(E268)))/M268</f>
        <v/>
      </c>
      <c r="V268" s="8">
        <f>SQRT((S268+U268)^2+3*T268^2)</f>
        <v/>
      </c>
      <c r="W268" s="8">
        <f>V268/AA268</f>
        <v/>
      </c>
      <c r="X268" s="27">
        <f>((3*10+H268/COS(RADIANS(E268)))*(3+3)+3*G268*H268)*2</f>
        <v/>
      </c>
      <c r="Y268" s="28">
        <f>Z268/X268</f>
        <v/>
      </c>
      <c r="Z268" s="29" t="n">
        <v>567.54469951462</v>
      </c>
      <c r="AA268" s="20" t="n">
        <v>70.8643174612011</v>
      </c>
      <c r="AB268" t="n">
        <v>0.2342070935246009</v>
      </c>
      <c r="AC268" t="n">
        <v>77.41307897199252</v>
      </c>
      <c r="AD268" t="n">
        <v>46.46687419464973</v>
      </c>
    </row>
    <row r="269">
      <c r="A269" t="n">
        <v>268</v>
      </c>
      <c r="B269" t="n">
        <v>54.2</v>
      </c>
      <c r="C269" s="21">
        <f>B269-20</f>
        <v/>
      </c>
      <c r="D269" t="n">
        <v>123.9</v>
      </c>
      <c r="E269" s="22">
        <f>D269-90</f>
        <v/>
      </c>
      <c r="F269" s="23" t="n">
        <v>0.011174</v>
      </c>
      <c r="G269" s="22" t="n">
        <v>27.3</v>
      </c>
      <c r="H269" s="22" t="n">
        <v>1.4</v>
      </c>
      <c r="I269" s="24" t="n">
        <v>0.0504480823874473</v>
      </c>
      <c r="J269" s="6" t="n">
        <v>71000</v>
      </c>
      <c r="K269" s="25">
        <f>23*10^-6</f>
        <v/>
      </c>
      <c r="L269" s="8">
        <f>H269</f>
        <v/>
      </c>
      <c r="M269" s="26">
        <f>H269^2/6</f>
        <v/>
      </c>
      <c r="N269" s="26">
        <f>H269^3/12</f>
        <v/>
      </c>
      <c r="O269" s="27">
        <f>-J269*L269*K269*C269</f>
        <v/>
      </c>
      <c r="P269" s="28">
        <f>-(12*F269*J269*L269*N269+12*O269*N269*G269*COS(RADIANS(E269)))/(12*N269*G269*COS(RADIANS(E269))^2+L269*G269^3*SIN(RADIANS(E269))^2)</f>
        <v/>
      </c>
      <c r="Q269" s="28">
        <f>-(6*F269*J269*L269*N269*SIN(RADIANS(E269))+6*O269*N269*G269*SIN(RADIANS(E269))*COS(RADIANS(E269)))/(12*N269*COS(RADIANS(E269))^2+L269*G269^2*SIN(RADIANS(E269))^2)</f>
        <v/>
      </c>
      <c r="R269" s="28">
        <f>-P269*SIN(RADIANS(E269))</f>
        <v/>
      </c>
      <c r="S269" s="8">
        <f>(O269+P269*COS(RADIANS(E269)))/L269</f>
        <v/>
      </c>
      <c r="T269" s="8">
        <f>R269/L269</f>
        <v/>
      </c>
      <c r="U269" s="8">
        <f>(Q269-P269*G269*SIN(RADIANS(E269)))/M269</f>
        <v/>
      </c>
      <c r="V269" s="8">
        <f>SQRT((S269+U269)^2+3*T269^2)</f>
        <v/>
      </c>
      <c r="W269" s="8">
        <f>V269/AA269</f>
        <v/>
      </c>
      <c r="X269" s="27">
        <f>((3*10+H269/COS(RADIANS(E269)))*(3+3)+3*G269*H269)*2</f>
        <v/>
      </c>
      <c r="Y269" s="28">
        <f>Z269/X269</f>
        <v/>
      </c>
      <c r="Z269" s="29" t="n">
        <v>617.9095283194901</v>
      </c>
      <c r="AA269" s="20" t="n">
        <v>49.579364785583</v>
      </c>
      <c r="AB269" t="n">
        <v>0.05476730367492639</v>
      </c>
      <c r="AC269" t="n">
        <v>49.73669493846628</v>
      </c>
      <c r="AD269" t="n">
        <v>8.561715496551388</v>
      </c>
    </row>
    <row r="270">
      <c r="A270" t="n">
        <v>269</v>
      </c>
      <c r="B270" t="n">
        <v>83.5</v>
      </c>
      <c r="C270" s="21">
        <f>B270-20</f>
        <v/>
      </c>
      <c r="D270" t="n">
        <v>125.3</v>
      </c>
      <c r="E270" s="22">
        <f>D270-90</f>
        <v/>
      </c>
      <c r="F270" s="23" t="n">
        <v>0.022304</v>
      </c>
      <c r="G270" s="22" t="n">
        <v>30.4</v>
      </c>
      <c r="H270" s="22" t="n">
        <v>1.3</v>
      </c>
      <c r="I270" s="24" t="n">
        <v>0.0978924334049224</v>
      </c>
      <c r="J270" s="6" t="n">
        <v>71000</v>
      </c>
      <c r="K270" s="25">
        <f>23*10^-6</f>
        <v/>
      </c>
      <c r="L270" s="8">
        <f>H270</f>
        <v/>
      </c>
      <c r="M270" s="26">
        <f>H270^2/6</f>
        <v/>
      </c>
      <c r="N270" s="26">
        <f>H270^3/12</f>
        <v/>
      </c>
      <c r="O270" s="27">
        <f>-J270*L270*K270*C270</f>
        <v/>
      </c>
      <c r="P270" s="28">
        <f>-(12*F270*J270*L270*N270+12*O270*N270*G270*COS(RADIANS(E270)))/(12*N270*G270*COS(RADIANS(E270))^2+L270*G270^3*SIN(RADIANS(E270))^2)</f>
        <v/>
      </c>
      <c r="Q270" s="28">
        <f>-(6*F270*J270*L270*N270*SIN(RADIANS(E270))+6*O270*N270*G270*SIN(RADIANS(E270))*COS(RADIANS(E270)))/(12*N270*COS(RADIANS(E270))^2+L270*G270^2*SIN(RADIANS(E270))^2)</f>
        <v/>
      </c>
      <c r="R270" s="28">
        <f>-P270*SIN(RADIANS(E270))</f>
        <v/>
      </c>
      <c r="S270" s="8">
        <f>(O270+P270*COS(RADIANS(E270)))/L270</f>
        <v/>
      </c>
      <c r="T270" s="8">
        <f>R270/L270</f>
        <v/>
      </c>
      <c r="U270" s="8">
        <f>(Q270-P270*G270*SIN(RADIANS(E270)))/M270</f>
        <v/>
      </c>
      <c r="V270" s="8">
        <f>SQRT((S270+U270)^2+3*T270^2)</f>
        <v/>
      </c>
      <c r="W270" s="8">
        <f>V270/AA270</f>
        <v/>
      </c>
      <c r="X270" s="27">
        <f>((3*10+H270/COS(RADIANS(E270)))*(3+3)+3*G270*H270)*2</f>
        <v/>
      </c>
      <c r="Y270" s="28">
        <f>Z270/X270</f>
        <v/>
      </c>
      <c r="Z270" s="29" t="n">
        <v>625.074859728812</v>
      </c>
      <c r="AA270" s="20" t="n">
        <v>88.5694665721733</v>
      </c>
      <c r="AB270" t="n">
        <v>0.1078837727128622</v>
      </c>
      <c r="AC270" t="n">
        <v>91.08905639305475</v>
      </c>
      <c r="AD270" t="n">
        <v>10.2064469749277</v>
      </c>
    </row>
    <row r="271">
      <c r="A271" t="n">
        <v>270</v>
      </c>
      <c r="B271" t="n">
        <v>63.2</v>
      </c>
      <c r="C271" s="21">
        <f>B271-20</f>
        <v/>
      </c>
      <c r="D271" t="n">
        <v>117.3</v>
      </c>
      <c r="E271" s="22">
        <f>D271-90</f>
        <v/>
      </c>
      <c r="F271" s="23" t="n">
        <v>0.014377</v>
      </c>
      <c r="G271" s="22" t="n">
        <v>26.1</v>
      </c>
      <c r="H271" s="22" t="n">
        <v>1.7</v>
      </c>
      <c r="I271" s="24" t="n">
        <v>0.071320354938507</v>
      </c>
      <c r="J271" s="6" t="n">
        <v>71000</v>
      </c>
      <c r="K271" s="25">
        <f>23*10^-6</f>
        <v/>
      </c>
      <c r="L271" s="8">
        <f>H271</f>
        <v/>
      </c>
      <c r="M271" s="26">
        <f>H271^2/6</f>
        <v/>
      </c>
      <c r="N271" s="26">
        <f>H271^3/12</f>
        <v/>
      </c>
      <c r="O271" s="27">
        <f>-J271*L271*K271*C271</f>
        <v/>
      </c>
      <c r="P271" s="28">
        <f>-(12*F271*J271*L271*N271+12*O271*N271*G271*COS(RADIANS(E271)))/(12*N271*G271*COS(RADIANS(E271))^2+L271*G271^3*SIN(RADIANS(E271))^2)</f>
        <v/>
      </c>
      <c r="Q271" s="28">
        <f>-(6*F271*J271*L271*N271*SIN(RADIANS(E271))+6*O271*N271*G271*SIN(RADIANS(E271))*COS(RADIANS(E271)))/(12*N271*COS(RADIANS(E271))^2+L271*G271^2*SIN(RADIANS(E271))^2)</f>
        <v/>
      </c>
      <c r="R271" s="28">
        <f>-P271*SIN(RADIANS(E271))</f>
        <v/>
      </c>
      <c r="S271" s="8">
        <f>(O271+P271*COS(RADIANS(E271)))/L271</f>
        <v/>
      </c>
      <c r="T271" s="8">
        <f>R271/L271</f>
        <v/>
      </c>
      <c r="U271" s="8">
        <f>(Q271-P271*G271*SIN(RADIANS(E271)))/M271</f>
        <v/>
      </c>
      <c r="V271" s="8">
        <f>SQRT((S271+U271)^2+3*T271^2)</f>
        <v/>
      </c>
      <c r="W271" s="8">
        <f>V271/AA271</f>
        <v/>
      </c>
      <c r="X271" s="27">
        <f>((3*10+H271/COS(RADIANS(E271)))*(3+3)+3*G271*H271)*2</f>
        <v/>
      </c>
      <c r="Y271" s="28">
        <f>Z271/X271</f>
        <v/>
      </c>
      <c r="Z271" s="29" t="n">
        <v>655.618899434866</v>
      </c>
      <c r="AA271" s="20" t="n">
        <v>68.01975521197851</v>
      </c>
      <c r="AB271" t="n">
        <v>0.08295748814160082</v>
      </c>
      <c r="AC271" t="n">
        <v>65.81404081598482</v>
      </c>
      <c r="AD271" t="n">
        <v>16.31670679867965</v>
      </c>
    </row>
    <row r="272">
      <c r="A272" t="n">
        <v>271</v>
      </c>
      <c r="B272" t="n">
        <v>68.2</v>
      </c>
      <c r="C272" s="21">
        <f>B272-20</f>
        <v/>
      </c>
      <c r="D272" t="n">
        <v>112.9</v>
      </c>
      <c r="E272" s="22">
        <f>D272-90</f>
        <v/>
      </c>
      <c r="F272" s="23" t="n">
        <v>0.017267</v>
      </c>
      <c r="G272" s="22" t="n">
        <v>27.6</v>
      </c>
      <c r="H272" s="22" t="n">
        <v>1.5</v>
      </c>
      <c r="I272" s="24" t="n">
        <v>0.0934361442923545</v>
      </c>
      <c r="J272" s="6" t="n">
        <v>71000</v>
      </c>
      <c r="K272" s="25">
        <f>23*10^-6</f>
        <v/>
      </c>
      <c r="L272" s="8">
        <f>H272</f>
        <v/>
      </c>
      <c r="M272" s="26">
        <f>H272^2/6</f>
        <v/>
      </c>
      <c r="N272" s="26">
        <f>H272^3/12</f>
        <v/>
      </c>
      <c r="O272" s="27">
        <f>-J272*L272*K272*C272</f>
        <v/>
      </c>
      <c r="P272" s="28">
        <f>-(12*F272*J272*L272*N272+12*O272*N272*G272*COS(RADIANS(E272)))/(12*N272*G272*COS(RADIANS(E272))^2+L272*G272^3*SIN(RADIANS(E272))^2)</f>
        <v/>
      </c>
      <c r="Q272" s="28">
        <f>-(6*F272*J272*L272*N272*SIN(RADIANS(E272))+6*O272*N272*G272*SIN(RADIANS(E272))*COS(RADIANS(E272)))/(12*N272*COS(RADIANS(E272))^2+L272*G272^2*SIN(RADIANS(E272))^2)</f>
        <v/>
      </c>
      <c r="R272" s="28">
        <f>-P272*SIN(RADIANS(E272))</f>
        <v/>
      </c>
      <c r="S272" s="8">
        <f>(O272+P272*COS(RADIANS(E272)))/L272</f>
        <v/>
      </c>
      <c r="T272" s="8">
        <f>R272/L272</f>
        <v/>
      </c>
      <c r="U272" s="8">
        <f>(Q272-P272*G272*SIN(RADIANS(E272)))/M272</f>
        <v/>
      </c>
      <c r="V272" s="8">
        <f>SQRT((S272+U272)^2+3*T272^2)</f>
        <v/>
      </c>
      <c r="W272" s="8">
        <f>V272/AA272</f>
        <v/>
      </c>
      <c r="X272" s="27">
        <f>((3*10+H272/COS(RADIANS(E272)))*(3+3)+3*G272*H272)*2</f>
        <v/>
      </c>
      <c r="Y272" s="28">
        <f>Z272/X272</f>
        <v/>
      </c>
      <c r="Z272" s="29" t="n">
        <v>633.427056882689</v>
      </c>
      <c r="AA272" s="20" t="n">
        <v>73.7029512205647</v>
      </c>
      <c r="AB272" t="n">
        <v>0.1174438981802725</v>
      </c>
      <c r="AC272" t="n">
        <v>73.85269683997818</v>
      </c>
      <c r="AD272" t="n">
        <v>25.69429000922767</v>
      </c>
    </row>
    <row r="273">
      <c r="A273" t="n">
        <v>272</v>
      </c>
      <c r="B273" t="n">
        <v>47.5</v>
      </c>
      <c r="C273" s="21">
        <f>B273-20</f>
        <v/>
      </c>
      <c r="D273" t="n">
        <v>100.5</v>
      </c>
      <c r="E273" s="22">
        <f>D273-90</f>
        <v/>
      </c>
      <c r="F273" s="23" t="n">
        <v>0.011344</v>
      </c>
      <c r="G273" s="22" t="n">
        <v>30.7</v>
      </c>
      <c r="H273" s="22" t="n">
        <v>1.2</v>
      </c>
      <c r="I273" s="24" t="n">
        <v>0.106294229626655</v>
      </c>
      <c r="J273" s="6" t="n">
        <v>71000</v>
      </c>
      <c r="K273" s="25">
        <f>23*10^-6</f>
        <v/>
      </c>
      <c r="L273" s="8">
        <f>H273</f>
        <v/>
      </c>
      <c r="M273" s="26">
        <f>H273^2/6</f>
        <v/>
      </c>
      <c r="N273" s="26">
        <f>H273^3/12</f>
        <v/>
      </c>
      <c r="O273" s="27">
        <f>-J273*L273*K273*C273</f>
        <v/>
      </c>
      <c r="P273" s="28">
        <f>-(12*F273*J273*L273*N273+12*O273*N273*G273*COS(RADIANS(E273)))/(12*N273*G273*COS(RADIANS(E273))^2+L273*G273^3*SIN(RADIANS(E273))^2)</f>
        <v/>
      </c>
      <c r="Q273" s="28">
        <f>-(6*F273*J273*L273*N273*SIN(RADIANS(E273))+6*O273*N273*G273*SIN(RADIANS(E273))*COS(RADIANS(E273)))/(12*N273*COS(RADIANS(E273))^2+L273*G273^2*SIN(RADIANS(E273))^2)</f>
        <v/>
      </c>
      <c r="R273" s="28">
        <f>-P273*SIN(RADIANS(E273))</f>
        <v/>
      </c>
      <c r="S273" s="8">
        <f>(O273+P273*COS(RADIANS(E273)))/L273</f>
        <v/>
      </c>
      <c r="T273" s="8">
        <f>R273/L273</f>
        <v/>
      </c>
      <c r="U273" s="8">
        <f>(Q273-P273*G273*SIN(RADIANS(E273)))/M273</f>
        <v/>
      </c>
      <c r="V273" s="8">
        <f>SQRT((S273+U273)^2+3*T273^2)</f>
        <v/>
      </c>
      <c r="W273" s="8">
        <f>V273/AA273</f>
        <v/>
      </c>
      <c r="X273" s="27">
        <f>((3*10+H273/COS(RADIANS(E273)))*(3+3)+3*G273*H273)*2</f>
        <v/>
      </c>
      <c r="Y273" s="28">
        <f>Z273/X273</f>
        <v/>
      </c>
      <c r="Z273" s="29" t="n">
        <v>599.527591592794</v>
      </c>
      <c r="AA273" s="20" t="n">
        <v>41.8287014092346</v>
      </c>
      <c r="AB273" t="n">
        <v>0.1605277619810167</v>
      </c>
      <c r="AC273" t="n">
        <v>45.37798916872134</v>
      </c>
      <c r="AD273" t="n">
        <v>51.02208515443419</v>
      </c>
    </row>
    <row r="274">
      <c r="A274" t="n">
        <v>273</v>
      </c>
      <c r="B274" t="n">
        <v>85.59999999999999</v>
      </c>
      <c r="C274" s="21">
        <f>B274-20</f>
        <v/>
      </c>
      <c r="D274" t="n">
        <v>105.3</v>
      </c>
      <c r="E274" s="22">
        <f>D274-90</f>
        <v/>
      </c>
      <c r="F274" s="23" t="n">
        <v>0.026704</v>
      </c>
      <c r="G274" s="22" t="n">
        <v>30.8</v>
      </c>
      <c r="H274" s="22" t="n">
        <v>1.2</v>
      </c>
      <c r="I274" s="24" t="n">
        <v>0.187683790922164</v>
      </c>
      <c r="J274" s="6" t="n">
        <v>71000</v>
      </c>
      <c r="K274" s="25">
        <f>23*10^-6</f>
        <v/>
      </c>
      <c r="L274" s="8">
        <f>H274</f>
        <v/>
      </c>
      <c r="M274" s="26">
        <f>H274^2/6</f>
        <v/>
      </c>
      <c r="N274" s="26">
        <f>H274^3/12</f>
        <v/>
      </c>
      <c r="O274" s="27">
        <f>-J274*L274*K274*C274</f>
        <v/>
      </c>
      <c r="P274" s="28">
        <f>-(12*F274*J274*L274*N274+12*O274*N274*G274*COS(RADIANS(E274)))/(12*N274*G274*COS(RADIANS(E274))^2+L274*G274^3*SIN(RADIANS(E274))^2)</f>
        <v/>
      </c>
      <c r="Q274" s="28">
        <f>-(6*F274*J274*L274*N274*SIN(RADIANS(E274))+6*O274*N274*G274*SIN(RADIANS(E274))*COS(RADIANS(E274)))/(12*N274*COS(RADIANS(E274))^2+L274*G274^2*SIN(RADIANS(E274))^2)</f>
        <v/>
      </c>
      <c r="R274" s="28">
        <f>-P274*SIN(RADIANS(E274))</f>
        <v/>
      </c>
      <c r="S274" s="8">
        <f>(O274+P274*COS(RADIANS(E274)))/L274</f>
        <v/>
      </c>
      <c r="T274" s="8">
        <f>R274/L274</f>
        <v/>
      </c>
      <c r="U274" s="8">
        <f>(Q274-P274*G274*SIN(RADIANS(E274)))/M274</f>
        <v/>
      </c>
      <c r="V274" s="8">
        <f>SQRT((S274+U274)^2+3*T274^2)</f>
        <v/>
      </c>
      <c r="W274" s="8">
        <f>V274/AA274</f>
        <v/>
      </c>
      <c r="X274" s="27">
        <f>((3*10+H274/COS(RADIANS(E274)))*(3+3)+3*G274*H274)*2</f>
        <v/>
      </c>
      <c r="Y274" s="28">
        <f>Z274/X274</f>
        <v/>
      </c>
      <c r="Z274" s="29" t="n">
        <v>601.004634168949</v>
      </c>
      <c r="AA274" s="20" t="n">
        <v>96.18189486281589</v>
      </c>
      <c r="AB274" t="n">
        <v>0.2681385075448404</v>
      </c>
      <c r="AC274" t="n">
        <v>102.3163424233915</v>
      </c>
      <c r="AD274" t="n">
        <v>42.86716302317362</v>
      </c>
    </row>
    <row r="275">
      <c r="A275" t="n">
        <v>274</v>
      </c>
      <c r="B275" t="n">
        <v>69</v>
      </c>
      <c r="C275" s="21">
        <f>B275-20</f>
        <v/>
      </c>
      <c r="D275" t="n">
        <v>114.5</v>
      </c>
      <c r="E275" s="22">
        <f>D275-90</f>
        <v/>
      </c>
      <c r="F275" s="23" t="n">
        <v>0.018957</v>
      </c>
      <c r="G275" s="22" t="n">
        <v>30.7</v>
      </c>
      <c r="H275" s="22" t="n">
        <v>1.8</v>
      </c>
      <c r="I275" s="24" t="n">
        <v>0.0972264781594276</v>
      </c>
      <c r="J275" s="6" t="n">
        <v>71000</v>
      </c>
      <c r="K275" s="25">
        <f>23*10^-6</f>
        <v/>
      </c>
      <c r="L275" s="8">
        <f>H275</f>
        <v/>
      </c>
      <c r="M275" s="26">
        <f>H275^2/6</f>
        <v/>
      </c>
      <c r="N275" s="26">
        <f>H275^3/12</f>
        <v/>
      </c>
      <c r="O275" s="27">
        <f>-J275*L275*K275*C275</f>
        <v/>
      </c>
      <c r="P275" s="28">
        <f>-(12*F275*J275*L275*N275+12*O275*N275*G275*COS(RADIANS(E275)))/(12*N275*G275*COS(RADIANS(E275))^2+L275*G275^3*SIN(RADIANS(E275))^2)</f>
        <v/>
      </c>
      <c r="Q275" s="28">
        <f>-(6*F275*J275*L275*N275*SIN(RADIANS(E275))+6*O275*N275*G275*SIN(RADIANS(E275))*COS(RADIANS(E275)))/(12*N275*COS(RADIANS(E275))^2+L275*G275^2*SIN(RADIANS(E275))^2)</f>
        <v/>
      </c>
      <c r="R275" s="28">
        <f>-P275*SIN(RADIANS(E275))</f>
        <v/>
      </c>
      <c r="S275" s="8">
        <f>(O275+P275*COS(RADIANS(E275)))/L275</f>
        <v/>
      </c>
      <c r="T275" s="8">
        <f>R275/L275</f>
        <v/>
      </c>
      <c r="U275" s="8">
        <f>(Q275-P275*G275*SIN(RADIANS(E275)))/M275</f>
        <v/>
      </c>
      <c r="V275" s="8">
        <f>SQRT((S275+U275)^2+3*T275^2)</f>
        <v/>
      </c>
      <c r="W275" s="8">
        <f>V275/AA275</f>
        <v/>
      </c>
      <c r="X275" s="27">
        <f>((3*10+H275/COS(RADIANS(E275)))*(3+3)+3*G275*H275)*2</f>
        <v/>
      </c>
      <c r="Y275" s="28">
        <f>Z275/X275</f>
        <v/>
      </c>
      <c r="Z275" s="29" t="n">
        <v>721.105652236982</v>
      </c>
      <c r="AA275" s="20" t="n">
        <v>77.7410825415291</v>
      </c>
      <c r="AB275" t="n">
        <v>0.1228523605891051</v>
      </c>
      <c r="AC275" t="n">
        <v>75.32984598514545</v>
      </c>
      <c r="AD275" t="n">
        <v>26.35689671660979</v>
      </c>
    </row>
    <row r="276">
      <c r="A276" t="n">
        <v>275</v>
      </c>
      <c r="B276" t="n">
        <v>59</v>
      </c>
      <c r="C276" s="21">
        <f>B276-20</f>
        <v/>
      </c>
      <c r="D276" t="n">
        <v>108.8</v>
      </c>
      <c r="E276" s="22">
        <f>D276-90</f>
        <v/>
      </c>
      <c r="F276" s="23" t="n">
        <v>0.016767</v>
      </c>
      <c r="G276" s="22" t="n">
        <v>33.5</v>
      </c>
      <c r="H276" s="22" t="n">
        <v>1.5</v>
      </c>
      <c r="I276" s="24" t="n">
        <v>0.100494250655174</v>
      </c>
      <c r="J276" s="6" t="n">
        <v>71000</v>
      </c>
      <c r="K276" s="25">
        <f>23*10^-6</f>
        <v/>
      </c>
      <c r="L276" s="8">
        <f>H276</f>
        <v/>
      </c>
      <c r="M276" s="26">
        <f>H276^2/6</f>
        <v/>
      </c>
      <c r="N276" s="26">
        <f>H276^3/12</f>
        <v/>
      </c>
      <c r="O276" s="27">
        <f>-J276*L276*K276*C276</f>
        <v/>
      </c>
      <c r="P276" s="28">
        <f>-(12*F276*J276*L276*N276+12*O276*N276*G276*COS(RADIANS(E276)))/(12*N276*G276*COS(RADIANS(E276))^2+L276*G276^3*SIN(RADIANS(E276))^2)</f>
        <v/>
      </c>
      <c r="Q276" s="28">
        <f>-(6*F276*J276*L276*N276*SIN(RADIANS(E276))+6*O276*N276*G276*SIN(RADIANS(E276))*COS(RADIANS(E276)))/(12*N276*COS(RADIANS(E276))^2+L276*G276^2*SIN(RADIANS(E276))^2)</f>
        <v/>
      </c>
      <c r="R276" s="28">
        <f>-P276*SIN(RADIANS(E276))</f>
        <v/>
      </c>
      <c r="S276" s="8">
        <f>(O276+P276*COS(RADIANS(E276)))/L276</f>
        <v/>
      </c>
      <c r="T276" s="8">
        <f>R276/L276</f>
        <v/>
      </c>
      <c r="U276" s="8">
        <f>(Q276-P276*G276*SIN(RADIANS(E276)))/M276</f>
        <v/>
      </c>
      <c r="V276" s="8">
        <f>SQRT((S276+U276)^2+3*T276^2)</f>
        <v/>
      </c>
      <c r="W276" s="8">
        <f>V276/AA276</f>
        <v/>
      </c>
      <c r="X276" s="27">
        <f>((3*10+H276/COS(RADIANS(E276)))*(3+3)+3*G276*H276)*2</f>
        <v/>
      </c>
      <c r="Y276" s="28">
        <f>Z276/X276</f>
        <v/>
      </c>
      <c r="Z276" s="29" t="n">
        <v>685.300642353957</v>
      </c>
      <c r="AA276" s="20" t="n">
        <v>59.4155196382828</v>
      </c>
      <c r="AB276" t="n">
        <v>0.139977153810648</v>
      </c>
      <c r="AC276" t="n">
        <v>60.35820442300022</v>
      </c>
      <c r="AD276" t="n">
        <v>39.28871840733623</v>
      </c>
    </row>
    <row r="277">
      <c r="A277" t="n">
        <v>276</v>
      </c>
      <c r="B277" t="n">
        <v>44.2</v>
      </c>
      <c r="C277" s="21">
        <f>B277-20</f>
        <v/>
      </c>
      <c r="D277" t="n">
        <v>104.3</v>
      </c>
      <c r="E277" s="22">
        <f>D277-90</f>
        <v/>
      </c>
      <c r="F277" s="23" t="n">
        <v>0.009273999999999999</v>
      </c>
      <c r="G277" s="22" t="n">
        <v>28.5</v>
      </c>
      <c r="H277" s="22" t="n">
        <v>1.4</v>
      </c>
      <c r="I277" s="24" t="n">
        <v>0.06850786507129659</v>
      </c>
      <c r="J277" s="6" t="n">
        <v>71000</v>
      </c>
      <c r="K277" s="25">
        <f>23*10^-6</f>
        <v/>
      </c>
      <c r="L277" s="8">
        <f>H277</f>
        <v/>
      </c>
      <c r="M277" s="26">
        <f>H277^2/6</f>
        <v/>
      </c>
      <c r="N277" s="26">
        <f>H277^3/12</f>
        <v/>
      </c>
      <c r="O277" s="27">
        <f>-J277*L277*K277*C277</f>
        <v/>
      </c>
      <c r="P277" s="28">
        <f>-(12*F277*J277*L277*N277+12*O277*N277*G277*COS(RADIANS(E277)))/(12*N277*G277*COS(RADIANS(E277))^2+L277*G277^3*SIN(RADIANS(E277))^2)</f>
        <v/>
      </c>
      <c r="Q277" s="28">
        <f>-(6*F277*J277*L277*N277*SIN(RADIANS(E277))+6*O277*N277*G277*SIN(RADIANS(E277))*COS(RADIANS(E277)))/(12*N277*COS(RADIANS(E277))^2+L277*G277^2*SIN(RADIANS(E277))^2)</f>
        <v/>
      </c>
      <c r="R277" s="28">
        <f>-P277*SIN(RADIANS(E277))</f>
        <v/>
      </c>
      <c r="S277" s="8">
        <f>(O277+P277*COS(RADIANS(E277)))/L277</f>
        <v/>
      </c>
      <c r="T277" s="8">
        <f>R277/L277</f>
        <v/>
      </c>
      <c r="U277" s="8">
        <f>(Q277-P277*G277*SIN(RADIANS(E277)))/M277</f>
        <v/>
      </c>
      <c r="V277" s="8">
        <f>SQRT((S277+U277)^2+3*T277^2)</f>
        <v/>
      </c>
      <c r="W277" s="8">
        <f>V277/AA277</f>
        <v/>
      </c>
      <c r="X277" s="27">
        <f>((3*10+H277/COS(RADIANS(E277)))*(3+3)+3*G277*H277)*2</f>
        <v/>
      </c>
      <c r="Y277" s="28">
        <f>Z277/X277</f>
        <v/>
      </c>
      <c r="Z277" s="29" t="n">
        <v>620.938208989074</v>
      </c>
      <c r="AA277" s="20" t="n">
        <v>37.6708621056231</v>
      </c>
      <c r="AB277" t="n">
        <v>0.09692026141021215</v>
      </c>
      <c r="AC277" t="n">
        <v>39.22948799865257</v>
      </c>
      <c r="AD277" t="n">
        <v>41.47318896793323</v>
      </c>
    </row>
    <row r="278">
      <c r="A278" t="n">
        <v>277</v>
      </c>
      <c r="B278" t="n">
        <v>80.09999999999999</v>
      </c>
      <c r="C278" s="21">
        <f>B278-20</f>
        <v/>
      </c>
      <c r="D278" t="n">
        <v>104.8</v>
      </c>
      <c r="E278" s="22">
        <f>D278-90</f>
        <v/>
      </c>
      <c r="F278" s="23" t="n">
        <v>0.024778</v>
      </c>
      <c r="G278" s="22" t="n">
        <v>31.2</v>
      </c>
      <c r="H278" s="22" t="n">
        <v>1.4</v>
      </c>
      <c r="I278" s="24" t="n">
        <v>0.177414074540138</v>
      </c>
      <c r="J278" s="6" t="n">
        <v>71000</v>
      </c>
      <c r="K278" s="25">
        <f>23*10^-6</f>
        <v/>
      </c>
      <c r="L278" s="8">
        <f>H278</f>
        <v/>
      </c>
      <c r="M278" s="26">
        <f>H278^2/6</f>
        <v/>
      </c>
      <c r="N278" s="26">
        <f>H278^3/12</f>
        <v/>
      </c>
      <c r="O278" s="27">
        <f>-J278*L278*K278*C278</f>
        <v/>
      </c>
      <c r="P278" s="28">
        <f>-(12*F278*J278*L278*N278+12*O278*N278*G278*COS(RADIANS(E278)))/(12*N278*G278*COS(RADIANS(E278))^2+L278*G278^3*SIN(RADIANS(E278))^2)</f>
        <v/>
      </c>
      <c r="Q278" s="28">
        <f>-(6*F278*J278*L278*N278*SIN(RADIANS(E278))+6*O278*N278*G278*SIN(RADIANS(E278))*COS(RADIANS(E278)))/(12*N278*COS(RADIANS(E278))^2+L278*G278^2*SIN(RADIANS(E278))^2)</f>
        <v/>
      </c>
      <c r="R278" s="28">
        <f>-P278*SIN(RADIANS(E278))</f>
        <v/>
      </c>
      <c r="S278" s="8">
        <f>(O278+P278*COS(RADIANS(E278)))/L278</f>
        <v/>
      </c>
      <c r="T278" s="8">
        <f>R278/L278</f>
        <v/>
      </c>
      <c r="U278" s="8">
        <f>(Q278-P278*G278*SIN(RADIANS(E278)))/M278</f>
        <v/>
      </c>
      <c r="V278" s="8">
        <f>SQRT((S278+U278)^2+3*T278^2)</f>
        <v/>
      </c>
      <c r="W278" s="8">
        <f>V278/AA278</f>
        <v/>
      </c>
      <c r="X278" s="27">
        <f>((3*10+H278/COS(RADIANS(E278)))*(3+3)+3*G278*H278)*2</f>
        <v/>
      </c>
      <c r="Y278" s="28">
        <f>Z278/X278</f>
        <v/>
      </c>
      <c r="Z278" s="29" t="n">
        <v>643.713684205262</v>
      </c>
      <c r="AA278" s="20" t="n">
        <v>92.3437179049282</v>
      </c>
      <c r="AB278" t="n">
        <v>0.2550685270182245</v>
      </c>
      <c r="AC278" t="n">
        <v>96.02428374774492</v>
      </c>
      <c r="AD278" t="n">
        <v>43.77017588901497</v>
      </c>
    </row>
    <row r="279">
      <c r="A279" t="n">
        <v>278</v>
      </c>
      <c r="B279" t="n">
        <v>85.7</v>
      </c>
      <c r="C279" s="21">
        <f>B279-20</f>
        <v/>
      </c>
      <c r="D279" t="n">
        <v>106.5</v>
      </c>
      <c r="E279" s="22">
        <f>D279-90</f>
        <v/>
      </c>
      <c r="F279" s="23" t="n">
        <v>0.022806</v>
      </c>
      <c r="G279" s="22" t="n">
        <v>25.5</v>
      </c>
      <c r="H279" s="22" t="n">
        <v>1.6</v>
      </c>
      <c r="I279" s="24" t="n">
        <v>0.152666628360748</v>
      </c>
      <c r="J279" s="6" t="n">
        <v>71000</v>
      </c>
      <c r="K279" s="25">
        <f>23*10^-6</f>
        <v/>
      </c>
      <c r="L279" s="8">
        <f>H279</f>
        <v/>
      </c>
      <c r="M279" s="26">
        <f>H279^2/6</f>
        <v/>
      </c>
      <c r="N279" s="26">
        <f>H279^3/12</f>
        <v/>
      </c>
      <c r="O279" s="27">
        <f>-J279*L279*K279*C279</f>
        <v/>
      </c>
      <c r="P279" s="28">
        <f>-(12*F279*J279*L279*N279+12*O279*N279*G279*COS(RADIANS(E279)))/(12*N279*G279*COS(RADIANS(E279))^2+L279*G279^3*SIN(RADIANS(E279))^2)</f>
        <v/>
      </c>
      <c r="Q279" s="28">
        <f>-(6*F279*J279*L279*N279*SIN(RADIANS(E279))+6*O279*N279*G279*SIN(RADIANS(E279))*COS(RADIANS(E279)))/(12*N279*COS(RADIANS(E279))^2+L279*G279^2*SIN(RADIANS(E279))^2)</f>
        <v/>
      </c>
      <c r="R279" s="28">
        <f>-P279*SIN(RADIANS(E279))</f>
        <v/>
      </c>
      <c r="S279" s="8">
        <f>(O279+P279*COS(RADIANS(E279)))/L279</f>
        <v/>
      </c>
      <c r="T279" s="8">
        <f>R279/L279</f>
        <v/>
      </c>
      <c r="U279" s="8">
        <f>(Q279-P279*G279*SIN(RADIANS(E279)))/M279</f>
        <v/>
      </c>
      <c r="V279" s="8">
        <f>SQRT((S279+U279)^2+3*T279^2)</f>
        <v/>
      </c>
      <c r="W279" s="8">
        <f>V279/AA279</f>
        <v/>
      </c>
      <c r="X279" s="27">
        <f>((3*10+H279/COS(RADIANS(E279)))*(3+3)+3*G279*H279)*2</f>
        <v/>
      </c>
      <c r="Y279" s="28">
        <f>Z279/X279</f>
        <v/>
      </c>
      <c r="Z279" s="29" t="n">
        <v>629.28902241626</v>
      </c>
      <c r="AA279" s="20" t="n">
        <v>107.412443391366</v>
      </c>
      <c r="AB279" t="n">
        <v>0.2032429340524688</v>
      </c>
      <c r="AC279" t="n">
        <v>107.3348664146566</v>
      </c>
      <c r="AD279" t="n">
        <v>33.1285928265934</v>
      </c>
    </row>
    <row r="280">
      <c r="A280" t="n">
        <v>279</v>
      </c>
      <c r="B280" t="n">
        <v>48.5</v>
      </c>
      <c r="C280" s="21">
        <f>B280-20</f>
        <v/>
      </c>
      <c r="D280" t="n">
        <v>129</v>
      </c>
      <c r="E280" s="22">
        <f>D280-90</f>
        <v/>
      </c>
      <c r="F280" s="23" t="n">
        <v>0.010332</v>
      </c>
      <c r="G280" s="22" t="n">
        <v>33.2</v>
      </c>
      <c r="H280" s="22" t="n">
        <v>1.2</v>
      </c>
      <c r="I280" s="24" t="n">
        <v>0.0438255108892917</v>
      </c>
      <c r="J280" s="6" t="n">
        <v>71000</v>
      </c>
      <c r="K280" s="25">
        <f>23*10^-6</f>
        <v/>
      </c>
      <c r="L280" s="8">
        <f>H280</f>
        <v/>
      </c>
      <c r="M280" s="26">
        <f>H280^2/6</f>
        <v/>
      </c>
      <c r="N280" s="26">
        <f>H280^3/12</f>
        <v/>
      </c>
      <c r="O280" s="27">
        <f>-J280*L280*K280*C280</f>
        <v/>
      </c>
      <c r="P280" s="28">
        <f>-(12*F280*J280*L280*N280+12*O280*N280*G280*COS(RADIANS(E280)))/(12*N280*G280*COS(RADIANS(E280))^2+L280*G280^3*SIN(RADIANS(E280))^2)</f>
        <v/>
      </c>
      <c r="Q280" s="28">
        <f>-(6*F280*J280*L280*N280*SIN(RADIANS(E280))+6*O280*N280*G280*SIN(RADIANS(E280))*COS(RADIANS(E280)))/(12*N280*COS(RADIANS(E280))^2+L280*G280^2*SIN(RADIANS(E280))^2)</f>
        <v/>
      </c>
      <c r="R280" s="28">
        <f>-P280*SIN(RADIANS(E280))</f>
        <v/>
      </c>
      <c r="S280" s="8">
        <f>(O280+P280*COS(RADIANS(E280)))/L280</f>
        <v/>
      </c>
      <c r="T280" s="8">
        <f>R280/L280</f>
        <v/>
      </c>
      <c r="U280" s="8">
        <f>(Q280-P280*G280*SIN(RADIANS(E280)))/M280</f>
        <v/>
      </c>
      <c r="V280" s="8">
        <f>SQRT((S280+U280)^2+3*T280^2)</f>
        <v/>
      </c>
      <c r="W280" s="8">
        <f>V280/AA280</f>
        <v/>
      </c>
      <c r="X280" s="27">
        <f>((3*10+H280/COS(RADIANS(E280)))*(3+3)+3*G280*H280)*2</f>
        <v/>
      </c>
      <c r="Y280" s="28">
        <f>Z280/X280</f>
        <v/>
      </c>
      <c r="Z280" s="29" t="n">
        <v>627.885196715938</v>
      </c>
      <c r="AA280" s="20" t="n">
        <v>37.3603929003575</v>
      </c>
      <c r="AB280" t="n">
        <v>0.04722958565275038</v>
      </c>
      <c r="AC280" t="n">
        <v>40.23972795735228</v>
      </c>
      <c r="AD280" t="n">
        <v>7.767336180193686</v>
      </c>
    </row>
    <row r="281">
      <c r="A281" t="n">
        <v>280</v>
      </c>
      <c r="B281" t="n">
        <v>51.6</v>
      </c>
      <c r="C281" s="21">
        <f>B281-20</f>
        <v/>
      </c>
      <c r="D281" t="n">
        <v>128.1</v>
      </c>
      <c r="E281" s="22">
        <f>D281-90</f>
        <v/>
      </c>
      <c r="F281" s="23" t="n">
        <v>0.009135000000000001</v>
      </c>
      <c r="G281" s="22" t="n">
        <v>24.6</v>
      </c>
      <c r="H281" s="22" t="n">
        <v>1.7</v>
      </c>
      <c r="I281" s="24" t="n">
        <v>0.0407168380916118</v>
      </c>
      <c r="J281" s="6" t="n">
        <v>71000</v>
      </c>
      <c r="K281" s="25">
        <f>23*10^-6</f>
        <v/>
      </c>
      <c r="L281" s="8">
        <f>H281</f>
        <v/>
      </c>
      <c r="M281" s="26">
        <f>H281^2/6</f>
        <v/>
      </c>
      <c r="N281" s="26">
        <f>H281^3/12</f>
        <v/>
      </c>
      <c r="O281" s="27">
        <f>-J281*L281*K281*C281</f>
        <v/>
      </c>
      <c r="P281" s="28">
        <f>-(12*F281*J281*L281*N281+12*O281*N281*G281*COS(RADIANS(E281)))/(12*N281*G281*COS(RADIANS(E281))^2+L281*G281^3*SIN(RADIANS(E281))^2)</f>
        <v/>
      </c>
      <c r="Q281" s="28">
        <f>-(6*F281*J281*L281*N281*SIN(RADIANS(E281))+6*O281*N281*G281*SIN(RADIANS(E281))*COS(RADIANS(E281)))/(12*N281*COS(RADIANS(E281))^2+L281*G281^2*SIN(RADIANS(E281))^2)</f>
        <v/>
      </c>
      <c r="R281" s="28">
        <f>-P281*SIN(RADIANS(E281))</f>
        <v/>
      </c>
      <c r="S281" s="8">
        <f>(O281+P281*COS(RADIANS(E281)))/L281</f>
        <v/>
      </c>
      <c r="T281" s="8">
        <f>R281/L281</f>
        <v/>
      </c>
      <c r="U281" s="8">
        <f>(Q281-P281*G281*SIN(RADIANS(E281)))/M281</f>
        <v/>
      </c>
      <c r="V281" s="8">
        <f>SQRT((S281+U281)^2+3*T281^2)</f>
        <v/>
      </c>
      <c r="W281" s="8">
        <f>V281/AA281</f>
        <v/>
      </c>
      <c r="X281" s="27">
        <f>((3*10+H281/COS(RADIANS(E281)))*(3+3)+3*G281*H281)*2</f>
        <v/>
      </c>
      <c r="Y281" s="28">
        <f>Z281/X281</f>
        <v/>
      </c>
      <c r="Z281" s="29" t="n">
        <v>646.775060330903</v>
      </c>
      <c r="AA281" s="20" t="n">
        <v>48.6900979611615</v>
      </c>
      <c r="AB281" t="n">
        <v>0.04025826218432493</v>
      </c>
      <c r="AC281" t="n">
        <v>46.23360777472504</v>
      </c>
      <c r="AD281" t="n">
        <v>-1.126256184861611</v>
      </c>
    </row>
    <row r="282">
      <c r="A282" t="n">
        <v>281</v>
      </c>
      <c r="B282" t="n">
        <v>43.6</v>
      </c>
      <c r="C282" s="21">
        <f>B282-20</f>
        <v/>
      </c>
      <c r="D282" t="n">
        <v>126</v>
      </c>
      <c r="E282" s="22">
        <f>D282-90</f>
        <v/>
      </c>
      <c r="F282" s="23" t="n">
        <v>0.007186</v>
      </c>
      <c r="G282" s="22" t="n">
        <v>25.6</v>
      </c>
      <c r="H282" s="22" t="n">
        <v>1.7</v>
      </c>
      <c r="I282" s="24" t="n">
        <v>0.0322403758764267</v>
      </c>
      <c r="J282" s="6" t="n">
        <v>71000</v>
      </c>
      <c r="K282" s="25">
        <f>23*10^-6</f>
        <v/>
      </c>
      <c r="L282" s="8">
        <f>H282</f>
        <v/>
      </c>
      <c r="M282" s="26">
        <f>H282^2/6</f>
        <v/>
      </c>
      <c r="N282" s="26">
        <f>H282^3/12</f>
        <v/>
      </c>
      <c r="O282" s="27">
        <f>-J282*L282*K282*C282</f>
        <v/>
      </c>
      <c r="P282" s="28">
        <f>-(12*F282*J282*L282*N282+12*O282*N282*G282*COS(RADIANS(E282)))/(12*N282*G282*COS(RADIANS(E282))^2+L282*G282^3*SIN(RADIANS(E282))^2)</f>
        <v/>
      </c>
      <c r="Q282" s="28">
        <f>-(6*F282*J282*L282*N282*SIN(RADIANS(E282))+6*O282*N282*G282*SIN(RADIANS(E282))*COS(RADIANS(E282)))/(12*N282*COS(RADIANS(E282))^2+L282*G282^2*SIN(RADIANS(E282))^2)</f>
        <v/>
      </c>
      <c r="R282" s="28">
        <f>-P282*SIN(RADIANS(E282))</f>
        <v/>
      </c>
      <c r="S282" s="8">
        <f>(O282+P282*COS(RADIANS(E282)))/L282</f>
        <v/>
      </c>
      <c r="T282" s="8">
        <f>R282/L282</f>
        <v/>
      </c>
      <c r="U282" s="8">
        <f>(Q282-P282*G282*SIN(RADIANS(E282)))/M282</f>
        <v/>
      </c>
      <c r="V282" s="8">
        <f>SQRT((S282+U282)^2+3*T282^2)</f>
        <v/>
      </c>
      <c r="W282" s="8">
        <f>V282/AA282</f>
        <v/>
      </c>
      <c r="X282" s="27">
        <f>((3*10+H282/COS(RADIANS(E282)))*(3+3)+3*G282*H282)*2</f>
        <v/>
      </c>
      <c r="Y282" s="28">
        <f>Z282/X282</f>
        <v/>
      </c>
      <c r="Z282" s="29" t="n">
        <v>655.435047586632</v>
      </c>
      <c r="AA282" s="20" t="n">
        <v>36.4192331273467</v>
      </c>
      <c r="AB282" t="n">
        <v>0.03321075190075408</v>
      </c>
      <c r="AC282" t="n">
        <v>34.71265815525313</v>
      </c>
      <c r="AD282" t="n">
        <v>3.009816101545192</v>
      </c>
    </row>
    <row r="283">
      <c r="A283" t="n">
        <v>282</v>
      </c>
      <c r="B283" t="n">
        <v>49.4</v>
      </c>
      <c r="C283" s="21">
        <f>B283-20</f>
        <v/>
      </c>
      <c r="D283" t="n">
        <v>114.1</v>
      </c>
      <c r="E283" s="22">
        <f>D283-90</f>
        <v/>
      </c>
      <c r="F283" s="23" t="n">
        <v>0.009568</v>
      </c>
      <c r="G283" s="22" t="n">
        <v>24.7</v>
      </c>
      <c r="H283" s="22" t="n">
        <v>1.7</v>
      </c>
      <c r="I283" s="24" t="n">
        <v>0.0509566813707351</v>
      </c>
      <c r="J283" s="6" t="n">
        <v>71000</v>
      </c>
      <c r="K283" s="25">
        <f>23*10^-6</f>
        <v/>
      </c>
      <c r="L283" s="8">
        <f>H283</f>
        <v/>
      </c>
      <c r="M283" s="26">
        <f>H283^2/6</f>
        <v/>
      </c>
      <c r="N283" s="26">
        <f>H283^3/12</f>
        <v/>
      </c>
      <c r="O283" s="27">
        <f>-J283*L283*K283*C283</f>
        <v/>
      </c>
      <c r="P283" s="28">
        <f>-(12*F283*J283*L283*N283+12*O283*N283*G283*COS(RADIANS(E283)))/(12*N283*G283*COS(RADIANS(E283))^2+L283*G283^3*SIN(RADIANS(E283))^2)</f>
        <v/>
      </c>
      <c r="Q283" s="28">
        <f>-(6*F283*J283*L283*N283*SIN(RADIANS(E283))+6*O283*N283*G283*SIN(RADIANS(E283))*COS(RADIANS(E283)))/(12*N283*COS(RADIANS(E283))^2+L283*G283^2*SIN(RADIANS(E283))^2)</f>
        <v/>
      </c>
      <c r="R283" s="28">
        <f>-P283*SIN(RADIANS(E283))</f>
        <v/>
      </c>
      <c r="S283" s="8">
        <f>(O283+P283*COS(RADIANS(E283)))/L283</f>
        <v/>
      </c>
      <c r="T283" s="8">
        <f>R283/L283</f>
        <v/>
      </c>
      <c r="U283" s="8">
        <f>(Q283-P283*G283*SIN(RADIANS(E283)))/M283</f>
        <v/>
      </c>
      <c r="V283" s="8">
        <f>SQRT((S283+U283)^2+3*T283^2)</f>
        <v/>
      </c>
      <c r="W283" s="8">
        <f>V283/AA283</f>
        <v/>
      </c>
      <c r="X283" s="27">
        <f>((3*10+H283/COS(RADIANS(E283)))*(3+3)+3*G283*H283)*2</f>
        <v/>
      </c>
      <c r="Y283" s="28">
        <f>Z283/X283</f>
        <v/>
      </c>
      <c r="Z283" s="29" t="n">
        <v>640.0133507144189</v>
      </c>
      <c r="AA283" s="20" t="n">
        <v>47.3323129854338</v>
      </c>
      <c r="AB283" t="n">
        <v>0.06075304061755057</v>
      </c>
      <c r="AC283" t="n">
        <v>45.78003764799216</v>
      </c>
      <c r="AD283" t="n">
        <v>19.22487686264753</v>
      </c>
    </row>
    <row r="284">
      <c r="A284" t="n">
        <v>283</v>
      </c>
      <c r="B284" t="n">
        <v>81.7</v>
      </c>
      <c r="C284" s="21">
        <f>B284-20</f>
        <v/>
      </c>
      <c r="D284" t="n">
        <v>108.2</v>
      </c>
      <c r="E284" s="22">
        <f>D284-90</f>
        <v/>
      </c>
      <c r="F284" s="23" t="n">
        <v>0.023999</v>
      </c>
      <c r="G284" s="22" t="n">
        <v>29.6</v>
      </c>
      <c r="H284" s="22" t="n">
        <v>1.8</v>
      </c>
      <c r="I284" s="24" t="n">
        <v>0.148031175136566</v>
      </c>
      <c r="J284" s="6" t="n">
        <v>71000</v>
      </c>
      <c r="K284" s="25">
        <f>23*10^-6</f>
        <v/>
      </c>
      <c r="L284" s="8">
        <f>H284</f>
        <v/>
      </c>
      <c r="M284" s="26">
        <f>H284^2/6</f>
        <v/>
      </c>
      <c r="N284" s="26">
        <f>H284^3/12</f>
        <v/>
      </c>
      <c r="O284" s="27">
        <f>-J284*L284*K284*C284</f>
        <v/>
      </c>
      <c r="P284" s="28">
        <f>-(12*F284*J284*L284*N284+12*O284*N284*G284*COS(RADIANS(E284)))/(12*N284*G284*COS(RADIANS(E284))^2+L284*G284^3*SIN(RADIANS(E284))^2)</f>
        <v/>
      </c>
      <c r="Q284" s="28">
        <f>-(6*F284*J284*L284*N284*SIN(RADIANS(E284))+6*O284*N284*G284*SIN(RADIANS(E284))*COS(RADIANS(E284)))/(12*N284*COS(RADIANS(E284))^2+L284*G284^2*SIN(RADIANS(E284))^2)</f>
        <v/>
      </c>
      <c r="R284" s="28">
        <f>-P284*SIN(RADIANS(E284))</f>
        <v/>
      </c>
      <c r="S284" s="8">
        <f>(O284+P284*COS(RADIANS(E284)))/L284</f>
        <v/>
      </c>
      <c r="T284" s="8">
        <f>R284/L284</f>
        <v/>
      </c>
      <c r="U284" s="8">
        <f>(Q284-P284*G284*SIN(RADIANS(E284)))/M284</f>
        <v/>
      </c>
      <c r="V284" s="8">
        <f>SQRT((S284+U284)^2+3*T284^2)</f>
        <v/>
      </c>
      <c r="W284" s="8">
        <f>V284/AA284</f>
        <v/>
      </c>
      <c r="X284" s="27">
        <f>((3*10+H284/COS(RADIANS(E284)))*(3+3)+3*G284*H284)*2</f>
        <v/>
      </c>
      <c r="Y284" s="28">
        <f>Z284/X284</f>
        <v/>
      </c>
      <c r="Z284" s="29" t="n">
        <v>707.115041560676</v>
      </c>
      <c r="AA284" s="20" t="n">
        <v>101.810717182257</v>
      </c>
      <c r="AB284" t="n">
        <v>0.2003568321615598</v>
      </c>
      <c r="AC284" t="n">
        <v>99.50167517150304</v>
      </c>
      <c r="AD284" t="n">
        <v>35.3477279206362</v>
      </c>
    </row>
    <row r="285">
      <c r="A285" t="n">
        <v>284</v>
      </c>
      <c r="B285" t="n">
        <v>82.59999999999999</v>
      </c>
      <c r="C285" s="21">
        <f>B285-20</f>
        <v/>
      </c>
      <c r="D285" t="n">
        <v>112.5</v>
      </c>
      <c r="E285" s="22">
        <f>D285-90</f>
        <v/>
      </c>
      <c r="F285" s="23" t="n">
        <v>0.026962</v>
      </c>
      <c r="G285" s="22" t="n">
        <v>34.4</v>
      </c>
      <c r="H285" s="22" t="n">
        <v>2</v>
      </c>
      <c r="I285" s="24" t="n">
        <v>0.143052875995636</v>
      </c>
      <c r="J285" s="6" t="n">
        <v>71000</v>
      </c>
      <c r="K285" s="25">
        <f>23*10^-6</f>
        <v/>
      </c>
      <c r="L285" s="8">
        <f>H285</f>
        <v/>
      </c>
      <c r="M285" s="26">
        <f>H285^2/6</f>
        <v/>
      </c>
      <c r="N285" s="26">
        <f>H285^3/12</f>
        <v/>
      </c>
      <c r="O285" s="27">
        <f>-J285*L285*K285*C285</f>
        <v/>
      </c>
      <c r="P285" s="28">
        <f>-(12*F285*J285*L285*N285+12*O285*N285*G285*COS(RADIANS(E285)))/(12*N285*G285*COS(RADIANS(E285))^2+L285*G285^3*SIN(RADIANS(E285))^2)</f>
        <v/>
      </c>
      <c r="Q285" s="28">
        <f>-(6*F285*J285*L285*N285*SIN(RADIANS(E285))+6*O285*N285*G285*SIN(RADIANS(E285))*COS(RADIANS(E285)))/(12*N285*COS(RADIANS(E285))^2+L285*G285^2*SIN(RADIANS(E285))^2)</f>
        <v/>
      </c>
      <c r="R285" s="28">
        <f>-P285*SIN(RADIANS(E285))</f>
        <v/>
      </c>
      <c r="S285" s="8">
        <f>(O285+P285*COS(RADIANS(E285)))/L285</f>
        <v/>
      </c>
      <c r="T285" s="8">
        <f>R285/L285</f>
        <v/>
      </c>
      <c r="U285" s="8">
        <f>(Q285-P285*G285*SIN(RADIANS(E285)))/M285</f>
        <v/>
      </c>
      <c r="V285" s="8">
        <f>SQRT((S285+U285)^2+3*T285^2)</f>
        <v/>
      </c>
      <c r="W285" s="8">
        <f>V285/AA285</f>
        <v/>
      </c>
      <c r="X285" s="27">
        <f>((3*10+H285/COS(RADIANS(E285)))*(3+3)+3*G285*H285)*2</f>
        <v/>
      </c>
      <c r="Y285" s="28">
        <f>Z285/X285</f>
        <v/>
      </c>
      <c r="Z285" s="29" t="n">
        <v>804.188454999676</v>
      </c>
      <c r="AA285" s="20" t="n">
        <v>102.75302804554</v>
      </c>
      <c r="AB285" t="n">
        <v>0.190544716150045</v>
      </c>
      <c r="AC285" t="n">
        <v>97.67548625274934</v>
      </c>
      <c r="AD285" t="n">
        <v>33.19880136898317</v>
      </c>
    </row>
    <row r="286">
      <c r="A286" t="n">
        <v>285</v>
      </c>
      <c r="B286" t="n">
        <v>57.6</v>
      </c>
      <c r="C286" s="21">
        <f>B286-20</f>
        <v/>
      </c>
      <c r="D286" t="n">
        <v>114.4</v>
      </c>
      <c r="E286" s="22">
        <f>D286-90</f>
        <v/>
      </c>
      <c r="F286" s="23" t="n">
        <v>0.011238</v>
      </c>
      <c r="G286" s="22" t="n">
        <v>22.2</v>
      </c>
      <c r="H286" s="22" t="n">
        <v>1.1</v>
      </c>
      <c r="I286" s="24" t="n">
        <v>0.0606427304446697</v>
      </c>
      <c r="J286" s="6" t="n">
        <v>71000</v>
      </c>
      <c r="K286" s="25">
        <f>23*10^-6</f>
        <v/>
      </c>
      <c r="L286" s="8">
        <f>H286</f>
        <v/>
      </c>
      <c r="M286" s="26">
        <f>H286^2/6</f>
        <v/>
      </c>
      <c r="N286" s="26">
        <f>H286^3/12</f>
        <v/>
      </c>
      <c r="O286" s="27">
        <f>-J286*L286*K286*C286</f>
        <v/>
      </c>
      <c r="P286" s="28">
        <f>-(12*F286*J286*L286*N286+12*O286*N286*G286*COS(RADIANS(E286)))/(12*N286*G286*COS(RADIANS(E286))^2+L286*G286^3*SIN(RADIANS(E286))^2)</f>
        <v/>
      </c>
      <c r="Q286" s="28">
        <f>-(6*F286*J286*L286*N286*SIN(RADIANS(E286))+6*O286*N286*G286*SIN(RADIANS(E286))*COS(RADIANS(E286)))/(12*N286*COS(RADIANS(E286))^2+L286*G286^2*SIN(RADIANS(E286))^2)</f>
        <v/>
      </c>
      <c r="R286" s="28">
        <f>-P286*SIN(RADIANS(E286))</f>
        <v/>
      </c>
      <c r="S286" s="8">
        <f>(O286+P286*COS(RADIANS(E286)))/L286</f>
        <v/>
      </c>
      <c r="T286" s="8">
        <f>R286/L286</f>
        <v/>
      </c>
      <c r="U286" s="8">
        <f>(Q286-P286*G286*SIN(RADIANS(E286)))/M286</f>
        <v/>
      </c>
      <c r="V286" s="8">
        <f>SQRT((S286+U286)^2+3*T286^2)</f>
        <v/>
      </c>
      <c r="W286" s="8">
        <f>V286/AA286</f>
        <v/>
      </c>
      <c r="X286" s="27">
        <f>((3*10+H286/COS(RADIANS(E286)))*(3+3)+3*G286*H286)*2</f>
        <v/>
      </c>
      <c r="Y286" s="28">
        <f>Z286/X286</f>
        <v/>
      </c>
      <c r="Z286" s="29" t="n">
        <v>526.80206183371</v>
      </c>
      <c r="AA286" s="20" t="n">
        <v>53.6549776558308</v>
      </c>
      <c r="AB286" t="n">
        <v>0.07034713727809745</v>
      </c>
      <c r="AC286" t="n">
        <v>56.13127438345275</v>
      </c>
      <c r="AD286" t="n">
        <v>16.00258887136032</v>
      </c>
    </row>
    <row r="287">
      <c r="A287" t="n">
        <v>286</v>
      </c>
      <c r="B287" t="n">
        <v>54.7</v>
      </c>
      <c r="C287" s="21">
        <f>B287-20</f>
        <v/>
      </c>
      <c r="D287" t="n">
        <v>122.4</v>
      </c>
      <c r="E287" s="22">
        <f>D287-90</f>
        <v/>
      </c>
      <c r="F287" s="23" t="n">
        <v>0.012327</v>
      </c>
      <c r="G287" s="22" t="n">
        <v>29.8</v>
      </c>
      <c r="H287" s="22" t="n">
        <v>1.1</v>
      </c>
      <c r="I287" s="24" t="n">
        <v>0.0557100474834442</v>
      </c>
      <c r="J287" s="6" t="n">
        <v>71000</v>
      </c>
      <c r="K287" s="25">
        <f>23*10^-6</f>
        <v/>
      </c>
      <c r="L287" s="8">
        <f>H287</f>
        <v/>
      </c>
      <c r="M287" s="26">
        <f>H287^2/6</f>
        <v/>
      </c>
      <c r="N287" s="26">
        <f>H287^3/12</f>
        <v/>
      </c>
      <c r="O287" s="27">
        <f>-J287*L287*K287*C287</f>
        <v/>
      </c>
      <c r="P287" s="28">
        <f>-(12*F287*J287*L287*N287+12*O287*N287*G287*COS(RADIANS(E287)))/(12*N287*G287*COS(RADIANS(E287))^2+L287*G287^3*SIN(RADIANS(E287))^2)</f>
        <v/>
      </c>
      <c r="Q287" s="28">
        <f>-(6*F287*J287*L287*N287*SIN(RADIANS(E287))+6*O287*N287*G287*SIN(RADIANS(E287))*COS(RADIANS(E287)))/(12*N287*COS(RADIANS(E287))^2+L287*G287^2*SIN(RADIANS(E287))^2)</f>
        <v/>
      </c>
      <c r="R287" s="28">
        <f>-P287*SIN(RADIANS(E287))</f>
        <v/>
      </c>
      <c r="S287" s="8">
        <f>(O287+P287*COS(RADIANS(E287)))/L287</f>
        <v/>
      </c>
      <c r="T287" s="8">
        <f>R287/L287</f>
        <v/>
      </c>
      <c r="U287" s="8">
        <f>(Q287-P287*G287*SIN(RADIANS(E287)))/M287</f>
        <v/>
      </c>
      <c r="V287" s="8">
        <f>SQRT((S287+U287)^2+3*T287^2)</f>
        <v/>
      </c>
      <c r="W287" s="8">
        <f>V287/AA287</f>
        <v/>
      </c>
      <c r="X287" s="27">
        <f>((3*10+H287/COS(RADIANS(E287)))*(3+3)+3*G287*H287)*2</f>
        <v/>
      </c>
      <c r="Y287" s="28">
        <f>Z287/X287</f>
        <v/>
      </c>
      <c r="Z287" s="29" t="n">
        <v>580.1723403158539</v>
      </c>
      <c r="AA287" s="20" t="n">
        <v>46.7175003760416</v>
      </c>
      <c r="AB287" t="n">
        <v>0.06356849471004686</v>
      </c>
      <c r="AC287" t="n">
        <v>49.67548245454287</v>
      </c>
      <c r="AD287" t="n">
        <v>14.10597833171479</v>
      </c>
    </row>
    <row r="288">
      <c r="A288" t="n">
        <v>287</v>
      </c>
      <c r="B288" t="n">
        <v>88.59999999999999</v>
      </c>
      <c r="C288" s="21">
        <f>B288-20</f>
        <v/>
      </c>
      <c r="D288" t="n">
        <v>102</v>
      </c>
      <c r="E288" s="22">
        <f>D288-90</f>
        <v/>
      </c>
      <c r="F288" s="23" t="n">
        <v>0.020527</v>
      </c>
      <c r="G288" s="22" t="n">
        <v>20.7</v>
      </c>
      <c r="H288" s="22" t="n">
        <v>1.3</v>
      </c>
      <c r="I288" s="24" t="n">
        <v>0.173889115452766</v>
      </c>
      <c r="J288" s="6" t="n">
        <v>71000</v>
      </c>
      <c r="K288" s="25">
        <f>23*10^-6</f>
        <v/>
      </c>
      <c r="L288" s="8">
        <f>H288</f>
        <v/>
      </c>
      <c r="M288" s="26">
        <f>H288^2/6</f>
        <v/>
      </c>
      <c r="N288" s="26">
        <f>H288^3/12</f>
        <v/>
      </c>
      <c r="O288" s="27">
        <f>-J288*L288*K288*C288</f>
        <v/>
      </c>
      <c r="P288" s="28">
        <f>-(12*F288*J288*L288*N288+12*O288*N288*G288*COS(RADIANS(E288)))/(12*N288*G288*COS(RADIANS(E288))^2+L288*G288^3*SIN(RADIANS(E288))^2)</f>
        <v/>
      </c>
      <c r="Q288" s="28">
        <f>-(6*F288*J288*L288*N288*SIN(RADIANS(E288))+6*O288*N288*G288*SIN(RADIANS(E288))*COS(RADIANS(E288)))/(12*N288*COS(RADIANS(E288))^2+L288*G288^2*SIN(RADIANS(E288))^2)</f>
        <v/>
      </c>
      <c r="R288" s="28">
        <f>-P288*SIN(RADIANS(E288))</f>
        <v/>
      </c>
      <c r="S288" s="8">
        <f>(O288+P288*COS(RADIANS(E288)))/L288</f>
        <v/>
      </c>
      <c r="T288" s="8">
        <f>R288/L288</f>
        <v/>
      </c>
      <c r="U288" s="8">
        <f>(Q288-P288*G288*SIN(RADIANS(E288)))/M288</f>
        <v/>
      </c>
      <c r="V288" s="8">
        <f>SQRT((S288+U288)^2+3*T288^2)</f>
        <v/>
      </c>
      <c r="W288" s="8">
        <f>V288/AA288</f>
        <v/>
      </c>
      <c r="X288" s="27">
        <f>((3*10+H288/COS(RADIANS(E288)))*(3+3)+3*G288*H288)*2</f>
        <v/>
      </c>
      <c r="Y288" s="28">
        <f>Z288/X288</f>
        <v/>
      </c>
      <c r="Z288" s="29" t="n">
        <v>541.378316942296</v>
      </c>
      <c r="AA288" s="20" t="n">
        <v>116.749768822011</v>
      </c>
      <c r="AB288" t="n">
        <v>0.2329427664312207</v>
      </c>
      <c r="AC288" t="n">
        <v>116.3481994072937</v>
      </c>
      <c r="AD288" t="n">
        <v>33.96052180994366</v>
      </c>
    </row>
    <row r="289">
      <c r="A289" t="n">
        <v>288</v>
      </c>
      <c r="B289" t="n">
        <v>44.6</v>
      </c>
      <c r="C289" s="21">
        <f>B289-20</f>
        <v/>
      </c>
      <c r="D289" t="n">
        <v>123.6</v>
      </c>
      <c r="E289" s="22">
        <f>D289-90</f>
        <v/>
      </c>
      <c r="F289" s="23" t="n">
        <v>0.008012999999999999</v>
      </c>
      <c r="G289" s="22" t="n">
        <v>27.1</v>
      </c>
      <c r="H289" s="22" t="n">
        <v>1.6</v>
      </c>
      <c r="I289" s="24" t="n">
        <v>0.0363420657813549</v>
      </c>
      <c r="J289" s="6" t="n">
        <v>71000</v>
      </c>
      <c r="K289" s="25">
        <f>23*10^-6</f>
        <v/>
      </c>
      <c r="L289" s="8">
        <f>H289</f>
        <v/>
      </c>
      <c r="M289" s="26">
        <f>H289^2/6</f>
        <v/>
      </c>
      <c r="N289" s="26">
        <f>H289^3/12</f>
        <v/>
      </c>
      <c r="O289" s="27">
        <f>-J289*L289*K289*C289</f>
        <v/>
      </c>
      <c r="P289" s="28">
        <f>-(12*F289*J289*L289*N289+12*O289*N289*G289*COS(RADIANS(E289)))/(12*N289*G289*COS(RADIANS(E289))^2+L289*G289^3*SIN(RADIANS(E289))^2)</f>
        <v/>
      </c>
      <c r="Q289" s="28">
        <f>-(6*F289*J289*L289*N289*SIN(RADIANS(E289))+6*O289*N289*G289*SIN(RADIANS(E289))*COS(RADIANS(E289)))/(12*N289*COS(RADIANS(E289))^2+L289*G289^2*SIN(RADIANS(E289))^2)</f>
        <v/>
      </c>
      <c r="R289" s="28">
        <f>-P289*SIN(RADIANS(E289))</f>
        <v/>
      </c>
      <c r="S289" s="8">
        <f>(O289+P289*COS(RADIANS(E289)))/L289</f>
        <v/>
      </c>
      <c r="T289" s="8">
        <f>R289/L289</f>
        <v/>
      </c>
      <c r="U289" s="8">
        <f>(Q289-P289*G289*SIN(RADIANS(E289)))/M289</f>
        <v/>
      </c>
      <c r="V289" s="8">
        <f>SQRT((S289+U289)^2+3*T289^2)</f>
        <v/>
      </c>
      <c r="W289" s="8">
        <f>V289/AA289</f>
        <v/>
      </c>
      <c r="X289" s="27">
        <f>((3*10+H289/COS(RADIANS(E289)))*(3+3)+3*G289*H289)*2</f>
        <v/>
      </c>
      <c r="Y289" s="28">
        <f>Z289/X289</f>
        <v/>
      </c>
      <c r="Z289" s="29" t="n">
        <v>651.4592775268389</v>
      </c>
      <c r="AA289" s="20" t="n">
        <v>37.1181972190647</v>
      </c>
      <c r="AB289" t="n">
        <v>0.03941456842429766</v>
      </c>
      <c r="AC289" t="n">
        <v>36.20072605367693</v>
      </c>
      <c r="AD289" t="n">
        <v>8.454397340613195</v>
      </c>
    </row>
    <row r="290">
      <c r="A290" t="n">
        <v>289</v>
      </c>
      <c r="B290" t="n">
        <v>48.8</v>
      </c>
      <c r="C290" s="21">
        <f>B290-20</f>
        <v/>
      </c>
      <c r="D290" t="n">
        <v>108.6</v>
      </c>
      <c r="E290" s="22">
        <f>D290-90</f>
        <v/>
      </c>
      <c r="F290" s="23" t="n">
        <v>0.010309</v>
      </c>
      <c r="G290" s="22" t="n">
        <v>26.8</v>
      </c>
      <c r="H290" s="22" t="n">
        <v>1.1</v>
      </c>
      <c r="I290" s="24" t="n">
        <v>0.0641116201877594</v>
      </c>
      <c r="J290" s="6" t="n">
        <v>71000</v>
      </c>
      <c r="K290" s="25">
        <f>23*10^-6</f>
        <v/>
      </c>
      <c r="L290" s="8">
        <f>H290</f>
        <v/>
      </c>
      <c r="M290" s="26">
        <f>H290^2/6</f>
        <v/>
      </c>
      <c r="N290" s="26">
        <f>H290^3/12</f>
        <v/>
      </c>
      <c r="O290" s="27">
        <f>-J290*L290*K290*C290</f>
        <v/>
      </c>
      <c r="P290" s="28">
        <f>-(12*F290*J290*L290*N290+12*O290*N290*G290*COS(RADIANS(E290)))/(12*N290*G290*COS(RADIANS(E290))^2+L290*G290^3*SIN(RADIANS(E290))^2)</f>
        <v/>
      </c>
      <c r="Q290" s="28">
        <f>-(6*F290*J290*L290*N290*SIN(RADIANS(E290))+6*O290*N290*G290*SIN(RADIANS(E290))*COS(RADIANS(E290)))/(12*N290*COS(RADIANS(E290))^2+L290*G290^2*SIN(RADIANS(E290))^2)</f>
        <v/>
      </c>
      <c r="R290" s="28">
        <f>-P290*SIN(RADIANS(E290))</f>
        <v/>
      </c>
      <c r="S290" s="8">
        <f>(O290+P290*COS(RADIANS(E290)))/L290</f>
        <v/>
      </c>
      <c r="T290" s="8">
        <f>R290/L290</f>
        <v/>
      </c>
      <c r="U290" s="8">
        <f>(Q290-P290*G290*SIN(RADIANS(E290)))/M290</f>
        <v/>
      </c>
      <c r="V290" s="8">
        <f>SQRT((S290+U290)^2+3*T290^2)</f>
        <v/>
      </c>
      <c r="W290" s="8">
        <f>V290/AA290</f>
        <v/>
      </c>
      <c r="X290" s="27">
        <f>((3*10+H290/COS(RADIANS(E290)))*(3+3)+3*G290*H290)*2</f>
        <v/>
      </c>
      <c r="Y290" s="28">
        <f>Z290/X290</f>
        <v/>
      </c>
      <c r="Z290" s="29" t="n">
        <v>555.563724247553</v>
      </c>
      <c r="AA290" s="20" t="n">
        <v>41.0049403805755</v>
      </c>
      <c r="AB290" t="n">
        <v>0.08497491655858261</v>
      </c>
      <c r="AC290" t="n">
        <v>43.86320354764242</v>
      </c>
      <c r="AD290" t="n">
        <v>32.54214494926547</v>
      </c>
    </row>
    <row r="291">
      <c r="A291" t="n">
        <v>290</v>
      </c>
      <c r="B291" t="n">
        <v>63.1</v>
      </c>
      <c r="C291" s="21">
        <f>B291-20</f>
        <v/>
      </c>
      <c r="D291" t="n">
        <v>112.4</v>
      </c>
      <c r="E291" s="22">
        <f>D291-90</f>
        <v/>
      </c>
      <c r="F291" s="23" t="n">
        <v>0.018529</v>
      </c>
      <c r="G291" s="22" t="n">
        <v>34.3</v>
      </c>
      <c r="H291" s="22" t="n">
        <v>1.3</v>
      </c>
      <c r="I291" s="24" t="n">
        <v>0.09894014894962309</v>
      </c>
      <c r="J291" s="6" t="n">
        <v>71000</v>
      </c>
      <c r="K291" s="25">
        <f>23*10^-6</f>
        <v/>
      </c>
      <c r="L291" s="8">
        <f>H291</f>
        <v/>
      </c>
      <c r="M291" s="26">
        <f>H291^2/6</f>
        <v/>
      </c>
      <c r="N291" s="26">
        <f>H291^3/12</f>
        <v/>
      </c>
      <c r="O291" s="27">
        <f>-J291*L291*K291*C291</f>
        <v/>
      </c>
      <c r="P291" s="28">
        <f>-(12*F291*J291*L291*N291+12*O291*N291*G291*COS(RADIANS(E291)))/(12*N291*G291*COS(RADIANS(E291))^2+L291*G291^3*SIN(RADIANS(E291))^2)</f>
        <v/>
      </c>
      <c r="Q291" s="28">
        <f>-(6*F291*J291*L291*N291*SIN(RADIANS(E291))+6*O291*N291*G291*SIN(RADIANS(E291))*COS(RADIANS(E291)))/(12*N291*COS(RADIANS(E291))^2+L291*G291^2*SIN(RADIANS(E291))^2)</f>
        <v/>
      </c>
      <c r="R291" s="28">
        <f>-P291*SIN(RADIANS(E291))</f>
        <v/>
      </c>
      <c r="S291" s="8">
        <f>(O291+P291*COS(RADIANS(E291)))/L291</f>
        <v/>
      </c>
      <c r="T291" s="8">
        <f>R291/L291</f>
        <v/>
      </c>
      <c r="U291" s="8">
        <f>(Q291-P291*G291*SIN(RADIANS(E291)))/M291</f>
        <v/>
      </c>
      <c r="V291" s="8">
        <f>SQRT((S291+U291)^2+3*T291^2)</f>
        <v/>
      </c>
      <c r="W291" s="8">
        <f>V291/AA291</f>
        <v/>
      </c>
      <c r="X291" s="27">
        <f>((3*10+H291/COS(RADIANS(E291)))*(3+3)+3*G291*H291)*2</f>
        <v/>
      </c>
      <c r="Y291" s="28">
        <f>Z291/X291</f>
        <v/>
      </c>
      <c r="Z291" s="29" t="n">
        <v>649.805460966031</v>
      </c>
      <c r="AA291" s="20" t="n">
        <v>62.398920103234</v>
      </c>
      <c r="AB291" t="n">
        <v>0.1329930647084913</v>
      </c>
      <c r="AC291" t="n">
        <v>64.19090686486082</v>
      </c>
      <c r="AD291" t="n">
        <v>34.41769202935688</v>
      </c>
    </row>
    <row r="292">
      <c r="A292" t="n">
        <v>291</v>
      </c>
      <c r="B292" t="n">
        <v>57.9</v>
      </c>
      <c r="C292" s="21">
        <f>B292-20</f>
        <v/>
      </c>
      <c r="D292" t="n">
        <v>108.3</v>
      </c>
      <c r="E292" s="22">
        <f>D292-90</f>
        <v/>
      </c>
      <c r="F292" s="23" t="n">
        <v>0.011535</v>
      </c>
      <c r="G292" s="22" t="n">
        <v>21.8</v>
      </c>
      <c r="H292" s="22" t="n">
        <v>1.3</v>
      </c>
      <c r="I292" s="24" t="n">
        <v>0.07393252104520789</v>
      </c>
      <c r="J292" s="6" t="n">
        <v>71000</v>
      </c>
      <c r="K292" s="25">
        <f>23*10^-6</f>
        <v/>
      </c>
      <c r="L292" s="8">
        <f>H292</f>
        <v/>
      </c>
      <c r="M292" s="26">
        <f>H292^2/6</f>
        <v/>
      </c>
      <c r="N292" s="26">
        <f>H292^3/12</f>
        <v/>
      </c>
      <c r="O292" s="27">
        <f>-J292*L292*K292*C292</f>
        <v/>
      </c>
      <c r="P292" s="28">
        <f>-(12*F292*J292*L292*N292+12*O292*N292*G292*COS(RADIANS(E292)))/(12*N292*G292*COS(RADIANS(E292))^2+L292*G292^3*SIN(RADIANS(E292))^2)</f>
        <v/>
      </c>
      <c r="Q292" s="28">
        <f>-(6*F292*J292*L292*N292*SIN(RADIANS(E292))+6*O292*N292*G292*SIN(RADIANS(E292))*COS(RADIANS(E292)))/(12*N292*COS(RADIANS(E292))^2+L292*G292^2*SIN(RADIANS(E292))^2)</f>
        <v/>
      </c>
      <c r="R292" s="28">
        <f>-P292*SIN(RADIANS(E292))</f>
        <v/>
      </c>
      <c r="S292" s="8">
        <f>(O292+P292*COS(RADIANS(E292)))/L292</f>
        <v/>
      </c>
      <c r="T292" s="8">
        <f>R292/L292</f>
        <v/>
      </c>
      <c r="U292" s="8">
        <f>(Q292-P292*G292*SIN(RADIANS(E292)))/M292</f>
        <v/>
      </c>
      <c r="V292" s="8">
        <f>SQRT((S292+U292)^2+3*T292^2)</f>
        <v/>
      </c>
      <c r="W292" s="8">
        <f>V292/AA292</f>
        <v/>
      </c>
      <c r="X292" s="27">
        <f>((3*10+H292/COS(RADIANS(E292)))*(3+3)+3*G292*H292)*2</f>
        <v/>
      </c>
      <c r="Y292" s="28">
        <f>Z292/X292</f>
        <v/>
      </c>
      <c r="Z292" s="29" t="n">
        <v>551.183064125431</v>
      </c>
      <c r="AA292" s="20" t="n">
        <v>58.1133104555925</v>
      </c>
      <c r="AB292" t="n">
        <v>0.09227493693365868</v>
      </c>
      <c r="AC292" t="n">
        <v>59.94563289764235</v>
      </c>
      <c r="AD292" t="n">
        <v>24.80967188611742</v>
      </c>
    </row>
    <row r="293">
      <c r="A293" t="n">
        <v>292</v>
      </c>
      <c r="B293" t="n">
        <v>82.7</v>
      </c>
      <c r="C293" s="21">
        <f>B293-20</f>
        <v/>
      </c>
      <c r="D293" t="n">
        <v>115.7</v>
      </c>
      <c r="E293" s="22">
        <f>D293-90</f>
        <v/>
      </c>
      <c r="F293" s="23" t="n">
        <v>0.023353</v>
      </c>
      <c r="G293" s="22" t="n">
        <v>29.6</v>
      </c>
      <c r="H293" s="22" t="n">
        <v>1.4</v>
      </c>
      <c r="I293" s="24" t="n">
        <v>0.117432720959186</v>
      </c>
      <c r="J293" s="6" t="n">
        <v>71000</v>
      </c>
      <c r="K293" s="25">
        <f>23*10^-6</f>
        <v/>
      </c>
      <c r="L293" s="8">
        <f>H293</f>
        <v/>
      </c>
      <c r="M293" s="26">
        <f>H293^2/6</f>
        <v/>
      </c>
      <c r="N293" s="26">
        <f>H293^3/12</f>
        <v/>
      </c>
      <c r="O293" s="27">
        <f>-J293*L293*K293*C293</f>
        <v/>
      </c>
      <c r="P293" s="28">
        <f>-(12*F293*J293*L293*N293+12*O293*N293*G293*COS(RADIANS(E293)))/(12*N293*G293*COS(RADIANS(E293))^2+L293*G293^3*SIN(RADIANS(E293))^2)</f>
        <v/>
      </c>
      <c r="Q293" s="28">
        <f>-(6*F293*J293*L293*N293*SIN(RADIANS(E293))+6*O293*N293*G293*SIN(RADIANS(E293))*COS(RADIANS(E293)))/(12*N293*COS(RADIANS(E293))^2+L293*G293^2*SIN(RADIANS(E293))^2)</f>
        <v/>
      </c>
      <c r="R293" s="28">
        <f>-P293*SIN(RADIANS(E293))</f>
        <v/>
      </c>
      <c r="S293" s="8">
        <f>(O293+P293*COS(RADIANS(E293)))/L293</f>
        <v/>
      </c>
      <c r="T293" s="8">
        <f>R293/L293</f>
        <v/>
      </c>
      <c r="U293" s="8">
        <f>(Q293-P293*G293*SIN(RADIANS(E293)))/M293</f>
        <v/>
      </c>
      <c r="V293" s="8">
        <f>SQRT((S293+U293)^2+3*T293^2)</f>
        <v/>
      </c>
      <c r="W293" s="8">
        <f>V293/AA293</f>
        <v/>
      </c>
      <c r="X293" s="27">
        <f>((3*10+H293/COS(RADIANS(E293)))*(3+3)+3*G293*H293)*2</f>
        <v/>
      </c>
      <c r="Y293" s="28">
        <f>Z293/X293</f>
        <v/>
      </c>
      <c r="Z293" s="29" t="n">
        <v>633.352777598894</v>
      </c>
      <c r="AA293" s="20" t="n">
        <v>92.37140638792791</v>
      </c>
      <c r="AB293" t="n">
        <v>0.1454436212472653</v>
      </c>
      <c r="AC293" t="n">
        <v>93.55816268390238</v>
      </c>
      <c r="AD293" t="n">
        <v>23.85272184727331</v>
      </c>
    </row>
    <row r="294">
      <c r="A294" t="n">
        <v>293</v>
      </c>
      <c r="B294" t="n">
        <v>70.7</v>
      </c>
      <c r="C294" s="21">
        <f>B294-20</f>
        <v/>
      </c>
      <c r="D294" t="n">
        <v>106.5</v>
      </c>
      <c r="E294" s="22">
        <f>D294-90</f>
        <v/>
      </c>
      <c r="F294" s="23" t="n">
        <v>0.017877</v>
      </c>
      <c r="G294" s="22" t="n">
        <v>26</v>
      </c>
      <c r="H294" s="22" t="n">
        <v>1.7</v>
      </c>
      <c r="I294" s="24" t="n">
        <v>0.11907372623682</v>
      </c>
      <c r="J294" s="6" t="n">
        <v>71000</v>
      </c>
      <c r="K294" s="25">
        <f>23*10^-6</f>
        <v/>
      </c>
      <c r="L294" s="8">
        <f>H294</f>
        <v/>
      </c>
      <c r="M294" s="26">
        <f>H294^2/6</f>
        <v/>
      </c>
      <c r="N294" s="26">
        <f>H294^3/12</f>
        <v/>
      </c>
      <c r="O294" s="27">
        <f>-J294*L294*K294*C294</f>
        <v/>
      </c>
      <c r="P294" s="28">
        <f>-(12*F294*J294*L294*N294+12*O294*N294*G294*COS(RADIANS(E294)))/(12*N294*G294*COS(RADIANS(E294))^2+L294*G294^3*SIN(RADIANS(E294))^2)</f>
        <v/>
      </c>
      <c r="Q294" s="28">
        <f>-(6*F294*J294*L294*N294*SIN(RADIANS(E294))+6*O294*N294*G294*SIN(RADIANS(E294))*COS(RADIANS(E294)))/(12*N294*COS(RADIANS(E294))^2+L294*G294^2*SIN(RADIANS(E294))^2)</f>
        <v/>
      </c>
      <c r="R294" s="28">
        <f>-P294*SIN(RADIANS(E294))</f>
        <v/>
      </c>
      <c r="S294" s="8">
        <f>(O294+P294*COS(RADIANS(E294)))/L294</f>
        <v/>
      </c>
      <c r="T294" s="8">
        <f>R294/L294</f>
        <v/>
      </c>
      <c r="U294" s="8">
        <f>(Q294-P294*G294*SIN(RADIANS(E294)))/M294</f>
        <v/>
      </c>
      <c r="V294" s="8">
        <f>SQRT((S294+U294)^2+3*T294^2)</f>
        <v/>
      </c>
      <c r="W294" s="8">
        <f>V294/AA294</f>
        <v/>
      </c>
      <c r="X294" s="27">
        <f>((3*10+H294/COS(RADIANS(E294)))*(3+3)+3*G294*H294)*2</f>
        <v/>
      </c>
      <c r="Y294" s="28">
        <f>Z294/X294</f>
        <v/>
      </c>
      <c r="Z294" s="29" t="n">
        <v>650.9405611115531</v>
      </c>
      <c r="AA294" s="20" t="n">
        <v>84.36999908649329</v>
      </c>
      <c r="AB294" t="n">
        <v>0.1590904960914133</v>
      </c>
      <c r="AC294" t="n">
        <v>83.43711053255785</v>
      </c>
      <c r="AD294" t="n">
        <v>33.60671671180078</v>
      </c>
    </row>
    <row r="295">
      <c r="A295" t="n">
        <v>294</v>
      </c>
      <c r="B295" t="n">
        <v>86.90000000000001</v>
      </c>
      <c r="C295" s="21">
        <f>B295-20</f>
        <v/>
      </c>
      <c r="D295" t="n">
        <v>129.2</v>
      </c>
      <c r="E295" s="22">
        <f>D295-90</f>
        <v/>
      </c>
      <c r="F295" s="23" t="n">
        <v>0.019115</v>
      </c>
      <c r="G295" s="22" t="n">
        <v>24.6</v>
      </c>
      <c r="H295" s="22" t="n">
        <v>1.2</v>
      </c>
      <c r="I295" s="24" t="n">
        <v>0.0845781117677688</v>
      </c>
      <c r="J295" s="6" t="n">
        <v>71000</v>
      </c>
      <c r="K295" s="25">
        <f>23*10^-6</f>
        <v/>
      </c>
      <c r="L295" s="8">
        <f>H295</f>
        <v/>
      </c>
      <c r="M295" s="26">
        <f>H295^2/6</f>
        <v/>
      </c>
      <c r="N295" s="26">
        <f>H295^3/12</f>
        <v/>
      </c>
      <c r="O295" s="27">
        <f>-J295*L295*K295*C295</f>
        <v/>
      </c>
      <c r="P295" s="28">
        <f>-(12*F295*J295*L295*N295+12*O295*N295*G295*COS(RADIANS(E295)))/(12*N295*G295*COS(RADIANS(E295))^2+L295*G295^3*SIN(RADIANS(E295))^2)</f>
        <v/>
      </c>
      <c r="Q295" s="28">
        <f>-(6*F295*J295*L295*N295*SIN(RADIANS(E295))+6*O295*N295*G295*SIN(RADIANS(E295))*COS(RADIANS(E295)))/(12*N295*COS(RADIANS(E295))^2+L295*G295^2*SIN(RADIANS(E295))^2)</f>
        <v/>
      </c>
      <c r="R295" s="28">
        <f>-P295*SIN(RADIANS(E295))</f>
        <v/>
      </c>
      <c r="S295" s="8">
        <f>(O295+P295*COS(RADIANS(E295)))/L295</f>
        <v/>
      </c>
      <c r="T295" s="8">
        <f>R295/L295</f>
        <v/>
      </c>
      <c r="U295" s="8">
        <f>(Q295-P295*G295*SIN(RADIANS(E295)))/M295</f>
        <v/>
      </c>
      <c r="V295" s="8">
        <f>SQRT((S295+U295)^2+3*T295^2)</f>
        <v/>
      </c>
      <c r="W295" s="8">
        <f>V295/AA295</f>
        <v/>
      </c>
      <c r="X295" s="27">
        <f>((3*10+H295/COS(RADIANS(E295)))*(3+3)+3*G295*H295)*2</f>
        <v/>
      </c>
      <c r="Y295" s="28">
        <f>Z295/X295</f>
        <v/>
      </c>
      <c r="Z295" s="29" t="n">
        <v>566.1055657626709</v>
      </c>
      <c r="AA295" s="20" t="n">
        <v>91.000926806777</v>
      </c>
      <c r="AB295" t="n">
        <v>0.08297440717767542</v>
      </c>
      <c r="AC295" t="n">
        <v>95.33968703465688</v>
      </c>
      <c r="AD295" t="n">
        <v>-1.896122479651445</v>
      </c>
    </row>
    <row r="296">
      <c r="A296" t="n">
        <v>295</v>
      </c>
      <c r="B296" t="n">
        <v>55.4</v>
      </c>
      <c r="C296" s="21">
        <f>B296-20</f>
        <v/>
      </c>
      <c r="D296" t="n">
        <v>102</v>
      </c>
      <c r="E296" s="22">
        <f>D296-90</f>
        <v/>
      </c>
      <c r="F296" s="23" t="n">
        <v>0.014027</v>
      </c>
      <c r="G296" s="22" t="n">
        <v>29.4</v>
      </c>
      <c r="H296" s="22" t="n">
        <v>1.6</v>
      </c>
      <c r="I296" s="24" t="n">
        <v>0.116234630346298</v>
      </c>
      <c r="J296" s="6" t="n">
        <v>71000</v>
      </c>
      <c r="K296" s="25">
        <f>23*10^-6</f>
        <v/>
      </c>
      <c r="L296" s="8">
        <f>H296</f>
        <v/>
      </c>
      <c r="M296" s="26">
        <f>H296^2/6</f>
        <v/>
      </c>
      <c r="N296" s="26">
        <f>H296^3/12</f>
        <v/>
      </c>
      <c r="O296" s="27">
        <f>-J296*L296*K296*C296</f>
        <v/>
      </c>
      <c r="P296" s="28">
        <f>-(12*F296*J296*L296*N296+12*O296*N296*G296*COS(RADIANS(E296)))/(12*N296*G296*COS(RADIANS(E296))^2+L296*G296^3*SIN(RADIANS(E296))^2)</f>
        <v/>
      </c>
      <c r="Q296" s="28">
        <f>-(6*F296*J296*L296*N296*SIN(RADIANS(E296))+6*O296*N296*G296*SIN(RADIANS(E296))*COS(RADIANS(E296)))/(12*N296*COS(RADIANS(E296))^2+L296*G296^2*SIN(RADIANS(E296))^2)</f>
        <v/>
      </c>
      <c r="R296" s="28">
        <f>-P296*SIN(RADIANS(E296))</f>
        <v/>
      </c>
      <c r="S296" s="8">
        <f>(O296+P296*COS(RADIANS(E296)))/L296</f>
        <v/>
      </c>
      <c r="T296" s="8">
        <f>R296/L296</f>
        <v/>
      </c>
      <c r="U296" s="8">
        <f>(Q296-P296*G296*SIN(RADIANS(E296)))/M296</f>
        <v/>
      </c>
      <c r="V296" s="8">
        <f>SQRT((S296+U296)^2+3*T296^2)</f>
        <v/>
      </c>
      <c r="W296" s="8">
        <f>V296/AA296</f>
        <v/>
      </c>
      <c r="X296" s="27">
        <f>((3*10+H296/COS(RADIANS(E296)))*(3+3)+3*G296*H296)*2</f>
        <v/>
      </c>
      <c r="Y296" s="28">
        <f>Z296/X296</f>
        <v/>
      </c>
      <c r="Z296" s="29" t="n">
        <v>665.838743083812</v>
      </c>
      <c r="AA296" s="20" t="n">
        <v>58.9084911040951</v>
      </c>
      <c r="AB296" t="n">
        <v>0.1697973362885348</v>
      </c>
      <c r="AC296" t="n">
        <v>60.11680894417806</v>
      </c>
      <c r="AD296" t="n">
        <v>46.08153850763528</v>
      </c>
    </row>
    <row r="297">
      <c r="A297" t="n">
        <v>296</v>
      </c>
      <c r="B297" t="n">
        <v>42.5</v>
      </c>
      <c r="C297" s="21">
        <f>B297-20</f>
        <v/>
      </c>
      <c r="D297" t="n">
        <v>109.9</v>
      </c>
      <c r="E297" s="22">
        <f>D297-90</f>
        <v/>
      </c>
      <c r="F297" s="23" t="n">
        <v>0.009329</v>
      </c>
      <c r="G297" s="22" t="n">
        <v>32.3</v>
      </c>
      <c r="H297" s="22" t="n">
        <v>1.2</v>
      </c>
      <c r="I297" s="24" t="n">
        <v>0.0541732758283615</v>
      </c>
      <c r="J297" s="6" t="n">
        <v>71000</v>
      </c>
      <c r="K297" s="25">
        <f>23*10^-6</f>
        <v/>
      </c>
      <c r="L297" s="8">
        <f>H297</f>
        <v/>
      </c>
      <c r="M297" s="26">
        <f>H297^2/6</f>
        <v/>
      </c>
      <c r="N297" s="26">
        <f>H297^3/12</f>
        <v/>
      </c>
      <c r="O297" s="27">
        <f>-J297*L297*K297*C297</f>
        <v/>
      </c>
      <c r="P297" s="28">
        <f>-(12*F297*J297*L297*N297+12*O297*N297*G297*COS(RADIANS(E297)))/(12*N297*G297*COS(RADIANS(E297))^2+L297*G297^3*SIN(RADIANS(E297))^2)</f>
        <v/>
      </c>
      <c r="Q297" s="28">
        <f>-(6*F297*J297*L297*N297*SIN(RADIANS(E297))+6*O297*N297*G297*SIN(RADIANS(E297))*COS(RADIANS(E297)))/(12*N297*COS(RADIANS(E297))^2+L297*G297^2*SIN(RADIANS(E297))^2)</f>
        <v/>
      </c>
      <c r="R297" s="28">
        <f>-P297*SIN(RADIANS(E297))</f>
        <v/>
      </c>
      <c r="S297" s="8">
        <f>(O297+P297*COS(RADIANS(E297)))/L297</f>
        <v/>
      </c>
      <c r="T297" s="8">
        <f>R297/L297</f>
        <v/>
      </c>
      <c r="U297" s="8">
        <f>(Q297-P297*G297*SIN(RADIANS(E297)))/M297</f>
        <v/>
      </c>
      <c r="V297" s="8">
        <f>SQRT((S297+U297)^2+3*T297^2)</f>
        <v/>
      </c>
      <c r="W297" s="8">
        <f>V297/AA297</f>
        <v/>
      </c>
      <c r="X297" s="27">
        <f>((3*10+H297/COS(RADIANS(E297)))*(3+3)+3*G297*H297)*2</f>
        <v/>
      </c>
      <c r="Y297" s="28">
        <f>Z297/X297</f>
        <v/>
      </c>
      <c r="Z297" s="29" t="n">
        <v>612.832175462032</v>
      </c>
      <c r="AA297" s="20" t="n">
        <v>32.306811786269</v>
      </c>
      <c r="AB297" t="n">
        <v>0.07406373585016977</v>
      </c>
      <c r="AC297" t="n">
        <v>33.83451209796124</v>
      </c>
      <c r="AD297" t="n">
        <v>36.71636931247743</v>
      </c>
    </row>
    <row r="298">
      <c r="A298" t="n">
        <v>297</v>
      </c>
      <c r="B298" t="n">
        <v>43.2</v>
      </c>
      <c r="C298" s="21">
        <f>B298-20</f>
        <v/>
      </c>
      <c r="D298" t="n">
        <v>115.7</v>
      </c>
      <c r="E298" s="22">
        <f>D298-90</f>
        <v/>
      </c>
      <c r="F298" s="23" t="n">
        <v>0.00764</v>
      </c>
      <c r="G298" s="22" t="n">
        <v>25.4</v>
      </c>
      <c r="H298" s="22" t="n">
        <v>1.4</v>
      </c>
      <c r="I298" s="24" t="n">
        <v>0.0392573997378349</v>
      </c>
      <c r="J298" s="6" t="n">
        <v>71000</v>
      </c>
      <c r="K298" s="25">
        <f>23*10^-6</f>
        <v/>
      </c>
      <c r="L298" s="8">
        <f>H298</f>
        <v/>
      </c>
      <c r="M298" s="26">
        <f>H298^2/6</f>
        <v/>
      </c>
      <c r="N298" s="26">
        <f>H298^3/12</f>
        <v/>
      </c>
      <c r="O298" s="27">
        <f>-J298*L298*K298*C298</f>
        <v/>
      </c>
      <c r="P298" s="28">
        <f>-(12*F298*J298*L298*N298+12*O298*N298*G298*COS(RADIANS(E298)))/(12*N298*G298*COS(RADIANS(E298))^2+L298*G298^3*SIN(RADIANS(E298))^2)</f>
        <v/>
      </c>
      <c r="Q298" s="28">
        <f>-(6*F298*J298*L298*N298*SIN(RADIANS(E298))+6*O298*N298*G298*SIN(RADIANS(E298))*COS(RADIANS(E298)))/(12*N298*COS(RADIANS(E298))^2+L298*G298^2*SIN(RADIANS(E298))^2)</f>
        <v/>
      </c>
      <c r="R298" s="28">
        <f>-P298*SIN(RADIANS(E298))</f>
        <v/>
      </c>
      <c r="S298" s="8">
        <f>(O298+P298*COS(RADIANS(E298)))/L298</f>
        <v/>
      </c>
      <c r="T298" s="8">
        <f>R298/L298</f>
        <v/>
      </c>
      <c r="U298" s="8">
        <f>(Q298-P298*G298*SIN(RADIANS(E298)))/M298</f>
        <v/>
      </c>
      <c r="V298" s="8">
        <f>SQRT((S298+U298)^2+3*T298^2)</f>
        <v/>
      </c>
      <c r="W298" s="8">
        <f>V298/AA298</f>
        <v/>
      </c>
      <c r="X298" s="27">
        <f>((3*10+H298/COS(RADIANS(E298)))*(3+3)+3*G298*H298)*2</f>
        <v/>
      </c>
      <c r="Y298" s="28">
        <f>Z298/X298</f>
        <v/>
      </c>
      <c r="Z298" s="29" t="n">
        <v>598.072777598894</v>
      </c>
      <c r="AA298" s="20" t="n">
        <v>34.8714644313785</v>
      </c>
      <c r="AB298" t="n">
        <v>0.04647092726111583</v>
      </c>
      <c r="AC298" t="n">
        <v>34.96617370594947</v>
      </c>
      <c r="AD298" t="n">
        <v>18.37494987302681</v>
      </c>
    </row>
    <row r="299">
      <c r="A299" t="n">
        <v>298</v>
      </c>
      <c r="B299" t="n">
        <v>58.1</v>
      </c>
      <c r="C299" s="21">
        <f>B299-20</f>
        <v/>
      </c>
      <c r="D299" t="n">
        <v>109.7</v>
      </c>
      <c r="E299" s="22">
        <f>D299-90</f>
        <v/>
      </c>
      <c r="F299" s="23" t="n">
        <v>0.015037</v>
      </c>
      <c r="G299" s="22" t="n">
        <v>30.4</v>
      </c>
      <c r="H299" s="22" t="n">
        <v>1.5</v>
      </c>
      <c r="I299" s="24" t="n">
        <v>0.0882736220955848</v>
      </c>
      <c r="J299" s="6" t="n">
        <v>71000</v>
      </c>
      <c r="K299" s="25">
        <f>23*10^-6</f>
        <v/>
      </c>
      <c r="L299" s="8">
        <f>H299</f>
        <v/>
      </c>
      <c r="M299" s="26">
        <f>H299^2/6</f>
        <v/>
      </c>
      <c r="N299" s="26">
        <f>H299^3/12</f>
        <v/>
      </c>
      <c r="O299" s="27">
        <f>-J299*L299*K299*C299</f>
        <v/>
      </c>
      <c r="P299" s="28">
        <f>-(12*F299*J299*L299*N299+12*O299*N299*G299*COS(RADIANS(E299)))/(12*N299*G299*COS(RADIANS(E299))^2+L299*G299^3*SIN(RADIANS(E299))^2)</f>
        <v/>
      </c>
      <c r="Q299" s="28">
        <f>-(6*F299*J299*L299*N299*SIN(RADIANS(E299))+6*O299*N299*G299*SIN(RADIANS(E299))*COS(RADIANS(E299)))/(12*N299*COS(RADIANS(E299))^2+L299*G299^2*SIN(RADIANS(E299))^2)</f>
        <v/>
      </c>
      <c r="R299" s="28">
        <f>-P299*SIN(RADIANS(E299))</f>
        <v/>
      </c>
      <c r="S299" s="8">
        <f>(O299+P299*COS(RADIANS(E299)))/L299</f>
        <v/>
      </c>
      <c r="T299" s="8">
        <f>R299/L299</f>
        <v/>
      </c>
      <c r="U299" s="8">
        <f>(Q299-P299*G299*SIN(RADIANS(E299)))/M299</f>
        <v/>
      </c>
      <c r="V299" s="8">
        <f>SQRT((S299+U299)^2+3*T299^2)</f>
        <v/>
      </c>
      <c r="W299" s="8">
        <f>V299/AA299</f>
        <v/>
      </c>
      <c r="X299" s="27">
        <f>((3*10+H299/COS(RADIANS(E299)))*(3+3)+3*G299*H299)*2</f>
        <v/>
      </c>
      <c r="Y299" s="28">
        <f>Z299/X299</f>
        <v/>
      </c>
      <c r="Z299" s="29" t="n">
        <v>657.644690487276</v>
      </c>
      <c r="AA299" s="20" t="n">
        <v>58.3066502782458</v>
      </c>
      <c r="AB299" t="n">
        <v>0.1186679834279951</v>
      </c>
      <c r="AC299" t="n">
        <v>59.10528806174622</v>
      </c>
      <c r="AD299" t="n">
        <v>34.43198614813669</v>
      </c>
    </row>
    <row r="300">
      <c r="A300" t="n">
        <v>299</v>
      </c>
      <c r="B300" t="n">
        <v>50.1</v>
      </c>
      <c r="C300" s="21">
        <f>B300-20</f>
        <v/>
      </c>
      <c r="D300" t="n">
        <v>124.2</v>
      </c>
      <c r="E300" s="22">
        <f>D300-90</f>
        <v/>
      </c>
      <c r="F300" s="23" t="n">
        <v>0.008728</v>
      </c>
      <c r="G300" s="22" t="n">
        <v>23.5</v>
      </c>
      <c r="H300" s="22" t="n">
        <v>1.4</v>
      </c>
      <c r="I300" s="24" t="n">
        <v>0.0402159467339515</v>
      </c>
      <c r="J300" s="6" t="n">
        <v>71000</v>
      </c>
      <c r="K300" s="25">
        <f>23*10^-6</f>
        <v/>
      </c>
      <c r="L300" s="8">
        <f>H300</f>
        <v/>
      </c>
      <c r="M300" s="26">
        <f>H300^2/6</f>
        <v/>
      </c>
      <c r="N300" s="26">
        <f>H300^3/12</f>
        <v/>
      </c>
      <c r="O300" s="27">
        <f>-J300*L300*K300*C300</f>
        <v/>
      </c>
      <c r="P300" s="28">
        <f>-(12*F300*J300*L300*N300+12*O300*N300*G300*COS(RADIANS(E300)))/(12*N300*G300*COS(RADIANS(E300))^2+L300*G300^3*SIN(RADIANS(E300))^2)</f>
        <v/>
      </c>
      <c r="Q300" s="28">
        <f>-(6*F300*J300*L300*N300*SIN(RADIANS(E300))+6*O300*N300*G300*SIN(RADIANS(E300))*COS(RADIANS(E300)))/(12*N300*COS(RADIANS(E300))^2+L300*G300^2*SIN(RADIANS(E300))^2)</f>
        <v/>
      </c>
      <c r="R300" s="28">
        <f>-P300*SIN(RADIANS(E300))</f>
        <v/>
      </c>
      <c r="S300" s="8">
        <f>(O300+P300*COS(RADIANS(E300)))/L300</f>
        <v/>
      </c>
      <c r="T300" s="8">
        <f>R300/L300</f>
        <v/>
      </c>
      <c r="U300" s="8">
        <f>(Q300-P300*G300*SIN(RADIANS(E300)))/M300</f>
        <v/>
      </c>
      <c r="V300" s="8">
        <f>SQRT((S300+U300)^2+3*T300^2)</f>
        <v/>
      </c>
      <c r="W300" s="8">
        <f>V300/AA300</f>
        <v/>
      </c>
      <c r="X300" s="27">
        <f>((3*10+H300/COS(RADIANS(E300)))*(3+3)+3*G300*H300)*2</f>
        <v/>
      </c>
      <c r="Y300" s="28">
        <f>Z300/X300</f>
        <v/>
      </c>
      <c r="Z300" s="29" t="n">
        <v>586.163768756627</v>
      </c>
      <c r="AA300" s="20" t="n">
        <v>44.4199564307673</v>
      </c>
      <c r="AB300" t="n">
        <v>0.04142351425566608</v>
      </c>
      <c r="AC300" t="n">
        <v>44.02672405807793</v>
      </c>
      <c r="AD300" t="n">
        <v>3.002708178681559</v>
      </c>
    </row>
    <row r="301">
      <c r="A301" t="n">
        <v>300</v>
      </c>
      <c r="B301" t="n">
        <v>58.3</v>
      </c>
      <c r="C301" s="21">
        <f>B301-20</f>
        <v/>
      </c>
      <c r="D301" t="n">
        <v>103.4</v>
      </c>
      <c r="E301" s="22">
        <f>D301-90</f>
        <v/>
      </c>
      <c r="F301" s="23" t="n">
        <v>0.011327</v>
      </c>
      <c r="G301" s="22" t="n">
        <v>20.5</v>
      </c>
      <c r="H301" s="22" t="n">
        <v>1.7</v>
      </c>
      <c r="I301" s="24" t="n">
        <v>0.0861988142132759</v>
      </c>
      <c r="J301" s="6" t="n">
        <v>71000</v>
      </c>
      <c r="K301" s="25">
        <f>23*10^-6</f>
        <v/>
      </c>
      <c r="L301" s="8">
        <f>H301</f>
        <v/>
      </c>
      <c r="M301" s="26">
        <f>H301^2/6</f>
        <v/>
      </c>
      <c r="N301" s="26">
        <f>H301^3/12</f>
        <v/>
      </c>
      <c r="O301" s="27">
        <f>-J301*L301*K301*C301</f>
        <v/>
      </c>
      <c r="P301" s="28">
        <f>-(12*F301*J301*L301*N301+12*O301*N301*G301*COS(RADIANS(E301)))/(12*N301*G301*COS(RADIANS(E301))^2+L301*G301^3*SIN(RADIANS(E301))^2)</f>
        <v/>
      </c>
      <c r="Q301" s="28">
        <f>-(6*F301*J301*L301*N301*SIN(RADIANS(E301))+6*O301*N301*G301*SIN(RADIANS(E301))*COS(RADIANS(E301)))/(12*N301*COS(RADIANS(E301))^2+L301*G301^2*SIN(RADIANS(E301))^2)</f>
        <v/>
      </c>
      <c r="R301" s="28">
        <f>-P301*SIN(RADIANS(E301))</f>
        <v/>
      </c>
      <c r="S301" s="8">
        <f>(O301+P301*COS(RADIANS(E301)))/L301</f>
        <v/>
      </c>
      <c r="T301" s="8">
        <f>R301/L301</f>
        <v/>
      </c>
      <c r="U301" s="8">
        <f>(Q301-P301*G301*SIN(RADIANS(E301)))/M301</f>
        <v/>
      </c>
      <c r="V301" s="8">
        <f>SQRT((S301+U301)^2+3*T301^2)</f>
        <v/>
      </c>
      <c r="W301" s="8">
        <f>V301/AA301</f>
        <v/>
      </c>
      <c r="X301" s="27">
        <f>((3*10+H301/COS(RADIANS(E301)))*(3+3)+3*G301*H301)*2</f>
        <v/>
      </c>
      <c r="Y301" s="28">
        <f>Z301/X301</f>
        <v/>
      </c>
      <c r="Z301" s="29" t="n">
        <v>594.1762085187989</v>
      </c>
      <c r="AA301" s="20" t="n">
        <v>76.62409795500621</v>
      </c>
      <c r="AB301" t="n">
        <v>0.111616386733218</v>
      </c>
      <c r="AC301" t="n">
        <v>66.49145885399533</v>
      </c>
      <c r="AD301" t="n">
        <v>29.48714869447408</v>
      </c>
    </row>
    <row r="302">
      <c r="A302" t="n">
        <v>301</v>
      </c>
      <c r="B302" t="n">
        <v>85.8</v>
      </c>
      <c r="C302" s="21">
        <f>B302-20</f>
        <v/>
      </c>
      <c r="D302" t="n">
        <v>115.7</v>
      </c>
      <c r="E302" s="22">
        <f>D302-90</f>
        <v/>
      </c>
      <c r="F302" s="23" t="n">
        <v>0.019912</v>
      </c>
      <c r="G302" s="22" t="n">
        <v>22.8</v>
      </c>
      <c r="H302" s="22" t="n">
        <v>1.1</v>
      </c>
      <c r="I302" s="24" t="n">
        <v>0.104072503745555</v>
      </c>
      <c r="J302" s="6" t="n">
        <v>71000</v>
      </c>
      <c r="K302" s="25">
        <f>23*10^-6</f>
        <v/>
      </c>
      <c r="L302" s="8">
        <f>H302</f>
        <v/>
      </c>
      <c r="M302" s="26">
        <f>H302^2/6</f>
        <v/>
      </c>
      <c r="N302" s="26">
        <f>H302^3/12</f>
        <v/>
      </c>
      <c r="O302" s="27">
        <f>-J302*L302*K302*C302</f>
        <v/>
      </c>
      <c r="P302" s="28">
        <f>-(12*F302*J302*L302*N302+12*O302*N302*G302*COS(RADIANS(E302)))/(12*N302*G302*COS(RADIANS(E302))^2+L302*G302^3*SIN(RADIANS(E302))^2)</f>
        <v/>
      </c>
      <c r="Q302" s="28">
        <f>-(6*F302*J302*L302*N302*SIN(RADIANS(E302))+6*O302*N302*G302*SIN(RADIANS(E302))*COS(RADIANS(E302)))/(12*N302*COS(RADIANS(E302))^2+L302*G302^2*SIN(RADIANS(E302))^2)</f>
        <v/>
      </c>
      <c r="R302" s="28">
        <f>-P302*SIN(RADIANS(E302))</f>
        <v/>
      </c>
      <c r="S302" s="8">
        <f>(O302+P302*COS(RADIANS(E302)))/L302</f>
        <v/>
      </c>
      <c r="T302" s="8">
        <f>R302/L302</f>
        <v/>
      </c>
      <c r="U302" s="8">
        <f>(Q302-P302*G302*SIN(RADIANS(E302)))/M302</f>
        <v/>
      </c>
      <c r="V302" s="8">
        <f>SQRT((S302+U302)^2+3*T302^2)</f>
        <v/>
      </c>
      <c r="W302" s="8">
        <f>V302/AA302</f>
        <v/>
      </c>
      <c r="X302" s="27">
        <f>((3*10+H302/COS(RADIANS(E302)))*(3+3)+3*G302*H302)*2</f>
        <v/>
      </c>
      <c r="Y302" s="28">
        <f>Z302/X302</f>
        <v/>
      </c>
      <c r="Z302" s="29" t="n">
        <v>531.197558638901</v>
      </c>
      <c r="AA302" s="20" t="n">
        <v>93.9398479262307</v>
      </c>
      <c r="AB302" t="n">
        <v>0.1196429143821015</v>
      </c>
      <c r="AC302" t="n">
        <v>97.52393847251267</v>
      </c>
      <c r="AD302" t="n">
        <v>14.9611185242687</v>
      </c>
    </row>
    <row r="303">
      <c r="A303" t="n">
        <v>302</v>
      </c>
      <c r="B303" t="n">
        <v>57.1</v>
      </c>
      <c r="C303" s="21">
        <f>B303-20</f>
        <v/>
      </c>
      <c r="D303" t="n">
        <v>107.7</v>
      </c>
      <c r="E303" s="22">
        <f>D303-90</f>
        <v/>
      </c>
      <c r="F303" s="23" t="n">
        <v>0.016197</v>
      </c>
      <c r="G303" s="22" t="n">
        <v>33.9</v>
      </c>
      <c r="H303" s="22" t="n">
        <v>1.1</v>
      </c>
      <c r="I303" s="24" t="n">
        <v>0.101522020995616</v>
      </c>
      <c r="J303" s="6" t="n">
        <v>71000</v>
      </c>
      <c r="K303" s="25">
        <f>23*10^-6</f>
        <v/>
      </c>
      <c r="L303" s="8">
        <f>H303</f>
        <v/>
      </c>
      <c r="M303" s="26">
        <f>H303^2/6</f>
        <v/>
      </c>
      <c r="N303" s="26">
        <f>H303^3/12</f>
        <v/>
      </c>
      <c r="O303" s="27">
        <f>-J303*L303*K303*C303</f>
        <v/>
      </c>
      <c r="P303" s="28">
        <f>-(12*F303*J303*L303*N303+12*O303*N303*G303*COS(RADIANS(E303)))/(12*N303*G303*COS(RADIANS(E303))^2+L303*G303^3*SIN(RADIANS(E303))^2)</f>
        <v/>
      </c>
      <c r="Q303" s="28">
        <f>-(6*F303*J303*L303*N303*SIN(RADIANS(E303))+6*O303*N303*G303*SIN(RADIANS(E303))*COS(RADIANS(E303)))/(12*N303*COS(RADIANS(E303))^2+L303*G303^2*SIN(RADIANS(E303))^2)</f>
        <v/>
      </c>
      <c r="R303" s="28">
        <f>-P303*SIN(RADIANS(E303))</f>
        <v/>
      </c>
      <c r="S303" s="8">
        <f>(O303+P303*COS(RADIANS(E303)))/L303</f>
        <v/>
      </c>
      <c r="T303" s="8">
        <f>R303/L303</f>
        <v/>
      </c>
      <c r="U303" s="8">
        <f>(Q303-P303*G303*SIN(RADIANS(E303)))/M303</f>
        <v/>
      </c>
      <c r="V303" s="8">
        <f>SQRT((S303+U303)^2+3*T303^2)</f>
        <v/>
      </c>
      <c r="W303" s="8">
        <f>V303/AA303</f>
        <v/>
      </c>
      <c r="X303" s="27">
        <f>((3*10+H303/COS(RADIANS(E303)))*(3+3)+3*G303*H303)*2</f>
        <v/>
      </c>
      <c r="Y303" s="28">
        <f>Z303/X303</f>
        <v/>
      </c>
      <c r="Z303" s="29" t="n">
        <v>602.222127442947</v>
      </c>
      <c r="AA303" s="20" t="n">
        <v>52.8634090502751</v>
      </c>
      <c r="AB303" t="n">
        <v>0.1443487680304526</v>
      </c>
      <c r="AC303" t="n">
        <v>55.82165962223456</v>
      </c>
      <c r="AD303" t="n">
        <v>42.18468723813722</v>
      </c>
    </row>
    <row r="304">
      <c r="A304" t="n">
        <v>303</v>
      </c>
      <c r="B304" t="n">
        <v>62.1</v>
      </c>
      <c r="C304" s="21">
        <f>B304-20</f>
        <v/>
      </c>
      <c r="D304" t="n">
        <v>105</v>
      </c>
      <c r="E304" s="22">
        <f>D304-90</f>
        <v/>
      </c>
      <c r="F304" s="23" t="n">
        <v>0.016926</v>
      </c>
      <c r="G304" s="22" t="n">
        <v>30.3</v>
      </c>
      <c r="H304" s="22" t="n">
        <v>1.2</v>
      </c>
      <c r="I304" s="24" t="n">
        <v>0.120892830193042</v>
      </c>
      <c r="J304" s="6" t="n">
        <v>71000</v>
      </c>
      <c r="K304" s="25">
        <f>23*10^-6</f>
        <v/>
      </c>
      <c r="L304" s="8">
        <f>H304</f>
        <v/>
      </c>
      <c r="M304" s="26">
        <f>H304^2/6</f>
        <v/>
      </c>
      <c r="N304" s="26">
        <f>H304^3/12</f>
        <v/>
      </c>
      <c r="O304" s="27">
        <f>-J304*L304*K304*C304</f>
        <v/>
      </c>
      <c r="P304" s="28">
        <f>-(12*F304*J304*L304*N304+12*O304*N304*G304*COS(RADIANS(E304)))/(12*N304*G304*COS(RADIANS(E304))^2+L304*G304^3*SIN(RADIANS(E304))^2)</f>
        <v/>
      </c>
      <c r="Q304" s="28">
        <f>-(6*F304*J304*L304*N304*SIN(RADIANS(E304))+6*O304*N304*G304*SIN(RADIANS(E304))*COS(RADIANS(E304)))/(12*N304*COS(RADIANS(E304))^2+L304*G304^2*SIN(RADIANS(E304))^2)</f>
        <v/>
      </c>
      <c r="R304" s="28">
        <f>-P304*SIN(RADIANS(E304))</f>
        <v/>
      </c>
      <c r="S304" s="8">
        <f>(O304+P304*COS(RADIANS(E304)))/L304</f>
        <v/>
      </c>
      <c r="T304" s="8">
        <f>R304/L304</f>
        <v/>
      </c>
      <c r="U304" s="8">
        <f>(Q304-P304*G304*SIN(RADIANS(E304)))/M304</f>
        <v/>
      </c>
      <c r="V304" s="8">
        <f>SQRT((S304+U304)^2+3*T304^2)</f>
        <v/>
      </c>
      <c r="W304" s="8">
        <f>V304/AA304</f>
        <v/>
      </c>
      <c r="X304" s="27">
        <f>((3*10+H304/COS(RADIANS(E304)))*(3+3)+3*G304*H304)*2</f>
        <v/>
      </c>
      <c r="Y304" s="28">
        <f>Z304/X304</f>
        <v/>
      </c>
      <c r="Z304" s="29" t="n">
        <v>597.348234713388</v>
      </c>
      <c r="AA304" s="20" t="n">
        <v>62.3350015015655</v>
      </c>
      <c r="AB304" t="n">
        <v>0.1726579607386911</v>
      </c>
      <c r="AC304" t="n">
        <v>65.94080277307496</v>
      </c>
      <c r="AD304" t="n">
        <v>42.8190244723284</v>
      </c>
    </row>
    <row r="305">
      <c r="A305" t="n">
        <v>304</v>
      </c>
      <c r="B305" t="n">
        <v>42.4</v>
      </c>
      <c r="C305" s="21">
        <f>B305-20</f>
        <v/>
      </c>
      <c r="D305" t="n">
        <v>100.4</v>
      </c>
      <c r="E305" s="22">
        <f>D305-90</f>
        <v/>
      </c>
      <c r="F305" s="23" t="n">
        <v>0.009920999999999999</v>
      </c>
      <c r="G305" s="22" t="n">
        <v>33.4</v>
      </c>
      <c r="H305" s="22" t="n">
        <v>1.7</v>
      </c>
      <c r="I305" s="24" t="n">
        <v>0.0906474888324737</v>
      </c>
      <c r="J305" s="6" t="n">
        <v>71000</v>
      </c>
      <c r="K305" s="25">
        <f>23*10^-6</f>
        <v/>
      </c>
      <c r="L305" s="8">
        <f>H305</f>
        <v/>
      </c>
      <c r="M305" s="26">
        <f>H305^2/6</f>
        <v/>
      </c>
      <c r="N305" s="26">
        <f>H305^3/12</f>
        <v/>
      </c>
      <c r="O305" s="27">
        <f>-J305*L305*K305*C305</f>
        <v/>
      </c>
      <c r="P305" s="28">
        <f>-(12*F305*J305*L305*N305+12*O305*N305*G305*COS(RADIANS(E305)))/(12*N305*G305*COS(RADIANS(E305))^2+L305*G305^3*SIN(RADIANS(E305))^2)</f>
        <v/>
      </c>
      <c r="Q305" s="28">
        <f>-(6*F305*J305*L305*N305*SIN(RADIANS(E305))+6*O305*N305*G305*SIN(RADIANS(E305))*COS(RADIANS(E305)))/(12*N305*COS(RADIANS(E305))^2+L305*G305^2*SIN(RADIANS(E305))^2)</f>
        <v/>
      </c>
      <c r="R305" s="28">
        <f>-P305*SIN(RADIANS(E305))</f>
        <v/>
      </c>
      <c r="S305" s="8">
        <f>(O305+P305*COS(RADIANS(E305)))/L305</f>
        <v/>
      </c>
      <c r="T305" s="8">
        <f>R305/L305</f>
        <v/>
      </c>
      <c r="U305" s="8">
        <f>(Q305-P305*G305*SIN(RADIANS(E305)))/M305</f>
        <v/>
      </c>
      <c r="V305" s="8">
        <f>SQRT((S305+U305)^2+3*T305^2)</f>
        <v/>
      </c>
      <c r="W305" s="8">
        <f>V305/AA305</f>
        <v/>
      </c>
      <c r="X305" s="27">
        <f>((3*10+H305/COS(RADIANS(E305)))*(3+3)+3*G305*H305)*2</f>
        <v/>
      </c>
      <c r="Y305" s="28">
        <f>Z305/X305</f>
        <v/>
      </c>
      <c r="Z305" s="29" t="n">
        <v>725.255239647356</v>
      </c>
      <c r="AA305" s="20" t="n">
        <v>38.1317471399874</v>
      </c>
      <c r="AB305" t="n">
        <v>0.1385809378983753</v>
      </c>
      <c r="AC305" t="n">
        <v>38.81621947007852</v>
      </c>
      <c r="AD305" t="n">
        <v>52.87895967475477</v>
      </c>
    </row>
    <row r="306">
      <c r="A306" t="n">
        <v>305</v>
      </c>
      <c r="B306" t="n">
        <v>85.8</v>
      </c>
      <c r="C306" s="21">
        <f>B306-20</f>
        <v/>
      </c>
      <c r="D306" t="n">
        <v>125.7</v>
      </c>
      <c r="E306" s="22">
        <f>D306-90</f>
        <v/>
      </c>
      <c r="F306" s="23" t="n">
        <v>0.017293</v>
      </c>
      <c r="G306" s="22" t="n">
        <v>21</v>
      </c>
      <c r="H306" s="22" t="n">
        <v>1.6</v>
      </c>
      <c r="I306" s="24" t="n">
        <v>0.08014443516731259</v>
      </c>
      <c r="J306" s="6" t="n">
        <v>71000</v>
      </c>
      <c r="K306" s="25">
        <f>23*10^-6</f>
        <v/>
      </c>
      <c r="L306" s="8">
        <f>H306</f>
        <v/>
      </c>
      <c r="M306" s="26">
        <f>H306^2/6</f>
        <v/>
      </c>
      <c r="N306" s="26">
        <f>H306^3/12</f>
        <v/>
      </c>
      <c r="O306" s="27">
        <f>-J306*L306*K306*C306</f>
        <v/>
      </c>
      <c r="P306" s="28">
        <f>-(12*F306*J306*L306*N306+12*O306*N306*G306*COS(RADIANS(E306)))/(12*N306*G306*COS(RADIANS(E306))^2+L306*G306^3*SIN(RADIANS(E306))^2)</f>
        <v/>
      </c>
      <c r="Q306" s="28">
        <f>-(6*F306*J306*L306*N306*SIN(RADIANS(E306))+6*O306*N306*G306*SIN(RADIANS(E306))*COS(RADIANS(E306)))/(12*N306*COS(RADIANS(E306))^2+L306*G306^2*SIN(RADIANS(E306))^2)</f>
        <v/>
      </c>
      <c r="R306" s="28">
        <f>-P306*SIN(RADIANS(E306))</f>
        <v/>
      </c>
      <c r="S306" s="8">
        <f>(O306+P306*COS(RADIANS(E306)))/L306</f>
        <v/>
      </c>
      <c r="T306" s="8">
        <f>R306/L306</f>
        <v/>
      </c>
      <c r="U306" s="8">
        <f>(Q306-P306*G306*SIN(RADIANS(E306)))/M306</f>
        <v/>
      </c>
      <c r="V306" s="8">
        <f>SQRT((S306+U306)^2+3*T306^2)</f>
        <v/>
      </c>
      <c r="W306" s="8">
        <f>V306/AA306</f>
        <v/>
      </c>
      <c r="X306" s="27">
        <f>((3*10+H306/COS(RADIANS(E306)))*(3+3)+3*G306*H306)*2</f>
        <v/>
      </c>
      <c r="Y306" s="28">
        <f>Z306/X306</f>
        <v/>
      </c>
      <c r="Z306" s="29" t="n">
        <v>594.2301277376559</v>
      </c>
      <c r="AA306" s="20" t="n">
        <v>103.758246883709</v>
      </c>
      <c r="AB306" t="n">
        <v>0.07751767343511674</v>
      </c>
      <c r="AC306" t="n">
        <v>97.2267905314409</v>
      </c>
      <c r="AD306" t="n">
        <v>-3.277534774201256</v>
      </c>
    </row>
    <row r="307">
      <c r="A307" t="n">
        <v>306</v>
      </c>
      <c r="B307" t="n">
        <v>65.40000000000001</v>
      </c>
      <c r="C307" s="21">
        <f>B307-20</f>
        <v/>
      </c>
      <c r="D307" t="n">
        <v>129.8</v>
      </c>
      <c r="E307" s="22">
        <f>D307-90</f>
        <v/>
      </c>
      <c r="F307" s="23" t="n">
        <v>0.015392</v>
      </c>
      <c r="G307" s="22" t="n">
        <v>30.9</v>
      </c>
      <c r="H307" s="22" t="n">
        <v>1.9</v>
      </c>
      <c r="I307" s="24" t="n">
        <v>0.0659998059272766</v>
      </c>
      <c r="J307" s="6" t="n">
        <v>71000</v>
      </c>
      <c r="K307" s="25">
        <f>23*10^-6</f>
        <v/>
      </c>
      <c r="L307" s="8">
        <f>H307</f>
        <v/>
      </c>
      <c r="M307" s="26">
        <f>H307^2/6</f>
        <v/>
      </c>
      <c r="N307" s="26">
        <f>H307^3/12</f>
        <v/>
      </c>
      <c r="O307" s="27">
        <f>-J307*L307*K307*C307</f>
        <v/>
      </c>
      <c r="P307" s="28">
        <f>-(12*F307*J307*L307*N307+12*O307*N307*G307*COS(RADIANS(E307)))/(12*N307*G307*COS(RADIANS(E307))^2+L307*G307^3*SIN(RADIANS(E307))^2)</f>
        <v/>
      </c>
      <c r="Q307" s="28">
        <f>-(6*F307*J307*L307*N307*SIN(RADIANS(E307))+6*O307*N307*G307*SIN(RADIANS(E307))*COS(RADIANS(E307)))/(12*N307*COS(RADIANS(E307))^2+L307*G307^2*SIN(RADIANS(E307))^2)</f>
        <v/>
      </c>
      <c r="R307" s="28">
        <f>-P307*SIN(RADIANS(E307))</f>
        <v/>
      </c>
      <c r="S307" s="8">
        <f>(O307+P307*COS(RADIANS(E307)))/L307</f>
        <v/>
      </c>
      <c r="T307" s="8">
        <f>R307/L307</f>
        <v/>
      </c>
      <c r="U307" s="8">
        <f>(Q307-P307*G307*SIN(RADIANS(E307)))/M307</f>
        <v/>
      </c>
      <c r="V307" s="8">
        <f>SQRT((S307+U307)^2+3*T307^2)</f>
        <v/>
      </c>
      <c r="W307" s="8">
        <f>V307/AA307</f>
        <v/>
      </c>
      <c r="X307" s="27">
        <f>((3*10+H307/COS(RADIANS(E307)))*(3+3)+3*G307*H307)*2</f>
        <v/>
      </c>
      <c r="Y307" s="28">
        <f>Z307/X307</f>
        <v/>
      </c>
      <c r="Z307" s="29" t="n">
        <v>752.608641308713</v>
      </c>
      <c r="AA307" s="20" t="n">
        <v>69.4979360429146</v>
      </c>
      <c r="AB307" t="n">
        <v>0.06843834635495068</v>
      </c>
      <c r="AC307" t="n">
        <v>65.94277754589845</v>
      </c>
      <c r="AD307" t="n">
        <v>3.694769088201625</v>
      </c>
    </row>
    <row r="308">
      <c r="A308" t="n">
        <v>307</v>
      </c>
      <c r="B308" t="n">
        <v>60.3</v>
      </c>
      <c r="C308" s="21">
        <f>B308-20</f>
        <v/>
      </c>
      <c r="D308" t="n">
        <v>122.8</v>
      </c>
      <c r="E308" s="22">
        <f>D308-90</f>
        <v/>
      </c>
      <c r="F308" s="23" t="n">
        <v>0.013956</v>
      </c>
      <c r="G308" s="22" t="n">
        <v>29</v>
      </c>
      <c r="H308" s="22" t="n">
        <v>1.3</v>
      </c>
      <c r="I308" s="24" t="n">
        <v>0.0631050169467926</v>
      </c>
      <c r="J308" s="6" t="n">
        <v>71000</v>
      </c>
      <c r="K308" s="25">
        <f>23*10^-6</f>
        <v/>
      </c>
      <c r="L308" s="8">
        <f>H308</f>
        <v/>
      </c>
      <c r="M308" s="26">
        <f>H308^2/6</f>
        <v/>
      </c>
      <c r="N308" s="26">
        <f>H308^3/12</f>
        <v/>
      </c>
      <c r="O308" s="27">
        <f>-J308*L308*K308*C308</f>
        <v/>
      </c>
      <c r="P308" s="28">
        <f>-(12*F308*J308*L308*N308+12*O308*N308*G308*COS(RADIANS(E308)))/(12*N308*G308*COS(RADIANS(E308))^2+L308*G308^3*SIN(RADIANS(E308))^2)</f>
        <v/>
      </c>
      <c r="Q308" s="28">
        <f>-(6*F308*J308*L308*N308*SIN(RADIANS(E308))+6*O308*N308*G308*SIN(RADIANS(E308))*COS(RADIANS(E308)))/(12*N308*COS(RADIANS(E308))^2+L308*G308^2*SIN(RADIANS(E308))^2)</f>
        <v/>
      </c>
      <c r="R308" s="28">
        <f>-P308*SIN(RADIANS(E308))</f>
        <v/>
      </c>
      <c r="S308" s="8">
        <f>(O308+P308*COS(RADIANS(E308)))/L308</f>
        <v/>
      </c>
      <c r="T308" s="8">
        <f>R308/L308</f>
        <v/>
      </c>
      <c r="U308" s="8">
        <f>(Q308-P308*G308*SIN(RADIANS(E308)))/M308</f>
        <v/>
      </c>
      <c r="V308" s="8">
        <f>SQRT((S308+U308)^2+3*T308^2)</f>
        <v/>
      </c>
      <c r="W308" s="8">
        <f>V308/AA308</f>
        <v/>
      </c>
      <c r="X308" s="27">
        <f>((3*10+H308/COS(RADIANS(E308)))*(3+3)+3*G308*H308)*2</f>
        <v/>
      </c>
      <c r="Y308" s="28">
        <f>Z308/X308</f>
        <v/>
      </c>
      <c r="Z308" s="29" t="n">
        <v>612.744708787695</v>
      </c>
      <c r="AA308" s="20" t="n">
        <v>57.0514435402769</v>
      </c>
      <c r="AB308" t="n">
        <v>0.07088924583053907</v>
      </c>
      <c r="AC308" t="n">
        <v>58.32612016753585</v>
      </c>
      <c r="AD308" t="n">
        <v>12.33535661722394</v>
      </c>
    </row>
    <row r="309">
      <c r="A309" t="n">
        <v>308</v>
      </c>
      <c r="B309" t="n">
        <v>83.2</v>
      </c>
      <c r="C309" s="21">
        <f>B309-20</f>
        <v/>
      </c>
      <c r="D309" t="n">
        <v>101.2</v>
      </c>
      <c r="E309" s="22">
        <f>D309-90</f>
        <v/>
      </c>
      <c r="F309" s="23" t="n">
        <v>0.02178</v>
      </c>
      <c r="G309" s="22" t="n">
        <v>24.7</v>
      </c>
      <c r="H309" s="22" t="n">
        <v>2</v>
      </c>
      <c r="I309" s="24" t="n">
        <v>0.180482327938079</v>
      </c>
      <c r="J309" s="6" t="n">
        <v>71000</v>
      </c>
      <c r="K309" s="25">
        <f>23*10^-6</f>
        <v/>
      </c>
      <c r="L309" s="8">
        <f>H309</f>
        <v/>
      </c>
      <c r="M309" s="26">
        <f>H309^2/6</f>
        <v/>
      </c>
      <c r="N309" s="26">
        <f>H309^3/12</f>
        <v/>
      </c>
      <c r="O309" s="27">
        <f>-J309*L309*K309*C309</f>
        <v/>
      </c>
      <c r="P309" s="28">
        <f>-(12*F309*J309*L309*N309+12*O309*N309*G309*COS(RADIANS(E309)))/(12*N309*G309*COS(RADIANS(E309))^2+L309*G309^3*SIN(RADIANS(E309))^2)</f>
        <v/>
      </c>
      <c r="Q309" s="28">
        <f>-(6*F309*J309*L309*N309*SIN(RADIANS(E309))+6*O309*N309*G309*SIN(RADIANS(E309))*COS(RADIANS(E309)))/(12*N309*COS(RADIANS(E309))^2+L309*G309^2*SIN(RADIANS(E309))^2)</f>
        <v/>
      </c>
      <c r="R309" s="28">
        <f>-P309*SIN(RADIANS(E309))</f>
        <v/>
      </c>
      <c r="S309" s="8">
        <f>(O309+P309*COS(RADIANS(E309)))/L309</f>
        <v/>
      </c>
      <c r="T309" s="8">
        <f>R309/L309</f>
        <v/>
      </c>
      <c r="U309" s="8">
        <f>(Q309-P309*G309*SIN(RADIANS(E309)))/M309</f>
        <v/>
      </c>
      <c r="V309" s="8">
        <f>SQRT((S309+U309)^2+3*T309^2)</f>
        <v/>
      </c>
      <c r="W309" s="8">
        <f>V309/AA309</f>
        <v/>
      </c>
      <c r="X309" s="27">
        <f>((3*10+H309/COS(RADIANS(E309)))*(3+3)+3*G309*H309)*2</f>
        <v/>
      </c>
      <c r="Y309" s="28">
        <f>Z309/X309</f>
        <v/>
      </c>
      <c r="Z309" s="29" t="n">
        <v>684.765529828035</v>
      </c>
      <c r="AA309" s="20" t="n">
        <v>139.552985639533</v>
      </c>
      <c r="AB309" t="n">
        <v>0.251984245486616</v>
      </c>
      <c r="AC309" t="n">
        <v>114.3018204471068</v>
      </c>
      <c r="AD309" t="n">
        <v>39.61712948043771</v>
      </c>
    </row>
    <row r="310">
      <c r="A310" t="n">
        <v>309</v>
      </c>
      <c r="B310" t="n">
        <v>58</v>
      </c>
      <c r="C310" s="21">
        <f>B310-20</f>
        <v/>
      </c>
      <c r="D310" t="n">
        <v>122.1</v>
      </c>
      <c r="E310" s="22">
        <f>D310-90</f>
        <v/>
      </c>
      <c r="F310" s="23" t="n">
        <v>0.014416</v>
      </c>
      <c r="G310" s="22" t="n">
        <v>32.2</v>
      </c>
      <c r="H310" s="22" t="n">
        <v>1.7</v>
      </c>
      <c r="I310" s="24" t="n">
        <v>0.0647892132401466</v>
      </c>
      <c r="J310" s="6" t="n">
        <v>71000</v>
      </c>
      <c r="K310" s="25">
        <f>23*10^-6</f>
        <v/>
      </c>
      <c r="L310" s="8">
        <f>H310</f>
        <v/>
      </c>
      <c r="M310" s="26">
        <f>H310^2/6</f>
        <v/>
      </c>
      <c r="N310" s="26">
        <f>H310^3/12</f>
        <v/>
      </c>
      <c r="O310" s="27">
        <f>-J310*L310*K310*C310</f>
        <v/>
      </c>
      <c r="P310" s="28">
        <f>-(12*F310*J310*L310*N310+12*O310*N310*G310*COS(RADIANS(E310)))/(12*N310*G310*COS(RADIANS(E310))^2+L310*G310^3*SIN(RADIANS(E310))^2)</f>
        <v/>
      </c>
      <c r="Q310" s="28">
        <f>-(6*F310*J310*L310*N310*SIN(RADIANS(E310))+6*O310*N310*G310*SIN(RADIANS(E310))*COS(RADIANS(E310)))/(12*N310*COS(RADIANS(E310))^2+L310*G310^2*SIN(RADIANS(E310))^2)</f>
        <v/>
      </c>
      <c r="R310" s="28">
        <f>-P310*SIN(RADIANS(E310))</f>
        <v/>
      </c>
      <c r="S310" s="8">
        <f>(O310+P310*COS(RADIANS(E310)))/L310</f>
        <v/>
      </c>
      <c r="T310" s="8">
        <f>R310/L310</f>
        <v/>
      </c>
      <c r="U310" s="8">
        <f>(Q310-P310*G310*SIN(RADIANS(E310)))/M310</f>
        <v/>
      </c>
      <c r="V310" s="8">
        <f>SQRT((S310+U310)^2+3*T310^2)</f>
        <v/>
      </c>
      <c r="W310" s="8">
        <f>V310/AA310</f>
        <v/>
      </c>
      <c r="X310" s="27">
        <f>((3*10+H310/COS(RADIANS(E310)))*(3+3)+3*G310*H310)*2</f>
        <v/>
      </c>
      <c r="Y310" s="28">
        <f>Z310/X310</f>
        <v/>
      </c>
      <c r="Z310" s="29" t="n">
        <v>720.286391798349</v>
      </c>
      <c r="AA310" s="20" t="n">
        <v>57.5027048243614</v>
      </c>
      <c r="AB310" t="n">
        <v>0.07534279354682033</v>
      </c>
      <c r="AC310" t="n">
        <v>55.95542390219035</v>
      </c>
      <c r="AD310" t="n">
        <v>16.28910088405614</v>
      </c>
    </row>
    <row r="311">
      <c r="A311" t="n">
        <v>310</v>
      </c>
      <c r="B311" t="n">
        <v>66.5</v>
      </c>
      <c r="C311" s="21">
        <f>B311-20</f>
        <v/>
      </c>
      <c r="D311" t="n">
        <v>113</v>
      </c>
      <c r="E311" s="22">
        <f>D311-90</f>
        <v/>
      </c>
      <c r="F311" s="23" t="n">
        <v>0.017087</v>
      </c>
      <c r="G311" s="22" t="n">
        <v>28.5</v>
      </c>
      <c r="H311" s="22" t="n">
        <v>1</v>
      </c>
      <c r="I311" s="24" t="n">
        <v>0.0920364186167717</v>
      </c>
      <c r="J311" s="6" t="n">
        <v>71000</v>
      </c>
      <c r="K311" s="25">
        <f>23*10^-6</f>
        <v/>
      </c>
      <c r="L311" s="8">
        <f>H311</f>
        <v/>
      </c>
      <c r="M311" s="26">
        <f>H311^2/6</f>
        <v/>
      </c>
      <c r="N311" s="26">
        <f>H311^3/12</f>
        <v/>
      </c>
      <c r="O311" s="27">
        <f>-J311*L311*K311*C311</f>
        <v/>
      </c>
      <c r="P311" s="28">
        <f>-(12*F311*J311*L311*N311+12*O311*N311*G311*COS(RADIANS(E311)))/(12*N311*G311*COS(RADIANS(E311))^2+L311*G311^3*SIN(RADIANS(E311))^2)</f>
        <v/>
      </c>
      <c r="Q311" s="28">
        <f>-(6*F311*J311*L311*N311*SIN(RADIANS(E311))+6*O311*N311*G311*SIN(RADIANS(E311))*COS(RADIANS(E311)))/(12*N311*COS(RADIANS(E311))^2+L311*G311^2*SIN(RADIANS(E311))^2)</f>
        <v/>
      </c>
      <c r="R311" s="28">
        <f>-P311*SIN(RADIANS(E311))</f>
        <v/>
      </c>
      <c r="S311" s="8">
        <f>(O311+P311*COS(RADIANS(E311)))/L311</f>
        <v/>
      </c>
      <c r="T311" s="8">
        <f>R311/L311</f>
        <v/>
      </c>
      <c r="U311" s="8">
        <f>(Q311-P311*G311*SIN(RADIANS(E311)))/M311</f>
        <v/>
      </c>
      <c r="V311" s="8">
        <f>SQRT((S311+U311)^2+3*T311^2)</f>
        <v/>
      </c>
      <c r="W311" s="8">
        <f>V311/AA311</f>
        <v/>
      </c>
      <c r="X311" s="27">
        <f>((3*10+H311/COS(RADIANS(E311)))*(3+3)+3*G311*H311)*2</f>
        <v/>
      </c>
      <c r="Y311" s="28">
        <f>Z311/X311</f>
        <v/>
      </c>
      <c r="Z311" s="29" t="n">
        <v>549.542602972231</v>
      </c>
      <c r="AA311" s="20" t="n">
        <v>63.6171931942141</v>
      </c>
      <c r="AB311" t="n">
        <v>0.117413197781285</v>
      </c>
      <c r="AC311" t="n">
        <v>68.3039939333069</v>
      </c>
      <c r="AD311" t="n">
        <v>27.57254089837968</v>
      </c>
    </row>
    <row r="312">
      <c r="A312" t="n">
        <v>311</v>
      </c>
      <c r="B312" t="n">
        <v>88.2</v>
      </c>
      <c r="C312" s="21">
        <f>B312-20</f>
        <v/>
      </c>
      <c r="D312" t="n">
        <v>109.9</v>
      </c>
      <c r="E312" s="22">
        <f>D312-90</f>
        <v/>
      </c>
      <c r="F312" s="23" t="n">
        <v>0.026743</v>
      </c>
      <c r="G312" s="22" t="n">
        <v>30.2</v>
      </c>
      <c r="H312" s="22" t="n">
        <v>1.5</v>
      </c>
      <c r="I312" s="24" t="n">
        <v>0.156080052256584</v>
      </c>
      <c r="J312" s="6" t="n">
        <v>71000</v>
      </c>
      <c r="K312" s="25">
        <f>23*10^-6</f>
        <v/>
      </c>
      <c r="L312" s="8">
        <f>H312</f>
        <v/>
      </c>
      <c r="M312" s="26">
        <f>H312^2/6</f>
        <v/>
      </c>
      <c r="N312" s="26">
        <f>H312^3/12</f>
        <v/>
      </c>
      <c r="O312" s="27">
        <f>-J312*L312*K312*C312</f>
        <v/>
      </c>
      <c r="P312" s="28">
        <f>-(12*F312*J312*L312*N312+12*O312*N312*G312*COS(RADIANS(E312)))/(12*N312*G312*COS(RADIANS(E312))^2+L312*G312^3*SIN(RADIANS(E312))^2)</f>
        <v/>
      </c>
      <c r="Q312" s="28">
        <f>-(6*F312*J312*L312*N312*SIN(RADIANS(E312))+6*O312*N312*G312*SIN(RADIANS(E312))*COS(RADIANS(E312)))/(12*N312*COS(RADIANS(E312))^2+L312*G312^2*SIN(RADIANS(E312))^2)</f>
        <v/>
      </c>
      <c r="R312" s="28">
        <f>-P312*SIN(RADIANS(E312))</f>
        <v/>
      </c>
      <c r="S312" s="8">
        <f>(O312+P312*COS(RADIANS(E312)))/L312</f>
        <v/>
      </c>
      <c r="T312" s="8">
        <f>R312/L312</f>
        <v/>
      </c>
      <c r="U312" s="8">
        <f>(Q312-P312*G312*SIN(RADIANS(E312)))/M312</f>
        <v/>
      </c>
      <c r="V312" s="8">
        <f>SQRT((S312+U312)^2+3*T312^2)</f>
        <v/>
      </c>
      <c r="W312" s="8">
        <f>V312/AA312</f>
        <v/>
      </c>
      <c r="X312" s="27">
        <f>((3*10+H312/COS(RADIANS(E312)))*(3+3)+3*G312*H312)*2</f>
        <v/>
      </c>
      <c r="Y312" s="28">
        <f>Z312/X312</f>
        <v/>
      </c>
      <c r="Z312" s="29" t="n">
        <v>655.900789156694</v>
      </c>
      <c r="AA312" s="20" t="n">
        <v>104.550386904632</v>
      </c>
      <c r="AB312" t="n">
        <v>0.2089335644206431</v>
      </c>
      <c r="AC312" t="n">
        <v>105.7146567454999</v>
      </c>
      <c r="AD312" t="n">
        <v>33.86307949024251</v>
      </c>
    </row>
    <row r="313">
      <c r="A313" t="n">
        <v>312</v>
      </c>
      <c r="B313" t="n">
        <v>62.1</v>
      </c>
      <c r="C313" s="21">
        <f>B313-20</f>
        <v/>
      </c>
      <c r="D313" t="n">
        <v>106.4</v>
      </c>
      <c r="E313" s="22">
        <f>D313-90</f>
        <v/>
      </c>
      <c r="F313" s="23" t="n">
        <v>0.012318</v>
      </c>
      <c r="G313" s="22" t="n">
        <v>20.5</v>
      </c>
      <c r="H313" s="22" t="n">
        <v>1.5</v>
      </c>
      <c r="I313" s="24" t="n">
        <v>0.0843297913670539</v>
      </c>
      <c r="J313" s="6" t="n">
        <v>71000</v>
      </c>
      <c r="K313" s="25">
        <f>23*10^-6</f>
        <v/>
      </c>
      <c r="L313" s="8">
        <f>H313</f>
        <v/>
      </c>
      <c r="M313" s="26">
        <f>H313^2/6</f>
        <v/>
      </c>
      <c r="N313" s="26">
        <f>H313^3/12</f>
        <v/>
      </c>
      <c r="O313" s="27">
        <f>-J313*L313*K313*C313</f>
        <v/>
      </c>
      <c r="P313" s="28">
        <f>-(12*F313*J313*L313*N313+12*O313*N313*G313*COS(RADIANS(E313)))/(12*N313*G313*COS(RADIANS(E313))^2+L313*G313^3*SIN(RADIANS(E313))^2)</f>
        <v/>
      </c>
      <c r="Q313" s="28">
        <f>-(6*F313*J313*L313*N313*SIN(RADIANS(E313))+6*O313*N313*G313*SIN(RADIANS(E313))*COS(RADIANS(E313)))/(12*N313*COS(RADIANS(E313))^2+L313*G313^2*SIN(RADIANS(E313))^2)</f>
        <v/>
      </c>
      <c r="R313" s="28">
        <f>-P313*SIN(RADIANS(E313))</f>
        <v/>
      </c>
      <c r="S313" s="8">
        <f>(O313+P313*COS(RADIANS(E313)))/L313</f>
        <v/>
      </c>
      <c r="T313" s="8">
        <f>R313/L313</f>
        <v/>
      </c>
      <c r="U313" s="8">
        <f>(Q313-P313*G313*SIN(RADIANS(E313)))/M313</f>
        <v/>
      </c>
      <c r="V313" s="8">
        <f>SQRT((S313+U313)^2+3*T313^2)</f>
        <v/>
      </c>
      <c r="W313" s="8">
        <f>V313/AA313</f>
        <v/>
      </c>
      <c r="X313" s="27">
        <f>((3*10+H313/COS(RADIANS(E313)))*(3+3)+3*G313*H313)*2</f>
        <v/>
      </c>
      <c r="Y313" s="28">
        <f>Z313/X313</f>
        <v/>
      </c>
      <c r="Z313" s="29" t="n">
        <v>567.714915924427</v>
      </c>
      <c r="AA313" s="20" t="n">
        <v>69.0781348061815</v>
      </c>
      <c r="AB313" t="n">
        <v>0.1054189682550713</v>
      </c>
      <c r="AC313" t="n">
        <v>69.41132797241855</v>
      </c>
      <c r="AD313" t="n">
        <v>25.00797944136324</v>
      </c>
    </row>
    <row r="314">
      <c r="A314" t="n">
        <v>313</v>
      </c>
      <c r="B314" t="n">
        <v>42</v>
      </c>
      <c r="C314" s="21">
        <f>B314-20</f>
        <v/>
      </c>
      <c r="D314" t="n">
        <v>125.2</v>
      </c>
      <c r="E314" s="22">
        <f>D314-90</f>
        <v/>
      </c>
      <c r="F314" s="23" t="n">
        <v>0.00796</v>
      </c>
      <c r="G314" s="22" t="n">
        <v>31.5</v>
      </c>
      <c r="H314" s="22" t="n">
        <v>1.8</v>
      </c>
      <c r="I314" s="24" t="n">
        <v>0.0348619297146797</v>
      </c>
      <c r="J314" s="6" t="n">
        <v>71000</v>
      </c>
      <c r="K314" s="25">
        <f>23*10^-6</f>
        <v/>
      </c>
      <c r="L314" s="8">
        <f>H314</f>
        <v/>
      </c>
      <c r="M314" s="26">
        <f>H314^2/6</f>
        <v/>
      </c>
      <c r="N314" s="26">
        <f>H314^3/12</f>
        <v/>
      </c>
      <c r="O314" s="27">
        <f>-J314*L314*K314*C314</f>
        <v/>
      </c>
      <c r="P314" s="28">
        <f>-(12*F314*J314*L314*N314+12*O314*N314*G314*COS(RADIANS(E314)))/(12*N314*G314*COS(RADIANS(E314))^2+L314*G314^3*SIN(RADIANS(E314))^2)</f>
        <v/>
      </c>
      <c r="Q314" s="28">
        <f>-(6*F314*J314*L314*N314*SIN(RADIANS(E314))+6*O314*N314*G314*SIN(RADIANS(E314))*COS(RADIANS(E314)))/(12*N314*COS(RADIANS(E314))^2+L314*G314^2*SIN(RADIANS(E314))^2)</f>
        <v/>
      </c>
      <c r="R314" s="28">
        <f>-P314*SIN(RADIANS(E314))</f>
        <v/>
      </c>
      <c r="S314" s="8">
        <f>(O314+P314*COS(RADIANS(E314)))/L314</f>
        <v/>
      </c>
      <c r="T314" s="8">
        <f>R314/L314</f>
        <v/>
      </c>
      <c r="U314" s="8">
        <f>(Q314-P314*G314*SIN(RADIANS(E314)))/M314</f>
        <v/>
      </c>
      <c r="V314" s="8">
        <f>SQRT((S314+U314)^2+3*T314^2)</f>
        <v/>
      </c>
      <c r="W314" s="8">
        <f>V314/AA314</f>
        <v/>
      </c>
      <c r="X314" s="27">
        <f>((3*10+H314/COS(RADIANS(E314)))*(3+3)+3*G314*H314)*2</f>
        <v/>
      </c>
      <c r="Y314" s="28">
        <f>Z314/X314</f>
        <v/>
      </c>
      <c r="Z314" s="29" t="n">
        <v>735.437685793392</v>
      </c>
      <c r="AA314" s="20" t="n">
        <v>33.8383025262768</v>
      </c>
      <c r="AB314" t="n">
        <v>0.03864528762569761</v>
      </c>
      <c r="AC314" t="n">
        <v>32.24765875248648</v>
      </c>
      <c r="AD314" t="n">
        <v>10.85240530854726</v>
      </c>
    </row>
    <row r="315">
      <c r="A315" t="n">
        <v>314</v>
      </c>
      <c r="B315" t="n">
        <v>59.5</v>
      </c>
      <c r="C315" s="21">
        <f>B315-20</f>
        <v/>
      </c>
      <c r="D315" t="n">
        <v>129.7</v>
      </c>
      <c r="E315" s="22">
        <f>D315-90</f>
        <v/>
      </c>
      <c r="F315" s="23" t="n">
        <v>0.012056</v>
      </c>
      <c r="G315" s="22" t="n">
        <v>27</v>
      </c>
      <c r="H315" s="22" t="n">
        <v>1.4</v>
      </c>
      <c r="I315" s="24" t="n">
        <v>0.0525745339691638</v>
      </c>
      <c r="J315" s="6" t="n">
        <v>71000</v>
      </c>
      <c r="K315" s="25">
        <f>23*10^-6</f>
        <v/>
      </c>
      <c r="L315" s="8">
        <f>H315</f>
        <v/>
      </c>
      <c r="M315" s="26">
        <f>H315^2/6</f>
        <v/>
      </c>
      <c r="N315" s="26">
        <f>H315^3/12</f>
        <v/>
      </c>
      <c r="O315" s="27">
        <f>-J315*L315*K315*C315</f>
        <v/>
      </c>
      <c r="P315" s="28">
        <f>-(12*F315*J315*L315*N315+12*O315*N315*G315*COS(RADIANS(E315)))/(12*N315*G315*COS(RADIANS(E315))^2+L315*G315^3*SIN(RADIANS(E315))^2)</f>
        <v/>
      </c>
      <c r="Q315" s="28">
        <f>-(6*F315*J315*L315*N315*SIN(RADIANS(E315))+6*O315*N315*G315*SIN(RADIANS(E315))*COS(RADIANS(E315)))/(12*N315*COS(RADIANS(E315))^2+L315*G315^2*SIN(RADIANS(E315))^2)</f>
        <v/>
      </c>
      <c r="R315" s="28">
        <f>-P315*SIN(RADIANS(E315))</f>
        <v/>
      </c>
      <c r="S315" s="8">
        <f>(O315+P315*COS(RADIANS(E315)))/L315</f>
        <v/>
      </c>
      <c r="T315" s="8">
        <f>R315/L315</f>
        <v/>
      </c>
      <c r="U315" s="8">
        <f>(Q315-P315*G315*SIN(RADIANS(E315)))/M315</f>
        <v/>
      </c>
      <c r="V315" s="8">
        <f>SQRT((S315+U315)^2+3*T315^2)</f>
        <v/>
      </c>
      <c r="W315" s="8">
        <f>V315/AA315</f>
        <v/>
      </c>
      <c r="X315" s="27">
        <f>((3*10+H315/COS(RADIANS(E315)))*(3+3)+3*G315*H315)*2</f>
        <v/>
      </c>
      <c r="Y315" s="28">
        <f>Z315/X315</f>
        <v/>
      </c>
      <c r="Z315" s="29" t="n">
        <v>619.261993819141</v>
      </c>
      <c r="AA315" s="20" t="n">
        <v>55.7744375055542</v>
      </c>
      <c r="AB315" t="n">
        <v>0.05267855590667371</v>
      </c>
      <c r="AC315" t="n">
        <v>56.55536686296503</v>
      </c>
      <c r="AD315" t="n">
        <v>0.1978561285410995</v>
      </c>
    </row>
    <row r="316">
      <c r="A316" t="n">
        <v>315</v>
      </c>
      <c r="B316" t="n">
        <v>77.59999999999999</v>
      </c>
      <c r="C316" s="21">
        <f>B316-20</f>
        <v/>
      </c>
      <c r="D316" t="n">
        <v>106.5</v>
      </c>
      <c r="E316" s="22">
        <f>D316-90</f>
        <v/>
      </c>
      <c r="F316" s="23" t="n">
        <v>0.021883</v>
      </c>
      <c r="G316" s="22" t="n">
        <v>28.5</v>
      </c>
      <c r="H316" s="22" t="n">
        <v>1.8</v>
      </c>
      <c r="I316" s="24" t="n">
        <v>0.14441505074501</v>
      </c>
      <c r="J316" s="6" t="n">
        <v>71000</v>
      </c>
      <c r="K316" s="25">
        <f>23*10^-6</f>
        <v/>
      </c>
      <c r="L316" s="8">
        <f>H316</f>
        <v/>
      </c>
      <c r="M316" s="26">
        <f>H316^2/6</f>
        <v/>
      </c>
      <c r="N316" s="26">
        <f>H316^3/12</f>
        <v/>
      </c>
      <c r="O316" s="27">
        <f>-J316*L316*K316*C316</f>
        <v/>
      </c>
      <c r="P316" s="28">
        <f>-(12*F316*J316*L316*N316+12*O316*N316*G316*COS(RADIANS(E316)))/(12*N316*G316*COS(RADIANS(E316))^2+L316*G316^3*SIN(RADIANS(E316))^2)</f>
        <v/>
      </c>
      <c r="Q316" s="28">
        <f>-(6*F316*J316*L316*N316*SIN(RADIANS(E316))+6*O316*N316*G316*SIN(RADIANS(E316))*COS(RADIANS(E316)))/(12*N316*COS(RADIANS(E316))^2+L316*G316^2*SIN(RADIANS(E316))^2)</f>
        <v/>
      </c>
      <c r="R316" s="28">
        <f>-P316*SIN(RADIANS(E316))</f>
        <v/>
      </c>
      <c r="S316" s="8">
        <f>(O316+P316*COS(RADIANS(E316)))/L316</f>
        <v/>
      </c>
      <c r="T316" s="8">
        <f>R316/L316</f>
        <v/>
      </c>
      <c r="U316" s="8">
        <f>(Q316-P316*G316*SIN(RADIANS(E316)))/M316</f>
        <v/>
      </c>
      <c r="V316" s="8">
        <f>SQRT((S316+U316)^2+3*T316^2)</f>
        <v/>
      </c>
      <c r="W316" s="8">
        <f>V316/AA316</f>
        <v/>
      </c>
      <c r="X316" s="27">
        <f>((3*10+H316/COS(RADIANS(E316)))*(3+3)+3*G316*H316)*2</f>
        <v/>
      </c>
      <c r="Y316" s="28">
        <f>Z316/X316</f>
        <v/>
      </c>
      <c r="Z316" s="29" t="n">
        <v>694.792099806849</v>
      </c>
      <c r="AA316" s="20" t="n">
        <v>96.4420827482266</v>
      </c>
      <c r="AB316" t="n">
        <v>0.1975412431359251</v>
      </c>
      <c r="AC316" t="n">
        <v>94.75710995198214</v>
      </c>
      <c r="AD316" t="n">
        <v>36.78715765209176</v>
      </c>
    </row>
    <row r="317">
      <c r="A317" t="n">
        <v>316</v>
      </c>
      <c r="B317" t="n">
        <v>77.8</v>
      </c>
      <c r="C317" s="21">
        <f>B317-20</f>
        <v/>
      </c>
      <c r="D317" t="n">
        <v>101.1</v>
      </c>
      <c r="E317" s="22">
        <f>D317-90</f>
        <v/>
      </c>
      <c r="F317" s="23" t="n">
        <v>0.023481</v>
      </c>
      <c r="G317" s="22" t="n">
        <v>30.2</v>
      </c>
      <c r="H317" s="22" t="n">
        <v>1.8</v>
      </c>
      <c r="I317" s="24" t="n">
        <v>0.20271947979927</v>
      </c>
      <c r="J317" s="6" t="n">
        <v>71000</v>
      </c>
      <c r="K317" s="25">
        <f>23*10^-6</f>
        <v/>
      </c>
      <c r="L317" s="8">
        <f>H317</f>
        <v/>
      </c>
      <c r="M317" s="26">
        <f>H317^2/6</f>
        <v/>
      </c>
      <c r="N317" s="26">
        <f>H317^3/12</f>
        <v/>
      </c>
      <c r="O317" s="27">
        <f>-J317*L317*K317*C317</f>
        <v/>
      </c>
      <c r="P317" s="28">
        <f>-(12*F317*J317*L317*N317+12*O317*N317*G317*COS(RADIANS(E317)))/(12*N317*G317*COS(RADIANS(E317))^2+L317*G317^3*SIN(RADIANS(E317))^2)</f>
        <v/>
      </c>
      <c r="Q317" s="28">
        <f>-(6*F317*J317*L317*N317*SIN(RADIANS(E317))+6*O317*N317*G317*SIN(RADIANS(E317))*COS(RADIANS(E317)))/(12*N317*COS(RADIANS(E317))^2+L317*G317^2*SIN(RADIANS(E317))^2)</f>
        <v/>
      </c>
      <c r="R317" s="28">
        <f>-P317*SIN(RADIANS(E317))</f>
        <v/>
      </c>
      <c r="S317" s="8">
        <f>(O317+P317*COS(RADIANS(E317)))/L317</f>
        <v/>
      </c>
      <c r="T317" s="8">
        <f>R317/L317</f>
        <v/>
      </c>
      <c r="U317" s="8">
        <f>(Q317-P317*G317*SIN(RADIANS(E317)))/M317</f>
        <v/>
      </c>
      <c r="V317" s="8">
        <f>SQRT((S317+U317)^2+3*T317^2)</f>
        <v/>
      </c>
      <c r="W317" s="8">
        <f>V317/AA317</f>
        <v/>
      </c>
      <c r="X317" s="27">
        <f>((3*10+H317/COS(RADIANS(E317)))*(3+3)+3*G317*H317)*2</f>
        <v/>
      </c>
      <c r="Y317" s="28">
        <f>Z317/X317</f>
        <v/>
      </c>
      <c r="Z317" s="29" t="n">
        <v>712.062946515235</v>
      </c>
      <c r="AA317" s="20" t="n">
        <v>101.551568265602</v>
      </c>
      <c r="AB317" t="n">
        <v>0.3000965337943096</v>
      </c>
      <c r="AC317" t="n">
        <v>101.1553357155668</v>
      </c>
      <c r="AD317" t="n">
        <v>48.03537089354266</v>
      </c>
    </row>
    <row r="318">
      <c r="A318" t="n">
        <v>317</v>
      </c>
      <c r="B318" t="n">
        <v>78.2</v>
      </c>
      <c r="C318" s="21">
        <f>B318-20</f>
        <v/>
      </c>
      <c r="D318" t="n">
        <v>125.8</v>
      </c>
      <c r="E318" s="22">
        <f>D318-90</f>
        <v/>
      </c>
      <c r="F318" s="23" t="n">
        <v>0.018456</v>
      </c>
      <c r="G318" s="22" t="n">
        <v>26.9</v>
      </c>
      <c r="H318" s="22" t="n">
        <v>1.9</v>
      </c>
      <c r="I318" s="24" t="n">
        <v>0.08235253393650049</v>
      </c>
      <c r="J318" s="6" t="n">
        <v>71000</v>
      </c>
      <c r="K318" s="25">
        <f>23*10^-6</f>
        <v/>
      </c>
      <c r="L318" s="8">
        <f>H318</f>
        <v/>
      </c>
      <c r="M318" s="26">
        <f>H318^2/6</f>
        <v/>
      </c>
      <c r="N318" s="26">
        <f>H318^3/12</f>
        <v/>
      </c>
      <c r="O318" s="27">
        <f>-J318*L318*K318*C318</f>
        <v/>
      </c>
      <c r="P318" s="28">
        <f>-(12*F318*J318*L318*N318+12*O318*N318*G318*COS(RADIANS(E318)))/(12*N318*G318*COS(RADIANS(E318))^2+L318*G318^3*SIN(RADIANS(E318))^2)</f>
        <v/>
      </c>
      <c r="Q318" s="28">
        <f>-(6*F318*J318*L318*N318*SIN(RADIANS(E318))+6*O318*N318*G318*SIN(RADIANS(E318))*COS(RADIANS(E318)))/(12*N318*COS(RADIANS(E318))^2+L318*G318^2*SIN(RADIANS(E318))^2)</f>
        <v/>
      </c>
      <c r="R318" s="28">
        <f>-P318*SIN(RADIANS(E318))</f>
        <v/>
      </c>
      <c r="S318" s="8">
        <f>(O318+P318*COS(RADIANS(E318)))/L318</f>
        <v/>
      </c>
      <c r="T318" s="8">
        <f>R318/L318</f>
        <v/>
      </c>
      <c r="U318" s="8">
        <f>(Q318-P318*G318*SIN(RADIANS(E318)))/M318</f>
        <v/>
      </c>
      <c r="V318" s="8">
        <f>SQRT((S318+U318)^2+3*T318^2)</f>
        <v/>
      </c>
      <c r="W318" s="8">
        <f>V318/AA318</f>
        <v/>
      </c>
      <c r="X318" s="27">
        <f>((3*10+H318/COS(RADIANS(E318)))*(3+3)+3*G318*H318)*2</f>
        <v/>
      </c>
      <c r="Y318" s="28">
        <f>Z318/X318</f>
        <v/>
      </c>
      <c r="Z318" s="29" t="n">
        <v>703.7956238579339</v>
      </c>
      <c r="AA318" s="20" t="n">
        <v>93.1112273594247</v>
      </c>
      <c r="AB318" t="n">
        <v>0.08619329874535495</v>
      </c>
      <c r="AC318" t="n">
        <v>86.26921651607185</v>
      </c>
      <c r="AD318" t="n">
        <v>4.663808902123094</v>
      </c>
    </row>
    <row r="319">
      <c r="A319" t="n">
        <v>318</v>
      </c>
      <c r="B319" t="n">
        <v>54.4</v>
      </c>
      <c r="C319" s="21">
        <f>B319-20</f>
        <v/>
      </c>
      <c r="D319" t="n">
        <v>115.2</v>
      </c>
      <c r="E319" s="22">
        <f>D319-90</f>
        <v/>
      </c>
      <c r="F319" s="23" t="n">
        <v>0.00984</v>
      </c>
      <c r="G319" s="22" t="n">
        <v>21.1</v>
      </c>
      <c r="H319" s="22" t="n">
        <v>1.9</v>
      </c>
      <c r="I319" s="24" t="n">
        <v>0.0521379634737968</v>
      </c>
      <c r="J319" s="6" t="n">
        <v>71000</v>
      </c>
      <c r="K319" s="25">
        <f>23*10^-6</f>
        <v/>
      </c>
      <c r="L319" s="8">
        <f>H319</f>
        <v/>
      </c>
      <c r="M319" s="26">
        <f>H319^2/6</f>
        <v/>
      </c>
      <c r="N319" s="26">
        <f>H319^3/12</f>
        <v/>
      </c>
      <c r="O319" s="27">
        <f>-J319*L319*K319*C319</f>
        <v/>
      </c>
      <c r="P319" s="28">
        <f>-(12*F319*J319*L319*N319+12*O319*N319*G319*COS(RADIANS(E319)))/(12*N319*G319*COS(RADIANS(E319))^2+L319*G319^3*SIN(RADIANS(E319))^2)</f>
        <v/>
      </c>
      <c r="Q319" s="28">
        <f>-(6*F319*J319*L319*N319*SIN(RADIANS(E319))+6*O319*N319*G319*SIN(RADIANS(E319))*COS(RADIANS(E319)))/(12*N319*COS(RADIANS(E319))^2+L319*G319^2*SIN(RADIANS(E319))^2)</f>
        <v/>
      </c>
      <c r="R319" s="28">
        <f>-P319*SIN(RADIANS(E319))</f>
        <v/>
      </c>
      <c r="S319" s="8">
        <f>(O319+P319*COS(RADIANS(E319)))/L319</f>
        <v/>
      </c>
      <c r="T319" s="8">
        <f>R319/L319</f>
        <v/>
      </c>
      <c r="U319" s="8">
        <f>(Q319-P319*G319*SIN(RADIANS(E319)))/M319</f>
        <v/>
      </c>
      <c r="V319" s="8">
        <f>SQRT((S319+U319)^2+3*T319^2)</f>
        <v/>
      </c>
      <c r="W319" s="8">
        <f>V319/AA319</f>
        <v/>
      </c>
      <c r="X319" s="27">
        <f>((3*10+H319/COS(RADIANS(E319)))*(3+3)+3*G319*H319)*2</f>
        <v/>
      </c>
      <c r="Y319" s="28">
        <f>Z319/X319</f>
        <v/>
      </c>
      <c r="Z319" s="29" t="n">
        <v>631.69622087144</v>
      </c>
      <c r="AA319" s="20" t="n">
        <v>59.2485935548965</v>
      </c>
      <c r="AB319" t="n">
        <v>0.0578326441558946</v>
      </c>
      <c r="AC319" t="n">
        <v>54.5556603997119</v>
      </c>
      <c r="AD319" t="n">
        <v>10.92233049140823</v>
      </c>
    </row>
    <row r="320">
      <c r="A320" t="n">
        <v>319</v>
      </c>
      <c r="B320" t="n">
        <v>56.6</v>
      </c>
      <c r="C320" s="21">
        <f>B320-20</f>
        <v/>
      </c>
      <c r="D320" t="n">
        <v>108.1</v>
      </c>
      <c r="E320" s="22">
        <f>D320-90</f>
        <v/>
      </c>
      <c r="F320" s="23" t="n">
        <v>0.015353</v>
      </c>
      <c r="G320" s="22" t="n">
        <v>32.4</v>
      </c>
      <c r="H320" s="22" t="n">
        <v>1</v>
      </c>
      <c r="I320" s="24" t="n">
        <v>0.0952633470296859</v>
      </c>
      <c r="J320" s="6" t="n">
        <v>71000</v>
      </c>
      <c r="K320" s="25">
        <f>23*10^-6</f>
        <v/>
      </c>
      <c r="L320" s="8">
        <f>H320</f>
        <v/>
      </c>
      <c r="M320" s="26">
        <f>H320^2/6</f>
        <v/>
      </c>
      <c r="N320" s="26">
        <f>H320^3/12</f>
        <v/>
      </c>
      <c r="O320" s="27">
        <f>-J320*L320*K320*C320</f>
        <v/>
      </c>
      <c r="P320" s="28">
        <f>-(12*F320*J320*L320*N320+12*O320*N320*G320*COS(RADIANS(E320)))/(12*N320*G320*COS(RADIANS(E320))^2+L320*G320^3*SIN(RADIANS(E320))^2)</f>
        <v/>
      </c>
      <c r="Q320" s="28">
        <f>-(6*F320*J320*L320*N320*SIN(RADIANS(E320))+6*O320*N320*G320*SIN(RADIANS(E320))*COS(RADIANS(E320)))/(12*N320*COS(RADIANS(E320))^2+L320*G320^2*SIN(RADIANS(E320))^2)</f>
        <v/>
      </c>
      <c r="R320" s="28">
        <f>-P320*SIN(RADIANS(E320))</f>
        <v/>
      </c>
      <c r="S320" s="8">
        <f>(O320+P320*COS(RADIANS(E320)))/L320</f>
        <v/>
      </c>
      <c r="T320" s="8">
        <f>R320/L320</f>
        <v/>
      </c>
      <c r="U320" s="8">
        <f>(Q320-P320*G320*SIN(RADIANS(E320)))/M320</f>
        <v/>
      </c>
      <c r="V320" s="8">
        <f>SQRT((S320+U320)^2+3*T320^2)</f>
        <v/>
      </c>
      <c r="W320" s="8">
        <f>V320/AA320</f>
        <v/>
      </c>
      <c r="X320" s="27">
        <f>((3*10+H320/COS(RADIANS(E320)))*(3+3)+3*G320*H320)*2</f>
        <v/>
      </c>
      <c r="Y320" s="28">
        <f>Z320/X320</f>
        <v/>
      </c>
      <c r="Z320" s="29" t="n">
        <v>571.707805269451</v>
      </c>
      <c r="AA320" s="20" t="n">
        <v>50.6451392529195</v>
      </c>
      <c r="AB320" t="n">
        <v>0.1335274681918246</v>
      </c>
      <c r="AC320" t="n">
        <v>54.60968756533959</v>
      </c>
      <c r="AD320" t="n">
        <v>40.16667727432971</v>
      </c>
    </row>
    <row r="321">
      <c r="A321" t="n">
        <v>320</v>
      </c>
      <c r="B321" t="n">
        <v>76.3</v>
      </c>
      <c r="C321" s="21">
        <f>B321-20</f>
        <v/>
      </c>
      <c r="D321" t="n">
        <v>117.8</v>
      </c>
      <c r="E321" s="22">
        <f>D321-90</f>
        <v/>
      </c>
      <c r="F321" s="23" t="n">
        <v>0.016625</v>
      </c>
      <c r="G321" s="22" t="n">
        <v>22.5</v>
      </c>
      <c r="H321" s="22" t="n">
        <v>1.9</v>
      </c>
      <c r="I321" s="24" t="n">
        <v>0.0834287330508232</v>
      </c>
      <c r="J321" s="6" t="n">
        <v>71000</v>
      </c>
      <c r="K321" s="25">
        <f>23*10^-6</f>
        <v/>
      </c>
      <c r="L321" s="8">
        <f>H321</f>
        <v/>
      </c>
      <c r="M321" s="26">
        <f>H321^2/6</f>
        <v/>
      </c>
      <c r="N321" s="26">
        <f>H321^3/12</f>
        <v/>
      </c>
      <c r="O321" s="27">
        <f>-J321*L321*K321*C321</f>
        <v/>
      </c>
      <c r="P321" s="28">
        <f>-(12*F321*J321*L321*N321+12*O321*N321*G321*COS(RADIANS(E321)))/(12*N321*G321*COS(RADIANS(E321))^2+L321*G321^3*SIN(RADIANS(E321))^2)</f>
        <v/>
      </c>
      <c r="Q321" s="28">
        <f>-(6*F321*J321*L321*N321*SIN(RADIANS(E321))+6*O321*N321*G321*SIN(RADIANS(E321))*COS(RADIANS(E321)))/(12*N321*COS(RADIANS(E321))^2+L321*G321^2*SIN(RADIANS(E321))^2)</f>
        <v/>
      </c>
      <c r="R321" s="28">
        <f>-P321*SIN(RADIANS(E321))</f>
        <v/>
      </c>
      <c r="S321" s="8">
        <f>(O321+P321*COS(RADIANS(E321)))/L321</f>
        <v/>
      </c>
      <c r="T321" s="8">
        <f>R321/L321</f>
        <v/>
      </c>
      <c r="U321" s="8">
        <f>(Q321-P321*G321*SIN(RADIANS(E321)))/M321</f>
        <v/>
      </c>
      <c r="V321" s="8">
        <f>SQRT((S321+U321)^2+3*T321^2)</f>
        <v/>
      </c>
      <c r="W321" s="8">
        <f>V321/AA321</f>
        <v/>
      </c>
      <c r="X321" s="27">
        <f>((3*10+H321/COS(RADIANS(E321)))*(3+3)+3*G321*H321)*2</f>
        <v/>
      </c>
      <c r="Y321" s="28">
        <f>Z321/X321</f>
        <v/>
      </c>
      <c r="Z321" s="29" t="n">
        <v>648.840035143034</v>
      </c>
      <c r="AA321" s="20" t="n">
        <v>95.5623184054712</v>
      </c>
      <c r="AB321" t="n">
        <v>0.0914321977776371</v>
      </c>
      <c r="AC321" t="n">
        <v>87.52183448586909</v>
      </c>
      <c r="AD321" t="n">
        <v>9.593175437457912</v>
      </c>
    </row>
    <row r="322">
      <c r="A322" t="n">
        <v>321</v>
      </c>
      <c r="B322" t="n">
        <v>73.8</v>
      </c>
      <c r="C322" s="21">
        <f>B322-20</f>
        <v/>
      </c>
      <c r="D322" t="n">
        <v>105</v>
      </c>
      <c r="E322" s="22">
        <f>D322-90</f>
        <v/>
      </c>
      <c r="F322" s="23" t="n">
        <v>0.020505</v>
      </c>
      <c r="G322" s="22" t="n">
        <v>28.4</v>
      </c>
      <c r="H322" s="22" t="n">
        <v>1.2</v>
      </c>
      <c r="I322" s="24" t="n">
        <v>0.147272005677223</v>
      </c>
      <c r="J322" s="6" t="n">
        <v>71000</v>
      </c>
      <c r="K322" s="25">
        <f>23*10^-6</f>
        <v/>
      </c>
      <c r="L322" s="8">
        <f>H322</f>
        <v/>
      </c>
      <c r="M322" s="26">
        <f>H322^2/6</f>
        <v/>
      </c>
      <c r="N322" s="26">
        <f>H322^3/12</f>
        <v/>
      </c>
      <c r="O322" s="27">
        <f>-J322*L322*K322*C322</f>
        <v/>
      </c>
      <c r="P322" s="28">
        <f>-(12*F322*J322*L322*N322+12*O322*N322*G322*COS(RADIANS(E322)))/(12*N322*G322*COS(RADIANS(E322))^2+L322*G322^3*SIN(RADIANS(E322))^2)</f>
        <v/>
      </c>
      <c r="Q322" s="28">
        <f>-(6*F322*J322*L322*N322*SIN(RADIANS(E322))+6*O322*N322*G322*SIN(RADIANS(E322))*COS(RADIANS(E322)))/(12*N322*COS(RADIANS(E322))^2+L322*G322^2*SIN(RADIANS(E322))^2)</f>
        <v/>
      </c>
      <c r="R322" s="28">
        <f>-P322*SIN(RADIANS(E322))</f>
        <v/>
      </c>
      <c r="S322" s="8">
        <f>(O322+P322*COS(RADIANS(E322)))/L322</f>
        <v/>
      </c>
      <c r="T322" s="8">
        <f>R322/L322</f>
        <v/>
      </c>
      <c r="U322" s="8">
        <f>(Q322-P322*G322*SIN(RADIANS(E322)))/M322</f>
        <v/>
      </c>
      <c r="V322" s="8">
        <f>SQRT((S322+U322)^2+3*T322^2)</f>
        <v/>
      </c>
      <c r="W322" s="8">
        <f>V322/AA322</f>
        <v/>
      </c>
      <c r="X322" s="27">
        <f>((3*10+H322/COS(RADIANS(E322)))*(3+3)+3*G322*H322)*2</f>
        <v/>
      </c>
      <c r="Y322" s="28">
        <f>Z322/X322</f>
        <v/>
      </c>
      <c r="Z322" s="29" t="n">
        <v>583.668234713388</v>
      </c>
      <c r="AA322" s="20" t="n">
        <v>80.1417969887263</v>
      </c>
      <c r="AB322" t="n">
        <v>0.2070189068321047</v>
      </c>
      <c r="AC322" t="n">
        <v>84.77287004827495</v>
      </c>
      <c r="AD322" t="n">
        <v>40.56908227747595</v>
      </c>
    </row>
    <row r="323">
      <c r="A323" t="n">
        <v>322</v>
      </c>
      <c r="B323" t="n">
        <v>60.2</v>
      </c>
      <c r="C323" s="21">
        <f>B323-20</f>
        <v/>
      </c>
      <c r="D323" t="n">
        <v>101.8</v>
      </c>
      <c r="E323" s="22">
        <f>D323-90</f>
        <v/>
      </c>
      <c r="F323" s="23" t="n">
        <v>0.015265</v>
      </c>
      <c r="G323" s="22" t="n">
        <v>27.9</v>
      </c>
      <c r="H323" s="22" t="n">
        <v>1.5</v>
      </c>
      <c r="I323" s="24" t="n">
        <v>0.128868401050567</v>
      </c>
      <c r="J323" s="6" t="n">
        <v>71000</v>
      </c>
      <c r="K323" s="25">
        <f>23*10^-6</f>
        <v/>
      </c>
      <c r="L323" s="8">
        <f>H323</f>
        <v/>
      </c>
      <c r="M323" s="26">
        <f>H323^2/6</f>
        <v/>
      </c>
      <c r="N323" s="26">
        <f>H323^3/12</f>
        <v/>
      </c>
      <c r="O323" s="27">
        <f>-J323*L323*K323*C323</f>
        <v/>
      </c>
      <c r="P323" s="28">
        <f>-(12*F323*J323*L323*N323+12*O323*N323*G323*COS(RADIANS(E323)))/(12*N323*G323*COS(RADIANS(E323))^2+L323*G323^3*SIN(RADIANS(E323))^2)</f>
        <v/>
      </c>
      <c r="Q323" s="28">
        <f>-(6*F323*J323*L323*N323*SIN(RADIANS(E323))+6*O323*N323*G323*SIN(RADIANS(E323))*COS(RADIANS(E323)))/(12*N323*COS(RADIANS(E323))^2+L323*G323^2*SIN(RADIANS(E323))^2)</f>
        <v/>
      </c>
      <c r="R323" s="28">
        <f>-P323*SIN(RADIANS(E323))</f>
        <v/>
      </c>
      <c r="S323" s="8">
        <f>(O323+P323*COS(RADIANS(E323)))/L323</f>
        <v/>
      </c>
      <c r="T323" s="8">
        <f>R323/L323</f>
        <v/>
      </c>
      <c r="U323" s="8">
        <f>(Q323-P323*G323*SIN(RADIANS(E323)))/M323</f>
        <v/>
      </c>
      <c r="V323" s="8">
        <f>SQRT((S323+U323)^2+3*T323^2)</f>
        <v/>
      </c>
      <c r="W323" s="8">
        <f>V323/AA323</f>
        <v/>
      </c>
      <c r="X323" s="27">
        <f>((3*10+H323/COS(RADIANS(E323)))*(3+3)+3*G323*H323)*2</f>
        <v/>
      </c>
      <c r="Y323" s="28">
        <f>Z323/X323</f>
        <v/>
      </c>
      <c r="Z323" s="29" t="n">
        <v>633.440360657108</v>
      </c>
      <c r="AA323" s="20" t="n">
        <v>65.6744178953478</v>
      </c>
      <c r="AB323" t="n">
        <v>0.1866450501772453</v>
      </c>
      <c r="AC323" t="n">
        <v>68.12974024981098</v>
      </c>
      <c r="AD323" t="n">
        <v>44.83383719800104</v>
      </c>
    </row>
    <row r="324">
      <c r="A324" t="n">
        <v>323</v>
      </c>
      <c r="B324" t="n">
        <v>89.3</v>
      </c>
      <c r="C324" s="21">
        <f>B324-20</f>
        <v/>
      </c>
      <c r="D324" t="n">
        <v>117.7</v>
      </c>
      <c r="E324" s="22">
        <f>D324-90</f>
        <v/>
      </c>
      <c r="F324" s="23" t="n">
        <v>0.021178</v>
      </c>
      <c r="G324" s="22" t="n">
        <v>23.5</v>
      </c>
      <c r="H324" s="22" t="n">
        <v>1.6</v>
      </c>
      <c r="I324" s="24" t="n">
        <v>0.105985790491104</v>
      </c>
      <c r="J324" s="6" t="n">
        <v>71000</v>
      </c>
      <c r="K324" s="25">
        <f>23*10^-6</f>
        <v/>
      </c>
      <c r="L324" s="8">
        <f>H324</f>
        <v/>
      </c>
      <c r="M324" s="26">
        <f>H324^2/6</f>
        <v/>
      </c>
      <c r="N324" s="26">
        <f>H324^3/12</f>
        <v/>
      </c>
      <c r="O324" s="27">
        <f>-J324*L324*K324*C324</f>
        <v/>
      </c>
      <c r="P324" s="28">
        <f>-(12*F324*J324*L324*N324+12*O324*N324*G324*COS(RADIANS(E324)))/(12*N324*G324*COS(RADIANS(E324))^2+L324*G324^3*SIN(RADIANS(E324))^2)</f>
        <v/>
      </c>
      <c r="Q324" s="28">
        <f>-(6*F324*J324*L324*N324*SIN(RADIANS(E324))+6*O324*N324*G324*SIN(RADIANS(E324))*COS(RADIANS(E324)))/(12*N324*COS(RADIANS(E324))^2+L324*G324^2*SIN(RADIANS(E324))^2)</f>
        <v/>
      </c>
      <c r="R324" s="28">
        <f>-P324*SIN(RADIANS(E324))</f>
        <v/>
      </c>
      <c r="S324" s="8">
        <f>(O324+P324*COS(RADIANS(E324)))/L324</f>
        <v/>
      </c>
      <c r="T324" s="8">
        <f>R324/L324</f>
        <v/>
      </c>
      <c r="U324" s="8">
        <f>(Q324-P324*G324*SIN(RADIANS(E324)))/M324</f>
        <v/>
      </c>
      <c r="V324" s="8">
        <f>SQRT((S324+U324)^2+3*T324^2)</f>
        <v/>
      </c>
      <c r="W324" s="8">
        <f>V324/AA324</f>
        <v/>
      </c>
      <c r="X324" s="27">
        <f>((3*10+H324/COS(RADIANS(E324)))*(3+3)+3*G324*H324)*2</f>
        <v/>
      </c>
      <c r="Y324" s="28">
        <f>Z324/X324</f>
        <v/>
      </c>
      <c r="Z324" s="29" t="n">
        <v>613.825487315711</v>
      </c>
      <c r="AA324" s="20" t="n">
        <v>109.055535908874</v>
      </c>
      <c r="AB324" t="n">
        <v>0.1187333926579153</v>
      </c>
      <c r="AC324" t="n">
        <v>105.3942854797985</v>
      </c>
      <c r="AD324" t="n">
        <v>12.02765211047914</v>
      </c>
    </row>
    <row r="325">
      <c r="A325" t="n">
        <v>324</v>
      </c>
      <c r="B325" t="n">
        <v>78.90000000000001</v>
      </c>
      <c r="C325" s="21">
        <f>B325-20</f>
        <v/>
      </c>
      <c r="D325" t="n">
        <v>103.9</v>
      </c>
      <c r="E325" s="22">
        <f>D325-90</f>
        <v/>
      </c>
      <c r="F325" s="23" t="n">
        <v>0.02456</v>
      </c>
      <c r="G325" s="22" t="n">
        <v>31.5</v>
      </c>
      <c r="H325" s="22" t="n">
        <v>1.3</v>
      </c>
      <c r="I325" s="24" t="n">
        <v>0.184613972902297</v>
      </c>
      <c r="J325" s="6" t="n">
        <v>71000</v>
      </c>
      <c r="K325" s="25">
        <f>23*10^-6</f>
        <v/>
      </c>
      <c r="L325" s="8">
        <f>H325</f>
        <v/>
      </c>
      <c r="M325" s="26">
        <f>H325^2/6</f>
        <v/>
      </c>
      <c r="N325" s="26">
        <f>H325^3/12</f>
        <v/>
      </c>
      <c r="O325" s="27">
        <f>-J325*L325*K325*C325</f>
        <v/>
      </c>
      <c r="P325" s="28">
        <f>-(12*F325*J325*L325*N325+12*O325*N325*G325*COS(RADIANS(E325)))/(12*N325*G325*COS(RADIANS(E325))^2+L325*G325^3*SIN(RADIANS(E325))^2)</f>
        <v/>
      </c>
      <c r="Q325" s="28">
        <f>-(6*F325*J325*L325*N325*SIN(RADIANS(E325))+6*O325*N325*G325*SIN(RADIANS(E325))*COS(RADIANS(E325)))/(12*N325*COS(RADIANS(E325))^2+L325*G325^2*SIN(RADIANS(E325))^2)</f>
        <v/>
      </c>
      <c r="R325" s="28">
        <f>-P325*SIN(RADIANS(E325))</f>
        <v/>
      </c>
      <c r="S325" s="8">
        <f>(O325+P325*COS(RADIANS(E325)))/L325</f>
        <v/>
      </c>
      <c r="T325" s="8">
        <f>R325/L325</f>
        <v/>
      </c>
      <c r="U325" s="8">
        <f>(Q325-P325*G325*SIN(RADIANS(E325)))/M325</f>
        <v/>
      </c>
      <c r="V325" s="8">
        <f>SQRT((S325+U325)^2+3*T325^2)</f>
        <v/>
      </c>
      <c r="W325" s="8">
        <f>V325/AA325</f>
        <v/>
      </c>
      <c r="X325" s="27">
        <f>((3*10+H325/COS(RADIANS(E325)))*(3+3)+3*G325*H325)*2</f>
        <v/>
      </c>
      <c r="Y325" s="28">
        <f>Z325/X325</f>
        <v/>
      </c>
      <c r="Z325" s="29" t="n">
        <v>625.928239090442</v>
      </c>
      <c r="AA325" s="20" t="n">
        <v>88.98112136373889</v>
      </c>
      <c r="AB325" t="n">
        <v>0.2692232923412567</v>
      </c>
      <c r="AC325" t="n">
        <v>93.91499532134134</v>
      </c>
      <c r="AD325" t="n">
        <v>45.83039848437551</v>
      </c>
    </row>
    <row r="326">
      <c r="A326" t="n">
        <v>325</v>
      </c>
      <c r="B326" t="n">
        <v>81.7</v>
      </c>
      <c r="C326" s="21">
        <f>B326-20</f>
        <v/>
      </c>
      <c r="D326" t="n">
        <v>100.3</v>
      </c>
      <c r="E326" s="22">
        <f>D326-90</f>
        <v/>
      </c>
      <c r="F326" s="23" t="n">
        <v>0.026781</v>
      </c>
      <c r="G326" s="22" t="n">
        <v>32.6</v>
      </c>
      <c r="H326" s="22" t="n">
        <v>1.1</v>
      </c>
      <c r="I326" s="24" t="n">
        <v>0.255719363689422</v>
      </c>
      <c r="J326" s="6" t="n">
        <v>71000</v>
      </c>
      <c r="K326" s="25">
        <f>23*10^-6</f>
        <v/>
      </c>
      <c r="L326" s="8">
        <f>H326</f>
        <v/>
      </c>
      <c r="M326" s="26">
        <f>H326^2/6</f>
        <v/>
      </c>
      <c r="N326" s="26">
        <f>H326^3/12</f>
        <v/>
      </c>
      <c r="O326" s="27">
        <f>-J326*L326*K326*C326</f>
        <v/>
      </c>
      <c r="P326" s="28">
        <f>-(12*F326*J326*L326*N326+12*O326*N326*G326*COS(RADIANS(E326)))/(12*N326*G326*COS(RADIANS(E326))^2+L326*G326^3*SIN(RADIANS(E326))^2)</f>
        <v/>
      </c>
      <c r="Q326" s="28">
        <f>-(6*F326*J326*L326*N326*SIN(RADIANS(E326))+6*O326*N326*G326*SIN(RADIANS(E326))*COS(RADIANS(E326)))/(12*N326*COS(RADIANS(E326))^2+L326*G326^2*SIN(RADIANS(E326))^2)</f>
        <v/>
      </c>
      <c r="R326" s="28">
        <f>-P326*SIN(RADIANS(E326))</f>
        <v/>
      </c>
      <c r="S326" s="8">
        <f>(O326+P326*COS(RADIANS(E326)))/L326</f>
        <v/>
      </c>
      <c r="T326" s="8">
        <f>R326/L326</f>
        <v/>
      </c>
      <c r="U326" s="8">
        <f>(Q326-P326*G326*SIN(RADIANS(E326)))/M326</f>
        <v/>
      </c>
      <c r="V326" s="8">
        <f>SQRT((S326+U326)^2+3*T326^2)</f>
        <v/>
      </c>
      <c r="W326" s="8">
        <f>V326/AA326</f>
        <v/>
      </c>
      <c r="X326" s="27">
        <f>((3*10+H326/COS(RADIANS(E326)))*(3+3)+3*G326*H326)*2</f>
        <v/>
      </c>
      <c r="Y326" s="28">
        <f>Z326/X326</f>
        <v/>
      </c>
      <c r="Z326" s="29" t="n">
        <v>592.402924746134</v>
      </c>
      <c r="AA326" s="20" t="n">
        <v>91.3048403614501</v>
      </c>
      <c r="AB326" t="n">
        <v>0.392406884796271</v>
      </c>
      <c r="AC326" t="n">
        <v>100.1020975390398</v>
      </c>
      <c r="AD326" t="n">
        <v>53.45215909142479</v>
      </c>
    </row>
    <row r="327">
      <c r="A327" t="n">
        <v>326</v>
      </c>
      <c r="B327" t="n">
        <v>41.2</v>
      </c>
      <c r="C327" s="21">
        <f>B327-20</f>
        <v/>
      </c>
      <c r="D327" t="n">
        <v>115.8</v>
      </c>
      <c r="E327" s="22">
        <f>D327-90</f>
        <v/>
      </c>
      <c r="F327" s="23" t="n">
        <v>0.008522</v>
      </c>
      <c r="G327" s="22" t="n">
        <v>32.5</v>
      </c>
      <c r="H327" s="22" t="n">
        <v>1.1</v>
      </c>
      <c r="I327" s="24" t="n">
        <v>0.0422123856842517</v>
      </c>
      <c r="J327" s="6" t="n">
        <v>71000</v>
      </c>
      <c r="K327" s="25">
        <f>23*10^-6</f>
        <v/>
      </c>
      <c r="L327" s="8">
        <f>H327</f>
        <v/>
      </c>
      <c r="M327" s="26">
        <f>H327^2/6</f>
        <v/>
      </c>
      <c r="N327" s="26">
        <f>H327^3/12</f>
        <v/>
      </c>
      <c r="O327" s="27">
        <f>-J327*L327*K327*C327</f>
        <v/>
      </c>
      <c r="P327" s="28">
        <f>-(12*F327*J327*L327*N327+12*O327*N327*G327*COS(RADIANS(E327)))/(12*N327*G327*COS(RADIANS(E327))^2+L327*G327^3*SIN(RADIANS(E327))^2)</f>
        <v/>
      </c>
      <c r="Q327" s="28">
        <f>-(6*F327*J327*L327*N327*SIN(RADIANS(E327))+6*O327*N327*G327*SIN(RADIANS(E327))*COS(RADIANS(E327)))/(12*N327*COS(RADIANS(E327))^2+L327*G327^2*SIN(RADIANS(E327))^2)</f>
        <v/>
      </c>
      <c r="R327" s="28">
        <f>-P327*SIN(RADIANS(E327))</f>
        <v/>
      </c>
      <c r="S327" s="8">
        <f>(O327+P327*COS(RADIANS(E327)))/L327</f>
        <v/>
      </c>
      <c r="T327" s="8">
        <f>R327/L327</f>
        <v/>
      </c>
      <c r="U327" s="8">
        <f>(Q327-P327*G327*SIN(RADIANS(E327)))/M327</f>
        <v/>
      </c>
      <c r="V327" s="8">
        <f>SQRT((S327+U327)^2+3*T327^2)</f>
        <v/>
      </c>
      <c r="W327" s="8">
        <f>V327/AA327</f>
        <v/>
      </c>
      <c r="X327" s="27">
        <f>((3*10+H327/COS(RADIANS(E327)))*(3+3)+3*G327*H327)*2</f>
        <v/>
      </c>
      <c r="Y327" s="28">
        <f>Z327/X327</f>
        <v/>
      </c>
      <c r="Z327" s="29" t="n">
        <v>595.252328030637</v>
      </c>
      <c r="AA327" s="20" t="n">
        <v>29.1674505407527</v>
      </c>
      <c r="AB327" t="n">
        <v>0.05375487463157342</v>
      </c>
      <c r="AC327" t="n">
        <v>30.81503985017986</v>
      </c>
      <c r="AD327" t="n">
        <v>27.3438441353669</v>
      </c>
    </row>
    <row r="328">
      <c r="A328" t="n">
        <v>327</v>
      </c>
      <c r="B328" t="n">
        <v>88</v>
      </c>
      <c r="C328" s="21">
        <f>B328-20</f>
        <v/>
      </c>
      <c r="D328" t="n">
        <v>110.8</v>
      </c>
      <c r="E328" s="22">
        <f>D328-90</f>
        <v/>
      </c>
      <c r="F328" s="23" t="n">
        <v>0.020522</v>
      </c>
      <c r="G328" s="22" t="n">
        <v>21.9</v>
      </c>
      <c r="H328" s="22" t="n">
        <v>1.8</v>
      </c>
      <c r="I328" s="24" t="n">
        <v>0.120021261274814</v>
      </c>
      <c r="J328" s="6" t="n">
        <v>71000</v>
      </c>
      <c r="K328" s="25">
        <f>23*10^-6</f>
        <v/>
      </c>
      <c r="L328" s="8">
        <f>H328</f>
        <v/>
      </c>
      <c r="M328" s="26">
        <f>H328^2/6</f>
        <v/>
      </c>
      <c r="N328" s="26">
        <f>H328^3/12</f>
        <v/>
      </c>
      <c r="O328" s="27">
        <f>-J328*L328*K328*C328</f>
        <v/>
      </c>
      <c r="P328" s="28">
        <f>-(12*F328*J328*L328*N328+12*O328*N328*G328*COS(RADIANS(E328)))/(12*N328*G328*COS(RADIANS(E328))^2+L328*G328^3*SIN(RADIANS(E328))^2)</f>
        <v/>
      </c>
      <c r="Q328" s="28">
        <f>-(6*F328*J328*L328*N328*SIN(RADIANS(E328))+6*O328*N328*G328*SIN(RADIANS(E328))*COS(RADIANS(E328)))/(12*N328*COS(RADIANS(E328))^2+L328*G328^2*SIN(RADIANS(E328))^2)</f>
        <v/>
      </c>
      <c r="R328" s="28">
        <f>-P328*SIN(RADIANS(E328))</f>
        <v/>
      </c>
      <c r="S328" s="8">
        <f>(O328+P328*COS(RADIANS(E328)))/L328</f>
        <v/>
      </c>
      <c r="T328" s="8">
        <f>R328/L328</f>
        <v/>
      </c>
      <c r="U328" s="8">
        <f>(Q328-P328*G328*SIN(RADIANS(E328)))/M328</f>
        <v/>
      </c>
      <c r="V328" s="8">
        <f>SQRT((S328+U328)^2+3*T328^2)</f>
        <v/>
      </c>
      <c r="W328" s="8">
        <f>V328/AA328</f>
        <v/>
      </c>
      <c r="X328" s="27">
        <f>((3*10+H328/COS(RADIANS(E328)))*(3+3)+3*G328*H328)*2</f>
        <v/>
      </c>
      <c r="Y328" s="28">
        <f>Z328/X328</f>
        <v/>
      </c>
      <c r="Z328" s="29" t="n">
        <v>624.732777360908</v>
      </c>
      <c r="AA328" s="20" t="n">
        <v>115.4292966534</v>
      </c>
      <c r="AB328" t="n">
        <v>0.143399446111095</v>
      </c>
      <c r="AC328" t="n">
        <v>110.2060124590109</v>
      </c>
      <c r="AD328" t="n">
        <v>19.47836957216411</v>
      </c>
    </row>
    <row r="329">
      <c r="A329" t="n">
        <v>328</v>
      </c>
      <c r="B329" t="n">
        <v>44.7</v>
      </c>
      <c r="C329" s="21">
        <f>B329-20</f>
        <v/>
      </c>
      <c r="D329" t="n">
        <v>126.2</v>
      </c>
      <c r="E329" s="22">
        <f>D329-90</f>
        <v/>
      </c>
      <c r="F329" s="23" t="n">
        <v>0.006575</v>
      </c>
      <c r="G329" s="22" t="n">
        <v>21.5</v>
      </c>
      <c r="H329" s="22" t="n">
        <v>1.3</v>
      </c>
      <c r="I329" s="24" t="n">
        <v>0.0302244555205106</v>
      </c>
      <c r="J329" s="6" t="n">
        <v>71000</v>
      </c>
      <c r="K329" s="25">
        <f>23*10^-6</f>
        <v/>
      </c>
      <c r="L329" s="8">
        <f>H329</f>
        <v/>
      </c>
      <c r="M329" s="26">
        <f>H329^2/6</f>
        <v/>
      </c>
      <c r="N329" s="26">
        <f>H329^3/12</f>
        <v/>
      </c>
      <c r="O329" s="27">
        <f>-J329*L329*K329*C329</f>
        <v/>
      </c>
      <c r="P329" s="28">
        <f>-(12*F329*J329*L329*N329+12*O329*N329*G329*COS(RADIANS(E329)))/(12*N329*G329*COS(RADIANS(E329))^2+L329*G329^3*SIN(RADIANS(E329))^2)</f>
        <v/>
      </c>
      <c r="Q329" s="28">
        <f>-(6*F329*J329*L329*N329*SIN(RADIANS(E329))+6*O329*N329*G329*SIN(RADIANS(E329))*COS(RADIANS(E329)))/(12*N329*COS(RADIANS(E329))^2+L329*G329^2*SIN(RADIANS(E329))^2)</f>
        <v/>
      </c>
      <c r="R329" s="28">
        <f>-P329*SIN(RADIANS(E329))</f>
        <v/>
      </c>
      <c r="S329" s="8">
        <f>(O329+P329*COS(RADIANS(E329)))/L329</f>
        <v/>
      </c>
      <c r="T329" s="8">
        <f>R329/L329</f>
        <v/>
      </c>
      <c r="U329" s="8">
        <f>(Q329-P329*G329*SIN(RADIANS(E329)))/M329</f>
        <v/>
      </c>
      <c r="V329" s="8">
        <f>SQRT((S329+U329)^2+3*T329^2)</f>
        <v/>
      </c>
      <c r="W329" s="8">
        <f>V329/AA329</f>
        <v/>
      </c>
      <c r="X329" s="27">
        <f>((3*10+H329/COS(RADIANS(E329)))*(3+3)+3*G329*H329)*2</f>
        <v/>
      </c>
      <c r="Y329" s="28">
        <f>Z329/X329</f>
        <v/>
      </c>
      <c r="Z329" s="29" t="n">
        <v>556.206674743717</v>
      </c>
      <c r="AA329" s="20" t="n">
        <v>35.8378120525832</v>
      </c>
      <c r="AB329" t="n">
        <v>0.0294303226518192</v>
      </c>
      <c r="AC329" t="n">
        <v>35.81928128487966</v>
      </c>
      <c r="AD329" t="n">
        <v>-2.62745136352414</v>
      </c>
    </row>
    <row r="330">
      <c r="A330" t="n">
        <v>329</v>
      </c>
      <c r="B330" t="n">
        <v>42.4</v>
      </c>
      <c r="C330" s="21">
        <f>B330-20</f>
        <v/>
      </c>
      <c r="D330" t="n">
        <v>114.2</v>
      </c>
      <c r="E330" s="22">
        <f>D330-90</f>
        <v/>
      </c>
      <c r="F330" s="23" t="n">
        <v>0.007541</v>
      </c>
      <c r="G330" s="22" t="n">
        <v>25.8</v>
      </c>
      <c r="H330" s="22" t="n">
        <v>1.3</v>
      </c>
      <c r="I330" s="24" t="n">
        <v>0.0399538241326808</v>
      </c>
      <c r="J330" s="6" t="n">
        <v>71000</v>
      </c>
      <c r="K330" s="25">
        <f>23*10^-6</f>
        <v/>
      </c>
      <c r="L330" s="8">
        <f>H330</f>
        <v/>
      </c>
      <c r="M330" s="26">
        <f>H330^2/6</f>
        <v/>
      </c>
      <c r="N330" s="26">
        <f>H330^3/12</f>
        <v/>
      </c>
      <c r="O330" s="27">
        <f>-J330*L330*K330*C330</f>
        <v/>
      </c>
      <c r="P330" s="28">
        <f>-(12*F330*J330*L330*N330+12*O330*N330*G330*COS(RADIANS(E330)))/(12*N330*G330*COS(RADIANS(E330))^2+L330*G330^3*SIN(RADIANS(E330))^2)</f>
        <v/>
      </c>
      <c r="Q330" s="28">
        <f>-(6*F330*J330*L330*N330*SIN(RADIANS(E330))+6*O330*N330*G330*SIN(RADIANS(E330))*COS(RADIANS(E330)))/(12*N330*COS(RADIANS(E330))^2+L330*G330^2*SIN(RADIANS(E330))^2)</f>
        <v/>
      </c>
      <c r="R330" s="28">
        <f>-P330*SIN(RADIANS(E330))</f>
        <v/>
      </c>
      <c r="S330" s="8">
        <f>(O330+P330*COS(RADIANS(E330)))/L330</f>
        <v/>
      </c>
      <c r="T330" s="8">
        <f>R330/L330</f>
        <v/>
      </c>
      <c r="U330" s="8">
        <f>(Q330-P330*G330*SIN(RADIANS(E330)))/M330</f>
        <v/>
      </c>
      <c r="V330" s="8">
        <f>SQRT((S330+U330)^2+3*T330^2)</f>
        <v/>
      </c>
      <c r="W330" s="8">
        <f>V330/AA330</f>
        <v/>
      </c>
      <c r="X330" s="27">
        <f>((3*10+H330/COS(RADIANS(E330)))*(3+3)+3*G330*H330)*2</f>
        <v/>
      </c>
      <c r="Y330" s="28">
        <f>Z330/X330</f>
        <v/>
      </c>
      <c r="Z330" s="29" t="n">
        <v>584.088963942873</v>
      </c>
      <c r="AA330" s="20" t="n">
        <v>33.0151604874103</v>
      </c>
      <c r="AB330" t="n">
        <v>0.0485535824620611</v>
      </c>
      <c r="AC330" t="n">
        <v>33.72232654429504</v>
      </c>
      <c r="AD330" t="n">
        <v>21.52424333856442</v>
      </c>
    </row>
    <row r="331">
      <c r="A331" t="n">
        <v>330</v>
      </c>
      <c r="B331" t="n">
        <v>87.2</v>
      </c>
      <c r="C331" s="21">
        <f>B331-20</f>
        <v/>
      </c>
      <c r="D331" t="n">
        <v>106.3</v>
      </c>
      <c r="E331" s="22">
        <f>D331-90</f>
        <v/>
      </c>
      <c r="F331" s="23" t="n">
        <v>0.022979</v>
      </c>
      <c r="G331" s="22" t="n">
        <v>25</v>
      </c>
      <c r="H331" s="22" t="n">
        <v>1.7</v>
      </c>
      <c r="I331" s="24" t="n">
        <v>0.154650956392288</v>
      </c>
      <c r="J331" s="6" t="n">
        <v>71000</v>
      </c>
      <c r="K331" s="25">
        <f>23*10^-6</f>
        <v/>
      </c>
      <c r="L331" s="8">
        <f>H331</f>
        <v/>
      </c>
      <c r="M331" s="26">
        <f>H331^2/6</f>
        <v/>
      </c>
      <c r="N331" s="26">
        <f>H331^3/12</f>
        <v/>
      </c>
      <c r="O331" s="27">
        <f>-J331*L331*K331*C331</f>
        <v/>
      </c>
      <c r="P331" s="28">
        <f>-(12*F331*J331*L331*N331+12*O331*N331*G331*COS(RADIANS(E331)))/(12*N331*G331*COS(RADIANS(E331))^2+L331*G331^3*SIN(RADIANS(E331))^2)</f>
        <v/>
      </c>
      <c r="Q331" s="28">
        <f>-(6*F331*J331*L331*N331*SIN(RADIANS(E331))+6*O331*N331*G331*SIN(RADIANS(E331))*COS(RADIANS(E331)))/(12*N331*COS(RADIANS(E331))^2+L331*G331^2*SIN(RADIANS(E331))^2)</f>
        <v/>
      </c>
      <c r="R331" s="28">
        <f>-P331*SIN(RADIANS(E331))</f>
        <v/>
      </c>
      <c r="S331" s="8">
        <f>(O331+P331*COS(RADIANS(E331)))/L331</f>
        <v/>
      </c>
      <c r="T331" s="8">
        <f>R331/L331</f>
        <v/>
      </c>
      <c r="U331" s="8">
        <f>(Q331-P331*G331*SIN(RADIANS(E331)))/M331</f>
        <v/>
      </c>
      <c r="V331" s="8">
        <f>SQRT((S331+U331)^2+3*T331^2)</f>
        <v/>
      </c>
      <c r="W331" s="8">
        <f>V331/AA331</f>
        <v/>
      </c>
      <c r="X331" s="27">
        <f>((3*10+H331/COS(RADIANS(E331)))*(3+3)+3*G331*H331)*2</f>
        <v/>
      </c>
      <c r="Y331" s="28">
        <f>Z331/X331</f>
        <v/>
      </c>
      <c r="Z331" s="29" t="n">
        <v>640.693011753318</v>
      </c>
      <c r="AA331" s="20" t="n">
        <v>113.051783415459</v>
      </c>
      <c r="AB331" t="n">
        <v>0.2048142771772504</v>
      </c>
      <c r="AC331" t="n">
        <v>111.2239451146189</v>
      </c>
      <c r="AD331" t="n">
        <v>32.43647627869692</v>
      </c>
    </row>
    <row r="332">
      <c r="A332" t="n">
        <v>331</v>
      </c>
      <c r="B332" t="n">
        <v>67</v>
      </c>
      <c r="C332" s="21">
        <f>B332-20</f>
        <v/>
      </c>
      <c r="D332" t="n">
        <v>129.3</v>
      </c>
      <c r="E332" s="22">
        <f>D332-90</f>
        <v/>
      </c>
      <c r="F332" s="23" t="n">
        <v>0.013912</v>
      </c>
      <c r="G332" s="22" t="n">
        <v>25.8</v>
      </c>
      <c r="H332" s="22" t="n">
        <v>1.2</v>
      </c>
      <c r="I332" s="24" t="n">
        <v>0.0610982999205589</v>
      </c>
      <c r="J332" s="6" t="n">
        <v>71000</v>
      </c>
      <c r="K332" s="25">
        <f>23*10^-6</f>
        <v/>
      </c>
      <c r="L332" s="8">
        <f>H332</f>
        <v/>
      </c>
      <c r="M332" s="26">
        <f>H332^2/6</f>
        <v/>
      </c>
      <c r="N332" s="26">
        <f>H332^3/12</f>
        <v/>
      </c>
      <c r="O332" s="27">
        <f>-J332*L332*K332*C332</f>
        <v/>
      </c>
      <c r="P332" s="28">
        <f>-(12*F332*J332*L332*N332+12*O332*N332*G332*COS(RADIANS(E332)))/(12*N332*G332*COS(RADIANS(E332))^2+L332*G332^3*SIN(RADIANS(E332))^2)</f>
        <v/>
      </c>
      <c r="Q332" s="28">
        <f>-(6*F332*J332*L332*N332*SIN(RADIANS(E332))+6*O332*N332*G332*SIN(RADIANS(E332))*COS(RADIANS(E332)))/(12*N332*COS(RADIANS(E332))^2+L332*G332^2*SIN(RADIANS(E332))^2)</f>
        <v/>
      </c>
      <c r="R332" s="28">
        <f>-P332*SIN(RADIANS(E332))</f>
        <v/>
      </c>
      <c r="S332" s="8">
        <f>(O332+P332*COS(RADIANS(E332)))/L332</f>
        <v/>
      </c>
      <c r="T332" s="8">
        <f>R332/L332</f>
        <v/>
      </c>
      <c r="U332" s="8">
        <f>(Q332-P332*G332*SIN(RADIANS(E332)))/M332</f>
        <v/>
      </c>
      <c r="V332" s="8">
        <f>SQRT((S332+U332)^2+3*T332^2)</f>
        <v/>
      </c>
      <c r="W332" s="8">
        <f>V332/AA332</f>
        <v/>
      </c>
      <c r="X332" s="27">
        <f>((3*10+H332/COS(RADIANS(E332)))*(3+3)+3*G332*H332)*2</f>
        <v/>
      </c>
      <c r="Y332" s="28">
        <f>Z332/X332</f>
        <v/>
      </c>
      <c r="Z332" s="29" t="n">
        <v>574.8162769520829</v>
      </c>
      <c r="AA332" s="20" t="n">
        <v>63.1944340711471</v>
      </c>
      <c r="AB332" t="n">
        <v>0.0607973738224022</v>
      </c>
      <c r="AC332" t="n">
        <v>66.8668625717938</v>
      </c>
      <c r="AD332" t="n">
        <v>-0.4925277766287678</v>
      </c>
    </row>
    <row r="333">
      <c r="A333" t="n">
        <v>332</v>
      </c>
      <c r="B333" t="n">
        <v>40.1</v>
      </c>
      <c r="C333" s="21">
        <f>B333-20</f>
        <v/>
      </c>
      <c r="D333" t="n">
        <v>125.8</v>
      </c>
      <c r="E333" s="22">
        <f>D333-90</f>
        <v/>
      </c>
      <c r="F333" s="23" t="n">
        <v>0.005668</v>
      </c>
      <c r="G333" s="22" t="n">
        <v>23.1</v>
      </c>
      <c r="H333" s="22" t="n">
        <v>1.4</v>
      </c>
      <c r="I333" s="24" t="n">
        <v>0.0258452873677015</v>
      </c>
      <c r="J333" s="6" t="n">
        <v>71000</v>
      </c>
      <c r="K333" s="25">
        <f>23*10^-6</f>
        <v/>
      </c>
      <c r="L333" s="8">
        <f>H333</f>
        <v/>
      </c>
      <c r="M333" s="26">
        <f>H333^2/6</f>
        <v/>
      </c>
      <c r="N333" s="26">
        <f>H333^3/12</f>
        <v/>
      </c>
      <c r="O333" s="27">
        <f>-J333*L333*K333*C333</f>
        <v/>
      </c>
      <c r="P333" s="28">
        <f>-(12*F333*J333*L333*N333+12*O333*N333*G333*COS(RADIANS(E333)))/(12*N333*G333*COS(RADIANS(E333))^2+L333*G333^3*SIN(RADIANS(E333))^2)</f>
        <v/>
      </c>
      <c r="Q333" s="28">
        <f>-(6*F333*J333*L333*N333*SIN(RADIANS(E333))+6*O333*N333*G333*SIN(RADIANS(E333))*COS(RADIANS(E333)))/(12*N333*COS(RADIANS(E333))^2+L333*G333^2*SIN(RADIANS(E333))^2)</f>
        <v/>
      </c>
      <c r="R333" s="28">
        <f>-P333*SIN(RADIANS(E333))</f>
        <v/>
      </c>
      <c r="S333" s="8">
        <f>(O333+P333*COS(RADIANS(E333)))/L333</f>
        <v/>
      </c>
      <c r="T333" s="8">
        <f>R333/L333</f>
        <v/>
      </c>
      <c r="U333" s="8">
        <f>(Q333-P333*G333*SIN(RADIANS(E333)))/M333</f>
        <v/>
      </c>
      <c r="V333" s="8">
        <f>SQRT((S333+U333)^2+3*T333^2)</f>
        <v/>
      </c>
      <c r="W333" s="8">
        <f>V333/AA333</f>
        <v/>
      </c>
      <c r="X333" s="27">
        <f>((3*10+H333/COS(RADIANS(E333)))*(3+3)+3*G333*H333)*2</f>
        <v/>
      </c>
      <c r="Y333" s="28">
        <f>Z333/X333</f>
        <v/>
      </c>
      <c r="Z333" s="29" t="n">
        <v>583.777932258922</v>
      </c>
      <c r="AA333" s="20" t="n">
        <v>29.5729146277934</v>
      </c>
      <c r="AB333" t="n">
        <v>0.02590321429761898</v>
      </c>
      <c r="AC333" t="n">
        <v>29.26712188224821</v>
      </c>
      <c r="AD333" t="n">
        <v>0.2241295640994502</v>
      </c>
    </row>
    <row r="334">
      <c r="A334" t="n">
        <v>333</v>
      </c>
      <c r="B334" t="n">
        <v>56.3</v>
      </c>
      <c r="C334" s="21">
        <f>B334-20</f>
        <v/>
      </c>
      <c r="D334" t="n">
        <v>127.6</v>
      </c>
      <c r="E334" s="22">
        <f>D334-90</f>
        <v/>
      </c>
      <c r="F334" s="23" t="n">
        <v>0.010811</v>
      </c>
      <c r="G334" s="22" t="n">
        <v>25.4</v>
      </c>
      <c r="H334" s="22" t="n">
        <v>1.8</v>
      </c>
      <c r="I334" s="24" t="n">
        <v>0.0480968318879604</v>
      </c>
      <c r="J334" s="6" t="n">
        <v>71000</v>
      </c>
      <c r="K334" s="25">
        <f>23*10^-6</f>
        <v/>
      </c>
      <c r="L334" s="8">
        <f>H334</f>
        <v/>
      </c>
      <c r="M334" s="26">
        <f>H334^2/6</f>
        <v/>
      </c>
      <c r="N334" s="26">
        <f>H334^3/12</f>
        <v/>
      </c>
      <c r="O334" s="27">
        <f>-J334*L334*K334*C334</f>
        <v/>
      </c>
      <c r="P334" s="28">
        <f>-(12*F334*J334*L334*N334+12*O334*N334*G334*COS(RADIANS(E334)))/(12*N334*G334*COS(RADIANS(E334))^2+L334*G334^3*SIN(RADIANS(E334))^2)</f>
        <v/>
      </c>
      <c r="Q334" s="28">
        <f>-(6*F334*J334*L334*N334*SIN(RADIANS(E334))+6*O334*N334*G334*SIN(RADIANS(E334))*COS(RADIANS(E334)))/(12*N334*COS(RADIANS(E334))^2+L334*G334^2*SIN(RADIANS(E334))^2)</f>
        <v/>
      </c>
      <c r="R334" s="28">
        <f>-P334*SIN(RADIANS(E334))</f>
        <v/>
      </c>
      <c r="S334" s="8">
        <f>(O334+P334*COS(RADIANS(E334)))/L334</f>
        <v/>
      </c>
      <c r="T334" s="8">
        <f>R334/L334</f>
        <v/>
      </c>
      <c r="U334" s="8">
        <f>(Q334-P334*G334*SIN(RADIANS(E334)))/M334</f>
        <v/>
      </c>
      <c r="V334" s="8">
        <f>SQRT((S334+U334)^2+3*T334^2)</f>
        <v/>
      </c>
      <c r="W334" s="8">
        <f>V334/AA334</f>
        <v/>
      </c>
      <c r="X334" s="27">
        <f>((3*10+H334/COS(RADIANS(E334)))*(3+3)+3*G334*H334)*2</f>
        <v/>
      </c>
      <c r="Y334" s="28">
        <f>Z334/X334</f>
        <v/>
      </c>
      <c r="Z334" s="29" t="n">
        <v>671.308338553482</v>
      </c>
      <c r="AA334" s="20" t="n">
        <v>56.7180826296766</v>
      </c>
      <c r="AB334" t="n">
        <v>0.04831476892797241</v>
      </c>
      <c r="AC334" t="n">
        <v>53.36865041270769</v>
      </c>
      <c r="AD334" t="n">
        <v>0.4531214041699969</v>
      </c>
    </row>
    <row r="335">
      <c r="A335" t="n">
        <v>334</v>
      </c>
      <c r="B335" t="n">
        <v>89.7</v>
      </c>
      <c r="C335" s="21">
        <f>B335-20</f>
        <v/>
      </c>
      <c r="D335" t="n">
        <v>100.3</v>
      </c>
      <c r="E335" s="22">
        <f>D335-90</f>
        <v/>
      </c>
      <c r="F335" s="23" t="n">
        <v>0.026579</v>
      </c>
      <c r="G335" s="22" t="n">
        <v>27.9</v>
      </c>
      <c r="H335" s="22" t="n">
        <v>1.8</v>
      </c>
      <c r="I335" s="24" t="n">
        <v>0.239750534296035</v>
      </c>
      <c r="J335" s="6" t="n">
        <v>71000</v>
      </c>
      <c r="K335" s="25">
        <f>23*10^-6</f>
        <v/>
      </c>
      <c r="L335" s="8">
        <f>H335</f>
        <v/>
      </c>
      <c r="M335" s="26">
        <f>H335^2/6</f>
        <v/>
      </c>
      <c r="N335" s="26">
        <f>H335^3/12</f>
        <v/>
      </c>
      <c r="O335" s="27">
        <f>-J335*L335*K335*C335</f>
        <v/>
      </c>
      <c r="P335" s="28">
        <f>-(12*F335*J335*L335*N335+12*O335*N335*G335*COS(RADIANS(E335)))/(12*N335*G335*COS(RADIANS(E335))^2+L335*G335^3*SIN(RADIANS(E335))^2)</f>
        <v/>
      </c>
      <c r="Q335" s="28">
        <f>-(6*F335*J335*L335*N335*SIN(RADIANS(E335))+6*O335*N335*G335*SIN(RADIANS(E335))*COS(RADIANS(E335)))/(12*N335*COS(RADIANS(E335))^2+L335*G335^2*SIN(RADIANS(E335))^2)</f>
        <v/>
      </c>
      <c r="R335" s="28">
        <f>-P335*SIN(RADIANS(E335))</f>
        <v/>
      </c>
      <c r="S335" s="8">
        <f>(O335+P335*COS(RADIANS(E335)))/L335</f>
        <v/>
      </c>
      <c r="T335" s="8">
        <f>R335/L335</f>
        <v/>
      </c>
      <c r="U335" s="8">
        <f>(Q335-P335*G335*SIN(RADIANS(E335)))/M335</f>
        <v/>
      </c>
      <c r="V335" s="8">
        <f>SQRT((S335+U335)^2+3*T335^2)</f>
        <v/>
      </c>
      <c r="W335" s="8">
        <f>V335/AA335</f>
        <v/>
      </c>
      <c r="X335" s="27">
        <f>((3*10+H335/COS(RADIANS(E335)))*(3+3)+3*G335*H335)*2</f>
        <v/>
      </c>
      <c r="Y335" s="28">
        <f>Z335/X335</f>
        <v/>
      </c>
      <c r="Z335" s="29" t="n">
        <v>687.100507569471</v>
      </c>
      <c r="AA335" s="20" t="n">
        <v>131.537174998402</v>
      </c>
      <c r="AB335" t="n">
        <v>0.351492042936801</v>
      </c>
      <c r="AC335" t="n">
        <v>124.5372343703768</v>
      </c>
      <c r="AD335" t="n">
        <v>46.60740755755388</v>
      </c>
    </row>
    <row r="336">
      <c r="A336" t="n">
        <v>335</v>
      </c>
      <c r="B336" t="n">
        <v>57.3</v>
      </c>
      <c r="C336" s="21">
        <f>B336-20</f>
        <v/>
      </c>
      <c r="D336" t="n">
        <v>112.9</v>
      </c>
      <c r="E336" s="22">
        <f>D336-90</f>
        <v/>
      </c>
      <c r="F336" s="23" t="n">
        <v>0.011326</v>
      </c>
      <c r="G336" s="22" t="n">
        <v>22.4</v>
      </c>
      <c r="H336" s="22" t="n">
        <v>1.5</v>
      </c>
      <c r="I336" s="24" t="n">
        <v>0.0629791766405105</v>
      </c>
      <c r="J336" s="6" t="n">
        <v>71000</v>
      </c>
      <c r="K336" s="25">
        <f>23*10^-6</f>
        <v/>
      </c>
      <c r="L336" s="8">
        <f>H336</f>
        <v/>
      </c>
      <c r="M336" s="26">
        <f>H336^2/6</f>
        <v/>
      </c>
      <c r="N336" s="26">
        <f>H336^3/12</f>
        <v/>
      </c>
      <c r="O336" s="27">
        <f>-J336*L336*K336*C336</f>
        <v/>
      </c>
      <c r="P336" s="28">
        <f>-(12*F336*J336*L336*N336+12*O336*N336*G336*COS(RADIANS(E336)))/(12*N336*G336*COS(RADIANS(E336))^2+L336*G336^3*SIN(RADIANS(E336))^2)</f>
        <v/>
      </c>
      <c r="Q336" s="28">
        <f>-(6*F336*J336*L336*N336*SIN(RADIANS(E336))+6*O336*N336*G336*SIN(RADIANS(E336))*COS(RADIANS(E336)))/(12*N336*COS(RADIANS(E336))^2+L336*G336^2*SIN(RADIANS(E336))^2)</f>
        <v/>
      </c>
      <c r="R336" s="28">
        <f>-P336*SIN(RADIANS(E336))</f>
        <v/>
      </c>
      <c r="S336" s="8">
        <f>(O336+P336*COS(RADIANS(E336)))/L336</f>
        <v/>
      </c>
      <c r="T336" s="8">
        <f>R336/L336</f>
        <v/>
      </c>
      <c r="U336" s="8">
        <f>(Q336-P336*G336*SIN(RADIANS(E336)))/M336</f>
        <v/>
      </c>
      <c r="V336" s="8">
        <f>SQRT((S336+U336)^2+3*T336^2)</f>
        <v/>
      </c>
      <c r="W336" s="8">
        <f>V336/AA336</f>
        <v/>
      </c>
      <c r="X336" s="27">
        <f>((3*10+H336/COS(RADIANS(E336)))*(3+3)+3*G336*H336)*2</f>
        <v/>
      </c>
      <c r="Y336" s="28">
        <f>Z336/X336</f>
        <v/>
      </c>
      <c r="Z336" s="29" t="n">
        <v>586.62705688269</v>
      </c>
      <c r="AA336" s="20" t="n">
        <v>58.9007594851697</v>
      </c>
      <c r="AB336" t="n">
        <v>0.07421129878386332</v>
      </c>
      <c r="AC336" t="n">
        <v>58.02914299212452</v>
      </c>
      <c r="AD336" t="n">
        <v>17.83466018850412</v>
      </c>
    </row>
    <row r="337">
      <c r="A337" t="n">
        <v>336</v>
      </c>
      <c r="B337" t="n">
        <v>64.40000000000001</v>
      </c>
      <c r="C337" s="21">
        <f>B337-20</f>
        <v/>
      </c>
      <c r="D337" t="n">
        <v>120.9</v>
      </c>
      <c r="E337" s="22">
        <f>D337-90</f>
        <v/>
      </c>
      <c r="F337" s="23" t="n">
        <v>0.015545</v>
      </c>
      <c r="G337" s="22" t="n">
        <v>28.8</v>
      </c>
      <c r="H337" s="22" t="n">
        <v>1.5</v>
      </c>
      <c r="I337" s="24" t="n">
        <v>0.0719974040985107</v>
      </c>
      <c r="J337" s="6" t="n">
        <v>71000</v>
      </c>
      <c r="K337" s="25">
        <f>23*10^-6</f>
        <v/>
      </c>
      <c r="L337" s="8">
        <f>H337</f>
        <v/>
      </c>
      <c r="M337" s="26">
        <f>H337^2/6</f>
        <v/>
      </c>
      <c r="N337" s="26">
        <f>H337^3/12</f>
        <v/>
      </c>
      <c r="O337" s="27">
        <f>-J337*L337*K337*C337</f>
        <v/>
      </c>
      <c r="P337" s="28">
        <f>-(12*F337*J337*L337*N337+12*O337*N337*G337*COS(RADIANS(E337)))/(12*N337*G337*COS(RADIANS(E337))^2+L337*G337^3*SIN(RADIANS(E337))^2)</f>
        <v/>
      </c>
      <c r="Q337" s="28">
        <f>-(6*F337*J337*L337*N337*SIN(RADIANS(E337))+6*O337*N337*G337*SIN(RADIANS(E337))*COS(RADIANS(E337)))/(12*N337*COS(RADIANS(E337))^2+L337*G337^2*SIN(RADIANS(E337))^2)</f>
        <v/>
      </c>
      <c r="R337" s="28">
        <f>-P337*SIN(RADIANS(E337))</f>
        <v/>
      </c>
      <c r="S337" s="8">
        <f>(O337+P337*COS(RADIANS(E337)))/L337</f>
        <v/>
      </c>
      <c r="T337" s="8">
        <f>R337/L337</f>
        <v/>
      </c>
      <c r="U337" s="8">
        <f>(Q337-P337*G337*SIN(RADIANS(E337)))/M337</f>
        <v/>
      </c>
      <c r="V337" s="8">
        <f>SQRT((S337+U337)^2+3*T337^2)</f>
        <v/>
      </c>
      <c r="W337" s="8">
        <f>V337/AA337</f>
        <v/>
      </c>
      <c r="X337" s="27">
        <f>((3*10+H337/COS(RADIANS(E337)))*(3+3)+3*G337*H337)*2</f>
        <v/>
      </c>
      <c r="Y337" s="28">
        <f>Z337/X337</f>
        <v/>
      </c>
      <c r="Z337" s="29" t="n">
        <v>647.580975582698</v>
      </c>
      <c r="AA337" s="20" t="n">
        <v>66.4825129228945</v>
      </c>
      <c r="AB337" t="n">
        <v>0.08254881322307007</v>
      </c>
      <c r="AC337" t="n">
        <v>65.3963633897386</v>
      </c>
      <c r="AD337" t="n">
        <v>14.65526327882929</v>
      </c>
    </row>
    <row r="338">
      <c r="A338" t="n">
        <v>337</v>
      </c>
      <c r="B338" t="n">
        <v>77.8</v>
      </c>
      <c r="C338" s="21">
        <f>B338-20</f>
        <v/>
      </c>
      <c r="D338" t="n">
        <v>115.2</v>
      </c>
      <c r="E338" s="22">
        <f>D338-90</f>
        <v/>
      </c>
      <c r="F338" s="23" t="n">
        <v>0.017309</v>
      </c>
      <c r="G338" s="22" t="n">
        <v>22.4</v>
      </c>
      <c r="H338" s="22" t="n">
        <v>1.3</v>
      </c>
      <c r="I338" s="24" t="n">
        <v>0.09156146645545959</v>
      </c>
      <c r="J338" s="6" t="n">
        <v>71000</v>
      </c>
      <c r="K338" s="25">
        <f>23*10^-6</f>
        <v/>
      </c>
      <c r="L338" s="8">
        <f>H338</f>
        <v/>
      </c>
      <c r="M338" s="26">
        <f>H338^2/6</f>
        <v/>
      </c>
      <c r="N338" s="26">
        <f>H338^3/12</f>
        <v/>
      </c>
      <c r="O338" s="27">
        <f>-J338*L338*K338*C338</f>
        <v/>
      </c>
      <c r="P338" s="28">
        <f>-(12*F338*J338*L338*N338+12*O338*N338*G338*COS(RADIANS(E338)))/(12*N338*G338*COS(RADIANS(E338))^2+L338*G338^3*SIN(RADIANS(E338))^2)</f>
        <v/>
      </c>
      <c r="Q338" s="28">
        <f>-(6*F338*J338*L338*N338*SIN(RADIANS(E338))+6*O338*N338*G338*SIN(RADIANS(E338))*COS(RADIANS(E338)))/(12*N338*COS(RADIANS(E338))^2+L338*G338^2*SIN(RADIANS(E338))^2)</f>
        <v/>
      </c>
      <c r="R338" s="28">
        <f>-P338*SIN(RADIANS(E338))</f>
        <v/>
      </c>
      <c r="S338" s="8">
        <f>(O338+P338*COS(RADIANS(E338)))/L338</f>
        <v/>
      </c>
      <c r="T338" s="8">
        <f>R338/L338</f>
        <v/>
      </c>
      <c r="U338" s="8">
        <f>(Q338-P338*G338*SIN(RADIANS(E338)))/M338</f>
        <v/>
      </c>
      <c r="V338" s="8">
        <f>SQRT((S338+U338)^2+3*T338^2)</f>
        <v/>
      </c>
      <c r="W338" s="8">
        <f>V338/AA338</f>
        <v/>
      </c>
      <c r="X338" s="27">
        <f>((3*10+H338/COS(RADIANS(E338)))*(3+3)+3*G338*H338)*2</f>
        <v/>
      </c>
      <c r="Y338" s="28">
        <f>Z338/X338</f>
        <v/>
      </c>
      <c r="Z338" s="29" t="n">
        <v>557.918899104394</v>
      </c>
      <c r="AA338" s="20" t="n">
        <v>86.42426436796841</v>
      </c>
      <c r="AB338" t="n">
        <v>0.1050005574327687</v>
      </c>
      <c r="AC338" t="n">
        <v>87.33531342425113</v>
      </c>
      <c r="AD338" t="n">
        <v>14.67767118370329</v>
      </c>
    </row>
    <row r="339">
      <c r="A339" t="n">
        <v>338</v>
      </c>
      <c r="B339" t="n">
        <v>76.90000000000001</v>
      </c>
      <c r="C339" s="21">
        <f>B339-20</f>
        <v/>
      </c>
      <c r="D339" t="n">
        <v>116</v>
      </c>
      <c r="E339" s="22">
        <f>D339-90</f>
        <v/>
      </c>
      <c r="F339" s="23" t="n">
        <v>0.022432</v>
      </c>
      <c r="G339" s="22" t="n">
        <v>31.8</v>
      </c>
      <c r="H339" s="22" t="n">
        <v>1.2</v>
      </c>
      <c r="I339" s="24" t="n">
        <v>0.110998772084712</v>
      </c>
      <c r="J339" s="6" t="n">
        <v>71000</v>
      </c>
      <c r="K339" s="25">
        <f>23*10^-6</f>
        <v/>
      </c>
      <c r="L339" s="8">
        <f>H339</f>
        <v/>
      </c>
      <c r="M339" s="26">
        <f>H339^2/6</f>
        <v/>
      </c>
      <c r="N339" s="26">
        <f>H339^3/12</f>
        <v/>
      </c>
      <c r="O339" s="27">
        <f>-J339*L339*K339*C339</f>
        <v/>
      </c>
      <c r="P339" s="28">
        <f>-(12*F339*J339*L339*N339+12*O339*N339*G339*COS(RADIANS(E339)))/(12*N339*G339*COS(RADIANS(E339))^2+L339*G339^3*SIN(RADIANS(E339))^2)</f>
        <v/>
      </c>
      <c r="Q339" s="28">
        <f>-(6*F339*J339*L339*N339*SIN(RADIANS(E339))+6*O339*N339*G339*SIN(RADIANS(E339))*COS(RADIANS(E339)))/(12*N339*COS(RADIANS(E339))^2+L339*G339^2*SIN(RADIANS(E339))^2)</f>
        <v/>
      </c>
      <c r="R339" s="28">
        <f>-P339*SIN(RADIANS(E339))</f>
        <v/>
      </c>
      <c r="S339" s="8">
        <f>(O339+P339*COS(RADIANS(E339)))/L339</f>
        <v/>
      </c>
      <c r="T339" s="8">
        <f>R339/L339</f>
        <v/>
      </c>
      <c r="U339" s="8">
        <f>(Q339-P339*G339*SIN(RADIANS(E339)))/M339</f>
        <v/>
      </c>
      <c r="V339" s="8">
        <f>SQRT((S339+U339)^2+3*T339^2)</f>
        <v/>
      </c>
      <c r="W339" s="8">
        <f>V339/AA339</f>
        <v/>
      </c>
      <c r="X339" s="27">
        <f>((3*10+H339/COS(RADIANS(E339)))*(3+3)+3*G339*H339)*2</f>
        <v/>
      </c>
      <c r="Y339" s="28">
        <f>Z339/X339</f>
        <v/>
      </c>
      <c r="Z339" s="29" t="n">
        <v>611.117543899888</v>
      </c>
      <c r="AA339" s="20" t="n">
        <v>80.59934066385971</v>
      </c>
      <c r="AB339" t="n">
        <v>0.140022945373771</v>
      </c>
      <c r="AC339" t="n">
        <v>83.30017430299151</v>
      </c>
      <c r="AD339" t="n">
        <v>26.1481931231711</v>
      </c>
    </row>
    <row r="340">
      <c r="A340" t="n">
        <v>339</v>
      </c>
      <c r="B340" t="n">
        <v>63.9</v>
      </c>
      <c r="C340" s="21">
        <f>B340-20</f>
        <v/>
      </c>
      <c r="D340" t="n">
        <v>124.5</v>
      </c>
      <c r="E340" s="22">
        <f>D340-90</f>
        <v/>
      </c>
      <c r="F340" s="23" t="n">
        <v>0.014469</v>
      </c>
      <c r="G340" s="22" t="n">
        <v>27.8</v>
      </c>
      <c r="H340" s="22" t="n">
        <v>1.3</v>
      </c>
      <c r="I340" s="24" t="n">
        <v>0.06476794183254241</v>
      </c>
      <c r="J340" s="6" t="n">
        <v>71000</v>
      </c>
      <c r="K340" s="25">
        <f>23*10^-6</f>
        <v/>
      </c>
      <c r="L340" s="8">
        <f>H340</f>
        <v/>
      </c>
      <c r="M340" s="26">
        <f>H340^2/6</f>
        <v/>
      </c>
      <c r="N340" s="26">
        <f>H340^3/12</f>
        <v/>
      </c>
      <c r="O340" s="27">
        <f>-J340*L340*K340*C340</f>
        <v/>
      </c>
      <c r="P340" s="28">
        <f>-(12*F340*J340*L340*N340+12*O340*N340*G340*COS(RADIANS(E340)))/(12*N340*G340*COS(RADIANS(E340))^2+L340*G340^3*SIN(RADIANS(E340))^2)</f>
        <v/>
      </c>
      <c r="Q340" s="28">
        <f>-(6*F340*J340*L340*N340*SIN(RADIANS(E340))+6*O340*N340*G340*SIN(RADIANS(E340))*COS(RADIANS(E340)))/(12*N340*COS(RADIANS(E340))^2+L340*G340^2*SIN(RADIANS(E340))^2)</f>
        <v/>
      </c>
      <c r="R340" s="28">
        <f>-P340*SIN(RADIANS(E340))</f>
        <v/>
      </c>
      <c r="S340" s="8">
        <f>(O340+P340*COS(RADIANS(E340)))/L340</f>
        <v/>
      </c>
      <c r="T340" s="8">
        <f>R340/L340</f>
        <v/>
      </c>
      <c r="U340" s="8">
        <f>(Q340-P340*G340*SIN(RADIANS(E340)))/M340</f>
        <v/>
      </c>
      <c r="V340" s="8">
        <f>SQRT((S340+U340)^2+3*T340^2)</f>
        <v/>
      </c>
      <c r="W340" s="8">
        <f>V340/AA340</f>
        <v/>
      </c>
      <c r="X340" s="27">
        <f>((3*10+H340/COS(RADIANS(E340)))*(3+3)+3*G340*H340)*2</f>
        <v/>
      </c>
      <c r="Y340" s="28">
        <f>Z340/X340</f>
        <v/>
      </c>
      <c r="Z340" s="29" t="n">
        <v>604.324523225349</v>
      </c>
      <c r="AA340" s="20" t="n">
        <v>61.9926717370665</v>
      </c>
      <c r="AB340" t="n">
        <v>0.07023829123621017</v>
      </c>
      <c r="AC340" t="n">
        <v>63.348403396164</v>
      </c>
      <c r="AD340" t="n">
        <v>8.446075711053719</v>
      </c>
    </row>
    <row r="341">
      <c r="A341" t="n">
        <v>340</v>
      </c>
      <c r="B341" t="n">
        <v>71.59999999999999</v>
      </c>
      <c r="C341" s="21">
        <f>B341-20</f>
        <v/>
      </c>
      <c r="D341" t="n">
        <v>113.1</v>
      </c>
      <c r="E341" s="22">
        <f>D341-90</f>
        <v/>
      </c>
      <c r="F341" s="23" t="n">
        <v>0.019275</v>
      </c>
      <c r="G341" s="22" t="n">
        <v>29.1</v>
      </c>
      <c r="H341" s="22" t="n">
        <v>2</v>
      </c>
      <c r="I341" s="24" t="n">
        <v>0.102648921310901</v>
      </c>
      <c r="J341" s="6" t="n">
        <v>71000</v>
      </c>
      <c r="K341" s="25">
        <f>23*10^-6</f>
        <v/>
      </c>
      <c r="L341" s="8">
        <f>H341</f>
        <v/>
      </c>
      <c r="M341" s="26">
        <f>H341^2/6</f>
        <v/>
      </c>
      <c r="N341" s="26">
        <f>H341^3/12</f>
        <v/>
      </c>
      <c r="O341" s="27">
        <f>-J341*L341*K341*C341</f>
        <v/>
      </c>
      <c r="P341" s="28">
        <f>-(12*F341*J341*L341*N341+12*O341*N341*G341*COS(RADIANS(E341)))/(12*N341*G341*COS(RADIANS(E341))^2+L341*G341^3*SIN(RADIANS(E341))^2)</f>
        <v/>
      </c>
      <c r="Q341" s="28">
        <f>-(6*F341*J341*L341*N341*SIN(RADIANS(E341))+6*O341*N341*G341*SIN(RADIANS(E341))*COS(RADIANS(E341)))/(12*N341*COS(RADIANS(E341))^2+L341*G341^2*SIN(RADIANS(E341))^2)</f>
        <v/>
      </c>
      <c r="R341" s="28">
        <f>-P341*SIN(RADIANS(E341))</f>
        <v/>
      </c>
      <c r="S341" s="8">
        <f>(O341+P341*COS(RADIANS(E341)))/L341</f>
        <v/>
      </c>
      <c r="T341" s="8">
        <f>R341/L341</f>
        <v/>
      </c>
      <c r="U341" s="8">
        <f>(Q341-P341*G341*SIN(RADIANS(E341)))/M341</f>
        <v/>
      </c>
      <c r="V341" s="8">
        <f>SQRT((S341+U341)^2+3*T341^2)</f>
        <v/>
      </c>
      <c r="W341" s="8">
        <f>V341/AA341</f>
        <v/>
      </c>
      <c r="X341" s="27">
        <f>((3*10+H341/COS(RADIANS(E341)))*(3+3)+3*G341*H341)*2</f>
        <v/>
      </c>
      <c r="Y341" s="28">
        <f>Z341/X341</f>
        <v/>
      </c>
      <c r="Z341" s="29" t="n">
        <v>740.8176674188491</v>
      </c>
      <c r="AA341" s="20" t="n">
        <v>86.6164253898277</v>
      </c>
      <c r="AB341" t="n">
        <v>0.129635794792247</v>
      </c>
      <c r="AC341" t="n">
        <v>81.45786424450995</v>
      </c>
      <c r="AD341" t="n">
        <v>26.29045988667397</v>
      </c>
    </row>
    <row r="342">
      <c r="A342" t="n">
        <v>341</v>
      </c>
      <c r="B342" t="n">
        <v>67.3</v>
      </c>
      <c r="C342" s="21">
        <f>B342-20</f>
        <v/>
      </c>
      <c r="D342" t="n">
        <v>106.7</v>
      </c>
      <c r="E342" s="22">
        <f>D342-90</f>
        <v/>
      </c>
      <c r="F342" s="23" t="n">
        <v>0.017748</v>
      </c>
      <c r="G342" s="22" t="n">
        <v>28.1</v>
      </c>
      <c r="H342" s="22" t="n">
        <v>1</v>
      </c>
      <c r="I342" s="24" t="n">
        <v>0.118527315557003</v>
      </c>
      <c r="J342" s="6" t="n">
        <v>71000</v>
      </c>
      <c r="K342" s="25">
        <f>23*10^-6</f>
        <v/>
      </c>
      <c r="L342" s="8">
        <f>H342</f>
        <v/>
      </c>
      <c r="M342" s="26">
        <f>H342^2/6</f>
        <v/>
      </c>
      <c r="N342" s="26">
        <f>H342^3/12</f>
        <v/>
      </c>
      <c r="O342" s="27">
        <f>-J342*L342*K342*C342</f>
        <v/>
      </c>
      <c r="P342" s="28">
        <f>-(12*F342*J342*L342*N342+12*O342*N342*G342*COS(RADIANS(E342)))/(12*N342*G342*COS(RADIANS(E342))^2+L342*G342^3*SIN(RADIANS(E342))^2)</f>
        <v/>
      </c>
      <c r="Q342" s="28">
        <f>-(6*F342*J342*L342*N342*SIN(RADIANS(E342))+6*O342*N342*G342*SIN(RADIANS(E342))*COS(RADIANS(E342)))/(12*N342*COS(RADIANS(E342))^2+L342*G342^2*SIN(RADIANS(E342))^2)</f>
        <v/>
      </c>
      <c r="R342" s="28">
        <f>-P342*SIN(RADIANS(E342))</f>
        <v/>
      </c>
      <c r="S342" s="8">
        <f>(O342+P342*COS(RADIANS(E342)))/L342</f>
        <v/>
      </c>
      <c r="T342" s="8">
        <f>R342/L342</f>
        <v/>
      </c>
      <c r="U342" s="8">
        <f>(Q342-P342*G342*SIN(RADIANS(E342)))/M342</f>
        <v/>
      </c>
      <c r="V342" s="8">
        <f>SQRT((S342+U342)^2+3*T342^2)</f>
        <v/>
      </c>
      <c r="W342" s="8">
        <f>V342/AA342</f>
        <v/>
      </c>
      <c r="X342" s="27">
        <f>((3*10+H342/COS(RADIANS(E342)))*(3+3)+3*G342*H342)*2</f>
        <v/>
      </c>
      <c r="Y342" s="28">
        <f>Z342/X342</f>
        <v/>
      </c>
      <c r="Z342" s="29" t="n">
        <v>545.618881552656</v>
      </c>
      <c r="AA342" s="20" t="n">
        <v>66.6794857925716</v>
      </c>
      <c r="AB342" t="n">
        <v>0.1631694952266022</v>
      </c>
      <c r="AC342" t="n">
        <v>71.96310929355295</v>
      </c>
      <c r="AD342" t="n">
        <v>37.66404348213687</v>
      </c>
    </row>
    <row r="343">
      <c r="A343" t="n">
        <v>342</v>
      </c>
      <c r="B343" t="n">
        <v>73.90000000000001</v>
      </c>
      <c r="C343" s="21">
        <f>B343-20</f>
        <v/>
      </c>
      <c r="D343" t="n">
        <v>121.7</v>
      </c>
      <c r="E343" s="22">
        <f>D343-90</f>
        <v/>
      </c>
      <c r="F343" s="23" t="n">
        <v>0.021096</v>
      </c>
      <c r="G343" s="22" t="n">
        <v>33.3</v>
      </c>
      <c r="H343" s="22" t="n">
        <v>1.4</v>
      </c>
      <c r="I343" s="24" t="n">
        <v>0.0947142392396926</v>
      </c>
      <c r="J343" s="6" t="n">
        <v>71000</v>
      </c>
      <c r="K343" s="25">
        <f>23*10^-6</f>
        <v/>
      </c>
      <c r="L343" s="8">
        <f>H343</f>
        <v/>
      </c>
      <c r="M343" s="26">
        <f>H343^2/6</f>
        <v/>
      </c>
      <c r="N343" s="26">
        <f>H343^3/12</f>
        <v/>
      </c>
      <c r="O343" s="27">
        <f>-J343*L343*K343*C343</f>
        <v/>
      </c>
      <c r="P343" s="28">
        <f>-(12*F343*J343*L343*N343+12*O343*N343*G343*COS(RADIANS(E343)))/(12*N343*G343*COS(RADIANS(E343))^2+L343*G343^3*SIN(RADIANS(E343))^2)</f>
        <v/>
      </c>
      <c r="Q343" s="28">
        <f>-(6*F343*J343*L343*N343*SIN(RADIANS(E343))+6*O343*N343*G343*SIN(RADIANS(E343))*COS(RADIANS(E343)))/(12*N343*COS(RADIANS(E343))^2+L343*G343^2*SIN(RADIANS(E343))^2)</f>
        <v/>
      </c>
      <c r="R343" s="28">
        <f>-P343*SIN(RADIANS(E343))</f>
        <v/>
      </c>
      <c r="S343" s="8">
        <f>(O343+P343*COS(RADIANS(E343)))/L343</f>
        <v/>
      </c>
      <c r="T343" s="8">
        <f>R343/L343</f>
        <v/>
      </c>
      <c r="U343" s="8">
        <f>(Q343-P343*G343*SIN(RADIANS(E343)))/M343</f>
        <v/>
      </c>
      <c r="V343" s="8">
        <f>SQRT((S343+U343)^2+3*T343^2)</f>
        <v/>
      </c>
      <c r="W343" s="8">
        <f>V343/AA343</f>
        <v/>
      </c>
      <c r="X343" s="27">
        <f>((3*10+H343/COS(RADIANS(E343)))*(3+3)+3*G343*H343)*2</f>
        <v/>
      </c>
      <c r="Y343" s="28">
        <f>Z343/X343</f>
        <v/>
      </c>
      <c r="Z343" s="29" t="n">
        <v>667.1078692258091</v>
      </c>
      <c r="AA343" s="20" t="n">
        <v>77.3663901645248</v>
      </c>
      <c r="AB343" t="n">
        <v>0.1121385858102041</v>
      </c>
      <c r="AC343" t="n">
        <v>78.13821001297133</v>
      </c>
      <c r="AD343" t="n">
        <v>18.39675502900451</v>
      </c>
    </row>
    <row r="344">
      <c r="A344" t="n">
        <v>343</v>
      </c>
      <c r="B344" t="n">
        <v>62.8</v>
      </c>
      <c r="C344" s="21">
        <f>B344-20</f>
        <v/>
      </c>
      <c r="D344" t="n">
        <v>110.2</v>
      </c>
      <c r="E344" s="22">
        <f>D344-90</f>
        <v/>
      </c>
      <c r="F344" s="23" t="n">
        <v>0.018084</v>
      </c>
      <c r="G344" s="22" t="n">
        <v>33.1</v>
      </c>
      <c r="H344" s="22" t="n">
        <v>1.9</v>
      </c>
      <c r="I344" s="24" t="n">
        <v>0.103040724992752</v>
      </c>
      <c r="J344" s="6" t="n">
        <v>71000</v>
      </c>
      <c r="K344" s="25">
        <f>23*10^-6</f>
        <v/>
      </c>
      <c r="L344" s="8">
        <f>H344</f>
        <v/>
      </c>
      <c r="M344" s="26">
        <f>H344^2/6</f>
        <v/>
      </c>
      <c r="N344" s="26">
        <f>H344^3/12</f>
        <v/>
      </c>
      <c r="O344" s="27">
        <f>-J344*L344*K344*C344</f>
        <v/>
      </c>
      <c r="P344" s="28">
        <f>-(12*F344*J344*L344*N344+12*O344*N344*G344*COS(RADIANS(E344)))/(12*N344*G344*COS(RADIANS(E344))^2+L344*G344^3*SIN(RADIANS(E344))^2)</f>
        <v/>
      </c>
      <c r="Q344" s="28">
        <f>-(6*F344*J344*L344*N344*SIN(RADIANS(E344))+6*O344*N344*G344*SIN(RADIANS(E344))*COS(RADIANS(E344)))/(12*N344*COS(RADIANS(E344))^2+L344*G344^2*SIN(RADIANS(E344))^2)</f>
        <v/>
      </c>
      <c r="R344" s="28">
        <f>-P344*SIN(RADIANS(E344))</f>
        <v/>
      </c>
      <c r="S344" s="8">
        <f>(O344+P344*COS(RADIANS(E344)))/L344</f>
        <v/>
      </c>
      <c r="T344" s="8">
        <f>R344/L344</f>
        <v/>
      </c>
      <c r="U344" s="8">
        <f>(Q344-P344*G344*SIN(RADIANS(E344)))/M344</f>
        <v/>
      </c>
      <c r="V344" s="8">
        <f>SQRT((S344+U344)^2+3*T344^2)</f>
        <v/>
      </c>
      <c r="W344" s="8">
        <f>V344/AA344</f>
        <v/>
      </c>
      <c r="X344" s="27">
        <f>((3*10+H344/COS(RADIANS(E344)))*(3+3)+3*G344*H344)*2</f>
        <v/>
      </c>
      <c r="Y344" s="28">
        <f>Z344/X344</f>
        <v/>
      </c>
      <c r="Z344" s="29" t="n">
        <v>766.640808858524</v>
      </c>
      <c r="AA344" s="20" t="n">
        <v>70.2603887787714</v>
      </c>
      <c r="AB344" t="n">
        <v>0.1399472252579758</v>
      </c>
      <c r="AC344" t="n">
        <v>67.66109013518435</v>
      </c>
      <c r="AD344" t="n">
        <v>35.81739187861875</v>
      </c>
    </row>
    <row r="345">
      <c r="A345" t="n">
        <v>344</v>
      </c>
      <c r="B345" t="n">
        <v>44.5</v>
      </c>
      <c r="C345" s="21">
        <f>B345-20</f>
        <v/>
      </c>
      <c r="D345" t="n">
        <v>111.2</v>
      </c>
      <c r="E345" s="22">
        <f>D345-90</f>
        <v/>
      </c>
      <c r="F345" s="23" t="n">
        <v>0.010555</v>
      </c>
      <c r="G345" s="22" t="n">
        <v>34.1</v>
      </c>
      <c r="H345" s="22" t="n">
        <v>1.1</v>
      </c>
      <c r="I345" s="24" t="n">
        <v>0.0584334209561347</v>
      </c>
      <c r="J345" s="6" t="n">
        <v>71000</v>
      </c>
      <c r="K345" s="25">
        <f>23*10^-6</f>
        <v/>
      </c>
      <c r="L345" s="8">
        <f>H345</f>
        <v/>
      </c>
      <c r="M345" s="26">
        <f>H345^2/6</f>
        <v/>
      </c>
      <c r="N345" s="26">
        <f>H345^3/12</f>
        <v/>
      </c>
      <c r="O345" s="27">
        <f>-J345*L345*K345*C345</f>
        <v/>
      </c>
      <c r="P345" s="28">
        <f>-(12*F345*J345*L345*N345+12*O345*N345*G345*COS(RADIANS(E345)))/(12*N345*G345*COS(RADIANS(E345))^2+L345*G345^3*SIN(RADIANS(E345))^2)</f>
        <v/>
      </c>
      <c r="Q345" s="28">
        <f>-(6*F345*J345*L345*N345*SIN(RADIANS(E345))+6*O345*N345*G345*SIN(RADIANS(E345))*COS(RADIANS(E345)))/(12*N345*COS(RADIANS(E345))^2+L345*G345^2*SIN(RADIANS(E345))^2)</f>
        <v/>
      </c>
      <c r="R345" s="28">
        <f>-P345*SIN(RADIANS(E345))</f>
        <v/>
      </c>
      <c r="S345" s="8">
        <f>(O345+P345*COS(RADIANS(E345)))/L345</f>
        <v/>
      </c>
      <c r="T345" s="8">
        <f>R345/L345</f>
        <v/>
      </c>
      <c r="U345" s="8">
        <f>(Q345-P345*G345*SIN(RADIANS(E345)))/M345</f>
        <v/>
      </c>
      <c r="V345" s="8">
        <f>SQRT((S345+U345)^2+3*T345^2)</f>
        <v/>
      </c>
      <c r="W345" s="8">
        <f>V345/AA345</f>
        <v/>
      </c>
      <c r="X345" s="27">
        <f>((3*10+H345/COS(RADIANS(E345)))*(3+3)+3*G345*H345)*2</f>
        <v/>
      </c>
      <c r="Y345" s="28">
        <f>Z345/X345</f>
        <v/>
      </c>
      <c r="Z345" s="29" t="n">
        <v>604.3939300660491</v>
      </c>
      <c r="AA345" s="20" t="n">
        <v>34.3059521637628</v>
      </c>
      <c r="AB345" t="n">
        <v>0.07976950766761494</v>
      </c>
      <c r="AC345" t="n">
        <v>36.16325085763734</v>
      </c>
      <c r="AD345" t="n">
        <v>36.51349923102568</v>
      </c>
    </row>
    <row r="346">
      <c r="A346" t="n">
        <v>345</v>
      </c>
      <c r="B346" t="n">
        <v>87.2</v>
      </c>
      <c r="C346" s="21">
        <f>B346-20</f>
        <v/>
      </c>
      <c r="D346" t="n">
        <v>110.2</v>
      </c>
      <c r="E346" s="22">
        <f>D346-90</f>
        <v/>
      </c>
      <c r="F346" s="23" t="n">
        <v>0.02293</v>
      </c>
      <c r="G346" s="22" t="n">
        <v>25.5</v>
      </c>
      <c r="H346" s="22" t="n">
        <v>1.6</v>
      </c>
      <c r="I346" s="24" t="n">
        <v>0.134889021515846</v>
      </c>
      <c r="J346" s="6" t="n">
        <v>71000</v>
      </c>
      <c r="K346" s="25">
        <f>23*10^-6</f>
        <v/>
      </c>
      <c r="L346" s="8">
        <f>H346</f>
        <v/>
      </c>
      <c r="M346" s="26">
        <f>H346^2/6</f>
        <v/>
      </c>
      <c r="N346" s="26">
        <f>H346^3/12</f>
        <v/>
      </c>
      <c r="O346" s="27">
        <f>-J346*L346*K346*C346</f>
        <v/>
      </c>
      <c r="P346" s="28">
        <f>-(12*F346*J346*L346*N346+12*O346*N346*G346*COS(RADIANS(E346)))/(12*N346*G346*COS(RADIANS(E346))^2+L346*G346^3*SIN(RADIANS(E346))^2)</f>
        <v/>
      </c>
      <c r="Q346" s="28">
        <f>-(6*F346*J346*L346*N346*SIN(RADIANS(E346))+6*O346*N346*G346*SIN(RADIANS(E346))*COS(RADIANS(E346)))/(12*N346*COS(RADIANS(E346))^2+L346*G346^2*SIN(RADIANS(E346))^2)</f>
        <v/>
      </c>
      <c r="R346" s="28">
        <f>-P346*SIN(RADIANS(E346))</f>
        <v/>
      </c>
      <c r="S346" s="8">
        <f>(O346+P346*COS(RADIANS(E346)))/L346</f>
        <v/>
      </c>
      <c r="T346" s="8">
        <f>R346/L346</f>
        <v/>
      </c>
      <c r="U346" s="8">
        <f>(Q346-P346*G346*SIN(RADIANS(E346)))/M346</f>
        <v/>
      </c>
      <c r="V346" s="8">
        <f>SQRT((S346+U346)^2+3*T346^2)</f>
        <v/>
      </c>
      <c r="W346" s="8">
        <f>V346/AA346</f>
        <v/>
      </c>
      <c r="X346" s="27">
        <f>((3*10+H346/COS(RADIANS(E346)))*(3+3)+3*G346*H346)*2</f>
        <v/>
      </c>
      <c r="Y346" s="28">
        <f>Z346/X346</f>
        <v/>
      </c>
      <c r="Z346" s="29" t="n">
        <v>630.264871975994</v>
      </c>
      <c r="AA346" s="20" t="n">
        <v>107.163984171199</v>
      </c>
      <c r="AB346" t="n">
        <v>0.1712378031191975</v>
      </c>
      <c r="AC346" t="n">
        <v>106.3448520853698</v>
      </c>
      <c r="AD346" t="n">
        <v>26.94717568181146</v>
      </c>
    </row>
    <row r="347">
      <c r="A347" t="n">
        <v>346</v>
      </c>
      <c r="B347" t="n">
        <v>44.1</v>
      </c>
      <c r="C347" s="21">
        <f>B347-20</f>
        <v/>
      </c>
      <c r="D347" t="n">
        <v>114.5</v>
      </c>
      <c r="E347" s="22">
        <f>D347-90</f>
        <v/>
      </c>
      <c r="F347" s="23" t="n">
        <v>0.008973999999999999</v>
      </c>
      <c r="G347" s="22" t="n">
        <v>29.3</v>
      </c>
      <c r="H347" s="22" t="n">
        <v>1.6</v>
      </c>
      <c r="I347" s="24" t="n">
        <v>0.0463417991995811</v>
      </c>
      <c r="J347" s="6" t="n">
        <v>71000</v>
      </c>
      <c r="K347" s="25">
        <f>23*10^-6</f>
        <v/>
      </c>
      <c r="L347" s="8">
        <f>H347</f>
        <v/>
      </c>
      <c r="M347" s="26">
        <f>H347^2/6</f>
        <v/>
      </c>
      <c r="N347" s="26">
        <f>H347^3/12</f>
        <v/>
      </c>
      <c r="O347" s="27">
        <f>-J347*L347*K347*C347</f>
        <v/>
      </c>
      <c r="P347" s="28">
        <f>-(12*F347*J347*L347*N347+12*O347*N347*G347*COS(RADIANS(E347)))/(12*N347*G347*COS(RADIANS(E347))^2+L347*G347^3*SIN(RADIANS(E347))^2)</f>
        <v/>
      </c>
      <c r="Q347" s="28">
        <f>-(6*F347*J347*L347*N347*SIN(RADIANS(E347))+6*O347*N347*G347*SIN(RADIANS(E347))*COS(RADIANS(E347)))/(12*N347*COS(RADIANS(E347))^2+L347*G347^2*SIN(RADIANS(E347))^2)</f>
        <v/>
      </c>
      <c r="R347" s="28">
        <f>-P347*SIN(RADIANS(E347))</f>
        <v/>
      </c>
      <c r="S347" s="8">
        <f>(O347+P347*COS(RADIANS(E347)))/L347</f>
        <v/>
      </c>
      <c r="T347" s="8">
        <f>R347/L347</f>
        <v/>
      </c>
      <c r="U347" s="8">
        <f>(Q347-P347*G347*SIN(RADIANS(E347)))/M347</f>
        <v/>
      </c>
      <c r="V347" s="8">
        <f>SQRT((S347+U347)^2+3*T347^2)</f>
        <v/>
      </c>
      <c r="W347" s="8">
        <f>V347/AA347</f>
        <v/>
      </c>
      <c r="X347" s="27">
        <f>((3*10+H347/COS(RADIANS(E347)))*(3+3)+3*G347*H347)*2</f>
        <v/>
      </c>
      <c r="Y347" s="28">
        <f>Z347/X347</f>
        <v/>
      </c>
      <c r="Z347" s="29" t="n">
        <v>668.188177350071</v>
      </c>
      <c r="AA347" s="20" t="n">
        <v>37.1488812255791</v>
      </c>
      <c r="AB347" t="n">
        <v>0.05796349701027868</v>
      </c>
      <c r="AC347" t="n">
        <v>36.69548043276397</v>
      </c>
      <c r="AD347" t="n">
        <v>25.07821882496663</v>
      </c>
    </row>
    <row r="348">
      <c r="A348" t="n">
        <v>347</v>
      </c>
      <c r="B348" t="n">
        <v>83</v>
      </c>
      <c r="C348" s="21">
        <f>B348-20</f>
        <v/>
      </c>
      <c r="D348" t="n">
        <v>120.9</v>
      </c>
      <c r="E348" s="22">
        <f>D348-90</f>
        <v/>
      </c>
      <c r="F348" s="23" t="n">
        <v>0.022551</v>
      </c>
      <c r="G348" s="22" t="n">
        <v>29.6</v>
      </c>
      <c r="H348" s="22" t="n">
        <v>1.6</v>
      </c>
      <c r="I348" s="24" t="n">
        <v>0.104046121239662</v>
      </c>
      <c r="J348" s="6" t="n">
        <v>71000</v>
      </c>
      <c r="K348" s="25">
        <f>23*10^-6</f>
        <v/>
      </c>
      <c r="L348" s="8">
        <f>H348</f>
        <v/>
      </c>
      <c r="M348" s="26">
        <f>H348^2/6</f>
        <v/>
      </c>
      <c r="N348" s="26">
        <f>H348^3/12</f>
        <v/>
      </c>
      <c r="O348" s="27">
        <f>-J348*L348*K348*C348</f>
        <v/>
      </c>
      <c r="P348" s="28">
        <f>-(12*F348*J348*L348*N348+12*O348*N348*G348*COS(RADIANS(E348)))/(12*N348*G348*COS(RADIANS(E348))^2+L348*G348^3*SIN(RADIANS(E348))^2)</f>
        <v/>
      </c>
      <c r="Q348" s="28">
        <f>-(6*F348*J348*L348*N348*SIN(RADIANS(E348))+6*O348*N348*G348*SIN(RADIANS(E348))*COS(RADIANS(E348)))/(12*N348*COS(RADIANS(E348))^2+L348*G348^2*SIN(RADIANS(E348))^2)</f>
        <v/>
      </c>
      <c r="R348" s="28">
        <f>-P348*SIN(RADIANS(E348))</f>
        <v/>
      </c>
      <c r="S348" s="8">
        <f>(O348+P348*COS(RADIANS(E348)))/L348</f>
        <v/>
      </c>
      <c r="T348" s="8">
        <f>R348/L348</f>
        <v/>
      </c>
      <c r="U348" s="8">
        <f>(Q348-P348*G348*SIN(RADIANS(E348)))/M348</f>
        <v/>
      </c>
      <c r="V348" s="8">
        <f>SQRT((S348+U348)^2+3*T348^2)</f>
        <v/>
      </c>
      <c r="W348" s="8">
        <f>V348/AA348</f>
        <v/>
      </c>
      <c r="X348" s="27">
        <f>((3*10+H348/COS(RADIANS(E348)))*(3+3)+3*G348*H348)*2</f>
        <v/>
      </c>
      <c r="Y348" s="28">
        <f>Z348/X348</f>
        <v/>
      </c>
      <c r="Z348" s="29" t="n">
        <v>673.93947118833</v>
      </c>
      <c r="AA348" s="20" t="n">
        <v>95.7970744700354</v>
      </c>
      <c r="AB348" t="n">
        <v>0.1201082903389558</v>
      </c>
      <c r="AC348" t="n">
        <v>93.15876849012429</v>
      </c>
      <c r="AD348" t="n">
        <v>15.43754722225147</v>
      </c>
    </row>
    <row r="349">
      <c r="A349" t="n">
        <v>348</v>
      </c>
      <c r="B349" t="n">
        <v>47.2</v>
      </c>
      <c r="C349" s="21">
        <f>B349-20</f>
        <v/>
      </c>
      <c r="D349" t="n">
        <v>123.8</v>
      </c>
      <c r="E349" s="22">
        <f>D349-90</f>
        <v/>
      </c>
      <c r="F349" s="23" t="n">
        <v>0.007837999999999999</v>
      </c>
      <c r="G349" s="22" t="n">
        <v>23.2</v>
      </c>
      <c r="H349" s="22" t="n">
        <v>1.5</v>
      </c>
      <c r="I349" s="24" t="n">
        <v>0.0363313555717468</v>
      </c>
      <c r="J349" s="6" t="n">
        <v>71000</v>
      </c>
      <c r="K349" s="25">
        <f>23*10^-6</f>
        <v/>
      </c>
      <c r="L349" s="8">
        <f>H349</f>
        <v/>
      </c>
      <c r="M349" s="26">
        <f>H349^2/6</f>
        <v/>
      </c>
      <c r="N349" s="26">
        <f>H349^3/12</f>
        <v/>
      </c>
      <c r="O349" s="27">
        <f>-J349*L349*K349*C349</f>
        <v/>
      </c>
      <c r="P349" s="28">
        <f>-(12*F349*J349*L349*N349+12*O349*N349*G349*COS(RADIANS(E349)))/(12*N349*G349*COS(RADIANS(E349))^2+L349*G349^3*SIN(RADIANS(E349))^2)</f>
        <v/>
      </c>
      <c r="Q349" s="28">
        <f>-(6*F349*J349*L349*N349*SIN(RADIANS(E349))+6*O349*N349*G349*SIN(RADIANS(E349))*COS(RADIANS(E349)))/(12*N349*COS(RADIANS(E349))^2+L349*G349^2*SIN(RADIANS(E349))^2)</f>
        <v/>
      </c>
      <c r="R349" s="28">
        <f>-P349*SIN(RADIANS(E349))</f>
        <v/>
      </c>
      <c r="S349" s="8">
        <f>(O349+P349*COS(RADIANS(E349)))/L349</f>
        <v/>
      </c>
      <c r="T349" s="8">
        <f>R349/L349</f>
        <v/>
      </c>
      <c r="U349" s="8">
        <f>(Q349-P349*G349*SIN(RADIANS(E349)))/M349</f>
        <v/>
      </c>
      <c r="V349" s="8">
        <f>SQRT((S349+U349)^2+3*T349^2)</f>
        <v/>
      </c>
      <c r="W349" s="8">
        <f>V349/AA349</f>
        <v/>
      </c>
      <c r="X349" s="27">
        <f>((3*10+H349/COS(RADIANS(E349)))*(3+3)+3*G349*H349)*2</f>
        <v/>
      </c>
      <c r="Y349" s="28">
        <f>Z349/X349</f>
        <v/>
      </c>
      <c r="Z349" s="29" t="n">
        <v>598.776090229317</v>
      </c>
      <c r="AA349" s="20" t="n">
        <v>41.1255239220959</v>
      </c>
      <c r="AB349" t="n">
        <v>0.03740143510892013</v>
      </c>
      <c r="AC349" t="n">
        <v>40.08641649445534</v>
      </c>
      <c r="AD349" t="n">
        <v>2.945333363794127</v>
      </c>
    </row>
    <row r="350">
      <c r="A350" t="n">
        <v>349</v>
      </c>
      <c r="B350" t="n">
        <v>43</v>
      </c>
      <c r="C350" s="21">
        <f>B350-20</f>
        <v/>
      </c>
      <c r="D350" t="n">
        <v>101.1</v>
      </c>
      <c r="E350" s="22">
        <f>D350-90</f>
        <v/>
      </c>
      <c r="F350" s="23" t="n">
        <v>0.007671</v>
      </c>
      <c r="G350" s="22" t="n">
        <v>23.7</v>
      </c>
      <c r="H350" s="22" t="n">
        <v>1.9</v>
      </c>
      <c r="I350" s="24" t="n">
        <v>0.0642903596162796</v>
      </c>
      <c r="J350" s="6" t="n">
        <v>71000</v>
      </c>
      <c r="K350" s="25">
        <f>23*10^-6</f>
        <v/>
      </c>
      <c r="L350" s="8">
        <f>H350</f>
        <v/>
      </c>
      <c r="M350" s="26">
        <f>H350^2/6</f>
        <v/>
      </c>
      <c r="N350" s="26">
        <f>H350^3/12</f>
        <v/>
      </c>
      <c r="O350" s="27">
        <f>-J350*L350*K350*C350</f>
        <v/>
      </c>
      <c r="P350" s="28">
        <f>-(12*F350*J350*L350*N350+12*O350*N350*G350*COS(RADIANS(E350)))/(12*N350*G350*COS(RADIANS(E350))^2+L350*G350^3*SIN(RADIANS(E350))^2)</f>
        <v/>
      </c>
      <c r="Q350" s="28">
        <f>-(6*F350*J350*L350*N350*SIN(RADIANS(E350))+6*O350*N350*G350*SIN(RADIANS(E350))*COS(RADIANS(E350)))/(12*N350*COS(RADIANS(E350))^2+L350*G350^2*SIN(RADIANS(E350))^2)</f>
        <v/>
      </c>
      <c r="R350" s="28">
        <f>-P350*SIN(RADIANS(E350))</f>
        <v/>
      </c>
      <c r="S350" s="8">
        <f>(O350+P350*COS(RADIANS(E350)))/L350</f>
        <v/>
      </c>
      <c r="T350" s="8">
        <f>R350/L350</f>
        <v/>
      </c>
      <c r="U350" s="8">
        <f>(Q350-P350*G350*SIN(RADIANS(E350)))/M350</f>
        <v/>
      </c>
      <c r="V350" s="8">
        <f>SQRT((S350+U350)^2+3*T350^2)</f>
        <v/>
      </c>
      <c r="W350" s="8">
        <f>V350/AA350</f>
        <v/>
      </c>
      <c r="X350" s="27">
        <f>((3*10+H350/COS(RADIANS(E350)))*(3+3)+3*G350*H350)*2</f>
        <v/>
      </c>
      <c r="Y350" s="28">
        <f>Z350/X350</f>
        <v/>
      </c>
      <c r="Z350" s="29" t="n">
        <v>657.305823281803</v>
      </c>
      <c r="AA350" s="20" t="n">
        <v>51.3173073708418</v>
      </c>
      <c r="AB350" t="n">
        <v>0.08909370605553858</v>
      </c>
      <c r="AC350" t="n">
        <v>41.44851603231597</v>
      </c>
      <c r="AD350" t="n">
        <v>38.58019551811354</v>
      </c>
    </row>
    <row r="351">
      <c r="A351" t="n">
        <v>350</v>
      </c>
      <c r="B351" t="n">
        <v>83.7</v>
      </c>
      <c r="C351" s="21">
        <f>B351-20</f>
        <v/>
      </c>
      <c r="D351" t="n">
        <v>108.9</v>
      </c>
      <c r="E351" s="22">
        <f>D351-90</f>
        <v/>
      </c>
      <c r="F351" s="23" t="n">
        <v>0.028403</v>
      </c>
      <c r="G351" s="22" t="n">
        <v>35</v>
      </c>
      <c r="H351" s="22" t="n">
        <v>1.1</v>
      </c>
      <c r="I351" s="24" t="n">
        <v>0.169368863105773</v>
      </c>
      <c r="J351" s="6" t="n">
        <v>71000</v>
      </c>
      <c r="K351" s="25">
        <f>23*10^-6</f>
        <v/>
      </c>
      <c r="L351" s="8">
        <f>H351</f>
        <v/>
      </c>
      <c r="M351" s="26">
        <f>H351^2/6</f>
        <v/>
      </c>
      <c r="N351" s="26">
        <f>H351^3/12</f>
        <v/>
      </c>
      <c r="O351" s="27">
        <f>-J351*L351*K351*C351</f>
        <v/>
      </c>
      <c r="P351" s="28">
        <f>-(12*F351*J351*L351*N351+12*O351*N351*G351*COS(RADIANS(E351)))/(12*N351*G351*COS(RADIANS(E351))^2+L351*G351^3*SIN(RADIANS(E351))^2)</f>
        <v/>
      </c>
      <c r="Q351" s="28">
        <f>-(6*F351*J351*L351*N351*SIN(RADIANS(E351))+6*O351*N351*G351*SIN(RADIANS(E351))*COS(RADIANS(E351)))/(12*N351*COS(RADIANS(E351))^2+L351*G351^2*SIN(RADIANS(E351))^2)</f>
        <v/>
      </c>
      <c r="R351" s="28">
        <f>-P351*SIN(RADIANS(E351))</f>
        <v/>
      </c>
      <c r="S351" s="8">
        <f>(O351+P351*COS(RADIANS(E351)))/L351</f>
        <v/>
      </c>
      <c r="T351" s="8">
        <f>R351/L351</f>
        <v/>
      </c>
      <c r="U351" s="8">
        <f>(Q351-P351*G351*SIN(RADIANS(E351)))/M351</f>
        <v/>
      </c>
      <c r="V351" s="8">
        <f>SQRT((S351+U351)^2+3*T351^2)</f>
        <v/>
      </c>
      <c r="W351" s="8">
        <f>V351/AA351</f>
        <v/>
      </c>
      <c r="X351" s="27">
        <f>((3*10+H351/COS(RADIANS(E351)))*(3+3)+3*G351*H351)*2</f>
        <v/>
      </c>
      <c r="Y351" s="28">
        <f>Z351/X351</f>
        <v/>
      </c>
      <c r="Z351" s="29" t="n">
        <v>609.753548727909</v>
      </c>
      <c r="AA351" s="20" t="n">
        <v>89.5457272965582</v>
      </c>
      <c r="AB351" t="n">
        <v>0.2391686319827699</v>
      </c>
      <c r="AC351" t="n">
        <v>94.94594549467743</v>
      </c>
      <c r="AD351" t="n">
        <v>41.21168885298952</v>
      </c>
    </row>
    <row r="352">
      <c r="A352" t="n">
        <v>351</v>
      </c>
      <c r="B352" t="n">
        <v>40.7</v>
      </c>
      <c r="C352" s="21">
        <f>B352-20</f>
        <v/>
      </c>
      <c r="D352" t="n">
        <v>100.5</v>
      </c>
      <c r="E352" s="22">
        <f>D352-90</f>
        <v/>
      </c>
      <c r="F352" s="23" t="n">
        <v>0.007797</v>
      </c>
      <c r="G352" s="22" t="n">
        <v>27.5</v>
      </c>
      <c r="H352" s="22" t="n">
        <v>1.4</v>
      </c>
      <c r="I352" s="24" t="n">
        <v>0.0720271617174148</v>
      </c>
      <c r="J352" s="6" t="n">
        <v>71000</v>
      </c>
      <c r="K352" s="25">
        <f>23*10^-6</f>
        <v/>
      </c>
      <c r="L352" s="8">
        <f>H352</f>
        <v/>
      </c>
      <c r="M352" s="26">
        <f>H352^2/6</f>
        <v/>
      </c>
      <c r="N352" s="26">
        <f>H352^3/12</f>
        <v/>
      </c>
      <c r="O352" s="27">
        <f>-J352*L352*K352*C352</f>
        <v/>
      </c>
      <c r="P352" s="28">
        <f>-(12*F352*J352*L352*N352+12*O352*N352*G352*COS(RADIANS(E352)))/(12*N352*G352*COS(RADIANS(E352))^2+L352*G352^3*SIN(RADIANS(E352))^2)</f>
        <v/>
      </c>
      <c r="Q352" s="28">
        <f>-(6*F352*J352*L352*N352*SIN(RADIANS(E352))+6*O352*N352*G352*SIN(RADIANS(E352))*COS(RADIANS(E352)))/(12*N352*COS(RADIANS(E352))^2+L352*G352^2*SIN(RADIANS(E352))^2)</f>
        <v/>
      </c>
      <c r="R352" s="28">
        <f>-P352*SIN(RADIANS(E352))</f>
        <v/>
      </c>
      <c r="S352" s="8">
        <f>(O352+P352*COS(RADIANS(E352)))/L352</f>
        <v/>
      </c>
      <c r="T352" s="8">
        <f>R352/L352</f>
        <v/>
      </c>
      <c r="U352" s="8">
        <f>(Q352-P352*G352*SIN(RADIANS(E352)))/M352</f>
        <v/>
      </c>
      <c r="V352" s="8">
        <f>SQRT((S352+U352)^2+3*T352^2)</f>
        <v/>
      </c>
      <c r="W352" s="8">
        <f>V352/AA352</f>
        <v/>
      </c>
      <c r="X352" s="27">
        <f>((3*10+H352/COS(RADIANS(E352)))*(3+3)+3*G352*H352)*2</f>
        <v/>
      </c>
      <c r="Y352" s="28">
        <f>Z352/X352</f>
        <v/>
      </c>
      <c r="Z352" s="29" t="n">
        <v>611.928464230741</v>
      </c>
      <c r="AA352" s="20" t="n">
        <v>33.4842374708975</v>
      </c>
      <c r="AB352" t="n">
        <v>0.1058192030100445</v>
      </c>
      <c r="AC352" t="n">
        <v>35.4354572304228</v>
      </c>
      <c r="AD352" t="n">
        <v>46.91569192356413</v>
      </c>
    </row>
    <row r="353">
      <c r="A353" t="n">
        <v>352</v>
      </c>
      <c r="B353" t="n">
        <v>61.5</v>
      </c>
      <c r="C353" s="21">
        <f>B353-20</f>
        <v/>
      </c>
      <c r="D353" t="n">
        <v>124.6</v>
      </c>
      <c r="E353" s="22">
        <f>D353-90</f>
        <v/>
      </c>
      <c r="F353" s="23" t="n">
        <v>0.015884</v>
      </c>
      <c r="G353" s="22" t="n">
        <v>33.5</v>
      </c>
      <c r="H353" s="22" t="n">
        <v>1.6</v>
      </c>
      <c r="I353" s="24" t="n">
        <v>0.0692460238933563</v>
      </c>
      <c r="J353" s="6" t="n">
        <v>71000</v>
      </c>
      <c r="K353" s="25">
        <f>23*10^-6</f>
        <v/>
      </c>
      <c r="L353" s="8">
        <f>H353</f>
        <v/>
      </c>
      <c r="M353" s="26">
        <f>H353^2/6</f>
        <v/>
      </c>
      <c r="N353" s="26">
        <f>H353^3/12</f>
        <v/>
      </c>
      <c r="O353" s="27">
        <f>-J353*L353*K353*C353</f>
        <v/>
      </c>
      <c r="P353" s="28">
        <f>-(12*F353*J353*L353*N353+12*O353*N353*G353*COS(RADIANS(E353)))/(12*N353*G353*COS(RADIANS(E353))^2+L353*G353^3*SIN(RADIANS(E353))^2)</f>
        <v/>
      </c>
      <c r="Q353" s="28">
        <f>-(6*F353*J353*L353*N353*SIN(RADIANS(E353))+6*O353*N353*G353*SIN(RADIANS(E353))*COS(RADIANS(E353)))/(12*N353*COS(RADIANS(E353))^2+L353*G353^2*SIN(RADIANS(E353))^2)</f>
        <v/>
      </c>
      <c r="R353" s="28">
        <f>-P353*SIN(RADIANS(E353))</f>
        <v/>
      </c>
      <c r="S353" s="8">
        <f>(O353+P353*COS(RADIANS(E353)))/L353</f>
        <v/>
      </c>
      <c r="T353" s="8">
        <f>R353/L353</f>
        <v/>
      </c>
      <c r="U353" s="8">
        <f>(Q353-P353*G353*SIN(RADIANS(E353)))/M353</f>
        <v/>
      </c>
      <c r="V353" s="8">
        <f>SQRT((S353+U353)^2+3*T353^2)</f>
        <v/>
      </c>
      <c r="W353" s="8">
        <f>V353/AA353</f>
        <v/>
      </c>
      <c r="X353" s="27">
        <f>((3*10+H353/COS(RADIANS(E353)))*(3+3)+3*G353*H353)*2</f>
        <v/>
      </c>
      <c r="Y353" s="28">
        <f>Z353/X353</f>
        <v/>
      </c>
      <c r="Z353" s="29" t="n">
        <v>713.515820249002</v>
      </c>
      <c r="AA353" s="20" t="n">
        <v>61.0419665526336</v>
      </c>
      <c r="AB353" t="n">
        <v>0.07890577795041853</v>
      </c>
      <c r="AC353" t="n">
        <v>60.20266250761296</v>
      </c>
      <c r="AD353" t="n">
        <v>13.94990428900139</v>
      </c>
    </row>
    <row r="354">
      <c r="A354" t="n">
        <v>353</v>
      </c>
      <c r="B354" t="n">
        <v>43.4</v>
      </c>
      <c r="C354" s="21">
        <f>B354-20</f>
        <v/>
      </c>
      <c r="D354" t="n">
        <v>100</v>
      </c>
      <c r="E354" s="22">
        <f>D354-90</f>
        <v/>
      </c>
      <c r="F354" s="23" t="n">
        <v>0.008850999999999999</v>
      </c>
      <c r="G354" s="22" t="n">
        <v>27.6</v>
      </c>
      <c r="H354" s="22" t="n">
        <v>1.4</v>
      </c>
      <c r="I354" s="24" t="n">
        <v>0.0846569463610649</v>
      </c>
      <c r="J354" s="6" t="n">
        <v>71000</v>
      </c>
      <c r="K354" s="25">
        <f>23*10^-6</f>
        <v/>
      </c>
      <c r="L354" s="8">
        <f>H354</f>
        <v/>
      </c>
      <c r="M354" s="26">
        <f>H354^2/6</f>
        <v/>
      </c>
      <c r="N354" s="26">
        <f>H354^3/12</f>
        <v/>
      </c>
      <c r="O354" s="27">
        <f>-J354*L354*K354*C354</f>
        <v/>
      </c>
      <c r="P354" s="28">
        <f>-(12*F354*J354*L354*N354+12*O354*N354*G354*COS(RADIANS(E354)))/(12*N354*G354*COS(RADIANS(E354))^2+L354*G354^3*SIN(RADIANS(E354))^2)</f>
        <v/>
      </c>
      <c r="Q354" s="28">
        <f>-(6*F354*J354*L354*N354*SIN(RADIANS(E354))+6*O354*N354*G354*SIN(RADIANS(E354))*COS(RADIANS(E354)))/(12*N354*COS(RADIANS(E354))^2+L354*G354^2*SIN(RADIANS(E354))^2)</f>
        <v/>
      </c>
      <c r="R354" s="28">
        <f>-P354*SIN(RADIANS(E354))</f>
        <v/>
      </c>
      <c r="S354" s="8">
        <f>(O354+P354*COS(RADIANS(E354)))/L354</f>
        <v/>
      </c>
      <c r="T354" s="8">
        <f>R354/L354</f>
        <v/>
      </c>
      <c r="U354" s="8">
        <f>(Q354-P354*G354*SIN(RADIANS(E354)))/M354</f>
        <v/>
      </c>
      <c r="V354" s="8">
        <f>SQRT((S354+U354)^2+3*T354^2)</f>
        <v/>
      </c>
      <c r="W354" s="8">
        <f>V354/AA354</f>
        <v/>
      </c>
      <c r="X354" s="27">
        <f>((3*10+H354/COS(RADIANS(E354)))*(3+3)+3*G354*H354)*2</f>
        <v/>
      </c>
      <c r="Y354" s="28">
        <f>Z354/X354</f>
        <v/>
      </c>
      <c r="Z354" s="29" t="n">
        <v>612.703035150579</v>
      </c>
      <c r="AA354" s="20" t="n">
        <v>38.2403886130739</v>
      </c>
      <c r="AB354" t="n">
        <v>0.1252466426255066</v>
      </c>
      <c r="AC354" t="n">
        <v>40.37481334568739</v>
      </c>
      <c r="AD354" t="n">
        <v>47.94609067438501</v>
      </c>
    </row>
    <row r="355">
      <c r="A355" t="n">
        <v>354</v>
      </c>
      <c r="B355" t="n">
        <v>41.7</v>
      </c>
      <c r="C355" s="21">
        <f>B355-20</f>
        <v/>
      </c>
      <c r="D355" t="n">
        <v>101.9</v>
      </c>
      <c r="E355" s="22">
        <f>D355-90</f>
        <v/>
      </c>
      <c r="F355" s="23" t="n">
        <v>0.006543</v>
      </c>
      <c r="G355" s="22" t="n">
        <v>20.9</v>
      </c>
      <c r="H355" s="22" t="n">
        <v>1.4</v>
      </c>
      <c r="I355" s="24" t="n">
        <v>0.055163200944662</v>
      </c>
      <c r="J355" s="6" t="n">
        <v>71000</v>
      </c>
      <c r="K355" s="25">
        <f>23*10^-6</f>
        <v/>
      </c>
      <c r="L355" s="8">
        <f>H355</f>
        <v/>
      </c>
      <c r="M355" s="26">
        <f>H355^2/6</f>
        <v/>
      </c>
      <c r="N355" s="26">
        <f>H355^3/12</f>
        <v/>
      </c>
      <c r="O355" s="27">
        <f>-J355*L355*K355*C355</f>
        <v/>
      </c>
      <c r="P355" s="28">
        <f>-(12*F355*J355*L355*N355+12*O355*N355*G355*COS(RADIANS(E355)))/(12*N355*G355*COS(RADIANS(E355))^2+L355*G355^3*SIN(RADIANS(E355))^2)</f>
        <v/>
      </c>
      <c r="Q355" s="28">
        <f>-(6*F355*J355*L355*N355*SIN(RADIANS(E355))+6*O355*N355*G355*SIN(RADIANS(E355))*COS(RADIANS(E355)))/(12*N355*COS(RADIANS(E355))^2+L355*G355^2*SIN(RADIANS(E355))^2)</f>
        <v/>
      </c>
      <c r="R355" s="28">
        <f>-P355*SIN(RADIANS(E355))</f>
        <v/>
      </c>
      <c r="S355" s="8">
        <f>(O355+P355*COS(RADIANS(E355)))/L355</f>
        <v/>
      </c>
      <c r="T355" s="8">
        <f>R355/L355</f>
        <v/>
      </c>
      <c r="U355" s="8">
        <f>(Q355-P355*G355*SIN(RADIANS(E355)))/M355</f>
        <v/>
      </c>
      <c r="V355" s="8">
        <f>SQRT((S355+U355)^2+3*T355^2)</f>
        <v/>
      </c>
      <c r="W355" s="8">
        <f>V355/AA355</f>
        <v/>
      </c>
      <c r="X355" s="27">
        <f>((3*10+H355/COS(RADIANS(E355)))*(3+3)+3*G355*H355)*2</f>
        <v/>
      </c>
      <c r="Y355" s="28">
        <f>Z355/X355</f>
        <v/>
      </c>
      <c r="Z355" s="29" t="n">
        <v>556.689720705391</v>
      </c>
      <c r="AA355" s="20" t="n">
        <v>39.7479965639032</v>
      </c>
      <c r="AB355" t="n">
        <v>0.07401910074305086</v>
      </c>
      <c r="AC355" t="n">
        <v>37.24783749770272</v>
      </c>
      <c r="AD355" t="n">
        <v>34.18202619769023</v>
      </c>
    </row>
    <row r="356">
      <c r="A356" t="n">
        <v>355</v>
      </c>
      <c r="B356" t="n">
        <v>84</v>
      </c>
      <c r="C356" s="21">
        <f>B356-20</f>
        <v/>
      </c>
      <c r="D356" t="n">
        <v>107.4</v>
      </c>
      <c r="E356" s="22">
        <f>D356-90</f>
        <v/>
      </c>
      <c r="F356" s="23" t="n">
        <v>0.027631</v>
      </c>
      <c r="G356" s="22" t="n">
        <v>33.4</v>
      </c>
      <c r="H356" s="22" t="n">
        <v>1.6</v>
      </c>
      <c r="I356" s="24" t="n">
        <v>0.174489513039588</v>
      </c>
      <c r="J356" s="6" t="n">
        <v>71000</v>
      </c>
      <c r="K356" s="25">
        <f>23*10^-6</f>
        <v/>
      </c>
      <c r="L356" s="8">
        <f>H356</f>
        <v/>
      </c>
      <c r="M356" s="26">
        <f>H356^2/6</f>
        <v/>
      </c>
      <c r="N356" s="26">
        <f>H356^3/12</f>
        <v/>
      </c>
      <c r="O356" s="27">
        <f>-J356*L356*K356*C356</f>
        <v/>
      </c>
      <c r="P356" s="28">
        <f>-(12*F356*J356*L356*N356+12*O356*N356*G356*COS(RADIANS(E356)))/(12*N356*G356*COS(RADIANS(E356))^2+L356*G356^3*SIN(RADIANS(E356))^2)</f>
        <v/>
      </c>
      <c r="Q356" s="28">
        <f>-(6*F356*J356*L356*N356*SIN(RADIANS(E356))+6*O356*N356*G356*SIN(RADIANS(E356))*COS(RADIANS(E356)))/(12*N356*COS(RADIANS(E356))^2+L356*G356^2*SIN(RADIANS(E356))^2)</f>
        <v/>
      </c>
      <c r="R356" s="28">
        <f>-P356*SIN(RADIANS(E356))</f>
        <v/>
      </c>
      <c r="S356" s="8">
        <f>(O356+P356*COS(RADIANS(E356)))/L356</f>
        <v/>
      </c>
      <c r="T356" s="8">
        <f>R356/L356</f>
        <v/>
      </c>
      <c r="U356" s="8">
        <f>(Q356-P356*G356*SIN(RADIANS(E356)))/M356</f>
        <v/>
      </c>
      <c r="V356" s="8">
        <f>SQRT((S356+U356)^2+3*T356^2)</f>
        <v/>
      </c>
      <c r="W356" s="8">
        <f>V356/AA356</f>
        <v/>
      </c>
      <c r="X356" s="27">
        <f>((3*10+H356/COS(RADIANS(E356)))*(3+3)+3*G356*H356)*2</f>
        <v/>
      </c>
      <c r="Y356" s="28">
        <f>Z356/X356</f>
        <v/>
      </c>
      <c r="Z356" s="29" t="n">
        <v>705.34524357865</v>
      </c>
      <c r="AA356" s="20" t="n">
        <v>99.8448030338364</v>
      </c>
      <c r="AB356" t="n">
        <v>0.2466144519238188</v>
      </c>
      <c r="AC356" t="n">
        <v>100.9871022938168</v>
      </c>
      <c r="AD356" t="n">
        <v>41.3348273072819</v>
      </c>
    </row>
    <row r="357">
      <c r="A357" t="n">
        <v>356</v>
      </c>
      <c r="B357" t="n">
        <v>69.3</v>
      </c>
      <c r="C357" s="21">
        <f>B357-20</f>
        <v/>
      </c>
      <c r="D357" t="n">
        <v>109.4</v>
      </c>
      <c r="E357" s="22">
        <f>D357-90</f>
        <v/>
      </c>
      <c r="F357" s="23" t="n">
        <v>0.015141</v>
      </c>
      <c r="G357" s="22" t="n">
        <v>22.2</v>
      </c>
      <c r="H357" s="22" t="n">
        <v>1.8</v>
      </c>
      <c r="I357" s="24" t="n">
        <v>0.0920215472579002</v>
      </c>
      <c r="J357" s="6" t="n">
        <v>71000</v>
      </c>
      <c r="K357" s="25">
        <f>23*10^-6</f>
        <v/>
      </c>
      <c r="L357" s="8">
        <f>H357</f>
        <v/>
      </c>
      <c r="M357" s="26">
        <f>H357^2/6</f>
        <v/>
      </c>
      <c r="N357" s="26">
        <f>H357^3/12</f>
        <v/>
      </c>
      <c r="O357" s="27">
        <f>-J357*L357*K357*C357</f>
        <v/>
      </c>
      <c r="P357" s="28">
        <f>-(12*F357*J357*L357*N357+12*O357*N357*G357*COS(RADIANS(E357)))/(12*N357*G357*COS(RADIANS(E357))^2+L357*G357^3*SIN(RADIANS(E357))^2)</f>
        <v/>
      </c>
      <c r="Q357" s="28">
        <f>-(6*F357*J357*L357*N357*SIN(RADIANS(E357))+6*O357*N357*G357*SIN(RADIANS(E357))*COS(RADIANS(E357)))/(12*N357*COS(RADIANS(E357))^2+L357*G357^2*SIN(RADIANS(E357))^2)</f>
        <v/>
      </c>
      <c r="R357" s="28">
        <f>-P357*SIN(RADIANS(E357))</f>
        <v/>
      </c>
      <c r="S357" s="8">
        <f>(O357+P357*COS(RADIANS(E357)))/L357</f>
        <v/>
      </c>
      <c r="T357" s="8">
        <f>R357/L357</f>
        <v/>
      </c>
      <c r="U357" s="8">
        <f>(Q357-P357*G357*SIN(RADIANS(E357)))/M357</f>
        <v/>
      </c>
      <c r="V357" s="8">
        <f>SQRT((S357+U357)^2+3*T357^2)</f>
        <v/>
      </c>
      <c r="W357" s="8">
        <f>V357/AA357</f>
        <v/>
      </c>
      <c r="X357" s="27">
        <f>((3*10+H357/COS(RADIANS(E357)))*(3+3)+3*G357*H357)*2</f>
        <v/>
      </c>
      <c r="Y357" s="28">
        <f>Z357/X357</f>
        <v/>
      </c>
      <c r="Z357" s="29" t="n">
        <v>627.538524003868</v>
      </c>
      <c r="AA357" s="20" t="n">
        <v>85.2333298651272</v>
      </c>
      <c r="AB357" t="n">
        <v>0.1125301610515476</v>
      </c>
      <c r="AC357" t="n">
        <v>80.74878334378941</v>
      </c>
      <c r="AD357" t="n">
        <v>22.28675174975035</v>
      </c>
    </row>
    <row r="358">
      <c r="A358" t="n">
        <v>357</v>
      </c>
      <c r="B358" t="n">
        <v>82.90000000000001</v>
      </c>
      <c r="C358" s="21">
        <f>B358-20</f>
        <v/>
      </c>
      <c r="D358" t="n">
        <v>111.8</v>
      </c>
      <c r="E358" s="22">
        <f>D358-90</f>
        <v/>
      </c>
      <c r="F358" s="23" t="n">
        <v>0.027338</v>
      </c>
      <c r="G358" s="22" t="n">
        <v>34.6</v>
      </c>
      <c r="H358" s="22" t="n">
        <v>1.6</v>
      </c>
      <c r="I358" s="24" t="n">
        <v>0.148134395480155</v>
      </c>
      <c r="J358" s="6" t="n">
        <v>71000</v>
      </c>
      <c r="K358" s="25">
        <f>23*10^-6</f>
        <v/>
      </c>
      <c r="L358" s="8">
        <f>H358</f>
        <v/>
      </c>
      <c r="M358" s="26">
        <f>H358^2/6</f>
        <v/>
      </c>
      <c r="N358" s="26">
        <f>H358^3/12</f>
        <v/>
      </c>
      <c r="O358" s="27">
        <f>-J358*L358*K358*C358</f>
        <v/>
      </c>
      <c r="P358" s="28">
        <f>-(12*F358*J358*L358*N358+12*O358*N358*G358*COS(RADIANS(E358)))/(12*N358*G358*COS(RADIANS(E358))^2+L358*G358^3*SIN(RADIANS(E358))^2)</f>
        <v/>
      </c>
      <c r="Q358" s="28">
        <f>-(6*F358*J358*L358*N358*SIN(RADIANS(E358))+6*O358*N358*G358*SIN(RADIANS(E358))*COS(RADIANS(E358)))/(12*N358*COS(RADIANS(E358))^2+L358*G358^2*SIN(RADIANS(E358))^2)</f>
        <v/>
      </c>
      <c r="R358" s="28">
        <f>-P358*SIN(RADIANS(E358))</f>
        <v/>
      </c>
      <c r="S358" s="8">
        <f>(O358+P358*COS(RADIANS(E358)))/L358</f>
        <v/>
      </c>
      <c r="T358" s="8">
        <f>R358/L358</f>
        <v/>
      </c>
      <c r="U358" s="8">
        <f>(Q358-P358*G358*SIN(RADIANS(E358)))/M358</f>
        <v/>
      </c>
      <c r="V358" s="8">
        <f>SQRT((S358+U358)^2+3*T358^2)</f>
        <v/>
      </c>
      <c r="W358" s="8">
        <f>V358/AA358</f>
        <v/>
      </c>
      <c r="X358" s="27">
        <f>((3*10+H358/COS(RADIANS(E358)))*(3+3)+3*G358*H358)*2</f>
        <v/>
      </c>
      <c r="Y358" s="28">
        <f>Z358/X358</f>
        <v/>
      </c>
      <c r="Z358" s="29" t="n">
        <v>718.1209955007751</v>
      </c>
      <c r="AA358" s="20" t="n">
        <v>96.76779121046749</v>
      </c>
      <c r="AB358" t="n">
        <v>0.2003147180548701</v>
      </c>
      <c r="AC358" t="n">
        <v>95.93079293938263</v>
      </c>
      <c r="AD358" t="n">
        <v>35.22498769146795</v>
      </c>
    </row>
    <row r="359">
      <c r="A359" t="n">
        <v>358</v>
      </c>
      <c r="B359" t="n">
        <v>46.3</v>
      </c>
      <c r="C359" s="21">
        <f>B359-20</f>
        <v/>
      </c>
      <c r="D359" t="n">
        <v>119.3</v>
      </c>
      <c r="E359" s="22">
        <f>D359-90</f>
        <v/>
      </c>
      <c r="F359" s="23" t="n">
        <v>0.007708</v>
      </c>
      <c r="G359" s="22" t="n">
        <v>22.6</v>
      </c>
      <c r="H359" s="22" t="n">
        <v>1.7</v>
      </c>
      <c r="I359" s="24" t="n">
        <v>0.0378309339284896</v>
      </c>
      <c r="J359" s="6" t="n">
        <v>71000</v>
      </c>
      <c r="K359" s="25">
        <f>23*10^-6</f>
        <v/>
      </c>
      <c r="L359" s="8">
        <f>H359</f>
        <v/>
      </c>
      <c r="M359" s="26">
        <f>H359^2/6</f>
        <v/>
      </c>
      <c r="N359" s="26">
        <f>H359^3/12</f>
        <v/>
      </c>
      <c r="O359" s="27">
        <f>-J359*L359*K359*C359</f>
        <v/>
      </c>
      <c r="P359" s="28">
        <f>-(12*F359*J359*L359*N359+12*O359*N359*G359*COS(RADIANS(E359)))/(12*N359*G359*COS(RADIANS(E359))^2+L359*G359^3*SIN(RADIANS(E359))^2)</f>
        <v/>
      </c>
      <c r="Q359" s="28">
        <f>-(6*F359*J359*L359*N359*SIN(RADIANS(E359))+6*O359*N359*G359*SIN(RADIANS(E359))*COS(RADIANS(E359)))/(12*N359*COS(RADIANS(E359))^2+L359*G359^2*SIN(RADIANS(E359))^2)</f>
        <v/>
      </c>
      <c r="R359" s="28">
        <f>-P359*SIN(RADIANS(E359))</f>
        <v/>
      </c>
      <c r="S359" s="8">
        <f>(O359+P359*COS(RADIANS(E359)))/L359</f>
        <v/>
      </c>
      <c r="T359" s="8">
        <f>R359/L359</f>
        <v/>
      </c>
      <c r="U359" s="8">
        <f>(Q359-P359*G359*SIN(RADIANS(E359)))/M359</f>
        <v/>
      </c>
      <c r="V359" s="8">
        <f>SQRT((S359+U359)^2+3*T359^2)</f>
        <v/>
      </c>
      <c r="W359" s="8">
        <f>V359/AA359</f>
        <v/>
      </c>
      <c r="X359" s="27">
        <f>((3*10+H359/COS(RADIANS(E359)))*(3+3)+3*G359*H359)*2</f>
        <v/>
      </c>
      <c r="Y359" s="28">
        <f>Z359/X359</f>
        <v/>
      </c>
      <c r="Z359" s="29" t="n">
        <v>620.8670159749551</v>
      </c>
      <c r="AA359" s="20" t="n">
        <v>42.3572076509377</v>
      </c>
      <c r="AB359" t="n">
        <v>0.04085833543666048</v>
      </c>
      <c r="AC359" t="n">
        <v>40.0364147197974</v>
      </c>
      <c r="AD359" t="n">
        <v>8.002449830853934</v>
      </c>
    </row>
    <row r="360">
      <c r="A360" t="n">
        <v>359</v>
      </c>
      <c r="B360" t="n">
        <v>75.09999999999999</v>
      </c>
      <c r="C360" s="21">
        <f>B360-20</f>
        <v/>
      </c>
      <c r="D360" t="n">
        <v>108</v>
      </c>
      <c r="E360" s="22">
        <f>D360-90</f>
        <v/>
      </c>
      <c r="F360" s="23" t="n">
        <v>0.023602</v>
      </c>
      <c r="G360" s="22" t="n">
        <v>33.2</v>
      </c>
      <c r="H360" s="22" t="n">
        <v>1.9</v>
      </c>
      <c r="I360" s="24" t="n">
        <v>0.144952803850173</v>
      </c>
      <c r="J360" s="6" t="n">
        <v>71000</v>
      </c>
      <c r="K360" s="25">
        <f>23*10^-6</f>
        <v/>
      </c>
      <c r="L360" s="8">
        <f>H360</f>
        <v/>
      </c>
      <c r="M360" s="26">
        <f>H360^2/6</f>
        <v/>
      </c>
      <c r="N360" s="26">
        <f>H360^3/12</f>
        <v/>
      </c>
      <c r="O360" s="27">
        <f>-J360*L360*K360*C360</f>
        <v/>
      </c>
      <c r="P360" s="28">
        <f>-(12*F360*J360*L360*N360+12*O360*N360*G360*COS(RADIANS(E360)))/(12*N360*G360*COS(RADIANS(E360))^2+L360*G360^3*SIN(RADIANS(E360))^2)</f>
        <v/>
      </c>
      <c r="Q360" s="28">
        <f>-(6*F360*J360*L360*N360*SIN(RADIANS(E360))+6*O360*N360*G360*SIN(RADIANS(E360))*COS(RADIANS(E360)))/(12*N360*COS(RADIANS(E360))^2+L360*G360^2*SIN(RADIANS(E360))^2)</f>
        <v/>
      </c>
      <c r="R360" s="28">
        <f>-P360*SIN(RADIANS(E360))</f>
        <v/>
      </c>
      <c r="S360" s="8">
        <f>(O360+P360*COS(RADIANS(E360)))/L360</f>
        <v/>
      </c>
      <c r="T360" s="8">
        <f>R360/L360</f>
        <v/>
      </c>
      <c r="U360" s="8">
        <f>(Q360-P360*G360*SIN(RADIANS(E360)))/M360</f>
        <v/>
      </c>
      <c r="V360" s="8">
        <f>SQRT((S360+U360)^2+3*T360^2)</f>
        <v/>
      </c>
      <c r="W360" s="8">
        <f>V360/AA360</f>
        <v/>
      </c>
      <c r="X360" s="27">
        <f>((3*10+H360/COS(RADIANS(E360)))*(3+3)+3*G360*H360)*2</f>
        <v/>
      </c>
      <c r="Y360" s="28">
        <f>Z360/X360</f>
        <v/>
      </c>
      <c r="Z360" s="29" t="n">
        <v>767.122061479992</v>
      </c>
      <c r="AA360" s="20" t="n">
        <v>91.4321419927135</v>
      </c>
      <c r="AB360" t="n">
        <v>0.2022829690787435</v>
      </c>
      <c r="AC360" t="n">
        <v>88.65071242508797</v>
      </c>
      <c r="AD360" t="n">
        <v>39.55091844089367</v>
      </c>
    </row>
    <row r="361">
      <c r="A361" t="n">
        <v>360</v>
      </c>
      <c r="B361" t="n">
        <v>80.59999999999999</v>
      </c>
      <c r="C361" s="21">
        <f>B361-20</f>
        <v/>
      </c>
      <c r="D361" t="n">
        <v>116.6</v>
      </c>
      <c r="E361" s="22">
        <f>D361-90</f>
        <v/>
      </c>
      <c r="F361" s="23" t="n">
        <v>0.023541</v>
      </c>
      <c r="G361" s="22" t="n">
        <v>31.4</v>
      </c>
      <c r="H361" s="22" t="n">
        <v>1.3</v>
      </c>
      <c r="I361" s="24" t="n">
        <v>0.115322329103946</v>
      </c>
      <c r="J361" s="6" t="n">
        <v>71000</v>
      </c>
      <c r="K361" s="25">
        <f>23*10^-6</f>
        <v/>
      </c>
      <c r="L361" s="8">
        <f>H361</f>
        <v/>
      </c>
      <c r="M361" s="26">
        <f>H361^2/6</f>
        <v/>
      </c>
      <c r="N361" s="26">
        <f>H361^3/12</f>
        <v/>
      </c>
      <c r="O361" s="27">
        <f>-J361*L361*K361*C361</f>
        <v/>
      </c>
      <c r="P361" s="28">
        <f>-(12*F361*J361*L361*N361+12*O361*N361*G361*COS(RADIANS(E361)))/(12*N361*G361*COS(RADIANS(E361))^2+L361*G361^3*SIN(RADIANS(E361))^2)</f>
        <v/>
      </c>
      <c r="Q361" s="28">
        <f>-(6*F361*J361*L361*N361*SIN(RADIANS(E361))+6*O361*N361*G361*SIN(RADIANS(E361))*COS(RADIANS(E361)))/(12*N361*COS(RADIANS(E361))^2+L361*G361^2*SIN(RADIANS(E361))^2)</f>
        <v/>
      </c>
      <c r="R361" s="28">
        <f>-P361*SIN(RADIANS(E361))</f>
        <v/>
      </c>
      <c r="S361" s="8">
        <f>(O361+P361*COS(RADIANS(E361)))/L361</f>
        <v/>
      </c>
      <c r="T361" s="8">
        <f>R361/L361</f>
        <v/>
      </c>
      <c r="U361" s="8">
        <f>(Q361-P361*G361*SIN(RADIANS(E361)))/M361</f>
        <v/>
      </c>
      <c r="V361" s="8">
        <f>SQRT((S361+U361)^2+3*T361^2)</f>
        <v/>
      </c>
      <c r="W361" s="8">
        <f>V361/AA361</f>
        <v/>
      </c>
      <c r="X361" s="27">
        <f>((3*10+H361/COS(RADIANS(E361)))*(3+3)+3*G361*H361)*2</f>
        <v/>
      </c>
      <c r="Y361" s="28">
        <f>Z361/X361</f>
        <v/>
      </c>
      <c r="Z361" s="29" t="n">
        <v>628.641290695592</v>
      </c>
      <c r="AA361" s="20" t="n">
        <v>87.1549628222301</v>
      </c>
      <c r="AB361" t="n">
        <v>0.1436912709280693</v>
      </c>
      <c r="AC361" t="n">
        <v>89.16192606318235</v>
      </c>
      <c r="AD361" t="n">
        <v>24.59969551824861</v>
      </c>
    </row>
    <row r="362">
      <c r="A362" t="n">
        <v>361</v>
      </c>
      <c r="B362" t="n">
        <v>86.90000000000001</v>
      </c>
      <c r="C362" s="21">
        <f>B362-20</f>
        <v/>
      </c>
      <c r="D362" t="n">
        <v>101</v>
      </c>
      <c r="E362" s="22">
        <f>D362-90</f>
        <v/>
      </c>
      <c r="F362" s="23" t="n">
        <v>0.026886</v>
      </c>
      <c r="G362" s="22" t="n">
        <v>29.8</v>
      </c>
      <c r="H362" s="22" t="n">
        <v>1.2</v>
      </c>
      <c r="I362" s="24" t="n">
        <v>0.24321973323822</v>
      </c>
      <c r="J362" s="6" t="n">
        <v>71000</v>
      </c>
      <c r="K362" s="25">
        <f>23*10^-6</f>
        <v/>
      </c>
      <c r="L362" s="8">
        <f>H362</f>
        <v/>
      </c>
      <c r="M362" s="26">
        <f>H362^2/6</f>
        <v/>
      </c>
      <c r="N362" s="26">
        <f>H362^3/12</f>
        <v/>
      </c>
      <c r="O362" s="27">
        <f>-J362*L362*K362*C362</f>
        <v/>
      </c>
      <c r="P362" s="28">
        <f>-(12*F362*J362*L362*N362+12*O362*N362*G362*COS(RADIANS(E362)))/(12*N362*G362*COS(RADIANS(E362))^2+L362*G362^3*SIN(RADIANS(E362))^2)</f>
        <v/>
      </c>
      <c r="Q362" s="28">
        <f>-(6*F362*J362*L362*N362*SIN(RADIANS(E362))+6*O362*N362*G362*SIN(RADIANS(E362))*COS(RADIANS(E362)))/(12*N362*COS(RADIANS(E362))^2+L362*G362^2*SIN(RADIANS(E362))^2)</f>
        <v/>
      </c>
      <c r="R362" s="28">
        <f>-P362*SIN(RADIANS(E362))</f>
        <v/>
      </c>
      <c r="S362" s="8">
        <f>(O362+P362*COS(RADIANS(E362)))/L362</f>
        <v/>
      </c>
      <c r="T362" s="8">
        <f>R362/L362</f>
        <v/>
      </c>
      <c r="U362" s="8">
        <f>(Q362-P362*G362*SIN(RADIANS(E362)))/M362</f>
        <v/>
      </c>
      <c r="V362" s="8">
        <f>SQRT((S362+U362)^2+3*T362^2)</f>
        <v/>
      </c>
      <c r="W362" s="8">
        <f>V362/AA362</f>
        <v/>
      </c>
      <c r="X362" s="27">
        <f>((3*10+H362/COS(RADIANS(E362)))*(3+3)+3*G362*H362)*2</f>
        <v/>
      </c>
      <c r="Y362" s="28">
        <f>Z362/X362</f>
        <v/>
      </c>
      <c r="Z362" s="29" t="n">
        <v>593.112350471922</v>
      </c>
      <c r="AA362" s="20" t="n">
        <v>101.293892885049</v>
      </c>
      <c r="AB362" t="n">
        <v>0.3628288229230143</v>
      </c>
      <c r="AC362" t="n">
        <v>109.9290223352092</v>
      </c>
      <c r="AD362" t="n">
        <v>49.17737886327009</v>
      </c>
    </row>
    <row r="363">
      <c r="A363" t="n">
        <v>362</v>
      </c>
      <c r="B363" t="n">
        <v>73</v>
      </c>
      <c r="C363" s="21">
        <f>B363-20</f>
        <v/>
      </c>
      <c r="D363" t="n">
        <v>126.2</v>
      </c>
      <c r="E363" s="22">
        <f>D363-90</f>
        <v/>
      </c>
      <c r="F363" s="23" t="n">
        <v>0.019569</v>
      </c>
      <c r="G363" s="22" t="n">
        <v>32.7</v>
      </c>
      <c r="H363" s="22" t="n">
        <v>1.6</v>
      </c>
      <c r="I363" s="24" t="n">
        <v>0.0845741033554077</v>
      </c>
      <c r="J363" s="6" t="n">
        <v>71000</v>
      </c>
      <c r="K363" s="25">
        <f>23*10^-6</f>
        <v/>
      </c>
      <c r="L363" s="8">
        <f>H363</f>
        <v/>
      </c>
      <c r="M363" s="26">
        <f>H363^2/6</f>
        <v/>
      </c>
      <c r="N363" s="26">
        <f>H363^3/12</f>
        <v/>
      </c>
      <c r="O363" s="27">
        <f>-J363*L363*K363*C363</f>
        <v/>
      </c>
      <c r="P363" s="28">
        <f>-(12*F363*J363*L363*N363+12*O363*N363*G363*COS(RADIANS(E363)))/(12*N363*G363*COS(RADIANS(E363))^2+L363*G363^3*SIN(RADIANS(E363))^2)</f>
        <v/>
      </c>
      <c r="Q363" s="28">
        <f>-(6*F363*J363*L363*N363*SIN(RADIANS(E363))+6*O363*N363*G363*SIN(RADIANS(E363))*COS(RADIANS(E363)))/(12*N363*COS(RADIANS(E363))^2+L363*G363^2*SIN(RADIANS(E363))^2)</f>
        <v/>
      </c>
      <c r="R363" s="28">
        <f>-P363*SIN(RADIANS(E363))</f>
        <v/>
      </c>
      <c r="S363" s="8">
        <f>(O363+P363*COS(RADIANS(E363)))/L363</f>
        <v/>
      </c>
      <c r="T363" s="8">
        <f>R363/L363</f>
        <v/>
      </c>
      <c r="U363" s="8">
        <f>(Q363-P363*G363*SIN(RADIANS(E363)))/M363</f>
        <v/>
      </c>
      <c r="V363" s="8">
        <f>SQRT((S363+U363)^2+3*T363^2)</f>
        <v/>
      </c>
      <c r="W363" s="8">
        <f>V363/AA363</f>
        <v/>
      </c>
      <c r="X363" s="27">
        <f>((3*10+H363/COS(RADIANS(E363)))*(3+3)+3*G363*H363)*2</f>
        <v/>
      </c>
      <c r="Y363" s="28">
        <f>Z363/X363</f>
        <v/>
      </c>
      <c r="Z363" s="29" t="n">
        <v>706.887860685361</v>
      </c>
      <c r="AA363" s="20" t="n">
        <v>77.90005282626581</v>
      </c>
      <c r="AB363" t="n">
        <v>0.09374632192175859</v>
      </c>
      <c r="AC363" t="n">
        <v>76.62819469051182</v>
      </c>
      <c r="AD363" t="n">
        <v>10.84518570395747</v>
      </c>
    </row>
    <row r="364">
      <c r="A364" t="n">
        <v>363</v>
      </c>
      <c r="B364" t="n">
        <v>81.5</v>
      </c>
      <c r="C364" s="21">
        <f>B364-20</f>
        <v/>
      </c>
      <c r="D364" t="n">
        <v>107</v>
      </c>
      <c r="E364" s="22">
        <f>D364-90</f>
        <v/>
      </c>
      <c r="F364" s="23" t="n">
        <v>0.023985</v>
      </c>
      <c r="G364" s="22" t="n">
        <v>29.5</v>
      </c>
      <c r="H364" s="22" t="n">
        <v>1.4</v>
      </c>
      <c r="I364" s="24" t="n">
        <v>0.156271830201149</v>
      </c>
      <c r="J364" s="6" t="n">
        <v>71000</v>
      </c>
      <c r="K364" s="25">
        <f>23*10^-6</f>
        <v/>
      </c>
      <c r="L364" s="8">
        <f>H364</f>
        <v/>
      </c>
      <c r="M364" s="26">
        <f>H364^2/6</f>
        <v/>
      </c>
      <c r="N364" s="26">
        <f>H364^3/12</f>
        <v/>
      </c>
      <c r="O364" s="27">
        <f>-J364*L364*K364*C364</f>
        <v/>
      </c>
      <c r="P364" s="28">
        <f>-(12*F364*J364*L364*N364+12*O364*N364*G364*COS(RADIANS(E364)))/(12*N364*G364*COS(RADIANS(E364))^2+L364*G364^3*SIN(RADIANS(E364))^2)</f>
        <v/>
      </c>
      <c r="Q364" s="28">
        <f>-(6*F364*J364*L364*N364*SIN(RADIANS(E364))+6*O364*N364*G364*SIN(RADIANS(E364))*COS(RADIANS(E364)))/(12*N364*COS(RADIANS(E364))^2+L364*G364^2*SIN(RADIANS(E364))^2)</f>
        <v/>
      </c>
      <c r="R364" s="28">
        <f>-P364*SIN(RADIANS(E364))</f>
        <v/>
      </c>
      <c r="S364" s="8">
        <f>(O364+P364*COS(RADIANS(E364)))/L364</f>
        <v/>
      </c>
      <c r="T364" s="8">
        <f>R364/L364</f>
        <v/>
      </c>
      <c r="U364" s="8">
        <f>(Q364-P364*G364*SIN(RADIANS(E364)))/M364</f>
        <v/>
      </c>
      <c r="V364" s="8">
        <f>SQRT((S364+U364)^2+3*T364^2)</f>
        <v/>
      </c>
      <c r="W364" s="8">
        <f>V364/AA364</f>
        <v/>
      </c>
      <c r="X364" s="27">
        <f>((3*10+H364/COS(RADIANS(E364)))*(3+3)+3*G364*H364)*2</f>
        <v/>
      </c>
      <c r="Y364" s="28">
        <f>Z364/X364</f>
        <v/>
      </c>
      <c r="Z364" s="29" t="n">
        <v>629.897853050318</v>
      </c>
      <c r="AA364" s="20" t="n">
        <v>93.8416205997641</v>
      </c>
      <c r="AB364" t="n">
        <v>0.2157976176018902</v>
      </c>
      <c r="AC364" t="n">
        <v>96.81175230042474</v>
      </c>
      <c r="AD364" t="n">
        <v>38.09118209220509</v>
      </c>
    </row>
    <row r="365">
      <c r="A365" t="n">
        <v>364</v>
      </c>
      <c r="B365" t="n">
        <v>55.5</v>
      </c>
      <c r="C365" s="21">
        <f>B365-20</f>
        <v/>
      </c>
      <c r="D365" t="n">
        <v>118.4</v>
      </c>
      <c r="E365" s="22">
        <f>D365-90</f>
        <v/>
      </c>
      <c r="F365" s="23" t="n">
        <v>0.01172</v>
      </c>
      <c r="G365" s="22" t="n">
        <v>26.1</v>
      </c>
      <c r="H365" s="22" t="n">
        <v>1.4</v>
      </c>
      <c r="I365" s="24" t="n">
        <v>0.0571052804589271</v>
      </c>
      <c r="J365" s="6" t="n">
        <v>71000</v>
      </c>
      <c r="K365" s="25">
        <f>23*10^-6</f>
        <v/>
      </c>
      <c r="L365" s="8">
        <f>H365</f>
        <v/>
      </c>
      <c r="M365" s="26">
        <f>H365^2/6</f>
        <v/>
      </c>
      <c r="N365" s="26">
        <f>H365^3/12</f>
        <v/>
      </c>
      <c r="O365" s="27">
        <f>-J365*L365*K365*C365</f>
        <v/>
      </c>
      <c r="P365" s="28">
        <f>-(12*F365*J365*L365*N365+12*O365*N365*G365*COS(RADIANS(E365)))/(12*N365*G365*COS(RADIANS(E365))^2+L365*G365^3*SIN(RADIANS(E365))^2)</f>
        <v/>
      </c>
      <c r="Q365" s="28">
        <f>-(6*F365*J365*L365*N365*SIN(RADIANS(E365))+6*O365*N365*G365*SIN(RADIANS(E365))*COS(RADIANS(E365)))/(12*N365*COS(RADIANS(E365))^2+L365*G365^2*SIN(RADIANS(E365))^2)</f>
        <v/>
      </c>
      <c r="R365" s="28">
        <f>-P365*SIN(RADIANS(E365))</f>
        <v/>
      </c>
      <c r="S365" s="8">
        <f>(O365+P365*COS(RADIANS(E365)))/L365</f>
        <v/>
      </c>
      <c r="T365" s="8">
        <f>R365/L365</f>
        <v/>
      </c>
      <c r="U365" s="8">
        <f>(Q365-P365*G365*SIN(RADIANS(E365)))/M365</f>
        <v/>
      </c>
      <c r="V365" s="8">
        <f>SQRT((S365+U365)^2+3*T365^2)</f>
        <v/>
      </c>
      <c r="W365" s="8">
        <f>V365/AA365</f>
        <v/>
      </c>
      <c r="X365" s="27">
        <f>((3*10+H365/COS(RADIANS(E365)))*(3+3)+3*G365*H365)*2</f>
        <v/>
      </c>
      <c r="Y365" s="28">
        <f>Z365/X365</f>
        <v/>
      </c>
      <c r="Z365" s="29" t="n">
        <v>605.05578841881</v>
      </c>
      <c r="AA365" s="20" t="n">
        <v>53.0117980833858</v>
      </c>
      <c r="AB365" t="n">
        <v>0.0657710066311771</v>
      </c>
      <c r="AC365" t="n">
        <v>52.77384757122365</v>
      </c>
      <c r="AD365" t="n">
        <v>15.17499975940547</v>
      </c>
    </row>
    <row r="366">
      <c r="A366" t="n">
        <v>365</v>
      </c>
      <c r="B366" t="n">
        <v>70.3</v>
      </c>
      <c r="C366" s="21">
        <f>B366-20</f>
        <v/>
      </c>
      <c r="D366" t="n">
        <v>127.6</v>
      </c>
      <c r="E366" s="22">
        <f>D366-90</f>
        <v/>
      </c>
      <c r="F366" s="23" t="n">
        <v>0.016752</v>
      </c>
      <c r="G366" s="22" t="n">
        <v>29.3</v>
      </c>
      <c r="H366" s="22" t="n">
        <v>1.2</v>
      </c>
      <c r="I366" s="24" t="n">
        <v>0.0727758482098579</v>
      </c>
      <c r="J366" s="6" t="n">
        <v>71000</v>
      </c>
      <c r="K366" s="25">
        <f>23*10^-6</f>
        <v/>
      </c>
      <c r="L366" s="8">
        <f>H366</f>
        <v/>
      </c>
      <c r="M366" s="26">
        <f>H366^2/6</f>
        <v/>
      </c>
      <c r="N366" s="26">
        <f>H366^3/12</f>
        <v/>
      </c>
      <c r="O366" s="27">
        <f>-J366*L366*K366*C366</f>
        <v/>
      </c>
      <c r="P366" s="28">
        <f>-(12*F366*J366*L366*N366+12*O366*N366*G366*COS(RADIANS(E366)))/(12*N366*G366*COS(RADIANS(E366))^2+L366*G366^3*SIN(RADIANS(E366))^2)</f>
        <v/>
      </c>
      <c r="Q366" s="28">
        <f>-(6*F366*J366*L366*N366*SIN(RADIANS(E366))+6*O366*N366*G366*SIN(RADIANS(E366))*COS(RADIANS(E366)))/(12*N366*COS(RADIANS(E366))^2+L366*G366^2*SIN(RADIANS(E366))^2)</f>
        <v/>
      </c>
      <c r="R366" s="28">
        <f>-P366*SIN(RADIANS(E366))</f>
        <v/>
      </c>
      <c r="S366" s="8">
        <f>(O366+P366*COS(RADIANS(E366)))/L366</f>
        <v/>
      </c>
      <c r="T366" s="8">
        <f>R366/L366</f>
        <v/>
      </c>
      <c r="U366" s="8">
        <f>(Q366-P366*G366*SIN(RADIANS(E366)))/M366</f>
        <v/>
      </c>
      <c r="V366" s="8">
        <f>SQRT((S366+U366)^2+3*T366^2)</f>
        <v/>
      </c>
      <c r="W366" s="8">
        <f>V366/AA366</f>
        <v/>
      </c>
      <c r="X366" s="27">
        <f>((3*10+H366/COS(RADIANS(E366)))*(3+3)+3*G366*H366)*2</f>
        <v/>
      </c>
      <c r="Y366" s="28">
        <f>Z366/X366</f>
        <v/>
      </c>
      <c r="Z366" s="29" t="n">
        <v>598.860752895401</v>
      </c>
      <c r="AA366" s="20" t="n">
        <v>67.9014230838176</v>
      </c>
      <c r="AB366" t="n">
        <v>0.07705432783206882</v>
      </c>
      <c r="AC366" t="n">
        <v>71.53130778013939</v>
      </c>
      <c r="AD366" t="n">
        <v>5.878982832152521</v>
      </c>
    </row>
    <row r="367">
      <c r="A367" t="n">
        <v>366</v>
      </c>
      <c r="B367" t="n">
        <v>75</v>
      </c>
      <c r="C367" s="21">
        <f>B367-20</f>
        <v/>
      </c>
      <c r="D367" t="n">
        <v>114</v>
      </c>
      <c r="E367" s="22">
        <f>D367-90</f>
        <v/>
      </c>
      <c r="F367" s="23" t="n">
        <v>0.01728</v>
      </c>
      <c r="G367" s="22" t="n">
        <v>23.6</v>
      </c>
      <c r="H367" s="22" t="n">
        <v>1.8</v>
      </c>
      <c r="I367" s="24" t="n">
        <v>0.0926658064126968</v>
      </c>
      <c r="J367" s="6" t="n">
        <v>71000</v>
      </c>
      <c r="K367" s="25">
        <f>23*10^-6</f>
        <v/>
      </c>
      <c r="L367" s="8">
        <f>H367</f>
        <v/>
      </c>
      <c r="M367" s="26">
        <f>H367^2/6</f>
        <v/>
      </c>
      <c r="N367" s="26">
        <f>H367^3/12</f>
        <v/>
      </c>
      <c r="O367" s="27">
        <f>-J367*L367*K367*C367</f>
        <v/>
      </c>
      <c r="P367" s="28">
        <f>-(12*F367*J367*L367*N367+12*O367*N367*G367*COS(RADIANS(E367)))/(12*N367*G367*COS(RADIANS(E367))^2+L367*G367^3*SIN(RADIANS(E367))^2)</f>
        <v/>
      </c>
      <c r="Q367" s="28">
        <f>-(6*F367*J367*L367*N367*SIN(RADIANS(E367))+6*O367*N367*G367*SIN(RADIANS(E367))*COS(RADIANS(E367)))/(12*N367*COS(RADIANS(E367))^2+L367*G367^2*SIN(RADIANS(E367))^2)</f>
        <v/>
      </c>
      <c r="R367" s="28">
        <f>-P367*SIN(RADIANS(E367))</f>
        <v/>
      </c>
      <c r="S367" s="8">
        <f>(O367+P367*COS(RADIANS(E367)))/L367</f>
        <v/>
      </c>
      <c r="T367" s="8">
        <f>R367/L367</f>
        <v/>
      </c>
      <c r="U367" s="8">
        <f>(Q367-P367*G367*SIN(RADIANS(E367)))/M367</f>
        <v/>
      </c>
      <c r="V367" s="8">
        <f>SQRT((S367+U367)^2+3*T367^2)</f>
        <v/>
      </c>
      <c r="W367" s="8">
        <f>V367/AA367</f>
        <v/>
      </c>
      <c r="X367" s="27">
        <f>((3*10+H367/COS(RADIANS(E367)))*(3+3)+3*G367*H367)*2</f>
        <v/>
      </c>
      <c r="Y367" s="28">
        <f>Z367/X367</f>
        <v/>
      </c>
      <c r="Z367" s="29" t="n">
        <v>644.229043685518</v>
      </c>
      <c r="AA367" s="20" t="n">
        <v>91.2171453361715</v>
      </c>
      <c r="AB367" t="n">
        <v>0.1087917473795489</v>
      </c>
      <c r="AC367" t="n">
        <v>86.61591784009067</v>
      </c>
      <c r="AD367" t="n">
        <v>17.40225611919196</v>
      </c>
    </row>
    <row r="368">
      <c r="A368" t="n">
        <v>367</v>
      </c>
      <c r="B368" t="n">
        <v>59.1</v>
      </c>
      <c r="C368" s="21">
        <f>B368-20</f>
        <v/>
      </c>
      <c r="D368" t="n">
        <v>121.9</v>
      </c>
      <c r="E368" s="22">
        <f>D368-90</f>
        <v/>
      </c>
      <c r="F368" s="23" t="n">
        <v>0.010848</v>
      </c>
      <c r="G368" s="22" t="n">
        <v>21.6</v>
      </c>
      <c r="H368" s="22" t="n">
        <v>1.1</v>
      </c>
      <c r="I368" s="24" t="n">
        <v>0.0518490262329578</v>
      </c>
      <c r="J368" s="6" t="n">
        <v>71000</v>
      </c>
      <c r="K368" s="25">
        <f>23*10^-6</f>
        <v/>
      </c>
      <c r="L368" s="8">
        <f>H368</f>
        <v/>
      </c>
      <c r="M368" s="26">
        <f>H368^2/6</f>
        <v/>
      </c>
      <c r="N368" s="26">
        <f>H368^3/12</f>
        <v/>
      </c>
      <c r="O368" s="27">
        <f>-J368*L368*K368*C368</f>
        <v/>
      </c>
      <c r="P368" s="28">
        <f>-(12*F368*J368*L368*N368+12*O368*N368*G368*COS(RADIANS(E368)))/(12*N368*G368*COS(RADIANS(E368))^2+L368*G368^3*SIN(RADIANS(E368))^2)</f>
        <v/>
      </c>
      <c r="Q368" s="28">
        <f>-(6*F368*J368*L368*N368*SIN(RADIANS(E368))+6*O368*N368*G368*SIN(RADIANS(E368))*COS(RADIANS(E368)))/(12*N368*COS(RADIANS(E368))^2+L368*G368^2*SIN(RADIANS(E368))^2)</f>
        <v/>
      </c>
      <c r="R368" s="28">
        <f>-P368*SIN(RADIANS(E368))</f>
        <v/>
      </c>
      <c r="S368" s="8">
        <f>(O368+P368*COS(RADIANS(E368)))/L368</f>
        <v/>
      </c>
      <c r="T368" s="8">
        <f>R368/L368</f>
        <v/>
      </c>
      <c r="U368" s="8">
        <f>(Q368-P368*G368*SIN(RADIANS(E368)))/M368</f>
        <v/>
      </c>
      <c r="V368" s="8">
        <f>SQRT((S368+U368)^2+3*T368^2)</f>
        <v/>
      </c>
      <c r="W368" s="8">
        <f>V368/AA368</f>
        <v/>
      </c>
      <c r="X368" s="27">
        <f>((3*10+H368/COS(RADIANS(E368)))*(3+3)+3*G368*H368)*2</f>
        <v/>
      </c>
      <c r="Y368" s="28">
        <f>Z368/X368</f>
        <v/>
      </c>
      <c r="Z368" s="29" t="n">
        <v>525.811345031595</v>
      </c>
      <c r="AA368" s="20" t="n">
        <v>54.9379143943587</v>
      </c>
      <c r="AB368" t="n">
        <v>0.05378238210546567</v>
      </c>
      <c r="AC368" t="n">
        <v>56.7779533153556</v>
      </c>
      <c r="AD368" t="n">
        <v>3.728818095486121</v>
      </c>
    </row>
    <row r="369">
      <c r="A369" t="n">
        <v>368</v>
      </c>
      <c r="B369" t="n">
        <v>57.7</v>
      </c>
      <c r="C369" s="21">
        <f>B369-20</f>
        <v/>
      </c>
      <c r="D369" t="n">
        <v>107.3</v>
      </c>
      <c r="E369" s="22">
        <f>D369-90</f>
        <v/>
      </c>
      <c r="F369" s="23" t="n">
        <v>0.015258</v>
      </c>
      <c r="G369" s="22" t="n">
        <v>30.9</v>
      </c>
      <c r="H369" s="22" t="n">
        <v>1.6</v>
      </c>
      <c r="I369" s="24" t="n">
        <v>0.0974093750119209</v>
      </c>
      <c r="J369" s="6" t="n">
        <v>71000</v>
      </c>
      <c r="K369" s="25">
        <f>23*10^-6</f>
        <v/>
      </c>
      <c r="L369" s="8">
        <f>H369</f>
        <v/>
      </c>
      <c r="M369" s="26">
        <f>H369^2/6</f>
        <v/>
      </c>
      <c r="N369" s="26">
        <f>H369^3/12</f>
        <v/>
      </c>
      <c r="O369" s="27">
        <f>-J369*L369*K369*C369</f>
        <v/>
      </c>
      <c r="P369" s="28">
        <f>-(12*F369*J369*L369*N369+12*O369*N369*G369*COS(RADIANS(E369)))/(12*N369*G369*COS(RADIANS(E369))^2+L369*G369^3*SIN(RADIANS(E369))^2)</f>
        <v/>
      </c>
      <c r="Q369" s="28">
        <f>-(6*F369*J369*L369*N369*SIN(RADIANS(E369))+6*O369*N369*G369*SIN(RADIANS(E369))*COS(RADIANS(E369)))/(12*N369*COS(RADIANS(E369))^2+L369*G369^2*SIN(RADIANS(E369))^2)</f>
        <v/>
      </c>
      <c r="R369" s="28">
        <f>-P369*SIN(RADIANS(E369))</f>
        <v/>
      </c>
      <c r="S369" s="8">
        <f>(O369+P369*COS(RADIANS(E369)))/L369</f>
        <v/>
      </c>
      <c r="T369" s="8">
        <f>R369/L369</f>
        <v/>
      </c>
      <c r="U369" s="8">
        <f>(Q369-P369*G369*SIN(RADIANS(E369)))/M369</f>
        <v/>
      </c>
      <c r="V369" s="8">
        <f>SQRT((S369+U369)^2+3*T369^2)</f>
        <v/>
      </c>
      <c r="W369" s="8">
        <f>V369/AA369</f>
        <v/>
      </c>
      <c r="X369" s="27">
        <f>((3*10+H369/COS(RADIANS(E369)))*(3+3)+3*G369*H369)*2</f>
        <v/>
      </c>
      <c r="Y369" s="28">
        <f>Z369/X369</f>
        <v/>
      </c>
      <c r="Z369" s="29" t="n">
        <v>681.3205645577769</v>
      </c>
      <c r="AA369" s="20" t="n">
        <v>59.7721589432437</v>
      </c>
      <c r="AB369" t="n">
        <v>0.1352193069402735</v>
      </c>
      <c r="AC369" t="n">
        <v>60.00383902774422</v>
      </c>
      <c r="AD369" t="n">
        <v>38.81549586343758</v>
      </c>
    </row>
    <row r="370">
      <c r="A370" t="n">
        <v>369</v>
      </c>
      <c r="B370" t="n">
        <v>50.6</v>
      </c>
      <c r="C370" s="21">
        <f>B370-20</f>
        <v/>
      </c>
      <c r="D370" t="n">
        <v>106.1</v>
      </c>
      <c r="E370" s="22">
        <f>D370-90</f>
        <v/>
      </c>
      <c r="F370" s="23" t="n">
        <v>0.01074</v>
      </c>
      <c r="G370" s="22" t="n">
        <v>25.8</v>
      </c>
      <c r="H370" s="22" t="n">
        <v>2</v>
      </c>
      <c r="I370" s="24" t="n">
        <v>0.0718076974153518</v>
      </c>
      <c r="J370" s="6" t="n">
        <v>71000</v>
      </c>
      <c r="K370" s="25">
        <f>23*10^-6</f>
        <v/>
      </c>
      <c r="L370" s="8">
        <f>H370</f>
        <v/>
      </c>
      <c r="M370" s="26">
        <f>H370^2/6</f>
        <v/>
      </c>
      <c r="N370" s="26">
        <f>H370^3/12</f>
        <v/>
      </c>
      <c r="O370" s="27">
        <f>-J370*L370*K370*C370</f>
        <v/>
      </c>
      <c r="P370" s="28">
        <f>-(12*F370*J370*L370*N370+12*O370*N370*G370*COS(RADIANS(E370)))/(12*N370*G370*COS(RADIANS(E370))^2+L370*G370^3*SIN(RADIANS(E370))^2)</f>
        <v/>
      </c>
      <c r="Q370" s="28">
        <f>-(6*F370*J370*L370*N370*SIN(RADIANS(E370))+6*O370*N370*G370*SIN(RADIANS(E370))*COS(RADIANS(E370)))/(12*N370*COS(RADIANS(E370))^2+L370*G370^2*SIN(RADIANS(E370))^2)</f>
        <v/>
      </c>
      <c r="R370" s="28">
        <f>-P370*SIN(RADIANS(E370))</f>
        <v/>
      </c>
      <c r="S370" s="8">
        <f>(O370+P370*COS(RADIANS(E370)))/L370</f>
        <v/>
      </c>
      <c r="T370" s="8">
        <f>R370/L370</f>
        <v/>
      </c>
      <c r="U370" s="8">
        <f>(Q370-P370*G370*SIN(RADIANS(E370)))/M370</f>
        <v/>
      </c>
      <c r="V370" s="8">
        <f>SQRT((S370+U370)^2+3*T370^2)</f>
        <v/>
      </c>
      <c r="W370" s="8">
        <f>V370/AA370</f>
        <v/>
      </c>
      <c r="X370" s="27">
        <f>((3*10+H370/COS(RADIANS(E370)))*(3+3)+3*G370*H370)*2</f>
        <v/>
      </c>
      <c r="Y370" s="28">
        <f>Z370/X370</f>
        <v/>
      </c>
      <c r="Z370" s="29" t="n">
        <v>698.993081349486</v>
      </c>
      <c r="AA370" s="20" t="n">
        <v>54.6897461998274</v>
      </c>
      <c r="AB370" t="n">
        <v>0.09557090474506692</v>
      </c>
      <c r="AC370" t="n">
        <v>51.91142189811674</v>
      </c>
      <c r="AD370" t="n">
        <v>33.09284127614261</v>
      </c>
    </row>
    <row r="371">
      <c r="A371" t="n">
        <v>370</v>
      </c>
      <c r="B371" t="n">
        <v>58.8</v>
      </c>
      <c r="C371" s="21">
        <f>B371-20</f>
        <v/>
      </c>
      <c r="D371" t="n">
        <v>128.7</v>
      </c>
      <c r="E371" s="22">
        <f>D371-90</f>
        <v/>
      </c>
      <c r="F371" s="23" t="n">
        <v>0.012354</v>
      </c>
      <c r="G371" s="22" t="n">
        <v>28.1</v>
      </c>
      <c r="H371" s="22" t="n">
        <v>1.8</v>
      </c>
      <c r="I371" s="24" t="n">
        <v>0.0538717396557331</v>
      </c>
      <c r="J371" s="6" t="n">
        <v>71000</v>
      </c>
      <c r="K371" s="25">
        <f>23*10^-6</f>
        <v/>
      </c>
      <c r="L371" s="8">
        <f>H371</f>
        <v/>
      </c>
      <c r="M371" s="26">
        <f>H371^2/6</f>
        <v/>
      </c>
      <c r="N371" s="26">
        <f>H371^3/12</f>
        <v/>
      </c>
      <c r="O371" s="27">
        <f>-J371*L371*K371*C371</f>
        <v/>
      </c>
      <c r="P371" s="28">
        <f>-(12*F371*J371*L371*N371+12*O371*N371*G371*COS(RADIANS(E371)))/(12*N371*G371*COS(RADIANS(E371))^2+L371*G371^3*SIN(RADIANS(E371))^2)</f>
        <v/>
      </c>
      <c r="Q371" s="28">
        <f>-(6*F371*J371*L371*N371*SIN(RADIANS(E371))+6*O371*N371*G371*SIN(RADIANS(E371))*COS(RADIANS(E371)))/(12*N371*COS(RADIANS(E371))^2+L371*G371^2*SIN(RADIANS(E371))^2)</f>
        <v/>
      </c>
      <c r="R371" s="28">
        <f>-P371*SIN(RADIANS(E371))</f>
        <v/>
      </c>
      <c r="S371" s="8">
        <f>(O371+P371*COS(RADIANS(E371)))/L371</f>
        <v/>
      </c>
      <c r="T371" s="8">
        <f>R371/L371</f>
        <v/>
      </c>
      <c r="U371" s="8">
        <f>(Q371-P371*G371*SIN(RADIANS(E371)))/M371</f>
        <v/>
      </c>
      <c r="V371" s="8">
        <f>SQRT((S371+U371)^2+3*T371^2)</f>
        <v/>
      </c>
      <c r="W371" s="8">
        <f>V371/AA371</f>
        <v/>
      </c>
      <c r="X371" s="27">
        <f>((3*10+H371/COS(RADIANS(E371)))*(3+3)+3*G371*H371)*2</f>
        <v/>
      </c>
      <c r="Y371" s="28">
        <f>Z371/X371</f>
        <v/>
      </c>
      <c r="Z371" s="29" t="n">
        <v>701.342926311063</v>
      </c>
      <c r="AA371" s="20" t="n">
        <v>59.5300912415066</v>
      </c>
      <c r="AB371" t="n">
        <v>0.05511149330125008</v>
      </c>
      <c r="AC371" t="n">
        <v>56.57133225492819</v>
      </c>
      <c r="AD371" t="n">
        <v>2.301306127182102</v>
      </c>
    </row>
    <row r="372">
      <c r="A372" t="n">
        <v>371</v>
      </c>
      <c r="B372" t="n">
        <v>52.7</v>
      </c>
      <c r="C372" s="21">
        <f>B372-20</f>
        <v/>
      </c>
      <c r="D372" t="n">
        <v>128.1</v>
      </c>
      <c r="E372" s="22">
        <f>D372-90</f>
        <v/>
      </c>
      <c r="F372" s="23" t="n">
        <v>0.010539</v>
      </c>
      <c r="G372" s="22" t="n">
        <v>28.3</v>
      </c>
      <c r="H372" s="22" t="n">
        <v>1.1</v>
      </c>
      <c r="I372" s="24" t="n">
        <v>0.0458697378635406</v>
      </c>
      <c r="J372" s="6" t="n">
        <v>71000</v>
      </c>
      <c r="K372" s="25">
        <f>23*10^-6</f>
        <v/>
      </c>
      <c r="L372" s="8">
        <f>H372</f>
        <v/>
      </c>
      <c r="M372" s="26">
        <f>H372^2/6</f>
        <v/>
      </c>
      <c r="N372" s="26">
        <f>H372^3/12</f>
        <v/>
      </c>
      <c r="O372" s="27">
        <f>-J372*L372*K372*C372</f>
        <v/>
      </c>
      <c r="P372" s="28">
        <f>-(12*F372*J372*L372*N372+12*O372*N372*G372*COS(RADIANS(E372)))/(12*N372*G372*COS(RADIANS(E372))^2+L372*G372^3*SIN(RADIANS(E372))^2)</f>
        <v/>
      </c>
      <c r="Q372" s="28">
        <f>-(6*F372*J372*L372*N372*SIN(RADIANS(E372))+6*O372*N372*G372*SIN(RADIANS(E372))*COS(RADIANS(E372)))/(12*N372*COS(RADIANS(E372))^2+L372*G372^2*SIN(RADIANS(E372))^2)</f>
        <v/>
      </c>
      <c r="R372" s="28">
        <f>-P372*SIN(RADIANS(E372))</f>
        <v/>
      </c>
      <c r="S372" s="8">
        <f>(O372+P372*COS(RADIANS(E372)))/L372</f>
        <v/>
      </c>
      <c r="T372" s="8">
        <f>R372/L372</f>
        <v/>
      </c>
      <c r="U372" s="8">
        <f>(Q372-P372*G372*SIN(RADIANS(E372)))/M372</f>
        <v/>
      </c>
      <c r="V372" s="8">
        <f>SQRT((S372+U372)^2+3*T372^2)</f>
        <v/>
      </c>
      <c r="W372" s="8">
        <f>V372/AA372</f>
        <v/>
      </c>
      <c r="X372" s="27">
        <f>((3*10+H372/COS(RADIANS(E372)))*(3+3)+3*G372*H372)*2</f>
        <v/>
      </c>
      <c r="Y372" s="28">
        <f>Z372/X372</f>
        <v/>
      </c>
      <c r="Z372" s="29" t="n">
        <v>573.485639096535</v>
      </c>
      <c r="AA372" s="20" t="n">
        <v>43.1414675415313</v>
      </c>
      <c r="AB372" t="n">
        <v>0.04779723765318594</v>
      </c>
      <c r="AC372" t="n">
        <v>46.29620113479787</v>
      </c>
      <c r="AD372" t="n">
        <v>4.202116426694054</v>
      </c>
    </row>
    <row r="373">
      <c r="A373" t="n">
        <v>372</v>
      </c>
      <c r="B373" t="n">
        <v>49.3</v>
      </c>
      <c r="C373" s="21">
        <f>B373-20</f>
        <v/>
      </c>
      <c r="D373" t="n">
        <v>121.9</v>
      </c>
      <c r="E373" s="22">
        <f>D373-90</f>
        <v/>
      </c>
      <c r="F373" s="23" t="n">
        <v>0.010086</v>
      </c>
      <c r="G373" s="22" t="n">
        <v>28.5</v>
      </c>
      <c r="H373" s="22" t="n">
        <v>2</v>
      </c>
      <c r="I373" s="24" t="n">
        <v>0.0462505891919136</v>
      </c>
      <c r="J373" s="6" t="n">
        <v>71000</v>
      </c>
      <c r="K373" s="25">
        <f>23*10^-6</f>
        <v/>
      </c>
      <c r="L373" s="8">
        <f>H373</f>
        <v/>
      </c>
      <c r="M373" s="26">
        <f>H373^2/6</f>
        <v/>
      </c>
      <c r="N373" s="26">
        <f>H373^3/12</f>
        <v/>
      </c>
      <c r="O373" s="27">
        <f>-J373*L373*K373*C373</f>
        <v/>
      </c>
      <c r="P373" s="28">
        <f>-(12*F373*J373*L373*N373+12*O373*N373*G373*COS(RADIANS(E373)))/(12*N373*G373*COS(RADIANS(E373))^2+L373*G373^3*SIN(RADIANS(E373))^2)</f>
        <v/>
      </c>
      <c r="Q373" s="28">
        <f>-(6*F373*J373*L373*N373*SIN(RADIANS(E373))+6*O373*N373*G373*SIN(RADIANS(E373))*COS(RADIANS(E373)))/(12*N373*COS(RADIANS(E373))^2+L373*G373^2*SIN(RADIANS(E373))^2)</f>
        <v/>
      </c>
      <c r="R373" s="28">
        <f>-P373*SIN(RADIANS(E373))</f>
        <v/>
      </c>
      <c r="S373" s="8">
        <f>(O373+P373*COS(RADIANS(E373)))/L373</f>
        <v/>
      </c>
      <c r="T373" s="8">
        <f>R373/L373</f>
        <v/>
      </c>
      <c r="U373" s="8">
        <f>(Q373-P373*G373*SIN(RADIANS(E373)))/M373</f>
        <v/>
      </c>
      <c r="V373" s="8">
        <f>SQRT((S373+U373)^2+3*T373^2)</f>
        <v/>
      </c>
      <c r="W373" s="8">
        <f>V373/AA373</f>
        <v/>
      </c>
      <c r="X373" s="27">
        <f>((3*10+H373/COS(RADIANS(E373)))*(3+3)+3*G373*H373)*2</f>
        <v/>
      </c>
      <c r="Y373" s="28">
        <f>Z373/X373</f>
        <v/>
      </c>
      <c r="Z373" s="29" t="n">
        <v>737.972617315905</v>
      </c>
      <c r="AA373" s="20" t="n">
        <v>47.9225362408672</v>
      </c>
      <c r="AB373" t="n">
        <v>0.05181054896327901</v>
      </c>
      <c r="AC373" t="n">
        <v>44.17882093097164</v>
      </c>
      <c r="AD373" t="n">
        <v>12.02138149698968</v>
      </c>
    </row>
    <row r="374">
      <c r="A374" t="n">
        <v>373</v>
      </c>
      <c r="B374" t="n">
        <v>87.3</v>
      </c>
      <c r="C374" s="21">
        <f>B374-20</f>
        <v/>
      </c>
      <c r="D374" t="n">
        <v>109.5</v>
      </c>
      <c r="E374" s="22">
        <f>D374-90</f>
        <v/>
      </c>
      <c r="F374" s="23" t="n">
        <v>0.022322</v>
      </c>
      <c r="G374" s="22" t="n">
        <v>24.5</v>
      </c>
      <c r="H374" s="22" t="n">
        <v>1.2</v>
      </c>
      <c r="I374" s="24" t="n">
        <v>0.1358133405447</v>
      </c>
      <c r="J374" s="6" t="n">
        <v>71000</v>
      </c>
      <c r="K374" s="25">
        <f>23*10^-6</f>
        <v/>
      </c>
      <c r="L374" s="8">
        <f>H374</f>
        <v/>
      </c>
      <c r="M374" s="26">
        <f>H374^2/6</f>
        <v/>
      </c>
      <c r="N374" s="26">
        <f>H374^3/12</f>
        <v/>
      </c>
      <c r="O374" s="27">
        <f>-J374*L374*K374*C374</f>
        <v/>
      </c>
      <c r="P374" s="28">
        <f>-(12*F374*J374*L374*N374+12*O374*N374*G374*COS(RADIANS(E374)))/(12*N374*G374*COS(RADIANS(E374))^2+L374*G374^3*SIN(RADIANS(E374))^2)</f>
        <v/>
      </c>
      <c r="Q374" s="28">
        <f>-(6*F374*J374*L374*N374*SIN(RADIANS(E374))+6*O374*N374*G374*SIN(RADIANS(E374))*COS(RADIANS(E374)))/(12*N374*COS(RADIANS(E374))^2+L374*G374^2*SIN(RADIANS(E374))^2)</f>
        <v/>
      </c>
      <c r="R374" s="28">
        <f>-P374*SIN(RADIANS(E374))</f>
        <v/>
      </c>
      <c r="S374" s="8">
        <f>(O374+P374*COS(RADIANS(E374)))/L374</f>
        <v/>
      </c>
      <c r="T374" s="8">
        <f>R374/L374</f>
        <v/>
      </c>
      <c r="U374" s="8">
        <f>(Q374-P374*G374*SIN(RADIANS(E374)))/M374</f>
        <v/>
      </c>
      <c r="V374" s="8">
        <f>SQRT((S374+U374)^2+3*T374^2)</f>
        <v/>
      </c>
      <c r="W374" s="8">
        <f>V374/AA374</f>
        <v/>
      </c>
      <c r="X374" s="27">
        <f>((3*10+H374/COS(RADIANS(E374)))*(3+3)+3*G374*H374)*2</f>
        <v/>
      </c>
      <c r="Y374" s="28">
        <f>Z374/X374</f>
        <v/>
      </c>
      <c r="Z374" s="29" t="n">
        <v>556.570219449705</v>
      </c>
      <c r="AA374" s="20" t="n">
        <v>98.729669302188</v>
      </c>
      <c r="AB374" t="n">
        <v>0.1731804777187137</v>
      </c>
      <c r="AC374" t="n">
        <v>103.5780095695048</v>
      </c>
      <c r="AD374" t="n">
        <v>27.51359846105477</v>
      </c>
    </row>
    <row r="375">
      <c r="A375" t="n">
        <v>374</v>
      </c>
      <c r="B375" t="n">
        <v>74.5</v>
      </c>
      <c r="C375" s="21">
        <f>B375-20</f>
        <v/>
      </c>
      <c r="D375" t="n">
        <v>126.5</v>
      </c>
      <c r="E375" s="22">
        <f>D375-90</f>
        <v/>
      </c>
      <c r="F375" s="23" t="n">
        <v>0.015215</v>
      </c>
      <c r="G375" s="22" t="n">
        <v>23</v>
      </c>
      <c r="H375" s="22" t="n">
        <v>1.3</v>
      </c>
      <c r="I375" s="24" t="n">
        <v>0.0690587982535362</v>
      </c>
      <c r="J375" s="6" t="n">
        <v>71000</v>
      </c>
      <c r="K375" s="25">
        <f>23*10^-6</f>
        <v/>
      </c>
      <c r="L375" s="8">
        <f>H375</f>
        <v/>
      </c>
      <c r="M375" s="26">
        <f>H375^2/6</f>
        <v/>
      </c>
      <c r="N375" s="26">
        <f>H375^3/12</f>
        <v/>
      </c>
      <c r="O375" s="27">
        <f>-J375*L375*K375*C375</f>
        <v/>
      </c>
      <c r="P375" s="28">
        <f>-(12*F375*J375*L375*N375+12*O375*N375*G375*COS(RADIANS(E375)))/(12*N375*G375*COS(RADIANS(E375))^2+L375*G375^3*SIN(RADIANS(E375))^2)</f>
        <v/>
      </c>
      <c r="Q375" s="28">
        <f>-(6*F375*J375*L375*N375*SIN(RADIANS(E375))+6*O375*N375*G375*SIN(RADIANS(E375))*COS(RADIANS(E375)))/(12*N375*COS(RADIANS(E375))^2+L375*G375^2*SIN(RADIANS(E375))^2)</f>
        <v/>
      </c>
      <c r="R375" s="28">
        <f>-P375*SIN(RADIANS(E375))</f>
        <v/>
      </c>
      <c r="S375" s="8">
        <f>(O375+P375*COS(RADIANS(E375)))/L375</f>
        <v/>
      </c>
      <c r="T375" s="8">
        <f>R375/L375</f>
        <v/>
      </c>
      <c r="U375" s="8">
        <f>(Q375-P375*G375*SIN(RADIANS(E375)))/M375</f>
        <v/>
      </c>
      <c r="V375" s="8">
        <f>SQRT((S375+U375)^2+3*T375^2)</f>
        <v/>
      </c>
      <c r="W375" s="8">
        <f>V375/AA375</f>
        <v/>
      </c>
      <c r="X375" s="27">
        <f>((3*10+H375/COS(RADIANS(E375)))*(3+3)+3*G375*H375)*2</f>
        <v/>
      </c>
      <c r="Y375" s="28">
        <f>Z375/X375</f>
        <v/>
      </c>
      <c r="Z375" s="29" t="n">
        <v>568.096131132027</v>
      </c>
      <c r="AA375" s="20" t="n">
        <v>78.6869861002866</v>
      </c>
      <c r="AB375" t="n">
        <v>0.06856498621346366</v>
      </c>
      <c r="AC375" t="n">
        <v>78.78288953966144</v>
      </c>
      <c r="AD375" t="n">
        <v>-0.7150602856707731</v>
      </c>
    </row>
    <row r="376">
      <c r="A376" t="n">
        <v>375</v>
      </c>
      <c r="B376" t="n">
        <v>70.90000000000001</v>
      </c>
      <c r="C376" s="21">
        <f>B376-20</f>
        <v/>
      </c>
      <c r="D376" t="n">
        <v>114.5</v>
      </c>
      <c r="E376" s="22">
        <f>D376-90</f>
        <v/>
      </c>
      <c r="F376" s="23" t="n">
        <v>0.020536</v>
      </c>
      <c r="G376" s="22" t="n">
        <v>32.3</v>
      </c>
      <c r="H376" s="22" t="n">
        <v>1.8</v>
      </c>
      <c r="I376" s="24" t="n">
        <v>0.10465532541275</v>
      </c>
      <c r="J376" s="6" t="n">
        <v>71000</v>
      </c>
      <c r="K376" s="25">
        <f>23*10^-6</f>
        <v/>
      </c>
      <c r="L376" s="8">
        <f>H376</f>
        <v/>
      </c>
      <c r="M376" s="26">
        <f>H376^2/6</f>
        <v/>
      </c>
      <c r="N376" s="26">
        <f>H376^3/12</f>
        <v/>
      </c>
      <c r="O376" s="27">
        <f>-J376*L376*K376*C376</f>
        <v/>
      </c>
      <c r="P376" s="28">
        <f>-(12*F376*J376*L376*N376+12*O376*N376*G376*COS(RADIANS(E376)))/(12*N376*G376*COS(RADIANS(E376))^2+L376*G376^3*SIN(RADIANS(E376))^2)</f>
        <v/>
      </c>
      <c r="Q376" s="28">
        <f>-(6*F376*J376*L376*N376*SIN(RADIANS(E376))+6*O376*N376*G376*SIN(RADIANS(E376))*COS(RADIANS(E376)))/(12*N376*COS(RADIANS(E376))^2+L376*G376^2*SIN(RADIANS(E376))^2)</f>
        <v/>
      </c>
      <c r="R376" s="28">
        <f>-P376*SIN(RADIANS(E376))</f>
        <v/>
      </c>
      <c r="S376" s="8">
        <f>(O376+P376*COS(RADIANS(E376)))/L376</f>
        <v/>
      </c>
      <c r="T376" s="8">
        <f>R376/L376</f>
        <v/>
      </c>
      <c r="U376" s="8">
        <f>(Q376-P376*G376*SIN(RADIANS(E376)))/M376</f>
        <v/>
      </c>
      <c r="V376" s="8">
        <f>SQRT((S376+U376)^2+3*T376^2)</f>
        <v/>
      </c>
      <c r="W376" s="8">
        <f>V376/AA376</f>
        <v/>
      </c>
      <c r="X376" s="27">
        <f>((3*10+H376/COS(RADIANS(E376)))*(3+3)+3*G376*H376)*2</f>
        <v/>
      </c>
      <c r="Y376" s="28">
        <f>Z376/X376</f>
        <v/>
      </c>
      <c r="Z376" s="29" t="n">
        <v>738.385652236982</v>
      </c>
      <c r="AA376" s="20" t="n">
        <v>80.6507607082886</v>
      </c>
      <c r="AB376" t="n">
        <v>0.1341023911786273</v>
      </c>
      <c r="AC376" t="n">
        <v>77.92169320553397</v>
      </c>
      <c r="AD376" t="n">
        <v>28.13718809792152</v>
      </c>
    </row>
    <row r="377">
      <c r="A377" t="n">
        <v>376</v>
      </c>
      <c r="B377" t="n">
        <v>83.2</v>
      </c>
      <c r="C377" s="21">
        <f>B377-20</f>
        <v/>
      </c>
      <c r="D377" t="n">
        <v>103.8</v>
      </c>
      <c r="E377" s="22">
        <f>D377-90</f>
        <v/>
      </c>
      <c r="F377" s="23" t="n">
        <v>0.023914</v>
      </c>
      <c r="G377" s="22" t="n">
        <v>28</v>
      </c>
      <c r="H377" s="22" t="n">
        <v>1.3</v>
      </c>
      <c r="I377" s="24" t="n">
        <v>0.182145088911056</v>
      </c>
      <c r="J377" s="6" t="n">
        <v>71000</v>
      </c>
      <c r="K377" s="25">
        <f>23*10^-6</f>
        <v/>
      </c>
      <c r="L377" s="8">
        <f>H377</f>
        <v/>
      </c>
      <c r="M377" s="26">
        <f>H377^2/6</f>
        <v/>
      </c>
      <c r="N377" s="26">
        <f>H377^3/12</f>
        <v/>
      </c>
      <c r="O377" s="27">
        <f>-J377*L377*K377*C377</f>
        <v/>
      </c>
      <c r="P377" s="28">
        <f>-(12*F377*J377*L377*N377+12*O377*N377*G377*COS(RADIANS(E377)))/(12*N377*G377*COS(RADIANS(E377))^2+L377*G377^3*SIN(RADIANS(E377))^2)</f>
        <v/>
      </c>
      <c r="Q377" s="28">
        <f>-(6*F377*J377*L377*N377*SIN(RADIANS(E377))+6*O377*N377*G377*SIN(RADIANS(E377))*COS(RADIANS(E377)))/(12*N377*COS(RADIANS(E377))^2+L377*G377^2*SIN(RADIANS(E377))^2)</f>
        <v/>
      </c>
      <c r="R377" s="28">
        <f>-P377*SIN(RADIANS(E377))</f>
        <v/>
      </c>
      <c r="S377" s="8">
        <f>(O377+P377*COS(RADIANS(E377)))/L377</f>
        <v/>
      </c>
      <c r="T377" s="8">
        <f>R377/L377</f>
        <v/>
      </c>
      <c r="U377" s="8">
        <f>(Q377-P377*G377*SIN(RADIANS(E377)))/M377</f>
        <v/>
      </c>
      <c r="V377" s="8">
        <f>SQRT((S377+U377)^2+3*T377^2)</f>
        <v/>
      </c>
      <c r="W377" s="8">
        <f>V377/AA377</f>
        <v/>
      </c>
      <c r="X377" s="27">
        <f>((3*10+H377/COS(RADIANS(E377)))*(3+3)+3*G377*H377)*2</f>
        <v/>
      </c>
      <c r="Y377" s="28">
        <f>Z377/X377</f>
        <v/>
      </c>
      <c r="Z377" s="29" t="n">
        <v>598.610688561932</v>
      </c>
      <c r="AA377" s="20" t="n">
        <v>96.74260646934459</v>
      </c>
      <c r="AB377" t="n">
        <v>0.2585421465215025</v>
      </c>
      <c r="AC377" t="n">
        <v>102.086594624174</v>
      </c>
      <c r="AD377" t="n">
        <v>41.94296868896218</v>
      </c>
    </row>
    <row r="378">
      <c r="A378" t="n">
        <v>377</v>
      </c>
      <c r="B378" t="n">
        <v>44.6</v>
      </c>
      <c r="C378" s="21">
        <f>B378-20</f>
        <v/>
      </c>
      <c r="D378" t="n">
        <v>129.4</v>
      </c>
      <c r="E378" s="22">
        <f>D378-90</f>
        <v/>
      </c>
      <c r="F378" s="23" t="n">
        <v>0.007252</v>
      </c>
      <c r="G378" s="22" t="n">
        <v>25.7</v>
      </c>
      <c r="H378" s="22" t="n">
        <v>1.5</v>
      </c>
      <c r="I378" s="24" t="n">
        <v>0.031903188675642</v>
      </c>
      <c r="J378" s="6" t="n">
        <v>71000</v>
      </c>
      <c r="K378" s="25">
        <f>23*10^-6</f>
        <v/>
      </c>
      <c r="L378" s="8">
        <f>H378</f>
        <v/>
      </c>
      <c r="M378" s="26">
        <f>H378^2/6</f>
        <v/>
      </c>
      <c r="N378" s="26">
        <f>H378^3/12</f>
        <v/>
      </c>
      <c r="O378" s="27">
        <f>-J378*L378*K378*C378</f>
        <v/>
      </c>
      <c r="P378" s="28">
        <f>-(12*F378*J378*L378*N378+12*O378*N378*G378*COS(RADIANS(E378)))/(12*N378*G378*COS(RADIANS(E378))^2+L378*G378^3*SIN(RADIANS(E378))^2)</f>
        <v/>
      </c>
      <c r="Q378" s="28">
        <f>-(6*F378*J378*L378*N378*SIN(RADIANS(E378))+6*O378*N378*G378*SIN(RADIANS(E378))*COS(RADIANS(E378)))/(12*N378*COS(RADIANS(E378))^2+L378*G378^2*SIN(RADIANS(E378))^2)</f>
        <v/>
      </c>
      <c r="R378" s="28">
        <f>-P378*SIN(RADIANS(E378))</f>
        <v/>
      </c>
      <c r="S378" s="8">
        <f>(O378+P378*COS(RADIANS(E378)))/L378</f>
        <v/>
      </c>
      <c r="T378" s="8">
        <f>R378/L378</f>
        <v/>
      </c>
      <c r="U378" s="8">
        <f>(Q378-P378*G378*SIN(RADIANS(E378)))/M378</f>
        <v/>
      </c>
      <c r="V378" s="8">
        <f>SQRT((S378+U378)^2+3*T378^2)</f>
        <v/>
      </c>
      <c r="W378" s="8">
        <f>V378/AA378</f>
        <v/>
      </c>
      <c r="X378" s="27">
        <f>((3*10+H378/COS(RADIANS(E378)))*(3+3)+3*G378*H378)*2</f>
        <v/>
      </c>
      <c r="Y378" s="28">
        <f>Z378/X378</f>
        <v/>
      </c>
      <c r="Z378" s="29" t="n">
        <v>625.086127375225</v>
      </c>
      <c r="AA378" s="20" t="n">
        <v>35.5080308204095</v>
      </c>
      <c r="AB378" t="n">
        <v>0.03154836069291814</v>
      </c>
      <c r="AC378" t="n">
        <v>35.46697257315601</v>
      </c>
      <c r="AD378" t="n">
        <v>-1.112202251415596</v>
      </c>
    </row>
    <row r="379">
      <c r="A379" t="n">
        <v>378</v>
      </c>
      <c r="B379" t="n">
        <v>73.7</v>
      </c>
      <c r="C379" s="21">
        <f>B379-20</f>
        <v/>
      </c>
      <c r="D379" t="n">
        <v>104.9</v>
      </c>
      <c r="E379" s="22">
        <f>D379-90</f>
        <v/>
      </c>
      <c r="F379" s="23" t="n">
        <v>0.017398</v>
      </c>
      <c r="G379" s="22" t="n">
        <v>23.2</v>
      </c>
      <c r="H379" s="22" t="n">
        <v>1.1</v>
      </c>
      <c r="I379" s="24" t="n">
        <v>0.128178238868713</v>
      </c>
      <c r="J379" s="6" t="n">
        <v>71000</v>
      </c>
      <c r="K379" s="25">
        <f>23*10^-6</f>
        <v/>
      </c>
      <c r="L379" s="8">
        <f>H379</f>
        <v/>
      </c>
      <c r="M379" s="26">
        <f>H379^2/6</f>
        <v/>
      </c>
      <c r="N379" s="26">
        <f>H379^3/12</f>
        <v/>
      </c>
      <c r="O379" s="27">
        <f>-J379*L379*K379*C379</f>
        <v/>
      </c>
      <c r="P379" s="28">
        <f>-(12*F379*J379*L379*N379+12*O379*N379*G379*COS(RADIANS(E379)))/(12*N379*G379*COS(RADIANS(E379))^2+L379*G379^3*SIN(RADIANS(E379))^2)</f>
        <v/>
      </c>
      <c r="Q379" s="28">
        <f>-(6*F379*J379*L379*N379*SIN(RADIANS(E379))+6*O379*N379*G379*SIN(RADIANS(E379))*COS(RADIANS(E379)))/(12*N379*COS(RADIANS(E379))^2+L379*G379^2*SIN(RADIANS(E379))^2)</f>
        <v/>
      </c>
      <c r="R379" s="28">
        <f>-P379*SIN(RADIANS(E379))</f>
        <v/>
      </c>
      <c r="S379" s="8">
        <f>(O379+P379*COS(RADIANS(E379)))/L379</f>
        <v/>
      </c>
      <c r="T379" s="8">
        <f>R379/L379</f>
        <v/>
      </c>
      <c r="U379" s="8">
        <f>(Q379-P379*G379*SIN(RADIANS(E379)))/M379</f>
        <v/>
      </c>
      <c r="V379" s="8">
        <f>SQRT((S379+U379)^2+3*T379^2)</f>
        <v/>
      </c>
      <c r="W379" s="8">
        <f>V379/AA379</f>
        <v/>
      </c>
      <c r="X379" s="27">
        <f>((3*10+H379/COS(RADIANS(E379)))*(3+3)+3*G379*H379)*2</f>
        <v/>
      </c>
      <c r="Y379" s="28">
        <f>Z379/X379</f>
        <v/>
      </c>
      <c r="Z379" s="29" t="n">
        <v>531.047959694525</v>
      </c>
      <c r="AA379" s="20" t="n">
        <v>79.27652874044939</v>
      </c>
      <c r="AB379" t="n">
        <v>0.1712403176705496</v>
      </c>
      <c r="AC379" t="n">
        <v>85.19201521667685</v>
      </c>
      <c r="AD379" t="n">
        <v>33.59546767212417</v>
      </c>
    </row>
    <row r="380">
      <c r="A380" t="n">
        <v>379</v>
      </c>
      <c r="B380" t="n">
        <v>55.7</v>
      </c>
      <c r="C380" s="21">
        <f>B380-20</f>
        <v/>
      </c>
      <c r="D380" t="n">
        <v>108.4</v>
      </c>
      <c r="E380" s="22">
        <f>D380-90</f>
        <v/>
      </c>
      <c r="F380" s="23" t="n">
        <v>0.014027</v>
      </c>
      <c r="G380" s="22" t="n">
        <v>30</v>
      </c>
      <c r="H380" s="22" t="n">
        <v>1.7</v>
      </c>
      <c r="I380" s="24" t="n">
        <v>0.0859753936529159</v>
      </c>
      <c r="J380" s="6" t="n">
        <v>71000</v>
      </c>
      <c r="K380" s="25">
        <f>23*10^-6</f>
        <v/>
      </c>
      <c r="L380" s="8">
        <f>H380</f>
        <v/>
      </c>
      <c r="M380" s="26">
        <f>H380^2/6</f>
        <v/>
      </c>
      <c r="N380" s="26">
        <f>H380^3/12</f>
        <v/>
      </c>
      <c r="O380" s="27">
        <f>-J380*L380*K380*C380</f>
        <v/>
      </c>
      <c r="P380" s="28">
        <f>-(12*F380*J380*L380*N380+12*O380*N380*G380*COS(RADIANS(E380)))/(12*N380*G380*COS(RADIANS(E380))^2+L380*G380^3*SIN(RADIANS(E380))^2)</f>
        <v/>
      </c>
      <c r="Q380" s="28">
        <f>-(6*F380*J380*L380*N380*SIN(RADIANS(E380))+6*O380*N380*G380*SIN(RADIANS(E380))*COS(RADIANS(E380)))/(12*N380*COS(RADIANS(E380))^2+L380*G380^2*SIN(RADIANS(E380))^2)</f>
        <v/>
      </c>
      <c r="R380" s="28">
        <f>-P380*SIN(RADIANS(E380))</f>
        <v/>
      </c>
      <c r="S380" s="8">
        <f>(O380+P380*COS(RADIANS(E380)))/L380</f>
        <v/>
      </c>
      <c r="T380" s="8">
        <f>R380/L380</f>
        <v/>
      </c>
      <c r="U380" s="8">
        <f>(Q380-P380*G380*SIN(RADIANS(E380)))/M380</f>
        <v/>
      </c>
      <c r="V380" s="8">
        <f>SQRT((S380+U380)^2+3*T380^2)</f>
        <v/>
      </c>
      <c r="W380" s="8">
        <f>V380/AA380</f>
        <v/>
      </c>
      <c r="X380" s="27">
        <f>((3*10+H380/COS(RADIANS(E380)))*(3+3)+3*G380*H380)*2</f>
        <v/>
      </c>
      <c r="Y380" s="28">
        <f>Z380/X380</f>
        <v/>
      </c>
      <c r="Z380" s="29" t="n">
        <v>692.225833483045</v>
      </c>
      <c r="AA380" s="20" t="n">
        <v>57.3167687876695</v>
      </c>
      <c r="AB380" t="n">
        <v>0.1166848370833045</v>
      </c>
      <c r="AC380" t="n">
        <v>56.93182926015056</v>
      </c>
      <c r="AD380" t="n">
        <v>35.71887504739218</v>
      </c>
    </row>
    <row r="381">
      <c r="A381" t="n">
        <v>380</v>
      </c>
      <c r="B381" t="n">
        <v>55.1</v>
      </c>
      <c r="C381" s="21">
        <f>B381-20</f>
        <v/>
      </c>
      <c r="D381" t="n">
        <v>122.4</v>
      </c>
      <c r="E381" s="22">
        <f>D381-90</f>
        <v/>
      </c>
      <c r="F381" s="23" t="n">
        <v>0.012097</v>
      </c>
      <c r="G381" s="22" t="n">
        <v>28.7</v>
      </c>
      <c r="H381" s="22" t="n">
        <v>1.3</v>
      </c>
      <c r="I381" s="24" t="n">
        <v>0.0550250075757503</v>
      </c>
      <c r="J381" s="6" t="n">
        <v>71000</v>
      </c>
      <c r="K381" s="25">
        <f>23*10^-6</f>
        <v/>
      </c>
      <c r="L381" s="8">
        <f>H381</f>
        <v/>
      </c>
      <c r="M381" s="26">
        <f>H381^2/6</f>
        <v/>
      </c>
      <c r="N381" s="26">
        <f>H381^3/12</f>
        <v/>
      </c>
      <c r="O381" s="27">
        <f>-J381*L381*K381*C381</f>
        <v/>
      </c>
      <c r="P381" s="28">
        <f>-(12*F381*J381*L381*N381+12*O381*N381*G381*COS(RADIANS(E381)))/(12*N381*G381*COS(RADIANS(E381))^2+L381*G381^3*SIN(RADIANS(E381))^2)</f>
        <v/>
      </c>
      <c r="Q381" s="28">
        <f>-(6*F381*J381*L381*N381*SIN(RADIANS(E381))+6*O381*N381*G381*SIN(RADIANS(E381))*COS(RADIANS(E381)))/(12*N381*COS(RADIANS(E381))^2+L381*G381^2*SIN(RADIANS(E381))^2)</f>
        <v/>
      </c>
      <c r="R381" s="28">
        <f>-P381*SIN(RADIANS(E381))</f>
        <v/>
      </c>
      <c r="S381" s="8">
        <f>(O381+P381*COS(RADIANS(E381)))/L381</f>
        <v/>
      </c>
      <c r="T381" s="8">
        <f>R381/L381</f>
        <v/>
      </c>
      <c r="U381" s="8">
        <f>(Q381-P381*G381*SIN(RADIANS(E381)))/M381</f>
        <v/>
      </c>
      <c r="V381" s="8">
        <f>SQRT((S381+U381)^2+3*T381^2)</f>
        <v/>
      </c>
      <c r="W381" s="8">
        <f>V381/AA381</f>
        <v/>
      </c>
      <c r="X381" s="27">
        <f>((3*10+H381/COS(RADIANS(E381)))*(3+3)+3*G381*H381)*2</f>
        <v/>
      </c>
      <c r="Y381" s="28">
        <f>Z381/X381</f>
        <v/>
      </c>
      <c r="Z381" s="29" t="n">
        <v>610.194837795223</v>
      </c>
      <c r="AA381" s="20" t="n">
        <v>49.7277964427098</v>
      </c>
      <c r="AB381" t="n">
        <v>0.06194797656550684</v>
      </c>
      <c r="AC381" t="n">
        <v>50.88526677902514</v>
      </c>
      <c r="AD381" t="n">
        <v>12.58149575032046</v>
      </c>
    </row>
    <row r="382">
      <c r="A382" t="n">
        <v>381</v>
      </c>
      <c r="B382" t="n">
        <v>61.1</v>
      </c>
      <c r="C382" s="21">
        <f>B382-20</f>
        <v/>
      </c>
      <c r="D382" t="n">
        <v>105.6</v>
      </c>
      <c r="E382" s="22">
        <f>D382-90</f>
        <v/>
      </c>
      <c r="F382" s="23" t="n">
        <v>0.014815</v>
      </c>
      <c r="G382" s="22" t="n">
        <v>26.6</v>
      </c>
      <c r="H382" s="22" t="n">
        <v>1.9</v>
      </c>
      <c r="I382" s="24" t="n">
        <v>0.101395197212696</v>
      </c>
      <c r="J382" s="6" t="n">
        <v>71000</v>
      </c>
      <c r="K382" s="25">
        <f>23*10^-6</f>
        <v/>
      </c>
      <c r="L382" s="8">
        <f>H382</f>
        <v/>
      </c>
      <c r="M382" s="26">
        <f>H382^2/6</f>
        <v/>
      </c>
      <c r="N382" s="26">
        <f>H382^3/12</f>
        <v/>
      </c>
      <c r="O382" s="27">
        <f>-J382*L382*K382*C382</f>
        <v/>
      </c>
      <c r="P382" s="28">
        <f>-(12*F382*J382*L382*N382+12*O382*N382*G382*COS(RADIANS(E382)))/(12*N382*G382*COS(RADIANS(E382))^2+L382*G382^3*SIN(RADIANS(E382))^2)</f>
        <v/>
      </c>
      <c r="Q382" s="28">
        <f>-(6*F382*J382*L382*N382*SIN(RADIANS(E382))+6*O382*N382*G382*SIN(RADIANS(E382))*COS(RADIANS(E382)))/(12*N382*COS(RADIANS(E382))^2+L382*G382^2*SIN(RADIANS(E382))^2)</f>
        <v/>
      </c>
      <c r="R382" s="28">
        <f>-P382*SIN(RADIANS(E382))</f>
        <v/>
      </c>
      <c r="S382" s="8">
        <f>(O382+P382*COS(RADIANS(E382)))/L382</f>
        <v/>
      </c>
      <c r="T382" s="8">
        <f>R382/L382</f>
        <v/>
      </c>
      <c r="U382" s="8">
        <f>(Q382-P382*G382*SIN(RADIANS(E382)))/M382</f>
        <v/>
      </c>
      <c r="V382" s="8">
        <f>SQRT((S382+U382)^2+3*T382^2)</f>
        <v/>
      </c>
      <c r="W382" s="8">
        <f>V382/AA382</f>
        <v/>
      </c>
      <c r="X382" s="27">
        <f>((3*10+H382/COS(RADIANS(E382)))*(3+3)+3*G382*H382)*2</f>
        <v/>
      </c>
      <c r="Y382" s="28">
        <f>Z382/X382</f>
        <v/>
      </c>
      <c r="Z382" s="29" t="n">
        <v>691.263557621331</v>
      </c>
      <c r="AA382" s="20" t="n">
        <v>71.98216588996399</v>
      </c>
      <c r="AB382" t="n">
        <v>0.1373087185273079</v>
      </c>
      <c r="AC382" t="n">
        <v>69.32792965140638</v>
      </c>
      <c r="AD382" t="n">
        <v>35.41935150959498</v>
      </c>
    </row>
    <row r="383">
      <c r="A383" t="n">
        <v>382</v>
      </c>
      <c r="B383" t="n">
        <v>81.5</v>
      </c>
      <c r="C383" s="21">
        <f>B383-20</f>
        <v/>
      </c>
      <c r="D383" t="n">
        <v>104.7</v>
      </c>
      <c r="E383" s="22">
        <f>D383-90</f>
        <v/>
      </c>
      <c r="F383" s="23" t="n">
        <v>0.022788</v>
      </c>
      <c r="G383" s="22" t="n">
        <v>27.4</v>
      </c>
      <c r="H383" s="22" t="n">
        <v>1.6</v>
      </c>
      <c r="I383" s="24" t="n">
        <v>0.164151608943939</v>
      </c>
      <c r="J383" s="6" t="n">
        <v>71000</v>
      </c>
      <c r="K383" s="25">
        <f>23*10^-6</f>
        <v/>
      </c>
      <c r="L383" s="8">
        <f>H383</f>
        <v/>
      </c>
      <c r="M383" s="26">
        <f>H383^2/6</f>
        <v/>
      </c>
      <c r="N383" s="26">
        <f>H383^3/12</f>
        <v/>
      </c>
      <c r="O383" s="27">
        <f>-J383*L383*K383*C383</f>
        <v/>
      </c>
      <c r="P383" s="28">
        <f>-(12*F383*J383*L383*N383+12*O383*N383*G383*COS(RADIANS(E383)))/(12*N383*G383*COS(RADIANS(E383))^2+L383*G383^3*SIN(RADIANS(E383))^2)</f>
        <v/>
      </c>
      <c r="Q383" s="28">
        <f>-(6*F383*J383*L383*N383*SIN(RADIANS(E383))+6*O383*N383*G383*SIN(RADIANS(E383))*COS(RADIANS(E383)))/(12*N383*COS(RADIANS(E383))^2+L383*G383^2*SIN(RADIANS(E383))^2)</f>
        <v/>
      </c>
      <c r="R383" s="28">
        <f>-P383*SIN(RADIANS(E383))</f>
        <v/>
      </c>
      <c r="S383" s="8">
        <f>(O383+P383*COS(RADIANS(E383)))/L383</f>
        <v/>
      </c>
      <c r="T383" s="8">
        <f>R383/L383</f>
        <v/>
      </c>
      <c r="U383" s="8">
        <f>(Q383-P383*G383*SIN(RADIANS(E383)))/M383</f>
        <v/>
      </c>
      <c r="V383" s="8">
        <f>SQRT((S383+U383)^2+3*T383^2)</f>
        <v/>
      </c>
      <c r="W383" s="8">
        <f>V383/AA383</f>
        <v/>
      </c>
      <c r="X383" s="27">
        <f>((3*10+H383/COS(RADIANS(E383)))*(3+3)+3*G383*H383)*2</f>
        <v/>
      </c>
      <c r="Y383" s="28">
        <f>Z383/X383</f>
        <v/>
      </c>
      <c r="Z383" s="29" t="n">
        <v>647.135513208424</v>
      </c>
      <c r="AA383" s="20" t="n">
        <v>100.85621823236</v>
      </c>
      <c r="AB383" t="n">
        <v>0.2280034008031089</v>
      </c>
      <c r="AC383" t="n">
        <v>101.683735769701</v>
      </c>
      <c r="AD383" t="n">
        <v>38.89806031750599</v>
      </c>
    </row>
    <row r="384">
      <c r="A384" t="n">
        <v>383</v>
      </c>
      <c r="B384" t="n">
        <v>59.8</v>
      </c>
      <c r="C384" s="21">
        <f>B384-20</f>
        <v/>
      </c>
      <c r="D384" t="n">
        <v>119.3</v>
      </c>
      <c r="E384" s="22">
        <f>D384-90</f>
        <v/>
      </c>
      <c r="F384" s="23" t="n">
        <v>0.011744</v>
      </c>
      <c r="G384" s="22" t="n">
        <v>22.8</v>
      </c>
      <c r="H384" s="22" t="n">
        <v>1.8</v>
      </c>
      <c r="I384" s="24" t="n">
        <v>0.057535208761692</v>
      </c>
      <c r="J384" s="6" t="n">
        <v>71000</v>
      </c>
      <c r="K384" s="25">
        <f>23*10^-6</f>
        <v/>
      </c>
      <c r="L384" s="8">
        <f>H384</f>
        <v/>
      </c>
      <c r="M384" s="26">
        <f>H384^2/6</f>
        <v/>
      </c>
      <c r="N384" s="26">
        <f>H384^3/12</f>
        <v/>
      </c>
      <c r="O384" s="27">
        <f>-J384*L384*K384*C384</f>
        <v/>
      </c>
      <c r="P384" s="28">
        <f>-(12*F384*J384*L384*N384+12*O384*N384*G384*COS(RADIANS(E384)))/(12*N384*G384*COS(RADIANS(E384))^2+L384*G384^3*SIN(RADIANS(E384))^2)</f>
        <v/>
      </c>
      <c r="Q384" s="28">
        <f>-(6*F384*J384*L384*N384*SIN(RADIANS(E384))+6*O384*N384*G384*SIN(RADIANS(E384))*COS(RADIANS(E384)))/(12*N384*COS(RADIANS(E384))^2+L384*G384^2*SIN(RADIANS(E384))^2)</f>
        <v/>
      </c>
      <c r="R384" s="28">
        <f>-P384*SIN(RADIANS(E384))</f>
        <v/>
      </c>
      <c r="S384" s="8">
        <f>(O384+P384*COS(RADIANS(E384)))/L384</f>
        <v/>
      </c>
      <c r="T384" s="8">
        <f>R384/L384</f>
        <v/>
      </c>
      <c r="U384" s="8">
        <f>(Q384-P384*G384*SIN(RADIANS(E384)))/M384</f>
        <v/>
      </c>
      <c r="V384" s="8">
        <f>SQRT((S384+U384)^2+3*T384^2)</f>
        <v/>
      </c>
      <c r="W384" s="8">
        <f>V384/AA384</f>
        <v/>
      </c>
      <c r="X384" s="27">
        <f>((3*10+H384/COS(RADIANS(E384)))*(3+3)+3*G384*H384)*2</f>
        <v/>
      </c>
      <c r="Y384" s="28">
        <f>Z384/X384</f>
        <v/>
      </c>
      <c r="Z384" s="29" t="n">
        <v>637.963053450344</v>
      </c>
      <c r="AA384" s="20" t="n">
        <v>65.38366431811011</v>
      </c>
      <c r="AB384" t="n">
        <v>0.06221319836640427</v>
      </c>
      <c r="AC384" t="n">
        <v>60.93803191263057</v>
      </c>
      <c r="AD384" t="n">
        <v>8.130655481043402</v>
      </c>
    </row>
    <row r="385">
      <c r="A385" t="n">
        <v>384</v>
      </c>
      <c r="B385" t="n">
        <v>56.3</v>
      </c>
      <c r="C385" s="21">
        <f>B385-20</f>
        <v/>
      </c>
      <c r="D385" t="n">
        <v>112.8</v>
      </c>
      <c r="E385" s="22">
        <f>D385-90</f>
        <v/>
      </c>
      <c r="F385" s="23" t="n">
        <v>0.010265</v>
      </c>
      <c r="G385" s="22" t="n">
        <v>20.4</v>
      </c>
      <c r="H385" s="22" t="n">
        <v>1.5</v>
      </c>
      <c r="I385" s="24" t="n">
        <v>0.0579149611294269</v>
      </c>
      <c r="J385" s="6" t="n">
        <v>71000</v>
      </c>
      <c r="K385" s="25">
        <f>23*10^-6</f>
        <v/>
      </c>
      <c r="L385" s="8">
        <f>H385</f>
        <v/>
      </c>
      <c r="M385" s="26">
        <f>H385^2/6</f>
        <v/>
      </c>
      <c r="N385" s="26">
        <f>H385^3/12</f>
        <v/>
      </c>
      <c r="O385" s="27">
        <f>-J385*L385*K385*C385</f>
        <v/>
      </c>
      <c r="P385" s="28">
        <f>-(12*F385*J385*L385*N385+12*O385*N385*G385*COS(RADIANS(E385)))/(12*N385*G385*COS(RADIANS(E385))^2+L385*G385^3*SIN(RADIANS(E385))^2)</f>
        <v/>
      </c>
      <c r="Q385" s="28">
        <f>-(6*F385*J385*L385*N385*SIN(RADIANS(E385))+6*O385*N385*G385*SIN(RADIANS(E385))*COS(RADIANS(E385)))/(12*N385*COS(RADIANS(E385))^2+L385*G385^2*SIN(RADIANS(E385))^2)</f>
        <v/>
      </c>
      <c r="R385" s="28">
        <f>-P385*SIN(RADIANS(E385))</f>
        <v/>
      </c>
      <c r="S385" s="8">
        <f>(O385+P385*COS(RADIANS(E385)))/L385</f>
        <v/>
      </c>
      <c r="T385" s="8">
        <f>R385/L385</f>
        <v/>
      </c>
      <c r="U385" s="8">
        <f>(Q385-P385*G385*SIN(RADIANS(E385)))/M385</f>
        <v/>
      </c>
      <c r="V385" s="8">
        <f>SQRT((S385+U385)^2+3*T385^2)</f>
        <v/>
      </c>
      <c r="W385" s="8">
        <f>V385/AA385</f>
        <v/>
      </c>
      <c r="X385" s="27">
        <f>((3*10+H385/COS(RADIANS(E385)))*(3+3)+3*G385*H385)*2</f>
        <v/>
      </c>
      <c r="Y385" s="28">
        <f>Z385/X385</f>
        <v/>
      </c>
      <c r="Z385" s="29" t="n">
        <v>568.593536978897</v>
      </c>
      <c r="AA385" s="20" t="n">
        <v>58.2494889260616</v>
      </c>
      <c r="AB385" t="n">
        <v>0.06621371645724206</v>
      </c>
      <c r="AC385" t="n">
        <v>56.85008759538117</v>
      </c>
      <c r="AD385" t="n">
        <v>14.32920814583525</v>
      </c>
    </row>
    <row r="386">
      <c r="A386" t="n">
        <v>385</v>
      </c>
      <c r="B386" t="n">
        <v>86.59999999999999</v>
      </c>
      <c r="C386" s="21">
        <f>B386-20</f>
        <v/>
      </c>
      <c r="D386" t="n">
        <v>106.4</v>
      </c>
      <c r="E386" s="22">
        <f>D386-90</f>
        <v/>
      </c>
      <c r="F386" s="23" t="n">
        <v>0.024512</v>
      </c>
      <c r="G386" s="22" t="n">
        <v>27.4</v>
      </c>
      <c r="H386" s="22" t="n">
        <v>1.2</v>
      </c>
      <c r="I386" s="24" t="n">
        <v>0.165655314922332</v>
      </c>
      <c r="J386" s="6" t="n">
        <v>71000</v>
      </c>
      <c r="K386" s="25">
        <f>23*10^-6</f>
        <v/>
      </c>
      <c r="L386" s="8">
        <f>H386</f>
        <v/>
      </c>
      <c r="M386" s="26">
        <f>H386^2/6</f>
        <v/>
      </c>
      <c r="N386" s="26">
        <f>H386^3/12</f>
        <v/>
      </c>
      <c r="O386" s="27">
        <f>-J386*L386*K386*C386</f>
        <v/>
      </c>
      <c r="P386" s="28">
        <f>-(12*F386*J386*L386*N386+12*O386*N386*G386*COS(RADIANS(E386)))/(12*N386*G386*COS(RADIANS(E386))^2+L386*G386^3*SIN(RADIANS(E386))^2)</f>
        <v/>
      </c>
      <c r="Q386" s="28">
        <f>-(6*F386*J386*L386*N386*SIN(RADIANS(E386))+6*O386*N386*G386*SIN(RADIANS(E386))*COS(RADIANS(E386)))/(12*N386*COS(RADIANS(E386))^2+L386*G386^2*SIN(RADIANS(E386))^2)</f>
        <v/>
      </c>
      <c r="R386" s="28">
        <f>-P386*SIN(RADIANS(E386))</f>
        <v/>
      </c>
      <c r="S386" s="8">
        <f>(O386+P386*COS(RADIANS(E386)))/L386</f>
        <v/>
      </c>
      <c r="T386" s="8">
        <f>R386/L386</f>
        <v/>
      </c>
      <c r="U386" s="8">
        <f>(Q386-P386*G386*SIN(RADIANS(E386)))/M386</f>
        <v/>
      </c>
      <c r="V386" s="8">
        <f>SQRT((S386+U386)^2+3*T386^2)</f>
        <v/>
      </c>
      <c r="W386" s="8">
        <f>V386/AA386</f>
        <v/>
      </c>
      <c r="X386" s="27">
        <f>((3*10+H386/COS(RADIANS(E386)))*(3+3)+3*G386*H386)*2</f>
        <v/>
      </c>
      <c r="Y386" s="28">
        <f>Z386/X386</f>
        <v/>
      </c>
      <c r="Z386" s="29" t="n">
        <v>576.742234221103</v>
      </c>
      <c r="AA386" s="20" t="n">
        <v>98.6013751630795</v>
      </c>
      <c r="AB386" t="n">
        <v>0.2267590038395754</v>
      </c>
      <c r="AC386" t="n">
        <v>103.9779817281367</v>
      </c>
      <c r="AD386" t="n">
        <v>36.88604192741541</v>
      </c>
    </row>
    <row r="387">
      <c r="A387" t="n">
        <v>386</v>
      </c>
      <c r="B387" t="n">
        <v>80.8</v>
      </c>
      <c r="C387" s="21">
        <f>B387-20</f>
        <v/>
      </c>
      <c r="D387" t="n">
        <v>119</v>
      </c>
      <c r="E387" s="22">
        <f>D387-90</f>
        <v/>
      </c>
      <c r="F387" s="23" t="n">
        <v>0.024406</v>
      </c>
      <c r="G387" s="22" t="n">
        <v>33.4</v>
      </c>
      <c r="H387" s="22" t="n">
        <v>1.8</v>
      </c>
      <c r="I387" s="24" t="n">
        <v>0.113760538399219</v>
      </c>
      <c r="J387" s="6" t="n">
        <v>71000</v>
      </c>
      <c r="K387" s="25">
        <f>23*10^-6</f>
        <v/>
      </c>
      <c r="L387" s="8">
        <f>H387</f>
        <v/>
      </c>
      <c r="M387" s="26">
        <f>H387^2/6</f>
        <v/>
      </c>
      <c r="N387" s="26">
        <f>H387^3/12</f>
        <v/>
      </c>
      <c r="O387" s="27">
        <f>-J387*L387*K387*C387</f>
        <v/>
      </c>
      <c r="P387" s="28">
        <f>-(12*F387*J387*L387*N387+12*O387*N387*G387*COS(RADIANS(E387)))/(12*N387*G387*COS(RADIANS(E387))^2+L387*G387^3*SIN(RADIANS(E387))^2)</f>
        <v/>
      </c>
      <c r="Q387" s="28">
        <f>-(6*F387*J387*L387*N387*SIN(RADIANS(E387))+6*O387*N387*G387*SIN(RADIANS(E387))*COS(RADIANS(E387)))/(12*N387*COS(RADIANS(E387))^2+L387*G387^2*SIN(RADIANS(E387))^2)</f>
        <v/>
      </c>
      <c r="R387" s="28">
        <f>-P387*SIN(RADIANS(E387))</f>
        <v/>
      </c>
      <c r="S387" s="8">
        <f>(O387+P387*COS(RADIANS(E387)))/L387</f>
        <v/>
      </c>
      <c r="T387" s="8">
        <f>R387/L387</f>
        <v/>
      </c>
      <c r="U387" s="8">
        <f>(Q387-P387*G387*SIN(RADIANS(E387)))/M387</f>
        <v/>
      </c>
      <c r="V387" s="8">
        <f>SQRT((S387+U387)^2+3*T387^2)</f>
        <v/>
      </c>
      <c r="W387" s="8">
        <f>V387/AA387</f>
        <v/>
      </c>
      <c r="X387" s="27">
        <f>((3*10+H387/COS(RADIANS(E387)))*(3+3)+3*G387*H387)*2</f>
        <v/>
      </c>
      <c r="Y387" s="28">
        <f>Z387/X387</f>
        <v/>
      </c>
      <c r="Z387" s="29" t="n">
        <v>752.2905748806641</v>
      </c>
      <c r="AA387" s="20" t="n">
        <v>93.9030522716327</v>
      </c>
      <c r="AB387" t="n">
        <v>0.1389291081621177</v>
      </c>
      <c r="AC387" t="n">
        <v>90.85261421833219</v>
      </c>
      <c r="AD387" t="n">
        <v>22.12416547693794</v>
      </c>
    </row>
    <row r="388">
      <c r="A388" t="n">
        <v>387</v>
      </c>
      <c r="B388" t="n">
        <v>88.09999999999999</v>
      </c>
      <c r="C388" s="21">
        <f>B388-20</f>
        <v/>
      </c>
      <c r="D388" t="n">
        <v>129.5</v>
      </c>
      <c r="E388" s="22">
        <f>D388-90</f>
        <v/>
      </c>
      <c r="F388" s="23" t="n">
        <v>0.02227</v>
      </c>
      <c r="G388" s="22" t="n">
        <v>29.4</v>
      </c>
      <c r="H388" s="22" t="n">
        <v>1.1</v>
      </c>
      <c r="I388" s="24" t="n">
        <v>0.09583359211683271</v>
      </c>
      <c r="J388" s="6" t="n">
        <v>71000</v>
      </c>
      <c r="K388" s="25">
        <f>23*10^-6</f>
        <v/>
      </c>
      <c r="L388" s="8">
        <f>H388</f>
        <v/>
      </c>
      <c r="M388" s="26">
        <f>H388^2/6</f>
        <v/>
      </c>
      <c r="N388" s="26">
        <f>H388^3/12</f>
        <v/>
      </c>
      <c r="O388" s="27">
        <f>-J388*L388*K388*C388</f>
        <v/>
      </c>
      <c r="P388" s="28">
        <f>-(12*F388*J388*L388*N388+12*O388*N388*G388*COS(RADIANS(E388)))/(12*N388*G388*COS(RADIANS(E388))^2+L388*G388^3*SIN(RADIANS(E388))^2)</f>
        <v/>
      </c>
      <c r="Q388" s="28">
        <f>-(6*F388*J388*L388*N388*SIN(RADIANS(E388))+6*O388*N388*G388*SIN(RADIANS(E388))*COS(RADIANS(E388)))/(12*N388*COS(RADIANS(E388))^2+L388*G388^2*SIN(RADIANS(E388))^2)</f>
        <v/>
      </c>
      <c r="R388" s="28">
        <f>-P388*SIN(RADIANS(E388))</f>
        <v/>
      </c>
      <c r="S388" s="8">
        <f>(O388+P388*COS(RADIANS(E388)))/L388</f>
        <v/>
      </c>
      <c r="T388" s="8">
        <f>R388/L388</f>
        <v/>
      </c>
      <c r="U388" s="8">
        <f>(Q388-P388*G388*SIN(RADIANS(E388)))/M388</f>
        <v/>
      </c>
      <c r="V388" s="8">
        <f>SQRT((S388+U388)^2+3*T388^2)</f>
        <v/>
      </c>
      <c r="W388" s="8">
        <f>V388/AA388</f>
        <v/>
      </c>
      <c r="X388" s="27">
        <f>((3*10+H388/COS(RADIANS(E388)))*(3+3)+3*G388*H388)*2</f>
        <v/>
      </c>
      <c r="Y388" s="28">
        <f>Z388/X388</f>
        <v/>
      </c>
      <c r="Z388" s="29" t="n">
        <v>581.68360195634</v>
      </c>
      <c r="AA388" s="20" t="n">
        <v>88.1647260206726</v>
      </c>
      <c r="AB388" t="n">
        <v>0.09916897184153264</v>
      </c>
      <c r="AC388" t="n">
        <v>96.03552904601651</v>
      </c>
      <c r="AD388" t="n">
        <v>3.480386836208444</v>
      </c>
    </row>
    <row r="389">
      <c r="A389" t="n">
        <v>388</v>
      </c>
      <c r="B389" t="n">
        <v>45.5</v>
      </c>
      <c r="C389" s="21">
        <f>B389-20</f>
        <v/>
      </c>
      <c r="D389" t="n">
        <v>109.9</v>
      </c>
      <c r="E389" s="22">
        <f>D389-90</f>
        <v/>
      </c>
      <c r="F389" s="23" t="n">
        <v>0.010655</v>
      </c>
      <c r="G389" s="22" t="n">
        <v>32.6</v>
      </c>
      <c r="H389" s="22" t="n">
        <v>1.5</v>
      </c>
      <c r="I389" s="24" t="n">
        <v>0.0616626590490341</v>
      </c>
      <c r="J389" s="6" t="n">
        <v>71000</v>
      </c>
      <c r="K389" s="25">
        <f>23*10^-6</f>
        <v/>
      </c>
      <c r="L389" s="8">
        <f>H389</f>
        <v/>
      </c>
      <c r="M389" s="26">
        <f>H389^2/6</f>
        <v/>
      </c>
      <c r="N389" s="26">
        <f>H389^3/12</f>
        <v/>
      </c>
      <c r="O389" s="27">
        <f>-J389*L389*K389*C389</f>
        <v/>
      </c>
      <c r="P389" s="28">
        <f>-(12*F389*J389*L389*N389+12*O389*N389*G389*COS(RADIANS(E389)))/(12*N389*G389*COS(RADIANS(E389))^2+L389*G389^3*SIN(RADIANS(E389))^2)</f>
        <v/>
      </c>
      <c r="Q389" s="28">
        <f>-(6*F389*J389*L389*N389*SIN(RADIANS(E389))+6*O389*N389*G389*SIN(RADIANS(E389))*COS(RADIANS(E389)))/(12*N389*COS(RADIANS(E389))^2+L389*G389^2*SIN(RADIANS(E389))^2)</f>
        <v/>
      </c>
      <c r="R389" s="28">
        <f>-P389*SIN(RADIANS(E389))</f>
        <v/>
      </c>
      <c r="S389" s="8">
        <f>(O389+P389*COS(RADIANS(E389)))/L389</f>
        <v/>
      </c>
      <c r="T389" s="8">
        <f>R389/L389</f>
        <v/>
      </c>
      <c r="U389" s="8">
        <f>(Q389-P389*G389*SIN(RADIANS(E389)))/M389</f>
        <v/>
      </c>
      <c r="V389" s="8">
        <f>SQRT((S389+U389)^2+3*T389^2)</f>
        <v/>
      </c>
      <c r="W389" s="8">
        <f>V389/AA389</f>
        <v/>
      </c>
      <c r="X389" s="27">
        <f>((3*10+H389/COS(RADIANS(E389)))*(3+3)+3*G389*H389)*2</f>
        <v/>
      </c>
      <c r="Y389" s="28">
        <f>Z389/X389</f>
        <v/>
      </c>
      <c r="Z389" s="29" t="n">
        <v>677.5007891566941</v>
      </c>
      <c r="AA389" s="20" t="n">
        <v>38.8672506344861</v>
      </c>
      <c r="AB389" t="n">
        <v>0.08418437066323717</v>
      </c>
      <c r="AC389" t="n">
        <v>39.26322197315878</v>
      </c>
      <c r="AD389" t="n">
        <v>36.52406815005143</v>
      </c>
    </row>
    <row r="390">
      <c r="A390" t="n">
        <v>389</v>
      </c>
      <c r="B390" t="n">
        <v>46.9</v>
      </c>
      <c r="C390" s="21">
        <f>B390-20</f>
        <v/>
      </c>
      <c r="D390" t="n">
        <v>123.4</v>
      </c>
      <c r="E390" s="22">
        <f>D390-90</f>
        <v/>
      </c>
      <c r="F390" s="23" t="n">
        <v>0.008394</v>
      </c>
      <c r="G390" s="22" t="n">
        <v>25.6</v>
      </c>
      <c r="H390" s="22" t="n">
        <v>1.7</v>
      </c>
      <c r="I390" s="24" t="n">
        <v>0.0384823903441429</v>
      </c>
      <c r="J390" s="6" t="n">
        <v>71000</v>
      </c>
      <c r="K390" s="25">
        <f>23*10^-6</f>
        <v/>
      </c>
      <c r="L390" s="8">
        <f>H390</f>
        <v/>
      </c>
      <c r="M390" s="26">
        <f>H390^2/6</f>
        <v/>
      </c>
      <c r="N390" s="26">
        <f>H390^3/12</f>
        <v/>
      </c>
      <c r="O390" s="27">
        <f>-J390*L390*K390*C390</f>
        <v/>
      </c>
      <c r="P390" s="28">
        <f>-(12*F390*J390*L390*N390+12*O390*N390*G390*COS(RADIANS(E390)))/(12*N390*G390*COS(RADIANS(E390))^2+L390*G390^3*SIN(RADIANS(E390))^2)</f>
        <v/>
      </c>
      <c r="Q390" s="28">
        <f>-(6*F390*J390*L390*N390*SIN(RADIANS(E390))+6*O390*N390*G390*SIN(RADIANS(E390))*COS(RADIANS(E390)))/(12*N390*COS(RADIANS(E390))^2+L390*G390^2*SIN(RADIANS(E390))^2)</f>
        <v/>
      </c>
      <c r="R390" s="28">
        <f>-P390*SIN(RADIANS(E390))</f>
        <v/>
      </c>
      <c r="S390" s="8">
        <f>(O390+P390*COS(RADIANS(E390)))/L390</f>
        <v/>
      </c>
      <c r="T390" s="8">
        <f>R390/L390</f>
        <v/>
      </c>
      <c r="U390" s="8">
        <f>(Q390-P390*G390*SIN(RADIANS(E390)))/M390</f>
        <v/>
      </c>
      <c r="V390" s="8">
        <f>SQRT((S390+U390)^2+3*T390^2)</f>
        <v/>
      </c>
      <c r="W390" s="8">
        <f>V390/AA390</f>
        <v/>
      </c>
      <c r="X390" s="27">
        <f>((3*10+H390/COS(RADIANS(E390)))*(3+3)+3*G390*H390)*2</f>
        <v/>
      </c>
      <c r="Y390" s="28">
        <f>Z390/X390</f>
        <v/>
      </c>
      <c r="Z390" s="29" t="n">
        <v>653.736972068511</v>
      </c>
      <c r="AA390" s="20" t="n">
        <v>41.9484939069274</v>
      </c>
      <c r="AB390" t="n">
        <v>0.04103029633660549</v>
      </c>
      <c r="AC390" t="n">
        <v>39.94422381388005</v>
      </c>
      <c r="AD390" t="n">
        <v>6.620966030636377</v>
      </c>
    </row>
    <row r="391">
      <c r="A391" t="n">
        <v>390</v>
      </c>
      <c r="B391" t="n">
        <v>62.9</v>
      </c>
      <c r="C391" s="21">
        <f>B391-20</f>
        <v/>
      </c>
      <c r="D391" t="n">
        <v>124</v>
      </c>
      <c r="E391" s="22">
        <f>D391-90</f>
        <v/>
      </c>
      <c r="F391" s="23" t="n">
        <v>0.012949</v>
      </c>
      <c r="G391" s="22" t="n">
        <v>24.7</v>
      </c>
      <c r="H391" s="22" t="n">
        <v>1.6</v>
      </c>
      <c r="I391" s="24" t="n">
        <v>0.0593404844403266</v>
      </c>
      <c r="J391" s="6" t="n">
        <v>71000</v>
      </c>
      <c r="K391" s="25">
        <f>23*10^-6</f>
        <v/>
      </c>
      <c r="L391" s="8">
        <f>H391</f>
        <v/>
      </c>
      <c r="M391" s="26">
        <f>H391^2/6</f>
        <v/>
      </c>
      <c r="N391" s="26">
        <f>H391^3/12</f>
        <v/>
      </c>
      <c r="O391" s="27">
        <f>-J391*L391*K391*C391</f>
        <v/>
      </c>
      <c r="P391" s="28">
        <f>-(12*F391*J391*L391*N391+12*O391*N391*G391*COS(RADIANS(E391)))/(12*N391*G391*COS(RADIANS(E391))^2+L391*G391^3*SIN(RADIANS(E391))^2)</f>
        <v/>
      </c>
      <c r="Q391" s="28">
        <f>-(6*F391*J391*L391*N391*SIN(RADIANS(E391))+6*O391*N391*G391*SIN(RADIANS(E391))*COS(RADIANS(E391)))/(12*N391*COS(RADIANS(E391))^2+L391*G391^2*SIN(RADIANS(E391))^2)</f>
        <v/>
      </c>
      <c r="R391" s="28">
        <f>-P391*SIN(RADIANS(E391))</f>
        <v/>
      </c>
      <c r="S391" s="8">
        <f>(O391+P391*COS(RADIANS(E391)))/L391</f>
        <v/>
      </c>
      <c r="T391" s="8">
        <f>R391/L391</f>
        <v/>
      </c>
      <c r="U391" s="8">
        <f>(Q391-P391*G391*SIN(RADIANS(E391)))/M391</f>
        <v/>
      </c>
      <c r="V391" s="8">
        <f>SQRT((S391+U391)^2+3*T391^2)</f>
        <v/>
      </c>
      <c r="W391" s="8">
        <f>V391/AA391</f>
        <v/>
      </c>
      <c r="X391" s="27">
        <f>((3*10+H391/COS(RADIANS(E391)))*(3+3)+3*G391*H391)*2</f>
        <v/>
      </c>
      <c r="Y391" s="28">
        <f>Z391/X391</f>
        <v/>
      </c>
      <c r="Z391" s="29" t="n">
        <v>628.66224476101</v>
      </c>
      <c r="AA391" s="20" t="n">
        <v>66.1359895970679</v>
      </c>
      <c r="AB391" t="n">
        <v>0.06212738987378635</v>
      </c>
      <c r="AC391" t="n">
        <v>63.33832423292412</v>
      </c>
      <c r="AD391" t="n">
        <v>4.696465591315309</v>
      </c>
    </row>
    <row r="392">
      <c r="A392" t="n">
        <v>391</v>
      </c>
      <c r="B392" t="n">
        <v>42.9</v>
      </c>
      <c r="C392" s="21">
        <f>B392-20</f>
        <v/>
      </c>
      <c r="D392" t="n">
        <v>119.7</v>
      </c>
      <c r="E392" s="22">
        <f>D392-90</f>
        <v/>
      </c>
      <c r="F392" s="23" t="n">
        <v>0.007372</v>
      </c>
      <c r="G392" s="22" t="n">
        <v>25.6</v>
      </c>
      <c r="H392" s="22" t="n">
        <v>2</v>
      </c>
      <c r="I392" s="24" t="n">
        <v>0.0352893061935901</v>
      </c>
      <c r="J392" s="6" t="n">
        <v>71000</v>
      </c>
      <c r="K392" s="25">
        <f>23*10^-6</f>
        <v/>
      </c>
      <c r="L392" s="8">
        <f>H392</f>
        <v/>
      </c>
      <c r="M392" s="26">
        <f>H392^2/6</f>
        <v/>
      </c>
      <c r="N392" s="26">
        <f>H392^3/12</f>
        <v/>
      </c>
      <c r="O392" s="27">
        <f>-J392*L392*K392*C392</f>
        <v/>
      </c>
      <c r="P392" s="28">
        <f>-(12*F392*J392*L392*N392+12*O392*N392*G392*COS(RADIANS(E392)))/(12*N392*G392*COS(RADIANS(E392))^2+L392*G392^3*SIN(RADIANS(E392))^2)</f>
        <v/>
      </c>
      <c r="Q392" s="28">
        <f>-(6*F392*J392*L392*N392*SIN(RADIANS(E392))+6*O392*N392*G392*SIN(RADIANS(E392))*COS(RADIANS(E392)))/(12*N392*COS(RADIANS(E392))^2+L392*G392^2*SIN(RADIANS(E392))^2)</f>
        <v/>
      </c>
      <c r="R392" s="28">
        <f>-P392*SIN(RADIANS(E392))</f>
        <v/>
      </c>
      <c r="S392" s="8">
        <f>(O392+P392*COS(RADIANS(E392)))/L392</f>
        <v/>
      </c>
      <c r="T392" s="8">
        <f>R392/L392</f>
        <v/>
      </c>
      <c r="U392" s="8">
        <f>(Q392-P392*G392*SIN(RADIANS(E392)))/M392</f>
        <v/>
      </c>
      <c r="V392" s="8">
        <f>SQRT((S392+U392)^2+3*T392^2)</f>
        <v/>
      </c>
      <c r="W392" s="8">
        <f>V392/AA392</f>
        <v/>
      </c>
      <c r="X392" s="27">
        <f>((3*10+H392/COS(RADIANS(E392)))*(3+3)+3*G392*H392)*2</f>
        <v/>
      </c>
      <c r="Y392" s="28">
        <f>Z392/X392</f>
        <v/>
      </c>
      <c r="Z392" s="29" t="n">
        <v>701.892964560747</v>
      </c>
      <c r="AA392" s="20" t="n">
        <v>38.4485201997281</v>
      </c>
      <c r="AB392" t="n">
        <v>0.03932135290527305</v>
      </c>
      <c r="AC392" t="n">
        <v>35.14581499562374</v>
      </c>
      <c r="AD392" t="n">
        <v>11.42568995140893</v>
      </c>
    </row>
    <row r="393">
      <c r="A393" t="n">
        <v>392</v>
      </c>
      <c r="B393" t="n">
        <v>77.3</v>
      </c>
      <c r="C393" s="21">
        <f>B393-20</f>
        <v/>
      </c>
      <c r="D393" t="n">
        <v>110.8</v>
      </c>
      <c r="E393" s="22">
        <f>D393-90</f>
        <v/>
      </c>
      <c r="F393" s="23" t="n">
        <v>0.02175</v>
      </c>
      <c r="G393" s="22" t="n">
        <v>29.2</v>
      </c>
      <c r="H393" s="22" t="n">
        <v>1.5</v>
      </c>
      <c r="I393" s="24" t="n">
        <v>0.123889207839965</v>
      </c>
      <c r="J393" s="6" t="n">
        <v>71000</v>
      </c>
      <c r="K393" s="25">
        <f>23*10^-6</f>
        <v/>
      </c>
      <c r="L393" s="8">
        <f>H393</f>
        <v/>
      </c>
      <c r="M393" s="26">
        <f>H393^2/6</f>
        <v/>
      </c>
      <c r="N393" s="26">
        <f>H393^3/12</f>
        <v/>
      </c>
      <c r="O393" s="27">
        <f>-J393*L393*K393*C393</f>
        <v/>
      </c>
      <c r="P393" s="28">
        <f>-(12*F393*J393*L393*N393+12*O393*N393*G393*COS(RADIANS(E393)))/(12*N393*G393*COS(RADIANS(E393))^2+L393*G393^3*SIN(RADIANS(E393))^2)</f>
        <v/>
      </c>
      <c r="Q393" s="28">
        <f>-(6*F393*J393*L393*N393*SIN(RADIANS(E393))+6*O393*N393*G393*SIN(RADIANS(E393))*COS(RADIANS(E393)))/(12*N393*COS(RADIANS(E393))^2+L393*G393^2*SIN(RADIANS(E393))^2)</f>
        <v/>
      </c>
      <c r="R393" s="28">
        <f>-P393*SIN(RADIANS(E393))</f>
        <v/>
      </c>
      <c r="S393" s="8">
        <f>(O393+P393*COS(RADIANS(E393)))/L393</f>
        <v/>
      </c>
      <c r="T393" s="8">
        <f>R393/L393</f>
        <v/>
      </c>
      <c r="U393" s="8">
        <f>(Q393-P393*G393*SIN(RADIANS(E393)))/M393</f>
        <v/>
      </c>
      <c r="V393" s="8">
        <f>SQRT((S393+U393)^2+3*T393^2)</f>
        <v/>
      </c>
      <c r="W393" s="8">
        <f>V393/AA393</f>
        <v/>
      </c>
      <c r="X393" s="27">
        <f>((3*10+H393/COS(RADIANS(E393)))*(3+3)+3*G393*H393)*2</f>
        <v/>
      </c>
      <c r="Y393" s="28">
        <f>Z393/X393</f>
        <v/>
      </c>
      <c r="Z393" s="29" t="n">
        <v>647.16179199444</v>
      </c>
      <c r="AA393" s="20" t="n">
        <v>87.65085071709321</v>
      </c>
      <c r="AB393" t="n">
        <v>0.1625041615013695</v>
      </c>
      <c r="AC393" t="n">
        <v>88.53881881348093</v>
      </c>
      <c r="AD393" t="n">
        <v>31.16894064839429</v>
      </c>
    </row>
    <row r="394">
      <c r="A394" t="n">
        <v>393</v>
      </c>
      <c r="B394" t="n">
        <v>86.09999999999999</v>
      </c>
      <c r="C394" s="21">
        <f>B394-20</f>
        <v/>
      </c>
      <c r="D394" t="n">
        <v>108.1</v>
      </c>
      <c r="E394" s="22">
        <f>D394-90</f>
        <v/>
      </c>
      <c r="F394" s="23" t="n">
        <v>0.025507</v>
      </c>
      <c r="G394" s="22" t="n">
        <v>29.3</v>
      </c>
      <c r="H394" s="22" t="n">
        <v>1.8</v>
      </c>
      <c r="I394" s="24" t="n">
        <v>0.158045291900634</v>
      </c>
      <c r="J394" s="6" t="n">
        <v>71000</v>
      </c>
      <c r="K394" s="25">
        <f>23*10^-6</f>
        <v/>
      </c>
      <c r="L394" s="8">
        <f>H394</f>
        <v/>
      </c>
      <c r="M394" s="26">
        <f>H394^2/6</f>
        <v/>
      </c>
      <c r="N394" s="26">
        <f>H394^3/12</f>
        <v/>
      </c>
      <c r="O394" s="27">
        <f>-J394*L394*K394*C394</f>
        <v/>
      </c>
      <c r="P394" s="28">
        <f>-(12*F394*J394*L394*N394+12*O394*N394*G394*COS(RADIANS(E394)))/(12*N394*G394*COS(RADIANS(E394))^2+L394*G394^3*SIN(RADIANS(E394))^2)</f>
        <v/>
      </c>
      <c r="Q394" s="28">
        <f>-(6*F394*J394*L394*N394*SIN(RADIANS(E394))+6*O394*N394*G394*SIN(RADIANS(E394))*COS(RADIANS(E394)))/(12*N394*COS(RADIANS(E394))^2+L394*G394^2*SIN(RADIANS(E394))^2)</f>
        <v/>
      </c>
      <c r="R394" s="28">
        <f>-P394*SIN(RADIANS(E394))</f>
        <v/>
      </c>
      <c r="S394" s="8">
        <f>(O394+P394*COS(RADIANS(E394)))/L394</f>
        <v/>
      </c>
      <c r="T394" s="8">
        <f>R394/L394</f>
        <v/>
      </c>
      <c r="U394" s="8">
        <f>(Q394-P394*G394*SIN(RADIANS(E394)))/M394</f>
        <v/>
      </c>
      <c r="V394" s="8">
        <f>SQRT((S394+U394)^2+3*T394^2)</f>
        <v/>
      </c>
      <c r="W394" s="8">
        <f>V394/AA394</f>
        <v/>
      </c>
      <c r="X394" s="27">
        <f>((3*10+H394/COS(RADIANS(E394)))*(3+3)+3*G394*H394)*2</f>
        <v/>
      </c>
      <c r="Y394" s="28">
        <f>Z394/X394</f>
        <v/>
      </c>
      <c r="Z394" s="29" t="n">
        <v>703.847585505135</v>
      </c>
      <c r="AA394" s="20" t="n">
        <v>109.139633440834</v>
      </c>
      <c r="AB394" t="n">
        <v>0.2135802724188408</v>
      </c>
      <c r="AC394" t="n">
        <v>106.8012210294583</v>
      </c>
      <c r="AD394" t="n">
        <v>35.13864908618899</v>
      </c>
    </row>
    <row r="395">
      <c r="A395" t="n">
        <v>394</v>
      </c>
      <c r="B395" t="n">
        <v>51.8</v>
      </c>
      <c r="C395" s="21">
        <f>B395-20</f>
        <v/>
      </c>
      <c r="D395" t="n">
        <v>109.4</v>
      </c>
      <c r="E395" s="22">
        <f>D395-90</f>
        <v/>
      </c>
      <c r="F395" s="23" t="n">
        <v>0.011031</v>
      </c>
      <c r="G395" s="22" t="n">
        <v>25.9</v>
      </c>
      <c r="H395" s="22" t="n">
        <v>1.2</v>
      </c>
      <c r="I395" s="24" t="n">
        <v>0.06689275056123729</v>
      </c>
      <c r="J395" s="6" t="n">
        <v>71000</v>
      </c>
      <c r="K395" s="25">
        <f>23*10^-6</f>
        <v/>
      </c>
      <c r="L395" s="8">
        <f>H395</f>
        <v/>
      </c>
      <c r="M395" s="26">
        <f>H395^2/6</f>
        <v/>
      </c>
      <c r="N395" s="26">
        <f>H395^3/12</f>
        <v/>
      </c>
      <c r="O395" s="27">
        <f>-J395*L395*K395*C395</f>
        <v/>
      </c>
      <c r="P395" s="28">
        <f>-(12*F395*J395*L395*N395+12*O395*N395*G395*COS(RADIANS(E395)))/(12*N395*G395*COS(RADIANS(E395))^2+L395*G395^3*SIN(RADIANS(E395))^2)</f>
        <v/>
      </c>
      <c r="Q395" s="28">
        <f>-(6*F395*J395*L395*N395*SIN(RADIANS(E395))+6*O395*N395*G395*SIN(RADIANS(E395))*COS(RADIANS(E395)))/(12*N395*COS(RADIANS(E395))^2+L395*G395^2*SIN(RADIANS(E395))^2)</f>
        <v/>
      </c>
      <c r="R395" s="28">
        <f>-P395*SIN(RADIANS(E395))</f>
        <v/>
      </c>
      <c r="S395" s="8">
        <f>(O395+P395*COS(RADIANS(E395)))/L395</f>
        <v/>
      </c>
      <c r="T395" s="8">
        <f>R395/L395</f>
        <v/>
      </c>
      <c r="U395" s="8">
        <f>(Q395-P395*G395*SIN(RADIANS(E395)))/M395</f>
        <v/>
      </c>
      <c r="V395" s="8">
        <f>SQRT((S395+U395)^2+3*T395^2)</f>
        <v/>
      </c>
      <c r="W395" s="8">
        <f>V395/AA395</f>
        <v/>
      </c>
      <c r="X395" s="27">
        <f>((3*10+H395/COS(RADIANS(E395)))*(3+3)+3*G395*H395)*2</f>
        <v/>
      </c>
      <c r="Y395" s="28">
        <f>Z395/X395</f>
        <v/>
      </c>
      <c r="Z395" s="29" t="n">
        <v>566.625119590463</v>
      </c>
      <c r="AA395" s="20" t="n">
        <v>46.3960702617913</v>
      </c>
      <c r="AB395" t="n">
        <v>0.08678588335849544</v>
      </c>
      <c r="AC395" t="n">
        <v>48.7738763935407</v>
      </c>
      <c r="AD395" t="n">
        <v>29.73884708036766</v>
      </c>
    </row>
    <row r="396">
      <c r="A396" t="n">
        <v>395</v>
      </c>
      <c r="B396" t="n">
        <v>65.90000000000001</v>
      </c>
      <c r="C396" s="21">
        <f>B396-20</f>
        <v/>
      </c>
      <c r="D396" t="n">
        <v>126.9</v>
      </c>
      <c r="E396" s="22">
        <f>D396-90</f>
        <v/>
      </c>
      <c r="F396" s="23" t="n">
        <v>0.012052</v>
      </c>
      <c r="G396" s="22" t="n">
        <v>21.3</v>
      </c>
      <c r="H396" s="22" t="n">
        <v>1.5</v>
      </c>
      <c r="I396" s="24" t="n">
        <v>0.0552607253193855</v>
      </c>
      <c r="J396" s="6" t="n">
        <v>71000</v>
      </c>
      <c r="K396" s="25">
        <f>23*10^-6</f>
        <v/>
      </c>
      <c r="L396" s="8">
        <f>H396</f>
        <v/>
      </c>
      <c r="M396" s="26">
        <f>H396^2/6</f>
        <v/>
      </c>
      <c r="N396" s="26">
        <f>H396^3/12</f>
        <v/>
      </c>
      <c r="O396" s="27">
        <f>-J396*L396*K396*C396</f>
        <v/>
      </c>
      <c r="P396" s="28">
        <f>-(12*F396*J396*L396*N396+12*O396*N396*G396*COS(RADIANS(E396)))/(12*N396*G396*COS(RADIANS(E396))^2+L396*G396^3*SIN(RADIANS(E396))^2)</f>
        <v/>
      </c>
      <c r="Q396" s="28">
        <f>-(6*F396*J396*L396*N396*SIN(RADIANS(E396))+6*O396*N396*G396*SIN(RADIANS(E396))*COS(RADIANS(E396)))/(12*N396*COS(RADIANS(E396))^2+L396*G396^2*SIN(RADIANS(E396))^2)</f>
        <v/>
      </c>
      <c r="R396" s="28">
        <f>-P396*SIN(RADIANS(E396))</f>
        <v/>
      </c>
      <c r="S396" s="8">
        <f>(O396+P396*COS(RADIANS(E396)))/L396</f>
        <v/>
      </c>
      <c r="T396" s="8">
        <f>R396/L396</f>
        <v/>
      </c>
      <c r="U396" s="8">
        <f>(Q396-P396*G396*SIN(RADIANS(E396)))/M396</f>
        <v/>
      </c>
      <c r="V396" s="8">
        <f>SQRT((S396+U396)^2+3*T396^2)</f>
        <v/>
      </c>
      <c r="W396" s="8">
        <f>V396/AA396</f>
        <v/>
      </c>
      <c r="X396" s="27">
        <f>((3*10+H396/COS(RADIANS(E396)))*(3+3)+3*G396*H396)*2</f>
        <v/>
      </c>
      <c r="Y396" s="28">
        <f>Z396/X396</f>
        <v/>
      </c>
      <c r="Z396" s="29" t="n">
        <v>583.654331832852</v>
      </c>
      <c r="AA396" s="20" t="n">
        <v>70.14552104627199</v>
      </c>
      <c r="AB396" t="n">
        <v>0.05295790809249686</v>
      </c>
      <c r="AC396" t="n">
        <v>67.14270436411827</v>
      </c>
      <c r="AD396" t="n">
        <v>-4.167186032357081</v>
      </c>
    </row>
    <row r="397">
      <c r="A397" t="n">
        <v>396</v>
      </c>
      <c r="B397" t="n">
        <v>63.9</v>
      </c>
      <c r="C397" s="21">
        <f>B397-20</f>
        <v/>
      </c>
      <c r="D397" t="n">
        <v>124</v>
      </c>
      <c r="E397" s="22">
        <f>D397-90</f>
        <v/>
      </c>
      <c r="F397" s="23" t="n">
        <v>0.014039</v>
      </c>
      <c r="G397" s="22" t="n">
        <v>26.6</v>
      </c>
      <c r="H397" s="22" t="n">
        <v>1.1</v>
      </c>
      <c r="I397" s="24" t="n">
        <v>0.0634964182972908</v>
      </c>
      <c r="J397" s="6" t="n">
        <v>71000</v>
      </c>
      <c r="K397" s="25">
        <f>23*10^-6</f>
        <v/>
      </c>
      <c r="L397" s="8">
        <f>H397</f>
        <v/>
      </c>
      <c r="M397" s="26">
        <f>H397^2/6</f>
        <v/>
      </c>
      <c r="N397" s="26">
        <f>H397^3/12</f>
        <v/>
      </c>
      <c r="O397" s="27">
        <f>-J397*L397*K397*C397</f>
        <v/>
      </c>
      <c r="P397" s="28">
        <f>-(12*F397*J397*L397*N397+12*O397*N397*G397*COS(RADIANS(E397)))/(12*N397*G397*COS(RADIANS(E397))^2+L397*G397^3*SIN(RADIANS(E397))^2)</f>
        <v/>
      </c>
      <c r="Q397" s="28">
        <f>-(6*F397*J397*L397*N397*SIN(RADIANS(E397))+6*O397*N397*G397*SIN(RADIANS(E397))*COS(RADIANS(E397)))/(12*N397*COS(RADIANS(E397))^2+L397*G397^2*SIN(RADIANS(E397))^2)</f>
        <v/>
      </c>
      <c r="R397" s="28">
        <f>-P397*SIN(RADIANS(E397))</f>
        <v/>
      </c>
      <c r="S397" s="8">
        <f>(O397+P397*COS(RADIANS(E397)))/L397</f>
        <v/>
      </c>
      <c r="T397" s="8">
        <f>R397/L397</f>
        <v/>
      </c>
      <c r="U397" s="8">
        <f>(Q397-P397*G397*SIN(RADIANS(E397)))/M397</f>
        <v/>
      </c>
      <c r="V397" s="8">
        <f>SQRT((S397+U397)^2+3*T397^2)</f>
        <v/>
      </c>
      <c r="W397" s="8">
        <f>V397/AA397</f>
        <v/>
      </c>
      <c r="X397" s="27">
        <f>((3*10+H397/COS(RADIANS(E397)))*(3+3)+3*G397*H397)*2</f>
        <v/>
      </c>
      <c r="Y397" s="28">
        <f>Z397/X397</f>
        <v/>
      </c>
      <c r="Z397" s="29" t="n">
        <v>559.864937069987</v>
      </c>
      <c r="AA397" s="20" t="n">
        <v>59.4219251749389</v>
      </c>
      <c r="AB397" t="n">
        <v>0.06855053989603567</v>
      </c>
      <c r="AC397" t="n">
        <v>62.87356853999789</v>
      </c>
      <c r="AD397" t="n">
        <v>7.959695576971641</v>
      </c>
    </row>
    <row r="398">
      <c r="A398" t="n">
        <v>397</v>
      </c>
      <c r="B398" t="n">
        <v>44.3</v>
      </c>
      <c r="C398" s="21">
        <f>B398-20</f>
        <v/>
      </c>
      <c r="D398" t="n">
        <v>103.4</v>
      </c>
      <c r="E398" s="22">
        <f>D398-90</f>
        <v/>
      </c>
      <c r="F398" s="23" t="n">
        <v>0.007564</v>
      </c>
      <c r="G398" s="22" t="n">
        <v>21.9</v>
      </c>
      <c r="H398" s="22" t="n">
        <v>1.8</v>
      </c>
      <c r="I398" s="24" t="n">
        <v>0.0572003349661827</v>
      </c>
      <c r="J398" s="6" t="n">
        <v>71000</v>
      </c>
      <c r="K398" s="25">
        <f>23*10^-6</f>
        <v/>
      </c>
      <c r="L398" s="8">
        <f>H398</f>
        <v/>
      </c>
      <c r="M398" s="26">
        <f>H398^2/6</f>
        <v/>
      </c>
      <c r="N398" s="26">
        <f>H398^3/12</f>
        <v/>
      </c>
      <c r="O398" s="27">
        <f>-J398*L398*K398*C398</f>
        <v/>
      </c>
      <c r="P398" s="28">
        <f>-(12*F398*J398*L398*N398+12*O398*N398*G398*COS(RADIANS(E398)))/(12*N398*G398*COS(RADIANS(E398))^2+L398*G398^3*SIN(RADIANS(E398))^2)</f>
        <v/>
      </c>
      <c r="Q398" s="28">
        <f>-(6*F398*J398*L398*N398*SIN(RADIANS(E398))+6*O398*N398*G398*SIN(RADIANS(E398))*COS(RADIANS(E398)))/(12*N398*COS(RADIANS(E398))^2+L398*G398^2*SIN(RADIANS(E398))^2)</f>
        <v/>
      </c>
      <c r="R398" s="28">
        <f>-P398*SIN(RADIANS(E398))</f>
        <v/>
      </c>
      <c r="S398" s="8">
        <f>(O398+P398*COS(RADIANS(E398)))/L398</f>
        <v/>
      </c>
      <c r="T398" s="8">
        <f>R398/L398</f>
        <v/>
      </c>
      <c r="U398" s="8">
        <f>(Q398-P398*G398*SIN(RADIANS(E398)))/M398</f>
        <v/>
      </c>
      <c r="V398" s="8">
        <f>SQRT((S398+U398)^2+3*T398^2)</f>
        <v/>
      </c>
      <c r="W398" s="8">
        <f>V398/AA398</f>
        <v/>
      </c>
      <c r="X398" s="27">
        <f>((3*10+H398/COS(RADIANS(E398)))*(3+3)+3*G398*H398)*2</f>
        <v/>
      </c>
      <c r="Y398" s="28">
        <f>Z398/X398</f>
        <v/>
      </c>
      <c r="Z398" s="29" t="n">
        <v>622.8297917386139</v>
      </c>
      <c r="AA398" s="20" t="n">
        <v>47.6192186078611</v>
      </c>
      <c r="AB398" t="n">
        <v>0.07537808174080071</v>
      </c>
      <c r="AC398" t="n">
        <v>42.38573015535908</v>
      </c>
      <c r="AD398" t="n">
        <v>31.77909147798669</v>
      </c>
    </row>
    <row r="399">
      <c r="A399" t="n">
        <v>398</v>
      </c>
      <c r="B399" t="n">
        <v>87.2</v>
      </c>
      <c r="C399" s="21">
        <f>B399-20</f>
        <v/>
      </c>
      <c r="D399" t="n">
        <v>113.5</v>
      </c>
      <c r="E399" s="22">
        <f>D399-90</f>
        <v/>
      </c>
      <c r="F399" s="23" t="n">
        <v>0.025954</v>
      </c>
      <c r="G399" s="22" t="n">
        <v>30.4</v>
      </c>
      <c r="H399" s="22" t="n">
        <v>1.7</v>
      </c>
      <c r="I399" s="24" t="n">
        <v>0.136487141251564</v>
      </c>
      <c r="J399" s="6" t="n">
        <v>71000</v>
      </c>
      <c r="K399" s="25">
        <f>23*10^-6</f>
        <v/>
      </c>
      <c r="L399" s="8">
        <f>H399</f>
        <v/>
      </c>
      <c r="M399" s="26">
        <f>H399^2/6</f>
        <v/>
      </c>
      <c r="N399" s="26">
        <f>H399^3/12</f>
        <v/>
      </c>
      <c r="O399" s="27">
        <f>-J399*L399*K399*C399</f>
        <v/>
      </c>
      <c r="P399" s="28">
        <f>-(12*F399*J399*L399*N399+12*O399*N399*G399*COS(RADIANS(E399)))/(12*N399*G399*COS(RADIANS(E399))^2+L399*G399^3*SIN(RADIANS(E399))^2)</f>
        <v/>
      </c>
      <c r="Q399" s="28">
        <f>-(6*F399*J399*L399*N399*SIN(RADIANS(E399))+6*O399*N399*G399*SIN(RADIANS(E399))*COS(RADIANS(E399)))/(12*N399*COS(RADIANS(E399))^2+L399*G399^2*SIN(RADIANS(E399))^2)</f>
        <v/>
      </c>
      <c r="R399" s="28">
        <f>-P399*SIN(RADIANS(E399))</f>
        <v/>
      </c>
      <c r="S399" s="8">
        <f>(O399+P399*COS(RADIANS(E399)))/L399</f>
        <v/>
      </c>
      <c r="T399" s="8">
        <f>R399/L399</f>
        <v/>
      </c>
      <c r="U399" s="8">
        <f>(Q399-P399*G399*SIN(RADIANS(E399)))/M399</f>
        <v/>
      </c>
      <c r="V399" s="8">
        <f>SQRT((S399+U399)^2+3*T399^2)</f>
        <v/>
      </c>
      <c r="W399" s="8">
        <f>V399/AA399</f>
        <v/>
      </c>
      <c r="X399" s="27">
        <f>((3*10+H399/COS(RADIANS(E399)))*(3+3)+3*G399*H399)*2</f>
        <v/>
      </c>
      <c r="Y399" s="28">
        <f>Z399/X399</f>
        <v/>
      </c>
      <c r="Z399" s="29" t="n">
        <v>697.929214405814</v>
      </c>
      <c r="AA399" s="20" t="n">
        <v>105.45652127644</v>
      </c>
      <c r="AB399" t="n">
        <v>0.1744514552212326</v>
      </c>
      <c r="AC399" t="n">
        <v>103.2979063240325</v>
      </c>
      <c r="AD399" t="n">
        <v>27.81530451992932</v>
      </c>
    </row>
    <row r="400">
      <c r="A400" t="n">
        <v>399</v>
      </c>
      <c r="B400" t="n">
        <v>68.5</v>
      </c>
      <c r="C400" s="21">
        <f>B400-20</f>
        <v/>
      </c>
      <c r="D400" t="n">
        <v>113.5</v>
      </c>
      <c r="E400" s="22">
        <f>D400-90</f>
        <v/>
      </c>
      <c r="F400" s="23" t="n">
        <v>0.01503</v>
      </c>
      <c r="G400" s="22" t="n">
        <v>23.1</v>
      </c>
      <c r="H400" s="22" t="n">
        <v>1.1</v>
      </c>
      <c r="I400" s="24" t="n">
        <v>0.0823463499546051</v>
      </c>
      <c r="J400" s="6" t="n">
        <v>71000</v>
      </c>
      <c r="K400" s="25">
        <f>23*10^-6</f>
        <v/>
      </c>
      <c r="L400" s="8">
        <f>H400</f>
        <v/>
      </c>
      <c r="M400" s="26">
        <f>H400^2/6</f>
        <v/>
      </c>
      <c r="N400" s="26">
        <f>H400^3/12</f>
        <v/>
      </c>
      <c r="O400" s="27">
        <f>-J400*L400*K400*C400</f>
        <v/>
      </c>
      <c r="P400" s="28">
        <f>-(12*F400*J400*L400*N400+12*O400*N400*G400*COS(RADIANS(E400)))/(12*N400*G400*COS(RADIANS(E400))^2+L400*G400^3*SIN(RADIANS(E400))^2)</f>
        <v/>
      </c>
      <c r="Q400" s="28">
        <f>-(6*F400*J400*L400*N400*SIN(RADIANS(E400))+6*O400*N400*G400*SIN(RADIANS(E400))*COS(RADIANS(E400)))/(12*N400*COS(RADIANS(E400))^2+L400*G400^2*SIN(RADIANS(E400))^2)</f>
        <v/>
      </c>
      <c r="R400" s="28">
        <f>-P400*SIN(RADIANS(E400))</f>
        <v/>
      </c>
      <c r="S400" s="8">
        <f>(O400+P400*COS(RADIANS(E400)))/L400</f>
        <v/>
      </c>
      <c r="T400" s="8">
        <f>R400/L400</f>
        <v/>
      </c>
      <c r="U400" s="8">
        <f>(Q400-P400*G400*SIN(RADIANS(E400)))/M400</f>
        <v/>
      </c>
      <c r="V400" s="8">
        <f>SQRT((S400+U400)^2+3*T400^2)</f>
        <v/>
      </c>
      <c r="W400" s="8">
        <f>V400/AA400</f>
        <v/>
      </c>
      <c r="X400" s="27">
        <f>((3*10+H400/COS(RADIANS(E400)))*(3+3)+3*G400*H400)*2</f>
        <v/>
      </c>
      <c r="Y400" s="28">
        <f>Z400/X400</f>
        <v/>
      </c>
      <c r="Z400" s="29" t="n">
        <v>532.458038456597</v>
      </c>
      <c r="AA400" s="20" t="n">
        <v>69.11124581724749</v>
      </c>
      <c r="AB400" t="n">
        <v>0.09793603195315112</v>
      </c>
      <c r="AC400" t="n">
        <v>72.55794501959539</v>
      </c>
      <c r="AD400" t="n">
        <v>18.93184337513455</v>
      </c>
    </row>
    <row r="401">
      <c r="A401" t="n">
        <v>400</v>
      </c>
      <c r="B401" t="n">
        <v>86.40000000000001</v>
      </c>
      <c r="C401" s="21">
        <f>B401-20</f>
        <v/>
      </c>
      <c r="D401" t="n">
        <v>129.5</v>
      </c>
      <c r="E401" s="22">
        <f>D401-90</f>
        <v/>
      </c>
      <c r="F401" s="23" t="n">
        <v>0.019845</v>
      </c>
      <c r="G401" s="22" t="n">
        <v>26.2</v>
      </c>
      <c r="H401" s="22" t="n">
        <v>1</v>
      </c>
      <c r="I401" s="24" t="n">
        <v>0.08678370714187621</v>
      </c>
      <c r="J401" s="6" t="n">
        <v>71000</v>
      </c>
      <c r="K401" s="25">
        <f>23*10^-6</f>
        <v/>
      </c>
      <c r="L401" s="8">
        <f>H401</f>
        <v/>
      </c>
      <c r="M401" s="26">
        <f>H401^2/6</f>
        <v/>
      </c>
      <c r="N401" s="26">
        <f>H401^3/12</f>
        <v/>
      </c>
      <c r="O401" s="27">
        <f>-J401*L401*K401*C401</f>
        <v/>
      </c>
      <c r="P401" s="28">
        <f>-(12*F401*J401*L401*N401+12*O401*N401*G401*COS(RADIANS(E401)))/(12*N401*G401*COS(RADIANS(E401))^2+L401*G401^3*SIN(RADIANS(E401))^2)</f>
        <v/>
      </c>
      <c r="Q401" s="28">
        <f>-(6*F401*J401*L401*N401*SIN(RADIANS(E401))+6*O401*N401*G401*SIN(RADIANS(E401))*COS(RADIANS(E401)))/(12*N401*COS(RADIANS(E401))^2+L401*G401^2*SIN(RADIANS(E401))^2)</f>
        <v/>
      </c>
      <c r="R401" s="28">
        <f>-P401*SIN(RADIANS(E401))</f>
        <v/>
      </c>
      <c r="S401" s="8">
        <f>(O401+P401*COS(RADIANS(E401)))/L401</f>
        <v/>
      </c>
      <c r="T401" s="8">
        <f>R401/L401</f>
        <v/>
      </c>
      <c r="U401" s="8">
        <f>(Q401-P401*G401*SIN(RADIANS(E401)))/M401</f>
        <v/>
      </c>
      <c r="V401" s="8">
        <f>SQRT((S401+U401)^2+3*T401^2)</f>
        <v/>
      </c>
      <c r="W401" s="8">
        <f>V401/AA401</f>
        <v/>
      </c>
      <c r="X401" s="27">
        <f>((3*10+H401/COS(RADIANS(E401)))*(3+3)+3*G401*H401)*2</f>
        <v/>
      </c>
      <c r="Y401" s="28">
        <f>Z401/X401</f>
        <v/>
      </c>
      <c r="Z401" s="29" t="n">
        <v>543.288441550835</v>
      </c>
      <c r="AA401" s="20" t="n">
        <v>85.5631964137781</v>
      </c>
      <c r="AB401" t="n">
        <v>0.08675793249189433</v>
      </c>
      <c r="AC401" t="n">
        <v>93.53116934247285</v>
      </c>
      <c r="AD401" t="n">
        <v>-0.02969987205057167</v>
      </c>
    </row>
    <row r="402">
      <c r="A402" t="n">
        <v>401</v>
      </c>
      <c r="B402" t="n">
        <v>70.2</v>
      </c>
      <c r="C402" s="21">
        <f>B402-20</f>
        <v/>
      </c>
      <c r="D402" t="n">
        <v>101.3</v>
      </c>
      <c r="E402" s="22">
        <f>D402-90</f>
        <v/>
      </c>
      <c r="F402" s="23" t="n">
        <v>0.016846</v>
      </c>
      <c r="G402" s="22" t="n">
        <v>23.9</v>
      </c>
      <c r="H402" s="22" t="n">
        <v>1.3</v>
      </c>
      <c r="I402" s="24" t="n">
        <v>0.14880783855915</v>
      </c>
      <c r="J402" s="6" t="n">
        <v>71000</v>
      </c>
      <c r="K402" s="25">
        <f>23*10^-6</f>
        <v/>
      </c>
      <c r="L402" s="8">
        <f>H402</f>
        <v/>
      </c>
      <c r="M402" s="26">
        <f>H402^2/6</f>
        <v/>
      </c>
      <c r="N402" s="26">
        <f>H402^3/12</f>
        <v/>
      </c>
      <c r="O402" s="27">
        <f>-J402*L402*K402*C402</f>
        <v/>
      </c>
      <c r="P402" s="28">
        <f>-(12*F402*J402*L402*N402+12*O402*N402*G402*COS(RADIANS(E402)))/(12*N402*G402*COS(RADIANS(E402))^2+L402*G402^3*SIN(RADIANS(E402))^2)</f>
        <v/>
      </c>
      <c r="Q402" s="28">
        <f>-(6*F402*J402*L402*N402*SIN(RADIANS(E402))+6*O402*N402*G402*SIN(RADIANS(E402))*COS(RADIANS(E402)))/(12*N402*COS(RADIANS(E402))^2+L402*G402^2*SIN(RADIANS(E402))^2)</f>
        <v/>
      </c>
      <c r="R402" s="28">
        <f>-P402*SIN(RADIANS(E402))</f>
        <v/>
      </c>
      <c r="S402" s="8">
        <f>(O402+P402*COS(RADIANS(E402)))/L402</f>
        <v/>
      </c>
      <c r="T402" s="8">
        <f>R402/L402</f>
        <v/>
      </c>
      <c r="U402" s="8">
        <f>(Q402-P402*G402*SIN(RADIANS(E402)))/M402</f>
        <v/>
      </c>
      <c r="V402" s="8">
        <f>SQRT((S402+U402)^2+3*T402^2)</f>
        <v/>
      </c>
      <c r="W402" s="8">
        <f>V402/AA402</f>
        <v/>
      </c>
      <c r="X402" s="27">
        <f>((3*10+H402/COS(RADIANS(E402)))*(3+3)+3*G402*H402)*2</f>
        <v/>
      </c>
      <c r="Y402" s="28">
        <f>Z402/X402</f>
        <v/>
      </c>
      <c r="Z402" s="29" t="n">
        <v>566.2364644318679</v>
      </c>
      <c r="AA402" s="20" t="n">
        <v>79.8555458687003</v>
      </c>
      <c r="AB402" t="n">
        <v>0.2093716212029425</v>
      </c>
      <c r="AC402" t="n">
        <v>85.02060491245444</v>
      </c>
      <c r="AD402" t="n">
        <v>40.6993228516782</v>
      </c>
    </row>
    <row r="403">
      <c r="A403" t="n">
        <v>402</v>
      </c>
      <c r="B403" t="n">
        <v>63.4</v>
      </c>
      <c r="C403" s="21">
        <f>B403-20</f>
        <v/>
      </c>
      <c r="D403" t="n">
        <v>109</v>
      </c>
      <c r="E403" s="22">
        <f>D403-90</f>
        <v/>
      </c>
      <c r="F403" s="23" t="n">
        <v>0.018313</v>
      </c>
      <c r="G403" s="22" t="n">
        <v>32.8</v>
      </c>
      <c r="H403" s="22" t="n">
        <v>2</v>
      </c>
      <c r="I403" s="24" t="n">
        <v>0.108463294804096</v>
      </c>
      <c r="J403" s="6" t="n">
        <v>71000</v>
      </c>
      <c r="K403" s="25">
        <f>23*10^-6</f>
        <v/>
      </c>
      <c r="L403" s="8">
        <f>H403</f>
        <v/>
      </c>
      <c r="M403" s="26">
        <f>H403^2/6</f>
        <v/>
      </c>
      <c r="N403" s="26">
        <f>H403^3/12</f>
        <v/>
      </c>
      <c r="O403" s="27">
        <f>-J403*L403*K403*C403</f>
        <v/>
      </c>
      <c r="P403" s="28">
        <f>-(12*F403*J403*L403*N403+12*O403*N403*G403*COS(RADIANS(E403)))/(12*N403*G403*COS(RADIANS(E403))^2+L403*G403^3*SIN(RADIANS(E403))^2)</f>
        <v/>
      </c>
      <c r="Q403" s="28">
        <f>-(6*F403*J403*L403*N403*SIN(RADIANS(E403))+6*O403*N403*G403*SIN(RADIANS(E403))*COS(RADIANS(E403)))/(12*N403*COS(RADIANS(E403))^2+L403*G403^2*SIN(RADIANS(E403))^2)</f>
        <v/>
      </c>
      <c r="R403" s="28">
        <f>-P403*SIN(RADIANS(E403))</f>
        <v/>
      </c>
      <c r="S403" s="8">
        <f>(O403+P403*COS(RADIANS(E403)))/L403</f>
        <v/>
      </c>
      <c r="T403" s="8">
        <f>R403/L403</f>
        <v/>
      </c>
      <c r="U403" s="8">
        <f>(Q403-P403*G403*SIN(RADIANS(E403)))/M403</f>
        <v/>
      </c>
      <c r="V403" s="8">
        <f>SQRT((S403+U403)^2+3*T403^2)</f>
        <v/>
      </c>
      <c r="W403" s="8">
        <f>V403/AA403</f>
        <v/>
      </c>
      <c r="X403" s="27">
        <f>((3*10+H403/COS(RADIANS(E403)))*(3+3)+3*G403*H403)*2</f>
        <v/>
      </c>
      <c r="Y403" s="28">
        <f>Z403/X403</f>
        <v/>
      </c>
      <c r="Z403" s="29" t="n">
        <v>783.799422082601</v>
      </c>
      <c r="AA403" s="20" t="n">
        <v>73.1400702105974</v>
      </c>
      <c r="AB403" t="n">
        <v>0.1488825221201589</v>
      </c>
      <c r="AC403" t="n">
        <v>69.83318657500155</v>
      </c>
      <c r="AD403" t="n">
        <v>37.26535081666769</v>
      </c>
    </row>
    <row r="404">
      <c r="A404" t="n">
        <v>403</v>
      </c>
      <c r="B404" t="n">
        <v>46</v>
      </c>
      <c r="C404" s="21">
        <f>B404-20</f>
        <v/>
      </c>
      <c r="D404" t="n">
        <v>110.8</v>
      </c>
      <c r="E404" s="22">
        <f>D404-90</f>
        <v/>
      </c>
      <c r="F404" s="23" t="n">
        <v>0.010008</v>
      </c>
      <c r="G404" s="22" t="n">
        <v>29.7</v>
      </c>
      <c r="H404" s="22" t="n">
        <v>1.3</v>
      </c>
      <c r="I404" s="24" t="n">
        <v>0.0569881983101367</v>
      </c>
      <c r="J404" s="6" t="n">
        <v>71000</v>
      </c>
      <c r="K404" s="25">
        <f>23*10^-6</f>
        <v/>
      </c>
      <c r="L404" s="8">
        <f>H404</f>
        <v/>
      </c>
      <c r="M404" s="26">
        <f>H404^2/6</f>
        <v/>
      </c>
      <c r="N404" s="26">
        <f>H404^3/12</f>
        <v/>
      </c>
      <c r="O404" s="27">
        <f>-J404*L404*K404*C404</f>
        <v/>
      </c>
      <c r="P404" s="28">
        <f>-(12*F404*J404*L404*N404+12*O404*N404*G404*COS(RADIANS(E404)))/(12*N404*G404*COS(RADIANS(E404))^2+L404*G404^3*SIN(RADIANS(E404))^2)</f>
        <v/>
      </c>
      <c r="Q404" s="28">
        <f>-(6*F404*J404*L404*N404*SIN(RADIANS(E404))+6*O404*N404*G404*SIN(RADIANS(E404))*COS(RADIANS(E404)))/(12*N404*COS(RADIANS(E404))^2+L404*G404^2*SIN(RADIANS(E404))^2)</f>
        <v/>
      </c>
      <c r="R404" s="28">
        <f>-P404*SIN(RADIANS(E404))</f>
        <v/>
      </c>
      <c r="S404" s="8">
        <f>(O404+P404*COS(RADIANS(E404)))/L404</f>
        <v/>
      </c>
      <c r="T404" s="8">
        <f>R404/L404</f>
        <v/>
      </c>
      <c r="U404" s="8">
        <f>(Q404-P404*G404*SIN(RADIANS(E404)))/M404</f>
        <v/>
      </c>
      <c r="V404" s="8">
        <f>SQRT((S404+U404)^2+3*T404^2)</f>
        <v/>
      </c>
      <c r="W404" s="8">
        <f>V404/AA404</f>
        <v/>
      </c>
      <c r="X404" s="27">
        <f>((3*10+H404/COS(RADIANS(E404)))*(3+3)+3*G404*H404)*2</f>
        <v/>
      </c>
      <c r="Y404" s="28">
        <f>Z404/X404</f>
        <v/>
      </c>
      <c r="Z404" s="29" t="n">
        <v>613.454468416793</v>
      </c>
      <c r="AA404" s="20" t="n">
        <v>38.2816703611796</v>
      </c>
      <c r="AB404" t="n">
        <v>0.07530996030655704</v>
      </c>
      <c r="AC404" t="n">
        <v>39.47201216479193</v>
      </c>
      <c r="AD404" t="n">
        <v>32.15009868659312</v>
      </c>
    </row>
    <row r="405">
      <c r="A405" t="n">
        <v>404</v>
      </c>
      <c r="B405" t="n">
        <v>47.7</v>
      </c>
      <c r="C405" s="21">
        <f>B405-20</f>
        <v/>
      </c>
      <c r="D405" t="n">
        <v>128.3</v>
      </c>
      <c r="E405" s="22">
        <f>D405-90</f>
        <v/>
      </c>
      <c r="F405" s="23" t="n">
        <v>0.007371</v>
      </c>
      <c r="G405" s="22" t="n">
        <v>22.1</v>
      </c>
      <c r="H405" s="22" t="n">
        <v>1.1</v>
      </c>
      <c r="I405" s="24" t="n">
        <v>0.0332818105816841</v>
      </c>
      <c r="J405" s="6" t="n">
        <v>71000</v>
      </c>
      <c r="K405" s="25">
        <f>23*10^-6</f>
        <v/>
      </c>
      <c r="L405" s="8">
        <f>H405</f>
        <v/>
      </c>
      <c r="M405" s="26">
        <f>H405^2/6</f>
        <v/>
      </c>
      <c r="N405" s="26">
        <f>H405^3/12</f>
        <v/>
      </c>
      <c r="O405" s="27">
        <f>-J405*L405*K405*C405</f>
        <v/>
      </c>
      <c r="P405" s="28">
        <f>-(12*F405*J405*L405*N405+12*O405*N405*G405*COS(RADIANS(E405)))/(12*N405*G405*COS(RADIANS(E405))^2+L405*G405^3*SIN(RADIANS(E405))^2)</f>
        <v/>
      </c>
      <c r="Q405" s="28">
        <f>-(6*F405*J405*L405*N405*SIN(RADIANS(E405))+6*O405*N405*G405*SIN(RADIANS(E405))*COS(RADIANS(E405)))/(12*N405*COS(RADIANS(E405))^2+L405*G405^2*SIN(RADIANS(E405))^2)</f>
        <v/>
      </c>
      <c r="R405" s="28">
        <f>-P405*SIN(RADIANS(E405))</f>
        <v/>
      </c>
      <c r="S405" s="8">
        <f>(O405+P405*COS(RADIANS(E405)))/L405</f>
        <v/>
      </c>
      <c r="T405" s="8">
        <f>R405/L405</f>
        <v/>
      </c>
      <c r="U405" s="8">
        <f>(Q405-P405*G405*SIN(RADIANS(E405)))/M405</f>
        <v/>
      </c>
      <c r="V405" s="8">
        <f>SQRT((S405+U405)^2+3*T405^2)</f>
        <v/>
      </c>
      <c r="W405" s="8">
        <f>V405/AA405</f>
        <v/>
      </c>
      <c r="X405" s="27">
        <f>((3*10+H405/COS(RADIANS(E405)))*(3+3)+3*G405*H405)*2</f>
        <v/>
      </c>
      <c r="Y405" s="28">
        <f>Z405/X405</f>
        <v/>
      </c>
      <c r="Z405" s="29" t="n">
        <v>532.695668229816</v>
      </c>
      <c r="AA405" s="20" t="n">
        <v>37.7716318972328</v>
      </c>
      <c r="AB405" t="n">
        <v>0.03190163641118199</v>
      </c>
      <c r="AC405" t="n">
        <v>39.48782169361918</v>
      </c>
      <c r="AD405" t="n">
        <v>-4.146932352477418</v>
      </c>
    </row>
    <row r="406">
      <c r="A406" t="n">
        <v>405</v>
      </c>
      <c r="B406" t="n">
        <v>77.5</v>
      </c>
      <c r="C406" s="21">
        <f>B406-20</f>
        <v/>
      </c>
      <c r="D406" t="n">
        <v>105.5</v>
      </c>
      <c r="E406" s="22">
        <f>D406-90</f>
        <v/>
      </c>
      <c r="F406" s="23" t="n">
        <v>0.022441</v>
      </c>
      <c r="G406" s="22" t="n">
        <v>29.3</v>
      </c>
      <c r="H406" s="22" t="n">
        <v>1.2</v>
      </c>
      <c r="I406" s="24" t="n">
        <v>0.15692976117134</v>
      </c>
      <c r="J406" s="6" t="n">
        <v>71000</v>
      </c>
      <c r="K406" s="25">
        <f>23*10^-6</f>
        <v/>
      </c>
      <c r="L406" s="8">
        <f>H406</f>
        <v/>
      </c>
      <c r="M406" s="26">
        <f>H406^2/6</f>
        <v/>
      </c>
      <c r="N406" s="26">
        <f>H406^3/12</f>
        <v/>
      </c>
      <c r="O406" s="27">
        <f>-J406*L406*K406*C406</f>
        <v/>
      </c>
      <c r="P406" s="28">
        <f>-(12*F406*J406*L406*N406+12*O406*N406*G406*COS(RADIANS(E406)))/(12*N406*G406*COS(RADIANS(E406))^2+L406*G406^3*SIN(RADIANS(E406))^2)</f>
        <v/>
      </c>
      <c r="Q406" s="28">
        <f>-(6*F406*J406*L406*N406*SIN(RADIANS(E406))+6*O406*N406*G406*SIN(RADIANS(E406))*COS(RADIANS(E406)))/(12*N406*COS(RADIANS(E406))^2+L406*G406^2*SIN(RADIANS(E406))^2)</f>
        <v/>
      </c>
      <c r="R406" s="28">
        <f>-P406*SIN(RADIANS(E406))</f>
        <v/>
      </c>
      <c r="S406" s="8">
        <f>(O406+P406*COS(RADIANS(E406)))/L406</f>
        <v/>
      </c>
      <c r="T406" s="8">
        <f>R406/L406</f>
        <v/>
      </c>
      <c r="U406" s="8">
        <f>(Q406-P406*G406*SIN(RADIANS(E406)))/M406</f>
        <v/>
      </c>
      <c r="V406" s="8">
        <f>SQRT((S406+U406)^2+3*T406^2)</f>
        <v/>
      </c>
      <c r="W406" s="8">
        <f>V406/AA406</f>
        <v/>
      </c>
      <c r="X406" s="27">
        <f>((3*10+H406/COS(RADIANS(E406)))*(3+3)+3*G406*H406)*2</f>
        <v/>
      </c>
      <c r="Y406" s="28">
        <f>Z406/X406</f>
        <v/>
      </c>
      <c r="Z406" s="29" t="n">
        <v>590.2429304036179</v>
      </c>
      <c r="AA406" s="20" t="n">
        <v>84.2619395023038</v>
      </c>
      <c r="AB406" t="n">
        <v>0.2209622637957165</v>
      </c>
      <c r="AC406" t="n">
        <v>89.93366310954151</v>
      </c>
      <c r="AD406" t="n">
        <v>40.8032881375918</v>
      </c>
    </row>
    <row r="407">
      <c r="A407" t="n">
        <v>406</v>
      </c>
      <c r="B407" t="n">
        <v>88.7</v>
      </c>
      <c r="C407" s="21">
        <f>B407-20</f>
        <v/>
      </c>
      <c r="D407" t="n">
        <v>111.1</v>
      </c>
      <c r="E407" s="22">
        <f>D407-90</f>
        <v/>
      </c>
      <c r="F407" s="23" t="n">
        <v>0.024719</v>
      </c>
      <c r="G407" s="22" t="n">
        <v>27.4</v>
      </c>
      <c r="H407" s="22" t="n">
        <v>1.6</v>
      </c>
      <c r="I407" s="24" t="n">
        <v>0.140441834926605</v>
      </c>
      <c r="J407" s="6" t="n">
        <v>71000</v>
      </c>
      <c r="K407" s="25">
        <f>23*10^-6</f>
        <v/>
      </c>
      <c r="L407" s="8">
        <f>H407</f>
        <v/>
      </c>
      <c r="M407" s="26">
        <f>H407^2/6</f>
        <v/>
      </c>
      <c r="N407" s="26">
        <f>H407^3/12</f>
        <v/>
      </c>
      <c r="O407" s="27">
        <f>-J407*L407*K407*C407</f>
        <v/>
      </c>
      <c r="P407" s="28">
        <f>-(12*F407*J407*L407*N407+12*O407*N407*G407*COS(RADIANS(E407)))/(12*N407*G407*COS(RADIANS(E407))^2+L407*G407^3*SIN(RADIANS(E407))^2)</f>
        <v/>
      </c>
      <c r="Q407" s="28">
        <f>-(6*F407*J407*L407*N407*SIN(RADIANS(E407))+6*O407*N407*G407*SIN(RADIANS(E407))*COS(RADIANS(E407)))/(12*N407*COS(RADIANS(E407))^2+L407*G407^2*SIN(RADIANS(E407))^2)</f>
        <v/>
      </c>
      <c r="R407" s="28">
        <f>-P407*SIN(RADIANS(E407))</f>
        <v/>
      </c>
      <c r="S407" s="8">
        <f>(O407+P407*COS(RADIANS(E407)))/L407</f>
        <v/>
      </c>
      <c r="T407" s="8">
        <f>R407/L407</f>
        <v/>
      </c>
      <c r="U407" s="8">
        <f>(Q407-P407*G407*SIN(RADIANS(E407)))/M407</f>
        <v/>
      </c>
      <c r="V407" s="8">
        <f>SQRT((S407+U407)^2+3*T407^2)</f>
        <v/>
      </c>
      <c r="W407" s="8">
        <f>V407/AA407</f>
        <v/>
      </c>
      <c r="X407" s="27">
        <f>((3*10+H407/COS(RADIANS(E407)))*(3+3)+3*G407*H407)*2</f>
        <v/>
      </c>
      <c r="Y407" s="28">
        <f>Z407/X407</f>
        <v/>
      </c>
      <c r="Z407" s="29" t="n">
        <v>648.7781862445009</v>
      </c>
      <c r="AA407" s="20" t="n">
        <v>108.158932127799</v>
      </c>
      <c r="AB407" t="n">
        <v>0.1799858264530489</v>
      </c>
      <c r="AC407" t="n">
        <v>107.3625261125009</v>
      </c>
      <c r="AD407" t="n">
        <v>28.15684624678224</v>
      </c>
    </row>
    <row r="408">
      <c r="A408" t="n">
        <v>407</v>
      </c>
      <c r="B408" t="n">
        <v>76.40000000000001</v>
      </c>
      <c r="C408" s="21">
        <f>B408-20</f>
        <v/>
      </c>
      <c r="D408" t="n">
        <v>117.1</v>
      </c>
      <c r="E408" s="22">
        <f>D408-90</f>
        <v/>
      </c>
      <c r="F408" s="23" t="n">
        <v>0.019026</v>
      </c>
      <c r="G408" s="22" t="n">
        <v>26.5</v>
      </c>
      <c r="H408" s="22" t="n">
        <v>1.6</v>
      </c>
      <c r="I408" s="24" t="n">
        <v>0.0945441424846649</v>
      </c>
      <c r="J408" s="6" t="n">
        <v>71000</v>
      </c>
      <c r="K408" s="25">
        <f>23*10^-6</f>
        <v/>
      </c>
      <c r="L408" s="8">
        <f>H408</f>
        <v/>
      </c>
      <c r="M408" s="26">
        <f>H408^2/6</f>
        <v/>
      </c>
      <c r="N408" s="26">
        <f>H408^3/12</f>
        <v/>
      </c>
      <c r="O408" s="27">
        <f>-J408*L408*K408*C408</f>
        <v/>
      </c>
      <c r="P408" s="28">
        <f>-(12*F408*J408*L408*N408+12*O408*N408*G408*COS(RADIANS(E408)))/(12*N408*G408*COS(RADIANS(E408))^2+L408*G408^3*SIN(RADIANS(E408))^2)</f>
        <v/>
      </c>
      <c r="Q408" s="28">
        <f>-(6*F408*J408*L408*N408*SIN(RADIANS(E408))+6*O408*N408*G408*SIN(RADIANS(E408))*COS(RADIANS(E408)))/(12*N408*COS(RADIANS(E408))^2+L408*G408^2*SIN(RADIANS(E408))^2)</f>
        <v/>
      </c>
      <c r="R408" s="28">
        <f>-P408*SIN(RADIANS(E408))</f>
        <v/>
      </c>
      <c r="S408" s="8">
        <f>(O408+P408*COS(RADIANS(E408)))/L408</f>
        <v/>
      </c>
      <c r="T408" s="8">
        <f>R408/L408</f>
        <v/>
      </c>
      <c r="U408" s="8">
        <f>(Q408-P408*G408*SIN(RADIANS(E408)))/M408</f>
        <v/>
      </c>
      <c r="V408" s="8">
        <f>SQRT((S408+U408)^2+3*T408^2)</f>
        <v/>
      </c>
      <c r="W408" s="8">
        <f>V408/AA408</f>
        <v/>
      </c>
      <c r="X408" s="27">
        <f>((3*10+H408/COS(RADIANS(E408)))*(3+3)+3*G408*H408)*2</f>
        <v/>
      </c>
      <c r="Y408" s="28">
        <f>Z408/X408</f>
        <v/>
      </c>
      <c r="Z408" s="29" t="n">
        <v>642.361351943924</v>
      </c>
      <c r="AA408" s="20" t="n">
        <v>87.5155209435389</v>
      </c>
      <c r="AB408" t="n">
        <v>0.1109598965104353</v>
      </c>
      <c r="AC408" t="n">
        <v>85.36311614101338</v>
      </c>
      <c r="AD408" t="n">
        <v>17.36305771500654</v>
      </c>
    </row>
    <row r="409">
      <c r="A409" t="n">
        <v>408</v>
      </c>
      <c r="B409" t="n">
        <v>73.8</v>
      </c>
      <c r="C409" s="21">
        <f>B409-20</f>
        <v/>
      </c>
      <c r="D409" t="n">
        <v>127.3</v>
      </c>
      <c r="E409" s="22">
        <f>D409-90</f>
        <v/>
      </c>
      <c r="F409" s="23" t="n">
        <v>0.017389</v>
      </c>
      <c r="G409" s="22" t="n">
        <v>28.1</v>
      </c>
      <c r="H409" s="22" t="n">
        <v>1.4</v>
      </c>
      <c r="I409" s="24" t="n">
        <v>0.0762150585651397</v>
      </c>
      <c r="J409" s="6" t="n">
        <v>71000</v>
      </c>
      <c r="K409" s="25">
        <f>23*10^-6</f>
        <v/>
      </c>
      <c r="L409" s="8">
        <f>H409</f>
        <v/>
      </c>
      <c r="M409" s="26">
        <f>H409^2/6</f>
        <v/>
      </c>
      <c r="N409" s="26">
        <f>H409^3/12</f>
        <v/>
      </c>
      <c r="O409" s="27">
        <f>-J409*L409*K409*C409</f>
        <v/>
      </c>
      <c r="P409" s="28">
        <f>-(12*F409*J409*L409*N409+12*O409*N409*G409*COS(RADIANS(E409)))/(12*N409*G409*COS(RADIANS(E409))^2+L409*G409^3*SIN(RADIANS(E409))^2)</f>
        <v/>
      </c>
      <c r="Q409" s="28">
        <f>-(6*F409*J409*L409*N409*SIN(RADIANS(E409))+6*O409*N409*G409*SIN(RADIANS(E409))*COS(RADIANS(E409)))/(12*N409*COS(RADIANS(E409))^2+L409*G409^2*SIN(RADIANS(E409))^2)</f>
        <v/>
      </c>
      <c r="R409" s="28">
        <f>-P409*SIN(RADIANS(E409))</f>
        <v/>
      </c>
      <c r="S409" s="8">
        <f>(O409+P409*COS(RADIANS(E409)))/L409</f>
        <v/>
      </c>
      <c r="T409" s="8">
        <f>R409/L409</f>
        <v/>
      </c>
      <c r="U409" s="8">
        <f>(Q409-P409*G409*SIN(RADIANS(E409)))/M409</f>
        <v/>
      </c>
      <c r="V409" s="8">
        <f>SQRT((S409+U409)^2+3*T409^2)</f>
        <v/>
      </c>
      <c r="W409" s="8">
        <f>V409/AA409</f>
        <v/>
      </c>
      <c r="X409" s="27">
        <f>((3*10+H409/COS(RADIANS(E409)))*(3+3)+3*G409*H409)*2</f>
        <v/>
      </c>
      <c r="Y409" s="28">
        <f>Z409/X409</f>
        <v/>
      </c>
      <c r="Z409" s="29" t="n">
        <v>626.763837019153</v>
      </c>
      <c r="AA409" s="20" t="n">
        <v>76.74739433111959</v>
      </c>
      <c r="AB409" t="n">
        <v>0.07980764169824918</v>
      </c>
      <c r="AC409" t="n">
        <v>77.38753120955003</v>
      </c>
      <c r="AD409" t="n">
        <v>4.713744502392476</v>
      </c>
    </row>
    <row r="410">
      <c r="A410" t="n">
        <v>409</v>
      </c>
      <c r="B410" t="n">
        <v>53.2</v>
      </c>
      <c r="C410" s="21">
        <f>B410-20</f>
        <v/>
      </c>
      <c r="D410" t="n">
        <v>118.2</v>
      </c>
      <c r="E410" s="22">
        <f>D410-90</f>
        <v/>
      </c>
      <c r="F410" s="23" t="n">
        <v>0.013345</v>
      </c>
      <c r="G410" s="22" t="n">
        <v>33.2</v>
      </c>
      <c r="H410" s="22" t="n">
        <v>1.9</v>
      </c>
      <c r="I410" s="24" t="n">
        <v>0.06305389851331709</v>
      </c>
      <c r="J410" s="6" t="n">
        <v>71000</v>
      </c>
      <c r="K410" s="25">
        <f>23*10^-6</f>
        <v/>
      </c>
      <c r="L410" s="8">
        <f>H410</f>
        <v/>
      </c>
      <c r="M410" s="26">
        <f>H410^2/6</f>
        <v/>
      </c>
      <c r="N410" s="26">
        <f>H410^3/12</f>
        <v/>
      </c>
      <c r="O410" s="27">
        <f>-J410*L410*K410*C410</f>
        <v/>
      </c>
      <c r="P410" s="28">
        <f>-(12*F410*J410*L410*N410+12*O410*N410*G410*COS(RADIANS(E410)))/(12*N410*G410*COS(RADIANS(E410))^2+L410*G410^3*SIN(RADIANS(E410))^2)</f>
        <v/>
      </c>
      <c r="Q410" s="28">
        <f>-(6*F410*J410*L410*N410*SIN(RADIANS(E410))+6*O410*N410*G410*SIN(RADIANS(E410))*COS(RADIANS(E410)))/(12*N410*COS(RADIANS(E410))^2+L410*G410^2*SIN(RADIANS(E410))^2)</f>
        <v/>
      </c>
      <c r="R410" s="28">
        <f>-P410*SIN(RADIANS(E410))</f>
        <v/>
      </c>
      <c r="S410" s="8">
        <f>(O410+P410*COS(RADIANS(E410)))/L410</f>
        <v/>
      </c>
      <c r="T410" s="8">
        <f>R410/L410</f>
        <v/>
      </c>
      <c r="U410" s="8">
        <f>(Q410-P410*G410*SIN(RADIANS(E410)))/M410</f>
        <v/>
      </c>
      <c r="V410" s="8">
        <f>SQRT((S410+U410)^2+3*T410^2)</f>
        <v/>
      </c>
      <c r="W410" s="8">
        <f>V410/AA410</f>
        <v/>
      </c>
      <c r="X410" s="27">
        <f>((3*10+H410/COS(RADIANS(E410)))*(3+3)+3*G410*H410)*2</f>
        <v/>
      </c>
      <c r="Y410" s="28">
        <f>Z410/X410</f>
        <v/>
      </c>
      <c r="Z410" s="29" t="n">
        <v>771.016791401338</v>
      </c>
      <c r="AA410" s="20" t="n">
        <v>52.7826003089634</v>
      </c>
      <c r="AB410" t="n">
        <v>0.07757126247266199</v>
      </c>
      <c r="AC410" t="n">
        <v>50.07479509470576</v>
      </c>
      <c r="AD410" t="n">
        <v>23.02373731305259</v>
      </c>
    </row>
    <row r="411">
      <c r="A411" t="n">
        <v>410</v>
      </c>
      <c r="B411" t="n">
        <v>66.8</v>
      </c>
      <c r="C411" s="21">
        <f>B411-20</f>
        <v/>
      </c>
      <c r="D411" t="n">
        <v>102.6</v>
      </c>
      <c r="E411" s="22">
        <f>D411-90</f>
        <v/>
      </c>
      <c r="F411" s="23" t="n">
        <v>0.019915</v>
      </c>
      <c r="G411" s="22" t="n">
        <v>32.1</v>
      </c>
      <c r="H411" s="22" t="n">
        <v>1.2</v>
      </c>
      <c r="I411" s="24" t="n">
        <v>0.161660984158515</v>
      </c>
      <c r="J411" s="6" t="n">
        <v>71000</v>
      </c>
      <c r="K411" s="25">
        <f>23*10^-6</f>
        <v/>
      </c>
      <c r="L411" s="8">
        <f>H411</f>
        <v/>
      </c>
      <c r="M411" s="26">
        <f>H411^2/6</f>
        <v/>
      </c>
      <c r="N411" s="26">
        <f>H411^3/12</f>
        <v/>
      </c>
      <c r="O411" s="27">
        <f>-J411*L411*K411*C411</f>
        <v/>
      </c>
      <c r="P411" s="28">
        <f>-(12*F411*J411*L411*N411+12*O411*N411*G411*COS(RADIANS(E411)))/(12*N411*G411*COS(RADIANS(E411))^2+L411*G411^3*SIN(RADIANS(E411))^2)</f>
        <v/>
      </c>
      <c r="Q411" s="28">
        <f>-(6*F411*J411*L411*N411*SIN(RADIANS(E411))+6*O411*N411*G411*SIN(RADIANS(E411))*COS(RADIANS(E411)))/(12*N411*COS(RADIANS(E411))^2+L411*G411^2*SIN(RADIANS(E411))^2)</f>
        <v/>
      </c>
      <c r="R411" s="28">
        <f>-P411*SIN(RADIANS(E411))</f>
        <v/>
      </c>
      <c r="S411" s="8">
        <f>(O411+P411*COS(RADIANS(E411)))/L411</f>
        <v/>
      </c>
      <c r="T411" s="8">
        <f>R411/L411</f>
        <v/>
      </c>
      <c r="U411" s="8">
        <f>(Q411-P411*G411*SIN(RADIANS(E411)))/M411</f>
        <v/>
      </c>
      <c r="V411" s="8">
        <f>SQRT((S411+U411)^2+3*T411^2)</f>
        <v/>
      </c>
      <c r="W411" s="8">
        <f>V411/AA411</f>
        <v/>
      </c>
      <c r="X411" s="27">
        <f>((3*10+H411/COS(RADIANS(E411)))*(3+3)+3*G411*H411)*2</f>
        <v/>
      </c>
      <c r="Y411" s="28">
        <f>Z411/X411</f>
        <v/>
      </c>
      <c r="Z411" s="29" t="n">
        <v>609.9012474383489</v>
      </c>
      <c r="AA411" s="20" t="n">
        <v>69.5107191894033</v>
      </c>
      <c r="AB411" t="n">
        <v>0.2406314349793046</v>
      </c>
      <c r="AC411" t="n">
        <v>74.71901901994981</v>
      </c>
      <c r="AD411" t="n">
        <v>48.84941857297859</v>
      </c>
    </row>
    <row r="412">
      <c r="A412" t="n">
        <v>411</v>
      </c>
      <c r="B412" t="n">
        <v>77</v>
      </c>
      <c r="C412" s="21">
        <f>B412-20</f>
        <v/>
      </c>
      <c r="D412" t="n">
        <v>107.8</v>
      </c>
      <c r="E412" s="22">
        <f>D412-90</f>
        <v/>
      </c>
      <c r="F412" s="23" t="n">
        <v>0.021037</v>
      </c>
      <c r="G412" s="22" t="n">
        <v>27.7</v>
      </c>
      <c r="H412" s="22" t="n">
        <v>1.9</v>
      </c>
      <c r="I412" s="24" t="n">
        <v>0.13200893998146</v>
      </c>
      <c r="J412" s="6" t="n">
        <v>71000</v>
      </c>
      <c r="K412" s="25">
        <f>23*10^-6</f>
        <v/>
      </c>
      <c r="L412" s="8">
        <f>H412</f>
        <v/>
      </c>
      <c r="M412" s="26">
        <f>H412^2/6</f>
        <v/>
      </c>
      <c r="N412" s="26">
        <f>H412^3/12</f>
        <v/>
      </c>
      <c r="O412" s="27">
        <f>-J412*L412*K412*C412</f>
        <v/>
      </c>
      <c r="P412" s="28">
        <f>-(12*F412*J412*L412*N412+12*O412*N412*G412*COS(RADIANS(E412)))/(12*N412*G412*COS(RADIANS(E412))^2+L412*G412^3*SIN(RADIANS(E412))^2)</f>
        <v/>
      </c>
      <c r="Q412" s="28">
        <f>-(6*F412*J412*L412*N412*SIN(RADIANS(E412))+6*O412*N412*G412*SIN(RADIANS(E412))*COS(RADIANS(E412)))/(12*N412*COS(RADIANS(E412))^2+L412*G412^2*SIN(RADIANS(E412))^2)</f>
        <v/>
      </c>
      <c r="R412" s="28">
        <f>-P412*SIN(RADIANS(E412))</f>
        <v/>
      </c>
      <c r="S412" s="8">
        <f>(O412+P412*COS(RADIANS(E412)))/L412</f>
        <v/>
      </c>
      <c r="T412" s="8">
        <f>R412/L412</f>
        <v/>
      </c>
      <c r="U412" s="8">
        <f>(Q412-P412*G412*SIN(RADIANS(E412)))/M412</f>
        <v/>
      </c>
      <c r="V412" s="8">
        <f>SQRT((S412+U412)^2+3*T412^2)</f>
        <v/>
      </c>
      <c r="W412" s="8">
        <f>V412/AA412</f>
        <v/>
      </c>
      <c r="X412" s="27">
        <f>((3*10+H412/COS(RADIANS(E412)))*(3+3)+3*G412*H412)*2</f>
        <v/>
      </c>
      <c r="Y412" s="28">
        <f>Z412/X412</f>
        <v/>
      </c>
      <c r="Z412" s="29" t="n">
        <v>704.366612537664</v>
      </c>
      <c r="AA412" s="20" t="n">
        <v>97.5900586540068</v>
      </c>
      <c r="AB412" t="n">
        <v>0.1759750846919577</v>
      </c>
      <c r="AC412" t="n">
        <v>93.62763601983383</v>
      </c>
      <c r="AD412" t="n">
        <v>33.30542970549764</v>
      </c>
    </row>
    <row r="413">
      <c r="A413" t="n">
        <v>412</v>
      </c>
      <c r="B413" t="n">
        <v>65.7</v>
      </c>
      <c r="C413" s="21">
        <f>B413-20</f>
        <v/>
      </c>
      <c r="D413" t="n">
        <v>100.6</v>
      </c>
      <c r="E413" s="22">
        <f>D413-90</f>
        <v/>
      </c>
      <c r="F413" s="23" t="n">
        <v>0.015672</v>
      </c>
      <c r="G413" s="22" t="n">
        <v>24.5</v>
      </c>
      <c r="H413" s="22" t="n">
        <v>1.1</v>
      </c>
      <c r="I413" s="24" t="n">
        <v>0.147419854998588</v>
      </c>
      <c r="J413" s="6" t="n">
        <v>71000</v>
      </c>
      <c r="K413" s="25">
        <f>23*10^-6</f>
        <v/>
      </c>
      <c r="L413" s="8">
        <f>H413</f>
        <v/>
      </c>
      <c r="M413" s="26">
        <f>H413^2/6</f>
        <v/>
      </c>
      <c r="N413" s="26">
        <f>H413^3/12</f>
        <v/>
      </c>
      <c r="O413" s="27">
        <f>-J413*L413*K413*C413</f>
        <v/>
      </c>
      <c r="P413" s="28">
        <f>-(12*F413*J413*L413*N413+12*O413*N413*G413*COS(RADIANS(E413)))/(12*N413*G413*COS(RADIANS(E413))^2+L413*G413^3*SIN(RADIANS(E413))^2)</f>
        <v/>
      </c>
      <c r="Q413" s="28">
        <f>-(6*F413*J413*L413*N413*SIN(RADIANS(E413))+6*O413*N413*G413*SIN(RADIANS(E413))*COS(RADIANS(E413)))/(12*N413*COS(RADIANS(E413))^2+L413*G413^2*SIN(RADIANS(E413))^2)</f>
        <v/>
      </c>
      <c r="R413" s="28">
        <f>-P413*SIN(RADIANS(E413))</f>
        <v/>
      </c>
      <c r="S413" s="8">
        <f>(O413+P413*COS(RADIANS(E413)))/L413</f>
        <v/>
      </c>
      <c r="T413" s="8">
        <f>R413/L413</f>
        <v/>
      </c>
      <c r="U413" s="8">
        <f>(Q413-P413*G413*SIN(RADIANS(E413)))/M413</f>
        <v/>
      </c>
      <c r="V413" s="8">
        <f>SQRT((S413+U413)^2+3*T413^2)</f>
        <v/>
      </c>
      <c r="W413" s="8">
        <f>V413/AA413</f>
        <v/>
      </c>
      <c r="X413" s="27">
        <f>((3*10+H413/COS(RADIANS(E413)))*(3+3)+3*G413*H413)*2</f>
        <v/>
      </c>
      <c r="Y413" s="28">
        <f>Z413/X413</f>
        <v/>
      </c>
      <c r="Z413" s="29" t="n">
        <v>538.979455189124</v>
      </c>
      <c r="AA413" s="20" t="n">
        <v>69.0403503790843</v>
      </c>
      <c r="AB413" t="n">
        <v>0.2113999355079721</v>
      </c>
      <c r="AC413" t="n">
        <v>76.01901873177039</v>
      </c>
      <c r="AD413" t="n">
        <v>43.39990736661414</v>
      </c>
    </row>
    <row r="414">
      <c r="A414" t="n">
        <v>413</v>
      </c>
      <c r="B414" t="n">
        <v>76.59999999999999</v>
      </c>
      <c r="C414" s="21">
        <f>B414-20</f>
        <v/>
      </c>
      <c r="D414" t="n">
        <v>103.7</v>
      </c>
      <c r="E414" s="22">
        <f>D414-90</f>
        <v/>
      </c>
      <c r="F414" s="23" t="n">
        <v>0.02155</v>
      </c>
      <c r="G414" s="22" t="n">
        <v>28.2</v>
      </c>
      <c r="H414" s="22" t="n">
        <v>1.4</v>
      </c>
      <c r="I414" s="24" t="n">
        <v>0.1642726957798</v>
      </c>
      <c r="J414" s="6" t="n">
        <v>71000</v>
      </c>
      <c r="K414" s="25">
        <f>23*10^-6</f>
        <v/>
      </c>
      <c r="L414" s="8">
        <f>H414</f>
        <v/>
      </c>
      <c r="M414" s="26">
        <f>H414^2/6</f>
        <v/>
      </c>
      <c r="N414" s="26">
        <f>H414^3/12</f>
        <v/>
      </c>
      <c r="O414" s="27">
        <f>-J414*L414*K414*C414</f>
        <v/>
      </c>
      <c r="P414" s="28">
        <f>-(12*F414*J414*L414*N414+12*O414*N414*G414*COS(RADIANS(E414)))/(12*N414*G414*COS(RADIANS(E414))^2+L414*G414^3*SIN(RADIANS(E414))^2)</f>
        <v/>
      </c>
      <c r="Q414" s="28">
        <f>-(6*F414*J414*L414*N414*SIN(RADIANS(E414))+6*O414*N414*G414*SIN(RADIANS(E414))*COS(RADIANS(E414)))/(12*N414*COS(RADIANS(E414))^2+L414*G414^2*SIN(RADIANS(E414))^2)</f>
        <v/>
      </c>
      <c r="R414" s="28">
        <f>-P414*SIN(RADIANS(E414))</f>
        <v/>
      </c>
      <c r="S414" s="8">
        <f>(O414+P414*COS(RADIANS(E414)))/L414</f>
        <v/>
      </c>
      <c r="T414" s="8">
        <f>R414/L414</f>
        <v/>
      </c>
      <c r="U414" s="8">
        <f>(Q414-P414*G414*SIN(RADIANS(E414)))/M414</f>
        <v/>
      </c>
      <c r="V414" s="8">
        <f>SQRT((S414+U414)^2+3*T414^2)</f>
        <v/>
      </c>
      <c r="W414" s="8">
        <f>V414/AA414</f>
        <v/>
      </c>
      <c r="X414" s="27">
        <f>((3*10+H414/COS(RADIANS(E414)))*(3+3)+3*G414*H414)*2</f>
        <v/>
      </c>
      <c r="Y414" s="28">
        <f>Z414/X414</f>
        <v/>
      </c>
      <c r="Z414" s="29" t="n">
        <v>618.308418079493</v>
      </c>
      <c r="AA414" s="20" t="n">
        <v>88.32348184442149</v>
      </c>
      <c r="AB414" t="n">
        <v>0.2335009936802181</v>
      </c>
      <c r="AC414" t="n">
        <v>92.47495277751614</v>
      </c>
      <c r="AD414" t="n">
        <v>42.14230342528469</v>
      </c>
    </row>
    <row r="415">
      <c r="A415" t="n">
        <v>414</v>
      </c>
      <c r="B415" t="n">
        <v>45.8</v>
      </c>
      <c r="C415" s="21">
        <f>B415-20</f>
        <v/>
      </c>
      <c r="D415" t="n">
        <v>116.8</v>
      </c>
      <c r="E415" s="22">
        <f>D415-90</f>
        <v/>
      </c>
      <c r="F415" s="23" t="n">
        <v>0.00712</v>
      </c>
      <c r="G415" s="22" t="n">
        <v>20.4</v>
      </c>
      <c r="H415" s="22" t="n">
        <v>2</v>
      </c>
      <c r="I415" s="24" t="n">
        <v>0.036765769124031</v>
      </c>
      <c r="J415" s="6" t="n">
        <v>71000</v>
      </c>
      <c r="K415" s="25">
        <f>23*10^-6</f>
        <v/>
      </c>
      <c r="L415" s="8">
        <f>H415</f>
        <v/>
      </c>
      <c r="M415" s="26">
        <f>H415^2/6</f>
        <v/>
      </c>
      <c r="N415" s="26">
        <f>H415^3/12</f>
        <v/>
      </c>
      <c r="O415" s="27">
        <f>-J415*L415*K415*C415</f>
        <v/>
      </c>
      <c r="P415" s="28">
        <f>-(12*F415*J415*L415*N415+12*O415*N415*G415*COS(RADIANS(E415)))/(12*N415*G415*COS(RADIANS(E415))^2+L415*G415^3*SIN(RADIANS(E415))^2)</f>
        <v/>
      </c>
      <c r="Q415" s="28">
        <f>-(6*F415*J415*L415*N415*SIN(RADIANS(E415))+6*O415*N415*G415*SIN(RADIANS(E415))*COS(RADIANS(E415)))/(12*N415*COS(RADIANS(E415))^2+L415*G415^2*SIN(RADIANS(E415))^2)</f>
        <v/>
      </c>
      <c r="R415" s="28">
        <f>-P415*SIN(RADIANS(E415))</f>
        <v/>
      </c>
      <c r="S415" s="8">
        <f>(O415+P415*COS(RADIANS(E415)))/L415</f>
        <v/>
      </c>
      <c r="T415" s="8">
        <f>R415/L415</f>
        <v/>
      </c>
      <c r="U415" s="8">
        <f>(Q415-P415*G415*SIN(RADIANS(E415)))/M415</f>
        <v/>
      </c>
      <c r="V415" s="8">
        <f>SQRT((S415+U415)^2+3*T415^2)</f>
        <v/>
      </c>
      <c r="W415" s="8">
        <f>V415/AA415</f>
        <v/>
      </c>
      <c r="X415" s="27">
        <f>((3*10+H415/COS(RADIANS(E415)))*(3+3)+3*G415*H415)*2</f>
        <v/>
      </c>
      <c r="Y415" s="28">
        <f>Z415/X415</f>
        <v/>
      </c>
      <c r="Z415" s="29" t="n">
        <v>638.009971119637</v>
      </c>
      <c r="AA415" s="20" t="n">
        <v>45.8509363388771</v>
      </c>
      <c r="AB415" t="n">
        <v>0.03932729892098182</v>
      </c>
      <c r="AC415" t="n">
        <v>40.85617660071782</v>
      </c>
      <c r="AD415" t="n">
        <v>6.967159556242058</v>
      </c>
    </row>
    <row r="416">
      <c r="A416" t="n">
        <v>415</v>
      </c>
      <c r="B416" t="n">
        <v>44</v>
      </c>
      <c r="C416" s="21">
        <f>B416-20</f>
        <v/>
      </c>
      <c r="D416" t="n">
        <v>119.6</v>
      </c>
      <c r="E416" s="22">
        <f>D416-90</f>
        <v/>
      </c>
      <c r="F416" s="23" t="n">
        <v>0.008683</v>
      </c>
      <c r="G416" s="22" t="n">
        <v>29.6</v>
      </c>
      <c r="H416" s="22" t="n">
        <v>1.1</v>
      </c>
      <c r="I416" s="24" t="n">
        <v>0.0407386906445026</v>
      </c>
      <c r="J416" s="6" t="n">
        <v>71000</v>
      </c>
      <c r="K416" s="25">
        <f>23*10^-6</f>
        <v/>
      </c>
      <c r="L416" s="8">
        <f>H416</f>
        <v/>
      </c>
      <c r="M416" s="26">
        <f>H416^2/6</f>
        <v/>
      </c>
      <c r="N416" s="26">
        <f>H416^3/12</f>
        <v/>
      </c>
      <c r="O416" s="27">
        <f>-J416*L416*K416*C416</f>
        <v/>
      </c>
      <c r="P416" s="28">
        <f>-(12*F416*J416*L416*N416+12*O416*N416*G416*COS(RADIANS(E416)))/(12*N416*G416*COS(RADIANS(E416))^2+L416*G416^3*SIN(RADIANS(E416))^2)</f>
        <v/>
      </c>
      <c r="Q416" s="28">
        <f>-(6*F416*J416*L416*N416*SIN(RADIANS(E416))+6*O416*N416*G416*SIN(RADIANS(E416))*COS(RADIANS(E416)))/(12*N416*COS(RADIANS(E416))^2+L416*G416^2*SIN(RADIANS(E416))^2)</f>
        <v/>
      </c>
      <c r="R416" s="28">
        <f>-P416*SIN(RADIANS(E416))</f>
        <v/>
      </c>
      <c r="S416" s="8">
        <f>(O416+P416*COS(RADIANS(E416)))/L416</f>
        <v/>
      </c>
      <c r="T416" s="8">
        <f>R416/L416</f>
        <v/>
      </c>
      <c r="U416" s="8">
        <f>(Q416-P416*G416*SIN(RADIANS(E416)))/M416</f>
        <v/>
      </c>
      <c r="V416" s="8">
        <f>SQRT((S416+U416)^2+3*T416^2)</f>
        <v/>
      </c>
      <c r="W416" s="8">
        <f>V416/AA416</f>
        <v/>
      </c>
      <c r="X416" s="27">
        <f>((3*10+H416/COS(RADIANS(E416)))*(3+3)+3*G416*H416)*2</f>
        <v/>
      </c>
      <c r="Y416" s="28">
        <f>Z416/X416</f>
        <v/>
      </c>
      <c r="Z416" s="29" t="n">
        <v>577.577087618305</v>
      </c>
      <c r="AA416" s="20" t="n">
        <v>32.880044986634</v>
      </c>
      <c r="AB416" t="n">
        <v>0.04813738349039499</v>
      </c>
      <c r="AC416" t="n">
        <v>34.63064768292489</v>
      </c>
      <c r="AD416" t="n">
        <v>18.16134178306194</v>
      </c>
    </row>
    <row r="417">
      <c r="A417" t="n">
        <v>416</v>
      </c>
      <c r="B417" t="n">
        <v>90</v>
      </c>
      <c r="C417" s="21">
        <f>B417-20</f>
        <v/>
      </c>
      <c r="D417" t="n">
        <v>100.3</v>
      </c>
      <c r="E417" s="22">
        <f>D417-90</f>
        <v/>
      </c>
      <c r="F417" s="23" t="n">
        <v>0.025751</v>
      </c>
      <c r="G417" s="22" t="n">
        <v>26.7</v>
      </c>
      <c r="H417" s="22" t="n">
        <v>2</v>
      </c>
      <c r="I417" s="24" t="n">
        <v>0.226006925106048</v>
      </c>
      <c r="J417" s="6" t="n">
        <v>71000</v>
      </c>
      <c r="K417" s="25">
        <f>23*10^-6</f>
        <v/>
      </c>
      <c r="L417" s="8">
        <f>H417</f>
        <v/>
      </c>
      <c r="M417" s="26">
        <f>H417^2/6</f>
        <v/>
      </c>
      <c r="N417" s="26">
        <f>H417^3/12</f>
        <v/>
      </c>
      <c r="O417" s="27">
        <f>-J417*L417*K417*C417</f>
        <v/>
      </c>
      <c r="P417" s="28">
        <f>-(12*F417*J417*L417*N417+12*O417*N417*G417*COS(RADIANS(E417)))/(12*N417*G417*COS(RADIANS(E417))^2+L417*G417^3*SIN(RADIANS(E417))^2)</f>
        <v/>
      </c>
      <c r="Q417" s="28">
        <f>-(6*F417*J417*L417*N417*SIN(RADIANS(E417))+6*O417*N417*G417*SIN(RADIANS(E417))*COS(RADIANS(E417)))/(12*N417*COS(RADIANS(E417))^2+L417*G417^2*SIN(RADIANS(E417))^2)</f>
        <v/>
      </c>
      <c r="R417" s="28">
        <f>-P417*SIN(RADIANS(E417))</f>
        <v/>
      </c>
      <c r="S417" s="8">
        <f>(O417+P417*COS(RADIANS(E417)))/L417</f>
        <v/>
      </c>
      <c r="T417" s="8">
        <f>R417/L417</f>
        <v/>
      </c>
      <c r="U417" s="8">
        <f>(Q417-P417*G417*SIN(RADIANS(E417)))/M417</f>
        <v/>
      </c>
      <c r="V417" s="8">
        <f>SQRT((S417+U417)^2+3*T417^2)</f>
        <v/>
      </c>
      <c r="W417" s="8">
        <f>V417/AA417</f>
        <v/>
      </c>
      <c r="X417" s="27">
        <f>((3*10+H417/COS(RADIANS(E417)))*(3+3)+3*G417*H417)*2</f>
        <v/>
      </c>
      <c r="Y417" s="28">
        <f>Z417/X417</f>
        <v/>
      </c>
      <c r="Z417" s="29" t="n">
        <v>708.619816947568</v>
      </c>
      <c r="AA417" s="20" t="n">
        <v>153.780914447652</v>
      </c>
      <c r="AB417" t="n">
        <v>0.3259449658359754</v>
      </c>
      <c r="AC417" t="n">
        <v>127.5587380118426</v>
      </c>
      <c r="AD417" t="n">
        <v>44.21901704252381</v>
      </c>
    </row>
    <row r="418">
      <c r="A418" t="n">
        <v>417</v>
      </c>
      <c r="B418" t="n">
        <v>72.7</v>
      </c>
      <c r="C418" s="21">
        <f>B418-20</f>
        <v/>
      </c>
      <c r="D418" t="n">
        <v>112.3</v>
      </c>
      <c r="E418" s="22">
        <f>D418-90</f>
        <v/>
      </c>
      <c r="F418" s="23" t="n">
        <v>0.015166</v>
      </c>
      <c r="G418" s="22" t="n">
        <v>20.8</v>
      </c>
      <c r="H418" s="22" t="n">
        <v>1.5</v>
      </c>
      <c r="I418" s="24" t="n">
        <v>0.0864101499319076</v>
      </c>
      <c r="J418" s="6" t="n">
        <v>71000</v>
      </c>
      <c r="K418" s="25">
        <f>23*10^-6</f>
        <v/>
      </c>
      <c r="L418" s="8">
        <f>H418</f>
        <v/>
      </c>
      <c r="M418" s="26">
        <f>H418^2/6</f>
        <v/>
      </c>
      <c r="N418" s="26">
        <f>H418^3/12</f>
        <v/>
      </c>
      <c r="O418" s="27">
        <f>-J418*L418*K418*C418</f>
        <v/>
      </c>
      <c r="P418" s="28">
        <f>-(12*F418*J418*L418*N418+12*O418*N418*G418*COS(RADIANS(E418)))/(12*N418*G418*COS(RADIANS(E418))^2+L418*G418^3*SIN(RADIANS(E418))^2)</f>
        <v/>
      </c>
      <c r="Q418" s="28">
        <f>-(6*F418*J418*L418*N418*SIN(RADIANS(E418))+6*O418*N418*G418*SIN(RADIANS(E418))*COS(RADIANS(E418)))/(12*N418*COS(RADIANS(E418))^2+L418*G418^2*SIN(RADIANS(E418))^2)</f>
        <v/>
      </c>
      <c r="R418" s="28">
        <f>-P418*SIN(RADIANS(E418))</f>
        <v/>
      </c>
      <c r="S418" s="8">
        <f>(O418+P418*COS(RADIANS(E418)))/L418</f>
        <v/>
      </c>
      <c r="T418" s="8">
        <f>R418/L418</f>
        <v/>
      </c>
      <c r="U418" s="8">
        <f>(Q418-P418*G418*SIN(RADIANS(E418)))/M418</f>
        <v/>
      </c>
      <c r="V418" s="8">
        <f>SQRT((S418+U418)^2+3*T418^2)</f>
        <v/>
      </c>
      <c r="W418" s="8">
        <f>V418/AA418</f>
        <v/>
      </c>
      <c r="X418" s="27">
        <f>((3*10+H418/COS(RADIANS(E418)))*(3+3)+3*G418*H418)*2</f>
        <v/>
      </c>
      <c r="Y418" s="28">
        <f>Z418/X418</f>
        <v/>
      </c>
      <c r="Z418" s="29" t="n">
        <v>572.028742693873</v>
      </c>
      <c r="AA418" s="20" t="n">
        <v>84.3245228358814</v>
      </c>
      <c r="AB418" t="n">
        <v>0.1001326657565589</v>
      </c>
      <c r="AC418" t="n">
        <v>82.71123971559619</v>
      </c>
      <c r="AD418" t="n">
        <v>15.88067586442664</v>
      </c>
    </row>
    <row r="419">
      <c r="A419" t="n">
        <v>418</v>
      </c>
      <c r="B419" t="n">
        <v>76.2</v>
      </c>
      <c r="C419" s="21">
        <f>B419-20</f>
        <v/>
      </c>
      <c r="D419" t="n">
        <v>112.6</v>
      </c>
      <c r="E419" s="22">
        <f>D419-90</f>
        <v/>
      </c>
      <c r="F419" s="23" t="n">
        <v>0.024369</v>
      </c>
      <c r="G419" s="22" t="n">
        <v>34.7</v>
      </c>
      <c r="H419" s="22" t="n">
        <v>1.9</v>
      </c>
      <c r="I419" s="24" t="n">
        <v>0.128908902406692</v>
      </c>
      <c r="J419" s="6" t="n">
        <v>71000</v>
      </c>
      <c r="K419" s="25">
        <f>23*10^-6</f>
        <v/>
      </c>
      <c r="L419" s="8">
        <f>H419</f>
        <v/>
      </c>
      <c r="M419" s="26">
        <f>H419^2/6</f>
        <v/>
      </c>
      <c r="N419" s="26">
        <f>H419^3/12</f>
        <v/>
      </c>
      <c r="O419" s="27">
        <f>-J419*L419*K419*C419</f>
        <v/>
      </c>
      <c r="P419" s="28">
        <f>-(12*F419*J419*L419*N419+12*O419*N419*G419*COS(RADIANS(E419)))/(12*N419*G419*COS(RADIANS(E419))^2+L419*G419^3*SIN(RADIANS(E419))^2)</f>
        <v/>
      </c>
      <c r="Q419" s="28">
        <f>-(6*F419*J419*L419*N419*SIN(RADIANS(E419))+6*O419*N419*G419*SIN(RADIANS(E419))*COS(RADIANS(E419)))/(12*N419*COS(RADIANS(E419))^2+L419*G419^2*SIN(RADIANS(E419))^2)</f>
        <v/>
      </c>
      <c r="R419" s="28">
        <f>-P419*SIN(RADIANS(E419))</f>
        <v/>
      </c>
      <c r="S419" s="8">
        <f>(O419+P419*COS(RADIANS(E419)))/L419</f>
        <v/>
      </c>
      <c r="T419" s="8">
        <f>R419/L419</f>
        <v/>
      </c>
      <c r="U419" s="8">
        <f>(Q419-P419*G419*SIN(RADIANS(E419)))/M419</f>
        <v/>
      </c>
      <c r="V419" s="8">
        <f>SQRT((S419+U419)^2+3*T419^2)</f>
        <v/>
      </c>
      <c r="W419" s="8">
        <f>V419/AA419</f>
        <v/>
      </c>
      <c r="X419" s="27">
        <f>((3*10+H419/COS(RADIANS(E419)))*(3+3)+3*G419*H419)*2</f>
        <v/>
      </c>
      <c r="Y419" s="28">
        <f>Z419/X419</f>
        <v/>
      </c>
      <c r="Z419" s="29" t="n">
        <v>785.706309267749</v>
      </c>
      <c r="AA419" s="20" t="n">
        <v>90.4779353841882</v>
      </c>
      <c r="AB419" t="n">
        <v>0.1721036893246837</v>
      </c>
      <c r="AC419" t="n">
        <v>87.00537033525572</v>
      </c>
      <c r="AD419" t="n">
        <v>33.50799371614956</v>
      </c>
    </row>
    <row r="420">
      <c r="A420" t="n">
        <v>419</v>
      </c>
      <c r="B420" t="n">
        <v>64.3</v>
      </c>
      <c r="C420" s="21">
        <f>B420-20</f>
        <v/>
      </c>
      <c r="D420" t="n">
        <v>105.2</v>
      </c>
      <c r="E420" s="22">
        <f>D420-90</f>
        <v/>
      </c>
      <c r="F420" s="23" t="n">
        <v>0.018772</v>
      </c>
      <c r="G420" s="22" t="n">
        <v>32.3</v>
      </c>
      <c r="H420" s="22" t="n">
        <v>1.7</v>
      </c>
      <c r="I420" s="24" t="n">
        <v>0.130427747964859</v>
      </c>
      <c r="J420" s="6" t="n">
        <v>71000</v>
      </c>
      <c r="K420" s="25">
        <f>23*10^-6</f>
        <v/>
      </c>
      <c r="L420" s="8">
        <f>H420</f>
        <v/>
      </c>
      <c r="M420" s="26">
        <f>H420^2/6</f>
        <v/>
      </c>
      <c r="N420" s="26">
        <f>H420^3/12</f>
        <v/>
      </c>
      <c r="O420" s="27">
        <f>-J420*L420*K420*C420</f>
        <v/>
      </c>
      <c r="P420" s="28">
        <f>-(12*F420*J420*L420*N420+12*O420*N420*G420*COS(RADIANS(E420)))/(12*N420*G420*COS(RADIANS(E420))^2+L420*G420^3*SIN(RADIANS(E420))^2)</f>
        <v/>
      </c>
      <c r="Q420" s="28">
        <f>-(6*F420*J420*L420*N420*SIN(RADIANS(E420))+6*O420*N420*G420*SIN(RADIANS(E420))*COS(RADIANS(E420)))/(12*N420*COS(RADIANS(E420))^2+L420*G420^2*SIN(RADIANS(E420))^2)</f>
        <v/>
      </c>
      <c r="R420" s="28">
        <f>-P420*SIN(RADIANS(E420))</f>
        <v/>
      </c>
      <c r="S420" s="8">
        <f>(O420+P420*COS(RADIANS(E420)))/L420</f>
        <v/>
      </c>
      <c r="T420" s="8">
        <f>R420/L420</f>
        <v/>
      </c>
      <c r="U420" s="8">
        <f>(Q420-P420*G420*SIN(RADIANS(E420)))/M420</f>
        <v/>
      </c>
      <c r="V420" s="8">
        <f>SQRT((S420+U420)^2+3*T420^2)</f>
        <v/>
      </c>
      <c r="W420" s="8">
        <f>V420/AA420</f>
        <v/>
      </c>
      <c r="X420" s="27">
        <f>((3*10+H420/COS(RADIANS(E420)))*(3+3)+3*G420*H420)*2</f>
        <v/>
      </c>
      <c r="Y420" s="28">
        <f>Z420/X420</f>
        <v/>
      </c>
      <c r="Z420" s="29" t="n">
        <v>714.903205651256</v>
      </c>
      <c r="AA420" s="20" t="n">
        <v>72.3257756671068</v>
      </c>
      <c r="AB420" t="n">
        <v>0.1873894768035752</v>
      </c>
      <c r="AC420" t="n">
        <v>72.25042244817959</v>
      </c>
      <c r="AD420" t="n">
        <v>43.67301416111498</v>
      </c>
    </row>
    <row r="421">
      <c r="A421" t="n">
        <v>420</v>
      </c>
      <c r="B421" t="n">
        <v>62.4</v>
      </c>
      <c r="C421" s="21">
        <f>B421-20</f>
        <v/>
      </c>
      <c r="D421" t="n">
        <v>113.6</v>
      </c>
      <c r="E421" s="22">
        <f>D421-90</f>
        <v/>
      </c>
      <c r="F421" s="23" t="n">
        <v>0.017606</v>
      </c>
      <c r="G421" s="22" t="n">
        <v>33.2</v>
      </c>
      <c r="H421" s="22" t="n">
        <v>1.1</v>
      </c>
      <c r="I421" s="24" t="n">
        <v>0.0914773195981979</v>
      </c>
      <c r="J421" s="6" t="n">
        <v>71000</v>
      </c>
      <c r="K421" s="25">
        <f>23*10^-6</f>
        <v/>
      </c>
      <c r="L421" s="8">
        <f>H421</f>
        <v/>
      </c>
      <c r="M421" s="26">
        <f>H421^2/6</f>
        <v/>
      </c>
      <c r="N421" s="26">
        <f>H421^3/12</f>
        <v/>
      </c>
      <c r="O421" s="27">
        <f>-J421*L421*K421*C421</f>
        <v/>
      </c>
      <c r="P421" s="28">
        <f>-(12*F421*J421*L421*N421+12*O421*N421*G421*COS(RADIANS(E421)))/(12*N421*G421*COS(RADIANS(E421))^2+L421*G421^3*SIN(RADIANS(E421))^2)</f>
        <v/>
      </c>
      <c r="Q421" s="28">
        <f>-(6*F421*J421*L421*N421*SIN(RADIANS(E421))+6*O421*N421*G421*SIN(RADIANS(E421))*COS(RADIANS(E421)))/(12*N421*COS(RADIANS(E421))^2+L421*G421^2*SIN(RADIANS(E421))^2)</f>
        <v/>
      </c>
      <c r="R421" s="28">
        <f>-P421*SIN(RADIANS(E421))</f>
        <v/>
      </c>
      <c r="S421" s="8">
        <f>(O421+P421*COS(RADIANS(E421)))/L421</f>
        <v/>
      </c>
      <c r="T421" s="8">
        <f>R421/L421</f>
        <v/>
      </c>
      <c r="U421" s="8">
        <f>(Q421-P421*G421*SIN(RADIANS(E421)))/M421</f>
        <v/>
      </c>
      <c r="V421" s="8">
        <f>SQRT((S421+U421)^2+3*T421^2)</f>
        <v/>
      </c>
      <c r="W421" s="8">
        <f>V421/AA421</f>
        <v/>
      </c>
      <c r="X421" s="27">
        <f>((3*10+H421/COS(RADIANS(E421)))*(3+3)+3*G421*H421)*2</f>
        <v/>
      </c>
      <c r="Y421" s="28">
        <f>Z421/X421</f>
        <v/>
      </c>
      <c r="Z421" s="29" t="n">
        <v>599.148907652546</v>
      </c>
      <c r="AA421" s="20" t="n">
        <v>58.8129103391985</v>
      </c>
      <c r="AB421" t="n">
        <v>0.1204316426427142</v>
      </c>
      <c r="AC421" t="n">
        <v>62.0539049771615</v>
      </c>
      <c r="AD421" t="n">
        <v>31.65191456384419</v>
      </c>
    </row>
    <row r="422">
      <c r="A422" t="n">
        <v>421</v>
      </c>
      <c r="B422" t="n">
        <v>53.4</v>
      </c>
      <c r="C422" s="21">
        <f>B422-20</f>
        <v/>
      </c>
      <c r="D422" t="n">
        <v>123.2</v>
      </c>
      <c r="E422" s="22">
        <f>D422-90</f>
        <v/>
      </c>
      <c r="F422" s="23" t="n">
        <v>0.011492</v>
      </c>
      <c r="G422" s="22" t="n">
        <v>28.9</v>
      </c>
      <c r="H422" s="22" t="n">
        <v>1.3</v>
      </c>
      <c r="I422" s="24" t="n">
        <v>0.0517792701721191</v>
      </c>
      <c r="J422" s="6" t="n">
        <v>71000</v>
      </c>
      <c r="K422" s="25">
        <f>23*10^-6</f>
        <v/>
      </c>
      <c r="L422" s="8">
        <f>H422</f>
        <v/>
      </c>
      <c r="M422" s="26">
        <f>H422^2/6</f>
        <v/>
      </c>
      <c r="N422" s="26">
        <f>H422^3/12</f>
        <v/>
      </c>
      <c r="O422" s="27">
        <f>-J422*L422*K422*C422</f>
        <v/>
      </c>
      <c r="P422" s="28">
        <f>-(12*F422*J422*L422*N422+12*O422*N422*G422*COS(RADIANS(E422)))/(12*N422*G422*COS(RADIANS(E422))^2+L422*G422^3*SIN(RADIANS(E422))^2)</f>
        <v/>
      </c>
      <c r="Q422" s="28">
        <f>-(6*F422*J422*L422*N422*SIN(RADIANS(E422))+6*O422*N422*G422*SIN(RADIANS(E422))*COS(RADIANS(E422)))/(12*N422*COS(RADIANS(E422))^2+L422*G422^2*SIN(RADIANS(E422))^2)</f>
        <v/>
      </c>
      <c r="R422" s="28">
        <f>-P422*SIN(RADIANS(E422))</f>
        <v/>
      </c>
      <c r="S422" s="8">
        <f>(O422+P422*COS(RADIANS(E422)))/L422</f>
        <v/>
      </c>
      <c r="T422" s="8">
        <f>R422/L422</f>
        <v/>
      </c>
      <c r="U422" s="8">
        <f>(Q422-P422*G422*SIN(RADIANS(E422)))/M422</f>
        <v/>
      </c>
      <c r="V422" s="8">
        <f>SQRT((S422+U422)^2+3*T422^2)</f>
        <v/>
      </c>
      <c r="W422" s="8">
        <f>V422/AA422</f>
        <v/>
      </c>
      <c r="X422" s="27">
        <f>((3*10+H422/COS(RADIANS(E422)))*(3+3)+3*G422*H422)*2</f>
        <v/>
      </c>
      <c r="Y422" s="28">
        <f>Z422/X422</f>
        <v/>
      </c>
      <c r="Z422" s="29" t="n">
        <v>612.1787833902411</v>
      </c>
      <c r="AA422" s="20" t="n">
        <v>47.2630392540727</v>
      </c>
      <c r="AB422" t="n">
        <v>0.05779845404071884</v>
      </c>
      <c r="AC422" t="n">
        <v>48.29138573347105</v>
      </c>
      <c r="AD422" t="n">
        <v>11.62469816316725</v>
      </c>
    </row>
    <row r="423">
      <c r="A423" t="n">
        <v>422</v>
      </c>
      <c r="B423" t="n">
        <v>82.09999999999999</v>
      </c>
      <c r="C423" s="21">
        <f>B423-20</f>
        <v/>
      </c>
      <c r="D423" t="n">
        <v>111.6</v>
      </c>
      <c r="E423" s="22">
        <f>D423-90</f>
        <v/>
      </c>
      <c r="F423" s="23" t="n">
        <v>0.024324</v>
      </c>
      <c r="G423" s="22" t="n">
        <v>30.5</v>
      </c>
      <c r="H423" s="22" t="n">
        <v>1.8</v>
      </c>
      <c r="I423" s="24" t="n">
        <v>0.134269326925277</v>
      </c>
      <c r="J423" s="6" t="n">
        <v>71000</v>
      </c>
      <c r="K423" s="25">
        <f>23*10^-6</f>
        <v/>
      </c>
      <c r="L423" s="8">
        <f>H423</f>
        <v/>
      </c>
      <c r="M423" s="26">
        <f>H423^2/6</f>
        <v/>
      </c>
      <c r="N423" s="26">
        <f>H423^3/12</f>
        <v/>
      </c>
      <c r="O423" s="27">
        <f>-J423*L423*K423*C423</f>
        <v/>
      </c>
      <c r="P423" s="28">
        <f>-(12*F423*J423*L423*N423+12*O423*N423*G423*COS(RADIANS(E423)))/(12*N423*G423*COS(RADIANS(E423))^2+L423*G423^3*SIN(RADIANS(E423))^2)</f>
        <v/>
      </c>
      <c r="Q423" s="28">
        <f>-(6*F423*J423*L423*N423*SIN(RADIANS(E423))+6*O423*N423*G423*SIN(RADIANS(E423))*COS(RADIANS(E423)))/(12*N423*COS(RADIANS(E423))^2+L423*G423^2*SIN(RADIANS(E423))^2)</f>
        <v/>
      </c>
      <c r="R423" s="28">
        <f>-P423*SIN(RADIANS(E423))</f>
        <v/>
      </c>
      <c r="S423" s="8">
        <f>(O423+P423*COS(RADIANS(E423)))/L423</f>
        <v/>
      </c>
      <c r="T423" s="8">
        <f>R423/L423</f>
        <v/>
      </c>
      <c r="U423" s="8">
        <f>(Q423-P423*G423*SIN(RADIANS(E423)))/M423</f>
        <v/>
      </c>
      <c r="V423" s="8">
        <f>SQRT((S423+U423)^2+3*T423^2)</f>
        <v/>
      </c>
      <c r="W423" s="8">
        <f>V423/AA423</f>
        <v/>
      </c>
      <c r="X423" s="27">
        <f>((3*10+H423/COS(RADIANS(E423)))*(3+3)+3*G423*H423)*2</f>
        <v/>
      </c>
      <c r="Y423" s="28">
        <f>Z423/X423</f>
        <v/>
      </c>
      <c r="Z423" s="29" t="n">
        <v>717.877674585857</v>
      </c>
      <c r="AA423" s="20" t="n">
        <v>100.463069397593</v>
      </c>
      <c r="AB423" t="n">
        <v>0.1756555440154499</v>
      </c>
      <c r="AC423" t="n">
        <v>97.26069239122035</v>
      </c>
      <c r="AD423" t="n">
        <v>30.82328483943691</v>
      </c>
    </row>
    <row r="424">
      <c r="A424" t="n">
        <v>423</v>
      </c>
      <c r="B424" t="n">
        <v>40.9</v>
      </c>
      <c r="C424" s="21">
        <f>B424-20</f>
        <v/>
      </c>
      <c r="D424" t="n">
        <v>101.7</v>
      </c>
      <c r="E424" s="22">
        <f>D424-90</f>
        <v/>
      </c>
      <c r="F424" s="23" t="n">
        <v>0.006702</v>
      </c>
      <c r="G424" s="22" t="n">
        <v>22.6</v>
      </c>
      <c r="H424" s="22" t="n">
        <v>2</v>
      </c>
      <c r="I424" s="24" t="n">
        <v>0.0536237843334674</v>
      </c>
      <c r="J424" s="6" t="n">
        <v>71000</v>
      </c>
      <c r="K424" s="25">
        <f>23*10^-6</f>
        <v/>
      </c>
      <c r="L424" s="8">
        <f>H424</f>
        <v/>
      </c>
      <c r="M424" s="26">
        <f>H424^2/6</f>
        <v/>
      </c>
      <c r="N424" s="26">
        <f>H424^3/12</f>
        <v/>
      </c>
      <c r="O424" s="27">
        <f>-J424*L424*K424*C424</f>
        <v/>
      </c>
      <c r="P424" s="28">
        <f>-(12*F424*J424*L424*N424+12*O424*N424*G424*COS(RADIANS(E424)))/(12*N424*G424*COS(RADIANS(E424))^2+L424*G424^3*SIN(RADIANS(E424))^2)</f>
        <v/>
      </c>
      <c r="Q424" s="28">
        <f>-(6*F424*J424*L424*N424*SIN(RADIANS(E424))+6*O424*N424*G424*SIN(RADIANS(E424))*COS(RADIANS(E424)))/(12*N424*COS(RADIANS(E424))^2+L424*G424^2*SIN(RADIANS(E424))^2)</f>
        <v/>
      </c>
      <c r="R424" s="28">
        <f>-P424*SIN(RADIANS(E424))</f>
        <v/>
      </c>
      <c r="S424" s="8">
        <f>(O424+P424*COS(RADIANS(E424)))/L424</f>
        <v/>
      </c>
      <c r="T424" s="8">
        <f>R424/L424</f>
        <v/>
      </c>
      <c r="U424" s="8">
        <f>(Q424-P424*G424*SIN(RADIANS(E424)))/M424</f>
        <v/>
      </c>
      <c r="V424" s="8">
        <f>SQRT((S424+U424)^2+3*T424^2)</f>
        <v/>
      </c>
      <c r="W424" s="8">
        <f>V424/AA424</f>
        <v/>
      </c>
      <c r="X424" s="27">
        <f>((3*10+H424/COS(RADIANS(E424)))*(3+3)+3*G424*H424)*2</f>
        <v/>
      </c>
      <c r="Y424" s="28">
        <f>Z424/X424</f>
        <v/>
      </c>
      <c r="Z424" s="29" t="n">
        <v>659.6520953357179</v>
      </c>
      <c r="AA424" s="20" t="n">
        <v>49.1660916960617</v>
      </c>
      <c r="AB424" t="n">
        <v>0.07245286621044726</v>
      </c>
      <c r="AC424" t="n">
        <v>37.73009078733932</v>
      </c>
      <c r="AD424" t="n">
        <v>35.11330300727834</v>
      </c>
    </row>
    <row r="425">
      <c r="A425" t="n">
        <v>424</v>
      </c>
      <c r="B425" t="n">
        <v>53.7</v>
      </c>
      <c r="C425" s="21">
        <f>B425-20</f>
        <v/>
      </c>
      <c r="D425" t="n">
        <v>116.4</v>
      </c>
      <c r="E425" s="22">
        <f>D425-90</f>
        <v/>
      </c>
      <c r="F425" s="23" t="n">
        <v>0.011046</v>
      </c>
      <c r="G425" s="22" t="n">
        <v>25.4</v>
      </c>
      <c r="H425" s="22" t="n">
        <v>1.7</v>
      </c>
      <c r="I425" s="24" t="n">
        <v>0.0559072047472</v>
      </c>
      <c r="J425" s="6" t="n">
        <v>71000</v>
      </c>
      <c r="K425" s="25">
        <f>23*10^-6</f>
        <v/>
      </c>
      <c r="L425" s="8">
        <f>H425</f>
        <v/>
      </c>
      <c r="M425" s="26">
        <f>H425^2/6</f>
        <v/>
      </c>
      <c r="N425" s="26">
        <f>H425^3/12</f>
        <v/>
      </c>
      <c r="O425" s="27">
        <f>-J425*L425*K425*C425</f>
        <v/>
      </c>
      <c r="P425" s="28">
        <f>-(12*F425*J425*L425*N425+12*O425*N425*G425*COS(RADIANS(E425)))/(12*N425*G425*COS(RADIANS(E425))^2+L425*G425^3*SIN(RADIANS(E425))^2)</f>
        <v/>
      </c>
      <c r="Q425" s="28">
        <f>-(6*F425*J425*L425*N425*SIN(RADIANS(E425))+6*O425*N425*G425*SIN(RADIANS(E425))*COS(RADIANS(E425)))/(12*N425*COS(RADIANS(E425))^2+L425*G425^2*SIN(RADIANS(E425))^2)</f>
        <v/>
      </c>
      <c r="R425" s="28">
        <f>-P425*SIN(RADIANS(E425))</f>
        <v/>
      </c>
      <c r="S425" s="8">
        <f>(O425+P425*COS(RADIANS(E425)))/L425</f>
        <v/>
      </c>
      <c r="T425" s="8">
        <f>R425/L425</f>
        <v/>
      </c>
      <c r="U425" s="8">
        <f>(Q425-P425*G425*SIN(RADIANS(E425)))/M425</f>
        <v/>
      </c>
      <c r="V425" s="8">
        <f>SQRT((S425+U425)^2+3*T425^2)</f>
        <v/>
      </c>
      <c r="W425" s="8">
        <f>V425/AA425</f>
        <v/>
      </c>
      <c r="X425" s="27">
        <f>((3*10+H425/COS(RADIANS(E425)))*(3+3)+3*G425*H425)*2</f>
        <v/>
      </c>
      <c r="Y425" s="28">
        <f>Z425/X425</f>
        <v/>
      </c>
      <c r="Z425" s="29" t="n">
        <v>648.083147137793</v>
      </c>
      <c r="AA425" s="20" t="n">
        <v>53.93256172604</v>
      </c>
      <c r="AB425" t="n">
        <v>0.06524345255154458</v>
      </c>
      <c r="AC425" t="n">
        <v>51.68029033564451</v>
      </c>
      <c r="AD425" t="n">
        <v>16.69954319226123</v>
      </c>
    </row>
    <row r="426">
      <c r="A426" t="n">
        <v>425</v>
      </c>
      <c r="B426" t="n">
        <v>44.8</v>
      </c>
      <c r="C426" s="21">
        <f>B426-20</f>
        <v/>
      </c>
      <c r="D426" t="n">
        <v>110.5</v>
      </c>
      <c r="E426" s="22">
        <f>D426-90</f>
        <v/>
      </c>
      <c r="F426" s="23" t="n">
        <v>0.007496</v>
      </c>
      <c r="G426" s="22" t="n">
        <v>21.9</v>
      </c>
      <c r="H426" s="22" t="n">
        <v>2</v>
      </c>
      <c r="I426" s="24" t="n">
        <v>0.0439297445118427</v>
      </c>
      <c r="J426" s="6" t="n">
        <v>71000</v>
      </c>
      <c r="K426" s="25">
        <f>23*10^-6</f>
        <v/>
      </c>
      <c r="L426" s="8">
        <f>H426</f>
        <v/>
      </c>
      <c r="M426" s="26">
        <f>H426^2/6</f>
        <v/>
      </c>
      <c r="N426" s="26">
        <f>H426^3/12</f>
        <v/>
      </c>
      <c r="O426" s="27">
        <f>-J426*L426*K426*C426</f>
        <v/>
      </c>
      <c r="P426" s="28">
        <f>-(12*F426*J426*L426*N426+12*O426*N426*G426*COS(RADIANS(E426)))/(12*N426*G426*COS(RADIANS(E426))^2+L426*G426^3*SIN(RADIANS(E426))^2)</f>
        <v/>
      </c>
      <c r="Q426" s="28">
        <f>-(6*F426*J426*L426*N426*SIN(RADIANS(E426))+6*O426*N426*G426*SIN(RADIANS(E426))*COS(RADIANS(E426)))/(12*N426*COS(RADIANS(E426))^2+L426*G426^2*SIN(RADIANS(E426))^2)</f>
        <v/>
      </c>
      <c r="R426" s="28">
        <f>-P426*SIN(RADIANS(E426))</f>
        <v/>
      </c>
      <c r="S426" s="8">
        <f>(O426+P426*COS(RADIANS(E426)))/L426</f>
        <v/>
      </c>
      <c r="T426" s="8">
        <f>R426/L426</f>
        <v/>
      </c>
      <c r="U426" s="8">
        <f>(Q426-P426*G426*SIN(RADIANS(E426)))/M426</f>
        <v/>
      </c>
      <c r="V426" s="8">
        <f>SQRT((S426+U426)^2+3*T426^2)</f>
        <v/>
      </c>
      <c r="W426" s="8">
        <f>V426/AA426</f>
        <v/>
      </c>
      <c r="X426" s="27">
        <f>((3*10+H426/COS(RADIANS(E426)))*(3+3)+3*G426*H426)*2</f>
        <v/>
      </c>
      <c r="Y426" s="28">
        <f>Z426/X426</f>
        <v/>
      </c>
      <c r="Z426" s="29" t="n">
        <v>653.478878845343</v>
      </c>
      <c r="AA426" s="20" t="n">
        <v>44.1330185467035</v>
      </c>
      <c r="AB426" t="n">
        <v>0.05242314242979761</v>
      </c>
      <c r="AC426" t="n">
        <v>40.91551264507912</v>
      </c>
      <c r="AD426" t="n">
        <v>19.33404806318697</v>
      </c>
    </row>
    <row r="427">
      <c r="A427" t="n">
        <v>426</v>
      </c>
      <c r="B427" t="n">
        <v>77.40000000000001</v>
      </c>
      <c r="C427" s="21">
        <f>B427-20</f>
        <v/>
      </c>
      <c r="D427" t="n">
        <v>112.8</v>
      </c>
      <c r="E427" s="22">
        <f>D427-90</f>
        <v/>
      </c>
      <c r="F427" s="23" t="n">
        <v>0.023712</v>
      </c>
      <c r="G427" s="22" t="n">
        <v>32.8</v>
      </c>
      <c r="H427" s="22" t="n">
        <v>1.1</v>
      </c>
      <c r="I427" s="24" t="n">
        <v>0.125991359353065</v>
      </c>
      <c r="J427" s="6" t="n">
        <v>71000</v>
      </c>
      <c r="K427" s="25">
        <f>23*10^-6</f>
        <v/>
      </c>
      <c r="L427" s="8">
        <f>H427</f>
        <v/>
      </c>
      <c r="M427" s="26">
        <f>H427^2/6</f>
        <v/>
      </c>
      <c r="N427" s="26">
        <f>H427^3/12</f>
        <v/>
      </c>
      <c r="O427" s="27">
        <f>-J427*L427*K427*C427</f>
        <v/>
      </c>
      <c r="P427" s="28">
        <f>-(12*F427*J427*L427*N427+12*O427*N427*G427*COS(RADIANS(E427)))/(12*N427*G427*COS(RADIANS(E427))^2+L427*G427^3*SIN(RADIANS(E427))^2)</f>
        <v/>
      </c>
      <c r="Q427" s="28">
        <f>-(6*F427*J427*L427*N427*SIN(RADIANS(E427))+6*O427*N427*G427*SIN(RADIANS(E427))*COS(RADIANS(E427)))/(12*N427*COS(RADIANS(E427))^2+L427*G427^2*SIN(RADIANS(E427))^2)</f>
        <v/>
      </c>
      <c r="R427" s="28">
        <f>-P427*SIN(RADIANS(E427))</f>
        <v/>
      </c>
      <c r="S427" s="8">
        <f>(O427+P427*COS(RADIANS(E427)))/L427</f>
        <v/>
      </c>
      <c r="T427" s="8">
        <f>R427/L427</f>
        <v/>
      </c>
      <c r="U427" s="8">
        <f>(Q427-P427*G427*SIN(RADIANS(E427)))/M427</f>
        <v/>
      </c>
      <c r="V427" s="8">
        <f>SQRT((S427+U427)^2+3*T427^2)</f>
        <v/>
      </c>
      <c r="W427" s="8">
        <f>V427/AA427</f>
        <v/>
      </c>
      <c r="X427" s="27">
        <f>((3*10+H427/COS(RADIANS(E427)))*(3+3)+3*G427*H427)*2</f>
        <v/>
      </c>
      <c r="Y427" s="28">
        <f>Z427/X427</f>
        <v/>
      </c>
      <c r="Z427" s="29" t="n">
        <v>596.266690396811</v>
      </c>
      <c r="AA427" s="20" t="n">
        <v>80.35453755396379</v>
      </c>
      <c r="AB427" t="n">
        <v>0.1670263914861416</v>
      </c>
      <c r="AC427" t="n">
        <v>84.34134018329679</v>
      </c>
      <c r="AD427" t="n">
        <v>32.56971933931148</v>
      </c>
    </row>
    <row r="428">
      <c r="A428" t="n">
        <v>427</v>
      </c>
      <c r="B428" t="n">
        <v>60.7</v>
      </c>
      <c r="C428" s="21">
        <f>B428-20</f>
        <v/>
      </c>
      <c r="D428" t="n">
        <v>129.9</v>
      </c>
      <c r="E428" s="22">
        <f>D428-90</f>
        <v/>
      </c>
      <c r="F428" s="23" t="n">
        <v>0.013889</v>
      </c>
      <c r="G428" s="22" t="n">
        <v>31.2</v>
      </c>
      <c r="H428" s="22" t="n">
        <v>2</v>
      </c>
      <c r="I428" s="24" t="n">
        <v>0.0594878904521465</v>
      </c>
      <c r="J428" s="6" t="n">
        <v>71000</v>
      </c>
      <c r="K428" s="25">
        <f>23*10^-6</f>
        <v/>
      </c>
      <c r="L428" s="8">
        <f>H428</f>
        <v/>
      </c>
      <c r="M428" s="26">
        <f>H428^2/6</f>
        <v/>
      </c>
      <c r="N428" s="26">
        <f>H428^3/12</f>
        <v/>
      </c>
      <c r="O428" s="27">
        <f>-J428*L428*K428*C428</f>
        <v/>
      </c>
      <c r="P428" s="28">
        <f>-(12*F428*J428*L428*N428+12*O428*N428*G428*COS(RADIANS(E428)))/(12*N428*G428*COS(RADIANS(E428))^2+L428*G428^3*SIN(RADIANS(E428))^2)</f>
        <v/>
      </c>
      <c r="Q428" s="28">
        <f>-(6*F428*J428*L428*N428*SIN(RADIANS(E428))+6*O428*N428*G428*SIN(RADIANS(E428))*COS(RADIANS(E428)))/(12*N428*COS(RADIANS(E428))^2+L428*G428^2*SIN(RADIANS(E428))^2)</f>
        <v/>
      </c>
      <c r="R428" s="28">
        <f>-P428*SIN(RADIANS(E428))</f>
        <v/>
      </c>
      <c r="S428" s="8">
        <f>(O428+P428*COS(RADIANS(E428)))/L428</f>
        <v/>
      </c>
      <c r="T428" s="8">
        <f>R428/L428</f>
        <v/>
      </c>
      <c r="U428" s="8">
        <f>(Q428-P428*G428*SIN(RADIANS(E428)))/M428</f>
        <v/>
      </c>
      <c r="V428" s="8">
        <f>SQRT((S428+U428)^2+3*T428^2)</f>
        <v/>
      </c>
      <c r="W428" s="8">
        <f>V428/AA428</f>
        <v/>
      </c>
      <c r="X428" s="27">
        <f>((3*10+H428/COS(RADIANS(E428)))*(3+3)+3*G428*H428)*2</f>
        <v/>
      </c>
      <c r="Y428" s="28">
        <f>Z428/X428</f>
        <v/>
      </c>
      <c r="Z428" s="29" t="n">
        <v>776.401643438965</v>
      </c>
      <c r="AA428" s="20" t="n">
        <v>63.0731707470801</v>
      </c>
      <c r="AB428" t="n">
        <v>0.06171241299662181</v>
      </c>
      <c r="AC428" t="n">
        <v>59.29487690073218</v>
      </c>
      <c r="AD428" t="n">
        <v>3.739454412599762</v>
      </c>
    </row>
    <row r="429">
      <c r="A429" t="n">
        <v>428</v>
      </c>
      <c r="B429" t="n">
        <v>84.59999999999999</v>
      </c>
      <c r="C429" s="21">
        <f>B429-20</f>
        <v/>
      </c>
      <c r="D429" t="n">
        <v>105.5</v>
      </c>
      <c r="E429" s="22">
        <f>D429-90</f>
        <v/>
      </c>
      <c r="F429" s="23" t="n">
        <v>0.027128</v>
      </c>
      <c r="G429" s="22" t="n">
        <v>32</v>
      </c>
      <c r="H429" s="22" t="n">
        <v>1.5</v>
      </c>
      <c r="I429" s="24" t="n">
        <v>0.186983793973922</v>
      </c>
      <c r="J429" s="6" t="n">
        <v>71000</v>
      </c>
      <c r="K429" s="25">
        <f>23*10^-6</f>
        <v/>
      </c>
      <c r="L429" s="8">
        <f>H429</f>
        <v/>
      </c>
      <c r="M429" s="26">
        <f>H429^2/6</f>
        <v/>
      </c>
      <c r="N429" s="26">
        <f>H429^3/12</f>
        <v/>
      </c>
      <c r="O429" s="27">
        <f>-J429*L429*K429*C429</f>
        <v/>
      </c>
      <c r="P429" s="28">
        <f>-(12*F429*J429*L429*N429+12*O429*N429*G429*COS(RADIANS(E429)))/(12*N429*G429*COS(RADIANS(E429))^2+L429*G429^3*SIN(RADIANS(E429))^2)</f>
        <v/>
      </c>
      <c r="Q429" s="28">
        <f>-(6*F429*J429*L429*N429*SIN(RADIANS(E429))+6*O429*N429*G429*SIN(RADIANS(E429))*COS(RADIANS(E429)))/(12*N429*COS(RADIANS(E429))^2+L429*G429^2*SIN(RADIANS(E429))^2)</f>
        <v/>
      </c>
      <c r="R429" s="28">
        <f>-P429*SIN(RADIANS(E429))</f>
        <v/>
      </c>
      <c r="S429" s="8">
        <f>(O429+P429*COS(RADIANS(E429)))/L429</f>
        <v/>
      </c>
      <c r="T429" s="8">
        <f>R429/L429</f>
        <v/>
      </c>
      <c r="U429" s="8">
        <f>(Q429-P429*G429*SIN(RADIANS(E429)))/M429</f>
        <v/>
      </c>
      <c r="V429" s="8">
        <f>SQRT((S429+U429)^2+3*T429^2)</f>
        <v/>
      </c>
      <c r="W429" s="8">
        <f>V429/AA429</f>
        <v/>
      </c>
      <c r="X429" s="27">
        <f>((3*10+H429/COS(RADIANS(E429)))*(3+3)+3*G429*H429)*2</f>
        <v/>
      </c>
      <c r="Y429" s="28">
        <f>Z429/X429</f>
        <v/>
      </c>
      <c r="Z429" s="29" t="n">
        <v>671.018802374052</v>
      </c>
      <c r="AA429" s="20" t="n">
        <v>100.668880444271</v>
      </c>
      <c r="AB429" t="n">
        <v>0.2678658627191902</v>
      </c>
      <c r="AC429" t="n">
        <v>103.2316999609228</v>
      </c>
      <c r="AD429" t="n">
        <v>43.25619190107382</v>
      </c>
    </row>
    <row r="430">
      <c r="A430" t="n">
        <v>429</v>
      </c>
      <c r="B430" t="n">
        <v>68.7</v>
      </c>
      <c r="C430" s="21">
        <f>B430-20</f>
        <v/>
      </c>
      <c r="D430" t="n">
        <v>121.2</v>
      </c>
      <c r="E430" s="22">
        <f>D430-90</f>
        <v/>
      </c>
      <c r="F430" s="23" t="n">
        <v>0.015156</v>
      </c>
      <c r="G430" s="22" t="n">
        <v>24.9</v>
      </c>
      <c r="H430" s="22" t="n">
        <v>1</v>
      </c>
      <c r="I430" s="24" t="n">
        <v>0.07138592004776</v>
      </c>
      <c r="J430" s="6" t="n">
        <v>71000</v>
      </c>
      <c r="K430" s="25">
        <f>23*10^-6</f>
        <v/>
      </c>
      <c r="L430" s="8">
        <f>H430</f>
        <v/>
      </c>
      <c r="M430" s="26">
        <f>H430^2/6</f>
        <v/>
      </c>
      <c r="N430" s="26">
        <f>H430^3/12</f>
        <v/>
      </c>
      <c r="O430" s="27">
        <f>-J430*L430*K430*C430</f>
        <v/>
      </c>
      <c r="P430" s="28">
        <f>-(12*F430*J430*L430*N430+12*O430*N430*G430*COS(RADIANS(E430)))/(12*N430*G430*COS(RADIANS(E430))^2+L430*G430^3*SIN(RADIANS(E430))^2)</f>
        <v/>
      </c>
      <c r="Q430" s="28">
        <f>-(6*F430*J430*L430*N430*SIN(RADIANS(E430))+6*O430*N430*G430*SIN(RADIANS(E430))*COS(RADIANS(E430)))/(12*N430*COS(RADIANS(E430))^2+L430*G430^2*SIN(RADIANS(E430))^2)</f>
        <v/>
      </c>
      <c r="R430" s="28">
        <f>-P430*SIN(RADIANS(E430))</f>
        <v/>
      </c>
      <c r="S430" s="8">
        <f>(O430+P430*COS(RADIANS(E430)))/L430</f>
        <v/>
      </c>
      <c r="T430" s="8">
        <f>R430/L430</f>
        <v/>
      </c>
      <c r="U430" s="8">
        <f>(Q430-P430*G430*SIN(RADIANS(E430)))/M430</f>
        <v/>
      </c>
      <c r="V430" s="8">
        <f>SQRT((S430+U430)^2+3*T430^2)</f>
        <v/>
      </c>
      <c r="W430" s="8">
        <f>V430/AA430</f>
        <v/>
      </c>
      <c r="X430" s="27">
        <f>((3*10+H430/COS(RADIANS(E430)))*(3+3)+3*G430*H430)*2</f>
        <v/>
      </c>
      <c r="Y430" s="28">
        <f>Z430/X430</f>
        <v/>
      </c>
      <c r="Z430" s="29" t="n">
        <v>530.9209618552539</v>
      </c>
      <c r="AA430" s="20" t="n">
        <v>66.3003371612773</v>
      </c>
      <c r="AB430" t="n">
        <v>0.07847927175560786</v>
      </c>
      <c r="AC430" t="n">
        <v>70.03077756867312</v>
      </c>
      <c r="AD430" t="n">
        <v>9.936625742306227</v>
      </c>
    </row>
    <row r="431">
      <c r="A431" t="n">
        <v>430</v>
      </c>
      <c r="B431" t="n">
        <v>41.2</v>
      </c>
      <c r="C431" s="21">
        <f>B431-20</f>
        <v/>
      </c>
      <c r="D431" t="n">
        <v>101.7</v>
      </c>
      <c r="E431" s="22">
        <f>D431-90</f>
        <v/>
      </c>
      <c r="F431" s="23" t="n">
        <v>0.007106</v>
      </c>
      <c r="G431" s="22" t="n">
        <v>23.9</v>
      </c>
      <c r="H431" s="22" t="n">
        <v>1.9</v>
      </c>
      <c r="I431" s="24" t="n">
        <v>0.0578847303986549</v>
      </c>
      <c r="J431" s="6" t="n">
        <v>71000</v>
      </c>
      <c r="K431" s="25">
        <f>23*10^-6</f>
        <v/>
      </c>
      <c r="L431" s="8">
        <f>H431</f>
        <v/>
      </c>
      <c r="M431" s="26">
        <f>H431^2/6</f>
        <v/>
      </c>
      <c r="N431" s="26">
        <f>H431^3/12</f>
        <v/>
      </c>
      <c r="O431" s="27">
        <f>-J431*L431*K431*C431</f>
        <v/>
      </c>
      <c r="P431" s="28">
        <f>-(12*F431*J431*L431*N431+12*O431*N431*G431*COS(RADIANS(E431)))/(12*N431*G431*COS(RADIANS(E431))^2+L431*G431^3*SIN(RADIANS(E431))^2)</f>
        <v/>
      </c>
      <c r="Q431" s="28">
        <f>-(6*F431*J431*L431*N431*SIN(RADIANS(E431))+6*O431*N431*G431*SIN(RADIANS(E431))*COS(RADIANS(E431)))/(12*N431*COS(RADIANS(E431))^2+L431*G431^2*SIN(RADIANS(E431))^2)</f>
        <v/>
      </c>
      <c r="R431" s="28">
        <f>-P431*SIN(RADIANS(E431))</f>
        <v/>
      </c>
      <c r="S431" s="8">
        <f>(O431+P431*COS(RADIANS(E431)))/L431</f>
        <v/>
      </c>
      <c r="T431" s="8">
        <f>R431/L431</f>
        <v/>
      </c>
      <c r="U431" s="8">
        <f>(Q431-P431*G431*SIN(RADIANS(E431)))/M431</f>
        <v/>
      </c>
      <c r="V431" s="8">
        <f>SQRT((S431+U431)^2+3*T431^2)</f>
        <v/>
      </c>
      <c r="W431" s="8">
        <f>V431/AA431</f>
        <v/>
      </c>
      <c r="X431" s="27">
        <f>((3*10+H431/COS(RADIANS(E431)))*(3+3)+3*G431*H431)*2</f>
        <v/>
      </c>
      <c r="Y431" s="28">
        <f>Z431/X431</f>
        <v/>
      </c>
      <c r="Z431" s="29" t="n">
        <v>659.686633686965</v>
      </c>
      <c r="AA431" s="20" t="n">
        <v>44.8038505381704</v>
      </c>
      <c r="AB431" t="n">
        <v>0.07980469828413289</v>
      </c>
      <c r="AC431" t="n">
        <v>37.88031440428082</v>
      </c>
      <c r="AD431" t="n">
        <v>37.86830781540161</v>
      </c>
    </row>
    <row r="432">
      <c r="A432" t="n">
        <v>431</v>
      </c>
      <c r="B432" t="n">
        <v>51.1</v>
      </c>
      <c r="C432" s="21">
        <f>B432-20</f>
        <v/>
      </c>
      <c r="D432" t="n">
        <v>107.5</v>
      </c>
      <c r="E432" s="22">
        <f>D432-90</f>
        <v/>
      </c>
      <c r="F432" s="23" t="n">
        <v>0.012981</v>
      </c>
      <c r="G432" s="22" t="n">
        <v>32.1</v>
      </c>
      <c r="H432" s="22" t="n">
        <v>1.6</v>
      </c>
      <c r="I432" s="24" t="n">
        <v>0.0819437429308891</v>
      </c>
      <c r="J432" s="6" t="n">
        <v>71000</v>
      </c>
      <c r="K432" s="25">
        <f>23*10^-6</f>
        <v/>
      </c>
      <c r="L432" s="8">
        <f>H432</f>
        <v/>
      </c>
      <c r="M432" s="26">
        <f>H432^2/6</f>
        <v/>
      </c>
      <c r="N432" s="26">
        <f>H432^3/12</f>
        <v/>
      </c>
      <c r="O432" s="27">
        <f>-J432*L432*K432*C432</f>
        <v/>
      </c>
      <c r="P432" s="28">
        <f>-(12*F432*J432*L432*N432+12*O432*N432*G432*COS(RADIANS(E432)))/(12*N432*G432*COS(RADIANS(E432))^2+L432*G432^3*SIN(RADIANS(E432))^2)</f>
        <v/>
      </c>
      <c r="Q432" s="28">
        <f>-(6*F432*J432*L432*N432*SIN(RADIANS(E432))+6*O432*N432*G432*SIN(RADIANS(E432))*COS(RADIANS(E432)))/(12*N432*COS(RADIANS(E432))^2+L432*G432^2*SIN(RADIANS(E432))^2)</f>
        <v/>
      </c>
      <c r="R432" s="28">
        <f>-P432*SIN(RADIANS(E432))</f>
        <v/>
      </c>
      <c r="S432" s="8">
        <f>(O432+P432*COS(RADIANS(E432)))/L432</f>
        <v/>
      </c>
      <c r="T432" s="8">
        <f>R432/L432</f>
        <v/>
      </c>
      <c r="U432" s="8">
        <f>(Q432-P432*G432*SIN(RADIANS(E432)))/M432</f>
        <v/>
      </c>
      <c r="V432" s="8">
        <f>SQRT((S432+U432)^2+3*T432^2)</f>
        <v/>
      </c>
      <c r="W432" s="8">
        <f>V432/AA432</f>
        <v/>
      </c>
      <c r="X432" s="27">
        <f>((3*10+H432/COS(RADIANS(E432)))*(3+3)+3*G432*H432)*2</f>
        <v/>
      </c>
      <c r="Y432" s="28">
        <f>Z432/X432</f>
        <v/>
      </c>
      <c r="Z432" s="29" t="n">
        <v>692.890087591724</v>
      </c>
      <c r="AA432" s="20" t="n">
        <v>48.9320222440717</v>
      </c>
      <c r="AB432" t="n">
        <v>0.1145633353545668</v>
      </c>
      <c r="AC432" t="n">
        <v>49.22702408188228</v>
      </c>
      <c r="AD432" t="n">
        <v>39.80730102991372</v>
      </c>
    </row>
    <row r="433">
      <c r="A433" t="n">
        <v>432</v>
      </c>
      <c r="B433" t="n">
        <v>84.59999999999999</v>
      </c>
      <c r="C433" s="21">
        <f>B433-20</f>
        <v/>
      </c>
      <c r="D433" t="n">
        <v>120.4</v>
      </c>
      <c r="E433" s="22">
        <f>D433-90</f>
        <v/>
      </c>
      <c r="F433" s="23" t="n">
        <v>0.022712</v>
      </c>
      <c r="G433" s="22" t="n">
        <v>28.8</v>
      </c>
      <c r="H433" s="22" t="n">
        <v>2</v>
      </c>
      <c r="I433" s="24" t="n">
        <v>0.1059190928936</v>
      </c>
      <c r="J433" s="6" t="n">
        <v>71000</v>
      </c>
      <c r="K433" s="25">
        <f>23*10^-6</f>
        <v/>
      </c>
      <c r="L433" s="8">
        <f>H433</f>
        <v/>
      </c>
      <c r="M433" s="26">
        <f>H433^2/6</f>
        <v/>
      </c>
      <c r="N433" s="26">
        <f>H433^3/12</f>
        <v/>
      </c>
      <c r="O433" s="27">
        <f>-J433*L433*K433*C433</f>
        <v/>
      </c>
      <c r="P433" s="28">
        <f>-(12*F433*J433*L433*N433+12*O433*N433*G433*COS(RADIANS(E433)))/(12*N433*G433*COS(RADIANS(E433))^2+L433*G433^3*SIN(RADIANS(E433))^2)</f>
        <v/>
      </c>
      <c r="Q433" s="28">
        <f>-(6*F433*J433*L433*N433*SIN(RADIANS(E433))+6*O433*N433*G433*SIN(RADIANS(E433))*COS(RADIANS(E433)))/(12*N433*COS(RADIANS(E433))^2+L433*G433^2*SIN(RADIANS(E433))^2)</f>
        <v/>
      </c>
      <c r="R433" s="28">
        <f>-P433*SIN(RADIANS(E433))</f>
        <v/>
      </c>
      <c r="S433" s="8">
        <f>(O433+P433*COS(RADIANS(E433)))/L433</f>
        <v/>
      </c>
      <c r="T433" s="8">
        <f>R433/L433</f>
        <v/>
      </c>
      <c r="U433" s="8">
        <f>(Q433-P433*G433*SIN(RADIANS(E433)))/M433</f>
        <v/>
      </c>
      <c r="V433" s="8">
        <f>SQRT((S433+U433)^2+3*T433^2)</f>
        <v/>
      </c>
      <c r="W433" s="8">
        <f>V433/AA433</f>
        <v/>
      </c>
      <c r="X433" s="27">
        <f>((3*10+H433/COS(RADIANS(E433)))*(3+3)+3*G433*H433)*2</f>
        <v/>
      </c>
      <c r="Y433" s="28">
        <f>Z433/X433</f>
        <v/>
      </c>
      <c r="Z433" s="29" t="n">
        <v>740.6849213171849</v>
      </c>
      <c r="AA433" s="20" t="n">
        <v>106.114565070871</v>
      </c>
      <c r="AB433" t="n">
        <v>0.1213861193594487</v>
      </c>
      <c r="AC433" t="n">
        <v>97.99227667129378</v>
      </c>
      <c r="AD433" t="n">
        <v>14.60268025651046</v>
      </c>
    </row>
    <row r="434">
      <c r="A434" t="n">
        <v>433</v>
      </c>
      <c r="B434" t="n">
        <v>51.9</v>
      </c>
      <c r="C434" s="21">
        <f>B434-20</f>
        <v/>
      </c>
      <c r="D434" t="n">
        <v>106.3</v>
      </c>
      <c r="E434" s="22">
        <f>D434-90</f>
        <v/>
      </c>
      <c r="F434" s="23" t="n">
        <v>0.011362</v>
      </c>
      <c r="G434" s="22" t="n">
        <v>26.3</v>
      </c>
      <c r="H434" s="22" t="n">
        <v>1.9</v>
      </c>
      <c r="I434" s="24" t="n">
        <v>0.0756420642137527</v>
      </c>
      <c r="J434" s="6" t="n">
        <v>71000</v>
      </c>
      <c r="K434" s="25">
        <f>23*10^-6</f>
        <v/>
      </c>
      <c r="L434" s="8">
        <f>H434</f>
        <v/>
      </c>
      <c r="M434" s="26">
        <f>H434^2/6</f>
        <v/>
      </c>
      <c r="N434" s="26">
        <f>H434^3/12</f>
        <v/>
      </c>
      <c r="O434" s="27">
        <f>-J434*L434*K434*C434</f>
        <v/>
      </c>
      <c r="P434" s="28">
        <f>-(12*F434*J434*L434*N434+12*O434*N434*G434*COS(RADIANS(E434)))/(12*N434*G434*COS(RADIANS(E434))^2+L434*G434^3*SIN(RADIANS(E434))^2)</f>
        <v/>
      </c>
      <c r="Q434" s="28">
        <f>-(6*F434*J434*L434*N434*SIN(RADIANS(E434))+6*O434*N434*G434*SIN(RADIANS(E434))*COS(RADIANS(E434)))/(12*N434*COS(RADIANS(E434))^2+L434*G434^2*SIN(RADIANS(E434))^2)</f>
        <v/>
      </c>
      <c r="R434" s="28">
        <f>-P434*SIN(RADIANS(E434))</f>
        <v/>
      </c>
      <c r="S434" s="8">
        <f>(O434+P434*COS(RADIANS(E434)))/L434</f>
        <v/>
      </c>
      <c r="T434" s="8">
        <f>R434/L434</f>
        <v/>
      </c>
      <c r="U434" s="8">
        <f>(Q434-P434*G434*SIN(RADIANS(E434)))/M434</f>
        <v/>
      </c>
      <c r="V434" s="8">
        <f>SQRT((S434+U434)^2+3*T434^2)</f>
        <v/>
      </c>
      <c r="W434" s="8">
        <f>V434/AA434</f>
        <v/>
      </c>
      <c r="X434" s="27">
        <f>((3*10+H434/COS(RADIANS(E434)))*(3+3)+3*G434*H434)*2</f>
        <v/>
      </c>
      <c r="Y434" s="28">
        <f>Z434/X434</f>
        <v/>
      </c>
      <c r="Z434" s="29" t="n">
        <v>688.013518908326</v>
      </c>
      <c r="AA434" s="20" t="n">
        <v>55.6849657203257</v>
      </c>
      <c r="AB434" t="n">
        <v>0.1012249003513629</v>
      </c>
      <c r="AC434" t="n">
        <v>53.46355290544186</v>
      </c>
      <c r="AD434" t="n">
        <v>33.82091221799168</v>
      </c>
    </row>
    <row r="435">
      <c r="A435" t="n">
        <v>434</v>
      </c>
      <c r="B435" t="n">
        <v>68.7</v>
      </c>
      <c r="C435" s="21">
        <f>B435-20</f>
        <v/>
      </c>
      <c r="D435" t="n">
        <v>122.4</v>
      </c>
      <c r="E435" s="22">
        <f>D435-90</f>
        <v/>
      </c>
      <c r="F435" s="23" t="n">
        <v>0.016831</v>
      </c>
      <c r="G435" s="22" t="n">
        <v>28.8</v>
      </c>
      <c r="H435" s="22" t="n">
        <v>1.9</v>
      </c>
      <c r="I435" s="24" t="n">
        <v>0.0766347199678421</v>
      </c>
      <c r="J435" s="6" t="n">
        <v>71000</v>
      </c>
      <c r="K435" s="25">
        <f>23*10^-6</f>
        <v/>
      </c>
      <c r="L435" s="8">
        <f>H435</f>
        <v/>
      </c>
      <c r="M435" s="26">
        <f>H435^2/6</f>
        <v/>
      </c>
      <c r="N435" s="26">
        <f>H435^3/12</f>
        <v/>
      </c>
      <c r="O435" s="27">
        <f>-J435*L435*K435*C435</f>
        <v/>
      </c>
      <c r="P435" s="28">
        <f>-(12*F435*J435*L435*N435+12*O435*N435*G435*COS(RADIANS(E435)))/(12*N435*G435*COS(RADIANS(E435))^2+L435*G435^3*SIN(RADIANS(E435))^2)</f>
        <v/>
      </c>
      <c r="Q435" s="28">
        <f>-(6*F435*J435*L435*N435*SIN(RADIANS(E435))+6*O435*N435*G435*SIN(RADIANS(E435))*COS(RADIANS(E435)))/(12*N435*COS(RADIANS(E435))^2+L435*G435^2*SIN(RADIANS(E435))^2)</f>
        <v/>
      </c>
      <c r="R435" s="28">
        <f>-P435*SIN(RADIANS(E435))</f>
        <v/>
      </c>
      <c r="S435" s="8">
        <f>(O435+P435*COS(RADIANS(E435)))/L435</f>
        <v/>
      </c>
      <c r="T435" s="8">
        <f>R435/L435</f>
        <v/>
      </c>
      <c r="U435" s="8">
        <f>(Q435-P435*G435*SIN(RADIANS(E435)))/M435</f>
        <v/>
      </c>
      <c r="V435" s="8">
        <f>SQRT((S435+U435)^2+3*T435^2)</f>
        <v/>
      </c>
      <c r="W435" s="8">
        <f>V435/AA435</f>
        <v/>
      </c>
      <c r="X435" s="27">
        <f>((3*10+H435/COS(RADIANS(E435)))*(3+3)+3*G435*H435)*2</f>
        <v/>
      </c>
      <c r="Y435" s="28">
        <f>Z435/X435</f>
        <v/>
      </c>
      <c r="Z435" s="29" t="n">
        <v>723.182330233329</v>
      </c>
      <c r="AA435" s="20" t="n">
        <v>77.849260483191</v>
      </c>
      <c r="AB435" t="n">
        <v>0.08568425006365663</v>
      </c>
      <c r="AC435" t="n">
        <v>72.85355889243635</v>
      </c>
      <c r="AD435" t="n">
        <v>11.80865552795383</v>
      </c>
    </row>
    <row r="436">
      <c r="A436" t="n">
        <v>435</v>
      </c>
      <c r="B436" t="n">
        <v>81.2</v>
      </c>
      <c r="C436" s="21">
        <f>B436-20</f>
        <v/>
      </c>
      <c r="D436" t="n">
        <v>122.5</v>
      </c>
      <c r="E436" s="22">
        <f>D436-90</f>
        <v/>
      </c>
      <c r="F436" s="23" t="n">
        <v>0.024722</v>
      </c>
      <c r="G436" s="22" t="n">
        <v>34.9</v>
      </c>
      <c r="H436" s="22" t="n">
        <v>1.9</v>
      </c>
      <c r="I436" s="24" t="n">
        <v>0.109455712139606</v>
      </c>
      <c r="J436" s="6" t="n">
        <v>71000</v>
      </c>
      <c r="K436" s="25">
        <f>23*10^-6</f>
        <v/>
      </c>
      <c r="L436" s="8">
        <f>H436</f>
        <v/>
      </c>
      <c r="M436" s="26">
        <f>H436^2/6</f>
        <v/>
      </c>
      <c r="N436" s="26">
        <f>H436^3/12</f>
        <v/>
      </c>
      <c r="O436" s="27">
        <f>-J436*L436*K436*C436</f>
        <v/>
      </c>
      <c r="P436" s="28">
        <f>-(12*F436*J436*L436*N436+12*O436*N436*G436*COS(RADIANS(E436)))/(12*N436*G436*COS(RADIANS(E436))^2+L436*G436^3*SIN(RADIANS(E436))^2)</f>
        <v/>
      </c>
      <c r="Q436" s="28">
        <f>-(6*F436*J436*L436*N436*SIN(RADIANS(E436))+6*O436*N436*G436*SIN(RADIANS(E436))*COS(RADIANS(E436)))/(12*N436*COS(RADIANS(E436))^2+L436*G436^2*SIN(RADIANS(E436))^2)</f>
        <v/>
      </c>
      <c r="R436" s="28">
        <f>-P436*SIN(RADIANS(E436))</f>
        <v/>
      </c>
      <c r="S436" s="8">
        <f>(O436+P436*COS(RADIANS(E436)))/L436</f>
        <v/>
      </c>
      <c r="T436" s="8">
        <f>R436/L436</f>
        <v/>
      </c>
      <c r="U436" s="8">
        <f>(Q436-P436*G436*SIN(RADIANS(E436)))/M436</f>
        <v/>
      </c>
      <c r="V436" s="8">
        <f>SQRT((S436+U436)^2+3*T436^2)</f>
        <v/>
      </c>
      <c r="W436" s="8">
        <f>V436/AA436</f>
        <v/>
      </c>
      <c r="X436" s="27">
        <f>((3*10+H436/COS(RADIANS(E436)))*(3+3)+3*G436*H436)*2</f>
        <v/>
      </c>
      <c r="Y436" s="28">
        <f>Z436/X436</f>
        <v/>
      </c>
      <c r="Z436" s="29" t="n">
        <v>792.783876805559</v>
      </c>
      <c r="AA436" s="20" t="n">
        <v>95.23334121207409</v>
      </c>
      <c r="AB436" t="n">
        <v>0.1291770551935909</v>
      </c>
      <c r="AC436" t="n">
        <v>90.39646613278053</v>
      </c>
      <c r="AD436" t="n">
        <v>18.01764628677502</v>
      </c>
    </row>
    <row r="437">
      <c r="A437" t="n">
        <v>436</v>
      </c>
      <c r="B437" t="n">
        <v>85.7</v>
      </c>
      <c r="C437" s="21">
        <f>B437-20</f>
        <v/>
      </c>
      <c r="D437" t="n">
        <v>112.8</v>
      </c>
      <c r="E437" s="22">
        <f>D437-90</f>
        <v/>
      </c>
      <c r="F437" s="23" t="n">
        <v>0.026381</v>
      </c>
      <c r="G437" s="22" t="n">
        <v>31.7</v>
      </c>
      <c r="H437" s="22" t="n">
        <v>1.7</v>
      </c>
      <c r="I437" s="24" t="n">
        <v>0.140475124120712</v>
      </c>
      <c r="J437" s="6" t="n">
        <v>71000</v>
      </c>
      <c r="K437" s="25">
        <f>23*10^-6</f>
        <v/>
      </c>
      <c r="L437" s="8">
        <f>H437</f>
        <v/>
      </c>
      <c r="M437" s="26">
        <f>H437^2/6</f>
        <v/>
      </c>
      <c r="N437" s="26">
        <f>H437^3/12</f>
        <v/>
      </c>
      <c r="O437" s="27">
        <f>-J437*L437*K437*C437</f>
        <v/>
      </c>
      <c r="P437" s="28">
        <f>-(12*F437*J437*L437*N437+12*O437*N437*G437*COS(RADIANS(E437)))/(12*N437*G437*COS(RADIANS(E437))^2+L437*G437^3*SIN(RADIANS(E437))^2)</f>
        <v/>
      </c>
      <c r="Q437" s="28">
        <f>-(6*F437*J437*L437*N437*SIN(RADIANS(E437))+6*O437*N437*G437*SIN(RADIANS(E437))*COS(RADIANS(E437)))/(12*N437*COS(RADIANS(E437))^2+L437*G437^2*SIN(RADIANS(E437))^2)</f>
        <v/>
      </c>
      <c r="R437" s="28">
        <f>-P437*SIN(RADIANS(E437))</f>
        <v/>
      </c>
      <c r="S437" s="8">
        <f>(O437+P437*COS(RADIANS(E437)))/L437</f>
        <v/>
      </c>
      <c r="T437" s="8">
        <f>R437/L437</f>
        <v/>
      </c>
      <c r="U437" s="8">
        <f>(Q437-P437*G437*SIN(RADIANS(E437)))/M437</f>
        <v/>
      </c>
      <c r="V437" s="8">
        <f>SQRT((S437+U437)^2+3*T437^2)</f>
        <v/>
      </c>
      <c r="W437" s="8">
        <f>V437/AA437</f>
        <v/>
      </c>
      <c r="X437" s="27">
        <f>((3*10+H437/COS(RADIANS(E437)))*(3+3)+3*G437*H437)*2</f>
        <v/>
      </c>
      <c r="Y437" s="28">
        <f>Z437/X437</f>
        <v/>
      </c>
      <c r="Z437" s="29" t="n">
        <v>710.93696026994</v>
      </c>
      <c r="AA437" s="20" t="n">
        <v>103.430129929481</v>
      </c>
      <c r="AB437" t="n">
        <v>0.1832092443534228</v>
      </c>
      <c r="AC437" t="n">
        <v>101.0535758107017</v>
      </c>
      <c r="AD437" t="n">
        <v>30.42113007566293</v>
      </c>
    </row>
    <row r="438">
      <c r="A438" t="n">
        <v>437</v>
      </c>
      <c r="B438" t="n">
        <v>54.1</v>
      </c>
      <c r="C438" s="21">
        <f>B438-20</f>
        <v/>
      </c>
      <c r="D438" t="n">
        <v>116.7</v>
      </c>
      <c r="E438" s="22">
        <f>D438-90</f>
        <v/>
      </c>
      <c r="F438" s="23" t="n">
        <v>0.012821</v>
      </c>
      <c r="G438" s="22" t="n">
        <v>30.2</v>
      </c>
      <c r="H438" s="22" t="n">
        <v>1.7</v>
      </c>
      <c r="I438" s="24" t="n">
        <v>0.0630052760243415</v>
      </c>
      <c r="J438" s="6" t="n">
        <v>71000</v>
      </c>
      <c r="K438" s="25">
        <f>23*10^-6</f>
        <v/>
      </c>
      <c r="L438" s="8">
        <f>H438</f>
        <v/>
      </c>
      <c r="M438" s="26">
        <f>H438^2/6</f>
        <v/>
      </c>
      <c r="N438" s="26">
        <f>H438^3/12</f>
        <v/>
      </c>
      <c r="O438" s="27">
        <f>-J438*L438*K438*C438</f>
        <v/>
      </c>
      <c r="P438" s="28">
        <f>-(12*F438*J438*L438*N438+12*O438*N438*G438*COS(RADIANS(E438)))/(12*N438*G438*COS(RADIANS(E438))^2+L438*G438^3*SIN(RADIANS(E438))^2)</f>
        <v/>
      </c>
      <c r="Q438" s="28">
        <f>-(6*F438*J438*L438*N438*SIN(RADIANS(E438))+6*O438*N438*G438*SIN(RADIANS(E438))*COS(RADIANS(E438)))/(12*N438*COS(RADIANS(E438))^2+L438*G438^2*SIN(RADIANS(E438))^2)</f>
        <v/>
      </c>
      <c r="R438" s="28">
        <f>-P438*SIN(RADIANS(E438))</f>
        <v/>
      </c>
      <c r="S438" s="8">
        <f>(O438+P438*COS(RADIANS(E438)))/L438</f>
        <v/>
      </c>
      <c r="T438" s="8">
        <f>R438/L438</f>
        <v/>
      </c>
      <c r="U438" s="8">
        <f>(Q438-P438*G438*SIN(RADIANS(E438)))/M438</f>
        <v/>
      </c>
      <c r="V438" s="8">
        <f>SQRT((S438+U438)^2+3*T438^2)</f>
        <v/>
      </c>
      <c r="W438" s="8">
        <f>V438/AA438</f>
        <v/>
      </c>
      <c r="X438" s="27">
        <f>((3*10+H438/COS(RADIANS(E438)))*(3+3)+3*G438*H438)*2</f>
        <v/>
      </c>
      <c r="Y438" s="28">
        <f>Z438/X438</f>
        <v/>
      </c>
      <c r="Z438" s="29" t="n">
        <v>697.173004785502</v>
      </c>
      <c r="AA438" s="20" t="n">
        <v>52.7569914748608</v>
      </c>
      <c r="AB438" t="n">
        <v>0.07715857357222311</v>
      </c>
      <c r="AC438" t="n">
        <v>51.56340395287508</v>
      </c>
      <c r="AD438" t="n">
        <v>22.46367041136939</v>
      </c>
    </row>
    <row r="439">
      <c r="A439" t="n">
        <v>438</v>
      </c>
      <c r="B439" t="n">
        <v>53</v>
      </c>
      <c r="C439" s="21">
        <f>B439-20</f>
        <v/>
      </c>
      <c r="D439" t="n">
        <v>120.9</v>
      </c>
      <c r="E439" s="22">
        <f>D439-90</f>
        <v/>
      </c>
      <c r="F439" s="23" t="n">
        <v>0.012522</v>
      </c>
      <c r="G439" s="22" t="n">
        <v>31.8</v>
      </c>
      <c r="H439" s="22" t="n">
        <v>2</v>
      </c>
      <c r="I439" s="24" t="n">
        <v>0.0572265721857547</v>
      </c>
      <c r="J439" s="6" t="n">
        <v>71000</v>
      </c>
      <c r="K439" s="25">
        <f>23*10^-6</f>
        <v/>
      </c>
      <c r="L439" s="8">
        <f>H439</f>
        <v/>
      </c>
      <c r="M439" s="26">
        <f>H439^2/6</f>
        <v/>
      </c>
      <c r="N439" s="26">
        <f>H439^3/12</f>
        <v/>
      </c>
      <c r="O439" s="27">
        <f>-J439*L439*K439*C439</f>
        <v/>
      </c>
      <c r="P439" s="28">
        <f>-(12*F439*J439*L439*N439+12*O439*N439*G439*COS(RADIANS(E439)))/(12*N439*G439*COS(RADIANS(E439))^2+L439*G439^3*SIN(RADIANS(E439))^2)</f>
        <v/>
      </c>
      <c r="Q439" s="28">
        <f>-(6*F439*J439*L439*N439*SIN(RADIANS(E439))+6*O439*N439*G439*SIN(RADIANS(E439))*COS(RADIANS(E439)))/(12*N439*COS(RADIANS(E439))^2+L439*G439^2*SIN(RADIANS(E439))^2)</f>
        <v/>
      </c>
      <c r="R439" s="28">
        <f>-P439*SIN(RADIANS(E439))</f>
        <v/>
      </c>
      <c r="S439" s="8">
        <f>(O439+P439*COS(RADIANS(E439)))/L439</f>
        <v/>
      </c>
      <c r="T439" s="8">
        <f>R439/L439</f>
        <v/>
      </c>
      <c r="U439" s="8">
        <f>(Q439-P439*G439*SIN(RADIANS(E439)))/M439</f>
        <v/>
      </c>
      <c r="V439" s="8">
        <f>SQRT((S439+U439)^2+3*T439^2)</f>
        <v/>
      </c>
      <c r="W439" s="8">
        <f>V439/AA439</f>
        <v/>
      </c>
      <c r="X439" s="27">
        <f>((3*10+H439/COS(RADIANS(E439)))*(3+3)+3*G439*H439)*2</f>
        <v/>
      </c>
      <c r="Y439" s="28">
        <f>Z439/X439</f>
        <v/>
      </c>
      <c r="Z439" s="29" t="n">
        <v>776.973453610848</v>
      </c>
      <c r="AA439" s="20" t="n">
        <v>53.2060765388458</v>
      </c>
      <c r="AB439" t="n">
        <v>0.0670991337342863</v>
      </c>
      <c r="AC439" t="n">
        <v>49.59609781776368</v>
      </c>
      <c r="AD439" t="n">
        <v>17.25170872804638</v>
      </c>
    </row>
    <row r="440">
      <c r="A440" t="n">
        <v>439</v>
      </c>
      <c r="B440" t="n">
        <v>89.40000000000001</v>
      </c>
      <c r="C440" s="21">
        <f>B440-20</f>
        <v/>
      </c>
      <c r="D440" t="n">
        <v>104.1</v>
      </c>
      <c r="E440" s="22">
        <f>D440-90</f>
        <v/>
      </c>
      <c r="F440" s="23" t="n">
        <v>0.029608</v>
      </c>
      <c r="G440" s="22" t="n">
        <v>32.4</v>
      </c>
      <c r="H440" s="22" t="n">
        <v>1</v>
      </c>
      <c r="I440" s="24" t="n">
        <v>0.221271023154258</v>
      </c>
      <c r="J440" s="6" t="n">
        <v>71000</v>
      </c>
      <c r="K440" s="25">
        <f>23*10^-6</f>
        <v/>
      </c>
      <c r="L440" s="8">
        <f>H440</f>
        <v/>
      </c>
      <c r="M440" s="26">
        <f>H440^2/6</f>
        <v/>
      </c>
      <c r="N440" s="26">
        <f>H440^3/12</f>
        <v/>
      </c>
      <c r="O440" s="27">
        <f>-J440*L440*K440*C440</f>
        <v/>
      </c>
      <c r="P440" s="28">
        <f>-(12*F440*J440*L440*N440+12*O440*N440*G440*COS(RADIANS(E440)))/(12*N440*G440*COS(RADIANS(E440))^2+L440*G440^3*SIN(RADIANS(E440))^2)</f>
        <v/>
      </c>
      <c r="Q440" s="28">
        <f>-(6*F440*J440*L440*N440*SIN(RADIANS(E440))+6*O440*N440*G440*SIN(RADIANS(E440))*COS(RADIANS(E440)))/(12*N440*COS(RADIANS(E440))^2+L440*G440^2*SIN(RADIANS(E440))^2)</f>
        <v/>
      </c>
      <c r="R440" s="28">
        <f>-P440*SIN(RADIANS(E440))</f>
        <v/>
      </c>
      <c r="S440" s="8">
        <f>(O440+P440*COS(RADIANS(E440)))/L440</f>
        <v/>
      </c>
      <c r="T440" s="8">
        <f>R440/L440</f>
        <v/>
      </c>
      <c r="U440" s="8">
        <f>(Q440-P440*G440*SIN(RADIANS(E440)))/M440</f>
        <v/>
      </c>
      <c r="V440" s="8">
        <f>SQRT((S440+U440)^2+3*T440^2)</f>
        <v/>
      </c>
      <c r="W440" s="8">
        <f>V440/AA440</f>
        <v/>
      </c>
      <c r="X440" s="27">
        <f>((3*10+H440/COS(RADIANS(E440)))*(3+3)+3*G440*H440)*2</f>
        <v/>
      </c>
      <c r="Y440" s="28">
        <f>Z440/X440</f>
        <v/>
      </c>
      <c r="Z440" s="29" t="n">
        <v>570.951928947497</v>
      </c>
      <c r="AA440" s="20" t="n">
        <v>99.10691660351451</v>
      </c>
      <c r="AB440" t="n">
        <v>0.3251433575457562</v>
      </c>
      <c r="AC440" t="n">
        <v>106.5133069059738</v>
      </c>
      <c r="AD440" t="n">
        <v>46.94348718181872</v>
      </c>
    </row>
    <row r="441">
      <c r="A441" t="n">
        <v>440</v>
      </c>
      <c r="B441" t="n">
        <v>64.90000000000001</v>
      </c>
      <c r="C441" s="21">
        <f>B441-20</f>
        <v/>
      </c>
      <c r="D441" t="n">
        <v>117.1</v>
      </c>
      <c r="E441" s="22">
        <f>D441-90</f>
        <v/>
      </c>
      <c r="F441" s="23" t="n">
        <v>0.014463</v>
      </c>
      <c r="G441" s="22" t="n">
        <v>25</v>
      </c>
      <c r="H441" s="22" t="n">
        <v>1.5</v>
      </c>
      <c r="I441" s="24" t="n">
        <v>0.0724997073411941</v>
      </c>
      <c r="J441" s="6" t="n">
        <v>71000</v>
      </c>
      <c r="K441" s="25">
        <f>23*10^-6</f>
        <v/>
      </c>
      <c r="L441" s="8">
        <f>H441</f>
        <v/>
      </c>
      <c r="M441" s="26">
        <f>H441^2/6</f>
        <v/>
      </c>
      <c r="N441" s="26">
        <f>H441^3/12</f>
        <v/>
      </c>
      <c r="O441" s="27">
        <f>-J441*L441*K441*C441</f>
        <v/>
      </c>
      <c r="P441" s="28">
        <f>-(12*F441*J441*L441*N441+12*O441*N441*G441*COS(RADIANS(E441)))/(12*N441*G441*COS(RADIANS(E441))^2+L441*G441^3*SIN(RADIANS(E441))^2)</f>
        <v/>
      </c>
      <c r="Q441" s="28">
        <f>-(6*F441*J441*L441*N441*SIN(RADIANS(E441))+6*O441*N441*G441*SIN(RADIANS(E441))*COS(RADIANS(E441)))/(12*N441*COS(RADIANS(E441))^2+L441*G441^2*SIN(RADIANS(E441))^2)</f>
        <v/>
      </c>
      <c r="R441" s="28">
        <f>-P441*SIN(RADIANS(E441))</f>
        <v/>
      </c>
      <c r="S441" s="8">
        <f>(O441+P441*COS(RADIANS(E441)))/L441</f>
        <v/>
      </c>
      <c r="T441" s="8">
        <f>R441/L441</f>
        <v/>
      </c>
      <c r="U441" s="8">
        <f>(Q441-P441*G441*SIN(RADIANS(E441)))/M441</f>
        <v/>
      </c>
      <c r="V441" s="8">
        <f>SQRT((S441+U441)^2+3*T441^2)</f>
        <v/>
      </c>
      <c r="W441" s="8">
        <f>V441/AA441</f>
        <v/>
      </c>
      <c r="X441" s="27">
        <f>((3*10+H441/COS(RADIANS(E441)))*(3+3)+3*G441*H441)*2</f>
        <v/>
      </c>
      <c r="Y441" s="28">
        <f>Z441/X441</f>
        <v/>
      </c>
      <c r="Z441" s="29" t="n">
        <v>611.613359650638</v>
      </c>
      <c r="AA441" s="20" t="n">
        <v>68.339562401427</v>
      </c>
      <c r="AB441" t="n">
        <v>0.08368440489106355</v>
      </c>
      <c r="AC441" t="n">
        <v>67.76082402957823</v>
      </c>
      <c r="AD441" t="n">
        <v>15.42723130899363</v>
      </c>
    </row>
    <row r="442">
      <c r="A442" t="n">
        <v>441</v>
      </c>
      <c r="B442" t="n">
        <v>43.5</v>
      </c>
      <c r="C442" s="21">
        <f>B442-20</f>
        <v/>
      </c>
      <c r="D442" t="n">
        <v>118</v>
      </c>
      <c r="E442" s="22">
        <f>D442-90</f>
        <v/>
      </c>
      <c r="F442" s="23" t="n">
        <v>0.007426</v>
      </c>
      <c r="G442" s="22" t="n">
        <v>24.6</v>
      </c>
      <c r="H442" s="22" t="n">
        <v>1.7</v>
      </c>
      <c r="I442" s="24" t="n">
        <v>0.0367204137146472</v>
      </c>
      <c r="J442" s="6" t="n">
        <v>71000</v>
      </c>
      <c r="K442" s="25">
        <f>23*10^-6</f>
        <v/>
      </c>
      <c r="L442" s="8">
        <f>H442</f>
        <v/>
      </c>
      <c r="M442" s="26">
        <f>H442^2/6</f>
        <v/>
      </c>
      <c r="N442" s="26">
        <f>H442^3/12</f>
        <v/>
      </c>
      <c r="O442" s="27">
        <f>-J442*L442*K442*C442</f>
        <v/>
      </c>
      <c r="P442" s="28">
        <f>-(12*F442*J442*L442*N442+12*O442*N442*G442*COS(RADIANS(E442)))/(12*N442*G442*COS(RADIANS(E442))^2+L442*G442^3*SIN(RADIANS(E442))^2)</f>
        <v/>
      </c>
      <c r="Q442" s="28">
        <f>-(6*F442*J442*L442*N442*SIN(RADIANS(E442))+6*O442*N442*G442*SIN(RADIANS(E442))*COS(RADIANS(E442)))/(12*N442*COS(RADIANS(E442))^2+L442*G442^2*SIN(RADIANS(E442))^2)</f>
        <v/>
      </c>
      <c r="R442" s="28">
        <f>-P442*SIN(RADIANS(E442))</f>
        <v/>
      </c>
      <c r="S442" s="8">
        <f>(O442+P442*COS(RADIANS(E442)))/L442</f>
        <v/>
      </c>
      <c r="T442" s="8">
        <f>R442/L442</f>
        <v/>
      </c>
      <c r="U442" s="8">
        <f>(Q442-P442*G442*SIN(RADIANS(E442)))/M442</f>
        <v/>
      </c>
      <c r="V442" s="8">
        <f>SQRT((S442+U442)^2+3*T442^2)</f>
        <v/>
      </c>
      <c r="W442" s="8">
        <f>V442/AA442</f>
        <v/>
      </c>
      <c r="X442" s="27">
        <f>((3*10+H442/COS(RADIANS(E442)))*(3+3)+3*G442*H442)*2</f>
        <v/>
      </c>
      <c r="Y442" s="28">
        <f>Z442/X442</f>
        <v/>
      </c>
      <c r="Z442" s="29" t="n">
        <v>640.639739636233</v>
      </c>
      <c r="AA442" s="20" t="n">
        <v>37.4673175881026</v>
      </c>
      <c r="AB442" t="n">
        <v>0.04152066511289264</v>
      </c>
      <c r="AC442" t="n">
        <v>35.8178939871433</v>
      </c>
      <c r="AD442" t="n">
        <v>13.07243277689624</v>
      </c>
    </row>
    <row r="443">
      <c r="A443" t="n">
        <v>442</v>
      </c>
      <c r="B443" t="n">
        <v>58.6</v>
      </c>
      <c r="C443" s="21">
        <f>B443-20</f>
        <v/>
      </c>
      <c r="D443" t="n">
        <v>100.3</v>
      </c>
      <c r="E443" s="22">
        <f>D443-90</f>
        <v/>
      </c>
      <c r="F443" s="23" t="n">
        <v>0.016365</v>
      </c>
      <c r="G443" s="22" t="n">
        <v>31.7</v>
      </c>
      <c r="H443" s="22" t="n">
        <v>1</v>
      </c>
      <c r="I443" s="24" t="n">
        <v>0.1572145819664</v>
      </c>
      <c r="J443" s="6" t="n">
        <v>71000</v>
      </c>
      <c r="K443" s="25">
        <f>23*10^-6</f>
        <v/>
      </c>
      <c r="L443" s="8">
        <f>H443</f>
        <v/>
      </c>
      <c r="M443" s="26">
        <f>H443^2/6</f>
        <v/>
      </c>
      <c r="N443" s="26">
        <f>H443^3/12</f>
        <v/>
      </c>
      <c r="O443" s="27">
        <f>-J443*L443*K443*C443</f>
        <v/>
      </c>
      <c r="P443" s="28">
        <f>-(12*F443*J443*L443*N443+12*O443*N443*G443*COS(RADIANS(E443)))/(12*N443*G443*COS(RADIANS(E443))^2+L443*G443^3*SIN(RADIANS(E443))^2)</f>
        <v/>
      </c>
      <c r="Q443" s="28">
        <f>-(6*F443*J443*L443*N443*SIN(RADIANS(E443))+6*O443*N443*G443*SIN(RADIANS(E443))*COS(RADIANS(E443)))/(12*N443*COS(RADIANS(E443))^2+L443*G443^2*SIN(RADIANS(E443))^2)</f>
        <v/>
      </c>
      <c r="R443" s="28">
        <f>-P443*SIN(RADIANS(E443))</f>
        <v/>
      </c>
      <c r="S443" s="8">
        <f>(O443+P443*COS(RADIANS(E443)))/L443</f>
        <v/>
      </c>
      <c r="T443" s="8">
        <f>R443/L443</f>
        <v/>
      </c>
      <c r="U443" s="8">
        <f>(Q443-P443*G443*SIN(RADIANS(E443)))/M443</f>
        <v/>
      </c>
      <c r="V443" s="8">
        <f>SQRT((S443+U443)^2+3*T443^2)</f>
        <v/>
      </c>
      <c r="W443" s="8">
        <f>V443/AA443</f>
        <v/>
      </c>
      <c r="X443" s="27">
        <f>((3*10+H443/COS(RADIANS(E443)))*(3+3)+3*G443*H443)*2</f>
        <v/>
      </c>
      <c r="Y443" s="28">
        <f>Z443/X443</f>
        <v/>
      </c>
      <c r="Z443" s="29" t="n">
        <v>566.223270057086</v>
      </c>
      <c r="AA443" s="20" t="n">
        <v>55.9904220497535</v>
      </c>
      <c r="AB443" t="n">
        <v>0.2401231078618513</v>
      </c>
      <c r="AC443" t="n">
        <v>61.94375480872567</v>
      </c>
      <c r="AD443" t="n">
        <v>52.73590074053727</v>
      </c>
    </row>
    <row r="444">
      <c r="A444" t="n">
        <v>443</v>
      </c>
      <c r="B444" t="n">
        <v>70.40000000000001</v>
      </c>
      <c r="C444" s="21">
        <f>B444-20</f>
        <v/>
      </c>
      <c r="D444" t="n">
        <v>123.4</v>
      </c>
      <c r="E444" s="22">
        <f>D444-90</f>
        <v/>
      </c>
      <c r="F444" s="23" t="n">
        <v>0.013664</v>
      </c>
      <c r="G444" s="22" t="n">
        <v>21.3</v>
      </c>
      <c r="H444" s="22" t="n">
        <v>1.1</v>
      </c>
      <c r="I444" s="24" t="n">
        <v>0.0643956586718559</v>
      </c>
      <c r="J444" s="6" t="n">
        <v>71000</v>
      </c>
      <c r="K444" s="25">
        <f>23*10^-6</f>
        <v/>
      </c>
      <c r="L444" s="8">
        <f>H444</f>
        <v/>
      </c>
      <c r="M444" s="26">
        <f>H444^2/6</f>
        <v/>
      </c>
      <c r="N444" s="26">
        <f>H444^3/12</f>
        <v/>
      </c>
      <c r="O444" s="27">
        <f>-J444*L444*K444*C444</f>
        <v/>
      </c>
      <c r="P444" s="28">
        <f>-(12*F444*J444*L444*N444+12*O444*N444*G444*COS(RADIANS(E444)))/(12*N444*G444*COS(RADIANS(E444))^2+L444*G444^3*SIN(RADIANS(E444))^2)</f>
        <v/>
      </c>
      <c r="Q444" s="28">
        <f>-(6*F444*J444*L444*N444*SIN(RADIANS(E444))+6*O444*N444*G444*SIN(RADIANS(E444))*COS(RADIANS(E444)))/(12*N444*COS(RADIANS(E444))^2+L444*G444^2*SIN(RADIANS(E444))^2)</f>
        <v/>
      </c>
      <c r="R444" s="28">
        <f>-P444*SIN(RADIANS(E444))</f>
        <v/>
      </c>
      <c r="S444" s="8">
        <f>(O444+P444*COS(RADIANS(E444)))/L444</f>
        <v/>
      </c>
      <c r="T444" s="8">
        <f>R444/L444</f>
        <v/>
      </c>
      <c r="U444" s="8">
        <f>(Q444-P444*G444*SIN(RADIANS(E444)))/M444</f>
        <v/>
      </c>
      <c r="V444" s="8">
        <f>SQRT((S444+U444)^2+3*T444^2)</f>
        <v/>
      </c>
      <c r="W444" s="8">
        <f>V444/AA444</f>
        <v/>
      </c>
      <c r="X444" s="27">
        <f>((3*10+H444/COS(RADIANS(E444)))*(3+3)+3*G444*H444)*2</f>
        <v/>
      </c>
      <c r="Y444" s="28">
        <f>Z444/X444</f>
        <v/>
      </c>
      <c r="Z444" s="29" t="n">
        <v>524.572646228046</v>
      </c>
      <c r="AA444" s="20" t="n">
        <v>70.8845869395339</v>
      </c>
      <c r="AB444" t="n">
        <v>0.06512176368844411</v>
      </c>
      <c r="AC444" t="n">
        <v>72.8834750509717</v>
      </c>
      <c r="AD444" t="n">
        <v>1.127568273333854</v>
      </c>
    </row>
    <row r="445">
      <c r="A445" t="n">
        <v>444</v>
      </c>
      <c r="B445" t="n">
        <v>87.09999999999999</v>
      </c>
      <c r="C445" s="21">
        <f>B445-20</f>
        <v/>
      </c>
      <c r="D445" t="n">
        <v>100.2</v>
      </c>
      <c r="E445" s="22">
        <f>D445-90</f>
        <v/>
      </c>
      <c r="F445" s="23" t="n">
        <v>0.020324</v>
      </c>
      <c r="G445" s="22" t="n">
        <v>20.9</v>
      </c>
      <c r="H445" s="22" t="n">
        <v>1.1</v>
      </c>
      <c r="I445" s="24" t="n">
        <v>0.196167826652526</v>
      </c>
      <c r="J445" s="6" t="n">
        <v>71000</v>
      </c>
      <c r="K445" s="25">
        <f>23*10^-6</f>
        <v/>
      </c>
      <c r="L445" s="8">
        <f>H445</f>
        <v/>
      </c>
      <c r="M445" s="26">
        <f>H445^2/6</f>
        <v/>
      </c>
      <c r="N445" s="26">
        <f>H445^3/12</f>
        <v/>
      </c>
      <c r="O445" s="27">
        <f>-J445*L445*K445*C445</f>
        <v/>
      </c>
      <c r="P445" s="28">
        <f>-(12*F445*J445*L445*N445+12*O445*N445*G445*COS(RADIANS(E445)))/(12*N445*G445*COS(RADIANS(E445))^2+L445*G445^3*SIN(RADIANS(E445))^2)</f>
        <v/>
      </c>
      <c r="Q445" s="28">
        <f>-(6*F445*J445*L445*N445*SIN(RADIANS(E445))+6*O445*N445*G445*SIN(RADIANS(E445))*COS(RADIANS(E445)))/(12*N445*COS(RADIANS(E445))^2+L445*G445^2*SIN(RADIANS(E445))^2)</f>
        <v/>
      </c>
      <c r="R445" s="28">
        <f>-P445*SIN(RADIANS(E445))</f>
        <v/>
      </c>
      <c r="S445" s="8">
        <f>(O445+P445*COS(RADIANS(E445)))/L445</f>
        <v/>
      </c>
      <c r="T445" s="8">
        <f>R445/L445</f>
        <v/>
      </c>
      <c r="U445" s="8">
        <f>(Q445-P445*G445*SIN(RADIANS(E445)))/M445</f>
        <v/>
      </c>
      <c r="V445" s="8">
        <f>SQRT((S445+U445)^2+3*T445^2)</f>
        <v/>
      </c>
      <c r="W445" s="8">
        <f>V445/AA445</f>
        <v/>
      </c>
      <c r="X445" s="27">
        <f>((3*10+H445/COS(RADIANS(E445)))*(3+3)+3*G445*H445)*2</f>
        <v/>
      </c>
      <c r="Y445" s="28">
        <f>Z445/X445</f>
        <v/>
      </c>
      <c r="Z445" s="29" t="n">
        <v>515.170993749781</v>
      </c>
      <c r="AA445" s="20" t="n">
        <v>113.093788296083</v>
      </c>
      <c r="AB445" t="n">
        <v>0.271553306020711</v>
      </c>
      <c r="AC445" t="n">
        <v>113.7810429190746</v>
      </c>
      <c r="AD445" t="n">
        <v>38.42907405082082</v>
      </c>
    </row>
    <row r="446">
      <c r="A446" t="n">
        <v>445</v>
      </c>
      <c r="B446" t="n">
        <v>66.5</v>
      </c>
      <c r="C446" s="21">
        <f>B446-20</f>
        <v/>
      </c>
      <c r="D446" t="n">
        <v>110</v>
      </c>
      <c r="E446" s="22">
        <f>D446-90</f>
        <v/>
      </c>
      <c r="F446" s="23" t="n">
        <v>0.016182</v>
      </c>
      <c r="G446" s="22" t="n">
        <v>26.1</v>
      </c>
      <c r="H446" s="22" t="n">
        <v>1.3</v>
      </c>
      <c r="I446" s="24" t="n">
        <v>0.09598915278911591</v>
      </c>
      <c r="J446" s="6" t="n">
        <v>71000</v>
      </c>
      <c r="K446" s="25">
        <f>23*10^-6</f>
        <v/>
      </c>
      <c r="L446" s="8">
        <f>H446</f>
        <v/>
      </c>
      <c r="M446" s="26">
        <f>H446^2/6</f>
        <v/>
      </c>
      <c r="N446" s="26">
        <f>H446^3/12</f>
        <v/>
      </c>
      <c r="O446" s="27">
        <f>-J446*L446*K446*C446</f>
        <v/>
      </c>
      <c r="P446" s="28">
        <f>-(12*F446*J446*L446*N446+12*O446*N446*G446*COS(RADIANS(E446)))/(12*N446*G446*COS(RADIANS(E446))^2+L446*G446^3*SIN(RADIANS(E446))^2)</f>
        <v/>
      </c>
      <c r="Q446" s="28">
        <f>-(6*F446*J446*L446*N446*SIN(RADIANS(E446))+6*O446*N446*G446*SIN(RADIANS(E446))*COS(RADIANS(E446)))/(12*N446*COS(RADIANS(E446))^2+L446*G446^2*SIN(RADIANS(E446))^2)</f>
        <v/>
      </c>
      <c r="R446" s="28">
        <f>-P446*SIN(RADIANS(E446))</f>
        <v/>
      </c>
      <c r="S446" s="8">
        <f>(O446+P446*COS(RADIANS(E446)))/L446</f>
        <v/>
      </c>
      <c r="T446" s="8">
        <f>R446/L446</f>
        <v/>
      </c>
      <c r="U446" s="8">
        <f>(Q446-P446*G446*SIN(RADIANS(E446)))/M446</f>
        <v/>
      </c>
      <c r="V446" s="8">
        <f>SQRT((S446+U446)^2+3*T446^2)</f>
        <v/>
      </c>
      <c r="W446" s="8">
        <f>V446/AA446</f>
        <v/>
      </c>
      <c r="X446" s="27">
        <f>((3*10+H446/COS(RADIANS(E446)))*(3+3)+3*G446*H446)*2</f>
        <v/>
      </c>
      <c r="Y446" s="28">
        <f>Z446/X446</f>
        <v/>
      </c>
      <c r="Z446" s="29" t="n">
        <v>585.155069175687</v>
      </c>
      <c r="AA446" s="20" t="n">
        <v>69.1646824769703</v>
      </c>
      <c r="AB446" t="n">
        <v>0.1236482277265652</v>
      </c>
      <c r="AC446" t="n">
        <v>71.65791802234143</v>
      </c>
      <c r="AD446" t="n">
        <v>28.8147922278417</v>
      </c>
    </row>
    <row r="447">
      <c r="A447" t="n">
        <v>446</v>
      </c>
      <c r="B447" t="n">
        <v>70</v>
      </c>
      <c r="C447" s="21">
        <f>B447-20</f>
        <v/>
      </c>
      <c r="D447" t="n">
        <v>105.8</v>
      </c>
      <c r="E447" s="22">
        <f>D447-90</f>
        <v/>
      </c>
      <c r="F447" s="23" t="n">
        <v>0.019545</v>
      </c>
      <c r="G447" s="22" t="n">
        <v>29.4</v>
      </c>
      <c r="H447" s="22" t="n">
        <v>1.9</v>
      </c>
      <c r="I447" s="24" t="n">
        <v>0.132074281573295</v>
      </c>
      <c r="J447" s="6" t="n">
        <v>71000</v>
      </c>
      <c r="K447" s="25">
        <f>23*10^-6</f>
        <v/>
      </c>
      <c r="L447" s="8">
        <f>H447</f>
        <v/>
      </c>
      <c r="M447" s="26">
        <f>H447^2/6</f>
        <v/>
      </c>
      <c r="N447" s="26">
        <f>H447^3/12</f>
        <v/>
      </c>
      <c r="O447" s="27">
        <f>-J447*L447*K447*C447</f>
        <v/>
      </c>
      <c r="P447" s="28">
        <f>-(12*F447*J447*L447*N447+12*O447*N447*G447*COS(RADIANS(E447)))/(12*N447*G447*COS(RADIANS(E447))^2+L447*G447^3*SIN(RADIANS(E447))^2)</f>
        <v/>
      </c>
      <c r="Q447" s="28">
        <f>-(6*F447*J447*L447*N447*SIN(RADIANS(E447))+6*O447*N447*G447*SIN(RADIANS(E447))*COS(RADIANS(E447)))/(12*N447*COS(RADIANS(E447))^2+L447*G447^2*SIN(RADIANS(E447))^2)</f>
        <v/>
      </c>
      <c r="R447" s="28">
        <f>-P447*SIN(RADIANS(E447))</f>
        <v/>
      </c>
      <c r="S447" s="8">
        <f>(O447+P447*COS(RADIANS(E447)))/L447</f>
        <v/>
      </c>
      <c r="T447" s="8">
        <f>R447/L447</f>
        <v/>
      </c>
      <c r="U447" s="8">
        <f>(Q447-P447*G447*SIN(RADIANS(E447)))/M447</f>
        <v/>
      </c>
      <c r="V447" s="8">
        <f>SQRT((S447+U447)^2+3*T447^2)</f>
        <v/>
      </c>
      <c r="W447" s="8">
        <f>V447/AA447</f>
        <v/>
      </c>
      <c r="X447" s="27">
        <f>((3*10+H447/COS(RADIANS(E447)))*(3+3)+3*G447*H447)*2</f>
        <v/>
      </c>
      <c r="Y447" s="28">
        <f>Z447/X447</f>
        <v/>
      </c>
      <c r="Z447" s="29" t="n">
        <v>723.231256529095</v>
      </c>
      <c r="AA447" s="20" t="n">
        <v>85.8863730548042</v>
      </c>
      <c r="AB447" t="n">
        <v>0.1833897144149192</v>
      </c>
      <c r="AC447" t="n">
        <v>83.28788771239718</v>
      </c>
      <c r="AD447" t="n">
        <v>38.85346354365479</v>
      </c>
    </row>
    <row r="448">
      <c r="A448" t="n">
        <v>447</v>
      </c>
      <c r="B448" t="n">
        <v>43.3</v>
      </c>
      <c r="C448" s="21">
        <f>B448-20</f>
        <v/>
      </c>
      <c r="D448" t="n">
        <v>107.7</v>
      </c>
      <c r="E448" s="22">
        <f>D448-90</f>
        <v/>
      </c>
      <c r="F448" s="23" t="n">
        <v>0.008501999999999999</v>
      </c>
      <c r="G448" s="22" t="n">
        <v>27.3</v>
      </c>
      <c r="H448" s="22" t="n">
        <v>1.7</v>
      </c>
      <c r="I448" s="24" t="n">
        <v>0.053898811340332</v>
      </c>
      <c r="J448" s="6" t="n">
        <v>71000</v>
      </c>
      <c r="K448" s="25">
        <f>23*10^-6</f>
        <v/>
      </c>
      <c r="L448" s="8">
        <f>H448</f>
        <v/>
      </c>
      <c r="M448" s="26">
        <f>H448^2/6</f>
        <v/>
      </c>
      <c r="N448" s="26">
        <f>H448^3/12</f>
        <v/>
      </c>
      <c r="O448" s="27">
        <f>-J448*L448*K448*C448</f>
        <v/>
      </c>
      <c r="P448" s="28">
        <f>-(12*F448*J448*L448*N448+12*O448*N448*G448*COS(RADIANS(E448)))/(12*N448*G448*COS(RADIANS(E448))^2+L448*G448^3*SIN(RADIANS(E448))^2)</f>
        <v/>
      </c>
      <c r="Q448" s="28">
        <f>-(6*F448*J448*L448*N448*SIN(RADIANS(E448))+6*O448*N448*G448*SIN(RADIANS(E448))*COS(RADIANS(E448)))/(12*N448*COS(RADIANS(E448))^2+L448*G448^2*SIN(RADIANS(E448))^2)</f>
        <v/>
      </c>
      <c r="R448" s="28">
        <f>-P448*SIN(RADIANS(E448))</f>
        <v/>
      </c>
      <c r="S448" s="8">
        <f>(O448+P448*COS(RADIANS(E448)))/L448</f>
        <v/>
      </c>
      <c r="T448" s="8">
        <f>R448/L448</f>
        <v/>
      </c>
      <c r="U448" s="8">
        <f>(Q448-P448*G448*SIN(RADIANS(E448)))/M448</f>
        <v/>
      </c>
      <c r="V448" s="8">
        <f>SQRT((S448+U448)^2+3*T448^2)</f>
        <v/>
      </c>
      <c r="W448" s="8">
        <f>V448/AA448</f>
        <v/>
      </c>
      <c r="X448" s="27">
        <f>((3*10+H448/COS(RADIANS(E448)))*(3+3)+3*G448*H448)*2</f>
        <v/>
      </c>
      <c r="Y448" s="28">
        <f>Z448/X448</f>
        <v/>
      </c>
      <c r="Z448" s="29" t="n">
        <v>664.4999012604879</v>
      </c>
      <c r="AA448" s="20" t="n">
        <v>38.4473568810234</v>
      </c>
      <c r="AB448" t="n">
        <v>0.07191849233414373</v>
      </c>
      <c r="AC448" t="n">
        <v>37.73019753964017</v>
      </c>
      <c r="AD448" t="n">
        <v>33.43242744265822</v>
      </c>
    </row>
    <row r="449">
      <c r="A449" t="n">
        <v>448</v>
      </c>
      <c r="B449" t="n">
        <v>84.90000000000001</v>
      </c>
      <c r="C449" s="21">
        <f>B449-20</f>
        <v/>
      </c>
      <c r="D449" t="n">
        <v>122.6</v>
      </c>
      <c r="E449" s="22">
        <f>D449-90</f>
        <v/>
      </c>
      <c r="F449" s="23" t="n">
        <v>0.021954</v>
      </c>
      <c r="G449" s="22" t="n">
        <v>28.1</v>
      </c>
      <c r="H449" s="22" t="n">
        <v>1.2</v>
      </c>
      <c r="I449" s="24" t="n">
        <v>0.0999132841825485</v>
      </c>
      <c r="J449" s="6" t="n">
        <v>71000</v>
      </c>
      <c r="K449" s="25">
        <f>23*10^-6</f>
        <v/>
      </c>
      <c r="L449" s="8">
        <f>H449</f>
        <v/>
      </c>
      <c r="M449" s="26">
        <f>H449^2/6</f>
        <v/>
      </c>
      <c r="N449" s="26">
        <f>H449^3/12</f>
        <v/>
      </c>
      <c r="O449" s="27">
        <f>-J449*L449*K449*C449</f>
        <v/>
      </c>
      <c r="P449" s="28">
        <f>-(12*F449*J449*L449*N449+12*O449*N449*G449*COS(RADIANS(E449)))/(12*N449*G449*COS(RADIANS(E449))^2+L449*G449^3*SIN(RADIANS(E449))^2)</f>
        <v/>
      </c>
      <c r="Q449" s="28">
        <f>-(6*F449*J449*L449*N449*SIN(RADIANS(E449))+6*O449*N449*G449*SIN(RADIANS(E449))*COS(RADIANS(E449)))/(12*N449*COS(RADIANS(E449))^2+L449*G449^2*SIN(RADIANS(E449))^2)</f>
        <v/>
      </c>
      <c r="R449" s="28">
        <f>-P449*SIN(RADIANS(E449))</f>
        <v/>
      </c>
      <c r="S449" s="8">
        <f>(O449+P449*COS(RADIANS(E449)))/L449</f>
        <v/>
      </c>
      <c r="T449" s="8">
        <f>R449/L449</f>
        <v/>
      </c>
      <c r="U449" s="8">
        <f>(Q449-P449*G449*SIN(RADIANS(E449)))/M449</f>
        <v/>
      </c>
      <c r="V449" s="8">
        <f>SQRT((S449+U449)^2+3*T449^2)</f>
        <v/>
      </c>
      <c r="W449" s="8">
        <f>V449/AA449</f>
        <v/>
      </c>
      <c r="X449" s="27">
        <f>((3*10+H449/COS(RADIANS(E449)))*(3+3)+3*G449*H449)*2</f>
        <v/>
      </c>
      <c r="Y449" s="28">
        <f>Z449/X449</f>
        <v/>
      </c>
      <c r="Z449" s="29" t="n">
        <v>587.334839833159</v>
      </c>
      <c r="AA449" s="20" t="n">
        <v>90.6719176631908</v>
      </c>
      <c r="AB449" t="n">
        <v>0.1116207901495972</v>
      </c>
      <c r="AC449" t="n">
        <v>93.60607631576175</v>
      </c>
      <c r="AD449" t="n">
        <v>11.71766703780679</v>
      </c>
    </row>
    <row r="450">
      <c r="A450" t="n">
        <v>449</v>
      </c>
      <c r="B450" t="n">
        <v>83.40000000000001</v>
      </c>
      <c r="C450" s="21">
        <f>B450-20</f>
        <v/>
      </c>
      <c r="D450" t="n">
        <v>116.1</v>
      </c>
      <c r="E450" s="22">
        <f>D450-90</f>
        <v/>
      </c>
      <c r="F450" s="23" t="n">
        <v>0.023938</v>
      </c>
      <c r="G450" s="22" t="n">
        <v>30.2</v>
      </c>
      <c r="H450" s="22" t="n">
        <v>1.7</v>
      </c>
      <c r="I450" s="24" t="n">
        <v>0.119008995592594</v>
      </c>
      <c r="J450" s="6" t="n">
        <v>71000</v>
      </c>
      <c r="K450" s="25">
        <f>23*10^-6</f>
        <v/>
      </c>
      <c r="L450" s="8">
        <f>H450</f>
        <v/>
      </c>
      <c r="M450" s="26">
        <f>H450^2/6</f>
        <v/>
      </c>
      <c r="N450" s="26">
        <f>H450^3/12</f>
        <v/>
      </c>
      <c r="O450" s="27">
        <f>-J450*L450*K450*C450</f>
        <v/>
      </c>
      <c r="P450" s="28">
        <f>-(12*F450*J450*L450*N450+12*O450*N450*G450*COS(RADIANS(E450)))/(12*N450*G450*COS(RADIANS(E450))^2+L450*G450^3*SIN(RADIANS(E450))^2)</f>
        <v/>
      </c>
      <c r="Q450" s="28">
        <f>-(6*F450*J450*L450*N450*SIN(RADIANS(E450))+6*O450*N450*G450*SIN(RADIANS(E450))*COS(RADIANS(E450)))/(12*N450*COS(RADIANS(E450))^2+L450*G450^2*SIN(RADIANS(E450))^2)</f>
        <v/>
      </c>
      <c r="R450" s="28">
        <f>-P450*SIN(RADIANS(E450))</f>
        <v/>
      </c>
      <c r="S450" s="8">
        <f>(O450+P450*COS(RADIANS(E450)))/L450</f>
        <v/>
      </c>
      <c r="T450" s="8">
        <f>R450/L450</f>
        <v/>
      </c>
      <c r="U450" s="8">
        <f>(Q450-P450*G450*SIN(RADIANS(E450)))/M450</f>
        <v/>
      </c>
      <c r="V450" s="8">
        <f>SQRT((S450+U450)^2+3*T450^2)</f>
        <v/>
      </c>
      <c r="W450" s="8">
        <f>V450/AA450</f>
        <v/>
      </c>
      <c r="X450" s="27">
        <f>((3*10+H450/COS(RADIANS(E450)))*(3+3)+3*G450*H450)*2</f>
        <v/>
      </c>
      <c r="Y450" s="28">
        <f>Z450/X450</f>
        <v/>
      </c>
      <c r="Z450" s="29" t="n">
        <v>696.915318258496</v>
      </c>
      <c r="AA450" s="20" t="n">
        <v>98.9318314585268</v>
      </c>
      <c r="AB450" t="n">
        <v>0.1468692008616651</v>
      </c>
      <c r="AC450" t="n">
        <v>96.15134595886668</v>
      </c>
      <c r="AD450" t="n">
        <v>23.4101675510694</v>
      </c>
    </row>
    <row r="451">
      <c r="A451" t="n">
        <v>450</v>
      </c>
      <c r="B451" t="n">
        <v>65.2</v>
      </c>
      <c r="C451" s="21">
        <f>B451-20</f>
        <v/>
      </c>
      <c r="D451" t="n">
        <v>104.4</v>
      </c>
      <c r="E451" s="22">
        <f>D451-90</f>
        <v/>
      </c>
      <c r="F451" s="23" t="n">
        <v>0.014371</v>
      </c>
      <c r="G451" s="22" t="n">
        <v>22.6</v>
      </c>
      <c r="H451" s="22" t="n">
        <v>1.4</v>
      </c>
      <c r="I451" s="24" t="n">
        <v>0.10700374096632</v>
      </c>
      <c r="J451" s="6" t="n">
        <v>71000</v>
      </c>
      <c r="K451" s="25">
        <f>23*10^-6</f>
        <v/>
      </c>
      <c r="L451" s="8">
        <f>H451</f>
        <v/>
      </c>
      <c r="M451" s="26">
        <f>H451^2/6</f>
        <v/>
      </c>
      <c r="N451" s="26">
        <f>H451^3/12</f>
        <v/>
      </c>
      <c r="O451" s="27">
        <f>-J451*L451*K451*C451</f>
        <v/>
      </c>
      <c r="P451" s="28">
        <f>-(12*F451*J451*L451*N451+12*O451*N451*G451*COS(RADIANS(E451)))/(12*N451*G451*COS(RADIANS(E451))^2+L451*G451^3*SIN(RADIANS(E451))^2)</f>
        <v/>
      </c>
      <c r="Q451" s="28">
        <f>-(6*F451*J451*L451*N451*SIN(RADIANS(E451))+6*O451*N451*G451*SIN(RADIANS(E451))*COS(RADIANS(E451)))/(12*N451*COS(RADIANS(E451))^2+L451*G451^2*SIN(RADIANS(E451))^2)</f>
        <v/>
      </c>
      <c r="R451" s="28">
        <f>-P451*SIN(RADIANS(E451))</f>
        <v/>
      </c>
      <c r="S451" s="8">
        <f>(O451+P451*COS(RADIANS(E451)))/L451</f>
        <v/>
      </c>
      <c r="T451" s="8">
        <f>R451/L451</f>
        <v/>
      </c>
      <c r="U451" s="8">
        <f>(Q451-P451*G451*SIN(RADIANS(E451)))/M451</f>
        <v/>
      </c>
      <c r="V451" s="8">
        <f>SQRT((S451+U451)^2+3*T451^2)</f>
        <v/>
      </c>
      <c r="W451" s="8">
        <f>V451/AA451</f>
        <v/>
      </c>
      <c r="X451" s="27">
        <f>((3*10+H451/COS(RADIANS(E451)))*(3+3)+3*G451*H451)*2</f>
        <v/>
      </c>
      <c r="Y451" s="28">
        <f>Z451/X451</f>
        <v/>
      </c>
      <c r="Z451" s="29" t="n">
        <v>571.397012939467</v>
      </c>
      <c r="AA451" s="20" t="n">
        <v>72.47970975195631</v>
      </c>
      <c r="AB451" t="n">
        <v>0.1419681232041551</v>
      </c>
      <c r="AC451" t="n">
        <v>74.78177087602835</v>
      </c>
      <c r="AD451" t="n">
        <v>32.67585032269135</v>
      </c>
    </row>
    <row r="452">
      <c r="A452" t="n">
        <v>451</v>
      </c>
      <c r="B452" t="n">
        <v>60.8</v>
      </c>
      <c r="C452" s="21">
        <f>B452-20</f>
        <v/>
      </c>
      <c r="D452" t="n">
        <v>112.1</v>
      </c>
      <c r="E452" s="22">
        <f>D452-90</f>
        <v/>
      </c>
      <c r="F452" s="23" t="n">
        <v>0.017529</v>
      </c>
      <c r="G452" s="22" t="n">
        <v>34.2</v>
      </c>
      <c r="H452" s="22" t="n">
        <v>1.7</v>
      </c>
      <c r="I452" s="24" t="n">
        <v>0.094260424375534</v>
      </c>
      <c r="J452" s="6" t="n">
        <v>71000</v>
      </c>
      <c r="K452" s="25">
        <f>23*10^-6</f>
        <v/>
      </c>
      <c r="L452" s="8">
        <f>H452</f>
        <v/>
      </c>
      <c r="M452" s="26">
        <f>H452^2/6</f>
        <v/>
      </c>
      <c r="N452" s="26">
        <f>H452^3/12</f>
        <v/>
      </c>
      <c r="O452" s="27">
        <f>-J452*L452*K452*C452</f>
        <v/>
      </c>
      <c r="P452" s="28">
        <f>-(12*F452*J452*L452*N452+12*O452*N452*G452*COS(RADIANS(E452)))/(12*N452*G452*COS(RADIANS(E452))^2+L452*G452^3*SIN(RADIANS(E452))^2)</f>
        <v/>
      </c>
      <c r="Q452" s="28">
        <f>-(6*F452*J452*L452*N452*SIN(RADIANS(E452))+6*O452*N452*G452*SIN(RADIANS(E452))*COS(RADIANS(E452)))/(12*N452*COS(RADIANS(E452))^2+L452*G452^2*SIN(RADIANS(E452))^2)</f>
        <v/>
      </c>
      <c r="R452" s="28">
        <f>-P452*SIN(RADIANS(E452))</f>
        <v/>
      </c>
      <c r="S452" s="8">
        <f>(O452+P452*COS(RADIANS(E452)))/L452</f>
        <v/>
      </c>
      <c r="T452" s="8">
        <f>R452/L452</f>
        <v/>
      </c>
      <c r="U452" s="8">
        <f>(Q452-P452*G452*SIN(RADIANS(E452)))/M452</f>
        <v/>
      </c>
      <c r="V452" s="8">
        <f>SQRT((S452+U452)^2+3*T452^2)</f>
        <v/>
      </c>
      <c r="W452" s="8">
        <f>V452/AA452</f>
        <v/>
      </c>
      <c r="X452" s="27">
        <f>((3*10+H452/COS(RADIANS(E452)))*(3+3)+3*G452*H452)*2</f>
        <v/>
      </c>
      <c r="Y452" s="28">
        <f>Z452/X452</f>
        <v/>
      </c>
      <c r="Z452" s="29" t="n">
        <v>736.194436709448</v>
      </c>
      <c r="AA452" s="20" t="n">
        <v>63.339854187758</v>
      </c>
      <c r="AB452" t="n">
        <v>0.1264706909631145</v>
      </c>
      <c r="AC452" t="n">
        <v>62.60681645965463</v>
      </c>
      <c r="AD452" t="n">
        <v>34.17156967090946</v>
      </c>
    </row>
    <row r="453">
      <c r="A453" t="n">
        <v>452</v>
      </c>
      <c r="B453" t="n">
        <v>83.90000000000001</v>
      </c>
      <c r="C453" s="21">
        <f>B453-20</f>
        <v/>
      </c>
      <c r="D453" t="n">
        <v>100.4</v>
      </c>
      <c r="E453" s="22">
        <f>D453-90</f>
        <v/>
      </c>
      <c r="F453" s="23" t="n">
        <v>0.022928</v>
      </c>
      <c r="G453" s="22" t="n">
        <v>25.9</v>
      </c>
      <c r="H453" s="22" t="n">
        <v>2</v>
      </c>
      <c r="I453" s="24" t="n">
        <v>0.199237629771232</v>
      </c>
      <c r="J453" s="6" t="n">
        <v>71000</v>
      </c>
      <c r="K453" s="25">
        <f>23*10^-6</f>
        <v/>
      </c>
      <c r="L453" s="8">
        <f>H453</f>
        <v/>
      </c>
      <c r="M453" s="26">
        <f>H453^2/6</f>
        <v/>
      </c>
      <c r="N453" s="26">
        <f>H453^3/12</f>
        <v/>
      </c>
      <c r="O453" s="27">
        <f>-J453*L453*K453*C453</f>
        <v/>
      </c>
      <c r="P453" s="28">
        <f>-(12*F453*J453*L453*N453+12*O453*N453*G453*COS(RADIANS(E453)))/(12*N453*G453*COS(RADIANS(E453))^2+L453*G453^3*SIN(RADIANS(E453))^2)</f>
        <v/>
      </c>
      <c r="Q453" s="28">
        <f>-(6*F453*J453*L453*N453*SIN(RADIANS(E453))+6*O453*N453*G453*SIN(RADIANS(E453))*COS(RADIANS(E453)))/(12*N453*COS(RADIANS(E453))^2+L453*G453^2*SIN(RADIANS(E453))^2)</f>
        <v/>
      </c>
      <c r="R453" s="28">
        <f>-P453*SIN(RADIANS(E453))</f>
        <v/>
      </c>
      <c r="S453" s="8">
        <f>(O453+P453*COS(RADIANS(E453)))/L453</f>
        <v/>
      </c>
      <c r="T453" s="8">
        <f>R453/L453</f>
        <v/>
      </c>
      <c r="U453" s="8">
        <f>(Q453-P453*G453*SIN(RADIANS(E453)))/M453</f>
        <v/>
      </c>
      <c r="V453" s="8">
        <f>SQRT((S453+U453)^2+3*T453^2)</f>
        <v/>
      </c>
      <c r="W453" s="8">
        <f>V453/AA453</f>
        <v/>
      </c>
      <c r="X453" s="27">
        <f>((3*10+H453/COS(RADIANS(E453)))*(3+3)+3*G453*H453)*2</f>
        <v/>
      </c>
      <c r="Y453" s="28">
        <f>Z453/X453</f>
        <v/>
      </c>
      <c r="Z453" s="29" t="n">
        <v>699.035370209117</v>
      </c>
      <c r="AA453" s="20" t="n">
        <v>143.512582506343</v>
      </c>
      <c r="AB453" t="n">
        <v>0.284654809720481</v>
      </c>
      <c r="AC453" t="n">
        <v>116.5075151451336</v>
      </c>
      <c r="AD453" t="n">
        <v>42.87201170146744</v>
      </c>
    </row>
    <row r="454">
      <c r="A454" t="n">
        <v>453</v>
      </c>
      <c r="B454" t="n">
        <v>80.2</v>
      </c>
      <c r="C454" s="21">
        <f>B454-20</f>
        <v/>
      </c>
      <c r="D454" t="n">
        <v>106.5</v>
      </c>
      <c r="E454" s="22">
        <f>D454-90</f>
        <v/>
      </c>
      <c r="F454" s="23" t="n">
        <v>0.017278</v>
      </c>
      <c r="G454" s="22" t="n">
        <v>20</v>
      </c>
      <c r="H454" s="22" t="n">
        <v>1</v>
      </c>
      <c r="I454" s="24" t="n">
        <v>0.120794400572776</v>
      </c>
      <c r="J454" s="6" t="n">
        <v>71000</v>
      </c>
      <c r="K454" s="25">
        <f>23*10^-6</f>
        <v/>
      </c>
      <c r="L454" s="8">
        <f>H454</f>
        <v/>
      </c>
      <c r="M454" s="26">
        <f>H454^2/6</f>
        <v/>
      </c>
      <c r="N454" s="26">
        <f>H454^3/12</f>
        <v/>
      </c>
      <c r="O454" s="27">
        <f>-J454*L454*K454*C454</f>
        <v/>
      </c>
      <c r="P454" s="28">
        <f>-(12*F454*J454*L454*N454+12*O454*N454*G454*COS(RADIANS(E454)))/(12*N454*G454*COS(RADIANS(E454))^2+L454*G454^3*SIN(RADIANS(E454))^2)</f>
        <v/>
      </c>
      <c r="Q454" s="28">
        <f>-(6*F454*J454*L454*N454*SIN(RADIANS(E454))+6*O454*N454*G454*SIN(RADIANS(E454))*COS(RADIANS(E454)))/(12*N454*COS(RADIANS(E454))^2+L454*G454^2*SIN(RADIANS(E454))^2)</f>
        <v/>
      </c>
      <c r="R454" s="28">
        <f>-P454*SIN(RADIANS(E454))</f>
        <v/>
      </c>
      <c r="S454" s="8">
        <f>(O454+P454*COS(RADIANS(E454)))/L454</f>
        <v/>
      </c>
      <c r="T454" s="8">
        <f>R454/L454</f>
        <v/>
      </c>
      <c r="U454" s="8">
        <f>(Q454-P454*G454*SIN(RADIANS(E454)))/M454</f>
        <v/>
      </c>
      <c r="V454" s="8">
        <f>SQRT((S454+U454)^2+3*T454^2)</f>
        <v/>
      </c>
      <c r="W454" s="8">
        <f>V454/AA454</f>
        <v/>
      </c>
      <c r="X454" s="27">
        <f>((3*10+H454/COS(RADIANS(E454)))*(3+3)+3*G454*H454)*2</f>
        <v/>
      </c>
      <c r="Y454" s="28">
        <f>Z454/X454</f>
        <v/>
      </c>
      <c r="Z454" s="29" t="n">
        <v>496.97979024449</v>
      </c>
      <c r="AA454" s="20" t="n">
        <v>87.07047887343499</v>
      </c>
      <c r="AB454" t="n">
        <v>0.1513727053113568</v>
      </c>
      <c r="AC454" t="n">
        <v>93.9788065212695</v>
      </c>
      <c r="AD454" t="n">
        <v>25.31433956672359</v>
      </c>
    </row>
    <row r="455">
      <c r="A455" t="n">
        <v>454</v>
      </c>
      <c r="B455" t="n">
        <v>69.90000000000001</v>
      </c>
      <c r="C455" s="21">
        <f>B455-20</f>
        <v/>
      </c>
      <c r="D455" t="n">
        <v>118.7</v>
      </c>
      <c r="E455" s="22">
        <f>D455-90</f>
        <v/>
      </c>
      <c r="F455" s="23" t="n">
        <v>0.015688</v>
      </c>
      <c r="G455" s="22" t="n">
        <v>24.6</v>
      </c>
      <c r="H455" s="22" t="n">
        <v>1</v>
      </c>
      <c r="I455" s="24" t="n">
        <v>0.07673283666372289</v>
      </c>
      <c r="J455" s="6" t="n">
        <v>71000</v>
      </c>
      <c r="K455" s="25">
        <f>23*10^-6</f>
        <v/>
      </c>
      <c r="L455" s="8">
        <f>H455</f>
        <v/>
      </c>
      <c r="M455" s="26">
        <f>H455^2/6</f>
        <v/>
      </c>
      <c r="N455" s="26">
        <f>H455^3/12</f>
        <v/>
      </c>
      <c r="O455" s="27">
        <f>-J455*L455*K455*C455</f>
        <v/>
      </c>
      <c r="P455" s="28">
        <f>-(12*F455*J455*L455*N455+12*O455*N455*G455*COS(RADIANS(E455)))/(12*N455*G455*COS(RADIANS(E455))^2+L455*G455^3*SIN(RADIANS(E455))^2)</f>
        <v/>
      </c>
      <c r="Q455" s="28">
        <f>-(6*F455*J455*L455*N455*SIN(RADIANS(E455))+6*O455*N455*G455*SIN(RADIANS(E455))*COS(RADIANS(E455)))/(12*N455*COS(RADIANS(E455))^2+L455*G455^2*SIN(RADIANS(E455))^2)</f>
        <v/>
      </c>
      <c r="R455" s="28">
        <f>-P455*SIN(RADIANS(E455))</f>
        <v/>
      </c>
      <c r="S455" s="8">
        <f>(O455+P455*COS(RADIANS(E455)))/L455</f>
        <v/>
      </c>
      <c r="T455" s="8">
        <f>R455/L455</f>
        <v/>
      </c>
      <c r="U455" s="8">
        <f>(Q455-P455*G455*SIN(RADIANS(E455)))/M455</f>
        <v/>
      </c>
      <c r="V455" s="8">
        <f>SQRT((S455+U455)^2+3*T455^2)</f>
        <v/>
      </c>
      <c r="W455" s="8">
        <f>V455/AA455</f>
        <v/>
      </c>
      <c r="X455" s="27">
        <f>((3*10+H455/COS(RADIANS(E455)))*(3+3)+3*G455*H455)*2</f>
        <v/>
      </c>
      <c r="Y455" s="28">
        <f>Z455/X455</f>
        <v/>
      </c>
      <c r="Z455" s="29" t="n">
        <v>528.075819945895</v>
      </c>
      <c r="AA455" s="20" t="n">
        <v>68.64514381468059</v>
      </c>
      <c r="AB455" t="n">
        <v>0.08692025404594331</v>
      </c>
      <c r="AC455" t="n">
        <v>72.32899859990169</v>
      </c>
      <c r="AD455" t="n">
        <v>13.27647696235467</v>
      </c>
    </row>
    <row r="456">
      <c r="A456" t="n">
        <v>455</v>
      </c>
      <c r="B456" t="n">
        <v>68.59999999999999</v>
      </c>
      <c r="C456" s="21">
        <f>B456-20</f>
        <v/>
      </c>
      <c r="D456" t="n">
        <v>119.6</v>
      </c>
      <c r="E456" s="22">
        <f>D456-90</f>
        <v/>
      </c>
      <c r="F456" s="23" t="n">
        <v>0.016042</v>
      </c>
      <c r="G456" s="22" t="n">
        <v>26.4</v>
      </c>
      <c r="H456" s="22" t="n">
        <v>1.6</v>
      </c>
      <c r="I456" s="24" t="n">
        <v>0.0766105726361274</v>
      </c>
      <c r="J456" s="6" t="n">
        <v>71000</v>
      </c>
      <c r="K456" s="25">
        <f>23*10^-6</f>
        <v/>
      </c>
      <c r="L456" s="8">
        <f>H456</f>
        <v/>
      </c>
      <c r="M456" s="26">
        <f>H456^2/6</f>
        <v/>
      </c>
      <c r="N456" s="26">
        <f>H456^3/12</f>
        <v/>
      </c>
      <c r="O456" s="27">
        <f>-J456*L456*K456*C456</f>
        <v/>
      </c>
      <c r="P456" s="28">
        <f>-(12*F456*J456*L456*N456+12*O456*N456*G456*COS(RADIANS(E456)))/(12*N456*G456*COS(RADIANS(E456))^2+L456*G456^3*SIN(RADIANS(E456))^2)</f>
        <v/>
      </c>
      <c r="Q456" s="28">
        <f>-(6*F456*J456*L456*N456*SIN(RADIANS(E456))+6*O456*N456*G456*SIN(RADIANS(E456))*COS(RADIANS(E456)))/(12*N456*COS(RADIANS(E456))^2+L456*G456^2*SIN(RADIANS(E456))^2)</f>
        <v/>
      </c>
      <c r="R456" s="28">
        <f>-P456*SIN(RADIANS(E456))</f>
        <v/>
      </c>
      <c r="S456" s="8">
        <f>(O456+P456*COS(RADIANS(E456)))/L456</f>
        <v/>
      </c>
      <c r="T456" s="8">
        <f>R456/L456</f>
        <v/>
      </c>
      <c r="U456" s="8">
        <f>(Q456-P456*G456*SIN(RADIANS(E456)))/M456</f>
        <v/>
      </c>
      <c r="V456" s="8">
        <f>SQRT((S456+U456)^2+3*T456^2)</f>
        <v/>
      </c>
      <c r="W456" s="8">
        <f>V456/AA456</f>
        <v/>
      </c>
      <c r="X456" s="27">
        <f>((3*10+H456/COS(RADIANS(E456)))*(3+3)+3*G456*H456)*2</f>
        <v/>
      </c>
      <c r="Y456" s="28">
        <f>Z456/X456</f>
        <v/>
      </c>
      <c r="Z456" s="29" t="n">
        <v>642.557645397766</v>
      </c>
      <c r="AA456" s="20" t="n">
        <v>74.9061370021617</v>
      </c>
      <c r="AB456" t="n">
        <v>0.08689011475464248</v>
      </c>
      <c r="AC456" t="n">
        <v>72.74288087197925</v>
      </c>
      <c r="AD456" t="n">
        <v>13.41791578473012</v>
      </c>
    </row>
    <row r="457">
      <c r="A457" t="n">
        <v>456</v>
      </c>
      <c r="B457" t="n">
        <v>51.6</v>
      </c>
      <c r="C457" s="21">
        <f>B457-20</f>
        <v/>
      </c>
      <c r="D457" t="n">
        <v>110.9</v>
      </c>
      <c r="E457" s="22">
        <f>D457-90</f>
        <v/>
      </c>
      <c r="F457" s="23" t="n">
        <v>0.013402</v>
      </c>
      <c r="G457" s="22" t="n">
        <v>33.4</v>
      </c>
      <c r="H457" s="22" t="n">
        <v>1.1</v>
      </c>
      <c r="I457" s="24" t="n">
        <v>0.0750709548592567</v>
      </c>
      <c r="J457" s="6" t="n">
        <v>71000</v>
      </c>
      <c r="K457" s="25">
        <f>23*10^-6</f>
        <v/>
      </c>
      <c r="L457" s="8">
        <f>H457</f>
        <v/>
      </c>
      <c r="M457" s="26">
        <f>H457^2/6</f>
        <v/>
      </c>
      <c r="N457" s="26">
        <f>H457^3/12</f>
        <v/>
      </c>
      <c r="O457" s="27">
        <f>-J457*L457*K457*C457</f>
        <v/>
      </c>
      <c r="P457" s="28">
        <f>-(12*F457*J457*L457*N457+12*O457*N457*G457*COS(RADIANS(E457)))/(12*N457*G457*COS(RADIANS(E457))^2+L457*G457^3*SIN(RADIANS(E457))^2)</f>
        <v/>
      </c>
      <c r="Q457" s="28">
        <f>-(6*F457*J457*L457*N457*SIN(RADIANS(E457))+6*O457*N457*G457*SIN(RADIANS(E457))*COS(RADIANS(E457)))/(12*N457*COS(RADIANS(E457))^2+L457*G457^2*SIN(RADIANS(E457))^2)</f>
        <v/>
      </c>
      <c r="R457" s="28">
        <f>-P457*SIN(RADIANS(E457))</f>
        <v/>
      </c>
      <c r="S457" s="8">
        <f>(O457+P457*COS(RADIANS(E457)))/L457</f>
        <v/>
      </c>
      <c r="T457" s="8">
        <f>R457/L457</f>
        <v/>
      </c>
      <c r="U457" s="8">
        <f>(Q457-P457*G457*SIN(RADIANS(E457)))/M457</f>
        <v/>
      </c>
      <c r="V457" s="8">
        <f>SQRT((S457+U457)^2+3*T457^2)</f>
        <v/>
      </c>
      <c r="W457" s="8">
        <f>V457/AA457</f>
        <v/>
      </c>
      <c r="X457" s="27">
        <f>((3*10+H457/COS(RADIANS(E457)))*(3+3)+3*G457*H457)*2</f>
        <v/>
      </c>
      <c r="Y457" s="28">
        <f>Z457/X457</f>
        <v/>
      </c>
      <c r="Z457" s="29" t="n">
        <v>599.693605656935</v>
      </c>
      <c r="AA457" s="20" t="n">
        <v>44.1269591254238</v>
      </c>
      <c r="AB457" t="n">
        <v>0.1023439889922601</v>
      </c>
      <c r="AC457" t="n">
        <v>46.77319659747899</v>
      </c>
      <c r="AD457" t="n">
        <v>36.3296752840496</v>
      </c>
    </row>
    <row r="458">
      <c r="A458" t="n">
        <v>457</v>
      </c>
      <c r="B458" t="n">
        <v>87.40000000000001</v>
      </c>
      <c r="C458" s="21">
        <f>B458-20</f>
        <v/>
      </c>
      <c r="D458" t="n">
        <v>128.6</v>
      </c>
      <c r="E458" s="22">
        <f>D458-90</f>
        <v/>
      </c>
      <c r="F458" s="23" t="n">
        <v>0.020523</v>
      </c>
      <c r="G458" s="22" t="n">
        <v>26.5</v>
      </c>
      <c r="H458" s="22" t="n">
        <v>1.8</v>
      </c>
      <c r="I458" s="24" t="n">
        <v>0.0902946889400482</v>
      </c>
      <c r="J458" s="6" t="n">
        <v>71000</v>
      </c>
      <c r="K458" s="25">
        <f>23*10^-6</f>
        <v/>
      </c>
      <c r="L458" s="8">
        <f>H458</f>
        <v/>
      </c>
      <c r="M458" s="26">
        <f>H458^2/6</f>
        <v/>
      </c>
      <c r="N458" s="26">
        <f>H458^3/12</f>
        <v/>
      </c>
      <c r="O458" s="27">
        <f>-J458*L458*K458*C458</f>
        <v/>
      </c>
      <c r="P458" s="28">
        <f>-(12*F458*J458*L458*N458+12*O458*N458*G458*COS(RADIANS(E458)))/(12*N458*G458*COS(RADIANS(E458))^2+L458*G458^3*SIN(RADIANS(E458))^2)</f>
        <v/>
      </c>
      <c r="Q458" s="28">
        <f>-(6*F458*J458*L458*N458*SIN(RADIANS(E458))+6*O458*N458*G458*SIN(RADIANS(E458))*COS(RADIANS(E458)))/(12*N458*COS(RADIANS(E458))^2+L458*G458^2*SIN(RADIANS(E458))^2)</f>
        <v/>
      </c>
      <c r="R458" s="28">
        <f>-P458*SIN(RADIANS(E458))</f>
        <v/>
      </c>
      <c r="S458" s="8">
        <f>(O458+P458*COS(RADIANS(E458)))/L458</f>
        <v/>
      </c>
      <c r="T458" s="8">
        <f>R458/L458</f>
        <v/>
      </c>
      <c r="U458" s="8">
        <f>(Q458-P458*G458*SIN(RADIANS(E458)))/M458</f>
        <v/>
      </c>
      <c r="V458" s="8">
        <f>SQRT((S458+U458)^2+3*T458^2)</f>
        <v/>
      </c>
      <c r="W458" s="8">
        <f>V458/AA458</f>
        <v/>
      </c>
      <c r="X458" s="27">
        <f>((3*10+H458/COS(RADIANS(E458)))*(3+3)+3*G458*H458)*2</f>
        <v/>
      </c>
      <c r="Y458" s="28">
        <f>Z458/X458</f>
        <v/>
      </c>
      <c r="Z458" s="29" t="n">
        <v>683.981429103373</v>
      </c>
      <c r="AA458" s="20" t="n">
        <v>103.838744007936</v>
      </c>
      <c r="AB458" t="n">
        <v>0.09077953964957197</v>
      </c>
      <c r="AC458" t="n">
        <v>98.56847130148942</v>
      </c>
      <c r="AD458" t="n">
        <v>0.5369648151129776</v>
      </c>
    </row>
    <row r="459">
      <c r="A459" t="n">
        <v>458</v>
      </c>
      <c r="B459" t="n">
        <v>88.3</v>
      </c>
      <c r="C459" s="21">
        <f>B459-20</f>
        <v/>
      </c>
      <c r="D459" t="n">
        <v>126.9</v>
      </c>
      <c r="E459" s="22">
        <f>D459-90</f>
        <v/>
      </c>
      <c r="F459" s="23" t="n">
        <v>0.017312</v>
      </c>
      <c r="G459" s="22" t="n">
        <v>20.3</v>
      </c>
      <c r="H459" s="22" t="n">
        <v>1.5</v>
      </c>
      <c r="I459" s="24" t="n">
        <v>0.0799824893474578</v>
      </c>
      <c r="J459" s="6" t="n">
        <v>71000</v>
      </c>
      <c r="K459" s="25">
        <f>23*10^-6</f>
        <v/>
      </c>
      <c r="L459" s="8">
        <f>H459</f>
        <v/>
      </c>
      <c r="M459" s="26">
        <f>H459^2/6</f>
        <v/>
      </c>
      <c r="N459" s="26">
        <f>H459^3/12</f>
        <v/>
      </c>
      <c r="O459" s="27">
        <f>-J459*L459*K459*C459</f>
        <v/>
      </c>
      <c r="P459" s="28">
        <f>-(12*F459*J459*L459*N459+12*O459*N459*G459*COS(RADIANS(E459)))/(12*N459*G459*COS(RADIANS(E459))^2+L459*G459^3*SIN(RADIANS(E459))^2)</f>
        <v/>
      </c>
      <c r="Q459" s="28">
        <f>-(6*F459*J459*L459*N459*SIN(RADIANS(E459))+6*O459*N459*G459*SIN(RADIANS(E459))*COS(RADIANS(E459)))/(12*N459*COS(RADIANS(E459))^2+L459*G459^2*SIN(RADIANS(E459))^2)</f>
        <v/>
      </c>
      <c r="R459" s="28">
        <f>-P459*SIN(RADIANS(E459))</f>
        <v/>
      </c>
      <c r="S459" s="8">
        <f>(O459+P459*COS(RADIANS(E459)))/L459</f>
        <v/>
      </c>
      <c r="T459" s="8">
        <f>R459/L459</f>
        <v/>
      </c>
      <c r="U459" s="8">
        <f>(Q459-P459*G459*SIN(RADIANS(E459)))/M459</f>
        <v/>
      </c>
      <c r="V459" s="8">
        <f>SQRT((S459+U459)^2+3*T459^2)</f>
        <v/>
      </c>
      <c r="W459" s="8">
        <f>V459/AA459</f>
        <v/>
      </c>
      <c r="X459" s="27">
        <f>((3*10+H459/COS(RADIANS(E459)))*(3+3)+3*G459*H459)*2</f>
        <v/>
      </c>
      <c r="Y459" s="28">
        <f>Z459/X459</f>
        <v/>
      </c>
      <c r="Z459" s="29" t="n">
        <v>574.6543318328499</v>
      </c>
      <c r="AA459" s="20" t="n">
        <v>105.315324206759</v>
      </c>
      <c r="AB459" t="n">
        <v>0.07531304513729663</v>
      </c>
      <c r="AC459" t="n">
        <v>100.0679427326105</v>
      </c>
      <c r="AD459" t="n">
        <v>-5.838083120764471</v>
      </c>
    </row>
    <row r="460">
      <c r="A460" t="n">
        <v>459</v>
      </c>
      <c r="B460" t="n">
        <v>85.2</v>
      </c>
      <c r="C460" s="21">
        <f>B460-20</f>
        <v/>
      </c>
      <c r="D460" t="n">
        <v>107.7</v>
      </c>
      <c r="E460" s="22">
        <f>D460-90</f>
        <v/>
      </c>
      <c r="F460" s="23" t="n">
        <v>0.025632</v>
      </c>
      <c r="G460" s="22" t="n">
        <v>29.9</v>
      </c>
      <c r="H460" s="22" t="n">
        <v>1.8</v>
      </c>
      <c r="I460" s="24" t="n">
        <v>0.160888314247131</v>
      </c>
      <c r="J460" s="6" t="n">
        <v>71000</v>
      </c>
      <c r="K460" s="25">
        <f>23*10^-6</f>
        <v/>
      </c>
      <c r="L460" s="8">
        <f>H460</f>
        <v/>
      </c>
      <c r="M460" s="26">
        <f>H460^2/6</f>
        <v/>
      </c>
      <c r="N460" s="26">
        <f>H460^3/12</f>
        <v/>
      </c>
      <c r="O460" s="27">
        <f>-J460*L460*K460*C460</f>
        <v/>
      </c>
      <c r="P460" s="28">
        <f>-(12*F460*J460*L460*N460+12*O460*N460*G460*COS(RADIANS(E460)))/(12*N460*G460*COS(RADIANS(E460))^2+L460*G460^3*SIN(RADIANS(E460))^2)</f>
        <v/>
      </c>
      <c r="Q460" s="28">
        <f>-(6*F460*J460*L460*N460*SIN(RADIANS(E460))+6*O460*N460*G460*SIN(RADIANS(E460))*COS(RADIANS(E460)))/(12*N460*COS(RADIANS(E460))^2+L460*G460^2*SIN(RADIANS(E460))^2)</f>
        <v/>
      </c>
      <c r="R460" s="28">
        <f>-P460*SIN(RADIANS(E460))</f>
        <v/>
      </c>
      <c r="S460" s="8">
        <f>(O460+P460*COS(RADIANS(E460)))/L460</f>
        <v/>
      </c>
      <c r="T460" s="8">
        <f>R460/L460</f>
        <v/>
      </c>
      <c r="U460" s="8">
        <f>(Q460-P460*G460*SIN(RADIANS(E460)))/M460</f>
        <v/>
      </c>
      <c r="V460" s="8">
        <f>SQRT((S460+U460)^2+3*T460^2)</f>
        <v/>
      </c>
      <c r="W460" s="8">
        <f>V460/AA460</f>
        <v/>
      </c>
      <c r="X460" s="27">
        <f>((3*10+H460/COS(RADIANS(E460)))*(3+3)+3*G460*H460)*2</f>
        <v/>
      </c>
      <c r="Y460" s="28">
        <f>Z460/X460</f>
        <v/>
      </c>
      <c r="Z460" s="29" t="n">
        <v>710.21953023008</v>
      </c>
      <c r="AA460" s="20" t="n">
        <v>107.387500596763</v>
      </c>
      <c r="AB460" t="n">
        <v>0.2196842202567693</v>
      </c>
      <c r="AC460" t="n">
        <v>105.509053060654</v>
      </c>
      <c r="AD460" t="n">
        <v>36.54454724370186</v>
      </c>
    </row>
    <row r="461">
      <c r="A461" t="n">
        <v>460</v>
      </c>
      <c r="B461" t="n">
        <v>73</v>
      </c>
      <c r="C461" s="21">
        <f>B461-20</f>
        <v/>
      </c>
      <c r="D461" t="n">
        <v>122.9</v>
      </c>
      <c r="E461" s="22">
        <f>D461-90</f>
        <v/>
      </c>
      <c r="F461" s="23" t="n">
        <v>0.020366</v>
      </c>
      <c r="G461" s="22" t="n">
        <v>33</v>
      </c>
      <c r="H461" s="22" t="n">
        <v>1.3</v>
      </c>
      <c r="I461" s="24" t="n">
        <v>0.0902938097715377</v>
      </c>
      <c r="J461" s="6" t="n">
        <v>71000</v>
      </c>
      <c r="K461" s="25">
        <f>23*10^-6</f>
        <v/>
      </c>
      <c r="L461" s="8">
        <f>H461</f>
        <v/>
      </c>
      <c r="M461" s="26">
        <f>H461^2/6</f>
        <v/>
      </c>
      <c r="N461" s="26">
        <f>H461^3/12</f>
        <v/>
      </c>
      <c r="O461" s="27">
        <f>-J461*L461*K461*C461</f>
        <v/>
      </c>
      <c r="P461" s="28">
        <f>-(12*F461*J461*L461*N461+12*O461*N461*G461*COS(RADIANS(E461)))/(12*N461*G461*COS(RADIANS(E461))^2+L461*G461^3*SIN(RADIANS(E461))^2)</f>
        <v/>
      </c>
      <c r="Q461" s="28">
        <f>-(6*F461*J461*L461*N461*SIN(RADIANS(E461))+6*O461*N461*G461*SIN(RADIANS(E461))*COS(RADIANS(E461)))/(12*N461*COS(RADIANS(E461))^2+L461*G461^2*SIN(RADIANS(E461))^2)</f>
        <v/>
      </c>
      <c r="R461" s="28">
        <f>-P461*SIN(RADIANS(E461))</f>
        <v/>
      </c>
      <c r="S461" s="8">
        <f>(O461+P461*COS(RADIANS(E461)))/L461</f>
        <v/>
      </c>
      <c r="T461" s="8">
        <f>R461/L461</f>
        <v/>
      </c>
      <c r="U461" s="8">
        <f>(Q461-P461*G461*SIN(RADIANS(E461)))/M461</f>
        <v/>
      </c>
      <c r="V461" s="8">
        <f>SQRT((S461+U461)^2+3*T461^2)</f>
        <v/>
      </c>
      <c r="W461" s="8">
        <f>V461/AA461</f>
        <v/>
      </c>
      <c r="X461" s="27">
        <f>((3*10+H461/COS(RADIANS(E461)))*(3+3)+3*G461*H461)*2</f>
        <v/>
      </c>
      <c r="Y461" s="28">
        <f>Z461/X461</f>
        <v/>
      </c>
      <c r="Z461" s="29" t="n">
        <v>643.997830320737</v>
      </c>
      <c r="AA461" s="20" t="n">
        <v>73.874307875152</v>
      </c>
      <c r="AB461" t="n">
        <v>0.1051016147939604</v>
      </c>
      <c r="AC461" t="n">
        <v>76.22488821980004</v>
      </c>
      <c r="AD461" t="n">
        <v>16.39957939518731</v>
      </c>
    </row>
    <row r="462">
      <c r="A462" t="n">
        <v>461</v>
      </c>
      <c r="B462" t="n">
        <v>59.8</v>
      </c>
      <c r="C462" s="21">
        <f>B462-20</f>
        <v/>
      </c>
      <c r="D462" t="n">
        <v>116.8</v>
      </c>
      <c r="E462" s="22">
        <f>D462-90</f>
        <v/>
      </c>
      <c r="F462" s="23" t="n">
        <v>0.011348</v>
      </c>
      <c r="G462" s="22" t="n">
        <v>21.3</v>
      </c>
      <c r="H462" s="22" t="n">
        <v>1.9</v>
      </c>
      <c r="I462" s="24" t="n">
        <v>0.0583428815007209</v>
      </c>
      <c r="J462" s="6" t="n">
        <v>71000</v>
      </c>
      <c r="K462" s="25">
        <f>23*10^-6</f>
        <v/>
      </c>
      <c r="L462" s="8">
        <f>H462</f>
        <v/>
      </c>
      <c r="M462" s="26">
        <f>H462^2/6</f>
        <v/>
      </c>
      <c r="N462" s="26">
        <f>H462^3/12</f>
        <v/>
      </c>
      <c r="O462" s="27">
        <f>-J462*L462*K462*C462</f>
        <v/>
      </c>
      <c r="P462" s="28">
        <f>-(12*F462*J462*L462*N462+12*O462*N462*G462*COS(RADIANS(E462)))/(12*N462*G462*COS(RADIANS(E462))^2+L462*G462^3*SIN(RADIANS(E462))^2)</f>
        <v/>
      </c>
      <c r="Q462" s="28">
        <f>-(6*F462*J462*L462*N462*SIN(RADIANS(E462))+6*O462*N462*G462*SIN(RADIANS(E462))*COS(RADIANS(E462)))/(12*N462*COS(RADIANS(E462))^2+L462*G462^2*SIN(RADIANS(E462))^2)</f>
        <v/>
      </c>
      <c r="R462" s="28">
        <f>-P462*SIN(RADIANS(E462))</f>
        <v/>
      </c>
      <c r="S462" s="8">
        <f>(O462+P462*COS(RADIANS(E462)))/L462</f>
        <v/>
      </c>
      <c r="T462" s="8">
        <f>R462/L462</f>
        <v/>
      </c>
      <c r="U462" s="8">
        <f>(Q462-P462*G462*SIN(RADIANS(E462)))/M462</f>
        <v/>
      </c>
      <c r="V462" s="8">
        <f>SQRT((S462+U462)^2+3*T462^2)</f>
        <v/>
      </c>
      <c r="W462" s="8">
        <f>V462/AA462</f>
        <v/>
      </c>
      <c r="X462" s="27">
        <f>((3*10+H462/COS(RADIANS(E462)))*(3+3)+3*G462*H462)*2</f>
        <v/>
      </c>
      <c r="Y462" s="28">
        <f>Z462/X462</f>
        <v/>
      </c>
      <c r="Z462" s="29" t="n">
        <v>634.685562576287</v>
      </c>
      <c r="AA462" s="20" t="n">
        <v>68.27095006541749</v>
      </c>
      <c r="AB462" t="n">
        <v>0.0635502649295549</v>
      </c>
      <c r="AC462" t="n">
        <v>62.45079353471999</v>
      </c>
      <c r="AD462" t="n">
        <v>8.925482072341003</v>
      </c>
    </row>
    <row r="463">
      <c r="A463" t="n">
        <v>462</v>
      </c>
      <c r="B463" t="n">
        <v>56.9</v>
      </c>
      <c r="C463" s="21">
        <f>B463-20</f>
        <v/>
      </c>
      <c r="D463" t="n">
        <v>126.8</v>
      </c>
      <c r="E463" s="22">
        <f>D463-90</f>
        <v/>
      </c>
      <c r="F463" s="23" t="n">
        <v>0.011248</v>
      </c>
      <c r="G463" s="22" t="n">
        <v>25.9</v>
      </c>
      <c r="H463" s="22" t="n">
        <v>1.1</v>
      </c>
      <c r="I463" s="24" t="n">
        <v>0.0499756969511508</v>
      </c>
      <c r="J463" s="6" t="n">
        <v>71000</v>
      </c>
      <c r="K463" s="25">
        <f>23*10^-6</f>
        <v/>
      </c>
      <c r="L463" s="8">
        <f>H463</f>
        <v/>
      </c>
      <c r="M463" s="26">
        <f>H463^2/6</f>
        <v/>
      </c>
      <c r="N463" s="26">
        <f>H463^3/12</f>
        <v/>
      </c>
      <c r="O463" s="27">
        <f>-J463*L463*K463*C463</f>
        <v/>
      </c>
      <c r="P463" s="28">
        <f>-(12*F463*J463*L463*N463+12*O463*N463*G463*COS(RADIANS(E463)))/(12*N463*G463*COS(RADIANS(E463))^2+L463*G463^3*SIN(RADIANS(E463))^2)</f>
        <v/>
      </c>
      <c r="Q463" s="28">
        <f>-(6*F463*J463*L463*N463*SIN(RADIANS(E463))+6*O463*N463*G463*SIN(RADIANS(E463))*COS(RADIANS(E463)))/(12*N463*COS(RADIANS(E463))^2+L463*G463^2*SIN(RADIANS(E463))^2)</f>
        <v/>
      </c>
      <c r="R463" s="28">
        <f>-P463*SIN(RADIANS(E463))</f>
        <v/>
      </c>
      <c r="S463" s="8">
        <f>(O463+P463*COS(RADIANS(E463)))/L463</f>
        <v/>
      </c>
      <c r="T463" s="8">
        <f>R463/L463</f>
        <v/>
      </c>
      <c r="U463" s="8">
        <f>(Q463-P463*G463*SIN(RADIANS(E463)))/M463</f>
        <v/>
      </c>
      <c r="V463" s="8">
        <f>SQRT((S463+U463)^2+3*T463^2)</f>
        <v/>
      </c>
      <c r="W463" s="8">
        <f>V463/AA463</f>
        <v/>
      </c>
      <c r="X463" s="27">
        <f>((3*10+H463/COS(RADIANS(E463)))*(3+3)+3*G463*H463)*2</f>
        <v/>
      </c>
      <c r="Y463" s="28">
        <f>Z463/X463</f>
        <v/>
      </c>
      <c r="Z463" s="29" t="n">
        <v>556.8311572778269</v>
      </c>
      <c r="AA463" s="20" t="n">
        <v>49.6452497940959</v>
      </c>
      <c r="AB463" t="n">
        <v>0.05153755141995965</v>
      </c>
      <c r="AC463" t="n">
        <v>52.54076048431937</v>
      </c>
      <c r="AD463" t="n">
        <v>3.125227988987334</v>
      </c>
    </row>
    <row r="464">
      <c r="A464" t="n">
        <v>463</v>
      </c>
      <c r="B464" t="n">
        <v>75.8</v>
      </c>
      <c r="C464" s="21">
        <f>B464-20</f>
        <v/>
      </c>
      <c r="D464" t="n">
        <v>104.7</v>
      </c>
      <c r="E464" s="22">
        <f>D464-90</f>
        <v/>
      </c>
      <c r="F464" s="23" t="n">
        <v>0.020245</v>
      </c>
      <c r="G464" s="22" t="n">
        <v>26.7</v>
      </c>
      <c r="H464" s="22" t="n">
        <v>1.4</v>
      </c>
      <c r="I464" s="24" t="n">
        <v>0.147251352667808</v>
      </c>
      <c r="J464" s="6" t="n">
        <v>71000</v>
      </c>
      <c r="K464" s="25">
        <f>23*10^-6</f>
        <v/>
      </c>
      <c r="L464" s="8">
        <f>H464</f>
        <v/>
      </c>
      <c r="M464" s="26">
        <f>H464^2/6</f>
        <v/>
      </c>
      <c r="N464" s="26">
        <f>H464^3/12</f>
        <v/>
      </c>
      <c r="O464" s="27">
        <f>-J464*L464*K464*C464</f>
        <v/>
      </c>
      <c r="P464" s="28">
        <f>-(12*F464*J464*L464*N464+12*O464*N464*G464*COS(RADIANS(E464)))/(12*N464*G464*COS(RADIANS(E464))^2+L464*G464^3*SIN(RADIANS(E464))^2)</f>
        <v/>
      </c>
      <c r="Q464" s="28">
        <f>-(6*F464*J464*L464*N464*SIN(RADIANS(E464))+6*O464*N464*G464*SIN(RADIANS(E464))*COS(RADIANS(E464)))/(12*N464*COS(RADIANS(E464))^2+L464*G464^2*SIN(RADIANS(E464))^2)</f>
        <v/>
      </c>
      <c r="R464" s="28">
        <f>-P464*SIN(RADIANS(E464))</f>
        <v/>
      </c>
      <c r="S464" s="8">
        <f>(O464+P464*COS(RADIANS(E464)))/L464</f>
        <v/>
      </c>
      <c r="T464" s="8">
        <f>R464/L464</f>
        <v/>
      </c>
      <c r="U464" s="8">
        <f>(Q464-P464*G464*SIN(RADIANS(E464)))/M464</f>
        <v/>
      </c>
      <c r="V464" s="8">
        <f>SQRT((S464+U464)^2+3*T464^2)</f>
        <v/>
      </c>
      <c r="W464" s="8">
        <f>V464/AA464</f>
        <v/>
      </c>
      <c r="X464" s="27">
        <f>((3*10+H464/COS(RADIANS(E464)))*(3+3)+3*G464*H464)*2</f>
        <v/>
      </c>
      <c r="Y464" s="28">
        <f>Z464/X464</f>
        <v/>
      </c>
      <c r="Z464" s="29" t="n">
        <v>605.894297440492</v>
      </c>
      <c r="AA464" s="20" t="n">
        <v>87.1453912881192</v>
      </c>
      <c r="AB464" t="n">
        <v>0.203851826061051</v>
      </c>
      <c r="AC464" t="n">
        <v>90.64500388212835</v>
      </c>
      <c r="AD464" t="n">
        <v>38.43799895063167</v>
      </c>
    </row>
    <row r="465">
      <c r="A465" t="n">
        <v>464</v>
      </c>
      <c r="B465" t="n">
        <v>76.90000000000001</v>
      </c>
      <c r="C465" s="21">
        <f>B465-20</f>
        <v/>
      </c>
      <c r="D465" t="n">
        <v>126.1</v>
      </c>
      <c r="E465" s="22">
        <f>D465-90</f>
        <v/>
      </c>
      <c r="F465" s="23" t="n">
        <v>0.018934</v>
      </c>
      <c r="G465" s="22" t="n">
        <v>28.7</v>
      </c>
      <c r="H465" s="22" t="n">
        <v>1.6</v>
      </c>
      <c r="I465" s="24" t="n">
        <v>0.0834255144000053</v>
      </c>
      <c r="J465" s="6" t="n">
        <v>71000</v>
      </c>
      <c r="K465" s="25">
        <f>23*10^-6</f>
        <v/>
      </c>
      <c r="L465" s="8">
        <f>H465</f>
        <v/>
      </c>
      <c r="M465" s="26">
        <f>H465^2/6</f>
        <v/>
      </c>
      <c r="N465" s="26">
        <f>H465^3/12</f>
        <v/>
      </c>
      <c r="O465" s="27">
        <f>-J465*L465*K465*C465</f>
        <v/>
      </c>
      <c r="P465" s="28">
        <f>-(12*F465*J465*L465*N465+12*O465*N465*G465*COS(RADIANS(E465)))/(12*N465*G465*COS(RADIANS(E465))^2+L465*G465^3*SIN(RADIANS(E465))^2)</f>
        <v/>
      </c>
      <c r="Q465" s="28">
        <f>-(6*F465*J465*L465*N465*SIN(RADIANS(E465))+6*O465*N465*G465*SIN(RADIANS(E465))*COS(RADIANS(E465)))/(12*N465*COS(RADIANS(E465))^2+L465*G465^2*SIN(RADIANS(E465))^2)</f>
        <v/>
      </c>
      <c r="R465" s="28">
        <f>-P465*SIN(RADIANS(E465))</f>
        <v/>
      </c>
      <c r="S465" s="8">
        <f>(O465+P465*COS(RADIANS(E465)))/L465</f>
        <v/>
      </c>
      <c r="T465" s="8">
        <f>R465/L465</f>
        <v/>
      </c>
      <c r="U465" s="8">
        <f>(Q465-P465*G465*SIN(RADIANS(E465)))/M465</f>
        <v/>
      </c>
      <c r="V465" s="8">
        <f>SQRT((S465+U465)^2+3*T465^2)</f>
        <v/>
      </c>
      <c r="W465" s="8">
        <f>V465/AA465</f>
        <v/>
      </c>
      <c r="X465" s="27">
        <f>((3*10+H465/COS(RADIANS(E465)))*(3+3)+3*G465*H465)*2</f>
        <v/>
      </c>
      <c r="Y465" s="28">
        <f>Z465/X465</f>
        <v/>
      </c>
      <c r="Z465" s="29" t="n">
        <v>668.419645310974</v>
      </c>
      <c r="AA465" s="20" t="n">
        <v>84.8073234327057</v>
      </c>
      <c r="AB465" t="n">
        <v>0.08911070139200405</v>
      </c>
      <c r="AC465" t="n">
        <v>82.81084401710328</v>
      </c>
      <c r="AD465" t="n">
        <v>6.814686169916376</v>
      </c>
    </row>
    <row r="466">
      <c r="A466" t="n">
        <v>465</v>
      </c>
      <c r="B466" t="n">
        <v>52.2</v>
      </c>
      <c r="C466" s="21">
        <f>B466-20</f>
        <v/>
      </c>
      <c r="D466" t="n">
        <v>123.9</v>
      </c>
      <c r="E466" s="22">
        <f>D466-90</f>
        <v/>
      </c>
      <c r="F466" s="23" t="n">
        <v>0.009759</v>
      </c>
      <c r="G466" s="22" t="n">
        <v>24.8</v>
      </c>
      <c r="H466" s="22" t="n">
        <v>1</v>
      </c>
      <c r="I466" s="24" t="n">
        <v>0.0446411557495594</v>
      </c>
      <c r="J466" s="6" t="n">
        <v>71000</v>
      </c>
      <c r="K466" s="25">
        <f>23*10^-6</f>
        <v/>
      </c>
      <c r="L466" s="8">
        <f>H466</f>
        <v/>
      </c>
      <c r="M466" s="26">
        <f>H466^2/6</f>
        <v/>
      </c>
      <c r="N466" s="26">
        <f>H466^3/12</f>
        <v/>
      </c>
      <c r="O466" s="27">
        <f>-J466*L466*K466*C466</f>
        <v/>
      </c>
      <c r="P466" s="28">
        <f>-(12*F466*J466*L466*N466+12*O466*N466*G466*COS(RADIANS(E466)))/(12*N466*G466*COS(RADIANS(E466))^2+L466*G466^3*SIN(RADIANS(E466))^2)</f>
        <v/>
      </c>
      <c r="Q466" s="28">
        <f>-(6*F466*J466*L466*N466*SIN(RADIANS(E466))+6*O466*N466*G466*SIN(RADIANS(E466))*COS(RADIANS(E466)))/(12*N466*COS(RADIANS(E466))^2+L466*G466^2*SIN(RADIANS(E466))^2)</f>
        <v/>
      </c>
      <c r="R466" s="28">
        <f>-P466*SIN(RADIANS(E466))</f>
        <v/>
      </c>
      <c r="S466" s="8">
        <f>(O466+P466*COS(RADIANS(E466)))/L466</f>
        <v/>
      </c>
      <c r="T466" s="8">
        <f>R466/L466</f>
        <v/>
      </c>
      <c r="U466" s="8">
        <f>(Q466-P466*G466*SIN(RADIANS(E466)))/M466</f>
        <v/>
      </c>
      <c r="V466" s="8">
        <f>SQRT((S466+U466)^2+3*T466^2)</f>
        <v/>
      </c>
      <c r="W466" s="8">
        <f>V466/AA466</f>
        <v/>
      </c>
      <c r="X466" s="27">
        <f>((3*10+H466/COS(RADIANS(E466)))*(3+3)+3*G466*H466)*2</f>
        <v/>
      </c>
      <c r="Y466" s="28">
        <f>Z466/X466</f>
        <v/>
      </c>
      <c r="Z466" s="29" t="n">
        <v>531.606481386096</v>
      </c>
      <c r="AA466" s="20" t="n">
        <v>43.0612526378572</v>
      </c>
      <c r="AB466" t="n">
        <v>0.04725909655769479</v>
      </c>
      <c r="AC466" t="n">
        <v>45.98444956380776</v>
      </c>
      <c r="AD466" t="n">
        <v>5.864410910018228</v>
      </c>
    </row>
    <row r="467">
      <c r="A467" t="n">
        <v>466</v>
      </c>
      <c r="B467" t="n">
        <v>84.8</v>
      </c>
      <c r="C467" s="21">
        <f>B467-20</f>
        <v/>
      </c>
      <c r="D467" t="n">
        <v>108</v>
      </c>
      <c r="E467" s="22">
        <f>D467-90</f>
        <v/>
      </c>
      <c r="F467" s="23" t="n">
        <v>0.019959</v>
      </c>
      <c r="G467" s="22" t="n">
        <v>22.1</v>
      </c>
      <c r="H467" s="22" t="n">
        <v>1.7</v>
      </c>
      <c r="I467" s="24" t="n">
        <v>0.127301603555679</v>
      </c>
      <c r="J467" s="6" t="n">
        <v>71000</v>
      </c>
      <c r="K467" s="25">
        <f>23*10^-6</f>
        <v/>
      </c>
      <c r="L467" s="8">
        <f>H467</f>
        <v/>
      </c>
      <c r="M467" s="26">
        <f>H467^2/6</f>
        <v/>
      </c>
      <c r="N467" s="26">
        <f>H467^3/12</f>
        <v/>
      </c>
      <c r="O467" s="27">
        <f>-J467*L467*K467*C467</f>
        <v/>
      </c>
      <c r="P467" s="28">
        <f>-(12*F467*J467*L467*N467+12*O467*N467*G467*COS(RADIANS(E467)))/(12*N467*G467*COS(RADIANS(E467))^2+L467*G467^3*SIN(RADIANS(E467))^2)</f>
        <v/>
      </c>
      <c r="Q467" s="28">
        <f>-(6*F467*J467*L467*N467*SIN(RADIANS(E467))+6*O467*N467*G467*SIN(RADIANS(E467))*COS(RADIANS(E467)))/(12*N467*COS(RADIANS(E467))^2+L467*G467^2*SIN(RADIANS(E467))^2)</f>
        <v/>
      </c>
      <c r="R467" s="28">
        <f>-P467*SIN(RADIANS(E467))</f>
        <v/>
      </c>
      <c r="S467" s="8">
        <f>(O467+P467*COS(RADIANS(E467)))/L467</f>
        <v/>
      </c>
      <c r="T467" s="8">
        <f>R467/L467</f>
        <v/>
      </c>
      <c r="U467" s="8">
        <f>(Q467-P467*G467*SIN(RADIANS(E467)))/M467</f>
        <v/>
      </c>
      <c r="V467" s="8">
        <f>SQRT((S467+U467)^2+3*T467^2)</f>
        <v/>
      </c>
      <c r="W467" s="8">
        <f>V467/AA467</f>
        <v/>
      </c>
      <c r="X467" s="27">
        <f>((3*10+H467/COS(RADIANS(E467)))*(3+3)+3*G467*H467)*2</f>
        <v/>
      </c>
      <c r="Y467" s="28">
        <f>Z467/X467</f>
        <v/>
      </c>
      <c r="Z467" s="29" t="n">
        <v>611.538552141819</v>
      </c>
      <c r="AA467" s="20" t="n">
        <v>109.803804822708</v>
      </c>
      <c r="AB467" t="n">
        <v>0.1587551515392037</v>
      </c>
      <c r="AC467" t="n">
        <v>106.6017329375287</v>
      </c>
      <c r="AD467" t="n">
        <v>24.70789613405586</v>
      </c>
    </row>
    <row r="468">
      <c r="A468" t="n">
        <v>467</v>
      </c>
      <c r="B468" t="n">
        <v>46.4</v>
      </c>
      <c r="C468" s="21">
        <f>B468-20</f>
        <v/>
      </c>
      <c r="D468" t="n">
        <v>126.7</v>
      </c>
      <c r="E468" s="22">
        <f>D468-90</f>
        <v/>
      </c>
      <c r="F468" s="23" t="n">
        <v>0.010179</v>
      </c>
      <c r="G468" s="22" t="n">
        <v>34.7</v>
      </c>
      <c r="H468" s="22" t="n">
        <v>1.9</v>
      </c>
      <c r="I468" s="24" t="n">
        <v>0.0435562431812286</v>
      </c>
      <c r="J468" s="6" t="n">
        <v>71000</v>
      </c>
      <c r="K468" s="25">
        <f>23*10^-6</f>
        <v/>
      </c>
      <c r="L468" s="8">
        <f>H468</f>
        <v/>
      </c>
      <c r="M468" s="26">
        <f>H468^2/6</f>
        <v/>
      </c>
      <c r="N468" s="26">
        <f>H468^3/12</f>
        <v/>
      </c>
      <c r="O468" s="27">
        <f>-J468*L468*K468*C468</f>
        <v/>
      </c>
      <c r="P468" s="28">
        <f>-(12*F468*J468*L468*N468+12*O468*N468*G468*COS(RADIANS(E468)))/(12*N468*G468*COS(RADIANS(E468))^2+L468*G468^3*SIN(RADIANS(E468))^2)</f>
        <v/>
      </c>
      <c r="Q468" s="28">
        <f>-(6*F468*J468*L468*N468*SIN(RADIANS(E468))+6*O468*N468*G468*SIN(RADIANS(E468))*COS(RADIANS(E468)))/(12*N468*COS(RADIANS(E468))^2+L468*G468^2*SIN(RADIANS(E468))^2)</f>
        <v/>
      </c>
      <c r="R468" s="28">
        <f>-P468*SIN(RADIANS(E468))</f>
        <v/>
      </c>
      <c r="S468" s="8">
        <f>(O468+P468*COS(RADIANS(E468)))/L468</f>
        <v/>
      </c>
      <c r="T468" s="8">
        <f>R468/L468</f>
        <v/>
      </c>
      <c r="U468" s="8">
        <f>(Q468-P468*G468*SIN(RADIANS(E468)))/M468</f>
        <v/>
      </c>
      <c r="V468" s="8">
        <f>SQRT((S468+U468)^2+3*T468^2)</f>
        <v/>
      </c>
      <c r="W468" s="8">
        <f>V468/AA468</f>
        <v/>
      </c>
      <c r="X468" s="27">
        <f>((3*10+H468/COS(RADIANS(E468)))*(3+3)+3*G468*H468)*2</f>
        <v/>
      </c>
      <c r="Y468" s="28">
        <f>Z468/X468</f>
        <v/>
      </c>
      <c r="Z468" s="29" t="n">
        <v>793.384072957973</v>
      </c>
      <c r="AA468" s="20" t="n">
        <v>39.9386075111224</v>
      </c>
      <c r="AB468" t="n">
        <v>0.04860880912195501</v>
      </c>
      <c r="AC468" t="n">
        <v>38.47202422946631</v>
      </c>
      <c r="AD468" t="n">
        <v>11.60009581107286</v>
      </c>
    </row>
    <row r="469">
      <c r="A469" t="n">
        <v>468</v>
      </c>
      <c r="B469" t="n">
        <v>41.3</v>
      </c>
      <c r="C469" s="21">
        <f>B469-20</f>
        <v/>
      </c>
      <c r="D469" t="n">
        <v>111.8</v>
      </c>
      <c r="E469" s="22">
        <f>D469-90</f>
        <v/>
      </c>
      <c r="F469" s="23" t="n">
        <v>0.007093</v>
      </c>
      <c r="G469" s="22" t="n">
        <v>25</v>
      </c>
      <c r="H469" s="22" t="n">
        <v>1.9</v>
      </c>
      <c r="I469" s="24" t="n">
        <v>0.0397620350122451</v>
      </c>
      <c r="J469" s="6" t="n">
        <v>71000</v>
      </c>
      <c r="K469" s="25">
        <f>23*10^-6</f>
        <v/>
      </c>
      <c r="L469" s="8">
        <f>H469</f>
        <v/>
      </c>
      <c r="M469" s="26">
        <f>H469^2/6</f>
        <v/>
      </c>
      <c r="N469" s="26">
        <f>H469^3/12</f>
        <v/>
      </c>
      <c r="O469" s="27">
        <f>-J469*L469*K469*C469</f>
        <v/>
      </c>
      <c r="P469" s="28">
        <f>-(12*F469*J469*L469*N469+12*O469*N469*G469*COS(RADIANS(E469)))/(12*N469*G469*COS(RADIANS(E469))^2+L469*G469^3*SIN(RADIANS(E469))^2)</f>
        <v/>
      </c>
      <c r="Q469" s="28">
        <f>-(6*F469*J469*L469*N469*SIN(RADIANS(E469))+6*O469*N469*G469*SIN(RADIANS(E469))*COS(RADIANS(E469)))/(12*N469*COS(RADIANS(E469))^2+L469*G469^2*SIN(RADIANS(E469))^2)</f>
        <v/>
      </c>
      <c r="R469" s="28">
        <f>-P469*SIN(RADIANS(E469))</f>
        <v/>
      </c>
      <c r="S469" s="8">
        <f>(O469+P469*COS(RADIANS(E469)))/L469</f>
        <v/>
      </c>
      <c r="T469" s="8">
        <f>R469/L469</f>
        <v/>
      </c>
      <c r="U469" s="8">
        <f>(Q469-P469*G469*SIN(RADIANS(E469)))/M469</f>
        <v/>
      </c>
      <c r="V469" s="8">
        <f>SQRT((S469+U469)^2+3*T469^2)</f>
        <v/>
      </c>
      <c r="W469" s="8">
        <f>V469/AA469</f>
        <v/>
      </c>
      <c r="X469" s="27">
        <f>((3*10+H469/COS(RADIANS(E469)))*(3+3)+3*G469*H469)*2</f>
        <v/>
      </c>
      <c r="Y469" s="28">
        <f>Z469/X469</f>
        <v/>
      </c>
      <c r="Z469" s="29" t="n">
        <v>674.838276010368</v>
      </c>
      <c r="AA469" s="20" t="n">
        <v>35.989647955767</v>
      </c>
      <c r="AB469" t="n">
        <v>0.04884783646609482</v>
      </c>
      <c r="AC469" t="n">
        <v>34.15612460492463</v>
      </c>
      <c r="AD469" t="n">
        <v>22.85044377394582</v>
      </c>
    </row>
    <row r="470">
      <c r="A470" t="n">
        <v>469</v>
      </c>
      <c r="B470" t="n">
        <v>84.3</v>
      </c>
      <c r="C470" s="21">
        <f>B470-20</f>
        <v/>
      </c>
      <c r="D470" t="n">
        <v>106.2</v>
      </c>
      <c r="E470" s="22">
        <f>D470-90</f>
        <v/>
      </c>
      <c r="F470" s="23" t="n">
        <v>0.020588</v>
      </c>
      <c r="G470" s="22" t="n">
        <v>23</v>
      </c>
      <c r="H470" s="22" t="n">
        <v>1.9</v>
      </c>
      <c r="I470" s="24" t="n">
        <v>0.138291478157043</v>
      </c>
      <c r="J470" s="6" t="n">
        <v>71000</v>
      </c>
      <c r="K470" s="25">
        <f>23*10^-6</f>
        <v/>
      </c>
      <c r="L470" s="8">
        <f>H470</f>
        <v/>
      </c>
      <c r="M470" s="26">
        <f>H470^2/6</f>
        <v/>
      </c>
      <c r="N470" s="26">
        <f>H470^3/12</f>
        <v/>
      </c>
      <c r="O470" s="27">
        <f>-J470*L470*K470*C470</f>
        <v/>
      </c>
      <c r="P470" s="28">
        <f>-(12*F470*J470*L470*N470+12*O470*N470*G470*COS(RADIANS(E470)))/(12*N470*G470*COS(RADIANS(E470))^2+L470*G470^3*SIN(RADIANS(E470))^2)</f>
        <v/>
      </c>
      <c r="Q470" s="28">
        <f>-(6*F470*J470*L470*N470*SIN(RADIANS(E470))+6*O470*N470*G470*SIN(RADIANS(E470))*COS(RADIANS(E470)))/(12*N470*COS(RADIANS(E470))^2+L470*G470^2*SIN(RADIANS(E470))^2)</f>
        <v/>
      </c>
      <c r="R470" s="28">
        <f>-P470*SIN(RADIANS(E470))</f>
        <v/>
      </c>
      <c r="S470" s="8">
        <f>(O470+P470*COS(RADIANS(E470)))/L470</f>
        <v/>
      </c>
      <c r="T470" s="8">
        <f>R470/L470</f>
        <v/>
      </c>
      <c r="U470" s="8">
        <f>(Q470-P470*G470*SIN(RADIANS(E470)))/M470</f>
        <v/>
      </c>
      <c r="V470" s="8">
        <f>SQRT((S470+U470)^2+3*T470^2)</f>
        <v/>
      </c>
      <c r="W470" s="8">
        <f>V470/AA470</f>
        <v/>
      </c>
      <c r="X470" s="27">
        <f>((3*10+H470/COS(RADIANS(E470)))*(3+3)+3*G470*H470)*2</f>
        <v/>
      </c>
      <c r="Y470" s="28">
        <f>Z470/X470</f>
        <v/>
      </c>
      <c r="Z470" s="29" t="n">
        <v>650.368720220908</v>
      </c>
      <c r="AA470" s="20" t="n">
        <v>115.443728126545</v>
      </c>
      <c r="AB470" t="n">
        <v>0.1779171029888005</v>
      </c>
      <c r="AC470" t="n">
        <v>109.1793126907743</v>
      </c>
      <c r="AD470" t="n">
        <v>28.65369967826859</v>
      </c>
    </row>
    <row r="471">
      <c r="A471" t="n">
        <v>470</v>
      </c>
      <c r="B471" t="n">
        <v>88.90000000000001</v>
      </c>
      <c r="C471" s="21">
        <f>B471-20</f>
        <v/>
      </c>
      <c r="D471" t="n">
        <v>110.3</v>
      </c>
      <c r="E471" s="22">
        <f>D471-90</f>
        <v/>
      </c>
      <c r="F471" s="23" t="n">
        <v>0.021509</v>
      </c>
      <c r="G471" s="22" t="n">
        <v>22.8</v>
      </c>
      <c r="H471" s="22" t="n">
        <v>1.5</v>
      </c>
      <c r="I471" s="24" t="n">
        <v>0.127991318702697</v>
      </c>
      <c r="J471" s="6" t="n">
        <v>71000</v>
      </c>
      <c r="K471" s="25">
        <f>23*10^-6</f>
        <v/>
      </c>
      <c r="L471" s="8">
        <f>H471</f>
        <v/>
      </c>
      <c r="M471" s="26">
        <f>H471^2/6</f>
        <v/>
      </c>
      <c r="N471" s="26">
        <f>H471^3/12</f>
        <v/>
      </c>
      <c r="O471" s="27">
        <f>-J471*L471*K471*C471</f>
        <v/>
      </c>
      <c r="P471" s="28">
        <f>-(12*F471*J471*L471*N471+12*O471*N471*G471*COS(RADIANS(E471)))/(12*N471*G471*COS(RADIANS(E471))^2+L471*G471^3*SIN(RADIANS(E471))^2)</f>
        <v/>
      </c>
      <c r="Q471" s="28">
        <f>-(6*F471*J471*L471*N471*SIN(RADIANS(E471))+6*O471*N471*G471*SIN(RADIANS(E471))*COS(RADIANS(E471)))/(12*N471*COS(RADIANS(E471))^2+L471*G471^2*SIN(RADIANS(E471))^2)</f>
        <v/>
      </c>
      <c r="R471" s="28">
        <f>-P471*SIN(RADIANS(E471))</f>
        <v/>
      </c>
      <c r="S471" s="8">
        <f>(O471+P471*COS(RADIANS(E471)))/L471</f>
        <v/>
      </c>
      <c r="T471" s="8">
        <f>R471/L471</f>
        <v/>
      </c>
      <c r="U471" s="8">
        <f>(Q471-P471*G471*SIN(RADIANS(E471)))/M471</f>
        <v/>
      </c>
      <c r="V471" s="8">
        <f>SQRT((S471+U471)^2+3*T471^2)</f>
        <v/>
      </c>
      <c r="W471" s="8">
        <f>V471/AA471</f>
        <v/>
      </c>
      <c r="X471" s="27">
        <f>((3*10+H471/COS(RADIANS(E471)))*(3+3)+3*G471*H471)*2</f>
        <v/>
      </c>
      <c r="Y471" s="28">
        <f>Z471/X471</f>
        <v/>
      </c>
      <c r="Z471" s="29" t="n">
        <v>589.4150512043969</v>
      </c>
      <c r="AA471" s="20" t="n">
        <v>109.015459200896</v>
      </c>
      <c r="AB471" t="n">
        <v>0.1570698887935461</v>
      </c>
      <c r="AC471" t="n">
        <v>108.9893519499231</v>
      </c>
      <c r="AD471" t="n">
        <v>22.71917375770921</v>
      </c>
    </row>
    <row r="472">
      <c r="A472" t="n">
        <v>471</v>
      </c>
      <c r="B472" t="n">
        <v>59.4</v>
      </c>
      <c r="C472" s="21">
        <f>B472-20</f>
        <v/>
      </c>
      <c r="D472" t="n">
        <v>115.8</v>
      </c>
      <c r="E472" s="22">
        <f>D472-90</f>
        <v/>
      </c>
      <c r="F472" s="23" t="n">
        <v>0.015191</v>
      </c>
      <c r="G472" s="22" t="n">
        <v>30.9</v>
      </c>
      <c r="H472" s="22" t="n">
        <v>1.5</v>
      </c>
      <c r="I472" s="24" t="n">
        <v>0.07577111572027199</v>
      </c>
      <c r="J472" s="6" t="n">
        <v>71000</v>
      </c>
      <c r="K472" s="25">
        <f>23*10^-6</f>
        <v/>
      </c>
      <c r="L472" s="8">
        <f>H472</f>
        <v/>
      </c>
      <c r="M472" s="26">
        <f>H472^2/6</f>
        <v/>
      </c>
      <c r="N472" s="26">
        <f>H472^3/12</f>
        <v/>
      </c>
      <c r="O472" s="27">
        <f>-J472*L472*K472*C472</f>
        <v/>
      </c>
      <c r="P472" s="28">
        <f>-(12*F472*J472*L472*N472+12*O472*N472*G472*COS(RADIANS(E472)))/(12*N472*G472*COS(RADIANS(E472))^2+L472*G472^3*SIN(RADIANS(E472))^2)</f>
        <v/>
      </c>
      <c r="Q472" s="28">
        <f>-(6*F472*J472*L472*N472*SIN(RADIANS(E472))+6*O472*N472*G472*SIN(RADIANS(E472))*COS(RADIANS(E472)))/(12*N472*COS(RADIANS(E472))^2+L472*G472^2*SIN(RADIANS(E472))^2)</f>
        <v/>
      </c>
      <c r="R472" s="28">
        <f>-P472*SIN(RADIANS(E472))</f>
        <v/>
      </c>
      <c r="S472" s="8">
        <f>(O472+P472*COS(RADIANS(E472)))/L472</f>
        <v/>
      </c>
      <c r="T472" s="8">
        <f>R472/L472</f>
        <v/>
      </c>
      <c r="U472" s="8">
        <f>(Q472-P472*G472*SIN(RADIANS(E472)))/M472</f>
        <v/>
      </c>
      <c r="V472" s="8">
        <f>SQRT((S472+U472)^2+3*T472^2)</f>
        <v/>
      </c>
      <c r="W472" s="8">
        <f>V472/AA472</f>
        <v/>
      </c>
      <c r="X472" s="27">
        <f>((3*10+H472/COS(RADIANS(E472)))*(3+3)+3*G472*H472)*2</f>
        <v/>
      </c>
      <c r="Y472" s="28">
        <f>Z472/X472</f>
        <v/>
      </c>
      <c r="Z472" s="29" t="n">
        <v>664.183773017087</v>
      </c>
      <c r="AA472" s="20" t="n">
        <v>59.2125715244109</v>
      </c>
      <c r="AB472" t="n">
        <v>0.09473109144417682</v>
      </c>
      <c r="AC472" t="n">
        <v>58.982111273926</v>
      </c>
      <c r="AD472" t="n">
        <v>25.02269571151666</v>
      </c>
    </row>
    <row r="473">
      <c r="A473" t="n">
        <v>472</v>
      </c>
      <c r="B473" t="n">
        <v>44.2</v>
      </c>
      <c r="C473" s="21">
        <f>B473-20</f>
        <v/>
      </c>
      <c r="D473" t="n">
        <v>114.7</v>
      </c>
      <c r="E473" s="22">
        <f>D473-90</f>
        <v/>
      </c>
      <c r="F473" s="23" t="n">
        <v>0.009601</v>
      </c>
      <c r="G473" s="22" t="n">
        <v>31.7</v>
      </c>
      <c r="H473" s="22" t="n">
        <v>1.8</v>
      </c>
      <c r="I473" s="24" t="n">
        <v>0.0488203428685665</v>
      </c>
      <c r="J473" s="6" t="n">
        <v>71000</v>
      </c>
      <c r="K473" s="25">
        <f>23*10^-6</f>
        <v/>
      </c>
      <c r="L473" s="8">
        <f>H473</f>
        <v/>
      </c>
      <c r="M473" s="26">
        <f>H473^2/6</f>
        <v/>
      </c>
      <c r="N473" s="26">
        <f>H473^3/12</f>
        <v/>
      </c>
      <c r="O473" s="27">
        <f>-J473*L473*K473*C473</f>
        <v/>
      </c>
      <c r="P473" s="28">
        <f>-(12*F473*J473*L473*N473+12*O473*N473*G473*COS(RADIANS(E473)))/(12*N473*G473*COS(RADIANS(E473))^2+L473*G473^3*SIN(RADIANS(E473))^2)</f>
        <v/>
      </c>
      <c r="Q473" s="28">
        <f>-(6*F473*J473*L473*N473*SIN(RADIANS(E473))+6*O473*N473*G473*SIN(RADIANS(E473))*COS(RADIANS(E473)))/(12*N473*COS(RADIANS(E473))^2+L473*G473^2*SIN(RADIANS(E473))^2)</f>
        <v/>
      </c>
      <c r="R473" s="28">
        <f>-P473*SIN(RADIANS(E473))</f>
        <v/>
      </c>
      <c r="S473" s="8">
        <f>(O473+P473*COS(RADIANS(E473)))/L473</f>
        <v/>
      </c>
      <c r="T473" s="8">
        <f>R473/L473</f>
        <v/>
      </c>
      <c r="U473" s="8">
        <f>(Q473-P473*G473*SIN(RADIANS(E473)))/M473</f>
        <v/>
      </c>
      <c r="V473" s="8">
        <f>SQRT((S473+U473)^2+3*T473^2)</f>
        <v/>
      </c>
      <c r="W473" s="8">
        <f>V473/AA473</f>
        <v/>
      </c>
      <c r="X473" s="27">
        <f>((3*10+H473/COS(RADIANS(E473)))*(3+3)+3*G473*H473)*2</f>
        <v/>
      </c>
      <c r="Y473" s="28">
        <f>Z473/X473</f>
        <v/>
      </c>
      <c r="Z473" s="29" t="n">
        <v>731.985802805739</v>
      </c>
      <c r="AA473" s="20" t="n">
        <v>38.6543051535225</v>
      </c>
      <c r="AB473" t="n">
        <v>0.06208404898538991</v>
      </c>
      <c r="AC473" t="n">
        <v>37.0639468123472</v>
      </c>
      <c r="AD473" t="n">
        <v>27.16840017394346</v>
      </c>
    </row>
    <row r="474">
      <c r="A474" t="n">
        <v>473</v>
      </c>
      <c r="B474" t="n">
        <v>44.4</v>
      </c>
      <c r="C474" s="21">
        <f>B474-20</f>
        <v/>
      </c>
      <c r="D474" t="n">
        <v>122.5</v>
      </c>
      <c r="E474" s="22">
        <f>D474-90</f>
        <v/>
      </c>
      <c r="F474" s="23" t="n">
        <v>0.006807</v>
      </c>
      <c r="G474" s="22" t="n">
        <v>21.9</v>
      </c>
      <c r="H474" s="22" t="n">
        <v>1.5</v>
      </c>
      <c r="I474" s="24" t="n">
        <v>0.0322571322321891</v>
      </c>
      <c r="J474" s="6" t="n">
        <v>71000</v>
      </c>
      <c r="K474" s="25">
        <f>23*10^-6</f>
        <v/>
      </c>
      <c r="L474" s="8">
        <f>H474</f>
        <v/>
      </c>
      <c r="M474" s="26">
        <f>H474^2/6</f>
        <v/>
      </c>
      <c r="N474" s="26">
        <f>H474^3/12</f>
        <v/>
      </c>
      <c r="O474" s="27">
        <f>-J474*L474*K474*C474</f>
        <v/>
      </c>
      <c r="P474" s="28">
        <f>-(12*F474*J474*L474*N474+12*O474*N474*G474*COS(RADIANS(E474)))/(12*N474*G474*COS(RADIANS(E474))^2+L474*G474^3*SIN(RADIANS(E474))^2)</f>
        <v/>
      </c>
      <c r="Q474" s="28">
        <f>-(6*F474*J474*L474*N474*SIN(RADIANS(E474))+6*O474*N474*G474*SIN(RADIANS(E474))*COS(RADIANS(E474)))/(12*N474*COS(RADIANS(E474))^2+L474*G474^2*SIN(RADIANS(E474))^2)</f>
        <v/>
      </c>
      <c r="R474" s="28">
        <f>-P474*SIN(RADIANS(E474))</f>
        <v/>
      </c>
      <c r="S474" s="8">
        <f>(O474+P474*COS(RADIANS(E474)))/L474</f>
        <v/>
      </c>
      <c r="T474" s="8">
        <f>R474/L474</f>
        <v/>
      </c>
      <c r="U474" s="8">
        <f>(Q474-P474*G474*SIN(RADIANS(E474)))/M474</f>
        <v/>
      </c>
      <c r="V474" s="8">
        <f>SQRT((S474+U474)^2+3*T474^2)</f>
        <v/>
      </c>
      <c r="W474" s="8">
        <f>V474/AA474</f>
        <v/>
      </c>
      <c r="X474" s="27">
        <f>((3*10+H474/COS(RADIANS(E474)))*(3+3)+3*G474*H474)*2</f>
        <v/>
      </c>
      <c r="Y474" s="28">
        <f>Z474/X474</f>
        <v/>
      </c>
      <c r="Z474" s="29" t="n">
        <v>586.3325693778741</v>
      </c>
      <c r="AA474" s="20" t="n">
        <v>37.5114627110483</v>
      </c>
      <c r="AB474" t="n">
        <v>0.03312544729421011</v>
      </c>
      <c r="AC474" t="n">
        <v>36.23154368594413</v>
      </c>
      <c r="AD474" t="n">
        <v>2.691854489019095</v>
      </c>
    </row>
    <row r="475">
      <c r="A475" t="n">
        <v>474</v>
      </c>
      <c r="B475" t="n">
        <v>52.1</v>
      </c>
      <c r="C475" s="21">
        <f>B475-20</f>
        <v/>
      </c>
      <c r="D475" t="n">
        <v>113</v>
      </c>
      <c r="E475" s="22">
        <f>D475-90</f>
        <v/>
      </c>
      <c r="F475" s="23" t="n">
        <v>0.012571</v>
      </c>
      <c r="G475" s="22" t="n">
        <v>30.8</v>
      </c>
      <c r="H475" s="22" t="n">
        <v>1.6</v>
      </c>
      <c r="I475" s="24" t="n">
        <v>0.06686818599700919</v>
      </c>
      <c r="J475" s="6" t="n">
        <v>71000</v>
      </c>
      <c r="K475" s="25">
        <f>23*10^-6</f>
        <v/>
      </c>
      <c r="L475" s="8">
        <f>H475</f>
        <v/>
      </c>
      <c r="M475" s="26">
        <f>H475^2/6</f>
        <v/>
      </c>
      <c r="N475" s="26">
        <f>H475^3/12</f>
        <v/>
      </c>
      <c r="O475" s="27">
        <f>-J475*L475*K475*C475</f>
        <v/>
      </c>
      <c r="P475" s="28">
        <f>-(12*F475*J475*L475*N475+12*O475*N475*G475*COS(RADIANS(E475)))/(12*N475*G475*COS(RADIANS(E475))^2+L475*G475^3*SIN(RADIANS(E475))^2)</f>
        <v/>
      </c>
      <c r="Q475" s="28">
        <f>-(6*F475*J475*L475*N475*SIN(RADIANS(E475))+6*O475*N475*G475*SIN(RADIANS(E475))*COS(RADIANS(E475)))/(12*N475*COS(RADIANS(E475))^2+L475*G475^2*SIN(RADIANS(E475))^2)</f>
        <v/>
      </c>
      <c r="R475" s="28">
        <f>-P475*SIN(RADIANS(E475))</f>
        <v/>
      </c>
      <c r="S475" s="8">
        <f>(O475+P475*COS(RADIANS(E475)))/L475</f>
        <v/>
      </c>
      <c r="T475" s="8">
        <f>R475/L475</f>
        <v/>
      </c>
      <c r="U475" s="8">
        <f>(Q475-P475*G475*SIN(RADIANS(E475)))/M475</f>
        <v/>
      </c>
      <c r="V475" s="8">
        <f>SQRT((S475+U475)^2+3*T475^2)</f>
        <v/>
      </c>
      <c r="W475" s="8">
        <f>V475/AA475</f>
        <v/>
      </c>
      <c r="X475" s="27">
        <f>((3*10+H475/COS(RADIANS(E475)))*(3+3)+3*G475*H475)*2</f>
        <v/>
      </c>
      <c r="Y475" s="28">
        <f>Z475/X475</f>
        <v/>
      </c>
      <c r="Z475" s="29" t="n">
        <v>682.04439768955</v>
      </c>
      <c r="AA475" s="20" t="n">
        <v>49.4480086090736</v>
      </c>
      <c r="AB475" t="n">
        <v>0.08643763518884354</v>
      </c>
      <c r="AC475" t="n">
        <v>49.09011873002422</v>
      </c>
      <c r="AD475" t="n">
        <v>29.26570969445713</v>
      </c>
    </row>
    <row r="476">
      <c r="A476" t="n">
        <v>475</v>
      </c>
      <c r="B476" t="n">
        <v>69.2</v>
      </c>
      <c r="C476" s="21">
        <f>B476-20</f>
        <v/>
      </c>
      <c r="D476" t="n">
        <v>126.3</v>
      </c>
      <c r="E476" s="22">
        <f>D476-90</f>
        <v/>
      </c>
      <c r="F476" s="23" t="n">
        <v>0.012541</v>
      </c>
      <c r="G476" s="22" t="n">
        <v>20.3</v>
      </c>
      <c r="H476" s="22" t="n">
        <v>1.2</v>
      </c>
      <c r="I476" s="24" t="n">
        <v>0.0581301972270011</v>
      </c>
      <c r="J476" s="6" t="n">
        <v>71000</v>
      </c>
      <c r="K476" s="25">
        <f>23*10^-6</f>
        <v/>
      </c>
      <c r="L476" s="8">
        <f>H476</f>
        <v/>
      </c>
      <c r="M476" s="26">
        <f>H476^2/6</f>
        <v/>
      </c>
      <c r="N476" s="26">
        <f>H476^3/12</f>
        <v/>
      </c>
      <c r="O476" s="27">
        <f>-J476*L476*K476*C476</f>
        <v/>
      </c>
      <c r="P476" s="28">
        <f>-(12*F476*J476*L476*N476+12*O476*N476*G476*COS(RADIANS(E476)))/(12*N476*G476*COS(RADIANS(E476))^2+L476*G476^3*SIN(RADIANS(E476))^2)</f>
        <v/>
      </c>
      <c r="Q476" s="28">
        <f>-(6*F476*J476*L476*N476*SIN(RADIANS(E476))+6*O476*N476*G476*SIN(RADIANS(E476))*COS(RADIANS(E476)))/(12*N476*COS(RADIANS(E476))^2+L476*G476^2*SIN(RADIANS(E476))^2)</f>
        <v/>
      </c>
      <c r="R476" s="28">
        <f>-P476*SIN(RADIANS(E476))</f>
        <v/>
      </c>
      <c r="S476" s="8">
        <f>(O476+P476*COS(RADIANS(E476)))/L476</f>
        <v/>
      </c>
      <c r="T476" s="8">
        <f>R476/L476</f>
        <v/>
      </c>
      <c r="U476" s="8">
        <f>(Q476-P476*G476*SIN(RADIANS(E476)))/M476</f>
        <v/>
      </c>
      <c r="V476" s="8">
        <f>SQRT((S476+U476)^2+3*T476^2)</f>
        <v/>
      </c>
      <c r="W476" s="8">
        <f>V476/AA476</f>
        <v/>
      </c>
      <c r="X476" s="27">
        <f>((3*10+H476/COS(RADIANS(E476)))*(3+3)+3*G476*H476)*2</f>
        <v/>
      </c>
      <c r="Y476" s="28">
        <f>Z476/X476</f>
        <v/>
      </c>
      <c r="Z476" s="29" t="n">
        <v>533.240548901686</v>
      </c>
      <c r="AA476" s="20" t="n">
        <v>70.3644438833177</v>
      </c>
      <c r="AB476" t="n">
        <v>0.05545666199162352</v>
      </c>
      <c r="AC476" t="n">
        <v>71.0575939207279</v>
      </c>
      <c r="AD476" t="n">
        <v>-4.599219274858638</v>
      </c>
    </row>
    <row r="477">
      <c r="A477" t="n">
        <v>476</v>
      </c>
      <c r="B477" t="n">
        <v>87.8</v>
      </c>
      <c r="C477" s="21">
        <f>B477-20</f>
        <v/>
      </c>
      <c r="D477" t="n">
        <v>113.5</v>
      </c>
      <c r="E477" s="22">
        <f>D477-90</f>
        <v/>
      </c>
      <c r="F477" s="23" t="n">
        <v>0.025618</v>
      </c>
      <c r="G477" s="22" t="n">
        <v>29.6</v>
      </c>
      <c r="H477" s="22" t="n">
        <v>2</v>
      </c>
      <c r="I477" s="24" t="n">
        <v>0.134860679507255</v>
      </c>
      <c r="J477" s="6" t="n">
        <v>71000</v>
      </c>
      <c r="K477" s="25">
        <f>23*10^-6</f>
        <v/>
      </c>
      <c r="L477" s="8">
        <f>H477</f>
        <v/>
      </c>
      <c r="M477" s="26">
        <f>H477^2/6</f>
        <v/>
      </c>
      <c r="N477" s="26">
        <f>H477^3/12</f>
        <v/>
      </c>
      <c r="O477" s="27">
        <f>-J477*L477*K477*C477</f>
        <v/>
      </c>
      <c r="P477" s="28">
        <f>-(12*F477*J477*L477*N477+12*O477*N477*G477*COS(RADIANS(E477)))/(12*N477*G477*COS(RADIANS(E477))^2+L477*G477^3*SIN(RADIANS(E477))^2)</f>
        <v/>
      </c>
      <c r="Q477" s="28">
        <f>-(6*F477*J477*L477*N477*SIN(RADIANS(E477))+6*O477*N477*G477*SIN(RADIANS(E477))*COS(RADIANS(E477)))/(12*N477*COS(RADIANS(E477))^2+L477*G477^2*SIN(RADIANS(E477))^2)</f>
        <v/>
      </c>
      <c r="R477" s="28">
        <f>-P477*SIN(RADIANS(E477))</f>
        <v/>
      </c>
      <c r="S477" s="8">
        <f>(O477+P477*COS(RADIANS(E477)))/L477</f>
        <v/>
      </c>
      <c r="T477" s="8">
        <f>R477/L477</f>
        <v/>
      </c>
      <c r="U477" s="8">
        <f>(Q477-P477*G477*SIN(RADIANS(E477)))/M477</f>
        <v/>
      </c>
      <c r="V477" s="8">
        <f>SQRT((S477+U477)^2+3*T477^2)</f>
        <v/>
      </c>
      <c r="W477" s="8">
        <f>V477/AA477</f>
        <v/>
      </c>
      <c r="X477" s="27">
        <f>((3*10+H477/COS(RADIANS(E477)))*(3+3)+3*G477*H477)*2</f>
        <v/>
      </c>
      <c r="Y477" s="28">
        <f>Z477/X477</f>
        <v/>
      </c>
      <c r="Z477" s="29" t="n">
        <v>746.974802380424</v>
      </c>
      <c r="AA477" s="20" t="n">
        <v>113.699430709463</v>
      </c>
      <c r="AB477" t="n">
        <v>0.1702947537734215</v>
      </c>
      <c r="AC477" t="n">
        <v>106.582508500173</v>
      </c>
      <c r="AD477" t="n">
        <v>26.2745778796556</v>
      </c>
    </row>
    <row r="478">
      <c r="A478" t="n">
        <v>477</v>
      </c>
      <c r="B478" t="n">
        <v>78.09999999999999</v>
      </c>
      <c r="C478" s="21">
        <f>B478-20</f>
        <v/>
      </c>
      <c r="D478" t="n">
        <v>116.2</v>
      </c>
      <c r="E478" s="22">
        <f>D478-90</f>
        <v/>
      </c>
      <c r="F478" s="23" t="n">
        <v>0.01901</v>
      </c>
      <c r="G478" s="22" t="n">
        <v>25.3</v>
      </c>
      <c r="H478" s="22" t="n">
        <v>1.1</v>
      </c>
      <c r="I478" s="24" t="n">
        <v>0.0968195423483848</v>
      </c>
      <c r="J478" s="6" t="n">
        <v>71000</v>
      </c>
      <c r="K478" s="25">
        <f>23*10^-6</f>
        <v/>
      </c>
      <c r="L478" s="8">
        <f>H478</f>
        <v/>
      </c>
      <c r="M478" s="26">
        <f>H478^2/6</f>
        <v/>
      </c>
      <c r="N478" s="26">
        <f>H478^3/12</f>
        <v/>
      </c>
      <c r="O478" s="27">
        <f>-J478*L478*K478*C478</f>
        <v/>
      </c>
      <c r="P478" s="28">
        <f>-(12*F478*J478*L478*N478+12*O478*N478*G478*COS(RADIANS(E478)))/(12*N478*G478*COS(RADIANS(E478))^2+L478*G478^3*SIN(RADIANS(E478))^2)</f>
        <v/>
      </c>
      <c r="Q478" s="28">
        <f>-(6*F478*J478*L478*N478*SIN(RADIANS(E478))+6*O478*N478*G478*SIN(RADIANS(E478))*COS(RADIANS(E478)))/(12*N478*COS(RADIANS(E478))^2+L478*G478^2*SIN(RADIANS(E478))^2)</f>
        <v/>
      </c>
      <c r="R478" s="28">
        <f>-P478*SIN(RADIANS(E478))</f>
        <v/>
      </c>
      <c r="S478" s="8">
        <f>(O478+P478*COS(RADIANS(E478)))/L478</f>
        <v/>
      </c>
      <c r="T478" s="8">
        <f>R478/L478</f>
        <v/>
      </c>
      <c r="U478" s="8">
        <f>(Q478-P478*G478*SIN(RADIANS(E478)))/M478</f>
        <v/>
      </c>
      <c r="V478" s="8">
        <f>SQRT((S478+U478)^2+3*T478^2)</f>
        <v/>
      </c>
      <c r="W478" s="8">
        <f>V478/AA478</f>
        <v/>
      </c>
      <c r="X478" s="27">
        <f>((3*10+H478/COS(RADIANS(E478)))*(3+3)+3*G478*H478)*2</f>
        <v/>
      </c>
      <c r="Y478" s="28">
        <f>Z478/X478</f>
        <v/>
      </c>
      <c r="Z478" s="29" t="n">
        <v>547.873259362123</v>
      </c>
      <c r="AA478" s="20" t="n">
        <v>81.56630993378209</v>
      </c>
      <c r="AB478" t="n">
        <v>0.1142427783710942</v>
      </c>
      <c r="AC478" t="n">
        <v>85.47276814717961</v>
      </c>
      <c r="AD478" t="n">
        <v>17.99557775228427</v>
      </c>
    </row>
    <row r="479">
      <c r="A479" t="n">
        <v>478</v>
      </c>
      <c r="B479" t="n">
        <v>74.59999999999999</v>
      </c>
      <c r="C479" s="21">
        <f>B479-20</f>
        <v/>
      </c>
      <c r="D479" t="n">
        <v>114.5</v>
      </c>
      <c r="E479" s="22">
        <f>D479-90</f>
        <v/>
      </c>
      <c r="F479" s="23" t="n">
        <v>0.022029</v>
      </c>
      <c r="G479" s="22" t="n">
        <v>32.3</v>
      </c>
      <c r="H479" s="22" t="n">
        <v>2</v>
      </c>
      <c r="I479" s="24" t="n">
        <v>0.112158305943012</v>
      </c>
      <c r="J479" s="6" t="n">
        <v>71000</v>
      </c>
      <c r="K479" s="25">
        <f>23*10^-6</f>
        <v/>
      </c>
      <c r="L479" s="8">
        <f>H479</f>
        <v/>
      </c>
      <c r="M479" s="26">
        <f>H479^2/6</f>
        <v/>
      </c>
      <c r="N479" s="26">
        <f>H479^3/12</f>
        <v/>
      </c>
      <c r="O479" s="27">
        <f>-J479*L479*K479*C479</f>
        <v/>
      </c>
      <c r="P479" s="28">
        <f>-(12*F479*J479*L479*N479+12*O479*N479*G479*COS(RADIANS(E479)))/(12*N479*G479*COS(RADIANS(E479))^2+L479*G479^3*SIN(RADIANS(E479))^2)</f>
        <v/>
      </c>
      <c r="Q479" s="28">
        <f>-(6*F479*J479*L479*N479*SIN(RADIANS(E479))+6*O479*N479*G479*SIN(RADIANS(E479))*COS(RADIANS(E479)))/(12*N479*COS(RADIANS(E479))^2+L479*G479^2*SIN(RADIANS(E479))^2)</f>
        <v/>
      </c>
      <c r="R479" s="28">
        <f>-P479*SIN(RADIANS(E479))</f>
        <v/>
      </c>
      <c r="S479" s="8">
        <f>(O479+P479*COS(RADIANS(E479)))/L479</f>
        <v/>
      </c>
      <c r="T479" s="8">
        <f>R479/L479</f>
        <v/>
      </c>
      <c r="U479" s="8">
        <f>(Q479-P479*G479*SIN(RADIANS(E479)))/M479</f>
        <v/>
      </c>
      <c r="V479" s="8">
        <f>SQRT((S479+U479)^2+3*T479^2)</f>
        <v/>
      </c>
      <c r="W479" s="8">
        <f>V479/AA479</f>
        <v/>
      </c>
      <c r="X479" s="27">
        <f>((3*10+H479/COS(RADIANS(E479)))*(3+3)+3*G479*H479)*2</f>
        <v/>
      </c>
      <c r="Y479" s="28">
        <f>Z479/X479</f>
        <v/>
      </c>
      <c r="Z479" s="29" t="n">
        <v>779.783127123895</v>
      </c>
      <c r="AA479" s="20" t="n">
        <v>89.9785933058735</v>
      </c>
      <c r="AB479" t="n">
        <v>0.1433205141166926</v>
      </c>
      <c r="AC479" t="n">
        <v>84.63245732539131</v>
      </c>
      <c r="AD479" t="n">
        <v>27.78412879159763</v>
      </c>
    </row>
    <row r="480">
      <c r="A480" t="n">
        <v>479</v>
      </c>
      <c r="B480" t="n">
        <v>42.6</v>
      </c>
      <c r="C480" s="21">
        <f>B480-20</f>
        <v/>
      </c>
      <c r="D480" t="n">
        <v>121.5</v>
      </c>
      <c r="E480" s="22">
        <f>D480-90</f>
        <v/>
      </c>
      <c r="F480" s="23" t="n">
        <v>0.006774</v>
      </c>
      <c r="G480" s="22" t="n">
        <v>23.8</v>
      </c>
      <c r="H480" s="22" t="n">
        <v>1.6</v>
      </c>
      <c r="I480" s="24" t="n">
        <v>0.0320514813065528</v>
      </c>
      <c r="J480" s="6" t="n">
        <v>71000</v>
      </c>
      <c r="K480" s="25">
        <f>23*10^-6</f>
        <v/>
      </c>
      <c r="L480" s="8">
        <f>H480</f>
        <v/>
      </c>
      <c r="M480" s="26">
        <f>H480^2/6</f>
        <v/>
      </c>
      <c r="N480" s="26">
        <f>H480^3/12</f>
        <v/>
      </c>
      <c r="O480" s="27">
        <f>-J480*L480*K480*C480</f>
        <v/>
      </c>
      <c r="P480" s="28">
        <f>-(12*F480*J480*L480*N480+12*O480*N480*G480*COS(RADIANS(E480)))/(12*N480*G480*COS(RADIANS(E480))^2+L480*G480^3*SIN(RADIANS(E480))^2)</f>
        <v/>
      </c>
      <c r="Q480" s="28">
        <f>-(6*F480*J480*L480*N480*SIN(RADIANS(E480))+6*O480*N480*G480*SIN(RADIANS(E480))*COS(RADIANS(E480)))/(12*N480*COS(RADIANS(E480))^2+L480*G480^2*SIN(RADIANS(E480))^2)</f>
        <v/>
      </c>
      <c r="R480" s="28">
        <f>-P480*SIN(RADIANS(E480))</f>
        <v/>
      </c>
      <c r="S480" s="8">
        <f>(O480+P480*COS(RADIANS(E480)))/L480</f>
        <v/>
      </c>
      <c r="T480" s="8">
        <f>R480/L480</f>
        <v/>
      </c>
      <c r="U480" s="8">
        <f>(Q480-P480*G480*SIN(RADIANS(E480)))/M480</f>
        <v/>
      </c>
      <c r="V480" s="8">
        <f>SQRT((S480+U480)^2+3*T480^2)</f>
        <v/>
      </c>
      <c r="W480" s="8">
        <f>V480/AA480</f>
        <v/>
      </c>
      <c r="X480" s="27">
        <f>((3*10+H480/COS(RADIANS(E480)))*(3+3)+3*G480*H480)*2</f>
        <v/>
      </c>
      <c r="Y480" s="28">
        <f>Z480/X480</f>
        <v/>
      </c>
      <c r="Z480" s="29" t="n">
        <v>618.579785879367</v>
      </c>
      <c r="AA480" s="20" t="n">
        <v>35.2383311743788</v>
      </c>
      <c r="AB480" t="n">
        <v>0.03426899541314328</v>
      </c>
      <c r="AC480" t="n">
        <v>33.75757050004511</v>
      </c>
      <c r="AD480" t="n">
        <v>6.918601001249579</v>
      </c>
    </row>
    <row r="481">
      <c r="A481" t="n">
        <v>480</v>
      </c>
      <c r="B481" t="n">
        <v>68.8</v>
      </c>
      <c r="C481" s="21">
        <f>B481-20</f>
        <v/>
      </c>
      <c r="D481" t="n">
        <v>127.2</v>
      </c>
      <c r="E481" s="22">
        <f>D481-90</f>
        <v/>
      </c>
      <c r="F481" s="23" t="n">
        <v>0.017872</v>
      </c>
      <c r="G481" s="22" t="n">
        <v>32.8</v>
      </c>
      <c r="H481" s="22" t="n">
        <v>1.1</v>
      </c>
      <c r="I481" s="24" t="n">
        <v>0.0765362679958343</v>
      </c>
      <c r="J481" s="6" t="n">
        <v>71000</v>
      </c>
      <c r="K481" s="25">
        <f>23*10^-6</f>
        <v/>
      </c>
      <c r="L481" s="8">
        <f>H481</f>
        <v/>
      </c>
      <c r="M481" s="26">
        <f>H481^2/6</f>
        <v/>
      </c>
      <c r="N481" s="26">
        <f>H481^3/12</f>
        <v/>
      </c>
      <c r="O481" s="27">
        <f>-J481*L481*K481*C481</f>
        <v/>
      </c>
      <c r="P481" s="28">
        <f>-(12*F481*J481*L481*N481+12*O481*N481*G481*COS(RADIANS(E481)))/(12*N481*G481*COS(RADIANS(E481))^2+L481*G481^3*SIN(RADIANS(E481))^2)</f>
        <v/>
      </c>
      <c r="Q481" s="28">
        <f>-(6*F481*J481*L481*N481*SIN(RADIANS(E481))+6*O481*N481*G481*SIN(RADIANS(E481))*COS(RADIANS(E481)))/(12*N481*COS(RADIANS(E481))^2+L481*G481^2*SIN(RADIANS(E481))^2)</f>
        <v/>
      </c>
      <c r="R481" s="28">
        <f>-P481*SIN(RADIANS(E481))</f>
        <v/>
      </c>
      <c r="S481" s="8">
        <f>(O481+P481*COS(RADIANS(E481)))/L481</f>
        <v/>
      </c>
      <c r="T481" s="8">
        <f>R481/L481</f>
        <v/>
      </c>
      <c r="U481" s="8">
        <f>(Q481-P481*G481*SIN(RADIANS(E481)))/M481</f>
        <v/>
      </c>
      <c r="V481" s="8">
        <f>SQRT((S481+U481)^2+3*T481^2)</f>
        <v/>
      </c>
      <c r="W481" s="8">
        <f>V481/AA481</f>
        <v/>
      </c>
      <c r="X481" s="27">
        <f>((3*10+H481/COS(RADIANS(E481)))*(3+3)+3*G481*H481)*2</f>
        <v/>
      </c>
      <c r="Y481" s="28">
        <f>Z481/X481</f>
        <v/>
      </c>
      <c r="Z481" s="29" t="n">
        <v>602.616206599909</v>
      </c>
      <c r="AA481" s="20" t="n">
        <v>63.9292577612928</v>
      </c>
      <c r="AB481" t="n">
        <v>0.084246249738975</v>
      </c>
      <c r="AC481" t="n">
        <v>68.88059232431075</v>
      </c>
      <c r="AD481" t="n">
        <v>10.07363168473323</v>
      </c>
    </row>
    <row r="482">
      <c r="A482" t="n">
        <v>481</v>
      </c>
      <c r="B482" t="n">
        <v>87.2</v>
      </c>
      <c r="C482" s="21">
        <f>B482-20</f>
        <v/>
      </c>
      <c r="D482" t="n">
        <v>102.6</v>
      </c>
      <c r="E482" s="22">
        <f>D482-90</f>
        <v/>
      </c>
      <c r="F482" s="23" t="n">
        <v>0.021717</v>
      </c>
      <c r="G482" s="22" t="n">
        <v>22.9</v>
      </c>
      <c r="H482" s="22" t="n">
        <v>1.6</v>
      </c>
      <c r="I482" s="24" t="n">
        <v>0.17374862730503</v>
      </c>
      <c r="J482" s="6" t="n">
        <v>71000</v>
      </c>
      <c r="K482" s="25">
        <f>23*10^-6</f>
        <v/>
      </c>
      <c r="L482" s="8">
        <f>H482</f>
        <v/>
      </c>
      <c r="M482" s="26">
        <f>H482^2/6</f>
        <v/>
      </c>
      <c r="N482" s="26">
        <f>H482^3/12</f>
        <v/>
      </c>
      <c r="O482" s="27">
        <f>-J482*L482*K482*C482</f>
        <v/>
      </c>
      <c r="P482" s="28">
        <f>-(12*F482*J482*L482*N482+12*O482*N482*G482*COS(RADIANS(E482)))/(12*N482*G482*COS(RADIANS(E482))^2+L482*G482^3*SIN(RADIANS(E482))^2)</f>
        <v/>
      </c>
      <c r="Q482" s="28">
        <f>-(6*F482*J482*L482*N482*SIN(RADIANS(E482))+6*O482*N482*G482*SIN(RADIANS(E482))*COS(RADIANS(E482)))/(12*N482*COS(RADIANS(E482))^2+L482*G482^2*SIN(RADIANS(E482))^2)</f>
        <v/>
      </c>
      <c r="R482" s="28">
        <f>-P482*SIN(RADIANS(E482))</f>
        <v/>
      </c>
      <c r="S482" s="8">
        <f>(O482+P482*COS(RADIANS(E482)))/L482</f>
        <v/>
      </c>
      <c r="T482" s="8">
        <f>R482/L482</f>
        <v/>
      </c>
      <c r="U482" s="8">
        <f>(Q482-P482*G482*SIN(RADIANS(E482)))/M482</f>
        <v/>
      </c>
      <c r="V482" s="8">
        <f>SQRT((S482+U482)^2+3*T482^2)</f>
        <v/>
      </c>
      <c r="W482" s="8">
        <f>V482/AA482</f>
        <v/>
      </c>
      <c r="X482" s="27">
        <f>((3*10+H482/COS(RADIANS(E482)))*(3+3)+3*G482*H482)*2</f>
        <v/>
      </c>
      <c r="Y482" s="28">
        <f>Z482/X482</f>
        <v/>
      </c>
      <c r="Z482" s="29" t="n">
        <v>603.539699694936</v>
      </c>
      <c r="AA482" s="20" t="n">
        <v>117.236550462568</v>
      </c>
      <c r="AB482" t="n">
        <v>0.2358880886991193</v>
      </c>
      <c r="AC482" t="n">
        <v>115.9077154826602</v>
      </c>
      <c r="AD482" t="n">
        <v>35.76400133797797</v>
      </c>
    </row>
    <row r="483">
      <c r="A483" t="n">
        <v>482</v>
      </c>
      <c r="B483" t="n">
        <v>59.2</v>
      </c>
      <c r="C483" s="21">
        <f>B483-20</f>
        <v/>
      </c>
      <c r="D483" t="n">
        <v>116.6</v>
      </c>
      <c r="E483" s="22">
        <f>D483-90</f>
        <v/>
      </c>
      <c r="F483" s="23" t="n">
        <v>0.015348</v>
      </c>
      <c r="G483" s="22" t="n">
        <v>31.7</v>
      </c>
      <c r="H483" s="22" t="n">
        <v>1.9</v>
      </c>
      <c r="I483" s="24" t="n">
        <v>0.075049988925457</v>
      </c>
      <c r="J483" s="6" t="n">
        <v>71000</v>
      </c>
      <c r="K483" s="25">
        <f>23*10^-6</f>
        <v/>
      </c>
      <c r="L483" s="8">
        <f>H483</f>
        <v/>
      </c>
      <c r="M483" s="26">
        <f>H483^2/6</f>
        <v/>
      </c>
      <c r="N483" s="26">
        <f>H483^3/12</f>
        <v/>
      </c>
      <c r="O483" s="27">
        <f>-J483*L483*K483*C483</f>
        <v/>
      </c>
      <c r="P483" s="28">
        <f>-(12*F483*J483*L483*N483+12*O483*N483*G483*COS(RADIANS(E483)))/(12*N483*G483*COS(RADIANS(E483))^2+L483*G483^3*SIN(RADIANS(E483))^2)</f>
        <v/>
      </c>
      <c r="Q483" s="28">
        <f>-(6*F483*J483*L483*N483*SIN(RADIANS(E483))+6*O483*N483*G483*SIN(RADIANS(E483))*COS(RADIANS(E483)))/(12*N483*COS(RADIANS(E483))^2+L483*G483^2*SIN(RADIANS(E483))^2)</f>
        <v/>
      </c>
      <c r="R483" s="28">
        <f>-P483*SIN(RADIANS(E483))</f>
        <v/>
      </c>
      <c r="S483" s="8">
        <f>(O483+P483*COS(RADIANS(E483)))/L483</f>
        <v/>
      </c>
      <c r="T483" s="8">
        <f>R483/L483</f>
        <v/>
      </c>
      <c r="U483" s="8">
        <f>(Q483-P483*G483*SIN(RADIANS(E483)))/M483</f>
        <v/>
      </c>
      <c r="V483" s="8">
        <f>SQRT((S483+U483)^2+3*T483^2)</f>
        <v/>
      </c>
      <c r="W483" s="8">
        <f>V483/AA483</f>
        <v/>
      </c>
      <c r="X483" s="27">
        <f>((3*10+H483/COS(RADIANS(E483)))*(3+3)+3*G483*H483)*2</f>
        <v/>
      </c>
      <c r="Y483" s="28">
        <f>Z483/X483</f>
        <v/>
      </c>
      <c r="Z483" s="29" t="n">
        <v>753.153592751949</v>
      </c>
      <c r="AA483" s="20" t="n">
        <v>63.1621446860441</v>
      </c>
      <c r="AB483" t="n">
        <v>0.09303678299127292</v>
      </c>
      <c r="AC483" t="n">
        <v>59.7985457480646</v>
      </c>
      <c r="AD483" t="n">
        <v>23.96641801463983</v>
      </c>
    </row>
    <row r="484">
      <c r="A484" t="n">
        <v>483</v>
      </c>
      <c r="B484" t="n">
        <v>66.90000000000001</v>
      </c>
      <c r="C484" s="21">
        <f>B484-20</f>
        <v/>
      </c>
      <c r="D484" t="n">
        <v>128.4</v>
      </c>
      <c r="E484" s="22">
        <f>D484-90</f>
        <v/>
      </c>
      <c r="F484" s="23" t="n">
        <v>0.012594</v>
      </c>
      <c r="G484" s="22" t="n">
        <v>22.4</v>
      </c>
      <c r="H484" s="22" t="n">
        <v>1.5</v>
      </c>
      <c r="I484" s="24" t="n">
        <v>0.0568091422319412</v>
      </c>
      <c r="J484" s="6" t="n">
        <v>71000</v>
      </c>
      <c r="K484" s="25">
        <f>23*10^-6</f>
        <v/>
      </c>
      <c r="L484" s="8">
        <f>H484</f>
        <v/>
      </c>
      <c r="M484" s="26">
        <f>H484^2/6</f>
        <v/>
      </c>
      <c r="N484" s="26">
        <f>H484^3/12</f>
        <v/>
      </c>
      <c r="O484" s="27">
        <f>-J484*L484*K484*C484</f>
        <v/>
      </c>
      <c r="P484" s="28">
        <f>-(12*F484*J484*L484*N484+12*O484*N484*G484*COS(RADIANS(E484)))/(12*N484*G484*COS(RADIANS(E484))^2+L484*G484^3*SIN(RADIANS(E484))^2)</f>
        <v/>
      </c>
      <c r="Q484" s="28">
        <f>-(6*F484*J484*L484*N484*SIN(RADIANS(E484))+6*O484*N484*G484*SIN(RADIANS(E484))*COS(RADIANS(E484)))/(12*N484*COS(RADIANS(E484))^2+L484*G484^2*SIN(RADIANS(E484))^2)</f>
        <v/>
      </c>
      <c r="R484" s="28">
        <f>-P484*SIN(RADIANS(E484))</f>
        <v/>
      </c>
      <c r="S484" s="8">
        <f>(O484+P484*COS(RADIANS(E484)))/L484</f>
        <v/>
      </c>
      <c r="T484" s="8">
        <f>R484/L484</f>
        <v/>
      </c>
      <c r="U484" s="8">
        <f>(Q484-P484*G484*SIN(RADIANS(E484)))/M484</f>
        <v/>
      </c>
      <c r="V484" s="8">
        <f>SQRT((S484+U484)^2+3*T484^2)</f>
        <v/>
      </c>
      <c r="W484" s="8">
        <f>V484/AA484</f>
        <v/>
      </c>
      <c r="X484" s="27">
        <f>((3*10+H484/COS(RADIANS(E484)))*(3+3)+3*G484*H484)*2</f>
        <v/>
      </c>
      <c r="Y484" s="28">
        <f>Z484/X484</f>
        <v/>
      </c>
      <c r="Z484" s="29" t="n">
        <v>594.626012488231</v>
      </c>
      <c r="AA484" s="20" t="n">
        <v>70.483843476502</v>
      </c>
      <c r="AB484" t="n">
        <v>0.05433068546007597</v>
      </c>
      <c r="AC484" t="n">
        <v>68.15297175539948</v>
      </c>
      <c r="AD484" t="n">
        <v>-4.362778022146768</v>
      </c>
    </row>
    <row r="485">
      <c r="A485" t="n">
        <v>484</v>
      </c>
      <c r="B485" t="n">
        <v>57</v>
      </c>
      <c r="C485" s="21">
        <f>B485-20</f>
        <v/>
      </c>
      <c r="D485" t="n">
        <v>125.7</v>
      </c>
      <c r="E485" s="22">
        <f>D485-90</f>
        <v/>
      </c>
      <c r="F485" s="23" t="n">
        <v>0.012875</v>
      </c>
      <c r="G485" s="22" t="n">
        <v>30.2</v>
      </c>
      <c r="H485" s="22" t="n">
        <v>1.4</v>
      </c>
      <c r="I485" s="24" t="n">
        <v>0.0564232245087623</v>
      </c>
      <c r="J485" s="6" t="n">
        <v>71000</v>
      </c>
      <c r="K485" s="25">
        <f>23*10^-6</f>
        <v/>
      </c>
      <c r="L485" s="8">
        <f>H485</f>
        <v/>
      </c>
      <c r="M485" s="26">
        <f>H485^2/6</f>
        <v/>
      </c>
      <c r="N485" s="26">
        <f>H485^3/12</f>
        <v/>
      </c>
      <c r="O485" s="27">
        <f>-J485*L485*K485*C485</f>
        <v/>
      </c>
      <c r="P485" s="28">
        <f>-(12*F485*J485*L485*N485+12*O485*N485*G485*COS(RADIANS(E485)))/(12*N485*G485*COS(RADIANS(E485))^2+L485*G485^3*SIN(RADIANS(E485))^2)</f>
        <v/>
      </c>
      <c r="Q485" s="28">
        <f>-(6*F485*J485*L485*N485*SIN(RADIANS(E485))+6*O485*N485*G485*SIN(RADIANS(E485))*COS(RADIANS(E485)))/(12*N485*COS(RADIANS(E485))^2+L485*G485^2*SIN(RADIANS(E485))^2)</f>
        <v/>
      </c>
      <c r="R485" s="28">
        <f>-P485*SIN(RADIANS(E485))</f>
        <v/>
      </c>
      <c r="S485" s="8">
        <f>(O485+P485*COS(RADIANS(E485)))/L485</f>
        <v/>
      </c>
      <c r="T485" s="8">
        <f>R485/L485</f>
        <v/>
      </c>
      <c r="U485" s="8">
        <f>(Q485-P485*G485*SIN(RADIANS(E485)))/M485</f>
        <v/>
      </c>
      <c r="V485" s="8">
        <f>SQRT((S485+U485)^2+3*T485^2)</f>
        <v/>
      </c>
      <c r="W485" s="8">
        <f>V485/AA485</f>
        <v/>
      </c>
      <c r="X485" s="27">
        <f>((3*10+H485/COS(RADIANS(E485)))*(3+3)+3*G485*H485)*2</f>
        <v/>
      </c>
      <c r="Y485" s="28">
        <f>Z485/X485</f>
        <v/>
      </c>
      <c r="Z485" s="29" t="n">
        <v>643.3547667181</v>
      </c>
      <c r="AA485" s="20" t="n">
        <v>51.9300618964788</v>
      </c>
      <c r="AB485" t="n">
        <v>0.06166466932944888</v>
      </c>
      <c r="AC485" t="n">
        <v>53.2859406327187</v>
      </c>
      <c r="AD485" t="n">
        <v>9.289516624262783</v>
      </c>
    </row>
    <row r="486">
      <c r="A486" t="n">
        <v>485</v>
      </c>
      <c r="B486" t="n">
        <v>70.59999999999999</v>
      </c>
      <c r="C486" s="21">
        <f>B486-20</f>
        <v/>
      </c>
      <c r="D486" t="n">
        <v>100.9</v>
      </c>
      <c r="E486" s="22">
        <f>D486-90</f>
        <v/>
      </c>
      <c r="F486" s="23" t="n">
        <v>0.018585</v>
      </c>
      <c r="G486" s="22" t="n">
        <v>26.7</v>
      </c>
      <c r="H486" s="22" t="n">
        <v>2</v>
      </c>
      <c r="I486" s="24" t="n">
        <v>0.157893732190132</v>
      </c>
      <c r="J486" s="6" t="n">
        <v>71000</v>
      </c>
      <c r="K486" s="25">
        <f>23*10^-6</f>
        <v/>
      </c>
      <c r="L486" s="8">
        <f>H486</f>
        <v/>
      </c>
      <c r="M486" s="26">
        <f>H486^2/6</f>
        <v/>
      </c>
      <c r="N486" s="26">
        <f>H486^3/12</f>
        <v/>
      </c>
      <c r="O486" s="27">
        <f>-J486*L486*K486*C486</f>
        <v/>
      </c>
      <c r="P486" s="28">
        <f>-(12*F486*J486*L486*N486+12*O486*N486*G486*COS(RADIANS(E486)))/(12*N486*G486*COS(RADIANS(E486))^2+L486*G486^3*SIN(RADIANS(E486))^2)</f>
        <v/>
      </c>
      <c r="Q486" s="28">
        <f>-(6*F486*J486*L486*N486*SIN(RADIANS(E486))+6*O486*N486*G486*SIN(RADIANS(E486))*COS(RADIANS(E486)))/(12*N486*COS(RADIANS(E486))^2+L486*G486^2*SIN(RADIANS(E486))^2)</f>
        <v/>
      </c>
      <c r="R486" s="28">
        <f>-P486*SIN(RADIANS(E486))</f>
        <v/>
      </c>
      <c r="S486" s="8">
        <f>(O486+P486*COS(RADIANS(E486)))/L486</f>
        <v/>
      </c>
      <c r="T486" s="8">
        <f>R486/L486</f>
        <v/>
      </c>
      <c r="U486" s="8">
        <f>(Q486-P486*G486*SIN(RADIANS(E486)))/M486</f>
        <v/>
      </c>
      <c r="V486" s="8">
        <f>SQRT((S486+U486)^2+3*T486^2)</f>
        <v/>
      </c>
      <c r="W486" s="8">
        <f>V486/AA486</f>
        <v/>
      </c>
      <c r="X486" s="27">
        <f>((3*10+H486/COS(RADIANS(E486)))*(3+3)+3*G486*H486)*2</f>
        <v/>
      </c>
      <c r="Y486" s="28">
        <f>Z486/X486</f>
        <v/>
      </c>
      <c r="Z486" s="29" t="n">
        <v>708.715521647885</v>
      </c>
      <c r="AA486" s="20" t="n">
        <v>104.489327438594</v>
      </c>
      <c r="AB486" t="n">
        <v>0.2260862136222589</v>
      </c>
      <c r="AC486" t="n">
        <v>91.40628982514052</v>
      </c>
      <c r="AD486" t="n">
        <v>43.18884637549205</v>
      </c>
    </row>
    <row r="487">
      <c r="A487" t="n">
        <v>486</v>
      </c>
      <c r="B487" t="n">
        <v>73.7</v>
      </c>
      <c r="C487" s="21">
        <f>B487-20</f>
        <v/>
      </c>
      <c r="D487" t="n">
        <v>110.1</v>
      </c>
      <c r="E487" s="22">
        <f>D487-90</f>
        <v/>
      </c>
      <c r="F487" s="23" t="n">
        <v>0.020862</v>
      </c>
      <c r="G487" s="22" t="n">
        <v>29.9</v>
      </c>
      <c r="H487" s="22" t="n">
        <v>1.7</v>
      </c>
      <c r="I487" s="24" t="n">
        <v>0.120811067521572</v>
      </c>
      <c r="J487" s="6" t="n">
        <v>71000</v>
      </c>
      <c r="K487" s="25">
        <f>23*10^-6</f>
        <v/>
      </c>
      <c r="L487" s="8">
        <f>H487</f>
        <v/>
      </c>
      <c r="M487" s="26">
        <f>H487^2/6</f>
        <v/>
      </c>
      <c r="N487" s="26">
        <f>H487^3/12</f>
        <v/>
      </c>
      <c r="O487" s="27">
        <f>-J487*L487*K487*C487</f>
        <v/>
      </c>
      <c r="P487" s="28">
        <f>-(12*F487*J487*L487*N487+12*O487*N487*G487*COS(RADIANS(E487)))/(12*N487*G487*COS(RADIANS(E487))^2+L487*G487^3*SIN(RADIANS(E487))^2)</f>
        <v/>
      </c>
      <c r="Q487" s="28">
        <f>-(6*F487*J487*L487*N487*SIN(RADIANS(E487))+6*O487*N487*G487*SIN(RADIANS(E487))*COS(RADIANS(E487)))/(12*N487*COS(RADIANS(E487))^2+L487*G487^2*SIN(RADIANS(E487))^2)</f>
        <v/>
      </c>
      <c r="R487" s="28">
        <f>-P487*SIN(RADIANS(E487))</f>
        <v/>
      </c>
      <c r="S487" s="8">
        <f>(O487+P487*COS(RADIANS(E487)))/L487</f>
        <v/>
      </c>
      <c r="T487" s="8">
        <f>R487/L487</f>
        <v/>
      </c>
      <c r="U487" s="8">
        <f>(Q487-P487*G487*SIN(RADIANS(E487)))/M487</f>
        <v/>
      </c>
      <c r="V487" s="8">
        <f>SQRT((S487+U487)^2+3*T487^2)</f>
        <v/>
      </c>
      <c r="W487" s="8">
        <f>V487/AA487</f>
        <v/>
      </c>
      <c r="X487" s="27">
        <f>((3*10+H487/COS(RADIANS(E487)))*(3+3)+3*G487*H487)*2</f>
        <v/>
      </c>
      <c r="Y487" s="28">
        <f>Z487/X487</f>
        <v/>
      </c>
      <c r="Z487" s="29" t="n">
        <v>691.693228745303</v>
      </c>
      <c r="AA487" s="20" t="n">
        <v>85.95187615397229</v>
      </c>
      <c r="AB487" t="n">
        <v>0.1604122906894856</v>
      </c>
      <c r="AC487" t="n">
        <v>84.52813194457472</v>
      </c>
      <c r="AD487" t="n">
        <v>32.77946630249123</v>
      </c>
    </row>
    <row r="488">
      <c r="A488" t="n">
        <v>487</v>
      </c>
      <c r="B488" t="n">
        <v>57.3</v>
      </c>
      <c r="C488" s="21">
        <f>B488-20</f>
        <v/>
      </c>
      <c r="D488" t="n">
        <v>108.8</v>
      </c>
      <c r="E488" s="22">
        <f>D488-90</f>
        <v/>
      </c>
      <c r="F488" s="23" t="n">
        <v>0.011528</v>
      </c>
      <c r="G488" s="22" t="n">
        <v>22.3</v>
      </c>
      <c r="H488" s="22" t="n">
        <v>1.8</v>
      </c>
      <c r="I488" s="24" t="n">
        <v>0.07133520394563669</v>
      </c>
      <c r="J488" s="6" t="n">
        <v>71000</v>
      </c>
      <c r="K488" s="25">
        <f>23*10^-6</f>
        <v/>
      </c>
      <c r="L488" s="8">
        <f>H488</f>
        <v/>
      </c>
      <c r="M488" s="26">
        <f>H488^2/6</f>
        <v/>
      </c>
      <c r="N488" s="26">
        <f>H488^3/12</f>
        <v/>
      </c>
      <c r="O488" s="27">
        <f>-J488*L488*K488*C488</f>
        <v/>
      </c>
      <c r="P488" s="28">
        <f>-(12*F488*J488*L488*N488+12*O488*N488*G488*COS(RADIANS(E488)))/(12*N488*G488*COS(RADIANS(E488))^2+L488*G488^3*SIN(RADIANS(E488))^2)</f>
        <v/>
      </c>
      <c r="Q488" s="28">
        <f>-(6*F488*J488*L488*N488*SIN(RADIANS(E488))+6*O488*N488*G488*SIN(RADIANS(E488))*COS(RADIANS(E488)))/(12*N488*COS(RADIANS(E488))^2+L488*G488^2*SIN(RADIANS(E488))^2)</f>
        <v/>
      </c>
      <c r="R488" s="28">
        <f>-P488*SIN(RADIANS(E488))</f>
        <v/>
      </c>
      <c r="S488" s="8">
        <f>(O488+P488*COS(RADIANS(E488)))/L488</f>
        <v/>
      </c>
      <c r="T488" s="8">
        <f>R488/L488</f>
        <v/>
      </c>
      <c r="U488" s="8">
        <f>(Q488-P488*G488*SIN(RADIANS(E488)))/M488</f>
        <v/>
      </c>
      <c r="V488" s="8">
        <f>SQRT((S488+U488)^2+3*T488^2)</f>
        <v/>
      </c>
      <c r="W488" s="8">
        <f>V488/AA488</f>
        <v/>
      </c>
      <c r="X488" s="27">
        <f>((3*10+H488/COS(RADIANS(E488)))*(3+3)+3*G488*H488)*2</f>
        <v/>
      </c>
      <c r="Y488" s="28">
        <f>Z488/X488</f>
        <v/>
      </c>
      <c r="Z488" s="29" t="n">
        <v>628.443529179812</v>
      </c>
      <c r="AA488" s="20" t="n">
        <v>64.5872933977918</v>
      </c>
      <c r="AB488" t="n">
        <v>0.08805628500907507</v>
      </c>
      <c r="AC488" t="n">
        <v>61.39508155072956</v>
      </c>
      <c r="AD488" t="n">
        <v>23.44015316221878</v>
      </c>
    </row>
    <row r="489">
      <c r="A489" t="n">
        <v>488</v>
      </c>
      <c r="B489" t="n">
        <v>79.5</v>
      </c>
      <c r="C489" s="21">
        <f>B489-20</f>
        <v/>
      </c>
      <c r="D489" t="n">
        <v>127.2</v>
      </c>
      <c r="E489" s="22">
        <f>D489-90</f>
        <v/>
      </c>
      <c r="F489" s="23" t="n">
        <v>0.014984</v>
      </c>
      <c r="G489" s="22" t="n">
        <v>20.2</v>
      </c>
      <c r="H489" s="22" t="n">
        <v>1.2</v>
      </c>
      <c r="I489" s="24" t="n">
        <v>0.0690880715847015</v>
      </c>
      <c r="J489" s="6" t="n">
        <v>71000</v>
      </c>
      <c r="K489" s="25">
        <f>23*10^-6</f>
        <v/>
      </c>
      <c r="L489" s="8">
        <f>H489</f>
        <v/>
      </c>
      <c r="M489" s="26">
        <f>H489^2/6</f>
        <v/>
      </c>
      <c r="N489" s="26">
        <f>H489^3/12</f>
        <v/>
      </c>
      <c r="O489" s="27">
        <f>-J489*L489*K489*C489</f>
        <v/>
      </c>
      <c r="P489" s="28">
        <f>-(12*F489*J489*L489*N489+12*O489*N489*G489*COS(RADIANS(E489)))/(12*N489*G489*COS(RADIANS(E489))^2+L489*G489^3*SIN(RADIANS(E489))^2)</f>
        <v/>
      </c>
      <c r="Q489" s="28">
        <f>-(6*F489*J489*L489*N489*SIN(RADIANS(E489))+6*O489*N489*G489*SIN(RADIANS(E489))*COS(RADIANS(E489)))/(12*N489*COS(RADIANS(E489))^2+L489*G489^2*SIN(RADIANS(E489))^2)</f>
        <v/>
      </c>
      <c r="R489" s="28">
        <f>-P489*SIN(RADIANS(E489))</f>
        <v/>
      </c>
      <c r="S489" s="8">
        <f>(O489+P489*COS(RADIANS(E489)))/L489</f>
        <v/>
      </c>
      <c r="T489" s="8">
        <f>R489/L489</f>
        <v/>
      </c>
      <c r="U489" s="8">
        <f>(Q489-P489*G489*SIN(RADIANS(E489)))/M489</f>
        <v/>
      </c>
      <c r="V489" s="8">
        <f>SQRT((S489+U489)^2+3*T489^2)</f>
        <v/>
      </c>
      <c r="W489" s="8">
        <f>V489/AA489</f>
        <v/>
      </c>
      <c r="X489" s="27">
        <f>((3*10+H489/COS(RADIANS(E489)))*(3+3)+3*G489*H489)*2</f>
        <v/>
      </c>
      <c r="Y489" s="28">
        <f>Z489/X489</f>
        <v/>
      </c>
      <c r="Z489" s="29" t="n">
        <v>533.082741348756</v>
      </c>
      <c r="AA489" s="20" t="n">
        <v>85.4333111315354</v>
      </c>
      <c r="AB489" t="n">
        <v>0.06499472523173636</v>
      </c>
      <c r="AC489" t="n">
        <v>85.71928158576199</v>
      </c>
      <c r="AD489" t="n">
        <v>-5.924823575292193</v>
      </c>
    </row>
    <row r="490">
      <c r="A490" t="n">
        <v>489</v>
      </c>
      <c r="B490" t="n">
        <v>84.8</v>
      </c>
      <c r="C490" s="21">
        <f>B490-20</f>
        <v/>
      </c>
      <c r="D490" t="n">
        <v>115.2</v>
      </c>
      <c r="E490" s="22">
        <f>D490-90</f>
        <v/>
      </c>
      <c r="F490" s="23" t="n">
        <v>0.025354</v>
      </c>
      <c r="G490" s="22" t="n">
        <v>31.3</v>
      </c>
      <c r="H490" s="22" t="n">
        <v>1.2</v>
      </c>
      <c r="I490" s="24" t="n">
        <v>0.127873256802558</v>
      </c>
      <c r="J490" s="6" t="n">
        <v>71000</v>
      </c>
      <c r="K490" s="25">
        <f>23*10^-6</f>
        <v/>
      </c>
      <c r="L490" s="8">
        <f>H490</f>
        <v/>
      </c>
      <c r="M490" s="26">
        <f>H490^2/6</f>
        <v/>
      </c>
      <c r="N490" s="26">
        <f>H490^3/12</f>
        <v/>
      </c>
      <c r="O490" s="27">
        <f>-J490*L490*K490*C490</f>
        <v/>
      </c>
      <c r="P490" s="28">
        <f>-(12*F490*J490*L490*N490+12*O490*N490*G490*COS(RADIANS(E490)))/(12*N490*G490*COS(RADIANS(E490))^2+L490*G490^3*SIN(RADIANS(E490))^2)</f>
        <v/>
      </c>
      <c r="Q490" s="28">
        <f>-(6*F490*J490*L490*N490*SIN(RADIANS(E490))+6*O490*N490*G490*SIN(RADIANS(E490))*COS(RADIANS(E490)))/(12*N490*COS(RADIANS(E490))^2+L490*G490^2*SIN(RADIANS(E490))^2)</f>
        <v/>
      </c>
      <c r="R490" s="28">
        <f>-P490*SIN(RADIANS(E490))</f>
        <v/>
      </c>
      <c r="S490" s="8">
        <f>(O490+P490*COS(RADIANS(E490)))/L490</f>
        <v/>
      </c>
      <c r="T490" s="8">
        <f>R490/L490</f>
        <v/>
      </c>
      <c r="U490" s="8">
        <f>(Q490-P490*G490*SIN(RADIANS(E490)))/M490</f>
        <v/>
      </c>
      <c r="V490" s="8">
        <f>SQRT((S490+U490)^2+3*T490^2)</f>
        <v/>
      </c>
      <c r="W490" s="8">
        <f>V490/AA490</f>
        <v/>
      </c>
      <c r="X490" s="27">
        <f>((3*10+H490/COS(RADIANS(E490)))*(3+3)+3*G490*H490)*2</f>
        <v/>
      </c>
      <c r="Y490" s="28">
        <f>Z490/X490</f>
        <v/>
      </c>
      <c r="Z490" s="29" t="n">
        <v>607.232678809886</v>
      </c>
      <c r="AA490" s="20" t="n">
        <v>91.8958775290521</v>
      </c>
      <c r="AB490" t="n">
        <v>0.1622855348242521</v>
      </c>
      <c r="AC490" t="n">
        <v>95.24438502016302</v>
      </c>
      <c r="AD490" t="n">
        <v>26.91123920838913</v>
      </c>
    </row>
    <row r="491">
      <c r="A491" t="n">
        <v>490</v>
      </c>
      <c r="B491" t="n">
        <v>68.8</v>
      </c>
      <c r="C491" s="21">
        <f>B491-20</f>
        <v/>
      </c>
      <c r="D491" t="n">
        <v>105.5</v>
      </c>
      <c r="E491" s="22">
        <f>D491-90</f>
        <v/>
      </c>
      <c r="F491" s="23" t="n">
        <v>0.019367</v>
      </c>
      <c r="G491" s="22" t="n">
        <v>29.9</v>
      </c>
      <c r="H491" s="22" t="n">
        <v>1.2</v>
      </c>
      <c r="I491" s="24" t="n">
        <v>0.135182097554206</v>
      </c>
      <c r="J491" s="6" t="n">
        <v>71000</v>
      </c>
      <c r="K491" s="25">
        <f>23*10^-6</f>
        <v/>
      </c>
      <c r="L491" s="8">
        <f>H491</f>
        <v/>
      </c>
      <c r="M491" s="26">
        <f>H491^2/6</f>
        <v/>
      </c>
      <c r="N491" s="26">
        <f>H491^3/12</f>
        <v/>
      </c>
      <c r="O491" s="27">
        <f>-J491*L491*K491*C491</f>
        <v/>
      </c>
      <c r="P491" s="28">
        <f>-(12*F491*J491*L491*N491+12*O491*N491*G491*COS(RADIANS(E491)))/(12*N491*G491*COS(RADIANS(E491))^2+L491*G491^3*SIN(RADIANS(E491))^2)</f>
        <v/>
      </c>
      <c r="Q491" s="28">
        <f>-(6*F491*J491*L491*N491*SIN(RADIANS(E491))+6*O491*N491*G491*SIN(RADIANS(E491))*COS(RADIANS(E491)))/(12*N491*COS(RADIANS(E491))^2+L491*G491^2*SIN(RADIANS(E491))^2)</f>
        <v/>
      </c>
      <c r="R491" s="28">
        <f>-P491*SIN(RADIANS(E491))</f>
        <v/>
      </c>
      <c r="S491" s="8">
        <f>(O491+P491*COS(RADIANS(E491)))/L491</f>
        <v/>
      </c>
      <c r="T491" s="8">
        <f>R491/L491</f>
        <v/>
      </c>
      <c r="U491" s="8">
        <f>(Q491-P491*G491*SIN(RADIANS(E491)))/M491</f>
        <v/>
      </c>
      <c r="V491" s="8">
        <f>SQRT((S491+U491)^2+3*T491^2)</f>
        <v/>
      </c>
      <c r="W491" s="8">
        <f>V491/AA491</f>
        <v/>
      </c>
      <c r="X491" s="27">
        <f>((3*10+H491/COS(RADIANS(E491)))*(3+3)+3*G491*H491)*2</f>
        <v/>
      </c>
      <c r="Y491" s="28">
        <f>Z491/X491</f>
        <v/>
      </c>
      <c r="Z491" s="29" t="n">
        <v>594.562930403617</v>
      </c>
      <c r="AA491" s="20" t="n">
        <v>71.74791979931879</v>
      </c>
      <c r="AB491" t="n">
        <v>0.1912958821318999</v>
      </c>
      <c r="AC491" t="n">
        <v>76.18595029392733</v>
      </c>
      <c r="AD491" t="n">
        <v>41.50977503155927</v>
      </c>
    </row>
    <row r="492">
      <c r="A492" t="n">
        <v>491</v>
      </c>
      <c r="B492" t="n">
        <v>53.2</v>
      </c>
      <c r="C492" s="21">
        <f>B492-20</f>
        <v/>
      </c>
      <c r="D492" t="n">
        <v>126</v>
      </c>
      <c r="E492" s="22">
        <f>D492-90</f>
        <v/>
      </c>
      <c r="F492" s="23" t="n">
        <v>0.012804</v>
      </c>
      <c r="G492" s="22" t="n">
        <v>34.4</v>
      </c>
      <c r="H492" s="22" t="n">
        <v>1.1</v>
      </c>
      <c r="I492" s="24" t="n">
        <v>0.0548844896256923</v>
      </c>
      <c r="J492" s="6" t="n">
        <v>71000</v>
      </c>
      <c r="K492" s="25">
        <f>23*10^-6</f>
        <v/>
      </c>
      <c r="L492" s="8">
        <f>H492</f>
        <v/>
      </c>
      <c r="M492" s="26">
        <f>H492^2/6</f>
        <v/>
      </c>
      <c r="N492" s="26">
        <f>H492^3/12</f>
        <v/>
      </c>
      <c r="O492" s="27">
        <f>-J492*L492*K492*C492</f>
        <v/>
      </c>
      <c r="P492" s="28">
        <f>-(12*F492*J492*L492*N492+12*O492*N492*G492*COS(RADIANS(E492)))/(12*N492*G492*COS(RADIANS(E492))^2+L492*G492^3*SIN(RADIANS(E492))^2)</f>
        <v/>
      </c>
      <c r="Q492" s="28">
        <f>-(6*F492*J492*L492*N492*SIN(RADIANS(E492))+6*O492*N492*G492*SIN(RADIANS(E492))*COS(RADIANS(E492)))/(12*N492*COS(RADIANS(E492))^2+L492*G492^2*SIN(RADIANS(E492))^2)</f>
        <v/>
      </c>
      <c r="R492" s="28">
        <f>-P492*SIN(RADIANS(E492))</f>
        <v/>
      </c>
      <c r="S492" s="8">
        <f>(O492+P492*COS(RADIANS(E492)))/L492</f>
        <v/>
      </c>
      <c r="T492" s="8">
        <f>R492/L492</f>
        <v/>
      </c>
      <c r="U492" s="8">
        <f>(Q492-P492*G492*SIN(RADIANS(E492)))/M492</f>
        <v/>
      </c>
      <c r="V492" s="8">
        <f>SQRT((S492+U492)^2+3*T492^2)</f>
        <v/>
      </c>
      <c r="W492" s="8">
        <f>V492/AA492</f>
        <v/>
      </c>
      <c r="X492" s="27">
        <f>((3*10+H492/COS(RADIANS(E492)))*(3+3)+3*G492*H492)*2</f>
        <v/>
      </c>
      <c r="Y492" s="28">
        <f>Z492/X492</f>
        <v/>
      </c>
      <c r="Z492" s="29" t="n">
        <v>612.455358148633</v>
      </c>
      <c r="AA492" s="20" t="n">
        <v>43.4173164114592</v>
      </c>
      <c r="AB492" t="n">
        <v>0.06217432289091192</v>
      </c>
      <c r="AC492" t="n">
        <v>46.89314003000284</v>
      </c>
      <c r="AD492" t="n">
        <v>13.28213729404371</v>
      </c>
    </row>
    <row r="493">
      <c r="A493" t="n">
        <v>492</v>
      </c>
      <c r="B493" t="n">
        <v>83.40000000000001</v>
      </c>
      <c r="C493" s="21">
        <f>B493-20</f>
        <v/>
      </c>
      <c r="D493" t="n">
        <v>100.1</v>
      </c>
      <c r="E493" s="22">
        <f>D493-90</f>
        <v/>
      </c>
      <c r="F493" s="23" t="n">
        <v>0.02611</v>
      </c>
      <c r="G493" s="22" t="n">
        <v>30.6</v>
      </c>
      <c r="H493" s="22" t="n">
        <v>1.3</v>
      </c>
      <c r="I493" s="24" t="n">
        <v>0.250413328409194</v>
      </c>
      <c r="J493" s="6" t="n">
        <v>71000</v>
      </c>
      <c r="K493" s="25">
        <f>23*10^-6</f>
        <v/>
      </c>
      <c r="L493" s="8">
        <f>H493</f>
        <v/>
      </c>
      <c r="M493" s="26">
        <f>H493^2/6</f>
        <v/>
      </c>
      <c r="N493" s="26">
        <f>H493^3/12</f>
        <v/>
      </c>
      <c r="O493" s="27">
        <f>-J493*L493*K493*C493</f>
        <v/>
      </c>
      <c r="P493" s="28">
        <f>-(12*F493*J493*L493*N493+12*O493*N493*G493*COS(RADIANS(E493)))/(12*N493*G493*COS(RADIANS(E493))^2+L493*G493^3*SIN(RADIANS(E493))^2)</f>
        <v/>
      </c>
      <c r="Q493" s="28">
        <f>-(6*F493*J493*L493*N493*SIN(RADIANS(E493))+6*O493*N493*G493*SIN(RADIANS(E493))*COS(RADIANS(E493)))/(12*N493*COS(RADIANS(E493))^2+L493*G493^2*SIN(RADIANS(E493))^2)</f>
        <v/>
      </c>
      <c r="R493" s="28">
        <f>-P493*SIN(RADIANS(E493))</f>
        <v/>
      </c>
      <c r="S493" s="8">
        <f>(O493+P493*COS(RADIANS(E493)))/L493</f>
        <v/>
      </c>
      <c r="T493" s="8">
        <f>R493/L493</f>
        <v/>
      </c>
      <c r="U493" s="8">
        <f>(Q493-P493*G493*SIN(RADIANS(E493)))/M493</f>
        <v/>
      </c>
      <c r="V493" s="8">
        <f>SQRT((S493+U493)^2+3*T493^2)</f>
        <v/>
      </c>
      <c r="W493" s="8">
        <f>V493/AA493</f>
        <v/>
      </c>
      <c r="X493" s="27">
        <f>((3*10+H493/COS(RADIANS(E493)))*(3+3)+3*G493*H493)*2</f>
        <v/>
      </c>
      <c r="Y493" s="28">
        <f>Z493/X493</f>
        <v/>
      </c>
      <c r="Z493" s="29" t="n">
        <v>618.336963149812</v>
      </c>
      <c r="AA493" s="20" t="n">
        <v>100.276028512394</v>
      </c>
      <c r="AB493" t="n">
        <v>0.3791915857372506</v>
      </c>
      <c r="AC493" t="n">
        <v>106.6805095918143</v>
      </c>
      <c r="AD493" t="n">
        <v>51.42627916259447</v>
      </c>
    </row>
    <row r="494">
      <c r="A494" t="n">
        <v>493</v>
      </c>
      <c r="B494" t="n">
        <v>67.3</v>
      </c>
      <c r="C494" s="21">
        <f>B494-20</f>
        <v/>
      </c>
      <c r="D494" t="n">
        <v>129.4</v>
      </c>
      <c r="E494" s="22">
        <f>D494-90</f>
        <v/>
      </c>
      <c r="F494" s="23" t="n">
        <v>0.014777</v>
      </c>
      <c r="G494" s="22" t="n">
        <v>27.7</v>
      </c>
      <c r="H494" s="22" t="n">
        <v>1.8</v>
      </c>
      <c r="I494" s="24" t="n">
        <v>0.06439594924449921</v>
      </c>
      <c r="J494" s="6" t="n">
        <v>71000</v>
      </c>
      <c r="K494" s="25">
        <f>23*10^-6</f>
        <v/>
      </c>
      <c r="L494" s="8">
        <f>H494</f>
        <v/>
      </c>
      <c r="M494" s="26">
        <f>H494^2/6</f>
        <v/>
      </c>
      <c r="N494" s="26">
        <f>H494^3/12</f>
        <v/>
      </c>
      <c r="O494" s="27">
        <f>-J494*L494*K494*C494</f>
        <v/>
      </c>
      <c r="P494" s="28">
        <f>-(12*F494*J494*L494*N494+12*O494*N494*G494*COS(RADIANS(E494)))/(12*N494*G494*COS(RADIANS(E494))^2+L494*G494^3*SIN(RADIANS(E494))^2)</f>
        <v/>
      </c>
      <c r="Q494" s="28">
        <f>-(6*F494*J494*L494*N494*SIN(RADIANS(E494))+6*O494*N494*G494*SIN(RADIANS(E494))*COS(RADIANS(E494)))/(12*N494*COS(RADIANS(E494))^2+L494*G494^2*SIN(RADIANS(E494))^2)</f>
        <v/>
      </c>
      <c r="R494" s="28">
        <f>-P494*SIN(RADIANS(E494))</f>
        <v/>
      </c>
      <c r="S494" s="8">
        <f>(O494+P494*COS(RADIANS(E494)))/L494</f>
        <v/>
      </c>
      <c r="T494" s="8">
        <f>R494/L494</f>
        <v/>
      </c>
      <c r="U494" s="8">
        <f>(Q494-P494*G494*SIN(RADIANS(E494)))/M494</f>
        <v/>
      </c>
      <c r="V494" s="8">
        <f>SQRT((S494+U494)^2+3*T494^2)</f>
        <v/>
      </c>
      <c r="W494" s="8">
        <f>V494/AA494</f>
        <v/>
      </c>
      <c r="X494" s="27">
        <f>((3*10+H494/COS(RADIANS(E494)))*(3+3)+3*G494*H494)*2</f>
        <v/>
      </c>
      <c r="Y494" s="28">
        <f>Z494/X494</f>
        <v/>
      </c>
      <c r="Z494" s="29" t="n">
        <v>697.604912917191</v>
      </c>
      <c r="AA494" s="20" t="n">
        <v>72.5824166042066</v>
      </c>
      <c r="AB494" t="n">
        <v>0.06498393480896439</v>
      </c>
      <c r="AC494" t="n">
        <v>68.86076253389861</v>
      </c>
      <c r="AD494" t="n">
        <v>0.913078495407704</v>
      </c>
    </row>
    <row r="495">
      <c r="A495" t="n">
        <v>494</v>
      </c>
      <c r="B495" t="n">
        <v>60.8</v>
      </c>
      <c r="C495" s="21">
        <f>B495-20</f>
        <v/>
      </c>
      <c r="D495" t="n">
        <v>104.8</v>
      </c>
      <c r="E495" s="22">
        <f>D495-90</f>
        <v/>
      </c>
      <c r="F495" s="23" t="n">
        <v>0.012414</v>
      </c>
      <c r="G495" s="22" t="n">
        <v>21.4</v>
      </c>
      <c r="H495" s="22" t="n">
        <v>1.3</v>
      </c>
      <c r="I495" s="24" t="n">
        <v>0.0915362760424614</v>
      </c>
      <c r="J495" s="6" t="n">
        <v>71000</v>
      </c>
      <c r="K495" s="25">
        <f>23*10^-6</f>
        <v/>
      </c>
      <c r="L495" s="8">
        <f>H495</f>
        <v/>
      </c>
      <c r="M495" s="26">
        <f>H495^2/6</f>
        <v/>
      </c>
      <c r="N495" s="26">
        <f>H495^3/12</f>
        <v/>
      </c>
      <c r="O495" s="27">
        <f>-J495*L495*K495*C495</f>
        <v/>
      </c>
      <c r="P495" s="28">
        <f>-(12*F495*J495*L495*N495+12*O495*N495*G495*COS(RADIANS(E495)))/(12*N495*G495*COS(RADIANS(E495))^2+L495*G495^3*SIN(RADIANS(E495))^2)</f>
        <v/>
      </c>
      <c r="Q495" s="28">
        <f>-(6*F495*J495*L495*N495*SIN(RADIANS(E495))+6*O495*N495*G495*SIN(RADIANS(E495))*COS(RADIANS(E495)))/(12*N495*COS(RADIANS(E495))^2+L495*G495^2*SIN(RADIANS(E495))^2)</f>
        <v/>
      </c>
      <c r="R495" s="28">
        <f>-P495*SIN(RADIANS(E495))</f>
        <v/>
      </c>
      <c r="S495" s="8">
        <f>(O495+P495*COS(RADIANS(E495)))/L495</f>
        <v/>
      </c>
      <c r="T495" s="8">
        <f>R495/L495</f>
        <v/>
      </c>
      <c r="U495" s="8">
        <f>(Q495-P495*G495*SIN(RADIANS(E495)))/M495</f>
        <v/>
      </c>
      <c r="V495" s="8">
        <f>SQRT((S495+U495)^2+3*T495^2)</f>
        <v/>
      </c>
      <c r="W495" s="8">
        <f>V495/AA495</f>
        <v/>
      </c>
      <c r="X495" s="27">
        <f>((3*10+H495/COS(RADIANS(E495)))*(3+3)+3*G495*H495)*2</f>
        <v/>
      </c>
      <c r="Y495" s="28">
        <f>Z495/X495</f>
        <v/>
      </c>
      <c r="Z495" s="29" t="n">
        <v>547.312506122331</v>
      </c>
      <c r="AA495" s="20" t="n">
        <v>63.7214934738836</v>
      </c>
      <c r="AB495" t="n">
        <v>0.1191289517979286</v>
      </c>
      <c r="AC495" t="n">
        <v>66.7548533872617</v>
      </c>
      <c r="AD495" t="n">
        <v>30.14397892117398</v>
      </c>
    </row>
    <row r="496">
      <c r="A496" t="n">
        <v>495</v>
      </c>
      <c r="B496" t="n">
        <v>49.4</v>
      </c>
      <c r="C496" s="21">
        <f>B496-20</f>
        <v/>
      </c>
      <c r="D496" t="n">
        <v>100</v>
      </c>
      <c r="E496" s="22">
        <f>D496-90</f>
        <v/>
      </c>
      <c r="F496" s="23" t="n">
        <v>0.011055</v>
      </c>
      <c r="G496" s="22" t="n">
        <v>27.4</v>
      </c>
      <c r="H496" s="22" t="n">
        <v>1.8</v>
      </c>
      <c r="I496" s="24" t="n">
        <v>0.101381994783878</v>
      </c>
      <c r="J496" s="6" t="n">
        <v>71000</v>
      </c>
      <c r="K496" s="25">
        <f>23*10^-6</f>
        <v/>
      </c>
      <c r="L496" s="8">
        <f>H496</f>
        <v/>
      </c>
      <c r="M496" s="26">
        <f>H496^2/6</f>
        <v/>
      </c>
      <c r="N496" s="26">
        <f>H496^3/12</f>
        <v/>
      </c>
      <c r="O496" s="27">
        <f>-J496*L496*K496*C496</f>
        <v/>
      </c>
      <c r="P496" s="28">
        <f>-(12*F496*J496*L496*N496+12*O496*N496*G496*COS(RADIANS(E496)))/(12*N496*G496*COS(RADIANS(E496))^2+L496*G496^3*SIN(RADIANS(E496))^2)</f>
        <v/>
      </c>
      <c r="Q496" s="28">
        <f>-(6*F496*J496*L496*N496*SIN(RADIANS(E496))+6*O496*N496*G496*SIN(RADIANS(E496))*COS(RADIANS(E496)))/(12*N496*COS(RADIANS(E496))^2+L496*G496^2*SIN(RADIANS(E496))^2)</f>
        <v/>
      </c>
      <c r="R496" s="28">
        <f>-P496*SIN(RADIANS(E496))</f>
        <v/>
      </c>
      <c r="S496" s="8">
        <f>(O496+P496*COS(RADIANS(E496)))/L496</f>
        <v/>
      </c>
      <c r="T496" s="8">
        <f>R496/L496</f>
        <v/>
      </c>
      <c r="U496" s="8">
        <f>(Q496-P496*G496*SIN(RADIANS(E496)))/M496</f>
        <v/>
      </c>
      <c r="V496" s="8">
        <f>SQRT((S496+U496)^2+3*T496^2)</f>
        <v/>
      </c>
      <c r="W496" s="8">
        <f>V496/AA496</f>
        <v/>
      </c>
      <c r="X496" s="27">
        <f>((3*10+H496/COS(RADIANS(E496)))*(3+3)+3*G496*H496)*2</f>
        <v/>
      </c>
      <c r="Y496" s="28">
        <f>Z496/X496</f>
        <v/>
      </c>
      <c r="Z496" s="29" t="n">
        <v>681.657082887631</v>
      </c>
      <c r="AA496" s="20" t="n">
        <v>58.1399834156071</v>
      </c>
      <c r="AB496" t="n">
        <v>0.1485085025744254</v>
      </c>
      <c r="AC496" t="n">
        <v>52.86902666594225</v>
      </c>
      <c r="AD496" t="n">
        <v>46.48409995385251</v>
      </c>
    </row>
    <row r="497">
      <c r="A497" t="n">
        <v>496</v>
      </c>
      <c r="B497" t="n">
        <v>46.2</v>
      </c>
      <c r="C497" s="21">
        <f>B497-20</f>
        <v/>
      </c>
      <c r="D497" t="n">
        <v>109.4</v>
      </c>
      <c r="E497" s="22">
        <f>D497-90</f>
        <v/>
      </c>
      <c r="F497" s="23" t="n">
        <v>0.008947999999999999</v>
      </c>
      <c r="G497" s="22" t="n">
        <v>25.4</v>
      </c>
      <c r="H497" s="22" t="n">
        <v>1.3</v>
      </c>
      <c r="I497" s="24" t="n">
        <v>0.0543031953275203</v>
      </c>
      <c r="J497" s="6" t="n">
        <v>71000</v>
      </c>
      <c r="K497" s="25">
        <f>23*10^-6</f>
        <v/>
      </c>
      <c r="L497" s="8">
        <f>H497</f>
        <v/>
      </c>
      <c r="M497" s="26">
        <f>H497^2/6</f>
        <v/>
      </c>
      <c r="N497" s="26">
        <f>H497^3/12</f>
        <v/>
      </c>
      <c r="O497" s="27">
        <f>-J497*L497*K497*C497</f>
        <v/>
      </c>
      <c r="P497" s="28">
        <f>-(12*F497*J497*L497*N497+12*O497*N497*G497*COS(RADIANS(E497)))/(12*N497*G497*COS(RADIANS(E497))^2+L497*G497^3*SIN(RADIANS(E497))^2)</f>
        <v/>
      </c>
      <c r="Q497" s="28">
        <f>-(6*F497*J497*L497*N497*SIN(RADIANS(E497))+6*O497*N497*G497*SIN(RADIANS(E497))*COS(RADIANS(E497)))/(12*N497*COS(RADIANS(E497))^2+L497*G497^2*SIN(RADIANS(E497))^2)</f>
        <v/>
      </c>
      <c r="R497" s="28">
        <f>-P497*SIN(RADIANS(E497))</f>
        <v/>
      </c>
      <c r="S497" s="8">
        <f>(O497+P497*COS(RADIANS(E497)))/L497</f>
        <v/>
      </c>
      <c r="T497" s="8">
        <f>R497/L497</f>
        <v/>
      </c>
      <c r="U497" s="8">
        <f>(Q497-P497*G497*SIN(RADIANS(E497)))/M497</f>
        <v/>
      </c>
      <c r="V497" s="8">
        <f>SQRT((S497+U497)^2+3*T497^2)</f>
        <v/>
      </c>
      <c r="W497" s="8">
        <f>V497/AA497</f>
        <v/>
      </c>
      <c r="X497" s="27">
        <f>((3*10+H497/COS(RADIANS(E497)))*(3+3)+3*G497*H497)*2</f>
        <v/>
      </c>
      <c r="Y497" s="28">
        <f>Z497/X497</f>
        <v/>
      </c>
      <c r="Z497" s="29" t="n">
        <v>579.537353659364</v>
      </c>
      <c r="AA497" s="20" t="n">
        <v>39.2147029124273</v>
      </c>
      <c r="AB497" t="n">
        <v>0.06994487088959994</v>
      </c>
      <c r="AC497" t="n">
        <v>40.62636722653314</v>
      </c>
      <c r="AD497" t="n">
        <v>28.80433732810673</v>
      </c>
    </row>
    <row r="498">
      <c r="A498" t="n">
        <v>497</v>
      </c>
      <c r="B498" t="n">
        <v>72.59999999999999</v>
      </c>
      <c r="C498" s="21">
        <f>B498-20</f>
        <v/>
      </c>
      <c r="D498" t="n">
        <v>119.5</v>
      </c>
      <c r="E498" s="22">
        <f>D498-90</f>
        <v/>
      </c>
      <c r="F498" s="23" t="n">
        <v>0.014871</v>
      </c>
      <c r="G498" s="22" t="n">
        <v>21.6</v>
      </c>
      <c r="H498" s="22" t="n">
        <v>1.2</v>
      </c>
      <c r="I498" s="24" t="n">
        <v>0.0733668208122253</v>
      </c>
      <c r="J498" s="6" t="n">
        <v>71000</v>
      </c>
      <c r="K498" s="25">
        <f>23*10^-6</f>
        <v/>
      </c>
      <c r="L498" s="8">
        <f>H498</f>
        <v/>
      </c>
      <c r="M498" s="26">
        <f>H498^2/6</f>
        <v/>
      </c>
      <c r="N498" s="26">
        <f>H498^3/12</f>
        <v/>
      </c>
      <c r="O498" s="27">
        <f>-J498*L498*K498*C498</f>
        <v/>
      </c>
      <c r="P498" s="28">
        <f>-(12*F498*J498*L498*N498+12*O498*N498*G498*COS(RADIANS(E498)))/(12*N498*G498*COS(RADIANS(E498))^2+L498*G498^3*SIN(RADIANS(E498))^2)</f>
        <v/>
      </c>
      <c r="Q498" s="28">
        <f>-(6*F498*J498*L498*N498*SIN(RADIANS(E498))+6*O498*N498*G498*SIN(RADIANS(E498))*COS(RADIANS(E498)))/(12*N498*COS(RADIANS(E498))^2+L498*G498^2*SIN(RADIANS(E498))^2)</f>
        <v/>
      </c>
      <c r="R498" s="28">
        <f>-P498*SIN(RADIANS(E498))</f>
        <v/>
      </c>
      <c r="S498" s="8">
        <f>(O498+P498*COS(RADIANS(E498)))/L498</f>
        <v/>
      </c>
      <c r="T498" s="8">
        <f>R498/L498</f>
        <v/>
      </c>
      <c r="U498" s="8">
        <f>(Q498-P498*G498*SIN(RADIANS(E498)))/M498</f>
        <v/>
      </c>
      <c r="V498" s="8">
        <f>SQRT((S498+U498)^2+3*T498^2)</f>
        <v/>
      </c>
      <c r="W498" s="8">
        <f>V498/AA498</f>
        <v/>
      </c>
      <c r="X498" s="27">
        <f>((3*10+H498/COS(RADIANS(E498)))*(3+3)+3*G498*H498)*2</f>
        <v/>
      </c>
      <c r="Y498" s="28">
        <f>Z498/X498</f>
        <v/>
      </c>
      <c r="Z498" s="29" t="n">
        <v>539.073522182495</v>
      </c>
      <c r="AA498" s="20" t="n">
        <v>76.4513209320299</v>
      </c>
      <c r="AB498" t="n">
        <v>0.07851352205404175</v>
      </c>
      <c r="AC498" t="n">
        <v>77.55028129373343</v>
      </c>
      <c r="AD498" t="n">
        <v>7.015025572648008</v>
      </c>
    </row>
    <row r="499">
      <c r="A499" t="n">
        <v>498</v>
      </c>
      <c r="B499" t="n">
        <v>52.2</v>
      </c>
      <c r="C499" s="21">
        <f>B499-20</f>
        <v/>
      </c>
      <c r="D499" t="n">
        <v>105.5</v>
      </c>
      <c r="E499" s="22">
        <f>D499-90</f>
        <v/>
      </c>
      <c r="F499" s="23" t="n">
        <v>0.011364</v>
      </c>
      <c r="G499" s="22" t="n">
        <v>25.9</v>
      </c>
      <c r="H499" s="22" t="n">
        <v>1.3</v>
      </c>
      <c r="I499" s="24" t="n">
        <v>0.08010607212781901</v>
      </c>
      <c r="J499" s="6" t="n">
        <v>71000</v>
      </c>
      <c r="K499" s="25">
        <f>23*10^-6</f>
        <v/>
      </c>
      <c r="L499" s="8">
        <f>H499</f>
        <v/>
      </c>
      <c r="M499" s="26">
        <f>H499^2/6</f>
        <v/>
      </c>
      <c r="N499" s="26">
        <f>H499^3/12</f>
        <v/>
      </c>
      <c r="O499" s="27">
        <f>-J499*L499*K499*C499</f>
        <v/>
      </c>
      <c r="P499" s="28">
        <f>-(12*F499*J499*L499*N499+12*O499*N499*G499*COS(RADIANS(E499)))/(12*N499*G499*COS(RADIANS(E499))^2+L499*G499^3*SIN(RADIANS(E499))^2)</f>
        <v/>
      </c>
      <c r="Q499" s="28">
        <f>-(6*F499*J499*L499*N499*SIN(RADIANS(E499))+6*O499*N499*G499*SIN(RADIANS(E499))*COS(RADIANS(E499)))/(12*N499*COS(RADIANS(E499))^2+L499*G499^2*SIN(RADIANS(E499))^2)</f>
        <v/>
      </c>
      <c r="R499" s="28">
        <f>-P499*SIN(RADIANS(E499))</f>
        <v/>
      </c>
      <c r="S499" s="8">
        <f>(O499+P499*COS(RADIANS(E499)))/L499</f>
        <v/>
      </c>
      <c r="T499" s="8">
        <f>R499/L499</f>
        <v/>
      </c>
      <c r="U499" s="8">
        <f>(Q499-P499*G499*SIN(RADIANS(E499)))/M499</f>
        <v/>
      </c>
      <c r="V499" s="8">
        <f>SQRT((S499+U499)^2+3*T499^2)</f>
        <v/>
      </c>
      <c r="W499" s="8">
        <f>V499/AA499</f>
        <v/>
      </c>
      <c r="X499" s="27">
        <f>((3*10+H499/COS(RADIANS(E499)))*(3+3)+3*G499*H499)*2</f>
        <v/>
      </c>
      <c r="Y499" s="28">
        <f>Z499/X499</f>
        <v/>
      </c>
      <c r="Z499" s="29" t="n">
        <v>582.548221060429</v>
      </c>
      <c r="AA499" s="20" t="n">
        <v>49.1834844852567</v>
      </c>
      <c r="AB499" t="n">
        <v>0.1090780565912406</v>
      </c>
      <c r="AC499" t="n">
        <v>51.47913280183111</v>
      </c>
      <c r="AD499" t="n">
        <v>36.16702666084202</v>
      </c>
    </row>
    <row r="500">
      <c r="A500" t="n">
        <v>499</v>
      </c>
      <c r="B500" t="n">
        <v>86.90000000000001</v>
      </c>
      <c r="C500" s="21">
        <f>B500-20</f>
        <v/>
      </c>
      <c r="D500" t="n">
        <v>109.9</v>
      </c>
      <c r="E500" s="22">
        <f>D500-90</f>
        <v/>
      </c>
      <c r="F500" s="23" t="n">
        <v>0.020281</v>
      </c>
      <c r="G500" s="22" t="n">
        <v>21.9</v>
      </c>
      <c r="H500" s="22" t="n">
        <v>1.3</v>
      </c>
      <c r="I500" s="24" t="n">
        <v>0.123267643153667</v>
      </c>
      <c r="J500" s="6" t="n">
        <v>71000</v>
      </c>
      <c r="K500" s="25">
        <f>23*10^-6</f>
        <v/>
      </c>
      <c r="L500" s="8">
        <f>H500</f>
        <v/>
      </c>
      <c r="M500" s="26">
        <f>H500^2/6</f>
        <v/>
      </c>
      <c r="N500" s="26">
        <f>H500^3/12</f>
        <v/>
      </c>
      <c r="O500" s="27">
        <f>-J500*L500*K500*C500</f>
        <v/>
      </c>
      <c r="P500" s="28">
        <f>-(12*F500*J500*L500*N500+12*O500*N500*G500*COS(RADIANS(E500)))/(12*N500*G500*COS(RADIANS(E500))^2+L500*G500^3*SIN(RADIANS(E500))^2)</f>
        <v/>
      </c>
      <c r="Q500" s="28">
        <f>-(6*F500*J500*L500*N500*SIN(RADIANS(E500))+6*O500*N500*G500*SIN(RADIANS(E500))*COS(RADIANS(E500)))/(12*N500*COS(RADIANS(E500))^2+L500*G500^2*SIN(RADIANS(E500))^2)</f>
        <v/>
      </c>
      <c r="R500" s="28">
        <f>-P500*SIN(RADIANS(E500))</f>
        <v/>
      </c>
      <c r="S500" s="8">
        <f>(O500+P500*COS(RADIANS(E500)))/L500</f>
        <v/>
      </c>
      <c r="T500" s="8">
        <f>R500/L500</f>
        <v/>
      </c>
      <c r="U500" s="8">
        <f>(Q500-P500*G500*SIN(RADIANS(E500)))/M500</f>
        <v/>
      </c>
      <c r="V500" s="8">
        <f>SQRT((S500+U500)^2+3*T500^2)</f>
        <v/>
      </c>
      <c r="W500" s="8">
        <f>V500/AA500</f>
        <v/>
      </c>
      <c r="X500" s="27">
        <f>((3*10+H500/COS(RADIANS(E500)))*(3+3)+3*G500*H500)*2</f>
        <v/>
      </c>
      <c r="Y500" s="28">
        <f>Z500/X500</f>
        <v/>
      </c>
      <c r="Z500" s="29" t="n">
        <v>552.36838002692</v>
      </c>
      <c r="AA500" s="20" t="n">
        <v>101.994384964633</v>
      </c>
      <c r="AB500" t="n">
        <v>0.150773469948437</v>
      </c>
      <c r="AC500" t="n">
        <v>104.5028320168588</v>
      </c>
      <c r="AD500" t="n">
        <v>22.31390662712748</v>
      </c>
    </row>
    <row r="501">
      <c r="A501" t="n">
        <v>500</v>
      </c>
      <c r="B501" t="n">
        <v>67.09999999999999</v>
      </c>
      <c r="C501" s="21">
        <f>B501-20</f>
        <v/>
      </c>
      <c r="D501" t="n">
        <v>126.2</v>
      </c>
      <c r="E501" s="22">
        <f>D501-90</f>
        <v/>
      </c>
      <c r="F501" s="23" t="n">
        <v>0.017737</v>
      </c>
      <c r="G501" s="22" t="n">
        <v>33.5</v>
      </c>
      <c r="H501" s="22" t="n">
        <v>1.3</v>
      </c>
      <c r="I501" s="24" t="n">
        <v>0.0762855112552642</v>
      </c>
      <c r="J501" s="6" t="n">
        <v>71000</v>
      </c>
      <c r="K501" s="25">
        <f>23*10^-6</f>
        <v/>
      </c>
      <c r="L501" s="8">
        <f>H501</f>
        <v/>
      </c>
      <c r="M501" s="26">
        <f>H501^2/6</f>
        <v/>
      </c>
      <c r="N501" s="26">
        <f>H501^3/12</f>
        <v/>
      </c>
      <c r="O501" s="27">
        <f>-J501*L501*K501*C501</f>
        <v/>
      </c>
      <c r="P501" s="28">
        <f>-(12*F501*J501*L501*N501+12*O501*N501*G501*COS(RADIANS(E501)))/(12*N501*G501*COS(RADIANS(E501))^2+L501*G501^3*SIN(RADIANS(E501))^2)</f>
        <v/>
      </c>
      <c r="Q501" s="28">
        <f>-(6*F501*J501*L501*N501*SIN(RADIANS(E501))+6*O501*N501*G501*SIN(RADIANS(E501))*COS(RADIANS(E501)))/(12*N501*COS(RADIANS(E501))^2+L501*G501^2*SIN(RADIANS(E501))^2)</f>
        <v/>
      </c>
      <c r="R501" s="28">
        <f>-P501*SIN(RADIANS(E501))</f>
        <v/>
      </c>
      <c r="S501" s="8">
        <f>(O501+P501*COS(RADIANS(E501)))/L501</f>
        <v/>
      </c>
      <c r="T501" s="8">
        <f>R501/L501</f>
        <v/>
      </c>
      <c r="U501" s="8">
        <f>(Q501-P501*G501*SIN(RADIANS(E501)))/M501</f>
        <v/>
      </c>
      <c r="V501" s="8">
        <f>SQRT((S501+U501)^2+3*T501^2)</f>
        <v/>
      </c>
      <c r="W501" s="8">
        <f>V501/AA501</f>
        <v/>
      </c>
      <c r="X501" s="27">
        <f>((3*10+H501/COS(RADIANS(E501)))*(3+3)+3*G501*H501)*2</f>
        <v/>
      </c>
      <c r="Y501" s="28">
        <f>Z501/X501</f>
        <v/>
      </c>
      <c r="Z501" s="29" t="n">
        <v>649.806674743718</v>
      </c>
      <c r="AA501" s="20" t="n">
        <v>64.1883269766317</v>
      </c>
      <c r="AB501" t="n">
        <v>0.08540404407904775</v>
      </c>
      <c r="AC501" t="n">
        <v>67.14805393137827</v>
      </c>
      <c r="AD501" t="n">
        <v>11.95316472779661</v>
      </c>
    </row>
    <row r="502">
      <c r="A502" t="n">
        <v>501</v>
      </c>
      <c r="B502" t="n">
        <v>65.09999999999999</v>
      </c>
      <c r="C502" s="21">
        <f>B502-20</f>
        <v/>
      </c>
      <c r="D502" t="n">
        <v>129.1</v>
      </c>
      <c r="E502" s="22">
        <f>D502-90</f>
        <v/>
      </c>
      <c r="F502" s="23" t="n">
        <v>0.011903</v>
      </c>
      <c r="G502" s="22" t="n">
        <v>22.1</v>
      </c>
      <c r="H502" s="22" t="n">
        <v>1.7</v>
      </c>
      <c r="I502" s="24" t="n">
        <v>0.0536695457994937</v>
      </c>
      <c r="J502" s="6" t="n">
        <v>71000</v>
      </c>
      <c r="K502" s="25">
        <f>23*10^-6</f>
        <v/>
      </c>
      <c r="L502" s="8">
        <f>H502</f>
        <v/>
      </c>
      <c r="M502" s="26">
        <f>H502^2/6</f>
        <v/>
      </c>
      <c r="N502" s="26">
        <f>H502^3/12</f>
        <v/>
      </c>
      <c r="O502" s="27">
        <f>-J502*L502*K502*C502</f>
        <v/>
      </c>
      <c r="P502" s="28">
        <f>-(12*F502*J502*L502*N502+12*O502*N502*G502*COS(RADIANS(E502)))/(12*N502*G502*COS(RADIANS(E502))^2+L502*G502^3*SIN(RADIANS(E502))^2)</f>
        <v/>
      </c>
      <c r="Q502" s="28">
        <f>-(6*F502*J502*L502*N502*SIN(RADIANS(E502))+6*O502*N502*G502*SIN(RADIANS(E502))*COS(RADIANS(E502)))/(12*N502*COS(RADIANS(E502))^2+L502*G502^2*SIN(RADIANS(E502))^2)</f>
        <v/>
      </c>
      <c r="R502" s="28">
        <f>-P502*SIN(RADIANS(E502))</f>
        <v/>
      </c>
      <c r="S502" s="8">
        <f>(O502+P502*COS(RADIANS(E502)))/L502</f>
        <v/>
      </c>
      <c r="T502" s="8">
        <f>R502/L502</f>
        <v/>
      </c>
      <c r="U502" s="8">
        <f>(Q502-P502*G502*SIN(RADIANS(E502)))/M502</f>
        <v/>
      </c>
      <c r="V502" s="8">
        <f>SQRT((S502+U502)^2+3*T502^2)</f>
        <v/>
      </c>
      <c r="W502" s="8">
        <f>V502/AA502</f>
        <v/>
      </c>
      <c r="X502" s="27">
        <f>((3*10+H502/COS(RADIANS(E502)))*(3+3)+3*G502*H502)*2</f>
        <v/>
      </c>
      <c r="Y502" s="28">
        <f>Z502/X502</f>
        <v/>
      </c>
      <c r="Z502" s="29" t="n">
        <v>622.066702722107</v>
      </c>
      <c r="AA502" s="20" t="n">
        <v>70.3739893733232</v>
      </c>
      <c r="AB502" t="n">
        <v>0.05045633688091462</v>
      </c>
      <c r="AC502" t="n">
        <v>66.0392616076771</v>
      </c>
      <c r="AD502" t="n">
        <v>-5.987024616499355</v>
      </c>
    </row>
    <row r="503">
      <c r="A503" t="n">
        <v>502</v>
      </c>
      <c r="B503" t="n">
        <v>69.3</v>
      </c>
      <c r="C503" s="21">
        <f>B503-20</f>
        <v/>
      </c>
      <c r="D503" t="n">
        <v>114.1</v>
      </c>
      <c r="E503" s="22">
        <f>D503-90</f>
        <v/>
      </c>
      <c r="F503" s="23" t="n">
        <v>0.017891</v>
      </c>
      <c r="G503" s="22" t="n">
        <v>28.3</v>
      </c>
      <c r="H503" s="22" t="n">
        <v>1.8</v>
      </c>
      <c r="I503" s="24" t="n">
        <v>0.0935457870364189</v>
      </c>
      <c r="J503" s="6" t="n">
        <v>71000</v>
      </c>
      <c r="K503" s="25">
        <f>23*10^-6</f>
        <v/>
      </c>
      <c r="L503" s="8">
        <f>H503</f>
        <v/>
      </c>
      <c r="M503" s="26">
        <f>H503^2/6</f>
        <v/>
      </c>
      <c r="N503" s="26">
        <f>H503^3/12</f>
        <v/>
      </c>
      <c r="O503" s="27">
        <f>-J503*L503*K503*C503</f>
        <v/>
      </c>
      <c r="P503" s="28">
        <f>-(12*F503*J503*L503*N503+12*O503*N503*G503*COS(RADIANS(E503)))/(12*N503*G503*COS(RADIANS(E503))^2+L503*G503^3*SIN(RADIANS(E503))^2)</f>
        <v/>
      </c>
      <c r="Q503" s="28">
        <f>-(6*F503*J503*L503*N503*SIN(RADIANS(E503))+6*O503*N503*G503*SIN(RADIANS(E503))*COS(RADIANS(E503)))/(12*N503*COS(RADIANS(E503))^2+L503*G503^2*SIN(RADIANS(E503))^2)</f>
        <v/>
      </c>
      <c r="R503" s="28">
        <f>-P503*SIN(RADIANS(E503))</f>
        <v/>
      </c>
      <c r="S503" s="8">
        <f>(O503+P503*COS(RADIANS(E503)))/L503</f>
        <v/>
      </c>
      <c r="T503" s="8">
        <f>R503/L503</f>
        <v/>
      </c>
      <c r="U503" s="8">
        <f>(Q503-P503*G503*SIN(RADIANS(E503)))/M503</f>
        <v/>
      </c>
      <c r="V503" s="8">
        <f>SQRT((S503+U503)^2+3*T503^2)</f>
        <v/>
      </c>
      <c r="W503" s="8">
        <f>V503/AA503</f>
        <v/>
      </c>
      <c r="X503" s="27">
        <f>((3*10+H503/COS(RADIANS(E503)))*(3+3)+3*G503*H503)*2</f>
        <v/>
      </c>
      <c r="Y503" s="28">
        <f>Z503/X503</f>
        <v/>
      </c>
      <c r="Z503" s="29" t="n">
        <v>695.0279377773591</v>
      </c>
      <c r="AA503" s="20" t="n">
        <v>79.8055431153394</v>
      </c>
      <c r="AB503" t="n">
        <v>0.116073819873951</v>
      </c>
      <c r="AC503" t="n">
        <v>76.48220630953575</v>
      </c>
      <c r="AD503" t="n">
        <v>24.08235961365269</v>
      </c>
    </row>
    <row r="504">
      <c r="A504" t="n">
        <v>503</v>
      </c>
      <c r="B504" t="n">
        <v>60.6</v>
      </c>
      <c r="C504" s="21">
        <f>B504-20</f>
        <v/>
      </c>
      <c r="D504" t="n">
        <v>118.9</v>
      </c>
      <c r="E504" s="22">
        <f>D504-90</f>
        <v/>
      </c>
      <c r="F504" s="23" t="n">
        <v>0.012623</v>
      </c>
      <c r="G504" s="22" t="n">
        <v>24.3</v>
      </c>
      <c r="H504" s="22" t="n">
        <v>1.1</v>
      </c>
      <c r="I504" s="24" t="n">
        <v>0.061681292951107</v>
      </c>
      <c r="J504" s="6" t="n">
        <v>71000</v>
      </c>
      <c r="K504" s="25">
        <f>23*10^-6</f>
        <v/>
      </c>
      <c r="L504" s="8">
        <f>H504</f>
        <v/>
      </c>
      <c r="M504" s="26">
        <f>H504^2/6</f>
        <v/>
      </c>
      <c r="N504" s="26">
        <f>H504^3/12</f>
        <v/>
      </c>
      <c r="O504" s="27">
        <f>-J504*L504*K504*C504</f>
        <v/>
      </c>
      <c r="P504" s="28">
        <f>-(12*F504*J504*L504*N504+12*O504*N504*G504*COS(RADIANS(E504)))/(12*N504*G504*COS(RADIANS(E504))^2+L504*G504^3*SIN(RADIANS(E504))^2)</f>
        <v/>
      </c>
      <c r="Q504" s="28">
        <f>-(6*F504*J504*L504*N504*SIN(RADIANS(E504))+6*O504*N504*G504*SIN(RADIANS(E504))*COS(RADIANS(E504)))/(12*N504*COS(RADIANS(E504))^2+L504*G504^2*SIN(RADIANS(E504))^2)</f>
        <v/>
      </c>
      <c r="R504" s="28">
        <f>-P504*SIN(RADIANS(E504))</f>
        <v/>
      </c>
      <c r="S504" s="8">
        <f>(O504+P504*COS(RADIANS(E504)))/L504</f>
        <v/>
      </c>
      <c r="T504" s="8">
        <f>R504/L504</f>
        <v/>
      </c>
      <c r="U504" s="8">
        <f>(Q504-P504*G504*SIN(RADIANS(E504)))/M504</f>
        <v/>
      </c>
      <c r="V504" s="8">
        <f>SQRT((S504+U504)^2+3*T504^2)</f>
        <v/>
      </c>
      <c r="W504" s="8">
        <f>V504/AA504</f>
        <v/>
      </c>
      <c r="X504" s="27">
        <f>((3*10+H504/COS(RADIANS(E504)))*(3+3)+3*G504*H504)*2</f>
        <v/>
      </c>
      <c r="Y504" s="28">
        <f>Z504/X504</f>
        <v/>
      </c>
      <c r="Z504" s="29" t="n">
        <v>542.305356751767</v>
      </c>
      <c r="AA504" s="20" t="n">
        <v>57.1264156035365</v>
      </c>
      <c r="AB504" t="n">
        <v>0.06930689948267571</v>
      </c>
      <c r="AC504" t="n">
        <v>59.25585264145862</v>
      </c>
      <c r="AD504" t="n">
        <v>12.36291615614043</v>
      </c>
    </row>
    <row r="505">
      <c r="A505" t="n">
        <v>504</v>
      </c>
      <c r="B505" t="n">
        <v>67.5</v>
      </c>
      <c r="C505" s="21">
        <f>B505-20</f>
        <v/>
      </c>
      <c r="D505" t="n">
        <v>101.6</v>
      </c>
      <c r="E505" s="22">
        <f>D505-90</f>
        <v/>
      </c>
      <c r="F505" s="23" t="n">
        <v>0.014282</v>
      </c>
      <c r="G505" s="22" t="n">
        <v>20.8</v>
      </c>
      <c r="H505" s="22" t="n">
        <v>1.6</v>
      </c>
      <c r="I505" s="24" t="n">
        <v>0.119418270885944</v>
      </c>
      <c r="J505" s="6" t="n">
        <v>71000</v>
      </c>
      <c r="K505" s="25">
        <f>23*10^-6</f>
        <v/>
      </c>
      <c r="L505" s="8">
        <f>H505</f>
        <v/>
      </c>
      <c r="M505" s="26">
        <f>H505^2/6</f>
        <v/>
      </c>
      <c r="N505" s="26">
        <f>H505^3/12</f>
        <v/>
      </c>
      <c r="O505" s="27">
        <f>-J505*L505*K505*C505</f>
        <v/>
      </c>
      <c r="P505" s="28">
        <f>-(12*F505*J505*L505*N505+12*O505*N505*G505*COS(RADIANS(E505)))/(12*N505*G505*COS(RADIANS(E505))^2+L505*G505^3*SIN(RADIANS(E505))^2)</f>
        <v/>
      </c>
      <c r="Q505" s="28">
        <f>-(6*F505*J505*L505*N505*SIN(RADIANS(E505))+6*O505*N505*G505*SIN(RADIANS(E505))*COS(RADIANS(E505)))/(12*N505*COS(RADIANS(E505))^2+L505*G505^2*SIN(RADIANS(E505))^2)</f>
        <v/>
      </c>
      <c r="R505" s="28">
        <f>-P505*SIN(RADIANS(E505))</f>
        <v/>
      </c>
      <c r="S505" s="8">
        <f>(O505+P505*COS(RADIANS(E505)))/L505</f>
        <v/>
      </c>
      <c r="T505" s="8">
        <f>R505/L505</f>
        <v/>
      </c>
      <c r="U505" s="8">
        <f>(Q505-P505*G505*SIN(RADIANS(E505)))/M505</f>
        <v/>
      </c>
      <c r="V505" s="8">
        <f>SQRT((S505+U505)^2+3*T505^2)</f>
        <v/>
      </c>
      <c r="W505" s="8">
        <f>V505/AA505</f>
        <v/>
      </c>
      <c r="X505" s="27">
        <f>((3*10+H505/COS(RADIANS(E505)))*(3+3)+3*G505*H505)*2</f>
        <v/>
      </c>
      <c r="Y505" s="28">
        <f>Z505/X505</f>
        <v/>
      </c>
      <c r="Z505" s="29" t="n">
        <v>583.2143761303849</v>
      </c>
      <c r="AA505" s="20" t="n">
        <v>101.927656229013</v>
      </c>
      <c r="AB505" t="n">
        <v>0.1597436258089625</v>
      </c>
      <c r="AC505" t="n">
        <v>83.52838728118579</v>
      </c>
      <c r="AD505" t="n">
        <v>33.76816179287432</v>
      </c>
    </row>
    <row r="506">
      <c r="A506" t="n">
        <v>505</v>
      </c>
      <c r="B506" t="n">
        <v>67</v>
      </c>
      <c r="C506" s="21">
        <f>B506-20</f>
        <v/>
      </c>
      <c r="D506" t="n">
        <v>112.5</v>
      </c>
      <c r="E506" s="22">
        <f>D506-90</f>
        <v/>
      </c>
      <c r="F506" s="23" t="n">
        <v>0.019699</v>
      </c>
      <c r="G506" s="22" t="n">
        <v>33.3</v>
      </c>
      <c r="H506" s="22" t="n">
        <v>1.1</v>
      </c>
      <c r="I506" s="24" t="n">
        <v>0.105319485068321</v>
      </c>
      <c r="J506" s="6" t="n">
        <v>71000</v>
      </c>
      <c r="K506" s="25">
        <f>23*10^-6</f>
        <v/>
      </c>
      <c r="L506" s="8">
        <f>H506</f>
        <v/>
      </c>
      <c r="M506" s="26">
        <f>H506^2/6</f>
        <v/>
      </c>
      <c r="N506" s="26">
        <f>H506^3/12</f>
        <v/>
      </c>
      <c r="O506" s="27">
        <f>-J506*L506*K506*C506</f>
        <v/>
      </c>
      <c r="P506" s="28">
        <f>-(12*F506*J506*L506*N506+12*O506*N506*G506*COS(RADIANS(E506)))/(12*N506*G506*COS(RADIANS(E506))^2+L506*G506^3*SIN(RADIANS(E506))^2)</f>
        <v/>
      </c>
      <c r="Q506" s="28">
        <f>-(6*F506*J506*L506*N506*SIN(RADIANS(E506))+6*O506*N506*G506*SIN(RADIANS(E506))*COS(RADIANS(E506)))/(12*N506*COS(RADIANS(E506))^2+L506*G506^2*SIN(RADIANS(E506))^2)</f>
        <v/>
      </c>
      <c r="R506" s="28">
        <f>-P506*SIN(RADIANS(E506))</f>
        <v/>
      </c>
      <c r="S506" s="8">
        <f>(O506+P506*COS(RADIANS(E506)))/L506</f>
        <v/>
      </c>
      <c r="T506" s="8">
        <f>R506/L506</f>
        <v/>
      </c>
      <c r="U506" s="8">
        <f>(Q506-P506*G506*SIN(RADIANS(E506)))/M506</f>
        <v/>
      </c>
      <c r="V506" s="8">
        <f>SQRT((S506+U506)^2+3*T506^2)</f>
        <v/>
      </c>
      <c r="W506" s="8">
        <f>V506/AA506</f>
        <v/>
      </c>
      <c r="X506" s="27">
        <f>((3*10+H506/COS(RADIANS(E506)))*(3+3)+3*G506*H506)*2</f>
        <v/>
      </c>
      <c r="Y506" s="28">
        <f>Z506/X506</f>
        <v/>
      </c>
      <c r="Z506" s="29" t="n">
        <v>599.478619236517</v>
      </c>
      <c r="AA506" s="20" t="n">
        <v>65.4917310587539</v>
      </c>
      <c r="AB506" t="n">
        <v>0.1406759846479352</v>
      </c>
      <c r="AC506" t="n">
        <v>69.08238686186641</v>
      </c>
      <c r="AD506" t="n">
        <v>33.57071063980073</v>
      </c>
    </row>
    <row r="507">
      <c r="A507" t="n">
        <v>506</v>
      </c>
      <c r="B507" t="n">
        <v>41.7</v>
      </c>
      <c r="C507" s="21">
        <f>B507-20</f>
        <v/>
      </c>
      <c r="D507" t="n">
        <v>113</v>
      </c>
      <c r="E507" s="22">
        <f>D507-90</f>
        <v/>
      </c>
      <c r="F507" s="23" t="n">
        <v>0.009044</v>
      </c>
      <c r="G507" s="22" t="n">
        <v>33.2</v>
      </c>
      <c r="H507" s="22" t="n">
        <v>1.8</v>
      </c>
      <c r="I507" s="24" t="n">
        <v>0.0476226173341274</v>
      </c>
      <c r="J507" s="6" t="n">
        <v>71000</v>
      </c>
      <c r="K507" s="25">
        <f>23*10^-6</f>
        <v/>
      </c>
      <c r="L507" s="8">
        <f>H507</f>
        <v/>
      </c>
      <c r="M507" s="26">
        <f>H507^2/6</f>
        <v/>
      </c>
      <c r="N507" s="26">
        <f>H507^3/12</f>
        <v/>
      </c>
      <c r="O507" s="27">
        <f>-J507*L507*K507*C507</f>
        <v/>
      </c>
      <c r="P507" s="28">
        <f>-(12*F507*J507*L507*N507+12*O507*N507*G507*COS(RADIANS(E507)))/(12*N507*G507*COS(RADIANS(E507))^2+L507*G507^3*SIN(RADIANS(E507))^2)</f>
        <v/>
      </c>
      <c r="Q507" s="28">
        <f>-(6*F507*J507*L507*N507*SIN(RADIANS(E507))+6*O507*N507*G507*SIN(RADIANS(E507))*COS(RADIANS(E507)))/(12*N507*COS(RADIANS(E507))^2+L507*G507^2*SIN(RADIANS(E507))^2)</f>
        <v/>
      </c>
      <c r="R507" s="28">
        <f>-P507*SIN(RADIANS(E507))</f>
        <v/>
      </c>
      <c r="S507" s="8">
        <f>(O507+P507*COS(RADIANS(E507)))/L507</f>
        <v/>
      </c>
      <c r="T507" s="8">
        <f>R507/L507</f>
        <v/>
      </c>
      <c r="U507" s="8">
        <f>(Q507-P507*G507*SIN(RADIANS(E507)))/M507</f>
        <v/>
      </c>
      <c r="V507" s="8">
        <f>SQRT((S507+U507)^2+3*T507^2)</f>
        <v/>
      </c>
      <c r="W507" s="8">
        <f>V507/AA507</f>
        <v/>
      </c>
      <c r="X507" s="27">
        <f>((3*10+H507/COS(RADIANS(E507)))*(3+3)+3*G507*H507)*2</f>
        <v/>
      </c>
      <c r="Y507" s="28">
        <f>Z507/X507</f>
        <v/>
      </c>
      <c r="Z507" s="29" t="n">
        <v>747.531662595323</v>
      </c>
      <c r="AA507" s="20" t="n">
        <v>34.4904667758283</v>
      </c>
      <c r="AB507" t="n">
        <v>0.06263085661404091</v>
      </c>
      <c r="AC507" t="n">
        <v>33.42842297982672</v>
      </c>
      <c r="AD507" t="n">
        <v>31.5149400013306</v>
      </c>
    </row>
    <row r="508">
      <c r="A508" t="n">
        <v>507</v>
      </c>
      <c r="B508" t="n">
        <v>82.2</v>
      </c>
      <c r="C508" s="21">
        <f>B508-20</f>
        <v/>
      </c>
      <c r="D508" t="n">
        <v>104.1</v>
      </c>
      <c r="E508" s="22">
        <f>D508-90</f>
        <v/>
      </c>
      <c r="F508" s="23" t="n">
        <v>0.020828</v>
      </c>
      <c r="G508" s="22" t="n">
        <v>24.1</v>
      </c>
      <c r="H508" s="22" t="n">
        <v>1.6</v>
      </c>
      <c r="I508" s="24" t="n">
        <v>0.155044615268707</v>
      </c>
      <c r="J508" s="6" t="n">
        <v>71000</v>
      </c>
      <c r="K508" s="25">
        <f>23*10^-6</f>
        <v/>
      </c>
      <c r="L508" s="8">
        <f>H508</f>
        <v/>
      </c>
      <c r="M508" s="26">
        <f>H508^2/6</f>
        <v/>
      </c>
      <c r="N508" s="26">
        <f>H508^3/12</f>
        <v/>
      </c>
      <c r="O508" s="27">
        <f>-J508*L508*K508*C508</f>
        <v/>
      </c>
      <c r="P508" s="28">
        <f>-(12*F508*J508*L508*N508+12*O508*N508*G508*COS(RADIANS(E508)))/(12*N508*G508*COS(RADIANS(E508))^2+L508*G508^3*SIN(RADIANS(E508))^2)</f>
        <v/>
      </c>
      <c r="Q508" s="28">
        <f>-(6*F508*J508*L508*N508*SIN(RADIANS(E508))+6*O508*N508*G508*SIN(RADIANS(E508))*COS(RADIANS(E508)))/(12*N508*COS(RADIANS(E508))^2+L508*G508^2*SIN(RADIANS(E508))^2)</f>
        <v/>
      </c>
      <c r="R508" s="28">
        <f>-P508*SIN(RADIANS(E508))</f>
        <v/>
      </c>
      <c r="S508" s="8">
        <f>(O508+P508*COS(RADIANS(E508)))/L508</f>
        <v/>
      </c>
      <c r="T508" s="8">
        <f>R508/L508</f>
        <v/>
      </c>
      <c r="U508" s="8">
        <f>(Q508-P508*G508*SIN(RADIANS(E508)))/M508</f>
        <v/>
      </c>
      <c r="V508" s="8">
        <f>SQRT((S508+U508)^2+3*T508^2)</f>
        <v/>
      </c>
      <c r="W508" s="8">
        <f>V508/AA508</f>
        <v/>
      </c>
      <c r="X508" s="27">
        <f>((3*10+H508/COS(RADIANS(E508)))*(3+3)+3*G508*H508)*2</f>
        <v/>
      </c>
      <c r="Y508" s="28">
        <f>Z508/X508</f>
        <v/>
      </c>
      <c r="Z508" s="29" t="n">
        <v>615.335588859867</v>
      </c>
      <c r="AA508" s="20" t="n">
        <v>103.902230205973</v>
      </c>
      <c r="AB508" t="n">
        <v>0.2094484343832182</v>
      </c>
      <c r="AC508" t="n">
        <v>104.8387640579236</v>
      </c>
      <c r="AD508" t="n">
        <v>35.08913806533961</v>
      </c>
    </row>
    <row r="509">
      <c r="A509" t="n">
        <v>508</v>
      </c>
      <c r="B509" t="n">
        <v>81.2</v>
      </c>
      <c r="C509" s="21">
        <f>B509-20</f>
        <v/>
      </c>
      <c r="D509" t="n">
        <v>117.1</v>
      </c>
      <c r="E509" s="22">
        <f>D509-90</f>
        <v/>
      </c>
      <c r="F509" s="23" t="n">
        <v>0.018782</v>
      </c>
      <c r="G509" s="22" t="n">
        <v>23.5</v>
      </c>
      <c r="H509" s="22" t="n">
        <v>1.3</v>
      </c>
      <c r="I509" s="24" t="n">
        <v>0.0950745865702629</v>
      </c>
      <c r="J509" s="6" t="n">
        <v>71000</v>
      </c>
      <c r="K509" s="25">
        <f>23*10^-6</f>
        <v/>
      </c>
      <c r="L509" s="8">
        <f>H509</f>
        <v/>
      </c>
      <c r="M509" s="26">
        <f>H509^2/6</f>
        <v/>
      </c>
      <c r="N509" s="26">
        <f>H509^3/12</f>
        <v/>
      </c>
      <c r="O509" s="27">
        <f>-J509*L509*K509*C509</f>
        <v/>
      </c>
      <c r="P509" s="28">
        <f>-(12*F509*J509*L509*N509+12*O509*N509*G509*COS(RADIANS(E509)))/(12*N509*G509*COS(RADIANS(E509))^2+L509*G509^3*SIN(RADIANS(E509))^2)</f>
        <v/>
      </c>
      <c r="Q509" s="28">
        <f>-(6*F509*J509*L509*N509*SIN(RADIANS(E509))+6*O509*N509*G509*SIN(RADIANS(E509))*COS(RADIANS(E509)))/(12*N509*COS(RADIANS(E509))^2+L509*G509^2*SIN(RADIANS(E509))^2)</f>
        <v/>
      </c>
      <c r="R509" s="28">
        <f>-P509*SIN(RADIANS(E509))</f>
        <v/>
      </c>
      <c r="S509" s="8">
        <f>(O509+P509*COS(RADIANS(E509)))/L509</f>
        <v/>
      </c>
      <c r="T509" s="8">
        <f>R509/L509</f>
        <v/>
      </c>
      <c r="U509" s="8">
        <f>(Q509-P509*G509*SIN(RADIANS(E509)))/M509</f>
        <v/>
      </c>
      <c r="V509" s="8">
        <f>SQRT((S509+U509)^2+3*T509^2)</f>
        <v/>
      </c>
      <c r="W509" s="8">
        <f>V509/AA509</f>
        <v/>
      </c>
      <c r="X509" s="27">
        <f>((3*10+H509/COS(RADIANS(E509)))*(3+3)+3*G509*H509)*2</f>
        <v/>
      </c>
      <c r="Y509" s="28">
        <f>Z509/X509</f>
        <v/>
      </c>
      <c r="Z509" s="29" t="n">
        <v>567.217375064066</v>
      </c>
      <c r="AA509" s="20" t="n">
        <v>90.1696152068572</v>
      </c>
      <c r="AB509" t="n">
        <v>0.1079418621382065</v>
      </c>
      <c r="AC509" t="n">
        <v>91.39932466806344</v>
      </c>
      <c r="AD509" t="n">
        <v>13.53387485775105</v>
      </c>
    </row>
    <row r="510">
      <c r="A510" t="n">
        <v>509</v>
      </c>
      <c r="B510" t="n">
        <v>64.3</v>
      </c>
      <c r="C510" s="21">
        <f>B510-20</f>
        <v/>
      </c>
      <c r="D510" t="n">
        <v>108.7</v>
      </c>
      <c r="E510" s="22">
        <f>D510-90</f>
        <v/>
      </c>
      <c r="F510" s="23" t="n">
        <v>0.013698</v>
      </c>
      <c r="G510" s="22" t="n">
        <v>22.3</v>
      </c>
      <c r="H510" s="22" t="n">
        <v>1.6</v>
      </c>
      <c r="I510" s="24" t="n">
        <v>0.0856213271617889</v>
      </c>
      <c r="J510" s="6" t="n">
        <v>71000</v>
      </c>
      <c r="K510" s="25">
        <f>23*10^-6</f>
        <v/>
      </c>
      <c r="L510" s="8">
        <f>H510</f>
        <v/>
      </c>
      <c r="M510" s="26">
        <f>H510^2/6</f>
        <v/>
      </c>
      <c r="N510" s="26">
        <f>H510^3/12</f>
        <v/>
      </c>
      <c r="O510" s="27">
        <f>-J510*L510*K510*C510</f>
        <v/>
      </c>
      <c r="P510" s="28">
        <f>-(12*F510*J510*L510*N510+12*O510*N510*G510*COS(RADIANS(E510)))/(12*N510*G510*COS(RADIANS(E510))^2+L510*G510^3*SIN(RADIANS(E510))^2)</f>
        <v/>
      </c>
      <c r="Q510" s="28">
        <f>-(6*F510*J510*L510*N510*SIN(RADIANS(E510))+6*O510*N510*G510*SIN(RADIANS(E510))*COS(RADIANS(E510)))/(12*N510*COS(RADIANS(E510))^2+L510*G510^2*SIN(RADIANS(E510))^2)</f>
        <v/>
      </c>
      <c r="R510" s="28">
        <f>-P510*SIN(RADIANS(E510))</f>
        <v/>
      </c>
      <c r="S510" s="8">
        <f>(O510+P510*COS(RADIANS(E510)))/L510</f>
        <v/>
      </c>
      <c r="T510" s="8">
        <f>R510/L510</f>
        <v/>
      </c>
      <c r="U510" s="8">
        <f>(Q510-P510*G510*SIN(RADIANS(E510)))/M510</f>
        <v/>
      </c>
      <c r="V510" s="8">
        <f>SQRT((S510+U510)^2+3*T510^2)</f>
        <v/>
      </c>
      <c r="W510" s="8">
        <f>V510/AA510</f>
        <v/>
      </c>
      <c r="X510" s="27">
        <f>((3*10+H510/COS(RADIANS(E510)))*(3+3)+3*G510*H510)*2</f>
        <v/>
      </c>
      <c r="Y510" s="28">
        <f>Z510/X510</f>
        <v/>
      </c>
      <c r="Z510" s="29" t="n">
        <v>599.121242621001</v>
      </c>
      <c r="AA510" s="20" t="n">
        <v>72.51802233019291</v>
      </c>
      <c r="AB510" t="n">
        <v>0.1063496281370026</v>
      </c>
      <c r="AC510" t="n">
        <v>71.73662975289602</v>
      </c>
      <c r="AD510" t="n">
        <v>24.20927315929807</v>
      </c>
    </row>
    <row r="511">
      <c r="A511" t="n">
        <v>510</v>
      </c>
      <c r="B511" t="n">
        <v>72.59999999999999</v>
      </c>
      <c r="C511" s="21">
        <f>B511-20</f>
        <v/>
      </c>
      <c r="D511" t="n">
        <v>101</v>
      </c>
      <c r="E511" s="22">
        <f>D511-90</f>
        <v/>
      </c>
      <c r="F511" s="23" t="n">
        <v>0.019785</v>
      </c>
      <c r="G511" s="22" t="n">
        <v>27.5</v>
      </c>
      <c r="H511" s="22" t="n">
        <v>1.4</v>
      </c>
      <c r="I511" s="24" t="n">
        <v>0.176815971732139</v>
      </c>
      <c r="J511" s="6" t="n">
        <v>71000</v>
      </c>
      <c r="K511" s="25">
        <f>23*10^-6</f>
        <v/>
      </c>
      <c r="L511" s="8">
        <f>H511</f>
        <v/>
      </c>
      <c r="M511" s="26">
        <f>H511^2/6</f>
        <v/>
      </c>
      <c r="N511" s="26">
        <f>H511^3/12</f>
        <v/>
      </c>
      <c r="O511" s="27">
        <f>-J511*L511*K511*C511</f>
        <v/>
      </c>
      <c r="P511" s="28">
        <f>-(12*F511*J511*L511*N511+12*O511*N511*G511*COS(RADIANS(E511)))/(12*N511*G511*COS(RADIANS(E511))^2+L511*G511^3*SIN(RADIANS(E511))^2)</f>
        <v/>
      </c>
      <c r="Q511" s="28">
        <f>-(6*F511*J511*L511*N511*SIN(RADIANS(E511))+6*O511*N511*G511*SIN(RADIANS(E511))*COS(RADIANS(E511)))/(12*N511*COS(RADIANS(E511))^2+L511*G511^2*SIN(RADIANS(E511))^2)</f>
        <v/>
      </c>
      <c r="R511" s="28">
        <f>-P511*SIN(RADIANS(E511))</f>
        <v/>
      </c>
      <c r="S511" s="8">
        <f>(O511+P511*COS(RADIANS(E511)))/L511</f>
        <v/>
      </c>
      <c r="T511" s="8">
        <f>R511/L511</f>
        <v/>
      </c>
      <c r="U511" s="8">
        <f>(Q511-P511*G511*SIN(RADIANS(E511)))/M511</f>
        <v/>
      </c>
      <c r="V511" s="8">
        <f>SQRT((S511+U511)^2+3*T511^2)</f>
        <v/>
      </c>
      <c r="W511" s="8">
        <f>V511/AA511</f>
        <v/>
      </c>
      <c r="X511" s="27">
        <f>((3*10+H511/COS(RADIANS(E511)))*(3+3)+3*G511*H511)*2</f>
        <v/>
      </c>
      <c r="Y511" s="28">
        <f>Z511/X511</f>
        <v/>
      </c>
      <c r="Z511" s="29" t="n">
        <v>611.997270539813</v>
      </c>
      <c r="AA511" s="20" t="n">
        <v>84.59289575335011</v>
      </c>
      <c r="AB511" t="n">
        <v>0.2581722124705708</v>
      </c>
      <c r="AC511" t="n">
        <v>89.33874184250922</v>
      </c>
      <c r="AD511" t="n">
        <v>46.01181665968472</v>
      </c>
    </row>
    <row r="512">
      <c r="A512" t="n">
        <v>511</v>
      </c>
      <c r="B512" t="n">
        <v>56.8</v>
      </c>
      <c r="C512" s="21">
        <f>B512-20</f>
        <v/>
      </c>
      <c r="D512" t="n">
        <v>122.3</v>
      </c>
      <c r="E512" s="22">
        <f>D512-90</f>
        <v/>
      </c>
      <c r="F512" s="23" t="n">
        <v>0.013652</v>
      </c>
      <c r="G512" s="22" t="n">
        <v>31.4</v>
      </c>
      <c r="H512" s="22" t="n">
        <v>1.5</v>
      </c>
      <c r="I512" s="24" t="n">
        <v>0.0613987855613231</v>
      </c>
      <c r="J512" s="6" t="n">
        <v>71000</v>
      </c>
      <c r="K512" s="25">
        <f>23*10^-6</f>
        <v/>
      </c>
      <c r="L512" s="8">
        <f>H512</f>
        <v/>
      </c>
      <c r="M512" s="26">
        <f>H512^2/6</f>
        <v/>
      </c>
      <c r="N512" s="26">
        <f>H512^3/12</f>
        <v/>
      </c>
      <c r="O512" s="27">
        <f>-J512*L512*K512*C512</f>
        <v/>
      </c>
      <c r="P512" s="28">
        <f>-(12*F512*J512*L512*N512+12*O512*N512*G512*COS(RADIANS(E512)))/(12*N512*G512*COS(RADIANS(E512))^2+L512*G512^3*SIN(RADIANS(E512))^2)</f>
        <v/>
      </c>
      <c r="Q512" s="28">
        <f>-(6*F512*J512*L512*N512*SIN(RADIANS(E512))+6*O512*N512*G512*SIN(RADIANS(E512))*COS(RADIANS(E512)))/(12*N512*COS(RADIANS(E512))^2+L512*G512^2*SIN(RADIANS(E512))^2)</f>
        <v/>
      </c>
      <c r="R512" s="28">
        <f>-P512*SIN(RADIANS(E512))</f>
        <v/>
      </c>
      <c r="S512" s="8">
        <f>(O512+P512*COS(RADIANS(E512)))/L512</f>
        <v/>
      </c>
      <c r="T512" s="8">
        <f>R512/L512</f>
        <v/>
      </c>
      <c r="U512" s="8">
        <f>(Q512-P512*G512*SIN(RADIANS(E512)))/M512</f>
        <v/>
      </c>
      <c r="V512" s="8">
        <f>SQRT((S512+U512)^2+3*T512^2)</f>
        <v/>
      </c>
      <c r="W512" s="8">
        <f>V512/AA512</f>
        <v/>
      </c>
      <c r="X512" s="27">
        <f>((3*10+H512/COS(RADIANS(E512)))*(3+3)+3*G512*H512)*2</f>
        <v/>
      </c>
      <c r="Y512" s="28">
        <f>Z512/X512</f>
        <v/>
      </c>
      <c r="Z512" s="29" t="n">
        <v>671.722374753345</v>
      </c>
      <c r="AA512" s="20" t="n">
        <v>54.1289953331669</v>
      </c>
      <c r="AB512" t="n">
        <v>0.07087760887911126</v>
      </c>
      <c r="AC512" t="n">
        <v>53.68761251120113</v>
      </c>
      <c r="AD512" t="n">
        <v>15.4381283459117</v>
      </c>
    </row>
    <row r="513">
      <c r="A513" t="n">
        <v>512</v>
      </c>
      <c r="B513" t="n">
        <v>49.2</v>
      </c>
      <c r="C513" s="21">
        <f>B513-20</f>
        <v/>
      </c>
      <c r="D513" t="n">
        <v>126.7</v>
      </c>
      <c r="E513" s="22">
        <f>D513-90</f>
        <v/>
      </c>
      <c r="F513" s="23" t="n">
        <v>0.007709</v>
      </c>
      <c r="G513" s="22" t="n">
        <v>21.4</v>
      </c>
      <c r="H513" s="22" t="n">
        <v>1.1</v>
      </c>
      <c r="I513" s="24" t="n">
        <v>0.0353147648274898</v>
      </c>
      <c r="J513" s="6" t="n">
        <v>71000</v>
      </c>
      <c r="K513" s="25">
        <f>23*10^-6</f>
        <v/>
      </c>
      <c r="L513" s="8">
        <f>H513</f>
        <v/>
      </c>
      <c r="M513" s="26">
        <f>H513^2/6</f>
        <v/>
      </c>
      <c r="N513" s="26">
        <f>H513^3/12</f>
        <v/>
      </c>
      <c r="O513" s="27">
        <f>-J513*L513*K513*C513</f>
        <v/>
      </c>
      <c r="P513" s="28">
        <f>-(12*F513*J513*L513*N513+12*O513*N513*G513*COS(RADIANS(E513)))/(12*N513*G513*COS(RADIANS(E513))^2+L513*G513^3*SIN(RADIANS(E513))^2)</f>
        <v/>
      </c>
      <c r="Q513" s="28">
        <f>-(6*F513*J513*L513*N513*SIN(RADIANS(E513))+6*O513*N513*G513*SIN(RADIANS(E513))*COS(RADIANS(E513)))/(12*N513*COS(RADIANS(E513))^2+L513*G513^2*SIN(RADIANS(E513))^2)</f>
        <v/>
      </c>
      <c r="R513" s="28">
        <f>-P513*SIN(RADIANS(E513))</f>
        <v/>
      </c>
      <c r="S513" s="8">
        <f>(O513+P513*COS(RADIANS(E513)))/L513</f>
        <v/>
      </c>
      <c r="T513" s="8">
        <f>R513/L513</f>
        <v/>
      </c>
      <c r="U513" s="8">
        <f>(Q513-P513*G513*SIN(RADIANS(E513)))/M513</f>
        <v/>
      </c>
      <c r="V513" s="8">
        <f>SQRT((S513+U513)^2+3*T513^2)</f>
        <v/>
      </c>
      <c r="W513" s="8">
        <f>V513/AA513</f>
        <v/>
      </c>
      <c r="X513" s="27">
        <f>((3*10+H513/COS(RADIANS(E513)))*(3+3)+3*G513*H513)*2</f>
        <v/>
      </c>
      <c r="Y513" s="28">
        <f>Z513/X513</f>
        <v/>
      </c>
      <c r="Z513" s="29" t="n">
        <v>527.070648635443</v>
      </c>
      <c r="AA513" s="20" t="n">
        <v>40.4724034702221</v>
      </c>
      <c r="AB513" t="n">
        <v>0.03420114337511019</v>
      </c>
      <c r="AC513" t="n">
        <v>41.83087934598571</v>
      </c>
      <c r="AD513" t="n">
        <v>-3.153416022503824</v>
      </c>
    </row>
    <row r="514">
      <c r="A514" t="n">
        <v>513</v>
      </c>
      <c r="B514" t="n">
        <v>68.5</v>
      </c>
      <c r="C514" s="21">
        <f>B514-20</f>
        <v/>
      </c>
      <c r="D514" t="n">
        <v>104.3</v>
      </c>
      <c r="E514" s="22">
        <f>D514-90</f>
        <v/>
      </c>
      <c r="F514" s="23" t="n">
        <v>0.019926</v>
      </c>
      <c r="G514" s="22" t="n">
        <v>31</v>
      </c>
      <c r="H514" s="22" t="n">
        <v>1.9</v>
      </c>
      <c r="I514" s="24" t="n">
        <v>0.143757194280624</v>
      </c>
      <c r="J514" s="6" t="n">
        <v>71000</v>
      </c>
      <c r="K514" s="25">
        <f>23*10^-6</f>
        <v/>
      </c>
      <c r="L514" s="8">
        <f>H514</f>
        <v/>
      </c>
      <c r="M514" s="26">
        <f>H514^2/6</f>
        <v/>
      </c>
      <c r="N514" s="26">
        <f>H514^3/12</f>
        <v/>
      </c>
      <c r="O514" s="27">
        <f>-J514*L514*K514*C514</f>
        <v/>
      </c>
      <c r="P514" s="28">
        <f>-(12*F514*J514*L514*N514+12*O514*N514*G514*COS(RADIANS(E514)))/(12*N514*G514*COS(RADIANS(E514))^2+L514*G514^3*SIN(RADIANS(E514))^2)</f>
        <v/>
      </c>
      <c r="Q514" s="28">
        <f>-(6*F514*J514*L514*N514*SIN(RADIANS(E514))+6*O514*N514*G514*SIN(RADIANS(E514))*COS(RADIANS(E514)))/(12*N514*COS(RADIANS(E514))^2+L514*G514^2*SIN(RADIANS(E514))^2)</f>
        <v/>
      </c>
      <c r="R514" s="28">
        <f>-P514*SIN(RADIANS(E514))</f>
        <v/>
      </c>
      <c r="S514" s="8">
        <f>(O514+P514*COS(RADIANS(E514)))/L514</f>
        <v/>
      </c>
      <c r="T514" s="8">
        <f>R514/L514</f>
        <v/>
      </c>
      <c r="U514" s="8">
        <f>(Q514-P514*G514*SIN(RADIANS(E514)))/M514</f>
        <v/>
      </c>
      <c r="V514" s="8">
        <f>SQRT((S514+U514)^2+3*T514^2)</f>
        <v/>
      </c>
      <c r="W514" s="8">
        <f>V514/AA514</f>
        <v/>
      </c>
      <c r="X514" s="27">
        <f>((3*10+H514/COS(RADIANS(E514)))*(3+3)+3*G514*H514)*2</f>
        <v/>
      </c>
      <c r="Y514" s="28">
        <f>Z514/X514</f>
        <v/>
      </c>
      <c r="Z514" s="29" t="n">
        <v>741.130058930758</v>
      </c>
      <c r="AA514" s="20" t="n">
        <v>83.82038579028939</v>
      </c>
      <c r="AB514" t="n">
        <v>0.2059738722274194</v>
      </c>
      <c r="AC514" t="n">
        <v>81.70686094341092</v>
      </c>
      <c r="AD514" t="n">
        <v>43.27900127582078</v>
      </c>
    </row>
    <row r="515">
      <c r="A515" t="n">
        <v>514</v>
      </c>
      <c r="B515" t="n">
        <v>70.40000000000001</v>
      </c>
      <c r="C515" s="21">
        <f>B515-20</f>
        <v/>
      </c>
      <c r="D515" t="n">
        <v>113.8</v>
      </c>
      <c r="E515" s="22">
        <f>D515-90</f>
        <v/>
      </c>
      <c r="F515" s="23" t="n">
        <v>0.018693</v>
      </c>
      <c r="G515" s="22" t="n">
        <v>29</v>
      </c>
      <c r="H515" s="22" t="n">
        <v>1.8</v>
      </c>
      <c r="I515" s="24" t="n">
        <v>0.09811718761920921</v>
      </c>
      <c r="J515" s="6" t="n">
        <v>71000</v>
      </c>
      <c r="K515" s="25">
        <f>23*10^-6</f>
        <v/>
      </c>
      <c r="L515" s="8">
        <f>H515</f>
        <v/>
      </c>
      <c r="M515" s="26">
        <f>H515^2/6</f>
        <v/>
      </c>
      <c r="N515" s="26">
        <f>H515^3/12</f>
        <v/>
      </c>
      <c r="O515" s="27">
        <f>-J515*L515*K515*C515</f>
        <v/>
      </c>
      <c r="P515" s="28">
        <f>-(12*F515*J515*L515*N515+12*O515*N515*G515*COS(RADIANS(E515)))/(12*N515*G515*COS(RADIANS(E515))^2+L515*G515^3*SIN(RADIANS(E515))^2)</f>
        <v/>
      </c>
      <c r="Q515" s="28">
        <f>-(6*F515*J515*L515*N515*SIN(RADIANS(E515))+6*O515*N515*G515*SIN(RADIANS(E515))*COS(RADIANS(E515)))/(12*N515*COS(RADIANS(E515))^2+L515*G515^2*SIN(RADIANS(E515))^2)</f>
        <v/>
      </c>
      <c r="R515" s="28">
        <f>-P515*SIN(RADIANS(E515))</f>
        <v/>
      </c>
      <c r="S515" s="8">
        <f>(O515+P515*COS(RADIANS(E515)))/L515</f>
        <v/>
      </c>
      <c r="T515" s="8">
        <f>R515/L515</f>
        <v/>
      </c>
      <c r="U515" s="8">
        <f>(Q515-P515*G515*SIN(RADIANS(E515)))/M515</f>
        <v/>
      </c>
      <c r="V515" s="8">
        <f>SQRT((S515+U515)^2+3*T515^2)</f>
        <v/>
      </c>
      <c r="W515" s="8">
        <f>V515/AA515</f>
        <v/>
      </c>
      <c r="X515" s="27">
        <f>((3*10+H515/COS(RADIANS(E515)))*(3+3)+3*G515*H515)*2</f>
        <v/>
      </c>
      <c r="Y515" s="28">
        <f>Z515/X515</f>
        <v/>
      </c>
      <c r="Z515" s="29" t="n">
        <v>702.471891772836</v>
      </c>
      <c r="AA515" s="20" t="n">
        <v>81.29709349671759</v>
      </c>
      <c r="AB515" t="n">
        <v>0.1230846096836943</v>
      </c>
      <c r="AC515" t="n">
        <v>78.17160923034739</v>
      </c>
      <c r="AD515" t="n">
        <v>25.44653252943119</v>
      </c>
    </row>
    <row r="516">
      <c r="A516" t="n">
        <v>515</v>
      </c>
      <c r="B516" t="n">
        <v>65.40000000000001</v>
      </c>
      <c r="C516" s="21">
        <f>B516-20</f>
        <v/>
      </c>
      <c r="D516" t="n">
        <v>112.4</v>
      </c>
      <c r="E516" s="22">
        <f>D516-90</f>
        <v/>
      </c>
      <c r="F516" s="23" t="n">
        <v>0.018753</v>
      </c>
      <c r="G516" s="22" t="n">
        <v>32.7</v>
      </c>
      <c r="H516" s="22" t="n">
        <v>1</v>
      </c>
      <c r="I516" s="24" t="n">
        <v>0.1007841527462</v>
      </c>
      <c r="J516" s="6" t="n">
        <v>71000</v>
      </c>
      <c r="K516" s="25">
        <f>23*10^-6</f>
        <v/>
      </c>
      <c r="L516" s="8">
        <f>H516</f>
        <v/>
      </c>
      <c r="M516" s="26">
        <f>H516^2/6</f>
        <v/>
      </c>
      <c r="N516" s="26">
        <f>H516^3/12</f>
        <v/>
      </c>
      <c r="O516" s="27">
        <f>-J516*L516*K516*C516</f>
        <v/>
      </c>
      <c r="P516" s="28">
        <f>-(12*F516*J516*L516*N516+12*O516*N516*G516*COS(RADIANS(E516)))/(12*N516*G516*COS(RADIANS(E516))^2+L516*G516^3*SIN(RADIANS(E516))^2)</f>
        <v/>
      </c>
      <c r="Q516" s="28">
        <f>-(6*F516*J516*L516*N516*SIN(RADIANS(E516))+6*O516*N516*G516*SIN(RADIANS(E516))*COS(RADIANS(E516)))/(12*N516*COS(RADIANS(E516))^2+L516*G516^2*SIN(RADIANS(E516))^2)</f>
        <v/>
      </c>
      <c r="R516" s="28">
        <f>-P516*SIN(RADIANS(E516))</f>
        <v/>
      </c>
      <c r="S516" s="8">
        <f>(O516+P516*COS(RADIANS(E516)))/L516</f>
        <v/>
      </c>
      <c r="T516" s="8">
        <f>R516/L516</f>
        <v/>
      </c>
      <c r="U516" s="8">
        <f>(Q516-P516*G516*SIN(RADIANS(E516)))/M516</f>
        <v/>
      </c>
      <c r="V516" s="8">
        <f>SQRT((S516+U516)^2+3*T516^2)</f>
        <v/>
      </c>
      <c r="W516" s="8">
        <f>V516/AA516</f>
        <v/>
      </c>
      <c r="X516" s="27">
        <f>((3*10+H516/COS(RADIANS(E516)))*(3+3)+3*G516*H516)*2</f>
        <v/>
      </c>
      <c r="Y516" s="28">
        <f>Z516/X516</f>
        <v/>
      </c>
      <c r="Z516" s="29" t="n">
        <v>574.5716580950869</v>
      </c>
      <c r="AA516" s="20" t="n">
        <v>62.7113073903447</v>
      </c>
      <c r="AB516" t="n">
        <v>0.1343189520641313</v>
      </c>
      <c r="AC516" t="n">
        <v>66.32231972283826</v>
      </c>
      <c r="AD516" t="n">
        <v>33.27388126423048</v>
      </c>
    </row>
    <row r="517">
      <c r="A517" t="n">
        <v>516</v>
      </c>
      <c r="B517" t="n">
        <v>51.4</v>
      </c>
      <c r="C517" s="21">
        <f>B517-20</f>
        <v/>
      </c>
      <c r="D517" t="n">
        <v>111.1</v>
      </c>
      <c r="E517" s="22">
        <f>D517-90</f>
        <v/>
      </c>
      <c r="F517" s="23" t="n">
        <v>0.012066</v>
      </c>
      <c r="G517" s="22" t="n">
        <v>29.7</v>
      </c>
      <c r="H517" s="22" t="n">
        <v>1.8</v>
      </c>
      <c r="I517" s="24" t="n">
        <v>0.0677618980407714</v>
      </c>
      <c r="J517" s="6" t="n">
        <v>71000</v>
      </c>
      <c r="K517" s="25">
        <f>23*10^-6</f>
        <v/>
      </c>
      <c r="L517" s="8">
        <f>H517</f>
        <v/>
      </c>
      <c r="M517" s="26">
        <f>H517^2/6</f>
        <v/>
      </c>
      <c r="N517" s="26">
        <f>H517^3/12</f>
        <v/>
      </c>
      <c r="O517" s="27">
        <f>-J517*L517*K517*C517</f>
        <v/>
      </c>
      <c r="P517" s="28">
        <f>-(12*F517*J517*L517*N517+12*O517*N517*G517*COS(RADIANS(E517)))/(12*N517*G517*COS(RADIANS(E517))^2+L517*G517^3*SIN(RADIANS(E517))^2)</f>
        <v/>
      </c>
      <c r="Q517" s="28">
        <f>-(6*F517*J517*L517*N517*SIN(RADIANS(E517))+6*O517*N517*G517*SIN(RADIANS(E517))*COS(RADIANS(E517)))/(12*N517*COS(RADIANS(E517))^2+L517*G517^2*SIN(RADIANS(E517))^2)</f>
        <v/>
      </c>
      <c r="R517" s="28">
        <f>-P517*SIN(RADIANS(E517))</f>
        <v/>
      </c>
      <c r="S517" s="8">
        <f>(O517+P517*COS(RADIANS(E517)))/L517</f>
        <v/>
      </c>
      <c r="T517" s="8">
        <f>R517/L517</f>
        <v/>
      </c>
      <c r="U517" s="8">
        <f>(Q517-P517*G517*SIN(RADIANS(E517)))/M517</f>
        <v/>
      </c>
      <c r="V517" s="8">
        <f>SQRT((S517+U517)^2+3*T517^2)</f>
        <v/>
      </c>
      <c r="W517" s="8">
        <f>V517/AA517</f>
        <v/>
      </c>
      <c r="X517" s="27">
        <f>((3*10+H517/COS(RADIANS(E517)))*(3+3)+3*G517*H517)*2</f>
        <v/>
      </c>
      <c r="Y517" s="28">
        <f>Z517/X517</f>
        <v/>
      </c>
      <c r="Z517" s="29" t="n">
        <v>709.070661625547</v>
      </c>
      <c r="AA517" s="20" t="n">
        <v>51.0067328644782</v>
      </c>
      <c r="AB517" t="n">
        <v>0.0885533659310391</v>
      </c>
      <c r="AC517" t="n">
        <v>49.4712825294461</v>
      </c>
      <c r="AD517" t="n">
        <v>30.68312501777586</v>
      </c>
    </row>
    <row r="518">
      <c r="A518" t="n">
        <v>517</v>
      </c>
      <c r="B518" t="n">
        <v>62.7</v>
      </c>
      <c r="C518" s="21">
        <f>B518-20</f>
        <v/>
      </c>
      <c r="D518" t="n">
        <v>110.5</v>
      </c>
      <c r="E518" s="22">
        <f>D518-90</f>
        <v/>
      </c>
      <c r="F518" s="23" t="n">
        <v>0.018058</v>
      </c>
      <c r="G518" s="22" t="n">
        <v>33.2</v>
      </c>
      <c r="H518" s="22" t="n">
        <v>1.5</v>
      </c>
      <c r="I518" s="24" t="n">
        <v>0.102293021976947</v>
      </c>
      <c r="J518" s="6" t="n">
        <v>71000</v>
      </c>
      <c r="K518" s="25">
        <f>23*10^-6</f>
        <v/>
      </c>
      <c r="L518" s="8">
        <f>H518</f>
        <v/>
      </c>
      <c r="M518" s="26">
        <f>H518^2/6</f>
        <v/>
      </c>
      <c r="N518" s="26">
        <f>H518^3/12</f>
        <v/>
      </c>
      <c r="O518" s="27">
        <f>-J518*L518*K518*C518</f>
        <v/>
      </c>
      <c r="P518" s="28">
        <f>-(12*F518*J518*L518*N518+12*O518*N518*G518*COS(RADIANS(E518)))/(12*N518*G518*COS(RADIANS(E518))^2+L518*G518^3*SIN(RADIANS(E518))^2)</f>
        <v/>
      </c>
      <c r="Q518" s="28">
        <f>-(6*F518*J518*L518*N518*SIN(RADIANS(E518))+6*O518*N518*G518*SIN(RADIANS(E518))*COS(RADIANS(E518)))/(12*N518*COS(RADIANS(E518))^2+L518*G518^2*SIN(RADIANS(E518))^2)</f>
        <v/>
      </c>
      <c r="R518" s="28">
        <f>-P518*SIN(RADIANS(E518))</f>
        <v/>
      </c>
      <c r="S518" s="8">
        <f>(O518+P518*COS(RADIANS(E518)))/L518</f>
        <v/>
      </c>
      <c r="T518" s="8">
        <f>R518/L518</f>
        <v/>
      </c>
      <c r="U518" s="8">
        <f>(Q518-P518*G518*SIN(RADIANS(E518)))/M518</f>
        <v/>
      </c>
      <c r="V518" s="8">
        <f>SQRT((S518+U518)^2+3*T518^2)</f>
        <v/>
      </c>
      <c r="W518" s="8">
        <f>V518/AA518</f>
        <v/>
      </c>
      <c r="X518" s="27">
        <f>((3*10+H518/COS(RADIANS(E518)))*(3+3)+3*G518*H518)*2</f>
        <v/>
      </c>
      <c r="Y518" s="28">
        <f>Z518/X518</f>
        <v/>
      </c>
      <c r="Z518" s="29" t="n">
        <v>683.073222662881</v>
      </c>
      <c r="AA518" s="20" t="n">
        <v>65.1432935453351</v>
      </c>
      <c r="AB518" t="n">
        <v>0.1392709151848613</v>
      </c>
      <c r="AC518" t="n">
        <v>65.38965144944905</v>
      </c>
      <c r="AD518" t="n">
        <v>36.14898894691731</v>
      </c>
    </row>
    <row r="519">
      <c r="A519" t="n">
        <v>518</v>
      </c>
      <c r="B519" t="n">
        <v>48.1</v>
      </c>
      <c r="C519" s="21">
        <f>B519-20</f>
        <v/>
      </c>
      <c r="D519" t="n">
        <v>110.9</v>
      </c>
      <c r="E519" s="22">
        <f>D519-90</f>
        <v/>
      </c>
      <c r="F519" s="23" t="n">
        <v>0.008805</v>
      </c>
      <c r="G519" s="22" t="n">
        <v>23</v>
      </c>
      <c r="H519" s="22" t="n">
        <v>1.7</v>
      </c>
      <c r="I519" s="24" t="n">
        <v>0.0512245222926139</v>
      </c>
      <c r="J519" s="6" t="n">
        <v>71000</v>
      </c>
      <c r="K519" s="25">
        <f>23*10^-6</f>
        <v/>
      </c>
      <c r="L519" s="8">
        <f>H519</f>
        <v/>
      </c>
      <c r="M519" s="26">
        <f>H519^2/6</f>
        <v/>
      </c>
      <c r="N519" s="26">
        <f>H519^3/12</f>
        <v/>
      </c>
      <c r="O519" s="27">
        <f>-J519*L519*K519*C519</f>
        <v/>
      </c>
      <c r="P519" s="28">
        <f>-(12*F519*J519*L519*N519+12*O519*N519*G519*COS(RADIANS(E519)))/(12*N519*G519*COS(RADIANS(E519))^2+L519*G519^3*SIN(RADIANS(E519))^2)</f>
        <v/>
      </c>
      <c r="Q519" s="28">
        <f>-(6*F519*J519*L519*N519*SIN(RADIANS(E519))+6*O519*N519*G519*SIN(RADIANS(E519))*COS(RADIANS(E519)))/(12*N519*COS(RADIANS(E519))^2+L519*G519^2*SIN(RADIANS(E519))^2)</f>
        <v/>
      </c>
      <c r="R519" s="28">
        <f>-P519*SIN(RADIANS(E519))</f>
        <v/>
      </c>
      <c r="S519" s="8">
        <f>(O519+P519*COS(RADIANS(E519)))/L519</f>
        <v/>
      </c>
      <c r="T519" s="8">
        <f>R519/L519</f>
        <v/>
      </c>
      <c r="U519" s="8">
        <f>(Q519-P519*G519*SIN(RADIANS(E519)))/M519</f>
        <v/>
      </c>
      <c r="V519" s="8">
        <f>SQRT((S519+U519)^2+3*T519^2)</f>
        <v/>
      </c>
      <c r="W519" s="8">
        <f>V519/AA519</f>
        <v/>
      </c>
      <c r="X519" s="27">
        <f>((3*10+H519/COS(RADIANS(E519)))*(3+3)+3*G519*H519)*2</f>
        <v/>
      </c>
      <c r="Y519" s="28">
        <f>Z519/X519</f>
        <v/>
      </c>
      <c r="Z519" s="29" t="n">
        <v>621.560697838474</v>
      </c>
      <c r="AA519" s="20" t="n">
        <v>46.4303704434639</v>
      </c>
      <c r="AB519" t="n">
        <v>0.06226834602879417</v>
      </c>
      <c r="AC519" t="n">
        <v>44.97439811354139</v>
      </c>
      <c r="AD519" t="n">
        <v>21.55964222192988</v>
      </c>
    </row>
    <row r="520">
      <c r="A520" t="n">
        <v>519</v>
      </c>
      <c r="B520" t="n">
        <v>87.40000000000001</v>
      </c>
      <c r="C520" s="21">
        <f>B520-20</f>
        <v/>
      </c>
      <c r="D520" t="n">
        <v>127.3</v>
      </c>
      <c r="E520" s="22">
        <f>D520-90</f>
        <v/>
      </c>
      <c r="F520" s="23" t="n">
        <v>0.017629</v>
      </c>
      <c r="G520" s="22" t="n">
        <v>21.3</v>
      </c>
      <c r="H520" s="22" t="n">
        <v>1.6</v>
      </c>
      <c r="I520" s="24" t="n">
        <v>0.08065071702003471</v>
      </c>
      <c r="J520" s="6" t="n">
        <v>71000</v>
      </c>
      <c r="K520" s="25">
        <f>23*10^-6</f>
        <v/>
      </c>
      <c r="L520" s="8">
        <f>H520</f>
        <v/>
      </c>
      <c r="M520" s="26">
        <f>H520^2/6</f>
        <v/>
      </c>
      <c r="N520" s="26">
        <f>H520^3/12</f>
        <v/>
      </c>
      <c r="O520" s="27">
        <f>-J520*L520*K520*C520</f>
        <v/>
      </c>
      <c r="P520" s="28">
        <f>-(12*F520*J520*L520*N520+12*O520*N520*G520*COS(RADIANS(E520)))/(12*N520*G520*COS(RADIANS(E520))^2+L520*G520^3*SIN(RADIANS(E520))^2)</f>
        <v/>
      </c>
      <c r="Q520" s="28">
        <f>-(6*F520*J520*L520*N520*SIN(RADIANS(E520))+6*O520*N520*G520*SIN(RADIANS(E520))*COS(RADIANS(E520)))/(12*N520*COS(RADIANS(E520))^2+L520*G520^2*SIN(RADIANS(E520))^2)</f>
        <v/>
      </c>
      <c r="R520" s="28">
        <f>-P520*SIN(RADIANS(E520))</f>
        <v/>
      </c>
      <c r="S520" s="8">
        <f>(O520+P520*COS(RADIANS(E520)))/L520</f>
        <v/>
      </c>
      <c r="T520" s="8">
        <f>R520/L520</f>
        <v/>
      </c>
      <c r="U520" s="8">
        <f>(Q520-P520*G520*SIN(RADIANS(E520)))/M520</f>
        <v/>
      </c>
      <c r="V520" s="8">
        <f>SQRT((S520+U520)^2+3*T520^2)</f>
        <v/>
      </c>
      <c r="W520" s="8">
        <f>V520/AA520</f>
        <v/>
      </c>
      <c r="X520" s="27">
        <f>((3*10+H520/COS(RADIANS(E520)))*(3+3)+3*G520*H520)*2</f>
        <v/>
      </c>
      <c r="Y520" s="28">
        <f>Z520/X520</f>
        <v/>
      </c>
      <c r="Z520" s="29" t="n">
        <v>598.220908056417</v>
      </c>
      <c r="AA520" s="20" t="n">
        <v>105.196811332888</v>
      </c>
      <c r="AB520" t="n">
        <v>0.07675270361330502</v>
      </c>
      <c r="AC520" t="n">
        <v>98.96141269070002</v>
      </c>
      <c r="AD520" t="n">
        <v>-4.833203659877401</v>
      </c>
    </row>
    <row r="521">
      <c r="A521" t="n">
        <v>520</v>
      </c>
      <c r="B521" t="n">
        <v>49.3</v>
      </c>
      <c r="C521" s="21">
        <f>B521-20</f>
        <v/>
      </c>
      <c r="D521" t="n">
        <v>126.6</v>
      </c>
      <c r="E521" s="22">
        <f>D521-90</f>
        <v/>
      </c>
      <c r="F521" s="23" t="n">
        <v>0.008305999999999999</v>
      </c>
      <c r="G521" s="22" t="n">
        <v>23.5</v>
      </c>
      <c r="H521" s="22" t="n">
        <v>1.1</v>
      </c>
      <c r="I521" s="24" t="n">
        <v>0.0375122055411338</v>
      </c>
      <c r="J521" s="6" t="n">
        <v>71000</v>
      </c>
      <c r="K521" s="25">
        <f>23*10^-6</f>
        <v/>
      </c>
      <c r="L521" s="8">
        <f>H521</f>
        <v/>
      </c>
      <c r="M521" s="26">
        <f>H521^2/6</f>
        <v/>
      </c>
      <c r="N521" s="26">
        <f>H521^3/12</f>
        <v/>
      </c>
      <c r="O521" s="27">
        <f>-J521*L521*K521*C521</f>
        <v/>
      </c>
      <c r="P521" s="28">
        <f>-(12*F521*J521*L521*N521+12*O521*N521*G521*COS(RADIANS(E521)))/(12*N521*G521*COS(RADIANS(E521))^2+L521*G521^3*SIN(RADIANS(E521))^2)</f>
        <v/>
      </c>
      <c r="Q521" s="28">
        <f>-(6*F521*J521*L521*N521*SIN(RADIANS(E521))+6*O521*N521*G521*SIN(RADIANS(E521))*COS(RADIANS(E521)))/(12*N521*COS(RADIANS(E521))^2+L521*G521^2*SIN(RADIANS(E521))^2)</f>
        <v/>
      </c>
      <c r="R521" s="28">
        <f>-P521*SIN(RADIANS(E521))</f>
        <v/>
      </c>
      <c r="S521" s="8">
        <f>(O521+P521*COS(RADIANS(E521)))/L521</f>
        <v/>
      </c>
      <c r="T521" s="8">
        <f>R521/L521</f>
        <v/>
      </c>
      <c r="U521" s="8">
        <f>(Q521-P521*G521*SIN(RADIANS(E521)))/M521</f>
        <v/>
      </c>
      <c r="V521" s="8">
        <f>SQRT((S521+U521)^2+3*T521^2)</f>
        <v/>
      </c>
      <c r="W521" s="8">
        <f>V521/AA521</f>
        <v/>
      </c>
      <c r="X521" s="27">
        <f>((3*10+H521/COS(RADIANS(E521)))*(3+3)+3*G521*H521)*2</f>
        <v/>
      </c>
      <c r="Y521" s="28">
        <f>Z521/X521</f>
        <v/>
      </c>
      <c r="Z521" s="29" t="n">
        <v>540.870438373442</v>
      </c>
      <c r="AA521" s="20" t="n">
        <v>39.9434115807277</v>
      </c>
      <c r="AB521" t="n">
        <v>0.03757156661890677</v>
      </c>
      <c r="AC521" t="n">
        <v>41.86923841175976</v>
      </c>
      <c r="AD521" t="n">
        <v>0.158244701735504</v>
      </c>
    </row>
    <row r="522">
      <c r="A522" t="n">
        <v>521</v>
      </c>
      <c r="B522" t="n">
        <v>55.8</v>
      </c>
      <c r="C522" s="21">
        <f>B522-20</f>
        <v/>
      </c>
      <c r="D522" t="n">
        <v>106</v>
      </c>
      <c r="E522" s="22">
        <f>D522-90</f>
        <v/>
      </c>
      <c r="F522" s="23" t="n">
        <v>0.01257</v>
      </c>
      <c r="G522" s="22" t="n">
        <v>25.8</v>
      </c>
      <c r="H522" s="22" t="n">
        <v>1.5</v>
      </c>
      <c r="I522" s="24" t="n">
        <v>0.086123026907444</v>
      </c>
      <c r="J522" s="6" t="n">
        <v>71000</v>
      </c>
      <c r="K522" s="25">
        <f>23*10^-6</f>
        <v/>
      </c>
      <c r="L522" s="8">
        <f>H522</f>
        <v/>
      </c>
      <c r="M522" s="26">
        <f>H522^2/6</f>
        <v/>
      </c>
      <c r="N522" s="26">
        <f>H522^3/12</f>
        <v/>
      </c>
      <c r="O522" s="27">
        <f>-J522*L522*K522*C522</f>
        <v/>
      </c>
      <c r="P522" s="28">
        <f>-(12*F522*J522*L522*N522+12*O522*N522*G522*COS(RADIANS(E522)))/(12*N522*G522*COS(RADIANS(E522))^2+L522*G522^3*SIN(RADIANS(E522))^2)</f>
        <v/>
      </c>
      <c r="Q522" s="28">
        <f>-(6*F522*J522*L522*N522*SIN(RADIANS(E522))+6*O522*N522*G522*SIN(RADIANS(E522))*COS(RADIANS(E522)))/(12*N522*COS(RADIANS(E522))^2+L522*G522^2*SIN(RADIANS(E522))^2)</f>
        <v/>
      </c>
      <c r="R522" s="28">
        <f>-P522*SIN(RADIANS(E522))</f>
        <v/>
      </c>
      <c r="S522" s="8">
        <f>(O522+P522*COS(RADIANS(E522)))/L522</f>
        <v/>
      </c>
      <c r="T522" s="8">
        <f>R522/L522</f>
        <v/>
      </c>
      <c r="U522" s="8">
        <f>(Q522-P522*G522*SIN(RADIANS(E522)))/M522</f>
        <v/>
      </c>
      <c r="V522" s="8">
        <f>SQRT((S522+U522)^2+3*T522^2)</f>
        <v/>
      </c>
      <c r="W522" s="8">
        <f>V522/AA522</f>
        <v/>
      </c>
      <c r="X522" s="27">
        <f>((3*10+H522/COS(RADIANS(E522)))*(3+3)+3*G522*H522)*2</f>
        <v/>
      </c>
      <c r="Y522" s="28">
        <f>Z522/X522</f>
        <v/>
      </c>
      <c r="Z522" s="29" t="n">
        <v>615.326205691828</v>
      </c>
      <c r="AA522" s="20" t="n">
        <v>56.7758672273444</v>
      </c>
      <c r="AB522" t="n">
        <v>0.1159925217859466</v>
      </c>
      <c r="AC522" t="n">
        <v>58.15484712101888</v>
      </c>
      <c r="AD522" t="n">
        <v>34.68235610274493</v>
      </c>
    </row>
    <row r="523">
      <c r="A523" t="n">
        <v>522</v>
      </c>
      <c r="B523" t="n">
        <v>75.40000000000001</v>
      </c>
      <c r="C523" s="21">
        <f>B523-20</f>
        <v/>
      </c>
      <c r="D523" t="n">
        <v>109.4</v>
      </c>
      <c r="E523" s="22">
        <f>D523-90</f>
        <v/>
      </c>
      <c r="F523" s="23" t="n">
        <v>0.022375</v>
      </c>
      <c r="G523" s="22" t="n">
        <v>31.2</v>
      </c>
      <c r="H523" s="22" t="n">
        <v>1.1</v>
      </c>
      <c r="I523" s="24" t="n">
        <v>0.132800281047821</v>
      </c>
      <c r="J523" s="6" t="n">
        <v>71000</v>
      </c>
      <c r="K523" s="25">
        <f>23*10^-6</f>
        <v/>
      </c>
      <c r="L523" s="8">
        <f>H523</f>
        <v/>
      </c>
      <c r="M523" s="26">
        <f>H523^2/6</f>
        <v/>
      </c>
      <c r="N523" s="26">
        <f>H523^3/12</f>
        <v/>
      </c>
      <c r="O523" s="27">
        <f>-J523*L523*K523*C523</f>
        <v/>
      </c>
      <c r="P523" s="28">
        <f>-(12*F523*J523*L523*N523+12*O523*N523*G523*COS(RADIANS(E523)))/(12*N523*G523*COS(RADIANS(E523))^2+L523*G523^3*SIN(RADIANS(E523))^2)</f>
        <v/>
      </c>
      <c r="Q523" s="28">
        <f>-(6*F523*J523*L523*N523*SIN(RADIANS(E523))+6*O523*N523*G523*SIN(RADIANS(E523))*COS(RADIANS(E523)))/(12*N523*COS(RADIANS(E523))^2+L523*G523^2*SIN(RADIANS(E523))^2)</f>
        <v/>
      </c>
      <c r="R523" s="28">
        <f>-P523*SIN(RADIANS(E523))</f>
        <v/>
      </c>
      <c r="S523" s="8">
        <f>(O523+P523*COS(RADIANS(E523)))/L523</f>
        <v/>
      </c>
      <c r="T523" s="8">
        <f>R523/L523</f>
        <v/>
      </c>
      <c r="U523" s="8">
        <f>(Q523-P523*G523*SIN(RADIANS(E523)))/M523</f>
        <v/>
      </c>
      <c r="V523" s="8">
        <f>SQRT((S523+U523)^2+3*T523^2)</f>
        <v/>
      </c>
      <c r="W523" s="8">
        <f>V523/AA523</f>
        <v/>
      </c>
      <c r="X523" s="27">
        <f>((3*10+H523/COS(RADIANS(E523)))*(3+3)+3*G523*H523)*2</f>
        <v/>
      </c>
      <c r="Y523" s="28">
        <f>Z523/X523</f>
        <v/>
      </c>
      <c r="Z523" s="29" t="n">
        <v>584.792885521563</v>
      </c>
      <c r="AA523" s="20" t="n">
        <v>78.0464620835147</v>
      </c>
      <c r="AB523" t="n">
        <v>0.1813275201705843</v>
      </c>
      <c r="AC523" t="n">
        <v>83.03485389830155</v>
      </c>
      <c r="AD523" t="n">
        <v>36.54151839128175</v>
      </c>
    </row>
    <row r="524">
      <c r="A524" t="n">
        <v>523</v>
      </c>
      <c r="B524" t="n">
        <v>55.5</v>
      </c>
      <c r="C524" s="21">
        <f>B524-20</f>
        <v/>
      </c>
      <c r="D524" t="n">
        <v>127</v>
      </c>
      <c r="E524" s="22">
        <f>D524-90</f>
        <v/>
      </c>
      <c r="F524" s="23" t="n">
        <v>0.010411</v>
      </c>
      <c r="G524" s="22" t="n">
        <v>24.7</v>
      </c>
      <c r="H524" s="22" t="n">
        <v>1.4</v>
      </c>
      <c r="I524" s="24" t="n">
        <v>0.0466071628034114</v>
      </c>
      <c r="J524" s="6" t="n">
        <v>71000</v>
      </c>
      <c r="K524" s="25">
        <f>23*10^-6</f>
        <v/>
      </c>
      <c r="L524" s="8">
        <f>H524</f>
        <v/>
      </c>
      <c r="M524" s="26">
        <f>H524^2/6</f>
        <v/>
      </c>
      <c r="N524" s="26">
        <f>H524^3/12</f>
        <v/>
      </c>
      <c r="O524" s="27">
        <f>-J524*L524*K524*C524</f>
        <v/>
      </c>
      <c r="P524" s="28">
        <f>-(12*F524*J524*L524*N524+12*O524*N524*G524*COS(RADIANS(E524)))/(12*N524*G524*COS(RADIANS(E524))^2+L524*G524^3*SIN(RADIANS(E524))^2)</f>
        <v/>
      </c>
      <c r="Q524" s="28">
        <f>-(6*F524*J524*L524*N524*SIN(RADIANS(E524))+6*O524*N524*G524*SIN(RADIANS(E524))*COS(RADIANS(E524)))/(12*N524*COS(RADIANS(E524))^2+L524*G524^2*SIN(RADIANS(E524))^2)</f>
        <v/>
      </c>
      <c r="R524" s="28">
        <f>-P524*SIN(RADIANS(E524))</f>
        <v/>
      </c>
      <c r="S524" s="8">
        <f>(O524+P524*COS(RADIANS(E524)))/L524</f>
        <v/>
      </c>
      <c r="T524" s="8">
        <f>R524/L524</f>
        <v/>
      </c>
      <c r="U524" s="8">
        <f>(Q524-P524*G524*SIN(RADIANS(E524)))/M524</f>
        <v/>
      </c>
      <c r="V524" s="8">
        <f>SQRT((S524+U524)^2+3*T524^2)</f>
        <v/>
      </c>
      <c r="W524" s="8">
        <f>V524/AA524</f>
        <v/>
      </c>
      <c r="X524" s="27">
        <f>((3*10+H524/COS(RADIANS(E524)))*(3+3)+3*G524*H524)*2</f>
        <v/>
      </c>
      <c r="Y524" s="28">
        <f>Z524/X524</f>
        <v/>
      </c>
      <c r="Z524" s="29" t="n">
        <v>598.0007642384149</v>
      </c>
      <c r="AA524" s="20" t="n">
        <v>51.5616619679488</v>
      </c>
      <c r="AB524" t="n">
        <v>0.04701725537387859</v>
      </c>
      <c r="AC524" t="n">
        <v>51.3690325036983</v>
      </c>
      <c r="AD524" t="n">
        <v>0.8798917286532867</v>
      </c>
    </row>
    <row r="525">
      <c r="A525" t="n">
        <v>524</v>
      </c>
      <c r="B525" t="n">
        <v>70.09999999999999</v>
      </c>
      <c r="C525" s="21">
        <f>B525-20</f>
        <v/>
      </c>
      <c r="D525" t="n">
        <v>105.8</v>
      </c>
      <c r="E525" s="22">
        <f>D525-90</f>
        <v/>
      </c>
      <c r="F525" s="23" t="n">
        <v>0.021343</v>
      </c>
      <c r="G525" s="22" t="n">
        <v>32.6</v>
      </c>
      <c r="H525" s="22" t="n">
        <v>1.1</v>
      </c>
      <c r="I525" s="24" t="n">
        <v>0.145946487784385</v>
      </c>
      <c r="J525" s="6" t="n">
        <v>71000</v>
      </c>
      <c r="K525" s="25">
        <f>23*10^-6</f>
        <v/>
      </c>
      <c r="L525" s="8">
        <f>H525</f>
        <v/>
      </c>
      <c r="M525" s="26">
        <f>H525^2/6</f>
        <v/>
      </c>
      <c r="N525" s="26">
        <f>H525^3/12</f>
        <v/>
      </c>
      <c r="O525" s="27">
        <f>-J525*L525*K525*C525</f>
        <v/>
      </c>
      <c r="P525" s="28">
        <f>-(12*F525*J525*L525*N525+12*O525*N525*G525*COS(RADIANS(E525)))/(12*N525*G525*COS(RADIANS(E525))^2+L525*G525^3*SIN(RADIANS(E525))^2)</f>
        <v/>
      </c>
      <c r="Q525" s="28">
        <f>-(6*F525*J525*L525*N525*SIN(RADIANS(E525))+6*O525*N525*G525*SIN(RADIANS(E525))*COS(RADIANS(E525)))/(12*N525*COS(RADIANS(E525))^2+L525*G525^2*SIN(RADIANS(E525))^2)</f>
        <v/>
      </c>
      <c r="R525" s="28">
        <f>-P525*SIN(RADIANS(E525))</f>
        <v/>
      </c>
      <c r="S525" s="8">
        <f>(O525+P525*COS(RADIANS(E525)))/L525</f>
        <v/>
      </c>
      <c r="T525" s="8">
        <f>R525/L525</f>
        <v/>
      </c>
      <c r="U525" s="8">
        <f>(Q525-P525*G525*SIN(RADIANS(E525)))/M525</f>
        <v/>
      </c>
      <c r="V525" s="8">
        <f>SQRT((S525+U525)^2+3*T525^2)</f>
        <v/>
      </c>
      <c r="W525" s="8">
        <f>V525/AA525</f>
        <v/>
      </c>
      <c r="X525" s="27">
        <f>((3*10+H525/COS(RADIANS(E525)))*(3+3)+3*G525*H525)*2</f>
        <v/>
      </c>
      <c r="Y525" s="28">
        <f>Z525/X525</f>
        <v/>
      </c>
      <c r="Z525" s="29" t="n">
        <v>593.254307371463</v>
      </c>
      <c r="AA525" s="20" t="n">
        <v>72.43934692296131</v>
      </c>
      <c r="AB525" t="n">
        <v>0.2103110586529978</v>
      </c>
      <c r="AC525" t="n">
        <v>76.62437499574406</v>
      </c>
      <c r="AD525" t="n">
        <v>44.10148667894102</v>
      </c>
    </row>
    <row r="526">
      <c r="A526" t="n">
        <v>525</v>
      </c>
      <c r="B526" t="n">
        <v>53.2</v>
      </c>
      <c r="C526" s="21">
        <f>B526-20</f>
        <v/>
      </c>
      <c r="D526" t="n">
        <v>106.4</v>
      </c>
      <c r="E526" s="22">
        <f>D526-90</f>
        <v/>
      </c>
      <c r="F526" s="23" t="n">
        <v>0.012292</v>
      </c>
      <c r="G526" s="22" t="n">
        <v>27.6</v>
      </c>
      <c r="H526" s="22" t="n">
        <v>1.3</v>
      </c>
      <c r="I526" s="24" t="n">
        <v>0.0828173831105232</v>
      </c>
      <c r="J526" s="6" t="n">
        <v>71000</v>
      </c>
      <c r="K526" s="25">
        <f>23*10^-6</f>
        <v/>
      </c>
      <c r="L526" s="8">
        <f>H526</f>
        <v/>
      </c>
      <c r="M526" s="26">
        <f>H526^2/6</f>
        <v/>
      </c>
      <c r="N526" s="26">
        <f>H526^3/12</f>
        <v/>
      </c>
      <c r="O526" s="27">
        <f>-J526*L526*K526*C526</f>
        <v/>
      </c>
      <c r="P526" s="28">
        <f>-(12*F526*J526*L526*N526+12*O526*N526*G526*COS(RADIANS(E526)))/(12*N526*G526*COS(RADIANS(E526))^2+L526*G526^3*SIN(RADIANS(E526))^2)</f>
        <v/>
      </c>
      <c r="Q526" s="28">
        <f>-(6*F526*J526*L526*N526*SIN(RADIANS(E526))+6*O526*N526*G526*SIN(RADIANS(E526))*COS(RADIANS(E526)))/(12*N526*COS(RADIANS(E526))^2+L526*G526^2*SIN(RADIANS(E526))^2)</f>
        <v/>
      </c>
      <c r="R526" s="28">
        <f>-P526*SIN(RADIANS(E526))</f>
        <v/>
      </c>
      <c r="S526" s="8">
        <f>(O526+P526*COS(RADIANS(E526)))/L526</f>
        <v/>
      </c>
      <c r="T526" s="8">
        <f>R526/L526</f>
        <v/>
      </c>
      <c r="U526" s="8">
        <f>(Q526-P526*G526*SIN(RADIANS(E526)))/M526</f>
        <v/>
      </c>
      <c r="V526" s="8">
        <f>SQRT((S526+U526)^2+3*T526^2)</f>
        <v/>
      </c>
      <c r="W526" s="8">
        <f>V526/AA526</f>
        <v/>
      </c>
      <c r="X526" s="27">
        <f>((3*10+H526/COS(RADIANS(E526)))*(3+3)+3*G526*H526)*2</f>
        <v/>
      </c>
      <c r="Y526" s="28">
        <f>Z526/X526</f>
        <v/>
      </c>
      <c r="Z526" s="29" t="n">
        <v>595.99312812221</v>
      </c>
      <c r="AA526" s="20" t="n">
        <v>50.0750960175512</v>
      </c>
      <c r="AB526" t="n">
        <v>0.1134119519057655</v>
      </c>
      <c r="AC526" t="n">
        <v>52.33883460515437</v>
      </c>
      <c r="AD526" t="n">
        <v>36.94220663120036</v>
      </c>
    </row>
    <row r="527">
      <c r="A527" t="n">
        <v>526</v>
      </c>
      <c r="B527" t="n">
        <v>74</v>
      </c>
      <c r="C527" s="21">
        <f>B527-20</f>
        <v/>
      </c>
      <c r="D527" t="n">
        <v>120.1</v>
      </c>
      <c r="E527" s="22">
        <f>D527-90</f>
        <v/>
      </c>
      <c r="F527" s="23" t="n">
        <v>0.021003</v>
      </c>
      <c r="G527" s="22" t="n">
        <v>32.5</v>
      </c>
      <c r="H527" s="22" t="n">
        <v>1.7</v>
      </c>
      <c r="I527" s="24" t="n">
        <v>0.0966761931777</v>
      </c>
      <c r="J527" s="6" t="n">
        <v>71000</v>
      </c>
      <c r="K527" s="25">
        <f>23*10^-6</f>
        <v/>
      </c>
      <c r="L527" s="8">
        <f>H527</f>
        <v/>
      </c>
      <c r="M527" s="26">
        <f>H527^2/6</f>
        <v/>
      </c>
      <c r="N527" s="26">
        <f>H527^3/12</f>
        <v/>
      </c>
      <c r="O527" s="27">
        <f>-J527*L527*K527*C527</f>
        <v/>
      </c>
      <c r="P527" s="28">
        <f>-(12*F527*J527*L527*N527+12*O527*N527*G527*COS(RADIANS(E527)))/(12*N527*G527*COS(RADIANS(E527))^2+L527*G527^3*SIN(RADIANS(E527))^2)</f>
        <v/>
      </c>
      <c r="Q527" s="28">
        <f>-(6*F527*J527*L527*N527*SIN(RADIANS(E527))+6*O527*N527*G527*SIN(RADIANS(E527))*COS(RADIANS(E527)))/(12*N527*COS(RADIANS(E527))^2+L527*G527^2*SIN(RADIANS(E527))^2)</f>
        <v/>
      </c>
      <c r="R527" s="28">
        <f>-P527*SIN(RADIANS(E527))</f>
        <v/>
      </c>
      <c r="S527" s="8">
        <f>(O527+P527*COS(RADIANS(E527)))/L527</f>
        <v/>
      </c>
      <c r="T527" s="8">
        <f>R527/L527</f>
        <v/>
      </c>
      <c r="U527" s="8">
        <f>(Q527-P527*G527*SIN(RADIANS(E527)))/M527</f>
        <v/>
      </c>
      <c r="V527" s="8">
        <f>SQRT((S527+U527)^2+3*T527^2)</f>
        <v/>
      </c>
      <c r="W527" s="8">
        <f>V527/AA527</f>
        <v/>
      </c>
      <c r="X527" s="27">
        <f>((3*10+H527/COS(RADIANS(E527)))*(3+3)+3*G527*H527)*2</f>
        <v/>
      </c>
      <c r="Y527" s="28">
        <f>Z527/X527</f>
        <v/>
      </c>
      <c r="Z527" s="29" t="n">
        <v>722.254125363978</v>
      </c>
      <c r="AA527" s="20" t="n">
        <v>82.3175218349393</v>
      </c>
      <c r="AB527" t="n">
        <v>0.1156773139237914</v>
      </c>
      <c r="AC527" t="n">
        <v>80.05787406725305</v>
      </c>
      <c r="AD527" t="n">
        <v>19.65439486344437</v>
      </c>
    </row>
    <row r="528">
      <c r="A528" t="n">
        <v>527</v>
      </c>
      <c r="B528" t="n">
        <v>83.8</v>
      </c>
      <c r="C528" s="21">
        <f>B528-20</f>
        <v/>
      </c>
      <c r="D528" t="n">
        <v>118.8</v>
      </c>
      <c r="E528" s="22">
        <f>D528-90</f>
        <v/>
      </c>
      <c r="F528" s="23" t="n">
        <v>0.020871</v>
      </c>
      <c r="G528" s="22" t="n">
        <v>25.9</v>
      </c>
      <c r="H528" s="22" t="n">
        <v>1.3</v>
      </c>
      <c r="I528" s="24" t="n">
        <v>0.101165078580379</v>
      </c>
      <c r="J528" s="6" t="n">
        <v>71000</v>
      </c>
      <c r="K528" s="25">
        <f>23*10^-6</f>
        <v/>
      </c>
      <c r="L528" s="8">
        <f>H528</f>
        <v/>
      </c>
      <c r="M528" s="26">
        <f>H528^2/6</f>
        <v/>
      </c>
      <c r="N528" s="26">
        <f>H528^3/12</f>
        <v/>
      </c>
      <c r="O528" s="27">
        <f>-J528*L528*K528*C528</f>
        <v/>
      </c>
      <c r="P528" s="28">
        <f>-(12*F528*J528*L528*N528+12*O528*N528*G528*COS(RADIANS(E528)))/(12*N528*G528*COS(RADIANS(E528))^2+L528*G528^3*SIN(RADIANS(E528))^2)</f>
        <v/>
      </c>
      <c r="Q528" s="28">
        <f>-(6*F528*J528*L528*N528*SIN(RADIANS(E528))+6*O528*N528*G528*SIN(RADIANS(E528))*COS(RADIANS(E528)))/(12*N528*COS(RADIANS(E528))^2+L528*G528^2*SIN(RADIANS(E528))^2)</f>
        <v/>
      </c>
      <c r="R528" s="28">
        <f>-P528*SIN(RADIANS(E528))</f>
        <v/>
      </c>
      <c r="S528" s="8">
        <f>(O528+P528*COS(RADIANS(E528)))/L528</f>
        <v/>
      </c>
      <c r="T528" s="8">
        <f>R528/L528</f>
        <v/>
      </c>
      <c r="U528" s="8">
        <f>(Q528-P528*G528*SIN(RADIANS(E528)))/M528</f>
        <v/>
      </c>
      <c r="V528" s="8">
        <f>SQRT((S528+U528)^2+3*T528^2)</f>
        <v/>
      </c>
      <c r="W528" s="8">
        <f>V528/AA528</f>
        <v/>
      </c>
      <c r="X528" s="27">
        <f>((3*10+H528/COS(RADIANS(E528)))*(3+3)+3*G528*H528)*2</f>
        <v/>
      </c>
      <c r="Y528" s="28">
        <f>Z528/X528</f>
        <v/>
      </c>
      <c r="Z528" s="29" t="n">
        <v>586.643288327894</v>
      </c>
      <c r="AA528" s="20" t="n">
        <v>93.0528090973707</v>
      </c>
      <c r="AB528" t="n">
        <v>0.1157943238243266</v>
      </c>
      <c r="AC528" t="n">
        <v>94.11667798514043</v>
      </c>
      <c r="AD528" t="n">
        <v>14.46076595722126</v>
      </c>
    </row>
    <row r="529">
      <c r="A529" t="n">
        <v>528</v>
      </c>
      <c r="B529" t="n">
        <v>43.1</v>
      </c>
      <c r="C529" s="21">
        <f>B529-20</f>
        <v/>
      </c>
      <c r="D529" t="n">
        <v>128.4</v>
      </c>
      <c r="E529" s="22">
        <f>D529-90</f>
        <v/>
      </c>
      <c r="F529" s="23" t="n">
        <v>0.007544</v>
      </c>
      <c r="G529" s="22" t="n">
        <v>28.9</v>
      </c>
      <c r="H529" s="22" t="n">
        <v>1.7</v>
      </c>
      <c r="I529" s="24" t="n">
        <v>0.0327945426106452</v>
      </c>
      <c r="J529" s="6" t="n">
        <v>71000</v>
      </c>
      <c r="K529" s="25">
        <f>23*10^-6</f>
        <v/>
      </c>
      <c r="L529" s="8">
        <f>H529</f>
        <v/>
      </c>
      <c r="M529" s="26">
        <f>H529^2/6</f>
        <v/>
      </c>
      <c r="N529" s="26">
        <f>H529^3/12</f>
        <v/>
      </c>
      <c r="O529" s="27">
        <f>-J529*L529*K529*C529</f>
        <v/>
      </c>
      <c r="P529" s="28">
        <f>-(12*F529*J529*L529*N529+12*O529*N529*G529*COS(RADIANS(E529)))/(12*N529*G529*COS(RADIANS(E529))^2+L529*G529^3*SIN(RADIANS(E529))^2)</f>
        <v/>
      </c>
      <c r="Q529" s="28">
        <f>-(6*F529*J529*L529*N529*SIN(RADIANS(E529))+6*O529*N529*G529*SIN(RADIANS(E529))*COS(RADIANS(E529)))/(12*N529*COS(RADIANS(E529))^2+L529*G529^2*SIN(RADIANS(E529))^2)</f>
        <v/>
      </c>
      <c r="R529" s="28">
        <f>-P529*SIN(RADIANS(E529))</f>
        <v/>
      </c>
      <c r="S529" s="8">
        <f>(O529+P529*COS(RADIANS(E529)))/L529</f>
        <v/>
      </c>
      <c r="T529" s="8">
        <f>R529/L529</f>
        <v/>
      </c>
      <c r="U529" s="8">
        <f>(Q529-P529*G529*SIN(RADIANS(E529)))/M529</f>
        <v/>
      </c>
      <c r="V529" s="8">
        <f>SQRT((S529+U529)^2+3*T529^2)</f>
        <v/>
      </c>
      <c r="W529" s="8">
        <f>V529/AA529</f>
        <v/>
      </c>
      <c r="X529" s="27">
        <f>((3*10+H529/COS(RADIANS(E529)))*(3+3)+3*G529*H529)*2</f>
        <v/>
      </c>
      <c r="Y529" s="28">
        <f>Z529/X529</f>
        <v/>
      </c>
      <c r="Z529" s="29" t="n">
        <v>690.868434379807</v>
      </c>
      <c r="AA529" s="20" t="n">
        <v>34.5755662913589</v>
      </c>
      <c r="AB529" t="n">
        <v>0.03401797361141859</v>
      </c>
      <c r="AC529" t="n">
        <v>33.52564723030904</v>
      </c>
      <c r="AD529" t="n">
        <v>3.730593273699946</v>
      </c>
    </row>
    <row r="530">
      <c r="A530" t="n">
        <v>529</v>
      </c>
      <c r="B530" t="n">
        <v>68.8</v>
      </c>
      <c r="C530" s="21">
        <f>B530-20</f>
        <v/>
      </c>
      <c r="D530" t="n">
        <v>124</v>
      </c>
      <c r="E530" s="22">
        <f>D530-90</f>
        <v/>
      </c>
      <c r="F530" s="23" t="n">
        <v>0.014868</v>
      </c>
      <c r="G530" s="22" t="n">
        <v>25</v>
      </c>
      <c r="H530" s="22" t="n">
        <v>1.4</v>
      </c>
      <c r="I530" s="24" t="n">
        <v>0.0679732263088226</v>
      </c>
      <c r="J530" s="6" t="n">
        <v>71000</v>
      </c>
      <c r="K530" s="25">
        <f>23*10^-6</f>
        <v/>
      </c>
      <c r="L530" s="8">
        <f>H530</f>
        <v/>
      </c>
      <c r="M530" s="26">
        <f>H530^2/6</f>
        <v/>
      </c>
      <c r="N530" s="26">
        <f>H530^3/12</f>
        <v/>
      </c>
      <c r="O530" s="27">
        <f>-J530*L530*K530*C530</f>
        <v/>
      </c>
      <c r="P530" s="28">
        <f>-(12*F530*J530*L530*N530+12*O530*N530*G530*COS(RADIANS(E530)))/(12*N530*G530*COS(RADIANS(E530))^2+L530*G530^3*SIN(RADIANS(E530))^2)</f>
        <v/>
      </c>
      <c r="Q530" s="28">
        <f>-(6*F530*J530*L530*N530*SIN(RADIANS(E530))+6*O530*N530*G530*SIN(RADIANS(E530))*COS(RADIANS(E530)))/(12*N530*COS(RADIANS(E530))^2+L530*G530^2*SIN(RADIANS(E530))^2)</f>
        <v/>
      </c>
      <c r="R530" s="28">
        <f>-P530*SIN(RADIANS(E530))</f>
        <v/>
      </c>
      <c r="S530" s="8">
        <f>(O530+P530*COS(RADIANS(E530)))/L530</f>
        <v/>
      </c>
      <c r="T530" s="8">
        <f>R530/L530</f>
        <v/>
      </c>
      <c r="U530" s="8">
        <f>(Q530-P530*G530*SIN(RADIANS(E530)))/M530</f>
        <v/>
      </c>
      <c r="V530" s="8">
        <f>SQRT((S530+U530)^2+3*T530^2)</f>
        <v/>
      </c>
      <c r="W530" s="8">
        <f>V530/AA530</f>
        <v/>
      </c>
      <c r="X530" s="27">
        <f>((3*10+H530/COS(RADIANS(E530)))*(3+3)+3*G530*H530)*2</f>
        <v/>
      </c>
      <c r="Y530" s="28">
        <f>Z530/X530</f>
        <v/>
      </c>
      <c r="Z530" s="29" t="n">
        <v>598.647321684599</v>
      </c>
      <c r="AA530" s="20" t="n">
        <v>72.1667755728899</v>
      </c>
      <c r="AB530" t="n">
        <v>0.07165937222452827</v>
      </c>
      <c r="AC530" t="n">
        <v>71.23339075338197</v>
      </c>
      <c r="AD530" t="n">
        <v>5.422937994672208</v>
      </c>
    </row>
    <row r="531">
      <c r="A531" t="n">
        <v>530</v>
      </c>
      <c r="B531" t="n">
        <v>42.2</v>
      </c>
      <c r="C531" s="21">
        <f>B531-20</f>
        <v/>
      </c>
      <c r="D531" t="n">
        <v>104.4</v>
      </c>
      <c r="E531" s="22">
        <f>D531-90</f>
        <v/>
      </c>
      <c r="F531" s="23" t="n">
        <v>0.009804</v>
      </c>
      <c r="G531" s="22" t="n">
        <v>33.8</v>
      </c>
      <c r="H531" s="22" t="n">
        <v>1.4</v>
      </c>
      <c r="I531" s="24" t="n">
        <v>0.0712195932865142</v>
      </c>
      <c r="J531" s="6" t="n">
        <v>71000</v>
      </c>
      <c r="K531" s="25">
        <f>23*10^-6</f>
        <v/>
      </c>
      <c r="L531" s="8">
        <f>H531</f>
        <v/>
      </c>
      <c r="M531" s="26">
        <f>H531^2/6</f>
        <v/>
      </c>
      <c r="N531" s="26">
        <f>H531^3/12</f>
        <v/>
      </c>
      <c r="O531" s="27">
        <f>-J531*L531*K531*C531</f>
        <v/>
      </c>
      <c r="P531" s="28">
        <f>-(12*F531*J531*L531*N531+12*O531*N531*G531*COS(RADIANS(E531)))/(12*N531*G531*COS(RADIANS(E531))^2+L531*G531^3*SIN(RADIANS(E531))^2)</f>
        <v/>
      </c>
      <c r="Q531" s="28">
        <f>-(6*F531*J531*L531*N531*SIN(RADIANS(E531))+6*O531*N531*G531*SIN(RADIANS(E531))*COS(RADIANS(E531)))/(12*N531*COS(RADIANS(E531))^2+L531*G531^2*SIN(RADIANS(E531))^2)</f>
        <v/>
      </c>
      <c r="R531" s="28">
        <f>-P531*SIN(RADIANS(E531))</f>
        <v/>
      </c>
      <c r="S531" s="8">
        <f>(O531+P531*COS(RADIANS(E531)))/L531</f>
        <v/>
      </c>
      <c r="T531" s="8">
        <f>R531/L531</f>
        <v/>
      </c>
      <c r="U531" s="8">
        <f>(Q531-P531*G531*SIN(RADIANS(E531)))/M531</f>
        <v/>
      </c>
      <c r="V531" s="8">
        <f>SQRT((S531+U531)^2+3*T531^2)</f>
        <v/>
      </c>
      <c r="W531" s="8">
        <f>V531/AA531</f>
        <v/>
      </c>
      <c r="X531" s="27">
        <f>((3*10+H531/COS(RADIANS(E531)))*(3+3)+3*G531*H531)*2</f>
        <v/>
      </c>
      <c r="Y531" s="28">
        <f>Z531/X531</f>
        <v/>
      </c>
      <c r="Z531" s="29" t="n">
        <v>665.47701293947</v>
      </c>
      <c r="AA531" s="20" t="n">
        <v>33.9376702616984</v>
      </c>
      <c r="AB531" t="n">
        <v>0.1047876883155263</v>
      </c>
      <c r="AC531" t="n">
        <v>35.32057418969919</v>
      </c>
      <c r="AD531" t="n">
        <v>47.13323044961623</v>
      </c>
    </row>
    <row r="532">
      <c r="A532" t="n">
        <v>531</v>
      </c>
      <c r="B532" t="n">
        <v>44.6</v>
      </c>
      <c r="C532" s="21">
        <f>B532-20</f>
        <v/>
      </c>
      <c r="D532" t="n">
        <v>106</v>
      </c>
      <c r="E532" s="22">
        <f>D532-90</f>
        <v/>
      </c>
      <c r="F532" s="23" t="n">
        <v>0.008340999999999999</v>
      </c>
      <c r="G532" s="22" t="n">
        <v>24.7</v>
      </c>
      <c r="H532" s="22" t="n">
        <v>1.2</v>
      </c>
      <c r="I532" s="24" t="n">
        <v>0.0579294487833976</v>
      </c>
      <c r="J532" s="6" t="n">
        <v>71000</v>
      </c>
      <c r="K532" s="25">
        <f>23*10^-6</f>
        <v/>
      </c>
      <c r="L532" s="8">
        <f>H532</f>
        <v/>
      </c>
      <c r="M532" s="26">
        <f>H532^2/6</f>
        <v/>
      </c>
      <c r="N532" s="26">
        <f>H532^3/12</f>
        <v/>
      </c>
      <c r="O532" s="27">
        <f>-J532*L532*K532*C532</f>
        <v/>
      </c>
      <c r="P532" s="28">
        <f>-(12*F532*J532*L532*N532+12*O532*N532*G532*COS(RADIANS(E532)))/(12*N532*G532*COS(RADIANS(E532))^2+L532*G532^3*SIN(RADIANS(E532))^2)</f>
        <v/>
      </c>
      <c r="Q532" s="28">
        <f>-(6*F532*J532*L532*N532*SIN(RADIANS(E532))+6*O532*N532*G532*SIN(RADIANS(E532))*COS(RADIANS(E532)))/(12*N532*COS(RADIANS(E532))^2+L532*G532^2*SIN(RADIANS(E532))^2)</f>
        <v/>
      </c>
      <c r="R532" s="28">
        <f>-P532*SIN(RADIANS(E532))</f>
        <v/>
      </c>
      <c r="S532" s="8">
        <f>(O532+P532*COS(RADIANS(E532)))/L532</f>
        <v/>
      </c>
      <c r="T532" s="8">
        <f>R532/L532</f>
        <v/>
      </c>
      <c r="U532" s="8">
        <f>(Q532-P532*G532*SIN(RADIANS(E532)))/M532</f>
        <v/>
      </c>
      <c r="V532" s="8">
        <f>SQRT((S532+U532)^2+3*T532^2)</f>
        <v/>
      </c>
      <c r="W532" s="8">
        <f>V532/AA532</f>
        <v/>
      </c>
      <c r="X532" s="27">
        <f>((3*10+H532/COS(RADIANS(E532)))*(3+3)+3*G532*H532)*2</f>
        <v/>
      </c>
      <c r="Y532" s="28">
        <f>Z532/X532</f>
        <v/>
      </c>
      <c r="Z532" s="29" t="n">
        <v>557.221127722726</v>
      </c>
      <c r="AA532" s="20" t="n">
        <v>36.8119564062344</v>
      </c>
      <c r="AB532" t="n">
        <v>0.07749742907207346</v>
      </c>
      <c r="AC532" t="n">
        <v>38.88055549324049</v>
      </c>
      <c r="AD532" t="n">
        <v>33.77898581745868</v>
      </c>
    </row>
    <row r="533">
      <c r="A533" t="n">
        <v>532</v>
      </c>
      <c r="B533" t="n">
        <v>42.1</v>
      </c>
      <c r="C533" s="21">
        <f>B533-20</f>
        <v/>
      </c>
      <c r="D533" t="n">
        <v>118.5</v>
      </c>
      <c r="E533" s="22">
        <f>D533-90</f>
        <v/>
      </c>
      <c r="F533" s="23" t="n">
        <v>0.008442</v>
      </c>
      <c r="G533" s="22" t="n">
        <v>31.3</v>
      </c>
      <c r="H533" s="22" t="n">
        <v>1.4</v>
      </c>
      <c r="I533" s="24" t="n">
        <v>0.0399985276162624</v>
      </c>
      <c r="J533" s="6" t="n">
        <v>71000</v>
      </c>
      <c r="K533" s="25">
        <f>23*10^-6</f>
        <v/>
      </c>
      <c r="L533" s="8">
        <f>H533</f>
        <v/>
      </c>
      <c r="M533" s="26">
        <f>H533^2/6</f>
        <v/>
      </c>
      <c r="N533" s="26">
        <f>H533^3/12</f>
        <v/>
      </c>
      <c r="O533" s="27">
        <f>-J533*L533*K533*C533</f>
        <v/>
      </c>
      <c r="P533" s="28">
        <f>-(12*F533*J533*L533*N533+12*O533*N533*G533*COS(RADIANS(E533)))/(12*N533*G533*COS(RADIANS(E533))^2+L533*G533^3*SIN(RADIANS(E533))^2)</f>
        <v/>
      </c>
      <c r="Q533" s="28">
        <f>-(6*F533*J533*L533*N533*SIN(RADIANS(E533))+6*O533*N533*G533*SIN(RADIANS(E533))*COS(RADIANS(E533)))/(12*N533*COS(RADIANS(E533))^2+L533*G533^2*SIN(RADIANS(E533))^2)</f>
        <v/>
      </c>
      <c r="R533" s="28">
        <f>-P533*SIN(RADIANS(E533))</f>
        <v/>
      </c>
      <c r="S533" s="8">
        <f>(O533+P533*COS(RADIANS(E533)))/L533</f>
        <v/>
      </c>
      <c r="T533" s="8">
        <f>R533/L533</f>
        <v/>
      </c>
      <c r="U533" s="8">
        <f>(Q533-P533*G533*SIN(RADIANS(E533)))/M533</f>
        <v/>
      </c>
      <c r="V533" s="8">
        <f>SQRT((S533+U533)^2+3*T533^2)</f>
        <v/>
      </c>
      <c r="W533" s="8">
        <f>V533/AA533</f>
        <v/>
      </c>
      <c r="X533" s="27">
        <f>((3*10+H533/COS(RADIANS(E533)))*(3+3)+3*G533*H533)*2</f>
        <v/>
      </c>
      <c r="Y533" s="28">
        <f>Z533/X533</f>
        <v/>
      </c>
      <c r="Z533" s="29" t="n">
        <v>648.779671177675</v>
      </c>
      <c r="AA533" s="20" t="n">
        <v>32.2414898141445</v>
      </c>
      <c r="AB533" t="n">
        <v>0.04853007538080695</v>
      </c>
      <c r="AC533" t="n">
        <v>32.49087022515991</v>
      </c>
      <c r="AD533" t="n">
        <v>21.32965454727347</v>
      </c>
    </row>
    <row r="534">
      <c r="A534" t="n">
        <v>533</v>
      </c>
      <c r="B534" t="n">
        <v>86.90000000000001</v>
      </c>
      <c r="C534" s="21">
        <f>B534-20</f>
        <v/>
      </c>
      <c r="D534" t="n">
        <v>107.1</v>
      </c>
      <c r="E534" s="22">
        <f>D534-90</f>
        <v/>
      </c>
      <c r="F534" s="23" t="n">
        <v>0.029797</v>
      </c>
      <c r="G534" s="22" t="n">
        <v>34.6</v>
      </c>
      <c r="H534" s="22" t="n">
        <v>1.9</v>
      </c>
      <c r="I534" s="24" t="n">
        <v>0.188863933086395</v>
      </c>
      <c r="J534" s="6" t="n">
        <v>71000</v>
      </c>
      <c r="K534" s="25">
        <f>23*10^-6</f>
        <v/>
      </c>
      <c r="L534" s="8">
        <f>H534</f>
        <v/>
      </c>
      <c r="M534" s="26">
        <f>H534^2/6</f>
        <v/>
      </c>
      <c r="N534" s="26">
        <f>H534^3/12</f>
        <v/>
      </c>
      <c r="O534" s="27">
        <f>-J534*L534*K534*C534</f>
        <v/>
      </c>
      <c r="P534" s="28">
        <f>-(12*F534*J534*L534*N534+12*O534*N534*G534*COS(RADIANS(E534)))/(12*N534*G534*COS(RADIANS(E534))^2+L534*G534^3*SIN(RADIANS(E534))^2)</f>
        <v/>
      </c>
      <c r="Q534" s="28">
        <f>-(6*F534*J534*L534*N534*SIN(RADIANS(E534))+6*O534*N534*G534*SIN(RADIANS(E534))*COS(RADIANS(E534)))/(12*N534*COS(RADIANS(E534))^2+L534*G534^2*SIN(RADIANS(E534))^2)</f>
        <v/>
      </c>
      <c r="R534" s="28">
        <f>-P534*SIN(RADIANS(E534))</f>
        <v/>
      </c>
      <c r="S534" s="8">
        <f>(O534+P534*COS(RADIANS(E534)))/L534</f>
        <v/>
      </c>
      <c r="T534" s="8">
        <f>R534/L534</f>
        <v/>
      </c>
      <c r="U534" s="8">
        <f>(Q534-P534*G534*SIN(RADIANS(E534)))/M534</f>
        <v/>
      </c>
      <c r="V534" s="8">
        <f>SQRT((S534+U534)^2+3*T534^2)</f>
        <v/>
      </c>
      <c r="W534" s="8">
        <f>V534/AA534</f>
        <v/>
      </c>
      <c r="X534" s="27">
        <f>((3*10+H534/COS(RADIANS(E534)))*(3+3)+3*G534*H534)*2</f>
        <v/>
      </c>
      <c r="Y534" s="28">
        <f>Z534/X534</f>
        <v/>
      </c>
      <c r="Z534" s="29" t="n">
        <v>782.838205685536</v>
      </c>
      <c r="AA534" s="20" t="n">
        <v>110.829464737263</v>
      </c>
      <c r="AB534" t="n">
        <v>0.2690538415717552</v>
      </c>
      <c r="AC534" t="n">
        <v>108.0315976216675</v>
      </c>
      <c r="AD534" t="n">
        <v>42.45909061349353</v>
      </c>
    </row>
    <row r="535">
      <c r="A535" t="n">
        <v>534</v>
      </c>
      <c r="B535" t="n">
        <v>62.7</v>
      </c>
      <c r="C535" s="21">
        <f>B535-20</f>
        <v/>
      </c>
      <c r="D535" t="n">
        <v>119.1</v>
      </c>
      <c r="E535" s="22">
        <f>D535-90</f>
        <v/>
      </c>
      <c r="F535" s="23" t="n">
        <v>0.015468</v>
      </c>
      <c r="G535" s="22" t="n">
        <v>29.5</v>
      </c>
      <c r="H535" s="22" t="n">
        <v>1.5</v>
      </c>
      <c r="I535" s="24" t="n">
        <v>0.073221355676651</v>
      </c>
      <c r="J535" s="6" t="n">
        <v>71000</v>
      </c>
      <c r="K535" s="25">
        <f>23*10^-6</f>
        <v/>
      </c>
      <c r="L535" s="8">
        <f>H535</f>
        <v/>
      </c>
      <c r="M535" s="26">
        <f>H535^2/6</f>
        <v/>
      </c>
      <c r="N535" s="26">
        <f>H535^3/12</f>
        <v/>
      </c>
      <c r="O535" s="27">
        <f>-J535*L535*K535*C535</f>
        <v/>
      </c>
      <c r="P535" s="28">
        <f>-(12*F535*J535*L535*N535+12*O535*N535*G535*COS(RADIANS(E535)))/(12*N535*G535*COS(RADIANS(E535))^2+L535*G535^3*SIN(RADIANS(E535))^2)</f>
        <v/>
      </c>
      <c r="Q535" s="28">
        <f>-(6*F535*J535*L535*N535*SIN(RADIANS(E535))+6*O535*N535*G535*SIN(RADIANS(E535))*COS(RADIANS(E535)))/(12*N535*COS(RADIANS(E535))^2+L535*G535^2*SIN(RADIANS(E535))^2)</f>
        <v/>
      </c>
      <c r="R535" s="28">
        <f>-P535*SIN(RADIANS(E535))</f>
        <v/>
      </c>
      <c r="S535" s="8">
        <f>(O535+P535*COS(RADIANS(E535)))/L535</f>
        <v/>
      </c>
      <c r="T535" s="8">
        <f>R535/L535</f>
        <v/>
      </c>
      <c r="U535" s="8">
        <f>(Q535-P535*G535*SIN(RADIANS(E535)))/M535</f>
        <v/>
      </c>
      <c r="V535" s="8">
        <f>SQRT((S535+U535)^2+3*T535^2)</f>
        <v/>
      </c>
      <c r="W535" s="8">
        <f>V535/AA535</f>
        <v/>
      </c>
      <c r="X535" s="27">
        <f>((3*10+H535/COS(RADIANS(E535)))*(3+3)+3*G535*H535)*2</f>
        <v/>
      </c>
      <c r="Y535" s="28">
        <f>Z535/X535</f>
        <v/>
      </c>
      <c r="Z535" s="29" t="n">
        <v>653.001076361801</v>
      </c>
      <c r="AA535" s="20" t="n">
        <v>63.3444757971234</v>
      </c>
      <c r="AB535" t="n">
        <v>0.08656824620402792</v>
      </c>
      <c r="AC535" t="n">
        <v>63.23013704697652</v>
      </c>
      <c r="AD535" t="n">
        <v>18.22813905046695</v>
      </c>
    </row>
    <row r="536">
      <c r="A536" t="n">
        <v>535</v>
      </c>
      <c r="B536" t="n">
        <v>83</v>
      </c>
      <c r="C536" s="21">
        <f>B536-20</f>
        <v/>
      </c>
      <c r="D536" t="n">
        <v>109.3</v>
      </c>
      <c r="E536" s="22">
        <f>D536-90</f>
        <v/>
      </c>
      <c r="F536" s="23" t="n">
        <v>0.025051</v>
      </c>
      <c r="G536" s="22" t="n">
        <v>30.6</v>
      </c>
      <c r="H536" s="22" t="n">
        <v>1.1</v>
      </c>
      <c r="I536" s="24" t="n">
        <v>0.149547711014747</v>
      </c>
      <c r="J536" s="6" t="n">
        <v>71000</v>
      </c>
      <c r="K536" s="25">
        <f>23*10^-6</f>
        <v/>
      </c>
      <c r="L536" s="8">
        <f>H536</f>
        <v/>
      </c>
      <c r="M536" s="26">
        <f>H536^2/6</f>
        <v/>
      </c>
      <c r="N536" s="26">
        <f>H536^3/12</f>
        <v/>
      </c>
      <c r="O536" s="27">
        <f>-J536*L536*K536*C536</f>
        <v/>
      </c>
      <c r="P536" s="28">
        <f>-(12*F536*J536*L536*N536+12*O536*N536*G536*COS(RADIANS(E536)))/(12*N536*G536*COS(RADIANS(E536))^2+L536*G536^3*SIN(RADIANS(E536))^2)</f>
        <v/>
      </c>
      <c r="Q536" s="28">
        <f>-(6*F536*J536*L536*N536*SIN(RADIANS(E536))+6*O536*N536*G536*SIN(RADIANS(E536))*COS(RADIANS(E536)))/(12*N536*COS(RADIANS(E536))^2+L536*G536^2*SIN(RADIANS(E536))^2)</f>
        <v/>
      </c>
      <c r="R536" s="28">
        <f>-P536*SIN(RADIANS(E536))</f>
        <v/>
      </c>
      <c r="S536" s="8">
        <f>(O536+P536*COS(RADIANS(E536)))/L536</f>
        <v/>
      </c>
      <c r="T536" s="8">
        <f>R536/L536</f>
        <v/>
      </c>
      <c r="U536" s="8">
        <f>(Q536-P536*G536*SIN(RADIANS(E536)))/M536</f>
        <v/>
      </c>
      <c r="V536" s="8">
        <f>SQRT((S536+U536)^2+3*T536^2)</f>
        <v/>
      </c>
      <c r="W536" s="8">
        <f>V536/AA536</f>
        <v/>
      </c>
      <c r="X536" s="27">
        <f>((3*10+H536/COS(RADIANS(E536)))*(3+3)+3*G536*H536)*2</f>
        <v/>
      </c>
      <c r="Y536" s="28">
        <f>Z536/X536</f>
        <v/>
      </c>
      <c r="Z536" s="29" t="n">
        <v>580.808719969727</v>
      </c>
      <c r="AA536" s="20" t="n">
        <v>89.388392109347</v>
      </c>
      <c r="AB536" t="n">
        <v>0.2034510102699289</v>
      </c>
      <c r="AC536" t="n">
        <v>94.61258807835483</v>
      </c>
      <c r="AD536" t="n">
        <v>36.04421551451659</v>
      </c>
    </row>
    <row r="537">
      <c r="A537" t="n">
        <v>536</v>
      </c>
      <c r="B537" t="n">
        <v>57.9</v>
      </c>
      <c r="C537" s="21">
        <f>B537-20</f>
        <v/>
      </c>
      <c r="D537" t="n">
        <v>122.2</v>
      </c>
      <c r="E537" s="22">
        <f>D537-90</f>
        <v/>
      </c>
      <c r="F537" s="23" t="n">
        <v>0.013926</v>
      </c>
      <c r="G537" s="22" t="n">
        <v>31</v>
      </c>
      <c r="H537" s="22" t="n">
        <v>1.8</v>
      </c>
      <c r="I537" s="24" t="n">
        <v>0.06287080049514771</v>
      </c>
      <c r="J537" s="6" t="n">
        <v>71000</v>
      </c>
      <c r="K537" s="25">
        <f>23*10^-6</f>
        <v/>
      </c>
      <c r="L537" s="8">
        <f>H537</f>
        <v/>
      </c>
      <c r="M537" s="26">
        <f>H537^2/6</f>
        <v/>
      </c>
      <c r="N537" s="26">
        <f>H537^3/12</f>
        <v/>
      </c>
      <c r="O537" s="27">
        <f>-J537*L537*K537*C537</f>
        <v/>
      </c>
      <c r="P537" s="28">
        <f>-(12*F537*J537*L537*N537+12*O537*N537*G537*COS(RADIANS(E537)))/(12*N537*G537*COS(RADIANS(E537))^2+L537*G537^3*SIN(RADIANS(E537))^2)</f>
        <v/>
      </c>
      <c r="Q537" s="28">
        <f>-(6*F537*J537*L537*N537*SIN(RADIANS(E537))+6*O537*N537*G537*SIN(RADIANS(E537))*COS(RADIANS(E537)))/(12*N537*COS(RADIANS(E537))^2+L537*G537^2*SIN(RADIANS(E537))^2)</f>
        <v/>
      </c>
      <c r="R537" s="28">
        <f>-P537*SIN(RADIANS(E537))</f>
        <v/>
      </c>
      <c r="S537" s="8">
        <f>(O537+P537*COS(RADIANS(E537)))/L537</f>
        <v/>
      </c>
      <c r="T537" s="8">
        <f>R537/L537</f>
        <v/>
      </c>
      <c r="U537" s="8">
        <f>(Q537-P537*G537*SIN(RADIANS(E537)))/M537</f>
        <v/>
      </c>
      <c r="V537" s="8">
        <f>SQRT((S537+U537)^2+3*T537^2)</f>
        <v/>
      </c>
      <c r="W537" s="8">
        <f>V537/AA537</f>
        <v/>
      </c>
      <c r="X537" s="27">
        <f>((3*10+H537/COS(RADIANS(E537)))*(3+3)+3*G537*H537)*2</f>
        <v/>
      </c>
      <c r="Y537" s="28">
        <f>Z537/X537</f>
        <v/>
      </c>
      <c r="Z537" s="29" t="n">
        <v>728.122034333036</v>
      </c>
      <c r="AA537" s="20" t="n">
        <v>59.0897605456175</v>
      </c>
      <c r="AB537" t="n">
        <v>0.07213752346998312</v>
      </c>
      <c r="AC537" t="n">
        <v>56.19569635087483</v>
      </c>
      <c r="AD537" t="n">
        <v>14.73931125714012</v>
      </c>
    </row>
    <row r="538">
      <c r="A538" t="n">
        <v>537</v>
      </c>
      <c r="B538" t="n">
        <v>61.7</v>
      </c>
      <c r="C538" s="21">
        <f>B538-20</f>
        <v/>
      </c>
      <c r="D538" t="n">
        <v>104.3</v>
      </c>
      <c r="E538" s="22">
        <f>D538-90</f>
        <v/>
      </c>
      <c r="F538" s="23" t="n">
        <v>0.016027</v>
      </c>
      <c r="G538" s="22" t="n">
        <v>28.6</v>
      </c>
      <c r="H538" s="22" t="n">
        <v>1.8</v>
      </c>
      <c r="I538" s="24" t="n">
        <v>0.116413295269012</v>
      </c>
      <c r="J538" s="6" t="n">
        <v>71000</v>
      </c>
      <c r="K538" s="25">
        <f>23*10^-6</f>
        <v/>
      </c>
      <c r="L538" s="8">
        <f>H538</f>
        <v/>
      </c>
      <c r="M538" s="26">
        <f>H538^2/6</f>
        <v/>
      </c>
      <c r="N538" s="26">
        <f>H538^3/12</f>
        <v/>
      </c>
      <c r="O538" s="27">
        <f>-J538*L538*K538*C538</f>
        <v/>
      </c>
      <c r="P538" s="28">
        <f>-(12*F538*J538*L538*N538+12*O538*N538*G538*COS(RADIANS(E538)))/(12*N538*G538*COS(RADIANS(E538))^2+L538*G538^3*SIN(RADIANS(E538))^2)</f>
        <v/>
      </c>
      <c r="Q538" s="28">
        <f>-(6*F538*J538*L538*N538*SIN(RADIANS(E538))+6*O538*N538*G538*SIN(RADIANS(E538))*COS(RADIANS(E538)))/(12*N538*COS(RADIANS(E538))^2+L538*G538^2*SIN(RADIANS(E538))^2)</f>
        <v/>
      </c>
      <c r="R538" s="28">
        <f>-P538*SIN(RADIANS(E538))</f>
        <v/>
      </c>
      <c r="S538" s="8">
        <f>(O538+P538*COS(RADIANS(E538)))/L538</f>
        <v/>
      </c>
      <c r="T538" s="8">
        <f>R538/L538</f>
        <v/>
      </c>
      <c r="U538" s="8">
        <f>(Q538-P538*G538*SIN(RADIANS(E538)))/M538</f>
        <v/>
      </c>
      <c r="V538" s="8">
        <f>SQRT((S538+U538)^2+3*T538^2)</f>
        <v/>
      </c>
      <c r="W538" s="8">
        <f>V538/AA538</f>
        <v/>
      </c>
      <c r="X538" s="27">
        <f>((3*10+H538/COS(RADIANS(E538)))*(3+3)+3*G538*H538)*2</f>
        <v/>
      </c>
      <c r="Y538" s="28">
        <f>Z538/X538</f>
        <v/>
      </c>
      <c r="Z538" s="29" t="n">
        <v>695.371688942419</v>
      </c>
      <c r="AA538" s="20" t="n">
        <v>71.1012241796377</v>
      </c>
      <c r="AB538" t="n">
        <v>0.1637009547963937</v>
      </c>
      <c r="AC538" t="n">
        <v>70.25815014981492</v>
      </c>
      <c r="AD538" t="n">
        <v>40.62049735651562</v>
      </c>
    </row>
    <row r="539">
      <c r="A539" t="n">
        <v>538</v>
      </c>
      <c r="B539" t="n">
        <v>50.8</v>
      </c>
      <c r="C539" s="21">
        <f>B539-20</f>
        <v/>
      </c>
      <c r="D539" t="n">
        <v>114.9</v>
      </c>
      <c r="E539" s="22">
        <f>D539-90</f>
        <v/>
      </c>
      <c r="F539" s="23" t="n">
        <v>0.013062</v>
      </c>
      <c r="G539" s="22" t="n">
        <v>34.4</v>
      </c>
      <c r="H539" s="22" t="n">
        <v>1.9</v>
      </c>
      <c r="I539" s="24" t="n">
        <v>0.0654418990015983</v>
      </c>
      <c r="J539" s="6" t="n">
        <v>71000</v>
      </c>
      <c r="K539" s="25">
        <f>23*10^-6</f>
        <v/>
      </c>
      <c r="L539" s="8">
        <f>H539</f>
        <v/>
      </c>
      <c r="M539" s="26">
        <f>H539^2/6</f>
        <v/>
      </c>
      <c r="N539" s="26">
        <f>H539^3/12</f>
        <v/>
      </c>
      <c r="O539" s="27">
        <f>-J539*L539*K539*C539</f>
        <v/>
      </c>
      <c r="P539" s="28">
        <f>-(12*F539*J539*L539*N539+12*O539*N539*G539*COS(RADIANS(E539)))/(12*N539*G539*COS(RADIANS(E539))^2+L539*G539^3*SIN(RADIANS(E539))^2)</f>
        <v/>
      </c>
      <c r="Q539" s="28">
        <f>-(6*F539*J539*L539*N539*SIN(RADIANS(E539))+6*O539*N539*G539*SIN(RADIANS(E539))*COS(RADIANS(E539)))/(12*N539*COS(RADIANS(E539))^2+L539*G539^2*SIN(RADIANS(E539))^2)</f>
        <v/>
      </c>
      <c r="R539" s="28">
        <f>-P539*SIN(RADIANS(E539))</f>
        <v/>
      </c>
      <c r="S539" s="8">
        <f>(O539+P539*COS(RADIANS(E539)))/L539</f>
        <v/>
      </c>
      <c r="T539" s="8">
        <f>R539/L539</f>
        <v/>
      </c>
      <c r="U539" s="8">
        <f>(Q539-P539*G539*SIN(RADIANS(E539)))/M539</f>
        <v/>
      </c>
      <c r="V539" s="8">
        <f>SQRT((S539+U539)^2+3*T539^2)</f>
        <v/>
      </c>
      <c r="W539" s="8">
        <f>V539/AA539</f>
        <v/>
      </c>
      <c r="X539" s="27">
        <f>((3*10+H539/COS(RADIANS(E539)))*(3+3)+3*G539*H539)*2</f>
        <v/>
      </c>
      <c r="Y539" s="28">
        <f>Z539/X539</f>
        <v/>
      </c>
      <c r="Z539" s="29" t="n">
        <v>783.189802517942</v>
      </c>
      <c r="AA539" s="20" t="n">
        <v>49.1305797682179</v>
      </c>
      <c r="AB539" t="n">
        <v>0.08473376151238611</v>
      </c>
      <c r="AC539" t="n">
        <v>47.08818962748558</v>
      </c>
      <c r="AD539" t="n">
        <v>29.47937453697155</v>
      </c>
    </row>
    <row r="540">
      <c r="A540" t="n">
        <v>539</v>
      </c>
      <c r="B540" t="n">
        <v>88.7</v>
      </c>
      <c r="C540" s="21">
        <f>B540-20</f>
        <v/>
      </c>
      <c r="D540" t="n">
        <v>125.8</v>
      </c>
      <c r="E540" s="22">
        <f>D540-90</f>
        <v/>
      </c>
      <c r="F540" s="23" t="n">
        <v>0.024264</v>
      </c>
      <c r="G540" s="22" t="n">
        <v>30.8</v>
      </c>
      <c r="H540" s="22" t="n">
        <v>1.3</v>
      </c>
      <c r="I540" s="24" t="n">
        <v>0.105896294116973</v>
      </c>
      <c r="J540" s="6" t="n">
        <v>71000</v>
      </c>
      <c r="K540" s="25">
        <f>23*10^-6</f>
        <v/>
      </c>
      <c r="L540" s="8">
        <f>H540</f>
        <v/>
      </c>
      <c r="M540" s="26">
        <f>H540^2/6</f>
        <v/>
      </c>
      <c r="N540" s="26">
        <f>H540^3/12</f>
        <v/>
      </c>
      <c r="O540" s="27">
        <f>-J540*L540*K540*C540</f>
        <v/>
      </c>
      <c r="P540" s="28">
        <f>-(12*F540*J540*L540*N540+12*O540*N540*G540*COS(RADIANS(E540)))/(12*N540*G540*COS(RADIANS(E540))^2+L540*G540^3*SIN(RADIANS(E540))^2)</f>
        <v/>
      </c>
      <c r="Q540" s="28">
        <f>-(6*F540*J540*L540*N540*SIN(RADIANS(E540))+6*O540*N540*G540*SIN(RADIANS(E540))*COS(RADIANS(E540)))/(12*N540*COS(RADIANS(E540))^2+L540*G540^2*SIN(RADIANS(E540))^2)</f>
        <v/>
      </c>
      <c r="R540" s="28">
        <f>-P540*SIN(RADIANS(E540))</f>
        <v/>
      </c>
      <c r="S540" s="8">
        <f>(O540+P540*COS(RADIANS(E540)))/L540</f>
        <v/>
      </c>
      <c r="T540" s="8">
        <f>R540/L540</f>
        <v/>
      </c>
      <c r="U540" s="8">
        <f>(Q540-P540*G540*SIN(RADIANS(E540)))/M540</f>
        <v/>
      </c>
      <c r="V540" s="8">
        <f>SQRT((S540+U540)^2+3*T540^2)</f>
        <v/>
      </c>
      <c r="W540" s="8">
        <f>V540/AA540</f>
        <v/>
      </c>
      <c r="X540" s="27">
        <f>((3*10+H540/COS(RADIANS(E540)))*(3+3)+3*G540*H540)*2</f>
        <v/>
      </c>
      <c r="Y540" s="28">
        <f>Z540/X540</f>
        <v/>
      </c>
      <c r="Z540" s="29" t="n">
        <v>628.49839393912</v>
      </c>
      <c r="AA540" s="20" t="n">
        <v>95.15163258807181</v>
      </c>
      <c r="AB540" t="n">
        <v>0.1163812773880215</v>
      </c>
      <c r="AC540" t="n">
        <v>98.37173248202095</v>
      </c>
      <c r="AD540" t="n">
        <v>9.901180545059248</v>
      </c>
    </row>
    <row r="541">
      <c r="A541" t="n">
        <v>540</v>
      </c>
      <c r="B541" t="n">
        <v>59.4</v>
      </c>
      <c r="C541" s="21">
        <f>B541-20</f>
        <v/>
      </c>
      <c r="D541" t="n">
        <v>119.7</v>
      </c>
      <c r="E541" s="22">
        <f>D541-90</f>
        <v/>
      </c>
      <c r="F541" s="23" t="n">
        <v>0.016077</v>
      </c>
      <c r="G541" s="22" t="n">
        <v>34.3</v>
      </c>
      <c r="H541" s="22" t="n">
        <v>1.4</v>
      </c>
      <c r="I541" s="24" t="n">
        <v>0.07382881641387939</v>
      </c>
      <c r="J541" s="6" t="n">
        <v>71000</v>
      </c>
      <c r="K541" s="25">
        <f>23*10^-6</f>
        <v/>
      </c>
      <c r="L541" s="8">
        <f>H541</f>
        <v/>
      </c>
      <c r="M541" s="26">
        <f>H541^2/6</f>
        <v/>
      </c>
      <c r="N541" s="26">
        <f>H541^3/12</f>
        <v/>
      </c>
      <c r="O541" s="27">
        <f>-J541*L541*K541*C541</f>
        <v/>
      </c>
      <c r="P541" s="28">
        <f>-(12*F541*J541*L541*N541+12*O541*N541*G541*COS(RADIANS(E541)))/(12*N541*G541*COS(RADIANS(E541))^2+L541*G541^3*SIN(RADIANS(E541))^2)</f>
        <v/>
      </c>
      <c r="Q541" s="28">
        <f>-(6*F541*J541*L541*N541*SIN(RADIANS(E541))+6*O541*N541*G541*SIN(RADIANS(E541))*COS(RADIANS(E541)))/(12*N541*COS(RADIANS(E541))^2+L541*G541^2*SIN(RADIANS(E541))^2)</f>
        <v/>
      </c>
      <c r="R541" s="28">
        <f>-P541*SIN(RADIANS(E541))</f>
        <v/>
      </c>
      <c r="S541" s="8">
        <f>(O541+P541*COS(RADIANS(E541)))/L541</f>
        <v/>
      </c>
      <c r="T541" s="8">
        <f>R541/L541</f>
        <v/>
      </c>
      <c r="U541" s="8">
        <f>(Q541-P541*G541*SIN(RADIANS(E541)))/M541</f>
        <v/>
      </c>
      <c r="V541" s="8">
        <f>SQRT((S541+U541)^2+3*T541^2)</f>
        <v/>
      </c>
      <c r="W541" s="8">
        <f>V541/AA541</f>
        <v/>
      </c>
      <c r="X541" s="27">
        <f>((3*10+H541/COS(RADIANS(E541)))*(3+3)+3*G541*H541)*2</f>
        <v/>
      </c>
      <c r="Y541" s="28">
        <f>Z541/X541</f>
        <v/>
      </c>
      <c r="Z541" s="29" t="n">
        <v>674.52406428448</v>
      </c>
      <c r="AA541" s="20" t="n">
        <v>56.2826703464917</v>
      </c>
      <c r="AB541" t="n">
        <v>0.09041163686862375</v>
      </c>
      <c r="AC541" t="n">
        <v>57.38224219698377</v>
      </c>
      <c r="AD541" t="n">
        <v>22.46117608303805</v>
      </c>
    </row>
    <row r="542">
      <c r="A542" t="n">
        <v>541</v>
      </c>
      <c r="B542" t="n">
        <v>68.90000000000001</v>
      </c>
      <c r="C542" s="21">
        <f>B542-20</f>
        <v/>
      </c>
      <c r="D542" t="n">
        <v>127.5</v>
      </c>
      <c r="E542" s="22">
        <f>D542-90</f>
        <v/>
      </c>
      <c r="F542" s="23" t="n">
        <v>0.014048</v>
      </c>
      <c r="G542" s="22" t="n">
        <v>24.2</v>
      </c>
      <c r="H542" s="22" t="n">
        <v>1.4</v>
      </c>
      <c r="I542" s="24" t="n">
        <v>0.06289394944906231</v>
      </c>
      <c r="J542" s="6" t="n">
        <v>71000</v>
      </c>
      <c r="K542" s="25">
        <f>23*10^-6</f>
        <v/>
      </c>
      <c r="L542" s="8">
        <f>H542</f>
        <v/>
      </c>
      <c r="M542" s="26">
        <f>H542^2/6</f>
        <v/>
      </c>
      <c r="N542" s="26">
        <f>H542^3/12</f>
        <v/>
      </c>
      <c r="O542" s="27">
        <f>-J542*L542*K542*C542</f>
        <v/>
      </c>
      <c r="P542" s="28">
        <f>-(12*F542*J542*L542*N542+12*O542*N542*G542*COS(RADIANS(E542)))/(12*N542*G542*COS(RADIANS(E542))^2+L542*G542^3*SIN(RADIANS(E542))^2)</f>
        <v/>
      </c>
      <c r="Q542" s="28">
        <f>-(6*F542*J542*L542*N542*SIN(RADIANS(E542))+6*O542*N542*G542*SIN(RADIANS(E542))*COS(RADIANS(E542)))/(12*N542*COS(RADIANS(E542))^2+L542*G542^2*SIN(RADIANS(E542))^2)</f>
        <v/>
      </c>
      <c r="R542" s="28">
        <f>-P542*SIN(RADIANS(E542))</f>
        <v/>
      </c>
      <c r="S542" s="8">
        <f>(O542+P542*COS(RADIANS(E542)))/L542</f>
        <v/>
      </c>
      <c r="T542" s="8">
        <f>R542/L542</f>
        <v/>
      </c>
      <c r="U542" s="8">
        <f>(Q542-P542*G542*SIN(RADIANS(E542)))/M542</f>
        <v/>
      </c>
      <c r="V542" s="8">
        <f>SQRT((S542+U542)^2+3*T542^2)</f>
        <v/>
      </c>
      <c r="W542" s="8">
        <f>V542/AA542</f>
        <v/>
      </c>
      <c r="X542" s="27">
        <f>((3*10+H542/COS(RADIANS(E542)))*(3+3)+3*G542*H542)*2</f>
        <v/>
      </c>
      <c r="Y542" s="28">
        <f>Z542/X542</f>
        <v/>
      </c>
      <c r="Z542" s="29" t="n">
        <v>594.140903877259</v>
      </c>
      <c r="AA542" s="20" t="n">
        <v>70.94347485165849</v>
      </c>
      <c r="AB542" t="n">
        <v>0.06260001336100325</v>
      </c>
      <c r="AC542" t="n">
        <v>70.71088396249536</v>
      </c>
      <c r="AD542" t="n">
        <v>-0.4673519323144319</v>
      </c>
    </row>
    <row r="543">
      <c r="A543" t="n">
        <v>542</v>
      </c>
      <c r="B543" t="n">
        <v>82.8</v>
      </c>
      <c r="C543" s="21">
        <f>B543-20</f>
        <v/>
      </c>
      <c r="D543" t="n">
        <v>111.6</v>
      </c>
      <c r="E543" s="22">
        <f>D543-90</f>
        <v/>
      </c>
      <c r="F543" s="23" t="n">
        <v>0.022401</v>
      </c>
      <c r="G543" s="22" t="n">
        <v>27.2</v>
      </c>
      <c r="H543" s="22" t="n">
        <v>1.4</v>
      </c>
      <c r="I543" s="24" t="n">
        <v>0.125855982303619</v>
      </c>
      <c r="J543" s="6" t="n">
        <v>71000</v>
      </c>
      <c r="K543" s="25">
        <f>23*10^-6</f>
        <v/>
      </c>
      <c r="L543" s="8">
        <f>H543</f>
        <v/>
      </c>
      <c r="M543" s="26">
        <f>H543^2/6</f>
        <v/>
      </c>
      <c r="N543" s="26">
        <f>H543^3/12</f>
        <v/>
      </c>
      <c r="O543" s="27">
        <f>-J543*L543*K543*C543</f>
        <v/>
      </c>
      <c r="P543" s="28">
        <f>-(12*F543*J543*L543*N543+12*O543*N543*G543*COS(RADIANS(E543)))/(12*N543*G543*COS(RADIANS(E543))^2+L543*G543^3*SIN(RADIANS(E543))^2)</f>
        <v/>
      </c>
      <c r="Q543" s="28">
        <f>-(6*F543*J543*L543*N543*SIN(RADIANS(E543))+6*O543*N543*G543*SIN(RADIANS(E543))*COS(RADIANS(E543)))/(12*N543*COS(RADIANS(E543))^2+L543*G543^2*SIN(RADIANS(E543))^2)</f>
        <v/>
      </c>
      <c r="R543" s="28">
        <f>-P543*SIN(RADIANS(E543))</f>
        <v/>
      </c>
      <c r="S543" s="8">
        <f>(O543+P543*COS(RADIANS(E543)))/L543</f>
        <v/>
      </c>
      <c r="T543" s="8">
        <f>R543/L543</f>
        <v/>
      </c>
      <c r="U543" s="8">
        <f>(Q543-P543*G543*SIN(RADIANS(E543)))/M543</f>
        <v/>
      </c>
      <c r="V543" s="8">
        <f>SQRT((S543+U543)^2+3*T543^2)</f>
        <v/>
      </c>
      <c r="W543" s="8">
        <f>V543/AA543</f>
        <v/>
      </c>
      <c r="X543" s="27">
        <f>((3*10+H543/COS(RADIANS(E543)))*(3+3)+3*G543*H543)*2</f>
        <v/>
      </c>
      <c r="Y543" s="28">
        <f>Z543/X543</f>
        <v/>
      </c>
      <c r="Z543" s="29" t="n">
        <v>611.795143512147</v>
      </c>
      <c r="AA543" s="20" t="n">
        <v>94.74291670994219</v>
      </c>
      <c r="AB543" t="n">
        <v>0.1604412073237954</v>
      </c>
      <c r="AC543" t="n">
        <v>96.31768268353302</v>
      </c>
      <c r="AD543" t="n">
        <v>27.4800008606201</v>
      </c>
    </row>
    <row r="544">
      <c r="A544" t="n">
        <v>543</v>
      </c>
      <c r="B544" t="n">
        <v>42.8</v>
      </c>
      <c r="C544" s="21">
        <f>B544-20</f>
        <v/>
      </c>
      <c r="D544" t="n">
        <v>109.9</v>
      </c>
      <c r="E544" s="22">
        <f>D544-90</f>
        <v/>
      </c>
      <c r="F544" s="23" t="n">
        <v>0.009429</v>
      </c>
      <c r="G544" s="22" t="n">
        <v>32.2</v>
      </c>
      <c r="H544" s="22" t="n">
        <v>1.6</v>
      </c>
      <c r="I544" s="24" t="n">
        <v>0.0545849241316318</v>
      </c>
      <c r="J544" s="6" t="n">
        <v>71000</v>
      </c>
      <c r="K544" s="25">
        <f>23*10^-6</f>
        <v/>
      </c>
      <c r="L544" s="8">
        <f>H544</f>
        <v/>
      </c>
      <c r="M544" s="26">
        <f>H544^2/6</f>
        <v/>
      </c>
      <c r="N544" s="26">
        <f>H544^3/12</f>
        <v/>
      </c>
      <c r="O544" s="27">
        <f>-J544*L544*K544*C544</f>
        <v/>
      </c>
      <c r="P544" s="28">
        <f>-(12*F544*J544*L544*N544+12*O544*N544*G544*COS(RADIANS(E544)))/(12*N544*G544*COS(RADIANS(E544))^2+L544*G544^3*SIN(RADIANS(E544))^2)</f>
        <v/>
      </c>
      <c r="Q544" s="28">
        <f>-(6*F544*J544*L544*N544*SIN(RADIANS(E544))+6*O544*N544*G544*SIN(RADIANS(E544))*COS(RADIANS(E544)))/(12*N544*COS(RADIANS(E544))^2+L544*G544^2*SIN(RADIANS(E544))^2)</f>
        <v/>
      </c>
      <c r="R544" s="28">
        <f>-P544*SIN(RADIANS(E544))</f>
        <v/>
      </c>
      <c r="S544" s="8">
        <f>(O544+P544*COS(RADIANS(E544)))/L544</f>
        <v/>
      </c>
      <c r="T544" s="8">
        <f>R544/L544</f>
        <v/>
      </c>
      <c r="U544" s="8">
        <f>(Q544-P544*G544*SIN(RADIANS(E544)))/M544</f>
        <v/>
      </c>
      <c r="V544" s="8">
        <f>SQRT((S544+U544)^2+3*T544^2)</f>
        <v/>
      </c>
      <c r="W544" s="8">
        <f>V544/AA544</f>
        <v/>
      </c>
      <c r="X544" s="27">
        <f>((3*10+H544/COS(RADIANS(E544)))*(3+3)+3*G544*H544)*2</f>
        <v/>
      </c>
      <c r="Y544" s="28">
        <f>Z544/X544</f>
        <v/>
      </c>
      <c r="Z544" s="29" t="n">
        <v>694.496993721583</v>
      </c>
      <c r="AA544" s="20" t="n">
        <v>35.3787705948822</v>
      </c>
      <c r="AB544" t="n">
        <v>0.07419397172639788</v>
      </c>
      <c r="AC544" t="n">
        <v>35.42018184875592</v>
      </c>
      <c r="AD544" t="n">
        <v>35.92392571157335</v>
      </c>
    </row>
    <row r="545">
      <c r="A545" t="n">
        <v>544</v>
      </c>
      <c r="B545" t="n">
        <v>86.90000000000001</v>
      </c>
      <c r="C545" s="21">
        <f>B545-20</f>
        <v/>
      </c>
      <c r="D545" t="n">
        <v>112.4</v>
      </c>
      <c r="E545" s="22">
        <f>D545-90</f>
        <v/>
      </c>
      <c r="F545" s="23" t="n">
        <v>0.021146</v>
      </c>
      <c r="G545" s="22" t="n">
        <v>23.5</v>
      </c>
      <c r="H545" s="22" t="n">
        <v>1</v>
      </c>
      <c r="I545" s="24" t="n">
        <v>0.118925414979457</v>
      </c>
      <c r="J545" s="6" t="n">
        <v>71000</v>
      </c>
      <c r="K545" s="25">
        <f>23*10^-6</f>
        <v/>
      </c>
      <c r="L545" s="8">
        <f>H545</f>
        <v/>
      </c>
      <c r="M545" s="26">
        <f>H545^2/6</f>
        <v/>
      </c>
      <c r="N545" s="26">
        <f>H545^3/12</f>
        <v/>
      </c>
      <c r="O545" s="27">
        <f>-J545*L545*K545*C545</f>
        <v/>
      </c>
      <c r="P545" s="28">
        <f>-(12*F545*J545*L545*N545+12*O545*N545*G545*COS(RADIANS(E545)))/(12*N545*G545*COS(RADIANS(E545))^2+L545*G545^3*SIN(RADIANS(E545))^2)</f>
        <v/>
      </c>
      <c r="Q545" s="28">
        <f>-(6*F545*J545*L545*N545*SIN(RADIANS(E545))+6*O545*N545*G545*SIN(RADIANS(E545))*COS(RADIANS(E545)))/(12*N545*COS(RADIANS(E545))^2+L545*G545^2*SIN(RADIANS(E545))^2)</f>
        <v/>
      </c>
      <c r="R545" s="28">
        <f>-P545*SIN(RADIANS(E545))</f>
        <v/>
      </c>
      <c r="S545" s="8">
        <f>(O545+P545*COS(RADIANS(E545)))/L545</f>
        <v/>
      </c>
      <c r="T545" s="8">
        <f>R545/L545</f>
        <v/>
      </c>
      <c r="U545" s="8">
        <f>(Q545-P545*G545*SIN(RADIANS(E545)))/M545</f>
        <v/>
      </c>
      <c r="V545" s="8">
        <f>SQRT((S545+U545)^2+3*T545^2)</f>
        <v/>
      </c>
      <c r="W545" s="8">
        <f>V545/AA545</f>
        <v/>
      </c>
      <c r="X545" s="27">
        <f>((3*10+H545/COS(RADIANS(E545)))*(3+3)+3*G545*H545)*2</f>
        <v/>
      </c>
      <c r="Y545" s="28">
        <f>Z545/X545</f>
        <v/>
      </c>
      <c r="Z545" s="29" t="n">
        <v>519.371658095086</v>
      </c>
      <c r="AA545" s="20" t="n">
        <v>93.6820401418255</v>
      </c>
      <c r="AB545" t="n">
        <v>0.1445598158437515</v>
      </c>
      <c r="AC545" t="n">
        <v>99.62581006909443</v>
      </c>
      <c r="AD545" t="n">
        <v>21.55502326287663</v>
      </c>
    </row>
    <row r="546">
      <c r="A546" t="n">
        <v>545</v>
      </c>
      <c r="B546" t="n">
        <v>75.09999999999999</v>
      </c>
      <c r="C546" s="21">
        <f>B546-20</f>
        <v/>
      </c>
      <c r="D546" t="n">
        <v>103.3</v>
      </c>
      <c r="E546" s="22">
        <f>D546-90</f>
        <v/>
      </c>
      <c r="F546" s="23" t="n">
        <v>0.023208</v>
      </c>
      <c r="G546" s="22" t="n">
        <v>31.8</v>
      </c>
      <c r="H546" s="22" t="n">
        <v>1.1</v>
      </c>
      <c r="I546" s="24" t="n">
        <v>0.181332185864448</v>
      </c>
      <c r="J546" s="6" t="n">
        <v>71000</v>
      </c>
      <c r="K546" s="25">
        <f>23*10^-6</f>
        <v/>
      </c>
      <c r="L546" s="8">
        <f>H546</f>
        <v/>
      </c>
      <c r="M546" s="26">
        <f>H546^2/6</f>
        <v/>
      </c>
      <c r="N546" s="26">
        <f>H546^3/12</f>
        <v/>
      </c>
      <c r="O546" s="27">
        <f>-J546*L546*K546*C546</f>
        <v/>
      </c>
      <c r="P546" s="28">
        <f>-(12*F546*J546*L546*N546+12*O546*N546*G546*COS(RADIANS(E546)))/(12*N546*G546*COS(RADIANS(E546))^2+L546*G546^3*SIN(RADIANS(E546))^2)</f>
        <v/>
      </c>
      <c r="Q546" s="28">
        <f>-(6*F546*J546*L546*N546*SIN(RADIANS(E546))+6*O546*N546*G546*SIN(RADIANS(E546))*COS(RADIANS(E546)))/(12*N546*COS(RADIANS(E546))^2+L546*G546^2*SIN(RADIANS(E546))^2)</f>
        <v/>
      </c>
      <c r="R546" s="28">
        <f>-P546*SIN(RADIANS(E546))</f>
        <v/>
      </c>
      <c r="S546" s="8">
        <f>(O546+P546*COS(RADIANS(E546)))/L546</f>
        <v/>
      </c>
      <c r="T546" s="8">
        <f>R546/L546</f>
        <v/>
      </c>
      <c r="U546" s="8">
        <f>(Q546-P546*G546*SIN(RADIANS(E546)))/M546</f>
        <v/>
      </c>
      <c r="V546" s="8">
        <f>SQRT((S546+U546)^2+3*T546^2)</f>
        <v/>
      </c>
      <c r="W546" s="8">
        <f>V546/AA546</f>
        <v/>
      </c>
      <c r="X546" s="27">
        <f>((3*10+H546/COS(RADIANS(E546)))*(3+3)+3*G546*H546)*2</f>
        <v/>
      </c>
      <c r="Y546" s="28">
        <f>Z546/X546</f>
        <v/>
      </c>
      <c r="Z546" s="29" t="n">
        <v>587.5388735217419</v>
      </c>
      <c r="AA546" s="20" t="n">
        <v>79.6804895701715</v>
      </c>
      <c r="AB546" t="n">
        <v>0.2675110027365714</v>
      </c>
      <c r="AC546" t="n">
        <v>86.35821601823439</v>
      </c>
      <c r="AD546" t="n">
        <v>47.52538357230468</v>
      </c>
    </row>
    <row r="547">
      <c r="A547" t="n">
        <v>546</v>
      </c>
      <c r="B547" t="n">
        <v>61.4</v>
      </c>
      <c r="C547" s="21">
        <f>B547-20</f>
        <v/>
      </c>
      <c r="D547" t="n">
        <v>104.8</v>
      </c>
      <c r="E547" s="22">
        <f>D547-90</f>
        <v/>
      </c>
      <c r="F547" s="23" t="n">
        <v>0.017525</v>
      </c>
      <c r="G547" s="22" t="n">
        <v>32.2</v>
      </c>
      <c r="H547" s="22" t="n">
        <v>1.3</v>
      </c>
      <c r="I547" s="24" t="n">
        <v>0.125489398837089</v>
      </c>
      <c r="J547" s="6" t="n">
        <v>71000</v>
      </c>
      <c r="K547" s="25">
        <f>23*10^-6</f>
        <v/>
      </c>
      <c r="L547" s="8">
        <f>H547</f>
        <v/>
      </c>
      <c r="M547" s="26">
        <f>H547^2/6</f>
        <v/>
      </c>
      <c r="N547" s="26">
        <f>H547^3/12</f>
        <v/>
      </c>
      <c r="O547" s="27">
        <f>-J547*L547*K547*C547</f>
        <v/>
      </c>
      <c r="P547" s="28">
        <f>-(12*F547*J547*L547*N547+12*O547*N547*G547*COS(RADIANS(E547)))/(12*N547*G547*COS(RADIANS(E547))^2+L547*G547^3*SIN(RADIANS(E547))^2)</f>
        <v/>
      </c>
      <c r="Q547" s="28">
        <f>-(6*F547*J547*L547*N547*SIN(RADIANS(E547))+6*O547*N547*G547*SIN(RADIANS(E547))*COS(RADIANS(E547)))/(12*N547*COS(RADIANS(E547))^2+L547*G547^2*SIN(RADIANS(E547))^2)</f>
        <v/>
      </c>
      <c r="R547" s="28">
        <f>-P547*SIN(RADIANS(E547))</f>
        <v/>
      </c>
      <c r="S547" s="8">
        <f>(O547+P547*COS(RADIANS(E547)))/L547</f>
        <v/>
      </c>
      <c r="T547" s="8">
        <f>R547/L547</f>
        <v/>
      </c>
      <c r="U547" s="8">
        <f>(Q547-P547*G547*SIN(RADIANS(E547)))/M547</f>
        <v/>
      </c>
      <c r="V547" s="8">
        <f>SQRT((S547+U547)^2+3*T547^2)</f>
        <v/>
      </c>
      <c r="W547" s="8">
        <f>V547/AA547</f>
        <v/>
      </c>
      <c r="X547" s="27">
        <f>((3*10+H547/COS(RADIANS(E547)))*(3+3)+3*G547*H547)*2</f>
        <v/>
      </c>
      <c r="Y547" s="28">
        <f>Z547/X547</f>
        <v/>
      </c>
      <c r="Z547" s="29" t="n">
        <v>631.5525061223331</v>
      </c>
      <c r="AA547" s="20" t="n">
        <v>62.4597375907697</v>
      </c>
      <c r="AB547" t="n">
        <v>0.1819993831006918</v>
      </c>
      <c r="AC547" t="n">
        <v>65.27009933138312</v>
      </c>
      <c r="AD547" t="n">
        <v>45.03167979708335</v>
      </c>
    </row>
    <row r="548">
      <c r="A548" t="n">
        <v>547</v>
      </c>
      <c r="B548" t="n">
        <v>65.59999999999999</v>
      </c>
      <c r="C548" s="21">
        <f>B548-20</f>
        <v/>
      </c>
      <c r="D548" t="n">
        <v>110.7</v>
      </c>
      <c r="E548" s="22">
        <f>D548-90</f>
        <v/>
      </c>
      <c r="F548" s="23" t="n">
        <v>0.015519</v>
      </c>
      <c r="G548" s="22" t="n">
        <v>25.5</v>
      </c>
      <c r="H548" s="22" t="n">
        <v>1</v>
      </c>
      <c r="I548" s="24" t="n">
        <v>0.0906084328889846</v>
      </c>
      <c r="J548" s="6" t="n">
        <v>71000</v>
      </c>
      <c r="K548" s="25">
        <f>23*10^-6</f>
        <v/>
      </c>
      <c r="L548" s="8">
        <f>H548</f>
        <v/>
      </c>
      <c r="M548" s="26">
        <f>H548^2/6</f>
        <v/>
      </c>
      <c r="N548" s="26">
        <f>H548^3/12</f>
        <v/>
      </c>
      <c r="O548" s="27">
        <f>-J548*L548*K548*C548</f>
        <v/>
      </c>
      <c r="P548" s="28">
        <f>-(12*F548*J548*L548*N548+12*O548*N548*G548*COS(RADIANS(E548)))/(12*N548*G548*COS(RADIANS(E548))^2+L548*G548^3*SIN(RADIANS(E548))^2)</f>
        <v/>
      </c>
      <c r="Q548" s="28">
        <f>-(6*F548*J548*L548*N548*SIN(RADIANS(E548))+6*O548*N548*G548*SIN(RADIANS(E548))*COS(RADIANS(E548)))/(12*N548*COS(RADIANS(E548))^2+L548*G548^2*SIN(RADIANS(E548))^2)</f>
        <v/>
      </c>
      <c r="R548" s="28">
        <f>-P548*SIN(RADIANS(E548))</f>
        <v/>
      </c>
      <c r="S548" s="8">
        <f>(O548+P548*COS(RADIANS(E548)))/L548</f>
        <v/>
      </c>
      <c r="T548" s="8">
        <f>R548/L548</f>
        <v/>
      </c>
      <c r="U548" s="8">
        <f>(Q548-P548*G548*SIN(RADIANS(E548)))/M548</f>
        <v/>
      </c>
      <c r="V548" s="8">
        <f>SQRT((S548+U548)^2+3*T548^2)</f>
        <v/>
      </c>
      <c r="W548" s="8">
        <f>V548/AA548</f>
        <v/>
      </c>
      <c r="X548" s="27">
        <f>((3*10+H548/COS(RADIANS(E548)))*(3+3)+3*G548*H548)*2</f>
        <v/>
      </c>
      <c r="Y548" s="28">
        <f>Z548/X548</f>
        <v/>
      </c>
      <c r="Z548" s="29" t="n">
        <v>530.918026969602</v>
      </c>
      <c r="AA548" s="20" t="n">
        <v>63.2403433125752</v>
      </c>
      <c r="AB548" t="n">
        <v>0.1154254390437107</v>
      </c>
      <c r="AC548" t="n">
        <v>68.16146852826118</v>
      </c>
      <c r="AD548" t="n">
        <v>27.38928967586541</v>
      </c>
    </row>
    <row r="549">
      <c r="A549" t="n">
        <v>548</v>
      </c>
      <c r="B549" t="n">
        <v>62.1</v>
      </c>
      <c r="C549" s="21">
        <f>B549-20</f>
        <v/>
      </c>
      <c r="D549" t="n">
        <v>127.2</v>
      </c>
      <c r="E549" s="22">
        <f>D549-90</f>
        <v/>
      </c>
      <c r="F549" s="23" t="n">
        <v>0.011366</v>
      </c>
      <c r="G549" s="22" t="n">
        <v>22.2</v>
      </c>
      <c r="H549" s="22" t="n">
        <v>1</v>
      </c>
      <c r="I549" s="24" t="n">
        <v>0.0515744425356388</v>
      </c>
      <c r="J549" s="6" t="n">
        <v>71000</v>
      </c>
      <c r="K549" s="25">
        <f>23*10^-6</f>
        <v/>
      </c>
      <c r="L549" s="8">
        <f>H549</f>
        <v/>
      </c>
      <c r="M549" s="26">
        <f>H549^2/6</f>
        <v/>
      </c>
      <c r="N549" s="26">
        <f>H549^3/12</f>
        <v/>
      </c>
      <c r="O549" s="27">
        <f>-J549*L549*K549*C549</f>
        <v/>
      </c>
      <c r="P549" s="28">
        <f>-(12*F549*J549*L549*N549+12*O549*N549*G549*COS(RADIANS(E549)))/(12*N549*G549*COS(RADIANS(E549))^2+L549*G549^3*SIN(RADIANS(E549))^2)</f>
        <v/>
      </c>
      <c r="Q549" s="28">
        <f>-(6*F549*J549*L549*N549*SIN(RADIANS(E549))+6*O549*N549*G549*SIN(RADIANS(E549))*COS(RADIANS(E549)))/(12*N549*COS(RADIANS(E549))^2+L549*G549^2*SIN(RADIANS(E549))^2)</f>
        <v/>
      </c>
      <c r="R549" s="28">
        <f>-P549*SIN(RADIANS(E549))</f>
        <v/>
      </c>
      <c r="S549" s="8">
        <f>(O549+P549*COS(RADIANS(E549)))/L549</f>
        <v/>
      </c>
      <c r="T549" s="8">
        <f>R549/L549</f>
        <v/>
      </c>
      <c r="U549" s="8">
        <f>(Q549-P549*G549*SIN(RADIANS(E549)))/M549</f>
        <v/>
      </c>
      <c r="V549" s="8">
        <f>SQRT((S549+U549)^2+3*T549^2)</f>
        <v/>
      </c>
      <c r="W549" s="8">
        <f>V549/AA549</f>
        <v/>
      </c>
      <c r="X549" s="27">
        <f>((3*10+H549/COS(RADIANS(E549)))*(3+3)+3*G549*H549)*2</f>
        <v/>
      </c>
      <c r="Y549" s="28">
        <f>Z549/X549</f>
        <v/>
      </c>
      <c r="Z549" s="29" t="n">
        <v>517.829671851062</v>
      </c>
      <c r="AA549" s="20" t="n">
        <v>56.46768732172</v>
      </c>
      <c r="AB549" t="n">
        <v>0.05032164219977034</v>
      </c>
      <c r="AC549" t="n">
        <v>59.85106653341933</v>
      </c>
      <c r="AD549" t="n">
        <v>-2.429110765477993</v>
      </c>
    </row>
    <row r="550">
      <c r="A550" t="n">
        <v>549</v>
      </c>
      <c r="B550" t="n">
        <v>88.09999999999999</v>
      </c>
      <c r="C550" s="21">
        <f>B550-20</f>
        <v/>
      </c>
      <c r="D550" t="n">
        <v>110.7</v>
      </c>
      <c r="E550" s="22">
        <f>D550-90</f>
        <v/>
      </c>
      <c r="F550" s="23" t="n">
        <v>0.025573</v>
      </c>
      <c r="G550" s="22" t="n">
        <v>28.8</v>
      </c>
      <c r="H550" s="22" t="n">
        <v>1.7</v>
      </c>
      <c r="I550" s="24" t="n">
        <v>0.145984306931495</v>
      </c>
      <c r="J550" s="6" t="n">
        <v>71000</v>
      </c>
      <c r="K550" s="25">
        <f>23*10^-6</f>
        <v/>
      </c>
      <c r="L550" s="8">
        <f>H550</f>
        <v/>
      </c>
      <c r="M550" s="26">
        <f>H550^2/6</f>
        <v/>
      </c>
      <c r="N550" s="26">
        <f>H550^3/12</f>
        <v/>
      </c>
      <c r="O550" s="27">
        <f>-J550*L550*K550*C550</f>
        <v/>
      </c>
      <c r="P550" s="28">
        <f>-(12*F550*J550*L550*N550+12*O550*N550*G550*COS(RADIANS(E550)))/(12*N550*G550*COS(RADIANS(E550))^2+L550*G550^3*SIN(RADIANS(E550))^2)</f>
        <v/>
      </c>
      <c r="Q550" s="28">
        <f>-(6*F550*J550*L550*N550*SIN(RADIANS(E550))+6*O550*N550*G550*SIN(RADIANS(E550))*COS(RADIANS(E550)))/(12*N550*COS(RADIANS(E550))^2+L550*G550^2*SIN(RADIANS(E550))^2)</f>
        <v/>
      </c>
      <c r="R550" s="28">
        <f>-P550*SIN(RADIANS(E550))</f>
        <v/>
      </c>
      <c r="S550" s="8">
        <f>(O550+P550*COS(RADIANS(E550)))/L550</f>
        <v/>
      </c>
      <c r="T550" s="8">
        <f>R550/L550</f>
        <v/>
      </c>
      <c r="U550" s="8">
        <f>(Q550-P550*G550*SIN(RADIANS(E550)))/M550</f>
        <v/>
      </c>
      <c r="V550" s="8">
        <f>SQRT((S550+U550)^2+3*T550^2)</f>
        <v/>
      </c>
      <c r="W550" s="8">
        <f>V550/AA550</f>
        <v/>
      </c>
      <c r="X550" s="27">
        <f>((3*10+H550/COS(RADIANS(E550)))*(3+3)+3*G550*H550)*2</f>
        <v/>
      </c>
      <c r="Y550" s="28">
        <f>Z550/X550</f>
        <v/>
      </c>
      <c r="Z550" s="29" t="n">
        <v>680.657719739193</v>
      </c>
      <c r="AA550" s="20" t="n">
        <v>108.655318164701</v>
      </c>
      <c r="AB550" t="n">
        <v>0.1904124448785908</v>
      </c>
      <c r="AC550" t="n">
        <v>107.0943446411122</v>
      </c>
      <c r="AD550" t="n">
        <v>30.43350266953303</v>
      </c>
    </row>
    <row r="551">
      <c r="A551" t="n">
        <v>550</v>
      </c>
      <c r="B551" t="n">
        <v>87.2</v>
      </c>
      <c r="C551" s="21">
        <f>B551-20</f>
        <v/>
      </c>
      <c r="D551" t="n">
        <v>119.6</v>
      </c>
      <c r="E551" s="22">
        <f>D551-90</f>
        <v/>
      </c>
      <c r="F551" s="23" t="n">
        <v>0.020983</v>
      </c>
      <c r="G551" s="22" t="n">
        <v>24.6</v>
      </c>
      <c r="H551" s="22" t="n">
        <v>1.1</v>
      </c>
      <c r="I551" s="24" t="n">
        <v>0.101247318089008</v>
      </c>
      <c r="J551" s="6" t="n">
        <v>71000</v>
      </c>
      <c r="K551" s="25">
        <f>23*10^-6</f>
        <v/>
      </c>
      <c r="L551" s="8">
        <f>H551</f>
        <v/>
      </c>
      <c r="M551" s="26">
        <f>H551^2/6</f>
        <v/>
      </c>
      <c r="N551" s="26">
        <f>H551^3/12</f>
        <v/>
      </c>
      <c r="O551" s="27">
        <f>-J551*L551*K551*C551</f>
        <v/>
      </c>
      <c r="P551" s="28">
        <f>-(12*F551*J551*L551*N551+12*O551*N551*G551*COS(RADIANS(E551)))/(12*N551*G551*COS(RADIANS(E551))^2+L551*G551^3*SIN(RADIANS(E551))^2)</f>
        <v/>
      </c>
      <c r="Q551" s="28">
        <f>-(6*F551*J551*L551*N551*SIN(RADIANS(E551))+6*O551*N551*G551*SIN(RADIANS(E551))*COS(RADIANS(E551)))/(12*N551*COS(RADIANS(E551))^2+L551*G551^2*SIN(RADIANS(E551))^2)</f>
        <v/>
      </c>
      <c r="R551" s="28">
        <f>-P551*SIN(RADIANS(E551))</f>
        <v/>
      </c>
      <c r="S551" s="8">
        <f>(O551+P551*COS(RADIANS(E551)))/L551</f>
        <v/>
      </c>
      <c r="T551" s="8">
        <f>R551/L551</f>
        <v/>
      </c>
      <c r="U551" s="8">
        <f>(Q551-P551*G551*SIN(RADIANS(E551)))/M551</f>
        <v/>
      </c>
      <c r="V551" s="8">
        <f>SQRT((S551+U551)^2+3*T551^2)</f>
        <v/>
      </c>
      <c r="W551" s="8">
        <f>V551/AA551</f>
        <v/>
      </c>
      <c r="X551" s="27">
        <f>((3*10+H551/COS(RADIANS(E551)))*(3+3)+3*G551*H551)*2</f>
        <v/>
      </c>
      <c r="Y551" s="28">
        <f>Z551/X551</f>
        <v/>
      </c>
      <c r="Z551" s="29" t="n">
        <v>544.5770876183039</v>
      </c>
      <c r="AA551" s="20" t="n">
        <v>93.4281025350877</v>
      </c>
      <c r="AB551" t="n">
        <v>0.1131374202064691</v>
      </c>
      <c r="AC551" t="n">
        <v>97.79301677302738</v>
      </c>
      <c r="AD551" t="n">
        <v>11.74362179846418</v>
      </c>
    </row>
    <row r="552">
      <c r="A552" t="n">
        <v>551</v>
      </c>
      <c r="B552" t="n">
        <v>41.4</v>
      </c>
      <c r="C552" s="21">
        <f>B552-20</f>
        <v/>
      </c>
      <c r="D552" t="n">
        <v>113.9</v>
      </c>
      <c r="E552" s="22">
        <f>D552-90</f>
        <v/>
      </c>
      <c r="F552" s="23" t="n">
        <v>0.007486</v>
      </c>
      <c r="G552" s="22" t="n">
        <v>27</v>
      </c>
      <c r="H552" s="22" t="n">
        <v>1.4</v>
      </c>
      <c r="I552" s="24" t="n">
        <v>0.039668682962656</v>
      </c>
      <c r="J552" s="6" t="n">
        <v>71000</v>
      </c>
      <c r="K552" s="25">
        <f>23*10^-6</f>
        <v/>
      </c>
      <c r="L552" s="8">
        <f>H552</f>
        <v/>
      </c>
      <c r="M552" s="26">
        <f>H552^2/6</f>
        <v/>
      </c>
      <c r="N552" s="26">
        <f>H552^3/12</f>
        <v/>
      </c>
      <c r="O552" s="27">
        <f>-J552*L552*K552*C552</f>
        <v/>
      </c>
      <c r="P552" s="28">
        <f>-(12*F552*J552*L552*N552+12*O552*N552*G552*COS(RADIANS(E552)))/(12*N552*G552*COS(RADIANS(E552))^2+L552*G552^3*SIN(RADIANS(E552))^2)</f>
        <v/>
      </c>
      <c r="Q552" s="28">
        <f>-(6*F552*J552*L552*N552*SIN(RADIANS(E552))+6*O552*N552*G552*SIN(RADIANS(E552))*COS(RADIANS(E552)))/(12*N552*COS(RADIANS(E552))^2+L552*G552^2*SIN(RADIANS(E552))^2)</f>
        <v/>
      </c>
      <c r="R552" s="28">
        <f>-P552*SIN(RADIANS(E552))</f>
        <v/>
      </c>
      <c r="S552" s="8">
        <f>(O552+P552*COS(RADIANS(E552)))/L552</f>
        <v/>
      </c>
      <c r="T552" s="8">
        <f>R552/L552</f>
        <v/>
      </c>
      <c r="U552" s="8">
        <f>(Q552-P552*G552*SIN(RADIANS(E552)))/M552</f>
        <v/>
      </c>
      <c r="V552" s="8">
        <f>SQRT((S552+U552)^2+3*T552^2)</f>
        <v/>
      </c>
      <c r="W552" s="8">
        <f>V552/AA552</f>
        <v/>
      </c>
      <c r="X552" s="27">
        <f>((3*10+H552/COS(RADIANS(E552)))*(3+3)+3*G552*H552)*2</f>
        <v/>
      </c>
      <c r="Y552" s="28">
        <f>Z552/X552</f>
        <v/>
      </c>
      <c r="Z552" s="29" t="n">
        <v>610.860179554128</v>
      </c>
      <c r="AA552" s="20" t="n">
        <v>32.0082916292595</v>
      </c>
      <c r="AB552" t="n">
        <v>0.04897870252747947</v>
      </c>
      <c r="AC552" t="n">
        <v>32.41477351590299</v>
      </c>
      <c r="AD552" t="n">
        <v>23.46944458324441</v>
      </c>
    </row>
    <row r="553">
      <c r="A553" t="n">
        <v>552</v>
      </c>
      <c r="B553" t="n">
        <v>58.8</v>
      </c>
      <c r="C553" s="21">
        <f>B553-20</f>
        <v/>
      </c>
      <c r="D553" t="n">
        <v>115.9</v>
      </c>
      <c r="E553" s="22">
        <f>D553-90</f>
        <v/>
      </c>
      <c r="F553" s="23" t="n">
        <v>0.014233</v>
      </c>
      <c r="G553" s="22" t="n">
        <v>29.1</v>
      </c>
      <c r="H553" s="22" t="n">
        <v>1.2</v>
      </c>
      <c r="I553" s="24" t="n">
        <v>0.07145080715417861</v>
      </c>
      <c r="J553" s="6" t="n">
        <v>71000</v>
      </c>
      <c r="K553" s="25">
        <f>23*10^-6</f>
        <v/>
      </c>
      <c r="L553" s="8">
        <f>H553</f>
        <v/>
      </c>
      <c r="M553" s="26">
        <f>H553^2/6</f>
        <v/>
      </c>
      <c r="N553" s="26">
        <f>H553^3/12</f>
        <v/>
      </c>
      <c r="O553" s="27">
        <f>-J553*L553*K553*C553</f>
        <v/>
      </c>
      <c r="P553" s="28">
        <f>-(12*F553*J553*L553*N553+12*O553*N553*G553*COS(RADIANS(E553)))/(12*N553*G553*COS(RADIANS(E553))^2+L553*G553^3*SIN(RADIANS(E553))^2)</f>
        <v/>
      </c>
      <c r="Q553" s="28">
        <f>-(6*F553*J553*L553*N553*SIN(RADIANS(E553))+6*O553*N553*G553*SIN(RADIANS(E553))*COS(RADIANS(E553)))/(12*N553*COS(RADIANS(E553))^2+L553*G553^2*SIN(RADIANS(E553))^2)</f>
        <v/>
      </c>
      <c r="R553" s="28">
        <f>-P553*SIN(RADIANS(E553))</f>
        <v/>
      </c>
      <c r="S553" s="8">
        <f>(O553+P553*COS(RADIANS(E553)))/L553</f>
        <v/>
      </c>
      <c r="T553" s="8">
        <f>R553/L553</f>
        <v/>
      </c>
      <c r="U553" s="8">
        <f>(Q553-P553*G553*SIN(RADIANS(E553)))/M553</f>
        <v/>
      </c>
      <c r="V553" s="8">
        <f>SQRT((S553+U553)^2+3*T553^2)</f>
        <v/>
      </c>
      <c r="W553" s="8">
        <f>V553/AA553</f>
        <v/>
      </c>
      <c r="X553" s="27">
        <f>((3*10+H553/COS(RADIANS(E553)))*(3+3)+3*G553*H553)*2</f>
        <v/>
      </c>
      <c r="Y553" s="28">
        <f>Z553/X553</f>
        <v/>
      </c>
      <c r="Z553" s="29" t="n">
        <v>591.64127091168</v>
      </c>
      <c r="AA553" s="20" t="n">
        <v>55.2736678846576</v>
      </c>
      <c r="AB553" t="n">
        <v>0.08807801227220456</v>
      </c>
      <c r="AC553" t="n">
        <v>57.11813484613602</v>
      </c>
      <c r="AD553" t="n">
        <v>23.27084294813814</v>
      </c>
    </row>
    <row r="554">
      <c r="A554" t="n">
        <v>553</v>
      </c>
      <c r="B554" t="n">
        <v>43.4</v>
      </c>
      <c r="C554" s="21">
        <f>B554-20</f>
        <v/>
      </c>
      <c r="D554" t="n">
        <v>125.7</v>
      </c>
      <c r="E554" s="22">
        <f>D554-90</f>
        <v/>
      </c>
      <c r="F554" s="23" t="n">
        <v>0.006995</v>
      </c>
      <c r="G554" s="22" t="n">
        <v>24.9</v>
      </c>
      <c r="H554" s="22" t="n">
        <v>1.1</v>
      </c>
      <c r="I554" s="24" t="n">
        <v>0.0315061174333095</v>
      </c>
      <c r="J554" s="6" t="n">
        <v>71000</v>
      </c>
      <c r="K554" s="25">
        <f>23*10^-6</f>
        <v/>
      </c>
      <c r="L554" s="8">
        <f>H554</f>
        <v/>
      </c>
      <c r="M554" s="26">
        <f>H554^2/6</f>
        <v/>
      </c>
      <c r="N554" s="26">
        <f>H554^3/12</f>
        <v/>
      </c>
      <c r="O554" s="27">
        <f>-J554*L554*K554*C554</f>
        <v/>
      </c>
      <c r="P554" s="28">
        <f>-(12*F554*J554*L554*N554+12*O554*N554*G554*COS(RADIANS(E554)))/(12*N554*G554*COS(RADIANS(E554))^2+L554*G554^3*SIN(RADIANS(E554))^2)</f>
        <v/>
      </c>
      <c r="Q554" s="28">
        <f>-(6*F554*J554*L554*N554*SIN(RADIANS(E554))+6*O554*N554*G554*SIN(RADIANS(E554))*COS(RADIANS(E554)))/(12*N554*COS(RADIANS(E554))^2+L554*G554^2*SIN(RADIANS(E554))^2)</f>
        <v/>
      </c>
      <c r="R554" s="28">
        <f>-P554*SIN(RADIANS(E554))</f>
        <v/>
      </c>
      <c r="S554" s="8">
        <f>(O554+P554*COS(RADIANS(E554)))/L554</f>
        <v/>
      </c>
      <c r="T554" s="8">
        <f>R554/L554</f>
        <v/>
      </c>
      <c r="U554" s="8">
        <f>(Q554-P554*G554*SIN(RADIANS(E554)))/M554</f>
        <v/>
      </c>
      <c r="V554" s="8">
        <f>SQRT((S554+U554)^2+3*T554^2)</f>
        <v/>
      </c>
      <c r="W554" s="8">
        <f>V554/AA554</f>
        <v/>
      </c>
      <c r="X554" s="27">
        <f>((3*10+H554/COS(RADIANS(E554)))*(3+3)+3*G554*H554)*2</f>
        <v/>
      </c>
      <c r="Y554" s="28">
        <f>Z554/X554</f>
        <v/>
      </c>
      <c r="Z554" s="29" t="n">
        <v>549.581725188766</v>
      </c>
      <c r="AA554" s="20" t="n">
        <v>31.712383197542</v>
      </c>
      <c r="AB554" t="n">
        <v>0.03255734690129438</v>
      </c>
      <c r="AC554" t="n">
        <v>33.44998296814435</v>
      </c>
      <c r="AD554" t="n">
        <v>3.336588426708141</v>
      </c>
    </row>
    <row r="555">
      <c r="A555" t="n">
        <v>554</v>
      </c>
      <c r="B555" t="n">
        <v>45.1</v>
      </c>
      <c r="C555" s="21">
        <f>B555-20</f>
        <v/>
      </c>
      <c r="D555" t="n">
        <v>121.1</v>
      </c>
      <c r="E555" s="22">
        <f>D555-90</f>
        <v/>
      </c>
      <c r="F555" s="23" t="n">
        <v>0.007867000000000001</v>
      </c>
      <c r="G555" s="22" t="n">
        <v>25.1</v>
      </c>
      <c r="H555" s="22" t="n">
        <v>1.7</v>
      </c>
      <c r="I555" s="24" t="n">
        <v>0.0370996594429016</v>
      </c>
      <c r="J555" s="6" t="n">
        <v>71000</v>
      </c>
      <c r="K555" s="25">
        <f>23*10^-6</f>
        <v/>
      </c>
      <c r="L555" s="8">
        <f>H555</f>
        <v/>
      </c>
      <c r="M555" s="26">
        <f>H555^2/6</f>
        <v/>
      </c>
      <c r="N555" s="26">
        <f>H555^3/12</f>
        <v/>
      </c>
      <c r="O555" s="27">
        <f>-J555*L555*K555*C555</f>
        <v/>
      </c>
      <c r="P555" s="28">
        <f>-(12*F555*J555*L555*N555+12*O555*N555*G555*COS(RADIANS(E555)))/(12*N555*G555*COS(RADIANS(E555))^2+L555*G555^3*SIN(RADIANS(E555))^2)</f>
        <v/>
      </c>
      <c r="Q555" s="28">
        <f>-(6*F555*J555*L555*N555*SIN(RADIANS(E555))+6*O555*N555*G555*SIN(RADIANS(E555))*COS(RADIANS(E555)))/(12*N555*COS(RADIANS(E555))^2+L555*G555^2*SIN(RADIANS(E555))^2)</f>
        <v/>
      </c>
      <c r="R555" s="28">
        <f>-P555*SIN(RADIANS(E555))</f>
        <v/>
      </c>
      <c r="S555" s="8">
        <f>(O555+P555*COS(RADIANS(E555)))/L555</f>
        <v/>
      </c>
      <c r="T555" s="8">
        <f>R555/L555</f>
        <v/>
      </c>
      <c r="U555" s="8">
        <f>(Q555-P555*G555*SIN(RADIANS(E555)))/M555</f>
        <v/>
      </c>
      <c r="V555" s="8">
        <f>SQRT((S555+U555)^2+3*T555^2)</f>
        <v/>
      </c>
      <c r="W555" s="8">
        <f>V555/AA555</f>
        <v/>
      </c>
      <c r="X555" s="27">
        <f>((3*10+H555/COS(RADIANS(E555)))*(3+3)+3*G555*H555)*2</f>
        <v/>
      </c>
      <c r="Y555" s="28">
        <f>Z555/X555</f>
        <v/>
      </c>
      <c r="Z555" s="29" t="n">
        <v>647.306609371113</v>
      </c>
      <c r="AA555" s="20" t="n">
        <v>39.4079718847262</v>
      </c>
      <c r="AB555" t="n">
        <v>0.04052289105352203</v>
      </c>
      <c r="AC555" t="n">
        <v>37.66309609139942</v>
      </c>
      <c r="AD555" t="n">
        <v>9.227124081526881</v>
      </c>
    </row>
    <row r="556">
      <c r="A556" t="n">
        <v>555</v>
      </c>
      <c r="B556" t="n">
        <v>87.90000000000001</v>
      </c>
      <c r="C556" s="21">
        <f>B556-20</f>
        <v/>
      </c>
      <c r="D556" t="n">
        <v>100.1</v>
      </c>
      <c r="E556" s="22">
        <f>D556-90</f>
        <v/>
      </c>
      <c r="F556" s="23" t="n">
        <v>0.027887</v>
      </c>
      <c r="G556" s="22" t="n">
        <v>30.5</v>
      </c>
      <c r="H556" s="22" t="n">
        <v>1.3</v>
      </c>
      <c r="I556" s="24" t="n">
        <v>0.267448812723159</v>
      </c>
      <c r="J556" s="6" t="n">
        <v>71000</v>
      </c>
      <c r="K556" s="25">
        <f>23*10^-6</f>
        <v/>
      </c>
      <c r="L556" s="8">
        <f>H556</f>
        <v/>
      </c>
      <c r="M556" s="26">
        <f>H556^2/6</f>
        <v/>
      </c>
      <c r="N556" s="26">
        <f>H556^3/12</f>
        <v/>
      </c>
      <c r="O556" s="27">
        <f>-J556*L556*K556*C556</f>
        <v/>
      </c>
      <c r="P556" s="28">
        <f>-(12*F556*J556*L556*N556+12*O556*N556*G556*COS(RADIANS(E556)))/(12*N556*G556*COS(RADIANS(E556))^2+L556*G556^3*SIN(RADIANS(E556))^2)</f>
        <v/>
      </c>
      <c r="Q556" s="28">
        <f>-(6*F556*J556*L556*N556*SIN(RADIANS(E556))+6*O556*N556*G556*SIN(RADIANS(E556))*COS(RADIANS(E556)))/(12*N556*COS(RADIANS(E556))^2+L556*G556^2*SIN(RADIANS(E556))^2)</f>
        <v/>
      </c>
      <c r="R556" s="28">
        <f>-P556*SIN(RADIANS(E556))</f>
        <v/>
      </c>
      <c r="S556" s="8">
        <f>(O556+P556*COS(RADIANS(E556)))/L556</f>
        <v/>
      </c>
      <c r="T556" s="8">
        <f>R556/L556</f>
        <v/>
      </c>
      <c r="U556" s="8">
        <f>(Q556-P556*G556*SIN(RADIANS(E556)))/M556</f>
        <v/>
      </c>
      <c r="V556" s="8">
        <f>SQRT((S556+U556)^2+3*T556^2)</f>
        <v/>
      </c>
      <c r="W556" s="8">
        <f>V556/AA556</f>
        <v/>
      </c>
      <c r="X556" s="27">
        <f>((3*10+H556/COS(RADIANS(E556)))*(3+3)+3*G556*H556)*2</f>
        <v/>
      </c>
      <c r="Y556" s="28">
        <f>Z556/X556</f>
        <v/>
      </c>
      <c r="Z556" s="29" t="n">
        <v>617.556963149812</v>
      </c>
      <c r="AA556" s="20" t="n">
        <v>106.069976212503</v>
      </c>
      <c r="AB556" t="n">
        <v>0.4047143216982758</v>
      </c>
      <c r="AC556" t="n">
        <v>114.2949075952185</v>
      </c>
      <c r="AD556" t="n">
        <v>51.32403003680659</v>
      </c>
    </row>
    <row r="557">
      <c r="A557" t="n">
        <v>556</v>
      </c>
      <c r="B557" t="n">
        <v>51.7</v>
      </c>
      <c r="C557" s="21">
        <f>B557-20</f>
        <v/>
      </c>
      <c r="D557" t="n">
        <v>111.6</v>
      </c>
      <c r="E557" s="22">
        <f>D557-90</f>
        <v/>
      </c>
      <c r="F557" s="23" t="n">
        <v>0.008989</v>
      </c>
      <c r="G557" s="22" t="n">
        <v>20.3</v>
      </c>
      <c r="H557" s="22" t="n">
        <v>2</v>
      </c>
      <c r="I557" s="24" t="n">
        <v>0.0515685491263866</v>
      </c>
      <c r="J557" s="6" t="n">
        <v>71000</v>
      </c>
      <c r="K557" s="25">
        <f>23*10^-6</f>
        <v/>
      </c>
      <c r="L557" s="8">
        <f>H557</f>
        <v/>
      </c>
      <c r="M557" s="26">
        <f>H557^2/6</f>
        <v/>
      </c>
      <c r="N557" s="26">
        <f>H557^3/12</f>
        <v/>
      </c>
      <c r="O557" s="27">
        <f>-J557*L557*K557*C557</f>
        <v/>
      </c>
      <c r="P557" s="28">
        <f>-(12*F557*J557*L557*N557+12*O557*N557*G557*COS(RADIANS(E557)))/(12*N557*G557*COS(RADIANS(E557))^2+L557*G557^3*SIN(RADIANS(E557))^2)</f>
        <v/>
      </c>
      <c r="Q557" s="28">
        <f>-(6*F557*J557*L557*N557*SIN(RADIANS(E557))+6*O557*N557*G557*SIN(RADIANS(E557))*COS(RADIANS(E557)))/(12*N557*COS(RADIANS(E557))^2+L557*G557^2*SIN(RADIANS(E557))^2)</f>
        <v/>
      </c>
      <c r="R557" s="28">
        <f>-P557*SIN(RADIANS(E557))</f>
        <v/>
      </c>
      <c r="S557" s="8">
        <f>(O557+P557*COS(RADIANS(E557)))/L557</f>
        <v/>
      </c>
      <c r="T557" s="8">
        <f>R557/L557</f>
        <v/>
      </c>
      <c r="U557" s="8">
        <f>(Q557-P557*G557*SIN(RADIANS(E557)))/M557</f>
        <v/>
      </c>
      <c r="V557" s="8">
        <f>SQRT((S557+U557)^2+3*T557^2)</f>
        <v/>
      </c>
      <c r="W557" s="8">
        <f>V557/AA557</f>
        <v/>
      </c>
      <c r="X557" s="27">
        <f>((3*10+H557/COS(RADIANS(E557)))*(3+3)+3*G557*H557)*2</f>
        <v/>
      </c>
      <c r="Y557" s="28">
        <f>Z557/X557</f>
        <v/>
      </c>
      <c r="Z557" s="29" t="n">
        <v>634.658940122708</v>
      </c>
      <c r="AA557" s="20" t="n">
        <v>57.2830224293166</v>
      </c>
      <c r="AB557" t="n">
        <v>0.05903392860033191</v>
      </c>
      <c r="AC557" t="n">
        <v>52.09894594602819</v>
      </c>
      <c r="AD557" t="n">
        <v>14.47661336301863</v>
      </c>
    </row>
    <row r="558">
      <c r="A558" t="n">
        <v>557</v>
      </c>
      <c r="B558" t="n">
        <v>45.7</v>
      </c>
      <c r="C558" s="21">
        <f>B558-20</f>
        <v/>
      </c>
      <c r="D558" t="n">
        <v>102.7</v>
      </c>
      <c r="E558" s="22">
        <f>D558-90</f>
        <v/>
      </c>
      <c r="F558" s="23" t="n">
        <v>0.011247</v>
      </c>
      <c r="G558" s="22" t="n">
        <v>33.2</v>
      </c>
      <c r="H558" s="22" t="n">
        <v>1.7</v>
      </c>
      <c r="I558" s="24" t="n">
        <v>0.0888522416353225</v>
      </c>
      <c r="J558" s="6" t="n">
        <v>71000</v>
      </c>
      <c r="K558" s="25">
        <f>23*10^-6</f>
        <v/>
      </c>
      <c r="L558" s="8">
        <f>H558</f>
        <v/>
      </c>
      <c r="M558" s="26">
        <f>H558^2/6</f>
        <v/>
      </c>
      <c r="N558" s="26">
        <f>H558^3/12</f>
        <v/>
      </c>
      <c r="O558" s="27">
        <f>-J558*L558*K558*C558</f>
        <v/>
      </c>
      <c r="P558" s="28">
        <f>-(12*F558*J558*L558*N558+12*O558*N558*G558*COS(RADIANS(E558)))/(12*N558*G558*COS(RADIANS(E558))^2+L558*G558^3*SIN(RADIANS(E558))^2)</f>
        <v/>
      </c>
      <c r="Q558" s="28">
        <f>-(6*F558*J558*L558*N558*SIN(RADIANS(E558))+6*O558*N558*G558*SIN(RADIANS(E558))*COS(RADIANS(E558)))/(12*N558*COS(RADIANS(E558))^2+L558*G558^2*SIN(RADIANS(E558))^2)</f>
        <v/>
      </c>
      <c r="R558" s="28">
        <f>-P558*SIN(RADIANS(E558))</f>
        <v/>
      </c>
      <c r="S558" s="8">
        <f>(O558+P558*COS(RADIANS(E558)))/L558</f>
        <v/>
      </c>
      <c r="T558" s="8">
        <f>R558/L558</f>
        <v/>
      </c>
      <c r="U558" s="8">
        <f>(Q558-P558*G558*SIN(RADIANS(E558)))/M558</f>
        <v/>
      </c>
      <c r="V558" s="8">
        <f>SQRT((S558+U558)^2+3*T558^2)</f>
        <v/>
      </c>
      <c r="W558" s="8">
        <f>V558/AA558</f>
        <v/>
      </c>
      <c r="X558" s="27">
        <f>((3*10+H558/COS(RADIANS(E558)))*(3+3)+3*G558*H558)*2</f>
        <v/>
      </c>
      <c r="Y558" s="28">
        <f>Z558/X558</f>
        <v/>
      </c>
      <c r="Z558" s="29" t="n">
        <v>723.587138133788</v>
      </c>
      <c r="AA558" s="20" t="n">
        <v>42.6053656116295</v>
      </c>
      <c r="AB558" t="n">
        <v>0.1322143810770586</v>
      </c>
      <c r="AC558" t="n">
        <v>43.04984742773076</v>
      </c>
      <c r="AD558" t="n">
        <v>48.80252725610222</v>
      </c>
    </row>
    <row r="559">
      <c r="A559" t="n">
        <v>558</v>
      </c>
      <c r="B559" t="n">
        <v>53.4</v>
      </c>
      <c r="C559" s="21">
        <f>B559-20</f>
        <v/>
      </c>
      <c r="D559" t="n">
        <v>129.5</v>
      </c>
      <c r="E559" s="22">
        <f>D559-90</f>
        <v/>
      </c>
      <c r="F559" s="23" t="n">
        <v>0.011716</v>
      </c>
      <c r="G559" s="22" t="n">
        <v>32.1</v>
      </c>
      <c r="H559" s="22" t="n">
        <v>1.4</v>
      </c>
      <c r="I559" s="24" t="n">
        <v>0.0498899221420288</v>
      </c>
      <c r="J559" s="6" t="n">
        <v>71000</v>
      </c>
      <c r="K559" s="25">
        <f>23*10^-6</f>
        <v/>
      </c>
      <c r="L559" s="8">
        <f>H559</f>
        <v/>
      </c>
      <c r="M559" s="26">
        <f>H559^2/6</f>
        <v/>
      </c>
      <c r="N559" s="26">
        <f>H559^3/12</f>
        <v/>
      </c>
      <c r="O559" s="27">
        <f>-J559*L559*K559*C559</f>
        <v/>
      </c>
      <c r="P559" s="28">
        <f>-(12*F559*J559*L559*N559+12*O559*N559*G559*COS(RADIANS(E559)))/(12*N559*G559*COS(RADIANS(E559))^2+L559*G559^3*SIN(RADIANS(E559))^2)</f>
        <v/>
      </c>
      <c r="Q559" s="28">
        <f>-(6*F559*J559*L559*N559*SIN(RADIANS(E559))+6*O559*N559*G559*SIN(RADIANS(E559))*COS(RADIANS(E559)))/(12*N559*COS(RADIANS(E559))^2+L559*G559^2*SIN(RADIANS(E559))^2)</f>
        <v/>
      </c>
      <c r="R559" s="28">
        <f>-P559*SIN(RADIANS(E559))</f>
        <v/>
      </c>
      <c r="S559" s="8">
        <f>(O559+P559*COS(RADIANS(E559)))/L559</f>
        <v/>
      </c>
      <c r="T559" s="8">
        <f>R559/L559</f>
        <v/>
      </c>
      <c r="U559" s="8">
        <f>(Q559-P559*G559*SIN(RADIANS(E559)))/M559</f>
        <v/>
      </c>
      <c r="V559" s="8">
        <f>SQRT((S559+U559)^2+3*T559^2)</f>
        <v/>
      </c>
      <c r="W559" s="8">
        <f>V559/AA559</f>
        <v/>
      </c>
      <c r="X559" s="27">
        <f>((3*10+H559/COS(RADIANS(E559)))*(3+3)+3*G559*H559)*2</f>
        <v/>
      </c>
      <c r="Y559" s="28">
        <f>Z559/X559</f>
        <v/>
      </c>
      <c r="Z559" s="29" t="n">
        <v>661.94908317286</v>
      </c>
      <c r="AA559" s="20" t="n">
        <v>46.0639360784281</v>
      </c>
      <c r="AB559" t="n">
        <v>0.05280497743823651</v>
      </c>
      <c r="AC559" t="n">
        <v>47.54074995690843</v>
      </c>
      <c r="AD559" t="n">
        <v>5.842974234172981</v>
      </c>
    </row>
    <row r="560">
      <c r="A560" t="n">
        <v>559</v>
      </c>
      <c r="B560" t="n">
        <v>49.9</v>
      </c>
      <c r="C560" s="21">
        <f>B560-20</f>
        <v/>
      </c>
      <c r="D560" t="n">
        <v>123.4</v>
      </c>
      <c r="E560" s="22">
        <f>D560-90</f>
        <v/>
      </c>
      <c r="F560" s="23" t="n">
        <v>0.008163</v>
      </c>
      <c r="G560" s="22" t="n">
        <v>21.5</v>
      </c>
      <c r="H560" s="22" t="n">
        <v>1.7</v>
      </c>
      <c r="I560" s="24" t="n">
        <v>0.0384420081973075</v>
      </c>
      <c r="J560" s="6" t="n">
        <v>71000</v>
      </c>
      <c r="K560" s="25">
        <f>23*10^-6</f>
        <v/>
      </c>
      <c r="L560" s="8">
        <f>H560</f>
        <v/>
      </c>
      <c r="M560" s="26">
        <f>H560^2/6</f>
        <v/>
      </c>
      <c r="N560" s="26">
        <f>H560^3/12</f>
        <v/>
      </c>
      <c r="O560" s="27">
        <f>-J560*L560*K560*C560</f>
        <v/>
      </c>
      <c r="P560" s="28">
        <f>-(12*F560*J560*L560*N560+12*O560*N560*G560*COS(RADIANS(E560)))/(12*N560*G560*COS(RADIANS(E560))^2+L560*G560^3*SIN(RADIANS(E560))^2)</f>
        <v/>
      </c>
      <c r="Q560" s="28">
        <f>-(6*F560*J560*L560*N560*SIN(RADIANS(E560))+6*O560*N560*G560*SIN(RADIANS(E560))*COS(RADIANS(E560)))/(12*N560*COS(RADIANS(E560))^2+L560*G560^2*SIN(RADIANS(E560))^2)</f>
        <v/>
      </c>
      <c r="R560" s="28">
        <f>-P560*SIN(RADIANS(E560))</f>
        <v/>
      </c>
      <c r="S560" s="8">
        <f>(O560+P560*COS(RADIANS(E560)))/L560</f>
        <v/>
      </c>
      <c r="T560" s="8">
        <f>R560/L560</f>
        <v/>
      </c>
      <c r="U560" s="8">
        <f>(Q560-P560*G560*SIN(RADIANS(E560)))/M560</f>
        <v/>
      </c>
      <c r="V560" s="8">
        <f>SQRT((S560+U560)^2+3*T560^2)</f>
        <v/>
      </c>
      <c r="W560" s="8">
        <f>V560/AA560</f>
        <v/>
      </c>
      <c r="X560" s="27">
        <f>((3*10+H560/COS(RADIANS(E560)))*(3+3)+3*G560*H560)*2</f>
        <v/>
      </c>
      <c r="Y560" s="28">
        <f>Z560/X560</f>
        <v/>
      </c>
      <c r="Z560" s="29" t="n">
        <v>611.916972068511</v>
      </c>
      <c r="AA560" s="20" t="n">
        <v>47.9017008456621</v>
      </c>
      <c r="AB560" t="n">
        <v>0.03860712426160435</v>
      </c>
      <c r="AC560" t="n">
        <v>44.79042130875381</v>
      </c>
      <c r="AD560" t="n">
        <v>0.4295198717230654</v>
      </c>
    </row>
    <row r="561">
      <c r="A561" t="n">
        <v>560</v>
      </c>
      <c r="B561" t="n">
        <v>61.4</v>
      </c>
      <c r="C561" s="21">
        <f>B561-20</f>
        <v/>
      </c>
      <c r="D561" t="n">
        <v>125.7</v>
      </c>
      <c r="E561" s="22">
        <f>D561-90</f>
        <v/>
      </c>
      <c r="F561" s="23" t="n">
        <v>0.010612</v>
      </c>
      <c r="G561" s="22" t="n">
        <v>20.3</v>
      </c>
      <c r="H561" s="22" t="n">
        <v>1.8</v>
      </c>
      <c r="I561" s="24" t="n">
        <v>0.0494500994682312</v>
      </c>
      <c r="J561" s="6" t="n">
        <v>71000</v>
      </c>
      <c r="K561" s="25">
        <f>23*10^-6</f>
        <v/>
      </c>
      <c r="L561" s="8">
        <f>H561</f>
        <v/>
      </c>
      <c r="M561" s="26">
        <f>H561^2/6</f>
        <v/>
      </c>
      <c r="N561" s="26">
        <f>H561^3/12</f>
        <v/>
      </c>
      <c r="O561" s="27">
        <f>-J561*L561*K561*C561</f>
        <v/>
      </c>
      <c r="P561" s="28">
        <f>-(12*F561*J561*L561*N561+12*O561*N561*G561*COS(RADIANS(E561)))/(12*N561*G561*COS(RADIANS(E561))^2+L561*G561^3*SIN(RADIANS(E561))^2)</f>
        <v/>
      </c>
      <c r="Q561" s="28">
        <f>-(6*F561*J561*L561*N561*SIN(RADIANS(E561))+6*O561*N561*G561*SIN(RADIANS(E561))*COS(RADIANS(E561)))/(12*N561*COS(RADIANS(E561))^2+L561*G561^2*SIN(RADIANS(E561))^2)</f>
        <v/>
      </c>
      <c r="R561" s="28">
        <f>-P561*SIN(RADIANS(E561))</f>
        <v/>
      </c>
      <c r="S561" s="8">
        <f>(O561+P561*COS(RADIANS(E561)))/L561</f>
        <v/>
      </c>
      <c r="T561" s="8">
        <f>R561/L561</f>
        <v/>
      </c>
      <c r="U561" s="8">
        <f>(Q561-P561*G561*SIN(RADIANS(E561)))/M561</f>
        <v/>
      </c>
      <c r="V561" s="8">
        <f>SQRT((S561+U561)^2+3*T561^2)</f>
        <v/>
      </c>
      <c r="W561" s="8">
        <f>V561/AA561</f>
        <v/>
      </c>
      <c r="X561" s="27">
        <f>((3*10+H561/COS(RADIANS(E561)))*(3+3)+3*G561*H561)*2</f>
        <v/>
      </c>
      <c r="Y561" s="28">
        <f>Z561/X561</f>
        <v/>
      </c>
      <c r="Z561" s="29" t="n">
        <v>614.825488757213</v>
      </c>
      <c r="AA561" s="20" t="n">
        <v>68.226979501153</v>
      </c>
      <c r="AB561" t="n">
        <v>0.04706044050479483</v>
      </c>
      <c r="AC561" t="n">
        <v>61.90430056555203</v>
      </c>
      <c r="AD561" t="n">
        <v>-4.832465433101083</v>
      </c>
    </row>
    <row r="562">
      <c r="A562" t="n">
        <v>561</v>
      </c>
      <c r="B562" t="n">
        <v>82.09999999999999</v>
      </c>
      <c r="C562" s="21">
        <f>B562-20</f>
        <v/>
      </c>
      <c r="D562" t="n">
        <v>123.9</v>
      </c>
      <c r="E562" s="22">
        <f>D562-90</f>
        <v/>
      </c>
      <c r="F562" s="23" t="n">
        <v>0.021758</v>
      </c>
      <c r="G562" s="22" t="n">
        <v>29.8</v>
      </c>
      <c r="H562" s="22" t="n">
        <v>1.7</v>
      </c>
      <c r="I562" s="24" t="n">
        <v>0.097072996199131</v>
      </c>
      <c r="J562" s="6" t="n">
        <v>71000</v>
      </c>
      <c r="K562" s="25">
        <f>23*10^-6</f>
        <v/>
      </c>
      <c r="L562" s="8">
        <f>H562</f>
        <v/>
      </c>
      <c r="M562" s="26">
        <f>H562^2/6</f>
        <v/>
      </c>
      <c r="N562" s="26">
        <f>H562^3/12</f>
        <v/>
      </c>
      <c r="O562" s="27">
        <f>-J562*L562*K562*C562</f>
        <v/>
      </c>
      <c r="P562" s="28">
        <f>-(12*F562*J562*L562*N562+12*O562*N562*G562*COS(RADIANS(E562)))/(12*N562*G562*COS(RADIANS(E562))^2+L562*G562^3*SIN(RADIANS(E562))^2)</f>
        <v/>
      </c>
      <c r="Q562" s="28">
        <f>-(6*F562*J562*L562*N562*SIN(RADIANS(E562))+6*O562*N562*G562*SIN(RADIANS(E562))*COS(RADIANS(E562)))/(12*N562*COS(RADIANS(E562))^2+L562*G562^2*SIN(RADIANS(E562))^2)</f>
        <v/>
      </c>
      <c r="R562" s="28">
        <f>-P562*SIN(RADIANS(E562))</f>
        <v/>
      </c>
      <c r="S562" s="8">
        <f>(O562+P562*COS(RADIANS(E562)))/L562</f>
        <v/>
      </c>
      <c r="T562" s="8">
        <f>R562/L562</f>
        <v/>
      </c>
      <c r="U562" s="8">
        <f>(Q562-P562*G562*SIN(RADIANS(E562)))/M562</f>
        <v/>
      </c>
      <c r="V562" s="8">
        <f>SQRT((S562+U562)^2+3*T562^2)</f>
        <v/>
      </c>
      <c r="W562" s="8">
        <f>V562/AA562</f>
        <v/>
      </c>
      <c r="X562" s="27">
        <f>((3*10+H562/COS(RADIANS(E562)))*(3+3)+3*G562*H562)*2</f>
        <v/>
      </c>
      <c r="Y562" s="28">
        <f>Z562/X562</f>
        <v/>
      </c>
      <c r="Z562" s="29" t="n">
        <v>696.886813519534</v>
      </c>
      <c r="AA562" s="20" t="n">
        <v>95.436658228561</v>
      </c>
      <c r="AB562" t="n">
        <v>0.1078103179661705</v>
      </c>
      <c r="AC562" t="n">
        <v>91.28015698079676</v>
      </c>
      <c r="AD562" t="n">
        <v>11.06107999902824</v>
      </c>
    </row>
    <row r="563">
      <c r="A563" t="n">
        <v>562</v>
      </c>
      <c r="B563" t="n">
        <v>58.3</v>
      </c>
      <c r="C563" s="21">
        <f>B563-20</f>
        <v/>
      </c>
      <c r="D563" t="n">
        <v>119.4</v>
      </c>
      <c r="E563" s="22">
        <f>D563-90</f>
        <v/>
      </c>
      <c r="F563" s="23" t="n">
        <v>0.014526</v>
      </c>
      <c r="G563" s="22" t="n">
        <v>31.3</v>
      </c>
      <c r="H563" s="22" t="n">
        <v>1.4</v>
      </c>
      <c r="I563" s="24" t="n">
        <v>0.0678620710968971</v>
      </c>
      <c r="J563" s="6" t="n">
        <v>71000</v>
      </c>
      <c r="K563" s="25">
        <f>23*10^-6</f>
        <v/>
      </c>
      <c r="L563" s="8">
        <f>H563</f>
        <v/>
      </c>
      <c r="M563" s="26">
        <f>H563^2/6</f>
        <v/>
      </c>
      <c r="N563" s="26">
        <f>H563^3/12</f>
        <v/>
      </c>
      <c r="O563" s="27">
        <f>-J563*L563*K563*C563</f>
        <v/>
      </c>
      <c r="P563" s="28">
        <f>-(12*F563*J563*L563*N563+12*O563*N563*G563*COS(RADIANS(E563)))/(12*N563*G563*COS(RADIANS(E563))^2+L563*G563^3*SIN(RADIANS(E563))^2)</f>
        <v/>
      </c>
      <c r="Q563" s="28">
        <f>-(6*F563*J563*L563*N563*SIN(RADIANS(E563))+6*O563*N563*G563*SIN(RADIANS(E563))*COS(RADIANS(E563)))/(12*N563*COS(RADIANS(E563))^2+L563*G563^2*SIN(RADIANS(E563))^2)</f>
        <v/>
      </c>
      <c r="R563" s="28">
        <f>-P563*SIN(RADIANS(E563))</f>
        <v/>
      </c>
      <c r="S563" s="8">
        <f>(O563+P563*COS(RADIANS(E563)))/L563</f>
        <v/>
      </c>
      <c r="T563" s="8">
        <f>R563/L563</f>
        <v/>
      </c>
      <c r="U563" s="8">
        <f>(Q563-P563*G563*SIN(RADIANS(E563)))/M563</f>
        <v/>
      </c>
      <c r="V563" s="8">
        <f>SQRT((S563+U563)^2+3*T563^2)</f>
        <v/>
      </c>
      <c r="W563" s="8">
        <f>V563/AA563</f>
        <v/>
      </c>
      <c r="X563" s="27">
        <f>((3*10+H563/COS(RADIANS(E563)))*(3+3)+3*G563*H563)*2</f>
        <v/>
      </c>
      <c r="Y563" s="28">
        <f>Z563/X563</f>
        <v/>
      </c>
      <c r="Z563" s="29" t="n">
        <v>649.184842893999</v>
      </c>
      <c r="AA563" s="20" t="n">
        <v>55.6836784188684</v>
      </c>
      <c r="AB563" t="n">
        <v>0.08138110010640859</v>
      </c>
      <c r="AC563" t="n">
        <v>56.1264305183506</v>
      </c>
      <c r="AD563" t="n">
        <v>19.92133277248243</v>
      </c>
    </row>
    <row r="564">
      <c r="A564" t="n">
        <v>563</v>
      </c>
      <c r="B564" t="n">
        <v>78.09999999999999</v>
      </c>
      <c r="C564" s="21">
        <f>B564-20</f>
        <v/>
      </c>
      <c r="D564" t="n">
        <v>105.5</v>
      </c>
      <c r="E564" s="22">
        <f>D564-90</f>
        <v/>
      </c>
      <c r="F564" s="23" t="n">
        <v>0.017186</v>
      </c>
      <c r="G564" s="22" t="n">
        <v>20.7</v>
      </c>
      <c r="H564" s="22" t="n">
        <v>1.1</v>
      </c>
      <c r="I564" s="24" t="n">
        <v>0.124411761760711</v>
      </c>
      <c r="J564" s="6" t="n">
        <v>71000</v>
      </c>
      <c r="K564" s="25">
        <f>23*10^-6</f>
        <v/>
      </c>
      <c r="L564" s="8">
        <f>H564</f>
        <v/>
      </c>
      <c r="M564" s="26">
        <f>H564^2/6</f>
        <v/>
      </c>
      <c r="N564" s="26">
        <f>H564^3/12</f>
        <v/>
      </c>
      <c r="O564" s="27">
        <f>-J564*L564*K564*C564</f>
        <v/>
      </c>
      <c r="P564" s="28">
        <f>-(12*F564*J564*L564*N564+12*O564*N564*G564*COS(RADIANS(E564)))/(12*N564*G564*COS(RADIANS(E564))^2+L564*G564^3*SIN(RADIANS(E564))^2)</f>
        <v/>
      </c>
      <c r="Q564" s="28">
        <f>-(6*F564*J564*L564*N564*SIN(RADIANS(E564))+6*O564*N564*G564*SIN(RADIANS(E564))*COS(RADIANS(E564)))/(12*N564*COS(RADIANS(E564))^2+L564*G564^2*SIN(RADIANS(E564))^2)</f>
        <v/>
      </c>
      <c r="R564" s="28">
        <f>-P564*SIN(RADIANS(E564))</f>
        <v/>
      </c>
      <c r="S564" s="8">
        <f>(O564+P564*COS(RADIANS(E564)))/L564</f>
        <v/>
      </c>
      <c r="T564" s="8">
        <f>R564/L564</f>
        <v/>
      </c>
      <c r="U564" s="8">
        <f>(Q564-P564*G564*SIN(RADIANS(E564)))/M564</f>
        <v/>
      </c>
      <c r="V564" s="8">
        <f>SQRT((S564+U564)^2+3*T564^2)</f>
        <v/>
      </c>
      <c r="W564" s="8">
        <f>V564/AA564</f>
        <v/>
      </c>
      <c r="X564" s="27">
        <f>((3*10+H564/COS(RADIANS(E564)))*(3+3)+3*G564*H564)*2</f>
        <v/>
      </c>
      <c r="Y564" s="28">
        <f>Z564/X564</f>
        <v/>
      </c>
      <c r="Z564" s="29" t="n">
        <v>514.657639746805</v>
      </c>
      <c r="AA564" s="20" t="n">
        <v>86.60349338012951</v>
      </c>
      <c r="AB564" t="n">
        <v>0.1594489996762078</v>
      </c>
      <c r="AC564" t="n">
        <v>92.42667178448652</v>
      </c>
      <c r="AD564" t="n">
        <v>28.16231955856884</v>
      </c>
    </row>
    <row r="565">
      <c r="A565" t="n">
        <v>564</v>
      </c>
      <c r="B565" t="n">
        <v>88.09999999999999</v>
      </c>
      <c r="C565" s="21">
        <f>B565-20</f>
        <v/>
      </c>
      <c r="D565" t="n">
        <v>117.5</v>
      </c>
      <c r="E565" s="22">
        <f>D565-90</f>
        <v/>
      </c>
      <c r="F565" s="23" t="n">
        <v>0.026281</v>
      </c>
      <c r="G565" s="22" t="n">
        <v>31.4</v>
      </c>
      <c r="H565" s="22" t="n">
        <v>1.5</v>
      </c>
      <c r="I565" s="24" t="n">
        <v>0.126622095704078</v>
      </c>
      <c r="J565" s="6" t="n">
        <v>71000</v>
      </c>
      <c r="K565" s="25">
        <f>23*10^-6</f>
        <v/>
      </c>
      <c r="L565" s="8">
        <f>H565</f>
        <v/>
      </c>
      <c r="M565" s="26">
        <f>H565^2/6</f>
        <v/>
      </c>
      <c r="N565" s="26">
        <f>H565^3/12</f>
        <v/>
      </c>
      <c r="O565" s="27">
        <f>-J565*L565*K565*C565</f>
        <v/>
      </c>
      <c r="P565" s="28">
        <f>-(12*F565*J565*L565*N565+12*O565*N565*G565*COS(RADIANS(E565)))/(12*N565*G565*COS(RADIANS(E565))^2+L565*G565^3*SIN(RADIANS(E565))^2)</f>
        <v/>
      </c>
      <c r="Q565" s="28">
        <f>-(6*F565*J565*L565*N565*SIN(RADIANS(E565))+6*O565*N565*G565*SIN(RADIANS(E565))*COS(RADIANS(E565)))/(12*N565*COS(RADIANS(E565))^2+L565*G565^2*SIN(RADIANS(E565))^2)</f>
        <v/>
      </c>
      <c r="R565" s="28">
        <f>-P565*SIN(RADIANS(E565))</f>
        <v/>
      </c>
      <c r="S565" s="8">
        <f>(O565+P565*COS(RADIANS(E565)))/L565</f>
        <v/>
      </c>
      <c r="T565" s="8">
        <f>R565/L565</f>
        <v/>
      </c>
      <c r="U565" s="8">
        <f>(Q565-P565*G565*SIN(RADIANS(E565)))/M565</f>
        <v/>
      </c>
      <c r="V565" s="8">
        <f>SQRT((S565+U565)^2+3*T565^2)</f>
        <v/>
      </c>
      <c r="W565" s="8">
        <f>V565/AA565</f>
        <v/>
      </c>
      <c r="X565" s="27">
        <f>((3*10+H565/COS(RADIANS(E565)))*(3+3)+3*G565*H565)*2</f>
        <v/>
      </c>
      <c r="Y565" s="28">
        <f>Z565/X565</f>
        <v/>
      </c>
      <c r="Z565" s="29" t="n">
        <v>669.383671154027</v>
      </c>
      <c r="AA565" s="20" t="n">
        <v>101.746596755201</v>
      </c>
      <c r="AB565" t="n">
        <v>0.1555717058042705</v>
      </c>
      <c r="AC565" t="n">
        <v>101.0907928362978</v>
      </c>
      <c r="AD565" t="n">
        <v>22.86300028381231</v>
      </c>
    </row>
    <row r="566">
      <c r="A566" t="n">
        <v>565</v>
      </c>
      <c r="B566" t="n">
        <v>83.90000000000001</v>
      </c>
      <c r="C566" s="21">
        <f>B566-20</f>
        <v/>
      </c>
      <c r="D566" t="n">
        <v>119.6</v>
      </c>
      <c r="E566" s="22">
        <f>D566-90</f>
        <v/>
      </c>
      <c r="F566" s="23" t="n">
        <v>0.026476</v>
      </c>
      <c r="G566" s="22" t="n">
        <v>34.9</v>
      </c>
      <c r="H566" s="22" t="n">
        <v>1.2</v>
      </c>
      <c r="I566" s="24" t="n">
        <v>0.121392779052257</v>
      </c>
      <c r="J566" s="6" t="n">
        <v>71000</v>
      </c>
      <c r="K566" s="25">
        <f>23*10^-6</f>
        <v/>
      </c>
      <c r="L566" s="8">
        <f>H566</f>
        <v/>
      </c>
      <c r="M566" s="26">
        <f>H566^2/6</f>
        <v/>
      </c>
      <c r="N566" s="26">
        <f>H566^3/12</f>
        <v/>
      </c>
      <c r="O566" s="27">
        <f>-J566*L566*K566*C566</f>
        <v/>
      </c>
      <c r="P566" s="28">
        <f>-(12*F566*J566*L566*N566+12*O566*N566*G566*COS(RADIANS(E566)))/(12*N566*G566*COS(RADIANS(E566))^2+L566*G566^3*SIN(RADIANS(E566))^2)</f>
        <v/>
      </c>
      <c r="Q566" s="28">
        <f>-(6*F566*J566*L566*N566*SIN(RADIANS(E566))+6*O566*N566*G566*SIN(RADIANS(E566))*COS(RADIANS(E566)))/(12*N566*COS(RADIANS(E566))^2+L566*G566^2*SIN(RADIANS(E566))^2)</f>
        <v/>
      </c>
      <c r="R566" s="28">
        <f>-P566*SIN(RADIANS(E566))</f>
        <v/>
      </c>
      <c r="S566" s="8">
        <f>(O566+P566*COS(RADIANS(E566)))/L566</f>
        <v/>
      </c>
      <c r="T566" s="8">
        <f>R566/L566</f>
        <v/>
      </c>
      <c r="U566" s="8">
        <f>(Q566-P566*G566*SIN(RADIANS(E566)))/M566</f>
        <v/>
      </c>
      <c r="V566" s="8">
        <f>SQRT((S566+U566)^2+3*T566^2)</f>
        <v/>
      </c>
      <c r="W566" s="8">
        <f>V566/AA566</f>
        <v/>
      </c>
      <c r="X566" s="27">
        <f>((3*10+H566/COS(RADIANS(E566)))*(3+3)+3*G566*H566)*2</f>
        <v/>
      </c>
      <c r="Y566" s="28">
        <f>Z566/X566</f>
        <v/>
      </c>
      <c r="Z566" s="29" t="n">
        <v>634.877199174197</v>
      </c>
      <c r="AA566" s="20" t="n">
        <v>87.882923400339</v>
      </c>
      <c r="AB566" t="n">
        <v>0.1498456482934859</v>
      </c>
      <c r="AC566" t="n">
        <v>92.00765639705384</v>
      </c>
      <c r="AD566" t="n">
        <v>23.43868347307592</v>
      </c>
    </row>
    <row r="567">
      <c r="A567" t="n">
        <v>566</v>
      </c>
      <c r="B567" t="n">
        <v>48.6</v>
      </c>
      <c r="C567" s="21">
        <f>B567-20</f>
        <v/>
      </c>
      <c r="D567" t="n">
        <v>107.8</v>
      </c>
      <c r="E567" s="22">
        <f>D567-90</f>
        <v/>
      </c>
      <c r="F567" s="23" t="n">
        <v>0.010741</v>
      </c>
      <c r="G567" s="22" t="n">
        <v>28.3</v>
      </c>
      <c r="H567" s="22" t="n">
        <v>1.2</v>
      </c>
      <c r="I567" s="24" t="n">
        <v>0.0683172345161438</v>
      </c>
      <c r="J567" s="6" t="n">
        <v>71000</v>
      </c>
      <c r="K567" s="25">
        <f>23*10^-6</f>
        <v/>
      </c>
      <c r="L567" s="8">
        <f>H567</f>
        <v/>
      </c>
      <c r="M567" s="26">
        <f>H567^2/6</f>
        <v/>
      </c>
      <c r="N567" s="26">
        <f>H567^3/12</f>
        <v/>
      </c>
      <c r="O567" s="27">
        <f>-J567*L567*K567*C567</f>
        <v/>
      </c>
      <c r="P567" s="28">
        <f>-(12*F567*J567*L567*N567+12*O567*N567*G567*COS(RADIANS(E567)))/(12*N567*G567*COS(RADIANS(E567))^2+L567*G567^3*SIN(RADIANS(E567))^2)</f>
        <v/>
      </c>
      <c r="Q567" s="28">
        <f>-(6*F567*J567*L567*N567*SIN(RADIANS(E567))+6*O567*N567*G567*SIN(RADIANS(E567))*COS(RADIANS(E567)))/(12*N567*COS(RADIANS(E567))^2+L567*G567^2*SIN(RADIANS(E567))^2)</f>
        <v/>
      </c>
      <c r="R567" s="28">
        <f>-P567*SIN(RADIANS(E567))</f>
        <v/>
      </c>
      <c r="S567" s="8">
        <f>(O567+P567*COS(RADIANS(E567)))/L567</f>
        <v/>
      </c>
      <c r="T567" s="8">
        <f>R567/L567</f>
        <v/>
      </c>
      <c r="U567" s="8">
        <f>(Q567-P567*G567*SIN(RADIANS(E567)))/M567</f>
        <v/>
      </c>
      <c r="V567" s="8">
        <f>SQRT((S567+U567)^2+3*T567^2)</f>
        <v/>
      </c>
      <c r="W567" s="8">
        <f>V567/AA567</f>
        <v/>
      </c>
      <c r="X567" s="27">
        <f>((3*10+H567/COS(RADIANS(E567)))*(3+3)+3*G567*H567)*2</f>
        <v/>
      </c>
      <c r="Y567" s="28">
        <f>Z567/X567</f>
        <v/>
      </c>
      <c r="Z567" s="29" t="n">
        <v>583.524282228326</v>
      </c>
      <c r="AA567" s="20" t="n">
        <v>41.652627132588</v>
      </c>
      <c r="AB567" t="n">
        <v>0.09267553106715326</v>
      </c>
      <c r="AC567" t="n">
        <v>44.04746802656378</v>
      </c>
      <c r="AD567" t="n">
        <v>35.65468761071328</v>
      </c>
    </row>
    <row r="568">
      <c r="A568" t="n">
        <v>567</v>
      </c>
      <c r="B568" t="n">
        <v>82.7</v>
      </c>
      <c r="C568" s="21">
        <f>B568-20</f>
        <v/>
      </c>
      <c r="D568" t="n">
        <v>115.7</v>
      </c>
      <c r="E568" s="22">
        <f>D568-90</f>
        <v/>
      </c>
      <c r="F568" s="23" t="n">
        <v>0.022967</v>
      </c>
      <c r="G568" s="22" t="n">
        <v>29</v>
      </c>
      <c r="H568" s="22" t="n">
        <v>1.9</v>
      </c>
      <c r="I568" s="24" t="n">
        <v>0.115618228912353</v>
      </c>
      <c r="J568" s="6" t="n">
        <v>71000</v>
      </c>
      <c r="K568" s="25">
        <f>23*10^-6</f>
        <v/>
      </c>
      <c r="L568" s="8">
        <f>H568</f>
        <v/>
      </c>
      <c r="M568" s="26">
        <f>H568^2/6</f>
        <v/>
      </c>
      <c r="N568" s="26">
        <f>H568^3/12</f>
        <v/>
      </c>
      <c r="O568" s="27">
        <f>-J568*L568*K568*C568</f>
        <v/>
      </c>
      <c r="P568" s="28">
        <f>-(12*F568*J568*L568*N568+12*O568*N568*G568*COS(RADIANS(E568)))/(12*N568*G568*COS(RADIANS(E568))^2+L568*G568^3*SIN(RADIANS(E568))^2)</f>
        <v/>
      </c>
      <c r="Q568" s="28">
        <f>-(6*F568*J568*L568*N568*SIN(RADIANS(E568))+6*O568*N568*G568*SIN(RADIANS(E568))*COS(RADIANS(E568)))/(12*N568*COS(RADIANS(E568))^2+L568*G568^2*SIN(RADIANS(E568))^2)</f>
        <v/>
      </c>
      <c r="R568" s="28">
        <f>-P568*SIN(RADIANS(E568))</f>
        <v/>
      </c>
      <c r="S568" s="8">
        <f>(O568+P568*COS(RADIANS(E568)))/L568</f>
        <v/>
      </c>
      <c r="T568" s="8">
        <f>R568/L568</f>
        <v/>
      </c>
      <c r="U568" s="8">
        <f>(Q568-P568*G568*SIN(RADIANS(E568)))/M568</f>
        <v/>
      </c>
      <c r="V568" s="8">
        <f>SQRT((S568+U568)^2+3*T568^2)</f>
        <v/>
      </c>
      <c r="W568" s="8">
        <f>V568/AA568</f>
        <v/>
      </c>
      <c r="X568" s="27">
        <f>((3*10+H568/COS(RADIANS(E568)))*(3+3)+3*G568*H568)*2</f>
        <v/>
      </c>
      <c r="Y568" s="28">
        <f>Z568/X568</f>
        <v/>
      </c>
      <c r="Z568" s="29" t="n">
        <v>721.971475865549</v>
      </c>
      <c r="AA568" s="20" t="n">
        <v>102.588248319664</v>
      </c>
      <c r="AB568" t="n">
        <v>0.1413345314051267</v>
      </c>
      <c r="AC568" t="n">
        <v>96.80409096582548</v>
      </c>
      <c r="AD568" t="n">
        <v>22.24242901374016</v>
      </c>
    </row>
    <row r="569">
      <c r="A569" t="n">
        <v>568</v>
      </c>
      <c r="B569" t="n">
        <v>64</v>
      </c>
      <c r="C569" s="21">
        <f>B569-20</f>
        <v/>
      </c>
      <c r="D569" t="n">
        <v>118</v>
      </c>
      <c r="E569" s="22">
        <f>D569-90</f>
        <v/>
      </c>
      <c r="F569" s="23" t="n">
        <v>0.017758</v>
      </c>
      <c r="G569" s="22" t="n">
        <v>33.3</v>
      </c>
      <c r="H569" s="22" t="n">
        <v>1.6</v>
      </c>
      <c r="I569" s="24" t="n">
        <v>0.0841454491019249</v>
      </c>
      <c r="J569" s="6" t="n">
        <v>71000</v>
      </c>
      <c r="K569" s="25">
        <f>23*10^-6</f>
        <v/>
      </c>
      <c r="L569" s="8">
        <f>H569</f>
        <v/>
      </c>
      <c r="M569" s="26">
        <f>H569^2/6</f>
        <v/>
      </c>
      <c r="N569" s="26">
        <f>H569^3/12</f>
        <v/>
      </c>
      <c r="O569" s="27">
        <f>-J569*L569*K569*C569</f>
        <v/>
      </c>
      <c r="P569" s="28">
        <f>-(12*F569*J569*L569*N569+12*O569*N569*G569*COS(RADIANS(E569)))/(12*N569*G569*COS(RADIANS(E569))^2+L569*G569^3*SIN(RADIANS(E569))^2)</f>
        <v/>
      </c>
      <c r="Q569" s="28">
        <f>-(6*F569*J569*L569*N569*SIN(RADIANS(E569))+6*O569*N569*G569*SIN(RADIANS(E569))*COS(RADIANS(E569)))/(12*N569*COS(RADIANS(E569))^2+L569*G569^2*SIN(RADIANS(E569))^2)</f>
        <v/>
      </c>
      <c r="R569" s="28">
        <f>-P569*SIN(RADIANS(E569))</f>
        <v/>
      </c>
      <c r="S569" s="8">
        <f>(O569+P569*COS(RADIANS(E569)))/L569</f>
        <v/>
      </c>
      <c r="T569" s="8">
        <f>R569/L569</f>
        <v/>
      </c>
      <c r="U569" s="8">
        <f>(Q569-P569*G569*SIN(RADIANS(E569)))/M569</f>
        <v/>
      </c>
      <c r="V569" s="8">
        <f>SQRT((S569+U569)^2+3*T569^2)</f>
        <v/>
      </c>
      <c r="W569" s="8">
        <f>V569/AA569</f>
        <v/>
      </c>
      <c r="X569" s="27">
        <f>((3*10+H569/COS(RADIANS(E569)))*(3+3)+3*G569*H569)*2</f>
        <v/>
      </c>
      <c r="Y569" s="28">
        <f>Z569/X569</f>
        <v/>
      </c>
      <c r="Z569" s="29" t="n">
        <v>708.040655575408</v>
      </c>
      <c r="AA569" s="20" t="n">
        <v>66.43765152041129</v>
      </c>
      <c r="AB569" t="n">
        <v>0.1042509966954429</v>
      </c>
      <c r="AC569" t="n">
        <v>65.31193715553299</v>
      </c>
      <c r="AD569" t="n">
        <v>23.89380270484293</v>
      </c>
    </row>
    <row r="570">
      <c r="A570" t="n">
        <v>569</v>
      </c>
      <c r="B570" t="n">
        <v>52.2</v>
      </c>
      <c r="C570" s="21">
        <f>B570-20</f>
        <v/>
      </c>
      <c r="D570" t="n">
        <v>101.1</v>
      </c>
      <c r="E570" s="22">
        <f>D570-90</f>
        <v/>
      </c>
      <c r="F570" s="23" t="n">
        <v>0.01182</v>
      </c>
      <c r="G570" s="22" t="n">
        <v>26.7</v>
      </c>
      <c r="H570" s="22" t="n">
        <v>1.6</v>
      </c>
      <c r="I570" s="24" t="n">
        <v>0.103201195597648</v>
      </c>
      <c r="J570" s="6" t="n">
        <v>71000</v>
      </c>
      <c r="K570" s="25">
        <f>23*10^-6</f>
        <v/>
      </c>
      <c r="L570" s="8">
        <f>H570</f>
        <v/>
      </c>
      <c r="M570" s="26">
        <f>H570^2/6</f>
        <v/>
      </c>
      <c r="N570" s="26">
        <f>H570^3/12</f>
        <v/>
      </c>
      <c r="O570" s="27">
        <f>-J570*L570*K570*C570</f>
        <v/>
      </c>
      <c r="P570" s="28">
        <f>-(12*F570*J570*L570*N570+12*O570*N570*G570*COS(RADIANS(E570)))/(12*N570*G570*COS(RADIANS(E570))^2+L570*G570^3*SIN(RADIANS(E570))^2)</f>
        <v/>
      </c>
      <c r="Q570" s="28">
        <f>-(6*F570*J570*L570*N570*SIN(RADIANS(E570))+6*O570*N570*G570*SIN(RADIANS(E570))*COS(RADIANS(E570)))/(12*N570*COS(RADIANS(E570))^2+L570*G570^2*SIN(RADIANS(E570))^2)</f>
        <v/>
      </c>
      <c r="R570" s="28">
        <f>-P570*SIN(RADIANS(E570))</f>
        <v/>
      </c>
      <c r="S570" s="8">
        <f>(O570+P570*COS(RADIANS(E570)))/L570</f>
        <v/>
      </c>
      <c r="T570" s="8">
        <f>R570/L570</f>
        <v/>
      </c>
      <c r="U570" s="8">
        <f>(Q570-P570*G570*SIN(RADIANS(E570)))/M570</f>
        <v/>
      </c>
      <c r="V570" s="8">
        <f>SQRT((S570+U570)^2+3*T570^2)</f>
        <v/>
      </c>
      <c r="W570" s="8">
        <f>V570/AA570</f>
        <v/>
      </c>
      <c r="X570" s="27">
        <f>((3*10+H570/COS(RADIANS(E570)))*(3+3)+3*G570*H570)*2</f>
        <v/>
      </c>
      <c r="Y570" s="28">
        <f>Z570/X570</f>
        <v/>
      </c>
      <c r="Z570" s="29" t="n">
        <v>639.777192982098</v>
      </c>
      <c r="AA570" s="20" t="n">
        <v>54.7080526480162</v>
      </c>
      <c r="AB570" t="n">
        <v>0.1488547317868638</v>
      </c>
      <c r="AC570" t="n">
        <v>55.97539988019795</v>
      </c>
      <c r="AD570" t="n">
        <v>44.23741016257789</v>
      </c>
    </row>
    <row r="571">
      <c r="A571" t="n">
        <v>570</v>
      </c>
      <c r="B571" t="n">
        <v>57.9</v>
      </c>
      <c r="C571" s="21">
        <f>B571-20</f>
        <v/>
      </c>
      <c r="D571" t="n">
        <v>118.4</v>
      </c>
      <c r="E571" s="22">
        <f>D571-90</f>
        <v/>
      </c>
      <c r="F571" s="23" t="n">
        <v>0.013956</v>
      </c>
      <c r="G571" s="22" t="n">
        <v>29.9</v>
      </c>
      <c r="H571" s="22" t="n">
        <v>1.4</v>
      </c>
      <c r="I571" s="24" t="n">
        <v>0.066666230559349</v>
      </c>
      <c r="J571" s="6" t="n">
        <v>71000</v>
      </c>
      <c r="K571" s="25">
        <f>23*10^-6</f>
        <v/>
      </c>
      <c r="L571" s="8">
        <f>H571</f>
        <v/>
      </c>
      <c r="M571" s="26">
        <f>H571^2/6</f>
        <v/>
      </c>
      <c r="N571" s="26">
        <f>H571^3/12</f>
        <v/>
      </c>
      <c r="O571" s="27">
        <f>-J571*L571*K571*C571</f>
        <v/>
      </c>
      <c r="P571" s="28">
        <f>-(12*F571*J571*L571*N571+12*O571*N571*G571*COS(RADIANS(E571)))/(12*N571*G571*COS(RADIANS(E571))^2+L571*G571^3*SIN(RADIANS(E571))^2)</f>
        <v/>
      </c>
      <c r="Q571" s="28">
        <f>-(6*F571*J571*L571*N571*SIN(RADIANS(E571))+6*O571*N571*G571*SIN(RADIANS(E571))*COS(RADIANS(E571)))/(12*N571*COS(RADIANS(E571))^2+L571*G571^2*SIN(RADIANS(E571))^2)</f>
        <v/>
      </c>
      <c r="R571" s="28">
        <f>-P571*SIN(RADIANS(E571))</f>
        <v/>
      </c>
      <c r="S571" s="8">
        <f>(O571+P571*COS(RADIANS(E571)))/L571</f>
        <v/>
      </c>
      <c r="T571" s="8">
        <f>R571/L571</f>
        <v/>
      </c>
      <c r="U571" s="8">
        <f>(Q571-P571*G571*SIN(RADIANS(E571)))/M571</f>
        <v/>
      </c>
      <c r="V571" s="8">
        <f>SQRT((S571+U571)^2+3*T571^2)</f>
        <v/>
      </c>
      <c r="W571" s="8">
        <f>V571/AA571</f>
        <v/>
      </c>
      <c r="X571" s="27">
        <f>((3*10+H571/COS(RADIANS(E571)))*(3+3)+3*G571*H571)*2</f>
        <v/>
      </c>
      <c r="Y571" s="28">
        <f>Z571/X571</f>
        <v/>
      </c>
      <c r="Z571" s="29" t="n">
        <v>636.97578841881</v>
      </c>
      <c r="AA571" s="20" t="n">
        <v>55.4066916707078</v>
      </c>
      <c r="AB571" t="n">
        <v>0.07995446033636902</v>
      </c>
      <c r="AC571" t="n">
        <v>55.89211515481436</v>
      </c>
      <c r="AD571" t="n">
        <v>19.93247505600349</v>
      </c>
    </row>
    <row r="572">
      <c r="A572" t="n">
        <v>571</v>
      </c>
      <c r="B572" t="n">
        <v>53.6</v>
      </c>
      <c r="C572" s="21">
        <f>B572-20</f>
        <v/>
      </c>
      <c r="D572" t="n">
        <v>114.8</v>
      </c>
      <c r="E572" s="22">
        <f>D572-90</f>
        <v/>
      </c>
      <c r="F572" s="23" t="n">
        <v>0.011304</v>
      </c>
      <c r="G572" s="22" t="n">
        <v>25.9</v>
      </c>
      <c r="H572" s="22" t="n">
        <v>1.3</v>
      </c>
      <c r="I572" s="24" t="n">
        <v>0.0590507984161376</v>
      </c>
      <c r="J572" s="6" t="n">
        <v>71000</v>
      </c>
      <c r="K572" s="25">
        <f>23*10^-6</f>
        <v/>
      </c>
      <c r="L572" s="8">
        <f>H572</f>
        <v/>
      </c>
      <c r="M572" s="26">
        <f>H572^2/6</f>
        <v/>
      </c>
      <c r="N572" s="26">
        <f>H572^3/12</f>
        <v/>
      </c>
      <c r="O572" s="27">
        <f>-J572*L572*K572*C572</f>
        <v/>
      </c>
      <c r="P572" s="28">
        <f>-(12*F572*J572*L572*N572+12*O572*N572*G572*COS(RADIANS(E572)))/(12*N572*G572*COS(RADIANS(E572))^2+L572*G572^3*SIN(RADIANS(E572))^2)</f>
        <v/>
      </c>
      <c r="Q572" s="28">
        <f>-(6*F572*J572*L572*N572*SIN(RADIANS(E572))+6*O572*N572*G572*SIN(RADIANS(E572))*COS(RADIANS(E572)))/(12*N572*COS(RADIANS(E572))^2+L572*G572^2*SIN(RADIANS(E572))^2)</f>
        <v/>
      </c>
      <c r="R572" s="28">
        <f>-P572*SIN(RADIANS(E572))</f>
        <v/>
      </c>
      <c r="S572" s="8">
        <f>(O572+P572*COS(RADIANS(E572)))/L572</f>
        <v/>
      </c>
      <c r="T572" s="8">
        <f>R572/L572</f>
        <v/>
      </c>
      <c r="U572" s="8">
        <f>(Q572-P572*G572*SIN(RADIANS(E572)))/M572</f>
        <v/>
      </c>
      <c r="V572" s="8">
        <f>SQRT((S572+U572)^2+3*T572^2)</f>
        <v/>
      </c>
      <c r="W572" s="8">
        <f>V572/AA572</f>
        <v/>
      </c>
      <c r="X572" s="27">
        <f>((3*10+H572/COS(RADIANS(E572)))*(3+3)+3*G572*H572)*2</f>
        <v/>
      </c>
      <c r="Y572" s="28">
        <f>Z572/X572</f>
        <v/>
      </c>
      <c r="Z572" s="29" t="n">
        <v>585.076654781688</v>
      </c>
      <c r="AA572" s="20" t="n">
        <v>49.6231529640941</v>
      </c>
      <c r="AB572" t="n">
        <v>0.07127974706079052</v>
      </c>
      <c r="AC572" t="n">
        <v>50.42251300538857</v>
      </c>
      <c r="AD572" t="n">
        <v>20.70920118382506</v>
      </c>
    </row>
    <row r="573">
      <c r="A573" t="n">
        <v>572</v>
      </c>
      <c r="B573" t="n">
        <v>47.4</v>
      </c>
      <c r="C573" s="21">
        <f>B573-20</f>
        <v/>
      </c>
      <c r="D573" t="n">
        <v>128.1</v>
      </c>
      <c r="E573" s="22">
        <f>D573-90</f>
        <v/>
      </c>
      <c r="F573" s="23" t="n">
        <v>0.006839</v>
      </c>
      <c r="G573" s="22" t="n">
        <v>20.2</v>
      </c>
      <c r="H573" s="22" t="n">
        <v>1.6</v>
      </c>
      <c r="I573" s="24" t="n">
        <v>0.0314092375338077</v>
      </c>
      <c r="J573" s="6" t="n">
        <v>71000</v>
      </c>
      <c r="K573" s="25">
        <f>23*10^-6</f>
        <v/>
      </c>
      <c r="L573" s="8">
        <f>H573</f>
        <v/>
      </c>
      <c r="M573" s="26">
        <f>H573^2/6</f>
        <v/>
      </c>
      <c r="N573" s="26">
        <f>H573^3/12</f>
        <v/>
      </c>
      <c r="O573" s="27">
        <f>-J573*L573*K573*C573</f>
        <v/>
      </c>
      <c r="P573" s="28">
        <f>-(12*F573*J573*L573*N573+12*O573*N573*G573*COS(RADIANS(E573)))/(12*N573*G573*COS(RADIANS(E573))^2+L573*G573^3*SIN(RADIANS(E573))^2)</f>
        <v/>
      </c>
      <c r="Q573" s="28">
        <f>-(6*F573*J573*L573*N573*SIN(RADIANS(E573))+6*O573*N573*G573*SIN(RADIANS(E573))*COS(RADIANS(E573)))/(12*N573*COS(RADIANS(E573))^2+L573*G573^2*SIN(RADIANS(E573))^2)</f>
        <v/>
      </c>
      <c r="R573" s="28">
        <f>-P573*SIN(RADIANS(E573))</f>
        <v/>
      </c>
      <c r="S573" s="8">
        <f>(O573+P573*COS(RADIANS(E573)))/L573</f>
        <v/>
      </c>
      <c r="T573" s="8">
        <f>R573/L573</f>
        <v/>
      </c>
      <c r="U573" s="8">
        <f>(Q573-P573*G573*SIN(RADIANS(E573)))/M573</f>
        <v/>
      </c>
      <c r="V573" s="8">
        <f>SQRT((S573+U573)^2+3*T573^2)</f>
        <v/>
      </c>
      <c r="W573" s="8">
        <f>V573/AA573</f>
        <v/>
      </c>
      <c r="X573" s="27">
        <f>((3*10+H573/COS(RADIANS(E573)))*(3+3)+3*G573*H573)*2</f>
        <v/>
      </c>
      <c r="Y573" s="28">
        <f>Z573/X573</f>
        <v/>
      </c>
      <c r="Z573" s="29" t="n">
        <v>588.250156791842</v>
      </c>
      <c r="AA573" s="20" t="n">
        <v>42.9520966126968</v>
      </c>
      <c r="AB573" t="n">
        <v>0.02900295752143699</v>
      </c>
      <c r="AC573" t="n">
        <v>40.18651592531722</v>
      </c>
      <c r="AD573" t="n">
        <v>-7.661058342408592</v>
      </c>
    </row>
    <row r="574">
      <c r="A574" t="n">
        <v>573</v>
      </c>
      <c r="B574" t="n">
        <v>72</v>
      </c>
      <c r="C574" s="21">
        <f>B574-20</f>
        <v/>
      </c>
      <c r="D574" t="n">
        <v>125.7</v>
      </c>
      <c r="E574" s="22">
        <f>D574-90</f>
        <v/>
      </c>
      <c r="F574" s="23" t="n">
        <v>0.01978</v>
      </c>
      <c r="G574" s="22" t="n">
        <v>33.7</v>
      </c>
      <c r="H574" s="22" t="n">
        <v>1.9</v>
      </c>
      <c r="I574" s="24" t="n">
        <v>0.08553287386894221</v>
      </c>
      <c r="J574" s="6" t="n">
        <v>71000</v>
      </c>
      <c r="K574" s="25">
        <f>23*10^-6</f>
        <v/>
      </c>
      <c r="L574" s="8">
        <f>H574</f>
        <v/>
      </c>
      <c r="M574" s="26">
        <f>H574^2/6</f>
        <v/>
      </c>
      <c r="N574" s="26">
        <f>H574^3/12</f>
        <v/>
      </c>
      <c r="O574" s="27">
        <f>-J574*L574*K574*C574</f>
        <v/>
      </c>
      <c r="P574" s="28">
        <f>-(12*F574*J574*L574*N574+12*O574*N574*G574*COS(RADIANS(E574)))/(12*N574*G574*COS(RADIANS(E574))^2+L574*G574^3*SIN(RADIANS(E574))^2)</f>
        <v/>
      </c>
      <c r="Q574" s="28">
        <f>-(6*F574*J574*L574*N574*SIN(RADIANS(E574))+6*O574*N574*G574*SIN(RADIANS(E574))*COS(RADIANS(E574)))/(12*N574*COS(RADIANS(E574))^2+L574*G574^2*SIN(RADIANS(E574))^2)</f>
        <v/>
      </c>
      <c r="R574" s="28">
        <f>-P574*SIN(RADIANS(E574))</f>
        <v/>
      </c>
      <c r="S574" s="8">
        <f>(O574+P574*COS(RADIANS(E574)))/L574</f>
        <v/>
      </c>
      <c r="T574" s="8">
        <f>R574/L574</f>
        <v/>
      </c>
      <c r="U574" s="8">
        <f>(Q574-P574*G574*SIN(RADIANS(E574)))/M574</f>
        <v/>
      </c>
      <c r="V574" s="8">
        <f>SQRT((S574+U574)^2+3*T574^2)</f>
        <v/>
      </c>
      <c r="W574" s="8">
        <f>V574/AA574</f>
        <v/>
      </c>
      <c r="X574" s="27">
        <f>((3*10+H574/COS(RADIANS(E574)))*(3+3)+3*G574*H574)*2</f>
        <v/>
      </c>
      <c r="Y574" s="28">
        <f>Z574/X574</f>
        <v/>
      </c>
      <c r="Z574" s="29" t="n">
        <v>781.243169266992</v>
      </c>
      <c r="AA574" s="20" t="n">
        <v>80.69088296519359</v>
      </c>
      <c r="AB574" t="n">
        <v>0.09591892968533373</v>
      </c>
      <c r="AC574" t="n">
        <v>76.13853904226561</v>
      </c>
      <c r="AD574" t="n">
        <v>12.14276493539264</v>
      </c>
    </row>
    <row r="575">
      <c r="A575" t="n">
        <v>574</v>
      </c>
      <c r="B575" t="n">
        <v>59.4</v>
      </c>
      <c r="C575" s="21">
        <f>B575-20</f>
        <v/>
      </c>
      <c r="D575" t="n">
        <v>124.3</v>
      </c>
      <c r="E575" s="22">
        <f>D575-90</f>
        <v/>
      </c>
      <c r="F575" s="23" t="n">
        <v>0.013196</v>
      </c>
      <c r="G575" s="22" t="n">
        <v>28.3</v>
      </c>
      <c r="H575" s="22" t="n">
        <v>1.2</v>
      </c>
      <c r="I575" s="24" t="n">
        <v>0.0589897520840168</v>
      </c>
      <c r="J575" s="6" t="n">
        <v>71000</v>
      </c>
      <c r="K575" s="25">
        <f>23*10^-6</f>
        <v/>
      </c>
      <c r="L575" s="8">
        <f>H575</f>
        <v/>
      </c>
      <c r="M575" s="26">
        <f>H575^2/6</f>
        <v/>
      </c>
      <c r="N575" s="26">
        <f>H575^3/12</f>
        <v/>
      </c>
      <c r="O575" s="27">
        <f>-J575*L575*K575*C575</f>
        <v/>
      </c>
      <c r="P575" s="28">
        <f>-(12*F575*J575*L575*N575+12*O575*N575*G575*COS(RADIANS(E575)))/(12*N575*G575*COS(RADIANS(E575))^2+L575*G575^3*SIN(RADIANS(E575))^2)</f>
        <v/>
      </c>
      <c r="Q575" s="28">
        <f>-(6*F575*J575*L575*N575*SIN(RADIANS(E575))+6*O575*N575*G575*SIN(RADIANS(E575))*COS(RADIANS(E575)))/(12*N575*COS(RADIANS(E575))^2+L575*G575^2*SIN(RADIANS(E575))^2)</f>
        <v/>
      </c>
      <c r="R575" s="28">
        <f>-P575*SIN(RADIANS(E575))</f>
        <v/>
      </c>
      <c r="S575" s="8">
        <f>(O575+P575*COS(RADIANS(E575)))/L575</f>
        <v/>
      </c>
      <c r="T575" s="8">
        <f>R575/L575</f>
        <v/>
      </c>
      <c r="U575" s="8">
        <f>(Q575-P575*G575*SIN(RADIANS(E575)))/M575</f>
        <v/>
      </c>
      <c r="V575" s="8">
        <f>SQRT((S575+U575)^2+3*T575^2)</f>
        <v/>
      </c>
      <c r="W575" s="8">
        <f>V575/AA575</f>
        <v/>
      </c>
      <c r="X575" s="27">
        <f>((3*10+H575/COS(RADIANS(E575)))*(3+3)+3*G575*H575)*2</f>
        <v/>
      </c>
      <c r="Y575" s="28">
        <f>Z575/X575</f>
        <v/>
      </c>
      <c r="Z575" s="29" t="n">
        <v>589.677201928832</v>
      </c>
      <c r="AA575" s="20" t="n">
        <v>54.2729480750871</v>
      </c>
      <c r="AB575" t="n">
        <v>0.0645687979754498</v>
      </c>
      <c r="AC575" t="n">
        <v>56.5496512939901</v>
      </c>
      <c r="AD575" t="n">
        <v>9.457652718199229</v>
      </c>
    </row>
    <row r="576">
      <c r="A576" t="n">
        <v>575</v>
      </c>
      <c r="B576" t="n">
        <v>45.6</v>
      </c>
      <c r="C576" s="21">
        <f>B576-20</f>
        <v/>
      </c>
      <c r="D576" t="n">
        <v>105</v>
      </c>
      <c r="E576" s="22">
        <f>D576-90</f>
        <v/>
      </c>
      <c r="F576" s="23" t="n">
        <v>0.011166</v>
      </c>
      <c r="G576" s="22" t="n">
        <v>33.4</v>
      </c>
      <c r="H576" s="22" t="n">
        <v>1.3</v>
      </c>
      <c r="I576" s="24" t="n">
        <v>0.07892944663763039</v>
      </c>
      <c r="J576" s="6" t="n">
        <v>71000</v>
      </c>
      <c r="K576" s="25">
        <f>23*10^-6</f>
        <v/>
      </c>
      <c r="L576" s="8">
        <f>H576</f>
        <v/>
      </c>
      <c r="M576" s="26">
        <f>H576^2/6</f>
        <v/>
      </c>
      <c r="N576" s="26">
        <f>H576^3/12</f>
        <v/>
      </c>
      <c r="O576" s="27">
        <f>-J576*L576*K576*C576</f>
        <v/>
      </c>
      <c r="P576" s="28">
        <f>-(12*F576*J576*L576*N576+12*O576*N576*G576*COS(RADIANS(E576)))/(12*N576*G576*COS(RADIANS(E576))^2+L576*G576^3*SIN(RADIANS(E576))^2)</f>
        <v/>
      </c>
      <c r="Q576" s="28">
        <f>-(6*F576*J576*L576*N576*SIN(RADIANS(E576))+6*O576*N576*G576*SIN(RADIANS(E576))*COS(RADIANS(E576)))/(12*N576*COS(RADIANS(E576))^2+L576*G576^2*SIN(RADIANS(E576))^2)</f>
        <v/>
      </c>
      <c r="R576" s="28">
        <f>-P576*SIN(RADIANS(E576))</f>
        <v/>
      </c>
      <c r="S576" s="8">
        <f>(O576+P576*COS(RADIANS(E576)))/L576</f>
        <v/>
      </c>
      <c r="T576" s="8">
        <f>R576/L576</f>
        <v/>
      </c>
      <c r="U576" s="8">
        <f>(Q576-P576*G576*SIN(RADIANS(E576)))/M576</f>
        <v/>
      </c>
      <c r="V576" s="8">
        <f>SQRT((S576+U576)^2+3*T576^2)</f>
        <v/>
      </c>
      <c r="W576" s="8">
        <f>V576/AA576</f>
        <v/>
      </c>
      <c r="X576" s="27">
        <f>((3*10+H576/COS(RADIANS(E576)))*(3+3)+3*G576*H576)*2</f>
        <v/>
      </c>
      <c r="Y576" s="28">
        <f>Z576/X576</f>
        <v/>
      </c>
      <c r="Z576" s="29" t="n">
        <v>640.95056612988</v>
      </c>
      <c r="AA576" s="20" t="n">
        <v>38.2539312995252</v>
      </c>
      <c r="AB576" t="n">
        <v>0.1151635811366701</v>
      </c>
      <c r="AC576" t="n">
        <v>40.13946765390946</v>
      </c>
      <c r="AD576" t="n">
        <v>45.90699167750743</v>
      </c>
    </row>
    <row r="577">
      <c r="A577" t="n">
        <v>576</v>
      </c>
      <c r="B577" t="n">
        <v>51.7</v>
      </c>
      <c r="C577" s="21">
        <f>B577-20</f>
        <v/>
      </c>
      <c r="D577" t="n">
        <v>101.5</v>
      </c>
      <c r="E577" s="22">
        <f>D577-90</f>
        <v/>
      </c>
      <c r="F577" s="23" t="n">
        <v>0.01049</v>
      </c>
      <c r="G577" s="22" t="n">
        <v>23.5</v>
      </c>
      <c r="H577" s="22" t="n">
        <v>1.2</v>
      </c>
      <c r="I577" s="24" t="n">
        <v>0.0923208594322204</v>
      </c>
      <c r="J577" s="6" t="n">
        <v>71000</v>
      </c>
      <c r="K577" s="25">
        <f>23*10^-6</f>
        <v/>
      </c>
      <c r="L577" s="8">
        <f>H577</f>
        <v/>
      </c>
      <c r="M577" s="26">
        <f>H577^2/6</f>
        <v/>
      </c>
      <c r="N577" s="26">
        <f>H577^3/12</f>
        <v/>
      </c>
      <c r="O577" s="27">
        <f>-J577*L577*K577*C577</f>
        <v/>
      </c>
      <c r="P577" s="28">
        <f>-(12*F577*J577*L577*N577+12*O577*N577*G577*COS(RADIANS(E577)))/(12*N577*G577*COS(RADIANS(E577))^2+L577*G577^3*SIN(RADIANS(E577))^2)</f>
        <v/>
      </c>
      <c r="Q577" s="28">
        <f>-(6*F577*J577*L577*N577*SIN(RADIANS(E577))+6*O577*N577*G577*SIN(RADIANS(E577))*COS(RADIANS(E577)))/(12*N577*COS(RADIANS(E577))^2+L577*G577^2*SIN(RADIANS(E577))^2)</f>
        <v/>
      </c>
      <c r="R577" s="28">
        <f>-P577*SIN(RADIANS(E577))</f>
        <v/>
      </c>
      <c r="S577" s="8">
        <f>(O577+P577*COS(RADIANS(E577)))/L577</f>
        <v/>
      </c>
      <c r="T577" s="8">
        <f>R577/L577</f>
        <v/>
      </c>
      <c r="U577" s="8">
        <f>(Q577-P577*G577*SIN(RADIANS(E577)))/M577</f>
        <v/>
      </c>
      <c r="V577" s="8">
        <f>SQRT((S577+U577)^2+3*T577^2)</f>
        <v/>
      </c>
      <c r="W577" s="8">
        <f>V577/AA577</f>
        <v/>
      </c>
      <c r="X577" s="27">
        <f>((3*10+H577/COS(RADIANS(E577)))*(3+3)+3*G577*H577)*2</f>
        <v/>
      </c>
      <c r="Y577" s="28">
        <f>Z577/X577</f>
        <v/>
      </c>
      <c r="Z577" s="29" t="n">
        <v>547.82031364712</v>
      </c>
      <c r="AA577" s="20" t="n">
        <v>49.1491088137155</v>
      </c>
      <c r="AB577" t="n">
        <v>0.1292269275796051</v>
      </c>
      <c r="AC577" t="n">
        <v>52.94706478850503</v>
      </c>
      <c r="AD577" t="n">
        <v>39.97587151415132</v>
      </c>
    </row>
    <row r="578">
      <c r="A578" t="n">
        <v>577</v>
      </c>
      <c r="B578" t="n">
        <v>66.7</v>
      </c>
      <c r="C578" s="21">
        <f>B578-20</f>
        <v/>
      </c>
      <c r="D578" t="n">
        <v>127.9</v>
      </c>
      <c r="E578" s="22">
        <f>D578-90</f>
        <v/>
      </c>
      <c r="F578" s="23" t="n">
        <v>0.012436</v>
      </c>
      <c r="G578" s="22" t="n">
        <v>22</v>
      </c>
      <c r="H578" s="22" t="n">
        <v>1.6</v>
      </c>
      <c r="I578" s="24" t="n">
        <v>0.0564203858375549</v>
      </c>
      <c r="J578" s="6" t="n">
        <v>71000</v>
      </c>
      <c r="K578" s="25">
        <f>23*10^-6</f>
        <v/>
      </c>
      <c r="L578" s="8">
        <f>H578</f>
        <v/>
      </c>
      <c r="M578" s="26">
        <f>H578^2/6</f>
        <v/>
      </c>
      <c r="N578" s="26">
        <f>H578^3/12</f>
        <v/>
      </c>
      <c r="O578" s="27">
        <f>-J578*L578*K578*C578</f>
        <v/>
      </c>
      <c r="P578" s="28">
        <f>-(12*F578*J578*L578*N578+12*O578*N578*G578*COS(RADIANS(E578)))/(12*N578*G578*COS(RADIANS(E578))^2+L578*G578^3*SIN(RADIANS(E578))^2)</f>
        <v/>
      </c>
      <c r="Q578" s="28">
        <f>-(6*F578*J578*L578*N578*SIN(RADIANS(E578))+6*O578*N578*G578*SIN(RADIANS(E578))*COS(RADIANS(E578)))/(12*N578*COS(RADIANS(E578))^2+L578*G578^2*SIN(RADIANS(E578))^2)</f>
        <v/>
      </c>
      <c r="R578" s="28">
        <f>-P578*SIN(RADIANS(E578))</f>
        <v/>
      </c>
      <c r="S578" s="8">
        <f>(O578+P578*COS(RADIANS(E578)))/L578</f>
        <v/>
      </c>
      <c r="T578" s="8">
        <f>R578/L578</f>
        <v/>
      </c>
      <c r="U578" s="8">
        <f>(Q578-P578*G578*SIN(RADIANS(E578)))/M578</f>
        <v/>
      </c>
      <c r="V578" s="8">
        <f>SQRT((S578+U578)^2+3*T578^2)</f>
        <v/>
      </c>
      <c r="W578" s="8">
        <f>V578/AA578</f>
        <v/>
      </c>
      <c r="X578" s="27">
        <f>((3*10+H578/COS(RADIANS(E578)))*(3+3)+3*G578*H578)*2</f>
        <v/>
      </c>
      <c r="Y578" s="28">
        <f>Z578/X578</f>
        <v/>
      </c>
      <c r="Z578" s="29" t="n">
        <v>605.380646630387</v>
      </c>
      <c r="AA578" s="20" t="n">
        <v>71.667423495622</v>
      </c>
      <c r="AB578" t="n">
        <v>0.05388813457954911</v>
      </c>
      <c r="AC578" t="n">
        <v>68.34738211891126</v>
      </c>
      <c r="AD578" t="n">
        <v>-4.488184936020512</v>
      </c>
    </row>
    <row r="579">
      <c r="A579" t="n">
        <v>578</v>
      </c>
      <c r="B579" t="n">
        <v>49.9</v>
      </c>
      <c r="C579" s="21">
        <f>B579-20</f>
        <v/>
      </c>
      <c r="D579" t="n">
        <v>102.9</v>
      </c>
      <c r="E579" s="22">
        <f>D579-90</f>
        <v/>
      </c>
      <c r="F579" s="23" t="n">
        <v>0.011083</v>
      </c>
      <c r="G579" s="22" t="n">
        <v>27.2</v>
      </c>
      <c r="H579" s="22" t="n">
        <v>1.6</v>
      </c>
      <c r="I579" s="24" t="n">
        <v>0.0873697623610496</v>
      </c>
      <c r="J579" s="6" t="n">
        <v>71000</v>
      </c>
      <c r="K579" s="25">
        <f>23*10^-6</f>
        <v/>
      </c>
      <c r="L579" s="8">
        <f>H579</f>
        <v/>
      </c>
      <c r="M579" s="26">
        <f>H579^2/6</f>
        <v/>
      </c>
      <c r="N579" s="26">
        <f>H579^3/12</f>
        <v/>
      </c>
      <c r="O579" s="27">
        <f>-J579*L579*K579*C579</f>
        <v/>
      </c>
      <c r="P579" s="28">
        <f>-(12*F579*J579*L579*N579+12*O579*N579*G579*COS(RADIANS(E579)))/(12*N579*G579*COS(RADIANS(E579))^2+L579*G579^3*SIN(RADIANS(E579))^2)</f>
        <v/>
      </c>
      <c r="Q579" s="28">
        <f>-(6*F579*J579*L579*N579*SIN(RADIANS(E579))+6*O579*N579*G579*SIN(RADIANS(E579))*COS(RADIANS(E579)))/(12*N579*COS(RADIANS(E579))^2+L579*G579^2*SIN(RADIANS(E579))^2)</f>
        <v/>
      </c>
      <c r="R579" s="28">
        <f>-P579*SIN(RADIANS(E579))</f>
        <v/>
      </c>
      <c r="S579" s="8">
        <f>(O579+P579*COS(RADIANS(E579)))/L579</f>
        <v/>
      </c>
      <c r="T579" s="8">
        <f>R579/L579</f>
        <v/>
      </c>
      <c r="U579" s="8">
        <f>(Q579-P579*G579*SIN(RADIANS(E579)))/M579</f>
        <v/>
      </c>
      <c r="V579" s="8">
        <f>SQRT((S579+U579)^2+3*T579^2)</f>
        <v/>
      </c>
      <c r="W579" s="8">
        <f>V579/AA579</f>
        <v/>
      </c>
      <c r="X579" s="27">
        <f>((3*10+H579/COS(RADIANS(E579)))*(3+3)+3*G579*H579)*2</f>
        <v/>
      </c>
      <c r="Y579" s="28">
        <f>Z579/X579</f>
        <v/>
      </c>
      <c r="Z579" s="29" t="n">
        <v>644.872176592317</v>
      </c>
      <c r="AA579" s="20" t="n">
        <v>49.7412342660961</v>
      </c>
      <c r="AB579" t="n">
        <v>0.1238393592398915</v>
      </c>
      <c r="AC579" t="n">
        <v>50.5705290303631</v>
      </c>
      <c r="AD579" t="n">
        <v>41.74166884892487</v>
      </c>
    </row>
    <row r="580">
      <c r="A580" t="n">
        <v>579</v>
      </c>
      <c r="B580" t="n">
        <v>74.59999999999999</v>
      </c>
      <c r="C580" s="21">
        <f>B580-20</f>
        <v/>
      </c>
      <c r="D580" t="n">
        <v>108.6</v>
      </c>
      <c r="E580" s="22">
        <f>D580-90</f>
        <v/>
      </c>
      <c r="F580" s="23" t="n">
        <v>0.022671</v>
      </c>
      <c r="G580" s="22" t="n">
        <v>32.1</v>
      </c>
      <c r="H580" s="22" t="n">
        <v>1.5</v>
      </c>
      <c r="I580" s="24" t="n">
        <v>0.137477070093154</v>
      </c>
      <c r="J580" s="6" t="n">
        <v>71000</v>
      </c>
      <c r="K580" s="25">
        <f>23*10^-6</f>
        <v/>
      </c>
      <c r="L580" s="8">
        <f>H580</f>
        <v/>
      </c>
      <c r="M580" s="26">
        <f>H580^2/6</f>
        <v/>
      </c>
      <c r="N580" s="26">
        <f>H580^3/12</f>
        <v/>
      </c>
      <c r="O580" s="27">
        <f>-J580*L580*K580*C580</f>
        <v/>
      </c>
      <c r="P580" s="28">
        <f>-(12*F580*J580*L580*N580+12*O580*N580*G580*COS(RADIANS(E580)))/(12*N580*G580*COS(RADIANS(E580))^2+L580*G580^3*SIN(RADIANS(E580))^2)</f>
        <v/>
      </c>
      <c r="Q580" s="28">
        <f>-(6*F580*J580*L580*N580*SIN(RADIANS(E580))+6*O580*N580*G580*SIN(RADIANS(E580))*COS(RADIANS(E580)))/(12*N580*COS(RADIANS(E580))^2+L580*G580^2*SIN(RADIANS(E580))^2)</f>
        <v/>
      </c>
      <c r="R580" s="28">
        <f>-P580*SIN(RADIANS(E580))</f>
        <v/>
      </c>
      <c r="S580" s="8">
        <f>(O580+P580*COS(RADIANS(E580)))/L580</f>
        <v/>
      </c>
      <c r="T580" s="8">
        <f>R580/L580</f>
        <v/>
      </c>
      <c r="U580" s="8">
        <f>(Q580-P580*G580*SIN(RADIANS(E580)))/M580</f>
        <v/>
      </c>
      <c r="V580" s="8">
        <f>SQRT((S580+U580)^2+3*T580^2)</f>
        <v/>
      </c>
      <c r="W580" s="8">
        <f>V580/AA580</f>
        <v/>
      </c>
      <c r="X580" s="27">
        <f>((3*10+H580/COS(RADIANS(E580)))*(3+3)+3*G580*H580)*2</f>
        <v/>
      </c>
      <c r="Y580" s="28">
        <f>Z580/X580</f>
        <v/>
      </c>
      <c r="Z580" s="29" t="n">
        <v>672.648252616831</v>
      </c>
      <c r="AA580" s="20" t="n">
        <v>83.5446068604509</v>
      </c>
      <c r="AB580" t="n">
        <v>0.18994088343388</v>
      </c>
      <c r="AC580" t="n">
        <v>84.95678287017826</v>
      </c>
      <c r="AD580" t="n">
        <v>38.16186459689363</v>
      </c>
    </row>
    <row r="581">
      <c r="A581" t="n">
        <v>580</v>
      </c>
      <c r="B581" t="n">
        <v>71</v>
      </c>
      <c r="C581" s="21">
        <f>B581-20</f>
        <v/>
      </c>
      <c r="D581" t="n">
        <v>123.5</v>
      </c>
      <c r="E581" s="22">
        <f>D581-90</f>
        <v/>
      </c>
      <c r="F581" s="23" t="n">
        <v>0.017257</v>
      </c>
      <c r="G581" s="22" t="n">
        <v>28.4</v>
      </c>
      <c r="H581" s="22" t="n">
        <v>1.7</v>
      </c>
      <c r="I581" s="24" t="n">
        <v>0.0778239145874977</v>
      </c>
      <c r="J581" s="6" t="n">
        <v>71000</v>
      </c>
      <c r="K581" s="25">
        <f>23*10^-6</f>
        <v/>
      </c>
      <c r="L581" s="8">
        <f>H581</f>
        <v/>
      </c>
      <c r="M581" s="26">
        <f>H581^2/6</f>
        <v/>
      </c>
      <c r="N581" s="26">
        <f>H581^3/12</f>
        <v/>
      </c>
      <c r="O581" s="27">
        <f>-J581*L581*K581*C581</f>
        <v/>
      </c>
      <c r="P581" s="28">
        <f>-(12*F581*J581*L581*N581+12*O581*N581*G581*COS(RADIANS(E581)))/(12*N581*G581*COS(RADIANS(E581))^2+L581*G581^3*SIN(RADIANS(E581))^2)</f>
        <v/>
      </c>
      <c r="Q581" s="28">
        <f>-(6*F581*J581*L581*N581*SIN(RADIANS(E581))+6*O581*N581*G581*SIN(RADIANS(E581))*COS(RADIANS(E581)))/(12*N581*COS(RADIANS(E581))^2+L581*G581^2*SIN(RADIANS(E581))^2)</f>
        <v/>
      </c>
      <c r="R581" s="28">
        <f>-P581*SIN(RADIANS(E581))</f>
        <v/>
      </c>
      <c r="S581" s="8">
        <f>(O581+P581*COS(RADIANS(E581)))/L581</f>
        <v/>
      </c>
      <c r="T581" s="8">
        <f>R581/L581</f>
        <v/>
      </c>
      <c r="U581" s="8">
        <f>(Q581-P581*G581*SIN(RADIANS(E581)))/M581</f>
        <v/>
      </c>
      <c r="V581" s="8">
        <f>SQRT((S581+U581)^2+3*T581^2)</f>
        <v/>
      </c>
      <c r="W581" s="8">
        <f>V581/AA581</f>
        <v/>
      </c>
      <c r="X581" s="27">
        <f>((3*10+H581/COS(RADIANS(E581)))*(3+3)+3*G581*H581)*2</f>
        <v/>
      </c>
      <c r="Y581" s="28">
        <f>Z581/X581</f>
        <v/>
      </c>
      <c r="Z581" s="29" t="n">
        <v>682.358328869719</v>
      </c>
      <c r="AA581" s="20" t="n">
        <v>78.1885176735146</v>
      </c>
      <c r="AB581" t="n">
        <v>0.08563602865668202</v>
      </c>
      <c r="AC581" t="n">
        <v>75.27130808372192</v>
      </c>
      <c r="AD581" t="n">
        <v>10.03819212974841</v>
      </c>
    </row>
    <row r="582">
      <c r="A582" t="n">
        <v>581</v>
      </c>
      <c r="B582" t="n">
        <v>82.90000000000001</v>
      </c>
      <c r="C582" s="21">
        <f>B582-20</f>
        <v/>
      </c>
      <c r="D582" t="n">
        <v>108.8</v>
      </c>
      <c r="E582" s="22">
        <f>D582-90</f>
        <v/>
      </c>
      <c r="F582" s="23" t="n">
        <v>0.022766</v>
      </c>
      <c r="G582" s="22" t="n">
        <v>27.2</v>
      </c>
      <c r="H582" s="22" t="n">
        <v>1.6</v>
      </c>
      <c r="I582" s="24" t="n">
        <v>0.139166489243507</v>
      </c>
      <c r="J582" s="6" t="n">
        <v>71000</v>
      </c>
      <c r="K582" s="25">
        <f>23*10^-6</f>
        <v/>
      </c>
      <c r="L582" s="8">
        <f>H582</f>
        <v/>
      </c>
      <c r="M582" s="26">
        <f>H582^2/6</f>
        <v/>
      </c>
      <c r="N582" s="26">
        <f>H582^3/12</f>
        <v/>
      </c>
      <c r="O582" s="27">
        <f>-J582*L582*K582*C582</f>
        <v/>
      </c>
      <c r="P582" s="28">
        <f>-(12*F582*J582*L582*N582+12*O582*N582*G582*COS(RADIANS(E582)))/(12*N582*G582*COS(RADIANS(E582))^2+L582*G582^3*SIN(RADIANS(E582))^2)</f>
        <v/>
      </c>
      <c r="Q582" s="28">
        <f>-(6*F582*J582*L582*N582*SIN(RADIANS(E582))+6*O582*N582*G582*SIN(RADIANS(E582))*COS(RADIANS(E582)))/(12*N582*COS(RADIANS(E582))^2+L582*G582^2*SIN(RADIANS(E582))^2)</f>
        <v/>
      </c>
      <c r="R582" s="28">
        <f>-P582*SIN(RADIANS(E582))</f>
        <v/>
      </c>
      <c r="S582" s="8">
        <f>(O582+P582*COS(RADIANS(E582)))/L582</f>
        <v/>
      </c>
      <c r="T582" s="8">
        <f>R582/L582</f>
        <v/>
      </c>
      <c r="U582" s="8">
        <f>(Q582-P582*G582*SIN(RADIANS(E582)))/M582</f>
        <v/>
      </c>
      <c r="V582" s="8">
        <f>SQRT((S582+U582)^2+3*T582^2)</f>
        <v/>
      </c>
      <c r="W582" s="8">
        <f>V582/AA582</f>
        <v/>
      </c>
      <c r="X582" s="27">
        <f>((3*10+H582/COS(RADIANS(E582)))*(3+3)+3*G582*H582)*2</f>
        <v/>
      </c>
      <c r="Y582" s="28">
        <f>Z582/X582</f>
        <v/>
      </c>
      <c r="Z582" s="29" t="n">
        <v>646.188271295909</v>
      </c>
      <c r="AA582" s="20" t="n">
        <v>100.307401287798</v>
      </c>
      <c r="AB582" t="n">
        <v>0.1832756334655969</v>
      </c>
      <c r="AC582" t="n">
        <v>100.0670282521608</v>
      </c>
      <c r="AD582" t="n">
        <v>31.69523386115588</v>
      </c>
    </row>
    <row r="583">
      <c r="A583" t="n">
        <v>582</v>
      </c>
      <c r="B583" t="n">
        <v>89.5</v>
      </c>
      <c r="C583" s="21">
        <f>B583-20</f>
        <v/>
      </c>
      <c r="D583" t="n">
        <v>124.7</v>
      </c>
      <c r="E583" s="22">
        <f>D583-90</f>
        <v/>
      </c>
      <c r="F583" s="23" t="n">
        <v>0.027161</v>
      </c>
      <c r="G583" s="22" t="n">
        <v>34.4</v>
      </c>
      <c r="H583" s="22" t="n">
        <v>1.1</v>
      </c>
      <c r="I583" s="24" t="n">
        <v>0.117594942450523</v>
      </c>
      <c r="J583" s="6" t="n">
        <v>71000</v>
      </c>
      <c r="K583" s="25">
        <f>23*10^-6</f>
        <v/>
      </c>
      <c r="L583" s="8">
        <f>H583</f>
        <v/>
      </c>
      <c r="M583" s="26">
        <f>H583^2/6</f>
        <v/>
      </c>
      <c r="N583" s="26">
        <f>H583^3/12</f>
        <v/>
      </c>
      <c r="O583" s="27">
        <f>-J583*L583*K583*C583</f>
        <v/>
      </c>
      <c r="P583" s="28">
        <f>-(12*F583*J583*L583*N583+12*O583*N583*G583*COS(RADIANS(E583)))/(12*N583*G583*COS(RADIANS(E583))^2+L583*G583^3*SIN(RADIANS(E583))^2)</f>
        <v/>
      </c>
      <c r="Q583" s="28">
        <f>-(6*F583*J583*L583*N583*SIN(RADIANS(E583))+6*O583*N583*G583*SIN(RADIANS(E583))*COS(RADIANS(E583)))/(12*N583*COS(RADIANS(E583))^2+L583*G583^2*SIN(RADIANS(E583))^2)</f>
        <v/>
      </c>
      <c r="R583" s="28">
        <f>-P583*SIN(RADIANS(E583))</f>
        <v/>
      </c>
      <c r="S583" s="8">
        <f>(O583+P583*COS(RADIANS(E583)))/L583</f>
        <v/>
      </c>
      <c r="T583" s="8">
        <f>R583/L583</f>
        <v/>
      </c>
      <c r="U583" s="8">
        <f>(Q583-P583*G583*SIN(RADIANS(E583)))/M583</f>
        <v/>
      </c>
      <c r="V583" s="8">
        <f>SQRT((S583+U583)^2+3*T583^2)</f>
        <v/>
      </c>
      <c r="W583" s="8">
        <f>V583/AA583</f>
        <v/>
      </c>
      <c r="X583" s="27">
        <f>((3*10+H583/COS(RADIANS(E583)))*(3+3)+3*G583*H583)*2</f>
        <v/>
      </c>
      <c r="Y583" s="28">
        <f>Z583/X583</f>
        <v/>
      </c>
      <c r="Z583" s="29" t="n">
        <v>611.7211750022969</v>
      </c>
      <c r="AA583" s="20" t="n">
        <v>91.6543909671114</v>
      </c>
      <c r="AB583" t="n">
        <v>0.1354900054446932</v>
      </c>
      <c r="AC583" t="n">
        <v>98.41918081699933</v>
      </c>
      <c r="AD583" t="n">
        <v>15.21754475257248</v>
      </c>
    </row>
    <row r="584">
      <c r="A584" t="n">
        <v>583</v>
      </c>
      <c r="B584" t="n">
        <v>77.59999999999999</v>
      </c>
      <c r="C584" s="21">
        <f>B584-20</f>
        <v/>
      </c>
      <c r="D584" t="n">
        <v>128</v>
      </c>
      <c r="E584" s="22">
        <f>D584-90</f>
        <v/>
      </c>
      <c r="F584" s="23" t="n">
        <v>0.021378</v>
      </c>
      <c r="G584" s="22" t="n">
        <v>33.7</v>
      </c>
      <c r="H584" s="22" t="n">
        <v>1.4</v>
      </c>
      <c r="I584" s="24" t="n">
        <v>0.0909794420003891</v>
      </c>
      <c r="J584" s="6" t="n">
        <v>71000</v>
      </c>
      <c r="K584" s="25">
        <f>23*10^-6</f>
        <v/>
      </c>
      <c r="L584" s="8">
        <f>H584</f>
        <v/>
      </c>
      <c r="M584" s="26">
        <f>H584^2/6</f>
        <v/>
      </c>
      <c r="N584" s="26">
        <f>H584^3/12</f>
        <v/>
      </c>
      <c r="O584" s="27">
        <f>-J584*L584*K584*C584</f>
        <v/>
      </c>
      <c r="P584" s="28">
        <f>-(12*F584*J584*L584*N584+12*O584*N584*G584*COS(RADIANS(E584)))/(12*N584*G584*COS(RADIANS(E584))^2+L584*G584^3*SIN(RADIANS(E584))^2)</f>
        <v/>
      </c>
      <c r="Q584" s="28">
        <f>-(6*F584*J584*L584*N584*SIN(RADIANS(E584))+6*O584*N584*G584*SIN(RADIANS(E584))*COS(RADIANS(E584)))/(12*N584*COS(RADIANS(E584))^2+L584*G584^2*SIN(RADIANS(E584))^2)</f>
        <v/>
      </c>
      <c r="R584" s="28">
        <f>-P584*SIN(RADIANS(E584))</f>
        <v/>
      </c>
      <c r="S584" s="8">
        <f>(O584+P584*COS(RADIANS(E584)))/L584</f>
        <v/>
      </c>
      <c r="T584" s="8">
        <f>R584/L584</f>
        <v/>
      </c>
      <c r="U584" s="8">
        <f>(Q584-P584*G584*SIN(RADIANS(E584)))/M584</f>
        <v/>
      </c>
      <c r="V584" s="8">
        <f>SQRT((S584+U584)^2+3*T584^2)</f>
        <v/>
      </c>
      <c r="W584" s="8">
        <f>V584/AA584</f>
        <v/>
      </c>
      <c r="X584" s="27">
        <f>((3*10+H584/COS(RADIANS(E584)))*(3+3)+3*G584*H584)*2</f>
        <v/>
      </c>
      <c r="Y584" s="28">
        <f>Z584/X584</f>
        <v/>
      </c>
      <c r="Z584" s="29" t="n">
        <v>674.289572560602</v>
      </c>
      <c r="AA584" s="20" t="n">
        <v>79.5492746451576</v>
      </c>
      <c r="AB584" t="n">
        <v>0.09955006455742806</v>
      </c>
      <c r="AC584" t="n">
        <v>82.10669748793515</v>
      </c>
      <c r="AD584" t="n">
        <v>9.420394727198152</v>
      </c>
    </row>
    <row r="585">
      <c r="A585" t="n">
        <v>584</v>
      </c>
      <c r="B585" t="n">
        <v>51.7</v>
      </c>
      <c r="C585" s="21">
        <f>B585-20</f>
        <v/>
      </c>
      <c r="D585" t="n">
        <v>102</v>
      </c>
      <c r="E585" s="22">
        <f>D585-90</f>
        <v/>
      </c>
      <c r="F585" s="23" t="n">
        <v>0.009662</v>
      </c>
      <c r="G585" s="22" t="n">
        <v>21.2</v>
      </c>
      <c r="H585" s="22" t="n">
        <v>1.2</v>
      </c>
      <c r="I585" s="24" t="n">
        <v>0.082654058933258</v>
      </c>
      <c r="J585" s="6" t="n">
        <v>71000</v>
      </c>
      <c r="K585" s="25">
        <f>23*10^-6</f>
        <v/>
      </c>
      <c r="L585" s="8">
        <f>H585</f>
        <v/>
      </c>
      <c r="M585" s="26">
        <f>H585^2/6</f>
        <v/>
      </c>
      <c r="N585" s="26">
        <f>H585^3/12</f>
        <v/>
      </c>
      <c r="O585" s="27">
        <f>-J585*L585*K585*C585</f>
        <v/>
      </c>
      <c r="P585" s="28">
        <f>-(12*F585*J585*L585*N585+12*O585*N585*G585*COS(RADIANS(E585)))/(12*N585*G585*COS(RADIANS(E585))^2+L585*G585^3*SIN(RADIANS(E585))^2)</f>
        <v/>
      </c>
      <c r="Q585" s="28">
        <f>-(6*F585*J585*L585*N585*SIN(RADIANS(E585))+6*O585*N585*G585*SIN(RADIANS(E585))*COS(RADIANS(E585)))/(12*N585*COS(RADIANS(E585))^2+L585*G585^2*SIN(RADIANS(E585))^2)</f>
        <v/>
      </c>
      <c r="R585" s="28">
        <f>-P585*SIN(RADIANS(E585))</f>
        <v/>
      </c>
      <c r="S585" s="8">
        <f>(O585+P585*COS(RADIANS(E585)))/L585</f>
        <v/>
      </c>
      <c r="T585" s="8">
        <f>R585/L585</f>
        <v/>
      </c>
      <c r="U585" s="8">
        <f>(Q585-P585*G585*SIN(RADIANS(E585)))/M585</f>
        <v/>
      </c>
      <c r="V585" s="8">
        <f>SQRT((S585+U585)^2+3*T585^2)</f>
        <v/>
      </c>
      <c r="W585" s="8">
        <f>V585/AA585</f>
        <v/>
      </c>
      <c r="X585" s="27">
        <f>((3*10+H585/COS(RADIANS(E585)))*(3+3)+3*G585*H585)*2</f>
        <v/>
      </c>
      <c r="Y585" s="28">
        <f>Z585/X585</f>
        <v/>
      </c>
      <c r="Z585" s="29" t="n">
        <v>531.331508228457</v>
      </c>
      <c r="AA585" s="20" t="n">
        <v>49.5236668496807</v>
      </c>
      <c r="AB585" t="n">
        <v>0.1117312455897325</v>
      </c>
      <c r="AC585" t="n">
        <v>53.0247272386257</v>
      </c>
      <c r="AD585" t="n">
        <v>35.17938142633007</v>
      </c>
    </row>
    <row r="586">
      <c r="A586" t="n">
        <v>585</v>
      </c>
      <c r="B586" t="n">
        <v>88.2</v>
      </c>
      <c r="C586" s="21">
        <f>B586-20</f>
        <v/>
      </c>
      <c r="D586" t="n">
        <v>126.8</v>
      </c>
      <c r="E586" s="22">
        <f>D586-90</f>
        <v/>
      </c>
      <c r="F586" s="23" t="n">
        <v>0.01998</v>
      </c>
      <c r="G586" s="22" t="n">
        <v>24.6</v>
      </c>
      <c r="H586" s="22" t="n">
        <v>1.3</v>
      </c>
      <c r="I586" s="24" t="n">
        <v>0.0895663946866989</v>
      </c>
      <c r="J586" s="6" t="n">
        <v>71000</v>
      </c>
      <c r="K586" s="25">
        <f>23*10^-6</f>
        <v/>
      </c>
      <c r="L586" s="8">
        <f>H586</f>
        <v/>
      </c>
      <c r="M586" s="26">
        <f>H586^2/6</f>
        <v/>
      </c>
      <c r="N586" s="26">
        <f>H586^3/12</f>
        <v/>
      </c>
      <c r="O586" s="27">
        <f>-J586*L586*K586*C586</f>
        <v/>
      </c>
      <c r="P586" s="28">
        <f>-(12*F586*J586*L586*N586+12*O586*N586*G586*COS(RADIANS(E586)))/(12*N586*G586*COS(RADIANS(E586))^2+L586*G586^3*SIN(RADIANS(E586))^2)</f>
        <v/>
      </c>
      <c r="Q586" s="28">
        <f>-(6*F586*J586*L586*N586*SIN(RADIANS(E586))+6*O586*N586*G586*SIN(RADIANS(E586))*COS(RADIANS(E586)))/(12*N586*COS(RADIANS(E586))^2+L586*G586^2*SIN(RADIANS(E586))^2)</f>
        <v/>
      </c>
      <c r="R586" s="28">
        <f>-P586*SIN(RADIANS(E586))</f>
        <v/>
      </c>
      <c r="S586" s="8">
        <f>(O586+P586*COS(RADIANS(E586)))/L586</f>
        <v/>
      </c>
      <c r="T586" s="8">
        <f>R586/L586</f>
        <v/>
      </c>
      <c r="U586" s="8">
        <f>(Q586-P586*G586*SIN(RADIANS(E586)))/M586</f>
        <v/>
      </c>
      <c r="V586" s="8">
        <f>SQRT((S586+U586)^2+3*T586^2)</f>
        <v/>
      </c>
      <c r="W586" s="8">
        <f>V586/AA586</f>
        <v/>
      </c>
      <c r="X586" s="27">
        <f>((3*10+H586/COS(RADIANS(E586)))*(3+3)+3*G586*H586)*2</f>
        <v/>
      </c>
      <c r="Y586" s="28">
        <f>Z586/X586</f>
        <v/>
      </c>
      <c r="Z586" s="29" t="n">
        <v>580.768417141839</v>
      </c>
      <c r="AA586" s="20" t="n">
        <v>96.89537708983239</v>
      </c>
      <c r="AB586" t="n">
        <v>0.09059814013806788</v>
      </c>
      <c r="AC586" t="n">
        <v>98.26596353474439</v>
      </c>
      <c r="AD586" t="n">
        <v>1.151933663265118</v>
      </c>
    </row>
    <row r="587">
      <c r="A587" t="n">
        <v>586</v>
      </c>
      <c r="B587" t="n">
        <v>73</v>
      </c>
      <c r="C587" s="21">
        <f>B587-20</f>
        <v/>
      </c>
      <c r="D587" t="n">
        <v>111.8</v>
      </c>
      <c r="E587" s="22">
        <f>D587-90</f>
        <v/>
      </c>
      <c r="F587" s="23" t="n">
        <v>0.019277</v>
      </c>
      <c r="G587" s="22" t="n">
        <v>27.9</v>
      </c>
      <c r="H587" s="22" t="n">
        <v>1.8</v>
      </c>
      <c r="I587" s="24" t="n">
        <v>0.106901369988918</v>
      </c>
      <c r="J587" s="6" t="n">
        <v>71000</v>
      </c>
      <c r="K587" s="25">
        <f>23*10^-6</f>
        <v/>
      </c>
      <c r="L587" s="8">
        <f>H587</f>
        <v/>
      </c>
      <c r="M587" s="26">
        <f>H587^2/6</f>
        <v/>
      </c>
      <c r="N587" s="26">
        <f>H587^3/12</f>
        <v/>
      </c>
      <c r="O587" s="27">
        <f>-J587*L587*K587*C587</f>
        <v/>
      </c>
      <c r="P587" s="28">
        <f>-(12*F587*J587*L587*N587+12*O587*N587*G587*COS(RADIANS(E587)))/(12*N587*G587*COS(RADIANS(E587))^2+L587*G587^3*SIN(RADIANS(E587))^2)</f>
        <v/>
      </c>
      <c r="Q587" s="28">
        <f>-(6*F587*J587*L587*N587*SIN(RADIANS(E587))+6*O587*N587*G587*SIN(RADIANS(E587))*COS(RADIANS(E587)))/(12*N587*COS(RADIANS(E587))^2+L587*G587^2*SIN(RADIANS(E587))^2)</f>
        <v/>
      </c>
      <c r="R587" s="28">
        <f>-P587*SIN(RADIANS(E587))</f>
        <v/>
      </c>
      <c r="S587" s="8">
        <f>(O587+P587*COS(RADIANS(E587)))/L587</f>
        <v/>
      </c>
      <c r="T587" s="8">
        <f>R587/L587</f>
        <v/>
      </c>
      <c r="U587" s="8">
        <f>(Q587-P587*G587*SIN(RADIANS(E587)))/M587</f>
        <v/>
      </c>
      <c r="V587" s="8">
        <f>SQRT((S587+U587)^2+3*T587^2)</f>
        <v/>
      </c>
      <c r="W587" s="8">
        <f>V587/AA587</f>
        <v/>
      </c>
      <c r="X587" s="27">
        <f>((3*10+H587/COS(RADIANS(E587)))*(3+3)+3*G587*H587)*2</f>
        <v/>
      </c>
      <c r="Y587" s="28">
        <f>Z587/X587</f>
        <v/>
      </c>
      <c r="Z587" s="29" t="n">
        <v>689.865849173837</v>
      </c>
      <c r="AA587" s="20" t="n">
        <v>86.7820465476255</v>
      </c>
      <c r="AB587" t="n">
        <v>0.1360361661094981</v>
      </c>
      <c r="AC587" t="n">
        <v>83.56204395512485</v>
      </c>
      <c r="AD587" t="n">
        <v>27.25390340984439</v>
      </c>
    </row>
    <row r="588">
      <c r="A588" t="n">
        <v>587</v>
      </c>
      <c r="B588" t="n">
        <v>53.8</v>
      </c>
      <c r="C588" s="21">
        <f>B588-20</f>
        <v/>
      </c>
      <c r="D588" t="n">
        <v>122.4</v>
      </c>
      <c r="E588" s="22">
        <f>D588-90</f>
        <v/>
      </c>
      <c r="F588" s="23" t="n">
        <v>0.008916</v>
      </c>
      <c r="G588" s="22" t="n">
        <v>20.3</v>
      </c>
      <c r="H588" s="22" t="n">
        <v>1.9</v>
      </c>
      <c r="I588" s="24" t="n">
        <v>0.042769256979227</v>
      </c>
      <c r="J588" s="6" t="n">
        <v>71000</v>
      </c>
      <c r="K588" s="25">
        <f>23*10^-6</f>
        <v/>
      </c>
      <c r="L588" s="8">
        <f>H588</f>
        <v/>
      </c>
      <c r="M588" s="26">
        <f>H588^2/6</f>
        <v/>
      </c>
      <c r="N588" s="26">
        <f>H588^3/12</f>
        <v/>
      </c>
      <c r="O588" s="27">
        <f>-J588*L588*K588*C588</f>
        <v/>
      </c>
      <c r="P588" s="28">
        <f>-(12*F588*J588*L588*N588+12*O588*N588*G588*COS(RADIANS(E588)))/(12*N588*G588*COS(RADIANS(E588))^2+L588*G588^3*SIN(RADIANS(E588))^2)</f>
        <v/>
      </c>
      <c r="Q588" s="28">
        <f>-(6*F588*J588*L588*N588*SIN(RADIANS(E588))+6*O588*N588*G588*SIN(RADIANS(E588))*COS(RADIANS(E588)))/(12*N588*COS(RADIANS(E588))^2+L588*G588^2*SIN(RADIANS(E588))^2)</f>
        <v/>
      </c>
      <c r="R588" s="28">
        <f>-P588*SIN(RADIANS(E588))</f>
        <v/>
      </c>
      <c r="S588" s="8">
        <f>(O588+P588*COS(RADIANS(E588)))/L588</f>
        <v/>
      </c>
      <c r="T588" s="8">
        <f>R588/L588</f>
        <v/>
      </c>
      <c r="U588" s="8">
        <f>(Q588-P588*G588*SIN(RADIANS(E588)))/M588</f>
        <v/>
      </c>
      <c r="V588" s="8">
        <f>SQRT((S588+U588)^2+3*T588^2)</f>
        <v/>
      </c>
      <c r="W588" s="8">
        <f>V588/AA588</f>
        <v/>
      </c>
      <c r="X588" s="27">
        <f>((3*10+H588/COS(RADIANS(E588)))*(3+3)+3*G588*H588)*2</f>
        <v/>
      </c>
      <c r="Y588" s="28">
        <f>Z588/X588</f>
        <v/>
      </c>
      <c r="Z588" s="29" t="n">
        <v>626.282330233328</v>
      </c>
      <c r="AA588" s="20" t="n">
        <v>57.2014655679068</v>
      </c>
      <c r="AB588" t="n">
        <v>0.04245530886334411</v>
      </c>
      <c r="AC588" t="n">
        <v>51.58276913304122</v>
      </c>
      <c r="AD588" t="n">
        <v>-0.7340509002421353</v>
      </c>
    </row>
    <row r="589">
      <c r="A589" t="n">
        <v>588</v>
      </c>
      <c r="B589" t="n">
        <v>46.9</v>
      </c>
      <c r="C589" s="21">
        <f>B589-20</f>
        <v/>
      </c>
      <c r="D589" t="n">
        <v>103.4</v>
      </c>
      <c r="E589" s="22">
        <f>D589-90</f>
        <v/>
      </c>
      <c r="F589" s="23" t="n">
        <v>0.008433</v>
      </c>
      <c r="G589" s="22" t="n">
        <v>22.1</v>
      </c>
      <c r="H589" s="22" t="n">
        <v>1.9</v>
      </c>
      <c r="I589" s="24" t="n">
        <v>0.0632283389568328</v>
      </c>
      <c r="J589" s="6" t="n">
        <v>71000</v>
      </c>
      <c r="K589" s="25">
        <f>23*10^-6</f>
        <v/>
      </c>
      <c r="L589" s="8">
        <f>H589</f>
        <v/>
      </c>
      <c r="M589" s="26">
        <f>H589^2/6</f>
        <v/>
      </c>
      <c r="N589" s="26">
        <f>H589^3/12</f>
        <v/>
      </c>
      <c r="O589" s="27">
        <f>-J589*L589*K589*C589</f>
        <v/>
      </c>
      <c r="P589" s="28">
        <f>-(12*F589*J589*L589*N589+12*O589*N589*G589*COS(RADIANS(E589)))/(12*N589*G589*COS(RADIANS(E589))^2+L589*G589^3*SIN(RADIANS(E589))^2)</f>
        <v/>
      </c>
      <c r="Q589" s="28">
        <f>-(6*F589*J589*L589*N589*SIN(RADIANS(E589))+6*O589*N589*G589*SIN(RADIANS(E589))*COS(RADIANS(E589)))/(12*N589*COS(RADIANS(E589))^2+L589*G589^2*SIN(RADIANS(E589))^2)</f>
        <v/>
      </c>
      <c r="R589" s="28">
        <f>-P589*SIN(RADIANS(E589))</f>
        <v/>
      </c>
      <c r="S589" s="8">
        <f>(O589+P589*COS(RADIANS(E589)))/L589</f>
        <v/>
      </c>
      <c r="T589" s="8">
        <f>R589/L589</f>
        <v/>
      </c>
      <c r="U589" s="8">
        <f>(Q589-P589*G589*SIN(RADIANS(E589)))/M589</f>
        <v/>
      </c>
      <c r="V589" s="8">
        <f>SQRT((S589+U589)^2+3*T589^2)</f>
        <v/>
      </c>
      <c r="W589" s="8">
        <f>V589/AA589</f>
        <v/>
      </c>
      <c r="X589" s="27">
        <f>((3*10+H589/COS(RADIANS(E589)))*(3+3)+3*G589*H589)*2</f>
        <v/>
      </c>
      <c r="Y589" s="28">
        <f>Z589/X589</f>
        <v/>
      </c>
      <c r="Z589" s="29" t="n">
        <v>639.483374958429</v>
      </c>
      <c r="AA589" s="20" t="n">
        <v>54.8696961495056</v>
      </c>
      <c r="AB589" t="n">
        <v>0.08328869701194751</v>
      </c>
      <c r="AC589" t="n">
        <v>47.27752554788839</v>
      </c>
      <c r="AD589" t="n">
        <v>31.72684651546879</v>
      </c>
    </row>
    <row r="590">
      <c r="A590" t="n">
        <v>589</v>
      </c>
      <c r="B590" t="n">
        <v>79</v>
      </c>
      <c r="C590" s="21">
        <f>B590-20</f>
        <v/>
      </c>
      <c r="D590" t="n">
        <v>116</v>
      </c>
      <c r="E590" s="22">
        <f>D590-90</f>
        <v/>
      </c>
      <c r="F590" s="23" t="n">
        <v>0.017456</v>
      </c>
      <c r="G590" s="22" t="n">
        <v>22.2</v>
      </c>
      <c r="H590" s="22" t="n">
        <v>1.3</v>
      </c>
      <c r="I590" s="24" t="n">
        <v>0.0909928977489471</v>
      </c>
      <c r="J590" s="6" t="n">
        <v>71000</v>
      </c>
      <c r="K590" s="25">
        <f>23*10^-6</f>
        <v/>
      </c>
      <c r="L590" s="8">
        <f>H590</f>
        <v/>
      </c>
      <c r="M590" s="26">
        <f>H590^2/6</f>
        <v/>
      </c>
      <c r="N590" s="26">
        <f>H590^3/12</f>
        <v/>
      </c>
      <c r="O590" s="27">
        <f>-J590*L590*K590*C590</f>
        <v/>
      </c>
      <c r="P590" s="28">
        <f>-(12*F590*J590*L590*N590+12*O590*N590*G590*COS(RADIANS(E590)))/(12*N590*G590*COS(RADIANS(E590))^2+L590*G590^3*SIN(RADIANS(E590))^2)</f>
        <v/>
      </c>
      <c r="Q590" s="28">
        <f>-(6*F590*J590*L590*N590*SIN(RADIANS(E590))+6*O590*N590*G590*SIN(RADIANS(E590))*COS(RADIANS(E590)))/(12*N590*COS(RADIANS(E590))^2+L590*G590^2*SIN(RADIANS(E590))^2)</f>
        <v/>
      </c>
      <c r="R590" s="28">
        <f>-P590*SIN(RADIANS(E590))</f>
        <v/>
      </c>
      <c r="S590" s="8">
        <f>(O590+P590*COS(RADIANS(E590)))/L590</f>
        <v/>
      </c>
      <c r="T590" s="8">
        <f>R590/L590</f>
        <v/>
      </c>
      <c r="U590" s="8">
        <f>(Q590-P590*G590*SIN(RADIANS(E590)))/M590</f>
        <v/>
      </c>
      <c r="V590" s="8">
        <f>SQRT((S590+U590)^2+3*T590^2)</f>
        <v/>
      </c>
      <c r="W590" s="8">
        <f>V590/AA590</f>
        <v/>
      </c>
      <c r="X590" s="27">
        <f>((3*10+H590/COS(RADIANS(E590)))*(3+3)+3*G590*H590)*2</f>
        <v/>
      </c>
      <c r="Y590" s="28">
        <f>Z590/X590</f>
        <v/>
      </c>
      <c r="Z590" s="29" t="n">
        <v>556.652666228457</v>
      </c>
      <c r="AA590" s="20" t="n">
        <v>88.2216605600368</v>
      </c>
      <c r="AB590" t="n">
        <v>0.1029054925549653</v>
      </c>
      <c r="AC590" t="n">
        <v>88.84192400027804</v>
      </c>
      <c r="AD590" t="n">
        <v>13.09178529393088</v>
      </c>
    </row>
    <row r="591">
      <c r="A591" t="n">
        <v>590</v>
      </c>
      <c r="B591" t="n">
        <v>50.7</v>
      </c>
      <c r="C591" s="21">
        <f>B591-20</f>
        <v/>
      </c>
      <c r="D591" t="n">
        <v>114.7</v>
      </c>
      <c r="E591" s="22">
        <f>D591-90</f>
        <v/>
      </c>
      <c r="F591" s="23" t="n">
        <v>0.009731</v>
      </c>
      <c r="G591" s="22" t="n">
        <v>24</v>
      </c>
      <c r="H591" s="22" t="n">
        <v>1.8</v>
      </c>
      <c r="I591" s="24" t="n">
        <v>0.0512936115264892</v>
      </c>
      <c r="J591" s="6" t="n">
        <v>71000</v>
      </c>
      <c r="K591" s="25">
        <f>23*10^-6</f>
        <v/>
      </c>
      <c r="L591" s="8">
        <f>H591</f>
        <v/>
      </c>
      <c r="M591" s="26">
        <f>H591^2/6</f>
        <v/>
      </c>
      <c r="N591" s="26">
        <f>H591^3/12</f>
        <v/>
      </c>
      <c r="O591" s="27">
        <f>-J591*L591*K591*C591</f>
        <v/>
      </c>
      <c r="P591" s="28">
        <f>-(12*F591*J591*L591*N591+12*O591*N591*G591*COS(RADIANS(E591)))/(12*N591*G591*COS(RADIANS(E591))^2+L591*G591^3*SIN(RADIANS(E591))^2)</f>
        <v/>
      </c>
      <c r="Q591" s="28">
        <f>-(6*F591*J591*L591*N591*SIN(RADIANS(E591))+6*O591*N591*G591*SIN(RADIANS(E591))*COS(RADIANS(E591)))/(12*N591*COS(RADIANS(E591))^2+L591*G591^2*SIN(RADIANS(E591))^2)</f>
        <v/>
      </c>
      <c r="R591" s="28">
        <f>-P591*SIN(RADIANS(E591))</f>
        <v/>
      </c>
      <c r="S591" s="8">
        <f>(O591+P591*COS(RADIANS(E591)))/L591</f>
        <v/>
      </c>
      <c r="T591" s="8">
        <f>R591/L591</f>
        <v/>
      </c>
      <c r="U591" s="8">
        <f>(Q591-P591*G591*SIN(RADIANS(E591)))/M591</f>
        <v/>
      </c>
      <c r="V591" s="8">
        <f>SQRT((S591+U591)^2+3*T591^2)</f>
        <v/>
      </c>
      <c r="W591" s="8">
        <f>V591/AA591</f>
        <v/>
      </c>
      <c r="X591" s="27">
        <f>((3*10+H591/COS(RADIANS(E591)))*(3+3)+3*G591*H591)*2</f>
        <v/>
      </c>
      <c r="Y591" s="28">
        <f>Z591/X591</f>
        <v/>
      </c>
      <c r="Z591" s="29" t="n">
        <v>648.825802805739</v>
      </c>
      <c r="AA591" s="20" t="n">
        <v>50.6290049761392</v>
      </c>
      <c r="AB591" t="n">
        <v>0.05999677797698993</v>
      </c>
      <c r="AC591" t="n">
        <v>48.07165278910227</v>
      </c>
      <c r="AD591" t="n">
        <v>16.96734971762754</v>
      </c>
    </row>
    <row r="592">
      <c r="A592" t="n">
        <v>591</v>
      </c>
      <c r="B592" t="n">
        <v>72.3</v>
      </c>
      <c r="C592" s="21">
        <f>B592-20</f>
        <v/>
      </c>
      <c r="D592" t="n">
        <v>105.9</v>
      </c>
      <c r="E592" s="22">
        <f>D592-90</f>
        <v/>
      </c>
      <c r="F592" s="23" t="n">
        <v>0.02055</v>
      </c>
      <c r="G592" s="22" t="n">
        <v>29.6</v>
      </c>
      <c r="H592" s="22" t="n">
        <v>2</v>
      </c>
      <c r="I592" s="24" t="n">
        <v>0.137755751609802</v>
      </c>
      <c r="J592" s="6" t="n">
        <v>71000</v>
      </c>
      <c r="K592" s="25">
        <f>23*10^-6</f>
        <v/>
      </c>
      <c r="L592" s="8">
        <f>H592</f>
        <v/>
      </c>
      <c r="M592" s="26">
        <f>H592^2/6</f>
        <v/>
      </c>
      <c r="N592" s="26">
        <f>H592^3/12</f>
        <v/>
      </c>
      <c r="O592" s="27">
        <f>-J592*L592*K592*C592</f>
        <v/>
      </c>
      <c r="P592" s="28">
        <f>-(12*F592*J592*L592*N592+12*O592*N592*G592*COS(RADIANS(E592)))/(12*N592*G592*COS(RADIANS(E592))^2+L592*G592^3*SIN(RADIANS(E592))^2)</f>
        <v/>
      </c>
      <c r="Q592" s="28">
        <f>-(6*F592*J592*L592*N592*SIN(RADIANS(E592))+6*O592*N592*G592*SIN(RADIANS(E592))*COS(RADIANS(E592)))/(12*N592*COS(RADIANS(E592))^2+L592*G592^2*SIN(RADIANS(E592))^2)</f>
        <v/>
      </c>
      <c r="R592" s="28">
        <f>-P592*SIN(RADIANS(E592))</f>
        <v/>
      </c>
      <c r="S592" s="8">
        <f>(O592+P592*COS(RADIANS(E592)))/L592</f>
        <v/>
      </c>
      <c r="T592" s="8">
        <f>R592/L592</f>
        <v/>
      </c>
      <c r="U592" s="8">
        <f>(Q592-P592*G592*SIN(RADIANS(E592)))/M592</f>
        <v/>
      </c>
      <c r="V592" s="8">
        <f>SQRT((S592+U592)^2+3*T592^2)</f>
        <v/>
      </c>
      <c r="W592" s="8">
        <f>V592/AA592</f>
        <v/>
      </c>
      <c r="X592" s="27">
        <f>((3*10+H592/COS(RADIANS(E592)))*(3+3)+3*G592*H592)*2</f>
        <v/>
      </c>
      <c r="Y592" s="28">
        <f>Z592/X592</f>
        <v/>
      </c>
      <c r="Z592" s="29" t="n">
        <v>744.543100387254</v>
      </c>
      <c r="AA592" s="20" t="n">
        <v>91.40008352613999</v>
      </c>
      <c r="AB592" t="n">
        <v>0.1910324617454308</v>
      </c>
      <c r="AC592" t="n">
        <v>87.67585892302779</v>
      </c>
      <c r="AD592" t="n">
        <v>38.67476276891652</v>
      </c>
    </row>
    <row r="593">
      <c r="A593" t="n">
        <v>592</v>
      </c>
      <c r="B593" t="n">
        <v>78.8</v>
      </c>
      <c r="C593" s="21">
        <f>B593-20</f>
        <v/>
      </c>
      <c r="D593" t="n">
        <v>107</v>
      </c>
      <c r="E593" s="22">
        <f>D593-90</f>
        <v/>
      </c>
      <c r="F593" s="23" t="n">
        <v>0.023894</v>
      </c>
      <c r="G593" s="22" t="n">
        <v>31</v>
      </c>
      <c r="H593" s="22" t="n">
        <v>1.5</v>
      </c>
      <c r="I593" s="24" t="n">
        <v>0.154657453298568</v>
      </c>
      <c r="J593" s="6" t="n">
        <v>71000</v>
      </c>
      <c r="K593" s="25">
        <f>23*10^-6</f>
        <v/>
      </c>
      <c r="L593" s="8">
        <f>H593</f>
        <v/>
      </c>
      <c r="M593" s="26">
        <f>H593^2/6</f>
        <v/>
      </c>
      <c r="N593" s="26">
        <f>H593^3/12</f>
        <v/>
      </c>
      <c r="O593" s="27">
        <f>-J593*L593*K593*C593</f>
        <v/>
      </c>
      <c r="P593" s="28">
        <f>-(12*F593*J593*L593*N593+12*O593*N593*G593*COS(RADIANS(E593)))/(12*N593*G593*COS(RADIANS(E593))^2+L593*G593^3*SIN(RADIANS(E593))^2)</f>
        <v/>
      </c>
      <c r="Q593" s="28">
        <f>-(6*F593*J593*L593*N593*SIN(RADIANS(E593))+6*O593*N593*G593*SIN(RADIANS(E593))*COS(RADIANS(E593)))/(12*N593*COS(RADIANS(E593))^2+L593*G593^2*SIN(RADIANS(E593))^2)</f>
        <v/>
      </c>
      <c r="R593" s="28">
        <f>-P593*SIN(RADIANS(E593))</f>
        <v/>
      </c>
      <c r="S593" s="8">
        <f>(O593+P593*COS(RADIANS(E593)))/L593</f>
        <v/>
      </c>
      <c r="T593" s="8">
        <f>R593/L593</f>
        <v/>
      </c>
      <c r="U593" s="8">
        <f>(Q593-P593*G593*SIN(RADIANS(E593)))/M593</f>
        <v/>
      </c>
      <c r="V593" s="8">
        <f>SQRT((S593+U593)^2+3*T593^2)</f>
        <v/>
      </c>
      <c r="W593" s="8">
        <f>V593/AA593</f>
        <v/>
      </c>
      <c r="X593" s="27">
        <f>((3*10+H593/COS(RADIANS(E593)))*(3+3)+3*G593*H593)*2</f>
        <v/>
      </c>
      <c r="Y593" s="28">
        <f>Z593/X593</f>
        <v/>
      </c>
      <c r="Z593" s="29" t="n">
        <v>662.352683158102</v>
      </c>
      <c r="AA593" s="20" t="n">
        <v>91.7981053214023</v>
      </c>
      <c r="AB593" t="n">
        <v>0.215955134269085</v>
      </c>
      <c r="AC593" t="n">
        <v>92.97671665629402</v>
      </c>
      <c r="AD593" t="n">
        <v>39.63448231116359</v>
      </c>
    </row>
    <row r="594">
      <c r="A594" t="n">
        <v>593</v>
      </c>
      <c r="B594" t="n">
        <v>72.90000000000001</v>
      </c>
      <c r="C594" s="21">
        <f>B594-20</f>
        <v/>
      </c>
      <c r="D594" t="n">
        <v>112.1</v>
      </c>
      <c r="E594" s="22">
        <f>D594-90</f>
        <v/>
      </c>
      <c r="F594" s="23" t="n">
        <v>0.016246</v>
      </c>
      <c r="G594" s="22" t="n">
        <v>22.6</v>
      </c>
      <c r="H594" s="22" t="n">
        <v>1.9</v>
      </c>
      <c r="I594" s="24" t="n">
        <v>0.091366209089756</v>
      </c>
      <c r="J594" s="6" t="n">
        <v>71000</v>
      </c>
      <c r="K594" s="25">
        <f>23*10^-6</f>
        <v/>
      </c>
      <c r="L594" s="8">
        <f>H594</f>
        <v/>
      </c>
      <c r="M594" s="26">
        <f>H594^2/6</f>
        <v/>
      </c>
      <c r="N594" s="26">
        <f>H594^3/12</f>
        <v/>
      </c>
      <c r="O594" s="27">
        <f>-J594*L594*K594*C594</f>
        <v/>
      </c>
      <c r="P594" s="28">
        <f>-(12*F594*J594*L594*N594+12*O594*N594*G594*COS(RADIANS(E594)))/(12*N594*G594*COS(RADIANS(E594))^2+L594*G594^3*SIN(RADIANS(E594))^2)</f>
        <v/>
      </c>
      <c r="Q594" s="28">
        <f>-(6*F594*J594*L594*N594*SIN(RADIANS(E594))+6*O594*N594*G594*SIN(RADIANS(E594))*COS(RADIANS(E594)))/(12*N594*COS(RADIANS(E594))^2+L594*G594^2*SIN(RADIANS(E594))^2)</f>
        <v/>
      </c>
      <c r="R594" s="28">
        <f>-P594*SIN(RADIANS(E594))</f>
        <v/>
      </c>
      <c r="S594" s="8">
        <f>(O594+P594*COS(RADIANS(E594)))/L594</f>
        <v/>
      </c>
      <c r="T594" s="8">
        <f>R594/L594</f>
        <v/>
      </c>
      <c r="U594" s="8">
        <f>(Q594-P594*G594*SIN(RADIANS(E594)))/M594</f>
        <v/>
      </c>
      <c r="V594" s="8">
        <f>SQRT((S594+U594)^2+3*T594^2)</f>
        <v/>
      </c>
      <c r="W594" s="8">
        <f>V594/AA594</f>
        <v/>
      </c>
      <c r="X594" s="27">
        <f>((3*10+H594/COS(RADIANS(E594)))*(3+3)+3*G594*H594)*2</f>
        <v/>
      </c>
      <c r="Y594" s="28">
        <f>Z594/X594</f>
        <v/>
      </c>
      <c r="Z594" s="29" t="n">
        <v>647.584750618843</v>
      </c>
      <c r="AA594" s="20" t="n">
        <v>90.9836956538981</v>
      </c>
      <c r="AB594" t="n">
        <v>0.1081773883495759</v>
      </c>
      <c r="AC594" t="n">
        <v>85.32883764185341</v>
      </c>
      <c r="AD594" t="n">
        <v>18.39977758440756</v>
      </c>
    </row>
    <row r="595">
      <c r="A595" t="n">
        <v>594</v>
      </c>
      <c r="B595" t="n">
        <v>61.4</v>
      </c>
      <c r="C595" s="21">
        <f>B595-20</f>
        <v/>
      </c>
      <c r="D595" t="n">
        <v>102.1</v>
      </c>
      <c r="E595" s="22">
        <f>D595-90</f>
        <v/>
      </c>
      <c r="F595" s="23" t="n">
        <v>0.016999</v>
      </c>
      <c r="G595" s="22" t="n">
        <v>30.7</v>
      </c>
      <c r="H595" s="22" t="n">
        <v>1.6</v>
      </c>
      <c r="I595" s="24" t="n">
        <v>0.139984786510467</v>
      </c>
      <c r="J595" s="6" t="n">
        <v>71000</v>
      </c>
      <c r="K595" s="25">
        <f>23*10^-6</f>
        <v/>
      </c>
      <c r="L595" s="8">
        <f>H595</f>
        <v/>
      </c>
      <c r="M595" s="26">
        <f>H595^2/6</f>
        <v/>
      </c>
      <c r="N595" s="26">
        <f>H595^3/12</f>
        <v/>
      </c>
      <c r="O595" s="27">
        <f>-J595*L595*K595*C595</f>
        <v/>
      </c>
      <c r="P595" s="28">
        <f>-(12*F595*J595*L595*N595+12*O595*N595*G595*COS(RADIANS(E595)))/(12*N595*G595*COS(RADIANS(E595))^2+L595*G595^3*SIN(RADIANS(E595))^2)</f>
        <v/>
      </c>
      <c r="Q595" s="28">
        <f>-(6*F595*J595*L595*N595*SIN(RADIANS(E595))+6*O595*N595*G595*SIN(RADIANS(E595))*COS(RADIANS(E595)))/(12*N595*COS(RADIANS(E595))^2+L595*G595^2*SIN(RADIANS(E595))^2)</f>
        <v/>
      </c>
      <c r="R595" s="28">
        <f>-P595*SIN(RADIANS(E595))</f>
        <v/>
      </c>
      <c r="S595" s="8">
        <f>(O595+P595*COS(RADIANS(E595)))/L595</f>
        <v/>
      </c>
      <c r="T595" s="8">
        <f>R595/L595</f>
        <v/>
      </c>
      <c r="U595" s="8">
        <f>(Q595-P595*G595*SIN(RADIANS(E595)))/M595</f>
        <v/>
      </c>
      <c r="V595" s="8">
        <f>SQRT((S595+U595)^2+3*T595^2)</f>
        <v/>
      </c>
      <c r="W595" s="8">
        <f>V595/AA595</f>
        <v/>
      </c>
      <c r="X595" s="27">
        <f>((3*10+H595/COS(RADIANS(E595)))*(3+3)+3*G595*H595)*2</f>
        <v/>
      </c>
      <c r="Y595" s="28">
        <f>Z595/X595</f>
        <v/>
      </c>
      <c r="Z595" s="29" t="n">
        <v>678.335200899599</v>
      </c>
      <c r="AA595" s="20" t="n">
        <v>68.0537278242785</v>
      </c>
      <c r="AB595" t="n">
        <v>0.2063391984875713</v>
      </c>
      <c r="AC595" t="n">
        <v>69.86758133561075</v>
      </c>
      <c r="AD595" t="n">
        <v>47.4011595339632</v>
      </c>
    </row>
    <row r="596">
      <c r="A596" t="n">
        <v>595</v>
      </c>
      <c r="B596" t="n">
        <v>59</v>
      </c>
      <c r="C596" s="21">
        <f>B596-20</f>
        <v/>
      </c>
      <c r="D596" t="n">
        <v>105</v>
      </c>
      <c r="E596" s="22">
        <f>D596-90</f>
        <v/>
      </c>
      <c r="F596" s="23" t="n">
        <v>0.016066</v>
      </c>
      <c r="G596" s="22" t="n">
        <v>31.2</v>
      </c>
      <c r="H596" s="22" t="n">
        <v>1.3</v>
      </c>
      <c r="I596" s="24" t="n">
        <v>0.114197932183742</v>
      </c>
      <c r="J596" s="6" t="n">
        <v>71000</v>
      </c>
      <c r="K596" s="25">
        <f>23*10^-6</f>
        <v/>
      </c>
      <c r="L596" s="8">
        <f>H596</f>
        <v/>
      </c>
      <c r="M596" s="26">
        <f>H596^2/6</f>
        <v/>
      </c>
      <c r="N596" s="26">
        <f>H596^3/12</f>
        <v/>
      </c>
      <c r="O596" s="27">
        <f>-J596*L596*K596*C596</f>
        <v/>
      </c>
      <c r="P596" s="28">
        <f>-(12*F596*J596*L596*N596+12*O596*N596*G596*COS(RADIANS(E596)))/(12*N596*G596*COS(RADIANS(E596))^2+L596*G596^3*SIN(RADIANS(E596))^2)</f>
        <v/>
      </c>
      <c r="Q596" s="28">
        <f>-(6*F596*J596*L596*N596*SIN(RADIANS(E596))+6*O596*N596*G596*SIN(RADIANS(E596))*COS(RADIANS(E596)))/(12*N596*COS(RADIANS(E596))^2+L596*G596^2*SIN(RADIANS(E596))^2)</f>
        <v/>
      </c>
      <c r="R596" s="28">
        <f>-P596*SIN(RADIANS(E596))</f>
        <v/>
      </c>
      <c r="S596" s="8">
        <f>(O596+P596*COS(RADIANS(E596)))/L596</f>
        <v/>
      </c>
      <c r="T596" s="8">
        <f>R596/L596</f>
        <v/>
      </c>
      <c r="U596" s="8">
        <f>(Q596-P596*G596*SIN(RADIANS(E596)))/M596</f>
        <v/>
      </c>
      <c r="V596" s="8">
        <f>SQRT((S596+U596)^2+3*T596^2)</f>
        <v/>
      </c>
      <c r="W596" s="8">
        <f>V596/AA596</f>
        <v/>
      </c>
      <c r="X596" s="27">
        <f>((3*10+H596/COS(RADIANS(E596)))*(3+3)+3*G596*H596)*2</f>
        <v/>
      </c>
      <c r="Y596" s="28">
        <f>Z596/X596</f>
        <v/>
      </c>
      <c r="Z596" s="29" t="n">
        <v>623.790566129881</v>
      </c>
      <c r="AA596" s="20" t="n">
        <v>58.4721097723158</v>
      </c>
      <c r="AB596" t="n">
        <v>0.1640216967175946</v>
      </c>
      <c r="AC596" t="n">
        <v>61.55945687955327</v>
      </c>
      <c r="AD596" t="n">
        <v>43.62930534826786</v>
      </c>
    </row>
    <row r="597">
      <c r="A597" t="n">
        <v>596</v>
      </c>
      <c r="B597" t="n">
        <v>44.2</v>
      </c>
      <c r="C597" s="21">
        <f>B597-20</f>
        <v/>
      </c>
      <c r="D597" t="n">
        <v>100.3</v>
      </c>
      <c r="E597" s="22">
        <f>D597-90</f>
        <v/>
      </c>
      <c r="F597" s="23" t="n">
        <v>0.010911</v>
      </c>
      <c r="G597" s="22" t="n">
        <v>34.1</v>
      </c>
      <c r="H597" s="22" t="n">
        <v>1.2</v>
      </c>
      <c r="I597" s="24" t="n">
        <v>0.103518016636371</v>
      </c>
      <c r="J597" s="6" t="n">
        <v>71000</v>
      </c>
      <c r="K597" s="25">
        <f>23*10^-6</f>
        <v/>
      </c>
      <c r="L597" s="8">
        <f>H597</f>
        <v/>
      </c>
      <c r="M597" s="26">
        <f>H597^2/6</f>
        <v/>
      </c>
      <c r="N597" s="26">
        <f>H597^3/12</f>
        <v/>
      </c>
      <c r="O597" s="27">
        <f>-J597*L597*K597*C597</f>
        <v/>
      </c>
      <c r="P597" s="28">
        <f>-(12*F597*J597*L597*N597+12*O597*N597*G597*COS(RADIANS(E597)))/(12*N597*G597*COS(RADIANS(E597))^2+L597*G597^3*SIN(RADIANS(E597))^2)</f>
        <v/>
      </c>
      <c r="Q597" s="28">
        <f>-(6*F597*J597*L597*N597*SIN(RADIANS(E597))+6*O597*N597*G597*SIN(RADIANS(E597))*COS(RADIANS(E597)))/(12*N597*COS(RADIANS(E597))^2+L597*G597^2*SIN(RADIANS(E597))^2)</f>
        <v/>
      </c>
      <c r="R597" s="28">
        <f>-P597*SIN(RADIANS(E597))</f>
        <v/>
      </c>
      <c r="S597" s="8">
        <f>(O597+P597*COS(RADIANS(E597)))/L597</f>
        <v/>
      </c>
      <c r="T597" s="8">
        <f>R597/L597</f>
        <v/>
      </c>
      <c r="U597" s="8">
        <f>(Q597-P597*G597*SIN(RADIANS(E597)))/M597</f>
        <v/>
      </c>
      <c r="V597" s="8">
        <f>SQRT((S597+U597)^2+3*T597^2)</f>
        <v/>
      </c>
      <c r="W597" s="8">
        <f>V597/AA597</f>
        <v/>
      </c>
      <c r="X597" s="27">
        <f>((3*10+H597/COS(RADIANS(E597)))*(3+3)+3*G597*H597)*2</f>
        <v/>
      </c>
      <c r="Y597" s="28">
        <f>Z597/X597</f>
        <v/>
      </c>
      <c r="Z597" s="29" t="n">
        <v>623.9825794351819</v>
      </c>
      <c r="AA597" s="20" t="n">
        <v>36.4644246155645</v>
      </c>
      <c r="AB597" t="n">
        <v>0.1601133993952536</v>
      </c>
      <c r="AC597" t="n">
        <v>39.58121322055859</v>
      </c>
      <c r="AD597" t="n">
        <v>54.67201227172455</v>
      </c>
    </row>
    <row r="598">
      <c r="A598" t="n">
        <v>597</v>
      </c>
      <c r="B598" t="n">
        <v>49.5</v>
      </c>
      <c r="C598" s="21">
        <f>B598-20</f>
        <v/>
      </c>
      <c r="D598" t="n">
        <v>108.5</v>
      </c>
      <c r="E598" s="22">
        <f>D598-90</f>
        <v/>
      </c>
      <c r="F598" s="23" t="n">
        <v>0.011585</v>
      </c>
      <c r="G598" s="22" t="n">
        <v>30</v>
      </c>
      <c r="H598" s="22" t="n">
        <v>1.3</v>
      </c>
      <c r="I598" s="24" t="n">
        <v>0.0711999610066413</v>
      </c>
      <c r="J598" s="6" t="n">
        <v>71000</v>
      </c>
      <c r="K598" s="25">
        <f>23*10^-6</f>
        <v/>
      </c>
      <c r="L598" s="8">
        <f>H598</f>
        <v/>
      </c>
      <c r="M598" s="26">
        <f>H598^2/6</f>
        <v/>
      </c>
      <c r="N598" s="26">
        <f>H598^3/12</f>
        <v/>
      </c>
      <c r="O598" s="27">
        <f>-J598*L598*K598*C598</f>
        <v/>
      </c>
      <c r="P598" s="28">
        <f>-(12*F598*J598*L598*N598+12*O598*N598*G598*COS(RADIANS(E598)))/(12*N598*G598*COS(RADIANS(E598))^2+L598*G598^3*SIN(RADIANS(E598))^2)</f>
        <v/>
      </c>
      <c r="Q598" s="28">
        <f>-(6*F598*J598*L598*N598*SIN(RADIANS(E598))+6*O598*N598*G598*SIN(RADIANS(E598))*COS(RADIANS(E598)))/(12*N598*COS(RADIANS(E598))^2+L598*G598^2*SIN(RADIANS(E598))^2)</f>
        <v/>
      </c>
      <c r="R598" s="28">
        <f>-P598*SIN(RADIANS(E598))</f>
        <v/>
      </c>
      <c r="S598" s="8">
        <f>(O598+P598*COS(RADIANS(E598)))/L598</f>
        <v/>
      </c>
      <c r="T598" s="8">
        <f>R598/L598</f>
        <v/>
      </c>
      <c r="U598" s="8">
        <f>(Q598-P598*G598*SIN(RADIANS(E598)))/M598</f>
        <v/>
      </c>
      <c r="V598" s="8">
        <f>SQRT((S598+U598)^2+3*T598^2)</f>
        <v/>
      </c>
      <c r="W598" s="8">
        <f>V598/AA598</f>
        <v/>
      </c>
      <c r="X598" s="27">
        <f>((3*10+H598/COS(RADIANS(E598)))*(3+3)+3*G598*H598)*2</f>
        <v/>
      </c>
      <c r="Y598" s="28">
        <f>Z598/X598</f>
        <v/>
      </c>
      <c r="Z598" s="29" t="n">
        <v>615.191524786225</v>
      </c>
      <c r="AA598" s="20" t="n">
        <v>43.8619968733427</v>
      </c>
      <c r="AB598" t="n">
        <v>0.09708158275663517</v>
      </c>
      <c r="AC598" t="n">
        <v>45.41434926793948</v>
      </c>
      <c r="AD598" t="n">
        <v>36.3506122532563</v>
      </c>
    </row>
    <row r="599">
      <c r="A599" t="n">
        <v>598</v>
      </c>
      <c r="B599" t="n">
        <v>77.3</v>
      </c>
      <c r="C599" s="21">
        <f>B599-20</f>
        <v/>
      </c>
      <c r="D599" t="n">
        <v>123.1</v>
      </c>
      <c r="E599" s="22">
        <f>D599-90</f>
        <v/>
      </c>
      <c r="F599" s="23" t="n">
        <v>0.015247</v>
      </c>
      <c r="G599" s="22" t="n">
        <v>20.7</v>
      </c>
      <c r="H599" s="22" t="n">
        <v>1.3</v>
      </c>
      <c r="I599" s="24" t="n">
        <v>0.0724420323967933</v>
      </c>
      <c r="J599" s="6" t="n">
        <v>71000</v>
      </c>
      <c r="K599" s="25">
        <f>23*10^-6</f>
        <v/>
      </c>
      <c r="L599" s="8">
        <f>H599</f>
        <v/>
      </c>
      <c r="M599" s="26">
        <f>H599^2/6</f>
        <v/>
      </c>
      <c r="N599" s="26">
        <f>H599^3/12</f>
        <v/>
      </c>
      <c r="O599" s="27">
        <f>-J599*L599*K599*C599</f>
        <v/>
      </c>
      <c r="P599" s="28">
        <f>-(12*F599*J599*L599*N599+12*O599*N599*G599*COS(RADIANS(E599)))/(12*N599*G599*COS(RADIANS(E599))^2+L599*G599^3*SIN(RADIANS(E599))^2)</f>
        <v/>
      </c>
      <c r="Q599" s="28">
        <f>-(6*F599*J599*L599*N599*SIN(RADIANS(E599))+6*O599*N599*G599*SIN(RADIANS(E599))*COS(RADIANS(E599)))/(12*N599*COS(RADIANS(E599))^2+L599*G599^2*SIN(RADIANS(E599))^2)</f>
        <v/>
      </c>
      <c r="R599" s="28">
        <f>-P599*SIN(RADIANS(E599))</f>
        <v/>
      </c>
      <c r="S599" s="8">
        <f>(O599+P599*COS(RADIANS(E599)))/L599</f>
        <v/>
      </c>
      <c r="T599" s="8">
        <f>R599/L599</f>
        <v/>
      </c>
      <c r="U599" s="8">
        <f>(Q599-P599*G599*SIN(RADIANS(E599)))/M599</f>
        <v/>
      </c>
      <c r="V599" s="8">
        <f>SQRT((S599+U599)^2+3*T599^2)</f>
        <v/>
      </c>
      <c r="W599" s="8">
        <f>V599/AA599</f>
        <v/>
      </c>
      <c r="X599" s="27">
        <f>((3*10+H599/COS(RADIANS(E599)))*(3+3)+3*G599*H599)*2</f>
        <v/>
      </c>
      <c r="Y599" s="28">
        <f>Z599/X599</f>
        <v/>
      </c>
      <c r="Z599" s="29" t="n">
        <v>548.164866394353</v>
      </c>
      <c r="AA599" s="20" t="n">
        <v>85.1785986783507</v>
      </c>
      <c r="AB599" t="n">
        <v>0.07257750753853122</v>
      </c>
      <c r="AC599" t="n">
        <v>84.0610886624451</v>
      </c>
      <c r="AD599" t="n">
        <v>0.1870117903317134</v>
      </c>
    </row>
    <row r="600">
      <c r="A600" t="n">
        <v>599</v>
      </c>
      <c r="B600" t="n">
        <v>82.2</v>
      </c>
      <c r="C600" s="21">
        <f>B600-20</f>
        <v/>
      </c>
      <c r="D600" t="n">
        <v>111.1</v>
      </c>
      <c r="E600" s="22">
        <f>D600-90</f>
        <v/>
      </c>
      <c r="F600" s="23" t="n">
        <v>0.026747</v>
      </c>
      <c r="G600" s="22" t="n">
        <v>34</v>
      </c>
      <c r="H600" s="22" t="n">
        <v>1.1</v>
      </c>
      <c r="I600" s="24" t="n">
        <v>0.148576602339744</v>
      </c>
      <c r="J600" s="6" t="n">
        <v>71000</v>
      </c>
      <c r="K600" s="25">
        <f>23*10^-6</f>
        <v/>
      </c>
      <c r="L600" s="8">
        <f>H600</f>
        <v/>
      </c>
      <c r="M600" s="26">
        <f>H600^2/6</f>
        <v/>
      </c>
      <c r="N600" s="26">
        <f>H600^3/12</f>
        <v/>
      </c>
      <c r="O600" s="27">
        <f>-J600*L600*K600*C600</f>
        <v/>
      </c>
      <c r="P600" s="28">
        <f>-(12*F600*J600*L600*N600+12*O600*N600*G600*COS(RADIANS(E600)))/(12*N600*G600*COS(RADIANS(E600))^2+L600*G600^3*SIN(RADIANS(E600))^2)</f>
        <v/>
      </c>
      <c r="Q600" s="28">
        <f>-(6*F600*J600*L600*N600*SIN(RADIANS(E600))+6*O600*N600*G600*SIN(RADIANS(E600))*COS(RADIANS(E600)))/(12*N600*COS(RADIANS(E600))^2+L600*G600^2*SIN(RADIANS(E600))^2)</f>
        <v/>
      </c>
      <c r="R600" s="28">
        <f>-P600*SIN(RADIANS(E600))</f>
        <v/>
      </c>
      <c r="S600" s="8">
        <f>(O600+P600*COS(RADIANS(E600)))/L600</f>
        <v/>
      </c>
      <c r="T600" s="8">
        <f>R600/L600</f>
        <v/>
      </c>
      <c r="U600" s="8">
        <f>(Q600-P600*G600*SIN(RADIANS(E600)))/M600</f>
        <v/>
      </c>
      <c r="V600" s="8">
        <f>SQRT((S600+U600)^2+3*T600^2)</f>
        <v/>
      </c>
      <c r="W600" s="8">
        <f>V600/AA600</f>
        <v/>
      </c>
      <c r="X600" s="27">
        <f>((3*10+H600/COS(RADIANS(E600)))*(3+3)+3*G600*H600)*2</f>
        <v/>
      </c>
      <c r="Y600" s="28">
        <f>Z600/X600</f>
        <v/>
      </c>
      <c r="Z600" s="29" t="n">
        <v>603.706997791881</v>
      </c>
      <c r="AA600" s="20" t="n">
        <v>86.53326119677349</v>
      </c>
      <c r="AB600" t="n">
        <v>0.2029302242680946</v>
      </c>
      <c r="AC600" t="n">
        <v>91.87064585085675</v>
      </c>
      <c r="AD600" t="n">
        <v>36.58289466336186</v>
      </c>
    </row>
    <row r="601">
      <c r="A601" t="n">
        <v>600</v>
      </c>
      <c r="B601" t="n">
        <v>47.1</v>
      </c>
      <c r="C601" s="21">
        <f>B601-20</f>
        <v/>
      </c>
      <c r="D601" t="n">
        <v>122.8</v>
      </c>
      <c r="E601" s="22">
        <f>D601-90</f>
        <v/>
      </c>
      <c r="F601" s="23" t="n">
        <v>0.010501</v>
      </c>
      <c r="G601" s="22" t="n">
        <v>33.3</v>
      </c>
      <c r="H601" s="22" t="n">
        <v>1</v>
      </c>
      <c r="I601" s="24" t="n">
        <v>0.0464820116758346</v>
      </c>
      <c r="J601" s="6" t="n">
        <v>71000</v>
      </c>
      <c r="K601" s="25">
        <f>23*10^-6</f>
        <v/>
      </c>
      <c r="L601" s="8">
        <f>H601</f>
        <v/>
      </c>
      <c r="M601" s="26">
        <f>H601^2/6</f>
        <v/>
      </c>
      <c r="N601" s="26">
        <f>H601^3/12</f>
        <v/>
      </c>
      <c r="O601" s="27">
        <f>-J601*L601*K601*C601</f>
        <v/>
      </c>
      <c r="P601" s="28">
        <f>-(12*F601*J601*L601*N601+12*O601*N601*G601*COS(RADIANS(E601)))/(12*N601*G601*COS(RADIANS(E601))^2+L601*G601^3*SIN(RADIANS(E601))^2)</f>
        <v/>
      </c>
      <c r="Q601" s="28">
        <f>-(6*F601*J601*L601*N601*SIN(RADIANS(E601))+6*O601*N601*G601*SIN(RADIANS(E601))*COS(RADIANS(E601)))/(12*N601*COS(RADIANS(E601))^2+L601*G601^2*SIN(RADIANS(E601))^2)</f>
        <v/>
      </c>
      <c r="R601" s="28">
        <f>-P601*SIN(RADIANS(E601))</f>
        <v/>
      </c>
      <c r="S601" s="8">
        <f>(O601+P601*COS(RADIANS(E601)))/L601</f>
        <v/>
      </c>
      <c r="T601" s="8">
        <f>R601/L601</f>
        <v/>
      </c>
      <c r="U601" s="8">
        <f>(Q601-P601*G601*SIN(RADIANS(E601)))/M601</f>
        <v/>
      </c>
      <c r="V601" s="8">
        <f>SQRT((S601+U601)^2+3*T601^2)</f>
        <v/>
      </c>
      <c r="W601" s="8">
        <f>V601/AA601</f>
        <v/>
      </c>
      <c r="X601" s="27">
        <f>((3*10+H601/COS(RADIANS(E601)))*(3+3)+3*G601*H601)*2</f>
        <v/>
      </c>
      <c r="Y601" s="28">
        <f>Z601/X601</f>
        <v/>
      </c>
      <c r="Z601" s="29" t="n">
        <v>582.061883387507</v>
      </c>
      <c r="AA601" s="20" t="n">
        <v>35.34027445628</v>
      </c>
      <c r="AB601" t="n">
        <v>0.05447722289924045</v>
      </c>
      <c r="AC601" t="n">
        <v>38.38844499679453</v>
      </c>
      <c r="AD601" t="n">
        <v>17.20065663070787</v>
      </c>
    </row>
    <row r="602">
      <c r="A602" t="n">
        <v>601</v>
      </c>
      <c r="B602" t="n">
        <v>57.3</v>
      </c>
      <c r="C602" s="21">
        <f>B602-20</f>
        <v/>
      </c>
      <c r="D602" t="n">
        <v>109.2</v>
      </c>
      <c r="E602" s="22">
        <f>D602-90</f>
        <v/>
      </c>
      <c r="F602" s="23" t="n">
        <v>0.011988</v>
      </c>
      <c r="G602" s="22" t="n">
        <v>23.5</v>
      </c>
      <c r="H602" s="22" t="n">
        <v>1.8</v>
      </c>
      <c r="I602" s="24" t="n">
        <v>0.072960577905178</v>
      </c>
      <c r="J602" s="6" t="n">
        <v>71000</v>
      </c>
      <c r="K602" s="25">
        <f>23*10^-6</f>
        <v/>
      </c>
      <c r="L602" s="8">
        <f>H602</f>
        <v/>
      </c>
      <c r="M602" s="26">
        <f>H602^2/6</f>
        <v/>
      </c>
      <c r="N602" s="26">
        <f>H602^3/12</f>
        <v/>
      </c>
      <c r="O602" s="27">
        <f>-J602*L602*K602*C602</f>
        <v/>
      </c>
      <c r="P602" s="28">
        <f>-(12*F602*J602*L602*N602+12*O602*N602*G602*COS(RADIANS(E602)))/(12*N602*G602*COS(RADIANS(E602))^2+L602*G602^3*SIN(RADIANS(E602))^2)</f>
        <v/>
      </c>
      <c r="Q602" s="28">
        <f>-(6*F602*J602*L602*N602*SIN(RADIANS(E602))+6*O602*N602*G602*SIN(RADIANS(E602))*COS(RADIANS(E602)))/(12*N602*COS(RADIANS(E602))^2+L602*G602^2*SIN(RADIANS(E602))^2)</f>
        <v/>
      </c>
      <c r="R602" s="28">
        <f>-P602*SIN(RADIANS(E602))</f>
        <v/>
      </c>
      <c r="S602" s="8">
        <f>(O602+P602*COS(RADIANS(E602)))/L602</f>
        <v/>
      </c>
      <c r="T602" s="8">
        <f>R602/L602</f>
        <v/>
      </c>
      <c r="U602" s="8">
        <f>(Q602-P602*G602*SIN(RADIANS(E602)))/M602</f>
        <v/>
      </c>
      <c r="V602" s="8">
        <f>SQRT((S602+U602)^2+3*T602^2)</f>
        <v/>
      </c>
      <c r="W602" s="8">
        <f>V602/AA602</f>
        <v/>
      </c>
      <c r="X602" s="27">
        <f>((3*10+H602/COS(RADIANS(E602)))*(3+3)+3*G602*H602)*2</f>
        <v/>
      </c>
      <c r="Y602" s="28">
        <f>Z602/X602</f>
        <v/>
      </c>
      <c r="Z602" s="29" t="n">
        <v>641.5194627007349</v>
      </c>
      <c r="AA602" s="20" t="n">
        <v>63.5520079571307</v>
      </c>
      <c r="AB602" t="n">
        <v>0.09111850735179096</v>
      </c>
      <c r="AC602" t="n">
        <v>60.9222429317327</v>
      </c>
      <c r="AD602" t="n">
        <v>24.88731581897776</v>
      </c>
    </row>
    <row r="603">
      <c r="A603" t="n">
        <v>602</v>
      </c>
      <c r="B603" t="n">
        <v>58.2</v>
      </c>
      <c r="C603" s="21">
        <f>B603-20</f>
        <v/>
      </c>
      <c r="D603" t="n">
        <v>102.4</v>
      </c>
      <c r="E603" s="22">
        <f>D603-90</f>
        <v/>
      </c>
      <c r="F603" s="23" t="n">
        <v>0.011417</v>
      </c>
      <c r="G603" s="22" t="n">
        <v>20.7</v>
      </c>
      <c r="H603" s="22" t="n">
        <v>1.7</v>
      </c>
      <c r="I603" s="24" t="n">
        <v>0.09082614630460729</v>
      </c>
      <c r="J603" s="6" t="n">
        <v>71000</v>
      </c>
      <c r="K603" s="25">
        <f>23*10^-6</f>
        <v/>
      </c>
      <c r="L603" s="8">
        <f>H603</f>
        <v/>
      </c>
      <c r="M603" s="26">
        <f>H603^2/6</f>
        <v/>
      </c>
      <c r="N603" s="26">
        <f>H603^3/12</f>
        <v/>
      </c>
      <c r="O603" s="27">
        <f>-J603*L603*K603*C603</f>
        <v/>
      </c>
      <c r="P603" s="28">
        <f>-(12*F603*J603*L603*N603+12*O603*N603*G603*COS(RADIANS(E603)))/(12*N603*G603*COS(RADIANS(E603))^2+L603*G603^3*SIN(RADIANS(E603))^2)</f>
        <v/>
      </c>
      <c r="Q603" s="28">
        <f>-(6*F603*J603*L603*N603*SIN(RADIANS(E603))+6*O603*N603*G603*SIN(RADIANS(E603))*COS(RADIANS(E603)))/(12*N603*COS(RADIANS(E603))^2+L603*G603^2*SIN(RADIANS(E603))^2)</f>
        <v/>
      </c>
      <c r="R603" s="28">
        <f>-P603*SIN(RADIANS(E603))</f>
        <v/>
      </c>
      <c r="S603" s="8">
        <f>(O603+P603*COS(RADIANS(E603)))/L603</f>
        <v/>
      </c>
      <c r="T603" s="8">
        <f>R603/L603</f>
        <v/>
      </c>
      <c r="U603" s="8">
        <f>(Q603-P603*G603*SIN(RADIANS(E603)))/M603</f>
        <v/>
      </c>
      <c r="V603" s="8">
        <f>SQRT((S603+U603)^2+3*T603^2)</f>
        <v/>
      </c>
      <c r="W603" s="8">
        <f>V603/AA603</f>
        <v/>
      </c>
      <c r="X603" s="27">
        <f>((3*10+H603/COS(RADIANS(E603)))*(3+3)+3*G603*H603)*2</f>
        <v/>
      </c>
      <c r="Y603" s="28">
        <f>Z603/X603</f>
        <v/>
      </c>
      <c r="Z603" s="29" t="n">
        <v>596.034119034972</v>
      </c>
      <c r="AA603" s="20" t="n">
        <v>81.41994557264189</v>
      </c>
      <c r="AB603" t="n">
        <v>0.1195872055168765</v>
      </c>
      <c r="AC603" t="n">
        <v>67.09322847610724</v>
      </c>
      <c r="AD603" t="n">
        <v>31.66605694775607</v>
      </c>
    </row>
    <row r="604">
      <c r="A604" t="n">
        <v>603</v>
      </c>
      <c r="B604" t="n">
        <v>73</v>
      </c>
      <c r="C604" s="21">
        <f>B604-20</f>
        <v/>
      </c>
      <c r="D604" t="n">
        <v>114.7</v>
      </c>
      <c r="E604" s="22">
        <f>D604-90</f>
        <v/>
      </c>
      <c r="F604" s="23" t="n">
        <v>0.018281</v>
      </c>
      <c r="G604" s="22" t="n">
        <v>26.7</v>
      </c>
      <c r="H604" s="22" t="n">
        <v>1</v>
      </c>
      <c r="I604" s="24" t="n">
        <v>0.09535430371761321</v>
      </c>
      <c r="J604" s="6" t="n">
        <v>71000</v>
      </c>
      <c r="K604" s="25">
        <f>23*10^-6</f>
        <v/>
      </c>
      <c r="L604" s="8">
        <f>H604</f>
        <v/>
      </c>
      <c r="M604" s="26">
        <f>H604^2/6</f>
        <v/>
      </c>
      <c r="N604" s="26">
        <f>H604^3/12</f>
        <v/>
      </c>
      <c r="O604" s="27">
        <f>-J604*L604*K604*C604</f>
        <v/>
      </c>
      <c r="P604" s="28">
        <f>-(12*F604*J604*L604*N604+12*O604*N604*G604*COS(RADIANS(E604)))/(12*N604*G604*COS(RADIANS(E604))^2+L604*G604^3*SIN(RADIANS(E604))^2)</f>
        <v/>
      </c>
      <c r="Q604" s="28">
        <f>-(6*F604*J604*L604*N604*SIN(RADIANS(E604))+6*O604*N604*G604*SIN(RADIANS(E604))*COS(RADIANS(E604)))/(12*N604*COS(RADIANS(E604))^2+L604*G604^2*SIN(RADIANS(E604))^2)</f>
        <v/>
      </c>
      <c r="R604" s="28">
        <f>-P604*SIN(RADIANS(E604))</f>
        <v/>
      </c>
      <c r="S604" s="8">
        <f>(O604+P604*COS(RADIANS(E604)))/L604</f>
        <v/>
      </c>
      <c r="T604" s="8">
        <f>R604/L604</f>
        <v/>
      </c>
      <c r="U604" s="8">
        <f>(Q604-P604*G604*SIN(RADIANS(E604)))/M604</f>
        <v/>
      </c>
      <c r="V604" s="8">
        <f>SQRT((S604+U604)^2+3*T604^2)</f>
        <v/>
      </c>
      <c r="W604" s="8">
        <f>V604/AA604</f>
        <v/>
      </c>
      <c r="X604" s="27">
        <f>((3*10+H604/COS(RADIANS(E604)))*(3+3)+3*G604*H604)*2</f>
        <v/>
      </c>
      <c r="Y604" s="28">
        <f>Z604/X604</f>
        <v/>
      </c>
      <c r="Z604" s="29" t="n">
        <v>539.25902945414</v>
      </c>
      <c r="AA604" s="20" t="n">
        <v>72.8868525628299</v>
      </c>
      <c r="AB604" t="n">
        <v>0.1168054413642622</v>
      </c>
      <c r="AC604" t="n">
        <v>77.60128504109413</v>
      </c>
      <c r="AD604" t="n">
        <v>22.49624485767884</v>
      </c>
    </row>
    <row r="605">
      <c r="A605" t="n">
        <v>604</v>
      </c>
      <c r="B605" t="n">
        <v>68.2</v>
      </c>
      <c r="C605" s="21">
        <f>B605-20</f>
        <v/>
      </c>
      <c r="D605" t="n">
        <v>112.9</v>
      </c>
      <c r="E605" s="22">
        <f>D605-90</f>
        <v/>
      </c>
      <c r="F605" s="23" t="n">
        <v>0.015496</v>
      </c>
      <c r="G605" s="22" t="n">
        <v>24.1</v>
      </c>
      <c r="H605" s="22" t="n">
        <v>1.1</v>
      </c>
      <c r="I605" s="24" t="n">
        <v>0.0856461301445961</v>
      </c>
      <c r="J605" s="6" t="n">
        <v>71000</v>
      </c>
      <c r="K605" s="25">
        <f>23*10^-6</f>
        <v/>
      </c>
      <c r="L605" s="8">
        <f>H605</f>
        <v/>
      </c>
      <c r="M605" s="26">
        <f>H605^2/6</f>
        <v/>
      </c>
      <c r="N605" s="26">
        <f>H605^3/12</f>
        <v/>
      </c>
      <c r="O605" s="27">
        <f>-J605*L605*K605*C605</f>
        <v/>
      </c>
      <c r="P605" s="28">
        <f>-(12*F605*J605*L605*N605+12*O605*N605*G605*COS(RADIANS(E605)))/(12*N605*G605*COS(RADIANS(E605))^2+L605*G605^3*SIN(RADIANS(E605))^2)</f>
        <v/>
      </c>
      <c r="Q605" s="28">
        <f>-(6*F605*J605*L605*N605*SIN(RADIANS(E605))+6*O605*N605*G605*SIN(RADIANS(E605))*COS(RADIANS(E605)))/(12*N605*COS(RADIANS(E605))^2+L605*G605^2*SIN(RADIANS(E605))^2)</f>
        <v/>
      </c>
      <c r="R605" s="28">
        <f>-P605*SIN(RADIANS(E605))</f>
        <v/>
      </c>
      <c r="S605" s="8">
        <f>(O605+P605*COS(RADIANS(E605)))/L605</f>
        <v/>
      </c>
      <c r="T605" s="8">
        <f>R605/L605</f>
        <v/>
      </c>
      <c r="U605" s="8">
        <f>(Q605-P605*G605*SIN(RADIANS(E605)))/M605</f>
        <v/>
      </c>
      <c r="V605" s="8">
        <f>SQRT((S605+U605)^2+3*T605^2)</f>
        <v/>
      </c>
      <c r="W605" s="8">
        <f>V605/AA605</f>
        <v/>
      </c>
      <c r="X605" s="27">
        <f>((3*10+H605/COS(RADIANS(E605)))*(3+3)+3*G605*H605)*2</f>
        <v/>
      </c>
      <c r="Y605" s="28">
        <f>Z605/X605</f>
        <v/>
      </c>
      <c r="Z605" s="29" t="n">
        <v>538.876379454455</v>
      </c>
      <c r="AA605" s="20" t="n">
        <v>69.1383871128053</v>
      </c>
      <c r="AB605" t="n">
        <v>0.1040520960077129</v>
      </c>
      <c r="AC605" t="n">
        <v>72.14509657298679</v>
      </c>
      <c r="AD605" t="n">
        <v>21.4907151461976</v>
      </c>
    </row>
    <row r="606">
      <c r="A606" t="n">
        <v>605</v>
      </c>
      <c r="B606" t="n">
        <v>53.3</v>
      </c>
      <c r="C606" s="21">
        <f>B606-20</f>
        <v/>
      </c>
      <c r="D606" t="n">
        <v>111.5</v>
      </c>
      <c r="E606" s="22">
        <f>D606-90</f>
        <v/>
      </c>
      <c r="F606" s="23" t="n">
        <v>0.012203</v>
      </c>
      <c r="G606" s="22" t="n">
        <v>28.1</v>
      </c>
      <c r="H606" s="22" t="n">
        <v>1.5</v>
      </c>
      <c r="I606" s="24" t="n">
        <v>0.068409726023674</v>
      </c>
      <c r="J606" s="6" t="n">
        <v>71000</v>
      </c>
      <c r="K606" s="25">
        <f>23*10^-6</f>
        <v/>
      </c>
      <c r="L606" s="8">
        <f>H606</f>
        <v/>
      </c>
      <c r="M606" s="26">
        <f>H606^2/6</f>
        <v/>
      </c>
      <c r="N606" s="26">
        <f>H606^3/12</f>
        <v/>
      </c>
      <c r="O606" s="27">
        <f>-J606*L606*K606*C606</f>
        <v/>
      </c>
      <c r="P606" s="28">
        <f>-(12*F606*J606*L606*N606+12*O606*N606*G606*COS(RADIANS(E606)))/(12*N606*G606*COS(RADIANS(E606))^2+L606*G606^3*SIN(RADIANS(E606))^2)</f>
        <v/>
      </c>
      <c r="Q606" s="28">
        <f>-(6*F606*J606*L606*N606*SIN(RADIANS(E606))+6*O606*N606*G606*SIN(RADIANS(E606))*COS(RADIANS(E606)))/(12*N606*COS(RADIANS(E606))^2+L606*G606^2*SIN(RADIANS(E606))^2)</f>
        <v/>
      </c>
      <c r="R606" s="28">
        <f>-P606*SIN(RADIANS(E606))</f>
        <v/>
      </c>
      <c r="S606" s="8">
        <f>(O606+P606*COS(RADIANS(E606)))/L606</f>
        <v/>
      </c>
      <c r="T606" s="8">
        <f>R606/L606</f>
        <v/>
      </c>
      <c r="U606" s="8">
        <f>(Q606-P606*G606*SIN(RADIANS(E606)))/M606</f>
        <v/>
      </c>
      <c r="V606" s="8">
        <f>SQRT((S606+U606)^2+3*T606^2)</f>
        <v/>
      </c>
      <c r="W606" s="8">
        <f>V606/AA606</f>
        <v/>
      </c>
      <c r="X606" s="27">
        <f>((3*10+H606/COS(RADIANS(E606)))*(3+3)+3*G606*H606)*2</f>
        <v/>
      </c>
      <c r="Y606" s="28">
        <f>Z606/X606</f>
        <v/>
      </c>
      <c r="Z606" s="29" t="n">
        <v>637.474651487247</v>
      </c>
      <c r="AA606" s="20" t="n">
        <v>50.6965960201296</v>
      </c>
      <c r="AB606" t="n">
        <v>0.08799658675461837</v>
      </c>
      <c r="AC606" t="n">
        <v>51.38556994994089</v>
      </c>
      <c r="AD606" t="n">
        <v>28.63169006723709</v>
      </c>
    </row>
    <row r="607">
      <c r="A607" t="n">
        <v>606</v>
      </c>
      <c r="B607" t="n">
        <v>67</v>
      </c>
      <c r="C607" s="21">
        <f>B607-20</f>
        <v/>
      </c>
      <c r="D607" t="n">
        <v>126.8</v>
      </c>
      <c r="E607" s="22">
        <f>D607-90</f>
        <v/>
      </c>
      <c r="F607" s="23" t="n">
        <v>0.015485</v>
      </c>
      <c r="G607" s="22" t="n">
        <v>28.6</v>
      </c>
      <c r="H607" s="22" t="n">
        <v>1.8</v>
      </c>
      <c r="I607" s="24" t="n">
        <v>0.0680136904120445</v>
      </c>
      <c r="J607" s="6" t="n">
        <v>71000</v>
      </c>
      <c r="K607" s="25">
        <f>23*10^-6</f>
        <v/>
      </c>
      <c r="L607" s="8">
        <f>H607</f>
        <v/>
      </c>
      <c r="M607" s="26">
        <f>H607^2/6</f>
        <v/>
      </c>
      <c r="N607" s="26">
        <f>H607^3/12</f>
        <v/>
      </c>
      <c r="O607" s="27">
        <f>-J607*L607*K607*C607</f>
        <v/>
      </c>
      <c r="P607" s="28">
        <f>-(12*F607*J607*L607*N607+12*O607*N607*G607*COS(RADIANS(E607)))/(12*N607*G607*COS(RADIANS(E607))^2+L607*G607^3*SIN(RADIANS(E607))^2)</f>
        <v/>
      </c>
      <c r="Q607" s="28">
        <f>-(6*F607*J607*L607*N607*SIN(RADIANS(E607))+6*O607*N607*G607*SIN(RADIANS(E607))*COS(RADIANS(E607)))/(12*N607*COS(RADIANS(E607))^2+L607*G607^2*SIN(RADIANS(E607))^2)</f>
        <v/>
      </c>
      <c r="R607" s="28">
        <f>-P607*SIN(RADIANS(E607))</f>
        <v/>
      </c>
      <c r="S607" s="8">
        <f>(O607+P607*COS(RADIANS(E607)))/L607</f>
        <v/>
      </c>
      <c r="T607" s="8">
        <f>R607/L607</f>
        <v/>
      </c>
      <c r="U607" s="8">
        <f>(Q607-P607*G607*SIN(RADIANS(E607)))/M607</f>
        <v/>
      </c>
      <c r="V607" s="8">
        <f>SQRT((S607+U607)^2+3*T607^2)</f>
        <v/>
      </c>
      <c r="W607" s="8">
        <f>V607/AA607</f>
        <v/>
      </c>
      <c r="X607" s="27">
        <f>((3*10+H607/COS(RADIANS(E607)))*(3+3)+3*G607*H607)*2</f>
        <v/>
      </c>
      <c r="Y607" s="28">
        <f>Z607/X607</f>
        <v/>
      </c>
      <c r="Z607" s="29" t="n">
        <v>705.26156680187</v>
      </c>
      <c r="AA607" s="20" t="n">
        <v>72.1995477422891</v>
      </c>
      <c r="AB607" t="n">
        <v>0.07172140974047891</v>
      </c>
      <c r="AC607" t="n">
        <v>68.88545567328018</v>
      </c>
      <c r="AD607" t="n">
        <v>5.45143088982835</v>
      </c>
    </row>
    <row r="608">
      <c r="A608" t="n">
        <v>607</v>
      </c>
      <c r="B608" t="n">
        <v>58.2</v>
      </c>
      <c r="C608" s="21">
        <f>B608-20</f>
        <v/>
      </c>
      <c r="D608" t="n">
        <v>120.6</v>
      </c>
      <c r="E608" s="22">
        <f>D608-90</f>
        <v/>
      </c>
      <c r="F608" s="23" t="n">
        <v>0.010372</v>
      </c>
      <c r="G608" s="22" t="n">
        <v>20.7</v>
      </c>
      <c r="H608" s="22" t="n">
        <v>1.7</v>
      </c>
      <c r="I608" s="24" t="n">
        <v>0.0506872050464153</v>
      </c>
      <c r="J608" s="6" t="n">
        <v>71000</v>
      </c>
      <c r="K608" s="25">
        <f>23*10^-6</f>
        <v/>
      </c>
      <c r="L608" s="8">
        <f>H608</f>
        <v/>
      </c>
      <c r="M608" s="26">
        <f>H608^2/6</f>
        <v/>
      </c>
      <c r="N608" s="26">
        <f>H608^3/12</f>
        <v/>
      </c>
      <c r="O608" s="27">
        <f>-J608*L608*K608*C608</f>
        <v/>
      </c>
      <c r="P608" s="28">
        <f>-(12*F608*J608*L608*N608+12*O608*N608*G608*COS(RADIANS(E608)))/(12*N608*G608*COS(RADIANS(E608))^2+L608*G608^3*SIN(RADIANS(E608))^2)</f>
        <v/>
      </c>
      <c r="Q608" s="28">
        <f>-(6*F608*J608*L608*N608*SIN(RADIANS(E608))+6*O608*N608*G608*SIN(RADIANS(E608))*COS(RADIANS(E608)))/(12*N608*COS(RADIANS(E608))^2+L608*G608^2*SIN(RADIANS(E608))^2)</f>
        <v/>
      </c>
      <c r="R608" s="28">
        <f>-P608*SIN(RADIANS(E608))</f>
        <v/>
      </c>
      <c r="S608" s="8">
        <f>(O608+P608*COS(RADIANS(E608)))/L608</f>
        <v/>
      </c>
      <c r="T608" s="8">
        <f>R608/L608</f>
        <v/>
      </c>
      <c r="U608" s="8">
        <f>(Q608-P608*G608*SIN(RADIANS(E608)))/M608</f>
        <v/>
      </c>
      <c r="V608" s="8">
        <f>SQRT((S608+U608)^2+3*T608^2)</f>
        <v/>
      </c>
      <c r="W608" s="8">
        <f>V608/AA608</f>
        <v/>
      </c>
      <c r="X608" s="27">
        <f>((3*10+H608/COS(RADIANS(E608)))*(3+3)+3*G608*H608)*2</f>
        <v/>
      </c>
      <c r="Y608" s="28">
        <f>Z608/X608</f>
        <v/>
      </c>
      <c r="Z608" s="29" t="n">
        <v>602.157029065271</v>
      </c>
      <c r="AA608" s="20" t="n">
        <v>62.4807078719829</v>
      </c>
      <c r="AB608" t="n">
        <v>0.05214224588319663</v>
      </c>
      <c r="AC608" t="n">
        <v>58.05675959995505</v>
      </c>
      <c r="AD608" t="n">
        <v>2.87062747975336</v>
      </c>
    </row>
    <row r="609">
      <c r="A609" t="n">
        <v>608</v>
      </c>
      <c r="B609" t="n">
        <v>70.5</v>
      </c>
      <c r="C609" s="21">
        <f>B609-20</f>
        <v/>
      </c>
      <c r="D609" t="n">
        <v>114.8</v>
      </c>
      <c r="E609" s="22">
        <f>D609-90</f>
        <v/>
      </c>
      <c r="F609" s="23" t="n">
        <v>0.017199</v>
      </c>
      <c r="G609" s="22" t="n">
        <v>26.3</v>
      </c>
      <c r="H609" s="22" t="n">
        <v>1.5</v>
      </c>
      <c r="I609" s="24" t="n">
        <v>0.0895709320902824</v>
      </c>
      <c r="J609" s="6" t="n">
        <v>71000</v>
      </c>
      <c r="K609" s="25">
        <f>23*10^-6</f>
        <v/>
      </c>
      <c r="L609" s="8">
        <f>H609</f>
        <v/>
      </c>
      <c r="M609" s="26">
        <f>H609^2/6</f>
        <v/>
      </c>
      <c r="N609" s="26">
        <f>H609^3/12</f>
        <v/>
      </c>
      <c r="O609" s="27">
        <f>-J609*L609*K609*C609</f>
        <v/>
      </c>
      <c r="P609" s="28">
        <f>-(12*F609*J609*L609*N609+12*O609*N609*G609*COS(RADIANS(E609)))/(12*N609*G609*COS(RADIANS(E609))^2+L609*G609^3*SIN(RADIANS(E609))^2)</f>
        <v/>
      </c>
      <c r="Q609" s="28">
        <f>-(6*F609*J609*L609*N609*SIN(RADIANS(E609))+6*O609*N609*G609*SIN(RADIANS(E609))*COS(RADIANS(E609)))/(12*N609*COS(RADIANS(E609))^2+L609*G609^2*SIN(RADIANS(E609))^2)</f>
        <v/>
      </c>
      <c r="R609" s="28">
        <f>-P609*SIN(RADIANS(E609))</f>
        <v/>
      </c>
      <c r="S609" s="8">
        <f>(O609+P609*COS(RADIANS(E609)))/L609</f>
        <v/>
      </c>
      <c r="T609" s="8">
        <f>R609/L609</f>
        <v/>
      </c>
      <c r="U609" s="8">
        <f>(Q609-P609*G609*SIN(RADIANS(E609)))/M609</f>
        <v/>
      </c>
      <c r="V609" s="8">
        <f>SQRT((S609+U609)^2+3*T609^2)</f>
        <v/>
      </c>
      <c r="W609" s="8">
        <f>V609/AA609</f>
        <v/>
      </c>
      <c r="X609" s="27">
        <f>((3*10+H609/COS(RADIANS(E609)))*(3+3)+3*G609*H609)*2</f>
        <v/>
      </c>
      <c r="Y609" s="28">
        <f>Z609/X609</f>
        <v/>
      </c>
      <c r="Z609" s="29" t="n">
        <v>622.40047450266</v>
      </c>
      <c r="AA609" s="20" t="n">
        <v>77.86456648850481</v>
      </c>
      <c r="AB609" t="n">
        <v>0.1082778186481928</v>
      </c>
      <c r="AC609" t="n">
        <v>76.83734901390872</v>
      </c>
      <c r="AD609" t="n">
        <v>20.88499708706267</v>
      </c>
    </row>
    <row r="610">
      <c r="A610" t="n">
        <v>609</v>
      </c>
      <c r="B610" t="n">
        <v>44.9</v>
      </c>
      <c r="C610" s="21">
        <f>B610-20</f>
        <v/>
      </c>
      <c r="D610" t="n">
        <v>102.4</v>
      </c>
      <c r="E610" s="22">
        <f>D610-90</f>
        <v/>
      </c>
      <c r="F610" s="23" t="n">
        <v>0.011351</v>
      </c>
      <c r="G610" s="22" t="n">
        <v>34.8</v>
      </c>
      <c r="H610" s="22" t="n">
        <v>1.5</v>
      </c>
      <c r="I610" s="24" t="n">
        <v>0.0919036865234375</v>
      </c>
      <c r="J610" s="6" t="n">
        <v>71000</v>
      </c>
      <c r="K610" s="25">
        <f>23*10^-6</f>
        <v/>
      </c>
      <c r="L610" s="8">
        <f>H610</f>
        <v/>
      </c>
      <c r="M610" s="26">
        <f>H610^2/6</f>
        <v/>
      </c>
      <c r="N610" s="26">
        <f>H610^3/12</f>
        <v/>
      </c>
      <c r="O610" s="27">
        <f>-J610*L610*K610*C610</f>
        <v/>
      </c>
      <c r="P610" s="28">
        <f>-(12*F610*J610*L610*N610+12*O610*N610*G610*COS(RADIANS(E610)))/(12*N610*G610*COS(RADIANS(E610))^2+L610*G610^3*SIN(RADIANS(E610))^2)</f>
        <v/>
      </c>
      <c r="Q610" s="28">
        <f>-(6*F610*J610*L610*N610*SIN(RADIANS(E610))+6*O610*N610*G610*SIN(RADIANS(E610))*COS(RADIANS(E610)))/(12*N610*COS(RADIANS(E610))^2+L610*G610^2*SIN(RADIANS(E610))^2)</f>
        <v/>
      </c>
      <c r="R610" s="28">
        <f>-P610*SIN(RADIANS(E610))</f>
        <v/>
      </c>
      <c r="S610" s="8">
        <f>(O610+P610*COS(RADIANS(E610)))/L610</f>
        <v/>
      </c>
      <c r="T610" s="8">
        <f>R610/L610</f>
        <v/>
      </c>
      <c r="U610" s="8">
        <f>(Q610-P610*G610*SIN(RADIANS(E610)))/M610</f>
        <v/>
      </c>
      <c r="V610" s="8">
        <f>SQRT((S610+U610)^2+3*T610^2)</f>
        <v/>
      </c>
      <c r="W610" s="8">
        <f>V610/AA610</f>
        <v/>
      </c>
      <c r="X610" s="27">
        <f>((3*10+H610/COS(RADIANS(E610)))*(3+3)+3*G610*H610)*2</f>
        <v/>
      </c>
      <c r="Y610" s="28">
        <f>Z610/X610</f>
        <v/>
      </c>
      <c r="Z610" s="29" t="n">
        <v>695.636795270146</v>
      </c>
      <c r="AA610" s="20" t="n">
        <v>39.2882772005645</v>
      </c>
      <c r="AB610" t="n">
        <v>0.1390010016711213</v>
      </c>
      <c r="AC610" t="n">
        <v>40.82395290927619</v>
      </c>
      <c r="AD610" t="n">
        <v>51.24638295730713</v>
      </c>
    </row>
    <row r="611">
      <c r="A611" t="n">
        <v>610</v>
      </c>
      <c r="B611" t="n">
        <v>49.4</v>
      </c>
      <c r="C611" s="21">
        <f>B611-20</f>
        <v/>
      </c>
      <c r="D611" t="n">
        <v>106.2</v>
      </c>
      <c r="E611" s="22">
        <f>D611-90</f>
        <v/>
      </c>
      <c r="F611" s="23" t="n">
        <v>0.012181</v>
      </c>
      <c r="G611" s="22" t="n">
        <v>31.6</v>
      </c>
      <c r="H611" s="22" t="n">
        <v>2</v>
      </c>
      <c r="I611" s="24" t="n">
        <v>0.0803841650485992</v>
      </c>
      <c r="J611" s="6" t="n">
        <v>71000</v>
      </c>
      <c r="K611" s="25">
        <f>23*10^-6</f>
        <v/>
      </c>
      <c r="L611" s="8">
        <f>H611</f>
        <v/>
      </c>
      <c r="M611" s="26">
        <f>H611^2/6</f>
        <v/>
      </c>
      <c r="N611" s="26">
        <f>H611^3/12</f>
        <v/>
      </c>
      <c r="O611" s="27">
        <f>-J611*L611*K611*C611</f>
        <v/>
      </c>
      <c r="P611" s="28">
        <f>-(12*F611*J611*L611*N611+12*O611*N611*G611*COS(RADIANS(E611)))/(12*N611*G611*COS(RADIANS(E611))^2+L611*G611^3*SIN(RADIANS(E611))^2)</f>
        <v/>
      </c>
      <c r="Q611" s="28">
        <f>-(6*F611*J611*L611*N611*SIN(RADIANS(E611))+6*O611*N611*G611*SIN(RADIANS(E611))*COS(RADIANS(E611)))/(12*N611*COS(RADIANS(E611))^2+L611*G611^2*SIN(RADIANS(E611))^2)</f>
        <v/>
      </c>
      <c r="R611" s="28">
        <f>-P611*SIN(RADIANS(E611))</f>
        <v/>
      </c>
      <c r="S611" s="8">
        <f>(O611+P611*COS(RADIANS(E611)))/L611</f>
        <v/>
      </c>
      <c r="T611" s="8">
        <f>R611/L611</f>
        <v/>
      </c>
      <c r="U611" s="8">
        <f>(Q611-P611*G611*SIN(RADIANS(E611)))/M611</f>
        <v/>
      </c>
      <c r="V611" s="8">
        <f>SQRT((S611+U611)^2+3*T611^2)</f>
        <v/>
      </c>
      <c r="W611" s="8">
        <f>V611/AA611</f>
        <v/>
      </c>
      <c r="X611" s="27">
        <f>((3*10+H611/COS(RADIANS(E611)))*(3+3)+3*G611*H611)*2</f>
        <v/>
      </c>
      <c r="Y611" s="28">
        <f>Z611/X611</f>
        <v/>
      </c>
      <c r="Z611" s="29" t="n">
        <v>768.618337934633</v>
      </c>
      <c r="AA611" s="20" t="n">
        <v>50.6590706979171</v>
      </c>
      <c r="AB611" t="n">
        <v>0.1129886899670365</v>
      </c>
      <c r="AC611" t="n">
        <v>48.77361316210636</v>
      </c>
      <c r="AD611" t="n">
        <v>40.56088024143193</v>
      </c>
    </row>
    <row r="612">
      <c r="A612" t="n">
        <v>611</v>
      </c>
      <c r="B612" t="n">
        <v>41.1</v>
      </c>
      <c r="C612" s="21">
        <f>B612-20</f>
        <v/>
      </c>
      <c r="D612" t="n">
        <v>122.7</v>
      </c>
      <c r="E612" s="22">
        <f>D612-90</f>
        <v/>
      </c>
      <c r="F612" s="23" t="n">
        <v>0.006747</v>
      </c>
      <c r="G612" s="22" t="n">
        <v>26.2</v>
      </c>
      <c r="H612" s="22" t="n">
        <v>1.3</v>
      </c>
      <c r="I612" s="24" t="n">
        <v>0.0310109928250312</v>
      </c>
      <c r="J612" s="6" t="n">
        <v>71000</v>
      </c>
      <c r="K612" s="25">
        <f>23*10^-6</f>
        <v/>
      </c>
      <c r="L612" s="8">
        <f>H612</f>
        <v/>
      </c>
      <c r="M612" s="26">
        <f>H612^2/6</f>
        <v/>
      </c>
      <c r="N612" s="26">
        <f>H612^3/12</f>
        <v/>
      </c>
      <c r="O612" s="27">
        <f>-J612*L612*K612*C612</f>
        <v/>
      </c>
      <c r="P612" s="28">
        <f>-(12*F612*J612*L612*N612+12*O612*N612*G612*COS(RADIANS(E612)))/(12*N612*G612*COS(RADIANS(E612))^2+L612*G612^3*SIN(RADIANS(E612))^2)</f>
        <v/>
      </c>
      <c r="Q612" s="28">
        <f>-(6*F612*J612*L612*N612*SIN(RADIANS(E612))+6*O612*N612*G612*SIN(RADIANS(E612))*COS(RADIANS(E612)))/(12*N612*COS(RADIANS(E612))^2+L612*G612^2*SIN(RADIANS(E612))^2)</f>
        <v/>
      </c>
      <c r="R612" s="28">
        <f>-P612*SIN(RADIANS(E612))</f>
        <v/>
      </c>
      <c r="S612" s="8">
        <f>(O612+P612*COS(RADIANS(E612)))/L612</f>
        <v/>
      </c>
      <c r="T612" s="8">
        <f>R612/L612</f>
        <v/>
      </c>
      <c r="U612" s="8">
        <f>(Q612-P612*G612*SIN(RADIANS(E612)))/M612</f>
        <v/>
      </c>
      <c r="V612" s="8">
        <f>SQRT((S612+U612)^2+3*T612^2)</f>
        <v/>
      </c>
      <c r="W612" s="8">
        <f>V612/AA612</f>
        <v/>
      </c>
      <c r="X612" s="27">
        <f>((3*10+H612/COS(RADIANS(E612)))*(3+3)+3*G612*H612)*2</f>
        <v/>
      </c>
      <c r="Y612" s="28">
        <f>Z612/X612</f>
        <v/>
      </c>
      <c r="Z612" s="29" t="n">
        <v>590.851849968932</v>
      </c>
      <c r="AA612" s="20" t="n">
        <v>30.2983131823472</v>
      </c>
      <c r="AB612" t="n">
        <v>0.03381654259485676</v>
      </c>
      <c r="AC612" t="n">
        <v>30.69107959370359</v>
      </c>
      <c r="AD612" t="n">
        <v>9.046952432819234</v>
      </c>
    </row>
    <row r="613">
      <c r="A613" t="n">
        <v>612</v>
      </c>
      <c r="B613" t="n">
        <v>51.1</v>
      </c>
      <c r="C613" s="21">
        <f>B613-20</f>
        <v/>
      </c>
      <c r="D613" t="n">
        <v>127.1</v>
      </c>
      <c r="E613" s="22">
        <f>D613-90</f>
        <v/>
      </c>
      <c r="F613" s="23" t="n">
        <v>0.008857</v>
      </c>
      <c r="G613" s="22" t="n">
        <v>23.8</v>
      </c>
      <c r="H613" s="22" t="n">
        <v>1.9</v>
      </c>
      <c r="I613" s="24" t="n">
        <v>0.0399141311645507</v>
      </c>
      <c r="J613" s="6" t="n">
        <v>71000</v>
      </c>
      <c r="K613" s="25">
        <f>23*10^-6</f>
        <v/>
      </c>
      <c r="L613" s="8">
        <f>H613</f>
        <v/>
      </c>
      <c r="M613" s="26">
        <f>H613^2/6</f>
        <v/>
      </c>
      <c r="N613" s="26">
        <f>H613^3/12</f>
        <v/>
      </c>
      <c r="O613" s="27">
        <f>-J613*L613*K613*C613</f>
        <v/>
      </c>
      <c r="P613" s="28">
        <f>-(12*F613*J613*L613*N613+12*O613*N613*G613*COS(RADIANS(E613)))/(12*N613*G613*COS(RADIANS(E613))^2+L613*G613^3*SIN(RADIANS(E613))^2)</f>
        <v/>
      </c>
      <c r="Q613" s="28">
        <f>-(6*F613*J613*L613*N613*SIN(RADIANS(E613))+6*O613*N613*G613*SIN(RADIANS(E613))*COS(RADIANS(E613)))/(12*N613*COS(RADIANS(E613))^2+L613*G613^2*SIN(RADIANS(E613))^2)</f>
        <v/>
      </c>
      <c r="R613" s="28">
        <f>-P613*SIN(RADIANS(E613))</f>
        <v/>
      </c>
      <c r="S613" s="8">
        <f>(O613+P613*COS(RADIANS(E613)))/L613</f>
        <v/>
      </c>
      <c r="T613" s="8">
        <f>R613/L613</f>
        <v/>
      </c>
      <c r="U613" s="8">
        <f>(Q613-P613*G613*SIN(RADIANS(E613)))/M613</f>
        <v/>
      </c>
      <c r="V613" s="8">
        <f>SQRT((S613+U613)^2+3*T613^2)</f>
        <v/>
      </c>
      <c r="W613" s="8">
        <f>V613/AA613</f>
        <v/>
      </c>
      <c r="X613" s="27">
        <f>((3*10+H613/COS(RADIANS(E613)))*(3+3)+3*G613*H613)*2</f>
        <v/>
      </c>
      <c r="Y613" s="28">
        <f>Z613/X613</f>
        <v/>
      </c>
      <c r="Z613" s="29" t="n">
        <v>669.4308397814571</v>
      </c>
      <c r="AA613" s="20" t="n">
        <v>50.2582330483934</v>
      </c>
      <c r="AB613" t="n">
        <v>0.03942024502940605</v>
      </c>
      <c r="AC613" t="n">
        <v>46.15982909993615</v>
      </c>
      <c r="AD613" t="n">
        <v>-1.237371629382438</v>
      </c>
    </row>
    <row r="614">
      <c r="A614" t="n">
        <v>613</v>
      </c>
      <c r="B614" t="n">
        <v>56.3</v>
      </c>
      <c r="C614" s="21">
        <f>B614-20</f>
        <v/>
      </c>
      <c r="D614" t="n">
        <v>125.3</v>
      </c>
      <c r="E614" s="22">
        <f>D614-90</f>
        <v/>
      </c>
      <c r="F614" s="23" t="n">
        <v>0.013797</v>
      </c>
      <c r="G614" s="22" t="n">
        <v>33.5</v>
      </c>
      <c r="H614" s="22" t="n">
        <v>1.6</v>
      </c>
      <c r="I614" s="24" t="n">
        <v>0.0598127767443656</v>
      </c>
      <c r="J614" s="6" t="n">
        <v>71000</v>
      </c>
      <c r="K614" s="25">
        <f>23*10^-6</f>
        <v/>
      </c>
      <c r="L614" s="8">
        <f>H614</f>
        <v/>
      </c>
      <c r="M614" s="26">
        <f>H614^2/6</f>
        <v/>
      </c>
      <c r="N614" s="26">
        <f>H614^3/12</f>
        <v/>
      </c>
      <c r="O614" s="27">
        <f>-J614*L614*K614*C614</f>
        <v/>
      </c>
      <c r="P614" s="28">
        <f>-(12*F614*J614*L614*N614+12*O614*N614*G614*COS(RADIANS(E614)))/(12*N614*G614*COS(RADIANS(E614))^2+L614*G614^3*SIN(RADIANS(E614))^2)</f>
        <v/>
      </c>
      <c r="Q614" s="28">
        <f>-(6*F614*J614*L614*N614*SIN(RADIANS(E614))+6*O614*N614*G614*SIN(RADIANS(E614))*COS(RADIANS(E614)))/(12*N614*COS(RADIANS(E614))^2+L614*G614^2*SIN(RADIANS(E614))^2)</f>
        <v/>
      </c>
      <c r="R614" s="28">
        <f>-P614*SIN(RADIANS(E614))</f>
        <v/>
      </c>
      <c r="S614" s="8">
        <f>(O614+P614*COS(RADIANS(E614)))/L614</f>
        <v/>
      </c>
      <c r="T614" s="8">
        <f>R614/L614</f>
        <v/>
      </c>
      <c r="U614" s="8">
        <f>(Q614-P614*G614*SIN(RADIANS(E614)))/M614</f>
        <v/>
      </c>
      <c r="V614" s="8">
        <f>SQRT((S614+U614)^2+3*T614^2)</f>
        <v/>
      </c>
      <c r="W614" s="8">
        <f>V614/AA614</f>
        <v/>
      </c>
      <c r="X614" s="27">
        <f>((3*10+H614/COS(RADIANS(E614)))*(3+3)+3*G614*H614)*2</f>
        <v/>
      </c>
      <c r="Y614" s="28">
        <f>Z614/X614</f>
        <v/>
      </c>
      <c r="Z614" s="29" t="n">
        <v>713.9658806691</v>
      </c>
      <c r="AA614" s="20" t="n">
        <v>53.3115569672088</v>
      </c>
      <c r="AB614" t="n">
        <v>0.06753591661547255</v>
      </c>
      <c r="AC614" t="n">
        <v>52.55327226248225</v>
      </c>
      <c r="AD614" t="n">
        <v>12.91219082523948</v>
      </c>
    </row>
    <row r="615">
      <c r="A615" t="n">
        <v>614</v>
      </c>
      <c r="B615" t="n">
        <v>48.4</v>
      </c>
      <c r="C615" s="21">
        <f>B615-20</f>
        <v/>
      </c>
      <c r="D615" t="n">
        <v>101.3</v>
      </c>
      <c r="E615" s="22">
        <f>D615-90</f>
        <v/>
      </c>
      <c r="F615" s="23" t="n">
        <v>0.010769</v>
      </c>
      <c r="G615" s="22" t="n">
        <v>27.8</v>
      </c>
      <c r="H615" s="22" t="n">
        <v>1.9</v>
      </c>
      <c r="I615" s="24" t="n">
        <v>0.0907169431447982</v>
      </c>
      <c r="J615" s="6" t="n">
        <v>71000</v>
      </c>
      <c r="K615" s="25">
        <f>23*10^-6</f>
        <v/>
      </c>
      <c r="L615" s="8">
        <f>H615</f>
        <v/>
      </c>
      <c r="M615" s="26">
        <f>H615^2/6</f>
        <v/>
      </c>
      <c r="N615" s="26">
        <f>H615^3/12</f>
        <v/>
      </c>
      <c r="O615" s="27">
        <f>-J615*L615*K615*C615</f>
        <v/>
      </c>
      <c r="P615" s="28">
        <f>-(12*F615*J615*L615*N615+12*O615*N615*G615*COS(RADIANS(E615)))/(12*N615*G615*COS(RADIANS(E615))^2+L615*G615^3*SIN(RADIANS(E615))^2)</f>
        <v/>
      </c>
      <c r="Q615" s="28">
        <f>-(6*F615*J615*L615*N615*SIN(RADIANS(E615))+6*O615*N615*G615*SIN(RADIANS(E615))*COS(RADIANS(E615)))/(12*N615*COS(RADIANS(E615))^2+L615*G615^2*SIN(RADIANS(E615))^2)</f>
        <v/>
      </c>
      <c r="R615" s="28">
        <f>-P615*SIN(RADIANS(E615))</f>
        <v/>
      </c>
      <c r="S615" s="8">
        <f>(O615+P615*COS(RADIANS(E615)))/L615</f>
        <v/>
      </c>
      <c r="T615" s="8">
        <f>R615/L615</f>
        <v/>
      </c>
      <c r="U615" s="8">
        <f>(Q615-P615*G615*SIN(RADIANS(E615)))/M615</f>
        <v/>
      </c>
      <c r="V615" s="8">
        <f>SQRT((S615+U615)^2+3*T615^2)</f>
        <v/>
      </c>
      <c r="W615" s="8">
        <f>V615/AA615</f>
        <v/>
      </c>
      <c r="X615" s="27">
        <f>((3*10+H615/COS(RADIANS(E615)))*(3+3)+3*G615*H615)*2</f>
        <v/>
      </c>
      <c r="Y615" s="28">
        <f>Z615/X615</f>
        <v/>
      </c>
      <c r="Z615" s="29" t="n">
        <v>704.0787980766351</v>
      </c>
      <c r="AA615" s="20" t="n">
        <v>52.0015295122826</v>
      </c>
      <c r="AB615" t="n">
        <v>0.13098898801024</v>
      </c>
      <c r="AC615" t="n">
        <v>50.41873648073661</v>
      </c>
      <c r="AD615" t="n">
        <v>44.39307969313015</v>
      </c>
    </row>
    <row r="616">
      <c r="A616" t="n">
        <v>615</v>
      </c>
      <c r="B616" t="n">
        <v>64.2</v>
      </c>
      <c r="C616" s="21">
        <f>B616-20</f>
        <v/>
      </c>
      <c r="D616" t="n">
        <v>129</v>
      </c>
      <c r="E616" s="22">
        <f>D616-90</f>
        <v/>
      </c>
      <c r="F616" s="23" t="n">
        <v>0.011834</v>
      </c>
      <c r="G616" s="22" t="n">
        <v>22.5</v>
      </c>
      <c r="H616" s="22" t="n">
        <v>1.5</v>
      </c>
      <c r="I616" s="24" t="n">
        <v>0.0531972087919712</v>
      </c>
      <c r="J616" s="6" t="n">
        <v>71000</v>
      </c>
      <c r="K616" s="25">
        <f>23*10^-6</f>
        <v/>
      </c>
      <c r="L616" s="8">
        <f>H616</f>
        <v/>
      </c>
      <c r="M616" s="26">
        <f>H616^2/6</f>
        <v/>
      </c>
      <c r="N616" s="26">
        <f>H616^3/12</f>
        <v/>
      </c>
      <c r="O616" s="27">
        <f>-J616*L616*K616*C616</f>
        <v/>
      </c>
      <c r="P616" s="28">
        <f>-(12*F616*J616*L616*N616+12*O616*N616*G616*COS(RADIANS(E616)))/(12*N616*G616*COS(RADIANS(E616))^2+L616*G616^3*SIN(RADIANS(E616))^2)</f>
        <v/>
      </c>
      <c r="Q616" s="28">
        <f>-(6*F616*J616*L616*N616*SIN(RADIANS(E616))+6*O616*N616*G616*SIN(RADIANS(E616))*COS(RADIANS(E616)))/(12*N616*COS(RADIANS(E616))^2+L616*G616^2*SIN(RADIANS(E616))^2)</f>
        <v/>
      </c>
      <c r="R616" s="28">
        <f>-P616*SIN(RADIANS(E616))</f>
        <v/>
      </c>
      <c r="S616" s="8">
        <f>(O616+P616*COS(RADIANS(E616)))/L616</f>
        <v/>
      </c>
      <c r="T616" s="8">
        <f>R616/L616</f>
        <v/>
      </c>
      <c r="U616" s="8">
        <f>(Q616-P616*G616*SIN(RADIANS(E616)))/M616</f>
        <v/>
      </c>
      <c r="V616" s="8">
        <f>SQRT((S616+U616)^2+3*T616^2)</f>
        <v/>
      </c>
      <c r="W616" s="8">
        <f>V616/AA616</f>
        <v/>
      </c>
      <c r="X616" s="27">
        <f>((3*10+H616/COS(RADIANS(E616)))*(3+3)+3*G616*H616)*2</f>
        <v/>
      </c>
      <c r="Y616" s="28">
        <f>Z616/X616</f>
        <v/>
      </c>
      <c r="Z616" s="29" t="n">
        <v>595.977531153153</v>
      </c>
      <c r="AA616" s="20" t="n">
        <v>66.02061915526301</v>
      </c>
      <c r="AB616" t="n">
        <v>0.05055256736591134</v>
      </c>
      <c r="AC616" t="n">
        <v>64.10077143802465</v>
      </c>
      <c r="AD616" t="n">
        <v>-4.971391330702687</v>
      </c>
    </row>
    <row r="617">
      <c r="A617" t="n">
        <v>616</v>
      </c>
      <c r="B617" t="n">
        <v>65</v>
      </c>
      <c r="C617" s="21">
        <f>B617-20</f>
        <v/>
      </c>
      <c r="D617" t="n">
        <v>127</v>
      </c>
      <c r="E617" s="22">
        <f>D617-90</f>
        <v/>
      </c>
      <c r="F617" s="23" t="n">
        <v>0.012788</v>
      </c>
      <c r="G617" s="22" t="n">
        <v>23.7</v>
      </c>
      <c r="H617" s="22" t="n">
        <v>1.3</v>
      </c>
      <c r="I617" s="24" t="n">
        <v>0.0575852990150451</v>
      </c>
      <c r="J617" s="6" t="n">
        <v>71000</v>
      </c>
      <c r="K617" s="25">
        <f>23*10^-6</f>
        <v/>
      </c>
      <c r="L617" s="8">
        <f>H617</f>
        <v/>
      </c>
      <c r="M617" s="26">
        <f>H617^2/6</f>
        <v/>
      </c>
      <c r="N617" s="26">
        <f>H617^3/12</f>
        <v/>
      </c>
      <c r="O617" s="27">
        <f>-J617*L617*K617*C617</f>
        <v/>
      </c>
      <c r="P617" s="28">
        <f>-(12*F617*J617*L617*N617+12*O617*N617*G617*COS(RADIANS(E617)))/(12*N617*G617*COS(RADIANS(E617))^2+L617*G617^3*SIN(RADIANS(E617))^2)</f>
        <v/>
      </c>
      <c r="Q617" s="28">
        <f>-(6*F617*J617*L617*N617*SIN(RADIANS(E617))+6*O617*N617*G617*SIN(RADIANS(E617))*COS(RADIANS(E617)))/(12*N617*COS(RADIANS(E617))^2+L617*G617^2*SIN(RADIANS(E617))^2)</f>
        <v/>
      </c>
      <c r="R617" s="28">
        <f>-P617*SIN(RADIANS(E617))</f>
        <v/>
      </c>
      <c r="S617" s="8">
        <f>(O617+P617*COS(RADIANS(E617)))/L617</f>
        <v/>
      </c>
      <c r="T617" s="8">
        <f>R617/L617</f>
        <v/>
      </c>
      <c r="U617" s="8">
        <f>(Q617-P617*G617*SIN(RADIANS(E617)))/M617</f>
        <v/>
      </c>
      <c r="V617" s="8">
        <f>SQRT((S617+U617)^2+3*T617^2)</f>
        <v/>
      </c>
      <c r="W617" s="8">
        <f>V617/AA617</f>
        <v/>
      </c>
      <c r="X617" s="27">
        <f>((3*10+H617/COS(RADIANS(E617)))*(3+3)+3*G617*H617)*2</f>
        <v/>
      </c>
      <c r="Y617" s="28">
        <f>Z617/X617</f>
        <v/>
      </c>
      <c r="Z617" s="29" t="n">
        <v>573.878201448626</v>
      </c>
      <c r="AA617" s="20" t="n">
        <v>64.58232891152041</v>
      </c>
      <c r="AB617" t="n">
        <v>0.05737424310320724</v>
      </c>
      <c r="AC617" t="n">
        <v>64.88876365437432</v>
      </c>
      <c r="AD617" t="n">
        <v>-0.366510056295297</v>
      </c>
    </row>
    <row r="618">
      <c r="A618" t="n">
        <v>617</v>
      </c>
      <c r="B618" t="n">
        <v>63</v>
      </c>
      <c r="C618" s="21">
        <f>B618-20</f>
        <v/>
      </c>
      <c r="D618" t="n">
        <v>122.1</v>
      </c>
      <c r="E618" s="22">
        <f>D618-90</f>
        <v/>
      </c>
      <c r="F618" s="23" t="n">
        <v>0.016229</v>
      </c>
      <c r="G618" s="22" t="n">
        <v>32</v>
      </c>
      <c r="H618" s="22" t="n">
        <v>1.5</v>
      </c>
      <c r="I618" s="24" t="n">
        <v>0.0729590132832527</v>
      </c>
      <c r="J618" s="6" t="n">
        <v>71000</v>
      </c>
      <c r="K618" s="25">
        <f>23*10^-6</f>
        <v/>
      </c>
      <c r="L618" s="8">
        <f>H618</f>
        <v/>
      </c>
      <c r="M618" s="26">
        <f>H618^2/6</f>
        <v/>
      </c>
      <c r="N618" s="26">
        <f>H618^3/12</f>
        <v/>
      </c>
      <c r="O618" s="27">
        <f>-J618*L618*K618*C618</f>
        <v/>
      </c>
      <c r="P618" s="28">
        <f>-(12*F618*J618*L618*N618+12*O618*N618*G618*COS(RADIANS(E618)))/(12*N618*G618*COS(RADIANS(E618))^2+L618*G618^3*SIN(RADIANS(E618))^2)</f>
        <v/>
      </c>
      <c r="Q618" s="28">
        <f>-(6*F618*J618*L618*N618*SIN(RADIANS(E618))+6*O618*N618*G618*SIN(RADIANS(E618))*COS(RADIANS(E618)))/(12*N618*COS(RADIANS(E618))^2+L618*G618^2*SIN(RADIANS(E618))^2)</f>
        <v/>
      </c>
      <c r="R618" s="28">
        <f>-P618*SIN(RADIANS(E618))</f>
        <v/>
      </c>
      <c r="S618" s="8">
        <f>(O618+P618*COS(RADIANS(E618)))/L618</f>
        <v/>
      </c>
      <c r="T618" s="8">
        <f>R618/L618</f>
        <v/>
      </c>
      <c r="U618" s="8">
        <f>(Q618-P618*G618*SIN(RADIANS(E618)))/M618</f>
        <v/>
      </c>
      <c r="V618" s="8">
        <f>SQRT((S618+U618)^2+3*T618^2)</f>
        <v/>
      </c>
      <c r="W618" s="8">
        <f>V618/AA618</f>
        <v/>
      </c>
      <c r="X618" s="27">
        <f>((3*10+H618/COS(RADIANS(E618)))*(3+3)+3*G618*H618)*2</f>
        <v/>
      </c>
      <c r="Y618" s="28">
        <f>Z618/X618</f>
        <v/>
      </c>
      <c r="Z618" s="29" t="n">
        <v>677.013269505772</v>
      </c>
      <c r="AA618" s="20" t="n">
        <v>63.2711955035847</v>
      </c>
      <c r="AB618" t="n">
        <v>0.08489717778108838</v>
      </c>
      <c r="AC618" t="n">
        <v>62.70885905631121</v>
      </c>
      <c r="AD618" t="n">
        <v>16.36283710620852</v>
      </c>
    </row>
    <row r="619">
      <c r="A619" t="n">
        <v>618</v>
      </c>
      <c r="B619" t="n">
        <v>77.90000000000001</v>
      </c>
      <c r="C619" s="21">
        <f>B619-20</f>
        <v/>
      </c>
      <c r="D619" t="n">
        <v>117.6</v>
      </c>
      <c r="E619" s="22">
        <f>D619-90</f>
        <v/>
      </c>
      <c r="F619" s="23" t="n">
        <v>0.020397</v>
      </c>
      <c r="G619" s="22" t="n">
        <v>28.1</v>
      </c>
      <c r="H619" s="22" t="n">
        <v>1.8</v>
      </c>
      <c r="I619" s="24" t="n">
        <v>0.0995955467224121</v>
      </c>
      <c r="J619" s="6" t="n">
        <v>71000</v>
      </c>
      <c r="K619" s="25">
        <f>23*10^-6</f>
        <v/>
      </c>
      <c r="L619" s="8">
        <f>H619</f>
        <v/>
      </c>
      <c r="M619" s="26">
        <f>H619^2/6</f>
        <v/>
      </c>
      <c r="N619" s="26">
        <f>H619^3/12</f>
        <v/>
      </c>
      <c r="O619" s="27">
        <f>-J619*L619*K619*C619</f>
        <v/>
      </c>
      <c r="P619" s="28">
        <f>-(12*F619*J619*L619*N619+12*O619*N619*G619*COS(RADIANS(E619)))/(12*N619*G619*COS(RADIANS(E619))^2+L619*G619^3*SIN(RADIANS(E619))^2)</f>
        <v/>
      </c>
      <c r="Q619" s="28">
        <f>-(6*F619*J619*L619*N619*SIN(RADIANS(E619))+6*O619*N619*G619*SIN(RADIANS(E619))*COS(RADIANS(E619)))/(12*N619*COS(RADIANS(E619))^2+L619*G619^2*SIN(RADIANS(E619))^2)</f>
        <v/>
      </c>
      <c r="R619" s="28">
        <f>-P619*SIN(RADIANS(E619))</f>
        <v/>
      </c>
      <c r="S619" s="8">
        <f>(O619+P619*COS(RADIANS(E619)))/L619</f>
        <v/>
      </c>
      <c r="T619" s="8">
        <f>R619/L619</f>
        <v/>
      </c>
      <c r="U619" s="8">
        <f>(Q619-P619*G619*SIN(RADIANS(E619)))/M619</f>
        <v/>
      </c>
      <c r="V619" s="8">
        <f>SQRT((S619+U619)^2+3*T619^2)</f>
        <v/>
      </c>
      <c r="W619" s="8">
        <f>V619/AA619</f>
        <v/>
      </c>
      <c r="X619" s="27">
        <f>((3*10+H619/COS(RADIANS(E619)))*(3+3)+3*G619*H619)*2</f>
        <v/>
      </c>
      <c r="Y619" s="28">
        <f>Z619/X619</f>
        <v/>
      </c>
      <c r="Z619" s="29" t="n">
        <v>694.369074916067</v>
      </c>
      <c r="AA619" s="20" t="n">
        <v>93.19297134057869</v>
      </c>
      <c r="AB619" t="n">
        <v>0.1178577985624416</v>
      </c>
      <c r="AC619" t="n">
        <v>88.16559590354818</v>
      </c>
      <c r="AD619" t="n">
        <v>18.33641406771849</v>
      </c>
    </row>
    <row r="620">
      <c r="A620" t="n">
        <v>619</v>
      </c>
      <c r="B620" t="n">
        <v>50.1</v>
      </c>
      <c r="C620" s="21">
        <f>B620-20</f>
        <v/>
      </c>
      <c r="D620" t="n">
        <v>121</v>
      </c>
      <c r="E620" s="22">
        <f>D620-90</f>
        <v/>
      </c>
      <c r="F620" s="23" t="n">
        <v>0.008383</v>
      </c>
      <c r="G620" s="22" t="n">
        <v>21.5</v>
      </c>
      <c r="H620" s="22" t="n">
        <v>1.9</v>
      </c>
      <c r="I620" s="24" t="n">
        <v>0.0404949486255645</v>
      </c>
      <c r="J620" s="6" t="n">
        <v>71000</v>
      </c>
      <c r="K620" s="25">
        <f>23*10^-6</f>
        <v/>
      </c>
      <c r="L620" s="8">
        <f>H620</f>
        <v/>
      </c>
      <c r="M620" s="26">
        <f>H620^2/6</f>
        <v/>
      </c>
      <c r="N620" s="26">
        <f>H620^3/12</f>
        <v/>
      </c>
      <c r="O620" s="27">
        <f>-J620*L620*K620*C620</f>
        <v/>
      </c>
      <c r="P620" s="28">
        <f>-(12*F620*J620*L620*N620+12*O620*N620*G620*COS(RADIANS(E620)))/(12*N620*G620*COS(RADIANS(E620))^2+L620*G620^3*SIN(RADIANS(E620))^2)</f>
        <v/>
      </c>
      <c r="Q620" s="28">
        <f>-(6*F620*J620*L620*N620*SIN(RADIANS(E620))+6*O620*N620*G620*SIN(RADIANS(E620))*COS(RADIANS(E620)))/(12*N620*COS(RADIANS(E620))^2+L620*G620^2*SIN(RADIANS(E620))^2)</f>
        <v/>
      </c>
      <c r="R620" s="28">
        <f>-P620*SIN(RADIANS(E620))</f>
        <v/>
      </c>
      <c r="S620" s="8">
        <f>(O620+P620*COS(RADIANS(E620)))/L620</f>
        <v/>
      </c>
      <c r="T620" s="8">
        <f>R620/L620</f>
        <v/>
      </c>
      <c r="U620" s="8">
        <f>(Q620-P620*G620*SIN(RADIANS(E620)))/M620</f>
        <v/>
      </c>
      <c r="V620" s="8">
        <f>SQRT((S620+U620)^2+3*T620^2)</f>
        <v/>
      </c>
      <c r="W620" s="8">
        <f>V620/AA620</f>
        <v/>
      </c>
      <c r="X620" s="27">
        <f>((3*10+H620/COS(RADIANS(E620)))*(3+3)+3*G620*H620)*2</f>
        <v/>
      </c>
      <c r="Y620" s="28">
        <f>Z620/X620</f>
        <v/>
      </c>
      <c r="Z620" s="29" t="n">
        <v>639.132072375317</v>
      </c>
      <c r="AA620" s="20" t="n">
        <v>50.6374860241053</v>
      </c>
      <c r="AB620" t="n">
        <v>0.04183676184817674</v>
      </c>
      <c r="AC620" t="n">
        <v>46.12382349422576</v>
      </c>
      <c r="AD620" t="n">
        <v>3.313532349477165</v>
      </c>
    </row>
    <row r="621">
      <c r="A621" t="n">
        <v>620</v>
      </c>
      <c r="B621" t="n">
        <v>85.40000000000001</v>
      </c>
      <c r="C621" s="21">
        <f>B621-20</f>
        <v/>
      </c>
      <c r="D621" t="n">
        <v>128.2</v>
      </c>
      <c r="E621" s="22">
        <f>D621-90</f>
        <v/>
      </c>
      <c r="F621" s="23" t="n">
        <v>0.01748</v>
      </c>
      <c r="G621" s="22" t="n">
        <v>22.2</v>
      </c>
      <c r="H621" s="22" t="n">
        <v>1.9</v>
      </c>
      <c r="I621" s="24" t="n">
        <v>0.0791330263018608</v>
      </c>
      <c r="J621" s="6" t="n">
        <v>71000</v>
      </c>
      <c r="K621" s="25">
        <f>23*10^-6</f>
        <v/>
      </c>
      <c r="L621" s="8">
        <f>H621</f>
        <v/>
      </c>
      <c r="M621" s="26">
        <f>H621^2/6</f>
        <v/>
      </c>
      <c r="N621" s="26">
        <f>H621^3/12</f>
        <v/>
      </c>
      <c r="O621" s="27">
        <f>-J621*L621*K621*C621</f>
        <v/>
      </c>
      <c r="P621" s="28">
        <f>-(12*F621*J621*L621*N621+12*O621*N621*G621*COS(RADIANS(E621)))/(12*N621*G621*COS(RADIANS(E621))^2+L621*G621^3*SIN(RADIANS(E621))^2)</f>
        <v/>
      </c>
      <c r="Q621" s="28">
        <f>-(6*F621*J621*L621*N621*SIN(RADIANS(E621))+6*O621*N621*G621*SIN(RADIANS(E621))*COS(RADIANS(E621)))/(12*N621*COS(RADIANS(E621))^2+L621*G621^2*SIN(RADIANS(E621))^2)</f>
        <v/>
      </c>
      <c r="R621" s="28">
        <f>-P621*SIN(RADIANS(E621))</f>
        <v/>
      </c>
      <c r="S621" s="8">
        <f>(O621+P621*COS(RADIANS(E621)))/L621</f>
        <v/>
      </c>
      <c r="T621" s="8">
        <f>R621/L621</f>
        <v/>
      </c>
      <c r="U621" s="8">
        <f>(Q621-P621*G621*SIN(RADIANS(E621)))/M621</f>
        <v/>
      </c>
      <c r="V621" s="8">
        <f>SQRT((S621+U621)^2+3*T621^2)</f>
        <v/>
      </c>
      <c r="W621" s="8">
        <f>V621/AA621</f>
        <v/>
      </c>
      <c r="X621" s="27">
        <f>((3*10+H621/COS(RADIANS(E621)))*(3+3)+3*G621*H621)*2</f>
        <v/>
      </c>
      <c r="Y621" s="28">
        <f>Z621/X621</f>
        <v/>
      </c>
      <c r="Z621" s="29" t="n">
        <v>652.066456886963</v>
      </c>
      <c r="AA621" s="20" t="n">
        <v>106.676329385136</v>
      </c>
      <c r="AB621" t="n">
        <v>0.07516056709372117</v>
      </c>
      <c r="AC621" t="n">
        <v>96.95575734663238</v>
      </c>
      <c r="AD621" t="n">
        <v>-5.01997635347129</v>
      </c>
    </row>
    <row r="622">
      <c r="A622" t="n">
        <v>621</v>
      </c>
      <c r="B622" t="n">
        <v>88.59999999999999</v>
      </c>
      <c r="C622" s="21">
        <f>B622-20</f>
        <v/>
      </c>
      <c r="D622" t="n">
        <v>129.5</v>
      </c>
      <c r="E622" s="22">
        <f>D622-90</f>
        <v/>
      </c>
      <c r="F622" s="23" t="n">
        <v>0.022675</v>
      </c>
      <c r="G622" s="22" t="n">
        <v>29.8</v>
      </c>
      <c r="H622" s="22" t="n">
        <v>1.4</v>
      </c>
      <c r="I622" s="24" t="n">
        <v>0.09755849093198771</v>
      </c>
      <c r="J622" s="6" t="n">
        <v>71000</v>
      </c>
      <c r="K622" s="25">
        <f>23*10^-6</f>
        <v/>
      </c>
      <c r="L622" s="8">
        <f>H622</f>
        <v/>
      </c>
      <c r="M622" s="26">
        <f>H622^2/6</f>
        <v/>
      </c>
      <c r="N622" s="26">
        <f>H622^3/12</f>
        <v/>
      </c>
      <c r="O622" s="27">
        <f>-J622*L622*K622*C622</f>
        <v/>
      </c>
      <c r="P622" s="28">
        <f>-(12*F622*J622*L622*N622+12*O622*N622*G622*COS(RADIANS(E622)))/(12*N622*G622*COS(RADIANS(E622))^2+L622*G622^3*SIN(RADIANS(E622))^2)</f>
        <v/>
      </c>
      <c r="Q622" s="28">
        <f>-(6*F622*J622*L622*N622*SIN(RADIANS(E622))+6*O622*N622*G622*SIN(RADIANS(E622))*COS(RADIANS(E622)))/(12*N622*COS(RADIANS(E622))^2+L622*G622^2*SIN(RADIANS(E622))^2)</f>
        <v/>
      </c>
      <c r="R622" s="28">
        <f>-P622*SIN(RADIANS(E622))</f>
        <v/>
      </c>
      <c r="S622" s="8">
        <f>(O622+P622*COS(RADIANS(E622)))/L622</f>
        <v/>
      </c>
      <c r="T622" s="8">
        <f>R622/L622</f>
        <v/>
      </c>
      <c r="U622" s="8">
        <f>(Q622-P622*G622*SIN(RADIANS(E622)))/M622</f>
        <v/>
      </c>
      <c r="V622" s="8">
        <f>SQRT((S622+U622)^2+3*T622^2)</f>
        <v/>
      </c>
      <c r="W622" s="8">
        <f>V622/AA622</f>
        <v/>
      </c>
      <c r="X622" s="27">
        <f>((3*10+H622/COS(RADIANS(E622)))*(3+3)+3*G622*H622)*2</f>
        <v/>
      </c>
      <c r="Y622" s="28">
        <f>Z622/X622</f>
        <v/>
      </c>
      <c r="Z622" s="29" t="n">
        <v>642.629083172861</v>
      </c>
      <c r="AA622" s="20" t="n">
        <v>95.4875653182111</v>
      </c>
      <c r="AB622" t="n">
        <v>0.1010371161520018</v>
      </c>
      <c r="AC622" t="n">
        <v>97.91490706168192</v>
      </c>
      <c r="AD622" t="n">
        <v>3.565681661106498</v>
      </c>
    </row>
    <row r="623">
      <c r="A623" t="n">
        <v>622</v>
      </c>
      <c r="B623" t="n">
        <v>68.2</v>
      </c>
      <c r="C623" s="21">
        <f>B623-20</f>
        <v/>
      </c>
      <c r="D623" t="n">
        <v>122</v>
      </c>
      <c r="E623" s="22">
        <f>D623-90</f>
        <v/>
      </c>
      <c r="F623" s="23" t="n">
        <v>0.015086</v>
      </c>
      <c r="G623" s="22" t="n">
        <v>25.3</v>
      </c>
      <c r="H623" s="22" t="n">
        <v>1.2</v>
      </c>
      <c r="I623" s="24" t="n">
        <v>0.0702447220683097</v>
      </c>
      <c r="J623" s="6" t="n">
        <v>71000</v>
      </c>
      <c r="K623" s="25">
        <f>23*10^-6</f>
        <v/>
      </c>
      <c r="L623" s="8">
        <f>H623</f>
        <v/>
      </c>
      <c r="M623" s="26">
        <f>H623^2/6</f>
        <v/>
      </c>
      <c r="N623" s="26">
        <f>H623^3/12</f>
        <v/>
      </c>
      <c r="O623" s="27">
        <f>-J623*L623*K623*C623</f>
        <v/>
      </c>
      <c r="P623" s="28">
        <f>-(12*F623*J623*L623*N623+12*O623*N623*G623*COS(RADIANS(E623)))/(12*N623*G623*COS(RADIANS(E623))^2+L623*G623^3*SIN(RADIANS(E623))^2)</f>
        <v/>
      </c>
      <c r="Q623" s="28">
        <f>-(6*F623*J623*L623*N623*SIN(RADIANS(E623))+6*O623*N623*G623*SIN(RADIANS(E623))*COS(RADIANS(E623)))/(12*N623*COS(RADIANS(E623))^2+L623*G623^2*SIN(RADIANS(E623))^2)</f>
        <v/>
      </c>
      <c r="R623" s="28">
        <f>-P623*SIN(RADIANS(E623))</f>
        <v/>
      </c>
      <c r="S623" s="8">
        <f>(O623+P623*COS(RADIANS(E623)))/L623</f>
        <v/>
      </c>
      <c r="T623" s="8">
        <f>R623/L623</f>
        <v/>
      </c>
      <c r="U623" s="8">
        <f>(Q623-P623*G623*SIN(RADIANS(E623)))/M623</f>
        <v/>
      </c>
      <c r="V623" s="8">
        <f>SQRT((S623+U623)^2+3*T623^2)</f>
        <v/>
      </c>
      <c r="W623" s="8">
        <f>V623/AA623</f>
        <v/>
      </c>
      <c r="X623" s="27">
        <f>((3*10+H623/COS(RADIANS(E623)))*(3+3)+3*G623*H623)*2</f>
        <v/>
      </c>
      <c r="Y623" s="28">
        <f>Z623/X623</f>
        <v/>
      </c>
      <c r="Z623" s="29" t="n">
        <v>566.8740800747451</v>
      </c>
      <c r="AA623" s="20" t="n">
        <v>68.0985707755958</v>
      </c>
      <c r="AB623" t="n">
        <v>0.07657565877305178</v>
      </c>
      <c r="AC623" t="n">
        <v>69.96377041445886</v>
      </c>
      <c r="AD623" t="n">
        <v>9.01268667357747</v>
      </c>
    </row>
    <row r="624">
      <c r="A624" t="n">
        <v>623</v>
      </c>
      <c r="B624" t="n">
        <v>46.2</v>
      </c>
      <c r="C624" s="21">
        <f>B624-20</f>
        <v/>
      </c>
      <c r="D624" t="n">
        <v>108</v>
      </c>
      <c r="E624" s="22">
        <f>D624-90</f>
        <v/>
      </c>
      <c r="F624" s="23" t="n">
        <v>0.008269</v>
      </c>
      <c r="G624" s="22" t="n">
        <v>22.8</v>
      </c>
      <c r="H624" s="22" t="n">
        <v>1.6</v>
      </c>
      <c r="I624" s="24" t="n">
        <v>0.0528077743947505</v>
      </c>
      <c r="J624" s="6" t="n">
        <v>71000</v>
      </c>
      <c r="K624" s="25">
        <f>23*10^-6</f>
        <v/>
      </c>
      <c r="L624" s="8">
        <f>H624</f>
        <v/>
      </c>
      <c r="M624" s="26">
        <f>H624^2/6</f>
        <v/>
      </c>
      <c r="N624" s="26">
        <f>H624^3/12</f>
        <v/>
      </c>
      <c r="O624" s="27">
        <f>-J624*L624*K624*C624</f>
        <v/>
      </c>
      <c r="P624" s="28">
        <f>-(12*F624*J624*L624*N624+12*O624*N624*G624*COS(RADIANS(E624)))/(12*N624*G624*COS(RADIANS(E624))^2+L624*G624^3*SIN(RADIANS(E624))^2)</f>
        <v/>
      </c>
      <c r="Q624" s="28">
        <f>-(6*F624*J624*L624*N624*SIN(RADIANS(E624))+6*O624*N624*G624*SIN(RADIANS(E624))*COS(RADIANS(E624)))/(12*N624*COS(RADIANS(E624))^2+L624*G624^2*SIN(RADIANS(E624))^2)</f>
        <v/>
      </c>
      <c r="R624" s="28">
        <f>-P624*SIN(RADIANS(E624))</f>
        <v/>
      </c>
      <c r="S624" s="8">
        <f>(O624+P624*COS(RADIANS(E624)))/L624</f>
        <v/>
      </c>
      <c r="T624" s="8">
        <f>R624/L624</f>
        <v/>
      </c>
      <c r="U624" s="8">
        <f>(Q624-P624*G624*SIN(RADIANS(E624)))/M624</f>
        <v/>
      </c>
      <c r="V624" s="8">
        <f>SQRT((S624+U624)^2+3*T624^2)</f>
        <v/>
      </c>
      <c r="W624" s="8">
        <f>V624/AA624</f>
        <v/>
      </c>
      <c r="X624" s="27">
        <f>((3*10+H624/COS(RADIANS(E624)))*(3+3)+3*G624*H624)*2</f>
        <v/>
      </c>
      <c r="Y624" s="28">
        <f>Z624/X624</f>
        <v/>
      </c>
      <c r="Z624" s="29" t="n">
        <v>603.736797472734</v>
      </c>
      <c r="AA624" s="20" t="n">
        <v>43.2427775395134</v>
      </c>
      <c r="AB624" t="n">
        <v>0.06667420053189196</v>
      </c>
      <c r="AC624" t="n">
        <v>42.61437276620772</v>
      </c>
      <c r="AD624" t="n">
        <v>26.25830438050026</v>
      </c>
    </row>
    <row r="625">
      <c r="A625" t="n">
        <v>624</v>
      </c>
      <c r="B625" t="n">
        <v>83.90000000000001</v>
      </c>
      <c r="C625" s="21">
        <f>B625-20</f>
        <v/>
      </c>
      <c r="D625" t="n">
        <v>107.1</v>
      </c>
      <c r="E625" s="22">
        <f>D625-90</f>
        <v/>
      </c>
      <c r="F625" s="23" t="n">
        <v>0.026094</v>
      </c>
      <c r="G625" s="22" t="n">
        <v>31.2</v>
      </c>
      <c r="H625" s="22" t="n">
        <v>1.3</v>
      </c>
      <c r="I625" s="24" t="n">
        <v>0.168696790933609</v>
      </c>
      <c r="J625" s="6" t="n">
        <v>71000</v>
      </c>
      <c r="K625" s="25">
        <f>23*10^-6</f>
        <v/>
      </c>
      <c r="L625" s="8">
        <f>H625</f>
        <v/>
      </c>
      <c r="M625" s="26">
        <f>H625^2/6</f>
        <v/>
      </c>
      <c r="N625" s="26">
        <f>H625^3/12</f>
        <v/>
      </c>
      <c r="O625" s="27">
        <f>-J625*L625*K625*C625</f>
        <v/>
      </c>
      <c r="P625" s="28">
        <f>-(12*F625*J625*L625*N625+12*O625*N625*G625*COS(RADIANS(E625)))/(12*N625*G625*COS(RADIANS(E625))^2+L625*G625^3*SIN(RADIANS(E625))^2)</f>
        <v/>
      </c>
      <c r="Q625" s="28">
        <f>-(6*F625*J625*L625*N625*SIN(RADIANS(E625))+6*O625*N625*G625*SIN(RADIANS(E625))*COS(RADIANS(E625)))/(12*N625*COS(RADIANS(E625))^2+L625*G625^2*SIN(RADIANS(E625))^2)</f>
        <v/>
      </c>
      <c r="R625" s="28">
        <f>-P625*SIN(RADIANS(E625))</f>
        <v/>
      </c>
      <c r="S625" s="8">
        <f>(O625+P625*COS(RADIANS(E625)))/L625</f>
        <v/>
      </c>
      <c r="T625" s="8">
        <f>R625/L625</f>
        <v/>
      </c>
      <c r="U625" s="8">
        <f>(Q625-P625*G625*SIN(RADIANS(E625)))/M625</f>
        <v/>
      </c>
      <c r="V625" s="8">
        <f>SQRT((S625+U625)^2+3*T625^2)</f>
        <v/>
      </c>
      <c r="W625" s="8">
        <f>V625/AA625</f>
        <v/>
      </c>
      <c r="X625" s="27">
        <f>((3*10+H625/COS(RADIANS(E625)))*(3+3)+3*G625*H625)*2</f>
        <v/>
      </c>
      <c r="Y625" s="28">
        <f>Z625/X625</f>
        <v/>
      </c>
      <c r="Z625" s="29" t="n">
        <v>624.225193947091</v>
      </c>
      <c r="AA625" s="20" t="n">
        <v>95.1924068689833</v>
      </c>
      <c r="AB625" t="n">
        <v>0.2362849324729516</v>
      </c>
      <c r="AC625" t="n">
        <v>99.0564106405355</v>
      </c>
      <c r="AD625" t="n">
        <v>40.0648649955304</v>
      </c>
    </row>
    <row r="626">
      <c r="A626" t="n">
        <v>625</v>
      </c>
      <c r="B626" t="n">
        <v>70.3</v>
      </c>
      <c r="C626" s="21">
        <f>B626-20</f>
        <v/>
      </c>
      <c r="D626" t="n">
        <v>111.4</v>
      </c>
      <c r="E626" s="22">
        <f>D626-90</f>
        <v/>
      </c>
      <c r="F626" s="23" t="n">
        <v>0.018069</v>
      </c>
      <c r="G626" s="22" t="n">
        <v>27.4</v>
      </c>
      <c r="H626" s="22" t="n">
        <v>1.3</v>
      </c>
      <c r="I626" s="24" t="n">
        <v>0.102093018591403</v>
      </c>
      <c r="J626" s="6" t="n">
        <v>71000</v>
      </c>
      <c r="K626" s="25">
        <f>23*10^-6</f>
        <v/>
      </c>
      <c r="L626" s="8">
        <f>H626</f>
        <v/>
      </c>
      <c r="M626" s="26">
        <f>H626^2/6</f>
        <v/>
      </c>
      <c r="N626" s="26">
        <f>H626^3/12</f>
        <v/>
      </c>
      <c r="O626" s="27">
        <f>-J626*L626*K626*C626</f>
        <v/>
      </c>
      <c r="P626" s="28">
        <f>-(12*F626*J626*L626*N626+12*O626*N626*G626*COS(RADIANS(E626)))/(12*N626*G626*COS(RADIANS(E626))^2+L626*G626^3*SIN(RADIANS(E626))^2)</f>
        <v/>
      </c>
      <c r="Q626" s="28">
        <f>-(6*F626*J626*L626*N626*SIN(RADIANS(E626))+6*O626*N626*G626*SIN(RADIANS(E626))*COS(RADIANS(E626)))/(12*N626*COS(RADIANS(E626))^2+L626*G626^2*SIN(RADIANS(E626))^2)</f>
        <v/>
      </c>
      <c r="R626" s="28">
        <f>-P626*SIN(RADIANS(E626))</f>
        <v/>
      </c>
      <c r="S626" s="8">
        <f>(O626+P626*COS(RADIANS(E626)))/L626</f>
        <v/>
      </c>
      <c r="T626" s="8">
        <f>R626/L626</f>
        <v/>
      </c>
      <c r="U626" s="8">
        <f>(Q626-P626*G626*SIN(RADIANS(E626)))/M626</f>
        <v/>
      </c>
      <c r="V626" s="8">
        <f>SQRT((S626+U626)^2+3*T626^2)</f>
        <v/>
      </c>
      <c r="W626" s="8">
        <f>V626/AA626</f>
        <v/>
      </c>
      <c r="X626" s="27">
        <f>((3*10+H626/COS(RADIANS(E626)))*(3+3)+3*G626*H626)*2</f>
        <v/>
      </c>
      <c r="Y626" s="28">
        <f>Z626/X626</f>
        <v/>
      </c>
      <c r="Z626" s="29" t="n">
        <v>595.685988160839</v>
      </c>
      <c r="AA626" s="20" t="n">
        <v>74.4376060500262</v>
      </c>
      <c r="AB626" t="n">
        <v>0.1309594546044636</v>
      </c>
      <c r="AC626" t="n">
        <v>76.55844415383302</v>
      </c>
      <c r="AD626" t="n">
        <v>28.2746424891108</v>
      </c>
    </row>
    <row r="627">
      <c r="A627" t="n">
        <v>626</v>
      </c>
      <c r="B627" t="n">
        <v>65.09999999999999</v>
      </c>
      <c r="C627" s="21">
        <f>B627-20</f>
        <v/>
      </c>
      <c r="D627" t="n">
        <v>125.4</v>
      </c>
      <c r="E627" s="22">
        <f>D627-90</f>
        <v/>
      </c>
      <c r="F627" s="23" t="n">
        <v>0.012892</v>
      </c>
      <c r="G627" s="22" t="n">
        <v>23.4</v>
      </c>
      <c r="H627" s="22" t="n">
        <v>1.9</v>
      </c>
      <c r="I627" s="24" t="n">
        <v>0.0589100755751132</v>
      </c>
      <c r="J627" s="6" t="n">
        <v>71000</v>
      </c>
      <c r="K627" s="25">
        <f>23*10^-6</f>
        <v/>
      </c>
      <c r="L627" s="8">
        <f>H627</f>
        <v/>
      </c>
      <c r="M627" s="26">
        <f>H627^2/6</f>
        <v/>
      </c>
      <c r="N627" s="26">
        <f>H627^3/12</f>
        <v/>
      </c>
      <c r="O627" s="27">
        <f>-J627*L627*K627*C627</f>
        <v/>
      </c>
      <c r="P627" s="28">
        <f>-(12*F627*J627*L627*N627+12*O627*N627*G627*COS(RADIANS(E627)))/(12*N627*G627*COS(RADIANS(E627))^2+L627*G627^3*SIN(RADIANS(E627))^2)</f>
        <v/>
      </c>
      <c r="Q627" s="28">
        <f>-(6*F627*J627*L627*N627*SIN(RADIANS(E627))+6*O627*N627*G627*SIN(RADIANS(E627))*COS(RADIANS(E627)))/(12*N627*COS(RADIANS(E627))^2+L627*G627^2*SIN(RADIANS(E627))^2)</f>
        <v/>
      </c>
      <c r="R627" s="28">
        <f>-P627*SIN(RADIANS(E627))</f>
        <v/>
      </c>
      <c r="S627" s="8">
        <f>(O627+P627*COS(RADIANS(E627)))/L627</f>
        <v/>
      </c>
      <c r="T627" s="8">
        <f>R627/L627</f>
        <v/>
      </c>
      <c r="U627" s="8">
        <f>(Q627-P627*G627*SIN(RADIANS(E627)))/M627</f>
        <v/>
      </c>
      <c r="V627" s="8">
        <f>SQRT((S627+U627)^2+3*T627^2)</f>
        <v/>
      </c>
      <c r="W627" s="8">
        <f>V627/AA627</f>
        <v/>
      </c>
      <c r="X627" s="27">
        <f>((3*10+H627/COS(RADIANS(E627)))*(3+3)+3*G627*H627)*2</f>
        <v/>
      </c>
      <c r="Y627" s="28">
        <f>Z627/X627</f>
        <v/>
      </c>
      <c r="Z627" s="29" t="n">
        <v>663.607939442593</v>
      </c>
      <c r="AA627" s="20" t="n">
        <v>74.1485830385575</v>
      </c>
      <c r="AB627" t="n">
        <v>0.05915003335181783</v>
      </c>
      <c r="AC627" t="n">
        <v>67.44484608399418</v>
      </c>
      <c r="AD627" t="n">
        <v>0.4073289235534461</v>
      </c>
    </row>
    <row r="628">
      <c r="A628" t="n">
        <v>627</v>
      </c>
      <c r="B628" t="n">
        <v>64.90000000000001</v>
      </c>
      <c r="C628" s="21">
        <f>B628-20</f>
        <v/>
      </c>
      <c r="D628" t="n">
        <v>104.5</v>
      </c>
      <c r="E628" s="22">
        <f>D628-90</f>
        <v/>
      </c>
      <c r="F628" s="23" t="n">
        <v>0.017789</v>
      </c>
      <c r="G628" s="22" t="n">
        <v>29.7</v>
      </c>
      <c r="H628" s="22" t="n">
        <v>1.1</v>
      </c>
      <c r="I628" s="24" t="n">
        <v>0.130849465727806</v>
      </c>
      <c r="J628" s="6" t="n">
        <v>71000</v>
      </c>
      <c r="K628" s="25">
        <f>23*10^-6</f>
        <v/>
      </c>
      <c r="L628" s="8">
        <f>H628</f>
        <v/>
      </c>
      <c r="M628" s="26">
        <f>H628^2/6</f>
        <v/>
      </c>
      <c r="N628" s="26">
        <f>H628^3/12</f>
        <v/>
      </c>
      <c r="O628" s="27">
        <f>-J628*L628*K628*C628</f>
        <v/>
      </c>
      <c r="P628" s="28">
        <f>-(12*F628*J628*L628*N628+12*O628*N628*G628*COS(RADIANS(E628)))/(12*N628*G628*COS(RADIANS(E628))^2+L628*G628^3*SIN(RADIANS(E628))^2)</f>
        <v/>
      </c>
      <c r="Q628" s="28">
        <f>-(6*F628*J628*L628*N628*SIN(RADIANS(E628))+6*O628*N628*G628*SIN(RADIANS(E628))*COS(RADIANS(E628)))/(12*N628*COS(RADIANS(E628))^2+L628*G628^2*SIN(RADIANS(E628))^2)</f>
        <v/>
      </c>
      <c r="R628" s="28">
        <f>-P628*SIN(RADIANS(E628))</f>
        <v/>
      </c>
      <c r="S628" s="8">
        <f>(O628+P628*COS(RADIANS(E628)))/L628</f>
        <v/>
      </c>
      <c r="T628" s="8">
        <f>R628/L628</f>
        <v/>
      </c>
      <c r="U628" s="8">
        <f>(Q628-P628*G628*SIN(RADIANS(E628)))/M628</f>
        <v/>
      </c>
      <c r="V628" s="8">
        <f>SQRT((S628+U628)^2+3*T628^2)</f>
        <v/>
      </c>
      <c r="W628" s="8">
        <f>V628/AA628</f>
        <v/>
      </c>
      <c r="X628" s="27">
        <f>((3*10+H628/COS(RADIANS(E628)))*(3+3)+3*G628*H628)*2</f>
        <v/>
      </c>
      <c r="Y628" s="28">
        <f>Z628/X628</f>
        <v/>
      </c>
      <c r="Z628" s="29" t="n">
        <v>573.8775209993941</v>
      </c>
      <c r="AA628" s="20" t="n">
        <v>65.81088261462649</v>
      </c>
      <c r="AB628" t="n">
        <v>0.1873474253920781</v>
      </c>
      <c r="AC628" t="n">
        <v>69.99950292685375</v>
      </c>
      <c r="AD628" t="n">
        <v>43.17782984441034</v>
      </c>
    </row>
    <row r="629">
      <c r="A629" t="n">
        <v>628</v>
      </c>
      <c r="B629" t="n">
        <v>78.3</v>
      </c>
      <c r="C629" s="21">
        <f>B629-20</f>
        <v/>
      </c>
      <c r="D629" t="n">
        <v>118.8</v>
      </c>
      <c r="E629" s="22">
        <f>D629-90</f>
        <v/>
      </c>
      <c r="F629" s="23" t="n">
        <v>0.017034</v>
      </c>
      <c r="G629" s="22" t="n">
        <v>22.4</v>
      </c>
      <c r="H629" s="22" t="n">
        <v>1.7</v>
      </c>
      <c r="I629" s="24" t="n">
        <v>0.0843277871608734</v>
      </c>
      <c r="J629" s="6" t="n">
        <v>71000</v>
      </c>
      <c r="K629" s="25">
        <f>23*10^-6</f>
        <v/>
      </c>
      <c r="L629" s="8">
        <f>H629</f>
        <v/>
      </c>
      <c r="M629" s="26">
        <f>H629^2/6</f>
        <v/>
      </c>
      <c r="N629" s="26">
        <f>H629^3/12</f>
        <v/>
      </c>
      <c r="O629" s="27">
        <f>-J629*L629*K629*C629</f>
        <v/>
      </c>
      <c r="P629" s="28">
        <f>-(12*F629*J629*L629*N629+12*O629*N629*G629*COS(RADIANS(E629)))/(12*N629*G629*COS(RADIANS(E629))^2+L629*G629^3*SIN(RADIANS(E629))^2)</f>
        <v/>
      </c>
      <c r="Q629" s="28">
        <f>-(6*F629*J629*L629*N629*SIN(RADIANS(E629))+6*O629*N629*G629*SIN(RADIANS(E629))*COS(RADIANS(E629)))/(12*N629*COS(RADIANS(E629))^2+L629*G629^2*SIN(RADIANS(E629))^2)</f>
        <v/>
      </c>
      <c r="R629" s="28">
        <f>-P629*SIN(RADIANS(E629))</f>
        <v/>
      </c>
      <c r="S629" s="8">
        <f>(O629+P629*COS(RADIANS(E629)))/L629</f>
        <v/>
      </c>
      <c r="T629" s="8">
        <f>R629/L629</f>
        <v/>
      </c>
      <c r="U629" s="8">
        <f>(Q629-P629*G629*SIN(RADIANS(E629)))/M629</f>
        <v/>
      </c>
      <c r="V629" s="8">
        <f>SQRT((S629+U629)^2+3*T629^2)</f>
        <v/>
      </c>
      <c r="W629" s="8">
        <f>V629/AA629</f>
        <v/>
      </c>
      <c r="X629" s="27">
        <f>((3*10+H629/COS(RADIANS(E629)))*(3+3)+3*G629*H629)*2</f>
        <v/>
      </c>
      <c r="Y629" s="28">
        <f>Z629/X629</f>
        <v/>
      </c>
      <c r="Z629" s="29" t="n">
        <v>618.5808227451359</v>
      </c>
      <c r="AA629" s="20" t="n">
        <v>94.30906864782639</v>
      </c>
      <c r="AB629" t="n">
        <v>0.09141125555992714</v>
      </c>
      <c r="AC629" t="n">
        <v>89.01708057819573</v>
      </c>
      <c r="AD629" t="n">
        <v>8.399922063104185</v>
      </c>
    </row>
    <row r="630">
      <c r="A630" t="n">
        <v>629</v>
      </c>
      <c r="B630" t="n">
        <v>58</v>
      </c>
      <c r="C630" s="21">
        <f>B630-20</f>
        <v/>
      </c>
      <c r="D630" t="n">
        <v>109.5</v>
      </c>
      <c r="E630" s="22">
        <f>D630-90</f>
        <v/>
      </c>
      <c r="F630" s="23" t="n">
        <v>0.016769</v>
      </c>
      <c r="G630" s="22" t="n">
        <v>34.7</v>
      </c>
      <c r="H630" s="22" t="n">
        <v>1.5</v>
      </c>
      <c r="I630" s="24" t="n">
        <v>0.0976961776614189</v>
      </c>
      <c r="J630" s="6" t="n">
        <v>71000</v>
      </c>
      <c r="K630" s="25">
        <f>23*10^-6</f>
        <v/>
      </c>
      <c r="L630" s="8">
        <f>H630</f>
        <v/>
      </c>
      <c r="M630" s="26">
        <f>H630^2/6</f>
        <v/>
      </c>
      <c r="N630" s="26">
        <f>H630^3/12</f>
        <v/>
      </c>
      <c r="O630" s="27">
        <f>-J630*L630*K630*C630</f>
        <v/>
      </c>
      <c r="P630" s="28">
        <f>-(12*F630*J630*L630*N630+12*O630*N630*G630*COS(RADIANS(E630)))/(12*N630*G630*COS(RADIANS(E630))^2+L630*G630^3*SIN(RADIANS(E630))^2)</f>
        <v/>
      </c>
      <c r="Q630" s="28">
        <f>-(6*F630*J630*L630*N630*SIN(RADIANS(E630))+6*O630*N630*G630*SIN(RADIANS(E630))*COS(RADIANS(E630)))/(12*N630*COS(RADIANS(E630))^2+L630*G630^2*SIN(RADIANS(E630))^2)</f>
        <v/>
      </c>
      <c r="R630" s="28">
        <f>-P630*SIN(RADIANS(E630))</f>
        <v/>
      </c>
      <c r="S630" s="8">
        <f>(O630+P630*COS(RADIANS(E630)))/L630</f>
        <v/>
      </c>
      <c r="T630" s="8">
        <f>R630/L630</f>
        <v/>
      </c>
      <c r="U630" s="8">
        <f>(Q630-P630*G630*SIN(RADIANS(E630)))/M630</f>
        <v/>
      </c>
      <c r="V630" s="8">
        <f>SQRT((S630+U630)^2+3*T630^2)</f>
        <v/>
      </c>
      <c r="W630" s="8">
        <f>V630/AA630</f>
        <v/>
      </c>
      <c r="X630" s="27">
        <f>((3*10+H630/COS(RADIANS(E630)))*(3+3)+3*G630*H630)*2</f>
        <v/>
      </c>
      <c r="Y630" s="28">
        <f>Z630/X630</f>
        <v/>
      </c>
      <c r="Z630" s="29" t="n">
        <v>696.289274768212</v>
      </c>
      <c r="AA630" s="20" t="n">
        <v>57.3550779340641</v>
      </c>
      <c r="AB630" t="n">
        <v>0.1360921520274054</v>
      </c>
      <c r="AC630" t="n">
        <v>58.34303999384761</v>
      </c>
      <c r="AD630" t="n">
        <v>39.30140900604489</v>
      </c>
    </row>
    <row r="631">
      <c r="A631" t="n">
        <v>630</v>
      </c>
      <c r="B631" t="n">
        <v>51.2</v>
      </c>
      <c r="C631" s="21">
        <f>B631-20</f>
        <v/>
      </c>
      <c r="D631" t="n">
        <v>104.3</v>
      </c>
      <c r="E631" s="22">
        <f>D631-90</f>
        <v/>
      </c>
      <c r="F631" s="23" t="n">
        <v>0.012164</v>
      </c>
      <c r="G631" s="22" t="n">
        <v>29.1</v>
      </c>
      <c r="H631" s="22" t="n">
        <v>1</v>
      </c>
      <c r="I631" s="24" t="n">
        <v>0.0907969921827316</v>
      </c>
      <c r="J631" s="6" t="n">
        <v>71000</v>
      </c>
      <c r="K631" s="25">
        <f>23*10^-6</f>
        <v/>
      </c>
      <c r="L631" s="8">
        <f>H631</f>
        <v/>
      </c>
      <c r="M631" s="26">
        <f>H631^2/6</f>
        <v/>
      </c>
      <c r="N631" s="26">
        <f>H631^3/12</f>
        <v/>
      </c>
      <c r="O631" s="27">
        <f>-J631*L631*K631*C631</f>
        <v/>
      </c>
      <c r="P631" s="28">
        <f>-(12*F631*J631*L631*N631+12*O631*N631*G631*COS(RADIANS(E631)))/(12*N631*G631*COS(RADIANS(E631))^2+L631*G631^3*SIN(RADIANS(E631))^2)</f>
        <v/>
      </c>
      <c r="Q631" s="28">
        <f>-(6*F631*J631*L631*N631*SIN(RADIANS(E631))+6*O631*N631*G631*SIN(RADIANS(E631))*COS(RADIANS(E631)))/(12*N631*COS(RADIANS(E631))^2+L631*G631^2*SIN(RADIANS(E631))^2)</f>
        <v/>
      </c>
      <c r="R631" s="28">
        <f>-P631*SIN(RADIANS(E631))</f>
        <v/>
      </c>
      <c r="S631" s="8">
        <f>(O631+P631*COS(RADIANS(E631)))/L631</f>
        <v/>
      </c>
      <c r="T631" s="8">
        <f>R631/L631</f>
        <v/>
      </c>
      <c r="U631" s="8">
        <f>(Q631-P631*G631*SIN(RADIANS(E631)))/M631</f>
        <v/>
      </c>
      <c r="V631" s="8">
        <f>SQRT((S631+U631)^2+3*T631^2)</f>
        <v/>
      </c>
      <c r="W631" s="8">
        <f>V631/AA631</f>
        <v/>
      </c>
      <c r="X631" s="27">
        <f>((3*10+H631/COS(RADIANS(E631)))*(3+3)+3*G631*H631)*2</f>
        <v/>
      </c>
      <c r="Y631" s="28">
        <f>Z631/X631</f>
        <v/>
      </c>
      <c r="Z631" s="29" t="n">
        <v>551.184729035729</v>
      </c>
      <c r="AA631" s="20" t="n">
        <v>44.4155248766377</v>
      </c>
      <c r="AB631" t="n">
        <v>0.1298470992908682</v>
      </c>
      <c r="AC631" t="n">
        <v>48.24699565291196</v>
      </c>
      <c r="AD631" t="n">
        <v>43.00815056686807</v>
      </c>
    </row>
    <row r="632">
      <c r="A632" t="n">
        <v>631</v>
      </c>
      <c r="B632" t="n">
        <v>61.3</v>
      </c>
      <c r="C632" s="21">
        <f>B632-20</f>
        <v/>
      </c>
      <c r="D632" t="n">
        <v>126.5</v>
      </c>
      <c r="E632" s="22">
        <f>D632-90</f>
        <v/>
      </c>
      <c r="F632" s="23" t="n">
        <v>0.015201</v>
      </c>
      <c r="G632" s="22" t="n">
        <v>32.7</v>
      </c>
      <c r="H632" s="22" t="n">
        <v>1.9</v>
      </c>
      <c r="I632" s="24" t="n">
        <v>0.06565363705158229</v>
      </c>
      <c r="J632" s="6" t="n">
        <v>71000</v>
      </c>
      <c r="K632" s="25">
        <f>23*10^-6</f>
        <v/>
      </c>
      <c r="L632" s="8">
        <f>H632</f>
        <v/>
      </c>
      <c r="M632" s="26">
        <f>H632^2/6</f>
        <v/>
      </c>
      <c r="N632" s="26">
        <f>H632^3/12</f>
        <v/>
      </c>
      <c r="O632" s="27">
        <f>-J632*L632*K632*C632</f>
        <v/>
      </c>
      <c r="P632" s="28">
        <f>-(12*F632*J632*L632*N632+12*O632*N632*G632*COS(RADIANS(E632)))/(12*N632*G632*COS(RADIANS(E632))^2+L632*G632^3*SIN(RADIANS(E632))^2)</f>
        <v/>
      </c>
      <c r="Q632" s="28">
        <f>-(6*F632*J632*L632*N632*SIN(RADIANS(E632))+6*O632*N632*G632*SIN(RADIANS(E632))*COS(RADIANS(E632)))/(12*N632*COS(RADIANS(E632))^2+L632*G632^2*SIN(RADIANS(E632))^2)</f>
        <v/>
      </c>
      <c r="R632" s="28">
        <f>-P632*SIN(RADIANS(E632))</f>
        <v/>
      </c>
      <c r="S632" s="8">
        <f>(O632+P632*COS(RADIANS(E632)))/L632</f>
        <v/>
      </c>
      <c r="T632" s="8">
        <f>R632/L632</f>
        <v/>
      </c>
      <c r="U632" s="8">
        <f>(Q632-P632*G632*SIN(RADIANS(E632)))/M632</f>
        <v/>
      </c>
      <c r="V632" s="8">
        <f>SQRT((S632+U632)^2+3*T632^2)</f>
        <v/>
      </c>
      <c r="W632" s="8">
        <f>V632/AA632</f>
        <v/>
      </c>
      <c r="X632" s="27">
        <f>((3*10+H632/COS(RADIANS(E632)))*(3+3)+3*G632*H632)*2</f>
        <v/>
      </c>
      <c r="Y632" s="28">
        <f>Z632/X632</f>
        <v/>
      </c>
      <c r="Z632" s="29" t="n">
        <v>770.432949631371</v>
      </c>
      <c r="AA632" s="20" t="n">
        <v>63.9453805555417</v>
      </c>
      <c r="AB632" t="n">
        <v>0.07224822017717215</v>
      </c>
      <c r="AC632" t="n">
        <v>60.41886469418628</v>
      </c>
      <c r="AD632" t="n">
        <v>10.04450541012476</v>
      </c>
    </row>
    <row r="633">
      <c r="A633" t="n">
        <v>632</v>
      </c>
      <c r="B633" t="n">
        <v>84.40000000000001</v>
      </c>
      <c r="C633" s="21">
        <f>B633-20</f>
        <v/>
      </c>
      <c r="D633" t="n">
        <v>107.9</v>
      </c>
      <c r="E633" s="22">
        <f>D633-90</f>
        <v/>
      </c>
      <c r="F633" s="23" t="n">
        <v>0.02201</v>
      </c>
      <c r="G633" s="22" t="n">
        <v>25.2</v>
      </c>
      <c r="H633" s="22" t="n">
        <v>1.8</v>
      </c>
      <c r="I633" s="24" t="n">
        <v>0.139015093445777</v>
      </c>
      <c r="J633" s="6" t="n">
        <v>71000</v>
      </c>
      <c r="K633" s="25">
        <f>23*10^-6</f>
        <v/>
      </c>
      <c r="L633" s="8">
        <f>H633</f>
        <v/>
      </c>
      <c r="M633" s="26">
        <f>H633^2/6</f>
        <v/>
      </c>
      <c r="N633" s="26">
        <f>H633^3/12</f>
        <v/>
      </c>
      <c r="O633" s="27">
        <f>-J633*L633*K633*C633</f>
        <v/>
      </c>
      <c r="P633" s="28">
        <f>-(12*F633*J633*L633*N633+12*O633*N633*G633*COS(RADIANS(E633)))/(12*N633*G633*COS(RADIANS(E633))^2+L633*G633^3*SIN(RADIANS(E633))^2)</f>
        <v/>
      </c>
      <c r="Q633" s="28">
        <f>-(6*F633*J633*L633*N633*SIN(RADIANS(E633))+6*O633*N633*G633*SIN(RADIANS(E633))*COS(RADIANS(E633)))/(12*N633*COS(RADIANS(E633))^2+L633*G633^2*SIN(RADIANS(E633))^2)</f>
        <v/>
      </c>
      <c r="R633" s="28">
        <f>-P633*SIN(RADIANS(E633))</f>
        <v/>
      </c>
      <c r="S633" s="8">
        <f>(O633+P633*COS(RADIANS(E633)))/L633</f>
        <v/>
      </c>
      <c r="T633" s="8">
        <f>R633/L633</f>
        <v/>
      </c>
      <c r="U633" s="8">
        <f>(Q633-P633*G633*SIN(RADIANS(E633)))/M633</f>
        <v/>
      </c>
      <c r="V633" s="8">
        <f>SQRT((S633+U633)^2+3*T633^2)</f>
        <v/>
      </c>
      <c r="W633" s="8">
        <f>V633/AA633</f>
        <v/>
      </c>
      <c r="X633" s="27">
        <f>((3*10+H633/COS(RADIANS(E633)))*(3+3)+3*G633*H633)*2</f>
        <v/>
      </c>
      <c r="Y633" s="28">
        <f>Z633/X633</f>
        <v/>
      </c>
      <c r="Z633" s="29" t="n">
        <v>659.51320500956</v>
      </c>
      <c r="AA633" s="20" t="n">
        <v>109.048555686793</v>
      </c>
      <c r="AB633" t="n">
        <v>0.1804166684791459</v>
      </c>
      <c r="AC633" t="n">
        <v>105.7745715075647</v>
      </c>
      <c r="AD633" t="n">
        <v>29.78207186510837</v>
      </c>
    </row>
    <row r="634">
      <c r="A634" t="n">
        <v>633</v>
      </c>
      <c r="B634" t="n">
        <v>63.8</v>
      </c>
      <c r="C634" s="21">
        <f>B634-20</f>
        <v/>
      </c>
      <c r="D634" t="n">
        <v>116</v>
      </c>
      <c r="E634" s="22">
        <f>D634-90</f>
        <v/>
      </c>
      <c r="F634" s="23" t="n">
        <v>0.014664</v>
      </c>
      <c r="G634" s="22" t="n">
        <v>26</v>
      </c>
      <c r="H634" s="22" t="n">
        <v>1.9</v>
      </c>
      <c r="I634" s="24" t="n">
        <v>0.0744545459747314</v>
      </c>
      <c r="J634" s="6" t="n">
        <v>71000</v>
      </c>
      <c r="K634" s="25">
        <f>23*10^-6</f>
        <v/>
      </c>
      <c r="L634" s="8">
        <f>H634</f>
        <v/>
      </c>
      <c r="M634" s="26">
        <f>H634^2/6</f>
        <v/>
      </c>
      <c r="N634" s="26">
        <f>H634^3/12</f>
        <v/>
      </c>
      <c r="O634" s="27">
        <f>-J634*L634*K634*C634</f>
        <v/>
      </c>
      <c r="P634" s="28">
        <f>-(12*F634*J634*L634*N634+12*O634*N634*G634*COS(RADIANS(E634)))/(12*N634*G634*COS(RADIANS(E634))^2+L634*G634^3*SIN(RADIANS(E634))^2)</f>
        <v/>
      </c>
      <c r="Q634" s="28">
        <f>-(6*F634*J634*L634*N634*SIN(RADIANS(E634))+6*O634*N634*G634*SIN(RADIANS(E634))*COS(RADIANS(E634)))/(12*N634*COS(RADIANS(E634))^2+L634*G634^2*SIN(RADIANS(E634))^2)</f>
        <v/>
      </c>
      <c r="R634" s="28">
        <f>-P634*SIN(RADIANS(E634))</f>
        <v/>
      </c>
      <c r="S634" s="8">
        <f>(O634+P634*COS(RADIANS(E634)))/L634</f>
        <v/>
      </c>
      <c r="T634" s="8">
        <f>R634/L634</f>
        <v/>
      </c>
      <c r="U634" s="8">
        <f>(Q634-P634*G634*SIN(RADIANS(E634)))/M634</f>
        <v/>
      </c>
      <c r="V634" s="8">
        <f>SQRT((S634+U634)^2+3*T634^2)</f>
        <v/>
      </c>
      <c r="W634" s="8">
        <f>V634/AA634</f>
        <v/>
      </c>
      <c r="X634" s="27">
        <f>((3*10+H634/COS(RADIANS(E634)))*(3+3)+3*G634*H634)*2</f>
        <v/>
      </c>
      <c r="Y634" s="28">
        <f>Z634/X634</f>
        <v/>
      </c>
      <c r="Z634" s="29" t="n">
        <v>687.903400199879</v>
      </c>
      <c r="AA634" s="20" t="n">
        <v>72.4938604157628</v>
      </c>
      <c r="AB634" t="n">
        <v>0.08768670716813134</v>
      </c>
      <c r="AC634" t="n">
        <v>68.09520703216405</v>
      </c>
      <c r="AD634" t="n">
        <v>17.77213334682171</v>
      </c>
    </row>
    <row r="635">
      <c r="A635" t="n">
        <v>634</v>
      </c>
      <c r="B635" t="n">
        <v>63.6</v>
      </c>
      <c r="C635" s="21">
        <f>B635-20</f>
        <v/>
      </c>
      <c r="D635" t="n">
        <v>110</v>
      </c>
      <c r="E635" s="22">
        <f>D635-90</f>
        <v/>
      </c>
      <c r="F635" s="23" t="n">
        <v>0.012604</v>
      </c>
      <c r="G635" s="22" t="n">
        <v>20.6</v>
      </c>
      <c r="H635" s="22" t="n">
        <v>1.9</v>
      </c>
      <c r="I635" s="24" t="n">
        <v>0.0754894614219665</v>
      </c>
      <c r="J635" s="6" t="n">
        <v>71000</v>
      </c>
      <c r="K635" s="25">
        <f>23*10^-6</f>
        <v/>
      </c>
      <c r="L635" s="8">
        <f>H635</f>
        <v/>
      </c>
      <c r="M635" s="26">
        <f>H635^2/6</f>
        <v/>
      </c>
      <c r="N635" s="26">
        <f>H635^3/12</f>
        <v/>
      </c>
      <c r="O635" s="27">
        <f>-J635*L635*K635*C635</f>
        <v/>
      </c>
      <c r="P635" s="28">
        <f>-(12*F635*J635*L635*N635+12*O635*N635*G635*COS(RADIANS(E635)))/(12*N635*G635*COS(RADIANS(E635))^2+L635*G635^3*SIN(RADIANS(E635))^2)</f>
        <v/>
      </c>
      <c r="Q635" s="28">
        <f>-(6*F635*J635*L635*N635*SIN(RADIANS(E635))+6*O635*N635*G635*SIN(RADIANS(E635))*COS(RADIANS(E635)))/(12*N635*COS(RADIANS(E635))^2+L635*G635^2*SIN(RADIANS(E635))^2)</f>
        <v/>
      </c>
      <c r="R635" s="28">
        <f>-P635*SIN(RADIANS(E635))</f>
        <v/>
      </c>
      <c r="S635" s="8">
        <f>(O635+P635*COS(RADIANS(E635)))/L635</f>
        <v/>
      </c>
      <c r="T635" s="8">
        <f>R635/L635</f>
        <v/>
      </c>
      <c r="U635" s="8">
        <f>(Q635-P635*G635*SIN(RADIANS(E635)))/M635</f>
        <v/>
      </c>
      <c r="V635" s="8">
        <f>SQRT((S635+U635)^2+3*T635^2)</f>
        <v/>
      </c>
      <c r="W635" s="8">
        <f>V635/AA635</f>
        <v/>
      </c>
      <c r="X635" s="27">
        <f>((3*10+H635/COS(RADIANS(E635)))*(3+3)+3*G635*H635)*2</f>
        <v/>
      </c>
      <c r="Y635" s="28">
        <f>Z635/X635</f>
        <v/>
      </c>
      <c r="Z635" s="29" t="n">
        <v>624.0771491375129</v>
      </c>
      <c r="AA635" s="20" t="n">
        <v>78.08173506806369</v>
      </c>
      <c r="AB635" t="n">
        <v>0.08901675044347976</v>
      </c>
      <c r="AC635" t="n">
        <v>71.996428601259</v>
      </c>
      <c r="AD635" t="n">
        <v>17.91944036519114</v>
      </c>
    </row>
    <row r="636">
      <c r="A636" t="n">
        <v>635</v>
      </c>
      <c r="B636" t="n">
        <v>59.2</v>
      </c>
      <c r="C636" s="21">
        <f>B636-20</f>
        <v/>
      </c>
      <c r="D636" t="n">
        <v>106.4</v>
      </c>
      <c r="E636" s="22">
        <f>D636-90</f>
        <v/>
      </c>
      <c r="F636" s="23" t="n">
        <v>0.014771</v>
      </c>
      <c r="G636" s="22" t="n">
        <v>28.2</v>
      </c>
      <c r="H636" s="22" t="n">
        <v>1.4</v>
      </c>
      <c r="I636" s="24" t="n">
        <v>0.0990778058767318</v>
      </c>
      <c r="J636" s="6" t="n">
        <v>71000</v>
      </c>
      <c r="K636" s="25">
        <f>23*10^-6</f>
        <v/>
      </c>
      <c r="L636" s="8">
        <f>H636</f>
        <v/>
      </c>
      <c r="M636" s="26">
        <f>H636^2/6</f>
        <v/>
      </c>
      <c r="N636" s="26">
        <f>H636^3/12</f>
        <v/>
      </c>
      <c r="O636" s="27">
        <f>-J636*L636*K636*C636</f>
        <v/>
      </c>
      <c r="P636" s="28">
        <f>-(12*F636*J636*L636*N636+12*O636*N636*G636*COS(RADIANS(E636)))/(12*N636*G636*COS(RADIANS(E636))^2+L636*G636^3*SIN(RADIANS(E636))^2)</f>
        <v/>
      </c>
      <c r="Q636" s="28">
        <f>-(6*F636*J636*L636*N636*SIN(RADIANS(E636))+6*O636*N636*G636*SIN(RADIANS(E636))*COS(RADIANS(E636)))/(12*N636*COS(RADIANS(E636))^2+L636*G636^2*SIN(RADIANS(E636))^2)</f>
        <v/>
      </c>
      <c r="R636" s="28">
        <f>-P636*SIN(RADIANS(E636))</f>
        <v/>
      </c>
      <c r="S636" s="8">
        <f>(O636+P636*COS(RADIANS(E636)))/L636</f>
        <v/>
      </c>
      <c r="T636" s="8">
        <f>R636/L636</f>
        <v/>
      </c>
      <c r="U636" s="8">
        <f>(Q636-P636*G636*SIN(RADIANS(E636)))/M636</f>
        <v/>
      </c>
      <c r="V636" s="8">
        <f>SQRT((S636+U636)^2+3*T636^2)</f>
        <v/>
      </c>
      <c r="W636" s="8">
        <f>V636/AA636</f>
        <v/>
      </c>
      <c r="X636" s="27">
        <f>((3*10+H636/COS(RADIANS(E636)))*(3+3)+3*G636*H636)*2</f>
        <v/>
      </c>
      <c r="Y636" s="28">
        <f>Z636/X636</f>
        <v/>
      </c>
      <c r="Z636" s="29" t="n">
        <v>618.844022023318</v>
      </c>
      <c r="AA636" s="20" t="n">
        <v>60.1363769593163</v>
      </c>
      <c r="AB636" t="n">
        <v>0.1362369933022824</v>
      </c>
      <c r="AC636" t="n">
        <v>62.29433906810425</v>
      </c>
      <c r="AD636" t="n">
        <v>37.50505685580326</v>
      </c>
    </row>
    <row r="637">
      <c r="A637" t="n">
        <v>636</v>
      </c>
      <c r="B637" t="n">
        <v>78.09999999999999</v>
      </c>
      <c r="C637" s="21">
        <f>B637-20</f>
        <v/>
      </c>
      <c r="D637" t="n">
        <v>101.1</v>
      </c>
      <c r="E637" s="22">
        <f>D637-90</f>
        <v/>
      </c>
      <c r="F637" s="23" t="n">
        <v>0.022303</v>
      </c>
      <c r="G637" s="22" t="n">
        <v>28.2</v>
      </c>
      <c r="H637" s="22" t="n">
        <v>1.7</v>
      </c>
      <c r="I637" s="24" t="n">
        <v>0.193517312407493</v>
      </c>
      <c r="J637" s="6" t="n">
        <v>71000</v>
      </c>
      <c r="K637" s="25">
        <f>23*10^-6</f>
        <v/>
      </c>
      <c r="L637" s="8">
        <f>H637</f>
        <v/>
      </c>
      <c r="M637" s="26">
        <f>H637^2/6</f>
        <v/>
      </c>
      <c r="N637" s="26">
        <f>H637^3/12</f>
        <v/>
      </c>
      <c r="O637" s="27">
        <f>-J637*L637*K637*C637</f>
        <v/>
      </c>
      <c r="P637" s="28">
        <f>-(12*F637*J637*L637*N637+12*O637*N637*G637*COS(RADIANS(E637)))/(12*N637*G637*COS(RADIANS(E637))^2+L637*G637^3*SIN(RADIANS(E637))^2)</f>
        <v/>
      </c>
      <c r="Q637" s="28">
        <f>-(6*F637*J637*L637*N637*SIN(RADIANS(E637))+6*O637*N637*G637*SIN(RADIANS(E637))*COS(RADIANS(E637)))/(12*N637*COS(RADIANS(E637))^2+L637*G637^2*SIN(RADIANS(E637))^2)</f>
        <v/>
      </c>
      <c r="R637" s="28">
        <f>-P637*SIN(RADIANS(E637))</f>
        <v/>
      </c>
      <c r="S637" s="8">
        <f>(O637+P637*COS(RADIANS(E637)))/L637</f>
        <v/>
      </c>
      <c r="T637" s="8">
        <f>R637/L637</f>
        <v/>
      </c>
      <c r="U637" s="8">
        <f>(Q637-P637*G637*SIN(RADIANS(E637)))/M637</f>
        <v/>
      </c>
      <c r="V637" s="8">
        <f>SQRT((S637+U637)^2+3*T637^2)</f>
        <v/>
      </c>
      <c r="W637" s="8">
        <f>V637/AA637</f>
        <v/>
      </c>
      <c r="X637" s="27">
        <f>((3*10+H637/COS(RADIANS(E637)))*(3+3)+3*G637*H637)*2</f>
        <v/>
      </c>
      <c r="Y637" s="28">
        <f>Z637/X637</f>
        <v/>
      </c>
      <c r="Z637" s="29" t="n">
        <v>672.320069748666</v>
      </c>
      <c r="AA637" s="20" t="n">
        <v>100.585472984956</v>
      </c>
      <c r="AB637" t="n">
        <v>0.2823439765886253</v>
      </c>
      <c r="AC637" t="n">
        <v>101.4535778245576</v>
      </c>
      <c r="AD637" t="n">
        <v>45.90114604014774</v>
      </c>
    </row>
    <row r="638">
      <c r="A638" t="n">
        <v>637</v>
      </c>
      <c r="B638" t="n">
        <v>72.3</v>
      </c>
      <c r="C638" s="21">
        <f>B638-20</f>
        <v/>
      </c>
      <c r="D638" t="n">
        <v>126.2</v>
      </c>
      <c r="E638" s="22">
        <f>D638-90</f>
        <v/>
      </c>
      <c r="F638" s="23" t="n">
        <v>0.016087</v>
      </c>
      <c r="G638" s="22" t="n">
        <v>26</v>
      </c>
      <c r="H638" s="22" t="n">
        <v>1.1</v>
      </c>
      <c r="I638" s="24" t="n">
        <v>0.0717161521315574</v>
      </c>
      <c r="J638" s="6" t="n">
        <v>71000</v>
      </c>
      <c r="K638" s="25">
        <f>23*10^-6</f>
        <v/>
      </c>
      <c r="L638" s="8">
        <f>H638</f>
        <v/>
      </c>
      <c r="M638" s="26">
        <f>H638^2/6</f>
        <v/>
      </c>
      <c r="N638" s="26">
        <f>H638^3/12</f>
        <v/>
      </c>
      <c r="O638" s="27">
        <f>-J638*L638*K638*C638</f>
        <v/>
      </c>
      <c r="P638" s="28">
        <f>-(12*F638*J638*L638*N638+12*O638*N638*G638*COS(RADIANS(E638)))/(12*N638*G638*COS(RADIANS(E638))^2+L638*G638^3*SIN(RADIANS(E638))^2)</f>
        <v/>
      </c>
      <c r="Q638" s="28">
        <f>-(6*F638*J638*L638*N638*SIN(RADIANS(E638))+6*O638*N638*G638*SIN(RADIANS(E638))*COS(RADIANS(E638)))/(12*N638*COS(RADIANS(E638))^2+L638*G638^2*SIN(RADIANS(E638))^2)</f>
        <v/>
      </c>
      <c r="R638" s="28">
        <f>-P638*SIN(RADIANS(E638))</f>
        <v/>
      </c>
      <c r="S638" s="8">
        <f>(O638+P638*COS(RADIANS(E638)))/L638</f>
        <v/>
      </c>
      <c r="T638" s="8">
        <f>R638/L638</f>
        <v/>
      </c>
      <c r="U638" s="8">
        <f>(Q638-P638*G638*SIN(RADIANS(E638)))/M638</f>
        <v/>
      </c>
      <c r="V638" s="8">
        <f>SQRT((S638+U638)^2+3*T638^2)</f>
        <v/>
      </c>
      <c r="W638" s="8">
        <f>V638/AA638</f>
        <v/>
      </c>
      <c r="X638" s="27">
        <f>((3*10+H638/COS(RADIANS(E638)))*(3+3)+3*G638*H638)*2</f>
        <v/>
      </c>
      <c r="Y638" s="28">
        <f>Z638/X638</f>
        <v/>
      </c>
      <c r="Z638" s="29" t="n">
        <v>557.132550782621</v>
      </c>
      <c r="AA638" s="20" t="n">
        <v>70.84639135925801</v>
      </c>
      <c r="AB638" t="n">
        <v>0.07464555945771237</v>
      </c>
      <c r="AC638" t="n">
        <v>74.56293082730541</v>
      </c>
      <c r="AD638" t="n">
        <v>4.084724624909066</v>
      </c>
    </row>
    <row r="639">
      <c r="A639" t="n">
        <v>638</v>
      </c>
      <c r="B639" t="n">
        <v>77.59999999999999</v>
      </c>
      <c r="C639" s="21">
        <f>B639-20</f>
        <v/>
      </c>
      <c r="D639" t="n">
        <v>123</v>
      </c>
      <c r="E639" s="22">
        <f>D639-90</f>
        <v/>
      </c>
      <c r="F639" s="23" t="n">
        <v>0.015339</v>
      </c>
      <c r="G639" s="22" t="n">
        <v>20.7</v>
      </c>
      <c r="H639" s="22" t="n">
        <v>1.4</v>
      </c>
      <c r="I639" s="24" t="n">
        <v>0.0729677602648735</v>
      </c>
      <c r="J639" s="6" t="n">
        <v>71000</v>
      </c>
      <c r="K639" s="25">
        <f>23*10^-6</f>
        <v/>
      </c>
      <c r="L639" s="8">
        <f>H639</f>
        <v/>
      </c>
      <c r="M639" s="26">
        <f>H639^2/6</f>
        <v/>
      </c>
      <c r="N639" s="26">
        <f>H639^3/12</f>
        <v/>
      </c>
      <c r="O639" s="27">
        <f>-J639*L639*K639*C639</f>
        <v/>
      </c>
      <c r="P639" s="28">
        <f>-(12*F639*J639*L639*N639+12*O639*N639*G639*COS(RADIANS(E639)))/(12*N639*G639*COS(RADIANS(E639))^2+L639*G639^3*SIN(RADIANS(E639))^2)</f>
        <v/>
      </c>
      <c r="Q639" s="28">
        <f>-(6*F639*J639*L639*N639*SIN(RADIANS(E639))+6*O639*N639*G639*SIN(RADIANS(E639))*COS(RADIANS(E639)))/(12*N639*COS(RADIANS(E639))^2+L639*G639^2*SIN(RADIANS(E639))^2)</f>
        <v/>
      </c>
      <c r="R639" s="28">
        <f>-P639*SIN(RADIANS(E639))</f>
        <v/>
      </c>
      <c r="S639" s="8">
        <f>(O639+P639*COS(RADIANS(E639)))/L639</f>
        <v/>
      </c>
      <c r="T639" s="8">
        <f>R639/L639</f>
        <v/>
      </c>
      <c r="U639" s="8">
        <f>(Q639-P639*G639*SIN(RADIANS(E639)))/M639</f>
        <v/>
      </c>
      <c r="V639" s="8">
        <f>SQRT((S639+U639)^2+3*T639^2)</f>
        <v/>
      </c>
      <c r="W639" s="8">
        <f>V639/AA639</f>
        <v/>
      </c>
      <c r="X639" s="27">
        <f>((3*10+H639/COS(RADIANS(E639)))*(3+3)+3*G639*H639)*2</f>
        <v/>
      </c>
      <c r="Y639" s="28">
        <f>Z639/X639</f>
        <v/>
      </c>
      <c r="Z639" s="29" t="n">
        <v>561.962051733347</v>
      </c>
      <c r="AA639" s="20" t="n">
        <v>87.63849983887729</v>
      </c>
      <c r="AB639" t="n">
        <v>0.07307148622887361</v>
      </c>
      <c r="AC639" t="n">
        <v>85.05157999301701</v>
      </c>
      <c r="AD639" t="n">
        <v>0.1421531421871453</v>
      </c>
    </row>
    <row r="640">
      <c r="A640" t="n">
        <v>639</v>
      </c>
      <c r="B640" t="n">
        <v>87.59999999999999</v>
      </c>
      <c r="C640" s="21">
        <f>B640-20</f>
        <v/>
      </c>
      <c r="D640" t="n">
        <v>100.6</v>
      </c>
      <c r="E640" s="22">
        <f>D640-90</f>
        <v/>
      </c>
      <c r="F640" s="23" t="n">
        <v>0.029924</v>
      </c>
      <c r="G640" s="22" t="n">
        <v>33.4</v>
      </c>
      <c r="H640" s="22" t="n">
        <v>1.4</v>
      </c>
      <c r="I640" s="24" t="n">
        <v>0.274732619524002</v>
      </c>
      <c r="J640" s="6" t="n">
        <v>71000</v>
      </c>
      <c r="K640" s="25">
        <f>23*10^-6</f>
        <v/>
      </c>
      <c r="L640" s="8">
        <f>H640</f>
        <v/>
      </c>
      <c r="M640" s="26">
        <f>H640^2/6</f>
        <v/>
      </c>
      <c r="N640" s="26">
        <f>H640^3/12</f>
        <v/>
      </c>
      <c r="O640" s="27">
        <f>-J640*L640*K640*C640</f>
        <v/>
      </c>
      <c r="P640" s="28">
        <f>-(12*F640*J640*L640*N640+12*O640*N640*G640*COS(RADIANS(E640)))/(12*N640*G640*COS(RADIANS(E640))^2+L640*G640^3*SIN(RADIANS(E640))^2)</f>
        <v/>
      </c>
      <c r="Q640" s="28">
        <f>-(6*F640*J640*L640*N640*SIN(RADIANS(E640))+6*O640*N640*G640*SIN(RADIANS(E640))*COS(RADIANS(E640)))/(12*N640*COS(RADIANS(E640))^2+L640*G640^2*SIN(RADIANS(E640))^2)</f>
        <v/>
      </c>
      <c r="R640" s="28">
        <f>-P640*SIN(RADIANS(E640))</f>
        <v/>
      </c>
      <c r="S640" s="8">
        <f>(O640+P640*COS(RADIANS(E640)))/L640</f>
        <v/>
      </c>
      <c r="T640" s="8">
        <f>R640/L640</f>
        <v/>
      </c>
      <c r="U640" s="8">
        <f>(Q640-P640*G640*SIN(RADIANS(E640)))/M640</f>
        <v/>
      </c>
      <c r="V640" s="8">
        <f>SQRT((S640+U640)^2+3*T640^2)</f>
        <v/>
      </c>
      <c r="W640" s="8">
        <f>V640/AA640</f>
        <v/>
      </c>
      <c r="X640" s="27">
        <f>((3*10+H640/COS(RADIANS(E640)))*(3+3)+3*G640*H640)*2</f>
        <v/>
      </c>
      <c r="Y640" s="28">
        <f>Z640/X640</f>
        <v/>
      </c>
      <c r="Z640" s="29" t="n">
        <v>661.501954460428</v>
      </c>
      <c r="AA640" s="20" t="n">
        <v>106.679152202919</v>
      </c>
      <c r="AB640" t="n">
        <v>0.420810814345176</v>
      </c>
      <c r="AC640" t="n">
        <v>113.0388693971567</v>
      </c>
      <c r="AD640" t="n">
        <v>53.17104138353393</v>
      </c>
    </row>
    <row r="641">
      <c r="A641" t="n">
        <v>640</v>
      </c>
      <c r="B641" t="n">
        <v>79.59999999999999</v>
      </c>
      <c r="C641" s="21">
        <f>B641-20</f>
        <v/>
      </c>
      <c r="D641" t="n">
        <v>111.9</v>
      </c>
      <c r="E641" s="22">
        <f>D641-90</f>
        <v/>
      </c>
      <c r="F641" s="23" t="n">
        <v>0.022295</v>
      </c>
      <c r="G641" s="22" t="n">
        <v>28.9</v>
      </c>
      <c r="H641" s="22" t="n">
        <v>1.8</v>
      </c>
      <c r="I641" s="24" t="n">
        <v>0.122809872031211</v>
      </c>
      <c r="J641" s="6" t="n">
        <v>71000</v>
      </c>
      <c r="K641" s="25">
        <f>23*10^-6</f>
        <v/>
      </c>
      <c r="L641" s="8">
        <f>H641</f>
        <v/>
      </c>
      <c r="M641" s="26">
        <f>H641^2/6</f>
        <v/>
      </c>
      <c r="N641" s="26">
        <f>H641^3/12</f>
        <v/>
      </c>
      <c r="O641" s="27">
        <f>-J641*L641*K641*C641</f>
        <v/>
      </c>
      <c r="P641" s="28">
        <f>-(12*F641*J641*L641*N641+12*O641*N641*G641*COS(RADIANS(E641)))/(12*N641*G641*COS(RADIANS(E641))^2+L641*G641^3*SIN(RADIANS(E641))^2)</f>
        <v/>
      </c>
      <c r="Q641" s="28">
        <f>-(6*F641*J641*L641*N641*SIN(RADIANS(E641))+6*O641*N641*G641*SIN(RADIANS(E641))*COS(RADIANS(E641)))/(12*N641*COS(RADIANS(E641))^2+L641*G641^2*SIN(RADIANS(E641))^2)</f>
        <v/>
      </c>
      <c r="R641" s="28">
        <f>-P641*SIN(RADIANS(E641))</f>
        <v/>
      </c>
      <c r="S641" s="8">
        <f>(O641+P641*COS(RADIANS(E641)))/L641</f>
        <v/>
      </c>
      <c r="T641" s="8">
        <f>R641/L641</f>
        <v/>
      </c>
      <c r="U641" s="8">
        <f>(Q641-P641*G641*SIN(RADIANS(E641)))/M641</f>
        <v/>
      </c>
      <c r="V641" s="8">
        <f>SQRT((S641+U641)^2+3*T641^2)</f>
        <v/>
      </c>
      <c r="W641" s="8">
        <f>V641/AA641</f>
        <v/>
      </c>
      <c r="X641" s="27">
        <f>((3*10+H641/COS(RADIANS(E641)))*(3+3)+3*G641*H641)*2</f>
        <v/>
      </c>
      <c r="Y641" s="28">
        <f>Z641/X641</f>
        <v/>
      </c>
      <c r="Z641" s="29" t="n">
        <v>700.7002323647559</v>
      </c>
      <c r="AA641" s="20" t="n">
        <v>96.30458086953379</v>
      </c>
      <c r="AB641" t="n">
        <v>0.1576744837509801</v>
      </c>
      <c r="AC641" t="n">
        <v>93.60898497394719</v>
      </c>
      <c r="AD641" t="n">
        <v>28.38909539040039</v>
      </c>
    </row>
    <row r="642">
      <c r="A642" t="n">
        <v>641</v>
      </c>
      <c r="B642" t="n">
        <v>82.90000000000001</v>
      </c>
      <c r="C642" s="21">
        <f>B642-20</f>
        <v/>
      </c>
      <c r="D642" t="n">
        <v>105</v>
      </c>
      <c r="E642" s="22">
        <f>D642-90</f>
        <v/>
      </c>
      <c r="F642" s="23" t="n">
        <v>0.026466</v>
      </c>
      <c r="G642" s="22" t="n">
        <v>32</v>
      </c>
      <c r="H642" s="22" t="n">
        <v>1.7</v>
      </c>
      <c r="I642" s="24" t="n">
        <v>0.185729354619979</v>
      </c>
      <c r="J642" s="6" t="n">
        <v>71000</v>
      </c>
      <c r="K642" s="25">
        <f>23*10^-6</f>
        <v/>
      </c>
      <c r="L642" s="8">
        <f>H642</f>
        <v/>
      </c>
      <c r="M642" s="26">
        <f>H642^2/6</f>
        <v/>
      </c>
      <c r="N642" s="26">
        <f>H642^3/12</f>
        <v/>
      </c>
      <c r="O642" s="27">
        <f>-J642*L642*K642*C642</f>
        <v/>
      </c>
      <c r="P642" s="28">
        <f>-(12*F642*J642*L642*N642+12*O642*N642*G642*COS(RADIANS(E642)))/(12*N642*G642*COS(RADIANS(E642))^2+L642*G642^3*SIN(RADIANS(E642))^2)</f>
        <v/>
      </c>
      <c r="Q642" s="28">
        <f>-(6*F642*J642*L642*N642*SIN(RADIANS(E642))+6*O642*N642*G642*SIN(RADIANS(E642))*COS(RADIANS(E642)))/(12*N642*COS(RADIANS(E642))^2+L642*G642^2*SIN(RADIANS(E642))^2)</f>
        <v/>
      </c>
      <c r="R642" s="28">
        <f>-P642*SIN(RADIANS(E642))</f>
        <v/>
      </c>
      <c r="S642" s="8">
        <f>(O642+P642*COS(RADIANS(E642)))/L642</f>
        <v/>
      </c>
      <c r="T642" s="8">
        <f>R642/L642</f>
        <v/>
      </c>
      <c r="U642" s="8">
        <f>(Q642-P642*G642*SIN(RADIANS(E642)))/M642</f>
        <v/>
      </c>
      <c r="V642" s="8">
        <f>SQRT((S642+U642)^2+3*T642^2)</f>
        <v/>
      </c>
      <c r="W642" s="8">
        <f>V642/AA642</f>
        <v/>
      </c>
      <c r="X642" s="27">
        <f>((3*10+H642/COS(RADIANS(E642)))*(3+3)+3*G642*H642)*2</f>
        <v/>
      </c>
      <c r="Y642" s="28">
        <f>Z642/X642</f>
        <v/>
      </c>
      <c r="Z642" s="29" t="n">
        <v>711.799891795849</v>
      </c>
      <c r="AA642" s="20" t="n">
        <v>102.495049122799</v>
      </c>
      <c r="AB642" t="n">
        <v>0.2668725546886476</v>
      </c>
      <c r="AC642" t="n">
        <v>102.9129130833337</v>
      </c>
      <c r="AD642" t="n">
        <v>43.68894741205328</v>
      </c>
    </row>
    <row r="643">
      <c r="A643" t="n">
        <v>642</v>
      </c>
      <c r="B643" t="n">
        <v>56.8</v>
      </c>
      <c r="C643" s="21">
        <f>B643-20</f>
        <v/>
      </c>
      <c r="D643" t="n">
        <v>128</v>
      </c>
      <c r="E643" s="22">
        <f>D643-90</f>
        <v/>
      </c>
      <c r="F643" s="23" t="n">
        <v>0.012666</v>
      </c>
      <c r="G643" s="22" t="n">
        <v>30.7</v>
      </c>
      <c r="H643" s="22" t="n">
        <v>2</v>
      </c>
      <c r="I643" s="24" t="n">
        <v>0.0547612123191356</v>
      </c>
      <c r="J643" s="6" t="n">
        <v>71000</v>
      </c>
      <c r="K643" s="25">
        <f>23*10^-6</f>
        <v/>
      </c>
      <c r="L643" s="8">
        <f>H643</f>
        <v/>
      </c>
      <c r="M643" s="26">
        <f>H643^2/6</f>
        <v/>
      </c>
      <c r="N643" s="26">
        <f>H643^3/12</f>
        <v/>
      </c>
      <c r="O643" s="27">
        <f>-J643*L643*K643*C643</f>
        <v/>
      </c>
      <c r="P643" s="28">
        <f>-(12*F643*J643*L643*N643+12*O643*N643*G643*COS(RADIANS(E643)))/(12*N643*G643*COS(RADIANS(E643))^2+L643*G643^3*SIN(RADIANS(E643))^2)</f>
        <v/>
      </c>
      <c r="Q643" s="28">
        <f>-(6*F643*J643*L643*N643*SIN(RADIANS(E643))+6*O643*N643*G643*SIN(RADIANS(E643))*COS(RADIANS(E643)))/(12*N643*COS(RADIANS(E643))^2+L643*G643^2*SIN(RADIANS(E643))^2)</f>
        <v/>
      </c>
      <c r="R643" s="28">
        <f>-P643*SIN(RADIANS(E643))</f>
        <v/>
      </c>
      <c r="S643" s="8">
        <f>(O643+P643*COS(RADIANS(E643)))/L643</f>
        <v/>
      </c>
      <c r="T643" s="8">
        <f>R643/L643</f>
        <v/>
      </c>
      <c r="U643" s="8">
        <f>(Q643-P643*G643*SIN(RADIANS(E643)))/M643</f>
        <v/>
      </c>
      <c r="V643" s="8">
        <f>SQRT((S643+U643)^2+3*T643^2)</f>
        <v/>
      </c>
      <c r="W643" s="8">
        <f>V643/AA643</f>
        <v/>
      </c>
      <c r="X643" s="27">
        <f>((3*10+H643/COS(RADIANS(E643)))*(3+3)+3*G643*H643)*2</f>
        <v/>
      </c>
      <c r="Y643" s="28">
        <f>Z643/X643</f>
        <v/>
      </c>
      <c r="Z643" s="29" t="n">
        <v>768.746503709124</v>
      </c>
      <c r="AA643" s="20" t="n">
        <v>57.9390021828938</v>
      </c>
      <c r="AB643" t="n">
        <v>0.05794598920112293</v>
      </c>
      <c r="AC643" t="n">
        <v>53.98032130299659</v>
      </c>
      <c r="AD643" t="n">
        <v>5.815753061541415</v>
      </c>
    </row>
    <row r="644">
      <c r="A644" t="n">
        <v>643</v>
      </c>
      <c r="B644" t="n">
        <v>55.6</v>
      </c>
      <c r="C644" s="21">
        <f>B644-20</f>
        <v/>
      </c>
      <c r="D644" t="n">
        <v>101.8</v>
      </c>
      <c r="E644" s="22">
        <f>D644-90</f>
        <v/>
      </c>
      <c r="F644" s="23" t="n">
        <v>0.015823</v>
      </c>
      <c r="G644" s="22" t="n">
        <v>33.7</v>
      </c>
      <c r="H644" s="22" t="n">
        <v>1.5</v>
      </c>
      <c r="I644" s="24" t="n">
        <v>0.133167162537574</v>
      </c>
      <c r="J644" s="6" t="n">
        <v>71000</v>
      </c>
      <c r="K644" s="25">
        <f>23*10^-6</f>
        <v/>
      </c>
      <c r="L644" s="8">
        <f>H644</f>
        <v/>
      </c>
      <c r="M644" s="26">
        <f>H644^2/6</f>
        <v/>
      </c>
      <c r="N644" s="26">
        <f>H644^3/12</f>
        <v/>
      </c>
      <c r="O644" s="27">
        <f>-J644*L644*K644*C644</f>
        <v/>
      </c>
      <c r="P644" s="28">
        <f>-(12*F644*J644*L644*N644+12*O644*N644*G644*COS(RADIANS(E644)))/(12*N644*G644*COS(RADIANS(E644))^2+L644*G644^3*SIN(RADIANS(E644))^2)</f>
        <v/>
      </c>
      <c r="Q644" s="28">
        <f>-(6*F644*J644*L644*N644*SIN(RADIANS(E644))+6*O644*N644*G644*SIN(RADIANS(E644))*COS(RADIANS(E644)))/(12*N644*COS(RADIANS(E644))^2+L644*G644^2*SIN(RADIANS(E644))^2)</f>
        <v/>
      </c>
      <c r="R644" s="28">
        <f>-P644*SIN(RADIANS(E644))</f>
        <v/>
      </c>
      <c r="S644" s="8">
        <f>(O644+P644*COS(RADIANS(E644)))/L644</f>
        <v/>
      </c>
      <c r="T644" s="8">
        <f>R644/L644</f>
        <v/>
      </c>
      <c r="U644" s="8">
        <f>(Q644-P644*G644*SIN(RADIANS(E644)))/M644</f>
        <v/>
      </c>
      <c r="V644" s="8">
        <f>SQRT((S644+U644)^2+3*T644^2)</f>
        <v/>
      </c>
      <c r="W644" s="8">
        <f>V644/AA644</f>
        <v/>
      </c>
      <c r="X644" s="27">
        <f>((3*10+H644/COS(RADIANS(E644)))*(3+3)+3*G644*H644)*2</f>
        <v/>
      </c>
      <c r="Y644" s="28">
        <f>Z644/X644</f>
        <v/>
      </c>
      <c r="Z644" s="29" t="n">
        <v>685.640360657108</v>
      </c>
      <c r="AA644" s="20" t="n">
        <v>56.6447036651375</v>
      </c>
      <c r="AB644" t="n">
        <v>0.2013823634864295</v>
      </c>
      <c r="AC644" t="n">
        <v>59.06504714728203</v>
      </c>
      <c r="AD644" t="n">
        <v>51.22524175553274</v>
      </c>
    </row>
    <row r="645">
      <c r="A645" t="n">
        <v>644</v>
      </c>
      <c r="B645" t="n">
        <v>57.9</v>
      </c>
      <c r="C645" s="21">
        <f>B645-20</f>
        <v/>
      </c>
      <c r="D645" t="n">
        <v>121.7</v>
      </c>
      <c r="E645" s="22">
        <f>D645-90</f>
        <v/>
      </c>
      <c r="F645" s="23" t="n">
        <v>0.014062</v>
      </c>
      <c r="G645" s="22" t="n">
        <v>31.2</v>
      </c>
      <c r="H645" s="22" t="n">
        <v>1.3</v>
      </c>
      <c r="I645" s="24" t="n">
        <v>0.06369594484567639</v>
      </c>
      <c r="J645" s="6" t="n">
        <v>71000</v>
      </c>
      <c r="K645" s="25">
        <f>23*10^-6</f>
        <v/>
      </c>
      <c r="L645" s="8">
        <f>H645</f>
        <v/>
      </c>
      <c r="M645" s="26">
        <f>H645^2/6</f>
        <v/>
      </c>
      <c r="N645" s="26">
        <f>H645^3/12</f>
        <v/>
      </c>
      <c r="O645" s="27">
        <f>-J645*L645*K645*C645</f>
        <v/>
      </c>
      <c r="P645" s="28">
        <f>-(12*F645*J645*L645*N645+12*O645*N645*G645*COS(RADIANS(E645)))/(12*N645*G645*COS(RADIANS(E645))^2+L645*G645^3*SIN(RADIANS(E645))^2)</f>
        <v/>
      </c>
      <c r="Q645" s="28">
        <f>-(6*F645*J645*L645*N645*SIN(RADIANS(E645))+6*O645*N645*G645*SIN(RADIANS(E645))*COS(RADIANS(E645)))/(12*N645*COS(RADIANS(E645))^2+L645*G645^2*SIN(RADIANS(E645))^2)</f>
        <v/>
      </c>
      <c r="R645" s="28">
        <f>-P645*SIN(RADIANS(E645))</f>
        <v/>
      </c>
      <c r="S645" s="8">
        <f>(O645+P645*COS(RADIANS(E645)))/L645</f>
        <v/>
      </c>
      <c r="T645" s="8">
        <f>R645/L645</f>
        <v/>
      </c>
      <c r="U645" s="8">
        <f>(Q645-P645*G645*SIN(RADIANS(E645)))/M645</f>
        <v/>
      </c>
      <c r="V645" s="8">
        <f>SQRT((S645+U645)^2+3*T645^2)</f>
        <v/>
      </c>
      <c r="W645" s="8">
        <f>V645/AA645</f>
        <v/>
      </c>
      <c r="X645" s="27">
        <f>((3*10+H645/COS(RADIANS(E645)))*(3+3)+3*G645*H645)*2</f>
        <v/>
      </c>
      <c r="Y645" s="28">
        <f>Z645/X645</f>
        <v/>
      </c>
      <c r="Z645" s="29" t="n">
        <v>629.33745040698</v>
      </c>
      <c r="AA645" s="20" t="n">
        <v>53.6486870376353</v>
      </c>
      <c r="AB645" t="n">
        <v>0.07414793319277542</v>
      </c>
      <c r="AC645" t="n">
        <v>54.83745562069402</v>
      </c>
      <c r="AD645" t="n">
        <v>16.4091895840815</v>
      </c>
    </row>
    <row r="646">
      <c r="A646" t="n">
        <v>645</v>
      </c>
      <c r="B646" t="n">
        <v>89.7</v>
      </c>
      <c r="C646" s="21">
        <f>B646-20</f>
        <v/>
      </c>
      <c r="D646" t="n">
        <v>122.2</v>
      </c>
      <c r="E646" s="22">
        <f>D646-90</f>
        <v/>
      </c>
      <c r="F646" s="23" t="n">
        <v>0.021442</v>
      </c>
      <c r="G646" s="22" t="n">
        <v>24.8</v>
      </c>
      <c r="H646" s="22" t="n">
        <v>1.3</v>
      </c>
      <c r="I646" s="24" t="n">
        <v>0.0999514833092689</v>
      </c>
      <c r="J646" s="6" t="n">
        <v>71000</v>
      </c>
      <c r="K646" s="25">
        <f>23*10^-6</f>
        <v/>
      </c>
      <c r="L646" s="8">
        <f>H646</f>
        <v/>
      </c>
      <c r="M646" s="26">
        <f>H646^2/6</f>
        <v/>
      </c>
      <c r="N646" s="26">
        <f>H646^3/12</f>
        <v/>
      </c>
      <c r="O646" s="27">
        <f>-J646*L646*K646*C646</f>
        <v/>
      </c>
      <c r="P646" s="28">
        <f>-(12*F646*J646*L646*N646+12*O646*N646*G646*COS(RADIANS(E646)))/(12*N646*G646*COS(RADIANS(E646))^2+L646*G646^3*SIN(RADIANS(E646))^2)</f>
        <v/>
      </c>
      <c r="Q646" s="28">
        <f>-(6*F646*J646*L646*N646*SIN(RADIANS(E646))+6*O646*N646*G646*SIN(RADIANS(E646))*COS(RADIANS(E646)))/(12*N646*COS(RADIANS(E646))^2+L646*G646^2*SIN(RADIANS(E646))^2)</f>
        <v/>
      </c>
      <c r="R646" s="28">
        <f>-P646*SIN(RADIANS(E646))</f>
        <v/>
      </c>
      <c r="S646" s="8">
        <f>(O646+P646*COS(RADIANS(E646)))/L646</f>
        <v/>
      </c>
      <c r="T646" s="8">
        <f>R646/L646</f>
        <v/>
      </c>
      <c r="U646" s="8">
        <f>(Q646-P646*G646*SIN(RADIANS(E646)))/M646</f>
        <v/>
      </c>
      <c r="V646" s="8">
        <f>SQRT((S646+U646)^2+3*T646^2)</f>
        <v/>
      </c>
      <c r="W646" s="8">
        <f>V646/AA646</f>
        <v/>
      </c>
      <c r="X646" s="27">
        <f>((3*10+H646/COS(RADIANS(E646)))*(3+3)+3*G646*H646)*2</f>
        <v/>
      </c>
      <c r="Y646" s="28">
        <f>Z646/X646</f>
        <v/>
      </c>
      <c r="Z646" s="29" t="n">
        <v>579.671454734694</v>
      </c>
      <c r="AA646" s="20" t="n">
        <v>100.882044922905</v>
      </c>
      <c r="AB646" t="n">
        <v>0.1078171158835995</v>
      </c>
      <c r="AC646" t="n">
        <v>101.8015179453862</v>
      </c>
      <c r="AD646" t="n">
        <v>7.869450571326523</v>
      </c>
    </row>
    <row r="647">
      <c r="A647" t="n">
        <v>646</v>
      </c>
      <c r="B647" t="n">
        <v>59.7</v>
      </c>
      <c r="C647" s="21">
        <f>B647-20</f>
        <v/>
      </c>
      <c r="D647" t="n">
        <v>128</v>
      </c>
      <c r="E647" s="22">
        <f>D647-90</f>
        <v/>
      </c>
      <c r="F647" s="23" t="n">
        <v>0.013557</v>
      </c>
      <c r="G647" s="22" t="n">
        <v>30.4</v>
      </c>
      <c r="H647" s="22" t="n">
        <v>1.7</v>
      </c>
      <c r="I647" s="24" t="n">
        <v>0.0586166754364967</v>
      </c>
      <c r="J647" s="6" t="n">
        <v>71000</v>
      </c>
      <c r="K647" s="25">
        <f>23*10^-6</f>
        <v/>
      </c>
      <c r="L647" s="8">
        <f>H647</f>
        <v/>
      </c>
      <c r="M647" s="26">
        <f>H647^2/6</f>
        <v/>
      </c>
      <c r="N647" s="26">
        <f>H647^3/12</f>
        <v/>
      </c>
      <c r="O647" s="27">
        <f>-J647*L647*K647*C647</f>
        <v/>
      </c>
      <c r="P647" s="28">
        <f>-(12*F647*J647*L647*N647+12*O647*N647*G647*COS(RADIANS(E647)))/(12*N647*G647*COS(RADIANS(E647))^2+L647*G647^3*SIN(RADIANS(E647))^2)</f>
        <v/>
      </c>
      <c r="Q647" s="28">
        <f>-(6*F647*J647*L647*N647*SIN(RADIANS(E647))+6*O647*N647*G647*SIN(RADIANS(E647))*COS(RADIANS(E647)))/(12*N647*COS(RADIANS(E647))^2+L647*G647^2*SIN(RADIANS(E647))^2)</f>
        <v/>
      </c>
      <c r="R647" s="28">
        <f>-P647*SIN(RADIANS(E647))</f>
        <v/>
      </c>
      <c r="S647" s="8">
        <f>(O647+P647*COS(RADIANS(E647)))/L647</f>
        <v/>
      </c>
      <c r="T647" s="8">
        <f>R647/L647</f>
        <v/>
      </c>
      <c r="U647" s="8">
        <f>(Q647-P647*G647*SIN(RADIANS(E647)))/M647</f>
        <v/>
      </c>
      <c r="V647" s="8">
        <f>SQRT((S647+U647)^2+3*T647^2)</f>
        <v/>
      </c>
      <c r="W647" s="8">
        <f>V647/AA647</f>
        <v/>
      </c>
      <c r="X647" s="27">
        <f>((3*10+H647/COS(RADIANS(E647)))*(3+3)+3*G647*H647)*2</f>
        <v/>
      </c>
      <c r="Y647" s="28">
        <f>Z647/X647</f>
        <v/>
      </c>
      <c r="Z647" s="29" t="n">
        <v>705.858038134863</v>
      </c>
      <c r="AA647" s="20" t="n">
        <v>59.3907032747238</v>
      </c>
      <c r="AB647" t="n">
        <v>0.06206713389859535</v>
      </c>
      <c r="AC647" t="n">
        <v>57.54975542798093</v>
      </c>
      <c r="AD647" t="n">
        <v>5.886479293484934</v>
      </c>
    </row>
    <row r="648">
      <c r="A648" t="n">
        <v>647</v>
      </c>
      <c r="B648" t="n">
        <v>53.4</v>
      </c>
      <c r="C648" s="21">
        <f>B648-20</f>
        <v/>
      </c>
      <c r="D648" t="n">
        <v>125</v>
      </c>
      <c r="E648" s="22">
        <f>D648-90</f>
        <v/>
      </c>
      <c r="F648" s="23" t="n">
        <v>0.010113</v>
      </c>
      <c r="G648" s="22" t="n">
        <v>25.1</v>
      </c>
      <c r="H648" s="22" t="n">
        <v>1.7</v>
      </c>
      <c r="I648" s="24" t="n">
        <v>0.0458489619195461</v>
      </c>
      <c r="J648" s="6" t="n">
        <v>71000</v>
      </c>
      <c r="K648" s="25">
        <f>23*10^-6</f>
        <v/>
      </c>
      <c r="L648" s="8">
        <f>H648</f>
        <v/>
      </c>
      <c r="M648" s="26">
        <f>H648^2/6</f>
        <v/>
      </c>
      <c r="N648" s="26">
        <f>H648^3/12</f>
        <v/>
      </c>
      <c r="O648" s="27">
        <f>-J648*L648*K648*C648</f>
        <v/>
      </c>
      <c r="P648" s="28">
        <f>-(12*F648*J648*L648*N648+12*O648*N648*G648*COS(RADIANS(E648)))/(12*N648*G648*COS(RADIANS(E648))^2+L648*G648^3*SIN(RADIANS(E648))^2)</f>
        <v/>
      </c>
      <c r="Q648" s="28">
        <f>-(6*F648*J648*L648*N648*SIN(RADIANS(E648))+6*O648*N648*G648*SIN(RADIANS(E648))*COS(RADIANS(E648)))/(12*N648*COS(RADIANS(E648))^2+L648*G648^2*SIN(RADIANS(E648))^2)</f>
        <v/>
      </c>
      <c r="R648" s="28">
        <f>-P648*SIN(RADIANS(E648))</f>
        <v/>
      </c>
      <c r="S648" s="8">
        <f>(O648+P648*COS(RADIANS(E648)))/L648</f>
        <v/>
      </c>
      <c r="T648" s="8">
        <f>R648/L648</f>
        <v/>
      </c>
      <c r="U648" s="8">
        <f>(Q648-P648*G648*SIN(RADIANS(E648)))/M648</f>
        <v/>
      </c>
      <c r="V648" s="8">
        <f>SQRT((S648+U648)^2+3*T648^2)</f>
        <v/>
      </c>
      <c r="W648" s="8">
        <f>V648/AA648</f>
        <v/>
      </c>
      <c r="X648" s="27">
        <f>((3*10+H648/COS(RADIANS(E648)))*(3+3)+3*G648*H648)*2</f>
        <v/>
      </c>
      <c r="Y648" s="28">
        <f>Z648/X648</f>
        <v/>
      </c>
      <c r="Z648" s="29" t="n">
        <v>649.656021126649</v>
      </c>
      <c r="AA648" s="20" t="n">
        <v>52.3881286987553</v>
      </c>
      <c r="AB648" t="n">
        <v>0.04754892808241592</v>
      </c>
      <c r="AC648" t="n">
        <v>49.35011398819657</v>
      </c>
      <c r="AD648" t="n">
        <v>3.707752785881719</v>
      </c>
    </row>
    <row r="649">
      <c r="A649" t="n">
        <v>648</v>
      </c>
      <c r="B649" t="n">
        <v>86.90000000000001</v>
      </c>
      <c r="C649" s="21">
        <f>B649-20</f>
        <v/>
      </c>
      <c r="D649" t="n">
        <v>113.4</v>
      </c>
      <c r="E649" s="22">
        <f>D649-90</f>
        <v/>
      </c>
      <c r="F649" s="23" t="n">
        <v>0.021304</v>
      </c>
      <c r="G649" s="22" t="n">
        <v>23.9</v>
      </c>
      <c r="H649" s="22" t="n">
        <v>2</v>
      </c>
      <c r="I649" s="24" t="n">
        <v>0.115265309810638</v>
      </c>
      <c r="J649" s="6" t="n">
        <v>71000</v>
      </c>
      <c r="K649" s="25">
        <f>23*10^-6</f>
        <v/>
      </c>
      <c r="L649" s="8">
        <f>H649</f>
        <v/>
      </c>
      <c r="M649" s="26">
        <f>H649^2/6</f>
        <v/>
      </c>
      <c r="N649" s="26">
        <f>H649^3/12</f>
        <v/>
      </c>
      <c r="O649" s="27">
        <f>-J649*L649*K649*C649</f>
        <v/>
      </c>
      <c r="P649" s="28">
        <f>-(12*F649*J649*L649*N649+12*O649*N649*G649*COS(RADIANS(E649)))/(12*N649*G649*COS(RADIANS(E649))^2+L649*G649^3*SIN(RADIANS(E649))^2)</f>
        <v/>
      </c>
      <c r="Q649" s="28">
        <f>-(6*F649*J649*L649*N649*SIN(RADIANS(E649))+6*O649*N649*G649*SIN(RADIANS(E649))*COS(RADIANS(E649)))/(12*N649*COS(RADIANS(E649))^2+L649*G649^2*SIN(RADIANS(E649))^2)</f>
        <v/>
      </c>
      <c r="R649" s="28">
        <f>-P649*SIN(RADIANS(E649))</f>
        <v/>
      </c>
      <c r="S649" s="8">
        <f>(O649+P649*COS(RADIANS(E649)))/L649</f>
        <v/>
      </c>
      <c r="T649" s="8">
        <f>R649/L649</f>
        <v/>
      </c>
      <c r="U649" s="8">
        <f>(Q649-P649*G649*SIN(RADIANS(E649)))/M649</f>
        <v/>
      </c>
      <c r="V649" s="8">
        <f>SQRT((S649+U649)^2+3*T649^2)</f>
        <v/>
      </c>
      <c r="W649" s="8">
        <f>V649/AA649</f>
        <v/>
      </c>
      <c r="X649" s="27">
        <f>((3*10+H649/COS(RADIANS(E649)))*(3+3)+3*G649*H649)*2</f>
        <v/>
      </c>
      <c r="Y649" s="28">
        <f>Z649/X649</f>
        <v/>
      </c>
      <c r="Z649" s="29" t="n">
        <v>678.5351908887779</v>
      </c>
      <c r="AA649" s="20" t="n">
        <v>115.107276798748</v>
      </c>
      <c r="AB649" t="n">
        <v>0.1363842999972136</v>
      </c>
      <c r="AC649" t="n">
        <v>107.1940595498156</v>
      </c>
      <c r="AD649" t="n">
        <v>18.32206951186844</v>
      </c>
    </row>
    <row r="650">
      <c r="A650" t="n">
        <v>649</v>
      </c>
      <c r="B650" t="n">
        <v>59.3</v>
      </c>
      <c r="C650" s="21">
        <f>B650-20</f>
        <v/>
      </c>
      <c r="D650" t="n">
        <v>102.1</v>
      </c>
      <c r="E650" s="22">
        <f>D650-90</f>
        <v/>
      </c>
      <c r="F650" s="23" t="n">
        <v>0.014472</v>
      </c>
      <c r="G650" s="22" t="n">
        <v>26.9</v>
      </c>
      <c r="H650" s="22" t="n">
        <v>1.4</v>
      </c>
      <c r="I650" s="24" t="n">
        <v>0.120832383632659</v>
      </c>
      <c r="J650" s="6" t="n">
        <v>71000</v>
      </c>
      <c r="K650" s="25">
        <f>23*10^-6</f>
        <v/>
      </c>
      <c r="L650" s="8">
        <f>H650</f>
        <v/>
      </c>
      <c r="M650" s="26">
        <f>H650^2/6</f>
        <v/>
      </c>
      <c r="N650" s="26">
        <f>H650^3/12</f>
        <v/>
      </c>
      <c r="O650" s="27">
        <f>-J650*L650*K650*C650</f>
        <v/>
      </c>
      <c r="P650" s="28">
        <f>-(12*F650*J650*L650*N650+12*O650*N650*G650*COS(RADIANS(E650)))/(12*N650*G650*COS(RADIANS(E650))^2+L650*G650^3*SIN(RADIANS(E650))^2)</f>
        <v/>
      </c>
      <c r="Q650" s="28">
        <f>-(6*F650*J650*L650*N650*SIN(RADIANS(E650))+6*O650*N650*G650*SIN(RADIANS(E650))*COS(RADIANS(E650)))/(12*N650*COS(RADIANS(E650))^2+L650*G650^2*SIN(RADIANS(E650))^2)</f>
        <v/>
      </c>
      <c r="R650" s="28">
        <f>-P650*SIN(RADIANS(E650))</f>
        <v/>
      </c>
      <c r="S650" s="8">
        <f>(O650+P650*COS(RADIANS(E650)))/L650</f>
        <v/>
      </c>
      <c r="T650" s="8">
        <f>R650/L650</f>
        <v/>
      </c>
      <c r="U650" s="8">
        <f>(Q650-P650*G650*SIN(RADIANS(E650)))/M650</f>
        <v/>
      </c>
      <c r="V650" s="8">
        <f>SQRT((S650+U650)^2+3*T650^2)</f>
        <v/>
      </c>
      <c r="W650" s="8">
        <f>V650/AA650</f>
        <v/>
      </c>
      <c r="X650" s="27">
        <f>((3*10+H650/COS(RADIANS(E650)))*(3+3)+3*G650*H650)*2</f>
        <v/>
      </c>
      <c r="Y650" s="28">
        <f>Z650/X650</f>
        <v/>
      </c>
      <c r="Z650" s="29" t="n">
        <v>607.120669148822</v>
      </c>
      <c r="AA650" s="20" t="n">
        <v>62.3896844093557</v>
      </c>
      <c r="AB650" t="n">
        <v>0.173116748519911</v>
      </c>
      <c r="AC650" t="n">
        <v>65.84140901391608</v>
      </c>
      <c r="AD650" t="n">
        <v>43.27015930282482</v>
      </c>
    </row>
    <row r="651">
      <c r="A651" t="n">
        <v>650</v>
      </c>
      <c r="B651" t="n">
        <v>79.8</v>
      </c>
      <c r="C651" s="21">
        <f>B651-20</f>
        <v/>
      </c>
      <c r="D651" t="n">
        <v>124.7</v>
      </c>
      <c r="E651" s="22">
        <f>D651-90</f>
        <v/>
      </c>
      <c r="F651" s="23" t="n">
        <v>0.016365</v>
      </c>
      <c r="G651" s="22" t="n">
        <v>21.9</v>
      </c>
      <c r="H651" s="22" t="n">
        <v>1.4</v>
      </c>
      <c r="I651" s="24" t="n">
        <v>0.07591313123703</v>
      </c>
      <c r="J651" s="6" t="n">
        <v>71000</v>
      </c>
      <c r="K651" s="25">
        <f>23*10^-6</f>
        <v/>
      </c>
      <c r="L651" s="8">
        <f>H651</f>
        <v/>
      </c>
      <c r="M651" s="26">
        <f>H651^2/6</f>
        <v/>
      </c>
      <c r="N651" s="26">
        <f>H651^3/12</f>
        <v/>
      </c>
      <c r="O651" s="27">
        <f>-J651*L651*K651*C651</f>
        <v/>
      </c>
      <c r="P651" s="28">
        <f>-(12*F651*J651*L651*N651+12*O651*N651*G651*COS(RADIANS(E651)))/(12*N651*G651*COS(RADIANS(E651))^2+L651*G651^3*SIN(RADIANS(E651))^2)</f>
        <v/>
      </c>
      <c r="Q651" s="28">
        <f>-(6*F651*J651*L651*N651*SIN(RADIANS(E651))+6*O651*N651*G651*SIN(RADIANS(E651))*COS(RADIANS(E651)))/(12*N651*COS(RADIANS(E651))^2+L651*G651^2*SIN(RADIANS(E651))^2)</f>
        <v/>
      </c>
      <c r="R651" s="28">
        <f>-P651*SIN(RADIANS(E651))</f>
        <v/>
      </c>
      <c r="S651" s="8">
        <f>(O651+P651*COS(RADIANS(E651)))/L651</f>
        <v/>
      </c>
      <c r="T651" s="8">
        <f>R651/L651</f>
        <v/>
      </c>
      <c r="U651" s="8">
        <f>(Q651-P651*G651*SIN(RADIANS(E651)))/M651</f>
        <v/>
      </c>
      <c r="V651" s="8">
        <f>SQRT((S651+U651)^2+3*T651^2)</f>
        <v/>
      </c>
      <c r="W651" s="8">
        <f>V651/AA651</f>
        <v/>
      </c>
      <c r="X651" s="27">
        <f>((3*10+H651/COS(RADIANS(E651)))*(3+3)+3*G651*H651)*2</f>
        <v/>
      </c>
      <c r="Y651" s="28">
        <f>Z651/X651</f>
        <v/>
      </c>
      <c r="Z651" s="29" t="n">
        <v>573.019969739392</v>
      </c>
      <c r="AA651" s="20" t="n">
        <v>88.7680172382735</v>
      </c>
      <c r="AB651" t="n">
        <v>0.07580208890045488</v>
      </c>
      <c r="AC651" t="n">
        <v>87.57022080156473</v>
      </c>
      <c r="AD651" t="n">
        <v>-0.146275532000391</v>
      </c>
    </row>
    <row r="652">
      <c r="A652" t="n">
        <v>651</v>
      </c>
      <c r="B652" t="n">
        <v>82.8</v>
      </c>
      <c r="C652" s="21">
        <f>B652-20</f>
        <v/>
      </c>
      <c r="D652" t="n">
        <v>125.2</v>
      </c>
      <c r="E652" s="22">
        <f>D652-90</f>
        <v/>
      </c>
      <c r="F652" s="23" t="n">
        <v>0.021436</v>
      </c>
      <c r="G652" s="22" t="n">
        <v>29.3</v>
      </c>
      <c r="H652" s="22" t="n">
        <v>1.8</v>
      </c>
      <c r="I652" s="24" t="n">
        <v>0.0948556140065193</v>
      </c>
      <c r="J652" s="6" t="n">
        <v>71000</v>
      </c>
      <c r="K652" s="25">
        <f>23*10^-6</f>
        <v/>
      </c>
      <c r="L652" s="8">
        <f>H652</f>
        <v/>
      </c>
      <c r="M652" s="26">
        <f>H652^2/6</f>
        <v/>
      </c>
      <c r="N652" s="26">
        <f>H652^3/12</f>
        <v/>
      </c>
      <c r="O652" s="27">
        <f>-J652*L652*K652*C652</f>
        <v/>
      </c>
      <c r="P652" s="28">
        <f>-(12*F652*J652*L652*N652+12*O652*N652*G652*COS(RADIANS(E652)))/(12*N652*G652*COS(RADIANS(E652))^2+L652*G652^3*SIN(RADIANS(E652))^2)</f>
        <v/>
      </c>
      <c r="Q652" s="28">
        <f>-(6*F652*J652*L652*N652*SIN(RADIANS(E652))+6*O652*N652*G652*SIN(RADIANS(E652))*COS(RADIANS(E652)))/(12*N652*COS(RADIANS(E652))^2+L652*G652^2*SIN(RADIANS(E652))^2)</f>
        <v/>
      </c>
      <c r="R652" s="28">
        <f>-P652*SIN(RADIANS(E652))</f>
        <v/>
      </c>
      <c r="S652" s="8">
        <f>(O652+P652*COS(RADIANS(E652)))/L652</f>
        <v/>
      </c>
      <c r="T652" s="8">
        <f>R652/L652</f>
        <v/>
      </c>
      <c r="U652" s="8">
        <f>(Q652-P652*G652*SIN(RADIANS(E652)))/M652</f>
        <v/>
      </c>
      <c r="V652" s="8">
        <f>SQRT((S652+U652)^2+3*T652^2)</f>
        <v/>
      </c>
      <c r="W652" s="8">
        <f>V652/AA652</f>
        <v/>
      </c>
      <c r="X652" s="27">
        <f>((3*10+H652/COS(RADIANS(E652)))*(3+3)+3*G652*H652)*2</f>
        <v/>
      </c>
      <c r="Y652" s="28">
        <f>Z652/X652</f>
        <v/>
      </c>
      <c r="Z652" s="29" t="n">
        <v>711.677685793391</v>
      </c>
      <c r="AA652" s="20" t="n">
        <v>97.5174737503088</v>
      </c>
      <c r="AB652" t="n">
        <v>0.1029114516724271</v>
      </c>
      <c r="AC652" t="n">
        <v>92.42109833044196</v>
      </c>
      <c r="AD652" t="n">
        <v>8.492736829845592</v>
      </c>
    </row>
    <row r="653">
      <c r="A653" t="n">
        <v>652</v>
      </c>
      <c r="B653" t="n">
        <v>62.3</v>
      </c>
      <c r="C653" s="21">
        <f>B653-20</f>
        <v/>
      </c>
      <c r="D653" t="n">
        <v>122.2</v>
      </c>
      <c r="E653" s="22">
        <f>D653-90</f>
        <v/>
      </c>
      <c r="F653" s="23" t="n">
        <v>0.017134</v>
      </c>
      <c r="G653" s="22" t="n">
        <v>34.9</v>
      </c>
      <c r="H653" s="22" t="n">
        <v>1.7</v>
      </c>
      <c r="I653" s="24" t="n">
        <v>0.0760696679353714</v>
      </c>
      <c r="J653" s="6" t="n">
        <v>71000</v>
      </c>
      <c r="K653" s="25">
        <f>23*10^-6</f>
        <v/>
      </c>
      <c r="L653" s="8">
        <f>H653</f>
        <v/>
      </c>
      <c r="M653" s="26">
        <f>H653^2/6</f>
        <v/>
      </c>
      <c r="N653" s="26">
        <f>H653^3/12</f>
        <v/>
      </c>
      <c r="O653" s="27">
        <f>-J653*L653*K653*C653</f>
        <v/>
      </c>
      <c r="P653" s="28">
        <f>-(12*F653*J653*L653*N653+12*O653*N653*G653*COS(RADIANS(E653)))/(12*N653*G653*COS(RADIANS(E653))^2+L653*G653^3*SIN(RADIANS(E653))^2)</f>
        <v/>
      </c>
      <c r="Q653" s="28">
        <f>-(6*F653*J653*L653*N653*SIN(RADIANS(E653))+6*O653*N653*G653*SIN(RADIANS(E653))*COS(RADIANS(E653)))/(12*N653*COS(RADIANS(E653))^2+L653*G653^2*SIN(RADIANS(E653))^2)</f>
        <v/>
      </c>
      <c r="R653" s="28">
        <f>-P653*SIN(RADIANS(E653))</f>
        <v/>
      </c>
      <c r="S653" s="8">
        <f>(O653+P653*COS(RADIANS(E653)))/L653</f>
        <v/>
      </c>
      <c r="T653" s="8">
        <f>R653/L653</f>
        <v/>
      </c>
      <c r="U653" s="8">
        <f>(Q653-P653*G653*SIN(RADIANS(E653)))/M653</f>
        <v/>
      </c>
      <c r="V653" s="8">
        <f>SQRT((S653+U653)^2+3*T653^2)</f>
        <v/>
      </c>
      <c r="W653" s="8">
        <f>V653/AA653</f>
        <v/>
      </c>
      <c r="X653" s="27">
        <f>((3*10+H653/COS(RADIANS(E653)))*(3+3)+3*G653*H653)*2</f>
        <v/>
      </c>
      <c r="Y653" s="28">
        <f>Z653/X653</f>
        <v/>
      </c>
      <c r="Z653" s="29" t="n">
        <v>747.883918413367</v>
      </c>
      <c r="AA653" s="20" t="n">
        <v>63.5851867454533</v>
      </c>
      <c r="AB653" t="n">
        <v>0.09032259418332191</v>
      </c>
      <c r="AC653" t="n">
        <v>61.96777302053973</v>
      </c>
      <c r="AD653" t="n">
        <v>18.73667472830269</v>
      </c>
    </row>
    <row r="654">
      <c r="A654" t="n">
        <v>653</v>
      </c>
      <c r="B654" t="n">
        <v>62.6</v>
      </c>
      <c r="C654" s="21">
        <f>B654-20</f>
        <v/>
      </c>
      <c r="D654" t="n">
        <v>128.2</v>
      </c>
      <c r="E654" s="22">
        <f>D654-90</f>
        <v/>
      </c>
      <c r="F654" s="23" t="n">
        <v>0.013791</v>
      </c>
      <c r="G654" s="22" t="n">
        <v>28.5</v>
      </c>
      <c r="H654" s="22" t="n">
        <v>1.5</v>
      </c>
      <c r="I654" s="24" t="n">
        <v>0.0600648075342178</v>
      </c>
      <c r="J654" s="6" t="n">
        <v>71000</v>
      </c>
      <c r="K654" s="25">
        <f>23*10^-6</f>
        <v/>
      </c>
      <c r="L654" s="8">
        <f>H654</f>
        <v/>
      </c>
      <c r="M654" s="26">
        <f>H654^2/6</f>
        <v/>
      </c>
      <c r="N654" s="26">
        <f>H654^3/12</f>
        <v/>
      </c>
      <c r="O654" s="27">
        <f>-J654*L654*K654*C654</f>
        <v/>
      </c>
      <c r="P654" s="28">
        <f>-(12*F654*J654*L654*N654+12*O654*N654*G654*COS(RADIANS(E654)))/(12*N654*G654*COS(RADIANS(E654))^2+L654*G654^3*SIN(RADIANS(E654))^2)</f>
        <v/>
      </c>
      <c r="Q654" s="28">
        <f>-(6*F654*J654*L654*N654*SIN(RADIANS(E654))+6*O654*N654*G654*SIN(RADIANS(E654))*COS(RADIANS(E654)))/(12*N654*COS(RADIANS(E654))^2+L654*G654^2*SIN(RADIANS(E654))^2)</f>
        <v/>
      </c>
      <c r="R654" s="28">
        <f>-P654*SIN(RADIANS(E654))</f>
        <v/>
      </c>
      <c r="S654" s="8">
        <f>(O654+P654*COS(RADIANS(E654)))/L654</f>
        <v/>
      </c>
      <c r="T654" s="8">
        <f>R654/L654</f>
        <v/>
      </c>
      <c r="U654" s="8">
        <f>(Q654-P654*G654*SIN(RADIANS(E654)))/M654</f>
        <v/>
      </c>
      <c r="V654" s="8">
        <f>SQRT((S654+U654)^2+3*T654^2)</f>
        <v/>
      </c>
      <c r="W654" s="8">
        <f>V654/AA654</f>
        <v/>
      </c>
      <c r="X654" s="27">
        <f>((3*10+H654/COS(RADIANS(E654)))*(3+3)+3*G654*H654)*2</f>
        <v/>
      </c>
      <c r="Y654" s="28">
        <f>Z654/X654</f>
        <v/>
      </c>
      <c r="Z654" s="29" t="n">
        <v>649.3784745791349</v>
      </c>
      <c r="AA654" s="20" t="n">
        <v>61.5776360964039</v>
      </c>
      <c r="AB654" t="n">
        <v>0.06235247373579522</v>
      </c>
      <c r="AC654" t="n">
        <v>61.36915876036912</v>
      </c>
      <c r="AD654" t="n">
        <v>3.808663168152468</v>
      </c>
    </row>
    <row r="655">
      <c r="A655" t="n">
        <v>654</v>
      </c>
      <c r="B655" t="n">
        <v>40.1</v>
      </c>
      <c r="C655" s="21">
        <f>B655-20</f>
        <v/>
      </c>
      <c r="D655" t="n">
        <v>112.7</v>
      </c>
      <c r="E655" s="22">
        <f>D655-90</f>
        <v/>
      </c>
      <c r="F655" s="23" t="n">
        <v>0.005687</v>
      </c>
      <c r="G655" s="22" t="n">
        <v>20.4</v>
      </c>
      <c r="H655" s="22" t="n">
        <v>1.5</v>
      </c>
      <c r="I655" s="24" t="n">
        <v>0.0321654677391052</v>
      </c>
      <c r="J655" s="6" t="n">
        <v>71000</v>
      </c>
      <c r="K655" s="25">
        <f>23*10^-6</f>
        <v/>
      </c>
      <c r="L655" s="8">
        <f>H655</f>
        <v/>
      </c>
      <c r="M655" s="26">
        <f>H655^2/6</f>
        <v/>
      </c>
      <c r="N655" s="26">
        <f>H655^3/12</f>
        <v/>
      </c>
      <c r="O655" s="27">
        <f>-J655*L655*K655*C655</f>
        <v/>
      </c>
      <c r="P655" s="28">
        <f>-(12*F655*J655*L655*N655+12*O655*N655*G655*COS(RADIANS(E655)))/(12*N655*G655*COS(RADIANS(E655))^2+L655*G655^3*SIN(RADIANS(E655))^2)</f>
        <v/>
      </c>
      <c r="Q655" s="28">
        <f>-(6*F655*J655*L655*N655*SIN(RADIANS(E655))+6*O655*N655*G655*SIN(RADIANS(E655))*COS(RADIANS(E655)))/(12*N655*COS(RADIANS(E655))^2+L655*G655^2*SIN(RADIANS(E655))^2)</f>
        <v/>
      </c>
      <c r="R655" s="28">
        <f>-P655*SIN(RADIANS(E655))</f>
        <v/>
      </c>
      <c r="S655" s="8">
        <f>(O655+P655*COS(RADIANS(E655)))/L655</f>
        <v/>
      </c>
      <c r="T655" s="8">
        <f>R655/L655</f>
        <v/>
      </c>
      <c r="U655" s="8">
        <f>(Q655-P655*G655*SIN(RADIANS(E655)))/M655</f>
        <v/>
      </c>
      <c r="V655" s="8">
        <f>SQRT((S655+U655)^2+3*T655^2)</f>
        <v/>
      </c>
      <c r="W655" s="8">
        <f>V655/AA655</f>
        <v/>
      </c>
      <c r="X655" s="27">
        <f>((3*10+H655/COS(RADIANS(E655)))*(3+3)+3*G655*H655)*2</f>
        <v/>
      </c>
      <c r="Y655" s="28">
        <f>Z655/X655</f>
        <v/>
      </c>
      <c r="Z655" s="29" t="n">
        <v>568.560204905958</v>
      </c>
      <c r="AA655" s="20" t="n">
        <v>31.9732646113252</v>
      </c>
      <c r="AB655" t="n">
        <v>0.03682283112368751</v>
      </c>
      <c r="AC655" t="n">
        <v>31.49978862322302</v>
      </c>
      <c r="AD655" t="n">
        <v>14.47938958126861</v>
      </c>
    </row>
    <row r="656">
      <c r="A656" t="n">
        <v>655</v>
      </c>
      <c r="B656" t="n">
        <v>52.9</v>
      </c>
      <c r="C656" s="21">
        <f>B656-20</f>
        <v/>
      </c>
      <c r="D656" t="n">
        <v>116.2</v>
      </c>
      <c r="E656" s="22">
        <f>D656-90</f>
        <v/>
      </c>
      <c r="F656" s="23" t="n">
        <v>0.013255</v>
      </c>
      <c r="G656" s="22" t="n">
        <v>32.7</v>
      </c>
      <c r="H656" s="22" t="n">
        <v>1.1</v>
      </c>
      <c r="I656" s="24" t="n">
        <v>0.0650645419955253</v>
      </c>
      <c r="J656" s="6" t="n">
        <v>71000</v>
      </c>
      <c r="K656" s="25">
        <f>23*10^-6</f>
        <v/>
      </c>
      <c r="L656" s="8">
        <f>H656</f>
        <v/>
      </c>
      <c r="M656" s="26">
        <f>H656^2/6</f>
        <v/>
      </c>
      <c r="N656" s="26">
        <f>H656^3/12</f>
        <v/>
      </c>
      <c r="O656" s="27">
        <f>-J656*L656*K656*C656</f>
        <v/>
      </c>
      <c r="P656" s="28">
        <f>-(12*F656*J656*L656*N656+12*O656*N656*G656*COS(RADIANS(E656)))/(12*N656*G656*COS(RADIANS(E656))^2+L656*G656^3*SIN(RADIANS(E656))^2)</f>
        <v/>
      </c>
      <c r="Q656" s="28">
        <f>-(6*F656*J656*L656*N656*SIN(RADIANS(E656))+6*O656*N656*G656*SIN(RADIANS(E656))*COS(RADIANS(E656)))/(12*N656*COS(RADIANS(E656))^2+L656*G656^2*SIN(RADIANS(E656))^2)</f>
        <v/>
      </c>
      <c r="R656" s="28">
        <f>-P656*SIN(RADIANS(E656))</f>
        <v/>
      </c>
      <c r="S656" s="8">
        <f>(O656+P656*COS(RADIANS(E656)))/L656</f>
        <v/>
      </c>
      <c r="T656" s="8">
        <f>R656/L656</f>
        <v/>
      </c>
      <c r="U656" s="8">
        <f>(Q656-P656*G656*SIN(RADIANS(E656)))/M656</f>
        <v/>
      </c>
      <c r="V656" s="8">
        <f>SQRT((S656+U656)^2+3*T656^2)</f>
        <v/>
      </c>
      <c r="W656" s="8">
        <f>V656/AA656</f>
        <v/>
      </c>
      <c r="X656" s="27">
        <f>((3*10+H656/COS(RADIANS(E656)))*(3+3)+3*G656*H656)*2</f>
        <v/>
      </c>
      <c r="Y656" s="28">
        <f>Z656/X656</f>
        <v/>
      </c>
      <c r="Z656" s="29" t="n">
        <v>596.713259362123</v>
      </c>
      <c r="AA656" s="20" t="n">
        <v>45.3993698114767</v>
      </c>
      <c r="AB656" t="n">
        <v>0.08256561131304245</v>
      </c>
      <c r="AC656" t="n">
        <v>47.74106733840459</v>
      </c>
      <c r="AD656" t="n">
        <v>26.89801354279993</v>
      </c>
    </row>
    <row r="657">
      <c r="A657" t="n">
        <v>656</v>
      </c>
      <c r="B657" t="n">
        <v>81.09999999999999</v>
      </c>
      <c r="C657" s="21">
        <f>B657-20</f>
        <v/>
      </c>
      <c r="D657" t="n">
        <v>105.2</v>
      </c>
      <c r="E657" s="22">
        <f>D657-90</f>
        <v/>
      </c>
      <c r="F657" s="23" t="n">
        <v>0.025689</v>
      </c>
      <c r="G657" s="22" t="n">
        <v>32</v>
      </c>
      <c r="H657" s="22" t="n">
        <v>2</v>
      </c>
      <c r="I657" s="24" t="n">
        <v>0.176878556609153</v>
      </c>
      <c r="J657" s="6" t="n">
        <v>71000</v>
      </c>
      <c r="K657" s="25">
        <f>23*10^-6</f>
        <v/>
      </c>
      <c r="L657" s="8">
        <f>H657</f>
        <v/>
      </c>
      <c r="M657" s="26">
        <f>H657^2/6</f>
        <v/>
      </c>
      <c r="N657" s="26">
        <f>H657^3/12</f>
        <v/>
      </c>
      <c r="O657" s="27">
        <f>-J657*L657*K657*C657</f>
        <v/>
      </c>
      <c r="P657" s="28">
        <f>-(12*F657*J657*L657*N657+12*O657*N657*G657*COS(RADIANS(E657)))/(12*N657*G657*COS(RADIANS(E657))^2+L657*G657^3*SIN(RADIANS(E657))^2)</f>
        <v/>
      </c>
      <c r="Q657" s="28">
        <f>-(6*F657*J657*L657*N657*SIN(RADIANS(E657))+6*O657*N657*G657*SIN(RADIANS(E657))*COS(RADIANS(E657)))/(12*N657*COS(RADIANS(E657))^2+L657*G657^2*SIN(RADIANS(E657))^2)</f>
        <v/>
      </c>
      <c r="R657" s="28">
        <f>-P657*SIN(RADIANS(E657))</f>
        <v/>
      </c>
      <c r="S657" s="8">
        <f>(O657+P657*COS(RADIANS(E657)))/L657</f>
        <v/>
      </c>
      <c r="T657" s="8">
        <f>R657/L657</f>
        <v/>
      </c>
      <c r="U657" s="8">
        <f>(Q657-P657*G657*SIN(RADIANS(E657)))/M657</f>
        <v/>
      </c>
      <c r="V657" s="8">
        <f>SQRT((S657+U657)^2+3*T657^2)</f>
        <v/>
      </c>
      <c r="W657" s="8">
        <f>V657/AA657</f>
        <v/>
      </c>
      <c r="X657" s="27">
        <f>((3*10+H657/COS(RADIANS(E657)))*(3+3)+3*G657*H657)*2</f>
        <v/>
      </c>
      <c r="Y657" s="28">
        <f>Z657/X657</f>
        <v/>
      </c>
      <c r="Z657" s="29" t="n">
        <v>773.173711834954</v>
      </c>
      <c r="AA657" s="20" t="n">
        <v>106.037700446662</v>
      </c>
      <c r="AB657" t="n">
        <v>0.2523434625604772</v>
      </c>
      <c r="AC657" t="n">
        <v>102.3325573152568</v>
      </c>
      <c r="AD657" t="n">
        <v>42.66481330355855</v>
      </c>
    </row>
    <row r="658">
      <c r="A658" t="n">
        <v>657</v>
      </c>
      <c r="B658" t="n">
        <v>43.3</v>
      </c>
      <c r="C658" s="21">
        <f>B658-20</f>
        <v/>
      </c>
      <c r="D658" t="n">
        <v>102.7</v>
      </c>
      <c r="E658" s="22">
        <f>D658-90</f>
        <v/>
      </c>
      <c r="F658" s="23" t="n">
        <v>0.009082</v>
      </c>
      <c r="G658" s="22" t="n">
        <v>28.9</v>
      </c>
      <c r="H658" s="22" t="n">
        <v>1.8</v>
      </c>
      <c r="I658" s="24" t="n">
        <v>0.07148810476064681</v>
      </c>
      <c r="J658" s="6" t="n">
        <v>71000</v>
      </c>
      <c r="K658" s="25">
        <f>23*10^-6</f>
        <v/>
      </c>
      <c r="L658" s="8">
        <f>H658</f>
        <v/>
      </c>
      <c r="M658" s="26">
        <f>H658^2/6</f>
        <v/>
      </c>
      <c r="N658" s="26">
        <f>H658^3/12</f>
        <v/>
      </c>
      <c r="O658" s="27">
        <f>-J658*L658*K658*C658</f>
        <v/>
      </c>
      <c r="P658" s="28">
        <f>-(12*F658*J658*L658*N658+12*O658*N658*G658*COS(RADIANS(E658)))/(12*N658*G658*COS(RADIANS(E658))^2+L658*G658^3*SIN(RADIANS(E658))^2)</f>
        <v/>
      </c>
      <c r="Q658" s="28">
        <f>-(6*F658*J658*L658*N658*SIN(RADIANS(E658))+6*O658*N658*G658*SIN(RADIANS(E658))*COS(RADIANS(E658)))/(12*N658*COS(RADIANS(E658))^2+L658*G658^2*SIN(RADIANS(E658))^2)</f>
        <v/>
      </c>
      <c r="R658" s="28">
        <f>-P658*SIN(RADIANS(E658))</f>
        <v/>
      </c>
      <c r="S658" s="8">
        <f>(O658+P658*COS(RADIANS(E658)))/L658</f>
        <v/>
      </c>
      <c r="T658" s="8">
        <f>R658/L658</f>
        <v/>
      </c>
      <c r="U658" s="8">
        <f>(Q658-P658*G658*SIN(RADIANS(E658)))/M658</f>
        <v/>
      </c>
      <c r="V658" s="8">
        <f>SQRT((S658+U658)^2+3*T658^2)</f>
        <v/>
      </c>
      <c r="W658" s="8">
        <f>V658/AA658</f>
        <v/>
      </c>
      <c r="X658" s="27">
        <f>((3*10+H658/COS(RADIANS(E658)))*(3+3)+3*G658*H658)*2</f>
        <v/>
      </c>
      <c r="Y658" s="28">
        <f>Z658/X658</f>
        <v/>
      </c>
      <c r="Z658" s="29" t="n">
        <v>698.297232964818</v>
      </c>
      <c r="AA658" s="20" t="n">
        <v>40.4348685576789</v>
      </c>
      <c r="AB658" t="n">
        <v>0.1027442474511779</v>
      </c>
      <c r="AC658" t="n">
        <v>40.02540141690078</v>
      </c>
      <c r="AD658" t="n">
        <v>43.7221588055544</v>
      </c>
    </row>
    <row r="659">
      <c r="A659" t="n">
        <v>658</v>
      </c>
      <c r="B659" t="n">
        <v>58.2</v>
      </c>
      <c r="C659" s="21">
        <f>B659-20</f>
        <v/>
      </c>
      <c r="D659" t="n">
        <v>114.5</v>
      </c>
      <c r="E659" s="22">
        <f>D659-90</f>
        <v/>
      </c>
      <c r="F659" s="23" t="n">
        <v>0.014263</v>
      </c>
      <c r="G659" s="22" t="n">
        <v>29.4</v>
      </c>
      <c r="H659" s="22" t="n">
        <v>1.4</v>
      </c>
      <c r="I659" s="24" t="n">
        <v>0.0736838951706886</v>
      </c>
      <c r="J659" s="6" t="n">
        <v>71000</v>
      </c>
      <c r="K659" s="25">
        <f>23*10^-6</f>
        <v/>
      </c>
      <c r="L659" s="8">
        <f>H659</f>
        <v/>
      </c>
      <c r="M659" s="26">
        <f>H659^2/6</f>
        <v/>
      </c>
      <c r="N659" s="26">
        <f>H659^3/12</f>
        <v/>
      </c>
      <c r="O659" s="27">
        <f>-J659*L659*K659*C659</f>
        <v/>
      </c>
      <c r="P659" s="28">
        <f>-(12*F659*J659*L659*N659+12*O659*N659*G659*COS(RADIANS(E659)))/(12*N659*G659*COS(RADIANS(E659))^2+L659*G659^3*SIN(RADIANS(E659))^2)</f>
        <v/>
      </c>
      <c r="Q659" s="28">
        <f>-(6*F659*J659*L659*N659*SIN(RADIANS(E659))+6*O659*N659*G659*SIN(RADIANS(E659))*COS(RADIANS(E659)))/(12*N659*COS(RADIANS(E659))^2+L659*G659^2*SIN(RADIANS(E659))^2)</f>
        <v/>
      </c>
      <c r="R659" s="28">
        <f>-P659*SIN(RADIANS(E659))</f>
        <v/>
      </c>
      <c r="S659" s="8">
        <f>(O659+P659*COS(RADIANS(E659)))/L659</f>
        <v/>
      </c>
      <c r="T659" s="8">
        <f>R659/L659</f>
        <v/>
      </c>
      <c r="U659" s="8">
        <f>(Q659-P659*G659*SIN(RADIANS(E659)))/M659</f>
        <v/>
      </c>
      <c r="V659" s="8">
        <f>SQRT((S659+U659)^2+3*T659^2)</f>
        <v/>
      </c>
      <c r="W659" s="8">
        <f>V659/AA659</f>
        <v/>
      </c>
      <c r="X659" s="27">
        <f>((3*10+H659/COS(RADIANS(E659)))*(3+3)+3*G659*H659)*2</f>
        <v/>
      </c>
      <c r="Y659" s="28">
        <f>Z659/X659</f>
        <v/>
      </c>
      <c r="Z659" s="29" t="n">
        <v>631.230702463155</v>
      </c>
      <c r="AA659" s="20" t="n">
        <v>56.5585843520987</v>
      </c>
      <c r="AB659" t="n">
        <v>0.09250582917040628</v>
      </c>
      <c r="AC659" t="n">
        <v>57.34502957104502</v>
      </c>
      <c r="AD659" t="n">
        <v>25.54416260991185</v>
      </c>
    </row>
    <row r="660">
      <c r="A660" t="n">
        <v>659</v>
      </c>
      <c r="B660" t="n">
        <v>46.5</v>
      </c>
      <c r="C660" s="21">
        <f>B660-20</f>
        <v/>
      </c>
      <c r="D660" t="n">
        <v>101.5</v>
      </c>
      <c r="E660" s="22">
        <f>D660-90</f>
        <v/>
      </c>
      <c r="F660" s="23" t="n">
        <v>0.007881000000000001</v>
      </c>
      <c r="G660" s="22" t="n">
        <v>20.5</v>
      </c>
      <c r="H660" s="22" t="n">
        <v>1.3</v>
      </c>
      <c r="I660" s="24" t="n">
        <v>0.0685977861285209</v>
      </c>
      <c r="J660" s="6" t="n">
        <v>71000</v>
      </c>
      <c r="K660" s="25">
        <f>23*10^-6</f>
        <v/>
      </c>
      <c r="L660" s="8">
        <f>H660</f>
        <v/>
      </c>
      <c r="M660" s="26">
        <f>H660^2/6</f>
        <v/>
      </c>
      <c r="N660" s="26">
        <f>H660^3/12</f>
        <v/>
      </c>
      <c r="O660" s="27">
        <f>-J660*L660*K660*C660</f>
        <v/>
      </c>
      <c r="P660" s="28">
        <f>-(12*F660*J660*L660*N660+12*O660*N660*G660*COS(RADIANS(E660)))/(12*N660*G660*COS(RADIANS(E660))^2+L660*G660^3*SIN(RADIANS(E660))^2)</f>
        <v/>
      </c>
      <c r="Q660" s="28">
        <f>-(6*F660*J660*L660*N660*SIN(RADIANS(E660))+6*O660*N660*G660*SIN(RADIANS(E660))*COS(RADIANS(E660)))/(12*N660*COS(RADIANS(E660))^2+L660*G660^2*SIN(RADIANS(E660))^2)</f>
        <v/>
      </c>
      <c r="R660" s="28">
        <f>-P660*SIN(RADIANS(E660))</f>
        <v/>
      </c>
      <c r="S660" s="8">
        <f>(O660+P660*COS(RADIANS(E660)))/L660</f>
        <v/>
      </c>
      <c r="T660" s="8">
        <f>R660/L660</f>
        <v/>
      </c>
      <c r="U660" s="8">
        <f>(Q660-P660*G660*SIN(RADIANS(E660)))/M660</f>
        <v/>
      </c>
      <c r="V660" s="8">
        <f>SQRT((S660+U660)^2+3*T660^2)</f>
        <v/>
      </c>
      <c r="W660" s="8">
        <f>V660/AA660</f>
        <v/>
      </c>
      <c r="X660" s="27">
        <f>((3*10+H660/COS(RADIANS(E660)))*(3+3)+3*G660*H660)*2</f>
        <v/>
      </c>
      <c r="Y660" s="28">
        <f>Z660/X660</f>
        <v/>
      </c>
      <c r="Z660" s="29" t="n">
        <v>539.744897530291</v>
      </c>
      <c r="AA660" s="20" t="n">
        <v>47.5898438876203</v>
      </c>
      <c r="AB660" t="n">
        <v>0.09228796814036727</v>
      </c>
      <c r="AC660" t="n">
        <v>45.27997235230822</v>
      </c>
      <c r="AD660" t="n">
        <v>34.53490753690185</v>
      </c>
    </row>
    <row r="661">
      <c r="A661" t="n">
        <v>660</v>
      </c>
      <c r="B661" t="n">
        <v>74.3</v>
      </c>
      <c r="C661" s="21">
        <f>B661-20</f>
        <v/>
      </c>
      <c r="D661" t="n">
        <v>125.2</v>
      </c>
      <c r="E661" s="22">
        <f>D661-90</f>
        <v/>
      </c>
      <c r="F661" s="23" t="n">
        <v>0.018231</v>
      </c>
      <c r="G661" s="22" t="n">
        <v>28.7</v>
      </c>
      <c r="H661" s="22" t="n">
        <v>1.8</v>
      </c>
      <c r="I661" s="24" t="n">
        <v>0.080916903913021</v>
      </c>
      <c r="J661" s="6" t="n">
        <v>71000</v>
      </c>
      <c r="K661" s="25">
        <f>23*10^-6</f>
        <v/>
      </c>
      <c r="L661" s="8">
        <f>H661</f>
        <v/>
      </c>
      <c r="M661" s="26">
        <f>H661^2/6</f>
        <v/>
      </c>
      <c r="N661" s="26">
        <f>H661^3/12</f>
        <v/>
      </c>
      <c r="O661" s="27">
        <f>-J661*L661*K661*C661</f>
        <v/>
      </c>
      <c r="P661" s="28">
        <f>-(12*F661*J661*L661*N661+12*O661*N661*G661*COS(RADIANS(E661)))/(12*N661*G661*COS(RADIANS(E661))^2+L661*G661^3*SIN(RADIANS(E661))^2)</f>
        <v/>
      </c>
      <c r="Q661" s="28">
        <f>-(6*F661*J661*L661*N661*SIN(RADIANS(E661))+6*O661*N661*G661*SIN(RADIANS(E661))*COS(RADIANS(E661)))/(12*N661*COS(RADIANS(E661))^2+L661*G661^2*SIN(RADIANS(E661))^2)</f>
        <v/>
      </c>
      <c r="R661" s="28">
        <f>-P661*SIN(RADIANS(E661))</f>
        <v/>
      </c>
      <c r="S661" s="8">
        <f>(O661+P661*COS(RADIANS(E661)))/L661</f>
        <v/>
      </c>
      <c r="T661" s="8">
        <f>R661/L661</f>
        <v/>
      </c>
      <c r="U661" s="8">
        <f>(Q661-P661*G661*SIN(RADIANS(E661)))/M661</f>
        <v/>
      </c>
      <c r="V661" s="8">
        <f>SQRT((S661+U661)^2+3*T661^2)</f>
        <v/>
      </c>
      <c r="W661" s="8">
        <f>V661/AA661</f>
        <v/>
      </c>
      <c r="X661" s="27">
        <f>((3*10+H661/COS(RADIANS(E661)))*(3+3)+3*G661*H661)*2</f>
        <v/>
      </c>
      <c r="Y661" s="28">
        <f>Z661/X661</f>
        <v/>
      </c>
      <c r="Z661" s="29" t="n">
        <v>705.197685793391</v>
      </c>
      <c r="AA661" s="20" t="n">
        <v>83.6723164011122</v>
      </c>
      <c r="AB661" t="n">
        <v>0.08723496022052793</v>
      </c>
      <c r="AC661" t="n">
        <v>80.0024750440474</v>
      </c>
      <c r="AD661" t="n">
        <v>7.808079649585103</v>
      </c>
    </row>
    <row r="662">
      <c r="A662" t="n">
        <v>661</v>
      </c>
      <c r="B662" t="n">
        <v>47.8</v>
      </c>
      <c r="C662" s="21">
        <f>B662-20</f>
        <v/>
      </c>
      <c r="D662" t="n">
        <v>125.7</v>
      </c>
      <c r="E662" s="22">
        <f>D662-90</f>
        <v/>
      </c>
      <c r="F662" s="23" t="n">
        <v>0.009056</v>
      </c>
      <c r="G662" s="22" t="n">
        <v>27.8</v>
      </c>
      <c r="H662" s="22" t="n">
        <v>1.6</v>
      </c>
      <c r="I662" s="24" t="n">
        <v>0.040203534066677</v>
      </c>
      <c r="J662" s="6" t="n">
        <v>71000</v>
      </c>
      <c r="K662" s="25">
        <f>23*10^-6</f>
        <v/>
      </c>
      <c r="L662" s="8">
        <f>H662</f>
        <v/>
      </c>
      <c r="M662" s="26">
        <f>H662^2/6</f>
        <v/>
      </c>
      <c r="N662" s="26">
        <f>H662^3/12</f>
        <v/>
      </c>
      <c r="O662" s="27">
        <f>-J662*L662*K662*C662</f>
        <v/>
      </c>
      <c r="P662" s="28">
        <f>-(12*F662*J662*L662*N662+12*O662*N662*G662*COS(RADIANS(E662)))/(12*N662*G662*COS(RADIANS(E662))^2+L662*G662^3*SIN(RADIANS(E662))^2)</f>
        <v/>
      </c>
      <c r="Q662" s="28">
        <f>-(6*F662*J662*L662*N662*SIN(RADIANS(E662))+6*O662*N662*G662*SIN(RADIANS(E662))*COS(RADIANS(E662)))/(12*N662*COS(RADIANS(E662))^2+L662*G662^2*SIN(RADIANS(E662))^2)</f>
        <v/>
      </c>
      <c r="R662" s="28">
        <f>-P662*SIN(RADIANS(E662))</f>
        <v/>
      </c>
      <c r="S662" s="8">
        <f>(O662+P662*COS(RADIANS(E662)))/L662</f>
        <v/>
      </c>
      <c r="T662" s="8">
        <f>R662/L662</f>
        <v/>
      </c>
      <c r="U662" s="8">
        <f>(Q662-P662*G662*SIN(RADIANS(E662)))/M662</f>
        <v/>
      </c>
      <c r="V662" s="8">
        <f>SQRT((S662+U662)^2+3*T662^2)</f>
        <v/>
      </c>
      <c r="W662" s="8">
        <f>V662/AA662</f>
        <v/>
      </c>
      <c r="X662" s="27">
        <f>((3*10+H662/COS(RADIANS(E662)))*(3+3)+3*G662*H662)*2</f>
        <v/>
      </c>
      <c r="Y662" s="28">
        <f>Z662/X662</f>
        <v/>
      </c>
      <c r="Z662" s="29" t="n">
        <v>659.510127737658</v>
      </c>
      <c r="AA662" s="20" t="n">
        <v>41.5064000404556</v>
      </c>
      <c r="AB662" t="n">
        <v>0.04274828560879783</v>
      </c>
      <c r="AC662" t="n">
        <v>40.57201382760491</v>
      </c>
      <c r="AD662" t="n">
        <v>6.329671261985053</v>
      </c>
    </row>
    <row r="663">
      <c r="A663" t="n">
        <v>662</v>
      </c>
      <c r="B663" t="n">
        <v>44.2</v>
      </c>
      <c r="C663" s="21">
        <f>B663-20</f>
        <v/>
      </c>
      <c r="D663" t="n">
        <v>126.2</v>
      </c>
      <c r="E663" s="22">
        <f>D663-90</f>
        <v/>
      </c>
      <c r="F663" s="23" t="n">
        <v>0.006419</v>
      </c>
      <c r="G663" s="22" t="n">
        <v>21.4</v>
      </c>
      <c r="H663" s="22" t="n">
        <v>1.8</v>
      </c>
      <c r="I663" s="24" t="n">
        <v>0.0295643508434295</v>
      </c>
      <c r="J663" s="6" t="n">
        <v>71000</v>
      </c>
      <c r="K663" s="25">
        <f>23*10^-6</f>
        <v/>
      </c>
      <c r="L663" s="8">
        <f>H663</f>
        <v/>
      </c>
      <c r="M663" s="26">
        <f>H663^2/6</f>
        <v/>
      </c>
      <c r="N663" s="26">
        <f>H663^3/12</f>
        <v/>
      </c>
      <c r="O663" s="27">
        <f>-J663*L663*K663*C663</f>
        <v/>
      </c>
      <c r="P663" s="28">
        <f>-(12*F663*J663*L663*N663+12*O663*N663*G663*COS(RADIANS(E663)))/(12*N663*G663*COS(RADIANS(E663))^2+L663*G663^3*SIN(RADIANS(E663))^2)</f>
        <v/>
      </c>
      <c r="Q663" s="28">
        <f>-(6*F663*J663*L663*N663*SIN(RADIANS(E663))+6*O663*N663*G663*SIN(RADIANS(E663))*COS(RADIANS(E663)))/(12*N663*COS(RADIANS(E663))^2+L663*G663^2*SIN(RADIANS(E663))^2)</f>
        <v/>
      </c>
      <c r="R663" s="28">
        <f>-P663*SIN(RADIANS(E663))</f>
        <v/>
      </c>
      <c r="S663" s="8">
        <f>(O663+P663*COS(RADIANS(E663)))/L663</f>
        <v/>
      </c>
      <c r="T663" s="8">
        <f>R663/L663</f>
        <v/>
      </c>
      <c r="U663" s="8">
        <f>(Q663-P663*G663*SIN(RADIANS(E663)))/M663</f>
        <v/>
      </c>
      <c r="V663" s="8">
        <f>SQRT((S663+U663)^2+3*T663^2)</f>
        <v/>
      </c>
      <c r="W663" s="8">
        <f>V663/AA663</f>
        <v/>
      </c>
      <c r="X663" s="27">
        <f>((3*10+H663/COS(RADIANS(E663)))*(3+3)+3*G663*H663)*2</f>
        <v/>
      </c>
      <c r="Y663" s="28">
        <f>Z663/X663</f>
        <v/>
      </c>
      <c r="Z663" s="29" t="n">
        <v>627.061984646455</v>
      </c>
      <c r="AA663" s="20" t="n">
        <v>39.5522534290792</v>
      </c>
      <c r="AB663" t="n">
        <v>0.02850041062729389</v>
      </c>
      <c r="AC663" t="n">
        <v>36.03676057544246</v>
      </c>
      <c r="AD663" t="n">
        <v>-3.598726796912098</v>
      </c>
    </row>
    <row r="664">
      <c r="A664" t="n">
        <v>663</v>
      </c>
      <c r="B664" t="n">
        <v>88.59999999999999</v>
      </c>
      <c r="C664" s="21">
        <f>B664-20</f>
        <v/>
      </c>
      <c r="D664" t="n">
        <v>100.8</v>
      </c>
      <c r="E664" s="22">
        <f>D664-90</f>
        <v/>
      </c>
      <c r="F664" s="23" t="n">
        <v>0.024588</v>
      </c>
      <c r="G664" s="22" t="n">
        <v>25.9</v>
      </c>
      <c r="H664" s="22" t="n">
        <v>1.8</v>
      </c>
      <c r="I664" s="24" t="n">
        <v>0.213861390948295</v>
      </c>
      <c r="J664" s="6" t="n">
        <v>71000</v>
      </c>
      <c r="K664" s="25">
        <f>23*10^-6</f>
        <v/>
      </c>
      <c r="L664" s="8">
        <f>H664</f>
        <v/>
      </c>
      <c r="M664" s="26">
        <f>H664^2/6</f>
        <v/>
      </c>
      <c r="N664" s="26">
        <f>H664^3/12</f>
        <v/>
      </c>
      <c r="O664" s="27">
        <f>-J664*L664*K664*C664</f>
        <v/>
      </c>
      <c r="P664" s="28">
        <f>-(12*F664*J664*L664*N664+12*O664*N664*G664*COS(RADIANS(E664)))/(12*N664*G664*COS(RADIANS(E664))^2+L664*G664^3*SIN(RADIANS(E664))^2)</f>
        <v/>
      </c>
      <c r="Q664" s="28">
        <f>-(6*F664*J664*L664*N664*SIN(RADIANS(E664))+6*O664*N664*G664*SIN(RADIANS(E664))*COS(RADIANS(E664)))/(12*N664*COS(RADIANS(E664))^2+L664*G664^2*SIN(RADIANS(E664))^2)</f>
        <v/>
      </c>
      <c r="R664" s="28">
        <f>-P664*SIN(RADIANS(E664))</f>
        <v/>
      </c>
      <c r="S664" s="8">
        <f>(O664+P664*COS(RADIANS(E664)))/L664</f>
        <v/>
      </c>
      <c r="T664" s="8">
        <f>R664/L664</f>
        <v/>
      </c>
      <c r="U664" s="8">
        <f>(Q664-P664*G664*SIN(RADIANS(E664)))/M664</f>
        <v/>
      </c>
      <c r="V664" s="8">
        <f>SQRT((S664+U664)^2+3*T664^2)</f>
        <v/>
      </c>
      <c r="W664" s="8">
        <f>V664/AA664</f>
        <v/>
      </c>
      <c r="X664" s="27">
        <f>((3*10+H664/COS(RADIANS(E664)))*(3+3)+3*G664*H664)*2</f>
        <v/>
      </c>
      <c r="Y664" s="28">
        <f>Z664/X664</f>
        <v/>
      </c>
      <c r="Z664" s="29" t="n">
        <v>665.575895343152</v>
      </c>
      <c r="AA664" s="20" t="n">
        <v>134.775043600385</v>
      </c>
      <c r="AB664" t="n">
        <v>0.3057733024973486</v>
      </c>
      <c r="AC664" t="n">
        <v>122.4087952121334</v>
      </c>
      <c r="AD664" t="n">
        <v>42.97732804481527</v>
      </c>
    </row>
    <row r="665">
      <c r="A665" t="n">
        <v>664</v>
      </c>
      <c r="B665" t="n">
        <v>50.1</v>
      </c>
      <c r="C665" s="21">
        <f>B665-20</f>
        <v/>
      </c>
      <c r="D665" t="n">
        <v>118.2</v>
      </c>
      <c r="E665" s="22">
        <f>D665-90</f>
        <v/>
      </c>
      <c r="F665" s="23" t="n">
        <v>0.011071</v>
      </c>
      <c r="G665" s="22" t="n">
        <v>29.8</v>
      </c>
      <c r="H665" s="22" t="n">
        <v>1.5</v>
      </c>
      <c r="I665" s="24" t="n">
        <v>0.0530875474214553</v>
      </c>
      <c r="J665" s="6" t="n">
        <v>71000</v>
      </c>
      <c r="K665" s="25">
        <f>23*10^-6</f>
        <v/>
      </c>
      <c r="L665" s="8">
        <f>H665</f>
        <v/>
      </c>
      <c r="M665" s="26">
        <f>H665^2/6</f>
        <v/>
      </c>
      <c r="N665" s="26">
        <f>H665^3/12</f>
        <v/>
      </c>
      <c r="O665" s="27">
        <f>-J665*L665*K665*C665</f>
        <v/>
      </c>
      <c r="P665" s="28">
        <f>-(12*F665*J665*L665*N665+12*O665*N665*G665*COS(RADIANS(E665)))/(12*N665*G665*COS(RADIANS(E665))^2+L665*G665^3*SIN(RADIANS(E665))^2)</f>
        <v/>
      </c>
      <c r="Q665" s="28">
        <f>-(6*F665*J665*L665*N665*SIN(RADIANS(E665))+6*O665*N665*G665*SIN(RADIANS(E665))*COS(RADIANS(E665)))/(12*N665*COS(RADIANS(E665))^2+L665*G665^2*SIN(RADIANS(E665))^2)</f>
        <v/>
      </c>
      <c r="R665" s="28">
        <f>-P665*SIN(RADIANS(E665))</f>
        <v/>
      </c>
      <c r="S665" s="8">
        <f>(O665+P665*COS(RADIANS(E665)))/L665</f>
        <v/>
      </c>
      <c r="T665" s="8">
        <f>R665/L665</f>
        <v/>
      </c>
      <c r="U665" s="8">
        <f>(Q665-P665*G665*SIN(RADIANS(E665)))/M665</f>
        <v/>
      </c>
      <c r="V665" s="8">
        <f>SQRT((S665+U665)^2+3*T665^2)</f>
        <v/>
      </c>
      <c r="W665" s="8">
        <f>V665/AA665</f>
        <v/>
      </c>
      <c r="X665" s="27">
        <f>((3*10+H665/COS(RADIANS(E665)))*(3+3)+3*G665*H665)*2</f>
        <v/>
      </c>
      <c r="Y665" s="28">
        <f>Z665/X665</f>
        <v/>
      </c>
      <c r="Z665" s="29" t="n">
        <v>655.29031324588</v>
      </c>
      <c r="AA665" s="20" t="n">
        <v>45.0533387462747</v>
      </c>
      <c r="AB665" t="n">
        <v>0.06369094908656182</v>
      </c>
      <c r="AC665" t="n">
        <v>44.70411781318646</v>
      </c>
      <c r="AD665" t="n">
        <v>19.97342537022376</v>
      </c>
    </row>
    <row r="666">
      <c r="A666" t="n">
        <v>665</v>
      </c>
      <c r="B666" t="n">
        <v>72.5</v>
      </c>
      <c r="C666" s="21">
        <f>B666-20</f>
        <v/>
      </c>
      <c r="D666" t="n">
        <v>110.2</v>
      </c>
      <c r="E666" s="22">
        <f>D666-90</f>
        <v/>
      </c>
      <c r="F666" s="23" t="n">
        <v>0.020666</v>
      </c>
      <c r="G666" s="22" t="n">
        <v>30.4</v>
      </c>
      <c r="H666" s="22" t="n">
        <v>1.1</v>
      </c>
      <c r="I666" s="24" t="n">
        <v>0.119755670428276</v>
      </c>
      <c r="J666" s="6" t="n">
        <v>71000</v>
      </c>
      <c r="K666" s="25">
        <f>23*10^-6</f>
        <v/>
      </c>
      <c r="L666" s="8">
        <f>H666</f>
        <v/>
      </c>
      <c r="M666" s="26">
        <f>H666^2/6</f>
        <v/>
      </c>
      <c r="N666" s="26">
        <f>H666^3/12</f>
        <v/>
      </c>
      <c r="O666" s="27">
        <f>-J666*L666*K666*C666</f>
        <v/>
      </c>
      <c r="P666" s="28">
        <f>-(12*F666*J666*L666*N666+12*O666*N666*G666*COS(RADIANS(E666)))/(12*N666*G666*COS(RADIANS(E666))^2+L666*G666^3*SIN(RADIANS(E666))^2)</f>
        <v/>
      </c>
      <c r="Q666" s="28">
        <f>-(6*F666*J666*L666*N666*SIN(RADIANS(E666))+6*O666*N666*G666*SIN(RADIANS(E666))*COS(RADIANS(E666)))/(12*N666*COS(RADIANS(E666))^2+L666*G666^2*SIN(RADIANS(E666))^2)</f>
        <v/>
      </c>
      <c r="R666" s="28">
        <f>-P666*SIN(RADIANS(E666))</f>
        <v/>
      </c>
      <c r="S666" s="8">
        <f>(O666+P666*COS(RADIANS(E666)))/L666</f>
        <v/>
      </c>
      <c r="T666" s="8">
        <f>R666/L666</f>
        <v/>
      </c>
      <c r="U666" s="8">
        <f>(Q666-P666*G666*SIN(RADIANS(E666)))/M666</f>
        <v/>
      </c>
      <c r="V666" s="8">
        <f>SQRT((S666+U666)^2+3*T666^2)</f>
        <v/>
      </c>
      <c r="W666" s="8">
        <f>V666/AA666</f>
        <v/>
      </c>
      <c r="X666" s="27">
        <f>((3*10+H666/COS(RADIANS(E666)))*(3+3)+3*G666*H666)*2</f>
        <v/>
      </c>
      <c r="Y666" s="28">
        <f>Z666/X666</f>
        <v/>
      </c>
      <c r="Z666" s="29" t="n">
        <v>579.711643838445</v>
      </c>
      <c r="AA666" s="20" t="n">
        <v>73.79138202333409</v>
      </c>
      <c r="AB666" t="n">
        <v>0.1608482687729613</v>
      </c>
      <c r="AC666" t="n">
        <v>78.48801323881577</v>
      </c>
      <c r="AD666" t="n">
        <v>34.31369737877791</v>
      </c>
    </row>
    <row r="667">
      <c r="A667" t="n">
        <v>666</v>
      </c>
      <c r="B667" t="n">
        <v>59.5</v>
      </c>
      <c r="C667" s="21">
        <f>B667-20</f>
        <v/>
      </c>
      <c r="D667" t="n">
        <v>129.3</v>
      </c>
      <c r="E667" s="22">
        <f>D667-90</f>
        <v/>
      </c>
      <c r="F667" s="23" t="n">
        <v>0.011169</v>
      </c>
      <c r="G667" s="22" t="n">
        <v>24.3</v>
      </c>
      <c r="H667" s="22" t="n">
        <v>1.6</v>
      </c>
      <c r="I667" s="24" t="n">
        <v>0.0495895445346832</v>
      </c>
      <c r="J667" s="6" t="n">
        <v>71000</v>
      </c>
      <c r="K667" s="25">
        <f>23*10^-6</f>
        <v/>
      </c>
      <c r="L667" s="8">
        <f>H667</f>
        <v/>
      </c>
      <c r="M667" s="26">
        <f>H667^2/6</f>
        <v/>
      </c>
      <c r="N667" s="26">
        <f>H667^3/12</f>
        <v/>
      </c>
      <c r="O667" s="27">
        <f>-J667*L667*K667*C667</f>
        <v/>
      </c>
      <c r="P667" s="28">
        <f>-(12*F667*J667*L667*N667+12*O667*N667*G667*COS(RADIANS(E667)))/(12*N667*G667*COS(RADIANS(E667))^2+L667*G667^3*SIN(RADIANS(E667))^2)</f>
        <v/>
      </c>
      <c r="Q667" s="28">
        <f>-(6*F667*J667*L667*N667*SIN(RADIANS(E667))+6*O667*N667*G667*SIN(RADIANS(E667))*COS(RADIANS(E667)))/(12*N667*COS(RADIANS(E667))^2+L667*G667^2*SIN(RADIANS(E667))^2)</f>
        <v/>
      </c>
      <c r="R667" s="28">
        <f>-P667*SIN(RADIANS(E667))</f>
        <v/>
      </c>
      <c r="S667" s="8">
        <f>(O667+P667*COS(RADIANS(E667)))/L667</f>
        <v/>
      </c>
      <c r="T667" s="8">
        <f>R667/L667</f>
        <v/>
      </c>
      <c r="U667" s="8">
        <f>(Q667-P667*G667*SIN(RADIANS(E667)))/M667</f>
        <v/>
      </c>
      <c r="V667" s="8">
        <f>SQRT((S667+U667)^2+3*T667^2)</f>
        <v/>
      </c>
      <c r="W667" s="8">
        <f>V667/AA667</f>
        <v/>
      </c>
      <c r="X667" s="27">
        <f>((3*10+H667/COS(RADIANS(E667)))*(3+3)+3*G667*H667)*2</f>
        <v/>
      </c>
      <c r="Y667" s="28">
        <f>Z667/X667</f>
        <v/>
      </c>
      <c r="Z667" s="29" t="n">
        <v>628.539107897887</v>
      </c>
      <c r="AA667" s="20" t="n">
        <v>59.9562595186477</v>
      </c>
      <c r="AB667" t="n">
        <v>0.04813077795207034</v>
      </c>
      <c r="AC667" t="n">
        <v>57.33950260110802</v>
      </c>
      <c r="AD667" t="n">
        <v>-2.941681752274598</v>
      </c>
    </row>
    <row r="668">
      <c r="A668" t="n">
        <v>667</v>
      </c>
      <c r="B668" t="n">
        <v>44.2</v>
      </c>
      <c r="C668" s="21">
        <f>B668-20</f>
        <v/>
      </c>
      <c r="D668" t="n">
        <v>110.3</v>
      </c>
      <c r="E668" s="22">
        <f>D668-90</f>
        <v/>
      </c>
      <c r="F668" s="23" t="n">
        <v>0.007555</v>
      </c>
      <c r="G668" s="22" t="n">
        <v>22.8</v>
      </c>
      <c r="H668" s="22" t="n">
        <v>1.4</v>
      </c>
      <c r="I668" s="24" t="n">
        <v>0.0450483560562133</v>
      </c>
      <c r="J668" s="6" t="n">
        <v>71000</v>
      </c>
      <c r="K668" s="25">
        <f>23*10^-6</f>
        <v/>
      </c>
      <c r="L668" s="8">
        <f>H668</f>
        <v/>
      </c>
      <c r="M668" s="26">
        <f>H668^2/6</f>
        <v/>
      </c>
      <c r="N668" s="26">
        <f>H668^3/12</f>
        <v/>
      </c>
      <c r="O668" s="27">
        <f>-J668*L668*K668*C668</f>
        <v/>
      </c>
      <c r="P668" s="28">
        <f>-(12*F668*J668*L668*N668+12*O668*N668*G668*COS(RADIANS(E668)))/(12*N668*G668*COS(RADIANS(E668))^2+L668*G668^3*SIN(RADIANS(E668))^2)</f>
        <v/>
      </c>
      <c r="Q668" s="28">
        <f>-(6*F668*J668*L668*N668*SIN(RADIANS(E668))+6*O668*N668*G668*SIN(RADIANS(E668))*COS(RADIANS(E668)))/(12*N668*COS(RADIANS(E668))^2+L668*G668^2*SIN(RADIANS(E668))^2)</f>
        <v/>
      </c>
      <c r="R668" s="28">
        <f>-P668*SIN(RADIANS(E668))</f>
        <v/>
      </c>
      <c r="S668" s="8">
        <f>(O668+P668*COS(RADIANS(E668)))/L668</f>
        <v/>
      </c>
      <c r="T668" s="8">
        <f>R668/L668</f>
        <v/>
      </c>
      <c r="U668" s="8">
        <f>(Q668-P668*G668*SIN(RADIANS(E668)))/M668</f>
        <v/>
      </c>
      <c r="V668" s="8">
        <f>SQRT((S668+U668)^2+3*T668^2)</f>
        <v/>
      </c>
      <c r="W668" s="8">
        <f>V668/AA668</f>
        <v/>
      </c>
      <c r="X668" s="27">
        <f>((3*10+H668/COS(RADIANS(E668)))*(3+3)+3*G668*H668)*2</f>
        <v/>
      </c>
      <c r="Y668" s="28">
        <f>Z668/X668</f>
        <v/>
      </c>
      <c r="Z668" s="29" t="n">
        <v>574.455582009575</v>
      </c>
      <c r="AA668" s="20" t="n">
        <v>37.5712006591803</v>
      </c>
      <c r="AB668" t="n">
        <v>0.05539820724898899</v>
      </c>
      <c r="AC668" t="n">
        <v>37.93960015685883</v>
      </c>
      <c r="AD668" t="n">
        <v>22.97498088467577</v>
      </c>
    </row>
    <row r="669">
      <c r="A669" t="n">
        <v>668</v>
      </c>
      <c r="B669" t="n">
        <v>47.6</v>
      </c>
      <c r="C669" s="21">
        <f>B669-20</f>
        <v/>
      </c>
      <c r="D669" t="n">
        <v>115.6</v>
      </c>
      <c r="E669" s="22">
        <f>D669-90</f>
        <v/>
      </c>
      <c r="F669" s="23" t="n">
        <v>0.009294</v>
      </c>
      <c r="G669" s="22" t="n">
        <v>26.1</v>
      </c>
      <c r="H669" s="22" t="n">
        <v>1.3</v>
      </c>
      <c r="I669" s="24" t="n">
        <v>0.04767956584692</v>
      </c>
      <c r="J669" s="6" t="n">
        <v>71000</v>
      </c>
      <c r="K669" s="25">
        <f>23*10^-6</f>
        <v/>
      </c>
      <c r="L669" s="8">
        <f>H669</f>
        <v/>
      </c>
      <c r="M669" s="26">
        <f>H669^2/6</f>
        <v/>
      </c>
      <c r="N669" s="26">
        <f>H669^3/12</f>
        <v/>
      </c>
      <c r="O669" s="27">
        <f>-J669*L669*K669*C669</f>
        <v/>
      </c>
      <c r="P669" s="28">
        <f>-(12*F669*J669*L669*N669+12*O669*N669*G669*COS(RADIANS(E669)))/(12*N669*G669*COS(RADIANS(E669))^2+L669*G669^3*SIN(RADIANS(E669))^2)</f>
        <v/>
      </c>
      <c r="Q669" s="28">
        <f>-(6*F669*J669*L669*N669*SIN(RADIANS(E669))+6*O669*N669*G669*SIN(RADIANS(E669))*COS(RADIANS(E669)))/(12*N669*COS(RADIANS(E669))^2+L669*G669^2*SIN(RADIANS(E669))^2)</f>
        <v/>
      </c>
      <c r="R669" s="28">
        <f>-P669*SIN(RADIANS(E669))</f>
        <v/>
      </c>
      <c r="S669" s="8">
        <f>(O669+P669*COS(RADIANS(E669)))/L669</f>
        <v/>
      </c>
      <c r="T669" s="8">
        <f>R669/L669</f>
        <v/>
      </c>
      <c r="U669" s="8">
        <f>(Q669-P669*G669*SIN(RADIANS(E669)))/M669</f>
        <v/>
      </c>
      <c r="V669" s="8">
        <f>SQRT((S669+U669)^2+3*T669^2)</f>
        <v/>
      </c>
      <c r="W669" s="8">
        <f>V669/AA669</f>
        <v/>
      </c>
      <c r="X669" s="27">
        <f>((3*10+H669/COS(RADIANS(E669)))*(3+3)+3*G669*H669)*2</f>
        <v/>
      </c>
      <c r="Y669" s="28">
        <f>Z669/X669</f>
        <v/>
      </c>
      <c r="Z669" s="29" t="n">
        <v>586.9242212533489</v>
      </c>
      <c r="AA669" s="20" t="n">
        <v>40.5320664983111</v>
      </c>
      <c r="AB669" t="n">
        <v>0.05707753153762855</v>
      </c>
      <c r="AC669" t="n">
        <v>41.24394231957739</v>
      </c>
      <c r="AD669" t="n">
        <v>19.71067798914457</v>
      </c>
    </row>
    <row r="670">
      <c r="A670" t="n">
        <v>669</v>
      </c>
      <c r="B670" t="n">
        <v>84.40000000000001</v>
      </c>
      <c r="C670" s="21">
        <f>B670-20</f>
        <v/>
      </c>
      <c r="D670" t="n">
        <v>116.5</v>
      </c>
      <c r="E670" s="22">
        <f>D670-90</f>
        <v/>
      </c>
      <c r="F670" s="23" t="n">
        <v>0.02497</v>
      </c>
      <c r="G670" s="22" t="n">
        <v>31.3</v>
      </c>
      <c r="H670" s="22" t="n">
        <v>1.2</v>
      </c>
      <c r="I670" s="24" t="n">
        <v>0.122595258057117</v>
      </c>
      <c r="J670" s="6" t="n">
        <v>71000</v>
      </c>
      <c r="K670" s="25">
        <f>23*10^-6</f>
        <v/>
      </c>
      <c r="L670" s="8">
        <f>H670</f>
        <v/>
      </c>
      <c r="M670" s="26">
        <f>H670^2/6</f>
        <v/>
      </c>
      <c r="N670" s="26">
        <f>H670^3/12</f>
        <v/>
      </c>
      <c r="O670" s="27">
        <f>-J670*L670*K670*C670</f>
        <v/>
      </c>
      <c r="P670" s="28">
        <f>-(12*F670*J670*L670*N670+12*O670*N670*G670*COS(RADIANS(E670)))/(12*N670*G670*COS(RADIANS(E670))^2+L670*G670^3*SIN(RADIANS(E670))^2)</f>
        <v/>
      </c>
      <c r="Q670" s="28">
        <f>-(6*F670*J670*L670*N670*SIN(RADIANS(E670))+6*O670*N670*G670*SIN(RADIANS(E670))*COS(RADIANS(E670)))/(12*N670*COS(RADIANS(E670))^2+L670*G670^2*SIN(RADIANS(E670))^2)</f>
        <v/>
      </c>
      <c r="R670" s="28">
        <f>-P670*SIN(RADIANS(E670))</f>
        <v/>
      </c>
      <c r="S670" s="8">
        <f>(O670+P670*COS(RADIANS(E670)))/L670</f>
        <v/>
      </c>
      <c r="T670" s="8">
        <f>R670/L670</f>
        <v/>
      </c>
      <c r="U670" s="8">
        <f>(Q670-P670*G670*SIN(RADIANS(E670)))/M670</f>
        <v/>
      </c>
      <c r="V670" s="8">
        <f>SQRT((S670+U670)^2+3*T670^2)</f>
        <v/>
      </c>
      <c r="W670" s="8">
        <f>V670/AA670</f>
        <v/>
      </c>
      <c r="X670" s="27">
        <f>((3*10+H670/COS(RADIANS(E670)))*(3+3)+3*G670*H670)*2</f>
        <v/>
      </c>
      <c r="Y670" s="28">
        <f>Z670/X670</f>
        <v/>
      </c>
      <c r="Z670" s="29" t="n">
        <v>607.701804160894</v>
      </c>
      <c r="AA670" s="20" t="n">
        <v>90.7392432043353</v>
      </c>
      <c r="AB670" t="n">
        <v>0.1530070291514783</v>
      </c>
      <c r="AC670" t="n">
        <v>94.19313756093585</v>
      </c>
      <c r="AD670" t="n">
        <v>24.8066455231021</v>
      </c>
    </row>
    <row r="671">
      <c r="A671" t="n">
        <v>670</v>
      </c>
      <c r="B671" t="n">
        <v>75.90000000000001</v>
      </c>
      <c r="C671" s="21">
        <f>B671-20</f>
        <v/>
      </c>
      <c r="D671" t="n">
        <v>107.7</v>
      </c>
      <c r="E671" s="22">
        <f>D671-90</f>
        <v/>
      </c>
      <c r="F671" s="23" t="n">
        <v>0.019669</v>
      </c>
      <c r="G671" s="22" t="n">
        <v>26.1</v>
      </c>
      <c r="H671" s="22" t="n">
        <v>1.4</v>
      </c>
      <c r="I671" s="24" t="n">
        <v>0.126152202486991</v>
      </c>
      <c r="J671" s="6" t="n">
        <v>71000</v>
      </c>
      <c r="K671" s="25">
        <f>23*10^-6</f>
        <v/>
      </c>
      <c r="L671" s="8">
        <f>H671</f>
        <v/>
      </c>
      <c r="M671" s="26">
        <f>H671^2/6</f>
        <v/>
      </c>
      <c r="N671" s="26">
        <f>H671^3/12</f>
        <v/>
      </c>
      <c r="O671" s="27">
        <f>-J671*L671*K671*C671</f>
        <v/>
      </c>
      <c r="P671" s="28">
        <f>-(12*F671*J671*L671*N671+12*O671*N671*G671*COS(RADIANS(E671)))/(12*N671*G671*COS(RADIANS(E671))^2+L671*G671^3*SIN(RADIANS(E671))^2)</f>
        <v/>
      </c>
      <c r="Q671" s="28">
        <f>-(6*F671*J671*L671*N671*SIN(RADIANS(E671))+6*O671*N671*G671*SIN(RADIANS(E671))*COS(RADIANS(E671)))/(12*N671*COS(RADIANS(E671))^2+L671*G671^2*SIN(RADIANS(E671))^2)</f>
        <v/>
      </c>
      <c r="R671" s="28">
        <f>-P671*SIN(RADIANS(E671))</f>
        <v/>
      </c>
      <c r="S671" s="8">
        <f>(O671+P671*COS(RADIANS(E671)))/L671</f>
        <v/>
      </c>
      <c r="T671" s="8">
        <f>R671/L671</f>
        <v/>
      </c>
      <c r="U671" s="8">
        <f>(Q671-P671*G671*SIN(RADIANS(E671)))/M671</f>
        <v/>
      </c>
      <c r="V671" s="8">
        <f>SQRT((S671+U671)^2+3*T671^2)</f>
        <v/>
      </c>
      <c r="W671" s="8">
        <f>V671/AA671</f>
        <v/>
      </c>
      <c r="X671" s="27">
        <f>((3*10+H671/COS(RADIANS(E671)))*(3+3)+3*G671*H671)*2</f>
        <v/>
      </c>
      <c r="Y671" s="28">
        <f>Z671/X671</f>
        <v/>
      </c>
      <c r="Z671" s="29" t="n">
        <v>601.501014351717</v>
      </c>
      <c r="AA671" s="20" t="n">
        <v>85.8731204892092</v>
      </c>
      <c r="AB671" t="n">
        <v>0.1671043188361966</v>
      </c>
      <c r="AC671" t="n">
        <v>88.45321456435539</v>
      </c>
      <c r="AD671" t="n">
        <v>32.46246640317569</v>
      </c>
    </row>
    <row r="672">
      <c r="A672" t="n">
        <v>671</v>
      </c>
      <c r="B672" t="n">
        <v>76.40000000000001</v>
      </c>
      <c r="C672" s="21">
        <f>B672-20</f>
        <v/>
      </c>
      <c r="D672" t="n">
        <v>121.4</v>
      </c>
      <c r="E672" s="22">
        <f>D672-90</f>
        <v/>
      </c>
      <c r="F672" s="23" t="n">
        <v>0.016261</v>
      </c>
      <c r="G672" s="22" t="n">
        <v>22.6</v>
      </c>
      <c r="H672" s="22" t="n">
        <v>1.8</v>
      </c>
      <c r="I672" s="24" t="n">
        <v>0.07762154936790459</v>
      </c>
      <c r="J672" s="6" t="n">
        <v>71000</v>
      </c>
      <c r="K672" s="25">
        <f>23*10^-6</f>
        <v/>
      </c>
      <c r="L672" s="8">
        <f>H672</f>
        <v/>
      </c>
      <c r="M672" s="26">
        <f>H672^2/6</f>
        <v/>
      </c>
      <c r="N672" s="26">
        <f>H672^3/12</f>
        <v/>
      </c>
      <c r="O672" s="27">
        <f>-J672*L672*K672*C672</f>
        <v/>
      </c>
      <c r="P672" s="28">
        <f>-(12*F672*J672*L672*N672+12*O672*N672*G672*COS(RADIANS(E672)))/(12*N672*G672*COS(RADIANS(E672))^2+L672*G672^3*SIN(RADIANS(E672))^2)</f>
        <v/>
      </c>
      <c r="Q672" s="28">
        <f>-(6*F672*J672*L672*N672*SIN(RADIANS(E672))+6*O672*N672*G672*SIN(RADIANS(E672))*COS(RADIANS(E672)))/(12*N672*COS(RADIANS(E672))^2+L672*G672^2*SIN(RADIANS(E672))^2)</f>
        <v/>
      </c>
      <c r="R672" s="28">
        <f>-P672*SIN(RADIANS(E672))</f>
        <v/>
      </c>
      <c r="S672" s="8">
        <f>(O672+P672*COS(RADIANS(E672)))/L672</f>
        <v/>
      </c>
      <c r="T672" s="8">
        <f>R672/L672</f>
        <v/>
      </c>
      <c r="U672" s="8">
        <f>(Q672-P672*G672*SIN(RADIANS(E672)))/M672</f>
        <v/>
      </c>
      <c r="V672" s="8">
        <f>SQRT((S672+U672)^2+3*T672^2)</f>
        <v/>
      </c>
      <c r="W672" s="8">
        <f>V672/AA672</f>
        <v/>
      </c>
      <c r="X672" s="27">
        <f>((3*10+H672/COS(RADIANS(E672)))*(3+3)+3*G672*H672)*2</f>
        <v/>
      </c>
      <c r="Y672" s="28">
        <f>Z672/X672</f>
        <v/>
      </c>
      <c r="Z672" s="29" t="n">
        <v>636.93751481292</v>
      </c>
      <c r="AA672" s="20" t="n">
        <v>92.4415142952614</v>
      </c>
      <c r="AB672" t="n">
        <v>0.08135415804862713</v>
      </c>
      <c r="AC672" t="n">
        <v>85.51919138065483</v>
      </c>
      <c r="AD672" t="n">
        <v>4.808727358727412</v>
      </c>
    </row>
    <row r="673">
      <c r="A673" t="n">
        <v>672</v>
      </c>
      <c r="B673" t="n">
        <v>47.3</v>
      </c>
      <c r="C673" s="21">
        <f>B673-20</f>
        <v/>
      </c>
      <c r="D673" t="n">
        <v>116.1</v>
      </c>
      <c r="E673" s="22">
        <f>D673-90</f>
        <v/>
      </c>
      <c r="F673" s="23" t="n">
        <v>0.01</v>
      </c>
      <c r="G673" s="22" t="n">
        <v>29.1</v>
      </c>
      <c r="H673" s="22" t="n">
        <v>1.3</v>
      </c>
      <c r="I673" s="24" t="n">
        <v>0.0500017926096916</v>
      </c>
      <c r="J673" s="6" t="n">
        <v>71000</v>
      </c>
      <c r="K673" s="25">
        <f>23*10^-6</f>
        <v/>
      </c>
      <c r="L673" s="8">
        <f>H673</f>
        <v/>
      </c>
      <c r="M673" s="26">
        <f>H673^2/6</f>
        <v/>
      </c>
      <c r="N673" s="26">
        <f>H673^3/12</f>
        <v/>
      </c>
      <c r="O673" s="27">
        <f>-J673*L673*K673*C673</f>
        <v/>
      </c>
      <c r="P673" s="28">
        <f>-(12*F673*J673*L673*N673+12*O673*N673*G673*COS(RADIANS(E673)))/(12*N673*G673*COS(RADIANS(E673))^2+L673*G673^3*SIN(RADIANS(E673))^2)</f>
        <v/>
      </c>
      <c r="Q673" s="28">
        <f>-(6*F673*J673*L673*N673*SIN(RADIANS(E673))+6*O673*N673*G673*SIN(RADIANS(E673))*COS(RADIANS(E673)))/(12*N673*COS(RADIANS(E673))^2+L673*G673^2*SIN(RADIANS(E673))^2)</f>
        <v/>
      </c>
      <c r="R673" s="28">
        <f>-P673*SIN(RADIANS(E673))</f>
        <v/>
      </c>
      <c r="S673" s="8">
        <f>(O673+P673*COS(RADIANS(E673)))/L673</f>
        <v/>
      </c>
      <c r="T673" s="8">
        <f>R673/L673</f>
        <v/>
      </c>
      <c r="U673" s="8">
        <f>(Q673-P673*G673*SIN(RADIANS(E673)))/M673</f>
        <v/>
      </c>
      <c r="V673" s="8">
        <f>SQRT((S673+U673)^2+3*T673^2)</f>
        <v/>
      </c>
      <c r="W673" s="8">
        <f>V673/AA673</f>
        <v/>
      </c>
      <c r="X673" s="27">
        <f>((3*10+H673/COS(RADIANS(E673)))*(3+3)+3*G673*H673)*2</f>
        <v/>
      </c>
      <c r="Y673" s="28">
        <f>Z673/X673</f>
        <v/>
      </c>
      <c r="Z673" s="29" t="n">
        <v>610.51027081278</v>
      </c>
      <c r="AA673" s="20" t="n">
        <v>39.5094333839069</v>
      </c>
      <c r="AB673" t="n">
        <v>0.06139466017176413</v>
      </c>
      <c r="AC673" t="n">
        <v>40.43450769903814</v>
      </c>
      <c r="AD673" t="n">
        <v>22.78491823484007</v>
      </c>
    </row>
    <row r="674">
      <c r="A674" t="n">
        <v>673</v>
      </c>
      <c r="B674" t="n">
        <v>83.09999999999999</v>
      </c>
      <c r="C674" s="21">
        <f>B674-20</f>
        <v/>
      </c>
      <c r="D674" t="n">
        <v>113</v>
      </c>
      <c r="E674" s="22">
        <f>D674-90</f>
        <v/>
      </c>
      <c r="F674" s="23" t="n">
        <v>0.020142</v>
      </c>
      <c r="G674" s="22" t="n">
        <v>23.9</v>
      </c>
      <c r="H674" s="22" t="n">
        <v>1.9</v>
      </c>
      <c r="I674" s="24" t="n">
        <v>0.110159963369369</v>
      </c>
      <c r="J674" s="6" t="n">
        <v>71000</v>
      </c>
      <c r="K674" s="25">
        <f>23*10^-6</f>
        <v/>
      </c>
      <c r="L674" s="8">
        <f>H674</f>
        <v/>
      </c>
      <c r="M674" s="26">
        <f>H674^2/6</f>
        <v/>
      </c>
      <c r="N674" s="26">
        <f>H674^3/12</f>
        <v/>
      </c>
      <c r="O674" s="27">
        <f>-J674*L674*K674*C674</f>
        <v/>
      </c>
      <c r="P674" s="28">
        <f>-(12*F674*J674*L674*N674+12*O674*N674*G674*COS(RADIANS(E674)))/(12*N674*G674*COS(RADIANS(E674))^2+L674*G674^3*SIN(RADIANS(E674))^2)</f>
        <v/>
      </c>
      <c r="Q674" s="28">
        <f>-(6*F674*J674*L674*N674*SIN(RADIANS(E674))+6*O674*N674*G674*SIN(RADIANS(E674))*COS(RADIANS(E674)))/(12*N674*COS(RADIANS(E674))^2+L674*G674^2*SIN(RADIANS(E674))^2)</f>
        <v/>
      </c>
      <c r="R674" s="28">
        <f>-P674*SIN(RADIANS(E674))</f>
        <v/>
      </c>
      <c r="S674" s="8">
        <f>(O674+P674*COS(RADIANS(E674)))/L674</f>
        <v/>
      </c>
      <c r="T674" s="8">
        <f>R674/L674</f>
        <v/>
      </c>
      <c r="U674" s="8">
        <f>(Q674-P674*G674*SIN(RADIANS(E674)))/M674</f>
        <v/>
      </c>
      <c r="V674" s="8">
        <f>SQRT((S674+U674)^2+3*T674^2)</f>
        <v/>
      </c>
      <c r="W674" s="8">
        <f>V674/AA674</f>
        <v/>
      </c>
      <c r="X674" s="27">
        <f>((3*10+H674/COS(RADIANS(E674)))*(3+3)+3*G674*H674)*2</f>
        <v/>
      </c>
      <c r="Y674" s="28">
        <f>Z674/X674</f>
        <v/>
      </c>
      <c r="Z674" s="29" t="n">
        <v>662.735295048209</v>
      </c>
      <c r="AA674" s="20" t="n">
        <v>107.047447724414</v>
      </c>
      <c r="AB674" t="n">
        <v>0.1313168533148312</v>
      </c>
      <c r="AC674" t="n">
        <v>100.6770702633552</v>
      </c>
      <c r="AD674" t="n">
        <v>19.20560728086181</v>
      </c>
    </row>
    <row r="675">
      <c r="A675" t="n">
        <v>674</v>
      </c>
      <c r="B675" t="n">
        <v>83.3</v>
      </c>
      <c r="C675" s="21">
        <f>B675-20</f>
        <v/>
      </c>
      <c r="D675" t="n">
        <v>128.1</v>
      </c>
      <c r="E675" s="22">
        <f>D675-90</f>
        <v/>
      </c>
      <c r="F675" s="23" t="n">
        <v>0.023069</v>
      </c>
      <c r="G675" s="22" t="n">
        <v>33</v>
      </c>
      <c r="H675" s="22" t="n">
        <v>1.4</v>
      </c>
      <c r="I675" s="24" t="n">
        <v>0.0984182953834533</v>
      </c>
      <c r="J675" s="6" t="n">
        <v>71000</v>
      </c>
      <c r="K675" s="25">
        <f>23*10^-6</f>
        <v/>
      </c>
      <c r="L675" s="8">
        <f>H675</f>
        <v/>
      </c>
      <c r="M675" s="26">
        <f>H675^2/6</f>
        <v/>
      </c>
      <c r="N675" s="26">
        <f>H675^3/12</f>
        <v/>
      </c>
      <c r="O675" s="27">
        <f>-J675*L675*K675*C675</f>
        <v/>
      </c>
      <c r="P675" s="28">
        <f>-(12*F675*J675*L675*N675+12*O675*N675*G675*COS(RADIANS(E675)))/(12*N675*G675*COS(RADIANS(E675))^2+L675*G675^3*SIN(RADIANS(E675))^2)</f>
        <v/>
      </c>
      <c r="Q675" s="28">
        <f>-(6*F675*J675*L675*N675*SIN(RADIANS(E675))+6*O675*N675*G675*SIN(RADIANS(E675))*COS(RADIANS(E675)))/(12*N675*COS(RADIANS(E675))^2+L675*G675^2*SIN(RADIANS(E675))^2)</f>
        <v/>
      </c>
      <c r="R675" s="28">
        <f>-P675*SIN(RADIANS(E675))</f>
        <v/>
      </c>
      <c r="S675" s="8">
        <f>(O675+P675*COS(RADIANS(E675)))/L675</f>
        <v/>
      </c>
      <c r="T675" s="8">
        <f>R675/L675</f>
        <v/>
      </c>
      <c r="U675" s="8">
        <f>(Q675-P675*G675*SIN(RADIANS(E675)))/M675</f>
        <v/>
      </c>
      <c r="V675" s="8">
        <f>SQRT((S675+U675)^2+3*T675^2)</f>
        <v/>
      </c>
      <c r="W675" s="8">
        <f>V675/AA675</f>
        <v/>
      </c>
      <c r="X675" s="27">
        <f>((3*10+H675/COS(RADIANS(E675)))*(3+3)+3*G675*H675)*2</f>
        <v/>
      </c>
      <c r="Y675" s="28">
        <f>Z675/X675</f>
        <v/>
      </c>
      <c r="Z675" s="29" t="n">
        <v>668.480349713719</v>
      </c>
      <c r="AA675" s="20" t="n">
        <v>87.2440947940303</v>
      </c>
      <c r="AB675" t="n">
        <v>0.1069192079927683</v>
      </c>
      <c r="AC675" t="n">
        <v>90.28688388240747</v>
      </c>
      <c r="AD675" t="n">
        <v>8.637532865402829</v>
      </c>
    </row>
    <row r="676">
      <c r="A676" t="n">
        <v>675</v>
      </c>
      <c r="B676" t="n">
        <v>48.9</v>
      </c>
      <c r="C676" s="21">
        <f>B676-20</f>
        <v/>
      </c>
      <c r="D676" t="n">
        <v>128.7</v>
      </c>
      <c r="E676" s="22">
        <f>D676-90</f>
        <v/>
      </c>
      <c r="F676" s="23" t="n">
        <v>0.007993</v>
      </c>
      <c r="G676" s="22" t="n">
        <v>23.4</v>
      </c>
      <c r="H676" s="22" t="n">
        <v>1</v>
      </c>
      <c r="I676" s="24" t="n">
        <v>0.0356795825064182</v>
      </c>
      <c r="J676" s="6" t="n">
        <v>71000</v>
      </c>
      <c r="K676" s="25">
        <f>23*10^-6</f>
        <v/>
      </c>
      <c r="L676" s="8">
        <f>H676</f>
        <v/>
      </c>
      <c r="M676" s="26">
        <f>H676^2/6</f>
        <v/>
      </c>
      <c r="N676" s="26">
        <f>H676^3/12</f>
        <v/>
      </c>
      <c r="O676" s="27">
        <f>-J676*L676*K676*C676</f>
        <v/>
      </c>
      <c r="P676" s="28">
        <f>-(12*F676*J676*L676*N676+12*O676*N676*G676*COS(RADIANS(E676)))/(12*N676*G676*COS(RADIANS(E676))^2+L676*G676^3*SIN(RADIANS(E676))^2)</f>
        <v/>
      </c>
      <c r="Q676" s="28">
        <f>-(6*F676*J676*L676*N676*SIN(RADIANS(E676))+6*O676*N676*G676*SIN(RADIANS(E676))*COS(RADIANS(E676)))/(12*N676*COS(RADIANS(E676))^2+L676*G676^2*SIN(RADIANS(E676))^2)</f>
        <v/>
      </c>
      <c r="R676" s="28">
        <f>-P676*SIN(RADIANS(E676))</f>
        <v/>
      </c>
      <c r="S676" s="8">
        <f>(O676+P676*COS(RADIANS(E676)))/L676</f>
        <v/>
      </c>
      <c r="T676" s="8">
        <f>R676/L676</f>
        <v/>
      </c>
      <c r="U676" s="8">
        <f>(Q676-P676*G676*SIN(RADIANS(E676)))/M676</f>
        <v/>
      </c>
      <c r="V676" s="8">
        <f>SQRT((S676+U676)^2+3*T676^2)</f>
        <v/>
      </c>
      <c r="W676" s="8">
        <f>V676/AA676</f>
        <v/>
      </c>
      <c r="X676" s="27">
        <f>((3*10+H676/COS(RADIANS(E676)))*(3+3)+3*G676*H676)*2</f>
        <v/>
      </c>
      <c r="Y676" s="28">
        <f>Z676/X676</f>
        <v/>
      </c>
      <c r="Z676" s="29" t="n">
        <v>525.9620216951849</v>
      </c>
      <c r="AA676" s="20" t="n">
        <v>37.9533176811023</v>
      </c>
      <c r="AB676" t="n">
        <v>0.03473702005119672</v>
      </c>
      <c r="AC676" t="n">
        <v>40.89386543876304</v>
      </c>
      <c r="AD676" t="n">
        <v>-2.641741828262501</v>
      </c>
    </row>
    <row r="677">
      <c r="A677" t="n">
        <v>676</v>
      </c>
      <c r="B677" t="n">
        <v>56.8</v>
      </c>
      <c r="C677" s="21">
        <f>B677-20</f>
        <v/>
      </c>
      <c r="D677" t="n">
        <v>119.7</v>
      </c>
      <c r="E677" s="22">
        <f>D677-90</f>
        <v/>
      </c>
      <c r="F677" s="23" t="n">
        <v>0.012502</v>
      </c>
      <c r="G677" s="22" t="n">
        <v>27.4</v>
      </c>
      <c r="H677" s="22" t="n">
        <v>1.1</v>
      </c>
      <c r="I677" s="24" t="n">
        <v>0.0592452250421047</v>
      </c>
      <c r="J677" s="6" t="n">
        <v>71000</v>
      </c>
      <c r="K677" s="25">
        <f>23*10^-6</f>
        <v/>
      </c>
      <c r="L677" s="8">
        <f>H677</f>
        <v/>
      </c>
      <c r="M677" s="26">
        <f>H677^2/6</f>
        <v/>
      </c>
      <c r="N677" s="26">
        <f>H677^3/12</f>
        <v/>
      </c>
      <c r="O677" s="27">
        <f>-J677*L677*K677*C677</f>
        <v/>
      </c>
      <c r="P677" s="28">
        <f>-(12*F677*J677*L677*N677+12*O677*N677*G677*COS(RADIANS(E677)))/(12*N677*G677*COS(RADIANS(E677))^2+L677*G677^3*SIN(RADIANS(E677))^2)</f>
        <v/>
      </c>
      <c r="Q677" s="28">
        <f>-(6*F677*J677*L677*N677*SIN(RADIANS(E677))+6*O677*N677*G677*SIN(RADIANS(E677))*COS(RADIANS(E677)))/(12*N677*COS(RADIANS(E677))^2+L677*G677^2*SIN(RADIANS(E677))^2)</f>
        <v/>
      </c>
      <c r="R677" s="28">
        <f>-P677*SIN(RADIANS(E677))</f>
        <v/>
      </c>
      <c r="S677" s="8">
        <f>(O677+P677*COS(RADIANS(E677)))/L677</f>
        <v/>
      </c>
      <c r="T677" s="8">
        <f>R677/L677</f>
        <v/>
      </c>
      <c r="U677" s="8">
        <f>(Q677-P677*G677*SIN(RADIANS(E677)))/M677</f>
        <v/>
      </c>
      <c r="V677" s="8">
        <f>SQRT((S677+U677)^2+3*T677^2)</f>
        <v/>
      </c>
      <c r="W677" s="8">
        <f>V677/AA677</f>
        <v/>
      </c>
      <c r="X677" s="27">
        <f>((3*10+H677/COS(RADIANS(E677)))*(3+3)+3*G677*H677)*2</f>
        <v/>
      </c>
      <c r="Y677" s="28">
        <f>Z677/X677</f>
        <v/>
      </c>
      <c r="Z677" s="29" t="n">
        <v>563.099614146347</v>
      </c>
      <c r="AA677" s="20" t="n">
        <v>50.9721232573909</v>
      </c>
      <c r="AB677" t="n">
        <v>0.06835210683980601</v>
      </c>
      <c r="AC677" t="n">
        <v>53.27452881716507</v>
      </c>
      <c r="AD677" t="n">
        <v>15.37150342703431</v>
      </c>
    </row>
    <row r="678">
      <c r="A678" t="n">
        <v>677</v>
      </c>
      <c r="B678" t="n">
        <v>49.2</v>
      </c>
      <c r="C678" s="21">
        <f>B678-20</f>
        <v/>
      </c>
      <c r="D678" t="n">
        <v>112.6</v>
      </c>
      <c r="E678" s="22">
        <f>D678-90</f>
        <v/>
      </c>
      <c r="F678" s="23" t="n">
        <v>0.011616</v>
      </c>
      <c r="G678" s="22" t="n">
        <v>31.3</v>
      </c>
      <c r="H678" s="22" t="n">
        <v>1.2</v>
      </c>
      <c r="I678" s="24" t="n">
        <v>0.062422577291727</v>
      </c>
      <c r="J678" s="6" t="n">
        <v>71000</v>
      </c>
      <c r="K678" s="25">
        <f>23*10^-6</f>
        <v/>
      </c>
      <c r="L678" s="8">
        <f>H678</f>
        <v/>
      </c>
      <c r="M678" s="26">
        <f>H678^2/6</f>
        <v/>
      </c>
      <c r="N678" s="26">
        <f>H678^3/12</f>
        <v/>
      </c>
      <c r="O678" s="27">
        <f>-J678*L678*K678*C678</f>
        <v/>
      </c>
      <c r="P678" s="28">
        <f>-(12*F678*J678*L678*N678+12*O678*N678*G678*COS(RADIANS(E678)))/(12*N678*G678*COS(RADIANS(E678))^2+L678*G678^3*SIN(RADIANS(E678))^2)</f>
        <v/>
      </c>
      <c r="Q678" s="28">
        <f>-(6*F678*J678*L678*N678*SIN(RADIANS(E678))+6*O678*N678*G678*SIN(RADIANS(E678))*COS(RADIANS(E678)))/(12*N678*COS(RADIANS(E678))^2+L678*G678^2*SIN(RADIANS(E678))^2)</f>
        <v/>
      </c>
      <c r="R678" s="28">
        <f>-P678*SIN(RADIANS(E678))</f>
        <v/>
      </c>
      <c r="S678" s="8">
        <f>(O678+P678*COS(RADIANS(E678)))/L678</f>
        <v/>
      </c>
      <c r="T678" s="8">
        <f>R678/L678</f>
        <v/>
      </c>
      <c r="U678" s="8">
        <f>(Q678-P678*G678*SIN(RADIANS(E678)))/M678</f>
        <v/>
      </c>
      <c r="V678" s="8">
        <f>SQRT((S678+U678)^2+3*T678^2)</f>
        <v/>
      </c>
      <c r="W678" s="8">
        <f>V678/AA678</f>
        <v/>
      </c>
      <c r="X678" s="27">
        <f>((3*10+H678/COS(RADIANS(E678)))*(3+3)+3*G678*H678)*2</f>
        <v/>
      </c>
      <c r="Y678" s="28">
        <f>Z678/X678</f>
        <v/>
      </c>
      <c r="Z678" s="29" t="n">
        <v>606.387623135062</v>
      </c>
      <c r="AA678" s="20" t="n">
        <v>41.6669179845095</v>
      </c>
      <c r="AB678" t="n">
        <v>0.08187126750499259</v>
      </c>
      <c r="AC678" t="n">
        <v>43.4003496979688</v>
      </c>
      <c r="AD678" t="n">
        <v>31.15649987082986</v>
      </c>
    </row>
    <row r="679">
      <c r="A679" t="n">
        <v>678</v>
      </c>
      <c r="B679" t="n">
        <v>48.6</v>
      </c>
      <c r="C679" s="21">
        <f>B679-20</f>
        <v/>
      </c>
      <c r="D679" t="n">
        <v>114.4</v>
      </c>
      <c r="E679" s="22">
        <f>D679-90</f>
        <v/>
      </c>
      <c r="F679" s="23" t="n">
        <v>0.008251</v>
      </c>
      <c r="G679" s="22" t="n">
        <v>21.2</v>
      </c>
      <c r="H679" s="22" t="n">
        <v>1.7</v>
      </c>
      <c r="I679" s="24" t="n">
        <v>0.0445379689335823</v>
      </c>
      <c r="J679" s="6" t="n">
        <v>71000</v>
      </c>
      <c r="K679" s="25">
        <f>23*10^-6</f>
        <v/>
      </c>
      <c r="L679" s="8">
        <f>H679</f>
        <v/>
      </c>
      <c r="M679" s="26">
        <f>H679^2/6</f>
        <v/>
      </c>
      <c r="N679" s="26">
        <f>H679^3/12</f>
        <v/>
      </c>
      <c r="O679" s="27">
        <f>-J679*L679*K679*C679</f>
        <v/>
      </c>
      <c r="P679" s="28">
        <f>-(12*F679*J679*L679*N679+12*O679*N679*G679*COS(RADIANS(E679)))/(12*N679*G679*COS(RADIANS(E679))^2+L679*G679^3*SIN(RADIANS(E679))^2)</f>
        <v/>
      </c>
      <c r="Q679" s="28">
        <f>-(6*F679*J679*L679*N679*SIN(RADIANS(E679))+6*O679*N679*G679*SIN(RADIANS(E679))*COS(RADIANS(E679)))/(12*N679*COS(RADIANS(E679))^2+L679*G679^2*SIN(RADIANS(E679))^2)</f>
        <v/>
      </c>
      <c r="R679" s="28">
        <f>-P679*SIN(RADIANS(E679))</f>
        <v/>
      </c>
      <c r="S679" s="8">
        <f>(O679+P679*COS(RADIANS(E679)))/L679</f>
        <v/>
      </c>
      <c r="T679" s="8">
        <f>R679/L679</f>
        <v/>
      </c>
      <c r="U679" s="8">
        <f>(Q679-P679*G679*SIN(RADIANS(E679)))/M679</f>
        <v/>
      </c>
      <c r="V679" s="8">
        <f>SQRT((S679+U679)^2+3*T679^2)</f>
        <v/>
      </c>
      <c r="W679" s="8">
        <f>V679/AA679</f>
        <v/>
      </c>
      <c r="X679" s="27">
        <f>((3*10+H679/COS(RADIANS(E679)))*(3+3)+3*G679*H679)*2</f>
        <v/>
      </c>
      <c r="Y679" s="28">
        <f>Z679/X679</f>
        <v/>
      </c>
      <c r="Z679" s="29" t="n">
        <v>604.428210049463</v>
      </c>
      <c r="AA679" s="20" t="n">
        <v>47.1984587458837</v>
      </c>
      <c r="AB679" t="n">
        <v>0.05025901811505854</v>
      </c>
      <c r="AC679" t="n">
        <v>44.92673874542253</v>
      </c>
      <c r="AD679" t="n">
        <v>12.84533021702857</v>
      </c>
    </row>
    <row r="680">
      <c r="A680" t="n">
        <v>679</v>
      </c>
      <c r="B680" t="n">
        <v>47.9</v>
      </c>
      <c r="C680" s="21">
        <f>B680-20</f>
        <v/>
      </c>
      <c r="D680" t="n">
        <v>106.2</v>
      </c>
      <c r="E680" s="22">
        <f>D680-90</f>
        <v/>
      </c>
      <c r="F680" s="23" t="n">
        <v>0.00988</v>
      </c>
      <c r="G680" s="22" t="n">
        <v>26.1</v>
      </c>
      <c r="H680" s="22" t="n">
        <v>1.2</v>
      </c>
      <c r="I680" s="24" t="n">
        <v>0.0676730796694755</v>
      </c>
      <c r="J680" s="6" t="n">
        <v>71000</v>
      </c>
      <c r="K680" s="25">
        <f>23*10^-6</f>
        <v/>
      </c>
      <c r="L680" s="8">
        <f>H680</f>
        <v/>
      </c>
      <c r="M680" s="26">
        <f>H680^2/6</f>
        <v/>
      </c>
      <c r="N680" s="26">
        <f>H680^3/12</f>
        <v/>
      </c>
      <c r="O680" s="27">
        <f>-J680*L680*K680*C680</f>
        <v/>
      </c>
      <c r="P680" s="28">
        <f>-(12*F680*J680*L680*N680+12*O680*N680*G680*COS(RADIANS(E680)))/(12*N680*G680*COS(RADIANS(E680))^2+L680*G680^3*SIN(RADIANS(E680))^2)</f>
        <v/>
      </c>
      <c r="Q680" s="28">
        <f>-(6*F680*J680*L680*N680*SIN(RADIANS(E680))+6*O680*N680*G680*SIN(RADIANS(E680))*COS(RADIANS(E680)))/(12*N680*COS(RADIANS(E680))^2+L680*G680^2*SIN(RADIANS(E680))^2)</f>
        <v/>
      </c>
      <c r="R680" s="28">
        <f>-P680*SIN(RADIANS(E680))</f>
        <v/>
      </c>
      <c r="S680" s="8">
        <f>(O680+P680*COS(RADIANS(E680)))/L680</f>
        <v/>
      </c>
      <c r="T680" s="8">
        <f>R680/L680</f>
        <v/>
      </c>
      <c r="U680" s="8">
        <f>(Q680-P680*G680*SIN(RADIANS(E680)))/M680</f>
        <v/>
      </c>
      <c r="V680" s="8">
        <f>SQRT((S680+U680)^2+3*T680^2)</f>
        <v/>
      </c>
      <c r="W680" s="8">
        <f>V680/AA680</f>
        <v/>
      </c>
      <c r="X680" s="27">
        <f>((3*10+H680/COS(RADIANS(E680)))*(3+3)+3*G680*H680)*2</f>
        <v/>
      </c>
      <c r="Y680" s="28">
        <f>Z680/X680</f>
        <v/>
      </c>
      <c r="Z680" s="29" t="n">
        <v>567.3413962248341</v>
      </c>
      <c r="AA680" s="20" t="n">
        <v>41.2616503664422</v>
      </c>
      <c r="AB680" t="n">
        <v>0.09167173068475187</v>
      </c>
      <c r="AC680" t="n">
        <v>43.81444188847366</v>
      </c>
      <c r="AD680" t="n">
        <v>35.46262580702554</v>
      </c>
    </row>
    <row r="681">
      <c r="A681" t="n">
        <v>680</v>
      </c>
      <c r="B681" t="n">
        <v>68.5</v>
      </c>
      <c r="C681" s="21">
        <f>B681-20</f>
        <v/>
      </c>
      <c r="D681" t="n">
        <v>100.4</v>
      </c>
      <c r="E681" s="22">
        <f>D681-90</f>
        <v/>
      </c>
      <c r="F681" s="23" t="n">
        <v>0.022079</v>
      </c>
      <c r="G681" s="22" t="n">
        <v>34.5</v>
      </c>
      <c r="H681" s="22" t="n">
        <v>1.9</v>
      </c>
      <c r="I681" s="24" t="n">
        <v>0.199161693453788</v>
      </c>
      <c r="J681" s="6" t="n">
        <v>71000</v>
      </c>
      <c r="K681" s="25">
        <f>23*10^-6</f>
        <v/>
      </c>
      <c r="L681" s="8">
        <f>H681</f>
        <v/>
      </c>
      <c r="M681" s="26">
        <f>H681^2/6</f>
        <v/>
      </c>
      <c r="N681" s="26">
        <f>H681^3/12</f>
        <v/>
      </c>
      <c r="O681" s="27">
        <f>-J681*L681*K681*C681</f>
        <v/>
      </c>
      <c r="P681" s="28">
        <f>-(12*F681*J681*L681*N681+12*O681*N681*G681*COS(RADIANS(E681)))/(12*N681*G681*COS(RADIANS(E681))^2+L681*G681^3*SIN(RADIANS(E681))^2)</f>
        <v/>
      </c>
      <c r="Q681" s="28">
        <f>-(6*F681*J681*L681*N681*SIN(RADIANS(E681))+6*O681*N681*G681*SIN(RADIANS(E681))*COS(RADIANS(E681)))/(12*N681*COS(RADIANS(E681))^2+L681*G681^2*SIN(RADIANS(E681))^2)</f>
        <v/>
      </c>
      <c r="R681" s="28">
        <f>-P681*SIN(RADIANS(E681))</f>
        <v/>
      </c>
      <c r="S681" s="8">
        <f>(O681+P681*COS(RADIANS(E681)))/L681</f>
        <v/>
      </c>
      <c r="T681" s="8">
        <f>R681/L681</f>
        <v/>
      </c>
      <c r="U681" s="8">
        <f>(Q681-P681*G681*SIN(RADIANS(E681)))/M681</f>
        <v/>
      </c>
      <c r="V681" s="8">
        <f>SQRT((S681+U681)^2+3*T681^2)</f>
        <v/>
      </c>
      <c r="W681" s="8">
        <f>V681/AA681</f>
        <v/>
      </c>
      <c r="X681" s="27">
        <f>((3*10+H681/COS(RADIANS(E681)))*(3+3)+3*G681*H681)*2</f>
        <v/>
      </c>
      <c r="Y681" s="28">
        <f>Z681/X681</f>
        <v/>
      </c>
      <c r="Z681" s="29" t="n">
        <v>780.3153266885309</v>
      </c>
      <c r="AA681" s="20" t="n">
        <v>85.8851016175996</v>
      </c>
      <c r="AB681" t="n">
        <v>0.3056070659459477</v>
      </c>
      <c r="AC681" t="n">
        <v>85.31945659869616</v>
      </c>
      <c r="AD681" t="n">
        <v>53.44670987990893</v>
      </c>
    </row>
    <row r="682">
      <c r="A682" t="n">
        <v>681</v>
      </c>
      <c r="B682" t="n">
        <v>85.7</v>
      </c>
      <c r="C682" s="21">
        <f>B682-20</f>
        <v/>
      </c>
      <c r="D682" t="n">
        <v>124.9</v>
      </c>
      <c r="E682" s="22">
        <f>D682-90</f>
        <v/>
      </c>
      <c r="F682" s="23" t="n">
        <v>0.024396</v>
      </c>
      <c r="G682" s="22" t="n">
        <v>32.4</v>
      </c>
      <c r="H682" s="22" t="n">
        <v>1.8</v>
      </c>
      <c r="I682" s="24" t="n">
        <v>0.106672205030918</v>
      </c>
      <c r="J682" s="6" t="n">
        <v>71000</v>
      </c>
      <c r="K682" s="25">
        <f>23*10^-6</f>
        <v/>
      </c>
      <c r="L682" s="8">
        <f>H682</f>
        <v/>
      </c>
      <c r="M682" s="26">
        <f>H682^2/6</f>
        <v/>
      </c>
      <c r="N682" s="26">
        <f>H682^3/12</f>
        <v/>
      </c>
      <c r="O682" s="27">
        <f>-J682*L682*K682*C682</f>
        <v/>
      </c>
      <c r="P682" s="28">
        <f>-(12*F682*J682*L682*N682+12*O682*N682*G682*COS(RADIANS(E682)))/(12*N682*G682*COS(RADIANS(E682))^2+L682*G682^3*SIN(RADIANS(E682))^2)</f>
        <v/>
      </c>
      <c r="Q682" s="28">
        <f>-(6*F682*J682*L682*N682*SIN(RADIANS(E682))+6*O682*N682*G682*SIN(RADIANS(E682))*COS(RADIANS(E682)))/(12*N682*COS(RADIANS(E682))^2+L682*G682^2*SIN(RADIANS(E682))^2)</f>
        <v/>
      </c>
      <c r="R682" s="28">
        <f>-P682*SIN(RADIANS(E682))</f>
        <v/>
      </c>
      <c r="S682" s="8">
        <f>(O682+P682*COS(RADIANS(E682)))/L682</f>
        <v/>
      </c>
      <c r="T682" s="8">
        <f>R682/L682</f>
        <v/>
      </c>
      <c r="U682" s="8">
        <f>(Q682-P682*G682*SIN(RADIANS(E682)))/M682</f>
        <v/>
      </c>
      <c r="V682" s="8">
        <f>SQRT((S682+U682)^2+3*T682^2)</f>
        <v/>
      </c>
      <c r="W682" s="8">
        <f>V682/AA682</f>
        <v/>
      </c>
      <c r="X682" s="27">
        <f>((3*10+H682/COS(RADIANS(E682)))*(3+3)+3*G682*H682)*2</f>
        <v/>
      </c>
      <c r="Y682" s="28">
        <f>Z682/X682</f>
        <v/>
      </c>
      <c r="Z682" s="29" t="n">
        <v>744.953087658438</v>
      </c>
      <c r="AA682" s="20" t="n">
        <v>100.212128208523</v>
      </c>
      <c r="AB682" t="n">
        <v>0.1196765355753179</v>
      </c>
      <c r="AC682" t="n">
        <v>96.24637485132781</v>
      </c>
      <c r="AD682" t="n">
        <v>12.19092690605837</v>
      </c>
    </row>
    <row r="683">
      <c r="A683" t="n">
        <v>682</v>
      </c>
      <c r="B683" t="n">
        <v>66.8</v>
      </c>
      <c r="C683" s="21">
        <f>B683-20</f>
        <v/>
      </c>
      <c r="D683" t="n">
        <v>110.9</v>
      </c>
      <c r="E683" s="22">
        <f>D683-90</f>
        <v/>
      </c>
      <c r="F683" s="23" t="n">
        <v>0.015811</v>
      </c>
      <c r="G683" s="22" t="n">
        <v>25.3</v>
      </c>
      <c r="H683" s="22" t="n">
        <v>1.6</v>
      </c>
      <c r="I683" s="24" t="n">
        <v>0.0911870077252388</v>
      </c>
      <c r="J683" s="6" t="n">
        <v>71000</v>
      </c>
      <c r="K683" s="25">
        <f>23*10^-6</f>
        <v/>
      </c>
      <c r="L683" s="8">
        <f>H683</f>
        <v/>
      </c>
      <c r="M683" s="26">
        <f>H683^2/6</f>
        <v/>
      </c>
      <c r="N683" s="26">
        <f>H683^3/12</f>
        <v/>
      </c>
      <c r="O683" s="27">
        <f>-J683*L683*K683*C683</f>
        <v/>
      </c>
      <c r="P683" s="28">
        <f>-(12*F683*J683*L683*N683+12*O683*N683*G683*COS(RADIANS(E683)))/(12*N683*G683*COS(RADIANS(E683))^2+L683*G683^3*SIN(RADIANS(E683))^2)</f>
        <v/>
      </c>
      <c r="Q683" s="28">
        <f>-(6*F683*J683*L683*N683*SIN(RADIANS(E683))+6*O683*N683*G683*SIN(RADIANS(E683))*COS(RADIANS(E683)))/(12*N683*COS(RADIANS(E683))^2+L683*G683^2*SIN(RADIANS(E683))^2)</f>
        <v/>
      </c>
      <c r="R683" s="28">
        <f>-P683*SIN(RADIANS(E683))</f>
        <v/>
      </c>
      <c r="S683" s="8">
        <f>(O683+P683*COS(RADIANS(E683)))/L683</f>
        <v/>
      </c>
      <c r="T683" s="8">
        <f>R683/L683</f>
        <v/>
      </c>
      <c r="U683" s="8">
        <f>(Q683-P683*G683*SIN(RADIANS(E683)))/M683</f>
        <v/>
      </c>
      <c r="V683" s="8">
        <f>SQRT((S683+U683)^2+3*T683^2)</f>
        <v/>
      </c>
      <c r="W683" s="8">
        <f>V683/AA683</f>
        <v/>
      </c>
      <c r="X683" s="27">
        <f>((3*10+H683/COS(RADIANS(E683)))*(3+3)+3*G683*H683)*2</f>
        <v/>
      </c>
      <c r="Y683" s="28">
        <f>Z683/X683</f>
        <v/>
      </c>
      <c r="Z683" s="29" t="n">
        <v>628.5561824748841</v>
      </c>
      <c r="AA683" s="20" t="n">
        <v>74.8512659102856</v>
      </c>
      <c r="AB683" t="n">
        <v>0.1144394293630675</v>
      </c>
      <c r="AC683" t="n">
        <v>73.72984846063179</v>
      </c>
      <c r="AD683" t="n">
        <v>25.49970902421979</v>
      </c>
    </row>
    <row r="684">
      <c r="A684" t="n">
        <v>683</v>
      </c>
      <c r="B684" t="n">
        <v>84</v>
      </c>
      <c r="C684" s="21">
        <f>B684-20</f>
        <v/>
      </c>
      <c r="D684" t="n">
        <v>121.2</v>
      </c>
      <c r="E684" s="22">
        <f>D684-90</f>
        <v/>
      </c>
      <c r="F684" s="23" t="n">
        <v>0.020104</v>
      </c>
      <c r="G684" s="22" t="n">
        <v>25.2</v>
      </c>
      <c r="H684" s="22" t="n">
        <v>2</v>
      </c>
      <c r="I684" s="24" t="n">
        <v>0.0946157723665237</v>
      </c>
      <c r="J684" s="6" t="n">
        <v>71000</v>
      </c>
      <c r="K684" s="25">
        <f>23*10^-6</f>
        <v/>
      </c>
      <c r="L684" s="8">
        <f>H684</f>
        <v/>
      </c>
      <c r="M684" s="26">
        <f>H684^2/6</f>
        <v/>
      </c>
      <c r="N684" s="26">
        <f>H684^3/12</f>
        <v/>
      </c>
      <c r="O684" s="27">
        <f>-J684*L684*K684*C684</f>
        <v/>
      </c>
      <c r="P684" s="28">
        <f>-(12*F684*J684*L684*N684+12*O684*N684*G684*COS(RADIANS(E684)))/(12*N684*G684*COS(RADIANS(E684))^2+L684*G684^3*SIN(RADIANS(E684))^2)</f>
        <v/>
      </c>
      <c r="Q684" s="28">
        <f>-(6*F684*J684*L684*N684*SIN(RADIANS(E684))+6*O684*N684*G684*SIN(RADIANS(E684))*COS(RADIANS(E684)))/(12*N684*COS(RADIANS(E684))^2+L684*G684^2*SIN(RADIANS(E684))^2)</f>
        <v/>
      </c>
      <c r="R684" s="28">
        <f>-P684*SIN(RADIANS(E684))</f>
        <v/>
      </c>
      <c r="S684" s="8">
        <f>(O684+P684*COS(RADIANS(E684)))/L684</f>
        <v/>
      </c>
      <c r="T684" s="8">
        <f>R684/L684</f>
        <v/>
      </c>
      <c r="U684" s="8">
        <f>(Q684-P684*G684*SIN(RADIANS(E684)))/M684</f>
        <v/>
      </c>
      <c r="V684" s="8">
        <f>SQRT((S684+U684)^2+3*T684^2)</f>
        <v/>
      </c>
      <c r="W684" s="8">
        <f>V684/AA684</f>
        <v/>
      </c>
      <c r="X684" s="27">
        <f>((3*10+H684/COS(RADIANS(E684)))*(3+3)+3*G684*H684)*2</f>
        <v/>
      </c>
      <c r="Y684" s="28">
        <f>Z684/X684</f>
        <v/>
      </c>
      <c r="Z684" s="29" t="n">
        <v>697.950072678458</v>
      </c>
      <c r="AA684" s="20" t="n">
        <v>106.710067472144</v>
      </c>
      <c r="AB684" t="n">
        <v>0.1028281491465136</v>
      </c>
      <c r="AC684" t="n">
        <v>97.60214669951407</v>
      </c>
      <c r="AD684" t="n">
        <v>8.679712245202294</v>
      </c>
    </row>
    <row r="685">
      <c r="A685" t="n">
        <v>684</v>
      </c>
      <c r="B685" t="n">
        <v>52</v>
      </c>
      <c r="C685" s="21">
        <f>B685-20</f>
        <v/>
      </c>
      <c r="D685" t="n">
        <v>128.9</v>
      </c>
      <c r="E685" s="22">
        <f>D685-90</f>
        <v/>
      </c>
      <c r="F685" s="23" t="n">
        <v>0.008577</v>
      </c>
      <c r="G685" s="22" t="n">
        <v>22.5</v>
      </c>
      <c r="H685" s="22" t="n">
        <v>1.3</v>
      </c>
      <c r="I685" s="24" t="n">
        <v>0.0385394319891929</v>
      </c>
      <c r="J685" s="6" t="n">
        <v>71000</v>
      </c>
      <c r="K685" s="25">
        <f>23*10^-6</f>
        <v/>
      </c>
      <c r="L685" s="8">
        <f>H685</f>
        <v/>
      </c>
      <c r="M685" s="26">
        <f>H685^2/6</f>
        <v/>
      </c>
      <c r="N685" s="26">
        <f>H685^3/12</f>
        <v/>
      </c>
      <c r="O685" s="27">
        <f>-J685*L685*K685*C685</f>
        <v/>
      </c>
      <c r="P685" s="28">
        <f>-(12*F685*J685*L685*N685+12*O685*N685*G685*COS(RADIANS(E685)))/(12*N685*G685*COS(RADIANS(E685))^2+L685*G685^3*SIN(RADIANS(E685))^2)</f>
        <v/>
      </c>
      <c r="Q685" s="28">
        <f>-(6*F685*J685*L685*N685*SIN(RADIANS(E685))+6*O685*N685*G685*SIN(RADIANS(E685))*COS(RADIANS(E685)))/(12*N685*COS(RADIANS(E685))^2+L685*G685^2*SIN(RADIANS(E685))^2)</f>
        <v/>
      </c>
      <c r="R685" s="28">
        <f>-P685*SIN(RADIANS(E685))</f>
        <v/>
      </c>
      <c r="S685" s="8">
        <f>(O685+P685*COS(RADIANS(E685)))/L685</f>
        <v/>
      </c>
      <c r="T685" s="8">
        <f>R685/L685</f>
        <v/>
      </c>
      <c r="U685" s="8">
        <f>(Q685-P685*G685*SIN(RADIANS(E685)))/M685</f>
        <v/>
      </c>
      <c r="V685" s="8">
        <f>SQRT((S685+U685)^2+3*T685^2)</f>
        <v/>
      </c>
      <c r="W685" s="8">
        <f>V685/AA685</f>
        <v/>
      </c>
      <c r="X685" s="27">
        <f>((3*10+H685/COS(RADIANS(E685)))*(3+3)+3*G685*H685)*2</f>
        <v/>
      </c>
      <c r="Y685" s="28">
        <f>Z685/X685</f>
        <v/>
      </c>
      <c r="Z685" s="29" t="n">
        <v>565.81746957749</v>
      </c>
      <c r="AA685" s="20" t="n">
        <v>45.4873375144397</v>
      </c>
      <c r="AB685" t="n">
        <v>0.03677605666971323</v>
      </c>
      <c r="AC685" t="n">
        <v>45.97932590763031</v>
      </c>
      <c r="AD685" t="n">
        <v>-4.575509363952611</v>
      </c>
    </row>
    <row r="686">
      <c r="A686" t="n">
        <v>685</v>
      </c>
      <c r="B686" t="n">
        <v>82.2</v>
      </c>
      <c r="C686" s="21">
        <f>B686-20</f>
        <v/>
      </c>
      <c r="D686" t="n">
        <v>117.4</v>
      </c>
      <c r="E686" s="22">
        <f>D686-90</f>
        <v/>
      </c>
      <c r="F686" s="23" t="n">
        <v>0.0227</v>
      </c>
      <c r="G686" s="22" t="n">
        <v>29.3</v>
      </c>
      <c r="H686" s="22" t="n">
        <v>1.3</v>
      </c>
      <c r="I686" s="24" t="n">
        <v>0.110615953803062</v>
      </c>
      <c r="J686" s="6" t="n">
        <v>71000</v>
      </c>
      <c r="K686" s="25">
        <f>23*10^-6</f>
        <v/>
      </c>
      <c r="L686" s="8">
        <f>H686</f>
        <v/>
      </c>
      <c r="M686" s="26">
        <f>H686^2/6</f>
        <v/>
      </c>
      <c r="N686" s="26">
        <f>H686^3/12</f>
        <v/>
      </c>
      <c r="O686" s="27">
        <f>-J686*L686*K686*C686</f>
        <v/>
      </c>
      <c r="P686" s="28">
        <f>-(12*F686*J686*L686*N686+12*O686*N686*G686*COS(RADIANS(E686)))/(12*N686*G686*COS(RADIANS(E686))^2+L686*G686^3*SIN(RADIANS(E686))^2)</f>
        <v/>
      </c>
      <c r="Q686" s="28">
        <f>-(6*F686*J686*L686*N686*SIN(RADIANS(E686))+6*O686*N686*G686*SIN(RADIANS(E686))*COS(RADIANS(E686)))/(12*N686*COS(RADIANS(E686))^2+L686*G686^2*SIN(RADIANS(E686))^2)</f>
        <v/>
      </c>
      <c r="R686" s="28">
        <f>-P686*SIN(RADIANS(E686))</f>
        <v/>
      </c>
      <c r="S686" s="8">
        <f>(O686+P686*COS(RADIANS(E686)))/L686</f>
        <v/>
      </c>
      <c r="T686" s="8">
        <f>R686/L686</f>
        <v/>
      </c>
      <c r="U686" s="8">
        <f>(Q686-P686*G686*SIN(RADIANS(E686)))/M686</f>
        <v/>
      </c>
      <c r="V686" s="8">
        <f>SQRT((S686+U686)^2+3*T686^2)</f>
        <v/>
      </c>
      <c r="W686" s="8">
        <f>V686/AA686</f>
        <v/>
      </c>
      <c r="X686" s="27">
        <f>((3*10+H686/COS(RADIANS(E686)))*(3+3)+3*G686*H686)*2</f>
        <v/>
      </c>
      <c r="Y686" s="28">
        <f>Z686/X686</f>
        <v/>
      </c>
      <c r="Z686" s="29" t="n">
        <v>612.577497107438</v>
      </c>
      <c r="AA686" s="20" t="n">
        <v>89.7982357795224</v>
      </c>
      <c r="AB686" t="n">
        <v>0.1338091617977666</v>
      </c>
      <c r="AC686" t="n">
        <v>91.61150898420925</v>
      </c>
      <c r="AD686" t="n">
        <v>20.9673263189478</v>
      </c>
    </row>
    <row r="687">
      <c r="A687" t="n">
        <v>686</v>
      </c>
      <c r="B687" t="n">
        <v>44.2</v>
      </c>
      <c r="C687" s="21">
        <f>B687-20</f>
        <v/>
      </c>
      <c r="D687" t="n">
        <v>109.8</v>
      </c>
      <c r="E687" s="22">
        <f>D687-90</f>
        <v/>
      </c>
      <c r="F687" s="23" t="n">
        <v>0.009131</v>
      </c>
      <c r="G687" s="22" t="n">
        <v>28.8</v>
      </c>
      <c r="H687" s="22" t="n">
        <v>1.3</v>
      </c>
      <c r="I687" s="24" t="n">
        <v>0.0538765527307987</v>
      </c>
      <c r="J687" s="6" t="n">
        <v>71000</v>
      </c>
      <c r="K687" s="25">
        <f>23*10^-6</f>
        <v/>
      </c>
      <c r="L687" s="8">
        <f>H687</f>
        <v/>
      </c>
      <c r="M687" s="26">
        <f>H687^2/6</f>
        <v/>
      </c>
      <c r="N687" s="26">
        <f>H687^3/12</f>
        <v/>
      </c>
      <c r="O687" s="27">
        <f>-J687*L687*K687*C687</f>
        <v/>
      </c>
      <c r="P687" s="28">
        <f>-(12*F687*J687*L687*N687+12*O687*N687*G687*COS(RADIANS(E687)))/(12*N687*G687*COS(RADIANS(E687))^2+L687*G687^3*SIN(RADIANS(E687))^2)</f>
        <v/>
      </c>
      <c r="Q687" s="28">
        <f>-(6*F687*J687*L687*N687*SIN(RADIANS(E687))+6*O687*N687*G687*SIN(RADIANS(E687))*COS(RADIANS(E687)))/(12*N687*COS(RADIANS(E687))^2+L687*G687^2*SIN(RADIANS(E687))^2)</f>
        <v/>
      </c>
      <c r="R687" s="28">
        <f>-P687*SIN(RADIANS(E687))</f>
        <v/>
      </c>
      <c r="S687" s="8">
        <f>(O687+P687*COS(RADIANS(E687)))/L687</f>
        <v/>
      </c>
      <c r="T687" s="8">
        <f>R687/L687</f>
        <v/>
      </c>
      <c r="U687" s="8">
        <f>(Q687-P687*G687*SIN(RADIANS(E687)))/M687</f>
        <v/>
      </c>
      <c r="V687" s="8">
        <f>SQRT((S687+U687)^2+3*T687^2)</f>
        <v/>
      </c>
      <c r="W687" s="8">
        <f>V687/AA687</f>
        <v/>
      </c>
      <c r="X687" s="27">
        <f>((3*10+H687/COS(RADIANS(E687)))*(3+3)+3*G687*H687)*2</f>
        <v/>
      </c>
      <c r="Y687" s="28">
        <f>Z687/X687</f>
        <v/>
      </c>
      <c r="Z687" s="29" t="n">
        <v>606.161852789351</v>
      </c>
      <c r="AA687" s="20" t="n">
        <v>35.7560037421382</v>
      </c>
      <c r="AB687" t="n">
        <v>0.07150923427050619</v>
      </c>
      <c r="AC687" t="n">
        <v>37.05480952761615</v>
      </c>
      <c r="AD687" t="n">
        <v>32.72793199633895</v>
      </c>
    </row>
    <row r="688">
      <c r="A688" t="n">
        <v>687</v>
      </c>
      <c r="B688" t="n">
        <v>46.8</v>
      </c>
      <c r="C688" s="21">
        <f>B688-20</f>
        <v/>
      </c>
      <c r="D688" t="n">
        <v>105.1</v>
      </c>
      <c r="E688" s="22">
        <f>D688-90</f>
        <v/>
      </c>
      <c r="F688" s="23" t="n">
        <v>0.010063</v>
      </c>
      <c r="G688" s="22" t="n">
        <v>27.9</v>
      </c>
      <c r="H688" s="22" t="n">
        <v>1</v>
      </c>
      <c r="I688" s="24" t="n">
        <v>0.07239193469285959</v>
      </c>
      <c r="J688" s="6" t="n">
        <v>71000</v>
      </c>
      <c r="K688" s="25">
        <f>23*10^-6</f>
        <v/>
      </c>
      <c r="L688" s="8">
        <f>H688</f>
        <v/>
      </c>
      <c r="M688" s="26">
        <f>H688^2/6</f>
        <v/>
      </c>
      <c r="N688" s="26">
        <f>H688^3/12</f>
        <v/>
      </c>
      <c r="O688" s="27">
        <f>-J688*L688*K688*C688</f>
        <v/>
      </c>
      <c r="P688" s="28">
        <f>-(12*F688*J688*L688*N688+12*O688*N688*G688*COS(RADIANS(E688)))/(12*N688*G688*COS(RADIANS(E688))^2+L688*G688^3*SIN(RADIANS(E688))^2)</f>
        <v/>
      </c>
      <c r="Q688" s="28">
        <f>-(6*F688*J688*L688*N688*SIN(RADIANS(E688))+6*O688*N688*G688*SIN(RADIANS(E688))*COS(RADIANS(E688)))/(12*N688*COS(RADIANS(E688))^2+L688*G688^2*SIN(RADIANS(E688))^2)</f>
        <v/>
      </c>
      <c r="R688" s="28">
        <f>-P688*SIN(RADIANS(E688))</f>
        <v/>
      </c>
      <c r="S688" s="8">
        <f>(O688+P688*COS(RADIANS(E688)))/L688</f>
        <v/>
      </c>
      <c r="T688" s="8">
        <f>R688/L688</f>
        <v/>
      </c>
      <c r="U688" s="8">
        <f>(Q688-P688*G688*SIN(RADIANS(E688)))/M688</f>
        <v/>
      </c>
      <c r="V688" s="8">
        <f>SQRT((S688+U688)^2+3*T688^2)</f>
        <v/>
      </c>
      <c r="W688" s="8">
        <f>V688/AA688</f>
        <v/>
      </c>
      <c r="X688" s="27">
        <f>((3*10+H688/COS(RADIANS(E688)))*(3+3)+3*G688*H688)*2</f>
        <v/>
      </c>
      <c r="Y688" s="28">
        <f>Z688/X688</f>
        <v/>
      </c>
      <c r="Z688" s="29" t="n">
        <v>544.121066490114</v>
      </c>
      <c r="AA688" s="20" t="n">
        <v>38.0225162283954</v>
      </c>
      <c r="AB688" t="n">
        <v>0.1014723473670092</v>
      </c>
      <c r="AC688" t="n">
        <v>41.30293572505116</v>
      </c>
      <c r="AD688" t="n">
        <v>40.17079084504414</v>
      </c>
    </row>
    <row r="689">
      <c r="A689" t="n">
        <v>688</v>
      </c>
      <c r="B689" t="n">
        <v>60.5</v>
      </c>
      <c r="C689" s="21">
        <f>B689-20</f>
        <v/>
      </c>
      <c r="D689" t="n">
        <v>113.7</v>
      </c>
      <c r="E689" s="22">
        <f>D689-90</f>
        <v/>
      </c>
      <c r="F689" s="23" t="n">
        <v>0.011606</v>
      </c>
      <c r="G689" s="22" t="n">
        <v>20.9</v>
      </c>
      <c r="H689" s="22" t="n">
        <v>1.1</v>
      </c>
      <c r="I689" s="24" t="n">
        <v>0.0642298534512519</v>
      </c>
      <c r="J689" s="6" t="n">
        <v>71000</v>
      </c>
      <c r="K689" s="25">
        <f>23*10^-6</f>
        <v/>
      </c>
      <c r="L689" s="8">
        <f>H689</f>
        <v/>
      </c>
      <c r="M689" s="26">
        <f>H689^2/6</f>
        <v/>
      </c>
      <c r="N689" s="26">
        <f>H689^3/12</f>
        <v/>
      </c>
      <c r="O689" s="27">
        <f>-J689*L689*K689*C689</f>
        <v/>
      </c>
      <c r="P689" s="28">
        <f>-(12*F689*J689*L689*N689+12*O689*N689*G689*COS(RADIANS(E689)))/(12*N689*G689*COS(RADIANS(E689))^2+L689*G689^3*SIN(RADIANS(E689))^2)</f>
        <v/>
      </c>
      <c r="Q689" s="28">
        <f>-(6*F689*J689*L689*N689*SIN(RADIANS(E689))+6*O689*N689*G689*SIN(RADIANS(E689))*COS(RADIANS(E689)))/(12*N689*COS(RADIANS(E689))^2+L689*G689^2*SIN(RADIANS(E689))^2)</f>
        <v/>
      </c>
      <c r="R689" s="28">
        <f>-P689*SIN(RADIANS(E689))</f>
        <v/>
      </c>
      <c r="S689" s="8">
        <f>(O689+P689*COS(RADIANS(E689)))/L689</f>
        <v/>
      </c>
      <c r="T689" s="8">
        <f>R689/L689</f>
        <v/>
      </c>
      <c r="U689" s="8">
        <f>(Q689-P689*G689*SIN(RADIANS(E689)))/M689</f>
        <v/>
      </c>
      <c r="V689" s="8">
        <f>SQRT((S689+U689)^2+3*T689^2)</f>
        <v/>
      </c>
      <c r="W689" s="8">
        <f>V689/AA689</f>
        <v/>
      </c>
      <c r="X689" s="27">
        <f>((3*10+H689/COS(RADIANS(E689)))*(3+3)+3*G689*H689)*2</f>
        <v/>
      </c>
      <c r="Y689" s="28">
        <f>Z689/X689</f>
        <v/>
      </c>
      <c r="Z689" s="29" t="n">
        <v>517.9999477157641</v>
      </c>
      <c r="AA689" s="20" t="n">
        <v>58.4814926400463</v>
      </c>
      <c r="AB689" t="n">
        <v>0.07374073092877383</v>
      </c>
      <c r="AC689" t="n">
        <v>60.85853959869188</v>
      </c>
      <c r="AD689" t="n">
        <v>14.80756527763267</v>
      </c>
    </row>
    <row r="690">
      <c r="A690" t="n">
        <v>689</v>
      </c>
      <c r="B690" t="n">
        <v>83.7</v>
      </c>
      <c r="C690" s="21">
        <f>B690-20</f>
        <v/>
      </c>
      <c r="D690" t="n">
        <v>116</v>
      </c>
      <c r="E690" s="22">
        <f>D690-90</f>
        <v/>
      </c>
      <c r="F690" s="23" t="n">
        <v>0.017802</v>
      </c>
      <c r="G690" s="22" t="n">
        <v>20.6</v>
      </c>
      <c r="H690" s="22" t="n">
        <v>2</v>
      </c>
      <c r="I690" s="24" t="n">
        <v>0.0930811390280723</v>
      </c>
      <c r="J690" s="6" t="n">
        <v>71000</v>
      </c>
      <c r="K690" s="25">
        <f>23*10^-6</f>
        <v/>
      </c>
      <c r="L690" s="8">
        <f>H690</f>
        <v/>
      </c>
      <c r="M690" s="26">
        <f>H690^2/6</f>
        <v/>
      </c>
      <c r="N690" s="26">
        <f>H690^3/12</f>
        <v/>
      </c>
      <c r="O690" s="27">
        <f>-J690*L690*K690*C690</f>
        <v/>
      </c>
      <c r="P690" s="28">
        <f>-(12*F690*J690*L690*N690+12*O690*N690*G690*COS(RADIANS(E690)))/(12*N690*G690*COS(RADIANS(E690))^2+L690*G690^3*SIN(RADIANS(E690))^2)</f>
        <v/>
      </c>
      <c r="Q690" s="28">
        <f>-(6*F690*J690*L690*N690*SIN(RADIANS(E690))+6*O690*N690*G690*SIN(RADIANS(E690))*COS(RADIANS(E690)))/(12*N690*COS(RADIANS(E690))^2+L690*G690^2*SIN(RADIANS(E690))^2)</f>
        <v/>
      </c>
      <c r="R690" s="28">
        <f>-P690*SIN(RADIANS(E690))</f>
        <v/>
      </c>
      <c r="S690" s="8">
        <f>(O690+P690*COS(RADIANS(E690)))/L690</f>
        <v/>
      </c>
      <c r="T690" s="8">
        <f>R690/L690</f>
        <v/>
      </c>
      <c r="U690" s="8">
        <f>(Q690-P690*G690*SIN(RADIANS(E690)))/M690</f>
        <v/>
      </c>
      <c r="V690" s="8">
        <f>SQRT((S690+U690)^2+3*T690^2)</f>
        <v/>
      </c>
      <c r="W690" s="8">
        <f>V690/AA690</f>
        <v/>
      </c>
      <c r="X690" s="27">
        <f>((3*10+H690/COS(RADIANS(E690)))*(3+3)+3*G690*H690)*2</f>
        <v/>
      </c>
      <c r="Y690" s="28">
        <f>Z690/X690</f>
        <v/>
      </c>
      <c r="Z690" s="29" t="n">
        <v>640.038522528449</v>
      </c>
      <c r="AA690" s="20" t="n">
        <v>112.793334681387</v>
      </c>
      <c r="AB690" t="n">
        <v>0.1010023517906831</v>
      </c>
      <c r="AC690" t="n">
        <v>101.3328672301957</v>
      </c>
      <c r="AD690" t="n">
        <v>8.510008413435822</v>
      </c>
    </row>
    <row r="691">
      <c r="A691" t="n">
        <v>690</v>
      </c>
      <c r="B691" t="n">
        <v>77</v>
      </c>
      <c r="C691" s="21">
        <f>B691-20</f>
        <v/>
      </c>
      <c r="D691" t="n">
        <v>123.9</v>
      </c>
      <c r="E691" s="22">
        <f>D691-90</f>
        <v/>
      </c>
      <c r="F691" s="23" t="n">
        <v>0.017167</v>
      </c>
      <c r="G691" s="22" t="n">
        <v>24.6</v>
      </c>
      <c r="H691" s="22" t="n">
        <v>1.1</v>
      </c>
      <c r="I691" s="24" t="n">
        <v>0.07866451144218441</v>
      </c>
      <c r="J691" s="6" t="n">
        <v>71000</v>
      </c>
      <c r="K691" s="25">
        <f>23*10^-6</f>
        <v/>
      </c>
      <c r="L691" s="8">
        <f>H691</f>
        <v/>
      </c>
      <c r="M691" s="26">
        <f>H691^2/6</f>
        <v/>
      </c>
      <c r="N691" s="26">
        <f>H691^3/12</f>
        <v/>
      </c>
      <c r="O691" s="27">
        <f>-J691*L691*K691*C691</f>
        <v/>
      </c>
      <c r="P691" s="28">
        <f>-(12*F691*J691*L691*N691+12*O691*N691*G691*COS(RADIANS(E691)))/(12*N691*G691*COS(RADIANS(E691))^2+L691*G691^3*SIN(RADIANS(E691))^2)</f>
        <v/>
      </c>
      <c r="Q691" s="28">
        <f>-(6*F691*J691*L691*N691*SIN(RADIANS(E691))+6*O691*N691*G691*SIN(RADIANS(E691))*COS(RADIANS(E691)))/(12*N691*COS(RADIANS(E691))^2+L691*G691^2*SIN(RADIANS(E691))^2)</f>
        <v/>
      </c>
      <c r="R691" s="28">
        <f>-P691*SIN(RADIANS(E691))</f>
        <v/>
      </c>
      <c r="S691" s="8">
        <f>(O691+P691*COS(RADIANS(E691)))/L691</f>
        <v/>
      </c>
      <c r="T691" s="8">
        <f>R691/L691</f>
        <v/>
      </c>
      <c r="U691" s="8">
        <f>(Q691-P691*G691*SIN(RADIANS(E691)))/M691</f>
        <v/>
      </c>
      <c r="V691" s="8">
        <f>SQRT((S691+U691)^2+3*T691^2)</f>
        <v/>
      </c>
      <c r="W691" s="8">
        <f>V691/AA691</f>
        <v/>
      </c>
      <c r="X691" s="27">
        <f>((3*10+H691/COS(RADIANS(E691)))*(3+3)+3*G691*H691)*2</f>
        <v/>
      </c>
      <c r="Y691" s="28">
        <f>Z691/X691</f>
        <v/>
      </c>
      <c r="Z691" s="29" t="n">
        <v>546.612243119444</v>
      </c>
      <c r="AA691" s="20" t="n">
        <v>78.2993084447816</v>
      </c>
      <c r="AB691" t="n">
        <v>0.08295140952545585</v>
      </c>
      <c r="AC691" t="n">
        <v>81.8948724372959</v>
      </c>
      <c r="AD691" t="n">
        <v>5.449596018176709</v>
      </c>
    </row>
    <row r="692">
      <c r="A692" t="n">
        <v>691</v>
      </c>
      <c r="B692" t="n">
        <v>50.2</v>
      </c>
      <c r="C692" s="21">
        <f>B692-20</f>
        <v/>
      </c>
      <c r="D692" t="n">
        <v>117.4</v>
      </c>
      <c r="E692" s="22">
        <f>D692-90</f>
        <v/>
      </c>
      <c r="F692" s="23" t="n">
        <v>0.008484</v>
      </c>
      <c r="G692" s="22" t="n">
        <v>21</v>
      </c>
      <c r="H692" s="22" t="n">
        <v>1.8</v>
      </c>
      <c r="I692" s="24" t="n">
        <v>0.0433111786842346</v>
      </c>
      <c r="J692" s="6" t="n">
        <v>71000</v>
      </c>
      <c r="K692" s="25">
        <f>23*10^-6</f>
        <v/>
      </c>
      <c r="L692" s="8">
        <f>H692</f>
        <v/>
      </c>
      <c r="M692" s="26">
        <f>H692^2/6</f>
        <v/>
      </c>
      <c r="N692" s="26">
        <f>H692^3/12</f>
        <v/>
      </c>
      <c r="O692" s="27">
        <f>-J692*L692*K692*C692</f>
        <v/>
      </c>
      <c r="P692" s="28">
        <f>-(12*F692*J692*L692*N692+12*O692*N692*G692*COS(RADIANS(E692)))/(12*N692*G692*COS(RADIANS(E692))^2+L692*G692^3*SIN(RADIANS(E692))^2)</f>
        <v/>
      </c>
      <c r="Q692" s="28">
        <f>-(6*F692*J692*L692*N692*SIN(RADIANS(E692))+6*O692*N692*G692*SIN(RADIANS(E692))*COS(RADIANS(E692)))/(12*N692*COS(RADIANS(E692))^2+L692*G692^2*SIN(RADIANS(E692))^2)</f>
        <v/>
      </c>
      <c r="R692" s="28">
        <f>-P692*SIN(RADIANS(E692))</f>
        <v/>
      </c>
      <c r="S692" s="8">
        <f>(O692+P692*COS(RADIANS(E692)))/L692</f>
        <v/>
      </c>
      <c r="T692" s="8">
        <f>R692/L692</f>
        <v/>
      </c>
      <c r="U692" s="8">
        <f>(Q692-P692*G692*SIN(RADIANS(E692)))/M692</f>
        <v/>
      </c>
      <c r="V692" s="8">
        <f>SQRT((S692+U692)^2+3*T692^2)</f>
        <v/>
      </c>
      <c r="W692" s="8">
        <f>V692/AA692</f>
        <v/>
      </c>
      <c r="X692" s="27">
        <f>((3*10+H692/COS(RADIANS(E692)))*(3+3)+3*G692*H692)*2</f>
        <v/>
      </c>
      <c r="Y692" s="28">
        <f>Z692/X692</f>
        <v/>
      </c>
      <c r="Z692" s="29" t="n">
        <v>617.5956588834659</v>
      </c>
      <c r="AA692" s="20" t="n">
        <v>51.0724082208345</v>
      </c>
      <c r="AB692" t="n">
        <v>0.04666811253449477</v>
      </c>
      <c r="AC692" t="n">
        <v>46.94532567325605</v>
      </c>
      <c r="AD692" t="n">
        <v>7.750733072249778</v>
      </c>
    </row>
    <row r="693">
      <c r="A693" t="n">
        <v>692</v>
      </c>
      <c r="B693" t="n">
        <v>41.9</v>
      </c>
      <c r="C693" s="21">
        <f>B693-20</f>
        <v/>
      </c>
      <c r="D693" t="n">
        <v>128.5</v>
      </c>
      <c r="E693" s="22">
        <f>D693-90</f>
        <v/>
      </c>
      <c r="F693" s="23" t="n">
        <v>0.007399</v>
      </c>
      <c r="G693" s="22" t="n">
        <v>30.2</v>
      </c>
      <c r="H693" s="22" t="n">
        <v>1.9</v>
      </c>
      <c r="I693" s="24" t="n">
        <v>0.0319757126271724</v>
      </c>
      <c r="J693" s="6" t="n">
        <v>71000</v>
      </c>
      <c r="K693" s="25">
        <f>23*10^-6</f>
        <v/>
      </c>
      <c r="L693" s="8">
        <f>H693</f>
        <v/>
      </c>
      <c r="M693" s="26">
        <f>H693^2/6</f>
        <v/>
      </c>
      <c r="N693" s="26">
        <f>H693^3/12</f>
        <v/>
      </c>
      <c r="O693" s="27">
        <f>-J693*L693*K693*C693</f>
        <v/>
      </c>
      <c r="P693" s="28">
        <f>-(12*F693*J693*L693*N693+12*O693*N693*G693*COS(RADIANS(E693)))/(12*N693*G693*COS(RADIANS(E693))^2+L693*G693^3*SIN(RADIANS(E693))^2)</f>
        <v/>
      </c>
      <c r="Q693" s="28">
        <f>-(6*F693*J693*L693*N693*SIN(RADIANS(E693))+6*O693*N693*G693*SIN(RADIANS(E693))*COS(RADIANS(E693)))/(12*N693*COS(RADIANS(E693))^2+L693*G693^2*SIN(RADIANS(E693))^2)</f>
        <v/>
      </c>
      <c r="R693" s="28">
        <f>-P693*SIN(RADIANS(E693))</f>
        <v/>
      </c>
      <c r="S693" s="8">
        <f>(O693+P693*COS(RADIANS(E693)))/L693</f>
        <v/>
      </c>
      <c r="T693" s="8">
        <f>R693/L693</f>
        <v/>
      </c>
      <c r="U693" s="8">
        <f>(Q693-P693*G693*SIN(RADIANS(E693)))/M693</f>
        <v/>
      </c>
      <c r="V693" s="8">
        <f>SQRT((S693+U693)^2+3*T693^2)</f>
        <v/>
      </c>
      <c r="W693" s="8">
        <f>V693/AA693</f>
        <v/>
      </c>
      <c r="X693" s="27">
        <f>((3*10+H693/COS(RADIANS(E693)))*(3+3)+3*G693*H693)*2</f>
        <v/>
      </c>
      <c r="Y693" s="28">
        <f>Z693/X693</f>
        <v/>
      </c>
      <c r="Z693" s="29" t="n">
        <v>743.513670555957</v>
      </c>
      <c r="AA693" s="20" t="n">
        <v>33.7605693177736</v>
      </c>
      <c r="AB693" t="n">
        <v>0.03349096139726362</v>
      </c>
      <c r="AC693" t="n">
        <v>31.97070875477986</v>
      </c>
      <c r="AD693" t="n">
        <v>4.738749024169002</v>
      </c>
    </row>
    <row r="694">
      <c r="A694" t="n">
        <v>693</v>
      </c>
      <c r="B694" t="n">
        <v>65.59999999999999</v>
      </c>
      <c r="C694" s="21">
        <f>B694-20</f>
        <v/>
      </c>
      <c r="D694" t="n">
        <v>108.6</v>
      </c>
      <c r="E694" s="22">
        <f>D694-90</f>
        <v/>
      </c>
      <c r="F694" s="23" t="n">
        <v>0.016274</v>
      </c>
      <c r="G694" s="22" t="n">
        <v>26.7</v>
      </c>
      <c r="H694" s="22" t="n">
        <v>1.8</v>
      </c>
      <c r="I694" s="24" t="n">
        <v>0.09988211840391149</v>
      </c>
      <c r="J694" s="6" t="n">
        <v>71000</v>
      </c>
      <c r="K694" s="25">
        <f>23*10^-6</f>
        <v/>
      </c>
      <c r="L694" s="8">
        <f>H694</f>
        <v/>
      </c>
      <c r="M694" s="26">
        <f>H694^2/6</f>
        <v/>
      </c>
      <c r="N694" s="26">
        <f>H694^3/12</f>
        <v/>
      </c>
      <c r="O694" s="27">
        <f>-J694*L694*K694*C694</f>
        <v/>
      </c>
      <c r="P694" s="28">
        <f>-(12*F694*J694*L694*N694+12*O694*N694*G694*COS(RADIANS(E694)))/(12*N694*G694*COS(RADIANS(E694))^2+L694*G694^3*SIN(RADIANS(E694))^2)</f>
        <v/>
      </c>
      <c r="Q694" s="28">
        <f>-(6*F694*J694*L694*N694*SIN(RADIANS(E694))+6*O694*N694*G694*SIN(RADIANS(E694))*COS(RADIANS(E694)))/(12*N694*COS(RADIANS(E694))^2+L694*G694^2*SIN(RADIANS(E694))^2)</f>
        <v/>
      </c>
      <c r="R694" s="28">
        <f>-P694*SIN(RADIANS(E694))</f>
        <v/>
      </c>
      <c r="S694" s="8">
        <f>(O694+P694*COS(RADIANS(E694)))/L694</f>
        <v/>
      </c>
      <c r="T694" s="8">
        <f>R694/L694</f>
        <v/>
      </c>
      <c r="U694" s="8">
        <f>(Q694-P694*G694*SIN(RADIANS(E694)))/M694</f>
        <v/>
      </c>
      <c r="V694" s="8">
        <f>SQRT((S694+U694)^2+3*T694^2)</f>
        <v/>
      </c>
      <c r="W694" s="8">
        <f>V694/AA694</f>
        <v/>
      </c>
      <c r="X694" s="27">
        <f>((3*10+H694/COS(RADIANS(E694)))*(3+3)+3*G694*H694)*2</f>
        <v/>
      </c>
      <c r="Y694" s="28">
        <f>Z694/X694</f>
        <v/>
      </c>
      <c r="Z694" s="29" t="n">
        <v>675.90664889379</v>
      </c>
      <c r="AA694" s="20" t="n">
        <v>75.98000452239251</v>
      </c>
      <c r="AB694" t="n">
        <v>0.1306873110819446</v>
      </c>
      <c r="AC694" t="n">
        <v>74.02278105544407</v>
      </c>
      <c r="AD694" t="n">
        <v>30.84154918847489</v>
      </c>
    </row>
    <row r="695">
      <c r="A695" t="n">
        <v>694</v>
      </c>
      <c r="B695" t="n">
        <v>74.8</v>
      </c>
      <c r="C695" s="21">
        <f>B695-20</f>
        <v/>
      </c>
      <c r="D695" t="n">
        <v>125.7</v>
      </c>
      <c r="E695" s="22">
        <f>D695-90</f>
        <v/>
      </c>
      <c r="F695" s="23" t="n">
        <v>0.020389</v>
      </c>
      <c r="G695" s="22" t="n">
        <v>32.8</v>
      </c>
      <c r="H695" s="22" t="n">
        <v>1.4</v>
      </c>
      <c r="I695" s="24" t="n">
        <v>0.0883043929934501</v>
      </c>
      <c r="J695" s="6" t="n">
        <v>71000</v>
      </c>
      <c r="K695" s="25">
        <f>23*10^-6</f>
        <v/>
      </c>
      <c r="L695" s="8">
        <f>H695</f>
        <v/>
      </c>
      <c r="M695" s="26">
        <f>H695^2/6</f>
        <v/>
      </c>
      <c r="N695" s="26">
        <f>H695^3/12</f>
        <v/>
      </c>
      <c r="O695" s="27">
        <f>-J695*L695*K695*C695</f>
        <v/>
      </c>
      <c r="P695" s="28">
        <f>-(12*F695*J695*L695*N695+12*O695*N695*G695*COS(RADIANS(E695)))/(12*N695*G695*COS(RADIANS(E695))^2+L695*G695^3*SIN(RADIANS(E695))^2)</f>
        <v/>
      </c>
      <c r="Q695" s="28">
        <f>-(6*F695*J695*L695*N695*SIN(RADIANS(E695))+6*O695*N695*G695*SIN(RADIANS(E695))*COS(RADIANS(E695)))/(12*N695*COS(RADIANS(E695))^2+L695*G695^2*SIN(RADIANS(E695))^2)</f>
        <v/>
      </c>
      <c r="R695" s="28">
        <f>-P695*SIN(RADIANS(E695))</f>
        <v/>
      </c>
      <c r="S695" s="8">
        <f>(O695+P695*COS(RADIANS(E695)))/L695</f>
        <v/>
      </c>
      <c r="T695" s="8">
        <f>R695/L695</f>
        <v/>
      </c>
      <c r="U695" s="8">
        <f>(Q695-P695*G695*SIN(RADIANS(E695)))/M695</f>
        <v/>
      </c>
      <c r="V695" s="8">
        <f>SQRT((S695+U695)^2+3*T695^2)</f>
        <v/>
      </c>
      <c r="W695" s="8">
        <f>V695/AA695</f>
        <v/>
      </c>
      <c r="X695" s="27">
        <f>((3*10+H695/COS(RADIANS(E695)))*(3+3)+3*G695*H695)*2</f>
        <v/>
      </c>
      <c r="Y695" s="28">
        <f>Z695/X695</f>
        <v/>
      </c>
      <c r="Z695" s="29" t="n">
        <v>665.1947667181</v>
      </c>
      <c r="AA695" s="20" t="n">
        <v>77.2956768368099</v>
      </c>
      <c r="AB695" t="n">
        <v>0.09881859338915559</v>
      </c>
      <c r="AC695" t="n">
        <v>78.63401367858552</v>
      </c>
      <c r="AD695" t="n">
        <v>11.90676934553571</v>
      </c>
    </row>
    <row r="696">
      <c r="A696" t="n">
        <v>695</v>
      </c>
      <c r="B696" t="n">
        <v>41.6</v>
      </c>
      <c r="C696" s="21">
        <f>B696-20</f>
        <v/>
      </c>
      <c r="D696" t="n">
        <v>104.3</v>
      </c>
      <c r="E696" s="22">
        <f>D696-90</f>
        <v/>
      </c>
      <c r="F696" s="23" t="n">
        <v>0.007872000000000001</v>
      </c>
      <c r="G696" s="22" t="n">
        <v>26.8</v>
      </c>
      <c r="H696" s="22" t="n">
        <v>1.3</v>
      </c>
      <c r="I696" s="24" t="n">
        <v>0.0586020089685916</v>
      </c>
      <c r="J696" s="6" t="n">
        <v>71000</v>
      </c>
      <c r="K696" s="25">
        <f>23*10^-6</f>
        <v/>
      </c>
      <c r="L696" s="8">
        <f>H696</f>
        <v/>
      </c>
      <c r="M696" s="26">
        <f>H696^2/6</f>
        <v/>
      </c>
      <c r="N696" s="26">
        <f>H696^3/12</f>
        <v/>
      </c>
      <c r="O696" s="27">
        <f>-J696*L696*K696*C696</f>
        <v/>
      </c>
      <c r="P696" s="28">
        <f>-(12*F696*J696*L696*N696+12*O696*N696*G696*COS(RADIANS(E696)))/(12*N696*G696*COS(RADIANS(E696))^2+L696*G696^3*SIN(RADIANS(E696))^2)</f>
        <v/>
      </c>
      <c r="Q696" s="28">
        <f>-(6*F696*J696*L696*N696*SIN(RADIANS(E696))+6*O696*N696*G696*SIN(RADIANS(E696))*COS(RADIANS(E696)))/(12*N696*COS(RADIANS(E696))^2+L696*G696^2*SIN(RADIANS(E696))^2)</f>
        <v/>
      </c>
      <c r="R696" s="28">
        <f>-P696*SIN(RADIANS(E696))</f>
        <v/>
      </c>
      <c r="S696" s="8">
        <f>(O696+P696*COS(RADIANS(E696)))/L696</f>
        <v/>
      </c>
      <c r="T696" s="8">
        <f>R696/L696</f>
        <v/>
      </c>
      <c r="U696" s="8">
        <f>(Q696-P696*G696*SIN(RADIANS(E696)))/M696</f>
        <v/>
      </c>
      <c r="V696" s="8">
        <f>SQRT((S696+U696)^2+3*T696^2)</f>
        <v/>
      </c>
      <c r="W696" s="8">
        <f>V696/AA696</f>
        <v/>
      </c>
      <c r="X696" s="27">
        <f>((3*10+H696/COS(RADIANS(E696)))*(3+3)+3*G696*H696)*2</f>
        <v/>
      </c>
      <c r="Y696" s="28">
        <f>Z696/X696</f>
        <v/>
      </c>
      <c r="Z696" s="29" t="n">
        <v>589.339839000738</v>
      </c>
      <c r="AA696" s="20" t="n">
        <v>33.060831054967</v>
      </c>
      <c r="AB696" t="n">
        <v>0.08175448408480833</v>
      </c>
      <c r="AC696" t="n">
        <v>34.84765330449982</v>
      </c>
      <c r="AD696" t="n">
        <v>39.50798875960986</v>
      </c>
    </row>
    <row r="697">
      <c r="A697" t="n">
        <v>696</v>
      </c>
      <c r="B697" t="n">
        <v>82.7</v>
      </c>
      <c r="C697" s="21">
        <f>B697-20</f>
        <v/>
      </c>
      <c r="D697" t="n">
        <v>114.9</v>
      </c>
      <c r="E697" s="22">
        <f>D697-90</f>
        <v/>
      </c>
      <c r="F697" s="23" t="n">
        <v>0.020173</v>
      </c>
      <c r="G697" s="22" t="n">
        <v>24.5</v>
      </c>
      <c r="H697" s="22" t="n">
        <v>1.4</v>
      </c>
      <c r="I697" s="24" t="n">
        <v>0.105943918228149</v>
      </c>
      <c r="J697" s="6" t="n">
        <v>71000</v>
      </c>
      <c r="K697" s="25">
        <f>23*10^-6</f>
        <v/>
      </c>
      <c r="L697" s="8">
        <f>H697</f>
        <v/>
      </c>
      <c r="M697" s="26">
        <f>H697^2/6</f>
        <v/>
      </c>
      <c r="N697" s="26">
        <f>H697^3/12</f>
        <v/>
      </c>
      <c r="O697" s="27">
        <f>-J697*L697*K697*C697</f>
        <v/>
      </c>
      <c r="P697" s="28">
        <f>-(12*F697*J697*L697*N697+12*O697*N697*G697*COS(RADIANS(E697)))/(12*N697*G697*COS(RADIANS(E697))^2+L697*G697^3*SIN(RADIANS(E697))^2)</f>
        <v/>
      </c>
      <c r="Q697" s="28">
        <f>-(6*F697*J697*L697*N697*SIN(RADIANS(E697))+6*O697*N697*G697*SIN(RADIANS(E697))*COS(RADIANS(E697)))/(12*N697*COS(RADIANS(E697))^2+L697*G697^2*SIN(RADIANS(E697))^2)</f>
        <v/>
      </c>
      <c r="R697" s="28">
        <f>-P697*SIN(RADIANS(E697))</f>
        <v/>
      </c>
      <c r="S697" s="8">
        <f>(O697+P697*COS(RADIANS(E697)))/L697</f>
        <v/>
      </c>
      <c r="T697" s="8">
        <f>R697/L697</f>
        <v/>
      </c>
      <c r="U697" s="8">
        <f>(Q697-P697*G697*SIN(RADIANS(E697)))/M697</f>
        <v/>
      </c>
      <c r="V697" s="8">
        <f>SQRT((S697+U697)^2+3*T697^2)</f>
        <v/>
      </c>
      <c r="W697" s="8">
        <f>V697/AA697</f>
        <v/>
      </c>
      <c r="X697" s="27">
        <f>((3*10+H697/COS(RADIANS(E697)))*(3+3)+3*G697*H697)*2</f>
        <v/>
      </c>
      <c r="Y697" s="28">
        <f>Z697/X697</f>
        <v/>
      </c>
      <c r="Z697" s="29" t="n">
        <v>590.214908526621</v>
      </c>
      <c r="AA697" s="20" t="n">
        <v>94.5413379327163</v>
      </c>
      <c r="AB697" t="n">
        <v>0.1253331412076893</v>
      </c>
      <c r="AC697" t="n">
        <v>95.10025226890288</v>
      </c>
      <c r="AD697" t="n">
        <v>18.30140257582874</v>
      </c>
    </row>
    <row r="698">
      <c r="A698" t="n">
        <v>697</v>
      </c>
      <c r="B698" t="n">
        <v>73.59999999999999</v>
      </c>
      <c r="C698" s="21">
        <f>B698-20</f>
        <v/>
      </c>
      <c r="D698" t="n">
        <v>117.6</v>
      </c>
      <c r="E698" s="22">
        <f>D698-90</f>
        <v/>
      </c>
      <c r="F698" s="23" t="n">
        <v>0.019695</v>
      </c>
      <c r="G698" s="22" t="n">
        <v>29.6</v>
      </c>
      <c r="H698" s="22" t="n">
        <v>1.9</v>
      </c>
      <c r="I698" s="24" t="n">
        <v>0.0954567492008209</v>
      </c>
      <c r="J698" s="6" t="n">
        <v>71000</v>
      </c>
      <c r="K698" s="25">
        <f>23*10^-6</f>
        <v/>
      </c>
      <c r="L698" s="8">
        <f>H698</f>
        <v/>
      </c>
      <c r="M698" s="26">
        <f>H698^2/6</f>
        <v/>
      </c>
      <c r="N698" s="26">
        <f>H698^3/12</f>
        <v/>
      </c>
      <c r="O698" s="27">
        <f>-J698*L698*K698*C698</f>
        <v/>
      </c>
      <c r="P698" s="28">
        <f>-(12*F698*J698*L698*N698+12*O698*N698*G698*COS(RADIANS(E698)))/(12*N698*G698*COS(RADIANS(E698))^2+L698*G698^3*SIN(RADIANS(E698))^2)</f>
        <v/>
      </c>
      <c r="Q698" s="28">
        <f>-(6*F698*J698*L698*N698*SIN(RADIANS(E698))+6*O698*N698*G698*SIN(RADIANS(E698))*COS(RADIANS(E698)))/(12*N698*COS(RADIANS(E698))^2+L698*G698^2*SIN(RADIANS(E698))^2)</f>
        <v/>
      </c>
      <c r="R698" s="28">
        <f>-P698*SIN(RADIANS(E698))</f>
        <v/>
      </c>
      <c r="S698" s="8">
        <f>(O698+P698*COS(RADIANS(E698)))/L698</f>
        <v/>
      </c>
      <c r="T698" s="8">
        <f>R698/L698</f>
        <v/>
      </c>
      <c r="U698" s="8">
        <f>(Q698-P698*G698*SIN(RADIANS(E698)))/M698</f>
        <v/>
      </c>
      <c r="V698" s="8">
        <f>SQRT((S698+U698)^2+3*T698^2)</f>
        <v/>
      </c>
      <c r="W698" s="8">
        <f>V698/AA698</f>
        <v/>
      </c>
      <c r="X698" s="27">
        <f>((3*10+H698/COS(RADIANS(E698)))*(3+3)+3*G698*H698)*2</f>
        <v/>
      </c>
      <c r="Y698" s="28">
        <f>Z698/X698</f>
        <v/>
      </c>
      <c r="Z698" s="29" t="n">
        <v>729.683165587919</v>
      </c>
      <c r="AA698" s="20" t="n">
        <v>86.12130589665701</v>
      </c>
      <c r="AB698" t="n">
        <v>0.1145541479441218</v>
      </c>
      <c r="AC698" t="n">
        <v>81.78798716702417</v>
      </c>
      <c r="AD698" t="n">
        <v>20.00633679984639</v>
      </c>
    </row>
    <row r="699">
      <c r="A699" t="n">
        <v>698</v>
      </c>
      <c r="B699" t="n">
        <v>70.2</v>
      </c>
      <c r="C699" s="21">
        <f>B699-20</f>
        <v/>
      </c>
      <c r="D699" t="n">
        <v>112.2</v>
      </c>
      <c r="E699" s="22">
        <f>D699-90</f>
        <v/>
      </c>
      <c r="F699" s="23" t="n">
        <v>0.0188</v>
      </c>
      <c r="G699" s="22" t="n">
        <v>29</v>
      </c>
      <c r="H699" s="22" t="n">
        <v>1.3</v>
      </c>
      <c r="I699" s="24" t="n">
        <v>0.103099718689918</v>
      </c>
      <c r="J699" s="6" t="n">
        <v>71000</v>
      </c>
      <c r="K699" s="25">
        <f>23*10^-6</f>
        <v/>
      </c>
      <c r="L699" s="8">
        <f>H699</f>
        <v/>
      </c>
      <c r="M699" s="26">
        <f>H699^2/6</f>
        <v/>
      </c>
      <c r="N699" s="26">
        <f>H699^3/12</f>
        <v/>
      </c>
      <c r="O699" s="27">
        <f>-J699*L699*K699*C699</f>
        <v/>
      </c>
      <c r="P699" s="28">
        <f>-(12*F699*J699*L699*N699+12*O699*N699*G699*COS(RADIANS(E699)))/(12*N699*G699*COS(RADIANS(E699))^2+L699*G699^3*SIN(RADIANS(E699))^2)</f>
        <v/>
      </c>
      <c r="Q699" s="28">
        <f>-(6*F699*J699*L699*N699*SIN(RADIANS(E699))+6*O699*N699*G699*SIN(RADIANS(E699))*COS(RADIANS(E699)))/(12*N699*COS(RADIANS(E699))^2+L699*G699^2*SIN(RADIANS(E699))^2)</f>
        <v/>
      </c>
      <c r="R699" s="28">
        <f>-P699*SIN(RADIANS(E699))</f>
        <v/>
      </c>
      <c r="S699" s="8">
        <f>(O699+P699*COS(RADIANS(E699)))/L699</f>
        <v/>
      </c>
      <c r="T699" s="8">
        <f>R699/L699</f>
        <v/>
      </c>
      <c r="U699" s="8">
        <f>(Q699-P699*G699*SIN(RADIANS(E699)))/M699</f>
        <v/>
      </c>
      <c r="V699" s="8">
        <f>SQRT((S699+U699)^2+3*T699^2)</f>
        <v/>
      </c>
      <c r="W699" s="8">
        <f>V699/AA699</f>
        <v/>
      </c>
      <c r="X699" s="27">
        <f>((3*10+H699/COS(RADIANS(E699)))*(3+3)+3*G699*H699)*2</f>
        <v/>
      </c>
      <c r="Y699" s="28">
        <f>Z699/X699</f>
        <v/>
      </c>
      <c r="Z699" s="29" t="n">
        <v>608.404185713582</v>
      </c>
      <c r="AA699" s="20" t="n">
        <v>73.6618776892369</v>
      </c>
      <c r="AB699" t="n">
        <v>0.1329873782058899</v>
      </c>
      <c r="AC699" t="n">
        <v>75.749526625014</v>
      </c>
      <c r="AD699" t="n">
        <v>28.98907959764839</v>
      </c>
    </row>
    <row r="700">
      <c r="A700" t="n">
        <v>699</v>
      </c>
      <c r="B700" t="n">
        <v>46.5</v>
      </c>
      <c r="C700" s="21">
        <f>B700-20</f>
        <v/>
      </c>
      <c r="D700" t="n">
        <v>128.1</v>
      </c>
      <c r="E700" s="22">
        <f>D700-90</f>
        <v/>
      </c>
      <c r="F700" s="23" t="n">
        <v>0.007661</v>
      </c>
      <c r="G700" s="22" t="n">
        <v>24.6</v>
      </c>
      <c r="H700" s="22" t="n">
        <v>1.7</v>
      </c>
      <c r="I700" s="24" t="n">
        <v>0.0341451205313205</v>
      </c>
      <c r="J700" s="6" t="n">
        <v>71000</v>
      </c>
      <c r="K700" s="25">
        <f>23*10^-6</f>
        <v/>
      </c>
      <c r="L700" s="8">
        <f>H700</f>
        <v/>
      </c>
      <c r="M700" s="26">
        <f>H700^2/6</f>
        <v/>
      </c>
      <c r="N700" s="26">
        <f>H700^3/12</f>
        <v/>
      </c>
      <c r="O700" s="27">
        <f>-J700*L700*K700*C700</f>
        <v/>
      </c>
      <c r="P700" s="28">
        <f>-(12*F700*J700*L700*N700+12*O700*N700*G700*COS(RADIANS(E700)))/(12*N700*G700*COS(RADIANS(E700))^2+L700*G700^3*SIN(RADIANS(E700))^2)</f>
        <v/>
      </c>
      <c r="Q700" s="28">
        <f>-(6*F700*J700*L700*N700*SIN(RADIANS(E700))+6*O700*N700*G700*SIN(RADIANS(E700))*COS(RADIANS(E700)))/(12*N700*COS(RADIANS(E700))^2+L700*G700^2*SIN(RADIANS(E700))^2)</f>
        <v/>
      </c>
      <c r="R700" s="28">
        <f>-P700*SIN(RADIANS(E700))</f>
        <v/>
      </c>
      <c r="S700" s="8">
        <f>(O700+P700*COS(RADIANS(E700)))/L700</f>
        <v/>
      </c>
      <c r="T700" s="8">
        <f>R700/L700</f>
        <v/>
      </c>
      <c r="U700" s="8">
        <f>(Q700-P700*G700*SIN(RADIANS(E700)))/M700</f>
        <v/>
      </c>
      <c r="V700" s="8">
        <f>SQRT((S700+U700)^2+3*T700^2)</f>
        <v/>
      </c>
      <c r="W700" s="8">
        <f>V700/AA700</f>
        <v/>
      </c>
      <c r="X700" s="27">
        <f>((3*10+H700/COS(RADIANS(E700)))*(3+3)+3*G700*H700)*2</f>
        <v/>
      </c>
      <c r="Y700" s="28">
        <f>Z700/X700</f>
        <v/>
      </c>
      <c r="Z700" s="29" t="n">
        <v>646.775060330903</v>
      </c>
      <c r="AA700" s="20" t="n">
        <v>40.5810140773543</v>
      </c>
      <c r="AB700" t="n">
        <v>0.03376088442672819</v>
      </c>
      <c r="AC700" t="n">
        <v>38.77185462120929</v>
      </c>
      <c r="AD700" t="n">
        <v>-1.125303113924774</v>
      </c>
    </row>
    <row r="701">
      <c r="A701" t="n">
        <v>700</v>
      </c>
      <c r="B701" t="n">
        <v>62.9</v>
      </c>
      <c r="C701" s="21">
        <f>B701-20</f>
        <v/>
      </c>
      <c r="D701" t="n">
        <v>123.3</v>
      </c>
      <c r="E701" s="22">
        <f>D701-90</f>
        <v/>
      </c>
      <c r="F701" s="23" t="n">
        <v>0.011804</v>
      </c>
      <c r="G701" s="22" t="n">
        <v>21.7</v>
      </c>
      <c r="H701" s="22" t="n">
        <v>1.2</v>
      </c>
      <c r="I701" s="24" t="n">
        <v>0.0555338747799396</v>
      </c>
      <c r="J701" s="6" t="n">
        <v>71000</v>
      </c>
      <c r="K701" s="25">
        <f>23*10^-6</f>
        <v/>
      </c>
      <c r="L701" s="8">
        <f>H701</f>
        <v/>
      </c>
      <c r="M701" s="26">
        <f>H701^2/6</f>
        <v/>
      </c>
      <c r="N701" s="26">
        <f>H701^3/12</f>
        <v/>
      </c>
      <c r="O701" s="27">
        <f>-J701*L701*K701*C701</f>
        <v/>
      </c>
      <c r="P701" s="28">
        <f>-(12*F701*J701*L701*N701+12*O701*N701*G701*COS(RADIANS(E701)))/(12*N701*G701*COS(RADIANS(E701))^2+L701*G701^3*SIN(RADIANS(E701))^2)</f>
        <v/>
      </c>
      <c r="Q701" s="28">
        <f>-(6*F701*J701*L701*N701*SIN(RADIANS(E701))+6*O701*N701*G701*SIN(RADIANS(E701))*COS(RADIANS(E701)))/(12*N701*COS(RADIANS(E701))^2+L701*G701^2*SIN(RADIANS(E701))^2)</f>
        <v/>
      </c>
      <c r="R701" s="28">
        <f>-P701*SIN(RADIANS(E701))</f>
        <v/>
      </c>
      <c r="S701" s="8">
        <f>(O701+P701*COS(RADIANS(E701)))/L701</f>
        <v/>
      </c>
      <c r="T701" s="8">
        <f>R701/L701</f>
        <v/>
      </c>
      <c r="U701" s="8">
        <f>(Q701-P701*G701*SIN(RADIANS(E701)))/M701</f>
        <v/>
      </c>
      <c r="V701" s="8">
        <f>SQRT((S701+U701)^2+3*T701^2)</f>
        <v/>
      </c>
      <c r="W701" s="8">
        <f>V701/AA701</f>
        <v/>
      </c>
      <c r="X701" s="27">
        <f>((3*10+H701/COS(RADIANS(E701)))*(3+3)+3*G701*H701)*2</f>
        <v/>
      </c>
      <c r="Y701" s="28">
        <f>Z701/X701</f>
        <v/>
      </c>
      <c r="Z701" s="29" t="n">
        <v>541.617230477088</v>
      </c>
      <c r="AA701" s="20" t="n">
        <v>61.3651784310717</v>
      </c>
      <c r="AB701" t="n">
        <v>0.05651416665203023</v>
      </c>
      <c r="AC701" t="n">
        <v>62.40048274200915</v>
      </c>
      <c r="AD701" t="n">
        <v>1.765214251616982</v>
      </c>
    </row>
    <row r="702">
      <c r="A702" t="n">
        <v>701</v>
      </c>
      <c r="B702" t="n">
        <v>61.5</v>
      </c>
      <c r="C702" s="21">
        <f>B702-20</f>
        <v/>
      </c>
      <c r="D702" t="n">
        <v>120.9</v>
      </c>
      <c r="E702" s="22">
        <f>D702-90</f>
        <v/>
      </c>
      <c r="F702" s="23" t="n">
        <v>0.011688</v>
      </c>
      <c r="G702" s="22" t="n">
        <v>21.8</v>
      </c>
      <c r="H702" s="22" t="n">
        <v>1.9</v>
      </c>
      <c r="I702" s="24" t="n">
        <v>0.0564171262085437</v>
      </c>
      <c r="J702" s="6" t="n">
        <v>71000</v>
      </c>
      <c r="K702" s="25">
        <f>23*10^-6</f>
        <v/>
      </c>
      <c r="L702" s="8">
        <f>H702</f>
        <v/>
      </c>
      <c r="M702" s="26">
        <f>H702^2/6</f>
        <v/>
      </c>
      <c r="N702" s="26">
        <f>H702^3/12</f>
        <v/>
      </c>
      <c r="O702" s="27">
        <f>-J702*L702*K702*C702</f>
        <v/>
      </c>
      <c r="P702" s="28">
        <f>-(12*F702*J702*L702*N702+12*O702*N702*G702*COS(RADIANS(E702)))/(12*N702*G702*COS(RADIANS(E702))^2+L702*G702^3*SIN(RADIANS(E702))^2)</f>
        <v/>
      </c>
      <c r="Q702" s="28">
        <f>-(6*F702*J702*L702*N702*SIN(RADIANS(E702))+6*O702*N702*G702*SIN(RADIANS(E702))*COS(RADIANS(E702)))/(12*N702*COS(RADIANS(E702))^2+L702*G702^2*SIN(RADIANS(E702))^2)</f>
        <v/>
      </c>
      <c r="R702" s="28">
        <f>-P702*SIN(RADIANS(E702))</f>
        <v/>
      </c>
      <c r="S702" s="8">
        <f>(O702+P702*COS(RADIANS(E702)))/L702</f>
        <v/>
      </c>
      <c r="T702" s="8">
        <f>R702/L702</f>
        <v/>
      </c>
      <c r="U702" s="8">
        <f>(Q702-P702*G702*SIN(RADIANS(E702)))/M702</f>
        <v/>
      </c>
      <c r="V702" s="8">
        <f>SQRT((S702+U702)^2+3*T702^2)</f>
        <v/>
      </c>
      <c r="W702" s="8">
        <f>V702/AA702</f>
        <v/>
      </c>
      <c r="X702" s="27">
        <f>((3*10+H702/COS(RADIANS(E702)))*(3+3)+3*G702*H702)*2</f>
        <v/>
      </c>
      <c r="Y702" s="28">
        <f>Z702/X702</f>
        <v/>
      </c>
      <c r="Z702" s="29" t="n">
        <v>642.494958005217</v>
      </c>
      <c r="AA702" s="20" t="n">
        <v>69.7408202752287</v>
      </c>
      <c r="AB702" t="n">
        <v>0.058656320528814</v>
      </c>
      <c r="AC702" t="n">
        <v>63.57659349198011</v>
      </c>
      <c r="AD702" t="n">
        <v>3.968997484900612</v>
      </c>
    </row>
    <row r="703">
      <c r="A703" t="n">
        <v>702</v>
      </c>
      <c r="B703" t="n">
        <v>76.5</v>
      </c>
      <c r="C703" s="21">
        <f>B703-20</f>
        <v/>
      </c>
      <c r="D703" t="n">
        <v>114.3</v>
      </c>
      <c r="E703" s="22">
        <f>D703-90</f>
        <v/>
      </c>
      <c r="F703" s="23" t="n">
        <v>0.023472</v>
      </c>
      <c r="G703" s="22" t="n">
        <v>33.4</v>
      </c>
      <c r="H703" s="22" t="n">
        <v>1.4</v>
      </c>
      <c r="I703" s="24" t="n">
        <v>0.119780004024505</v>
      </c>
      <c r="J703" s="6" t="n">
        <v>71000</v>
      </c>
      <c r="K703" s="25">
        <f>23*10^-6</f>
        <v/>
      </c>
      <c r="L703" s="8">
        <f>H703</f>
        <v/>
      </c>
      <c r="M703" s="26">
        <f>H703^2/6</f>
        <v/>
      </c>
      <c r="N703" s="26">
        <f>H703^3/12</f>
        <v/>
      </c>
      <c r="O703" s="27">
        <f>-J703*L703*K703*C703</f>
        <v/>
      </c>
      <c r="P703" s="28">
        <f>-(12*F703*J703*L703*N703+12*O703*N703*G703*COS(RADIANS(E703)))/(12*N703*G703*COS(RADIANS(E703))^2+L703*G703^3*SIN(RADIANS(E703))^2)</f>
        <v/>
      </c>
      <c r="Q703" s="28">
        <f>-(6*F703*J703*L703*N703*SIN(RADIANS(E703))+6*O703*N703*G703*SIN(RADIANS(E703))*COS(RADIANS(E703)))/(12*N703*COS(RADIANS(E703))^2+L703*G703^2*SIN(RADIANS(E703))^2)</f>
        <v/>
      </c>
      <c r="R703" s="28">
        <f>-P703*SIN(RADIANS(E703))</f>
        <v/>
      </c>
      <c r="S703" s="8">
        <f>(O703+P703*COS(RADIANS(E703)))/L703</f>
        <v/>
      </c>
      <c r="T703" s="8">
        <f>R703/L703</f>
        <v/>
      </c>
      <c r="U703" s="8">
        <f>(Q703-P703*G703*SIN(RADIANS(E703)))/M703</f>
        <v/>
      </c>
      <c r="V703" s="8">
        <f>SQRT((S703+U703)^2+3*T703^2)</f>
        <v/>
      </c>
      <c r="W703" s="8">
        <f>V703/AA703</f>
        <v/>
      </c>
      <c r="X703" s="27">
        <f>((3*10+H703/COS(RADIANS(E703)))*(3+3)+3*G703*H703)*2</f>
        <v/>
      </c>
      <c r="Y703" s="28">
        <f>Z703/X703</f>
        <v/>
      </c>
      <c r="Z703" s="29" t="n">
        <v>664.7597620581259</v>
      </c>
      <c r="AA703" s="20" t="n">
        <v>82.8214125326091</v>
      </c>
      <c r="AB703" t="n">
        <v>0.1560199539967953</v>
      </c>
      <c r="AC703" t="n">
        <v>84.14386910399548</v>
      </c>
      <c r="AD703" t="n">
        <v>30.25542557577159</v>
      </c>
    </row>
    <row r="704">
      <c r="A704" t="n">
        <v>703</v>
      </c>
      <c r="B704" t="n">
        <v>53.5</v>
      </c>
      <c r="C704" s="21">
        <f>B704-20</f>
        <v/>
      </c>
      <c r="D704" t="n">
        <v>104.8</v>
      </c>
      <c r="E704" s="22">
        <f>D704-90</f>
        <v/>
      </c>
      <c r="F704" s="23" t="n">
        <v>0.011079</v>
      </c>
      <c r="G704" s="22" t="n">
        <v>23.8</v>
      </c>
      <c r="H704" s="22" t="n">
        <v>1.6</v>
      </c>
      <c r="I704" s="24" t="n">
        <v>0.0799351632595062</v>
      </c>
      <c r="J704" s="6" t="n">
        <v>71000</v>
      </c>
      <c r="K704" s="25">
        <f>23*10^-6</f>
        <v/>
      </c>
      <c r="L704" s="8">
        <f>H704</f>
        <v/>
      </c>
      <c r="M704" s="26">
        <f>H704^2/6</f>
        <v/>
      </c>
      <c r="N704" s="26">
        <f>H704^3/12</f>
        <v/>
      </c>
      <c r="O704" s="27">
        <f>-J704*L704*K704*C704</f>
        <v/>
      </c>
      <c r="P704" s="28">
        <f>-(12*F704*J704*L704*N704+12*O704*N704*G704*COS(RADIANS(E704)))/(12*N704*G704*COS(RADIANS(E704))^2+L704*G704^3*SIN(RADIANS(E704))^2)</f>
        <v/>
      </c>
      <c r="Q704" s="28">
        <f>-(6*F704*J704*L704*N704*SIN(RADIANS(E704))+6*O704*N704*G704*SIN(RADIANS(E704))*COS(RADIANS(E704)))/(12*N704*COS(RADIANS(E704))^2+L704*G704^2*SIN(RADIANS(E704))^2)</f>
        <v/>
      </c>
      <c r="R704" s="28">
        <f>-P704*SIN(RADIANS(E704))</f>
        <v/>
      </c>
      <c r="S704" s="8">
        <f>(O704+P704*COS(RADIANS(E704)))/L704</f>
        <v/>
      </c>
      <c r="T704" s="8">
        <f>R704/L704</f>
        <v/>
      </c>
      <c r="U704" s="8">
        <f>(Q704-P704*G704*SIN(RADIANS(E704)))/M704</f>
        <v/>
      </c>
      <c r="V704" s="8">
        <f>SQRT((S704+U704)^2+3*T704^2)</f>
        <v/>
      </c>
      <c r="W704" s="8">
        <f>V704/AA704</f>
        <v/>
      </c>
      <c r="X704" s="27">
        <f>((3*10+H704/COS(RADIANS(E704)))*(3+3)+3*G704*H704)*2</f>
        <v/>
      </c>
      <c r="Y704" s="28">
        <f>Z704/X704</f>
        <v/>
      </c>
      <c r="Z704" s="29" t="n">
        <v>612.5960403711219</v>
      </c>
      <c r="AA704" s="20" t="n">
        <v>55.9192709699202</v>
      </c>
      <c r="AB704" t="n">
        <v>0.1066276896311885</v>
      </c>
      <c r="AC704" t="n">
        <v>56.07017113030675</v>
      </c>
      <c r="AD704" t="n">
        <v>33.39272140475421</v>
      </c>
    </row>
    <row r="705">
      <c r="A705" t="n">
        <v>704</v>
      </c>
      <c r="B705" t="n">
        <v>68.59999999999999</v>
      </c>
      <c r="C705" s="21">
        <f>B705-20</f>
        <v/>
      </c>
      <c r="D705" t="n">
        <v>125.6</v>
      </c>
      <c r="E705" s="22">
        <f>D705-90</f>
        <v/>
      </c>
      <c r="F705" s="23" t="n">
        <v>0.016884</v>
      </c>
      <c r="G705" s="22" t="n">
        <v>30.1</v>
      </c>
      <c r="H705" s="22" t="n">
        <v>1</v>
      </c>
      <c r="I705" s="24" t="n">
        <v>0.0739235058426857</v>
      </c>
      <c r="J705" s="6" t="n">
        <v>71000</v>
      </c>
      <c r="K705" s="25">
        <f>23*10^-6</f>
        <v/>
      </c>
      <c r="L705" s="8">
        <f>H705</f>
        <v/>
      </c>
      <c r="M705" s="26">
        <f>H705^2/6</f>
        <v/>
      </c>
      <c r="N705" s="26">
        <f>H705^3/12</f>
        <v/>
      </c>
      <c r="O705" s="27">
        <f>-J705*L705*K705*C705</f>
        <v/>
      </c>
      <c r="P705" s="28">
        <f>-(12*F705*J705*L705*N705+12*O705*N705*G705*COS(RADIANS(E705)))/(12*N705*G705*COS(RADIANS(E705))^2+L705*G705^3*SIN(RADIANS(E705))^2)</f>
        <v/>
      </c>
      <c r="Q705" s="28">
        <f>-(6*F705*J705*L705*N705*SIN(RADIANS(E705))+6*O705*N705*G705*SIN(RADIANS(E705))*COS(RADIANS(E705)))/(12*N705*COS(RADIANS(E705))^2+L705*G705^2*SIN(RADIANS(E705))^2)</f>
        <v/>
      </c>
      <c r="R705" s="28">
        <f>-P705*SIN(RADIANS(E705))</f>
        <v/>
      </c>
      <c r="S705" s="8">
        <f>(O705+P705*COS(RADIANS(E705)))/L705</f>
        <v/>
      </c>
      <c r="T705" s="8">
        <f>R705/L705</f>
        <v/>
      </c>
      <c r="U705" s="8">
        <f>(Q705-P705*G705*SIN(RADIANS(E705)))/M705</f>
        <v/>
      </c>
      <c r="V705" s="8">
        <f>SQRT((S705+U705)^2+3*T705^2)</f>
        <v/>
      </c>
      <c r="W705" s="8">
        <f>V705/AA705</f>
        <v/>
      </c>
      <c r="X705" s="27">
        <f>((3*10+H705/COS(RADIANS(E705)))*(3+3)+3*G705*H705)*2</f>
        <v/>
      </c>
      <c r="Y705" s="28">
        <f>Z705/X705</f>
        <v/>
      </c>
      <c r="Z705" s="29" t="n">
        <v>564.308584870422</v>
      </c>
      <c r="AA705" s="20" t="n">
        <v>63.3014558751098</v>
      </c>
      <c r="AB705" t="n">
        <v>0.08118088181072597</v>
      </c>
      <c r="AC705" t="n">
        <v>68.69348228825717</v>
      </c>
      <c r="AD705" t="n">
        <v>9.817413129031602</v>
      </c>
    </row>
    <row r="706">
      <c r="A706" t="n">
        <v>705</v>
      </c>
      <c r="B706" t="n">
        <v>67.09999999999999</v>
      </c>
      <c r="C706" s="21">
        <f>B706-20</f>
        <v/>
      </c>
      <c r="D706" t="n">
        <v>122.6</v>
      </c>
      <c r="E706" s="22">
        <f>D706-90</f>
        <v/>
      </c>
      <c r="F706" s="23" t="n">
        <v>0.01729</v>
      </c>
      <c r="G706" s="22" t="n">
        <v>31.1</v>
      </c>
      <c r="H706" s="22" t="n">
        <v>1.3</v>
      </c>
      <c r="I706" s="24" t="n">
        <v>0.07755352556705471</v>
      </c>
      <c r="J706" s="6" t="n">
        <v>71000</v>
      </c>
      <c r="K706" s="25">
        <f>23*10^-6</f>
        <v/>
      </c>
      <c r="L706" s="8">
        <f>H706</f>
        <v/>
      </c>
      <c r="M706" s="26">
        <f>H706^2/6</f>
        <v/>
      </c>
      <c r="N706" s="26">
        <f>H706^3/12</f>
        <v/>
      </c>
      <c r="O706" s="27">
        <f>-J706*L706*K706*C706</f>
        <v/>
      </c>
      <c r="P706" s="28">
        <f>-(12*F706*J706*L706*N706+12*O706*N706*G706*COS(RADIANS(E706)))/(12*N706*G706*COS(RADIANS(E706))^2+L706*G706^3*SIN(RADIANS(E706))^2)</f>
        <v/>
      </c>
      <c r="Q706" s="28">
        <f>-(6*F706*J706*L706*N706*SIN(RADIANS(E706))+6*O706*N706*G706*SIN(RADIANS(E706))*COS(RADIANS(E706)))/(12*N706*COS(RADIANS(E706))^2+L706*G706^2*SIN(RADIANS(E706))^2)</f>
        <v/>
      </c>
      <c r="R706" s="28">
        <f>-P706*SIN(RADIANS(E706))</f>
        <v/>
      </c>
      <c r="S706" s="8">
        <f>(O706+P706*COS(RADIANS(E706)))/L706</f>
        <v/>
      </c>
      <c r="T706" s="8">
        <f>R706/L706</f>
        <v/>
      </c>
      <c r="U706" s="8">
        <f>(Q706-P706*G706*SIN(RADIANS(E706)))/M706</f>
        <v/>
      </c>
      <c r="V706" s="8">
        <f>SQRT((S706+U706)^2+3*T706^2)</f>
        <v/>
      </c>
      <c r="W706" s="8">
        <f>V706/AA706</f>
        <v/>
      </c>
      <c r="X706" s="27">
        <f>((3*10+H706/COS(RADIANS(E706)))*(3+3)+3*G706*H706)*2</f>
        <v/>
      </c>
      <c r="Y706" s="28">
        <f>Z706/X706</f>
        <v/>
      </c>
      <c r="Z706" s="29" t="n">
        <v>629.019252659645</v>
      </c>
      <c r="AA706" s="20" t="n">
        <v>67.04810585112909</v>
      </c>
      <c r="AB706" t="n">
        <v>0.08913935685595858</v>
      </c>
      <c r="AC706" t="n">
        <v>67.98349309277599</v>
      </c>
      <c r="AD706" t="n">
        <v>14.93914197219375</v>
      </c>
    </row>
    <row r="707">
      <c r="A707" t="n">
        <v>706</v>
      </c>
      <c r="B707" t="n">
        <v>46.2</v>
      </c>
      <c r="C707" s="21">
        <f>B707-20</f>
        <v/>
      </c>
      <c r="D707" t="n">
        <v>100.2</v>
      </c>
      <c r="E707" s="22">
        <f>D707-90</f>
        <v/>
      </c>
      <c r="F707" s="23" t="n">
        <v>0.008994</v>
      </c>
      <c r="G707" s="22" t="n">
        <v>24.5</v>
      </c>
      <c r="H707" s="22" t="n">
        <v>1.9</v>
      </c>
      <c r="I707" s="24" t="n">
        <v>0.07930534332990639</v>
      </c>
      <c r="J707" s="6" t="n">
        <v>71000</v>
      </c>
      <c r="K707" s="25">
        <f>23*10^-6</f>
        <v/>
      </c>
      <c r="L707" s="8">
        <f>H707</f>
        <v/>
      </c>
      <c r="M707" s="26">
        <f>H707^2/6</f>
        <v/>
      </c>
      <c r="N707" s="26">
        <f>H707^3/12</f>
        <v/>
      </c>
      <c r="O707" s="27">
        <f>-J707*L707*K707*C707</f>
        <v/>
      </c>
      <c r="P707" s="28">
        <f>-(12*F707*J707*L707*N707+12*O707*N707*G707*COS(RADIANS(E707)))/(12*N707*G707*COS(RADIANS(E707))^2+L707*G707^3*SIN(RADIANS(E707))^2)</f>
        <v/>
      </c>
      <c r="Q707" s="28">
        <f>-(6*F707*J707*L707*N707*SIN(RADIANS(E707))+6*O707*N707*G707*SIN(RADIANS(E707))*COS(RADIANS(E707)))/(12*N707*COS(RADIANS(E707))^2+L707*G707^2*SIN(RADIANS(E707))^2)</f>
        <v/>
      </c>
      <c r="R707" s="28">
        <f>-P707*SIN(RADIANS(E707))</f>
        <v/>
      </c>
      <c r="S707" s="8">
        <f>(O707+P707*COS(RADIANS(E707)))/L707</f>
        <v/>
      </c>
      <c r="T707" s="8">
        <f>R707/L707</f>
        <v/>
      </c>
      <c r="U707" s="8">
        <f>(Q707-P707*G707*SIN(RADIANS(E707)))/M707</f>
        <v/>
      </c>
      <c r="V707" s="8">
        <f>SQRT((S707+U707)^2+3*T707^2)</f>
        <v/>
      </c>
      <c r="W707" s="8">
        <f>V707/AA707</f>
        <v/>
      </c>
      <c r="X707" s="27">
        <f>((3*10+H707/COS(RADIANS(E707)))*(3+3)+3*G707*H707)*2</f>
        <v/>
      </c>
      <c r="Y707" s="28">
        <f>Z707/X707</f>
        <v/>
      </c>
      <c r="Z707" s="29" t="n">
        <v>666.285152295364</v>
      </c>
      <c r="AA707" s="20" t="n">
        <v>60.6568803659201</v>
      </c>
      <c r="AB707" t="n">
        <v>0.1122116709026768</v>
      </c>
      <c r="AC707" t="n">
        <v>47.71434353107703</v>
      </c>
      <c r="AD707" t="n">
        <v>41.49320359900809</v>
      </c>
    </row>
    <row r="708">
      <c r="A708" t="n">
        <v>707</v>
      </c>
      <c r="B708" t="n">
        <v>83.2</v>
      </c>
      <c r="C708" s="21">
        <f>B708-20</f>
        <v/>
      </c>
      <c r="D708" t="n">
        <v>103.6</v>
      </c>
      <c r="E708" s="22">
        <f>D708-90</f>
        <v/>
      </c>
      <c r="F708" s="23" t="n">
        <v>0.02134</v>
      </c>
      <c r="G708" s="22" t="n">
        <v>24.3</v>
      </c>
      <c r="H708" s="22" t="n">
        <v>1</v>
      </c>
      <c r="I708" s="24" t="n">
        <v>0.167992711067199</v>
      </c>
      <c r="J708" s="6" t="n">
        <v>71000</v>
      </c>
      <c r="K708" s="25">
        <f>23*10^-6</f>
        <v/>
      </c>
      <c r="L708" s="8">
        <f>H708</f>
        <v/>
      </c>
      <c r="M708" s="26">
        <f>H708^2/6</f>
        <v/>
      </c>
      <c r="N708" s="26">
        <f>H708^3/12</f>
        <v/>
      </c>
      <c r="O708" s="27">
        <f>-J708*L708*K708*C708</f>
        <v/>
      </c>
      <c r="P708" s="28">
        <f>-(12*F708*J708*L708*N708+12*O708*N708*G708*COS(RADIANS(E708)))/(12*N708*G708*COS(RADIANS(E708))^2+L708*G708^3*SIN(RADIANS(E708))^2)</f>
        <v/>
      </c>
      <c r="Q708" s="28">
        <f>-(6*F708*J708*L708*N708*SIN(RADIANS(E708))+6*O708*N708*G708*SIN(RADIANS(E708))*COS(RADIANS(E708)))/(12*N708*COS(RADIANS(E708))^2+L708*G708^2*SIN(RADIANS(E708))^2)</f>
        <v/>
      </c>
      <c r="R708" s="28">
        <f>-P708*SIN(RADIANS(E708))</f>
        <v/>
      </c>
      <c r="S708" s="8">
        <f>(O708+P708*COS(RADIANS(E708)))/L708</f>
        <v/>
      </c>
      <c r="T708" s="8">
        <f>R708/L708</f>
        <v/>
      </c>
      <c r="U708" s="8">
        <f>(Q708-P708*G708*SIN(RADIANS(E708)))/M708</f>
        <v/>
      </c>
      <c r="V708" s="8">
        <f>SQRT((S708+U708)^2+3*T708^2)</f>
        <v/>
      </c>
      <c r="W708" s="8">
        <f>V708/AA708</f>
        <v/>
      </c>
      <c r="X708" s="27">
        <f>((3*10+H708/COS(RADIANS(E708)))*(3+3)+3*G708*H708)*2</f>
        <v/>
      </c>
      <c r="Y708" s="28">
        <f>Z708/X708</f>
        <v/>
      </c>
      <c r="Z708" s="29" t="n">
        <v>522.272152514213</v>
      </c>
      <c r="AA708" s="20" t="n">
        <v>91.63927294662891</v>
      </c>
      <c r="AB708" t="n">
        <v>0.2315750923742141</v>
      </c>
      <c r="AC708" t="n">
        <v>99.91450119280964</v>
      </c>
      <c r="AD708" t="n">
        <v>37.84829764523614</v>
      </c>
    </row>
    <row r="709">
      <c r="A709" t="n">
        <v>708</v>
      </c>
      <c r="B709" t="n">
        <v>49.4</v>
      </c>
      <c r="C709" s="21">
        <f>B709-20</f>
        <v/>
      </c>
      <c r="D709" t="n">
        <v>108.8</v>
      </c>
      <c r="E709" s="22">
        <f>D709-90</f>
        <v/>
      </c>
      <c r="F709" s="23" t="n">
        <v>0.008388</v>
      </c>
      <c r="G709" s="22" t="n">
        <v>20.1</v>
      </c>
      <c r="H709" s="22" t="n">
        <v>1.6</v>
      </c>
      <c r="I709" s="24" t="n">
        <v>0.0527342557907104</v>
      </c>
      <c r="J709" s="6" t="n">
        <v>71000</v>
      </c>
      <c r="K709" s="25">
        <f>23*10^-6</f>
        <v/>
      </c>
      <c r="L709" s="8">
        <f>H709</f>
        <v/>
      </c>
      <c r="M709" s="26">
        <f>H709^2/6</f>
        <v/>
      </c>
      <c r="N709" s="26">
        <f>H709^3/12</f>
        <v/>
      </c>
      <c r="O709" s="27">
        <f>-J709*L709*K709*C709</f>
        <v/>
      </c>
      <c r="P709" s="28">
        <f>-(12*F709*J709*L709*N709+12*O709*N709*G709*COS(RADIANS(E709)))/(12*N709*G709*COS(RADIANS(E709))^2+L709*G709^3*SIN(RADIANS(E709))^2)</f>
        <v/>
      </c>
      <c r="Q709" s="28">
        <f>-(6*F709*J709*L709*N709*SIN(RADIANS(E709))+6*O709*N709*G709*SIN(RADIANS(E709))*COS(RADIANS(E709)))/(12*N709*COS(RADIANS(E709))^2+L709*G709^2*SIN(RADIANS(E709))^2)</f>
        <v/>
      </c>
      <c r="R709" s="28">
        <f>-P709*SIN(RADIANS(E709))</f>
        <v/>
      </c>
      <c r="S709" s="8">
        <f>(O709+P709*COS(RADIANS(E709)))/L709</f>
        <v/>
      </c>
      <c r="T709" s="8">
        <f>R709/L709</f>
        <v/>
      </c>
      <c r="U709" s="8">
        <f>(Q709-P709*G709*SIN(RADIANS(E709)))/M709</f>
        <v/>
      </c>
      <c r="V709" s="8">
        <f>SQRT((S709+U709)^2+3*T709^2)</f>
        <v/>
      </c>
      <c r="W709" s="8">
        <f>V709/AA709</f>
        <v/>
      </c>
      <c r="X709" s="27">
        <f>((3*10+H709/COS(RADIANS(E709)))*(3+3)+3*G709*H709)*2</f>
        <v/>
      </c>
      <c r="Y709" s="28">
        <f>Z709/X709</f>
        <v/>
      </c>
      <c r="Z709" s="29" t="n">
        <v>578.028271295908</v>
      </c>
      <c r="AA709" s="20" t="n">
        <v>49.1799935809189</v>
      </c>
      <c r="AB709" t="n">
        <v>0.06320370447096166</v>
      </c>
      <c r="AC709" t="n">
        <v>47.91842039183426</v>
      </c>
      <c r="AD709" t="n">
        <v>19.85322163604998</v>
      </c>
    </row>
    <row r="710">
      <c r="A710" t="n">
        <v>709</v>
      </c>
      <c r="B710" t="n">
        <v>49.5</v>
      </c>
      <c r="C710" s="21">
        <f>B710-20</f>
        <v/>
      </c>
      <c r="D710" t="n">
        <v>123.6</v>
      </c>
      <c r="E710" s="22">
        <f>D710-90</f>
        <v/>
      </c>
      <c r="F710" s="23" t="n">
        <v>0.009889</v>
      </c>
      <c r="G710" s="22" t="n">
        <v>28.1</v>
      </c>
      <c r="H710" s="22" t="n">
        <v>1.9</v>
      </c>
      <c r="I710" s="24" t="n">
        <v>0.0446422100067138</v>
      </c>
      <c r="J710" s="6" t="n">
        <v>71000</v>
      </c>
      <c r="K710" s="25">
        <f>23*10^-6</f>
        <v/>
      </c>
      <c r="L710" s="8">
        <f>H710</f>
        <v/>
      </c>
      <c r="M710" s="26">
        <f>H710^2/6</f>
        <v/>
      </c>
      <c r="N710" s="26">
        <f>H710^3/12</f>
        <v/>
      </c>
      <c r="O710" s="27">
        <f>-J710*L710*K710*C710</f>
        <v/>
      </c>
      <c r="P710" s="28">
        <f>-(12*F710*J710*L710*N710+12*O710*N710*G710*COS(RADIANS(E710)))/(12*N710*G710*COS(RADIANS(E710))^2+L710*G710^3*SIN(RADIANS(E710))^2)</f>
        <v/>
      </c>
      <c r="Q710" s="28">
        <f>-(6*F710*J710*L710*N710*SIN(RADIANS(E710))+6*O710*N710*G710*SIN(RADIANS(E710))*COS(RADIANS(E710)))/(12*N710*COS(RADIANS(E710))^2+L710*G710^2*SIN(RADIANS(E710))^2)</f>
        <v/>
      </c>
      <c r="R710" s="28">
        <f>-P710*SIN(RADIANS(E710))</f>
        <v/>
      </c>
      <c r="S710" s="8">
        <f>(O710+P710*COS(RADIANS(E710)))/L710</f>
        <v/>
      </c>
      <c r="T710" s="8">
        <f>R710/L710</f>
        <v/>
      </c>
      <c r="U710" s="8">
        <f>(Q710-P710*G710*SIN(RADIANS(E710)))/M710</f>
        <v/>
      </c>
      <c r="V710" s="8">
        <f>SQRT((S710+U710)^2+3*T710^2)</f>
        <v/>
      </c>
      <c r="W710" s="8">
        <f>V710/AA710</f>
        <v/>
      </c>
      <c r="X710" s="27">
        <f>((3*10+H710/COS(RADIANS(E710)))*(3+3)+3*G710*H710)*2</f>
        <v/>
      </c>
      <c r="Y710" s="28">
        <f>Z710/X710</f>
        <v/>
      </c>
      <c r="Z710" s="29" t="n">
        <v>715.961414871938</v>
      </c>
      <c r="AA710" s="20" t="n">
        <v>47.1049764994655</v>
      </c>
      <c r="AB710" t="n">
        <v>0.04876367062836497</v>
      </c>
      <c r="AC710" t="n">
        <v>43.98640258744165</v>
      </c>
      <c r="AD710" t="n">
        <v>9.232205621162896</v>
      </c>
    </row>
    <row r="711">
      <c r="A711" t="n">
        <v>710</v>
      </c>
      <c r="B711" t="n">
        <v>73</v>
      </c>
      <c r="C711" s="21">
        <f>B711-20</f>
        <v/>
      </c>
      <c r="D711" t="n">
        <v>100.6</v>
      </c>
      <c r="E711" s="22">
        <f>D711-90</f>
        <v/>
      </c>
      <c r="F711" s="23" t="n">
        <v>0.018829</v>
      </c>
      <c r="G711" s="22" t="n">
        <v>25.6</v>
      </c>
      <c r="H711" s="22" t="n">
        <v>1.4</v>
      </c>
      <c r="I711" s="24" t="n">
        <v>0.172461867332458</v>
      </c>
      <c r="J711" s="6" t="n">
        <v>71000</v>
      </c>
      <c r="K711" s="25">
        <f>23*10^-6</f>
        <v/>
      </c>
      <c r="L711" s="8">
        <f>H711</f>
        <v/>
      </c>
      <c r="M711" s="26">
        <f>H711^2/6</f>
        <v/>
      </c>
      <c r="N711" s="26">
        <f>H711^3/12</f>
        <v/>
      </c>
      <c r="O711" s="27">
        <f>-J711*L711*K711*C711</f>
        <v/>
      </c>
      <c r="P711" s="28">
        <f>-(12*F711*J711*L711*N711+12*O711*N711*G711*COS(RADIANS(E711)))/(12*N711*G711*COS(RADIANS(E711))^2+L711*G711^3*SIN(RADIANS(E711))^2)</f>
        <v/>
      </c>
      <c r="Q711" s="28">
        <f>-(6*F711*J711*L711*N711*SIN(RADIANS(E711))+6*O711*N711*G711*SIN(RADIANS(E711))*COS(RADIANS(E711)))/(12*N711*COS(RADIANS(E711))^2+L711*G711^2*SIN(RADIANS(E711))^2)</f>
        <v/>
      </c>
      <c r="R711" s="28">
        <f>-P711*SIN(RADIANS(E711))</f>
        <v/>
      </c>
      <c r="S711" s="8">
        <f>(O711+P711*COS(RADIANS(E711)))/L711</f>
        <v/>
      </c>
      <c r="T711" s="8">
        <f>R711/L711</f>
        <v/>
      </c>
      <c r="U711" s="8">
        <f>(Q711-P711*G711*SIN(RADIANS(E711)))/M711</f>
        <v/>
      </c>
      <c r="V711" s="8">
        <f>SQRT((S711+U711)^2+3*T711^2)</f>
        <v/>
      </c>
      <c r="W711" s="8">
        <f>V711/AA711</f>
        <v/>
      </c>
      <c r="X711" s="27">
        <f>((3*10+H711/COS(RADIANS(E711)))*(3+3)+3*G711*H711)*2</f>
        <v/>
      </c>
      <c r="Y711" s="28">
        <f>Z711/X711</f>
        <v/>
      </c>
      <c r="Z711" s="29" t="n">
        <v>595.981954460428</v>
      </c>
      <c r="AA711" s="20" t="n">
        <v>86.84399884980709</v>
      </c>
      <c r="AB711" t="n">
        <v>0.2487161023720257</v>
      </c>
      <c r="AC711" t="n">
        <v>91.22808971784806</v>
      </c>
      <c r="AD711" t="n">
        <v>44.21512779550913</v>
      </c>
    </row>
    <row r="712">
      <c r="A712" t="n">
        <v>711</v>
      </c>
      <c r="B712" t="n">
        <v>62.5</v>
      </c>
      <c r="C712" s="21">
        <f>B712-20</f>
        <v/>
      </c>
      <c r="D712" t="n">
        <v>103.1</v>
      </c>
      <c r="E712" s="22">
        <f>D712-90</f>
        <v/>
      </c>
      <c r="F712" s="23" t="n">
        <v>0.018574</v>
      </c>
      <c r="G712" s="22" t="n">
        <v>33.2</v>
      </c>
      <c r="H712" s="22" t="n">
        <v>2</v>
      </c>
      <c r="I712" s="24" t="n">
        <v>0.141568019986152</v>
      </c>
      <c r="J712" s="6" t="n">
        <v>71000</v>
      </c>
      <c r="K712" s="25">
        <f>23*10^-6</f>
        <v/>
      </c>
      <c r="L712" s="8">
        <f>H712</f>
        <v/>
      </c>
      <c r="M712" s="26">
        <f>H712^2/6</f>
        <v/>
      </c>
      <c r="N712" s="26">
        <f>H712^3/12</f>
        <v/>
      </c>
      <c r="O712" s="27">
        <f>-J712*L712*K712*C712</f>
        <v/>
      </c>
      <c r="P712" s="28">
        <f>-(12*F712*J712*L712*N712+12*O712*N712*G712*COS(RADIANS(E712)))/(12*N712*G712*COS(RADIANS(E712))^2+L712*G712^3*SIN(RADIANS(E712))^2)</f>
        <v/>
      </c>
      <c r="Q712" s="28">
        <f>-(6*F712*J712*L712*N712*SIN(RADIANS(E712))+6*O712*N712*G712*SIN(RADIANS(E712))*COS(RADIANS(E712)))/(12*N712*COS(RADIANS(E712))^2+L712*G712^2*SIN(RADIANS(E712))^2)</f>
        <v/>
      </c>
      <c r="R712" s="28">
        <f>-P712*SIN(RADIANS(E712))</f>
        <v/>
      </c>
      <c r="S712" s="8">
        <f>(O712+P712*COS(RADIANS(E712)))/L712</f>
        <v/>
      </c>
      <c r="T712" s="8">
        <f>R712/L712</f>
        <v/>
      </c>
      <c r="U712" s="8">
        <f>(Q712-P712*G712*SIN(RADIANS(E712)))/M712</f>
        <v/>
      </c>
      <c r="V712" s="8">
        <f>SQRT((S712+U712)^2+3*T712^2)</f>
        <v/>
      </c>
      <c r="W712" s="8">
        <f>V712/AA712</f>
        <v/>
      </c>
      <c r="X712" s="27">
        <f>((3*10+H712/COS(RADIANS(E712)))*(3+3)+3*G712*H712)*2</f>
        <v/>
      </c>
      <c r="Y712" s="28">
        <f>Z712/X712</f>
        <v/>
      </c>
      <c r="Z712" s="29" t="n">
        <v>787.116159563563</v>
      </c>
      <c r="AA712" s="20" t="n">
        <v>75.4009280092601</v>
      </c>
      <c r="AB712" t="n">
        <v>0.2087238092762968</v>
      </c>
      <c r="AC712" t="n">
        <v>72.73966472032481</v>
      </c>
      <c r="AD712" t="n">
        <v>47.43711842315367</v>
      </c>
    </row>
    <row r="713">
      <c r="A713" t="n">
        <v>712</v>
      </c>
      <c r="B713" t="n">
        <v>59.7</v>
      </c>
      <c r="C713" s="21">
        <f>B713-20</f>
        <v/>
      </c>
      <c r="D713" t="n">
        <v>111.4</v>
      </c>
      <c r="E713" s="22">
        <f>D713-90</f>
        <v/>
      </c>
      <c r="F713" s="23" t="n">
        <v>0.013039</v>
      </c>
      <c r="G713" s="22" t="n">
        <v>24.5</v>
      </c>
      <c r="H713" s="22" t="n">
        <v>1.5</v>
      </c>
      <c r="I713" s="24" t="n">
        <v>0.07454626262187949</v>
      </c>
      <c r="J713" s="6" t="n">
        <v>71000</v>
      </c>
      <c r="K713" s="25">
        <f>23*10^-6</f>
        <v/>
      </c>
      <c r="L713" s="8">
        <f>H713</f>
        <v/>
      </c>
      <c r="M713" s="26">
        <f>H713^2/6</f>
        <v/>
      </c>
      <c r="N713" s="26">
        <f>H713^3/12</f>
        <v/>
      </c>
      <c r="O713" s="27">
        <f>-J713*L713*K713*C713</f>
        <v/>
      </c>
      <c r="P713" s="28">
        <f>-(12*F713*J713*L713*N713+12*O713*N713*G713*COS(RADIANS(E713)))/(12*N713*G713*COS(RADIANS(E713))^2+L713*G713^3*SIN(RADIANS(E713))^2)</f>
        <v/>
      </c>
      <c r="Q713" s="28">
        <f>-(6*F713*J713*L713*N713*SIN(RADIANS(E713))+6*O713*N713*G713*SIN(RADIANS(E713))*COS(RADIANS(E713)))/(12*N713*COS(RADIANS(E713))^2+L713*G713^2*SIN(RADIANS(E713))^2)</f>
        <v/>
      </c>
      <c r="R713" s="28">
        <f>-P713*SIN(RADIANS(E713))</f>
        <v/>
      </c>
      <c r="S713" s="8">
        <f>(O713+P713*COS(RADIANS(E713)))/L713</f>
        <v/>
      </c>
      <c r="T713" s="8">
        <f>R713/L713</f>
        <v/>
      </c>
      <c r="U713" s="8">
        <f>(Q713-P713*G713*SIN(RADIANS(E713)))/M713</f>
        <v/>
      </c>
      <c r="V713" s="8">
        <f>SQRT((S713+U713)^2+3*T713^2)</f>
        <v/>
      </c>
      <c r="W713" s="8">
        <f>V713/AA713</f>
        <v/>
      </c>
      <c r="X713" s="27">
        <f>((3*10+H713/COS(RADIANS(E713)))*(3+3)+3*G713*H713)*2</f>
        <v/>
      </c>
      <c r="Y713" s="28">
        <f>Z713/X713</f>
        <v/>
      </c>
      <c r="Z713" s="29" t="n">
        <v>605.043706874487</v>
      </c>
      <c r="AA713" s="20" t="n">
        <v>61.9768700887304</v>
      </c>
      <c r="AB713" t="n">
        <v>0.09220793375972834</v>
      </c>
      <c r="AC713" t="n">
        <v>61.97093000213133</v>
      </c>
      <c r="AD713" t="n">
        <v>23.69222884778815</v>
      </c>
    </row>
    <row r="714">
      <c r="A714" t="n">
        <v>713</v>
      </c>
      <c r="B714" t="n">
        <v>88.09999999999999</v>
      </c>
      <c r="C714" s="21">
        <f>B714-20</f>
        <v/>
      </c>
      <c r="D714" t="n">
        <v>109.9</v>
      </c>
      <c r="E714" s="22">
        <f>D714-90</f>
        <v/>
      </c>
      <c r="F714" s="23" t="n">
        <v>0.028747</v>
      </c>
      <c r="G714" s="22" t="n">
        <v>33</v>
      </c>
      <c r="H714" s="22" t="n">
        <v>1.9</v>
      </c>
      <c r="I714" s="24" t="n">
        <v>0.165420264005661</v>
      </c>
      <c r="J714" s="6" t="n">
        <v>71000</v>
      </c>
      <c r="K714" s="25">
        <f>23*10^-6</f>
        <v/>
      </c>
      <c r="L714" s="8">
        <f>H714</f>
        <v/>
      </c>
      <c r="M714" s="26">
        <f>H714^2/6</f>
        <v/>
      </c>
      <c r="N714" s="26">
        <f>H714^3/12</f>
        <v/>
      </c>
      <c r="O714" s="27">
        <f>-J714*L714*K714*C714</f>
        <v/>
      </c>
      <c r="P714" s="28">
        <f>-(12*F714*J714*L714*N714+12*O714*N714*G714*COS(RADIANS(E714)))/(12*N714*G714*COS(RADIANS(E714))^2+L714*G714^3*SIN(RADIANS(E714))^2)</f>
        <v/>
      </c>
      <c r="Q714" s="28">
        <f>-(6*F714*J714*L714*N714*SIN(RADIANS(E714))+6*O714*N714*G714*SIN(RADIANS(E714))*COS(RADIANS(E714)))/(12*N714*COS(RADIANS(E714))^2+L714*G714^2*SIN(RADIANS(E714))^2)</f>
        <v/>
      </c>
      <c r="R714" s="28">
        <f>-P714*SIN(RADIANS(E714))</f>
        <v/>
      </c>
      <c r="S714" s="8">
        <f>(O714+P714*COS(RADIANS(E714)))/L714</f>
        <v/>
      </c>
      <c r="T714" s="8">
        <f>R714/L714</f>
        <v/>
      </c>
      <c r="U714" s="8">
        <f>(Q714-P714*G714*SIN(RADIANS(E714)))/M714</f>
        <v/>
      </c>
      <c r="V714" s="8">
        <f>SQRT((S714+U714)^2+3*T714^2)</f>
        <v/>
      </c>
      <c r="W714" s="8">
        <f>V714/AA714</f>
        <v/>
      </c>
      <c r="X714" s="27">
        <f>((3*10+H714/COS(RADIANS(E714)))*(3+3)+3*G714*H714)*2</f>
        <v/>
      </c>
      <c r="Y714" s="28">
        <f>Z714/X714</f>
        <v/>
      </c>
      <c r="Z714" s="29" t="n">
        <v>765.4056074162449</v>
      </c>
      <c r="AA714" s="20" t="n">
        <v>112.069125036172</v>
      </c>
      <c r="AB714" t="n">
        <v>0.2253049144448581</v>
      </c>
      <c r="AC714" t="n">
        <v>107.9349661478239</v>
      </c>
      <c r="AD714" t="n">
        <v>36.2015202908561</v>
      </c>
    </row>
    <row r="715">
      <c r="A715" t="n">
        <v>714</v>
      </c>
      <c r="B715" t="n">
        <v>61.2</v>
      </c>
      <c r="C715" s="21">
        <f>B715-20</f>
        <v/>
      </c>
      <c r="D715" t="n">
        <v>109.6</v>
      </c>
      <c r="E715" s="22">
        <f>D715-90</f>
        <v/>
      </c>
      <c r="F715" s="23" t="n">
        <v>0.015119</v>
      </c>
      <c r="G715" s="22" t="n">
        <v>27.8</v>
      </c>
      <c r="H715" s="22" t="n">
        <v>2</v>
      </c>
      <c r="I715" s="24" t="n">
        <v>0.08909906446933739</v>
      </c>
      <c r="J715" s="6" t="n">
        <v>71000</v>
      </c>
      <c r="K715" s="25">
        <f>23*10^-6</f>
        <v/>
      </c>
      <c r="L715" s="8">
        <f>H715</f>
        <v/>
      </c>
      <c r="M715" s="26">
        <f>H715^2/6</f>
        <v/>
      </c>
      <c r="N715" s="26">
        <f>H715^3/12</f>
        <v/>
      </c>
      <c r="O715" s="27">
        <f>-J715*L715*K715*C715</f>
        <v/>
      </c>
      <c r="P715" s="28">
        <f>-(12*F715*J715*L715*N715+12*O715*N715*G715*COS(RADIANS(E715)))/(12*N715*G715*COS(RADIANS(E715))^2+L715*G715^3*SIN(RADIANS(E715))^2)</f>
        <v/>
      </c>
      <c r="Q715" s="28">
        <f>-(6*F715*J715*L715*N715*SIN(RADIANS(E715))+6*O715*N715*G715*SIN(RADIANS(E715))*COS(RADIANS(E715)))/(12*N715*COS(RADIANS(E715))^2+L715*G715^2*SIN(RADIANS(E715))^2)</f>
        <v/>
      </c>
      <c r="R715" s="28">
        <f>-P715*SIN(RADIANS(E715))</f>
        <v/>
      </c>
      <c r="S715" s="8">
        <f>(O715+P715*COS(RADIANS(E715)))/L715</f>
        <v/>
      </c>
      <c r="T715" s="8">
        <f>R715/L715</f>
        <v/>
      </c>
      <c r="U715" s="8">
        <f>(Q715-P715*G715*SIN(RADIANS(E715)))/M715</f>
        <v/>
      </c>
      <c r="V715" s="8">
        <f>SQRT((S715+U715)^2+3*T715^2)</f>
        <v/>
      </c>
      <c r="W715" s="8">
        <f>V715/AA715</f>
        <v/>
      </c>
      <c r="X715" s="27">
        <f>((3*10+H715/COS(RADIANS(E715)))*(3+3)+3*G715*H715)*2</f>
        <v/>
      </c>
      <c r="Y715" s="28">
        <f>Z715/X715</f>
        <v/>
      </c>
      <c r="Z715" s="29" t="n">
        <v>723.985935805998</v>
      </c>
      <c r="AA715" s="20" t="n">
        <v>71.1321269621443</v>
      </c>
      <c r="AB715" t="n">
        <v>0.1160326993029266</v>
      </c>
      <c r="AC715" t="n">
        <v>67.08375300026532</v>
      </c>
      <c r="AD715" t="n">
        <v>30.22886378662054</v>
      </c>
    </row>
    <row r="716">
      <c r="A716" t="n">
        <v>715</v>
      </c>
      <c r="B716" t="n">
        <v>75.59999999999999</v>
      </c>
      <c r="C716" s="21">
        <f>B716-20</f>
        <v/>
      </c>
      <c r="D716" t="n">
        <v>129.4</v>
      </c>
      <c r="E716" s="22">
        <f>D716-90</f>
        <v/>
      </c>
      <c r="F716" s="23" t="n">
        <v>0.018987</v>
      </c>
      <c r="G716" s="22" t="n">
        <v>31</v>
      </c>
      <c r="H716" s="22" t="n">
        <v>1.6</v>
      </c>
      <c r="I716" s="24" t="n">
        <v>0.08135773986577979</v>
      </c>
      <c r="J716" s="6" t="n">
        <v>71000</v>
      </c>
      <c r="K716" s="25">
        <f>23*10^-6</f>
        <v/>
      </c>
      <c r="L716" s="8">
        <f>H716</f>
        <v/>
      </c>
      <c r="M716" s="26">
        <f>H716^2/6</f>
        <v/>
      </c>
      <c r="N716" s="26">
        <f>H716^3/12</f>
        <v/>
      </c>
      <c r="O716" s="27">
        <f>-J716*L716*K716*C716</f>
        <v/>
      </c>
      <c r="P716" s="28">
        <f>-(12*F716*J716*L716*N716+12*O716*N716*G716*COS(RADIANS(E716)))/(12*N716*G716*COS(RADIANS(E716))^2+L716*G716^3*SIN(RADIANS(E716))^2)</f>
        <v/>
      </c>
      <c r="Q716" s="28">
        <f>-(6*F716*J716*L716*N716*SIN(RADIANS(E716))+6*O716*N716*G716*SIN(RADIANS(E716))*COS(RADIANS(E716)))/(12*N716*COS(RADIANS(E716))^2+L716*G716^2*SIN(RADIANS(E716))^2)</f>
        <v/>
      </c>
      <c r="R716" s="28">
        <f>-P716*SIN(RADIANS(E716))</f>
        <v/>
      </c>
      <c r="S716" s="8">
        <f>(O716+P716*COS(RADIANS(E716)))/L716</f>
        <v/>
      </c>
      <c r="T716" s="8">
        <f>R716/L716</f>
        <v/>
      </c>
      <c r="U716" s="8">
        <f>(Q716-P716*G716*SIN(RADIANS(E716)))/M716</f>
        <v/>
      </c>
      <c r="V716" s="8">
        <f>SQRT((S716+U716)^2+3*T716^2)</f>
        <v/>
      </c>
      <c r="W716" s="8">
        <f>V716/AA716</f>
        <v/>
      </c>
      <c r="X716" s="27">
        <f>((3*10+H716/COS(RADIANS(E716)))*(3+3)+3*G716*H716)*2</f>
        <v/>
      </c>
      <c r="Y716" s="28">
        <f>Z716/X716</f>
        <v/>
      </c>
      <c r="Z716" s="29" t="n">
        <v>692.939055889215</v>
      </c>
      <c r="AA716" s="20" t="n">
        <v>80.140916041248</v>
      </c>
      <c r="AB716" t="n">
        <v>0.0851728184150963</v>
      </c>
      <c r="AC716" t="n">
        <v>79.89704641331724</v>
      </c>
      <c r="AD716" t="n">
        <v>4.68926319193533</v>
      </c>
    </row>
    <row r="717">
      <c r="A717" t="n">
        <v>716</v>
      </c>
      <c r="B717" t="n">
        <v>88</v>
      </c>
      <c r="C717" s="21">
        <f>B717-20</f>
        <v/>
      </c>
      <c r="D717" t="n">
        <v>102.8</v>
      </c>
      <c r="E717" s="22">
        <f>D717-90</f>
        <v/>
      </c>
      <c r="F717" s="23" t="n">
        <v>0.02748</v>
      </c>
      <c r="G717" s="22" t="n">
        <v>30.2</v>
      </c>
      <c r="H717" s="22" t="n">
        <v>1.8</v>
      </c>
      <c r="I717" s="24" t="n">
        <v>0.215135887265205</v>
      </c>
      <c r="J717" s="6" t="n">
        <v>71000</v>
      </c>
      <c r="K717" s="25">
        <f>23*10^-6</f>
        <v/>
      </c>
      <c r="L717" s="8">
        <f>H717</f>
        <v/>
      </c>
      <c r="M717" s="26">
        <f>H717^2/6</f>
        <v/>
      </c>
      <c r="N717" s="26">
        <f>H717^3/12</f>
        <v/>
      </c>
      <c r="O717" s="27">
        <f>-J717*L717*K717*C717</f>
        <v/>
      </c>
      <c r="P717" s="28">
        <f>-(12*F717*J717*L717*N717+12*O717*N717*G717*COS(RADIANS(E717)))/(12*N717*G717*COS(RADIANS(E717))^2+L717*G717^3*SIN(RADIANS(E717))^2)</f>
        <v/>
      </c>
      <c r="Q717" s="28">
        <f>-(6*F717*J717*L717*N717*SIN(RADIANS(E717))+6*O717*N717*G717*SIN(RADIANS(E717))*COS(RADIANS(E717)))/(12*N717*COS(RADIANS(E717))^2+L717*G717^2*SIN(RADIANS(E717))^2)</f>
        <v/>
      </c>
      <c r="R717" s="28">
        <f>-P717*SIN(RADIANS(E717))</f>
        <v/>
      </c>
      <c r="S717" s="8">
        <f>(O717+P717*COS(RADIANS(E717)))/L717</f>
        <v/>
      </c>
      <c r="T717" s="8">
        <f>R717/L717</f>
        <v/>
      </c>
      <c r="U717" s="8">
        <f>(Q717-P717*G717*SIN(RADIANS(E717)))/M717</f>
        <v/>
      </c>
      <c r="V717" s="8">
        <f>SQRT((S717+U717)^2+3*T717^2)</f>
        <v/>
      </c>
      <c r="W717" s="8">
        <f>V717/AA717</f>
        <v/>
      </c>
      <c r="X717" s="27">
        <f>((3*10+H717/COS(RADIANS(E717)))*(3+3)+3*G717*H717)*2</f>
        <v/>
      </c>
      <c r="Y717" s="28">
        <f>Z717/X717</f>
        <v/>
      </c>
      <c r="Z717" s="29" t="n">
        <v>712.355696958842</v>
      </c>
      <c r="AA717" s="20" t="n">
        <v>117.298071358228</v>
      </c>
      <c r="AB717" t="n">
        <v>0.3122311662060753</v>
      </c>
      <c r="AC717" t="n">
        <v>116.0909481159084</v>
      </c>
      <c r="AD717" t="n">
        <v>45.13206986297817</v>
      </c>
    </row>
    <row r="718">
      <c r="A718" t="n">
        <v>717</v>
      </c>
      <c r="B718" t="n">
        <v>75.59999999999999</v>
      </c>
      <c r="C718" s="21">
        <f>B718-20</f>
        <v/>
      </c>
      <c r="D718" t="n">
        <v>100</v>
      </c>
      <c r="E718" s="22">
        <f>D718-90</f>
        <v/>
      </c>
      <c r="F718" s="23" t="n">
        <v>0.025588</v>
      </c>
      <c r="G718" s="22" t="n">
        <v>34.9</v>
      </c>
      <c r="H718" s="22" t="n">
        <v>1.6</v>
      </c>
      <c r="I718" s="24" t="n">
        <v>0.242575630545616</v>
      </c>
      <c r="J718" s="6" t="n">
        <v>71000</v>
      </c>
      <c r="K718" s="25">
        <f>23*10^-6</f>
        <v/>
      </c>
      <c r="L718" s="8">
        <f>H718</f>
        <v/>
      </c>
      <c r="M718" s="26">
        <f>H718^2/6</f>
        <v/>
      </c>
      <c r="N718" s="26">
        <f>H718^3/12</f>
        <v/>
      </c>
      <c r="O718" s="27">
        <f>-J718*L718*K718*C718</f>
        <v/>
      </c>
      <c r="P718" s="28">
        <f>-(12*F718*J718*L718*N718+12*O718*N718*G718*COS(RADIANS(E718)))/(12*N718*G718*COS(RADIANS(E718))^2+L718*G718^3*SIN(RADIANS(E718))^2)</f>
        <v/>
      </c>
      <c r="Q718" s="28">
        <f>-(6*F718*J718*L718*N718*SIN(RADIANS(E718))+6*O718*N718*G718*SIN(RADIANS(E718))*COS(RADIANS(E718)))/(12*N718*COS(RADIANS(E718))^2+L718*G718^2*SIN(RADIANS(E718))^2)</f>
        <v/>
      </c>
      <c r="R718" s="28">
        <f>-P718*SIN(RADIANS(E718))</f>
        <v/>
      </c>
      <c r="S718" s="8">
        <f>(O718+P718*COS(RADIANS(E718)))/L718</f>
        <v/>
      </c>
      <c r="T718" s="8">
        <f>R718/L718</f>
        <v/>
      </c>
      <c r="U718" s="8">
        <f>(Q718-P718*G718*SIN(RADIANS(E718)))/M718</f>
        <v/>
      </c>
      <c r="V718" s="8">
        <f>SQRT((S718+U718)^2+3*T718^2)</f>
        <v/>
      </c>
      <c r="W718" s="8">
        <f>V718/AA718</f>
        <v/>
      </c>
      <c r="X718" s="27">
        <f>((3*10+H718/COS(RADIANS(E718)))*(3+3)+3*G718*H718)*2</f>
        <v/>
      </c>
      <c r="Y718" s="28">
        <f>Z718/X718</f>
        <v/>
      </c>
      <c r="Z718" s="29" t="n">
        <v>718.340059019106</v>
      </c>
      <c r="AA718" s="20" t="n">
        <v>91.4797301722509</v>
      </c>
      <c r="AB718" t="n">
        <v>0.3763825581049504</v>
      </c>
      <c r="AC718" t="n">
        <v>95.50021063268011</v>
      </c>
      <c r="AD718" t="n">
        <v>55.16091095316029</v>
      </c>
    </row>
    <row r="719">
      <c r="A719" t="n">
        <v>718</v>
      </c>
      <c r="B719" t="n">
        <v>67.3</v>
      </c>
      <c r="C719" s="21">
        <f>B719-20</f>
        <v/>
      </c>
      <c r="D719" t="n">
        <v>104.7</v>
      </c>
      <c r="E719" s="22">
        <f>D719-90</f>
        <v/>
      </c>
      <c r="F719" s="23" t="n">
        <v>0.019248</v>
      </c>
      <c r="G719" s="22" t="n">
        <v>30.7</v>
      </c>
      <c r="H719" s="22" t="n">
        <v>1.9</v>
      </c>
      <c r="I719" s="24" t="n">
        <v>0.136299327015876</v>
      </c>
      <c r="J719" s="6" t="n">
        <v>71000</v>
      </c>
      <c r="K719" s="25">
        <f>23*10^-6</f>
        <v/>
      </c>
      <c r="L719" s="8">
        <f>H719</f>
        <v/>
      </c>
      <c r="M719" s="26">
        <f>H719^2/6</f>
        <v/>
      </c>
      <c r="N719" s="26">
        <f>H719^3/12</f>
        <v/>
      </c>
      <c r="O719" s="27">
        <f>-J719*L719*K719*C719</f>
        <v/>
      </c>
      <c r="P719" s="28">
        <f>-(12*F719*J719*L719*N719+12*O719*N719*G719*COS(RADIANS(E719)))/(12*N719*G719*COS(RADIANS(E719))^2+L719*G719^3*SIN(RADIANS(E719))^2)</f>
        <v/>
      </c>
      <c r="Q719" s="28">
        <f>-(6*F719*J719*L719*N719*SIN(RADIANS(E719))+6*O719*N719*G719*SIN(RADIANS(E719))*COS(RADIANS(E719)))/(12*N719*COS(RADIANS(E719))^2+L719*G719^2*SIN(RADIANS(E719))^2)</f>
        <v/>
      </c>
      <c r="R719" s="28">
        <f>-P719*SIN(RADIANS(E719))</f>
        <v/>
      </c>
      <c r="S719" s="8">
        <f>(O719+P719*COS(RADIANS(E719)))/L719</f>
        <v/>
      </c>
      <c r="T719" s="8">
        <f>R719/L719</f>
        <v/>
      </c>
      <c r="U719" s="8">
        <f>(Q719-P719*G719*SIN(RADIANS(E719)))/M719</f>
        <v/>
      </c>
      <c r="V719" s="8">
        <f>SQRT((S719+U719)^2+3*T719^2)</f>
        <v/>
      </c>
      <c r="W719" s="8">
        <f>V719/AA719</f>
        <v/>
      </c>
      <c r="X719" s="27">
        <f>((3*10+H719/COS(RADIANS(E719)))*(3+3)+3*G719*H719)*2</f>
        <v/>
      </c>
      <c r="Y719" s="28">
        <f>Z719/X719</f>
        <v/>
      </c>
      <c r="Z719" s="29" t="n">
        <v>737.797336860321</v>
      </c>
      <c r="AA719" s="20" t="n">
        <v>81.37839662662481</v>
      </c>
      <c r="AB719" t="n">
        <v>0.1939102878054826</v>
      </c>
      <c r="AC719" t="n">
        <v>79.39355541054005</v>
      </c>
      <c r="AD719" t="n">
        <v>42.26797156738433</v>
      </c>
    </row>
    <row r="720">
      <c r="A720" t="n">
        <v>719</v>
      </c>
      <c r="B720" t="n">
        <v>61</v>
      </c>
      <c r="C720" s="21">
        <f>B720-20</f>
        <v/>
      </c>
      <c r="D720" t="n">
        <v>110.2</v>
      </c>
      <c r="E720" s="22">
        <f>D720-90</f>
        <v/>
      </c>
      <c r="F720" s="23" t="n">
        <v>0.01649</v>
      </c>
      <c r="G720" s="22" t="n">
        <v>31.2</v>
      </c>
      <c r="H720" s="22" t="n">
        <v>1.1</v>
      </c>
      <c r="I720" s="24" t="n">
        <v>0.0952550396323204</v>
      </c>
      <c r="J720" s="6" t="n">
        <v>71000</v>
      </c>
      <c r="K720" s="25">
        <f>23*10^-6</f>
        <v/>
      </c>
      <c r="L720" s="8">
        <f>H720</f>
        <v/>
      </c>
      <c r="M720" s="26">
        <f>H720^2/6</f>
        <v/>
      </c>
      <c r="N720" s="26">
        <f>H720^3/12</f>
        <v/>
      </c>
      <c r="O720" s="27">
        <f>-J720*L720*K720*C720</f>
        <v/>
      </c>
      <c r="P720" s="28">
        <f>-(12*F720*J720*L720*N720+12*O720*N720*G720*COS(RADIANS(E720)))/(12*N720*G720*COS(RADIANS(E720))^2+L720*G720^3*SIN(RADIANS(E720))^2)</f>
        <v/>
      </c>
      <c r="Q720" s="28">
        <f>-(6*F720*J720*L720*N720*SIN(RADIANS(E720))+6*O720*N720*G720*SIN(RADIANS(E720))*COS(RADIANS(E720)))/(12*N720*COS(RADIANS(E720))^2+L720*G720^2*SIN(RADIANS(E720))^2)</f>
        <v/>
      </c>
      <c r="R720" s="28">
        <f>-P720*SIN(RADIANS(E720))</f>
        <v/>
      </c>
      <c r="S720" s="8">
        <f>(O720+P720*COS(RADIANS(E720)))/L720</f>
        <v/>
      </c>
      <c r="T720" s="8">
        <f>R720/L720</f>
        <v/>
      </c>
      <c r="U720" s="8">
        <f>(Q720-P720*G720*SIN(RADIANS(E720)))/M720</f>
        <v/>
      </c>
      <c r="V720" s="8">
        <f>SQRT((S720+U720)^2+3*T720^2)</f>
        <v/>
      </c>
      <c r="W720" s="8">
        <f>V720/AA720</f>
        <v/>
      </c>
      <c r="X720" s="27">
        <f>((3*10+H720/COS(RADIANS(E720)))*(3+3)+3*G720*H720)*2</f>
        <v/>
      </c>
      <c r="Y720" s="28">
        <f>Z720/X720</f>
        <v/>
      </c>
      <c r="Z720" s="29" t="n">
        <v>584.991643838443</v>
      </c>
      <c r="AA720" s="20" t="n">
        <v>57.9724983925034</v>
      </c>
      <c r="AB720" t="n">
        <v>0.1287874883249817</v>
      </c>
      <c r="AC720" t="n">
        <v>61.18452043305491</v>
      </c>
      <c r="AD720" t="n">
        <v>35.20280797960383</v>
      </c>
    </row>
    <row r="721">
      <c r="A721" t="n">
        <v>720</v>
      </c>
      <c r="B721" t="n">
        <v>78.5</v>
      </c>
      <c r="C721" s="21">
        <f>B721-20</f>
        <v/>
      </c>
      <c r="D721" t="n">
        <v>109.4</v>
      </c>
      <c r="E721" s="22">
        <f>D721-90</f>
        <v/>
      </c>
      <c r="F721" s="23" t="n">
        <v>0.023879</v>
      </c>
      <c r="G721" s="22" t="n">
        <v>31.6</v>
      </c>
      <c r="H721" s="22" t="n">
        <v>1.3</v>
      </c>
      <c r="I721" s="24" t="n">
        <v>0.141292572021484</v>
      </c>
      <c r="J721" s="6" t="n">
        <v>71000</v>
      </c>
      <c r="K721" s="25">
        <f>23*10^-6</f>
        <v/>
      </c>
      <c r="L721" s="8">
        <f>H721</f>
        <v/>
      </c>
      <c r="M721" s="26">
        <f>H721^2/6</f>
        <v/>
      </c>
      <c r="N721" s="26">
        <f>H721^3/12</f>
        <v/>
      </c>
      <c r="O721" s="27">
        <f>-J721*L721*K721*C721</f>
        <v/>
      </c>
      <c r="P721" s="28">
        <f>-(12*F721*J721*L721*N721+12*O721*N721*G721*COS(RADIANS(E721)))/(12*N721*G721*COS(RADIANS(E721))^2+L721*G721^3*SIN(RADIANS(E721))^2)</f>
        <v/>
      </c>
      <c r="Q721" s="28">
        <f>-(6*F721*J721*L721*N721*SIN(RADIANS(E721))+6*O721*N721*G721*SIN(RADIANS(E721))*COS(RADIANS(E721)))/(12*N721*COS(RADIANS(E721))^2+L721*G721^2*SIN(RADIANS(E721))^2)</f>
        <v/>
      </c>
      <c r="R721" s="28">
        <f>-P721*SIN(RADIANS(E721))</f>
        <v/>
      </c>
      <c r="S721" s="8">
        <f>(O721+P721*COS(RADIANS(E721)))/L721</f>
        <v/>
      </c>
      <c r="T721" s="8">
        <f>R721/L721</f>
        <v/>
      </c>
      <c r="U721" s="8">
        <f>(Q721-P721*G721*SIN(RADIANS(E721)))/M721</f>
        <v/>
      </c>
      <c r="V721" s="8">
        <f>SQRT((S721+U721)^2+3*T721^2)</f>
        <v/>
      </c>
      <c r="W721" s="8">
        <f>V721/AA721</f>
        <v/>
      </c>
      <c r="X721" s="27">
        <f>((3*10+H721/COS(RADIANS(E721)))*(3+3)+3*G721*H721)*2</f>
        <v/>
      </c>
      <c r="Y721" s="28">
        <f>Z721/X721</f>
        <v/>
      </c>
      <c r="Z721" s="29" t="n">
        <v>627.8973536593639</v>
      </c>
      <c r="AA721" s="20" t="n">
        <v>86.0699471067683</v>
      </c>
      <c r="AB721" t="n">
        <v>0.1930618704482011</v>
      </c>
      <c r="AC721" t="n">
        <v>89.13559293543236</v>
      </c>
      <c r="AD721" t="n">
        <v>36.63978770153992</v>
      </c>
    </row>
    <row r="722">
      <c r="A722" t="n">
        <v>721</v>
      </c>
      <c r="B722" t="n">
        <v>71.5</v>
      </c>
      <c r="C722" s="21">
        <f>B722-20</f>
        <v/>
      </c>
      <c r="D722" t="n">
        <v>119.8</v>
      </c>
      <c r="E722" s="22">
        <f>D722-90</f>
        <v/>
      </c>
      <c r="F722" s="23" t="n">
        <v>0.01952</v>
      </c>
      <c r="G722" s="22" t="n">
        <v>31.4</v>
      </c>
      <c r="H722" s="22" t="n">
        <v>1.3</v>
      </c>
      <c r="I722" s="24" t="n">
        <v>0.0905895009636879</v>
      </c>
      <c r="J722" s="6" t="n">
        <v>71000</v>
      </c>
      <c r="K722" s="25">
        <f>23*10^-6</f>
        <v/>
      </c>
      <c r="L722" s="8">
        <f>H722</f>
        <v/>
      </c>
      <c r="M722" s="26">
        <f>H722^2/6</f>
        <v/>
      </c>
      <c r="N722" s="26">
        <f>H722^3/12</f>
        <v/>
      </c>
      <c r="O722" s="27">
        <f>-J722*L722*K722*C722</f>
        <v/>
      </c>
      <c r="P722" s="28">
        <f>-(12*F722*J722*L722*N722+12*O722*N722*G722*COS(RADIANS(E722)))/(12*N722*G722*COS(RADIANS(E722))^2+L722*G722^3*SIN(RADIANS(E722))^2)</f>
        <v/>
      </c>
      <c r="Q722" s="28">
        <f>-(6*F722*J722*L722*N722*SIN(RADIANS(E722))+6*O722*N722*G722*SIN(RADIANS(E722))*COS(RADIANS(E722)))/(12*N722*COS(RADIANS(E722))^2+L722*G722^2*SIN(RADIANS(E722))^2)</f>
        <v/>
      </c>
      <c r="R722" s="28">
        <f>-P722*SIN(RADIANS(E722))</f>
        <v/>
      </c>
      <c r="S722" s="8">
        <f>(O722+P722*COS(RADIANS(E722)))/L722</f>
        <v/>
      </c>
      <c r="T722" s="8">
        <f>R722/L722</f>
        <v/>
      </c>
      <c r="U722" s="8">
        <f>(Q722-P722*G722*SIN(RADIANS(E722)))/M722</f>
        <v/>
      </c>
      <c r="V722" s="8">
        <f>SQRT((S722+U722)^2+3*T722^2)</f>
        <v/>
      </c>
      <c r="W722" s="8">
        <f>V722/AA722</f>
        <v/>
      </c>
      <c r="X722" s="27">
        <f>((3*10+H722/COS(RADIANS(E722)))*(3+3)+3*G722*H722)*2</f>
        <v/>
      </c>
      <c r="Y722" s="28">
        <f>Z722/X722</f>
        <v/>
      </c>
      <c r="Z722" s="29" t="n">
        <v>629.988080315049</v>
      </c>
      <c r="AA722" s="20" t="n">
        <v>73.2699780438314</v>
      </c>
      <c r="AB722" t="n">
        <v>0.1082986497831569</v>
      </c>
      <c r="AC722" t="n">
        <v>74.92645751146617</v>
      </c>
      <c r="AD722" t="n">
        <v>19.5487872557854</v>
      </c>
    </row>
    <row r="723">
      <c r="A723" t="n">
        <v>722</v>
      </c>
      <c r="B723" t="n">
        <v>57.7</v>
      </c>
      <c r="C723" s="21">
        <f>B723-20</f>
        <v/>
      </c>
      <c r="D723" t="n">
        <v>116.5</v>
      </c>
      <c r="E723" s="22">
        <f>D723-90</f>
        <v/>
      </c>
      <c r="F723" s="23" t="n">
        <v>0.012271</v>
      </c>
      <c r="G723" s="22" t="n">
        <v>25.2</v>
      </c>
      <c r="H723" s="22" t="n">
        <v>1.1</v>
      </c>
      <c r="I723" s="24" t="n">
        <v>0.062172383069992</v>
      </c>
      <c r="J723" s="6" t="n">
        <v>71000</v>
      </c>
      <c r="K723" s="25">
        <f>23*10^-6</f>
        <v/>
      </c>
      <c r="L723" s="8">
        <f>H723</f>
        <v/>
      </c>
      <c r="M723" s="26">
        <f>H723^2/6</f>
        <v/>
      </c>
      <c r="N723" s="26">
        <f>H723^3/12</f>
        <v/>
      </c>
      <c r="O723" s="27">
        <f>-J723*L723*K723*C723</f>
        <v/>
      </c>
      <c r="P723" s="28">
        <f>-(12*F723*J723*L723*N723+12*O723*N723*G723*COS(RADIANS(E723)))/(12*N723*G723*COS(RADIANS(E723))^2+L723*G723^3*SIN(RADIANS(E723))^2)</f>
        <v/>
      </c>
      <c r="Q723" s="28">
        <f>-(6*F723*J723*L723*N723*SIN(RADIANS(E723))+6*O723*N723*G723*SIN(RADIANS(E723))*COS(RADIANS(E723)))/(12*N723*COS(RADIANS(E723))^2+L723*G723^2*SIN(RADIANS(E723))^2)</f>
        <v/>
      </c>
      <c r="R723" s="28">
        <f>-P723*SIN(RADIANS(E723))</f>
        <v/>
      </c>
      <c r="S723" s="8">
        <f>(O723+P723*COS(RADIANS(E723)))/L723</f>
        <v/>
      </c>
      <c r="T723" s="8">
        <f>R723/L723</f>
        <v/>
      </c>
      <c r="U723" s="8">
        <f>(Q723-P723*G723*SIN(RADIANS(E723)))/M723</f>
        <v/>
      </c>
      <c r="V723" s="8">
        <f>SQRT((S723+U723)^2+3*T723^2)</f>
        <v/>
      </c>
      <c r="W723" s="8">
        <f>V723/AA723</f>
        <v/>
      </c>
      <c r="X723" s="27">
        <f>((3*10+H723/COS(RADIANS(E723)))*(3+3)+3*G723*H723)*2</f>
        <v/>
      </c>
      <c r="Y723" s="28">
        <f>Z723/X723</f>
        <v/>
      </c>
      <c r="Z723" s="29" t="n">
        <v>547.320923699168</v>
      </c>
      <c r="AA723" s="20" t="n">
        <v>53.2190541816115</v>
      </c>
      <c r="AB723" t="n">
        <v>0.07297738102844095</v>
      </c>
      <c r="AC723" t="n">
        <v>55.40842727106497</v>
      </c>
      <c r="AD723" t="n">
        <v>17.37909570923954</v>
      </c>
    </row>
    <row r="724">
      <c r="A724" t="n">
        <v>723</v>
      </c>
      <c r="B724" t="n">
        <v>79.40000000000001</v>
      </c>
      <c r="C724" s="21">
        <f>B724-20</f>
        <v/>
      </c>
      <c r="D724" t="n">
        <v>109.8</v>
      </c>
      <c r="E724" s="22">
        <f>D724-90</f>
        <v/>
      </c>
      <c r="F724" s="23" t="n">
        <v>0.019991</v>
      </c>
      <c r="G724" s="22" t="n">
        <v>25</v>
      </c>
      <c r="H724" s="22" t="n">
        <v>1.9</v>
      </c>
      <c r="I724" s="24" t="n">
        <v>0.118487671017646</v>
      </c>
      <c r="J724" s="6" t="n">
        <v>71000</v>
      </c>
      <c r="K724" s="25">
        <f>23*10^-6</f>
        <v/>
      </c>
      <c r="L724" s="8">
        <f>H724</f>
        <v/>
      </c>
      <c r="M724" s="26">
        <f>H724^2/6</f>
        <v/>
      </c>
      <c r="N724" s="26">
        <f>H724^3/12</f>
        <v/>
      </c>
      <c r="O724" s="27">
        <f>-J724*L724*K724*C724</f>
        <v/>
      </c>
      <c r="P724" s="28">
        <f>-(12*F724*J724*L724*N724+12*O724*N724*G724*COS(RADIANS(E724)))/(12*N724*G724*COS(RADIANS(E724))^2+L724*G724^3*SIN(RADIANS(E724))^2)</f>
        <v/>
      </c>
      <c r="Q724" s="28">
        <f>-(6*F724*J724*L724*N724*SIN(RADIANS(E724))+6*O724*N724*G724*SIN(RADIANS(E724))*COS(RADIANS(E724)))/(12*N724*COS(RADIANS(E724))^2+L724*G724^2*SIN(RADIANS(E724))^2)</f>
        <v/>
      </c>
      <c r="R724" s="28">
        <f>-P724*SIN(RADIANS(E724))</f>
        <v/>
      </c>
      <c r="S724" s="8">
        <f>(O724+P724*COS(RADIANS(E724)))/L724</f>
        <v/>
      </c>
      <c r="T724" s="8">
        <f>R724/L724</f>
        <v/>
      </c>
      <c r="U724" s="8">
        <f>(Q724-P724*G724*SIN(RADIANS(E724)))/M724</f>
        <v/>
      </c>
      <c r="V724" s="8">
        <f>SQRT((S724+U724)^2+3*T724^2)</f>
        <v/>
      </c>
      <c r="W724" s="8">
        <f>V724/AA724</f>
        <v/>
      </c>
      <c r="X724" s="27">
        <f>((3*10+H724/COS(RADIANS(E724)))*(3+3)+3*G724*H724)*2</f>
        <v/>
      </c>
      <c r="Y724" s="28">
        <f>Z724/X724</f>
        <v/>
      </c>
      <c r="Z724" s="29" t="n">
        <v>674.17425704457</v>
      </c>
      <c r="AA724" s="20" t="n">
        <v>102.54539353363</v>
      </c>
      <c r="AB724" t="n">
        <v>0.1493801956816028</v>
      </c>
      <c r="AC724" t="n">
        <v>96.77812035762688</v>
      </c>
      <c r="AD724" t="n">
        <v>26.07235368763059</v>
      </c>
    </row>
    <row r="725">
      <c r="A725" t="n">
        <v>724</v>
      </c>
      <c r="B725" t="n">
        <v>75.7</v>
      </c>
      <c r="C725" s="21">
        <f>B725-20</f>
        <v/>
      </c>
      <c r="D725" t="n">
        <v>120.9</v>
      </c>
      <c r="E725" s="22">
        <f>D725-90</f>
        <v/>
      </c>
      <c r="F725" s="23" t="n">
        <v>0.019338</v>
      </c>
      <c r="G725" s="22" t="n">
        <v>28.5</v>
      </c>
      <c r="H725" s="22" t="n">
        <v>1.3</v>
      </c>
      <c r="I725" s="24" t="n">
        <v>0.089654766023159</v>
      </c>
      <c r="J725" s="6" t="n">
        <v>71000</v>
      </c>
      <c r="K725" s="25">
        <f>23*10^-6</f>
        <v/>
      </c>
      <c r="L725" s="8">
        <f>H725</f>
        <v/>
      </c>
      <c r="M725" s="26">
        <f>H725^2/6</f>
        <v/>
      </c>
      <c r="N725" s="26">
        <f>H725^3/12</f>
        <v/>
      </c>
      <c r="O725" s="27">
        <f>-J725*L725*K725*C725</f>
        <v/>
      </c>
      <c r="P725" s="28">
        <f>-(12*F725*J725*L725*N725+12*O725*N725*G725*COS(RADIANS(E725)))/(12*N725*G725*COS(RADIANS(E725))^2+L725*G725^3*SIN(RADIANS(E725))^2)</f>
        <v/>
      </c>
      <c r="Q725" s="28">
        <f>-(6*F725*J725*L725*N725*SIN(RADIANS(E725))+6*O725*N725*G725*SIN(RADIANS(E725))*COS(RADIANS(E725)))/(12*N725*COS(RADIANS(E725))^2+L725*G725^2*SIN(RADIANS(E725))^2)</f>
        <v/>
      </c>
      <c r="R725" s="28">
        <f>-P725*SIN(RADIANS(E725))</f>
        <v/>
      </c>
      <c r="S725" s="8">
        <f>(O725+P725*COS(RADIANS(E725)))/L725</f>
        <v/>
      </c>
      <c r="T725" s="8">
        <f>R725/L725</f>
        <v/>
      </c>
      <c r="U725" s="8">
        <f>(Q725-P725*G725*SIN(RADIANS(E725)))/M725</f>
        <v/>
      </c>
      <c r="V725" s="8">
        <f>SQRT((S725+U725)^2+3*T725^2)</f>
        <v/>
      </c>
      <c r="W725" s="8">
        <f>V725/AA725</f>
        <v/>
      </c>
      <c r="X725" s="27">
        <f>((3*10+H725/COS(RADIANS(E725)))*(3+3)+3*G725*H725)*2</f>
        <v/>
      </c>
      <c r="Y725" s="28">
        <f>Z725/X725</f>
        <v/>
      </c>
      <c r="Z725" s="29" t="n">
        <v>607.883984371437</v>
      </c>
      <c r="AA725" s="20" t="n">
        <v>79.2004508052372</v>
      </c>
      <c r="AB725" t="n">
        <v>0.1027449670561039</v>
      </c>
      <c r="AC725" t="n">
        <v>81.15576678055518</v>
      </c>
      <c r="AD725" t="n">
        <v>14.60067502664998</v>
      </c>
    </row>
    <row r="726">
      <c r="A726" t="n">
        <v>725</v>
      </c>
      <c r="B726" t="n">
        <v>47.6</v>
      </c>
      <c r="C726" s="21">
        <f>B726-20</f>
        <v/>
      </c>
      <c r="D726" t="n">
        <v>125.3</v>
      </c>
      <c r="E726" s="22">
        <f>D726-90</f>
        <v/>
      </c>
      <c r="F726" s="23" t="n">
        <v>0.007203</v>
      </c>
      <c r="G726" s="22" t="n">
        <v>20.7</v>
      </c>
      <c r="H726" s="22" t="n">
        <v>1.3</v>
      </c>
      <c r="I726" s="24" t="n">
        <v>0.0335451364517211</v>
      </c>
      <c r="J726" s="6" t="n">
        <v>71000</v>
      </c>
      <c r="K726" s="25">
        <f>23*10^-6</f>
        <v/>
      </c>
      <c r="L726" s="8">
        <f>H726</f>
        <v/>
      </c>
      <c r="M726" s="26">
        <f>H726^2/6</f>
        <v/>
      </c>
      <c r="N726" s="26">
        <f>H726^3/12</f>
        <v/>
      </c>
      <c r="O726" s="27">
        <f>-J726*L726*K726*C726</f>
        <v/>
      </c>
      <c r="P726" s="28">
        <f>-(12*F726*J726*L726*N726+12*O726*N726*G726*COS(RADIANS(E726)))/(12*N726*G726*COS(RADIANS(E726))^2+L726*G726^3*SIN(RADIANS(E726))^2)</f>
        <v/>
      </c>
      <c r="Q726" s="28">
        <f>-(6*F726*J726*L726*N726*SIN(RADIANS(E726))+6*O726*N726*G726*SIN(RADIANS(E726))*COS(RADIANS(E726)))/(12*N726*COS(RADIANS(E726))^2+L726*G726^2*SIN(RADIANS(E726))^2)</f>
        <v/>
      </c>
      <c r="R726" s="28">
        <f>-P726*SIN(RADIANS(E726))</f>
        <v/>
      </c>
      <c r="S726" s="8">
        <f>(O726+P726*COS(RADIANS(E726)))/L726</f>
        <v/>
      </c>
      <c r="T726" s="8">
        <f>R726/L726</f>
        <v/>
      </c>
      <c r="U726" s="8">
        <f>(Q726-P726*G726*SIN(RADIANS(E726)))/M726</f>
        <v/>
      </c>
      <c r="V726" s="8">
        <f>SQRT((S726+U726)^2+3*T726^2)</f>
        <v/>
      </c>
      <c r="W726" s="8">
        <f>V726/AA726</f>
        <v/>
      </c>
      <c r="X726" s="27">
        <f>((3*10+H726/COS(RADIANS(E726)))*(3+3)+3*G726*H726)*2</f>
        <v/>
      </c>
      <c r="Y726" s="28">
        <f>Z726/X726</f>
        <v/>
      </c>
      <c r="Z726" s="29" t="n">
        <v>549.4148597288111</v>
      </c>
      <c r="AA726" s="20" t="n">
        <v>40.0890230949497</v>
      </c>
      <c r="AB726" t="n">
        <v>0.03261675638171296</v>
      </c>
      <c r="AC726" t="n">
        <v>40.18857153368876</v>
      </c>
      <c r="AD726" t="n">
        <v>-2.767554907234564</v>
      </c>
    </row>
    <row r="727">
      <c r="A727" t="n">
        <v>726</v>
      </c>
      <c r="B727" t="n">
        <v>75</v>
      </c>
      <c r="C727" s="21">
        <f>B727-20</f>
        <v/>
      </c>
      <c r="D727" t="n">
        <v>121</v>
      </c>
      <c r="E727" s="22">
        <f>D727-90</f>
        <v/>
      </c>
      <c r="F727" s="23" t="n">
        <v>0.014672</v>
      </c>
      <c r="G727" s="22" t="n">
        <v>20.3</v>
      </c>
      <c r="H727" s="22" t="n">
        <v>1.8</v>
      </c>
      <c r="I727" s="24" t="n">
        <v>0.07152599841356271</v>
      </c>
      <c r="J727" s="6" t="n">
        <v>71000</v>
      </c>
      <c r="K727" s="25">
        <f>23*10^-6</f>
        <v/>
      </c>
      <c r="L727" s="8">
        <f>H727</f>
        <v/>
      </c>
      <c r="M727" s="26">
        <f>H727^2/6</f>
        <v/>
      </c>
      <c r="N727" s="26">
        <f>H727^3/12</f>
        <v/>
      </c>
      <c r="O727" s="27">
        <f>-J727*L727*K727*C727</f>
        <v/>
      </c>
      <c r="P727" s="28">
        <f>-(12*F727*J727*L727*N727+12*O727*N727*G727*COS(RADIANS(E727)))/(12*N727*G727*COS(RADIANS(E727))^2+L727*G727^3*SIN(RADIANS(E727))^2)</f>
        <v/>
      </c>
      <c r="Q727" s="28">
        <f>-(6*F727*J727*L727*N727*SIN(RADIANS(E727))+6*O727*N727*G727*SIN(RADIANS(E727))*COS(RADIANS(E727)))/(12*N727*COS(RADIANS(E727))^2+L727*G727^2*SIN(RADIANS(E727))^2)</f>
        <v/>
      </c>
      <c r="R727" s="28">
        <f>-P727*SIN(RADIANS(E727))</f>
        <v/>
      </c>
      <c r="S727" s="8">
        <f>(O727+P727*COS(RADIANS(E727)))/L727</f>
        <v/>
      </c>
      <c r="T727" s="8">
        <f>R727/L727</f>
        <v/>
      </c>
      <c r="U727" s="8">
        <f>(Q727-P727*G727*SIN(RADIANS(E727)))/M727</f>
        <v/>
      </c>
      <c r="V727" s="8">
        <f>SQRT((S727+U727)^2+3*T727^2)</f>
        <v/>
      </c>
      <c r="W727" s="8">
        <f>V727/AA727</f>
        <v/>
      </c>
      <c r="X727" s="27">
        <f>((3*10+H727/COS(RADIANS(E727)))*(3+3)+3*G727*H727)*2</f>
        <v/>
      </c>
      <c r="Y727" s="28">
        <f>Z727/X727</f>
        <v/>
      </c>
      <c r="Z727" s="29" t="n">
        <v>611.872112298659</v>
      </c>
      <c r="AA727" s="20" t="n">
        <v>92.53385961203119</v>
      </c>
      <c r="AB727" t="n">
        <v>0.07250691706246551</v>
      </c>
      <c r="AC727" t="n">
        <v>84.0208046366258</v>
      </c>
      <c r="AD727" t="n">
        <v>1.371415528142845</v>
      </c>
    </row>
    <row r="728">
      <c r="A728" t="n">
        <v>727</v>
      </c>
      <c r="B728" t="n">
        <v>43.8</v>
      </c>
      <c r="C728" s="21">
        <f>B728-20</f>
        <v/>
      </c>
      <c r="D728" t="n">
        <v>110.1</v>
      </c>
      <c r="E728" s="22">
        <f>D728-90</f>
        <v/>
      </c>
      <c r="F728" s="23" t="n">
        <v>0.007794</v>
      </c>
      <c r="G728" s="22" t="n">
        <v>24.2</v>
      </c>
      <c r="H728" s="22" t="n">
        <v>1.9</v>
      </c>
      <c r="I728" s="24" t="n">
        <v>0.0459262169897556</v>
      </c>
      <c r="J728" s="6" t="n">
        <v>71000</v>
      </c>
      <c r="K728" s="25">
        <f>23*10^-6</f>
        <v/>
      </c>
      <c r="L728" s="8">
        <f>H728</f>
        <v/>
      </c>
      <c r="M728" s="26">
        <f>H728^2/6</f>
        <v/>
      </c>
      <c r="N728" s="26">
        <f>H728^3/12</f>
        <v/>
      </c>
      <c r="O728" s="27">
        <f>-J728*L728*K728*C728</f>
        <v/>
      </c>
      <c r="P728" s="28">
        <f>-(12*F728*J728*L728*N728+12*O728*N728*G728*COS(RADIANS(E728)))/(12*N728*G728*COS(RADIANS(E728))^2+L728*G728^3*SIN(RADIANS(E728))^2)</f>
        <v/>
      </c>
      <c r="Q728" s="28">
        <f>-(6*F728*J728*L728*N728*SIN(RADIANS(E728))+6*O728*N728*G728*SIN(RADIANS(E728))*COS(RADIANS(E728)))/(12*N728*COS(RADIANS(E728))^2+L728*G728^2*SIN(RADIANS(E728))^2)</f>
        <v/>
      </c>
      <c r="R728" s="28">
        <f>-P728*SIN(RADIANS(E728))</f>
        <v/>
      </c>
      <c r="S728" s="8">
        <f>(O728+P728*COS(RADIANS(E728)))/L728</f>
        <v/>
      </c>
      <c r="T728" s="8">
        <f>R728/L728</f>
        <v/>
      </c>
      <c r="U728" s="8">
        <f>(Q728-P728*G728*SIN(RADIANS(E728)))/M728</f>
        <v/>
      </c>
      <c r="V728" s="8">
        <f>SQRT((S728+U728)^2+3*T728^2)</f>
        <v/>
      </c>
      <c r="W728" s="8">
        <f>V728/AA728</f>
        <v/>
      </c>
      <c r="X728" s="27">
        <f>((3*10+H728/COS(RADIANS(E728)))*(3+3)+3*G728*H728)*2</f>
        <v/>
      </c>
      <c r="Y728" s="28">
        <f>Z728/X728</f>
        <v/>
      </c>
      <c r="Z728" s="29" t="n">
        <v>665.148882764743</v>
      </c>
      <c r="AA728" s="20" t="n">
        <v>40.8304057607425</v>
      </c>
      <c r="AB728" t="n">
        <v>0.05708614396280408</v>
      </c>
      <c r="AC728" t="n">
        <v>38.78858485268658</v>
      </c>
      <c r="AD728" t="n">
        <v>24.29968698605816</v>
      </c>
    </row>
    <row r="729">
      <c r="A729" t="n">
        <v>728</v>
      </c>
      <c r="B729" t="n">
        <v>67</v>
      </c>
      <c r="C729" s="21">
        <f>B729-20</f>
        <v/>
      </c>
      <c r="D729" t="n">
        <v>103.6</v>
      </c>
      <c r="E729" s="22">
        <f>D729-90</f>
        <v/>
      </c>
      <c r="F729" s="23" t="n">
        <v>0.019984</v>
      </c>
      <c r="G729" s="22" t="n">
        <v>32.2</v>
      </c>
      <c r="H729" s="22" t="n">
        <v>1.3</v>
      </c>
      <c r="I729" s="24" t="n">
        <v>0.15247830748558</v>
      </c>
      <c r="J729" s="6" t="n">
        <v>71000</v>
      </c>
      <c r="K729" s="25">
        <f>23*10^-6</f>
        <v/>
      </c>
      <c r="L729" s="8">
        <f>H729</f>
        <v/>
      </c>
      <c r="M729" s="26">
        <f>H729^2/6</f>
        <v/>
      </c>
      <c r="N729" s="26">
        <f>H729^3/12</f>
        <v/>
      </c>
      <c r="O729" s="27">
        <f>-J729*L729*K729*C729</f>
        <v/>
      </c>
      <c r="P729" s="28">
        <f>-(12*F729*J729*L729*N729+12*O729*N729*G729*COS(RADIANS(E729)))/(12*N729*G729*COS(RADIANS(E729))^2+L729*G729^3*SIN(RADIANS(E729))^2)</f>
        <v/>
      </c>
      <c r="Q729" s="28">
        <f>-(6*F729*J729*L729*N729*SIN(RADIANS(E729))+6*O729*N729*G729*SIN(RADIANS(E729))*COS(RADIANS(E729)))/(12*N729*COS(RADIANS(E729))^2+L729*G729^2*SIN(RADIANS(E729))^2)</f>
        <v/>
      </c>
      <c r="R729" s="28">
        <f>-P729*SIN(RADIANS(E729))</f>
        <v/>
      </c>
      <c r="S729" s="8">
        <f>(O729+P729*COS(RADIANS(E729)))/L729</f>
        <v/>
      </c>
      <c r="T729" s="8">
        <f>R729/L729</f>
        <v/>
      </c>
      <c r="U729" s="8">
        <f>(Q729-P729*G729*SIN(RADIANS(E729)))/M729</f>
        <v/>
      </c>
      <c r="V729" s="8">
        <f>SQRT((S729+U729)^2+3*T729^2)</f>
        <v/>
      </c>
      <c r="W729" s="8">
        <f>V729/AA729</f>
        <v/>
      </c>
      <c r="X729" s="27">
        <f>((3*10+H729/COS(RADIANS(E729)))*(3+3)+3*G729*H729)*2</f>
        <v/>
      </c>
      <c r="Y729" s="28">
        <f>Z729/X729</f>
        <v/>
      </c>
      <c r="Z729" s="29" t="n">
        <v>631.336004827071</v>
      </c>
      <c r="AA729" s="20" t="n">
        <v>71.0213600422337</v>
      </c>
      <c r="AB729" t="n">
        <v>0.2242537368830014</v>
      </c>
      <c r="AC729" t="n">
        <v>75.01291674308493</v>
      </c>
      <c r="AD729" t="n">
        <v>47.07255122451388</v>
      </c>
    </row>
    <row r="730">
      <c r="A730" t="n">
        <v>729</v>
      </c>
      <c r="B730" t="n">
        <v>60.1</v>
      </c>
      <c r="C730" s="21">
        <f>B730-20</f>
        <v/>
      </c>
      <c r="D730" t="n">
        <v>100.8</v>
      </c>
      <c r="E730" s="22">
        <f>D730-90</f>
        <v/>
      </c>
      <c r="F730" s="23" t="n">
        <v>0.014193</v>
      </c>
      <c r="G730" s="22" t="n">
        <v>25.5</v>
      </c>
      <c r="H730" s="22" t="n">
        <v>1.6</v>
      </c>
      <c r="I730" s="24" t="n">
        <v>0.125878453254699</v>
      </c>
      <c r="J730" s="6" t="n">
        <v>71000</v>
      </c>
      <c r="K730" s="25">
        <f>23*10^-6</f>
        <v/>
      </c>
      <c r="L730" s="8">
        <f>H730</f>
        <v/>
      </c>
      <c r="M730" s="26">
        <f>H730^2/6</f>
        <v/>
      </c>
      <c r="N730" s="26">
        <f>H730^3/12</f>
        <v/>
      </c>
      <c r="O730" s="27">
        <f>-J730*L730*K730*C730</f>
        <v/>
      </c>
      <c r="P730" s="28">
        <f>-(12*F730*J730*L730*N730+12*O730*N730*G730*COS(RADIANS(E730)))/(12*N730*G730*COS(RADIANS(E730))^2+L730*G730^3*SIN(RADIANS(E730))^2)</f>
        <v/>
      </c>
      <c r="Q730" s="28">
        <f>-(6*F730*J730*L730*N730*SIN(RADIANS(E730))+6*O730*N730*G730*SIN(RADIANS(E730))*COS(RADIANS(E730)))/(12*N730*COS(RADIANS(E730))^2+L730*G730^2*SIN(RADIANS(E730))^2)</f>
        <v/>
      </c>
      <c r="R730" s="28">
        <f>-P730*SIN(RADIANS(E730))</f>
        <v/>
      </c>
      <c r="S730" s="8">
        <f>(O730+P730*COS(RADIANS(E730)))/L730</f>
        <v/>
      </c>
      <c r="T730" s="8">
        <f>R730/L730</f>
        <v/>
      </c>
      <c r="U730" s="8">
        <f>(Q730-P730*G730*SIN(RADIANS(E730)))/M730</f>
        <v/>
      </c>
      <c r="V730" s="8">
        <f>SQRT((S730+U730)^2+3*T730^2)</f>
        <v/>
      </c>
      <c r="W730" s="8">
        <f>V730/AA730</f>
        <v/>
      </c>
      <c r="X730" s="27">
        <f>((3*10+H730/COS(RADIANS(E730)))*(3+3)+3*G730*H730)*2</f>
        <v/>
      </c>
      <c r="Y730" s="28">
        <f>Z730/X730</f>
        <v/>
      </c>
      <c r="Z730" s="29" t="n">
        <v>628.2126181874939</v>
      </c>
      <c r="AA730" s="20" t="n">
        <v>71.1353920425565</v>
      </c>
      <c r="AB730" t="n">
        <v>0.18013520309218</v>
      </c>
      <c r="AC730" t="n">
        <v>70.3282020450729</v>
      </c>
      <c r="AD730" t="n">
        <v>43.10249167718904</v>
      </c>
    </row>
    <row r="731">
      <c r="A731" t="n">
        <v>730</v>
      </c>
      <c r="B731" t="n">
        <v>43.7</v>
      </c>
      <c r="C731" s="21">
        <f>B731-20</f>
        <v/>
      </c>
      <c r="D731" t="n">
        <v>102.8</v>
      </c>
      <c r="E731" s="22">
        <f>D731-90</f>
        <v/>
      </c>
      <c r="F731" s="23" t="n">
        <v>0.009604</v>
      </c>
      <c r="G731" s="22" t="n">
        <v>30.3</v>
      </c>
      <c r="H731" s="22" t="n">
        <v>1.9</v>
      </c>
      <c r="I731" s="24" t="n">
        <v>0.07476764172315591</v>
      </c>
      <c r="J731" s="6" t="n">
        <v>71000</v>
      </c>
      <c r="K731" s="25">
        <f>23*10^-6</f>
        <v/>
      </c>
      <c r="L731" s="8">
        <f>H731</f>
        <v/>
      </c>
      <c r="M731" s="26">
        <f>H731^2/6</f>
        <v/>
      </c>
      <c r="N731" s="26">
        <f>H731^3/12</f>
        <v/>
      </c>
      <c r="O731" s="27">
        <f>-J731*L731*K731*C731</f>
        <v/>
      </c>
      <c r="P731" s="28">
        <f>-(12*F731*J731*L731*N731+12*O731*N731*G731*COS(RADIANS(E731)))/(12*N731*G731*COS(RADIANS(E731))^2+L731*G731^3*SIN(RADIANS(E731))^2)</f>
        <v/>
      </c>
      <c r="Q731" s="28">
        <f>-(6*F731*J731*L731*N731*SIN(RADIANS(E731))+6*O731*N731*G731*SIN(RADIANS(E731))*COS(RADIANS(E731)))/(12*N731*COS(RADIANS(E731))^2+L731*G731^2*SIN(RADIANS(E731))^2)</f>
        <v/>
      </c>
      <c r="R731" s="28">
        <f>-P731*SIN(RADIANS(E731))</f>
        <v/>
      </c>
      <c r="S731" s="8">
        <f>(O731+P731*COS(RADIANS(E731)))/L731</f>
        <v/>
      </c>
      <c r="T731" s="8">
        <f>R731/L731</f>
        <v/>
      </c>
      <c r="U731" s="8">
        <f>(Q731-P731*G731*SIN(RADIANS(E731)))/M731</f>
        <v/>
      </c>
      <c r="V731" s="8">
        <f>SQRT((S731+U731)^2+3*T731^2)</f>
        <v/>
      </c>
      <c r="W731" s="8">
        <f>V731/AA731</f>
        <v/>
      </c>
      <c r="X731" s="27">
        <f>((3*10+H731/COS(RADIANS(E731)))*(3+3)+3*G731*H731)*2</f>
        <v/>
      </c>
      <c r="Y731" s="28">
        <f>Z731/X731</f>
        <v/>
      </c>
      <c r="Z731" s="29" t="n">
        <v>732.846277684453</v>
      </c>
      <c r="AA731" s="20" t="n">
        <v>41.7466198335528</v>
      </c>
      <c r="AB731" t="n">
        <v>0.1083991912322004</v>
      </c>
      <c r="AC731" t="n">
        <v>40.81103747884092</v>
      </c>
      <c r="AD731" t="n">
        <v>44.98142342588908</v>
      </c>
    </row>
    <row r="732">
      <c r="A732" t="n">
        <v>731</v>
      </c>
      <c r="B732" t="n">
        <v>49.5</v>
      </c>
      <c r="C732" s="21">
        <f>B732-20</f>
        <v/>
      </c>
      <c r="D732" t="n">
        <v>106.3</v>
      </c>
      <c r="E732" s="22">
        <f>D732-90</f>
        <v/>
      </c>
      <c r="F732" s="23" t="n">
        <v>0.011508</v>
      </c>
      <c r="G732" s="22" t="n">
        <v>29.4</v>
      </c>
      <c r="H732" s="22" t="n">
        <v>1.9</v>
      </c>
      <c r="I732" s="24" t="n">
        <v>0.0761645138263702</v>
      </c>
      <c r="J732" s="6" t="n">
        <v>71000</v>
      </c>
      <c r="K732" s="25">
        <f>23*10^-6</f>
        <v/>
      </c>
      <c r="L732" s="8">
        <f>H732</f>
        <v/>
      </c>
      <c r="M732" s="26">
        <f>H732^2/6</f>
        <v/>
      </c>
      <c r="N732" s="26">
        <f>H732^3/12</f>
        <v/>
      </c>
      <c r="O732" s="27">
        <f>-J732*L732*K732*C732</f>
        <v/>
      </c>
      <c r="P732" s="28">
        <f>-(12*F732*J732*L732*N732+12*O732*N732*G732*COS(RADIANS(E732)))/(12*N732*G732*COS(RADIANS(E732))^2+L732*G732^3*SIN(RADIANS(E732))^2)</f>
        <v/>
      </c>
      <c r="Q732" s="28">
        <f>-(6*F732*J732*L732*N732*SIN(RADIANS(E732))+6*O732*N732*G732*SIN(RADIANS(E732))*COS(RADIANS(E732)))/(12*N732*COS(RADIANS(E732))^2+L732*G732^2*SIN(RADIANS(E732))^2)</f>
        <v/>
      </c>
      <c r="R732" s="28">
        <f>-P732*SIN(RADIANS(E732))</f>
        <v/>
      </c>
      <c r="S732" s="8">
        <f>(O732+P732*COS(RADIANS(E732)))/L732</f>
        <v/>
      </c>
      <c r="T732" s="8">
        <f>R732/L732</f>
        <v/>
      </c>
      <c r="U732" s="8">
        <f>(Q732-P732*G732*SIN(RADIANS(E732)))/M732</f>
        <v/>
      </c>
      <c r="V732" s="8">
        <f>SQRT((S732+U732)^2+3*T732^2)</f>
        <v/>
      </c>
      <c r="W732" s="8">
        <f>V732/AA732</f>
        <v/>
      </c>
      <c r="X732" s="27">
        <f>((3*10+H732/COS(RADIANS(E732)))*(3+3)+3*G732*H732)*2</f>
        <v/>
      </c>
      <c r="Y732" s="28">
        <f>Z732/X732</f>
        <v/>
      </c>
      <c r="Z732" s="29" t="n">
        <v>723.353518908326</v>
      </c>
      <c r="AA732" s="20" t="n">
        <v>50.4811066974667</v>
      </c>
      <c r="AB732" t="n">
        <v>0.1051271889223123</v>
      </c>
      <c r="AC732" t="n">
        <v>48.87985600912643</v>
      </c>
      <c r="AD732" t="n">
        <v>38.02646881192916</v>
      </c>
    </row>
    <row r="733">
      <c r="A733" t="n">
        <v>732</v>
      </c>
      <c r="B733" t="n">
        <v>51.4</v>
      </c>
      <c r="C733" s="21">
        <f>B733-20</f>
        <v/>
      </c>
      <c r="D733" t="n">
        <v>112.5</v>
      </c>
      <c r="E733" s="22">
        <f>D733-90</f>
        <v/>
      </c>
      <c r="F733" s="23" t="n">
        <v>0.011342</v>
      </c>
      <c r="G733" s="22" t="n">
        <v>27.8</v>
      </c>
      <c r="H733" s="22" t="n">
        <v>1</v>
      </c>
      <c r="I733" s="24" t="n">
        <v>0.0621172599494457</v>
      </c>
      <c r="J733" s="6" t="n">
        <v>71000</v>
      </c>
      <c r="K733" s="25">
        <f>23*10^-6</f>
        <v/>
      </c>
      <c r="L733" s="8">
        <f>H733</f>
        <v/>
      </c>
      <c r="M733" s="26">
        <f>H733^2/6</f>
        <v/>
      </c>
      <c r="N733" s="26">
        <f>H733^3/12</f>
        <v/>
      </c>
      <c r="O733" s="27">
        <f>-J733*L733*K733*C733</f>
        <v/>
      </c>
      <c r="P733" s="28">
        <f>-(12*F733*J733*L733*N733+12*O733*N733*G733*COS(RADIANS(E733)))/(12*N733*G733*COS(RADIANS(E733))^2+L733*G733^3*SIN(RADIANS(E733))^2)</f>
        <v/>
      </c>
      <c r="Q733" s="28">
        <f>-(6*F733*J733*L733*N733*SIN(RADIANS(E733))+6*O733*N733*G733*SIN(RADIANS(E733))*COS(RADIANS(E733)))/(12*N733*COS(RADIANS(E733))^2+L733*G733^2*SIN(RADIANS(E733))^2)</f>
        <v/>
      </c>
      <c r="R733" s="28">
        <f>-P733*SIN(RADIANS(E733))</f>
        <v/>
      </c>
      <c r="S733" s="8">
        <f>(O733+P733*COS(RADIANS(E733)))/L733</f>
        <v/>
      </c>
      <c r="T733" s="8">
        <f>R733/L733</f>
        <v/>
      </c>
      <c r="U733" s="8">
        <f>(Q733-P733*G733*SIN(RADIANS(E733)))/M733</f>
        <v/>
      </c>
      <c r="V733" s="8">
        <f>SQRT((S733+U733)^2+3*T733^2)</f>
        <v/>
      </c>
      <c r="W733" s="8">
        <f>V733/AA733</f>
        <v/>
      </c>
      <c r="X733" s="27">
        <f>((3*10+H733/COS(RADIANS(E733)))*(3+3)+3*G733*H733)*2</f>
        <v/>
      </c>
      <c r="Y733" s="28">
        <f>Z733/X733</f>
        <v/>
      </c>
      <c r="Z733" s="29" t="n">
        <v>545.199748596166</v>
      </c>
      <c r="AA733" s="20" t="n">
        <v>43.3431951851283</v>
      </c>
      <c r="AB733" t="n">
        <v>0.07921226057413895</v>
      </c>
      <c r="AC733" t="n">
        <v>46.28872741365068</v>
      </c>
      <c r="AD733" t="n">
        <v>27.5205323586489</v>
      </c>
    </row>
    <row r="734">
      <c r="A734" t="n">
        <v>733</v>
      </c>
      <c r="B734" t="n">
        <v>64</v>
      </c>
      <c r="C734" s="21">
        <f>B734-20</f>
        <v/>
      </c>
      <c r="D734" t="n">
        <v>101.2</v>
      </c>
      <c r="E734" s="22">
        <f>D734-90</f>
        <v/>
      </c>
      <c r="F734" s="23" t="n">
        <v>0.015803</v>
      </c>
      <c r="G734" s="22" t="n">
        <v>26</v>
      </c>
      <c r="H734" s="22" t="n">
        <v>1.8</v>
      </c>
      <c r="I734" s="24" t="n">
        <v>0.134451106190681</v>
      </c>
      <c r="J734" s="6" t="n">
        <v>71000</v>
      </c>
      <c r="K734" s="25">
        <f>23*10^-6</f>
        <v/>
      </c>
      <c r="L734" s="8">
        <f>H734</f>
        <v/>
      </c>
      <c r="M734" s="26">
        <f>H734^2/6</f>
        <v/>
      </c>
      <c r="N734" s="26">
        <f>H734^3/12</f>
        <v/>
      </c>
      <c r="O734" s="27">
        <f>-J734*L734*K734*C734</f>
        <v/>
      </c>
      <c r="P734" s="28">
        <f>-(12*F734*J734*L734*N734+12*O734*N734*G734*COS(RADIANS(E734)))/(12*N734*G734*COS(RADIANS(E734))^2+L734*G734^3*SIN(RADIANS(E734))^2)</f>
        <v/>
      </c>
      <c r="Q734" s="28">
        <f>-(6*F734*J734*L734*N734*SIN(RADIANS(E734))+6*O734*N734*G734*SIN(RADIANS(E734))*COS(RADIANS(E734)))/(12*N734*COS(RADIANS(E734))^2+L734*G734^2*SIN(RADIANS(E734))^2)</f>
        <v/>
      </c>
      <c r="R734" s="28">
        <f>-P734*SIN(RADIANS(E734))</f>
        <v/>
      </c>
      <c r="S734" s="8">
        <f>(O734+P734*COS(RADIANS(E734)))/L734</f>
        <v/>
      </c>
      <c r="T734" s="8">
        <f>R734/L734</f>
        <v/>
      </c>
      <c r="U734" s="8">
        <f>(Q734-P734*G734*SIN(RADIANS(E734)))/M734</f>
        <v/>
      </c>
      <c r="V734" s="8">
        <f>SQRT((S734+U734)^2+3*T734^2)</f>
        <v/>
      </c>
      <c r="W734" s="8">
        <f>V734/AA734</f>
        <v/>
      </c>
      <c r="X734" s="27">
        <f>((3*10+H734/COS(RADIANS(E734)))*(3+3)+3*G734*H734)*2</f>
        <v/>
      </c>
      <c r="Y734" s="28">
        <f>Z734/X734</f>
        <v/>
      </c>
      <c r="Z734" s="29" t="n">
        <v>666.718934805916</v>
      </c>
      <c r="AA734" s="20" t="n">
        <v>83.17197459964</v>
      </c>
      <c r="AB734" t="n">
        <v>0.1914841014451306</v>
      </c>
      <c r="AC734" t="n">
        <v>78.02338785872466</v>
      </c>
      <c r="AD734" t="n">
        <v>42.41913426399359</v>
      </c>
    </row>
    <row r="735">
      <c r="A735" t="n">
        <v>734</v>
      </c>
      <c r="B735" t="n">
        <v>60.9</v>
      </c>
      <c r="C735" s="21">
        <f>B735-20</f>
        <v/>
      </c>
      <c r="D735" t="n">
        <v>113.1</v>
      </c>
      <c r="E735" s="22">
        <f>D735-90</f>
        <v/>
      </c>
      <c r="F735" s="23" t="n">
        <v>0.014506</v>
      </c>
      <c r="G735" s="22" t="n">
        <v>27.3</v>
      </c>
      <c r="H735" s="22" t="n">
        <v>1.6</v>
      </c>
      <c r="I735" s="24" t="n">
        <v>0.0781483650207519</v>
      </c>
      <c r="J735" s="6" t="n">
        <v>71000</v>
      </c>
      <c r="K735" s="25">
        <f>23*10^-6</f>
        <v/>
      </c>
      <c r="L735" s="8">
        <f>H735</f>
        <v/>
      </c>
      <c r="M735" s="26">
        <f>H735^2/6</f>
        <v/>
      </c>
      <c r="N735" s="26">
        <f>H735^3/12</f>
        <v/>
      </c>
      <c r="O735" s="27">
        <f>-J735*L735*K735*C735</f>
        <v/>
      </c>
      <c r="P735" s="28">
        <f>-(12*F735*J735*L735*N735+12*O735*N735*G735*COS(RADIANS(E735)))/(12*N735*G735*COS(RADIANS(E735))^2+L735*G735^3*SIN(RADIANS(E735))^2)</f>
        <v/>
      </c>
      <c r="Q735" s="28">
        <f>-(6*F735*J735*L735*N735*SIN(RADIANS(E735))+6*O735*N735*G735*SIN(RADIANS(E735))*COS(RADIANS(E735)))/(12*N735*COS(RADIANS(E735))^2+L735*G735^2*SIN(RADIANS(E735))^2)</f>
        <v/>
      </c>
      <c r="R735" s="28">
        <f>-P735*SIN(RADIANS(E735))</f>
        <v/>
      </c>
      <c r="S735" s="8">
        <f>(O735+P735*COS(RADIANS(E735)))/L735</f>
        <v/>
      </c>
      <c r="T735" s="8">
        <f>R735/L735</f>
        <v/>
      </c>
      <c r="U735" s="8">
        <f>(Q735-P735*G735*SIN(RADIANS(E735)))/M735</f>
        <v/>
      </c>
      <c r="V735" s="8">
        <f>SQRT((S735+U735)^2+3*T735^2)</f>
        <v/>
      </c>
      <c r="W735" s="8">
        <f>V735/AA735</f>
        <v/>
      </c>
      <c r="X735" s="27">
        <f>((3*10+H735/COS(RADIANS(E735)))*(3+3)+3*G735*H735)*2</f>
        <v/>
      </c>
      <c r="Y735" s="28">
        <f>Z735/X735</f>
        <v/>
      </c>
      <c r="Z735" s="29" t="n">
        <v>648.479263615528</v>
      </c>
      <c r="AA735" s="20" t="n">
        <v>64.2898851653288</v>
      </c>
      <c r="AB735" t="n">
        <v>0.09750752672848627</v>
      </c>
      <c r="AC735" t="n">
        <v>63.11841631547455</v>
      </c>
      <c r="AD735" t="n">
        <v>24.77231827254946</v>
      </c>
    </row>
    <row r="736">
      <c r="A736" t="n">
        <v>735</v>
      </c>
      <c r="B736" t="n">
        <v>46.2</v>
      </c>
      <c r="C736" s="21">
        <f>B736-20</f>
        <v/>
      </c>
      <c r="D736" t="n">
        <v>124.4</v>
      </c>
      <c r="E736" s="22">
        <f>D736-90</f>
        <v/>
      </c>
      <c r="F736" s="23" t="n">
        <v>0.009802</v>
      </c>
      <c r="G736" s="22" t="n">
        <v>32.5</v>
      </c>
      <c r="H736" s="22" t="n">
        <v>1.5</v>
      </c>
      <c r="I736" s="24" t="n">
        <v>0.0429640263319015</v>
      </c>
      <c r="J736" s="6" t="n">
        <v>71000</v>
      </c>
      <c r="K736" s="25">
        <f>23*10^-6</f>
        <v/>
      </c>
      <c r="L736" s="8">
        <f>H736</f>
        <v/>
      </c>
      <c r="M736" s="26">
        <f>H736^2/6</f>
        <v/>
      </c>
      <c r="N736" s="26">
        <f>H736^3/12</f>
        <v/>
      </c>
      <c r="O736" s="27">
        <f>-J736*L736*K736*C736</f>
        <v/>
      </c>
      <c r="P736" s="28">
        <f>-(12*F736*J736*L736*N736+12*O736*N736*G736*COS(RADIANS(E736)))/(12*N736*G736*COS(RADIANS(E736))^2+L736*G736^3*SIN(RADIANS(E736))^2)</f>
        <v/>
      </c>
      <c r="Q736" s="28">
        <f>-(6*F736*J736*L736*N736*SIN(RADIANS(E736))+6*O736*N736*G736*SIN(RADIANS(E736))*COS(RADIANS(E736)))/(12*N736*COS(RADIANS(E736))^2+L736*G736^2*SIN(RADIANS(E736))^2)</f>
        <v/>
      </c>
      <c r="R736" s="28">
        <f>-P736*SIN(RADIANS(E736))</f>
        <v/>
      </c>
      <c r="S736" s="8">
        <f>(O736+P736*COS(RADIANS(E736)))/L736</f>
        <v/>
      </c>
      <c r="T736" s="8">
        <f>R736/L736</f>
        <v/>
      </c>
      <c r="U736" s="8">
        <f>(Q736-P736*G736*SIN(RADIANS(E736)))/M736</f>
        <v/>
      </c>
      <c r="V736" s="8">
        <f>SQRT((S736+U736)^2+3*T736^2)</f>
        <v/>
      </c>
      <c r="W736" s="8">
        <f>V736/AA736</f>
        <v/>
      </c>
      <c r="X736" s="27">
        <f>((3*10+H736/COS(RADIANS(E736)))*(3+3)+3*G736*H736)*2</f>
        <v/>
      </c>
      <c r="Y736" s="28">
        <f>Z736/X736</f>
        <v/>
      </c>
      <c r="Z736" s="29" t="n">
        <v>682.8357175076241</v>
      </c>
      <c r="AA736" s="20" t="n">
        <v>37.9727317003905</v>
      </c>
      <c r="AB736" t="n">
        <v>0.04872775246205748</v>
      </c>
      <c r="AC736" t="n">
        <v>37.91432644523508</v>
      </c>
      <c r="AD736" t="n">
        <v>13.41523740263682</v>
      </c>
    </row>
    <row r="737">
      <c r="A737" t="n">
        <v>736</v>
      </c>
      <c r="B737" t="n">
        <v>51.9</v>
      </c>
      <c r="C737" s="21">
        <f>B737-20</f>
        <v/>
      </c>
      <c r="D737" t="n">
        <v>111.9</v>
      </c>
      <c r="E737" s="22">
        <f>D737-90</f>
        <v/>
      </c>
      <c r="F737" s="23" t="n">
        <v>0.009301</v>
      </c>
      <c r="G737" s="22" t="n">
        <v>21.1</v>
      </c>
      <c r="H737" s="22" t="n">
        <v>1.7</v>
      </c>
      <c r="I737" s="24" t="n">
        <v>0.0532088764011859</v>
      </c>
      <c r="J737" s="6" t="n">
        <v>71000</v>
      </c>
      <c r="K737" s="25">
        <f>23*10^-6</f>
        <v/>
      </c>
      <c r="L737" s="8">
        <f>H737</f>
        <v/>
      </c>
      <c r="M737" s="26">
        <f>H737^2/6</f>
        <v/>
      </c>
      <c r="N737" s="26">
        <f>H737^3/12</f>
        <v/>
      </c>
      <c r="O737" s="27">
        <f>-J737*L737*K737*C737</f>
        <v/>
      </c>
      <c r="P737" s="28">
        <f>-(12*F737*J737*L737*N737+12*O737*N737*G737*COS(RADIANS(E737)))/(12*N737*G737*COS(RADIANS(E737))^2+L737*G737^3*SIN(RADIANS(E737))^2)</f>
        <v/>
      </c>
      <c r="Q737" s="28">
        <f>-(6*F737*J737*L737*N737*SIN(RADIANS(E737))+6*O737*N737*G737*SIN(RADIANS(E737))*COS(RADIANS(E737)))/(12*N737*COS(RADIANS(E737))^2+L737*G737^2*SIN(RADIANS(E737))^2)</f>
        <v/>
      </c>
      <c r="R737" s="28">
        <f>-P737*SIN(RADIANS(E737))</f>
        <v/>
      </c>
      <c r="S737" s="8">
        <f>(O737+P737*COS(RADIANS(E737)))/L737</f>
        <v/>
      </c>
      <c r="T737" s="8">
        <f>R737/L737</f>
        <v/>
      </c>
      <c r="U737" s="8">
        <f>(Q737-P737*G737*SIN(RADIANS(E737)))/M737</f>
        <v/>
      </c>
      <c r="V737" s="8">
        <f>SQRT((S737+U737)^2+3*T737^2)</f>
        <v/>
      </c>
      <c r="W737" s="8">
        <f>V737/AA737</f>
        <v/>
      </c>
      <c r="X737" s="27">
        <f>((3*10+H737/COS(RADIANS(E737)))*(3+3)+3*G737*H737)*2</f>
        <v/>
      </c>
      <c r="Y737" s="28">
        <f>Z737/X737</f>
        <v/>
      </c>
      <c r="Z737" s="29" t="n">
        <v>602.506900707411</v>
      </c>
      <c r="AA737" s="20" t="n">
        <v>52.7632616715011</v>
      </c>
      <c r="AB737" t="n">
        <v>0.06200290538829484</v>
      </c>
      <c r="AC737" t="n">
        <v>50.99281503232173</v>
      </c>
      <c r="AD737" t="n">
        <v>16.52737208882867</v>
      </c>
    </row>
    <row r="738">
      <c r="A738" t="n">
        <v>737</v>
      </c>
      <c r="B738" t="n">
        <v>60.8</v>
      </c>
      <c r="C738" s="21">
        <f>B738-20</f>
        <v/>
      </c>
      <c r="D738" t="n">
        <v>126.3</v>
      </c>
      <c r="E738" s="22">
        <f>D738-90</f>
        <v/>
      </c>
      <c r="F738" s="23" t="n">
        <v>0.014036</v>
      </c>
      <c r="G738" s="22" t="n">
        <v>30</v>
      </c>
      <c r="H738" s="22" t="n">
        <v>1.9</v>
      </c>
      <c r="I738" s="24" t="n">
        <v>0.0614404082298278</v>
      </c>
      <c r="J738" s="6" t="n">
        <v>71000</v>
      </c>
      <c r="K738" s="25">
        <f>23*10^-6</f>
        <v/>
      </c>
      <c r="L738" s="8">
        <f>H738</f>
        <v/>
      </c>
      <c r="M738" s="26">
        <f>H738^2/6</f>
        <v/>
      </c>
      <c r="N738" s="26">
        <f>H738^3/12</f>
        <v/>
      </c>
      <c r="O738" s="27">
        <f>-J738*L738*K738*C738</f>
        <v/>
      </c>
      <c r="P738" s="28">
        <f>-(12*F738*J738*L738*N738+12*O738*N738*G738*COS(RADIANS(E738)))/(12*N738*G738*COS(RADIANS(E738))^2+L738*G738^3*SIN(RADIANS(E738))^2)</f>
        <v/>
      </c>
      <c r="Q738" s="28">
        <f>-(6*F738*J738*L738*N738*SIN(RADIANS(E738))+6*O738*N738*G738*SIN(RADIANS(E738))*COS(RADIANS(E738)))/(12*N738*COS(RADIANS(E738))^2+L738*G738^2*SIN(RADIANS(E738))^2)</f>
        <v/>
      </c>
      <c r="R738" s="28">
        <f>-P738*SIN(RADIANS(E738))</f>
        <v/>
      </c>
      <c r="S738" s="8">
        <f>(O738+P738*COS(RADIANS(E738)))/L738</f>
        <v/>
      </c>
      <c r="T738" s="8">
        <f>R738/L738</f>
        <v/>
      </c>
      <c r="U738" s="8">
        <f>(Q738-P738*G738*SIN(RADIANS(E738)))/M738</f>
        <v/>
      </c>
      <c r="V738" s="8">
        <f>SQRT((S738+U738)^2+3*T738^2)</f>
        <v/>
      </c>
      <c r="W738" s="8">
        <f>V738/AA738</f>
        <v/>
      </c>
      <c r="X738" s="27">
        <f>((3*10+H738/COS(RADIANS(E738)))*(3+3)+3*G738*H738)*2</f>
        <v/>
      </c>
      <c r="Y738" s="28">
        <f>Z738/X738</f>
        <v/>
      </c>
      <c r="Z738" s="29" t="n">
        <v>739.503312545822</v>
      </c>
      <c r="AA738" s="20" t="n">
        <v>63.718083399138</v>
      </c>
      <c r="AB738" t="n">
        <v>0.06609318076069821</v>
      </c>
      <c r="AC738" t="n">
        <v>60.01078718572698</v>
      </c>
      <c r="AD738" t="n">
        <v>7.572821641200638</v>
      </c>
    </row>
    <row r="739">
      <c r="A739" t="n">
        <v>738</v>
      </c>
      <c r="B739" t="n">
        <v>50.1</v>
      </c>
      <c r="C739" s="21">
        <f>B739-20</f>
        <v/>
      </c>
      <c r="D739" t="n">
        <v>129.6</v>
      </c>
      <c r="E739" s="22">
        <f>D739-90</f>
        <v/>
      </c>
      <c r="F739" s="23" t="n">
        <v>0.00777</v>
      </c>
      <c r="G739" s="22" t="n">
        <v>21.6</v>
      </c>
      <c r="H739" s="22" t="n">
        <v>1.9</v>
      </c>
      <c r="I739" s="24" t="n">
        <v>0.0351048409938812</v>
      </c>
      <c r="J739" s="6" t="n">
        <v>71000</v>
      </c>
      <c r="K739" s="25">
        <f>23*10^-6</f>
        <v/>
      </c>
      <c r="L739" s="8">
        <f>H739</f>
        <v/>
      </c>
      <c r="M739" s="26">
        <f>H739^2/6</f>
        <v/>
      </c>
      <c r="N739" s="26">
        <f>H739^3/12</f>
        <v/>
      </c>
      <c r="O739" s="27">
        <f>-J739*L739*K739*C739</f>
        <v/>
      </c>
      <c r="P739" s="28">
        <f>-(12*F739*J739*L739*N739+12*O739*N739*G739*COS(RADIANS(E739)))/(12*N739*G739*COS(RADIANS(E739))^2+L739*G739^3*SIN(RADIANS(E739))^2)</f>
        <v/>
      </c>
      <c r="Q739" s="28">
        <f>-(6*F739*J739*L739*N739*SIN(RADIANS(E739))+6*O739*N739*G739*SIN(RADIANS(E739))*COS(RADIANS(E739)))/(12*N739*COS(RADIANS(E739))^2+L739*G739^2*SIN(RADIANS(E739))^2)</f>
        <v/>
      </c>
      <c r="R739" s="28">
        <f>-P739*SIN(RADIANS(E739))</f>
        <v/>
      </c>
      <c r="S739" s="8">
        <f>(O739+P739*COS(RADIANS(E739)))/L739</f>
        <v/>
      </c>
      <c r="T739" s="8">
        <f>R739/L739</f>
        <v/>
      </c>
      <c r="U739" s="8">
        <f>(Q739-P739*G739*SIN(RADIANS(E739)))/M739</f>
        <v/>
      </c>
      <c r="V739" s="8">
        <f>SQRT((S739+U739)^2+3*T739^2)</f>
        <v/>
      </c>
      <c r="W739" s="8">
        <f>V739/AA739</f>
        <v/>
      </c>
      <c r="X739" s="27">
        <f>((3*10+H739/COS(RADIANS(E739)))*(3+3)+3*G739*H739)*2</f>
        <v/>
      </c>
      <c r="Y739" s="28">
        <f>Z739/X739</f>
        <v/>
      </c>
      <c r="Z739" s="29" t="n">
        <v>646.412364817885</v>
      </c>
      <c r="AA739" s="20" t="n">
        <v>49.7296073374528</v>
      </c>
      <c r="AB739" t="n">
        <v>0.03241244202242736</v>
      </c>
      <c r="AC739" t="n">
        <v>44.43400614370043</v>
      </c>
      <c r="AD739" t="n">
        <v>-7.669594549433016</v>
      </c>
    </row>
    <row r="740">
      <c r="A740" t="n">
        <v>739</v>
      </c>
      <c r="B740" t="n">
        <v>59.7</v>
      </c>
      <c r="C740" s="21">
        <f>B740-20</f>
        <v/>
      </c>
      <c r="D740" t="n">
        <v>111.2</v>
      </c>
      <c r="E740" s="22">
        <f>D740-90</f>
        <v/>
      </c>
      <c r="F740" s="23" t="n">
        <v>0.015205</v>
      </c>
      <c r="G740" s="22" t="n">
        <v>29.6</v>
      </c>
      <c r="H740" s="22" t="n">
        <v>1.5</v>
      </c>
      <c r="I740" s="24" t="n">
        <v>0.08544439822435369</v>
      </c>
      <c r="J740" s="6" t="n">
        <v>71000</v>
      </c>
      <c r="K740" s="25">
        <f>23*10^-6</f>
        <v/>
      </c>
      <c r="L740" s="8">
        <f>H740</f>
        <v/>
      </c>
      <c r="M740" s="26">
        <f>H740^2/6</f>
        <v/>
      </c>
      <c r="N740" s="26">
        <f>H740^3/12</f>
        <v/>
      </c>
      <c r="O740" s="27">
        <f>-J740*L740*K740*C740</f>
        <v/>
      </c>
      <c r="P740" s="28">
        <f>-(12*F740*J740*L740*N740+12*O740*N740*G740*COS(RADIANS(E740)))/(12*N740*G740*COS(RADIANS(E740))^2+L740*G740^3*SIN(RADIANS(E740))^2)</f>
        <v/>
      </c>
      <c r="Q740" s="28">
        <f>-(6*F740*J740*L740*N740*SIN(RADIANS(E740))+6*O740*N740*G740*SIN(RADIANS(E740))*COS(RADIANS(E740)))/(12*N740*COS(RADIANS(E740))^2+L740*G740^2*SIN(RADIANS(E740))^2)</f>
        <v/>
      </c>
      <c r="R740" s="28">
        <f>-P740*SIN(RADIANS(E740))</f>
        <v/>
      </c>
      <c r="S740" s="8">
        <f>(O740+P740*COS(RADIANS(E740)))/L740</f>
        <v/>
      </c>
      <c r="T740" s="8">
        <f>R740/L740</f>
        <v/>
      </c>
      <c r="U740" s="8">
        <f>(Q740-P740*G740*SIN(RADIANS(E740)))/M740</f>
        <v/>
      </c>
      <c r="V740" s="8">
        <f>SQRT((S740+U740)^2+3*T740^2)</f>
        <v/>
      </c>
      <c r="W740" s="8">
        <f>V740/AA740</f>
        <v/>
      </c>
      <c r="X740" s="27">
        <f>((3*10+H740/COS(RADIANS(E740)))*(3+3)+3*G740*H740)*2</f>
        <v/>
      </c>
      <c r="Y740" s="28">
        <f>Z740/X740</f>
        <v/>
      </c>
      <c r="Z740" s="29" t="n">
        <v>650.8823559602949</v>
      </c>
      <c r="AA740" s="20" t="n">
        <v>60.4385541517389</v>
      </c>
      <c r="AB740" t="n">
        <v>0.1119300213516241</v>
      </c>
      <c r="AC740" t="n">
        <v>61.11676453305549</v>
      </c>
      <c r="AD740" t="n">
        <v>30.99749507009975</v>
      </c>
    </row>
    <row r="741">
      <c r="A741" t="n">
        <v>740</v>
      </c>
      <c r="B741" t="n">
        <v>54.8</v>
      </c>
      <c r="C741" s="21">
        <f>B741-20</f>
        <v/>
      </c>
      <c r="D741" t="n">
        <v>108.8</v>
      </c>
      <c r="E741" s="22">
        <f>D741-90</f>
        <v/>
      </c>
      <c r="F741" s="23" t="n">
        <v>0.01406</v>
      </c>
      <c r="G741" s="22" t="n">
        <v>31.1</v>
      </c>
      <c r="H741" s="22" t="n">
        <v>1.9</v>
      </c>
      <c r="I741" s="24" t="n">
        <v>0.0843870490789413</v>
      </c>
      <c r="J741" s="6" t="n">
        <v>71000</v>
      </c>
      <c r="K741" s="25">
        <f>23*10^-6</f>
        <v/>
      </c>
      <c r="L741" s="8">
        <f>H741</f>
        <v/>
      </c>
      <c r="M741" s="26">
        <f>H741^2/6</f>
        <v/>
      </c>
      <c r="N741" s="26">
        <f>H741^3/12</f>
        <v/>
      </c>
      <c r="O741" s="27">
        <f>-J741*L741*K741*C741</f>
        <v/>
      </c>
      <c r="P741" s="28">
        <f>-(12*F741*J741*L741*N741+12*O741*N741*G741*COS(RADIANS(E741)))/(12*N741*G741*COS(RADIANS(E741))^2+L741*G741^3*SIN(RADIANS(E741))^2)</f>
        <v/>
      </c>
      <c r="Q741" s="28">
        <f>-(6*F741*J741*L741*N741*SIN(RADIANS(E741))+6*O741*N741*G741*SIN(RADIANS(E741))*COS(RADIANS(E741)))/(12*N741*COS(RADIANS(E741))^2+L741*G741^2*SIN(RADIANS(E741))^2)</f>
        <v/>
      </c>
      <c r="R741" s="28">
        <f>-P741*SIN(RADIANS(E741))</f>
        <v/>
      </c>
      <c r="S741" s="8">
        <f>(O741+P741*COS(RADIANS(E741)))/L741</f>
        <v/>
      </c>
      <c r="T741" s="8">
        <f>R741/L741</f>
        <v/>
      </c>
      <c r="U741" s="8">
        <f>(Q741-P741*G741*SIN(RADIANS(E741)))/M741</f>
        <v/>
      </c>
      <c r="V741" s="8">
        <f>SQRT((S741+U741)^2+3*T741^2)</f>
        <v/>
      </c>
      <c r="W741" s="8">
        <f>V741/AA741</f>
        <v/>
      </c>
      <c r="X741" s="27">
        <f>((3*10+H741/COS(RADIANS(E741)))*(3+3)+3*G741*H741)*2</f>
        <v/>
      </c>
      <c r="Y741" s="28">
        <f>Z741/X741</f>
        <v/>
      </c>
      <c r="Z741" s="29" t="n">
        <v>743.4111581217639</v>
      </c>
      <c r="AA741" s="20" t="n">
        <v>57.9696277819356</v>
      </c>
      <c r="AB741" t="n">
        <v>0.1146951449685615</v>
      </c>
      <c r="AC741" t="n">
        <v>55.98639555417698</v>
      </c>
      <c r="AD741" t="n">
        <v>35.91557735508444</v>
      </c>
    </row>
    <row r="742">
      <c r="A742" t="n">
        <v>741</v>
      </c>
      <c r="B742" t="n">
        <v>40.1</v>
      </c>
      <c r="C742" s="21">
        <f>B742-20</f>
        <v/>
      </c>
      <c r="D742" t="n">
        <v>120.4</v>
      </c>
      <c r="E742" s="22">
        <f>D742-90</f>
        <v/>
      </c>
      <c r="F742" s="23" t="n">
        <v>0.006612</v>
      </c>
      <c r="G742" s="22" t="n">
        <v>26.5</v>
      </c>
      <c r="H742" s="22" t="n">
        <v>1.8</v>
      </c>
      <c r="I742" s="24" t="n">
        <v>0.0312106348574161</v>
      </c>
      <c r="J742" s="6" t="n">
        <v>71000</v>
      </c>
      <c r="K742" s="25">
        <f>23*10^-6</f>
        <v/>
      </c>
      <c r="L742" s="8">
        <f>H742</f>
        <v/>
      </c>
      <c r="M742" s="26">
        <f>H742^2/6</f>
        <v/>
      </c>
      <c r="N742" s="26">
        <f>H742^3/12</f>
        <v/>
      </c>
      <c r="O742" s="27">
        <f>-J742*L742*K742*C742</f>
        <v/>
      </c>
      <c r="P742" s="28">
        <f>-(12*F742*J742*L742*N742+12*O742*N742*G742*COS(RADIANS(E742)))/(12*N742*G742*COS(RADIANS(E742))^2+L742*G742^3*SIN(RADIANS(E742))^2)</f>
        <v/>
      </c>
      <c r="Q742" s="28">
        <f>-(6*F742*J742*L742*N742*SIN(RADIANS(E742))+6*O742*N742*G742*SIN(RADIANS(E742))*COS(RADIANS(E742)))/(12*N742*COS(RADIANS(E742))^2+L742*G742^2*SIN(RADIANS(E742))^2)</f>
        <v/>
      </c>
      <c r="R742" s="28">
        <f>-P742*SIN(RADIANS(E742))</f>
        <v/>
      </c>
      <c r="S742" s="8">
        <f>(O742+P742*COS(RADIANS(E742)))/L742</f>
        <v/>
      </c>
      <c r="T742" s="8">
        <f>R742/L742</f>
        <v/>
      </c>
      <c r="U742" s="8">
        <f>(Q742-P742*G742*SIN(RADIANS(E742)))/M742</f>
        <v/>
      </c>
      <c r="V742" s="8">
        <f>SQRT((S742+U742)^2+3*T742^2)</f>
        <v/>
      </c>
      <c r="W742" s="8">
        <f>V742/AA742</f>
        <v/>
      </c>
      <c r="X742" s="27">
        <f>((3*10+H742/COS(RADIANS(E742)))*(3+3)+3*G742*H742)*2</f>
        <v/>
      </c>
      <c r="Y742" s="28">
        <f>Z742/X742</f>
        <v/>
      </c>
      <c r="Z742" s="29" t="n">
        <v>678.502356720608</v>
      </c>
      <c r="AA742" s="20" t="n">
        <v>32.347681547184</v>
      </c>
      <c r="AB742" t="n">
        <v>0.03495939245831792</v>
      </c>
      <c r="AC742" t="n">
        <v>30.32605260574131</v>
      </c>
      <c r="AD742" t="n">
        <v>12.01115458890147</v>
      </c>
    </row>
    <row r="743">
      <c r="A743" t="n">
        <v>742</v>
      </c>
      <c r="B743" t="n">
        <v>84.90000000000001</v>
      </c>
      <c r="C743" s="21">
        <f>B743-20</f>
        <v/>
      </c>
      <c r="D743" t="n">
        <v>110.8</v>
      </c>
      <c r="E743" s="22">
        <f>D743-90</f>
        <v/>
      </c>
      <c r="F743" s="23" t="n">
        <v>0.019932</v>
      </c>
      <c r="G743" s="22" t="n">
        <v>22.4</v>
      </c>
      <c r="H743" s="22" t="n">
        <v>1.4</v>
      </c>
      <c r="I743" s="24" t="n">
        <v>0.11737498641014</v>
      </c>
      <c r="J743" s="6" t="n">
        <v>71000</v>
      </c>
      <c r="K743" s="25">
        <f>23*10^-6</f>
        <v/>
      </c>
      <c r="L743" s="8">
        <f>H743</f>
        <v/>
      </c>
      <c r="M743" s="26">
        <f>H743^2/6</f>
        <v/>
      </c>
      <c r="N743" s="26">
        <f>H743^3/12</f>
        <v/>
      </c>
      <c r="O743" s="27">
        <f>-J743*L743*K743*C743</f>
        <v/>
      </c>
      <c r="P743" s="28">
        <f>-(12*F743*J743*L743*N743+12*O743*N743*G743*COS(RADIANS(E743)))/(12*N743*G743*COS(RADIANS(E743))^2+L743*G743^3*SIN(RADIANS(E743))^2)</f>
        <v/>
      </c>
      <c r="Q743" s="28">
        <f>-(6*F743*J743*L743*N743*SIN(RADIANS(E743))+6*O743*N743*G743*SIN(RADIANS(E743))*COS(RADIANS(E743)))/(12*N743*COS(RADIANS(E743))^2+L743*G743^2*SIN(RADIANS(E743))^2)</f>
        <v/>
      </c>
      <c r="R743" s="28">
        <f>-P743*SIN(RADIANS(E743))</f>
        <v/>
      </c>
      <c r="S743" s="8">
        <f>(O743+P743*COS(RADIANS(E743)))/L743</f>
        <v/>
      </c>
      <c r="T743" s="8">
        <f>R743/L743</f>
        <v/>
      </c>
      <c r="U743" s="8">
        <f>(Q743-P743*G743*SIN(RADIANS(E743)))/M743</f>
        <v/>
      </c>
      <c r="V743" s="8">
        <f>SQRT((S743+U743)^2+3*T743^2)</f>
        <v/>
      </c>
      <c r="W743" s="8">
        <f>V743/AA743</f>
        <v/>
      </c>
      <c r="X743" s="27">
        <f>((3*10+H743/COS(RADIANS(E743)))*(3+3)+3*G743*H743)*2</f>
        <v/>
      </c>
      <c r="Y743" s="28">
        <f>Z743/X743</f>
        <v/>
      </c>
      <c r="Z743" s="29" t="n">
        <v>571.238130205615</v>
      </c>
      <c r="AA743" s="20" t="n">
        <v>99.8970597212908</v>
      </c>
      <c r="AB743" t="n">
        <v>0.1425656436696729</v>
      </c>
      <c r="AC743" t="n">
        <v>101.5162215112966</v>
      </c>
      <c r="AD743" t="n">
        <v>21.4616913108811</v>
      </c>
    </row>
    <row r="744">
      <c r="A744" t="n">
        <v>743</v>
      </c>
      <c r="B744" t="n">
        <v>58.3</v>
      </c>
      <c r="C744" s="21">
        <f>B744-20</f>
        <v/>
      </c>
      <c r="D744" t="n">
        <v>114.3</v>
      </c>
      <c r="E744" s="22">
        <f>D744-90</f>
        <v/>
      </c>
      <c r="F744" s="23" t="n">
        <v>0.012449</v>
      </c>
      <c r="G744" s="22" t="n">
        <v>24.7</v>
      </c>
      <c r="H744" s="22" t="n">
        <v>1.8</v>
      </c>
      <c r="I744" s="24" t="n">
        <v>0.065937727689743</v>
      </c>
      <c r="J744" s="6" t="n">
        <v>71000</v>
      </c>
      <c r="K744" s="25">
        <f>23*10^-6</f>
        <v/>
      </c>
      <c r="L744" s="8">
        <f>H744</f>
        <v/>
      </c>
      <c r="M744" s="26">
        <f>H744^2/6</f>
        <v/>
      </c>
      <c r="N744" s="26">
        <f>H744^3/12</f>
        <v/>
      </c>
      <c r="O744" s="27">
        <f>-J744*L744*K744*C744</f>
        <v/>
      </c>
      <c r="P744" s="28">
        <f>-(12*F744*J744*L744*N744+12*O744*N744*G744*COS(RADIANS(E744)))/(12*N744*G744*COS(RADIANS(E744))^2+L744*G744^3*SIN(RADIANS(E744))^2)</f>
        <v/>
      </c>
      <c r="Q744" s="28">
        <f>-(6*F744*J744*L744*N744*SIN(RADIANS(E744))+6*O744*N744*G744*SIN(RADIANS(E744))*COS(RADIANS(E744)))/(12*N744*COS(RADIANS(E744))^2+L744*G744^2*SIN(RADIANS(E744))^2)</f>
        <v/>
      </c>
      <c r="R744" s="28">
        <f>-P744*SIN(RADIANS(E744))</f>
        <v/>
      </c>
      <c r="S744" s="8">
        <f>(O744+P744*COS(RADIANS(E744)))/L744</f>
        <v/>
      </c>
      <c r="T744" s="8">
        <f>R744/L744</f>
        <v/>
      </c>
      <c r="U744" s="8">
        <f>(Q744-P744*G744*SIN(RADIANS(E744)))/M744</f>
        <v/>
      </c>
      <c r="V744" s="8">
        <f>SQRT((S744+U744)^2+3*T744^2)</f>
        <v/>
      </c>
      <c r="W744" s="8">
        <f>V744/AA744</f>
        <v/>
      </c>
      <c r="X744" s="27">
        <f>((3*10+H744/COS(RADIANS(E744)))*(3+3)+3*G744*H744)*2</f>
        <v/>
      </c>
      <c r="Y744" s="28">
        <f>Z744/X744</f>
        <v/>
      </c>
      <c r="Z744" s="29" t="n">
        <v>656.226365901947</v>
      </c>
      <c r="AA744" s="20" t="n">
        <v>62.6958393381865</v>
      </c>
      <c r="AB744" t="n">
        <v>0.07825945823228245</v>
      </c>
      <c r="AC744" t="n">
        <v>59.99293823494892</v>
      </c>
      <c r="AD744" t="n">
        <v>18.68692018098792</v>
      </c>
    </row>
    <row r="745">
      <c r="A745" t="n">
        <v>744</v>
      </c>
      <c r="B745" t="n">
        <v>83.59999999999999</v>
      </c>
      <c r="C745" s="21">
        <f>B745-20</f>
        <v/>
      </c>
      <c r="D745" t="n">
        <v>108.3</v>
      </c>
      <c r="E745" s="22">
        <f>D745-90</f>
        <v/>
      </c>
      <c r="F745" s="23" t="n">
        <v>0.02032</v>
      </c>
      <c r="G745" s="22" t="n">
        <v>23.2</v>
      </c>
      <c r="H745" s="22" t="n">
        <v>1.5</v>
      </c>
      <c r="I745" s="24" t="n">
        <v>0.128666713833808</v>
      </c>
      <c r="J745" s="6" t="n">
        <v>71000</v>
      </c>
      <c r="K745" s="25">
        <f>23*10^-6</f>
        <v/>
      </c>
      <c r="L745" s="8">
        <f>H745</f>
        <v/>
      </c>
      <c r="M745" s="26">
        <f>H745^2/6</f>
        <v/>
      </c>
      <c r="N745" s="26">
        <f>H745^3/12</f>
        <v/>
      </c>
      <c r="O745" s="27">
        <f>-J745*L745*K745*C745</f>
        <v/>
      </c>
      <c r="P745" s="28">
        <f>-(12*F745*J745*L745*N745+12*O745*N745*G745*COS(RADIANS(E745)))/(12*N745*G745*COS(RADIANS(E745))^2+L745*G745^3*SIN(RADIANS(E745))^2)</f>
        <v/>
      </c>
      <c r="Q745" s="28">
        <f>-(6*F745*J745*L745*N745*SIN(RADIANS(E745))+6*O745*N745*G745*SIN(RADIANS(E745))*COS(RADIANS(E745)))/(12*N745*COS(RADIANS(E745))^2+L745*G745^2*SIN(RADIANS(E745))^2)</f>
        <v/>
      </c>
      <c r="R745" s="28">
        <f>-P745*SIN(RADIANS(E745))</f>
        <v/>
      </c>
      <c r="S745" s="8">
        <f>(O745+P745*COS(RADIANS(E745)))/L745</f>
        <v/>
      </c>
      <c r="T745" s="8">
        <f>R745/L745</f>
        <v/>
      </c>
      <c r="U745" s="8">
        <f>(Q745-P745*G745*SIN(RADIANS(E745)))/M745</f>
        <v/>
      </c>
      <c r="V745" s="8">
        <f>SQRT((S745+U745)^2+3*T745^2)</f>
        <v/>
      </c>
      <c r="W745" s="8">
        <f>V745/AA745</f>
        <v/>
      </c>
      <c r="X745" s="27">
        <f>((3*10+H745/COS(RADIANS(E745)))*(3+3)+3*G745*H745)*2</f>
        <v/>
      </c>
      <c r="Y745" s="28">
        <f>Z745/X745</f>
        <v/>
      </c>
      <c r="Z745" s="29" t="n">
        <v>592.470908655116</v>
      </c>
      <c r="AA745" s="20" t="n">
        <v>100.889182985744</v>
      </c>
      <c r="AB745" t="n">
        <v>0.1630373475170776</v>
      </c>
      <c r="AC745" t="n">
        <v>102.0856902331702</v>
      </c>
      <c r="AD745" t="n">
        <v>26.71291794058279</v>
      </c>
    </row>
    <row r="746">
      <c r="A746" t="n">
        <v>745</v>
      </c>
      <c r="B746" t="n">
        <v>57.5</v>
      </c>
      <c r="C746" s="21">
        <f>B746-20</f>
        <v/>
      </c>
      <c r="D746" t="n">
        <v>122.2</v>
      </c>
      <c r="E746" s="22">
        <f>D746-90</f>
        <v/>
      </c>
      <c r="F746" s="23" t="n">
        <v>0.012802</v>
      </c>
      <c r="G746" s="22" t="n">
        <v>28.3</v>
      </c>
      <c r="H746" s="22" t="n">
        <v>1.7</v>
      </c>
      <c r="I746" s="24" t="n">
        <v>0.0585476122796535</v>
      </c>
      <c r="J746" s="6" t="n">
        <v>71000</v>
      </c>
      <c r="K746" s="25">
        <f>23*10^-6</f>
        <v/>
      </c>
      <c r="L746" s="8">
        <f>H746</f>
        <v/>
      </c>
      <c r="M746" s="26">
        <f>H746^2/6</f>
        <v/>
      </c>
      <c r="N746" s="26">
        <f>H746^3/12</f>
        <v/>
      </c>
      <c r="O746" s="27">
        <f>-J746*L746*K746*C746</f>
        <v/>
      </c>
      <c r="P746" s="28">
        <f>-(12*F746*J746*L746*N746+12*O746*N746*G746*COS(RADIANS(E746)))/(12*N746*G746*COS(RADIANS(E746))^2+L746*G746^3*SIN(RADIANS(E746))^2)</f>
        <v/>
      </c>
      <c r="Q746" s="28">
        <f>-(6*F746*J746*L746*N746*SIN(RADIANS(E746))+6*O746*N746*G746*SIN(RADIANS(E746))*COS(RADIANS(E746)))/(12*N746*COS(RADIANS(E746))^2+L746*G746^2*SIN(RADIANS(E746))^2)</f>
        <v/>
      </c>
      <c r="R746" s="28">
        <f>-P746*SIN(RADIANS(E746))</f>
        <v/>
      </c>
      <c r="S746" s="8">
        <f>(O746+P746*COS(RADIANS(E746)))/L746</f>
        <v/>
      </c>
      <c r="T746" s="8">
        <f>R746/L746</f>
        <v/>
      </c>
      <c r="U746" s="8">
        <f>(Q746-P746*G746*SIN(RADIANS(E746)))/M746</f>
        <v/>
      </c>
      <c r="V746" s="8">
        <f>SQRT((S746+U746)^2+3*T746^2)</f>
        <v/>
      </c>
      <c r="W746" s="8">
        <f>V746/AA746</f>
        <v/>
      </c>
      <c r="X746" s="27">
        <f>((3*10+H746/COS(RADIANS(E746)))*(3+3)+3*G746*H746)*2</f>
        <v/>
      </c>
      <c r="Y746" s="28">
        <f>Z746/X746</f>
        <v/>
      </c>
      <c r="Z746" s="29" t="n">
        <v>680.563918413367</v>
      </c>
      <c r="AA746" s="20" t="n">
        <v>57.9471037398054</v>
      </c>
      <c r="AB746" t="n">
        <v>0.06546655216325147</v>
      </c>
      <c r="AC746" t="n">
        <v>55.62478691961515</v>
      </c>
      <c r="AD746" t="n">
        <v>11.81762947146256</v>
      </c>
    </row>
    <row r="747">
      <c r="A747" t="n">
        <v>746</v>
      </c>
      <c r="B747" t="n">
        <v>69</v>
      </c>
      <c r="C747" s="21">
        <f>B747-20</f>
        <v/>
      </c>
      <c r="D747" t="n">
        <v>113.6</v>
      </c>
      <c r="E747" s="22">
        <f>D747-90</f>
        <v/>
      </c>
      <c r="F747" s="23" t="n">
        <v>0.020602</v>
      </c>
      <c r="G747" s="22" t="n">
        <v>33.7</v>
      </c>
      <c r="H747" s="22" t="n">
        <v>1.2</v>
      </c>
      <c r="I747" s="24" t="n">
        <v>0.106832347810268</v>
      </c>
      <c r="J747" s="6" t="n">
        <v>71000</v>
      </c>
      <c r="K747" s="25">
        <f>23*10^-6</f>
        <v/>
      </c>
      <c r="L747" s="8">
        <f>H747</f>
        <v/>
      </c>
      <c r="M747" s="26">
        <f>H747^2/6</f>
        <v/>
      </c>
      <c r="N747" s="26">
        <f>H747^3/12</f>
        <v/>
      </c>
      <c r="O747" s="27">
        <f>-J747*L747*K747*C747</f>
        <v/>
      </c>
      <c r="P747" s="28">
        <f>-(12*F747*J747*L747*N747+12*O747*N747*G747*COS(RADIANS(E747)))/(12*N747*G747*COS(RADIANS(E747))^2+L747*G747^3*SIN(RADIANS(E747))^2)</f>
        <v/>
      </c>
      <c r="Q747" s="28">
        <f>-(6*F747*J747*L747*N747*SIN(RADIANS(E747))+6*O747*N747*G747*SIN(RADIANS(E747))*COS(RADIANS(E747)))/(12*N747*COS(RADIANS(E747))^2+L747*G747^2*SIN(RADIANS(E747))^2)</f>
        <v/>
      </c>
      <c r="R747" s="28">
        <f>-P747*SIN(RADIANS(E747))</f>
        <v/>
      </c>
      <c r="S747" s="8">
        <f>(O747+P747*COS(RADIANS(E747)))/L747</f>
        <v/>
      </c>
      <c r="T747" s="8">
        <f>R747/L747</f>
        <v/>
      </c>
      <c r="U747" s="8">
        <f>(Q747-P747*G747*SIN(RADIANS(E747)))/M747</f>
        <v/>
      </c>
      <c r="V747" s="8">
        <f>SQRT((S747+U747)^2+3*T747^2)</f>
        <v/>
      </c>
      <c r="W747" s="8">
        <f>V747/AA747</f>
        <v/>
      </c>
      <c r="X747" s="27">
        <f>((3*10+H747/COS(RADIANS(E747)))*(3+3)+3*G747*H747)*2</f>
        <v/>
      </c>
      <c r="Y747" s="28">
        <f>Z747/X747</f>
        <v/>
      </c>
      <c r="Z747" s="29" t="n">
        <v>623.978432757931</v>
      </c>
      <c r="AA747" s="20" t="n">
        <v>69.3291616009429</v>
      </c>
      <c r="AB747" t="n">
        <v>0.1410263814434924</v>
      </c>
      <c r="AC747" t="n">
        <v>72.15881648592772</v>
      </c>
      <c r="AD747" t="n">
        <v>32.00719101854084</v>
      </c>
    </row>
    <row r="748">
      <c r="A748" t="n">
        <v>747</v>
      </c>
      <c r="B748" t="n">
        <v>47</v>
      </c>
      <c r="C748" s="21">
        <f>B748-20</f>
        <v/>
      </c>
      <c r="D748" t="n">
        <v>122.5</v>
      </c>
      <c r="E748" s="22">
        <f>D748-90</f>
        <v/>
      </c>
      <c r="F748" s="23" t="n">
        <v>0.009453</v>
      </c>
      <c r="G748" s="22" t="n">
        <v>29.3</v>
      </c>
      <c r="H748" s="22" t="n">
        <v>1.9</v>
      </c>
      <c r="I748" s="24" t="n">
        <v>0.0428881235420703</v>
      </c>
      <c r="J748" s="6" t="n">
        <v>71000</v>
      </c>
      <c r="K748" s="25">
        <f>23*10^-6</f>
        <v/>
      </c>
      <c r="L748" s="8">
        <f>H748</f>
        <v/>
      </c>
      <c r="M748" s="26">
        <f>H748^2/6</f>
        <v/>
      </c>
      <c r="N748" s="26">
        <f>H748^3/12</f>
        <v/>
      </c>
      <c r="O748" s="27">
        <f>-J748*L748*K748*C748</f>
        <v/>
      </c>
      <c r="P748" s="28">
        <f>-(12*F748*J748*L748*N748+12*O748*N748*G748*COS(RADIANS(E748)))/(12*N748*G748*COS(RADIANS(E748))^2+L748*G748^3*SIN(RADIANS(E748))^2)</f>
        <v/>
      </c>
      <c r="Q748" s="28">
        <f>-(6*F748*J748*L748*N748*SIN(RADIANS(E748))+6*O748*N748*G748*SIN(RADIANS(E748))*COS(RADIANS(E748)))/(12*N748*COS(RADIANS(E748))^2+L748*G748^2*SIN(RADIANS(E748))^2)</f>
        <v/>
      </c>
      <c r="R748" s="28">
        <f>-P748*SIN(RADIANS(E748))</f>
        <v/>
      </c>
      <c r="S748" s="8">
        <f>(O748+P748*COS(RADIANS(E748)))/L748</f>
        <v/>
      </c>
      <c r="T748" s="8">
        <f>R748/L748</f>
        <v/>
      </c>
      <c r="U748" s="8">
        <f>(Q748-P748*G748*SIN(RADIANS(E748)))/M748</f>
        <v/>
      </c>
      <c r="V748" s="8">
        <f>SQRT((S748+U748)^2+3*T748^2)</f>
        <v/>
      </c>
      <c r="W748" s="8">
        <f>V748/AA748</f>
        <v/>
      </c>
      <c r="X748" s="27">
        <f>((3*10+H748/COS(RADIANS(E748)))*(3+3)+3*G748*H748)*2</f>
        <v/>
      </c>
      <c r="Y748" s="28">
        <f>Z748/X748</f>
        <v/>
      </c>
      <c r="Z748" s="29" t="n">
        <v>728.9438768055589</v>
      </c>
      <c r="AA748" s="20" t="n">
        <v>42.9806097584246</v>
      </c>
      <c r="AB748" t="n">
        <v>0.04814133771279909</v>
      </c>
      <c r="AC748" t="n">
        <v>40.33053972423697</v>
      </c>
      <c r="AD748" t="n">
        <v>12.24864539847669</v>
      </c>
    </row>
    <row r="749">
      <c r="A749" t="n">
        <v>748</v>
      </c>
      <c r="B749" t="n">
        <v>87</v>
      </c>
      <c r="C749" s="21">
        <f>B749-20</f>
        <v/>
      </c>
      <c r="D749" t="n">
        <v>100.1</v>
      </c>
      <c r="E749" s="22">
        <f>D749-90</f>
        <v/>
      </c>
      <c r="F749" s="23" t="n">
        <v>0.024735</v>
      </c>
      <c r="G749" s="22" t="n">
        <v>26.8</v>
      </c>
      <c r="H749" s="22" t="n">
        <v>1.8</v>
      </c>
      <c r="I749" s="24" t="n">
        <v>0.224903404712677</v>
      </c>
      <c r="J749" s="6" t="n">
        <v>71000</v>
      </c>
      <c r="K749" s="25">
        <f>23*10^-6</f>
        <v/>
      </c>
      <c r="L749" s="8">
        <f>H749</f>
        <v/>
      </c>
      <c r="M749" s="26">
        <f>H749^2/6</f>
        <v/>
      </c>
      <c r="N749" s="26">
        <f>H749^3/12</f>
        <v/>
      </c>
      <c r="O749" s="27">
        <f>-J749*L749*K749*C749</f>
        <v/>
      </c>
      <c r="P749" s="28">
        <f>-(12*F749*J749*L749*N749+12*O749*N749*G749*COS(RADIANS(E749)))/(12*N749*G749*COS(RADIANS(E749))^2+L749*G749^3*SIN(RADIANS(E749))^2)</f>
        <v/>
      </c>
      <c r="Q749" s="28">
        <f>-(6*F749*J749*L749*N749*SIN(RADIANS(E749))+6*O749*N749*G749*SIN(RADIANS(E749))*COS(RADIANS(E749)))/(12*N749*COS(RADIANS(E749))^2+L749*G749^2*SIN(RADIANS(E749))^2)</f>
        <v/>
      </c>
      <c r="R749" s="28">
        <f>-P749*SIN(RADIANS(E749))</f>
        <v/>
      </c>
      <c r="S749" s="8">
        <f>(O749+P749*COS(RADIANS(E749)))/L749</f>
        <v/>
      </c>
      <c r="T749" s="8">
        <f>R749/L749</f>
        <v/>
      </c>
      <c r="U749" s="8">
        <f>(Q749-P749*G749*SIN(RADIANS(E749)))/M749</f>
        <v/>
      </c>
      <c r="V749" s="8">
        <f>SQRT((S749+U749)^2+3*T749^2)</f>
        <v/>
      </c>
      <c r="W749" s="8">
        <f>V749/AA749</f>
        <v/>
      </c>
      <c r="X749" s="27">
        <f>((3*10+H749/COS(RADIANS(E749)))*(3+3)+3*G749*H749)*2</f>
        <v/>
      </c>
      <c r="Y749" s="28">
        <f>Z749/X749</f>
        <v/>
      </c>
      <c r="Z749" s="29" t="n">
        <v>675.191407659535</v>
      </c>
      <c r="AA749" s="20" t="n">
        <v>135.180105418247</v>
      </c>
      <c r="AB749" t="n">
        <v>0.3272160030922258</v>
      </c>
      <c r="AC749" t="n">
        <v>120.5132259615803</v>
      </c>
      <c r="AD749" t="n">
        <v>45.49179613810522</v>
      </c>
    </row>
    <row r="750">
      <c r="A750" t="n">
        <v>749</v>
      </c>
      <c r="B750" t="n">
        <v>49.9</v>
      </c>
      <c r="C750" s="21">
        <f>B750-20</f>
        <v/>
      </c>
      <c r="D750" t="n">
        <v>120.1</v>
      </c>
      <c r="E750" s="22">
        <f>D750-90</f>
        <v/>
      </c>
      <c r="F750" s="23" t="n">
        <v>0.010568</v>
      </c>
      <c r="G750" s="22" t="n">
        <v>28.9</v>
      </c>
      <c r="H750" s="22" t="n">
        <v>1.2</v>
      </c>
      <c r="I750" s="24" t="n">
        <v>0.0494101606309413</v>
      </c>
      <c r="J750" s="6" t="n">
        <v>71000</v>
      </c>
      <c r="K750" s="25">
        <f>23*10^-6</f>
        <v/>
      </c>
      <c r="L750" s="8">
        <f>H750</f>
        <v/>
      </c>
      <c r="M750" s="26">
        <f>H750^2/6</f>
        <v/>
      </c>
      <c r="N750" s="26">
        <f>H750^3/12</f>
        <v/>
      </c>
      <c r="O750" s="27">
        <f>-J750*L750*K750*C750</f>
        <v/>
      </c>
      <c r="P750" s="28">
        <f>-(12*F750*J750*L750*N750+12*O750*N750*G750*COS(RADIANS(E750)))/(12*N750*G750*COS(RADIANS(E750))^2+L750*G750^3*SIN(RADIANS(E750))^2)</f>
        <v/>
      </c>
      <c r="Q750" s="28">
        <f>-(6*F750*J750*L750*N750*SIN(RADIANS(E750))+6*O750*N750*G750*SIN(RADIANS(E750))*COS(RADIANS(E750)))/(12*N750*COS(RADIANS(E750))^2+L750*G750^2*SIN(RADIANS(E750))^2)</f>
        <v/>
      </c>
      <c r="R750" s="28">
        <f>-P750*SIN(RADIANS(E750))</f>
        <v/>
      </c>
      <c r="S750" s="8">
        <f>(O750+P750*COS(RADIANS(E750)))/L750</f>
        <v/>
      </c>
      <c r="T750" s="8">
        <f>R750/L750</f>
        <v/>
      </c>
      <c r="U750" s="8">
        <f>(Q750-P750*G750*SIN(RADIANS(E750)))/M750</f>
        <v/>
      </c>
      <c r="V750" s="8">
        <f>SQRT((S750+U750)^2+3*T750^2)</f>
        <v/>
      </c>
      <c r="W750" s="8">
        <f>V750/AA750</f>
        <v/>
      </c>
      <c r="X750" s="27">
        <f>((3*10+H750/COS(RADIANS(E750)))*(3+3)+3*G750*H750)*2</f>
        <v/>
      </c>
      <c r="Y750" s="28">
        <f>Z750/X750</f>
        <v/>
      </c>
      <c r="Z750" s="29" t="n">
        <v>591.898923204742</v>
      </c>
      <c r="AA750" s="20" t="n">
        <v>42.0832158768153</v>
      </c>
      <c r="AB750" t="n">
        <v>0.05753283313482915</v>
      </c>
      <c r="AC750" t="n">
        <v>43.38938028106159</v>
      </c>
      <c r="AD750" t="n">
        <v>16.43927564728726</v>
      </c>
    </row>
    <row r="751">
      <c r="A751" t="n">
        <v>750</v>
      </c>
      <c r="B751" t="n">
        <v>83.8</v>
      </c>
      <c r="C751" s="21">
        <f>B751-20</f>
        <v/>
      </c>
      <c r="D751" t="n">
        <v>128.3</v>
      </c>
      <c r="E751" s="22">
        <f>D751-90</f>
        <v/>
      </c>
      <c r="F751" s="23" t="n">
        <v>0.018462</v>
      </c>
      <c r="G751" s="22" t="n">
        <v>24.7</v>
      </c>
      <c r="H751" s="22" t="n">
        <v>1.7</v>
      </c>
      <c r="I751" s="24" t="n">
        <v>0.0821578875184059</v>
      </c>
      <c r="J751" s="6" t="n">
        <v>71000</v>
      </c>
      <c r="K751" s="25">
        <f>23*10^-6</f>
        <v/>
      </c>
      <c r="L751" s="8">
        <f>H751</f>
        <v/>
      </c>
      <c r="M751" s="26">
        <f>H751^2/6</f>
        <v/>
      </c>
      <c r="N751" s="26">
        <f>H751^3/12</f>
        <v/>
      </c>
      <c r="O751" s="27">
        <f>-J751*L751*K751*C751</f>
        <v/>
      </c>
      <c r="P751" s="28">
        <f>-(12*F751*J751*L751*N751+12*O751*N751*G751*COS(RADIANS(E751)))/(12*N751*G751*COS(RADIANS(E751))^2+L751*G751^3*SIN(RADIANS(E751))^2)</f>
        <v/>
      </c>
      <c r="Q751" s="28">
        <f>-(6*F751*J751*L751*N751*SIN(RADIANS(E751))+6*O751*N751*G751*SIN(RADIANS(E751))*COS(RADIANS(E751)))/(12*N751*COS(RADIANS(E751))^2+L751*G751^2*SIN(RADIANS(E751))^2)</f>
        <v/>
      </c>
      <c r="R751" s="28">
        <f>-P751*SIN(RADIANS(E751))</f>
        <v/>
      </c>
      <c r="S751" s="8">
        <f>(O751+P751*COS(RADIANS(E751)))/L751</f>
        <v/>
      </c>
      <c r="T751" s="8">
        <f>R751/L751</f>
        <v/>
      </c>
      <c r="U751" s="8">
        <f>(Q751-P751*G751*SIN(RADIANS(E751)))/M751</f>
        <v/>
      </c>
      <c r="V751" s="8">
        <f>SQRT((S751+U751)^2+3*T751^2)</f>
        <v/>
      </c>
      <c r="W751" s="8">
        <f>V751/AA751</f>
        <v/>
      </c>
      <c r="X751" s="27">
        <f>((3*10+H751/COS(RADIANS(E751)))*(3+3)+3*G751*H751)*2</f>
        <v/>
      </c>
      <c r="Y751" s="28">
        <f>Z751/X751</f>
        <v/>
      </c>
      <c r="Z751" s="29" t="n">
        <v>647.950256393204</v>
      </c>
      <c r="AA751" s="20" t="n">
        <v>97.9833903763973</v>
      </c>
      <c r="AB751" t="n">
        <v>0.08113054144473426</v>
      </c>
      <c r="AC751" t="n">
        <v>93.26771356373992</v>
      </c>
      <c r="AD751" t="n">
        <v>-1.250453370580493</v>
      </c>
    </row>
    <row r="752">
      <c r="A752" t="n">
        <v>751</v>
      </c>
      <c r="B752" t="n">
        <v>48.5</v>
      </c>
      <c r="C752" s="21">
        <f>B752-20</f>
        <v/>
      </c>
      <c r="D752" t="n">
        <v>127.5</v>
      </c>
      <c r="E752" s="22">
        <f>D752-90</f>
        <v/>
      </c>
      <c r="F752" s="23" t="n">
        <v>0.010662</v>
      </c>
      <c r="G752" s="22" t="n">
        <v>33.8</v>
      </c>
      <c r="H752" s="22" t="n">
        <v>1.7</v>
      </c>
      <c r="I752" s="24" t="n">
        <v>0.045540202409029</v>
      </c>
      <c r="J752" s="6" t="n">
        <v>71000</v>
      </c>
      <c r="K752" s="25">
        <f>23*10^-6</f>
        <v/>
      </c>
      <c r="L752" s="8">
        <f>H752</f>
        <v/>
      </c>
      <c r="M752" s="26">
        <f>H752^2/6</f>
        <v/>
      </c>
      <c r="N752" s="26">
        <f>H752^3/12</f>
        <v/>
      </c>
      <c r="O752" s="27">
        <f>-J752*L752*K752*C752</f>
        <v/>
      </c>
      <c r="P752" s="28">
        <f>-(12*F752*J752*L752*N752+12*O752*N752*G752*COS(RADIANS(E752)))/(12*N752*G752*COS(RADIANS(E752))^2+L752*G752^3*SIN(RADIANS(E752))^2)</f>
        <v/>
      </c>
      <c r="Q752" s="28">
        <f>-(6*F752*J752*L752*N752*SIN(RADIANS(E752))+6*O752*N752*G752*SIN(RADIANS(E752))*COS(RADIANS(E752)))/(12*N752*COS(RADIANS(E752))^2+L752*G752^2*SIN(RADIANS(E752))^2)</f>
        <v/>
      </c>
      <c r="R752" s="28">
        <f>-P752*SIN(RADIANS(E752))</f>
        <v/>
      </c>
      <c r="S752" s="8">
        <f>(O752+P752*COS(RADIANS(E752)))/L752</f>
        <v/>
      </c>
      <c r="T752" s="8">
        <f>R752/L752</f>
        <v/>
      </c>
      <c r="U752" s="8">
        <f>(Q752-P752*G752*SIN(RADIANS(E752)))/M752</f>
        <v/>
      </c>
      <c r="V752" s="8">
        <f>SQRT((S752+U752)^2+3*T752^2)</f>
        <v/>
      </c>
      <c r="W752" s="8">
        <f>V752/AA752</f>
        <v/>
      </c>
      <c r="X752" s="27">
        <f>((3*10+H752/COS(RADIANS(E752)))*(3+3)+3*G752*H752)*2</f>
        <v/>
      </c>
      <c r="Y752" s="28">
        <f>Z752/X752</f>
        <v/>
      </c>
      <c r="Z752" s="29" t="n">
        <v>740.158604567697</v>
      </c>
      <c r="AA752" s="20" t="n">
        <v>42.0015344695687</v>
      </c>
      <c r="AB752" t="n">
        <v>0.05003951203744844</v>
      </c>
      <c r="AC752" t="n">
        <v>41.16346234713038</v>
      </c>
      <c r="AD752" t="n">
        <v>9.879863044981523</v>
      </c>
    </row>
    <row r="753">
      <c r="A753" t="n">
        <v>752</v>
      </c>
      <c r="B753" t="n">
        <v>70</v>
      </c>
      <c r="C753" s="21">
        <f>B753-20</f>
        <v/>
      </c>
      <c r="D753" t="n">
        <v>130</v>
      </c>
      <c r="E753" s="22">
        <f>D753-90</f>
        <v/>
      </c>
      <c r="F753" s="23" t="n">
        <v>0.012459</v>
      </c>
      <c r="G753" s="22" t="n">
        <v>20.7</v>
      </c>
      <c r="H753" s="22" t="n">
        <v>1.4</v>
      </c>
      <c r="I753" s="24" t="n">
        <v>0.056475855410099</v>
      </c>
      <c r="J753" s="6" t="n">
        <v>71000</v>
      </c>
      <c r="K753" s="25">
        <f>23*10^-6</f>
        <v/>
      </c>
      <c r="L753" s="8">
        <f>H753</f>
        <v/>
      </c>
      <c r="M753" s="26">
        <f>H753^2/6</f>
        <v/>
      </c>
      <c r="N753" s="26">
        <f>H753^3/12</f>
        <v/>
      </c>
      <c r="O753" s="27">
        <f>-J753*L753*K753*C753</f>
        <v/>
      </c>
      <c r="P753" s="28">
        <f>-(12*F753*J753*L753*N753+12*O753*N753*G753*COS(RADIANS(E753)))/(12*N753*G753*COS(RADIANS(E753))^2+L753*G753^3*SIN(RADIANS(E753))^2)</f>
        <v/>
      </c>
      <c r="Q753" s="28">
        <f>-(6*F753*J753*L753*N753*SIN(RADIANS(E753))+6*O753*N753*G753*SIN(RADIANS(E753))*COS(RADIANS(E753)))/(12*N753*COS(RADIANS(E753))^2+L753*G753^2*SIN(RADIANS(E753))^2)</f>
        <v/>
      </c>
      <c r="R753" s="28">
        <f>-P753*SIN(RADIANS(E753))</f>
        <v/>
      </c>
      <c r="S753" s="8">
        <f>(O753+P753*COS(RADIANS(E753)))/L753</f>
        <v/>
      </c>
      <c r="T753" s="8">
        <f>R753/L753</f>
        <v/>
      </c>
      <c r="U753" s="8">
        <f>(Q753-P753*G753*SIN(RADIANS(E753)))/M753</f>
        <v/>
      </c>
      <c r="V753" s="8">
        <f>SQRT((S753+U753)^2+3*T753^2)</f>
        <v/>
      </c>
      <c r="W753" s="8">
        <f>V753/AA753</f>
        <v/>
      </c>
      <c r="X753" s="27">
        <f>((3*10+H753/COS(RADIANS(E753)))*(3+3)+3*G753*H753)*2</f>
        <v/>
      </c>
      <c r="Y753" s="28">
        <f>Z753/X753</f>
        <v/>
      </c>
      <c r="Z753" s="29" t="n">
        <v>566.574246790398</v>
      </c>
      <c r="AA753" s="20" t="n">
        <v>73.5961409666988</v>
      </c>
      <c r="AB753" t="n">
        <v>0.0514791804638406</v>
      </c>
      <c r="AC753" t="n">
        <v>72.13024930481141</v>
      </c>
      <c r="AD753" t="n">
        <v>-8.847453323150361</v>
      </c>
    </row>
    <row r="754">
      <c r="A754" t="n">
        <v>753</v>
      </c>
      <c r="B754" t="n">
        <v>45.4</v>
      </c>
      <c r="C754" s="21">
        <f>B754-20</f>
        <v/>
      </c>
      <c r="D754" t="n">
        <v>127.3</v>
      </c>
      <c r="E754" s="22">
        <f>D754-90</f>
        <v/>
      </c>
      <c r="F754" s="23" t="n">
        <v>0.007196</v>
      </c>
      <c r="G754" s="22" t="n">
        <v>23.7</v>
      </c>
      <c r="H754" s="22" t="n">
        <v>1</v>
      </c>
      <c r="I754" s="24" t="n">
        <v>0.0322979353368282</v>
      </c>
      <c r="J754" s="6" t="n">
        <v>71000</v>
      </c>
      <c r="K754" s="25">
        <f>23*10^-6</f>
        <v/>
      </c>
      <c r="L754" s="8">
        <f>H754</f>
        <v/>
      </c>
      <c r="M754" s="26">
        <f>H754^2/6</f>
        <v/>
      </c>
      <c r="N754" s="26">
        <f>H754^3/12</f>
        <v/>
      </c>
      <c r="O754" s="27">
        <f>-J754*L754*K754*C754</f>
        <v/>
      </c>
      <c r="P754" s="28">
        <f>-(12*F754*J754*L754*N754+12*O754*N754*G754*COS(RADIANS(E754)))/(12*N754*G754*COS(RADIANS(E754))^2+L754*G754^3*SIN(RADIANS(E754))^2)</f>
        <v/>
      </c>
      <c r="Q754" s="28">
        <f>-(6*F754*J754*L754*N754*SIN(RADIANS(E754))+6*O754*N754*G754*SIN(RADIANS(E754))*COS(RADIANS(E754)))/(12*N754*COS(RADIANS(E754))^2+L754*G754^2*SIN(RADIANS(E754))^2)</f>
        <v/>
      </c>
      <c r="R754" s="28">
        <f>-P754*SIN(RADIANS(E754))</f>
        <v/>
      </c>
      <c r="S754" s="8">
        <f>(O754+P754*COS(RADIANS(E754)))/L754</f>
        <v/>
      </c>
      <c r="T754" s="8">
        <f>R754/L754</f>
        <v/>
      </c>
      <c r="U754" s="8">
        <f>(Q754-P754*G754*SIN(RADIANS(E754)))/M754</f>
        <v/>
      </c>
      <c r="V754" s="8">
        <f>SQRT((S754+U754)^2+3*T754^2)</f>
        <v/>
      </c>
      <c r="W754" s="8">
        <f>V754/AA754</f>
        <v/>
      </c>
      <c r="X754" s="27">
        <f>((3*10+H754/COS(RADIANS(E754)))*(3+3)+3*G754*H754)*2</f>
        <v/>
      </c>
      <c r="Y754" s="28">
        <f>Z754/X754</f>
        <v/>
      </c>
      <c r="Z754" s="29" t="n">
        <v>526.8896949446211</v>
      </c>
      <c r="AA754" s="20" t="n">
        <v>33.8552779429431</v>
      </c>
      <c r="AB754" t="n">
        <v>0.03217889175490644</v>
      </c>
      <c r="AC754" t="n">
        <v>36.03791372100883</v>
      </c>
      <c r="AD754" t="n">
        <v>-0.3685795413244846</v>
      </c>
    </row>
    <row r="755">
      <c r="A755" t="n">
        <v>754</v>
      </c>
      <c r="B755" t="n">
        <v>40.3</v>
      </c>
      <c r="C755" s="21">
        <f>B755-20</f>
        <v/>
      </c>
      <c r="D755" t="n">
        <v>106.3</v>
      </c>
      <c r="E755" s="22">
        <f>D755-90</f>
        <v/>
      </c>
      <c r="F755" s="23" t="n">
        <v>0.008340999999999999</v>
      </c>
      <c r="G755" s="22" t="n">
        <v>31.3</v>
      </c>
      <c r="H755" s="22" t="n">
        <v>1.7</v>
      </c>
      <c r="I755" s="24" t="n">
        <v>0.0552948117256164</v>
      </c>
      <c r="J755" s="6" t="n">
        <v>71000</v>
      </c>
      <c r="K755" s="25">
        <f>23*10^-6</f>
        <v/>
      </c>
      <c r="L755" s="8">
        <f>H755</f>
        <v/>
      </c>
      <c r="M755" s="26">
        <f>H755^2/6</f>
        <v/>
      </c>
      <c r="N755" s="26">
        <f>H755^3/12</f>
        <v/>
      </c>
      <c r="O755" s="27">
        <f>-J755*L755*K755*C755</f>
        <v/>
      </c>
      <c r="P755" s="28">
        <f>-(12*F755*J755*L755*N755+12*O755*N755*G755*COS(RADIANS(E755)))/(12*N755*G755*COS(RADIANS(E755))^2+L755*G755^3*SIN(RADIANS(E755))^2)</f>
        <v/>
      </c>
      <c r="Q755" s="28">
        <f>-(6*F755*J755*L755*N755*SIN(RADIANS(E755))+6*O755*N755*G755*SIN(RADIANS(E755))*COS(RADIANS(E755)))/(12*N755*COS(RADIANS(E755))^2+L755*G755^2*SIN(RADIANS(E755))^2)</f>
        <v/>
      </c>
      <c r="R755" s="28">
        <f>-P755*SIN(RADIANS(E755))</f>
        <v/>
      </c>
      <c r="S755" s="8">
        <f>(O755+P755*COS(RADIANS(E755)))/L755</f>
        <v/>
      </c>
      <c r="T755" s="8">
        <f>R755/L755</f>
        <v/>
      </c>
      <c r="U755" s="8">
        <f>(Q755-P755*G755*SIN(RADIANS(E755)))/M755</f>
        <v/>
      </c>
      <c r="V755" s="8">
        <f>SQRT((S755+U755)^2+3*T755^2)</f>
        <v/>
      </c>
      <c r="W755" s="8">
        <f>V755/AA755</f>
        <v/>
      </c>
      <c r="X755" s="27">
        <f>((3*10+H755/COS(RADIANS(E755)))*(3+3)+3*G755*H755)*2</f>
        <v/>
      </c>
      <c r="Y755" s="28">
        <f>Z755/X755</f>
        <v/>
      </c>
      <c r="Z755" s="29" t="n">
        <v>704.953011753317</v>
      </c>
      <c r="AA755" s="20" t="n">
        <v>33.0988102471396</v>
      </c>
      <c r="AB755" t="n">
        <v>0.07782325489964129</v>
      </c>
      <c r="AC755" t="n">
        <v>32.85031729787041</v>
      </c>
      <c r="AD755" t="n">
        <v>40.74241772594398</v>
      </c>
    </row>
    <row r="756">
      <c r="A756" t="n">
        <v>755</v>
      </c>
      <c r="B756" t="n">
        <v>46.3</v>
      </c>
      <c r="C756" s="21">
        <f>B756-20</f>
        <v/>
      </c>
      <c r="D756" t="n">
        <v>123.8</v>
      </c>
      <c r="E756" s="22">
        <f>D756-90</f>
        <v/>
      </c>
      <c r="F756" s="23" t="n">
        <v>0.009871</v>
      </c>
      <c r="G756" s="22" t="n">
        <v>32.4</v>
      </c>
      <c r="H756" s="22" t="n">
        <v>1.2</v>
      </c>
      <c r="I756" s="24" t="n">
        <v>0.0434656925499439</v>
      </c>
      <c r="J756" s="6" t="n">
        <v>71000</v>
      </c>
      <c r="K756" s="25">
        <f>23*10^-6</f>
        <v/>
      </c>
      <c r="L756" s="8">
        <f>H756</f>
        <v/>
      </c>
      <c r="M756" s="26">
        <f>H756^2/6</f>
        <v/>
      </c>
      <c r="N756" s="26">
        <f>H756^3/12</f>
        <v/>
      </c>
      <c r="O756" s="27">
        <f>-J756*L756*K756*C756</f>
        <v/>
      </c>
      <c r="P756" s="28">
        <f>-(12*F756*J756*L756*N756+12*O756*N756*G756*COS(RADIANS(E756)))/(12*N756*G756*COS(RADIANS(E756))^2+L756*G756^3*SIN(RADIANS(E756))^2)</f>
        <v/>
      </c>
      <c r="Q756" s="28">
        <f>-(6*F756*J756*L756*N756*SIN(RADIANS(E756))+6*O756*N756*G756*SIN(RADIANS(E756))*COS(RADIANS(E756)))/(12*N756*COS(RADIANS(E756))^2+L756*G756^2*SIN(RADIANS(E756))^2)</f>
        <v/>
      </c>
      <c r="R756" s="28">
        <f>-P756*SIN(RADIANS(E756))</f>
        <v/>
      </c>
      <c r="S756" s="8">
        <f>(O756+P756*COS(RADIANS(E756)))/L756</f>
        <v/>
      </c>
      <c r="T756" s="8">
        <f>R756/L756</f>
        <v/>
      </c>
      <c r="U756" s="8">
        <f>(Q756-P756*G756*SIN(RADIANS(E756)))/M756</f>
        <v/>
      </c>
      <c r="V756" s="8">
        <f>SQRT((S756+U756)^2+3*T756^2)</f>
        <v/>
      </c>
      <c r="W756" s="8">
        <f>V756/AA756</f>
        <v/>
      </c>
      <c r="X756" s="27">
        <f>((3*10+H756/COS(RADIANS(E756)))*(3+3)+3*G756*H756)*2</f>
        <v/>
      </c>
      <c r="Y756" s="28">
        <f>Z756/X756</f>
        <v/>
      </c>
      <c r="Z756" s="29" t="n">
        <v>618.923879299858</v>
      </c>
      <c r="AA756" s="20" t="n">
        <v>35.9326259461639</v>
      </c>
      <c r="AB756" t="n">
        <v>0.0498036528239095</v>
      </c>
      <c r="AC756" t="n">
        <v>37.58396507842242</v>
      </c>
      <c r="AD756" t="n">
        <v>14.58152373088963</v>
      </c>
    </row>
    <row r="757">
      <c r="A757" t="n">
        <v>756</v>
      </c>
      <c r="B757" t="n">
        <v>77.2</v>
      </c>
      <c r="C757" s="21">
        <f>B757-20</f>
        <v/>
      </c>
      <c r="D757" t="n">
        <v>110.3</v>
      </c>
      <c r="E757" s="22">
        <f>D757-90</f>
        <v/>
      </c>
      <c r="F757" s="23" t="n">
        <v>0.020731</v>
      </c>
      <c r="G757" s="22" t="n">
        <v>27.5</v>
      </c>
      <c r="H757" s="22" t="n">
        <v>1.9</v>
      </c>
      <c r="I757" s="24" t="n">
        <v>0.119963459670543</v>
      </c>
      <c r="J757" s="6" t="n">
        <v>71000</v>
      </c>
      <c r="K757" s="25">
        <f>23*10^-6</f>
        <v/>
      </c>
      <c r="L757" s="8">
        <f>H757</f>
        <v/>
      </c>
      <c r="M757" s="26">
        <f>H757^2/6</f>
        <v/>
      </c>
      <c r="N757" s="26">
        <f>H757^3/12</f>
        <v/>
      </c>
      <c r="O757" s="27">
        <f>-J757*L757*K757*C757</f>
        <v/>
      </c>
      <c r="P757" s="28">
        <f>-(12*F757*J757*L757*N757+12*O757*N757*G757*COS(RADIANS(E757)))/(12*N757*G757*COS(RADIANS(E757))^2+L757*G757^3*SIN(RADIANS(E757))^2)</f>
        <v/>
      </c>
      <c r="Q757" s="28">
        <f>-(6*F757*J757*L757*N757*SIN(RADIANS(E757))+6*O757*N757*G757*SIN(RADIANS(E757))*COS(RADIANS(E757)))/(12*N757*COS(RADIANS(E757))^2+L757*G757^2*SIN(RADIANS(E757))^2)</f>
        <v/>
      </c>
      <c r="R757" s="28">
        <f>-P757*SIN(RADIANS(E757))</f>
        <v/>
      </c>
      <c r="S757" s="8">
        <f>(O757+P757*COS(RADIANS(E757)))/L757</f>
        <v/>
      </c>
      <c r="T757" s="8">
        <f>R757/L757</f>
        <v/>
      </c>
      <c r="U757" s="8">
        <f>(Q757-P757*G757*SIN(RADIANS(E757)))/M757</f>
        <v/>
      </c>
      <c r="V757" s="8">
        <f>SQRT((S757+U757)^2+3*T757^2)</f>
        <v/>
      </c>
      <c r="W757" s="8">
        <f>V757/AA757</f>
        <v/>
      </c>
      <c r="X757" s="27">
        <f>((3*10+H757/COS(RADIANS(E757)))*(3+3)+3*G757*H757)*2</f>
        <v/>
      </c>
      <c r="Y757" s="28">
        <f>Z757/X757</f>
        <v/>
      </c>
      <c r="Z757" s="29" t="n">
        <v>702.832927983684</v>
      </c>
      <c r="AA757" s="20" t="n">
        <v>96.7032444209555</v>
      </c>
      <c r="AB757" t="n">
        <v>0.1546614797170108</v>
      </c>
      <c r="AC757" t="n">
        <v>92.00433580242844</v>
      </c>
      <c r="AD757" t="n">
        <v>28.92382408923462</v>
      </c>
    </row>
    <row r="758">
      <c r="A758" t="n">
        <v>757</v>
      </c>
      <c r="B758" t="n">
        <v>79.8</v>
      </c>
      <c r="C758" s="21">
        <f>B758-20</f>
        <v/>
      </c>
      <c r="D758" t="n">
        <v>112.6</v>
      </c>
      <c r="E758" s="22">
        <f>D758-90</f>
        <v/>
      </c>
      <c r="F758" s="23" t="n">
        <v>0.025867</v>
      </c>
      <c r="G758" s="22" t="n">
        <v>34.6</v>
      </c>
      <c r="H758" s="22" t="n">
        <v>1.4</v>
      </c>
      <c r="I758" s="24" t="n">
        <v>0.137181147933006</v>
      </c>
      <c r="J758" s="6" t="n">
        <v>71000</v>
      </c>
      <c r="K758" s="25">
        <f>23*10^-6</f>
        <v/>
      </c>
      <c r="L758" s="8">
        <f>H758</f>
        <v/>
      </c>
      <c r="M758" s="26">
        <f>H758^2/6</f>
        <v/>
      </c>
      <c r="N758" s="26">
        <f>H758^3/12</f>
        <v/>
      </c>
      <c r="O758" s="27">
        <f>-J758*L758*K758*C758</f>
        <v/>
      </c>
      <c r="P758" s="28">
        <f>-(12*F758*J758*L758*N758+12*O758*N758*G758*COS(RADIANS(E758)))/(12*N758*G758*COS(RADIANS(E758))^2+L758*G758^3*SIN(RADIANS(E758))^2)</f>
        <v/>
      </c>
      <c r="Q758" s="28">
        <f>-(6*F758*J758*L758*N758*SIN(RADIANS(E758))+6*O758*N758*G758*SIN(RADIANS(E758))*COS(RADIANS(E758)))/(12*N758*COS(RADIANS(E758))^2+L758*G758^2*SIN(RADIANS(E758))^2)</f>
        <v/>
      </c>
      <c r="R758" s="28">
        <f>-P758*SIN(RADIANS(E758))</f>
        <v/>
      </c>
      <c r="S758" s="8">
        <f>(O758+P758*COS(RADIANS(E758)))/L758</f>
        <v/>
      </c>
      <c r="T758" s="8">
        <f>R758/L758</f>
        <v/>
      </c>
      <c r="U758" s="8">
        <f>(Q758-P758*G758*SIN(RADIANS(E758)))/M758</f>
        <v/>
      </c>
      <c r="V758" s="8">
        <f>SQRT((S758+U758)^2+3*T758^2)</f>
        <v/>
      </c>
      <c r="W758" s="8">
        <f>V758/AA758</f>
        <v/>
      </c>
      <c r="X758" s="27">
        <f>((3*10+H758/COS(RADIANS(E758)))*(3+3)+3*G758*H758)*2</f>
        <v/>
      </c>
      <c r="Y758" s="28">
        <f>Z758/X758</f>
        <v/>
      </c>
      <c r="Z758" s="29" t="n">
        <v>674.2672477444</v>
      </c>
      <c r="AA758" s="20" t="n">
        <v>88.48928048512531</v>
      </c>
      <c r="AB758" t="n">
        <v>0.1841328697838683</v>
      </c>
      <c r="AC758" t="n">
        <v>89.55181612227688</v>
      </c>
      <c r="AD758" t="n">
        <v>34.22607447037237</v>
      </c>
    </row>
    <row r="759">
      <c r="A759" t="n">
        <v>758</v>
      </c>
      <c r="B759" t="n">
        <v>68.09999999999999</v>
      </c>
      <c r="C759" s="21">
        <f>B759-20</f>
        <v/>
      </c>
      <c r="D759" t="n">
        <v>111.4</v>
      </c>
      <c r="E759" s="22">
        <f>D759-90</f>
        <v/>
      </c>
      <c r="F759" s="23" t="n">
        <v>0.017432</v>
      </c>
      <c r="G759" s="22" t="n">
        <v>27.7</v>
      </c>
      <c r="H759" s="22" t="n">
        <v>1.8</v>
      </c>
      <c r="I759" s="24" t="n">
        <v>0.097815454006195</v>
      </c>
      <c r="J759" s="6" t="n">
        <v>71000</v>
      </c>
      <c r="K759" s="25">
        <f>23*10^-6</f>
        <v/>
      </c>
      <c r="L759" s="8">
        <f>H759</f>
        <v/>
      </c>
      <c r="M759" s="26">
        <f>H759^2/6</f>
        <v/>
      </c>
      <c r="N759" s="26">
        <f>H759^3/12</f>
        <v/>
      </c>
      <c r="O759" s="27">
        <f>-J759*L759*K759*C759</f>
        <v/>
      </c>
      <c r="P759" s="28">
        <f>-(12*F759*J759*L759*N759+12*O759*N759*G759*COS(RADIANS(E759)))/(12*N759*G759*COS(RADIANS(E759))^2+L759*G759^3*SIN(RADIANS(E759))^2)</f>
        <v/>
      </c>
      <c r="Q759" s="28">
        <f>-(6*F759*J759*L759*N759*SIN(RADIANS(E759))+6*O759*N759*G759*SIN(RADIANS(E759))*COS(RADIANS(E759)))/(12*N759*COS(RADIANS(E759))^2+L759*G759^2*SIN(RADIANS(E759))^2)</f>
        <v/>
      </c>
      <c r="R759" s="28">
        <f>-P759*SIN(RADIANS(E759))</f>
        <v/>
      </c>
      <c r="S759" s="8">
        <f>(O759+P759*COS(RADIANS(E759)))/L759</f>
        <v/>
      </c>
      <c r="T759" s="8">
        <f>R759/L759</f>
        <v/>
      </c>
      <c r="U759" s="8">
        <f>(Q759-P759*G759*SIN(RADIANS(E759)))/M759</f>
        <v/>
      </c>
      <c r="V759" s="8">
        <f>SQRT((S759+U759)^2+3*T759^2)</f>
        <v/>
      </c>
      <c r="W759" s="8">
        <f>V759/AA759</f>
        <v/>
      </c>
      <c r="X759" s="27">
        <f>((3*10+H759/COS(RADIANS(E759)))*(3+3)+3*G759*H759)*2</f>
        <v/>
      </c>
      <c r="Y759" s="28">
        <f>Z759/X759</f>
        <v/>
      </c>
      <c r="Z759" s="29" t="n">
        <v>687.57028494496</v>
      </c>
      <c r="AA759" s="20" t="n">
        <v>79.0196259282535</v>
      </c>
      <c r="AB759" t="n">
        <v>0.1248463812333451</v>
      </c>
      <c r="AC759" t="n">
        <v>76.10080262235961</v>
      </c>
      <c r="AD759" t="n">
        <v>27.63461817131484</v>
      </c>
    </row>
    <row r="760">
      <c r="A760" t="n">
        <v>759</v>
      </c>
      <c r="B760" t="n">
        <v>55.7</v>
      </c>
      <c r="C760" s="21">
        <f>B760-20</f>
        <v/>
      </c>
      <c r="D760" t="n">
        <v>128.3</v>
      </c>
      <c r="E760" s="22">
        <f>D760-90</f>
        <v/>
      </c>
      <c r="F760" s="23" t="n">
        <v>0.011001</v>
      </c>
      <c r="G760" s="22" t="n">
        <v>26.8</v>
      </c>
      <c r="H760" s="22" t="n">
        <v>1</v>
      </c>
      <c r="I760" s="24" t="n">
        <v>0.0481977351009845</v>
      </c>
      <c r="J760" s="6" t="n">
        <v>71000</v>
      </c>
      <c r="K760" s="25">
        <f>23*10^-6</f>
        <v/>
      </c>
      <c r="L760" s="8">
        <f>H760</f>
        <v/>
      </c>
      <c r="M760" s="26">
        <f>H760^2/6</f>
        <v/>
      </c>
      <c r="N760" s="26">
        <f>H760^3/12</f>
        <v/>
      </c>
      <c r="O760" s="27">
        <f>-J760*L760*K760*C760</f>
        <v/>
      </c>
      <c r="P760" s="28">
        <f>-(12*F760*J760*L760*N760+12*O760*N760*G760*COS(RADIANS(E760)))/(12*N760*G760*COS(RADIANS(E760))^2+L760*G760^3*SIN(RADIANS(E760))^2)</f>
        <v/>
      </c>
      <c r="Q760" s="28">
        <f>-(6*F760*J760*L760*N760*SIN(RADIANS(E760))+6*O760*N760*G760*SIN(RADIANS(E760))*COS(RADIANS(E760)))/(12*N760*COS(RADIANS(E760))^2+L760*G760^2*SIN(RADIANS(E760))^2)</f>
        <v/>
      </c>
      <c r="R760" s="28">
        <f>-P760*SIN(RADIANS(E760))</f>
        <v/>
      </c>
      <c r="S760" s="8">
        <f>(O760+P760*COS(RADIANS(E760)))/L760</f>
        <v/>
      </c>
      <c r="T760" s="8">
        <f>R760/L760</f>
        <v/>
      </c>
      <c r="U760" s="8">
        <f>(Q760-P760*G760*SIN(RADIANS(E760)))/M760</f>
        <v/>
      </c>
      <c r="V760" s="8">
        <f>SQRT((S760+U760)^2+3*T760^2)</f>
        <v/>
      </c>
      <c r="W760" s="8">
        <f>V760/AA760</f>
        <v/>
      </c>
      <c r="X760" s="27">
        <f>((3*10+H760/COS(RADIANS(E760)))*(3+3)+3*G760*H760)*2</f>
        <v/>
      </c>
      <c r="Y760" s="28">
        <f>Z760/X760</f>
        <v/>
      </c>
      <c r="Z760" s="29" t="n">
        <v>546.106570202584</v>
      </c>
      <c r="AA760" s="20" t="n">
        <v>46.4089558789377</v>
      </c>
      <c r="AB760" t="n">
        <v>0.04930620110896007</v>
      </c>
      <c r="AC760" t="n">
        <v>50.37192379782889</v>
      </c>
      <c r="AD760" t="n">
        <v>2.299830076357535</v>
      </c>
    </row>
    <row r="761">
      <c r="A761" t="n">
        <v>760</v>
      </c>
      <c r="B761" t="n">
        <v>80.59999999999999</v>
      </c>
      <c r="C761" s="21">
        <f>B761-20</f>
        <v/>
      </c>
      <c r="D761" t="n">
        <v>106.2</v>
      </c>
      <c r="E761" s="22">
        <f>D761-90</f>
        <v/>
      </c>
      <c r="F761" s="23" t="n">
        <v>0.024976</v>
      </c>
      <c r="G761" s="22" t="n">
        <v>31.4</v>
      </c>
      <c r="H761" s="22" t="n">
        <v>2</v>
      </c>
      <c r="I761" s="24" t="n">
        <v>0.164872273802757</v>
      </c>
      <c r="J761" s="6" t="n">
        <v>71000</v>
      </c>
      <c r="K761" s="25">
        <f>23*10^-6</f>
        <v/>
      </c>
      <c r="L761" s="8">
        <f>H761</f>
        <v/>
      </c>
      <c r="M761" s="26">
        <f>H761^2/6</f>
        <v/>
      </c>
      <c r="N761" s="26">
        <f>H761^3/12</f>
        <v/>
      </c>
      <c r="O761" s="27">
        <f>-J761*L761*K761*C761</f>
        <v/>
      </c>
      <c r="P761" s="28">
        <f>-(12*F761*J761*L761*N761+12*O761*N761*G761*COS(RADIANS(E761)))/(12*N761*G761*COS(RADIANS(E761))^2+L761*G761^3*SIN(RADIANS(E761))^2)</f>
        <v/>
      </c>
      <c r="Q761" s="28">
        <f>-(6*F761*J761*L761*N761*SIN(RADIANS(E761))+6*O761*N761*G761*SIN(RADIANS(E761))*COS(RADIANS(E761)))/(12*N761*COS(RADIANS(E761))^2+L761*G761^2*SIN(RADIANS(E761))^2)</f>
        <v/>
      </c>
      <c r="R761" s="28">
        <f>-P761*SIN(RADIANS(E761))</f>
        <v/>
      </c>
      <c r="S761" s="8">
        <f>(O761+P761*COS(RADIANS(E761)))/L761</f>
        <v/>
      </c>
      <c r="T761" s="8">
        <f>R761/L761</f>
        <v/>
      </c>
      <c r="U761" s="8">
        <f>(Q761-P761*G761*SIN(RADIANS(E761)))/M761</f>
        <v/>
      </c>
      <c r="V761" s="8">
        <f>SQRT((S761+U761)^2+3*T761^2)</f>
        <v/>
      </c>
      <c r="W761" s="8">
        <f>V761/AA761</f>
        <v/>
      </c>
      <c r="X761" s="27">
        <f>((3*10+H761/COS(RADIANS(E761)))*(3+3)+3*G761*H761)*2</f>
        <v/>
      </c>
      <c r="Y761" s="28">
        <f>Z761/X761</f>
        <v/>
      </c>
      <c r="Z761" s="29" t="n">
        <v>766.218337934633</v>
      </c>
      <c r="AA761" s="20" t="n">
        <v>105.067694055737</v>
      </c>
      <c r="AB761" t="n">
        <v>0.2313687316017744</v>
      </c>
      <c r="AC761" t="n">
        <v>100.6050200232621</v>
      </c>
      <c r="AD761" t="n">
        <v>40.33210452266196</v>
      </c>
    </row>
    <row r="762">
      <c r="A762" t="n">
        <v>761</v>
      </c>
      <c r="B762" t="n">
        <v>46</v>
      </c>
      <c r="C762" s="21">
        <f>B762-20</f>
        <v/>
      </c>
      <c r="D762" t="n">
        <v>107.2</v>
      </c>
      <c r="E762" s="22">
        <f>D762-90</f>
        <v/>
      </c>
      <c r="F762" s="23" t="n">
        <v>0.008036</v>
      </c>
      <c r="G762" s="22" t="n">
        <v>22.1</v>
      </c>
      <c r="H762" s="22" t="n">
        <v>2</v>
      </c>
      <c r="I762" s="24" t="n">
        <v>0.0519205890595912</v>
      </c>
      <c r="J762" s="6" t="n">
        <v>71000</v>
      </c>
      <c r="K762" s="25">
        <f>23*10^-6</f>
        <v/>
      </c>
      <c r="L762" s="8">
        <f>H762</f>
        <v/>
      </c>
      <c r="M762" s="26">
        <f>H762^2/6</f>
        <v/>
      </c>
      <c r="N762" s="26">
        <f>H762^3/12</f>
        <v/>
      </c>
      <c r="O762" s="27">
        <f>-J762*L762*K762*C762</f>
        <v/>
      </c>
      <c r="P762" s="28">
        <f>-(12*F762*J762*L762*N762+12*O762*N762*G762*COS(RADIANS(E762)))/(12*N762*G762*COS(RADIANS(E762))^2+L762*G762^3*SIN(RADIANS(E762))^2)</f>
        <v/>
      </c>
      <c r="Q762" s="28">
        <f>-(6*F762*J762*L762*N762*SIN(RADIANS(E762))+6*O762*N762*G762*SIN(RADIANS(E762))*COS(RADIANS(E762)))/(12*N762*COS(RADIANS(E762))^2+L762*G762^2*SIN(RADIANS(E762))^2)</f>
        <v/>
      </c>
      <c r="R762" s="28">
        <f>-P762*SIN(RADIANS(E762))</f>
        <v/>
      </c>
      <c r="S762" s="8">
        <f>(O762+P762*COS(RADIANS(E762)))/L762</f>
        <v/>
      </c>
      <c r="T762" s="8">
        <f>R762/L762</f>
        <v/>
      </c>
      <c r="U762" s="8">
        <f>(Q762-P762*G762*SIN(RADIANS(E762)))/M762</f>
        <v/>
      </c>
      <c r="V762" s="8">
        <f>SQRT((S762+U762)^2+3*T762^2)</f>
        <v/>
      </c>
      <c r="W762" s="8">
        <f>V762/AA762</f>
        <v/>
      </c>
      <c r="X762" s="27">
        <f>((3*10+H762/COS(RADIANS(E762)))*(3+3)+3*G762*H762)*2</f>
        <v/>
      </c>
      <c r="Y762" s="28">
        <f>Z762/X762</f>
        <v/>
      </c>
      <c r="Z762" s="29" t="n">
        <v>654.8807635229171</v>
      </c>
      <c r="AA762" s="20" t="n">
        <v>47.7783018217872</v>
      </c>
      <c r="AB762" t="n">
        <v>0.0648928893136976</v>
      </c>
      <c r="AC762" t="n">
        <v>44.18096971712206</v>
      </c>
      <c r="AD762" t="n">
        <v>24.98488651432211</v>
      </c>
    </row>
    <row r="763">
      <c r="A763" t="n">
        <v>762</v>
      </c>
      <c r="B763" t="n">
        <v>52.6</v>
      </c>
      <c r="C763" s="21">
        <f>B763-20</f>
        <v/>
      </c>
      <c r="D763" t="n">
        <v>109.2</v>
      </c>
      <c r="E763" s="22">
        <f>D763-90</f>
        <v/>
      </c>
      <c r="F763" s="23" t="n">
        <v>0.011355</v>
      </c>
      <c r="G763" s="22" t="n">
        <v>26</v>
      </c>
      <c r="H763" s="22" t="n">
        <v>1.8</v>
      </c>
      <c r="I763" s="24" t="n">
        <v>0.068491131067276</v>
      </c>
      <c r="J763" s="6" t="n">
        <v>71000</v>
      </c>
      <c r="K763" s="25">
        <f>23*10^-6</f>
        <v/>
      </c>
      <c r="L763" s="8">
        <f>H763</f>
        <v/>
      </c>
      <c r="M763" s="26">
        <f>H763^2/6</f>
        <v/>
      </c>
      <c r="N763" s="26">
        <f>H763^3/12</f>
        <v/>
      </c>
      <c r="O763" s="27">
        <f>-J763*L763*K763*C763</f>
        <v/>
      </c>
      <c r="P763" s="28">
        <f>-(12*F763*J763*L763*N763+12*O763*N763*G763*COS(RADIANS(E763)))/(12*N763*G763*COS(RADIANS(E763))^2+L763*G763^3*SIN(RADIANS(E763))^2)</f>
        <v/>
      </c>
      <c r="Q763" s="28">
        <f>-(6*F763*J763*L763*N763*SIN(RADIANS(E763))+6*O763*N763*G763*SIN(RADIANS(E763))*COS(RADIANS(E763)))/(12*N763*COS(RADIANS(E763))^2+L763*G763^2*SIN(RADIANS(E763))^2)</f>
        <v/>
      </c>
      <c r="R763" s="28">
        <f>-P763*SIN(RADIANS(E763))</f>
        <v/>
      </c>
      <c r="S763" s="8">
        <f>(O763+P763*COS(RADIANS(E763)))/L763</f>
        <v/>
      </c>
      <c r="T763" s="8">
        <f>R763/L763</f>
        <v/>
      </c>
      <c r="U763" s="8">
        <f>(Q763-P763*G763*SIN(RADIANS(E763)))/M763</f>
        <v/>
      </c>
      <c r="V763" s="8">
        <f>SQRT((S763+U763)^2+3*T763^2)</f>
        <v/>
      </c>
      <c r="W763" s="8">
        <f>V763/AA763</f>
        <v/>
      </c>
      <c r="X763" s="27">
        <f>((3*10+H763/COS(RADIANS(E763)))*(3+3)+3*G763*H763)*2</f>
        <v/>
      </c>
      <c r="Y763" s="28">
        <f>Z763/X763</f>
        <v/>
      </c>
      <c r="Z763" s="29" t="n">
        <v>668.519462700736</v>
      </c>
      <c r="AA763" s="20" t="n">
        <v>54.481262412144</v>
      </c>
      <c r="AB763" t="n">
        <v>0.08824201872022526</v>
      </c>
      <c r="AC763" t="n">
        <v>52.77643184156491</v>
      </c>
      <c r="AD763" t="n">
        <v>28.83714627744836</v>
      </c>
    </row>
    <row r="764">
      <c r="A764" t="n">
        <v>763</v>
      </c>
      <c r="B764" t="n">
        <v>81.59999999999999</v>
      </c>
      <c r="C764" s="21">
        <f>B764-20</f>
        <v/>
      </c>
      <c r="D764" t="n">
        <v>129.9</v>
      </c>
      <c r="E764" s="22">
        <f>D764-90</f>
        <v/>
      </c>
      <c r="F764" s="23" t="n">
        <v>0.022854</v>
      </c>
      <c r="G764" s="22" t="n">
        <v>34.6</v>
      </c>
      <c r="H764" s="22" t="n">
        <v>2</v>
      </c>
      <c r="I764" s="24" t="n">
        <v>0.0965315550565719</v>
      </c>
      <c r="J764" s="6" t="n">
        <v>71000</v>
      </c>
      <c r="K764" s="25">
        <f>23*10^-6</f>
        <v/>
      </c>
      <c r="L764" s="8">
        <f>H764</f>
        <v/>
      </c>
      <c r="M764" s="26">
        <f>H764^2/6</f>
        <v/>
      </c>
      <c r="N764" s="26">
        <f>H764^3/12</f>
        <v/>
      </c>
      <c r="O764" s="27">
        <f>-J764*L764*K764*C764</f>
        <v/>
      </c>
      <c r="P764" s="28">
        <f>-(12*F764*J764*L764*N764+12*O764*N764*G764*COS(RADIANS(E764)))/(12*N764*G764*COS(RADIANS(E764))^2+L764*G764^3*SIN(RADIANS(E764))^2)</f>
        <v/>
      </c>
      <c r="Q764" s="28">
        <f>-(6*F764*J764*L764*N764*SIN(RADIANS(E764))+6*O764*N764*G764*SIN(RADIANS(E764))*COS(RADIANS(E764)))/(12*N764*COS(RADIANS(E764))^2+L764*G764^2*SIN(RADIANS(E764))^2)</f>
        <v/>
      </c>
      <c r="R764" s="28">
        <f>-P764*SIN(RADIANS(E764))</f>
        <v/>
      </c>
      <c r="S764" s="8">
        <f>(O764+P764*COS(RADIANS(E764)))/L764</f>
        <v/>
      </c>
      <c r="T764" s="8">
        <f>R764/L764</f>
        <v/>
      </c>
      <c r="U764" s="8">
        <f>(Q764-P764*G764*SIN(RADIANS(E764)))/M764</f>
        <v/>
      </c>
      <c r="V764" s="8">
        <f>SQRT((S764+U764)^2+3*T764^2)</f>
        <v/>
      </c>
      <c r="W764" s="8">
        <f>V764/AA764</f>
        <v/>
      </c>
      <c r="X764" s="27">
        <f>((3*10+H764/COS(RADIANS(E764)))*(3+3)+3*G764*H764)*2</f>
        <v/>
      </c>
      <c r="Y764" s="28">
        <f>Z764/X764</f>
        <v/>
      </c>
      <c r="Z764" s="29" t="n">
        <v>817.201643438965</v>
      </c>
      <c r="AA764" s="20" t="n">
        <v>94.2340955308706</v>
      </c>
      <c r="AB764" t="n">
        <v>0.1031708885518098</v>
      </c>
      <c r="AC764" t="n">
        <v>89.28184413677339</v>
      </c>
      <c r="AD764" t="n">
        <v>6.877889298838019</v>
      </c>
    </row>
    <row r="765">
      <c r="A765" t="n">
        <v>764</v>
      </c>
      <c r="B765" t="n">
        <v>75.59999999999999</v>
      </c>
      <c r="C765" s="21">
        <f>B765-20</f>
        <v/>
      </c>
      <c r="D765" t="n">
        <v>109.8</v>
      </c>
      <c r="E765" s="22">
        <f>D765-90</f>
        <v/>
      </c>
      <c r="F765" s="23" t="n">
        <v>0.021217</v>
      </c>
      <c r="G765" s="22" t="n">
        <v>29.2</v>
      </c>
      <c r="H765" s="22" t="n">
        <v>1</v>
      </c>
      <c r="I765" s="24" t="n">
        <v>0.125296831130981</v>
      </c>
      <c r="J765" s="6" t="n">
        <v>71000</v>
      </c>
      <c r="K765" s="25">
        <f>23*10^-6</f>
        <v/>
      </c>
      <c r="L765" s="8">
        <f>H765</f>
        <v/>
      </c>
      <c r="M765" s="26">
        <f>H765^2/6</f>
        <v/>
      </c>
      <c r="N765" s="26">
        <f>H765^3/12</f>
        <v/>
      </c>
      <c r="O765" s="27">
        <f>-J765*L765*K765*C765</f>
        <v/>
      </c>
      <c r="P765" s="28">
        <f>-(12*F765*J765*L765*N765+12*O765*N765*G765*COS(RADIANS(E765)))/(12*N765*G765*COS(RADIANS(E765))^2+L765*G765^3*SIN(RADIANS(E765))^2)</f>
        <v/>
      </c>
      <c r="Q765" s="28">
        <f>-(6*F765*J765*L765*N765*SIN(RADIANS(E765))+6*O765*N765*G765*SIN(RADIANS(E765))*COS(RADIANS(E765)))/(12*N765*COS(RADIANS(E765))^2+L765*G765^2*SIN(RADIANS(E765))^2)</f>
        <v/>
      </c>
      <c r="R765" s="28">
        <f>-P765*SIN(RADIANS(E765))</f>
        <v/>
      </c>
      <c r="S765" s="8">
        <f>(O765+P765*COS(RADIANS(E765)))/L765</f>
        <v/>
      </c>
      <c r="T765" s="8">
        <f>R765/L765</f>
        <v/>
      </c>
      <c r="U765" s="8">
        <f>(Q765-P765*G765*SIN(RADIANS(E765)))/M765</f>
        <v/>
      </c>
      <c r="V765" s="8">
        <f>SQRT((S765+U765)^2+3*T765^2)</f>
        <v/>
      </c>
      <c r="W765" s="8">
        <f>V765/AA765</f>
        <v/>
      </c>
      <c r="X765" s="27">
        <f>((3*10+H765/COS(RADIANS(E765)))*(3+3)+3*G765*H765)*2</f>
        <v/>
      </c>
      <c r="Y765" s="28">
        <f>Z765/X765</f>
        <v/>
      </c>
      <c r="Z765" s="29" t="n">
        <v>552.89565066174</v>
      </c>
      <c r="AA765" s="20" t="n">
        <v>77.1440823173281</v>
      </c>
      <c r="AB765" t="n">
        <v>0.1675824957931298</v>
      </c>
      <c r="AC765" t="n">
        <v>82.77796785054734</v>
      </c>
      <c r="AD765" t="n">
        <v>33.74839114482059</v>
      </c>
    </row>
    <row r="766">
      <c r="A766" t="n">
        <v>765</v>
      </c>
      <c r="B766" t="n">
        <v>76.59999999999999</v>
      </c>
      <c r="C766" s="21">
        <f>B766-20</f>
        <v/>
      </c>
      <c r="D766" t="n">
        <v>115.8</v>
      </c>
      <c r="E766" s="22">
        <f>D766-90</f>
        <v/>
      </c>
      <c r="F766" s="23" t="n">
        <v>0.020602</v>
      </c>
      <c r="G766" s="22" t="n">
        <v>28.8</v>
      </c>
      <c r="H766" s="22" t="n">
        <v>1.2</v>
      </c>
      <c r="I766" s="24" t="n">
        <v>0.10379172861576</v>
      </c>
      <c r="J766" s="6" t="n">
        <v>71000</v>
      </c>
      <c r="K766" s="25">
        <f>23*10^-6</f>
        <v/>
      </c>
      <c r="L766" s="8">
        <f>H766</f>
        <v/>
      </c>
      <c r="M766" s="26">
        <f>H766^2/6</f>
        <v/>
      </c>
      <c r="N766" s="26">
        <f>H766^3/12</f>
        <v/>
      </c>
      <c r="O766" s="27">
        <f>-J766*L766*K766*C766</f>
        <v/>
      </c>
      <c r="P766" s="28">
        <f>-(12*F766*J766*L766*N766+12*O766*N766*G766*COS(RADIANS(E766)))/(12*N766*G766*COS(RADIANS(E766))^2+L766*G766^3*SIN(RADIANS(E766))^2)</f>
        <v/>
      </c>
      <c r="Q766" s="28">
        <f>-(6*F766*J766*L766*N766*SIN(RADIANS(E766))+6*O766*N766*G766*SIN(RADIANS(E766))*COS(RADIANS(E766)))/(12*N766*COS(RADIANS(E766))^2+L766*G766^2*SIN(RADIANS(E766))^2)</f>
        <v/>
      </c>
      <c r="R766" s="28">
        <f>-P766*SIN(RADIANS(E766))</f>
        <v/>
      </c>
      <c r="S766" s="8">
        <f>(O766+P766*COS(RADIANS(E766)))/L766</f>
        <v/>
      </c>
      <c r="T766" s="8">
        <f>R766/L766</f>
        <v/>
      </c>
      <c r="U766" s="8">
        <f>(Q766-P766*G766*SIN(RADIANS(E766)))/M766</f>
        <v/>
      </c>
      <c r="V766" s="8">
        <f>SQRT((S766+U766)^2+3*T766^2)</f>
        <v/>
      </c>
      <c r="W766" s="8">
        <f>V766/AA766</f>
        <v/>
      </c>
      <c r="X766" s="27">
        <f>((3*10+H766/COS(RADIANS(E766)))*(3+3)+3*G766*H766)*2</f>
        <v/>
      </c>
      <c r="Y766" s="28">
        <f>Z766/X766</f>
        <v/>
      </c>
      <c r="Z766" s="29" t="n">
        <v>589.445189277249</v>
      </c>
      <c r="AA766" s="20" t="n">
        <v>80.5209541528226</v>
      </c>
      <c r="AB766" t="n">
        <v>0.1277366815954369</v>
      </c>
      <c r="AC766" t="n">
        <v>83.40535794302352</v>
      </c>
      <c r="AD766" t="n">
        <v>23.07019383820252</v>
      </c>
    </row>
    <row r="767">
      <c r="A767" t="n">
        <v>766</v>
      </c>
      <c r="B767" t="n">
        <v>64.7</v>
      </c>
      <c r="C767" s="21">
        <f>B767-20</f>
        <v/>
      </c>
      <c r="D767" t="n">
        <v>102.9</v>
      </c>
      <c r="E767" s="22">
        <f>D767-90</f>
        <v/>
      </c>
      <c r="F767" s="23" t="n">
        <v>0.019747</v>
      </c>
      <c r="G767" s="22" t="n">
        <v>33.6</v>
      </c>
      <c r="H767" s="22" t="n">
        <v>1.2</v>
      </c>
      <c r="I767" s="24" t="n">
        <v>0.156944751739501</v>
      </c>
      <c r="J767" s="6" t="n">
        <v>71000</v>
      </c>
      <c r="K767" s="25">
        <f>23*10^-6</f>
        <v/>
      </c>
      <c r="L767" s="8">
        <f>H767</f>
        <v/>
      </c>
      <c r="M767" s="26">
        <f>H767^2/6</f>
        <v/>
      </c>
      <c r="N767" s="26">
        <f>H767^3/12</f>
        <v/>
      </c>
      <c r="O767" s="27">
        <f>-J767*L767*K767*C767</f>
        <v/>
      </c>
      <c r="P767" s="28">
        <f>-(12*F767*J767*L767*N767+12*O767*N767*G767*COS(RADIANS(E767)))/(12*N767*G767*COS(RADIANS(E767))^2+L767*G767^3*SIN(RADIANS(E767))^2)</f>
        <v/>
      </c>
      <c r="Q767" s="28">
        <f>-(6*F767*J767*L767*N767*SIN(RADIANS(E767))+6*O767*N767*G767*SIN(RADIANS(E767))*COS(RADIANS(E767)))/(12*N767*COS(RADIANS(E767))^2+L767*G767^2*SIN(RADIANS(E767))^2)</f>
        <v/>
      </c>
      <c r="R767" s="28">
        <f>-P767*SIN(RADIANS(E767))</f>
        <v/>
      </c>
      <c r="S767" s="8">
        <f>(O767+P767*COS(RADIANS(E767)))/L767</f>
        <v/>
      </c>
      <c r="T767" s="8">
        <f>R767/L767</f>
        <v/>
      </c>
      <c r="U767" s="8">
        <f>(Q767-P767*G767*SIN(RADIANS(E767)))/M767</f>
        <v/>
      </c>
      <c r="V767" s="8">
        <f>SQRT((S767+U767)^2+3*T767^2)</f>
        <v/>
      </c>
      <c r="W767" s="8">
        <f>V767/AA767</f>
        <v/>
      </c>
      <c r="X767" s="27">
        <f>((3*10+H767/COS(RADIANS(E767)))*(3+3)+3*G767*H767)*2</f>
        <v/>
      </c>
      <c r="Y767" s="28">
        <f>Z767/X767</f>
        <v/>
      </c>
      <c r="Z767" s="29" t="n">
        <v>620.747893569352</v>
      </c>
      <c r="AA767" s="20" t="n">
        <v>66.3080704344447</v>
      </c>
      <c r="AB767" t="n">
        <v>0.2351265642537151</v>
      </c>
      <c r="AC767" t="n">
        <v>70.78769670852412</v>
      </c>
      <c r="AD767" t="n">
        <v>49.81486264923426</v>
      </c>
    </row>
    <row r="768">
      <c r="A768" t="n">
        <v>767</v>
      </c>
      <c r="B768" t="n">
        <v>77.8</v>
      </c>
      <c r="C768" s="21">
        <f>B768-20</f>
        <v/>
      </c>
      <c r="D768" t="n">
        <v>105.5</v>
      </c>
      <c r="E768" s="22">
        <f>D768-90</f>
        <v/>
      </c>
      <c r="F768" s="23" t="n">
        <v>0.020399</v>
      </c>
      <c r="G768" s="22" t="n">
        <v>25.9</v>
      </c>
      <c r="H768" s="22" t="n">
        <v>1.1</v>
      </c>
      <c r="I768" s="24" t="n">
        <v>0.144658327102661</v>
      </c>
      <c r="J768" s="6" t="n">
        <v>71000</v>
      </c>
      <c r="K768" s="25">
        <f>23*10^-6</f>
        <v/>
      </c>
      <c r="L768" s="8">
        <f>H768</f>
        <v/>
      </c>
      <c r="M768" s="26">
        <f>H768^2/6</f>
        <v/>
      </c>
      <c r="N768" s="26">
        <f>H768^3/12</f>
        <v/>
      </c>
      <c r="O768" s="27">
        <f>-J768*L768*K768*C768</f>
        <v/>
      </c>
      <c r="P768" s="28">
        <f>-(12*F768*J768*L768*N768+12*O768*N768*G768*COS(RADIANS(E768)))/(12*N768*G768*COS(RADIANS(E768))^2+L768*G768^3*SIN(RADIANS(E768))^2)</f>
        <v/>
      </c>
      <c r="Q768" s="28">
        <f>-(6*F768*J768*L768*N768*SIN(RADIANS(E768))+6*O768*N768*G768*SIN(RADIANS(E768))*COS(RADIANS(E768)))/(12*N768*COS(RADIANS(E768))^2+L768*G768^2*SIN(RADIANS(E768))^2)</f>
        <v/>
      </c>
      <c r="R768" s="28">
        <f>-P768*SIN(RADIANS(E768))</f>
        <v/>
      </c>
      <c r="S768" s="8">
        <f>(O768+P768*COS(RADIANS(E768)))/L768</f>
        <v/>
      </c>
      <c r="T768" s="8">
        <f>R768/L768</f>
        <v/>
      </c>
      <c r="U768" s="8">
        <f>(Q768-P768*G768*SIN(RADIANS(E768)))/M768</f>
        <v/>
      </c>
      <c r="V768" s="8">
        <f>SQRT((S768+U768)^2+3*T768^2)</f>
        <v/>
      </c>
      <c r="W768" s="8">
        <f>V768/AA768</f>
        <v/>
      </c>
      <c r="X768" s="27">
        <f>((3*10+H768/COS(RADIANS(E768)))*(3+3)+3*G768*H768)*2</f>
        <v/>
      </c>
      <c r="Y768" s="28">
        <f>Z768/X768</f>
        <v/>
      </c>
      <c r="Z768" s="29" t="n">
        <v>548.9776397468059</v>
      </c>
      <c r="AA768" s="20" t="n">
        <v>84.5267864466734</v>
      </c>
      <c r="AB768" t="n">
        <v>0.1976298699485688</v>
      </c>
      <c r="AC768" t="n">
        <v>90.37155863800638</v>
      </c>
      <c r="AD768" t="n">
        <v>36.61838478770396</v>
      </c>
    </row>
    <row r="769">
      <c r="A769" t="n">
        <v>768</v>
      </c>
      <c r="B769" t="n">
        <v>69.59999999999999</v>
      </c>
      <c r="C769" s="21">
        <f>B769-20</f>
        <v/>
      </c>
      <c r="D769" t="n">
        <v>109.7</v>
      </c>
      <c r="E769" s="22">
        <f>D769-90</f>
        <v/>
      </c>
      <c r="F769" s="23" t="n">
        <v>0.014678</v>
      </c>
      <c r="G769" s="22" t="n">
        <v>21.2</v>
      </c>
      <c r="H769" s="22" t="n">
        <v>1.7</v>
      </c>
      <c r="I769" s="24" t="n">
        <v>0.0890804007649421</v>
      </c>
      <c r="J769" s="6" t="n">
        <v>71000</v>
      </c>
      <c r="K769" s="25">
        <f>23*10^-6</f>
        <v/>
      </c>
      <c r="L769" s="8">
        <f>H769</f>
        <v/>
      </c>
      <c r="M769" s="26">
        <f>H769^2/6</f>
        <v/>
      </c>
      <c r="N769" s="26">
        <f>H769^3/12</f>
        <v/>
      </c>
      <c r="O769" s="27">
        <f>-J769*L769*K769*C769</f>
        <v/>
      </c>
      <c r="P769" s="28">
        <f>-(12*F769*J769*L769*N769+12*O769*N769*G769*COS(RADIANS(E769)))/(12*N769*G769*COS(RADIANS(E769))^2+L769*G769^3*SIN(RADIANS(E769))^2)</f>
        <v/>
      </c>
      <c r="Q769" s="28">
        <f>-(6*F769*J769*L769*N769*SIN(RADIANS(E769))+6*O769*N769*G769*SIN(RADIANS(E769))*COS(RADIANS(E769)))/(12*N769*COS(RADIANS(E769))^2+L769*G769^2*SIN(RADIANS(E769))^2)</f>
        <v/>
      </c>
      <c r="R769" s="28">
        <f>-P769*SIN(RADIANS(E769))</f>
        <v/>
      </c>
      <c r="S769" s="8">
        <f>(O769+P769*COS(RADIANS(E769)))/L769</f>
        <v/>
      </c>
      <c r="T769" s="8">
        <f>R769/L769</f>
        <v/>
      </c>
      <c r="U769" s="8">
        <f>(Q769-P769*G769*SIN(RADIANS(E769)))/M769</f>
        <v/>
      </c>
      <c r="V769" s="8">
        <f>SQRT((S769+U769)^2+3*T769^2)</f>
        <v/>
      </c>
      <c r="W769" s="8">
        <f>V769/AA769</f>
        <v/>
      </c>
      <c r="X769" s="27">
        <f>((3*10+H769/COS(RADIANS(E769)))*(3+3)+3*G769*H769)*2</f>
        <v/>
      </c>
      <c r="Y769" s="28">
        <f>Z769/X769</f>
        <v/>
      </c>
      <c r="Z769" s="29" t="n">
        <v>602.833893978798</v>
      </c>
      <c r="AA769" s="20" t="n">
        <v>84.1790104865605</v>
      </c>
      <c r="AB769" t="n">
        <v>0.1071045544488258</v>
      </c>
      <c r="AC769" t="n">
        <v>80.63671881048312</v>
      </c>
      <c r="AD769" t="n">
        <v>20.23357947327192</v>
      </c>
    </row>
    <row r="770">
      <c r="A770" t="n">
        <v>769</v>
      </c>
      <c r="B770" t="n">
        <v>43.5</v>
      </c>
      <c r="C770" s="21">
        <f>B770-20</f>
        <v/>
      </c>
      <c r="D770" t="n">
        <v>124.4</v>
      </c>
      <c r="E770" s="22">
        <f>D770-90</f>
        <v/>
      </c>
      <c r="F770" s="23" t="n">
        <v>0.007841000000000001</v>
      </c>
      <c r="G770" s="22" t="n">
        <v>28.2</v>
      </c>
      <c r="H770" s="22" t="n">
        <v>1.4</v>
      </c>
      <c r="I770" s="24" t="n">
        <v>0.0350710898637771</v>
      </c>
      <c r="J770" s="6" t="n">
        <v>71000</v>
      </c>
      <c r="K770" s="25">
        <f>23*10^-6</f>
        <v/>
      </c>
      <c r="L770" s="8">
        <f>H770</f>
        <v/>
      </c>
      <c r="M770" s="26">
        <f>H770^2/6</f>
        <v/>
      </c>
      <c r="N770" s="26">
        <f>H770^3/12</f>
        <v/>
      </c>
      <c r="O770" s="27">
        <f>-J770*L770*K770*C770</f>
        <v/>
      </c>
      <c r="P770" s="28">
        <f>-(12*F770*J770*L770*N770+12*O770*N770*G770*COS(RADIANS(E770)))/(12*N770*G770*COS(RADIANS(E770))^2+L770*G770^3*SIN(RADIANS(E770))^2)</f>
        <v/>
      </c>
      <c r="Q770" s="28">
        <f>-(6*F770*J770*L770*N770*SIN(RADIANS(E770))+6*O770*N770*G770*SIN(RADIANS(E770))*COS(RADIANS(E770)))/(12*N770*COS(RADIANS(E770))^2+L770*G770^2*SIN(RADIANS(E770))^2)</f>
        <v/>
      </c>
      <c r="R770" s="28">
        <f>-P770*SIN(RADIANS(E770))</f>
        <v/>
      </c>
      <c r="S770" s="8">
        <f>(O770+P770*COS(RADIANS(E770)))/L770</f>
        <v/>
      </c>
      <c r="T770" s="8">
        <f>R770/L770</f>
        <v/>
      </c>
      <c r="U770" s="8">
        <f>(Q770-P770*G770*SIN(RADIANS(E770)))/M770</f>
        <v/>
      </c>
      <c r="V770" s="8">
        <f>SQRT((S770+U770)^2+3*T770^2)</f>
        <v/>
      </c>
      <c r="W770" s="8">
        <f>V770/AA770</f>
        <v/>
      </c>
      <c r="X770" s="27">
        <f>((3*10+H770/COS(RADIANS(E770)))*(3+3)+3*G770*H770)*2</f>
        <v/>
      </c>
      <c r="Y770" s="28">
        <f>Z770/X770</f>
        <v/>
      </c>
      <c r="Z770" s="29" t="n">
        <v>625.76137213271</v>
      </c>
      <c r="AA770" s="20" t="n">
        <v>34.0148755295446</v>
      </c>
      <c r="AB770" t="n">
        <v>0.03820111609546099</v>
      </c>
      <c r="AC770" t="n">
        <v>34.07287474714952</v>
      </c>
      <c r="AD770" t="n">
        <v>8.924804572203248</v>
      </c>
    </row>
    <row r="771">
      <c r="A771" t="n">
        <v>770</v>
      </c>
      <c r="B771" t="n">
        <v>56.6</v>
      </c>
      <c r="C771" s="21">
        <f>B771-20</f>
        <v/>
      </c>
      <c r="D771" t="n">
        <v>127.1</v>
      </c>
      <c r="E771" s="22">
        <f>D771-90</f>
        <v/>
      </c>
      <c r="F771" s="23" t="n">
        <v>0.014084</v>
      </c>
      <c r="G771" s="22" t="n">
        <v>34.8</v>
      </c>
      <c r="H771" s="22" t="n">
        <v>1.7</v>
      </c>
      <c r="I771" s="24" t="n">
        <v>0.0600525327026844</v>
      </c>
      <c r="J771" s="6" t="n">
        <v>71000</v>
      </c>
      <c r="K771" s="25">
        <f>23*10^-6</f>
        <v/>
      </c>
      <c r="L771" s="8">
        <f>H771</f>
        <v/>
      </c>
      <c r="M771" s="26">
        <f>H771^2/6</f>
        <v/>
      </c>
      <c r="N771" s="26">
        <f>H771^3/12</f>
        <v/>
      </c>
      <c r="O771" s="27">
        <f>-J771*L771*K771*C771</f>
        <v/>
      </c>
      <c r="P771" s="28">
        <f>-(12*F771*J771*L771*N771+12*O771*N771*G771*COS(RADIANS(E771)))/(12*N771*G771*COS(RADIANS(E771))^2+L771*G771^3*SIN(RADIANS(E771))^2)</f>
        <v/>
      </c>
      <c r="Q771" s="28">
        <f>-(6*F771*J771*L771*N771*SIN(RADIANS(E771))+6*O771*N771*G771*SIN(RADIANS(E771))*COS(RADIANS(E771)))/(12*N771*COS(RADIANS(E771))^2+L771*G771^2*SIN(RADIANS(E771))^2)</f>
        <v/>
      </c>
      <c r="R771" s="28">
        <f>-P771*SIN(RADIANS(E771))</f>
        <v/>
      </c>
      <c r="S771" s="8">
        <f>(O771+P771*COS(RADIANS(E771)))/L771</f>
        <v/>
      </c>
      <c r="T771" s="8">
        <f>R771/L771</f>
        <v/>
      </c>
      <c r="U771" s="8">
        <f>(Q771-P771*G771*SIN(RADIANS(E771)))/M771</f>
        <v/>
      </c>
      <c r="V771" s="8">
        <f>SQRT((S771+U771)^2+3*T771^2)</f>
        <v/>
      </c>
      <c r="W771" s="8">
        <f>V771/AA771</f>
        <v/>
      </c>
      <c r="X771" s="27">
        <f>((3*10+H771/COS(RADIANS(E771)))*(3+3)+3*G771*H771)*2</f>
        <v/>
      </c>
      <c r="Y771" s="28">
        <f>Z771/X771</f>
        <v/>
      </c>
      <c r="Z771" s="29" t="n">
        <v>750.061752068853</v>
      </c>
      <c r="AA771" s="20" t="n">
        <v>54.0376863707755</v>
      </c>
      <c r="AB771" t="n">
        <v>0.06686414414484521</v>
      </c>
      <c r="AC771" t="n">
        <v>52.84510892511304</v>
      </c>
      <c r="AD771" t="n">
        <v>11.34275464431214</v>
      </c>
    </row>
    <row r="772">
      <c r="A772" t="n">
        <v>771</v>
      </c>
      <c r="B772" t="n">
        <v>76.5</v>
      </c>
      <c r="C772" s="21">
        <f>B772-20</f>
        <v/>
      </c>
      <c r="D772" t="n">
        <v>111</v>
      </c>
      <c r="E772" s="22">
        <f>D772-90</f>
        <v/>
      </c>
      <c r="F772" s="23" t="n">
        <v>0.016132</v>
      </c>
      <c r="G772" s="22" t="n">
        <v>20.4</v>
      </c>
      <c r="H772" s="22" t="n">
        <v>1.7</v>
      </c>
      <c r="I772" s="24" t="n">
        <v>0.0947761014103889</v>
      </c>
      <c r="J772" s="6" t="n">
        <v>71000</v>
      </c>
      <c r="K772" s="25">
        <f>23*10^-6</f>
        <v/>
      </c>
      <c r="L772" s="8">
        <f>H772</f>
        <v/>
      </c>
      <c r="M772" s="26">
        <f>H772^2/6</f>
        <v/>
      </c>
      <c r="N772" s="26">
        <f>H772^3/12</f>
        <v/>
      </c>
      <c r="O772" s="27">
        <f>-J772*L772*K772*C772</f>
        <v/>
      </c>
      <c r="P772" s="28">
        <f>-(12*F772*J772*L772*N772+12*O772*N772*G772*COS(RADIANS(E772)))/(12*N772*G772*COS(RADIANS(E772))^2+L772*G772^3*SIN(RADIANS(E772))^2)</f>
        <v/>
      </c>
      <c r="Q772" s="28">
        <f>-(6*F772*J772*L772*N772*SIN(RADIANS(E772))+6*O772*N772*G772*SIN(RADIANS(E772))*COS(RADIANS(E772)))/(12*N772*COS(RADIANS(E772))^2+L772*G772^2*SIN(RADIANS(E772))^2)</f>
        <v/>
      </c>
      <c r="R772" s="28">
        <f>-P772*SIN(RADIANS(E772))</f>
        <v/>
      </c>
      <c r="S772" s="8">
        <f>(O772+P772*COS(RADIANS(E772)))/L772</f>
        <v/>
      </c>
      <c r="T772" s="8">
        <f>R772/L772</f>
        <v/>
      </c>
      <c r="U772" s="8">
        <f>(Q772-P772*G772*SIN(RADIANS(E772)))/M772</f>
        <v/>
      </c>
      <c r="V772" s="8">
        <f>SQRT((S772+U772)^2+3*T772^2)</f>
        <v/>
      </c>
      <c r="W772" s="8">
        <f>V772/AA772</f>
        <v/>
      </c>
      <c r="X772" s="27">
        <f>((3*10+H772/COS(RADIANS(E772)))*(3+3)+3*G772*H772)*2</f>
        <v/>
      </c>
      <c r="Y772" s="28">
        <f>Z772/X772</f>
        <v/>
      </c>
      <c r="Z772" s="29" t="n">
        <v>595.072467103123</v>
      </c>
      <c r="AA772" s="20" t="n">
        <v>95.34789091059081</v>
      </c>
      <c r="AB772" t="n">
        <v>0.1104982733808832</v>
      </c>
      <c r="AC772" t="n">
        <v>91.13477329242143</v>
      </c>
      <c r="AD772" t="n">
        <v>16.58875152757753</v>
      </c>
    </row>
    <row r="773">
      <c r="A773" t="n">
        <v>772</v>
      </c>
      <c r="B773" t="n">
        <v>60.3</v>
      </c>
      <c r="C773" s="21">
        <f>B773-20</f>
        <v/>
      </c>
      <c r="D773" t="n">
        <v>123.5</v>
      </c>
      <c r="E773" s="22">
        <f>D773-90</f>
        <v/>
      </c>
      <c r="F773" s="23" t="n">
        <v>0.015859</v>
      </c>
      <c r="G773" s="22" t="n">
        <v>34.2</v>
      </c>
      <c r="H773" s="22" t="n">
        <v>1.3</v>
      </c>
      <c r="I773" s="24" t="n">
        <v>0.0695352330803871</v>
      </c>
      <c r="J773" s="6" t="n">
        <v>71000</v>
      </c>
      <c r="K773" s="25">
        <f>23*10^-6</f>
        <v/>
      </c>
      <c r="L773" s="8">
        <f>H773</f>
        <v/>
      </c>
      <c r="M773" s="26">
        <f>H773^2/6</f>
        <v/>
      </c>
      <c r="N773" s="26">
        <f>H773^3/12</f>
        <v/>
      </c>
      <c r="O773" s="27">
        <f>-J773*L773*K773*C773</f>
        <v/>
      </c>
      <c r="P773" s="28">
        <f>-(12*F773*J773*L773*N773+12*O773*N773*G773*COS(RADIANS(E773)))/(12*N773*G773*COS(RADIANS(E773))^2+L773*G773^3*SIN(RADIANS(E773))^2)</f>
        <v/>
      </c>
      <c r="Q773" s="28">
        <f>-(6*F773*J773*L773*N773*SIN(RADIANS(E773))+6*O773*N773*G773*SIN(RADIANS(E773))*COS(RADIANS(E773)))/(12*N773*COS(RADIANS(E773))^2+L773*G773^2*SIN(RADIANS(E773))^2)</f>
        <v/>
      </c>
      <c r="R773" s="28">
        <f>-P773*SIN(RADIANS(E773))</f>
        <v/>
      </c>
      <c r="S773" s="8">
        <f>(O773+P773*COS(RADIANS(E773)))/L773</f>
        <v/>
      </c>
      <c r="T773" s="8">
        <f>R773/L773</f>
        <v/>
      </c>
      <c r="U773" s="8">
        <f>(Q773-P773*G773*SIN(RADIANS(E773)))/M773</f>
        <v/>
      </c>
      <c r="V773" s="8">
        <f>SQRT((S773+U773)^2+3*T773^2)</f>
        <v/>
      </c>
      <c r="W773" s="8">
        <f>V773/AA773</f>
        <v/>
      </c>
      <c r="X773" s="27">
        <f>((3*10+H773/COS(RADIANS(E773)))*(3+3)+3*G773*H773)*2</f>
        <v/>
      </c>
      <c r="Y773" s="28">
        <f>Z773/X773</f>
        <v/>
      </c>
      <c r="Z773" s="29" t="n">
        <v>653.682145141713</v>
      </c>
      <c r="AA773" s="20" t="n">
        <v>56.2367179895308</v>
      </c>
      <c r="AB773" t="n">
        <v>0.08109182321987596</v>
      </c>
      <c r="AC773" t="n">
        <v>57.77524853821625</v>
      </c>
      <c r="AD773" t="n">
        <v>16.61976184954857</v>
      </c>
    </row>
    <row r="774">
      <c r="A774" t="n">
        <v>773</v>
      </c>
      <c r="B774" t="n">
        <v>45.2</v>
      </c>
      <c r="C774" s="21">
        <f>B774-20</f>
        <v/>
      </c>
      <c r="D774" t="n">
        <v>118.6</v>
      </c>
      <c r="E774" s="22">
        <f>D774-90</f>
        <v/>
      </c>
      <c r="F774" s="23" t="n">
        <v>0.007853000000000001</v>
      </c>
      <c r="G774" s="22" t="n">
        <v>24.3</v>
      </c>
      <c r="H774" s="22" t="n">
        <v>1.6</v>
      </c>
      <c r="I774" s="24" t="n">
        <v>0.0385391972959041</v>
      </c>
      <c r="J774" s="6" t="n">
        <v>71000</v>
      </c>
      <c r="K774" s="25">
        <f>23*10^-6</f>
        <v/>
      </c>
      <c r="L774" s="8">
        <f>H774</f>
        <v/>
      </c>
      <c r="M774" s="26">
        <f>H774^2/6</f>
        <v/>
      </c>
      <c r="N774" s="26">
        <f>H774^3/12</f>
        <v/>
      </c>
      <c r="O774" s="27">
        <f>-J774*L774*K774*C774</f>
        <v/>
      </c>
      <c r="P774" s="28">
        <f>-(12*F774*J774*L774*N774+12*O774*N774*G774*COS(RADIANS(E774)))/(12*N774*G774*COS(RADIANS(E774))^2+L774*G774^3*SIN(RADIANS(E774))^2)</f>
        <v/>
      </c>
      <c r="Q774" s="28">
        <f>-(6*F774*J774*L774*N774*SIN(RADIANS(E774))+6*O774*N774*G774*SIN(RADIANS(E774))*COS(RADIANS(E774)))/(12*N774*COS(RADIANS(E774))^2+L774*G774^2*SIN(RADIANS(E774))^2)</f>
        <v/>
      </c>
      <c r="R774" s="28">
        <f>-P774*SIN(RADIANS(E774))</f>
        <v/>
      </c>
      <c r="S774" s="8">
        <f>(O774+P774*COS(RADIANS(E774)))/L774</f>
        <v/>
      </c>
      <c r="T774" s="8">
        <f>R774/L774</f>
        <v/>
      </c>
      <c r="U774" s="8">
        <f>(Q774-P774*G774*SIN(RADIANS(E774)))/M774</f>
        <v/>
      </c>
      <c r="V774" s="8">
        <f>SQRT((S774+U774)^2+3*T774^2)</f>
        <v/>
      </c>
      <c r="W774" s="8">
        <f>V774/AA774</f>
        <v/>
      </c>
      <c r="X774" s="27">
        <f>((3*10+H774/COS(RADIANS(E774)))*(3+3)+3*G774*H774)*2</f>
        <v/>
      </c>
      <c r="Y774" s="28">
        <f>Z774/X774</f>
        <v/>
      </c>
      <c r="Z774" s="29" t="n">
        <v>621.917316938854</v>
      </c>
      <c r="AA774" s="20" t="n">
        <v>39.0927541897865</v>
      </c>
      <c r="AB774" t="n">
        <v>0.0431339554280682</v>
      </c>
      <c r="AC774" t="n">
        <v>38.08041124555478</v>
      </c>
      <c r="AD774" t="n">
        <v>11.9222984767574</v>
      </c>
    </row>
    <row r="775">
      <c r="A775" t="n">
        <v>774</v>
      </c>
      <c r="B775" t="n">
        <v>81</v>
      </c>
      <c r="C775" s="21">
        <f>B775-20</f>
        <v/>
      </c>
      <c r="D775" t="n">
        <v>128.5</v>
      </c>
      <c r="E775" s="22">
        <f>D775-90</f>
        <v/>
      </c>
      <c r="F775" s="23" t="n">
        <v>0.016145</v>
      </c>
      <c r="G775" s="22" t="n">
        <v>22</v>
      </c>
      <c r="H775" s="22" t="n">
        <v>1.2</v>
      </c>
      <c r="I775" s="24" t="n">
        <v>0.0729075819253921</v>
      </c>
      <c r="J775" s="6" t="n">
        <v>71000</v>
      </c>
      <c r="K775" s="25">
        <f>23*10^-6</f>
        <v/>
      </c>
      <c r="L775" s="8">
        <f>H775</f>
        <v/>
      </c>
      <c r="M775" s="26">
        <f>H775^2/6</f>
        <v/>
      </c>
      <c r="N775" s="26">
        <f>H775^3/12</f>
        <v/>
      </c>
      <c r="O775" s="27">
        <f>-J775*L775*K775*C775</f>
        <v/>
      </c>
      <c r="P775" s="28">
        <f>-(12*F775*J775*L775*N775+12*O775*N775*G775*COS(RADIANS(E775)))/(12*N775*G775*COS(RADIANS(E775))^2+L775*G775^3*SIN(RADIANS(E775))^2)</f>
        <v/>
      </c>
      <c r="Q775" s="28">
        <f>-(6*F775*J775*L775*N775*SIN(RADIANS(E775))+6*O775*N775*G775*SIN(RADIANS(E775))*COS(RADIANS(E775)))/(12*N775*COS(RADIANS(E775))^2+L775*G775^2*SIN(RADIANS(E775))^2)</f>
        <v/>
      </c>
      <c r="R775" s="28">
        <f>-P775*SIN(RADIANS(E775))</f>
        <v/>
      </c>
      <c r="S775" s="8">
        <f>(O775+P775*COS(RADIANS(E775)))/L775</f>
        <v/>
      </c>
      <c r="T775" s="8">
        <f>R775/L775</f>
        <v/>
      </c>
      <c r="U775" s="8">
        <f>(Q775-P775*G775*SIN(RADIANS(E775)))/M775</f>
        <v/>
      </c>
      <c r="V775" s="8">
        <f>SQRT((S775+U775)^2+3*T775^2)</f>
        <v/>
      </c>
      <c r="W775" s="8">
        <f>V775/AA775</f>
        <v/>
      </c>
      <c r="X775" s="27">
        <f>((3*10+H775/COS(RADIANS(E775)))*(3+3)+3*G775*H775)*2</f>
        <v/>
      </c>
      <c r="Y775" s="28">
        <f>Z775/X775</f>
        <v/>
      </c>
      <c r="Z775" s="29" t="n">
        <v>546.90032983308</v>
      </c>
      <c r="AA775" s="20" t="n">
        <v>85.3579168201654</v>
      </c>
      <c r="AB775" t="n">
        <v>0.06949311236434588</v>
      </c>
      <c r="AC775" t="n">
        <v>87.36656333640468</v>
      </c>
      <c r="AD775" t="n">
        <v>-4.68328460617486</v>
      </c>
    </row>
    <row r="776">
      <c r="A776" t="n">
        <v>775</v>
      </c>
      <c r="B776" t="n">
        <v>52.3</v>
      </c>
      <c r="C776" s="21">
        <f>B776-20</f>
        <v/>
      </c>
      <c r="D776" t="n">
        <v>118.6</v>
      </c>
      <c r="E776" s="22">
        <f>D776-90</f>
        <v/>
      </c>
      <c r="F776" s="23" t="n">
        <v>0.010421</v>
      </c>
      <c r="G776" s="22" t="n">
        <v>25.4</v>
      </c>
      <c r="H776" s="22" t="n">
        <v>1.3</v>
      </c>
      <c r="I776" s="24" t="n">
        <v>0.050821803510189</v>
      </c>
      <c r="J776" s="6" t="n">
        <v>71000</v>
      </c>
      <c r="K776" s="25">
        <f>23*10^-6</f>
        <v/>
      </c>
      <c r="L776" s="8">
        <f>H776</f>
        <v/>
      </c>
      <c r="M776" s="26">
        <f>H776^2/6</f>
        <v/>
      </c>
      <c r="N776" s="26">
        <f>H776^3/12</f>
        <v/>
      </c>
      <c r="O776" s="27">
        <f>-J776*L776*K776*C776</f>
        <v/>
      </c>
      <c r="P776" s="28">
        <f>-(12*F776*J776*L776*N776+12*O776*N776*G776*COS(RADIANS(E776)))/(12*N776*G776*COS(RADIANS(E776))^2+L776*G776^3*SIN(RADIANS(E776))^2)</f>
        <v/>
      </c>
      <c r="Q776" s="28">
        <f>-(6*F776*J776*L776*N776*SIN(RADIANS(E776))+6*O776*N776*G776*SIN(RADIANS(E776))*COS(RADIANS(E776)))/(12*N776*COS(RADIANS(E776))^2+L776*G776^2*SIN(RADIANS(E776))^2)</f>
        <v/>
      </c>
      <c r="R776" s="28">
        <f>-P776*SIN(RADIANS(E776))</f>
        <v/>
      </c>
      <c r="S776" s="8">
        <f>(O776+P776*COS(RADIANS(E776)))/L776</f>
        <v/>
      </c>
      <c r="T776" s="8">
        <f>R776/L776</f>
        <v/>
      </c>
      <c r="U776" s="8">
        <f>(Q776-P776*G776*SIN(RADIANS(E776)))/M776</f>
        <v/>
      </c>
      <c r="V776" s="8">
        <f>SQRT((S776+U776)^2+3*T776^2)</f>
        <v/>
      </c>
      <c r="W776" s="8">
        <f>V776/AA776</f>
        <v/>
      </c>
      <c r="X776" s="27">
        <f>((3*10+H776/COS(RADIANS(E776)))*(3+3)+3*G776*H776)*2</f>
        <v/>
      </c>
      <c r="Y776" s="28">
        <f>Z776/X776</f>
        <v/>
      </c>
      <c r="Z776" s="29" t="n">
        <v>582.657009642754</v>
      </c>
      <c r="AA776" s="20" t="n">
        <v>47.1396716744166</v>
      </c>
      <c r="AB776" t="n">
        <v>0.05797160033107678</v>
      </c>
      <c r="AC776" t="n">
        <v>47.73537077486854</v>
      </c>
      <c r="AD776" t="n">
        <v>14.06836500687023</v>
      </c>
    </row>
    <row r="777">
      <c r="A777" t="n">
        <v>776</v>
      </c>
      <c r="B777" t="n">
        <v>83</v>
      </c>
      <c r="C777" s="21">
        <f>B777-20</f>
        <v/>
      </c>
      <c r="D777" t="n">
        <v>128.8</v>
      </c>
      <c r="E777" s="22">
        <f>D777-90</f>
        <v/>
      </c>
      <c r="F777" s="23" t="n">
        <v>0.019981</v>
      </c>
      <c r="G777" s="22" t="n">
        <v>28</v>
      </c>
      <c r="H777" s="22" t="n">
        <v>1.2</v>
      </c>
      <c r="I777" s="24" t="n">
        <v>0.086881585419178</v>
      </c>
      <c r="J777" s="6" t="n">
        <v>71000</v>
      </c>
      <c r="K777" s="25">
        <f>23*10^-6</f>
        <v/>
      </c>
      <c r="L777" s="8">
        <f>H777</f>
        <v/>
      </c>
      <c r="M777" s="26">
        <f>H777^2/6</f>
        <v/>
      </c>
      <c r="N777" s="26">
        <f>H777^3/12</f>
        <v/>
      </c>
      <c r="O777" s="27">
        <f>-J777*L777*K777*C777</f>
        <v/>
      </c>
      <c r="P777" s="28">
        <f>-(12*F777*J777*L777*N777+12*O777*N777*G777*COS(RADIANS(E777)))/(12*N777*G777*COS(RADIANS(E777))^2+L777*G777^3*SIN(RADIANS(E777))^2)</f>
        <v/>
      </c>
      <c r="Q777" s="28">
        <f>-(6*F777*J777*L777*N777*SIN(RADIANS(E777))+6*O777*N777*G777*SIN(RADIANS(E777))*COS(RADIANS(E777)))/(12*N777*COS(RADIANS(E777))^2+L777*G777^2*SIN(RADIANS(E777))^2)</f>
        <v/>
      </c>
      <c r="R777" s="28">
        <f>-P777*SIN(RADIANS(E777))</f>
        <v/>
      </c>
      <c r="S777" s="8">
        <f>(O777+P777*COS(RADIANS(E777)))/L777</f>
        <v/>
      </c>
      <c r="T777" s="8">
        <f>R777/L777</f>
        <v/>
      </c>
      <c r="U777" s="8">
        <f>(Q777-P777*G777*SIN(RADIANS(E777)))/M777</f>
        <v/>
      </c>
      <c r="V777" s="8">
        <f>SQRT((S777+U777)^2+3*T777^2)</f>
        <v/>
      </c>
      <c r="W777" s="8">
        <f>V777/AA777</f>
        <v/>
      </c>
      <c r="X777" s="27">
        <f>((3*10+H777/COS(RADIANS(E777)))*(3+3)+3*G777*H777)*2</f>
        <v/>
      </c>
      <c r="Y777" s="28">
        <f>Z777/X777</f>
        <v/>
      </c>
      <c r="Z777" s="29" t="n">
        <v>590.306219363181</v>
      </c>
      <c r="AA777" s="20" t="n">
        <v>84.514656529677</v>
      </c>
      <c r="AB777" t="n">
        <v>0.08930149009912283</v>
      </c>
      <c r="AC777" t="n">
        <v>89.49464996939652</v>
      </c>
      <c r="AD777" t="n">
        <v>2.78529065540127</v>
      </c>
    </row>
    <row r="778">
      <c r="A778" t="n">
        <v>777</v>
      </c>
      <c r="B778" t="n">
        <v>65.7</v>
      </c>
      <c r="C778" s="21">
        <f>B778-20</f>
        <v/>
      </c>
      <c r="D778" t="n">
        <v>122.3</v>
      </c>
      <c r="E778" s="22">
        <f>D778-90</f>
        <v/>
      </c>
      <c r="F778" s="23" t="n">
        <v>0.015764</v>
      </c>
      <c r="G778" s="22" t="n">
        <v>28.7</v>
      </c>
      <c r="H778" s="22" t="n">
        <v>2</v>
      </c>
      <c r="I778" s="24" t="n">
        <v>0.0718976408243179</v>
      </c>
      <c r="J778" s="6" t="n">
        <v>71000</v>
      </c>
      <c r="K778" s="25">
        <f>23*10^-6</f>
        <v/>
      </c>
      <c r="L778" s="8">
        <f>H778</f>
        <v/>
      </c>
      <c r="M778" s="26">
        <f>H778^2/6</f>
        <v/>
      </c>
      <c r="N778" s="26">
        <f>H778^3/12</f>
        <v/>
      </c>
      <c r="O778" s="27">
        <f>-J778*L778*K778*C778</f>
        <v/>
      </c>
      <c r="P778" s="28">
        <f>-(12*F778*J778*L778*N778+12*O778*N778*G778*COS(RADIANS(E778)))/(12*N778*G778*COS(RADIANS(E778))^2+L778*G778^3*SIN(RADIANS(E778))^2)</f>
        <v/>
      </c>
      <c r="Q778" s="28">
        <f>-(6*F778*J778*L778*N778*SIN(RADIANS(E778))+6*O778*N778*G778*SIN(RADIANS(E778))*COS(RADIANS(E778)))/(12*N778*COS(RADIANS(E778))^2+L778*G778^2*SIN(RADIANS(E778))^2)</f>
        <v/>
      </c>
      <c r="R778" s="28">
        <f>-P778*SIN(RADIANS(E778))</f>
        <v/>
      </c>
      <c r="S778" s="8">
        <f>(O778+P778*COS(RADIANS(E778)))/L778</f>
        <v/>
      </c>
      <c r="T778" s="8">
        <f>R778/L778</f>
        <v/>
      </c>
      <c r="U778" s="8">
        <f>(Q778-P778*G778*SIN(RADIANS(E778)))/M778</f>
        <v/>
      </c>
      <c r="V778" s="8">
        <f>SQRT((S778+U778)^2+3*T778^2)</f>
        <v/>
      </c>
      <c r="W778" s="8">
        <f>V778/AA778</f>
        <v/>
      </c>
      <c r="X778" s="27">
        <f>((3*10+H778/COS(RADIANS(E778)))*(3+3)+3*G778*H778)*2</f>
        <v/>
      </c>
      <c r="Y778" s="28">
        <f>Z778/X778</f>
        <v/>
      </c>
      <c r="Z778" s="29" t="n">
        <v>740.620766948731</v>
      </c>
      <c r="AA778" s="20" t="n">
        <v>74.7694540044163</v>
      </c>
      <c r="AB778" t="n">
        <v>0.08029439595923407</v>
      </c>
      <c r="AC778" t="n">
        <v>68.75607316602814</v>
      </c>
      <c r="AD778" t="n">
        <v>11.6787630840818</v>
      </c>
    </row>
    <row r="779">
      <c r="A779" t="n">
        <v>778</v>
      </c>
      <c r="B779" t="n">
        <v>47</v>
      </c>
      <c r="C779" s="21">
        <f>B779-20</f>
        <v/>
      </c>
      <c r="D779" t="n">
        <v>123.9</v>
      </c>
      <c r="E779" s="22">
        <f>D779-90</f>
        <v/>
      </c>
      <c r="F779" s="23" t="n">
        <v>0.008540000000000001</v>
      </c>
      <c r="G779" s="22" t="n">
        <v>26.2</v>
      </c>
      <c r="H779" s="22" t="n">
        <v>1.9</v>
      </c>
      <c r="I779" s="24" t="n">
        <v>0.0388482436537742</v>
      </c>
      <c r="J779" s="6" t="n">
        <v>71000</v>
      </c>
      <c r="K779" s="25">
        <f>23*10^-6</f>
        <v/>
      </c>
      <c r="L779" s="8">
        <f>H779</f>
        <v/>
      </c>
      <c r="M779" s="26">
        <f>H779^2/6</f>
        <v/>
      </c>
      <c r="N779" s="26">
        <f>H779^3/12</f>
        <v/>
      </c>
      <c r="O779" s="27">
        <f>-J779*L779*K779*C779</f>
        <v/>
      </c>
      <c r="P779" s="28">
        <f>-(12*F779*J779*L779*N779+12*O779*N779*G779*COS(RADIANS(E779)))/(12*N779*G779*COS(RADIANS(E779))^2+L779*G779^3*SIN(RADIANS(E779))^2)</f>
        <v/>
      </c>
      <c r="Q779" s="28">
        <f>-(6*F779*J779*L779*N779*SIN(RADIANS(E779))+6*O779*N779*G779*SIN(RADIANS(E779))*COS(RADIANS(E779)))/(12*N779*COS(RADIANS(E779))^2+L779*G779^2*SIN(RADIANS(E779))^2)</f>
        <v/>
      </c>
      <c r="R779" s="28">
        <f>-P779*SIN(RADIANS(E779))</f>
        <v/>
      </c>
      <c r="S779" s="8">
        <f>(O779+P779*COS(RADIANS(E779)))/L779</f>
        <v/>
      </c>
      <c r="T779" s="8">
        <f>R779/L779</f>
        <v/>
      </c>
      <c r="U779" s="8">
        <f>(Q779-P779*G779*SIN(RADIANS(E779)))/M779</f>
        <v/>
      </c>
      <c r="V779" s="8">
        <f>SQRT((S779+U779)^2+3*T779^2)</f>
        <v/>
      </c>
      <c r="W779" s="8">
        <f>V779/AA779</f>
        <v/>
      </c>
      <c r="X779" s="27">
        <f>((3*10+H779/COS(RADIANS(E779)))*(3+3)+3*G779*H779)*2</f>
        <v/>
      </c>
      <c r="Y779" s="28">
        <f>Z779/X779</f>
        <v/>
      </c>
      <c r="Z779" s="29" t="n">
        <v>694.498336986231</v>
      </c>
      <c r="AA779" s="20" t="n">
        <v>43.7945951273282</v>
      </c>
      <c r="AB779" t="n">
        <v>0.04133249863832701</v>
      </c>
      <c r="AC779" t="n">
        <v>40.37737057070225</v>
      </c>
      <c r="AD779" t="n">
        <v>6.394767821920468</v>
      </c>
    </row>
    <row r="780">
      <c r="A780" t="n">
        <v>779</v>
      </c>
      <c r="B780" t="n">
        <v>63</v>
      </c>
      <c r="C780" s="21">
        <f>B780-20</f>
        <v/>
      </c>
      <c r="D780" t="n">
        <v>114.7</v>
      </c>
      <c r="E780" s="22">
        <f>D780-90</f>
        <v/>
      </c>
      <c r="F780" s="23" t="n">
        <v>0.012873</v>
      </c>
      <c r="G780" s="22" t="n">
        <v>22.3</v>
      </c>
      <c r="H780" s="22" t="n">
        <v>1.1</v>
      </c>
      <c r="I780" s="24" t="n">
        <v>0.0689574405550956</v>
      </c>
      <c r="J780" s="6" t="n">
        <v>71000</v>
      </c>
      <c r="K780" s="25">
        <f>23*10^-6</f>
        <v/>
      </c>
      <c r="L780" s="8">
        <f>H780</f>
        <v/>
      </c>
      <c r="M780" s="26">
        <f>H780^2/6</f>
        <v/>
      </c>
      <c r="N780" s="26">
        <f>H780^3/12</f>
        <v/>
      </c>
      <c r="O780" s="27">
        <f>-J780*L780*K780*C780</f>
        <v/>
      </c>
      <c r="P780" s="28">
        <f>-(12*F780*J780*L780*N780+12*O780*N780*G780*COS(RADIANS(E780)))/(12*N780*G780*COS(RADIANS(E780))^2+L780*G780^3*SIN(RADIANS(E780))^2)</f>
        <v/>
      </c>
      <c r="Q780" s="28">
        <f>-(6*F780*J780*L780*N780*SIN(RADIANS(E780))+6*O780*N780*G780*SIN(RADIANS(E780))*COS(RADIANS(E780)))/(12*N780*COS(RADIANS(E780))^2+L780*G780^2*SIN(RADIANS(E780))^2)</f>
        <v/>
      </c>
      <c r="R780" s="28">
        <f>-P780*SIN(RADIANS(E780))</f>
        <v/>
      </c>
      <c r="S780" s="8">
        <f>(O780+P780*COS(RADIANS(E780)))/L780</f>
        <v/>
      </c>
      <c r="T780" s="8">
        <f>R780/L780</f>
        <v/>
      </c>
      <c r="U780" s="8">
        <f>(Q780-P780*G780*SIN(RADIANS(E780)))/M780</f>
        <v/>
      </c>
      <c r="V780" s="8">
        <f>SQRT((S780+U780)^2+3*T780^2)</f>
        <v/>
      </c>
      <c r="W780" s="8">
        <f>V780/AA780</f>
        <v/>
      </c>
      <c r="X780" s="27">
        <f>((3*10+H780/COS(RADIANS(E780)))*(3+3)+3*G780*H780)*2</f>
        <v/>
      </c>
      <c r="Y780" s="28">
        <f>Z780/X780</f>
        <v/>
      </c>
      <c r="Z780" s="29" t="n">
        <v>527.559876123089</v>
      </c>
      <c r="AA780" s="20" t="n">
        <v>61.4992533425123</v>
      </c>
      <c r="AB780" t="n">
        <v>0.07978039485077246</v>
      </c>
      <c r="AC780" t="n">
        <v>64.08811594649811</v>
      </c>
      <c r="AD780" t="n">
        <v>15.69512181507017</v>
      </c>
    </row>
    <row r="781">
      <c r="A781" t="n">
        <v>780</v>
      </c>
      <c r="B781" t="n">
        <v>72</v>
      </c>
      <c r="C781" s="21">
        <f>B781-20</f>
        <v/>
      </c>
      <c r="D781" t="n">
        <v>119.4</v>
      </c>
      <c r="E781" s="22">
        <f>D781-90</f>
        <v/>
      </c>
      <c r="F781" s="23" t="n">
        <v>0.014351</v>
      </c>
      <c r="G781" s="22" t="n">
        <v>20.9</v>
      </c>
      <c r="H781" s="22" t="n">
        <v>1.2</v>
      </c>
      <c r="I781" s="24" t="n">
        <v>0.07128261029720299</v>
      </c>
      <c r="J781" s="6" t="n">
        <v>71000</v>
      </c>
      <c r="K781" s="25">
        <f>23*10^-6</f>
        <v/>
      </c>
      <c r="L781" s="8">
        <f>H781</f>
        <v/>
      </c>
      <c r="M781" s="26">
        <f>H781^2/6</f>
        <v/>
      </c>
      <c r="N781" s="26">
        <f>H781^3/12</f>
        <v/>
      </c>
      <c r="O781" s="27">
        <f>-J781*L781*K781*C781</f>
        <v/>
      </c>
      <c r="P781" s="28">
        <f>-(12*F781*J781*L781*N781+12*O781*N781*G781*COS(RADIANS(E781)))/(12*N781*G781*COS(RADIANS(E781))^2+L781*G781^3*SIN(RADIANS(E781))^2)</f>
        <v/>
      </c>
      <c r="Q781" s="28">
        <f>-(6*F781*J781*L781*N781*SIN(RADIANS(E781))+6*O781*N781*G781*SIN(RADIANS(E781))*COS(RADIANS(E781)))/(12*N781*COS(RADIANS(E781))^2+L781*G781^2*SIN(RADIANS(E781))^2)</f>
        <v/>
      </c>
      <c r="R781" s="28">
        <f>-P781*SIN(RADIANS(E781))</f>
        <v/>
      </c>
      <c r="S781" s="8">
        <f>(O781+P781*COS(RADIANS(E781)))/L781</f>
        <v/>
      </c>
      <c r="T781" s="8">
        <f>R781/L781</f>
        <v/>
      </c>
      <c r="U781" s="8">
        <f>(Q781-P781*G781*SIN(RADIANS(E781)))/M781</f>
        <v/>
      </c>
      <c r="V781" s="8">
        <f>SQRT((S781+U781)^2+3*T781^2)</f>
        <v/>
      </c>
      <c r="W781" s="8">
        <f>V781/AA781</f>
        <v/>
      </c>
      <c r="X781" s="27">
        <f>((3*10+H781/COS(RADIANS(E781)))*(3+3)+3*G781*H781)*2</f>
        <v/>
      </c>
      <c r="Y781" s="28">
        <f>Z781/X781</f>
        <v/>
      </c>
      <c r="Z781" s="29" t="n">
        <v>533.9900656288</v>
      </c>
      <c r="AA781" s="20" t="n">
        <v>75.82133043681699</v>
      </c>
      <c r="AB781" t="n">
        <v>0.0755194871933316</v>
      </c>
      <c r="AC781" t="n">
        <v>76.80395563718018</v>
      </c>
      <c r="AD781" t="n">
        <v>5.94377349323142</v>
      </c>
    </row>
    <row r="782">
      <c r="A782" t="n">
        <v>781</v>
      </c>
      <c r="B782" t="n">
        <v>54.4</v>
      </c>
      <c r="C782" s="21">
        <f>B782-20</f>
        <v/>
      </c>
      <c r="D782" t="n">
        <v>117.5</v>
      </c>
      <c r="E782" s="22">
        <f>D782-90</f>
        <v/>
      </c>
      <c r="F782" s="23" t="n">
        <v>0.012928</v>
      </c>
      <c r="G782" s="22" t="n">
        <v>30.4</v>
      </c>
      <c r="H782" s="22" t="n">
        <v>1.5</v>
      </c>
      <c r="I782" s="24" t="n">
        <v>0.0625666826963424</v>
      </c>
      <c r="J782" s="6" t="n">
        <v>71000</v>
      </c>
      <c r="K782" s="25">
        <f>23*10^-6</f>
        <v/>
      </c>
      <c r="L782" s="8">
        <f>H782</f>
        <v/>
      </c>
      <c r="M782" s="26">
        <f>H782^2/6</f>
        <v/>
      </c>
      <c r="N782" s="26">
        <f>H782^3/12</f>
        <v/>
      </c>
      <c r="O782" s="27">
        <f>-J782*L782*K782*C782</f>
        <v/>
      </c>
      <c r="P782" s="28">
        <f>-(12*F782*J782*L782*N782+12*O782*N782*G782*COS(RADIANS(E782)))/(12*N782*G782*COS(RADIANS(E782))^2+L782*G782^3*SIN(RADIANS(E782))^2)</f>
        <v/>
      </c>
      <c r="Q782" s="28">
        <f>-(6*F782*J782*L782*N782*SIN(RADIANS(E782))+6*O782*N782*G782*SIN(RADIANS(E782))*COS(RADIANS(E782)))/(12*N782*COS(RADIANS(E782))^2+L782*G782^2*SIN(RADIANS(E782))^2)</f>
        <v/>
      </c>
      <c r="R782" s="28">
        <f>-P782*SIN(RADIANS(E782))</f>
        <v/>
      </c>
      <c r="S782" s="8">
        <f>(O782+P782*COS(RADIANS(E782)))/L782</f>
        <v/>
      </c>
      <c r="T782" s="8">
        <f>R782/L782</f>
        <v/>
      </c>
      <c r="U782" s="8">
        <f>(Q782-P782*G782*SIN(RADIANS(E782)))/M782</f>
        <v/>
      </c>
      <c r="V782" s="8">
        <f>SQRT((S782+U782)^2+3*T782^2)</f>
        <v/>
      </c>
      <c r="W782" s="8">
        <f>V782/AA782</f>
        <v/>
      </c>
      <c r="X782" s="27">
        <f>((3*10+H782/COS(RADIANS(E782)))*(3+3)+3*G782*H782)*2</f>
        <v/>
      </c>
      <c r="Y782" s="28">
        <f>Z782/X782</f>
        <v/>
      </c>
      <c r="Z782" s="29" t="n">
        <v>660.383671154027</v>
      </c>
      <c r="AA782" s="20" t="n">
        <v>50.9947715601558</v>
      </c>
      <c r="AB782" t="n">
        <v>0.07617881598095491</v>
      </c>
      <c r="AC782" t="n">
        <v>51.17258753148756</v>
      </c>
      <c r="AD782" t="n">
        <v>21.75620106099738</v>
      </c>
    </row>
    <row r="783">
      <c r="A783" t="n">
        <v>782</v>
      </c>
      <c r="B783" t="n">
        <v>44.6</v>
      </c>
      <c r="C783" s="21">
        <f>B783-20</f>
        <v/>
      </c>
      <c r="D783" t="n">
        <v>100.4</v>
      </c>
      <c r="E783" s="22">
        <f>D783-90</f>
        <v/>
      </c>
      <c r="F783" s="23" t="n">
        <v>0.007668</v>
      </c>
      <c r="G783" s="22" t="n">
        <v>21.7</v>
      </c>
      <c r="H783" s="22" t="n">
        <v>1.1</v>
      </c>
      <c r="I783" s="24" t="n">
        <v>0.0731033980846405</v>
      </c>
      <c r="J783" s="6" t="n">
        <v>71000</v>
      </c>
      <c r="K783" s="25">
        <f>23*10^-6</f>
        <v/>
      </c>
      <c r="L783" s="8">
        <f>H783</f>
        <v/>
      </c>
      <c r="M783" s="26">
        <f>H783^2/6</f>
        <v/>
      </c>
      <c r="N783" s="26">
        <f>H783^3/12</f>
        <v/>
      </c>
      <c r="O783" s="27">
        <f>-J783*L783*K783*C783</f>
        <v/>
      </c>
      <c r="P783" s="28">
        <f>-(12*F783*J783*L783*N783+12*O783*N783*G783*COS(RADIANS(E783)))/(12*N783*G783*COS(RADIANS(E783))^2+L783*G783^3*SIN(RADIANS(E783))^2)</f>
        <v/>
      </c>
      <c r="Q783" s="28">
        <f>-(6*F783*J783*L783*N783*SIN(RADIANS(E783))+6*O783*N783*G783*SIN(RADIANS(E783))*COS(RADIANS(E783)))/(12*N783*COS(RADIANS(E783))^2+L783*G783^2*SIN(RADIANS(E783))^2)</f>
        <v/>
      </c>
      <c r="R783" s="28">
        <f>-P783*SIN(RADIANS(E783))</f>
        <v/>
      </c>
      <c r="S783" s="8">
        <f>(O783+P783*COS(RADIANS(E783)))/L783</f>
        <v/>
      </c>
      <c r="T783" s="8">
        <f>R783/L783</f>
        <v/>
      </c>
      <c r="U783" s="8">
        <f>(Q783-P783*G783*SIN(RADIANS(E783)))/M783</f>
        <v/>
      </c>
      <c r="V783" s="8">
        <f>SQRT((S783+U783)^2+3*T783^2)</f>
        <v/>
      </c>
      <c r="W783" s="8">
        <f>V783/AA783</f>
        <v/>
      </c>
      <c r="X783" s="27">
        <f>((3*10+H783/COS(RADIANS(E783)))*(3+3)+3*G783*H783)*2</f>
        <v/>
      </c>
      <c r="Y783" s="28">
        <f>Z783/X783</f>
        <v/>
      </c>
      <c r="Z783" s="29" t="n">
        <v>520.474978523834</v>
      </c>
      <c r="AA783" s="20" t="n">
        <v>38.661428080632</v>
      </c>
      <c r="AB783" t="n">
        <v>0.1019132953693416</v>
      </c>
      <c r="AC783" t="n">
        <v>41.47155793079213</v>
      </c>
      <c r="AD783" t="n">
        <v>39.40979221149809</v>
      </c>
    </row>
    <row r="784">
      <c r="A784" t="n">
        <v>783</v>
      </c>
      <c r="B784" t="n">
        <v>73.2</v>
      </c>
      <c r="C784" s="21">
        <f>B784-20</f>
        <v/>
      </c>
      <c r="D784" t="n">
        <v>108.4</v>
      </c>
      <c r="E784" s="22">
        <f>D784-90</f>
        <v/>
      </c>
      <c r="F784" s="23" t="n">
        <v>0.02004</v>
      </c>
      <c r="G784" s="22" t="n">
        <v>28.5</v>
      </c>
      <c r="H784" s="22" t="n">
        <v>1.8</v>
      </c>
      <c r="I784" s="24" t="n">
        <v>0.123141393065452</v>
      </c>
      <c r="J784" s="6" t="n">
        <v>71000</v>
      </c>
      <c r="K784" s="25">
        <f>23*10^-6</f>
        <v/>
      </c>
      <c r="L784" s="8">
        <f>H784</f>
        <v/>
      </c>
      <c r="M784" s="26">
        <f>H784^2/6</f>
        <v/>
      </c>
      <c r="N784" s="26">
        <f>H784^3/12</f>
        <v/>
      </c>
      <c r="O784" s="27">
        <f>-J784*L784*K784*C784</f>
        <v/>
      </c>
      <c r="P784" s="28">
        <f>-(12*F784*J784*L784*N784+12*O784*N784*G784*COS(RADIANS(E784)))/(12*N784*G784*COS(RADIANS(E784))^2+L784*G784^3*SIN(RADIANS(E784))^2)</f>
        <v/>
      </c>
      <c r="Q784" s="28">
        <f>-(6*F784*J784*L784*N784*SIN(RADIANS(E784))+6*O784*N784*G784*SIN(RADIANS(E784))*COS(RADIANS(E784)))/(12*N784*COS(RADIANS(E784))^2+L784*G784^2*SIN(RADIANS(E784))^2)</f>
        <v/>
      </c>
      <c r="R784" s="28">
        <f>-P784*SIN(RADIANS(E784))</f>
        <v/>
      </c>
      <c r="S784" s="8">
        <f>(O784+P784*COS(RADIANS(E784)))/L784</f>
        <v/>
      </c>
      <c r="T784" s="8">
        <f>R784/L784</f>
        <v/>
      </c>
      <c r="U784" s="8">
        <f>(Q784-P784*G784*SIN(RADIANS(E784)))/M784</f>
        <v/>
      </c>
      <c r="V784" s="8">
        <f>SQRT((S784+U784)^2+3*T784^2)</f>
        <v/>
      </c>
      <c r="W784" s="8">
        <f>V784/AA784</f>
        <v/>
      </c>
      <c r="X784" s="27">
        <f>((3*10+H784/COS(RADIANS(E784)))*(3+3)+3*G784*H784)*2</f>
        <v/>
      </c>
      <c r="Y784" s="28">
        <f>Z784/X784</f>
        <v/>
      </c>
      <c r="Z784" s="29" t="n">
        <v>695.29048764784</v>
      </c>
      <c r="AA784" s="20" t="n">
        <v>88.0338365954011</v>
      </c>
      <c r="AB784" t="n">
        <v>0.1645494265044646</v>
      </c>
      <c r="AC784" t="n">
        <v>85.96765633619165</v>
      </c>
      <c r="AD784" t="n">
        <v>33.62641302669317</v>
      </c>
    </row>
    <row r="785">
      <c r="A785" t="n">
        <v>784</v>
      </c>
      <c r="B785" t="n">
        <v>69.90000000000001</v>
      </c>
      <c r="C785" s="21">
        <f>B785-20</f>
        <v/>
      </c>
      <c r="D785" t="n">
        <v>123.9</v>
      </c>
      <c r="E785" s="22">
        <f>D785-90</f>
        <v/>
      </c>
      <c r="F785" s="23" t="n">
        <v>0.019892</v>
      </c>
      <c r="G785" s="22" t="n">
        <v>34.9</v>
      </c>
      <c r="H785" s="22" t="n">
        <v>1.7</v>
      </c>
      <c r="I785" s="24" t="n">
        <v>0.08679578453302381</v>
      </c>
      <c r="J785" s="6" t="n">
        <v>71000</v>
      </c>
      <c r="K785" s="25">
        <f>23*10^-6</f>
        <v/>
      </c>
      <c r="L785" s="8">
        <f>H785</f>
        <v/>
      </c>
      <c r="M785" s="26">
        <f>H785^2/6</f>
        <v/>
      </c>
      <c r="N785" s="26">
        <f>H785^3/12</f>
        <v/>
      </c>
      <c r="O785" s="27">
        <f>-J785*L785*K785*C785</f>
        <v/>
      </c>
      <c r="P785" s="28">
        <f>-(12*F785*J785*L785*N785+12*O785*N785*G785*COS(RADIANS(E785)))/(12*N785*G785*COS(RADIANS(E785))^2+L785*G785^3*SIN(RADIANS(E785))^2)</f>
        <v/>
      </c>
      <c r="Q785" s="28">
        <f>-(6*F785*J785*L785*N785*SIN(RADIANS(E785))+6*O785*N785*G785*SIN(RADIANS(E785))*COS(RADIANS(E785)))/(12*N785*COS(RADIANS(E785))^2+L785*G785^2*SIN(RADIANS(E785))^2)</f>
        <v/>
      </c>
      <c r="R785" s="28">
        <f>-P785*SIN(RADIANS(E785))</f>
        <v/>
      </c>
      <c r="S785" s="8">
        <f>(O785+P785*COS(RADIANS(E785)))/L785</f>
        <v/>
      </c>
      <c r="T785" s="8">
        <f>R785/L785</f>
        <v/>
      </c>
      <c r="U785" s="8">
        <f>(Q785-P785*G785*SIN(RADIANS(E785)))/M785</f>
        <v/>
      </c>
      <c r="V785" s="8">
        <f>SQRT((S785+U785)^2+3*T785^2)</f>
        <v/>
      </c>
      <c r="W785" s="8">
        <f>V785/AA785</f>
        <v/>
      </c>
      <c r="X785" s="27">
        <f>((3*10+H785/COS(RADIANS(E785)))*(3+3)+3*G785*H785)*2</f>
        <v/>
      </c>
      <c r="Y785" s="28">
        <f>Z785/X785</f>
        <v/>
      </c>
      <c r="Z785" s="29" t="n">
        <v>748.906813519535</v>
      </c>
      <c r="AA785" s="20" t="n">
        <v>74.9995517505547</v>
      </c>
      <c r="AB785" t="n">
        <v>0.1008172593344756</v>
      </c>
      <c r="AC785" t="n">
        <v>72.70513112757951</v>
      </c>
      <c r="AD785" t="n">
        <v>16.15455736345922</v>
      </c>
    </row>
    <row r="786">
      <c r="A786" t="n">
        <v>785</v>
      </c>
      <c r="B786" t="n">
        <v>43</v>
      </c>
      <c r="C786" s="21">
        <f>B786-20</f>
        <v/>
      </c>
      <c r="D786" t="n">
        <v>106.5</v>
      </c>
      <c r="E786" s="22">
        <f>D786-90</f>
        <v/>
      </c>
      <c r="F786" s="23" t="n">
        <v>0.009342</v>
      </c>
      <c r="G786" s="22" t="n">
        <v>30.9</v>
      </c>
      <c r="H786" s="22" t="n">
        <v>1.8</v>
      </c>
      <c r="I786" s="24" t="n">
        <v>0.0613120049238204</v>
      </c>
      <c r="J786" s="6" t="n">
        <v>71000</v>
      </c>
      <c r="K786" s="25">
        <f>23*10^-6</f>
        <v/>
      </c>
      <c r="L786" s="8">
        <f>H786</f>
        <v/>
      </c>
      <c r="M786" s="26">
        <f>H786^2/6</f>
        <v/>
      </c>
      <c r="N786" s="26">
        <f>H786^3/12</f>
        <v/>
      </c>
      <c r="O786" s="27">
        <f>-J786*L786*K786*C786</f>
        <v/>
      </c>
      <c r="P786" s="28">
        <f>-(12*F786*J786*L786*N786+12*O786*N786*G786*COS(RADIANS(E786)))/(12*N786*G786*COS(RADIANS(E786))^2+L786*G786^3*SIN(RADIANS(E786))^2)</f>
        <v/>
      </c>
      <c r="Q786" s="28">
        <f>-(6*F786*J786*L786*N786*SIN(RADIANS(E786))+6*O786*N786*G786*SIN(RADIANS(E786))*COS(RADIANS(E786)))/(12*N786*COS(RADIANS(E786))^2+L786*G786^2*SIN(RADIANS(E786))^2)</f>
        <v/>
      </c>
      <c r="R786" s="28">
        <f>-P786*SIN(RADIANS(E786))</f>
        <v/>
      </c>
      <c r="S786" s="8">
        <f>(O786+P786*COS(RADIANS(E786)))/L786</f>
        <v/>
      </c>
      <c r="T786" s="8">
        <f>R786/L786</f>
        <v/>
      </c>
      <c r="U786" s="8">
        <f>(Q786-P786*G786*SIN(RADIANS(E786)))/M786</f>
        <v/>
      </c>
      <c r="V786" s="8">
        <f>SQRT((S786+U786)^2+3*T786^2)</f>
        <v/>
      </c>
      <c r="W786" s="8">
        <f>V786/AA786</f>
        <v/>
      </c>
      <c r="X786" s="27">
        <f>((3*10+H786/COS(RADIANS(E786)))*(3+3)+3*G786*H786)*2</f>
        <v/>
      </c>
      <c r="Y786" s="28">
        <f>Z786/X786</f>
        <v/>
      </c>
      <c r="Z786" s="29" t="n">
        <v>720.71209980685</v>
      </c>
      <c r="AA786" s="20" t="n">
        <v>38.2739156432302</v>
      </c>
      <c r="AB786" t="n">
        <v>0.08566987965098082</v>
      </c>
      <c r="AC786" t="n">
        <v>37.51621606495291</v>
      </c>
      <c r="AD786" t="n">
        <v>39.72774134107154</v>
      </c>
    </row>
    <row r="787">
      <c r="A787" t="n">
        <v>786</v>
      </c>
      <c r="B787" t="n">
        <v>57.9</v>
      </c>
      <c r="C787" s="21">
        <f>B787-20</f>
        <v/>
      </c>
      <c r="D787" t="n">
        <v>101.1</v>
      </c>
      <c r="E787" s="22">
        <f>D787-90</f>
        <v/>
      </c>
      <c r="F787" s="23" t="n">
        <v>0.011835</v>
      </c>
      <c r="G787" s="22" t="n">
        <v>21.8</v>
      </c>
      <c r="H787" s="22" t="n">
        <v>1.9</v>
      </c>
      <c r="I787" s="24" t="n">
        <v>0.09798514842987061</v>
      </c>
      <c r="J787" s="6" t="n">
        <v>71000</v>
      </c>
      <c r="K787" s="25">
        <f>23*10^-6</f>
        <v/>
      </c>
      <c r="L787" s="8">
        <f>H787</f>
        <v/>
      </c>
      <c r="M787" s="26">
        <f>H787^2/6</f>
        <v/>
      </c>
      <c r="N787" s="26">
        <f>H787^3/12</f>
        <v/>
      </c>
      <c r="O787" s="27">
        <f>-J787*L787*K787*C787</f>
        <v/>
      </c>
      <c r="P787" s="28">
        <f>-(12*F787*J787*L787*N787+12*O787*N787*G787*COS(RADIANS(E787)))/(12*N787*G787*COS(RADIANS(E787))^2+L787*G787^3*SIN(RADIANS(E787))^2)</f>
        <v/>
      </c>
      <c r="Q787" s="28">
        <f>-(6*F787*J787*L787*N787*SIN(RADIANS(E787))+6*O787*N787*G787*SIN(RADIANS(E787))*COS(RADIANS(E787)))/(12*N787*COS(RADIANS(E787))^2+L787*G787^2*SIN(RADIANS(E787))^2)</f>
        <v/>
      </c>
      <c r="R787" s="28">
        <f>-P787*SIN(RADIANS(E787))</f>
        <v/>
      </c>
      <c r="S787" s="8">
        <f>(O787+P787*COS(RADIANS(E787)))/L787</f>
        <v/>
      </c>
      <c r="T787" s="8">
        <f>R787/L787</f>
        <v/>
      </c>
      <c r="U787" s="8">
        <f>(Q787-P787*G787*SIN(RADIANS(E787)))/M787</f>
        <v/>
      </c>
      <c r="V787" s="8">
        <f>SQRT((S787+U787)^2+3*T787^2)</f>
        <v/>
      </c>
      <c r="W787" s="8">
        <f>V787/AA787</f>
        <v/>
      </c>
      <c r="X787" s="27">
        <f>((3*10+H787/COS(RADIANS(E787)))*(3+3)+3*G787*H787)*2</f>
        <v/>
      </c>
      <c r="Y787" s="28">
        <f>Z787/X787</f>
        <v/>
      </c>
      <c r="Z787" s="29" t="n">
        <v>635.645823281802</v>
      </c>
      <c r="AA787" s="20" t="n">
        <v>93.1627539931019</v>
      </c>
      <c r="AB787" t="n">
        <v>0.1324357275038601</v>
      </c>
      <c r="AC787" t="n">
        <v>68.54633218921366</v>
      </c>
      <c r="AD787" t="n">
        <v>35.15898034144052</v>
      </c>
    </row>
    <row r="788">
      <c r="A788" t="n">
        <v>787</v>
      </c>
      <c r="B788" t="n">
        <v>62.1</v>
      </c>
      <c r="C788" s="21">
        <f>B788-20</f>
        <v/>
      </c>
      <c r="D788" t="n">
        <v>109.5</v>
      </c>
      <c r="E788" s="22">
        <f>D788-90</f>
        <v/>
      </c>
      <c r="F788" s="23" t="n">
        <v>0.012199</v>
      </c>
      <c r="G788" s="22" t="n">
        <v>20.6</v>
      </c>
      <c r="H788" s="22" t="n">
        <v>1.7</v>
      </c>
      <c r="I788" s="24" t="n">
        <v>0.074656069278717</v>
      </c>
      <c r="J788" s="6" t="n">
        <v>71000</v>
      </c>
      <c r="K788" s="25">
        <f>23*10^-6</f>
        <v/>
      </c>
      <c r="L788" s="8">
        <f>H788</f>
        <v/>
      </c>
      <c r="M788" s="26">
        <f>H788^2/6</f>
        <v/>
      </c>
      <c r="N788" s="26">
        <f>H788^3/12</f>
        <v/>
      </c>
      <c r="O788" s="27">
        <f>-J788*L788*K788*C788</f>
        <v/>
      </c>
      <c r="P788" s="28">
        <f>-(12*F788*J788*L788*N788+12*O788*N788*G788*COS(RADIANS(E788)))/(12*N788*G788*COS(RADIANS(E788))^2+L788*G788^3*SIN(RADIANS(E788))^2)</f>
        <v/>
      </c>
      <c r="Q788" s="28">
        <f>-(6*F788*J788*L788*N788*SIN(RADIANS(E788))+6*O788*N788*G788*SIN(RADIANS(E788))*COS(RADIANS(E788)))/(12*N788*COS(RADIANS(E788))^2+L788*G788^2*SIN(RADIANS(E788))^2)</f>
        <v/>
      </c>
      <c r="R788" s="28">
        <f>-P788*SIN(RADIANS(E788))</f>
        <v/>
      </c>
      <c r="S788" s="8">
        <f>(O788+P788*COS(RADIANS(E788)))/L788</f>
        <v/>
      </c>
      <c r="T788" s="8">
        <f>R788/L788</f>
        <v/>
      </c>
      <c r="U788" s="8">
        <f>(Q788-P788*G788*SIN(RADIANS(E788)))/M788</f>
        <v/>
      </c>
      <c r="V788" s="8">
        <f>SQRT((S788+U788)^2+3*T788^2)</f>
        <v/>
      </c>
      <c r="W788" s="8">
        <f>V788/AA788</f>
        <v/>
      </c>
      <c r="X788" s="27">
        <f>((3*10+H788/COS(RADIANS(E788)))*(3+3)+3*G788*H788)*2</f>
        <v/>
      </c>
      <c r="Y788" s="28">
        <f>Z788/X788</f>
        <v/>
      </c>
      <c r="Z788" s="29" t="n">
        <v>596.655311647214</v>
      </c>
      <c r="AA788" s="20" t="n">
        <v>71.6989596870734</v>
      </c>
      <c r="AB788" t="n">
        <v>0.08913070516613357</v>
      </c>
      <c r="AC788" t="n">
        <v>68.6938245076164</v>
      </c>
      <c r="AD788" t="n">
        <v>19.38842484912745</v>
      </c>
    </row>
    <row r="789">
      <c r="A789" t="n">
        <v>788</v>
      </c>
      <c r="B789" t="n">
        <v>84.59999999999999</v>
      </c>
      <c r="C789" s="21">
        <f>B789-20</f>
        <v/>
      </c>
      <c r="D789" t="n">
        <v>123.5</v>
      </c>
      <c r="E789" s="22">
        <f>D789-90</f>
        <v/>
      </c>
      <c r="F789" s="23" t="n">
        <v>0.022719</v>
      </c>
      <c r="G789" s="22" t="n">
        <v>29.8</v>
      </c>
      <c r="H789" s="22" t="n">
        <v>1.7</v>
      </c>
      <c r="I789" s="24" t="n">
        <v>0.101739227771759</v>
      </c>
      <c r="J789" s="6" t="n">
        <v>71000</v>
      </c>
      <c r="K789" s="25">
        <f>23*10^-6</f>
        <v/>
      </c>
      <c r="L789" s="8">
        <f>H789</f>
        <v/>
      </c>
      <c r="M789" s="26">
        <f>H789^2/6</f>
        <v/>
      </c>
      <c r="N789" s="26">
        <f>H789^3/12</f>
        <v/>
      </c>
      <c r="O789" s="27">
        <f>-J789*L789*K789*C789</f>
        <v/>
      </c>
      <c r="P789" s="28">
        <f>-(12*F789*J789*L789*N789+12*O789*N789*G789*COS(RADIANS(E789)))/(12*N789*G789*COS(RADIANS(E789))^2+L789*G789^3*SIN(RADIANS(E789))^2)</f>
        <v/>
      </c>
      <c r="Q789" s="28">
        <f>-(6*F789*J789*L789*N789*SIN(RADIANS(E789))+6*O789*N789*G789*SIN(RADIANS(E789))*COS(RADIANS(E789)))/(12*N789*COS(RADIANS(E789))^2+L789*G789^2*SIN(RADIANS(E789))^2)</f>
        <v/>
      </c>
      <c r="R789" s="28">
        <f>-P789*SIN(RADIANS(E789))</f>
        <v/>
      </c>
      <c r="S789" s="8">
        <f>(O789+P789*COS(RADIANS(E789)))/L789</f>
        <v/>
      </c>
      <c r="T789" s="8">
        <f>R789/L789</f>
        <v/>
      </c>
      <c r="U789" s="8">
        <f>(Q789-P789*G789*SIN(RADIANS(E789)))/M789</f>
        <v/>
      </c>
      <c r="V789" s="8">
        <f>SQRT((S789+U789)^2+3*T789^2)</f>
        <v/>
      </c>
      <c r="W789" s="8">
        <f>V789/AA789</f>
        <v/>
      </c>
      <c r="X789" s="27">
        <f>((3*10+H789/COS(RADIANS(E789)))*(3+3)+3*G789*H789)*2</f>
        <v/>
      </c>
      <c r="Y789" s="28">
        <f>Z789/X789</f>
        <v/>
      </c>
      <c r="Z789" s="29" t="n">
        <v>696.638328869718</v>
      </c>
      <c r="AA789" s="20" t="n">
        <v>99.10000840367761</v>
      </c>
      <c r="AB789" t="n">
        <v>0.1135900215957747</v>
      </c>
      <c r="AC789" t="n">
        <v>95.08625049705456</v>
      </c>
      <c r="AD789" t="n">
        <v>11.64820500761191</v>
      </c>
    </row>
    <row r="790">
      <c r="A790" t="n">
        <v>789</v>
      </c>
      <c r="B790" t="n">
        <v>77.09999999999999</v>
      </c>
      <c r="C790" s="21">
        <f>B790-20</f>
        <v/>
      </c>
      <c r="D790" t="n">
        <v>103.8</v>
      </c>
      <c r="E790" s="22">
        <f>D790-90</f>
        <v/>
      </c>
      <c r="F790" s="23" t="n">
        <v>0.018003</v>
      </c>
      <c r="G790" s="22" t="n">
        <v>22.3</v>
      </c>
      <c r="H790" s="22" t="n">
        <v>1.2</v>
      </c>
      <c r="I790" s="24" t="n">
        <v>0.139678597450256</v>
      </c>
      <c r="J790" s="6" t="n">
        <v>71000</v>
      </c>
      <c r="K790" s="25">
        <f>23*10^-6</f>
        <v/>
      </c>
      <c r="L790" s="8">
        <f>H790</f>
        <v/>
      </c>
      <c r="M790" s="26">
        <f>H790^2/6</f>
        <v/>
      </c>
      <c r="N790" s="26">
        <f>H790^3/12</f>
        <v/>
      </c>
      <c r="O790" s="27">
        <f>-J790*L790*K790*C790</f>
        <v/>
      </c>
      <c r="P790" s="28">
        <f>-(12*F790*J790*L790*N790+12*O790*N790*G790*COS(RADIANS(E790)))/(12*N790*G790*COS(RADIANS(E790))^2+L790*G790^3*SIN(RADIANS(E790))^2)</f>
        <v/>
      </c>
      <c r="Q790" s="28">
        <f>-(6*F790*J790*L790*N790*SIN(RADIANS(E790))+6*O790*N790*G790*SIN(RADIANS(E790))*COS(RADIANS(E790)))/(12*N790*COS(RADIANS(E790))^2+L790*G790^2*SIN(RADIANS(E790))^2)</f>
        <v/>
      </c>
      <c r="R790" s="28">
        <f>-P790*SIN(RADIANS(E790))</f>
        <v/>
      </c>
      <c r="S790" s="8">
        <f>(O790+P790*COS(RADIANS(E790)))/L790</f>
        <v/>
      </c>
      <c r="T790" s="8">
        <f>R790/L790</f>
        <v/>
      </c>
      <c r="U790" s="8">
        <f>(Q790-P790*G790*SIN(RADIANS(E790)))/M790</f>
        <v/>
      </c>
      <c r="V790" s="8">
        <f>SQRT((S790+U790)^2+3*T790^2)</f>
        <v/>
      </c>
      <c r="W790" s="8">
        <f>V790/AA790</f>
        <v/>
      </c>
      <c r="X790" s="27">
        <f>((3*10+H790/COS(RADIANS(E790)))*(3+3)+3*G790*H790)*2</f>
        <v/>
      </c>
      <c r="Y790" s="28">
        <f>Z790/X790</f>
        <v/>
      </c>
      <c r="Z790" s="29" t="n">
        <v>539.535020102044</v>
      </c>
      <c r="AA790" s="20" t="n">
        <v>87.14405077809781</v>
      </c>
      <c r="AB790" t="n">
        <v>0.1868888043877798</v>
      </c>
      <c r="AC790" t="n">
        <v>93.05748714912558</v>
      </c>
      <c r="AD790" t="n">
        <v>33.79917023747097</v>
      </c>
    </row>
    <row r="791">
      <c r="A791" t="n">
        <v>790</v>
      </c>
      <c r="B791" t="n">
        <v>60.8</v>
      </c>
      <c r="C791" s="21">
        <f>B791-20</f>
        <v/>
      </c>
      <c r="D791" t="n">
        <v>119.4</v>
      </c>
      <c r="E791" s="22">
        <f>D791-90</f>
        <v/>
      </c>
      <c r="F791" s="23" t="n">
        <v>0.011584</v>
      </c>
      <c r="G791" s="22" t="n">
        <v>21.7</v>
      </c>
      <c r="H791" s="22" t="n">
        <v>1.7</v>
      </c>
      <c r="I791" s="24" t="n">
        <v>0.0571181885898113</v>
      </c>
      <c r="J791" s="6" t="n">
        <v>71000</v>
      </c>
      <c r="K791" s="25">
        <f>23*10^-6</f>
        <v/>
      </c>
      <c r="L791" s="8">
        <f>H791</f>
        <v/>
      </c>
      <c r="M791" s="26">
        <f>H791^2/6</f>
        <v/>
      </c>
      <c r="N791" s="26">
        <f>H791^3/12</f>
        <v/>
      </c>
      <c r="O791" s="27">
        <f>-J791*L791*K791*C791</f>
        <v/>
      </c>
      <c r="P791" s="28">
        <f>-(12*F791*J791*L791*N791+12*O791*N791*G791*COS(RADIANS(E791)))/(12*N791*G791*COS(RADIANS(E791))^2+L791*G791^3*SIN(RADIANS(E791))^2)</f>
        <v/>
      </c>
      <c r="Q791" s="28">
        <f>-(6*F791*J791*L791*N791*SIN(RADIANS(E791))+6*O791*N791*G791*SIN(RADIANS(E791))*COS(RADIANS(E791)))/(12*N791*COS(RADIANS(E791))^2+L791*G791^2*SIN(RADIANS(E791))^2)</f>
        <v/>
      </c>
      <c r="R791" s="28">
        <f>-P791*SIN(RADIANS(E791))</f>
        <v/>
      </c>
      <c r="S791" s="8">
        <f>(O791+P791*COS(RADIANS(E791)))/L791</f>
        <v/>
      </c>
      <c r="T791" s="8">
        <f>R791/L791</f>
        <v/>
      </c>
      <c r="U791" s="8">
        <f>(Q791-P791*G791*SIN(RADIANS(E791)))/M791</f>
        <v/>
      </c>
      <c r="V791" s="8">
        <f>SQRT((S791+U791)^2+3*T791^2)</f>
        <v/>
      </c>
      <c r="W791" s="8">
        <f>V791/AA791</f>
        <v/>
      </c>
      <c r="X791" s="27">
        <f>((3*10+H791/COS(RADIANS(E791)))*(3+3)+3*G791*H791)*2</f>
        <v/>
      </c>
      <c r="Y791" s="28">
        <f>Z791/X791</f>
        <v/>
      </c>
      <c r="Z791" s="29" t="n">
        <v>611.737008791794</v>
      </c>
      <c r="AA791" s="20" t="n">
        <v>66.0400474152038</v>
      </c>
      <c r="AB791" t="n">
        <v>0.06073917464880901</v>
      </c>
      <c r="AC791" t="n">
        <v>62.22150753871829</v>
      </c>
      <c r="AD791" t="n">
        <v>6.339462347101857</v>
      </c>
    </row>
    <row r="792">
      <c r="A792" t="n">
        <v>791</v>
      </c>
      <c r="B792" t="n">
        <v>83.2</v>
      </c>
      <c r="C792" s="21">
        <f>B792-20</f>
        <v/>
      </c>
      <c r="D792" t="n">
        <v>125.8</v>
      </c>
      <c r="E792" s="22">
        <f>D792-90</f>
        <v/>
      </c>
      <c r="F792" s="23" t="n">
        <v>0.018114</v>
      </c>
      <c r="G792" s="22" t="n">
        <v>23.6</v>
      </c>
      <c r="H792" s="22" t="n">
        <v>1.6</v>
      </c>
      <c r="I792" s="24" t="n">
        <v>0.0823714062571525</v>
      </c>
      <c r="J792" s="6" t="n">
        <v>71000</v>
      </c>
      <c r="K792" s="25">
        <f>23*10^-6</f>
        <v/>
      </c>
      <c r="L792" s="8">
        <f>H792</f>
        <v/>
      </c>
      <c r="M792" s="26">
        <f>H792^2/6</f>
        <v/>
      </c>
      <c r="N792" s="26">
        <f>H792^3/12</f>
        <v/>
      </c>
      <c r="O792" s="27">
        <f>-J792*L792*K792*C792</f>
        <v/>
      </c>
      <c r="P792" s="28">
        <f>-(12*F792*J792*L792*N792+12*O792*N792*G792*COS(RADIANS(E792)))/(12*N792*G792*COS(RADIANS(E792))^2+L792*G792^3*SIN(RADIANS(E792))^2)</f>
        <v/>
      </c>
      <c r="Q792" s="28">
        <f>-(6*F792*J792*L792*N792*SIN(RADIANS(E792))+6*O792*N792*G792*SIN(RADIANS(E792))*COS(RADIANS(E792)))/(12*N792*COS(RADIANS(E792))^2+L792*G792^2*SIN(RADIANS(E792))^2)</f>
        <v/>
      </c>
      <c r="R792" s="28">
        <f>-P792*SIN(RADIANS(E792))</f>
        <v/>
      </c>
      <c r="S792" s="8">
        <f>(O792+P792*COS(RADIANS(E792)))/L792</f>
        <v/>
      </c>
      <c r="T792" s="8">
        <f>R792/L792</f>
        <v/>
      </c>
      <c r="U792" s="8">
        <f>(Q792-P792*G792*SIN(RADIANS(E792)))/M792</f>
        <v/>
      </c>
      <c r="V792" s="8">
        <f>SQRT((S792+U792)^2+3*T792^2)</f>
        <v/>
      </c>
      <c r="W792" s="8">
        <f>V792/AA792</f>
        <v/>
      </c>
      <c r="X792" s="27">
        <f>((3*10+H792/COS(RADIANS(E792)))*(3+3)+3*G792*H792)*2</f>
        <v/>
      </c>
      <c r="Y792" s="28">
        <f>Z792/X792</f>
        <v/>
      </c>
      <c r="Z792" s="29" t="n">
        <v>619.2570088985281</v>
      </c>
      <c r="AA792" s="20" t="n">
        <v>97.46640556339609</v>
      </c>
      <c r="AB792" t="n">
        <v>0.08291232646936911</v>
      </c>
      <c r="AC792" t="n">
        <v>92.90711319953733</v>
      </c>
      <c r="AD792" t="n">
        <v>0.6566844452405307</v>
      </c>
    </row>
    <row r="793">
      <c r="A793" t="n">
        <v>792</v>
      </c>
      <c r="B793" t="n">
        <v>65</v>
      </c>
      <c r="C793" s="21">
        <f>B793-20</f>
        <v/>
      </c>
      <c r="D793" t="n">
        <v>118.1</v>
      </c>
      <c r="E793" s="22">
        <f>D793-90</f>
        <v/>
      </c>
      <c r="F793" s="23" t="n">
        <v>0.013034</v>
      </c>
      <c r="G793" s="22" t="n">
        <v>22</v>
      </c>
      <c r="H793" s="22" t="n">
        <v>1.7</v>
      </c>
      <c r="I793" s="24" t="n">
        <v>0.06539821624755859</v>
      </c>
      <c r="J793" s="6" t="n">
        <v>71000</v>
      </c>
      <c r="K793" s="25">
        <f>23*10^-6</f>
        <v/>
      </c>
      <c r="L793" s="8">
        <f>H793</f>
        <v/>
      </c>
      <c r="M793" s="26">
        <f>H793^2/6</f>
        <v/>
      </c>
      <c r="N793" s="26">
        <f>H793^3/12</f>
        <v/>
      </c>
      <c r="O793" s="27">
        <f>-J793*L793*K793*C793</f>
        <v/>
      </c>
      <c r="P793" s="28">
        <f>-(12*F793*J793*L793*N793+12*O793*N793*G793*COS(RADIANS(E793)))/(12*N793*G793*COS(RADIANS(E793))^2+L793*G793^3*SIN(RADIANS(E793))^2)</f>
        <v/>
      </c>
      <c r="Q793" s="28">
        <f>-(6*F793*J793*L793*N793*SIN(RADIANS(E793))+6*O793*N793*G793*SIN(RADIANS(E793))*COS(RADIANS(E793)))/(12*N793*COS(RADIANS(E793))^2+L793*G793^2*SIN(RADIANS(E793))^2)</f>
        <v/>
      </c>
      <c r="R793" s="28">
        <f>-P793*SIN(RADIANS(E793))</f>
        <v/>
      </c>
      <c r="S793" s="8">
        <f>(O793+P793*COS(RADIANS(E793)))/L793</f>
        <v/>
      </c>
      <c r="T793" s="8">
        <f>R793/L793</f>
        <v/>
      </c>
      <c r="U793" s="8">
        <f>(Q793-P793*G793*SIN(RADIANS(E793)))/M793</f>
        <v/>
      </c>
      <c r="V793" s="8">
        <f>SQRT((S793+U793)^2+3*T793^2)</f>
        <v/>
      </c>
      <c r="W793" s="8">
        <f>V793/AA793</f>
        <v/>
      </c>
      <c r="X793" s="27">
        <f>((3*10+H793/COS(RADIANS(E793)))*(3+3)+3*G793*H793)*2</f>
        <v/>
      </c>
      <c r="Y793" s="28">
        <f>Z793/X793</f>
        <v/>
      </c>
      <c r="Z793" s="29" t="n">
        <v>614.16652560548</v>
      </c>
      <c r="AA793" s="20" t="n">
        <v>73.10968999318889</v>
      </c>
      <c r="AB793" t="n">
        <v>0.07111744314887908</v>
      </c>
      <c r="AC793" t="n">
        <v>69.03054770028969</v>
      </c>
      <c r="AD793" t="n">
        <v>8.745233783855674</v>
      </c>
    </row>
    <row r="794">
      <c r="A794" t="n">
        <v>793</v>
      </c>
      <c r="B794" t="n">
        <v>72.2</v>
      </c>
      <c r="C794" s="21">
        <f>B794-20</f>
        <v/>
      </c>
      <c r="D794" t="n">
        <v>102.9</v>
      </c>
      <c r="E794" s="22">
        <f>D794-90</f>
        <v/>
      </c>
      <c r="F794" s="23" t="n">
        <v>0.017202</v>
      </c>
      <c r="G794" s="22" t="n">
        <v>23.5</v>
      </c>
      <c r="H794" s="22" t="n">
        <v>1.1</v>
      </c>
      <c r="I794" s="24" t="n">
        <v>0.140391543507576</v>
      </c>
      <c r="J794" s="6" t="n">
        <v>71000</v>
      </c>
      <c r="K794" s="25">
        <f>23*10^-6</f>
        <v/>
      </c>
      <c r="L794" s="8">
        <f>H794</f>
        <v/>
      </c>
      <c r="M794" s="26">
        <f>H794^2/6</f>
        <v/>
      </c>
      <c r="N794" s="26">
        <f>H794^3/12</f>
        <v/>
      </c>
      <c r="O794" s="27">
        <f>-J794*L794*K794*C794</f>
        <v/>
      </c>
      <c r="P794" s="28">
        <f>-(12*F794*J794*L794*N794+12*O794*N794*G794*COS(RADIANS(E794)))/(12*N794*G794*COS(RADIANS(E794))^2+L794*G794^3*SIN(RADIANS(E794))^2)</f>
        <v/>
      </c>
      <c r="Q794" s="28">
        <f>-(6*F794*J794*L794*N794*SIN(RADIANS(E794))+6*O794*N794*G794*SIN(RADIANS(E794))*COS(RADIANS(E794)))/(12*N794*COS(RADIANS(E794))^2+L794*G794^2*SIN(RADIANS(E794))^2)</f>
        <v/>
      </c>
      <c r="R794" s="28">
        <f>-P794*SIN(RADIANS(E794))</f>
        <v/>
      </c>
      <c r="S794" s="8">
        <f>(O794+P794*COS(RADIANS(E794)))/L794</f>
        <v/>
      </c>
      <c r="T794" s="8">
        <f>R794/L794</f>
        <v/>
      </c>
      <c r="U794" s="8">
        <f>(Q794-P794*G794*SIN(RADIANS(E794)))/M794</f>
        <v/>
      </c>
      <c r="V794" s="8">
        <f>SQRT((S794+U794)^2+3*T794^2)</f>
        <v/>
      </c>
      <c r="W794" s="8">
        <f>V794/AA794</f>
        <v/>
      </c>
      <c r="X794" s="27">
        <f>((3*10+H794/COS(RADIANS(E794)))*(3+3)+3*G794*H794)*2</f>
        <v/>
      </c>
      <c r="Y794" s="28">
        <f>Z794/X794</f>
        <v/>
      </c>
      <c r="Z794" s="29" t="n">
        <v>532.696822813612</v>
      </c>
      <c r="AA794" s="20" t="n">
        <v>77.7024511975449</v>
      </c>
      <c r="AB794" t="n">
        <v>0.1932497944373895</v>
      </c>
      <c r="AC794" t="n">
        <v>84.51320346667667</v>
      </c>
      <c r="AD794" t="n">
        <v>37.6505946221477</v>
      </c>
    </row>
    <row r="795">
      <c r="A795" t="n">
        <v>794</v>
      </c>
      <c r="B795" t="n">
        <v>73.8</v>
      </c>
      <c r="C795" s="21">
        <f>B795-20</f>
        <v/>
      </c>
      <c r="D795" t="n">
        <v>113.2</v>
      </c>
      <c r="E795" s="22">
        <f>D795-90</f>
        <v/>
      </c>
      <c r="F795" s="23" t="n">
        <v>0.016984</v>
      </c>
      <c r="G795" s="22" t="n">
        <v>23.6</v>
      </c>
      <c r="H795" s="22" t="n">
        <v>1.1</v>
      </c>
      <c r="I795" s="24" t="n">
        <v>0.0934478119015693</v>
      </c>
      <c r="J795" s="6" t="n">
        <v>71000</v>
      </c>
      <c r="K795" s="25">
        <f>23*10^-6</f>
        <v/>
      </c>
      <c r="L795" s="8">
        <f>H795</f>
        <v/>
      </c>
      <c r="M795" s="26">
        <f>H795^2/6</f>
        <v/>
      </c>
      <c r="N795" s="26">
        <f>H795^3/12</f>
        <v/>
      </c>
      <c r="O795" s="27">
        <f>-J795*L795*K795*C795</f>
        <v/>
      </c>
      <c r="P795" s="28">
        <f>-(12*F795*J795*L795*N795+12*O795*N795*G795*COS(RADIANS(E795)))/(12*N795*G795*COS(RADIANS(E795))^2+L795*G795^3*SIN(RADIANS(E795))^2)</f>
        <v/>
      </c>
      <c r="Q795" s="28">
        <f>-(6*F795*J795*L795*N795*SIN(RADIANS(E795))+6*O795*N795*G795*SIN(RADIANS(E795))*COS(RADIANS(E795)))/(12*N795*COS(RADIANS(E795))^2+L795*G795^2*SIN(RADIANS(E795))^2)</f>
        <v/>
      </c>
      <c r="R795" s="28">
        <f>-P795*SIN(RADIANS(E795))</f>
        <v/>
      </c>
      <c r="S795" s="8">
        <f>(O795+P795*COS(RADIANS(E795)))/L795</f>
        <v/>
      </c>
      <c r="T795" s="8">
        <f>R795/L795</f>
        <v/>
      </c>
      <c r="U795" s="8">
        <f>(Q795-P795*G795*SIN(RADIANS(E795)))/M795</f>
        <v/>
      </c>
      <c r="V795" s="8">
        <f>SQRT((S795+U795)^2+3*T795^2)</f>
        <v/>
      </c>
      <c r="W795" s="8">
        <f>V795/AA795</f>
        <v/>
      </c>
      <c r="X795" s="27">
        <f>((3*10+H795/COS(RADIANS(E795)))*(3+3)+3*G795*H795)*2</f>
        <v/>
      </c>
      <c r="Y795" s="28">
        <f>Z795/X795</f>
        <v/>
      </c>
      <c r="Z795" s="29" t="n">
        <v>535.66645031987</v>
      </c>
      <c r="AA795" s="20" t="n">
        <v>76.45167638960029</v>
      </c>
      <c r="AB795" t="n">
        <v>0.1123408131822967</v>
      </c>
      <c r="AC795" t="n">
        <v>80.50662561710323</v>
      </c>
      <c r="AD795" t="n">
        <v>20.21770322522674</v>
      </c>
    </row>
    <row r="796">
      <c r="A796" t="n">
        <v>795</v>
      </c>
      <c r="B796" t="n">
        <v>66.09999999999999</v>
      </c>
      <c r="C796" s="21">
        <f>B796-20</f>
        <v/>
      </c>
      <c r="D796" t="n">
        <v>126.7</v>
      </c>
      <c r="E796" s="22">
        <f>D796-90</f>
        <v/>
      </c>
      <c r="F796" s="23" t="n">
        <v>0.015626</v>
      </c>
      <c r="G796" s="22" t="n">
        <v>29.6</v>
      </c>
      <c r="H796" s="22" t="n">
        <v>1</v>
      </c>
      <c r="I796" s="24" t="n">
        <v>0.06806131452322001</v>
      </c>
      <c r="J796" s="6" t="n">
        <v>71000</v>
      </c>
      <c r="K796" s="25">
        <f>23*10^-6</f>
        <v/>
      </c>
      <c r="L796" s="8">
        <f>H796</f>
        <v/>
      </c>
      <c r="M796" s="26">
        <f>H796^2/6</f>
        <v/>
      </c>
      <c r="N796" s="26">
        <f>H796^3/12</f>
        <v/>
      </c>
      <c r="O796" s="27">
        <f>-J796*L796*K796*C796</f>
        <v/>
      </c>
      <c r="P796" s="28">
        <f>-(12*F796*J796*L796*N796+12*O796*N796*G796*COS(RADIANS(E796)))/(12*N796*G796*COS(RADIANS(E796))^2+L796*G796^3*SIN(RADIANS(E796))^2)</f>
        <v/>
      </c>
      <c r="Q796" s="28">
        <f>-(6*F796*J796*L796*N796*SIN(RADIANS(E796))+6*O796*N796*G796*SIN(RADIANS(E796))*COS(RADIANS(E796)))/(12*N796*COS(RADIANS(E796))^2+L796*G796^2*SIN(RADIANS(E796))^2)</f>
        <v/>
      </c>
      <c r="R796" s="28">
        <f>-P796*SIN(RADIANS(E796))</f>
        <v/>
      </c>
      <c r="S796" s="8">
        <f>(O796+P796*COS(RADIANS(E796)))/L796</f>
        <v/>
      </c>
      <c r="T796" s="8">
        <f>R796/L796</f>
        <v/>
      </c>
      <c r="U796" s="8">
        <f>(Q796-P796*G796*SIN(RADIANS(E796)))/M796</f>
        <v/>
      </c>
      <c r="V796" s="8">
        <f>SQRT((S796+U796)^2+3*T796^2)</f>
        <v/>
      </c>
      <c r="W796" s="8">
        <f>V796/AA796</f>
        <v/>
      </c>
      <c r="X796" s="27">
        <f>((3*10+H796/COS(RADIANS(E796)))*(3+3)+3*G796*H796)*2</f>
        <v/>
      </c>
      <c r="Y796" s="28">
        <f>Z796/X796</f>
        <v/>
      </c>
      <c r="Z796" s="29" t="n">
        <v>561.933970595127</v>
      </c>
      <c r="AA796" s="20" t="n">
        <v>59.7028803407471</v>
      </c>
      <c r="AB796" t="n">
        <v>0.07330489582845584</v>
      </c>
      <c r="AC796" t="n">
        <v>65.05443009863261</v>
      </c>
      <c r="AD796" t="n">
        <v>7.704202221141229</v>
      </c>
    </row>
    <row r="797">
      <c r="A797" t="n">
        <v>796</v>
      </c>
      <c r="B797" t="n">
        <v>86.40000000000001</v>
      </c>
      <c r="C797" s="21">
        <f>B797-20</f>
        <v/>
      </c>
      <c r="D797" t="n">
        <v>113.3</v>
      </c>
      <c r="E797" s="22">
        <f>D797-90</f>
        <v/>
      </c>
      <c r="F797" s="23" t="n">
        <v>0.020254</v>
      </c>
      <c r="G797" s="22" t="n">
        <v>22.6</v>
      </c>
      <c r="H797" s="22" t="n">
        <v>1.2</v>
      </c>
      <c r="I797" s="24" t="n">
        <v>0.111783191561698</v>
      </c>
      <c r="J797" s="6" t="n">
        <v>71000</v>
      </c>
      <c r="K797" s="25">
        <f>23*10^-6</f>
        <v/>
      </c>
      <c r="L797" s="8">
        <f>H797</f>
        <v/>
      </c>
      <c r="M797" s="26">
        <f>H797^2/6</f>
        <v/>
      </c>
      <c r="N797" s="26">
        <f>H797^3/12</f>
        <v/>
      </c>
      <c r="O797" s="27">
        <f>-J797*L797*K797*C797</f>
        <v/>
      </c>
      <c r="P797" s="28">
        <f>-(12*F797*J797*L797*N797+12*O797*N797*G797*COS(RADIANS(E797)))/(12*N797*G797*COS(RADIANS(E797))^2+L797*G797^3*SIN(RADIANS(E797))^2)</f>
        <v/>
      </c>
      <c r="Q797" s="28">
        <f>-(6*F797*J797*L797*N797*SIN(RADIANS(E797))+6*O797*N797*G797*SIN(RADIANS(E797))*COS(RADIANS(E797)))/(12*N797*COS(RADIANS(E797))^2+L797*G797^2*SIN(RADIANS(E797))^2)</f>
        <v/>
      </c>
      <c r="R797" s="28">
        <f>-P797*SIN(RADIANS(E797))</f>
        <v/>
      </c>
      <c r="S797" s="8">
        <f>(O797+P797*COS(RADIANS(E797)))/L797</f>
        <v/>
      </c>
      <c r="T797" s="8">
        <f>R797/L797</f>
        <v/>
      </c>
      <c r="U797" s="8">
        <f>(Q797-P797*G797*SIN(RADIANS(E797)))/M797</f>
        <v/>
      </c>
      <c r="V797" s="8">
        <f>SQRT((S797+U797)^2+3*T797^2)</f>
        <v/>
      </c>
      <c r="W797" s="8">
        <f>V797/AA797</f>
        <v/>
      </c>
      <c r="X797" s="27">
        <f>((3*10+H797/COS(RADIANS(E797)))*(3+3)+3*G797*H797)*2</f>
        <v/>
      </c>
      <c r="Y797" s="28">
        <f>Z797/X797</f>
        <v/>
      </c>
      <c r="Z797" s="29" t="n">
        <v>543.9633645863451</v>
      </c>
      <c r="AA797" s="20" t="n">
        <v>96.84434292515709</v>
      </c>
      <c r="AB797" t="n">
        <v>0.1321462574651414</v>
      </c>
      <c r="AC797" t="n">
        <v>100.4338987917293</v>
      </c>
      <c r="AD797" t="n">
        <v>18.21657229405919</v>
      </c>
    </row>
    <row r="798">
      <c r="A798" t="n">
        <v>797</v>
      </c>
      <c r="B798" t="n">
        <v>60.4</v>
      </c>
      <c r="C798" s="21">
        <f>B798-20</f>
        <v/>
      </c>
      <c r="D798" t="n">
        <v>124</v>
      </c>
      <c r="E798" s="22">
        <f>D798-90</f>
        <v/>
      </c>
      <c r="F798" s="23" t="n">
        <v>0.015249</v>
      </c>
      <c r="G798" s="22" t="n">
        <v>32.7</v>
      </c>
      <c r="H798" s="22" t="n">
        <v>1.4</v>
      </c>
      <c r="I798" s="24" t="n">
        <v>0.06699562072753899</v>
      </c>
      <c r="J798" s="6" t="n">
        <v>71000</v>
      </c>
      <c r="K798" s="25">
        <f>23*10^-6</f>
        <v/>
      </c>
      <c r="L798" s="8">
        <f>H798</f>
        <v/>
      </c>
      <c r="M798" s="26">
        <f>H798^2/6</f>
        <v/>
      </c>
      <c r="N798" s="26">
        <f>H798^3/12</f>
        <v/>
      </c>
      <c r="O798" s="27">
        <f>-J798*L798*K798*C798</f>
        <v/>
      </c>
      <c r="P798" s="28">
        <f>-(12*F798*J798*L798*N798+12*O798*N798*G798*COS(RADIANS(E798)))/(12*N798*G798*COS(RADIANS(E798))^2+L798*G798^3*SIN(RADIANS(E798))^2)</f>
        <v/>
      </c>
      <c r="Q798" s="28">
        <f>-(6*F798*J798*L798*N798*SIN(RADIANS(E798))+6*O798*N798*G798*SIN(RADIANS(E798))*COS(RADIANS(E798)))/(12*N798*COS(RADIANS(E798))^2+L798*G798^2*SIN(RADIANS(E798))^2)</f>
        <v/>
      </c>
      <c r="R798" s="28">
        <f>-P798*SIN(RADIANS(E798))</f>
        <v/>
      </c>
      <c r="S798" s="8">
        <f>(O798+P798*COS(RADIANS(E798)))/L798</f>
        <v/>
      </c>
      <c r="T798" s="8">
        <f>R798/L798</f>
        <v/>
      </c>
      <c r="U798" s="8">
        <f>(Q798-P798*G798*SIN(RADIANS(E798)))/M798</f>
        <v/>
      </c>
      <c r="V798" s="8">
        <f>SQRT((S798+U798)^2+3*T798^2)</f>
        <v/>
      </c>
      <c r="W798" s="8">
        <f>V798/AA798</f>
        <v/>
      </c>
      <c r="X798" s="27">
        <f>((3*10+H798/COS(RADIANS(E798)))*(3+3)+3*G798*H798)*2</f>
        <v/>
      </c>
      <c r="Y798" s="28">
        <f>Z798/X798</f>
        <v/>
      </c>
      <c r="Z798" s="29" t="n">
        <v>663.3273216846</v>
      </c>
      <c r="AA798" s="20" t="n">
        <v>56.5574501005382</v>
      </c>
      <c r="AB798" t="n">
        <v>0.07659438608786028</v>
      </c>
      <c r="AC798" t="n">
        <v>58.23761889069893</v>
      </c>
      <c r="AD798" t="n">
        <v>14.32745193802741</v>
      </c>
    </row>
    <row r="799">
      <c r="A799" t="n">
        <v>798</v>
      </c>
      <c r="B799" t="n">
        <v>45.1</v>
      </c>
      <c r="C799" s="21">
        <f>B799-20</f>
        <v/>
      </c>
      <c r="D799" t="n">
        <v>121.2</v>
      </c>
      <c r="E799" s="22">
        <f>D799-90</f>
        <v/>
      </c>
      <c r="F799" s="23" t="n">
        <v>0.008985999999999999</v>
      </c>
      <c r="G799" s="22" t="n">
        <v>29.7</v>
      </c>
      <c r="H799" s="22" t="n">
        <v>1.2</v>
      </c>
      <c r="I799" s="24" t="n">
        <v>0.0412354171276092</v>
      </c>
      <c r="J799" s="6" t="n">
        <v>71000</v>
      </c>
      <c r="K799" s="25">
        <f>23*10^-6</f>
        <v/>
      </c>
      <c r="L799" s="8">
        <f>H799</f>
        <v/>
      </c>
      <c r="M799" s="26">
        <f>H799^2/6</f>
        <v/>
      </c>
      <c r="N799" s="26">
        <f>H799^3/12</f>
        <v/>
      </c>
      <c r="O799" s="27">
        <f>-J799*L799*K799*C799</f>
        <v/>
      </c>
      <c r="P799" s="28">
        <f>-(12*F799*J799*L799*N799+12*O799*N799*G799*COS(RADIANS(E799)))/(12*N799*G799*COS(RADIANS(E799))^2+L799*G799^3*SIN(RADIANS(E799))^2)</f>
        <v/>
      </c>
      <c r="Q799" s="28">
        <f>-(6*F799*J799*L799*N799*SIN(RADIANS(E799))+6*O799*N799*G799*SIN(RADIANS(E799))*COS(RADIANS(E799)))/(12*N799*COS(RADIANS(E799))^2+L799*G799^2*SIN(RADIANS(E799))^2)</f>
        <v/>
      </c>
      <c r="R799" s="28">
        <f>-P799*SIN(RADIANS(E799))</f>
        <v/>
      </c>
      <c r="S799" s="8">
        <f>(O799+P799*COS(RADIANS(E799)))/L799</f>
        <v/>
      </c>
      <c r="T799" s="8">
        <f>R799/L799</f>
        <v/>
      </c>
      <c r="U799" s="8">
        <f>(Q799-P799*G799*SIN(RADIANS(E799)))/M799</f>
        <v/>
      </c>
      <c r="V799" s="8">
        <f>SQRT((S799+U799)^2+3*T799^2)</f>
        <v/>
      </c>
      <c r="W799" s="8">
        <f>V799/AA799</f>
        <v/>
      </c>
      <c r="X799" s="27">
        <f>((3*10+H799/COS(RADIANS(E799)))*(3+3)+3*G799*H799)*2</f>
        <v/>
      </c>
      <c r="Y799" s="28">
        <f>Z799/X799</f>
        <v/>
      </c>
      <c r="Z799" s="29" t="n">
        <v>598.166784019894</v>
      </c>
      <c r="AA799" s="20" t="n">
        <v>34.930976786798</v>
      </c>
      <c r="AB799" t="n">
        <v>0.04769946794743865</v>
      </c>
      <c r="AC799" t="n">
        <v>36.25609365440687</v>
      </c>
      <c r="AD799" t="n">
        <v>15.67596806363199</v>
      </c>
    </row>
    <row r="800">
      <c r="A800" t="n">
        <v>799</v>
      </c>
      <c r="B800" t="n">
        <v>89.90000000000001</v>
      </c>
      <c r="C800" s="21">
        <f>B800-20</f>
        <v/>
      </c>
      <c r="D800" t="n">
        <v>114.4</v>
      </c>
      <c r="E800" s="22">
        <f>D800-90</f>
        <v/>
      </c>
      <c r="F800" s="23" t="n">
        <v>0.027713</v>
      </c>
      <c r="G800" s="22" t="n">
        <v>31.6</v>
      </c>
      <c r="H800" s="22" t="n">
        <v>1.9</v>
      </c>
      <c r="I800" s="24" t="n">
        <v>0.141861379146575</v>
      </c>
      <c r="J800" s="6" t="n">
        <v>71000</v>
      </c>
      <c r="K800" s="25">
        <f>23*10^-6</f>
        <v/>
      </c>
      <c r="L800" s="8">
        <f>H800</f>
        <v/>
      </c>
      <c r="M800" s="26">
        <f>H800^2/6</f>
        <v/>
      </c>
      <c r="N800" s="26">
        <f>H800^3/12</f>
        <v/>
      </c>
      <c r="O800" s="27">
        <f>-J800*L800*K800*C800</f>
        <v/>
      </c>
      <c r="P800" s="28">
        <f>-(12*F800*J800*L800*N800+12*O800*N800*G800*COS(RADIANS(E800)))/(12*N800*G800*COS(RADIANS(E800))^2+L800*G800^3*SIN(RADIANS(E800))^2)</f>
        <v/>
      </c>
      <c r="Q800" s="28">
        <f>-(6*F800*J800*L800*N800*SIN(RADIANS(E800))+6*O800*N800*G800*SIN(RADIANS(E800))*COS(RADIANS(E800)))/(12*N800*COS(RADIANS(E800))^2+L800*G800^2*SIN(RADIANS(E800))^2)</f>
        <v/>
      </c>
      <c r="R800" s="28">
        <f>-P800*SIN(RADIANS(E800))</f>
        <v/>
      </c>
      <c r="S800" s="8">
        <f>(O800+P800*COS(RADIANS(E800)))/L800</f>
        <v/>
      </c>
      <c r="T800" s="8">
        <f>R800/L800</f>
        <v/>
      </c>
      <c r="U800" s="8">
        <f>(Q800-P800*G800*SIN(RADIANS(E800)))/M800</f>
        <v/>
      </c>
      <c r="V800" s="8">
        <f>SQRT((S800+U800)^2+3*T800^2)</f>
        <v/>
      </c>
      <c r="W800" s="8">
        <f>V800/AA800</f>
        <v/>
      </c>
      <c r="X800" s="27">
        <f>((3*10+H800/COS(RADIANS(E800)))*(3+3)+3*G800*H800)*2</f>
        <v/>
      </c>
      <c r="Y800" s="28">
        <f>Z800/X800</f>
        <v/>
      </c>
      <c r="Z800" s="29" t="n">
        <v>751.063592788048</v>
      </c>
      <c r="AA800" s="20" t="n">
        <v>113.602790414678</v>
      </c>
      <c r="AB800" t="n">
        <v>0.1806768865379922</v>
      </c>
      <c r="AC800" t="n">
        <v>107.9474476903709</v>
      </c>
      <c r="AD800" t="n">
        <v>27.3615748168583</v>
      </c>
    </row>
    <row r="801">
      <c r="A801" t="n">
        <v>800</v>
      </c>
      <c r="B801" t="n">
        <v>58.2</v>
      </c>
      <c r="C801" s="21">
        <f>B801-20</f>
        <v/>
      </c>
      <c r="D801" t="n">
        <v>116.4</v>
      </c>
      <c r="E801" s="22">
        <f>D801-90</f>
        <v/>
      </c>
      <c r="F801" s="23" t="n">
        <v>0.012364</v>
      </c>
      <c r="G801" s="22" t="n">
        <v>25</v>
      </c>
      <c r="H801" s="22" t="n">
        <v>1.3</v>
      </c>
      <c r="I801" s="24" t="n">
        <v>0.06282630562782281</v>
      </c>
      <c r="J801" s="6" t="n">
        <v>71000</v>
      </c>
      <c r="K801" s="25">
        <f>23*10^-6</f>
        <v/>
      </c>
      <c r="L801" s="8">
        <f>H801</f>
        <v/>
      </c>
      <c r="M801" s="26">
        <f>H801^2/6</f>
        <v/>
      </c>
      <c r="N801" s="26">
        <f>H801^3/12</f>
        <v/>
      </c>
      <c r="O801" s="27">
        <f>-J801*L801*K801*C801</f>
        <v/>
      </c>
      <c r="P801" s="28">
        <f>-(12*F801*J801*L801*N801+12*O801*N801*G801*COS(RADIANS(E801)))/(12*N801*G801*COS(RADIANS(E801))^2+L801*G801^3*SIN(RADIANS(E801))^2)</f>
        <v/>
      </c>
      <c r="Q801" s="28">
        <f>-(6*F801*J801*L801*N801*SIN(RADIANS(E801))+6*O801*N801*G801*SIN(RADIANS(E801))*COS(RADIANS(E801)))/(12*N801*COS(RADIANS(E801))^2+L801*G801^2*SIN(RADIANS(E801))^2)</f>
        <v/>
      </c>
      <c r="R801" s="28">
        <f>-P801*SIN(RADIANS(E801))</f>
        <v/>
      </c>
      <c r="S801" s="8">
        <f>(O801+P801*COS(RADIANS(E801)))/L801</f>
        <v/>
      </c>
      <c r="T801" s="8">
        <f>R801/L801</f>
        <v/>
      </c>
      <c r="U801" s="8">
        <f>(Q801-P801*G801*SIN(RADIANS(E801)))/M801</f>
        <v/>
      </c>
      <c r="V801" s="8">
        <f>SQRT((S801+U801)^2+3*T801^2)</f>
        <v/>
      </c>
      <c r="W801" s="8">
        <f>V801/AA801</f>
        <v/>
      </c>
      <c r="X801" s="27">
        <f>((3*10+H801/COS(RADIANS(E801)))*(3+3)+3*G801*H801)*2</f>
        <v/>
      </c>
      <c r="Y801" s="28">
        <f>Z801/X801</f>
        <v/>
      </c>
      <c r="Z801" s="29" t="n">
        <v>578.644280353777</v>
      </c>
      <c r="AA801" s="20" t="n">
        <v>56.3325856396479</v>
      </c>
      <c r="AB801" t="n">
        <v>0.07343498869973834</v>
      </c>
      <c r="AC801" t="n">
        <v>57.02621223309476</v>
      </c>
      <c r="AD801" t="n">
        <v>16.88573435267767</v>
      </c>
    </row>
    <row r="802">
      <c r="A802" t="n">
        <v>801</v>
      </c>
      <c r="B802" t="n">
        <v>42.3</v>
      </c>
      <c r="C802" s="21">
        <f>B802-20</f>
        <v/>
      </c>
      <c r="D802" t="n">
        <v>104.6</v>
      </c>
      <c r="E802" s="22">
        <f>D802-90</f>
        <v/>
      </c>
      <c r="F802" s="23" t="n">
        <v>0.009324000000000001</v>
      </c>
      <c r="G802" s="22" t="n">
        <v>31.7</v>
      </c>
      <c r="H802" s="22" t="n">
        <v>1.2</v>
      </c>
      <c r="I802" s="24" t="n">
        <v>0.06769143790006631</v>
      </c>
      <c r="J802" s="6" t="n">
        <v>71000</v>
      </c>
      <c r="K802" s="25">
        <f>23*10^-6</f>
        <v/>
      </c>
      <c r="L802" s="8">
        <f>H802</f>
        <v/>
      </c>
      <c r="M802" s="26">
        <f>H802^2/6</f>
        <v/>
      </c>
      <c r="N802" s="26">
        <f>H802^3/12</f>
        <v/>
      </c>
      <c r="O802" s="27">
        <f>-J802*L802*K802*C802</f>
        <v/>
      </c>
      <c r="P802" s="28">
        <f>-(12*F802*J802*L802*N802+12*O802*N802*G802*COS(RADIANS(E802)))/(12*N802*G802*COS(RADIANS(E802))^2+L802*G802^3*SIN(RADIANS(E802))^2)</f>
        <v/>
      </c>
      <c r="Q802" s="28">
        <f>-(6*F802*J802*L802*N802*SIN(RADIANS(E802))+6*O802*N802*G802*SIN(RADIANS(E802))*COS(RADIANS(E802)))/(12*N802*COS(RADIANS(E802))^2+L802*G802^2*SIN(RADIANS(E802))^2)</f>
        <v/>
      </c>
      <c r="R802" s="28">
        <f>-P802*SIN(RADIANS(E802))</f>
        <v/>
      </c>
      <c r="S802" s="8">
        <f>(O802+P802*COS(RADIANS(E802)))/L802</f>
        <v/>
      </c>
      <c r="T802" s="8">
        <f>R802/L802</f>
        <v/>
      </c>
      <c r="U802" s="8">
        <f>(Q802-P802*G802*SIN(RADIANS(E802)))/M802</f>
        <v/>
      </c>
      <c r="V802" s="8">
        <f>SQRT((S802+U802)^2+3*T802^2)</f>
        <v/>
      </c>
      <c r="W802" s="8">
        <f>V802/AA802</f>
        <v/>
      </c>
      <c r="X802" s="27">
        <f>((3*10+H802/COS(RADIANS(E802)))*(3+3)+3*G802*H802)*2</f>
        <v/>
      </c>
      <c r="Y802" s="28">
        <f>Z802/X802</f>
        <v/>
      </c>
      <c r="Z802" s="29" t="n">
        <v>607.354972883579</v>
      </c>
      <c r="AA802" s="20" t="n">
        <v>33.0872997464051</v>
      </c>
      <c r="AB802" t="n">
        <v>0.0981720118462498</v>
      </c>
      <c r="AC802" t="n">
        <v>34.9093682767361</v>
      </c>
      <c r="AD802" t="n">
        <v>45.02869918523866</v>
      </c>
    </row>
    <row r="803">
      <c r="A803" t="n">
        <v>802</v>
      </c>
      <c r="B803" t="n">
        <v>59.7</v>
      </c>
      <c r="C803" s="21">
        <f>B803-20</f>
        <v/>
      </c>
      <c r="D803" t="n">
        <v>109.6</v>
      </c>
      <c r="E803" s="22">
        <f>D803-90</f>
        <v/>
      </c>
      <c r="F803" s="23" t="n">
        <v>0.012308</v>
      </c>
      <c r="G803" s="22" t="n">
        <v>22.5</v>
      </c>
      <c r="H803" s="22" t="n">
        <v>1</v>
      </c>
      <c r="I803" s="24" t="n">
        <v>0.0756917372345924</v>
      </c>
      <c r="J803" s="6" t="n">
        <v>71000</v>
      </c>
      <c r="K803" s="25">
        <f>23*10^-6</f>
        <v/>
      </c>
      <c r="L803" s="8">
        <f>H803</f>
        <v/>
      </c>
      <c r="M803" s="26">
        <f>H803^2/6</f>
        <v/>
      </c>
      <c r="N803" s="26">
        <f>H803^3/12</f>
        <v/>
      </c>
      <c r="O803" s="27">
        <f>-J803*L803*K803*C803</f>
        <v/>
      </c>
      <c r="P803" s="28">
        <f>-(12*F803*J803*L803*N803+12*O803*N803*G803*COS(RADIANS(E803)))/(12*N803*G803*COS(RADIANS(E803))^2+L803*G803^3*SIN(RADIANS(E803))^2)</f>
        <v/>
      </c>
      <c r="Q803" s="28">
        <f>-(6*F803*J803*L803*N803*SIN(RADIANS(E803))+6*O803*N803*G803*SIN(RADIANS(E803))*COS(RADIANS(E803)))/(12*N803*COS(RADIANS(E803))^2+L803*G803^2*SIN(RADIANS(E803))^2)</f>
        <v/>
      </c>
      <c r="R803" s="28">
        <f>-P803*SIN(RADIANS(E803))</f>
        <v/>
      </c>
      <c r="S803" s="8">
        <f>(O803+P803*COS(RADIANS(E803)))/L803</f>
        <v/>
      </c>
      <c r="T803" s="8">
        <f>R803/L803</f>
        <v/>
      </c>
      <c r="U803" s="8">
        <f>(Q803-P803*G803*SIN(RADIANS(E803)))/M803</f>
        <v/>
      </c>
      <c r="V803" s="8">
        <f>SQRT((S803+U803)^2+3*T803^2)</f>
        <v/>
      </c>
      <c r="W803" s="8">
        <f>V803/AA803</f>
        <v/>
      </c>
      <c r="X803" s="27">
        <f>((3*10+H803/COS(RADIANS(E803)))*(3+3)+3*G803*H803)*2</f>
        <v/>
      </c>
      <c r="Y803" s="28">
        <f>Z803/X803</f>
        <v/>
      </c>
      <c r="Z803" s="29" t="n">
        <v>512.647859200909</v>
      </c>
      <c r="AA803" s="20" t="n">
        <v>56.0432200624439</v>
      </c>
      <c r="AB803" t="n">
        <v>0.09427438642039614</v>
      </c>
      <c r="AC803" t="n">
        <v>60.18143312463376</v>
      </c>
      <c r="AD803" t="n">
        <v>24.55043293326759</v>
      </c>
    </row>
    <row r="804">
      <c r="A804" t="n">
        <v>803</v>
      </c>
      <c r="B804" t="n">
        <v>48.7</v>
      </c>
      <c r="C804" s="21">
        <f>B804-20</f>
        <v/>
      </c>
      <c r="D804" t="n">
        <v>126.6</v>
      </c>
      <c r="E804" s="22">
        <f>D804-90</f>
        <v/>
      </c>
      <c r="F804" s="23" t="n">
        <v>0.009974</v>
      </c>
      <c r="G804" s="22" t="n">
        <v>30.5</v>
      </c>
      <c r="H804" s="22" t="n">
        <v>1.4</v>
      </c>
      <c r="I804" s="24" t="n">
        <v>0.0433810502290725</v>
      </c>
      <c r="J804" s="6" t="n">
        <v>71000</v>
      </c>
      <c r="K804" s="25">
        <f>23*10^-6</f>
        <v/>
      </c>
      <c r="L804" s="8">
        <f>H804</f>
        <v/>
      </c>
      <c r="M804" s="26">
        <f>H804^2/6</f>
        <v/>
      </c>
      <c r="N804" s="26">
        <f>H804^3/12</f>
        <v/>
      </c>
      <c r="O804" s="27">
        <f>-J804*L804*K804*C804</f>
        <v/>
      </c>
      <c r="P804" s="28">
        <f>-(12*F804*J804*L804*N804+12*O804*N804*G804*COS(RADIANS(E804)))/(12*N804*G804*COS(RADIANS(E804))^2+L804*G804^3*SIN(RADIANS(E804))^2)</f>
        <v/>
      </c>
      <c r="Q804" s="28">
        <f>-(6*F804*J804*L804*N804*SIN(RADIANS(E804))+6*O804*N804*G804*SIN(RADIANS(E804))*COS(RADIANS(E804)))/(12*N804*COS(RADIANS(E804))^2+L804*G804^2*SIN(RADIANS(E804))^2)</f>
        <v/>
      </c>
      <c r="R804" s="28">
        <f>-P804*SIN(RADIANS(E804))</f>
        <v/>
      </c>
      <c r="S804" s="8">
        <f>(O804+P804*COS(RADIANS(E804)))/L804</f>
        <v/>
      </c>
      <c r="T804" s="8">
        <f>R804/L804</f>
        <v/>
      </c>
      <c r="U804" s="8">
        <f>(Q804-P804*G804*SIN(RADIANS(E804)))/M804</f>
        <v/>
      </c>
      <c r="V804" s="8">
        <f>SQRT((S804+U804)^2+3*T804^2)</f>
        <v/>
      </c>
      <c r="W804" s="8">
        <f>V804/AA804</f>
        <v/>
      </c>
      <c r="X804" s="27">
        <f>((3*10+H804/COS(RADIANS(E804)))*(3+3)+3*G804*H804)*2</f>
        <v/>
      </c>
      <c r="Y804" s="28">
        <f>Z804/X804</f>
        <v/>
      </c>
      <c r="Z804" s="29" t="n">
        <v>646.454645694841</v>
      </c>
      <c r="AA804" s="20" t="n">
        <v>40.3844249324343</v>
      </c>
      <c r="AB804" t="n">
        <v>0.04699026566493365</v>
      </c>
      <c r="AC804" t="n">
        <v>41.21777341191473</v>
      </c>
      <c r="AD804" t="n">
        <v>8.319797277389053</v>
      </c>
    </row>
    <row r="805">
      <c r="A805" t="n">
        <v>804</v>
      </c>
      <c r="B805" t="n">
        <v>45.8</v>
      </c>
      <c r="C805" s="21">
        <f>B805-20</f>
        <v/>
      </c>
      <c r="D805" t="n">
        <v>122.3</v>
      </c>
      <c r="E805" s="22">
        <f>D805-90</f>
        <v/>
      </c>
      <c r="F805" s="23" t="n">
        <v>0.008925000000000001</v>
      </c>
      <c r="G805" s="22" t="n">
        <v>28.8</v>
      </c>
      <c r="H805" s="22" t="n">
        <v>2</v>
      </c>
      <c r="I805" s="24" t="n">
        <v>0.0406832471489906</v>
      </c>
      <c r="J805" s="6" t="n">
        <v>71000</v>
      </c>
      <c r="K805" s="25">
        <f>23*10^-6</f>
        <v/>
      </c>
      <c r="L805" s="8">
        <f>H805</f>
        <v/>
      </c>
      <c r="M805" s="26">
        <f>H805^2/6</f>
        <v/>
      </c>
      <c r="N805" s="26">
        <f>H805^3/12</f>
        <v/>
      </c>
      <c r="O805" s="27">
        <f>-J805*L805*K805*C805</f>
        <v/>
      </c>
      <c r="P805" s="28">
        <f>-(12*F805*J805*L805*N805+12*O805*N805*G805*COS(RADIANS(E805)))/(12*N805*G805*COS(RADIANS(E805))^2+L805*G805^3*SIN(RADIANS(E805))^2)</f>
        <v/>
      </c>
      <c r="Q805" s="28">
        <f>-(6*F805*J805*L805*N805*SIN(RADIANS(E805))+6*O805*N805*G805*SIN(RADIANS(E805))*COS(RADIANS(E805)))/(12*N805*COS(RADIANS(E805))^2+L805*G805^2*SIN(RADIANS(E805))^2)</f>
        <v/>
      </c>
      <c r="R805" s="28">
        <f>-P805*SIN(RADIANS(E805))</f>
        <v/>
      </c>
      <c r="S805" s="8">
        <f>(O805+P805*COS(RADIANS(E805)))/L805</f>
        <v/>
      </c>
      <c r="T805" s="8">
        <f>R805/L805</f>
        <v/>
      </c>
      <c r="U805" s="8">
        <f>(Q805-P805*G805*SIN(RADIANS(E805)))/M805</f>
        <v/>
      </c>
      <c r="V805" s="8">
        <f>SQRT((S805+U805)^2+3*T805^2)</f>
        <v/>
      </c>
      <c r="W805" s="8">
        <f>V805/AA805</f>
        <v/>
      </c>
      <c r="X805" s="27">
        <f>((3*10+H805/COS(RADIANS(E805)))*(3+3)+3*G805*H805)*2</f>
        <v/>
      </c>
      <c r="Y805" s="28">
        <f>Z805/X805</f>
        <v/>
      </c>
      <c r="Z805" s="29" t="n">
        <v>741.820766948731</v>
      </c>
      <c r="AA805" s="20" t="n">
        <v>42.0046077906011</v>
      </c>
      <c r="AB805" t="n">
        <v>0.04548295264719872</v>
      </c>
      <c r="AC805" t="n">
        <v>38.80740018044681</v>
      </c>
      <c r="AD805" t="n">
        <v>11.79774436546469</v>
      </c>
    </row>
    <row r="806">
      <c r="A806" t="n">
        <v>805</v>
      </c>
      <c r="B806" t="n">
        <v>51.3</v>
      </c>
      <c r="C806" s="21">
        <f>B806-20</f>
        <v/>
      </c>
      <c r="D806" t="n">
        <v>110.8</v>
      </c>
      <c r="E806" s="22">
        <f>D806-90</f>
        <v/>
      </c>
      <c r="F806" s="23" t="n">
        <v>0.011814</v>
      </c>
      <c r="G806" s="22" t="n">
        <v>29</v>
      </c>
      <c r="H806" s="22" t="n">
        <v>1.3</v>
      </c>
      <c r="I806" s="24" t="n">
        <v>0.0674745514988899</v>
      </c>
      <c r="J806" s="6" t="n">
        <v>71000</v>
      </c>
      <c r="K806" s="25">
        <f>23*10^-6</f>
        <v/>
      </c>
      <c r="L806" s="8">
        <f>H806</f>
        <v/>
      </c>
      <c r="M806" s="26">
        <f>H806^2/6</f>
        <v/>
      </c>
      <c r="N806" s="26">
        <f>H806^3/12</f>
        <v/>
      </c>
      <c r="O806" s="27">
        <f>-J806*L806*K806*C806</f>
        <v/>
      </c>
      <c r="P806" s="28">
        <f>-(12*F806*J806*L806*N806+12*O806*N806*G806*COS(RADIANS(E806)))/(12*N806*G806*COS(RADIANS(E806))^2+L806*G806^3*SIN(RADIANS(E806))^2)</f>
        <v/>
      </c>
      <c r="Q806" s="28">
        <f>-(6*F806*J806*L806*N806*SIN(RADIANS(E806))+6*O806*N806*G806*SIN(RADIANS(E806))*COS(RADIANS(E806)))/(12*N806*COS(RADIANS(E806))^2+L806*G806^2*SIN(RADIANS(E806))^2)</f>
        <v/>
      </c>
      <c r="R806" s="28">
        <f>-P806*SIN(RADIANS(E806))</f>
        <v/>
      </c>
      <c r="S806" s="8">
        <f>(O806+P806*COS(RADIANS(E806)))/L806</f>
        <v/>
      </c>
      <c r="T806" s="8">
        <f>R806/L806</f>
        <v/>
      </c>
      <c r="U806" s="8">
        <f>(Q806-P806*G806*SIN(RADIANS(E806)))/M806</f>
        <v/>
      </c>
      <c r="V806" s="8">
        <f>SQRT((S806+U806)^2+3*T806^2)</f>
        <v/>
      </c>
      <c r="W806" s="8">
        <f>V806/AA806</f>
        <v/>
      </c>
      <c r="X806" s="27">
        <f>((3*10+H806/COS(RADIANS(E806)))*(3+3)+3*G806*H806)*2</f>
        <v/>
      </c>
      <c r="Y806" s="28">
        <f>Z806/X806</f>
        <v/>
      </c>
      <c r="Z806" s="29" t="n">
        <v>607.994468416794</v>
      </c>
      <c r="AA806" s="20" t="n">
        <v>46.2490766409793</v>
      </c>
      <c r="AB806" t="n">
        <v>0.08859604999674232</v>
      </c>
      <c r="AC806" t="n">
        <v>47.60502903813556</v>
      </c>
      <c r="AD806" t="n">
        <v>31.30291054724524</v>
      </c>
    </row>
    <row r="807">
      <c r="A807" t="n">
        <v>806</v>
      </c>
      <c r="B807" t="n">
        <v>46.3</v>
      </c>
      <c r="C807" s="21">
        <f>B807-20</f>
        <v/>
      </c>
      <c r="D807" t="n">
        <v>120.9</v>
      </c>
      <c r="E807" s="22">
        <f>D807-90</f>
        <v/>
      </c>
      <c r="F807" s="23" t="n">
        <v>0.009259999999999999</v>
      </c>
      <c r="G807" s="22" t="n">
        <v>29</v>
      </c>
      <c r="H807" s="22" t="n">
        <v>1.9</v>
      </c>
      <c r="I807" s="24" t="n">
        <v>0.0428617000579834</v>
      </c>
      <c r="J807" s="6" t="n">
        <v>71000</v>
      </c>
      <c r="K807" s="25">
        <f>23*10^-6</f>
        <v/>
      </c>
      <c r="L807" s="8">
        <f>H807</f>
        <v/>
      </c>
      <c r="M807" s="26">
        <f>H807^2/6</f>
        <v/>
      </c>
      <c r="N807" s="26">
        <f>H807^3/12</f>
        <v/>
      </c>
      <c r="O807" s="27">
        <f>-J807*L807*K807*C807</f>
        <v/>
      </c>
      <c r="P807" s="28">
        <f>-(12*F807*J807*L807*N807+12*O807*N807*G807*COS(RADIANS(E807)))/(12*N807*G807*COS(RADIANS(E807))^2+L807*G807^3*SIN(RADIANS(E807))^2)</f>
        <v/>
      </c>
      <c r="Q807" s="28">
        <f>-(6*F807*J807*L807*N807*SIN(RADIANS(E807))+6*O807*N807*G807*SIN(RADIANS(E807))*COS(RADIANS(E807)))/(12*N807*COS(RADIANS(E807))^2+L807*G807^2*SIN(RADIANS(E807))^2)</f>
        <v/>
      </c>
      <c r="R807" s="28">
        <f>-P807*SIN(RADIANS(E807))</f>
        <v/>
      </c>
      <c r="S807" s="8">
        <f>(O807+P807*COS(RADIANS(E807)))/L807</f>
        <v/>
      </c>
      <c r="T807" s="8">
        <f>R807/L807</f>
        <v/>
      </c>
      <c r="U807" s="8">
        <f>(Q807-P807*G807*SIN(RADIANS(E807)))/M807</f>
        <v/>
      </c>
      <c r="V807" s="8">
        <f>SQRT((S807+U807)^2+3*T807^2)</f>
        <v/>
      </c>
      <c r="W807" s="8">
        <f>V807/AA807</f>
        <v/>
      </c>
      <c r="X807" s="27">
        <f>((3*10+H807/COS(RADIANS(E807)))*(3+3)+3*G807*H807)*2</f>
        <v/>
      </c>
      <c r="Y807" s="28">
        <f>Z807/X807</f>
        <v/>
      </c>
      <c r="Z807" s="29" t="n">
        <v>724.574958005217</v>
      </c>
      <c r="AA807" s="20" t="n">
        <v>42.1913009934643</v>
      </c>
      <c r="AB807" t="n">
        <v>0.04897740374876351</v>
      </c>
      <c r="AC807" t="n">
        <v>39.57503267500091</v>
      </c>
      <c r="AD807" t="n">
        <v>14.26845804647687</v>
      </c>
    </row>
    <row r="808">
      <c r="A808" t="n">
        <v>807</v>
      </c>
      <c r="B808" t="n">
        <v>51.2</v>
      </c>
      <c r="C808" s="21">
        <f>B808-20</f>
        <v/>
      </c>
      <c r="D808" t="n">
        <v>111.5</v>
      </c>
      <c r="E808" s="22">
        <f>D808-90</f>
        <v/>
      </c>
      <c r="F808" s="23" t="n">
        <v>0.010043</v>
      </c>
      <c r="G808" s="22" t="n">
        <v>23.9</v>
      </c>
      <c r="H808" s="22" t="n">
        <v>1.1</v>
      </c>
      <c r="I808" s="24" t="n">
        <v>0.0577216893434524</v>
      </c>
      <c r="J808" s="6" t="n">
        <v>71000</v>
      </c>
      <c r="K808" s="25">
        <f>23*10^-6</f>
        <v/>
      </c>
      <c r="L808" s="8">
        <f>H808</f>
        <v/>
      </c>
      <c r="M808" s="26">
        <f>H808^2/6</f>
        <v/>
      </c>
      <c r="N808" s="26">
        <f>H808^3/12</f>
        <v/>
      </c>
      <c r="O808" s="27">
        <f>-J808*L808*K808*C808</f>
        <v/>
      </c>
      <c r="P808" s="28">
        <f>-(12*F808*J808*L808*N808+12*O808*N808*G808*COS(RADIANS(E808)))/(12*N808*G808*COS(RADIANS(E808))^2+L808*G808^3*SIN(RADIANS(E808))^2)</f>
        <v/>
      </c>
      <c r="Q808" s="28">
        <f>-(6*F808*J808*L808*N808*SIN(RADIANS(E808))+6*O808*N808*G808*SIN(RADIANS(E808))*COS(RADIANS(E808)))/(12*N808*COS(RADIANS(E808))^2+L808*G808^2*SIN(RADIANS(E808))^2)</f>
        <v/>
      </c>
      <c r="R808" s="28">
        <f>-P808*SIN(RADIANS(E808))</f>
        <v/>
      </c>
      <c r="S808" s="8">
        <f>(O808+P808*COS(RADIANS(E808)))/L808</f>
        <v/>
      </c>
      <c r="T808" s="8">
        <f>R808/L808</f>
        <v/>
      </c>
      <c r="U808" s="8">
        <f>(Q808-P808*G808*SIN(RADIANS(E808)))/M808</f>
        <v/>
      </c>
      <c r="V808" s="8">
        <f>SQRT((S808+U808)^2+3*T808^2)</f>
        <v/>
      </c>
      <c r="W808" s="8">
        <f>V808/AA808</f>
        <v/>
      </c>
      <c r="X808" s="27">
        <f>((3*10+H808/COS(RADIANS(E808)))*(3+3)+3*G808*H808)*2</f>
        <v/>
      </c>
      <c r="Y808" s="28">
        <f>Z808/X808</f>
        <v/>
      </c>
      <c r="Z808" s="29" t="n">
        <v>537.155677532777</v>
      </c>
      <c r="AA808" s="20" t="n">
        <v>44.6165510315533</v>
      </c>
      <c r="AB808" t="n">
        <v>0.07126514567958708</v>
      </c>
      <c r="AC808" t="n">
        <v>47.06694572551137</v>
      </c>
      <c r="AD808" t="n">
        <v>23.46337484259887</v>
      </c>
    </row>
    <row r="809">
      <c r="A809" t="n">
        <v>808</v>
      </c>
      <c r="B809" t="n">
        <v>76.2</v>
      </c>
      <c r="C809" s="21">
        <f>B809-20</f>
        <v/>
      </c>
      <c r="D809" t="n">
        <v>109.5</v>
      </c>
      <c r="E809" s="22">
        <f>D809-90</f>
        <v/>
      </c>
      <c r="F809" s="23" t="n">
        <v>0.020875</v>
      </c>
      <c r="G809" s="22" t="n">
        <v>28.2</v>
      </c>
      <c r="H809" s="22" t="n">
        <v>1.2</v>
      </c>
      <c r="I809" s="24" t="n">
        <v>0.124863401055336</v>
      </c>
      <c r="J809" s="6" t="n">
        <v>71000</v>
      </c>
      <c r="K809" s="25">
        <f>23*10^-6</f>
        <v/>
      </c>
      <c r="L809" s="8">
        <f>H809</f>
        <v/>
      </c>
      <c r="M809" s="26">
        <f>H809^2/6</f>
        <v/>
      </c>
      <c r="N809" s="26">
        <f>H809^3/12</f>
        <v/>
      </c>
      <c r="O809" s="27">
        <f>-J809*L809*K809*C809</f>
        <v/>
      </c>
      <c r="P809" s="28">
        <f>-(12*F809*J809*L809*N809+12*O809*N809*G809*COS(RADIANS(E809)))/(12*N809*G809*COS(RADIANS(E809))^2+L809*G809^3*SIN(RADIANS(E809))^2)</f>
        <v/>
      </c>
      <c r="Q809" s="28">
        <f>-(6*F809*J809*L809*N809*SIN(RADIANS(E809))+6*O809*N809*G809*SIN(RADIANS(E809))*COS(RADIANS(E809)))/(12*N809*COS(RADIANS(E809))^2+L809*G809^2*SIN(RADIANS(E809))^2)</f>
        <v/>
      </c>
      <c r="R809" s="28">
        <f>-P809*SIN(RADIANS(E809))</f>
        <v/>
      </c>
      <c r="S809" s="8">
        <f>(O809+P809*COS(RADIANS(E809)))/L809</f>
        <v/>
      </c>
      <c r="T809" s="8">
        <f>R809/L809</f>
        <v/>
      </c>
      <c r="U809" s="8">
        <f>(Q809-P809*G809*SIN(RADIANS(E809)))/M809</f>
        <v/>
      </c>
      <c r="V809" s="8">
        <f>SQRT((S809+U809)^2+3*T809^2)</f>
        <v/>
      </c>
      <c r="W809" s="8">
        <f>V809/AA809</f>
        <v/>
      </c>
      <c r="X809" s="27">
        <f>((3*10+H809/COS(RADIANS(E809)))*(3+3)+3*G809*H809)*2</f>
        <v/>
      </c>
      <c r="Y809" s="28">
        <f>Z809/X809</f>
        <v/>
      </c>
      <c r="Z809" s="29" t="n">
        <v>583.210219449704</v>
      </c>
      <c r="AA809" s="20" t="n">
        <v>81.35524698421619</v>
      </c>
      <c r="AB809" t="n">
        <v>0.1656491586427435</v>
      </c>
      <c r="AC809" t="n">
        <v>85.5899218460703</v>
      </c>
      <c r="AD809" t="n">
        <v>32.66430134265879</v>
      </c>
    </row>
    <row r="810">
      <c r="A810" t="n">
        <v>809</v>
      </c>
      <c r="B810" t="n">
        <v>45.9</v>
      </c>
      <c r="C810" s="21">
        <f>B810-20</f>
        <v/>
      </c>
      <c r="D810" t="n">
        <v>103.3</v>
      </c>
      <c r="E810" s="22">
        <f>D810-90</f>
        <v/>
      </c>
      <c r="F810" s="23" t="n">
        <v>0.008840000000000001</v>
      </c>
      <c r="G810" s="22" t="n">
        <v>24.6</v>
      </c>
      <c r="H810" s="22" t="n">
        <v>1.3</v>
      </c>
      <c r="I810" s="24" t="n">
        <v>0.06963258981704711</v>
      </c>
      <c r="J810" s="6" t="n">
        <v>71000</v>
      </c>
      <c r="K810" s="25">
        <f>23*10^-6</f>
        <v/>
      </c>
      <c r="L810" s="8">
        <f>H810</f>
        <v/>
      </c>
      <c r="M810" s="26">
        <f>H810^2/6</f>
        <v/>
      </c>
      <c r="N810" s="26">
        <f>H810^3/12</f>
        <v/>
      </c>
      <c r="O810" s="27">
        <f>-J810*L810*K810*C810</f>
        <v/>
      </c>
      <c r="P810" s="28">
        <f>-(12*F810*J810*L810*N810+12*O810*N810*G810*COS(RADIANS(E810)))/(12*N810*G810*COS(RADIANS(E810))^2+L810*G810^3*SIN(RADIANS(E810))^2)</f>
        <v/>
      </c>
      <c r="Q810" s="28">
        <f>-(6*F810*J810*L810*N810*SIN(RADIANS(E810))+6*O810*N810*G810*SIN(RADIANS(E810))*COS(RADIANS(E810)))/(12*N810*COS(RADIANS(E810))^2+L810*G810^2*SIN(RADIANS(E810))^2)</f>
        <v/>
      </c>
      <c r="R810" s="28">
        <f>-P810*SIN(RADIANS(E810))</f>
        <v/>
      </c>
      <c r="S810" s="8">
        <f>(O810+P810*COS(RADIANS(E810)))/L810</f>
        <v/>
      </c>
      <c r="T810" s="8">
        <f>R810/L810</f>
        <v/>
      </c>
      <c r="U810" s="8">
        <f>(Q810-P810*G810*SIN(RADIANS(E810)))/M810</f>
        <v/>
      </c>
      <c r="V810" s="8">
        <f>SQRT((S810+U810)^2+3*T810^2)</f>
        <v/>
      </c>
      <c r="W810" s="8">
        <f>V810/AA810</f>
        <v/>
      </c>
      <c r="X810" s="27">
        <f>((3*10+H810/COS(RADIANS(E810)))*(3+3)+3*G810*H810)*2</f>
        <v/>
      </c>
      <c r="Y810" s="28">
        <f>Z810/X810</f>
        <v/>
      </c>
      <c r="Z810" s="29" t="n">
        <v>572.0050183047171</v>
      </c>
      <c r="AA810" s="20" t="n">
        <v>40.1811699439476</v>
      </c>
      <c r="AB810" t="n">
        <v>0.09618530644623639</v>
      </c>
      <c r="AC810" t="n">
        <v>42.60444257208367</v>
      </c>
      <c r="AD810" t="n">
        <v>38.13259954707126</v>
      </c>
    </row>
    <row r="811">
      <c r="A811" t="n">
        <v>810</v>
      </c>
      <c r="B811" t="n">
        <v>79.40000000000001</v>
      </c>
      <c r="C811" s="21">
        <f>B811-20</f>
        <v/>
      </c>
      <c r="D811" t="n">
        <v>107.8</v>
      </c>
      <c r="E811" s="22">
        <f>D811-90</f>
        <v/>
      </c>
      <c r="F811" s="23" t="n">
        <v>0.020955</v>
      </c>
      <c r="G811" s="22" t="n">
        <v>26.2</v>
      </c>
      <c r="H811" s="22" t="n">
        <v>1.8</v>
      </c>
      <c r="I811" s="24" t="n">
        <v>0.132427528500556</v>
      </c>
      <c r="J811" s="6" t="n">
        <v>71000</v>
      </c>
      <c r="K811" s="25">
        <f>23*10^-6</f>
        <v/>
      </c>
      <c r="L811" s="8">
        <f>H811</f>
        <v/>
      </c>
      <c r="M811" s="26">
        <f>H811^2/6</f>
        <v/>
      </c>
      <c r="N811" s="26">
        <f>H811^3/12</f>
        <v/>
      </c>
      <c r="O811" s="27">
        <f>-J811*L811*K811*C811</f>
        <v/>
      </c>
      <c r="P811" s="28">
        <f>-(12*F811*J811*L811*N811+12*O811*N811*G811*COS(RADIANS(E811)))/(12*N811*G811*COS(RADIANS(E811))^2+L811*G811^3*SIN(RADIANS(E811))^2)</f>
        <v/>
      </c>
      <c r="Q811" s="28">
        <f>-(6*F811*J811*L811*N811*SIN(RADIANS(E811))+6*O811*N811*G811*SIN(RADIANS(E811))*COS(RADIANS(E811)))/(12*N811*COS(RADIANS(E811))^2+L811*G811^2*SIN(RADIANS(E811))^2)</f>
        <v/>
      </c>
      <c r="R811" s="28">
        <f>-P811*SIN(RADIANS(E811))</f>
        <v/>
      </c>
      <c r="S811" s="8">
        <f>(O811+P811*COS(RADIANS(E811)))/L811</f>
        <v/>
      </c>
      <c r="T811" s="8">
        <f>R811/L811</f>
        <v/>
      </c>
      <c r="U811" s="8">
        <f>(Q811-P811*G811*SIN(RADIANS(E811)))/M811</f>
        <v/>
      </c>
      <c r="V811" s="8">
        <f>SQRT((S811+U811)^2+3*T811^2)</f>
        <v/>
      </c>
      <c r="W811" s="8">
        <f>V811/AA811</f>
        <v/>
      </c>
      <c r="X811" s="27">
        <f>((3*10+H811/COS(RADIANS(E811)))*(3+3)+3*G811*H811)*2</f>
        <v/>
      </c>
      <c r="Y811" s="28">
        <f>Z811/X811</f>
        <v/>
      </c>
      <c r="Z811" s="29" t="n">
        <v>670.286279636329</v>
      </c>
      <c r="AA811" s="20" t="n">
        <v>100.134376009724</v>
      </c>
      <c r="AB811" t="n">
        <v>0.1740808771304967</v>
      </c>
      <c r="AC811" t="n">
        <v>97.30006413788072</v>
      </c>
      <c r="AD811" t="n">
        <v>31.45369327780353</v>
      </c>
    </row>
    <row r="812">
      <c r="A812" t="n">
        <v>811</v>
      </c>
      <c r="B812" t="n">
        <v>62.4</v>
      </c>
      <c r="C812" s="21">
        <f>B812-20</f>
        <v/>
      </c>
      <c r="D812" t="n">
        <v>112.5</v>
      </c>
      <c r="E812" s="22">
        <f>D812-90</f>
        <v/>
      </c>
      <c r="F812" s="23" t="n">
        <v>0.016119</v>
      </c>
      <c r="G812" s="22" t="n">
        <v>29.6</v>
      </c>
      <c r="H812" s="22" t="n">
        <v>1.6</v>
      </c>
      <c r="I812" s="24" t="n">
        <v>0.0872898027300834</v>
      </c>
      <c r="J812" s="6" t="n">
        <v>71000</v>
      </c>
      <c r="K812" s="25">
        <f>23*10^-6</f>
        <v/>
      </c>
      <c r="L812" s="8">
        <f>H812</f>
        <v/>
      </c>
      <c r="M812" s="26">
        <f>H812^2/6</f>
        <v/>
      </c>
      <c r="N812" s="26">
        <f>H812^3/12</f>
        <v/>
      </c>
      <c r="O812" s="27">
        <f>-J812*L812*K812*C812</f>
        <v/>
      </c>
      <c r="P812" s="28">
        <f>-(12*F812*J812*L812*N812+12*O812*N812*G812*COS(RADIANS(E812)))/(12*N812*G812*COS(RADIANS(E812))^2+L812*G812^3*SIN(RADIANS(E812))^2)</f>
        <v/>
      </c>
      <c r="Q812" s="28">
        <f>-(6*F812*J812*L812*N812*SIN(RADIANS(E812))+6*O812*N812*G812*SIN(RADIANS(E812))*COS(RADIANS(E812)))/(12*N812*COS(RADIANS(E812))^2+L812*G812^2*SIN(RADIANS(E812))^2)</f>
        <v/>
      </c>
      <c r="R812" s="28">
        <f>-P812*SIN(RADIANS(E812))</f>
        <v/>
      </c>
      <c r="S812" s="8">
        <f>(O812+P812*COS(RADIANS(E812)))/L812</f>
        <v/>
      </c>
      <c r="T812" s="8">
        <f>R812/L812</f>
        <v/>
      </c>
      <c r="U812" s="8">
        <f>(Q812-P812*G812*SIN(RADIANS(E812)))/M812</f>
        <v/>
      </c>
      <c r="V812" s="8">
        <f>SQRT((S812+U812)^2+3*T812^2)</f>
        <v/>
      </c>
      <c r="W812" s="8">
        <f>V812/AA812</f>
        <v/>
      </c>
      <c r="X812" s="27">
        <f>((3*10+H812/COS(RADIANS(E812)))*(3+3)+3*G812*H812)*2</f>
        <v/>
      </c>
      <c r="Y812" s="28">
        <f>Z812/X812</f>
        <v/>
      </c>
      <c r="Z812" s="29" t="n">
        <v>670.352972438272</v>
      </c>
      <c r="AA812" s="20" t="n">
        <v>66.1464377511042</v>
      </c>
      <c r="AB812" t="n">
        <v>0.1123174124243796</v>
      </c>
      <c r="AC812" t="n">
        <v>65.24383238143179</v>
      </c>
      <c r="AD812" t="n">
        <v>28.67185961192542</v>
      </c>
    </row>
    <row r="813">
      <c r="A813" t="n">
        <v>812</v>
      </c>
      <c r="B813" t="n">
        <v>65.5</v>
      </c>
      <c r="C813" s="21">
        <f>B813-20</f>
        <v/>
      </c>
      <c r="D813" t="n">
        <v>116</v>
      </c>
      <c r="E813" s="22">
        <f>D813-90</f>
        <v/>
      </c>
      <c r="F813" s="23" t="n">
        <v>0.018637</v>
      </c>
      <c r="G813" s="22" t="n">
        <v>33.3</v>
      </c>
      <c r="H813" s="22" t="n">
        <v>2</v>
      </c>
      <c r="I813" s="24" t="n">
        <v>0.0915916040539741</v>
      </c>
      <c r="J813" s="6" t="n">
        <v>71000</v>
      </c>
      <c r="K813" s="25">
        <f>23*10^-6</f>
        <v/>
      </c>
      <c r="L813" s="8">
        <f>H813</f>
        <v/>
      </c>
      <c r="M813" s="26">
        <f>H813^2/6</f>
        <v/>
      </c>
      <c r="N813" s="26">
        <f>H813^3/12</f>
        <v/>
      </c>
      <c r="O813" s="27">
        <f>-J813*L813*K813*C813</f>
        <v/>
      </c>
      <c r="P813" s="28">
        <f>-(12*F813*J813*L813*N813+12*O813*N813*G813*COS(RADIANS(E813)))/(12*N813*G813*COS(RADIANS(E813))^2+L813*G813^3*SIN(RADIANS(E813))^2)</f>
        <v/>
      </c>
      <c r="Q813" s="28">
        <f>-(6*F813*J813*L813*N813*SIN(RADIANS(E813))+6*O813*N813*G813*SIN(RADIANS(E813))*COS(RADIANS(E813)))/(12*N813*COS(RADIANS(E813))^2+L813*G813^2*SIN(RADIANS(E813))^2)</f>
        <v/>
      </c>
      <c r="R813" s="28">
        <f>-P813*SIN(RADIANS(E813))</f>
        <v/>
      </c>
      <c r="S813" s="8">
        <f>(O813+P813*COS(RADIANS(E813)))/L813</f>
        <v/>
      </c>
      <c r="T813" s="8">
        <f>R813/L813</f>
        <v/>
      </c>
      <c r="U813" s="8">
        <f>(Q813-P813*G813*SIN(RADIANS(E813)))/M813</f>
        <v/>
      </c>
      <c r="V813" s="8">
        <f>SQRT((S813+U813)^2+3*T813^2)</f>
        <v/>
      </c>
      <c r="W813" s="8">
        <f>V813/AA813</f>
        <v/>
      </c>
      <c r="X813" s="27">
        <f>((3*10+H813/COS(RADIANS(E813)))*(3+3)+3*G813*H813)*2</f>
        <v/>
      </c>
      <c r="Y813" s="28">
        <f>Z813/X813</f>
        <v/>
      </c>
      <c r="Z813" s="29" t="n">
        <v>792.438522528451</v>
      </c>
      <c r="AA813" s="20" t="n">
        <v>74.0569687818286</v>
      </c>
      <c r="AB813" t="n">
        <v>0.1158124384991292</v>
      </c>
      <c r="AC813" t="n">
        <v>69.74947176208802</v>
      </c>
      <c r="AD813" t="n">
        <v>26.44438286164521</v>
      </c>
    </row>
    <row r="814">
      <c r="A814" t="n">
        <v>813</v>
      </c>
      <c r="B814" t="n">
        <v>48.7</v>
      </c>
      <c r="C814" s="21">
        <f>B814-20</f>
        <v/>
      </c>
      <c r="D814" t="n">
        <v>104.2</v>
      </c>
      <c r="E814" s="22">
        <f>D814-90</f>
        <v/>
      </c>
      <c r="F814" s="23" t="n">
        <v>0.012494</v>
      </c>
      <c r="G814" s="22" t="n">
        <v>33.2</v>
      </c>
      <c r="H814" s="22" t="n">
        <v>1.6</v>
      </c>
      <c r="I814" s="24" t="n">
        <v>0.0912959426641464</v>
      </c>
      <c r="J814" s="6" t="n">
        <v>71000</v>
      </c>
      <c r="K814" s="25">
        <f>23*10^-6</f>
        <v/>
      </c>
      <c r="L814" s="8">
        <f>H814</f>
        <v/>
      </c>
      <c r="M814" s="26">
        <f>H814^2/6</f>
        <v/>
      </c>
      <c r="N814" s="26">
        <f>H814^3/12</f>
        <v/>
      </c>
      <c r="O814" s="27">
        <f>-J814*L814*K814*C814</f>
        <v/>
      </c>
      <c r="P814" s="28">
        <f>-(12*F814*J814*L814*N814+12*O814*N814*G814*COS(RADIANS(E814)))/(12*N814*G814*COS(RADIANS(E814))^2+L814*G814^3*SIN(RADIANS(E814))^2)</f>
        <v/>
      </c>
      <c r="Q814" s="28">
        <f>-(6*F814*J814*L814*N814*SIN(RADIANS(E814))+6*O814*N814*G814*SIN(RADIANS(E814))*COS(RADIANS(E814)))/(12*N814*COS(RADIANS(E814))^2+L814*G814^2*SIN(RADIANS(E814))^2)</f>
        <v/>
      </c>
      <c r="R814" s="28">
        <f>-P814*SIN(RADIANS(E814))</f>
        <v/>
      </c>
      <c r="S814" s="8">
        <f>(O814+P814*COS(RADIANS(E814)))/L814</f>
        <v/>
      </c>
      <c r="T814" s="8">
        <f>R814/L814</f>
        <v/>
      </c>
      <c r="U814" s="8">
        <f>(Q814-P814*G814*SIN(RADIANS(E814)))/M814</f>
        <v/>
      </c>
      <c r="V814" s="8">
        <f>SQRT((S814+U814)^2+3*T814^2)</f>
        <v/>
      </c>
      <c r="W814" s="8">
        <f>V814/AA814</f>
        <v/>
      </c>
      <c r="X814" s="27">
        <f>((3*10+H814/COS(RADIANS(E814)))*(3+3)+3*G814*H814)*2</f>
        <v/>
      </c>
      <c r="Y814" s="28">
        <f>Z814/X814</f>
        <v/>
      </c>
      <c r="Z814" s="29" t="n">
        <v>702.715192350148</v>
      </c>
      <c r="AA814" s="20" t="n">
        <v>45.6992932700588</v>
      </c>
      <c r="AB814" t="n">
        <v>0.1337461550000593</v>
      </c>
      <c r="AC814" t="n">
        <v>46.74787017152258</v>
      </c>
      <c r="AD814" t="n">
        <v>46.49737008803991</v>
      </c>
    </row>
    <row r="815">
      <c r="A815" t="n">
        <v>814</v>
      </c>
      <c r="B815" t="n">
        <v>85.7</v>
      </c>
      <c r="C815" s="21">
        <f>B815-20</f>
        <v/>
      </c>
      <c r="D815" t="n">
        <v>100.8</v>
      </c>
      <c r="E815" s="22">
        <f>D815-90</f>
        <v/>
      </c>
      <c r="F815" s="23" t="n">
        <v>0.021342</v>
      </c>
      <c r="G815" s="22" t="n">
        <v>22.9</v>
      </c>
      <c r="H815" s="22" t="n">
        <v>1.3</v>
      </c>
      <c r="I815" s="24" t="n">
        <v>0.194253131747245</v>
      </c>
      <c r="J815" s="6" t="n">
        <v>71000</v>
      </c>
      <c r="K815" s="25">
        <f>23*10^-6</f>
        <v/>
      </c>
      <c r="L815" s="8">
        <f>H815</f>
        <v/>
      </c>
      <c r="M815" s="26">
        <f>H815^2/6</f>
        <v/>
      </c>
      <c r="N815" s="26">
        <f>H815^3/12</f>
        <v/>
      </c>
      <c r="O815" s="27">
        <f>-J815*L815*K815*C815</f>
        <v/>
      </c>
      <c r="P815" s="28">
        <f>-(12*F815*J815*L815*N815+12*O815*N815*G815*COS(RADIANS(E815)))/(12*N815*G815*COS(RADIANS(E815))^2+L815*G815^3*SIN(RADIANS(E815))^2)</f>
        <v/>
      </c>
      <c r="Q815" s="28">
        <f>-(6*F815*J815*L815*N815*SIN(RADIANS(E815))+6*O815*N815*G815*SIN(RADIANS(E815))*COS(RADIANS(E815)))/(12*N815*COS(RADIANS(E815))^2+L815*G815^2*SIN(RADIANS(E815))^2)</f>
        <v/>
      </c>
      <c r="R815" s="28">
        <f>-P815*SIN(RADIANS(E815))</f>
        <v/>
      </c>
      <c r="S815" s="8">
        <f>(O815+P815*COS(RADIANS(E815)))/L815</f>
        <v/>
      </c>
      <c r="T815" s="8">
        <f>R815/L815</f>
        <v/>
      </c>
      <c r="U815" s="8">
        <f>(Q815-P815*G815*SIN(RADIANS(E815)))/M815</f>
        <v/>
      </c>
      <c r="V815" s="8">
        <f>SQRT((S815+U815)^2+3*T815^2)</f>
        <v/>
      </c>
      <c r="W815" s="8">
        <f>V815/AA815</f>
        <v/>
      </c>
      <c r="X815" s="27">
        <f>((3*10+H815/COS(RADIANS(E815)))*(3+3)+3*G815*H815)*2</f>
        <v/>
      </c>
      <c r="Y815" s="28">
        <f>Z815/X815</f>
        <v/>
      </c>
      <c r="Z815" s="29" t="n">
        <v>558.367702454005</v>
      </c>
      <c r="AA815" s="20" t="n">
        <v>109.572505295503</v>
      </c>
      <c r="AB815" t="n">
        <v>0.2720925804773486</v>
      </c>
      <c r="AC815" t="n">
        <v>112.5073652491963</v>
      </c>
      <c r="AD815" t="n">
        <v>40.07114224103498</v>
      </c>
    </row>
    <row r="816">
      <c r="A816" t="n">
        <v>815</v>
      </c>
      <c r="B816" t="n">
        <v>79.2</v>
      </c>
      <c r="C816" s="21">
        <f>B816-20</f>
        <v/>
      </c>
      <c r="D816" t="n">
        <v>120.4</v>
      </c>
      <c r="E816" s="22">
        <f>D816-90</f>
        <v/>
      </c>
      <c r="F816" s="23" t="n">
        <v>0.022909</v>
      </c>
      <c r="G816" s="22" t="n">
        <v>32.4</v>
      </c>
      <c r="H816" s="22" t="n">
        <v>1.5</v>
      </c>
      <c r="I816" s="24" t="n">
        <v>0.105018272995948</v>
      </c>
      <c r="J816" s="6" t="n">
        <v>71000</v>
      </c>
      <c r="K816" s="25">
        <f>23*10^-6</f>
        <v/>
      </c>
      <c r="L816" s="8">
        <f>H816</f>
        <v/>
      </c>
      <c r="M816" s="26">
        <f>H816^2/6</f>
        <v/>
      </c>
      <c r="N816" s="26">
        <f>H816^3/12</f>
        <v/>
      </c>
      <c r="O816" s="27">
        <f>-J816*L816*K816*C816</f>
        <v/>
      </c>
      <c r="P816" s="28">
        <f>-(12*F816*J816*L816*N816+12*O816*N816*G816*COS(RADIANS(E816)))/(12*N816*G816*COS(RADIANS(E816))^2+L816*G816^3*SIN(RADIANS(E816))^2)</f>
        <v/>
      </c>
      <c r="Q816" s="28">
        <f>-(6*F816*J816*L816*N816*SIN(RADIANS(E816))+6*O816*N816*G816*SIN(RADIANS(E816))*COS(RADIANS(E816)))/(12*N816*COS(RADIANS(E816))^2+L816*G816^2*SIN(RADIANS(E816))^2)</f>
        <v/>
      </c>
      <c r="R816" s="28">
        <f>-P816*SIN(RADIANS(E816))</f>
        <v/>
      </c>
      <c r="S816" s="8">
        <f>(O816+P816*COS(RADIANS(E816)))/L816</f>
        <v/>
      </c>
      <c r="T816" s="8">
        <f>R816/L816</f>
        <v/>
      </c>
      <c r="U816" s="8">
        <f>(Q816-P816*G816*SIN(RADIANS(E816)))/M816</f>
        <v/>
      </c>
      <c r="V816" s="8">
        <f>SQRT((S816+U816)^2+3*T816^2)</f>
        <v/>
      </c>
      <c r="W816" s="8">
        <f>V816/AA816</f>
        <v/>
      </c>
      <c r="X816" s="27">
        <f>((3*10+H816/COS(RADIANS(E816)))*(3+3)+3*G816*H816)*2</f>
        <v/>
      </c>
      <c r="Y816" s="28">
        <f>Z816/X816</f>
        <v/>
      </c>
      <c r="Z816" s="29" t="n">
        <v>679.728509825741</v>
      </c>
      <c r="AA816" s="20" t="n">
        <v>87.0397592808461</v>
      </c>
      <c r="AB816" t="n">
        <v>0.1253629500750122</v>
      </c>
      <c r="AC816" t="n">
        <v>86.76108057382041</v>
      </c>
      <c r="AD816" t="n">
        <v>19.37251156267742</v>
      </c>
    </row>
    <row r="817">
      <c r="A817" t="n">
        <v>816</v>
      </c>
      <c r="B817" t="n">
        <v>48.3</v>
      </c>
      <c r="C817" s="21">
        <f>B817-20</f>
        <v/>
      </c>
      <c r="D817" t="n">
        <v>107.3</v>
      </c>
      <c r="E817" s="22">
        <f>D817-90</f>
        <v/>
      </c>
      <c r="F817" s="23" t="n">
        <v>0.010838</v>
      </c>
      <c r="G817" s="22" t="n">
        <v>28.9</v>
      </c>
      <c r="H817" s="22" t="n">
        <v>2</v>
      </c>
      <c r="I817" s="24" t="n">
        <v>0.0688577964901924</v>
      </c>
      <c r="J817" s="6" t="n">
        <v>71000</v>
      </c>
      <c r="K817" s="25">
        <f>23*10^-6</f>
        <v/>
      </c>
      <c r="L817" s="8">
        <f>H817</f>
        <v/>
      </c>
      <c r="M817" s="26">
        <f>H817^2/6</f>
        <v/>
      </c>
      <c r="N817" s="26">
        <f>H817^3/12</f>
        <v/>
      </c>
      <c r="O817" s="27">
        <f>-J817*L817*K817*C817</f>
        <v/>
      </c>
      <c r="P817" s="28">
        <f>-(12*F817*J817*L817*N817+12*O817*N817*G817*COS(RADIANS(E817)))/(12*N817*G817*COS(RADIANS(E817))^2+L817*G817^3*SIN(RADIANS(E817))^2)</f>
        <v/>
      </c>
      <c r="Q817" s="28">
        <f>-(6*F817*J817*L817*N817*SIN(RADIANS(E817))+6*O817*N817*G817*SIN(RADIANS(E817))*COS(RADIANS(E817)))/(12*N817*COS(RADIANS(E817))^2+L817*G817^2*SIN(RADIANS(E817))^2)</f>
        <v/>
      </c>
      <c r="R817" s="28">
        <f>-P817*SIN(RADIANS(E817))</f>
        <v/>
      </c>
      <c r="S817" s="8">
        <f>(O817+P817*COS(RADIANS(E817)))/L817</f>
        <v/>
      </c>
      <c r="T817" s="8">
        <f>R817/L817</f>
        <v/>
      </c>
      <c r="U817" s="8">
        <f>(Q817-P817*G817*SIN(RADIANS(E817)))/M817</f>
        <v/>
      </c>
      <c r="V817" s="8">
        <f>SQRT((S817+U817)^2+3*T817^2)</f>
        <v/>
      </c>
      <c r="W817" s="8">
        <f>V817/AA817</f>
        <v/>
      </c>
      <c r="X817" s="27">
        <f>((3*10+H817/COS(RADIANS(E817)))*(3+3)+3*G817*H817)*2</f>
        <v/>
      </c>
      <c r="Y817" s="28">
        <f>Z817/X817</f>
        <v/>
      </c>
      <c r="Z817" s="29" t="n">
        <v>736.508001799126</v>
      </c>
      <c r="AA817" s="20" t="n">
        <v>49.2982571514849</v>
      </c>
      <c r="AB817" t="n">
        <v>0.09328082341234706</v>
      </c>
      <c r="AC817" t="n">
        <v>46.87765860987363</v>
      </c>
      <c r="AD817" t="n">
        <v>35.46878954459905</v>
      </c>
    </row>
    <row r="818">
      <c r="A818" t="n">
        <v>817</v>
      </c>
      <c r="B818" t="n">
        <v>47.6</v>
      </c>
      <c r="C818" s="21">
        <f>B818-20</f>
        <v/>
      </c>
      <c r="D818" t="n">
        <v>115.3</v>
      </c>
      <c r="E818" s="22">
        <f>D818-90</f>
        <v/>
      </c>
      <c r="F818" s="23" t="n">
        <v>0.009483</v>
      </c>
      <c r="G818" s="22" t="n">
        <v>26.7</v>
      </c>
      <c r="H818" s="22" t="n">
        <v>1.7</v>
      </c>
      <c r="I818" s="24" t="n">
        <v>0.0487138256430625</v>
      </c>
      <c r="J818" s="6" t="n">
        <v>71000</v>
      </c>
      <c r="K818" s="25">
        <f>23*10^-6</f>
        <v/>
      </c>
      <c r="L818" s="8">
        <f>H818</f>
        <v/>
      </c>
      <c r="M818" s="26">
        <f>H818^2/6</f>
        <v/>
      </c>
      <c r="N818" s="26">
        <f>H818^3/12</f>
        <v/>
      </c>
      <c r="O818" s="27">
        <f>-J818*L818*K818*C818</f>
        <v/>
      </c>
      <c r="P818" s="28">
        <f>-(12*F818*J818*L818*N818+12*O818*N818*G818*COS(RADIANS(E818)))/(12*N818*G818*COS(RADIANS(E818))^2+L818*G818^3*SIN(RADIANS(E818))^2)</f>
        <v/>
      </c>
      <c r="Q818" s="28">
        <f>-(6*F818*J818*L818*N818*SIN(RADIANS(E818))+6*O818*N818*G818*SIN(RADIANS(E818))*COS(RADIANS(E818)))/(12*N818*COS(RADIANS(E818))^2+L818*G818^2*SIN(RADIANS(E818))^2)</f>
        <v/>
      </c>
      <c r="R818" s="28">
        <f>-P818*SIN(RADIANS(E818))</f>
        <v/>
      </c>
      <c r="S818" s="8">
        <f>(O818+P818*COS(RADIANS(E818)))/L818</f>
        <v/>
      </c>
      <c r="T818" s="8">
        <f>R818/L818</f>
        <v/>
      </c>
      <c r="U818" s="8">
        <f>(Q818-P818*G818*SIN(RADIANS(E818)))/M818</f>
        <v/>
      </c>
      <c r="V818" s="8">
        <f>SQRT((S818+U818)^2+3*T818^2)</f>
        <v/>
      </c>
      <c r="W818" s="8">
        <f>V818/AA818</f>
        <v/>
      </c>
      <c r="X818" s="27">
        <f>((3*10+H818/COS(RADIANS(E818)))*(3+3)+3*G818*H818)*2</f>
        <v/>
      </c>
      <c r="Y818" s="28">
        <f>Z818/X818</f>
        <v/>
      </c>
      <c r="Z818" s="29" t="n">
        <v>660.884189053737</v>
      </c>
      <c r="AA818" s="20" t="n">
        <v>43.7119133255941</v>
      </c>
      <c r="AB818" t="n">
        <v>0.0585775539567759</v>
      </c>
      <c r="AC818" t="n">
        <v>42.42655454315246</v>
      </c>
      <c r="AD818" t="n">
        <v>20.24831386881257</v>
      </c>
    </row>
    <row r="819">
      <c r="A819" t="n">
        <v>818</v>
      </c>
      <c r="B819" t="n">
        <v>67.59999999999999</v>
      </c>
      <c r="C819" s="21">
        <f>B819-20</f>
        <v/>
      </c>
      <c r="D819" t="n">
        <v>121</v>
      </c>
      <c r="E819" s="22">
        <f>D819-90</f>
        <v/>
      </c>
      <c r="F819" s="23" t="n">
        <v>0.018001</v>
      </c>
      <c r="G819" s="22" t="n">
        <v>31.7</v>
      </c>
      <c r="H819" s="22" t="n">
        <v>1.5</v>
      </c>
      <c r="I819" s="24" t="n">
        <v>0.0821154043078422</v>
      </c>
      <c r="J819" s="6" t="n">
        <v>71000</v>
      </c>
      <c r="K819" s="25">
        <f>23*10^-6</f>
        <v/>
      </c>
      <c r="L819" s="8">
        <f>H819</f>
        <v/>
      </c>
      <c r="M819" s="26">
        <f>H819^2/6</f>
        <v/>
      </c>
      <c r="N819" s="26">
        <f>H819^3/12</f>
        <v/>
      </c>
      <c r="O819" s="27">
        <f>-J819*L819*K819*C819</f>
        <v/>
      </c>
      <c r="P819" s="28">
        <f>-(12*F819*J819*L819*N819+12*O819*N819*G819*COS(RADIANS(E819)))/(12*N819*G819*COS(RADIANS(E819))^2+L819*G819^3*SIN(RADIANS(E819))^2)</f>
        <v/>
      </c>
      <c r="Q819" s="28">
        <f>-(6*F819*J819*L819*N819*SIN(RADIANS(E819))+6*O819*N819*G819*SIN(RADIANS(E819))*COS(RADIANS(E819)))/(12*N819*COS(RADIANS(E819))^2+L819*G819^2*SIN(RADIANS(E819))^2)</f>
        <v/>
      </c>
      <c r="R819" s="28">
        <f>-P819*SIN(RADIANS(E819))</f>
        <v/>
      </c>
      <c r="S819" s="8">
        <f>(O819+P819*COS(RADIANS(E819)))/L819</f>
        <v/>
      </c>
      <c r="T819" s="8">
        <f>R819/L819</f>
        <v/>
      </c>
      <c r="U819" s="8">
        <f>(Q819-P819*G819*SIN(RADIANS(E819)))/M819</f>
        <v/>
      </c>
      <c r="V819" s="8">
        <f>SQRT((S819+U819)^2+3*T819^2)</f>
        <v/>
      </c>
      <c r="W819" s="8">
        <f>V819/AA819</f>
        <v/>
      </c>
      <c r="X819" s="27">
        <f>((3*10+H819/COS(RADIANS(E819)))*(3+3)+3*G819*H819)*2</f>
        <v/>
      </c>
      <c r="Y819" s="28">
        <f>Z819/X819</f>
        <v/>
      </c>
      <c r="Z819" s="29" t="n">
        <v>673.7322320686829</v>
      </c>
      <c r="AA819" s="20" t="n">
        <v>70.1915650794276</v>
      </c>
      <c r="AB819" t="n">
        <v>0.09667501370644063</v>
      </c>
      <c r="AC819" t="n">
        <v>69.70507494748944</v>
      </c>
      <c r="AD819" t="n">
        <v>17.73066761507494</v>
      </c>
    </row>
    <row r="820">
      <c r="A820" t="n">
        <v>819</v>
      </c>
      <c r="B820" t="n">
        <v>55.1</v>
      </c>
      <c r="C820" s="21">
        <f>B820-20</f>
        <v/>
      </c>
      <c r="D820" t="n">
        <v>118</v>
      </c>
      <c r="E820" s="22">
        <f>D820-90</f>
        <v/>
      </c>
      <c r="F820" s="23" t="n">
        <v>0.00975</v>
      </c>
      <c r="G820" s="22" t="n">
        <v>20.8</v>
      </c>
      <c r="H820" s="22" t="n">
        <v>1.4</v>
      </c>
      <c r="I820" s="24" t="n">
        <v>0.0495019778609275</v>
      </c>
      <c r="J820" s="6" t="n">
        <v>71000</v>
      </c>
      <c r="K820" s="25">
        <f>23*10^-6</f>
        <v/>
      </c>
      <c r="L820" s="8">
        <f>H820</f>
        <v/>
      </c>
      <c r="M820" s="26">
        <f>H820^2/6</f>
        <v/>
      </c>
      <c r="N820" s="26">
        <f>H820^3/12</f>
        <v/>
      </c>
      <c r="O820" s="27">
        <f>-J820*L820*K820*C820</f>
        <v/>
      </c>
      <c r="P820" s="28">
        <f>-(12*F820*J820*L820*N820+12*O820*N820*G820*COS(RADIANS(E820)))/(12*N820*G820*COS(RADIANS(E820))^2+L820*G820^3*SIN(RADIANS(E820))^2)</f>
        <v/>
      </c>
      <c r="Q820" s="28">
        <f>-(6*F820*J820*L820*N820*SIN(RADIANS(E820))+6*O820*N820*G820*SIN(RADIANS(E820))*COS(RADIANS(E820)))/(12*N820*COS(RADIANS(E820))^2+L820*G820^2*SIN(RADIANS(E820))^2)</f>
        <v/>
      </c>
      <c r="R820" s="28">
        <f>-P820*SIN(RADIANS(E820))</f>
        <v/>
      </c>
      <c r="S820" s="8">
        <f>(O820+P820*COS(RADIANS(E820)))/L820</f>
        <v/>
      </c>
      <c r="T820" s="8">
        <f>R820/L820</f>
        <v/>
      </c>
      <c r="U820" s="8">
        <f>(Q820-P820*G820*SIN(RADIANS(E820)))/M820</f>
        <v/>
      </c>
      <c r="V820" s="8">
        <f>SQRT((S820+U820)^2+3*T820^2)</f>
        <v/>
      </c>
      <c r="W820" s="8">
        <f>V820/AA820</f>
        <v/>
      </c>
      <c r="X820" s="27">
        <f>((3*10+H820/COS(RADIANS(E820)))*(3+3)+3*G820*H820)*2</f>
        <v/>
      </c>
      <c r="Y820" s="28">
        <f>Z820/X820</f>
        <v/>
      </c>
      <c r="Z820" s="29" t="n">
        <v>560.362487453753</v>
      </c>
      <c r="AA820" s="20" t="n">
        <v>54.1706873260308</v>
      </c>
      <c r="AB820" t="n">
        <v>0.05316867952322026</v>
      </c>
      <c r="AC820" t="n">
        <v>52.92317435051506</v>
      </c>
      <c r="AD820" t="n">
        <v>7.40718213844731</v>
      </c>
    </row>
    <row r="821">
      <c r="A821" t="n">
        <v>820</v>
      </c>
      <c r="B821" t="n">
        <v>62.5</v>
      </c>
      <c r="C821" s="21">
        <f>B821-20</f>
        <v/>
      </c>
      <c r="D821" t="n">
        <v>129.6</v>
      </c>
      <c r="E821" s="22">
        <f>D821-90</f>
        <v/>
      </c>
      <c r="F821" s="23" t="n">
        <v>0.012277</v>
      </c>
      <c r="G821" s="22" t="n">
        <v>25.1</v>
      </c>
      <c r="H821" s="22" t="n">
        <v>1.2</v>
      </c>
      <c r="I821" s="24" t="n">
        <v>0.0540766716003418</v>
      </c>
      <c r="J821" s="6" t="n">
        <v>71000</v>
      </c>
      <c r="K821" s="25">
        <f>23*10^-6</f>
        <v/>
      </c>
      <c r="L821" s="8">
        <f>H821</f>
        <v/>
      </c>
      <c r="M821" s="26">
        <f>H821^2/6</f>
        <v/>
      </c>
      <c r="N821" s="26">
        <f>H821^3/12</f>
        <v/>
      </c>
      <c r="O821" s="27">
        <f>-J821*L821*K821*C821</f>
        <v/>
      </c>
      <c r="P821" s="28">
        <f>-(12*F821*J821*L821*N821+12*O821*N821*G821*COS(RADIANS(E821)))/(12*N821*G821*COS(RADIANS(E821))^2+L821*G821^3*SIN(RADIANS(E821))^2)</f>
        <v/>
      </c>
      <c r="Q821" s="28">
        <f>-(6*F821*J821*L821*N821*SIN(RADIANS(E821))+6*O821*N821*G821*SIN(RADIANS(E821))*COS(RADIANS(E821)))/(12*N821*COS(RADIANS(E821))^2+L821*G821^2*SIN(RADIANS(E821))^2)</f>
        <v/>
      </c>
      <c r="R821" s="28">
        <f>-P821*SIN(RADIANS(E821))</f>
        <v/>
      </c>
      <c r="S821" s="8">
        <f>(O821+P821*COS(RADIANS(E821)))/L821</f>
        <v/>
      </c>
      <c r="T821" s="8">
        <f>R821/L821</f>
        <v/>
      </c>
      <c r="U821" s="8">
        <f>(Q821-P821*G821*SIN(RADIANS(E821)))/M821</f>
        <v/>
      </c>
      <c r="V821" s="8">
        <f>SQRT((S821+U821)^2+3*T821^2)</f>
        <v/>
      </c>
      <c r="W821" s="8">
        <f>V821/AA821</f>
        <v/>
      </c>
      <c r="X821" s="27">
        <f>((3*10+H821/COS(RADIANS(E821)))*(3+3)+3*G821*H821)*2</f>
        <v/>
      </c>
      <c r="Y821" s="28">
        <f>Z821/X821</f>
        <v/>
      </c>
      <c r="Z821" s="29" t="n">
        <v>569.990540509533</v>
      </c>
      <c r="AA821" s="20" t="n">
        <v>57.2504588715389</v>
      </c>
      <c r="AB821" t="n">
        <v>0.0531204772022436</v>
      </c>
      <c r="AC821" t="n">
        <v>60.47405145955356</v>
      </c>
      <c r="AD821" t="n">
        <v>-1.768219769820591</v>
      </c>
    </row>
    <row r="822">
      <c r="A822" t="n">
        <v>821</v>
      </c>
      <c r="B822" t="n">
        <v>63.6</v>
      </c>
      <c r="C822" s="21">
        <f>B822-20</f>
        <v/>
      </c>
      <c r="D822" t="n">
        <v>129.1</v>
      </c>
      <c r="E822" s="22">
        <f>D822-90</f>
        <v/>
      </c>
      <c r="F822" s="23" t="n">
        <v>0.015094</v>
      </c>
      <c r="G822" s="22" t="n">
        <v>31.4</v>
      </c>
      <c r="H822" s="22" t="n">
        <v>1.5</v>
      </c>
      <c r="I822" s="24" t="n">
        <v>0.0645990446209907</v>
      </c>
      <c r="J822" s="6" t="n">
        <v>71000</v>
      </c>
      <c r="K822" s="25">
        <f>23*10^-6</f>
        <v/>
      </c>
      <c r="L822" s="8">
        <f>H822</f>
        <v/>
      </c>
      <c r="M822" s="26">
        <f>H822^2/6</f>
        <v/>
      </c>
      <c r="N822" s="26">
        <f>H822^3/12</f>
        <v/>
      </c>
      <c r="O822" s="27">
        <f>-J822*L822*K822*C822</f>
        <v/>
      </c>
      <c r="P822" s="28">
        <f>-(12*F822*J822*L822*N822+12*O822*N822*G822*COS(RADIANS(E822)))/(12*N822*G822*COS(RADIANS(E822))^2+L822*G822^3*SIN(RADIANS(E822))^2)</f>
        <v/>
      </c>
      <c r="Q822" s="28">
        <f>-(6*F822*J822*L822*N822*SIN(RADIANS(E822))+6*O822*N822*G822*SIN(RADIANS(E822))*COS(RADIANS(E822)))/(12*N822*COS(RADIANS(E822))^2+L822*G822^2*SIN(RADIANS(E822))^2)</f>
        <v/>
      </c>
      <c r="R822" s="28">
        <f>-P822*SIN(RADIANS(E822))</f>
        <v/>
      </c>
      <c r="S822" s="8">
        <f>(O822+P822*COS(RADIANS(E822)))/L822</f>
        <v/>
      </c>
      <c r="T822" s="8">
        <f>R822/L822</f>
        <v/>
      </c>
      <c r="U822" s="8">
        <f>(Q822-P822*G822*SIN(RADIANS(E822)))/M822</f>
        <v/>
      </c>
      <c r="V822" s="8">
        <f>SQRT((S822+U822)^2+3*T822^2)</f>
        <v/>
      </c>
      <c r="W822" s="8">
        <f>V822/AA822</f>
        <v/>
      </c>
      <c r="X822" s="27">
        <f>((3*10+H822/COS(RADIANS(E822)))*(3+3)+3*G822*H822)*2</f>
        <v/>
      </c>
      <c r="Y822" s="28">
        <f>Z822/X822</f>
        <v/>
      </c>
      <c r="Z822" s="29" t="n">
        <v>676.154104163376</v>
      </c>
      <c r="AA822" s="20" t="n">
        <v>61.7611677741189</v>
      </c>
      <c r="AB822" t="n">
        <v>0.06822236581252869</v>
      </c>
      <c r="AC822" t="n">
        <v>62.41746636846546</v>
      </c>
      <c r="AD822" t="n">
        <v>5.608939285087565</v>
      </c>
    </row>
    <row r="823">
      <c r="A823" t="n">
        <v>822</v>
      </c>
      <c r="B823" t="n">
        <v>69.8</v>
      </c>
      <c r="C823" s="21">
        <f>B823-20</f>
        <v/>
      </c>
      <c r="D823" t="n">
        <v>111.4</v>
      </c>
      <c r="E823" s="22">
        <f>D823-90</f>
        <v/>
      </c>
      <c r="F823" s="23" t="n">
        <v>0.021537</v>
      </c>
      <c r="G823" s="22" t="n">
        <v>34.3</v>
      </c>
      <c r="H823" s="22" t="n">
        <v>1.8</v>
      </c>
      <c r="I823" s="24" t="n">
        <v>0.118015609681606</v>
      </c>
      <c r="J823" s="6" t="n">
        <v>71000</v>
      </c>
      <c r="K823" s="25">
        <f>23*10^-6</f>
        <v/>
      </c>
      <c r="L823" s="8">
        <f>H823</f>
        <v/>
      </c>
      <c r="M823" s="26">
        <f>H823^2/6</f>
        <v/>
      </c>
      <c r="N823" s="26">
        <f>H823^3/12</f>
        <v/>
      </c>
      <c r="O823" s="27">
        <f>-J823*L823*K823*C823</f>
        <v/>
      </c>
      <c r="P823" s="28">
        <f>-(12*F823*J823*L823*N823+12*O823*N823*G823*COS(RADIANS(E823)))/(12*N823*G823*COS(RADIANS(E823))^2+L823*G823^3*SIN(RADIANS(E823))^2)</f>
        <v/>
      </c>
      <c r="Q823" s="28">
        <f>-(6*F823*J823*L823*N823*SIN(RADIANS(E823))+6*O823*N823*G823*SIN(RADIANS(E823))*COS(RADIANS(E823)))/(12*N823*COS(RADIANS(E823))^2+L823*G823^2*SIN(RADIANS(E823))^2)</f>
        <v/>
      </c>
      <c r="R823" s="28">
        <f>-P823*SIN(RADIANS(E823))</f>
        <v/>
      </c>
      <c r="S823" s="8">
        <f>(O823+P823*COS(RADIANS(E823)))/L823</f>
        <v/>
      </c>
      <c r="T823" s="8">
        <f>R823/L823</f>
        <v/>
      </c>
      <c r="U823" s="8">
        <f>(Q823-P823*G823*SIN(RADIANS(E823)))/M823</f>
        <v/>
      </c>
      <c r="V823" s="8">
        <f>SQRT((S823+U823)^2+3*T823^2)</f>
        <v/>
      </c>
      <c r="W823" s="8">
        <f>V823/AA823</f>
        <v/>
      </c>
      <c r="X823" s="27">
        <f>((3*10+H823/COS(RADIANS(E823)))*(3+3)+3*G823*H823)*2</f>
        <v/>
      </c>
      <c r="Y823" s="28">
        <f>Z823/X823</f>
        <v/>
      </c>
      <c r="Z823" s="29" t="n">
        <v>758.850284944961</v>
      </c>
      <c r="AA823" s="20" t="n">
        <v>79.0401959435395</v>
      </c>
      <c r="AB823" t="n">
        <v>0.1596139862363831</v>
      </c>
      <c r="AC823" t="n">
        <v>77.25868679582966</v>
      </c>
      <c r="AD823" t="n">
        <v>35.24819866372361</v>
      </c>
    </row>
    <row r="824">
      <c r="A824" t="n">
        <v>823</v>
      </c>
      <c r="B824" t="n">
        <v>82.8</v>
      </c>
      <c r="C824" s="21">
        <f>B824-20</f>
        <v/>
      </c>
      <c r="D824" t="n">
        <v>122.7</v>
      </c>
      <c r="E824" s="22">
        <f>D824-90</f>
        <v/>
      </c>
      <c r="F824" s="23" t="n">
        <v>0.023815</v>
      </c>
      <c r="G824" s="22" t="n">
        <v>32.4</v>
      </c>
      <c r="H824" s="22" t="n">
        <v>1.1</v>
      </c>
      <c r="I824" s="24" t="n">
        <v>0.105987638235092</v>
      </c>
      <c r="J824" s="6" t="n">
        <v>71000</v>
      </c>
      <c r="K824" s="25">
        <f>23*10^-6</f>
        <v/>
      </c>
      <c r="L824" s="8">
        <f>H824</f>
        <v/>
      </c>
      <c r="M824" s="26">
        <f>H824^2/6</f>
        <v/>
      </c>
      <c r="N824" s="26">
        <f>H824^3/12</f>
        <v/>
      </c>
      <c r="O824" s="27">
        <f>-J824*L824*K824*C824</f>
        <v/>
      </c>
      <c r="P824" s="28">
        <f>-(12*F824*J824*L824*N824+12*O824*N824*G824*COS(RADIANS(E824)))/(12*N824*G824*COS(RADIANS(E824))^2+L824*G824^3*SIN(RADIANS(E824))^2)</f>
        <v/>
      </c>
      <c r="Q824" s="28">
        <f>-(6*F824*J824*L824*N824*SIN(RADIANS(E824))+6*O824*N824*G824*SIN(RADIANS(E824))*COS(RADIANS(E824)))/(12*N824*COS(RADIANS(E824))^2+L824*G824^2*SIN(RADIANS(E824))^2)</f>
        <v/>
      </c>
      <c r="R824" s="28">
        <f>-P824*SIN(RADIANS(E824))</f>
        <v/>
      </c>
      <c r="S824" s="8">
        <f>(O824+P824*COS(RADIANS(E824)))/L824</f>
        <v/>
      </c>
      <c r="T824" s="8">
        <f>R824/L824</f>
        <v/>
      </c>
      <c r="U824" s="8">
        <f>(Q824-P824*G824*SIN(RADIANS(E824)))/M824</f>
        <v/>
      </c>
      <c r="V824" s="8">
        <f>SQRT((S824+U824)^2+3*T824^2)</f>
        <v/>
      </c>
      <c r="W824" s="8">
        <f>V824/AA824</f>
        <v/>
      </c>
      <c r="X824" s="27">
        <f>((3*10+H824/COS(RADIANS(E824)))*(3+3)+3*G824*H824)*2</f>
        <v/>
      </c>
      <c r="Y824" s="28">
        <f>Z824/X824</f>
        <v/>
      </c>
      <c r="Z824" s="29" t="n">
        <v>597.4798366002479</v>
      </c>
      <c r="AA824" s="20" t="n">
        <v>84.0956752944812</v>
      </c>
      <c r="AB824" t="n">
        <v>0.123333508558965</v>
      </c>
      <c r="AC824" t="n">
        <v>89.52979753812824</v>
      </c>
      <c r="AD824" t="n">
        <v>16.36593720995837</v>
      </c>
    </row>
    <row r="825">
      <c r="A825" t="n">
        <v>824</v>
      </c>
      <c r="B825" t="n">
        <v>55.8</v>
      </c>
      <c r="C825" s="21">
        <f>B825-20</f>
        <v/>
      </c>
      <c r="D825" t="n">
        <v>121.7</v>
      </c>
      <c r="E825" s="22">
        <f>D825-90</f>
        <v/>
      </c>
      <c r="F825" s="23" t="n">
        <v>0.010261</v>
      </c>
      <c r="G825" s="22" t="n">
        <v>22.5</v>
      </c>
      <c r="H825" s="22" t="n">
        <v>1.6</v>
      </c>
      <c r="I825" s="24" t="n">
        <v>0.0488600246608257</v>
      </c>
      <c r="J825" s="6" t="n">
        <v>71000</v>
      </c>
      <c r="K825" s="25">
        <f>23*10^-6</f>
        <v/>
      </c>
      <c r="L825" s="8">
        <f>H825</f>
        <v/>
      </c>
      <c r="M825" s="26">
        <f>H825^2/6</f>
        <v/>
      </c>
      <c r="N825" s="26">
        <f>H825^3/12</f>
        <v/>
      </c>
      <c r="O825" s="27">
        <f>-J825*L825*K825*C825</f>
        <v/>
      </c>
      <c r="P825" s="28">
        <f>-(12*F825*J825*L825*N825+12*O825*N825*G825*COS(RADIANS(E825)))/(12*N825*G825*COS(RADIANS(E825))^2+L825*G825^3*SIN(RADIANS(E825))^2)</f>
        <v/>
      </c>
      <c r="Q825" s="28">
        <f>-(6*F825*J825*L825*N825*SIN(RADIANS(E825))+6*O825*N825*G825*SIN(RADIANS(E825))*COS(RADIANS(E825)))/(12*N825*COS(RADIANS(E825))^2+L825*G825^2*SIN(RADIANS(E825))^2)</f>
        <v/>
      </c>
      <c r="R825" s="28">
        <f>-P825*SIN(RADIANS(E825))</f>
        <v/>
      </c>
      <c r="S825" s="8">
        <f>(O825+P825*COS(RADIANS(E825)))/L825</f>
        <v/>
      </c>
      <c r="T825" s="8">
        <f>R825/L825</f>
        <v/>
      </c>
      <c r="U825" s="8">
        <f>(Q825-P825*G825*SIN(RADIANS(E825)))/M825</f>
        <v/>
      </c>
      <c r="V825" s="8">
        <f>SQRT((S825+U825)^2+3*T825^2)</f>
        <v/>
      </c>
      <c r="W825" s="8">
        <f>V825/AA825</f>
        <v/>
      </c>
      <c r="X825" s="27">
        <f>((3*10+H825/COS(RADIANS(E825)))*(3+3)+3*G825*H825)*2</f>
        <v/>
      </c>
      <c r="Y825" s="28">
        <f>Z825/X825</f>
        <v/>
      </c>
      <c r="Z825" s="29" t="n">
        <v>606.208706863465</v>
      </c>
      <c r="AA825" s="20" t="n">
        <v>56.3325829073076</v>
      </c>
      <c r="AB825" t="n">
        <v>0.05111004306946917</v>
      </c>
      <c r="AC825" t="n">
        <v>53.58530373373208</v>
      </c>
      <c r="AD825" t="n">
        <v>4.605029212045119</v>
      </c>
    </row>
    <row r="826">
      <c r="A826" t="n">
        <v>825</v>
      </c>
      <c r="B826" t="n">
        <v>70.59999999999999</v>
      </c>
      <c r="C826" s="21">
        <f>B826-20</f>
        <v/>
      </c>
      <c r="D826" t="n">
        <v>114.4</v>
      </c>
      <c r="E826" s="22">
        <f>D826-90</f>
        <v/>
      </c>
      <c r="F826" s="23" t="n">
        <v>0.015753</v>
      </c>
      <c r="G826" s="22" t="n">
        <v>23.4</v>
      </c>
      <c r="H826" s="22" t="n">
        <v>1.7</v>
      </c>
      <c r="I826" s="24" t="n">
        <v>0.0839422196149826</v>
      </c>
      <c r="J826" s="6" t="n">
        <v>71000</v>
      </c>
      <c r="K826" s="25">
        <f>23*10^-6</f>
        <v/>
      </c>
      <c r="L826" s="8">
        <f>H826</f>
        <v/>
      </c>
      <c r="M826" s="26">
        <f>H826^2/6</f>
        <v/>
      </c>
      <c r="N826" s="26">
        <f>H826^3/12</f>
        <v/>
      </c>
      <c r="O826" s="27">
        <f>-J826*L826*K826*C826</f>
        <v/>
      </c>
      <c r="P826" s="28">
        <f>-(12*F826*J826*L826*N826+12*O826*N826*G826*COS(RADIANS(E826)))/(12*N826*G826*COS(RADIANS(E826))^2+L826*G826^3*SIN(RADIANS(E826))^2)</f>
        <v/>
      </c>
      <c r="Q826" s="28">
        <f>-(6*F826*J826*L826*N826*SIN(RADIANS(E826))+6*O826*N826*G826*SIN(RADIANS(E826))*COS(RADIANS(E826)))/(12*N826*COS(RADIANS(E826))^2+L826*G826^2*SIN(RADIANS(E826))^2)</f>
        <v/>
      </c>
      <c r="R826" s="28">
        <f>-P826*SIN(RADIANS(E826))</f>
        <v/>
      </c>
      <c r="S826" s="8">
        <f>(O826+P826*COS(RADIANS(E826)))/L826</f>
        <v/>
      </c>
      <c r="T826" s="8">
        <f>R826/L826</f>
        <v/>
      </c>
      <c r="U826" s="8">
        <f>(Q826-P826*G826*SIN(RADIANS(E826)))/M826</f>
        <v/>
      </c>
      <c r="V826" s="8">
        <f>SQRT((S826+U826)^2+3*T826^2)</f>
        <v/>
      </c>
      <c r="W826" s="8">
        <f>V826/AA826</f>
        <v/>
      </c>
      <c r="X826" s="27">
        <f>((3*10+H826/COS(RADIANS(E826)))*(3+3)+3*G826*H826)*2</f>
        <v/>
      </c>
      <c r="Y826" s="28">
        <f>Z826/X826</f>
        <v/>
      </c>
      <c r="Z826" s="29" t="n">
        <v>626.868210049463</v>
      </c>
      <c r="AA826" s="20" t="n">
        <v>82.45941835091151</v>
      </c>
      <c r="AB826" t="n">
        <v>0.09795518872549019</v>
      </c>
      <c r="AC826" t="n">
        <v>78.95722682156106</v>
      </c>
      <c r="AD826" t="n">
        <v>16.69358896486275</v>
      </c>
    </row>
    <row r="827">
      <c r="A827" t="n">
        <v>826</v>
      </c>
      <c r="B827" t="n">
        <v>41.1</v>
      </c>
      <c r="C827" s="21">
        <f>B827-20</f>
        <v/>
      </c>
      <c r="D827" t="n">
        <v>122.4</v>
      </c>
      <c r="E827" s="22">
        <f>D827-90</f>
        <v/>
      </c>
      <c r="F827" s="23" t="n">
        <v>0.006541</v>
      </c>
      <c r="G827" s="22" t="n">
        <v>25.1</v>
      </c>
      <c r="H827" s="22" t="n">
        <v>1.6</v>
      </c>
      <c r="I827" s="24" t="n">
        <v>0.030382502824068</v>
      </c>
      <c r="J827" s="6" t="n">
        <v>71000</v>
      </c>
      <c r="K827" s="25">
        <f>23*10^-6</f>
        <v/>
      </c>
      <c r="L827" s="8">
        <f>H827</f>
        <v/>
      </c>
      <c r="M827" s="26">
        <f>H827^2/6</f>
        <v/>
      </c>
      <c r="N827" s="26">
        <f>H827^3/12</f>
        <v/>
      </c>
      <c r="O827" s="27">
        <f>-J827*L827*K827*C827</f>
        <v/>
      </c>
      <c r="P827" s="28">
        <f>-(12*F827*J827*L827*N827+12*O827*N827*G827*COS(RADIANS(E827)))/(12*N827*G827*COS(RADIANS(E827))^2+L827*G827^3*SIN(RADIANS(E827))^2)</f>
        <v/>
      </c>
      <c r="Q827" s="28">
        <f>-(6*F827*J827*L827*N827*SIN(RADIANS(E827))+6*O827*N827*G827*SIN(RADIANS(E827))*COS(RADIANS(E827)))/(12*N827*COS(RADIANS(E827))^2+L827*G827^2*SIN(RADIANS(E827))^2)</f>
        <v/>
      </c>
      <c r="R827" s="28">
        <f>-P827*SIN(RADIANS(E827))</f>
        <v/>
      </c>
      <c r="S827" s="8">
        <f>(O827+P827*COS(RADIANS(E827)))/L827</f>
        <v/>
      </c>
      <c r="T827" s="8">
        <f>R827/L827</f>
        <v/>
      </c>
      <c r="U827" s="8">
        <f>(Q827-P827*G827*SIN(RADIANS(E827)))/M827</f>
        <v/>
      </c>
      <c r="V827" s="8">
        <f>SQRT((S827+U827)^2+3*T827^2)</f>
        <v/>
      </c>
      <c r="W827" s="8">
        <f>V827/AA827</f>
        <v/>
      </c>
      <c r="X827" s="27">
        <f>((3*10+H827/COS(RADIANS(E827)))*(3+3)+3*G827*H827)*2</f>
        <v/>
      </c>
      <c r="Y827" s="28">
        <f>Z827/X827</f>
        <v/>
      </c>
      <c r="Z827" s="29" t="n">
        <v>631.558584014275</v>
      </c>
      <c r="AA827" s="20" t="n">
        <v>32.5470857562829</v>
      </c>
      <c r="AB827" t="n">
        <v>0.0326684947616899</v>
      </c>
      <c r="AC827" t="n">
        <v>31.31464356118505</v>
      </c>
      <c r="AD827" t="n">
        <v>7.524040895705994</v>
      </c>
    </row>
    <row r="828">
      <c r="A828" t="n">
        <v>827</v>
      </c>
      <c r="B828" t="n">
        <v>53.1</v>
      </c>
      <c r="C828" s="21">
        <f>B828-20</f>
        <v/>
      </c>
      <c r="D828" t="n">
        <v>113.4</v>
      </c>
      <c r="E828" s="22">
        <f>D828-90</f>
        <v/>
      </c>
      <c r="F828" s="23" t="n">
        <v>0.009294</v>
      </c>
      <c r="G828" s="22" t="n">
        <v>20.3</v>
      </c>
      <c r="H828" s="22" t="n">
        <v>1.9</v>
      </c>
      <c r="I828" s="24" t="n">
        <v>0.0513230115175247</v>
      </c>
      <c r="J828" s="6" t="n">
        <v>71000</v>
      </c>
      <c r="K828" s="25">
        <f>23*10^-6</f>
        <v/>
      </c>
      <c r="L828" s="8">
        <f>H828</f>
        <v/>
      </c>
      <c r="M828" s="26">
        <f>H828^2/6</f>
        <v/>
      </c>
      <c r="N828" s="26">
        <f>H828^3/12</f>
        <v/>
      </c>
      <c r="O828" s="27">
        <f>-J828*L828*K828*C828</f>
        <v/>
      </c>
      <c r="P828" s="28">
        <f>-(12*F828*J828*L828*N828+12*O828*N828*G828*COS(RADIANS(E828)))/(12*N828*G828*COS(RADIANS(E828))^2+L828*G828^3*SIN(RADIANS(E828))^2)</f>
        <v/>
      </c>
      <c r="Q828" s="28">
        <f>-(6*F828*J828*L828*N828*SIN(RADIANS(E828))+6*O828*N828*G828*SIN(RADIANS(E828))*COS(RADIANS(E828)))/(12*N828*COS(RADIANS(E828))^2+L828*G828^2*SIN(RADIANS(E828))^2)</f>
        <v/>
      </c>
      <c r="R828" s="28">
        <f>-P828*SIN(RADIANS(E828))</f>
        <v/>
      </c>
      <c r="S828" s="8">
        <f>(O828+P828*COS(RADIANS(E828)))/L828</f>
        <v/>
      </c>
      <c r="T828" s="8">
        <f>R828/L828</f>
        <v/>
      </c>
      <c r="U828" s="8">
        <f>(Q828-P828*G828*SIN(RADIANS(E828)))/M828</f>
        <v/>
      </c>
      <c r="V828" s="8">
        <f>SQRT((S828+U828)^2+3*T828^2)</f>
        <v/>
      </c>
      <c r="W828" s="8">
        <f>V828/AA828</f>
        <v/>
      </c>
      <c r="X828" s="27">
        <f>((3*10+H828/COS(RADIANS(E828)))*(3+3)+3*G828*H828)*2</f>
        <v/>
      </c>
      <c r="Y828" s="28">
        <f>Z828/X828</f>
        <v/>
      </c>
      <c r="Z828" s="29" t="n">
        <v>621.847651851199</v>
      </c>
      <c r="AA828" s="20" t="n">
        <v>58.0108036602682</v>
      </c>
      <c r="AB828" t="n">
        <v>0.05751211841394355</v>
      </c>
      <c r="AC828" t="n">
        <v>53.27455131242228</v>
      </c>
      <c r="AD828" t="n">
        <v>12.05912652710477</v>
      </c>
    </row>
    <row r="829">
      <c r="A829" t="n">
        <v>828</v>
      </c>
      <c r="B829" t="n">
        <v>66.2</v>
      </c>
      <c r="C829" s="21">
        <f>B829-20</f>
        <v/>
      </c>
      <c r="D829" t="n">
        <v>124.6</v>
      </c>
      <c r="E829" s="22">
        <f>D829-90</f>
        <v/>
      </c>
      <c r="F829" s="23" t="n">
        <v>0.015862</v>
      </c>
      <c r="G829" s="22" t="n">
        <v>29.3</v>
      </c>
      <c r="H829" s="22" t="n">
        <v>1.2</v>
      </c>
      <c r="I829" s="24" t="n">
        <v>0.07036182284355159</v>
      </c>
      <c r="J829" s="6" t="n">
        <v>71000</v>
      </c>
      <c r="K829" s="25">
        <f>23*10^-6</f>
        <v/>
      </c>
      <c r="L829" s="8">
        <f>H829</f>
        <v/>
      </c>
      <c r="M829" s="26">
        <f>H829^2/6</f>
        <v/>
      </c>
      <c r="N829" s="26">
        <f>H829^3/12</f>
        <v/>
      </c>
      <c r="O829" s="27">
        <f>-J829*L829*K829*C829</f>
        <v/>
      </c>
      <c r="P829" s="28">
        <f>-(12*F829*J829*L829*N829+12*O829*N829*G829*COS(RADIANS(E829)))/(12*N829*G829*COS(RADIANS(E829))^2+L829*G829^3*SIN(RADIANS(E829))^2)</f>
        <v/>
      </c>
      <c r="Q829" s="28">
        <f>-(6*F829*J829*L829*N829*SIN(RADIANS(E829))+6*O829*N829*G829*SIN(RADIANS(E829))*COS(RADIANS(E829)))/(12*N829*COS(RADIANS(E829))^2+L829*G829^2*SIN(RADIANS(E829))^2)</f>
        <v/>
      </c>
      <c r="R829" s="28">
        <f>-P829*SIN(RADIANS(E829))</f>
        <v/>
      </c>
      <c r="S829" s="8">
        <f>(O829+P829*COS(RADIANS(E829)))/L829</f>
        <v/>
      </c>
      <c r="T829" s="8">
        <f>R829/L829</f>
        <v/>
      </c>
      <c r="U829" s="8">
        <f>(Q829-P829*G829*SIN(RADIANS(E829)))/M829</f>
        <v/>
      </c>
      <c r="V829" s="8">
        <f>SQRT((S829+U829)^2+3*T829^2)</f>
        <v/>
      </c>
      <c r="W829" s="8">
        <f>V829/AA829</f>
        <v/>
      </c>
      <c r="X829" s="27">
        <f>((3*10+H829/COS(RADIANS(E829)))*(3+3)+3*G829*H829)*2</f>
        <v/>
      </c>
      <c r="Y829" s="28">
        <f>Z829/X829</f>
        <v/>
      </c>
      <c r="Z829" s="29" t="n">
        <v>597.044465708629</v>
      </c>
      <c r="AA829" s="20" t="n">
        <v>63.6531062395884</v>
      </c>
      <c r="AB829" t="n">
        <v>0.07751100672861316</v>
      </c>
      <c r="AC829" t="n">
        <v>66.16561822476548</v>
      </c>
      <c r="AD829" t="n">
        <v>10.16060072940075</v>
      </c>
    </row>
    <row r="830">
      <c r="A830" t="n">
        <v>829</v>
      </c>
      <c r="B830" t="n">
        <v>46.4</v>
      </c>
      <c r="C830" s="21">
        <f>B830-20</f>
        <v/>
      </c>
      <c r="D830" t="n">
        <v>106.5</v>
      </c>
      <c r="E830" s="22">
        <f>D830-90</f>
        <v/>
      </c>
      <c r="F830" s="23" t="n">
        <v>0.011559</v>
      </c>
      <c r="G830" s="22" t="n">
        <v>33.8</v>
      </c>
      <c r="H830" s="22" t="n">
        <v>1.1</v>
      </c>
      <c r="I830" s="24" t="n">
        <v>0.07627563178539271</v>
      </c>
      <c r="J830" s="6" t="n">
        <v>71000</v>
      </c>
      <c r="K830" s="25">
        <f>23*10^-6</f>
        <v/>
      </c>
      <c r="L830" s="8">
        <f>H830</f>
        <v/>
      </c>
      <c r="M830" s="26">
        <f>H830^2/6</f>
        <v/>
      </c>
      <c r="N830" s="26">
        <f>H830^3/12</f>
        <v/>
      </c>
      <c r="O830" s="27">
        <f>-J830*L830*K830*C830</f>
        <v/>
      </c>
      <c r="P830" s="28">
        <f>-(12*F830*J830*L830*N830+12*O830*N830*G830*COS(RADIANS(E830)))/(12*N830*G830*COS(RADIANS(E830))^2+L830*G830^3*SIN(RADIANS(E830))^2)</f>
        <v/>
      </c>
      <c r="Q830" s="28">
        <f>-(6*F830*J830*L830*N830*SIN(RADIANS(E830))+6*O830*N830*G830*SIN(RADIANS(E830))*COS(RADIANS(E830)))/(12*N830*COS(RADIANS(E830))^2+L830*G830^2*SIN(RADIANS(E830))^2)</f>
        <v/>
      </c>
      <c r="R830" s="28">
        <f>-P830*SIN(RADIANS(E830))</f>
        <v/>
      </c>
      <c r="S830" s="8">
        <f>(O830+P830*COS(RADIANS(E830)))/L830</f>
        <v/>
      </c>
      <c r="T830" s="8">
        <f>R830/L830</f>
        <v/>
      </c>
      <c r="U830" s="8">
        <f>(Q830-P830*G830*SIN(RADIANS(E830)))/M830</f>
        <v/>
      </c>
      <c r="V830" s="8">
        <f>SQRT((S830+U830)^2+3*T830^2)</f>
        <v/>
      </c>
      <c r="W830" s="8">
        <f>V830/AA830</f>
        <v/>
      </c>
      <c r="X830" s="27">
        <f>((3*10+H830/COS(RADIANS(E830)))*(3+3)+3*G830*H830)*2</f>
        <v/>
      </c>
      <c r="Y830" s="28">
        <f>Z830/X830</f>
        <v/>
      </c>
      <c r="Z830" s="29" t="n">
        <v>601.311328939785</v>
      </c>
      <c r="AA830" s="20" t="n">
        <v>37.7604043253783</v>
      </c>
      <c r="AB830" t="n">
        <v>0.1099168688670916</v>
      </c>
      <c r="AC830" t="n">
        <v>40.0484437582011</v>
      </c>
      <c r="AD830" t="n">
        <v>44.10482914956517</v>
      </c>
    </row>
    <row r="831">
      <c r="A831" t="n">
        <v>830</v>
      </c>
      <c r="B831" t="n">
        <v>63.4</v>
      </c>
      <c r="C831" s="21">
        <f>B831-20</f>
        <v/>
      </c>
      <c r="D831" t="n">
        <v>116.3</v>
      </c>
      <c r="E831" s="22">
        <f>D831-90</f>
        <v/>
      </c>
      <c r="F831" s="23" t="n">
        <v>0.014589</v>
      </c>
      <c r="G831" s="22" t="n">
        <v>26.2</v>
      </c>
      <c r="H831" s="22" t="n">
        <v>1.8</v>
      </c>
      <c r="I831" s="24" t="n">
        <v>0.0736298561096191</v>
      </c>
      <c r="J831" s="6" t="n">
        <v>71000</v>
      </c>
      <c r="K831" s="25">
        <f>23*10^-6</f>
        <v/>
      </c>
      <c r="L831" s="8">
        <f>H831</f>
        <v/>
      </c>
      <c r="M831" s="26">
        <f>H831^2/6</f>
        <v/>
      </c>
      <c r="N831" s="26">
        <f>H831^3/12</f>
        <v/>
      </c>
      <c r="O831" s="27">
        <f>-J831*L831*K831*C831</f>
        <v/>
      </c>
      <c r="P831" s="28">
        <f>-(12*F831*J831*L831*N831+12*O831*N831*G831*COS(RADIANS(E831)))/(12*N831*G831*COS(RADIANS(E831))^2+L831*G831^3*SIN(RADIANS(E831))^2)</f>
        <v/>
      </c>
      <c r="Q831" s="28">
        <f>-(6*F831*J831*L831*N831*SIN(RADIANS(E831))+6*O831*N831*G831*SIN(RADIANS(E831))*COS(RADIANS(E831)))/(12*N831*COS(RADIANS(E831))^2+L831*G831^2*SIN(RADIANS(E831))^2)</f>
        <v/>
      </c>
      <c r="R831" s="28">
        <f>-P831*SIN(RADIANS(E831))</f>
        <v/>
      </c>
      <c r="S831" s="8">
        <f>(O831+P831*COS(RADIANS(E831)))/L831</f>
        <v/>
      </c>
      <c r="T831" s="8">
        <f>R831/L831</f>
        <v/>
      </c>
      <c r="U831" s="8">
        <f>(Q831-P831*G831*SIN(RADIANS(E831)))/M831</f>
        <v/>
      </c>
      <c r="V831" s="8">
        <f>SQRT((S831+U831)^2+3*T831^2)</f>
        <v/>
      </c>
      <c r="W831" s="8">
        <f>V831/AA831</f>
        <v/>
      </c>
      <c r="X831" s="27">
        <f>((3*10+H831/COS(RADIANS(E831)))*(3+3)+3*G831*H831)*2</f>
        <v/>
      </c>
      <c r="Y831" s="28">
        <f>Z831/X831</f>
        <v/>
      </c>
      <c r="Z831" s="29" t="n">
        <v>673.2588722432459</v>
      </c>
      <c r="AA831" s="20" t="n">
        <v>70.18457227294439</v>
      </c>
      <c r="AB831" t="n">
        <v>0.08673053208259221</v>
      </c>
      <c r="AC831" t="n">
        <v>66.88324505158462</v>
      </c>
      <c r="AD831" t="n">
        <v>17.79261384603144</v>
      </c>
    </row>
    <row r="832">
      <c r="A832" t="n">
        <v>831</v>
      </c>
      <c r="B832" t="n">
        <v>51.7</v>
      </c>
      <c r="C832" s="21">
        <f>B832-20</f>
        <v/>
      </c>
      <c r="D832" t="n">
        <v>128.8</v>
      </c>
      <c r="E832" s="22">
        <f>D832-90</f>
        <v/>
      </c>
      <c r="F832" s="23" t="n">
        <v>0.008673999999999999</v>
      </c>
      <c r="G832" s="22" t="n">
        <v>23.1</v>
      </c>
      <c r="H832" s="22" t="n">
        <v>1.2</v>
      </c>
      <c r="I832" s="24" t="n">
        <v>0.0388205759227275</v>
      </c>
      <c r="J832" s="6" t="n">
        <v>71000</v>
      </c>
      <c r="K832" s="25">
        <f>23*10^-6</f>
        <v/>
      </c>
      <c r="L832" s="8">
        <f>H832</f>
        <v/>
      </c>
      <c r="M832" s="26">
        <f>H832^2/6</f>
        <v/>
      </c>
      <c r="N832" s="26">
        <f>H832^3/12</f>
        <v/>
      </c>
      <c r="O832" s="27">
        <f>-J832*L832*K832*C832</f>
        <v/>
      </c>
      <c r="P832" s="28">
        <f>-(12*F832*J832*L832*N832+12*O832*N832*G832*COS(RADIANS(E832)))/(12*N832*G832*COS(RADIANS(E832))^2+L832*G832^3*SIN(RADIANS(E832))^2)</f>
        <v/>
      </c>
      <c r="Q832" s="28">
        <f>-(6*F832*J832*L832*N832*SIN(RADIANS(E832))+6*O832*N832*G832*SIN(RADIANS(E832))*COS(RADIANS(E832)))/(12*N832*COS(RADIANS(E832))^2+L832*G832^2*SIN(RADIANS(E832))^2)</f>
        <v/>
      </c>
      <c r="R832" s="28">
        <f>-P832*SIN(RADIANS(E832))</f>
        <v/>
      </c>
      <c r="S832" s="8">
        <f>(O832+P832*COS(RADIANS(E832)))/L832</f>
        <v/>
      </c>
      <c r="T832" s="8">
        <f>R832/L832</f>
        <v/>
      </c>
      <c r="U832" s="8">
        <f>(Q832-P832*G832*SIN(RADIANS(E832)))/M832</f>
        <v/>
      </c>
      <c r="V832" s="8">
        <f>SQRT((S832+U832)^2+3*T832^2)</f>
        <v/>
      </c>
      <c r="W832" s="8">
        <f>V832/AA832</f>
        <v/>
      </c>
      <c r="X832" s="27">
        <f>((3*10+H832/COS(RADIANS(E832)))*(3+3)+3*G832*H832)*2</f>
        <v/>
      </c>
      <c r="Y832" s="28">
        <f>Z832/X832</f>
        <v/>
      </c>
      <c r="Z832" s="29" t="n">
        <v>555.026219363181</v>
      </c>
      <c r="AA832" s="20" t="n">
        <v>44.0386099755998</v>
      </c>
      <c r="AB832" t="n">
        <v>0.03748138588554428</v>
      </c>
      <c r="AC832" t="n">
        <v>45.30429599308228</v>
      </c>
      <c r="AD832" t="n">
        <v>-3.449691317946652</v>
      </c>
    </row>
    <row r="833">
      <c r="A833" t="n">
        <v>832</v>
      </c>
      <c r="B833" t="n">
        <v>80.5</v>
      </c>
      <c r="C833" s="21">
        <f>B833-20</f>
        <v/>
      </c>
      <c r="D833" t="n">
        <v>103.6</v>
      </c>
      <c r="E833" s="22">
        <f>D833-90</f>
        <v/>
      </c>
      <c r="F833" s="23" t="n">
        <v>0.019422</v>
      </c>
      <c r="G833" s="22" t="n">
        <v>22.8</v>
      </c>
      <c r="H833" s="22" t="n">
        <v>1.9</v>
      </c>
      <c r="I833" s="24" t="n">
        <v>0.144627705216407</v>
      </c>
      <c r="J833" s="6" t="n">
        <v>71000</v>
      </c>
      <c r="K833" s="25">
        <f>23*10^-6</f>
        <v/>
      </c>
      <c r="L833" s="8">
        <f>H833</f>
        <v/>
      </c>
      <c r="M833" s="26">
        <f>H833^2/6</f>
        <v/>
      </c>
      <c r="N833" s="26">
        <f>H833^3/12</f>
        <v/>
      </c>
      <c r="O833" s="27">
        <f>-J833*L833*K833*C833</f>
        <v/>
      </c>
      <c r="P833" s="28">
        <f>-(12*F833*J833*L833*N833+12*O833*N833*G833*COS(RADIANS(E833)))/(12*N833*G833*COS(RADIANS(E833))^2+L833*G833^3*SIN(RADIANS(E833))^2)</f>
        <v/>
      </c>
      <c r="Q833" s="28">
        <f>-(6*F833*J833*L833*N833*SIN(RADIANS(E833))+6*O833*N833*G833*SIN(RADIANS(E833))*COS(RADIANS(E833)))/(12*N833*COS(RADIANS(E833))^2+L833*G833^2*SIN(RADIANS(E833))^2)</f>
        <v/>
      </c>
      <c r="R833" s="28">
        <f>-P833*SIN(RADIANS(E833))</f>
        <v/>
      </c>
      <c r="S833" s="8">
        <f>(O833+P833*COS(RADIANS(E833)))/L833</f>
        <v/>
      </c>
      <c r="T833" s="8">
        <f>R833/L833</f>
        <v/>
      </c>
      <c r="U833" s="8">
        <f>(Q833-P833*G833*SIN(RADIANS(E833)))/M833</f>
        <v/>
      </c>
      <c r="V833" s="8">
        <f>SQRT((S833+U833)^2+3*T833^2)</f>
        <v/>
      </c>
      <c r="W833" s="8">
        <f>V833/AA833</f>
        <v/>
      </c>
      <c r="X833" s="27">
        <f>((3*10+H833/COS(RADIANS(E833)))*(3+3)+3*G833*H833)*2</f>
        <v/>
      </c>
      <c r="Y833" s="28">
        <f>Z833/X833</f>
        <v/>
      </c>
      <c r="Z833" s="29" t="n">
        <v>647.503709452786</v>
      </c>
      <c r="AA833" s="20" t="n">
        <v>116.46497559832</v>
      </c>
      <c r="AB833" t="n">
        <v>0.1918816443234524</v>
      </c>
      <c r="AC833" t="n">
        <v>105.8620752838311</v>
      </c>
      <c r="AD833" t="n">
        <v>32.67281260968579</v>
      </c>
    </row>
    <row r="834">
      <c r="A834" t="n">
        <v>833</v>
      </c>
      <c r="B834" t="n">
        <v>68.90000000000001</v>
      </c>
      <c r="C834" s="21">
        <f>B834-20</f>
        <v/>
      </c>
      <c r="D834" t="n">
        <v>111.5</v>
      </c>
      <c r="E834" s="22">
        <f>D834-90</f>
        <v/>
      </c>
      <c r="F834" s="23" t="n">
        <v>0.014081</v>
      </c>
      <c r="G834" s="22" t="n">
        <v>20.7</v>
      </c>
      <c r="H834" s="22" t="n">
        <v>1.4</v>
      </c>
      <c r="I834" s="24" t="n">
        <v>0.08211728930473319</v>
      </c>
      <c r="J834" s="6" t="n">
        <v>71000</v>
      </c>
      <c r="K834" s="25">
        <f>23*10^-6</f>
        <v/>
      </c>
      <c r="L834" s="8">
        <f>H834</f>
        <v/>
      </c>
      <c r="M834" s="26">
        <f>H834^2/6</f>
        <v/>
      </c>
      <c r="N834" s="26">
        <f>H834^3/12</f>
        <v/>
      </c>
      <c r="O834" s="27">
        <f>-J834*L834*K834*C834</f>
        <v/>
      </c>
      <c r="P834" s="28">
        <f>-(12*F834*J834*L834*N834+12*O834*N834*G834*COS(RADIANS(E834)))/(12*N834*G834*COS(RADIANS(E834))^2+L834*G834^3*SIN(RADIANS(E834))^2)</f>
        <v/>
      </c>
      <c r="Q834" s="28">
        <f>-(6*F834*J834*L834*N834*SIN(RADIANS(E834))+6*O834*N834*G834*SIN(RADIANS(E834))*COS(RADIANS(E834)))/(12*N834*COS(RADIANS(E834))^2+L834*G834^2*SIN(RADIANS(E834))^2)</f>
        <v/>
      </c>
      <c r="R834" s="28">
        <f>-P834*SIN(RADIANS(E834))</f>
        <v/>
      </c>
      <c r="S834" s="8">
        <f>(O834+P834*COS(RADIANS(E834)))/L834</f>
        <v/>
      </c>
      <c r="T834" s="8">
        <f>R834/L834</f>
        <v/>
      </c>
      <c r="U834" s="8">
        <f>(Q834-P834*G834*SIN(RADIANS(E834)))/M834</f>
        <v/>
      </c>
      <c r="V834" s="8">
        <f>SQRT((S834+U834)^2+3*T834^2)</f>
        <v/>
      </c>
      <c r="W834" s="8">
        <f>V834/AA834</f>
        <v/>
      </c>
      <c r="X834" s="27">
        <f>((3*10+H834/COS(RADIANS(E834)))*(3+3)+3*G834*H834)*2</f>
        <v/>
      </c>
      <c r="Y834" s="28">
        <f>Z834/X834</f>
        <v/>
      </c>
      <c r="Z834" s="29" t="n">
        <v>557.16490799863</v>
      </c>
      <c r="AA834" s="20" t="n">
        <v>76.5880344357213</v>
      </c>
      <c r="AB834" t="n">
        <v>0.09626892502735604</v>
      </c>
      <c r="AC834" t="n">
        <v>76.52122057375227</v>
      </c>
      <c r="AD834" t="n">
        <v>17.23344236328458</v>
      </c>
    </row>
    <row r="835">
      <c r="A835" t="n">
        <v>834</v>
      </c>
      <c r="B835" t="n">
        <v>86.59999999999999</v>
      </c>
      <c r="C835" s="21">
        <f>B835-20</f>
        <v/>
      </c>
      <c r="D835" t="n">
        <v>117.7</v>
      </c>
      <c r="E835" s="22">
        <f>D835-90</f>
        <v/>
      </c>
      <c r="F835" s="23" t="n">
        <v>0.022706</v>
      </c>
      <c r="G835" s="22" t="n">
        <v>27</v>
      </c>
      <c r="H835" s="22" t="n">
        <v>1.5</v>
      </c>
      <c r="I835" s="24" t="n">
        <v>0.111371330916881</v>
      </c>
      <c r="J835" s="6" t="n">
        <v>71000</v>
      </c>
      <c r="K835" s="25">
        <f>23*10^-6</f>
        <v/>
      </c>
      <c r="L835" s="8">
        <f>H835</f>
        <v/>
      </c>
      <c r="M835" s="26">
        <f>H835^2/6</f>
        <v/>
      </c>
      <c r="N835" s="26">
        <f>H835^3/12</f>
        <v/>
      </c>
      <c r="O835" s="27">
        <f>-J835*L835*K835*C835</f>
        <v/>
      </c>
      <c r="P835" s="28">
        <f>-(12*F835*J835*L835*N835+12*O835*N835*G835*COS(RADIANS(E835)))/(12*N835*G835*COS(RADIANS(E835))^2+L835*G835^3*SIN(RADIANS(E835))^2)</f>
        <v/>
      </c>
      <c r="Q835" s="28">
        <f>-(6*F835*J835*L835*N835*SIN(RADIANS(E835))+6*O835*N835*G835*SIN(RADIANS(E835))*COS(RADIANS(E835)))/(12*N835*COS(RADIANS(E835))^2+L835*G835^2*SIN(RADIANS(E835))^2)</f>
        <v/>
      </c>
      <c r="R835" s="28">
        <f>-P835*SIN(RADIANS(E835))</f>
        <v/>
      </c>
      <c r="S835" s="8">
        <f>(O835+P835*COS(RADIANS(E835)))/L835</f>
        <v/>
      </c>
      <c r="T835" s="8">
        <f>R835/L835</f>
        <v/>
      </c>
      <c r="U835" s="8">
        <f>(Q835-P835*G835*SIN(RADIANS(E835)))/M835</f>
        <v/>
      </c>
      <c r="V835" s="8">
        <f>SQRT((S835+U835)^2+3*T835^2)</f>
        <v/>
      </c>
      <c r="W835" s="8">
        <f>V835/AA835</f>
        <v/>
      </c>
      <c r="X835" s="27">
        <f>((3*10+H835/COS(RADIANS(E835)))*(3+3)+3*G835*H835)*2</f>
        <v/>
      </c>
      <c r="Y835" s="28">
        <f>Z835/X835</f>
        <v/>
      </c>
      <c r="Z835" s="29" t="n">
        <v>629.870157928766</v>
      </c>
      <c r="AA835" s="20" t="n">
        <v>100.547685424281</v>
      </c>
      <c r="AB835" t="n">
        <v>0.1306250064004591</v>
      </c>
      <c r="AC835" t="n">
        <v>99.74583526090994</v>
      </c>
      <c r="AD835" t="n">
        <v>17.28782023620381</v>
      </c>
    </row>
    <row r="836">
      <c r="A836" t="n">
        <v>835</v>
      </c>
      <c r="B836" t="n">
        <v>76.5</v>
      </c>
      <c r="C836" s="21">
        <f>B836-20</f>
        <v/>
      </c>
      <c r="D836" t="n">
        <v>129.6</v>
      </c>
      <c r="E836" s="22">
        <f>D836-90</f>
        <v/>
      </c>
      <c r="F836" s="23" t="n">
        <v>0.015726</v>
      </c>
      <c r="G836" s="22" t="n">
        <v>23.9</v>
      </c>
      <c r="H836" s="22" t="n">
        <v>1.5</v>
      </c>
      <c r="I836" s="24" t="n">
        <v>0.0698807165026664</v>
      </c>
      <c r="J836" s="6" t="n">
        <v>71000</v>
      </c>
      <c r="K836" s="25">
        <f>23*10^-6</f>
        <v/>
      </c>
      <c r="L836" s="8">
        <f>H836</f>
        <v/>
      </c>
      <c r="M836" s="26">
        <f>H836^2/6</f>
        <v/>
      </c>
      <c r="N836" s="26">
        <f>H836^3/12</f>
        <v/>
      </c>
      <c r="O836" s="27">
        <f>-J836*L836*K836*C836</f>
        <v/>
      </c>
      <c r="P836" s="28">
        <f>-(12*F836*J836*L836*N836+12*O836*N836*G836*COS(RADIANS(E836)))/(12*N836*G836*COS(RADIANS(E836))^2+L836*G836^3*SIN(RADIANS(E836))^2)</f>
        <v/>
      </c>
      <c r="Q836" s="28">
        <f>-(6*F836*J836*L836*N836*SIN(RADIANS(E836))+6*O836*N836*G836*SIN(RADIANS(E836))*COS(RADIANS(E836)))/(12*N836*COS(RADIANS(E836))^2+L836*G836^2*SIN(RADIANS(E836))^2)</f>
        <v/>
      </c>
      <c r="R836" s="28">
        <f>-P836*SIN(RADIANS(E836))</f>
        <v/>
      </c>
      <c r="S836" s="8">
        <f>(O836+P836*COS(RADIANS(E836)))/L836</f>
        <v/>
      </c>
      <c r="T836" s="8">
        <f>R836/L836</f>
        <v/>
      </c>
      <c r="U836" s="8">
        <f>(Q836-P836*G836*SIN(RADIANS(E836)))/M836</f>
        <v/>
      </c>
      <c r="V836" s="8">
        <f>SQRT((S836+U836)^2+3*T836^2)</f>
        <v/>
      </c>
      <c r="W836" s="8">
        <f>V836/AA836</f>
        <v/>
      </c>
      <c r="X836" s="27">
        <f>((3*10+H836/COS(RADIANS(E836)))*(3+3)+3*G836*H836)*2</f>
        <v/>
      </c>
      <c r="Y836" s="28">
        <f>Z836/X836</f>
        <v/>
      </c>
      <c r="Z836" s="29" t="n">
        <v>609.0427509273979</v>
      </c>
      <c r="AA836" s="20" t="n">
        <v>83.1322812372251</v>
      </c>
      <c r="AB836" t="n">
        <v>0.06727156883148862</v>
      </c>
      <c r="AC836" t="n">
        <v>81.62545664617885</v>
      </c>
      <c r="AD836" t="n">
        <v>-3.733716255010394</v>
      </c>
    </row>
    <row r="837">
      <c r="A837" t="n">
        <v>836</v>
      </c>
      <c r="B837" t="n">
        <v>74.5</v>
      </c>
      <c r="C837" s="21">
        <f>B837-20</f>
        <v/>
      </c>
      <c r="D837" t="n">
        <v>104</v>
      </c>
      <c r="E837" s="22">
        <f>D837-90</f>
        <v/>
      </c>
      <c r="F837" s="23" t="n">
        <v>0.018497</v>
      </c>
      <c r="G837" s="22" t="n">
        <v>24.5</v>
      </c>
      <c r="H837" s="22" t="n">
        <v>1.5</v>
      </c>
      <c r="I837" s="24" t="n">
        <v>0.139091998338699</v>
      </c>
      <c r="J837" s="6" t="n">
        <v>71000</v>
      </c>
      <c r="K837" s="25">
        <f>23*10^-6</f>
        <v/>
      </c>
      <c r="L837" s="8">
        <f>H837</f>
        <v/>
      </c>
      <c r="M837" s="26">
        <f>H837^2/6</f>
        <v/>
      </c>
      <c r="N837" s="26">
        <f>H837^3/12</f>
        <v/>
      </c>
      <c r="O837" s="27">
        <f>-J837*L837*K837*C837</f>
        <v/>
      </c>
      <c r="P837" s="28">
        <f>-(12*F837*J837*L837*N837+12*O837*N837*G837*COS(RADIANS(E837)))/(12*N837*G837*COS(RADIANS(E837))^2+L837*G837^3*SIN(RADIANS(E837))^2)</f>
        <v/>
      </c>
      <c r="Q837" s="28">
        <f>-(6*F837*J837*L837*N837*SIN(RADIANS(E837))+6*O837*N837*G837*SIN(RADIANS(E837))*COS(RADIANS(E837)))/(12*N837*COS(RADIANS(E837))^2+L837*G837^2*SIN(RADIANS(E837))^2)</f>
        <v/>
      </c>
      <c r="R837" s="28">
        <f>-P837*SIN(RADIANS(E837))</f>
        <v/>
      </c>
      <c r="S837" s="8">
        <f>(O837+P837*COS(RADIANS(E837)))/L837</f>
        <v/>
      </c>
      <c r="T837" s="8">
        <f>R837/L837</f>
        <v/>
      </c>
      <c r="U837" s="8">
        <f>(Q837-P837*G837*SIN(RADIANS(E837)))/M837</f>
        <v/>
      </c>
      <c r="V837" s="8">
        <f>SQRT((S837+U837)^2+3*T837^2)</f>
        <v/>
      </c>
      <c r="W837" s="8">
        <f>V837/AA837</f>
        <v/>
      </c>
      <c r="X837" s="27">
        <f>((3*10+H837/COS(RADIANS(E837)))*(3+3)+3*G837*H837)*2</f>
        <v/>
      </c>
      <c r="Y837" s="28">
        <f>Z837/X837</f>
        <v/>
      </c>
      <c r="Z837" s="29" t="n">
        <v>603.219401818335</v>
      </c>
      <c r="AA837" s="20" t="n">
        <v>88.034704990298</v>
      </c>
      <c r="AB837" t="n">
        <v>0.1894335991664488</v>
      </c>
      <c r="AC837" t="n">
        <v>90.91163172249027</v>
      </c>
      <c r="AD837" t="n">
        <v>36.1930243500883</v>
      </c>
    </row>
    <row r="838">
      <c r="A838" t="n">
        <v>837</v>
      </c>
      <c r="B838" t="n">
        <v>64.8</v>
      </c>
      <c r="C838" s="21">
        <f>B838-20</f>
        <v/>
      </c>
      <c r="D838" t="n">
        <v>122.8</v>
      </c>
      <c r="E838" s="22">
        <f>D838-90</f>
        <v/>
      </c>
      <c r="F838" s="23" t="n">
        <v>0.014827</v>
      </c>
      <c r="G838" s="22" t="n">
        <v>27.4</v>
      </c>
      <c r="H838" s="22" t="n">
        <v>1.3</v>
      </c>
      <c r="I838" s="24" t="n">
        <v>0.06761590391397471</v>
      </c>
      <c r="J838" s="6" t="n">
        <v>71000</v>
      </c>
      <c r="K838" s="25">
        <f>23*10^-6</f>
        <v/>
      </c>
      <c r="L838" s="8">
        <f>H838</f>
        <v/>
      </c>
      <c r="M838" s="26">
        <f>H838^2/6</f>
        <v/>
      </c>
      <c r="N838" s="26">
        <f>H838^3/12</f>
        <v/>
      </c>
      <c r="O838" s="27">
        <f>-J838*L838*K838*C838</f>
        <v/>
      </c>
      <c r="P838" s="28">
        <f>-(12*F838*J838*L838*N838+12*O838*N838*G838*COS(RADIANS(E838)))/(12*N838*G838*COS(RADIANS(E838))^2+L838*G838^3*SIN(RADIANS(E838))^2)</f>
        <v/>
      </c>
      <c r="Q838" s="28">
        <f>-(6*F838*J838*L838*N838*SIN(RADIANS(E838))+6*O838*N838*G838*SIN(RADIANS(E838))*COS(RADIANS(E838)))/(12*N838*COS(RADIANS(E838))^2+L838*G838^2*SIN(RADIANS(E838))^2)</f>
        <v/>
      </c>
      <c r="R838" s="28">
        <f>-P838*SIN(RADIANS(E838))</f>
        <v/>
      </c>
      <c r="S838" s="8">
        <f>(O838+P838*COS(RADIANS(E838)))/L838</f>
        <v/>
      </c>
      <c r="T838" s="8">
        <f>R838/L838</f>
        <v/>
      </c>
      <c r="U838" s="8">
        <f>(Q838-P838*G838*SIN(RADIANS(E838)))/M838</f>
        <v/>
      </c>
      <c r="V838" s="8">
        <f>SQRT((S838+U838)^2+3*T838^2)</f>
        <v/>
      </c>
      <c r="W838" s="8">
        <f>V838/AA838</f>
        <v/>
      </c>
      <c r="X838" s="27">
        <f>((3*10+H838/COS(RADIANS(E838)))*(3+3)+3*G838*H838)*2</f>
        <v/>
      </c>
      <c r="Y838" s="28">
        <f>Z838/X838</f>
        <v/>
      </c>
      <c r="Z838" s="29" t="n">
        <v>600.264708787694</v>
      </c>
      <c r="AA838" s="20" t="n">
        <v>63.8052710951743</v>
      </c>
      <c r="AB838" t="n">
        <v>0.07466886558972358</v>
      </c>
      <c r="AC838" t="n">
        <v>65.00995904297748</v>
      </c>
      <c r="AD838" t="n">
        <v>10.43092122930443</v>
      </c>
    </row>
    <row r="839">
      <c r="A839" t="n">
        <v>838</v>
      </c>
      <c r="B839" t="n">
        <v>70.40000000000001</v>
      </c>
      <c r="C839" s="21">
        <f>B839-20</f>
        <v/>
      </c>
      <c r="D839" t="n">
        <v>120.9</v>
      </c>
      <c r="E839" s="22">
        <f>D839-90</f>
        <v/>
      </c>
      <c r="F839" s="23" t="n">
        <v>0.020703</v>
      </c>
      <c r="G839" s="22" t="n">
        <v>35</v>
      </c>
      <c r="H839" s="22" t="n">
        <v>1.9</v>
      </c>
      <c r="I839" s="24" t="n">
        <v>0.0933716148138046</v>
      </c>
      <c r="J839" s="6" t="n">
        <v>71000</v>
      </c>
      <c r="K839" s="25">
        <f>23*10^-6</f>
        <v/>
      </c>
      <c r="L839" s="8">
        <f>H839</f>
        <v/>
      </c>
      <c r="M839" s="26">
        <f>H839^2/6</f>
        <v/>
      </c>
      <c r="N839" s="26">
        <f>H839^3/12</f>
        <v/>
      </c>
      <c r="O839" s="27">
        <f>-J839*L839*K839*C839</f>
        <v/>
      </c>
      <c r="P839" s="28">
        <f>-(12*F839*J839*L839*N839+12*O839*N839*G839*COS(RADIANS(E839)))/(12*N839*G839*COS(RADIANS(E839))^2+L839*G839^3*SIN(RADIANS(E839))^2)</f>
        <v/>
      </c>
      <c r="Q839" s="28">
        <f>-(6*F839*J839*L839*N839*SIN(RADIANS(E839))+6*O839*N839*G839*SIN(RADIANS(E839))*COS(RADIANS(E839)))/(12*N839*COS(RADIANS(E839))^2+L839*G839^2*SIN(RADIANS(E839))^2)</f>
        <v/>
      </c>
      <c r="R839" s="28">
        <f>-P839*SIN(RADIANS(E839))</f>
        <v/>
      </c>
      <c r="S839" s="8">
        <f>(O839+P839*COS(RADIANS(E839)))/L839</f>
        <v/>
      </c>
      <c r="T839" s="8">
        <f>R839/L839</f>
        <v/>
      </c>
      <c r="U839" s="8">
        <f>(Q839-P839*G839*SIN(RADIANS(E839)))/M839</f>
        <v/>
      </c>
      <c r="V839" s="8">
        <f>SQRT((S839+U839)^2+3*T839^2)</f>
        <v/>
      </c>
      <c r="W839" s="8">
        <f>V839/AA839</f>
        <v/>
      </c>
      <c r="X839" s="27">
        <f>((3*10+H839/COS(RADIANS(E839)))*(3+3)+3*G839*H839)*2</f>
        <v/>
      </c>
      <c r="Y839" s="28">
        <f>Z839/X839</f>
        <v/>
      </c>
      <c r="Z839" s="29" t="n">
        <v>792.974958005218</v>
      </c>
      <c r="AA839" s="20" t="n">
        <v>78.89357308440159</v>
      </c>
      <c r="AB839" t="n">
        <v>0.1125679810271761</v>
      </c>
      <c r="AC839" t="n">
        <v>74.87501814165847</v>
      </c>
      <c r="AD839" t="n">
        <v>20.55910273336448</v>
      </c>
    </row>
    <row r="840">
      <c r="A840" t="n">
        <v>839</v>
      </c>
      <c r="B840" t="n">
        <v>73.40000000000001</v>
      </c>
      <c r="C840" s="21">
        <f>B840-20</f>
        <v/>
      </c>
      <c r="D840" t="n">
        <v>125.6</v>
      </c>
      <c r="E840" s="22">
        <f>D840-90</f>
        <v/>
      </c>
      <c r="F840" s="23" t="n">
        <v>0.01677</v>
      </c>
      <c r="G840" s="22" t="n">
        <v>26.5</v>
      </c>
      <c r="H840" s="22" t="n">
        <v>1.7</v>
      </c>
      <c r="I840" s="24" t="n">
        <v>0.07505977153778071</v>
      </c>
      <c r="J840" s="6" t="n">
        <v>71000</v>
      </c>
      <c r="K840" s="25">
        <f>23*10^-6</f>
        <v/>
      </c>
      <c r="L840" s="8">
        <f>H840</f>
        <v/>
      </c>
      <c r="M840" s="26">
        <f>H840^2/6</f>
        <v/>
      </c>
      <c r="N840" s="26">
        <f>H840^3/12</f>
        <v/>
      </c>
      <c r="O840" s="27">
        <f>-J840*L840*K840*C840</f>
        <v/>
      </c>
      <c r="P840" s="28">
        <f>-(12*F840*J840*L840*N840+12*O840*N840*G840*COS(RADIANS(E840)))/(12*N840*G840*COS(RADIANS(E840))^2+L840*G840^3*SIN(RADIANS(E840))^2)</f>
        <v/>
      </c>
      <c r="Q840" s="28">
        <f>-(6*F840*J840*L840*N840*SIN(RADIANS(E840))+6*O840*N840*G840*SIN(RADIANS(E840))*COS(RADIANS(E840)))/(12*N840*COS(RADIANS(E840))^2+L840*G840^2*SIN(RADIANS(E840))^2)</f>
        <v/>
      </c>
      <c r="R840" s="28">
        <f>-P840*SIN(RADIANS(E840))</f>
        <v/>
      </c>
      <c r="S840" s="8">
        <f>(O840+P840*COS(RADIANS(E840)))/L840</f>
        <v/>
      </c>
      <c r="T840" s="8">
        <f>R840/L840</f>
        <v/>
      </c>
      <c r="U840" s="8">
        <f>(Q840-P840*G840*SIN(RADIANS(E840)))/M840</f>
        <v/>
      </c>
      <c r="V840" s="8">
        <f>SQRT((S840+U840)^2+3*T840^2)</f>
        <v/>
      </c>
      <c r="W840" s="8">
        <f>V840/AA840</f>
        <v/>
      </c>
      <c r="X840" s="27">
        <f>((3*10+H840/COS(RADIANS(E840)))*(3+3)+3*G840*H840)*2</f>
        <v/>
      </c>
      <c r="Y840" s="28">
        <f>Z840/X840</f>
        <v/>
      </c>
      <c r="Z840" s="29" t="n">
        <v>664.339407816872</v>
      </c>
      <c r="AA840" s="20" t="n">
        <v>82.203151014887</v>
      </c>
      <c r="AB840" t="n">
        <v>0.07860739285331826</v>
      </c>
      <c r="AC840" t="n">
        <v>78.5204207712286</v>
      </c>
      <c r="AD840" t="n">
        <v>4.726395035391081</v>
      </c>
    </row>
    <row r="841">
      <c r="A841" t="n">
        <v>840</v>
      </c>
      <c r="B841" t="n">
        <v>65.09999999999999</v>
      </c>
      <c r="C841" s="21">
        <f>B841-20</f>
        <v/>
      </c>
      <c r="D841" t="n">
        <v>124.4</v>
      </c>
      <c r="E841" s="22">
        <f>D841-90</f>
        <v/>
      </c>
      <c r="F841" s="23" t="n">
        <v>0.013648</v>
      </c>
      <c r="G841" s="22" t="n">
        <v>24.9</v>
      </c>
      <c r="H841" s="22" t="n">
        <v>1.5</v>
      </c>
      <c r="I841" s="24" t="n">
        <v>0.0622297227382659</v>
      </c>
      <c r="J841" s="6" t="n">
        <v>71000</v>
      </c>
      <c r="K841" s="25">
        <f>23*10^-6</f>
        <v/>
      </c>
      <c r="L841" s="8">
        <f>H841</f>
        <v/>
      </c>
      <c r="M841" s="26">
        <f>H841^2/6</f>
        <v/>
      </c>
      <c r="N841" s="26">
        <f>H841^3/12</f>
        <v/>
      </c>
      <c r="O841" s="27">
        <f>-J841*L841*K841*C841</f>
        <v/>
      </c>
      <c r="P841" s="28">
        <f>-(12*F841*J841*L841*N841+12*O841*N841*G841*COS(RADIANS(E841)))/(12*N841*G841*COS(RADIANS(E841))^2+L841*G841^3*SIN(RADIANS(E841))^2)</f>
        <v/>
      </c>
      <c r="Q841" s="28">
        <f>-(6*F841*J841*L841*N841*SIN(RADIANS(E841))+6*O841*N841*G841*SIN(RADIANS(E841))*COS(RADIANS(E841)))/(12*N841*COS(RADIANS(E841))^2+L841*G841^2*SIN(RADIANS(E841))^2)</f>
        <v/>
      </c>
      <c r="R841" s="28">
        <f>-P841*SIN(RADIANS(E841))</f>
        <v/>
      </c>
      <c r="S841" s="8">
        <f>(O841+P841*COS(RADIANS(E841)))/L841</f>
        <v/>
      </c>
      <c r="T841" s="8">
        <f>R841/L841</f>
        <v/>
      </c>
      <c r="U841" s="8">
        <f>(Q841-P841*G841*SIN(RADIANS(E841)))/M841</f>
        <v/>
      </c>
      <c r="V841" s="8">
        <f>SQRT((S841+U841)^2+3*T841^2)</f>
        <v/>
      </c>
      <c r="W841" s="8">
        <f>V841/AA841</f>
        <v/>
      </c>
      <c r="X841" s="27">
        <f>((3*10+H841/COS(RADIANS(E841)))*(3+3)+3*G841*H841)*2</f>
        <v/>
      </c>
      <c r="Y841" s="28">
        <f>Z841/X841</f>
        <v/>
      </c>
      <c r="Z841" s="29" t="n">
        <v>614.435717507624</v>
      </c>
      <c r="AA841" s="20" t="n">
        <v>67.898077449051</v>
      </c>
      <c r="AB841" t="n">
        <v>0.06507369621439751</v>
      </c>
      <c r="AC841" t="n">
        <v>66.11285557097298</v>
      </c>
      <c r="AD841" t="n">
        <v>4.570120757396232</v>
      </c>
    </row>
    <row r="842">
      <c r="A842" t="n">
        <v>841</v>
      </c>
      <c r="B842" t="n">
        <v>81.8</v>
      </c>
      <c r="C842" s="21">
        <f>B842-20</f>
        <v/>
      </c>
      <c r="D842" t="n">
        <v>129.4</v>
      </c>
      <c r="E842" s="22">
        <f>D842-90</f>
        <v/>
      </c>
      <c r="F842" s="23" t="n">
        <v>0.018382</v>
      </c>
      <c r="G842" s="22" t="n">
        <v>26</v>
      </c>
      <c r="H842" s="22" t="n">
        <v>1.1</v>
      </c>
      <c r="I842" s="24" t="n">
        <v>0.08055774867534631</v>
      </c>
      <c r="J842" s="6" t="n">
        <v>71000</v>
      </c>
      <c r="K842" s="25">
        <f>23*10^-6</f>
        <v/>
      </c>
      <c r="L842" s="8">
        <f>H842</f>
        <v/>
      </c>
      <c r="M842" s="26">
        <f>H842^2/6</f>
        <v/>
      </c>
      <c r="N842" s="26">
        <f>H842^3/12</f>
        <v/>
      </c>
      <c r="O842" s="27">
        <f>-J842*L842*K842*C842</f>
        <v/>
      </c>
      <c r="P842" s="28">
        <f>-(12*F842*J842*L842*N842+12*O842*N842*G842*COS(RADIANS(E842)))/(12*N842*G842*COS(RADIANS(E842))^2+L842*G842^3*SIN(RADIANS(E842))^2)</f>
        <v/>
      </c>
      <c r="Q842" s="28">
        <f>-(6*F842*J842*L842*N842*SIN(RADIANS(E842))+6*O842*N842*G842*SIN(RADIANS(E842))*COS(RADIANS(E842)))/(12*N842*COS(RADIANS(E842))^2+L842*G842^2*SIN(RADIANS(E842))^2)</f>
        <v/>
      </c>
      <c r="R842" s="28">
        <f>-P842*SIN(RADIANS(E842))</f>
        <v/>
      </c>
      <c r="S842" s="8">
        <f>(O842+P842*COS(RADIANS(E842)))/L842</f>
        <v/>
      </c>
      <c r="T842" s="8">
        <f>R842/L842</f>
        <v/>
      </c>
      <c r="U842" s="8">
        <f>(Q842-P842*G842*SIN(RADIANS(E842)))/M842</f>
        <v/>
      </c>
      <c r="V842" s="8">
        <f>SQRT((S842+U842)^2+3*T842^2)</f>
        <v/>
      </c>
      <c r="W842" s="8">
        <f>V842/AA842</f>
        <v/>
      </c>
      <c r="X842" s="27">
        <f>((3*10+H842/COS(RADIANS(E842)))*(3+3)+3*G842*H842)*2</f>
        <v/>
      </c>
      <c r="Y842" s="28">
        <f>Z842/X842</f>
        <v/>
      </c>
      <c r="Z842" s="29" t="n">
        <v>559.174413319273</v>
      </c>
      <c r="AA842" s="20" t="n">
        <v>81.59959327023439</v>
      </c>
      <c r="AB842" t="n">
        <v>0.08034877908062484</v>
      </c>
      <c r="AC842" t="n">
        <v>87.48475353295065</v>
      </c>
      <c r="AD842" t="n">
        <v>-0.2594034691357038</v>
      </c>
    </row>
    <row r="843">
      <c r="A843" t="n">
        <v>842</v>
      </c>
      <c r="B843" t="n">
        <v>58.1</v>
      </c>
      <c r="C843" s="21">
        <f>B843-20</f>
        <v/>
      </c>
      <c r="D843" t="n">
        <v>112.9</v>
      </c>
      <c r="E843" s="22">
        <f>D843-90</f>
        <v/>
      </c>
      <c r="F843" s="23" t="n">
        <v>0.014849</v>
      </c>
      <c r="G843" s="22" t="n">
        <v>30.6</v>
      </c>
      <c r="H843" s="22" t="n">
        <v>1.5</v>
      </c>
      <c r="I843" s="24" t="n">
        <v>0.0793029144406318</v>
      </c>
      <c r="J843" s="6" t="n">
        <v>71000</v>
      </c>
      <c r="K843" s="25">
        <f>23*10^-6</f>
        <v/>
      </c>
      <c r="L843" s="8">
        <f>H843</f>
        <v/>
      </c>
      <c r="M843" s="26">
        <f>H843^2/6</f>
        <v/>
      </c>
      <c r="N843" s="26">
        <f>H843^3/12</f>
        <v/>
      </c>
      <c r="O843" s="27">
        <f>-J843*L843*K843*C843</f>
        <v/>
      </c>
      <c r="P843" s="28">
        <f>-(12*F843*J843*L843*N843+12*O843*N843*G843*COS(RADIANS(E843)))/(12*N843*G843*COS(RADIANS(E843))^2+L843*G843^3*SIN(RADIANS(E843))^2)</f>
        <v/>
      </c>
      <c r="Q843" s="28">
        <f>-(6*F843*J843*L843*N843*SIN(RADIANS(E843))+6*O843*N843*G843*SIN(RADIANS(E843))*COS(RADIANS(E843)))/(12*N843*COS(RADIANS(E843))^2+L843*G843^2*SIN(RADIANS(E843))^2)</f>
        <v/>
      </c>
      <c r="R843" s="28">
        <f>-P843*SIN(RADIANS(E843))</f>
        <v/>
      </c>
      <c r="S843" s="8">
        <f>(O843+P843*COS(RADIANS(E843)))/L843</f>
        <v/>
      </c>
      <c r="T843" s="8">
        <f>R843/L843</f>
        <v/>
      </c>
      <c r="U843" s="8">
        <f>(Q843-P843*G843*SIN(RADIANS(E843)))/M843</f>
        <v/>
      </c>
      <c r="V843" s="8">
        <f>SQRT((S843+U843)^2+3*T843^2)</f>
        <v/>
      </c>
      <c r="W843" s="8">
        <f>V843/AA843</f>
        <v/>
      </c>
      <c r="X843" s="27">
        <f>((3*10+H843/COS(RADIANS(E843)))*(3+3)+3*G843*H843)*2</f>
        <v/>
      </c>
      <c r="Y843" s="28">
        <f>Z843/X843</f>
        <v/>
      </c>
      <c r="Z843" s="29" t="n">
        <v>660.42705688269</v>
      </c>
      <c r="AA843" s="20" t="n">
        <v>57.7107439917775</v>
      </c>
      <c r="AB843" t="n">
        <v>0.1025978232940193</v>
      </c>
      <c r="AC843" t="n">
        <v>57.91313596264983</v>
      </c>
      <c r="AD843" t="n">
        <v>29.37459362962836</v>
      </c>
    </row>
    <row r="844">
      <c r="A844" t="n">
        <v>843</v>
      </c>
      <c r="B844" t="n">
        <v>84.90000000000001</v>
      </c>
      <c r="C844" s="21">
        <f>B844-20</f>
        <v/>
      </c>
      <c r="D844" t="n">
        <v>108.3</v>
      </c>
      <c r="E844" s="22">
        <f>D844-90</f>
        <v/>
      </c>
      <c r="F844" s="23" t="n">
        <v>0.020244</v>
      </c>
      <c r="G844" s="22" t="n">
        <v>22.5</v>
      </c>
      <c r="H844" s="22" t="n">
        <v>1.6</v>
      </c>
      <c r="I844" s="24" t="n">
        <v>0.128120481967926</v>
      </c>
      <c r="J844" s="6" t="n">
        <v>71000</v>
      </c>
      <c r="K844" s="25">
        <f>23*10^-6</f>
        <v/>
      </c>
      <c r="L844" s="8">
        <f>H844</f>
        <v/>
      </c>
      <c r="M844" s="26">
        <f>H844^2/6</f>
        <v/>
      </c>
      <c r="N844" s="26">
        <f>H844^3/12</f>
        <v/>
      </c>
      <c r="O844" s="27">
        <f>-J844*L844*K844*C844</f>
        <v/>
      </c>
      <c r="P844" s="28">
        <f>-(12*F844*J844*L844*N844+12*O844*N844*G844*COS(RADIANS(E844)))/(12*N844*G844*COS(RADIANS(E844))^2+L844*G844^3*SIN(RADIANS(E844))^2)</f>
        <v/>
      </c>
      <c r="Q844" s="28">
        <f>-(6*F844*J844*L844*N844*SIN(RADIANS(E844))+6*O844*N844*G844*SIN(RADIANS(E844))*COS(RADIANS(E844)))/(12*N844*COS(RADIANS(E844))^2+L844*G844^2*SIN(RADIANS(E844))^2)</f>
        <v/>
      </c>
      <c r="R844" s="28">
        <f>-P844*SIN(RADIANS(E844))</f>
        <v/>
      </c>
      <c r="S844" s="8">
        <f>(O844+P844*COS(RADIANS(E844)))/L844</f>
        <v/>
      </c>
      <c r="T844" s="8">
        <f>R844/L844</f>
        <v/>
      </c>
      <c r="U844" s="8">
        <f>(Q844-P844*G844*SIN(RADIANS(E844)))/M844</f>
        <v/>
      </c>
      <c r="V844" s="8">
        <f>SQRT((S844+U844)^2+3*T844^2)</f>
        <v/>
      </c>
      <c r="W844" s="8">
        <f>V844/AA844</f>
        <v/>
      </c>
      <c r="X844" s="27">
        <f>((3*10+H844/COS(RADIANS(E844)))*(3+3)+3*G844*H844)*2</f>
        <v/>
      </c>
      <c r="Y844" s="28">
        <f>Z844/X844</f>
        <v/>
      </c>
      <c r="Z844" s="29" t="n">
        <v>600.934830919957</v>
      </c>
      <c r="AA844" s="20" t="n">
        <v>106.765129830594</v>
      </c>
      <c r="AB844" t="n">
        <v>0.1604484151099552</v>
      </c>
      <c r="AC844" t="n">
        <v>105.3888977058609</v>
      </c>
      <c r="AD844" t="n">
        <v>25.23244733821892</v>
      </c>
    </row>
    <row r="845">
      <c r="A845" t="n">
        <v>844</v>
      </c>
      <c r="B845" t="n">
        <v>78.3</v>
      </c>
      <c r="C845" s="21">
        <f>B845-20</f>
        <v/>
      </c>
      <c r="D845" t="n">
        <v>104.7</v>
      </c>
      <c r="E845" s="22">
        <f>D845-90</f>
        <v/>
      </c>
      <c r="F845" s="23" t="n">
        <v>0.025524</v>
      </c>
      <c r="G845" s="22" t="n">
        <v>33.5</v>
      </c>
      <c r="H845" s="22" t="n">
        <v>1.4</v>
      </c>
      <c r="I845" s="24" t="n">
        <v>0.18270406126976</v>
      </c>
      <c r="J845" s="6" t="n">
        <v>71000</v>
      </c>
      <c r="K845" s="25">
        <f>23*10^-6</f>
        <v/>
      </c>
      <c r="L845" s="8">
        <f>H845</f>
        <v/>
      </c>
      <c r="M845" s="26">
        <f>H845^2/6</f>
        <v/>
      </c>
      <c r="N845" s="26">
        <f>H845^3/12</f>
        <v/>
      </c>
      <c r="O845" s="27">
        <f>-J845*L845*K845*C845</f>
        <v/>
      </c>
      <c r="P845" s="28">
        <f>-(12*F845*J845*L845*N845+12*O845*N845*G845*COS(RADIANS(E845)))/(12*N845*G845*COS(RADIANS(E845))^2+L845*G845^3*SIN(RADIANS(E845))^2)</f>
        <v/>
      </c>
      <c r="Q845" s="28">
        <f>-(6*F845*J845*L845*N845*SIN(RADIANS(E845))+6*O845*N845*G845*SIN(RADIANS(E845))*COS(RADIANS(E845)))/(12*N845*COS(RADIANS(E845))^2+L845*G845^2*SIN(RADIANS(E845))^2)</f>
        <v/>
      </c>
      <c r="R845" s="28">
        <f>-P845*SIN(RADIANS(E845))</f>
        <v/>
      </c>
      <c r="S845" s="8">
        <f>(O845+P845*COS(RADIANS(E845)))/L845</f>
        <v/>
      </c>
      <c r="T845" s="8">
        <f>R845/L845</f>
        <v/>
      </c>
      <c r="U845" s="8">
        <f>(Q845-P845*G845*SIN(RADIANS(E845)))/M845</f>
        <v/>
      </c>
      <c r="V845" s="8">
        <f>SQRT((S845+U845)^2+3*T845^2)</f>
        <v/>
      </c>
      <c r="W845" s="8">
        <f>V845/AA845</f>
        <v/>
      </c>
      <c r="X845" s="27">
        <f>((3*10+H845/COS(RADIANS(E845)))*(3+3)+3*G845*H845)*2</f>
        <v/>
      </c>
      <c r="Y845" s="28">
        <f>Z845/X845</f>
        <v/>
      </c>
      <c r="Z845" s="29" t="n">
        <v>663.014297440491</v>
      </c>
      <c r="AA845" s="20" t="n">
        <v>89.1425671617955</v>
      </c>
      <c r="AB845" t="n">
        <v>0.2673559882338641</v>
      </c>
      <c r="AC845" t="n">
        <v>92.56185624801461</v>
      </c>
      <c r="AD845" t="n">
        <v>46.33281076281972</v>
      </c>
    </row>
    <row r="846">
      <c r="A846" t="n">
        <v>845</v>
      </c>
      <c r="B846" t="n">
        <v>77.2</v>
      </c>
      <c r="C846" s="21">
        <f>B846-20</f>
        <v/>
      </c>
      <c r="D846" t="n">
        <v>104.5</v>
      </c>
      <c r="E846" s="22">
        <f>D846-90</f>
        <v/>
      </c>
      <c r="F846" s="23" t="n">
        <v>0.023799</v>
      </c>
      <c r="G846" s="22" t="n">
        <v>31.5</v>
      </c>
      <c r="H846" s="22" t="n">
        <v>1.9</v>
      </c>
      <c r="I846" s="24" t="n">
        <v>0.169968530535697</v>
      </c>
      <c r="J846" s="6" t="n">
        <v>71000</v>
      </c>
      <c r="K846" s="25">
        <f>23*10^-6</f>
        <v/>
      </c>
      <c r="L846" s="8">
        <f>H846</f>
        <v/>
      </c>
      <c r="M846" s="26">
        <f>H846^2/6</f>
        <v/>
      </c>
      <c r="N846" s="26">
        <f>H846^3/12</f>
        <v/>
      </c>
      <c r="O846" s="27">
        <f>-J846*L846*K846*C846</f>
        <v/>
      </c>
      <c r="P846" s="28">
        <f>-(12*F846*J846*L846*N846+12*O846*N846*G846*COS(RADIANS(E846)))/(12*N846*G846*COS(RADIANS(E846))^2+L846*G846^3*SIN(RADIANS(E846))^2)</f>
        <v/>
      </c>
      <c r="Q846" s="28">
        <f>-(6*F846*J846*L846*N846*SIN(RADIANS(E846))+6*O846*N846*G846*SIN(RADIANS(E846))*COS(RADIANS(E846)))/(12*N846*COS(RADIANS(E846))^2+L846*G846^2*SIN(RADIANS(E846))^2)</f>
        <v/>
      </c>
      <c r="R846" s="28">
        <f>-P846*SIN(RADIANS(E846))</f>
        <v/>
      </c>
      <c r="S846" s="8">
        <f>(O846+P846*COS(RADIANS(E846)))/L846</f>
        <v/>
      </c>
      <c r="T846" s="8">
        <f>R846/L846</f>
        <v/>
      </c>
      <c r="U846" s="8">
        <f>(Q846-P846*G846*SIN(RADIANS(E846)))/M846</f>
        <v/>
      </c>
      <c r="V846" s="8">
        <f>SQRT((S846+U846)^2+3*T846^2)</f>
        <v/>
      </c>
      <c r="W846" s="8">
        <f>V846/AA846</f>
        <v/>
      </c>
      <c r="X846" s="27">
        <f>((3*10+H846/COS(RADIANS(E846)))*(3+3)+3*G846*H846)*2</f>
        <v/>
      </c>
      <c r="Y846" s="28">
        <f>Z846/X846</f>
        <v/>
      </c>
      <c r="Z846" s="29" t="n">
        <v>746.873363996493</v>
      </c>
      <c r="AA846" s="20" t="n">
        <v>98.5384437878147</v>
      </c>
      <c r="AB846" t="n">
        <v>0.2439330291816102</v>
      </c>
      <c r="AC846" t="n">
        <v>95.95768654378955</v>
      </c>
      <c r="AD846" t="n">
        <v>43.5165841657842</v>
      </c>
    </row>
    <row r="847">
      <c r="A847" t="n">
        <v>846</v>
      </c>
      <c r="B847" t="n">
        <v>57</v>
      </c>
      <c r="C847" s="21">
        <f>B847-20</f>
        <v/>
      </c>
      <c r="D847" t="n">
        <v>118.6</v>
      </c>
      <c r="E847" s="22">
        <f>D847-90</f>
        <v/>
      </c>
      <c r="F847" s="23" t="n">
        <v>0.011048</v>
      </c>
      <c r="G847" s="22" t="n">
        <v>23</v>
      </c>
      <c r="H847" s="22" t="n">
        <v>1.6</v>
      </c>
      <c r="I847" s="24" t="n">
        <v>0.0546729750931263</v>
      </c>
      <c r="J847" s="6" t="n">
        <v>71000</v>
      </c>
      <c r="K847" s="25">
        <f>23*10^-6</f>
        <v/>
      </c>
      <c r="L847" s="8">
        <f>H847</f>
        <v/>
      </c>
      <c r="M847" s="26">
        <f>H847^2/6</f>
        <v/>
      </c>
      <c r="N847" s="26">
        <f>H847^3/12</f>
        <v/>
      </c>
      <c r="O847" s="27">
        <f>-J847*L847*K847*C847</f>
        <v/>
      </c>
      <c r="P847" s="28">
        <f>-(12*F847*J847*L847*N847+12*O847*N847*G847*COS(RADIANS(E847)))/(12*N847*G847*COS(RADIANS(E847))^2+L847*G847^3*SIN(RADIANS(E847))^2)</f>
        <v/>
      </c>
      <c r="Q847" s="28">
        <f>-(6*F847*J847*L847*N847*SIN(RADIANS(E847))+6*O847*N847*G847*SIN(RADIANS(E847))*COS(RADIANS(E847)))/(12*N847*COS(RADIANS(E847))^2+L847*G847^2*SIN(RADIANS(E847))^2)</f>
        <v/>
      </c>
      <c r="R847" s="28">
        <f>-P847*SIN(RADIANS(E847))</f>
        <v/>
      </c>
      <c r="S847" s="8">
        <f>(O847+P847*COS(RADIANS(E847)))/L847</f>
        <v/>
      </c>
      <c r="T847" s="8">
        <f>R847/L847</f>
        <v/>
      </c>
      <c r="U847" s="8">
        <f>(Q847-P847*G847*SIN(RADIANS(E847)))/M847</f>
        <v/>
      </c>
      <c r="V847" s="8">
        <f>SQRT((S847+U847)^2+3*T847^2)</f>
        <v/>
      </c>
      <c r="W847" s="8">
        <f>V847/AA847</f>
        <v/>
      </c>
      <c r="X847" s="27">
        <f>((3*10+H847/COS(RADIANS(E847)))*(3+3)+3*G847*H847)*2</f>
        <v/>
      </c>
      <c r="Y847" s="28">
        <f>Z847/X847</f>
        <v/>
      </c>
      <c r="Z847" s="29" t="n">
        <v>609.437316938855</v>
      </c>
      <c r="AA847" s="20" t="n">
        <v>58.470156417582</v>
      </c>
      <c r="AB847" t="n">
        <v>0.0600767408481707</v>
      </c>
      <c r="AC847" t="n">
        <v>56.0954441473331</v>
      </c>
      <c r="AD847" t="n">
        <v>9.883796785962339</v>
      </c>
    </row>
    <row r="848">
      <c r="A848" t="n">
        <v>847</v>
      </c>
      <c r="B848" t="n">
        <v>50.4</v>
      </c>
      <c r="C848" s="21">
        <f>B848-20</f>
        <v/>
      </c>
      <c r="D848" t="n">
        <v>100.9</v>
      </c>
      <c r="E848" s="22">
        <f>D848-90</f>
        <v/>
      </c>
      <c r="F848" s="23" t="n">
        <v>0.009157999999999999</v>
      </c>
      <c r="G848" s="22" t="n">
        <v>20.8</v>
      </c>
      <c r="H848" s="22" t="n">
        <v>1.4</v>
      </c>
      <c r="I848" s="24" t="n">
        <v>0.0814713835716247</v>
      </c>
      <c r="J848" s="6" t="n">
        <v>71000</v>
      </c>
      <c r="K848" s="25">
        <f>23*10^-6</f>
        <v/>
      </c>
      <c r="L848" s="8">
        <f>H848</f>
        <v/>
      </c>
      <c r="M848" s="26">
        <f>H848^2/6</f>
        <v/>
      </c>
      <c r="N848" s="26">
        <f>H848^3/12</f>
        <v/>
      </c>
      <c r="O848" s="27">
        <f>-J848*L848*K848*C848</f>
        <v/>
      </c>
      <c r="P848" s="28">
        <f>-(12*F848*J848*L848*N848+12*O848*N848*G848*COS(RADIANS(E848)))/(12*N848*G848*COS(RADIANS(E848))^2+L848*G848^3*SIN(RADIANS(E848))^2)</f>
        <v/>
      </c>
      <c r="Q848" s="28">
        <f>-(6*F848*J848*L848*N848*SIN(RADIANS(E848))+6*O848*N848*G848*SIN(RADIANS(E848))*COS(RADIANS(E848)))/(12*N848*COS(RADIANS(E848))^2+L848*G848^2*SIN(RADIANS(E848))^2)</f>
        <v/>
      </c>
      <c r="R848" s="28">
        <f>-P848*SIN(RADIANS(E848))</f>
        <v/>
      </c>
      <c r="S848" s="8">
        <f>(O848+P848*COS(RADIANS(E848)))/L848</f>
        <v/>
      </c>
      <c r="T848" s="8">
        <f>R848/L848</f>
        <v/>
      </c>
      <c r="U848" s="8">
        <f>(Q848-P848*G848*SIN(RADIANS(E848)))/M848</f>
        <v/>
      </c>
      <c r="V848" s="8">
        <f>SQRT((S848+U848)^2+3*T848^2)</f>
        <v/>
      </c>
      <c r="W848" s="8">
        <f>V848/AA848</f>
        <v/>
      </c>
      <c r="X848" s="27">
        <f>((3*10+H848/COS(RADIANS(E848)))*(3+3)+3*G848*H848)*2</f>
        <v/>
      </c>
      <c r="Y848" s="28">
        <f>Z848/X848</f>
        <v/>
      </c>
      <c r="Z848" s="29" t="n">
        <v>555.703237808548</v>
      </c>
      <c r="AA848" s="20" t="n">
        <v>60.8204405438212</v>
      </c>
      <c r="AB848" t="n">
        <v>0.1107235232660373</v>
      </c>
      <c r="AC848" t="n">
        <v>52.9260687229316</v>
      </c>
      <c r="AD848" t="n">
        <v>35.90480290382682</v>
      </c>
    </row>
    <row r="849">
      <c r="A849" t="n">
        <v>848</v>
      </c>
      <c r="B849" t="n">
        <v>83</v>
      </c>
      <c r="C849" s="21">
        <f>B849-20</f>
        <v/>
      </c>
      <c r="D849" t="n">
        <v>106.6</v>
      </c>
      <c r="E849" s="22">
        <f>D849-90</f>
        <v/>
      </c>
      <c r="F849" s="23" t="n">
        <v>0.018694</v>
      </c>
      <c r="G849" s="22" t="n">
        <v>20.9</v>
      </c>
      <c r="H849" s="22" t="n">
        <v>1.6</v>
      </c>
      <c r="I849" s="24" t="n">
        <v>0.126225590705871</v>
      </c>
      <c r="J849" s="6" t="n">
        <v>71000</v>
      </c>
      <c r="K849" s="25">
        <f>23*10^-6</f>
        <v/>
      </c>
      <c r="L849" s="8">
        <f>H849</f>
        <v/>
      </c>
      <c r="M849" s="26">
        <f>H849^2/6</f>
        <v/>
      </c>
      <c r="N849" s="26">
        <f>H849^3/12</f>
        <v/>
      </c>
      <c r="O849" s="27">
        <f>-J849*L849*K849*C849</f>
        <v/>
      </c>
      <c r="P849" s="28">
        <f>-(12*F849*J849*L849*N849+12*O849*N849*G849*COS(RADIANS(E849)))/(12*N849*G849*COS(RADIANS(E849))^2+L849*G849^3*SIN(RADIANS(E849))^2)</f>
        <v/>
      </c>
      <c r="Q849" s="28">
        <f>-(6*F849*J849*L849*N849*SIN(RADIANS(E849))+6*O849*N849*G849*SIN(RADIANS(E849))*COS(RADIANS(E849)))/(12*N849*COS(RADIANS(E849))^2+L849*G849^2*SIN(RADIANS(E849))^2)</f>
        <v/>
      </c>
      <c r="R849" s="28">
        <f>-P849*SIN(RADIANS(E849))</f>
        <v/>
      </c>
      <c r="S849" s="8">
        <f>(O849+P849*COS(RADIANS(E849)))/L849</f>
        <v/>
      </c>
      <c r="T849" s="8">
        <f>R849/L849</f>
        <v/>
      </c>
      <c r="U849" s="8">
        <f>(Q849-P849*G849*SIN(RADIANS(E849)))/M849</f>
        <v/>
      </c>
      <c r="V849" s="8">
        <f>SQRT((S849+U849)^2+3*T849^2)</f>
        <v/>
      </c>
      <c r="W849" s="8">
        <f>V849/AA849</f>
        <v/>
      </c>
      <c r="X849" s="27">
        <f>((3*10+H849/COS(RADIANS(E849)))*(3+3)+3*G849*H849)*2</f>
        <v/>
      </c>
      <c r="Y849" s="28">
        <f>Z849/X849</f>
        <v/>
      </c>
      <c r="Z849" s="29" t="n">
        <v>585.152396338522</v>
      </c>
      <c r="AA849" s="20" t="n">
        <v>105.887911585327</v>
      </c>
      <c r="AB849" t="n">
        <v>0.1579294370104534</v>
      </c>
      <c r="AC849" t="n">
        <v>104.5212984312463</v>
      </c>
      <c r="AD849" t="n">
        <v>25.11681357741334</v>
      </c>
    </row>
    <row r="850">
      <c r="A850" t="n">
        <v>849</v>
      </c>
      <c r="B850" t="n">
        <v>83.2</v>
      </c>
      <c r="C850" s="21">
        <f>B850-20</f>
        <v/>
      </c>
      <c r="D850" t="n">
        <v>119.5</v>
      </c>
      <c r="E850" s="22">
        <f>D850-90</f>
        <v/>
      </c>
      <c r="F850" s="23" t="n">
        <v>0.018871</v>
      </c>
      <c r="G850" s="22" t="n">
        <v>23.2</v>
      </c>
      <c r="H850" s="22" t="n">
        <v>2</v>
      </c>
      <c r="I850" s="24" t="n">
        <v>0.0918731391429901</v>
      </c>
      <c r="J850" s="6" t="n">
        <v>71000</v>
      </c>
      <c r="K850" s="25">
        <f>23*10^-6</f>
        <v/>
      </c>
      <c r="L850" s="8">
        <f>H850</f>
        <v/>
      </c>
      <c r="M850" s="26">
        <f>H850^2/6</f>
        <v/>
      </c>
      <c r="N850" s="26">
        <f>H850^3/12</f>
        <v/>
      </c>
      <c r="O850" s="27">
        <f>-J850*L850*K850*C850</f>
        <v/>
      </c>
      <c r="P850" s="28">
        <f>-(12*F850*J850*L850*N850+12*O850*N850*G850*COS(RADIANS(E850)))/(12*N850*G850*COS(RADIANS(E850))^2+L850*G850^3*SIN(RADIANS(E850))^2)</f>
        <v/>
      </c>
      <c r="Q850" s="28">
        <f>-(6*F850*J850*L850*N850*SIN(RADIANS(E850))+6*O850*N850*G850*SIN(RADIANS(E850))*COS(RADIANS(E850)))/(12*N850*COS(RADIANS(E850))^2+L850*G850^2*SIN(RADIANS(E850))^2)</f>
        <v/>
      </c>
      <c r="R850" s="28">
        <f>-P850*SIN(RADIANS(E850))</f>
        <v/>
      </c>
      <c r="S850" s="8">
        <f>(O850+P850*COS(RADIANS(E850)))/L850</f>
        <v/>
      </c>
      <c r="T850" s="8">
        <f>R850/L850</f>
        <v/>
      </c>
      <c r="U850" s="8">
        <f>(Q850-P850*G850*SIN(RADIANS(E850)))/M850</f>
        <v/>
      </c>
      <c r="V850" s="8">
        <f>SQRT((S850+U850)^2+3*T850^2)</f>
        <v/>
      </c>
      <c r="W850" s="8">
        <f>V850/AA850</f>
        <v/>
      </c>
      <c r="X850" s="27">
        <f>((3*10+H850/COS(RADIANS(E850)))*(3+3)+3*G850*H850)*2</f>
        <v/>
      </c>
      <c r="Y850" s="28">
        <f>Z850/X850</f>
        <v/>
      </c>
      <c r="Z850" s="29" t="n">
        <v>672.983495381709</v>
      </c>
      <c r="AA850" s="20" t="n">
        <v>108.021557995636</v>
      </c>
      <c r="AB850" t="n">
        <v>0.09928617860714577</v>
      </c>
      <c r="AC850" t="n">
        <v>97.74038702029114</v>
      </c>
      <c r="AD850" t="n">
        <v>8.06877780960343</v>
      </c>
    </row>
    <row r="851">
      <c r="A851" t="n">
        <v>850</v>
      </c>
      <c r="B851" t="n">
        <v>56.7</v>
      </c>
      <c r="C851" s="21">
        <f>B851-20</f>
        <v/>
      </c>
      <c r="D851" t="n">
        <v>119.3</v>
      </c>
      <c r="E851" s="22">
        <f>D851-90</f>
        <v/>
      </c>
      <c r="F851" s="23" t="n">
        <v>0.014587</v>
      </c>
      <c r="G851" s="22" t="n">
        <v>33.1</v>
      </c>
      <c r="H851" s="22" t="n">
        <v>1.4</v>
      </c>
      <c r="I851" s="24" t="n">
        <v>0.0677193403244018</v>
      </c>
      <c r="J851" s="6" t="n">
        <v>71000</v>
      </c>
      <c r="K851" s="25">
        <f>23*10^-6</f>
        <v/>
      </c>
      <c r="L851" s="8">
        <f>H851</f>
        <v/>
      </c>
      <c r="M851" s="26">
        <f>H851^2/6</f>
        <v/>
      </c>
      <c r="N851" s="26">
        <f>H851^3/12</f>
        <v/>
      </c>
      <c r="O851" s="27">
        <f>-J851*L851*K851*C851</f>
        <v/>
      </c>
      <c r="P851" s="28">
        <f>-(12*F851*J851*L851*N851+12*O851*N851*G851*COS(RADIANS(E851)))/(12*N851*G851*COS(RADIANS(E851))^2+L851*G851^3*SIN(RADIANS(E851))^2)</f>
        <v/>
      </c>
      <c r="Q851" s="28">
        <f>-(6*F851*J851*L851*N851*SIN(RADIANS(E851))+6*O851*N851*G851*SIN(RADIANS(E851))*COS(RADIANS(E851)))/(12*N851*COS(RADIANS(E851))^2+L851*G851^2*SIN(RADIANS(E851))^2)</f>
        <v/>
      </c>
      <c r="R851" s="28">
        <f>-P851*SIN(RADIANS(E851))</f>
        <v/>
      </c>
      <c r="S851" s="8">
        <f>(O851+P851*COS(RADIANS(E851)))/L851</f>
        <v/>
      </c>
      <c r="T851" s="8">
        <f>R851/L851</f>
        <v/>
      </c>
      <c r="U851" s="8">
        <f>(Q851-P851*G851*SIN(RADIANS(E851)))/M851</f>
        <v/>
      </c>
      <c r="V851" s="8">
        <f>SQRT((S851+U851)^2+3*T851^2)</f>
        <v/>
      </c>
      <c r="W851" s="8">
        <f>V851/AA851</f>
        <v/>
      </c>
      <c r="X851" s="27">
        <f>((3*10+H851/COS(RADIANS(E851)))*(3+3)+3*G851*H851)*2</f>
        <v/>
      </c>
      <c r="Y851" s="28">
        <f>Z851/X851</f>
        <v/>
      </c>
      <c r="Z851" s="29" t="n">
        <v>664.258903548796</v>
      </c>
      <c r="AA851" s="20" t="n">
        <v>52.5388647923287</v>
      </c>
      <c r="AB851" t="n">
        <v>0.08256998119116239</v>
      </c>
      <c r="AC851" t="n">
        <v>53.62861444368248</v>
      </c>
      <c r="AD851" t="n">
        <v>21.92968920786925</v>
      </c>
    </row>
    <row r="852">
      <c r="A852" t="n">
        <v>851</v>
      </c>
      <c r="B852" t="n">
        <v>70.90000000000001</v>
      </c>
      <c r="C852" s="21">
        <f>B852-20</f>
        <v/>
      </c>
      <c r="D852" t="n">
        <v>105.5</v>
      </c>
      <c r="E852" s="22">
        <f>D852-90</f>
        <v/>
      </c>
      <c r="F852" s="23" t="n">
        <v>0.016678</v>
      </c>
      <c r="G852" s="22" t="n">
        <v>23.6</v>
      </c>
      <c r="H852" s="22" t="n">
        <v>1.8</v>
      </c>
      <c r="I852" s="24" t="n">
        <v>0.11561395227909</v>
      </c>
      <c r="J852" s="6" t="n">
        <v>71000</v>
      </c>
      <c r="K852" s="25">
        <f>23*10^-6</f>
        <v/>
      </c>
      <c r="L852" s="8">
        <f>H852</f>
        <v/>
      </c>
      <c r="M852" s="26">
        <f>H852^2/6</f>
        <v/>
      </c>
      <c r="N852" s="26">
        <f>H852^3/12</f>
        <v/>
      </c>
      <c r="O852" s="27">
        <f>-J852*L852*K852*C852</f>
        <v/>
      </c>
      <c r="P852" s="28">
        <f>-(12*F852*J852*L852*N852+12*O852*N852*G852*COS(RADIANS(E852)))/(12*N852*G852*COS(RADIANS(E852))^2+L852*G852^3*SIN(RADIANS(E852))^2)</f>
        <v/>
      </c>
      <c r="Q852" s="28">
        <f>-(6*F852*J852*L852*N852*SIN(RADIANS(E852))+6*O852*N852*G852*SIN(RADIANS(E852))*COS(RADIANS(E852)))/(12*N852*COS(RADIANS(E852))^2+L852*G852^2*SIN(RADIANS(E852))^2)</f>
        <v/>
      </c>
      <c r="R852" s="28">
        <f>-P852*SIN(RADIANS(E852))</f>
        <v/>
      </c>
      <c r="S852" s="8">
        <f>(O852+P852*COS(RADIANS(E852)))/L852</f>
        <v/>
      </c>
      <c r="T852" s="8">
        <f>R852/L852</f>
        <v/>
      </c>
      <c r="U852" s="8">
        <f>(Q852-P852*G852*SIN(RADIANS(E852)))/M852</f>
        <v/>
      </c>
      <c r="V852" s="8">
        <f>SQRT((S852+U852)^2+3*T852^2)</f>
        <v/>
      </c>
      <c r="W852" s="8">
        <f>V852/AA852</f>
        <v/>
      </c>
      <c r="X852" s="27">
        <f>((3*10+H852/COS(RADIANS(E852)))*(3+3)+3*G852*H852)*2</f>
        <v/>
      </c>
      <c r="Y852" s="28">
        <f>Z852/X852</f>
        <v/>
      </c>
      <c r="Z852" s="29" t="n">
        <v>641.634674344488</v>
      </c>
      <c r="AA852" s="20" t="n">
        <v>89.0833176634698</v>
      </c>
      <c r="AB852" t="n">
        <v>0.1516988040814718</v>
      </c>
      <c r="AC852" t="n">
        <v>86.16355136947416</v>
      </c>
      <c r="AD852" t="n">
        <v>31.21150266991444</v>
      </c>
    </row>
    <row r="853">
      <c r="A853" t="n">
        <v>852</v>
      </c>
      <c r="B853" t="n">
        <v>54.7</v>
      </c>
      <c r="C853" s="21">
        <f>B853-20</f>
        <v/>
      </c>
      <c r="D853" t="n">
        <v>101.4</v>
      </c>
      <c r="E853" s="22">
        <f>D853-90</f>
        <v/>
      </c>
      <c r="F853" s="23" t="n">
        <v>0.014666</v>
      </c>
      <c r="G853" s="22" t="n">
        <v>31.7</v>
      </c>
      <c r="H853" s="22" t="n">
        <v>1.8</v>
      </c>
      <c r="I853" s="24" t="n">
        <v>0.124512784183025</v>
      </c>
      <c r="J853" s="6" t="n">
        <v>71000</v>
      </c>
      <c r="K853" s="25">
        <f>23*10^-6</f>
        <v/>
      </c>
      <c r="L853" s="8">
        <f>H853</f>
        <v/>
      </c>
      <c r="M853" s="26">
        <f>H853^2/6</f>
        <v/>
      </c>
      <c r="N853" s="26">
        <f>H853^3/12</f>
        <v/>
      </c>
      <c r="O853" s="27">
        <f>-J853*L853*K853*C853</f>
        <v/>
      </c>
      <c r="P853" s="28">
        <f>-(12*F853*J853*L853*N853+12*O853*N853*G853*COS(RADIANS(E853)))/(12*N853*G853*COS(RADIANS(E853))^2+L853*G853^3*SIN(RADIANS(E853))^2)</f>
        <v/>
      </c>
      <c r="Q853" s="28">
        <f>-(6*F853*J853*L853*N853*SIN(RADIANS(E853))+6*O853*N853*G853*SIN(RADIANS(E853))*COS(RADIANS(E853)))/(12*N853*COS(RADIANS(E853))^2+L853*G853^2*SIN(RADIANS(E853))^2)</f>
        <v/>
      </c>
      <c r="R853" s="28">
        <f>-P853*SIN(RADIANS(E853))</f>
        <v/>
      </c>
      <c r="S853" s="8">
        <f>(O853+P853*COS(RADIANS(E853)))/L853</f>
        <v/>
      </c>
      <c r="T853" s="8">
        <f>R853/L853</f>
        <v/>
      </c>
      <c r="U853" s="8">
        <f>(Q853-P853*G853*SIN(RADIANS(E853)))/M853</f>
        <v/>
      </c>
      <c r="V853" s="8">
        <f>SQRT((S853+U853)^2+3*T853^2)</f>
        <v/>
      </c>
      <c r="W853" s="8">
        <f>V853/AA853</f>
        <v/>
      </c>
      <c r="X853" s="27">
        <f>((3*10+H853/COS(RADIANS(E853)))*(3+3)+3*G853*H853)*2</f>
        <v/>
      </c>
      <c r="Y853" s="28">
        <f>Z853/X853</f>
        <v/>
      </c>
      <c r="Z853" s="29" t="n">
        <v>728.311369762528</v>
      </c>
      <c r="AA853" s="20" t="n">
        <v>60.161386075242</v>
      </c>
      <c r="AB853" t="n">
        <v>0.1857667390762471</v>
      </c>
      <c r="AC853" t="n">
        <v>60.11674133941962</v>
      </c>
      <c r="AD853" t="n">
        <v>49.19491222940059</v>
      </c>
    </row>
    <row r="854">
      <c r="A854" t="n">
        <v>853</v>
      </c>
      <c r="B854" t="n">
        <v>51.6</v>
      </c>
      <c r="C854" s="21">
        <f>B854-20</f>
        <v/>
      </c>
      <c r="D854" t="n">
        <v>105.2</v>
      </c>
      <c r="E854" s="22">
        <f>D854-90</f>
        <v/>
      </c>
      <c r="F854" s="23" t="n">
        <v>0.013738</v>
      </c>
      <c r="G854" s="22" t="n">
        <v>33.3</v>
      </c>
      <c r="H854" s="22" t="n">
        <v>2</v>
      </c>
      <c r="I854" s="24" t="n">
        <v>0.09442929923534391</v>
      </c>
      <c r="J854" s="6" t="n">
        <v>71000</v>
      </c>
      <c r="K854" s="25">
        <f>23*10^-6</f>
        <v/>
      </c>
      <c r="L854" s="8">
        <f>H854</f>
        <v/>
      </c>
      <c r="M854" s="26">
        <f>H854^2/6</f>
        <v/>
      </c>
      <c r="N854" s="26">
        <f>H854^3/12</f>
        <v/>
      </c>
      <c r="O854" s="27">
        <f>-J854*L854*K854*C854</f>
        <v/>
      </c>
      <c r="P854" s="28">
        <f>-(12*F854*J854*L854*N854+12*O854*N854*G854*COS(RADIANS(E854)))/(12*N854*G854*COS(RADIANS(E854))^2+L854*G854^3*SIN(RADIANS(E854))^2)</f>
        <v/>
      </c>
      <c r="Q854" s="28">
        <f>-(6*F854*J854*L854*N854*SIN(RADIANS(E854))+6*O854*N854*G854*SIN(RADIANS(E854))*COS(RADIANS(E854)))/(12*N854*COS(RADIANS(E854))^2+L854*G854^2*SIN(RADIANS(E854))^2)</f>
        <v/>
      </c>
      <c r="R854" s="28">
        <f>-P854*SIN(RADIANS(E854))</f>
        <v/>
      </c>
      <c r="S854" s="8">
        <f>(O854+P854*COS(RADIANS(E854)))/L854</f>
        <v/>
      </c>
      <c r="T854" s="8">
        <f>R854/L854</f>
        <v/>
      </c>
      <c r="U854" s="8">
        <f>(Q854-P854*G854*SIN(RADIANS(E854)))/M854</f>
        <v/>
      </c>
      <c r="V854" s="8">
        <f>SQRT((S854+U854)^2+3*T854^2)</f>
        <v/>
      </c>
      <c r="W854" s="8">
        <f>V854/AA854</f>
        <v/>
      </c>
      <c r="X854" s="27">
        <f>((3*10+H854/COS(RADIANS(E854)))*(3+3)+3*G854*H854)*2</f>
        <v/>
      </c>
      <c r="Y854" s="28">
        <f>Z854/X854</f>
        <v/>
      </c>
      <c r="Z854" s="29" t="n">
        <v>788.773711834955</v>
      </c>
      <c r="AA854" s="20" t="n">
        <v>54.5923842189242</v>
      </c>
      <c r="AB854" t="n">
        <v>0.1360421661035024</v>
      </c>
      <c r="AC854" t="n">
        <v>52.68064646983516</v>
      </c>
      <c r="AD854" t="n">
        <v>44.06774931628771</v>
      </c>
    </row>
    <row r="855">
      <c r="A855" t="n">
        <v>854</v>
      </c>
      <c r="B855" t="n">
        <v>67.59999999999999</v>
      </c>
      <c r="C855" s="21">
        <f>B855-20</f>
        <v/>
      </c>
      <c r="D855" t="n">
        <v>102.7</v>
      </c>
      <c r="E855" s="22">
        <f>D855-90</f>
        <v/>
      </c>
      <c r="F855" s="23" t="n">
        <v>0.015378</v>
      </c>
      <c r="G855" s="22" t="n">
        <v>22.9</v>
      </c>
      <c r="H855" s="22" t="n">
        <v>1.4</v>
      </c>
      <c r="I855" s="24" t="n">
        <v>0.124450452625751</v>
      </c>
      <c r="J855" s="6" t="n">
        <v>71000</v>
      </c>
      <c r="K855" s="25">
        <f>23*10^-6</f>
        <v/>
      </c>
      <c r="L855" s="8">
        <f>H855</f>
        <v/>
      </c>
      <c r="M855" s="26">
        <f>H855^2/6</f>
        <v/>
      </c>
      <c r="N855" s="26">
        <f>H855^3/12</f>
        <v/>
      </c>
      <c r="O855" s="27">
        <f>-J855*L855*K855*C855</f>
        <v/>
      </c>
      <c r="P855" s="28">
        <f>-(12*F855*J855*L855*N855+12*O855*N855*G855*COS(RADIANS(E855)))/(12*N855*G855*COS(RADIANS(E855))^2+L855*G855^3*SIN(RADIANS(E855))^2)</f>
        <v/>
      </c>
      <c r="Q855" s="28">
        <f>-(6*F855*J855*L855*N855*SIN(RADIANS(E855))+6*O855*N855*G855*SIN(RADIANS(E855))*COS(RADIANS(E855)))/(12*N855*COS(RADIANS(E855))^2+L855*G855^2*SIN(RADIANS(E855))^2)</f>
        <v/>
      </c>
      <c r="R855" s="28">
        <f>-P855*SIN(RADIANS(E855))</f>
        <v/>
      </c>
      <c r="S855" s="8">
        <f>(O855+P855*COS(RADIANS(E855)))/L855</f>
        <v/>
      </c>
      <c r="T855" s="8">
        <f>R855/L855</f>
        <v/>
      </c>
      <c r="U855" s="8">
        <f>(Q855-P855*G855*SIN(RADIANS(E855)))/M855</f>
        <v/>
      </c>
      <c r="V855" s="8">
        <f>SQRT((S855+U855)^2+3*T855^2)</f>
        <v/>
      </c>
      <c r="W855" s="8">
        <f>V855/AA855</f>
        <v/>
      </c>
      <c r="X855" s="27">
        <f>((3*10+H855/COS(RADIANS(E855)))*(3+3)+3*G855*H855)*2</f>
        <v/>
      </c>
      <c r="Y855" s="28">
        <f>Z855/X855</f>
        <v/>
      </c>
      <c r="Z855" s="29" t="n">
        <v>573.616853640695</v>
      </c>
      <c r="AA855" s="20" t="n">
        <v>76.8686481807476</v>
      </c>
      <c r="AB855" t="n">
        <v>0.1695449919835645</v>
      </c>
      <c r="AC855" t="n">
        <v>80.2993062372384</v>
      </c>
      <c r="AD855" t="n">
        <v>36.23493398888827</v>
      </c>
    </row>
    <row r="856">
      <c r="A856" t="n">
        <v>855</v>
      </c>
      <c r="B856" t="n">
        <v>78.40000000000001</v>
      </c>
      <c r="C856" s="21">
        <f>B856-20</f>
        <v/>
      </c>
      <c r="D856" t="n">
        <v>111.1</v>
      </c>
      <c r="E856" s="22">
        <f>D856-90</f>
        <v/>
      </c>
      <c r="F856" s="23" t="n">
        <v>0.016728</v>
      </c>
      <c r="G856" s="22" t="n">
        <v>20.5</v>
      </c>
      <c r="H856" s="22" t="n">
        <v>1.1</v>
      </c>
      <c r="I856" s="24" t="n">
        <v>0.0993202850222587</v>
      </c>
      <c r="J856" s="6" t="n">
        <v>71000</v>
      </c>
      <c r="K856" s="25">
        <f>23*10^-6</f>
        <v/>
      </c>
      <c r="L856" s="8">
        <f>H856</f>
        <v/>
      </c>
      <c r="M856" s="26">
        <f>H856^2/6</f>
        <v/>
      </c>
      <c r="N856" s="26">
        <f>H856^3/12</f>
        <v/>
      </c>
      <c r="O856" s="27">
        <f>-J856*L856*K856*C856</f>
        <v/>
      </c>
      <c r="P856" s="28">
        <f>-(12*F856*J856*L856*N856+12*O856*N856*G856*COS(RADIANS(E856)))/(12*N856*G856*COS(RADIANS(E856))^2+L856*G856^3*SIN(RADIANS(E856))^2)</f>
        <v/>
      </c>
      <c r="Q856" s="28">
        <f>-(6*F856*J856*L856*N856*SIN(RADIANS(E856))+6*O856*N856*G856*SIN(RADIANS(E856))*COS(RADIANS(E856)))/(12*N856*COS(RADIANS(E856))^2+L856*G856^2*SIN(RADIANS(E856))^2)</f>
        <v/>
      </c>
      <c r="R856" s="28">
        <f>-P856*SIN(RADIANS(E856))</f>
        <v/>
      </c>
      <c r="S856" s="8">
        <f>(O856+P856*COS(RADIANS(E856)))/L856</f>
        <v/>
      </c>
      <c r="T856" s="8">
        <f>R856/L856</f>
        <v/>
      </c>
      <c r="U856" s="8">
        <f>(Q856-P856*G856*SIN(RADIANS(E856)))/M856</f>
        <v/>
      </c>
      <c r="V856" s="8">
        <f>SQRT((S856+U856)^2+3*T856^2)</f>
        <v/>
      </c>
      <c r="W856" s="8">
        <f>V856/AA856</f>
        <v/>
      </c>
      <c r="X856" s="27">
        <f>((3*10+H856/COS(RADIANS(E856)))*(3+3)+3*G856*H856)*2</f>
        <v/>
      </c>
      <c r="Y856" s="28">
        <f>Z856/X856</f>
        <v/>
      </c>
      <c r="Z856" s="29" t="n">
        <v>514.60699779188</v>
      </c>
      <c r="AA856" s="20" t="n">
        <v>85.497211361352</v>
      </c>
      <c r="AB856" t="n">
        <v>0.1174431310129559</v>
      </c>
      <c r="AC856" t="n">
        <v>89.1187013396095</v>
      </c>
      <c r="AD856" t="n">
        <v>18.24687271752763</v>
      </c>
    </row>
    <row r="857">
      <c r="A857" t="n">
        <v>856</v>
      </c>
      <c r="B857" t="n">
        <v>41.9</v>
      </c>
      <c r="C857" s="21">
        <f>B857-20</f>
        <v/>
      </c>
      <c r="D857" t="n">
        <v>123</v>
      </c>
      <c r="E857" s="22">
        <f>D857-90</f>
        <v/>
      </c>
      <c r="F857" s="23" t="n">
        <v>0.006481</v>
      </c>
      <c r="G857" s="22" t="n">
        <v>23.8</v>
      </c>
      <c r="H857" s="22" t="n">
        <v>1.7</v>
      </c>
      <c r="I857" s="24" t="n">
        <v>0.0301645491272211</v>
      </c>
      <c r="J857" s="6" t="n">
        <v>71000</v>
      </c>
      <c r="K857" s="25">
        <f>23*10^-6</f>
        <v/>
      </c>
      <c r="L857" s="8">
        <f>H857</f>
        <v/>
      </c>
      <c r="M857" s="26">
        <f>H857^2/6</f>
        <v/>
      </c>
      <c r="N857" s="26">
        <f>H857^3/12</f>
        <v/>
      </c>
      <c r="O857" s="27">
        <f>-J857*L857*K857*C857</f>
        <v/>
      </c>
      <c r="P857" s="28">
        <f>-(12*F857*J857*L857*N857+12*O857*N857*G857*COS(RADIANS(E857)))/(12*N857*G857*COS(RADIANS(E857))^2+L857*G857^3*SIN(RADIANS(E857))^2)</f>
        <v/>
      </c>
      <c r="Q857" s="28">
        <f>-(6*F857*J857*L857*N857*SIN(RADIANS(E857))+6*O857*N857*G857*SIN(RADIANS(E857))*COS(RADIANS(E857)))/(12*N857*COS(RADIANS(E857))^2+L857*G857^2*SIN(RADIANS(E857))^2)</f>
        <v/>
      </c>
      <c r="R857" s="28">
        <f>-P857*SIN(RADIANS(E857))</f>
        <v/>
      </c>
      <c r="S857" s="8">
        <f>(O857+P857*COS(RADIANS(E857)))/L857</f>
        <v/>
      </c>
      <c r="T857" s="8">
        <f>R857/L857</f>
        <v/>
      </c>
      <c r="U857" s="8">
        <f>(Q857-P857*G857*SIN(RADIANS(E857)))/M857</f>
        <v/>
      </c>
      <c r="V857" s="8">
        <f>SQRT((S857+U857)^2+3*T857^2)</f>
        <v/>
      </c>
      <c r="W857" s="8">
        <f>V857/AA857</f>
        <v/>
      </c>
      <c r="X857" s="27">
        <f>((3*10+H857/COS(RADIANS(E857)))*(3+3)+3*G857*H857)*2</f>
        <v/>
      </c>
      <c r="Y857" s="28">
        <f>Z857/X857</f>
        <v/>
      </c>
      <c r="Z857" s="29" t="n">
        <v>635.1345595875561</v>
      </c>
      <c r="AA857" s="20" t="n">
        <v>34.7151648923376</v>
      </c>
      <c r="AB857" t="n">
        <v>0.03155857752277503</v>
      </c>
      <c r="AC857" t="n">
        <v>32.69752821085573</v>
      </c>
      <c r="AD857" t="n">
        <v>4.621413002642658</v>
      </c>
    </row>
    <row r="858">
      <c r="A858" t="n">
        <v>857</v>
      </c>
      <c r="B858" t="n">
        <v>85.2</v>
      </c>
      <c r="C858" s="21">
        <f>B858-20</f>
        <v/>
      </c>
      <c r="D858" t="n">
        <v>115.2</v>
      </c>
      <c r="E858" s="22">
        <f>D858-90</f>
        <v/>
      </c>
      <c r="F858" s="23" t="n">
        <v>0.024031</v>
      </c>
      <c r="G858" s="22" t="n">
        <v>29.1</v>
      </c>
      <c r="H858" s="22" t="n">
        <v>1.1</v>
      </c>
      <c r="I858" s="24" t="n">
        <v>0.12243864685297</v>
      </c>
      <c r="J858" s="6" t="n">
        <v>71000</v>
      </c>
      <c r="K858" s="25">
        <f>23*10^-6</f>
        <v/>
      </c>
      <c r="L858" s="8">
        <f>H858</f>
        <v/>
      </c>
      <c r="M858" s="26">
        <f>H858^2/6</f>
        <v/>
      </c>
      <c r="N858" s="26">
        <f>H858^3/12</f>
        <v/>
      </c>
      <c r="O858" s="27">
        <f>-J858*L858*K858*C858</f>
        <v/>
      </c>
      <c r="P858" s="28">
        <f>-(12*F858*J858*L858*N858+12*O858*N858*G858*COS(RADIANS(E858)))/(12*N858*G858*COS(RADIANS(E858))^2+L858*G858^3*SIN(RADIANS(E858))^2)</f>
        <v/>
      </c>
      <c r="Q858" s="28">
        <f>-(6*F858*J858*L858*N858*SIN(RADIANS(E858))+6*O858*N858*G858*SIN(RADIANS(E858))*COS(RADIANS(E858)))/(12*N858*COS(RADIANS(E858))^2+L858*G858^2*SIN(RADIANS(E858))^2)</f>
        <v/>
      </c>
      <c r="R858" s="28">
        <f>-P858*SIN(RADIANS(E858))</f>
        <v/>
      </c>
      <c r="S858" s="8">
        <f>(O858+P858*COS(RADIANS(E858)))/L858</f>
        <v/>
      </c>
      <c r="T858" s="8">
        <f>R858/L858</f>
        <v/>
      </c>
      <c r="U858" s="8">
        <f>(Q858-P858*G858*SIN(RADIANS(E858)))/M858</f>
        <v/>
      </c>
      <c r="V858" s="8">
        <f>SQRT((S858+U858)^2+3*T858^2)</f>
        <v/>
      </c>
      <c r="W858" s="8">
        <f>V858/AA858</f>
        <v/>
      </c>
      <c r="X858" s="27">
        <f>((3*10+H858/COS(RADIANS(E858)))*(3+3)+3*G858*H858)*2</f>
        <v/>
      </c>
      <c r="Y858" s="28">
        <f>Z858/X858</f>
        <v/>
      </c>
      <c r="Z858" s="29" t="n">
        <v>572.606458515379</v>
      </c>
      <c r="AA858" s="20" t="n">
        <v>90.9191530592342</v>
      </c>
      <c r="AB858" t="n">
        <v>0.1525011078587117</v>
      </c>
      <c r="AC858" t="n">
        <v>95.55906456317263</v>
      </c>
      <c r="AD858" t="n">
        <v>24.55308170943938</v>
      </c>
    </row>
    <row r="859">
      <c r="A859" t="n">
        <v>858</v>
      </c>
      <c r="B859" t="n">
        <v>83.40000000000001</v>
      </c>
      <c r="C859" s="21">
        <f>B859-20</f>
        <v/>
      </c>
      <c r="D859" t="n">
        <v>120.3</v>
      </c>
      <c r="E859" s="22">
        <f>D859-90</f>
        <v/>
      </c>
      <c r="F859" s="23" t="n">
        <v>0.023494</v>
      </c>
      <c r="G859" s="22" t="n">
        <v>30.7</v>
      </c>
      <c r="H859" s="22" t="n">
        <v>1.3</v>
      </c>
      <c r="I859" s="24" t="n">
        <v>0.10861425101757</v>
      </c>
      <c r="J859" s="6" t="n">
        <v>71000</v>
      </c>
      <c r="K859" s="25">
        <f>23*10^-6</f>
        <v/>
      </c>
      <c r="L859" s="8">
        <f>H859</f>
        <v/>
      </c>
      <c r="M859" s="26">
        <f>H859^2/6</f>
        <v/>
      </c>
      <c r="N859" s="26">
        <f>H859^3/12</f>
        <v/>
      </c>
      <c r="O859" s="27">
        <f>-J859*L859*K859*C859</f>
        <v/>
      </c>
      <c r="P859" s="28">
        <f>-(12*F859*J859*L859*N859+12*O859*N859*G859*COS(RADIANS(E859)))/(12*N859*G859*COS(RADIANS(E859))^2+L859*G859^3*SIN(RADIANS(E859))^2)</f>
        <v/>
      </c>
      <c r="Q859" s="28">
        <f>-(6*F859*J859*L859*N859*SIN(RADIANS(E859))+6*O859*N859*G859*SIN(RADIANS(E859))*COS(RADIANS(E859)))/(12*N859*COS(RADIANS(E859))^2+L859*G859^2*SIN(RADIANS(E859))^2)</f>
        <v/>
      </c>
      <c r="R859" s="28">
        <f>-P859*SIN(RADIANS(E859))</f>
        <v/>
      </c>
      <c r="S859" s="8">
        <f>(O859+P859*COS(RADIANS(E859)))/L859</f>
        <v/>
      </c>
      <c r="T859" s="8">
        <f>R859/L859</f>
        <v/>
      </c>
      <c r="U859" s="8">
        <f>(Q859-P859*G859*SIN(RADIANS(E859)))/M859</f>
        <v/>
      </c>
      <c r="V859" s="8">
        <f>SQRT((S859+U859)^2+3*T859^2)</f>
        <v/>
      </c>
      <c r="W859" s="8">
        <f>V859/AA859</f>
        <v/>
      </c>
      <c r="X859" s="27">
        <f>((3*10+H859/COS(RADIANS(E859)))*(3+3)+3*G859*H859)*2</f>
        <v/>
      </c>
      <c r="Y859" s="28">
        <f>Z859/X859</f>
        <v/>
      </c>
      <c r="Z859" s="29" t="n">
        <v>624.7590499013839</v>
      </c>
      <c r="AA859" s="20" t="n">
        <v>89.9719776784238</v>
      </c>
      <c r="AB859" t="n">
        <v>0.1281902858791207</v>
      </c>
      <c r="AC859" t="n">
        <v>92.20119919201554</v>
      </c>
      <c r="AD859" t="n">
        <v>18.02344966535187</v>
      </c>
    </row>
    <row r="860">
      <c r="A860" t="n">
        <v>859</v>
      </c>
      <c r="B860" t="n">
        <v>62.1</v>
      </c>
      <c r="C860" s="21">
        <f>B860-20</f>
        <v/>
      </c>
      <c r="D860" t="n">
        <v>103.7</v>
      </c>
      <c r="E860" s="22">
        <f>D860-90</f>
        <v/>
      </c>
      <c r="F860" s="23" t="n">
        <v>0.01407</v>
      </c>
      <c r="G860" s="22" t="n">
        <v>24</v>
      </c>
      <c r="H860" s="22" t="n">
        <v>1.8</v>
      </c>
      <c r="I860" s="24" t="n">
        <v>0.105275921523571</v>
      </c>
      <c r="J860" s="6" t="n">
        <v>71000</v>
      </c>
      <c r="K860" s="25">
        <f>23*10^-6</f>
        <v/>
      </c>
      <c r="L860" s="8">
        <f>H860</f>
        <v/>
      </c>
      <c r="M860" s="26">
        <f>H860^2/6</f>
        <v/>
      </c>
      <c r="N860" s="26">
        <f>H860^3/12</f>
        <v/>
      </c>
      <c r="O860" s="27">
        <f>-J860*L860*K860*C860</f>
        <v/>
      </c>
      <c r="P860" s="28">
        <f>-(12*F860*J860*L860*N860+12*O860*N860*G860*COS(RADIANS(E860)))/(12*N860*G860*COS(RADIANS(E860))^2+L860*G860^3*SIN(RADIANS(E860))^2)</f>
        <v/>
      </c>
      <c r="Q860" s="28">
        <f>-(6*F860*J860*L860*N860*SIN(RADIANS(E860))+6*O860*N860*G860*SIN(RADIANS(E860))*COS(RADIANS(E860)))/(12*N860*COS(RADIANS(E860))^2+L860*G860^2*SIN(RADIANS(E860))^2)</f>
        <v/>
      </c>
      <c r="R860" s="28">
        <f>-P860*SIN(RADIANS(E860))</f>
        <v/>
      </c>
      <c r="S860" s="8">
        <f>(O860+P860*COS(RADIANS(E860)))/L860</f>
        <v/>
      </c>
      <c r="T860" s="8">
        <f>R860/L860</f>
        <v/>
      </c>
      <c r="U860" s="8">
        <f>(Q860-P860*G860*SIN(RADIANS(E860)))/M860</f>
        <v/>
      </c>
      <c r="V860" s="8">
        <f>SQRT((S860+U860)^2+3*T860^2)</f>
        <v/>
      </c>
      <c r="W860" s="8">
        <f>V860/AA860</f>
        <v/>
      </c>
      <c r="X860" s="27">
        <f>((3*10+H860/COS(RADIANS(E860)))*(3+3)+3*G860*H860)*2</f>
        <v/>
      </c>
      <c r="Y860" s="28">
        <f>Z860/X860</f>
        <v/>
      </c>
      <c r="Z860" s="29" t="n">
        <v>645.568981455241</v>
      </c>
      <c r="AA860" s="20" t="n">
        <v>74.5717844318489</v>
      </c>
      <c r="AB860" t="n">
        <v>0.1420697215310988</v>
      </c>
      <c r="AC860" t="n">
        <v>72.6723766754867</v>
      </c>
      <c r="AD860" t="n">
        <v>34.94987217878668</v>
      </c>
    </row>
    <row r="861">
      <c r="A861" t="n">
        <v>860</v>
      </c>
      <c r="B861" t="n">
        <v>77</v>
      </c>
      <c r="C861" s="21">
        <f>B861-20</f>
        <v/>
      </c>
      <c r="D861" t="n">
        <v>115.7</v>
      </c>
      <c r="E861" s="22">
        <f>D861-90</f>
        <v/>
      </c>
      <c r="F861" s="23" t="n">
        <v>0.018947</v>
      </c>
      <c r="G861" s="22" t="n">
        <v>25.7</v>
      </c>
      <c r="H861" s="22" t="n">
        <v>1.9</v>
      </c>
      <c r="I861" s="24" t="n">
        <v>0.0969077423214912</v>
      </c>
      <c r="J861" s="6" t="n">
        <v>71000</v>
      </c>
      <c r="K861" s="25">
        <f>23*10^-6</f>
        <v/>
      </c>
      <c r="L861" s="8">
        <f>H861</f>
        <v/>
      </c>
      <c r="M861" s="26">
        <f>H861^2/6</f>
        <v/>
      </c>
      <c r="N861" s="26">
        <f>H861^3/12</f>
        <v/>
      </c>
      <c r="O861" s="27">
        <f>-J861*L861*K861*C861</f>
        <v/>
      </c>
      <c r="P861" s="28">
        <f>-(12*F861*J861*L861*N861+12*O861*N861*G861*COS(RADIANS(E861)))/(12*N861*G861*COS(RADIANS(E861))^2+L861*G861^3*SIN(RADIANS(E861))^2)</f>
        <v/>
      </c>
      <c r="Q861" s="28">
        <f>-(6*F861*J861*L861*N861*SIN(RADIANS(E861))+6*O861*N861*G861*SIN(RADIANS(E861))*COS(RADIANS(E861)))/(12*N861*COS(RADIANS(E861))^2+L861*G861^2*SIN(RADIANS(E861))^2)</f>
        <v/>
      </c>
      <c r="R861" s="28">
        <f>-P861*SIN(RADIANS(E861))</f>
        <v/>
      </c>
      <c r="S861" s="8">
        <f>(O861+P861*COS(RADIANS(E861)))/L861</f>
        <v/>
      </c>
      <c r="T861" s="8">
        <f>R861/L861</f>
        <v/>
      </c>
      <c r="U861" s="8">
        <f>(Q861-P861*G861*SIN(RADIANS(E861)))/M861</f>
        <v/>
      </c>
      <c r="V861" s="8">
        <f>SQRT((S861+U861)^2+3*T861^2)</f>
        <v/>
      </c>
      <c r="W861" s="8">
        <f>V861/AA861</f>
        <v/>
      </c>
      <c r="X861" s="27">
        <f>((3*10+H861/COS(RADIANS(E861)))*(3+3)+3*G861*H861)*2</f>
        <v/>
      </c>
      <c r="Y861" s="28">
        <f>Z861/X861</f>
        <v/>
      </c>
      <c r="Z861" s="29" t="n">
        <v>684.351475865548</v>
      </c>
      <c r="AA861" s="20" t="n">
        <v>94.49996829661301</v>
      </c>
      <c r="AB861" t="n">
        <v>0.1141533140435821</v>
      </c>
      <c r="AC861" t="n">
        <v>88.85358353927705</v>
      </c>
      <c r="AD861" t="n">
        <v>17.79586574711315</v>
      </c>
    </row>
    <row r="862">
      <c r="A862" t="n">
        <v>861</v>
      </c>
      <c r="B862" t="n">
        <v>72.3</v>
      </c>
      <c r="C862" s="21">
        <f>B862-20</f>
        <v/>
      </c>
      <c r="D862" t="n">
        <v>104.5</v>
      </c>
      <c r="E862" s="22">
        <f>D862-90</f>
        <v/>
      </c>
      <c r="F862" s="23" t="n">
        <v>0.020952</v>
      </c>
      <c r="G862" s="22" t="n">
        <v>30.1</v>
      </c>
      <c r="H862" s="22" t="n">
        <v>1.4</v>
      </c>
      <c r="I862" s="24" t="n">
        <v>0.152666643261909</v>
      </c>
      <c r="J862" s="6" t="n">
        <v>71000</v>
      </c>
      <c r="K862" s="25">
        <f>23*10^-6</f>
        <v/>
      </c>
      <c r="L862" s="8">
        <f>H862</f>
        <v/>
      </c>
      <c r="M862" s="26">
        <f>H862^2/6</f>
        <v/>
      </c>
      <c r="N862" s="26">
        <f>H862^3/12</f>
        <v/>
      </c>
      <c r="O862" s="27">
        <f>-J862*L862*K862*C862</f>
        <v/>
      </c>
      <c r="P862" s="28">
        <f>-(12*F862*J862*L862*N862+12*O862*N862*G862*COS(RADIANS(E862)))/(12*N862*G862*COS(RADIANS(E862))^2+L862*G862^3*SIN(RADIANS(E862))^2)</f>
        <v/>
      </c>
      <c r="Q862" s="28">
        <f>-(6*F862*J862*L862*N862*SIN(RADIANS(E862))+6*O862*N862*G862*SIN(RADIANS(E862))*COS(RADIANS(E862)))/(12*N862*COS(RADIANS(E862))^2+L862*G862^2*SIN(RADIANS(E862))^2)</f>
        <v/>
      </c>
      <c r="R862" s="28">
        <f>-P862*SIN(RADIANS(E862))</f>
        <v/>
      </c>
      <c r="S862" s="8">
        <f>(O862+P862*COS(RADIANS(E862)))/L862</f>
        <v/>
      </c>
      <c r="T862" s="8">
        <f>R862/L862</f>
        <v/>
      </c>
      <c r="U862" s="8">
        <f>(Q862-P862*G862*SIN(RADIANS(E862)))/M862</f>
        <v/>
      </c>
      <c r="V862" s="8">
        <f>SQRT((S862+U862)^2+3*T862^2)</f>
        <v/>
      </c>
      <c r="W862" s="8">
        <f>V862/AA862</f>
        <v/>
      </c>
      <c r="X862" s="27">
        <f>((3*10+H862/COS(RADIANS(E862)))*(3+3)+3*G862*H862)*2</f>
        <v/>
      </c>
      <c r="Y862" s="28">
        <f>Z862/X862</f>
        <v/>
      </c>
      <c r="Z862" s="29" t="n">
        <v>634.415962123306</v>
      </c>
      <c r="AA862" s="20" t="n">
        <v>80.7590995810952</v>
      </c>
      <c r="AB862" t="n">
        <v>0.2183854489550138</v>
      </c>
      <c r="AC862" t="n">
        <v>84.13012709029448</v>
      </c>
      <c r="AD862" t="n">
        <v>43.04725923681975</v>
      </c>
    </row>
    <row r="863">
      <c r="A863" t="n">
        <v>862</v>
      </c>
      <c r="B863" t="n">
        <v>50.3</v>
      </c>
      <c r="C863" s="21">
        <f>B863-20</f>
        <v/>
      </c>
      <c r="D863" t="n">
        <v>105.8</v>
      </c>
      <c r="E863" s="22">
        <f>D863-90</f>
        <v/>
      </c>
      <c r="F863" s="23" t="n">
        <v>0.009185</v>
      </c>
      <c r="G863" s="22" t="n">
        <v>21.4</v>
      </c>
      <c r="H863" s="22" t="n">
        <v>1.2</v>
      </c>
      <c r="I863" s="24" t="n">
        <v>0.0651652514934539</v>
      </c>
      <c r="J863" s="6" t="n">
        <v>71000</v>
      </c>
      <c r="K863" s="25">
        <f>23*10^-6</f>
        <v/>
      </c>
      <c r="L863" s="8">
        <f>H863</f>
        <v/>
      </c>
      <c r="M863" s="26">
        <f>H863^2/6</f>
        <v/>
      </c>
      <c r="N863" s="26">
        <f>H863^3/12</f>
        <v/>
      </c>
      <c r="O863" s="27">
        <f>-J863*L863*K863*C863</f>
        <v/>
      </c>
      <c r="P863" s="28">
        <f>-(12*F863*J863*L863*N863+12*O863*N863*G863*COS(RADIANS(E863)))/(12*N863*G863*COS(RADIANS(E863))^2+L863*G863^3*SIN(RADIANS(E863))^2)</f>
        <v/>
      </c>
      <c r="Q863" s="28">
        <f>-(6*F863*J863*L863*N863*SIN(RADIANS(E863))+6*O863*N863*G863*SIN(RADIANS(E863))*COS(RADIANS(E863)))/(12*N863*COS(RADIANS(E863))^2+L863*G863^2*SIN(RADIANS(E863))^2)</f>
        <v/>
      </c>
      <c r="R863" s="28">
        <f>-P863*SIN(RADIANS(E863))</f>
        <v/>
      </c>
      <c r="S863" s="8">
        <f>(O863+P863*COS(RADIANS(E863)))/L863</f>
        <v/>
      </c>
      <c r="T863" s="8">
        <f>R863/L863</f>
        <v/>
      </c>
      <c r="U863" s="8">
        <f>(Q863-P863*G863*SIN(RADIANS(E863)))/M863</f>
        <v/>
      </c>
      <c r="V863" s="8">
        <f>SQRT((S863+U863)^2+3*T863^2)</f>
        <v/>
      </c>
      <c r="W863" s="8">
        <f>V863/AA863</f>
        <v/>
      </c>
      <c r="X863" s="27">
        <f>((3*10+H863/COS(RADIANS(E863)))*(3+3)+3*G863*H863)*2</f>
        <v/>
      </c>
      <c r="Y863" s="28">
        <f>Z863/X863</f>
        <v/>
      </c>
      <c r="Z863" s="29" t="n">
        <v>533.4214260161669</v>
      </c>
      <c r="AA863" s="20" t="n">
        <v>46.1964708305291</v>
      </c>
      <c r="AB863" t="n">
        <v>0.08383876247997413</v>
      </c>
      <c r="AC863" t="n">
        <v>48.52272801195367</v>
      </c>
      <c r="AD863" t="n">
        <v>28.65562636307182</v>
      </c>
    </row>
    <row r="864">
      <c r="A864" t="n">
        <v>863</v>
      </c>
      <c r="B864" t="n">
        <v>78.40000000000001</v>
      </c>
      <c r="C864" s="21">
        <f>B864-20</f>
        <v/>
      </c>
      <c r="D864" t="n">
        <v>123.8</v>
      </c>
      <c r="E864" s="22">
        <f>D864-90</f>
        <v/>
      </c>
      <c r="F864" s="23" t="n">
        <v>0.022141</v>
      </c>
      <c r="G864" s="22" t="n">
        <v>32.8</v>
      </c>
      <c r="H864" s="22" t="n">
        <v>1.2</v>
      </c>
      <c r="I864" s="24" t="n">
        <v>0.09732247889041901</v>
      </c>
      <c r="J864" s="6" t="n">
        <v>71000</v>
      </c>
      <c r="K864" s="25">
        <f>23*10^-6</f>
        <v/>
      </c>
      <c r="L864" s="8">
        <f>H864</f>
        <v/>
      </c>
      <c r="M864" s="26">
        <f>H864^2/6</f>
        <v/>
      </c>
      <c r="N864" s="26">
        <f>H864^3/12</f>
        <v/>
      </c>
      <c r="O864" s="27">
        <f>-J864*L864*K864*C864</f>
        <v/>
      </c>
      <c r="P864" s="28">
        <f>-(12*F864*J864*L864*N864+12*O864*N864*G864*COS(RADIANS(E864)))/(12*N864*G864*COS(RADIANS(E864))^2+L864*G864^3*SIN(RADIANS(E864))^2)</f>
        <v/>
      </c>
      <c r="Q864" s="28">
        <f>-(6*F864*J864*L864*N864*SIN(RADIANS(E864))+6*O864*N864*G864*SIN(RADIANS(E864))*COS(RADIANS(E864)))/(12*N864*COS(RADIANS(E864))^2+L864*G864^2*SIN(RADIANS(E864))^2)</f>
        <v/>
      </c>
      <c r="R864" s="28">
        <f>-P864*SIN(RADIANS(E864))</f>
        <v/>
      </c>
      <c r="S864" s="8">
        <f>(O864+P864*COS(RADIANS(E864)))/L864</f>
        <v/>
      </c>
      <c r="T864" s="8">
        <f>R864/L864</f>
        <v/>
      </c>
      <c r="U864" s="8">
        <f>(Q864-P864*G864*SIN(RADIANS(E864)))/M864</f>
        <v/>
      </c>
      <c r="V864" s="8">
        <f>SQRT((S864+U864)^2+3*T864^2)</f>
        <v/>
      </c>
      <c r="W864" s="8">
        <f>V864/AA864</f>
        <v/>
      </c>
      <c r="X864" s="27">
        <f>((3*10+H864/COS(RADIANS(E864)))*(3+3)+3*G864*H864)*2</f>
        <v/>
      </c>
      <c r="Y864" s="28">
        <f>Z864/X864</f>
        <v/>
      </c>
      <c r="Z864" s="29" t="n">
        <v>621.803879299858</v>
      </c>
      <c r="AA864" s="20" t="n">
        <v>79.4156063914719</v>
      </c>
      <c r="AB864" t="n">
        <v>0.1118919694113599</v>
      </c>
      <c r="AC864" t="n">
        <v>83.41366927278639</v>
      </c>
      <c r="AD864" t="n">
        <v>14.97032410913571</v>
      </c>
    </row>
    <row r="865">
      <c r="A865" t="n">
        <v>864</v>
      </c>
      <c r="B865" t="n">
        <v>73.7</v>
      </c>
      <c r="C865" s="21">
        <f>B865-20</f>
        <v/>
      </c>
      <c r="D865" t="n">
        <v>102.5</v>
      </c>
      <c r="E865" s="22">
        <f>D865-90</f>
        <v/>
      </c>
      <c r="F865" s="23" t="n">
        <v>0.015985</v>
      </c>
      <c r="G865" s="22" t="n">
        <v>20.6</v>
      </c>
      <c r="H865" s="22" t="n">
        <v>1.7</v>
      </c>
      <c r="I865" s="24" t="n">
        <v>0.12655684351921</v>
      </c>
      <c r="J865" s="6" t="n">
        <v>71000</v>
      </c>
      <c r="K865" s="25">
        <f>23*10^-6</f>
        <v/>
      </c>
      <c r="L865" s="8">
        <f>H865</f>
        <v/>
      </c>
      <c r="M865" s="26">
        <f>H865^2/6</f>
        <v/>
      </c>
      <c r="N865" s="26">
        <f>H865^3/12</f>
        <v/>
      </c>
      <c r="O865" s="27">
        <f>-J865*L865*K865*C865</f>
        <v/>
      </c>
      <c r="P865" s="28">
        <f>-(12*F865*J865*L865*N865+12*O865*N865*G865*COS(RADIANS(E865)))/(12*N865*G865*COS(RADIANS(E865))^2+L865*G865^3*SIN(RADIANS(E865))^2)</f>
        <v/>
      </c>
      <c r="Q865" s="28">
        <f>-(6*F865*J865*L865*N865*SIN(RADIANS(E865))+6*O865*N865*G865*SIN(RADIANS(E865))*COS(RADIANS(E865)))/(12*N865*COS(RADIANS(E865))^2+L865*G865^2*SIN(RADIANS(E865))^2)</f>
        <v/>
      </c>
      <c r="R865" s="28">
        <f>-P865*SIN(RADIANS(E865))</f>
        <v/>
      </c>
      <c r="S865" s="8">
        <f>(O865+P865*COS(RADIANS(E865)))/L865</f>
        <v/>
      </c>
      <c r="T865" s="8">
        <f>R865/L865</f>
        <v/>
      </c>
      <c r="U865" s="8">
        <f>(Q865-P865*G865*SIN(RADIANS(E865)))/M865</f>
        <v/>
      </c>
      <c r="V865" s="8">
        <f>SQRT((S865+U865)^2+3*T865^2)</f>
        <v/>
      </c>
      <c r="W865" s="8">
        <f>V865/AA865</f>
        <v/>
      </c>
      <c r="X865" s="27">
        <f>((3*10+H865/COS(RADIANS(E865)))*(3+3)+3*G865*H865)*2</f>
        <v/>
      </c>
      <c r="Y865" s="28">
        <f>Z865/X865</f>
        <v/>
      </c>
      <c r="Z865" s="29" t="n">
        <v>595.031639821204</v>
      </c>
      <c r="AA865" s="20" t="n">
        <v>114.683836944763</v>
      </c>
      <c r="AB865" t="n">
        <v>0.1661438952015308</v>
      </c>
      <c r="AC865" t="n">
        <v>94.222242704983</v>
      </c>
      <c r="AD865" t="n">
        <v>31.28005612459189</v>
      </c>
    </row>
    <row r="866">
      <c r="A866" t="n">
        <v>865</v>
      </c>
      <c r="B866" t="n">
        <v>81.09999999999999</v>
      </c>
      <c r="C866" s="21">
        <f>B866-20</f>
        <v/>
      </c>
      <c r="D866" t="n">
        <v>105</v>
      </c>
      <c r="E866" s="22">
        <f>D866-90</f>
        <v/>
      </c>
      <c r="F866" s="23" t="n">
        <v>0.024431</v>
      </c>
      <c r="G866" s="22" t="n">
        <v>30.1</v>
      </c>
      <c r="H866" s="22" t="n">
        <v>1.6</v>
      </c>
      <c r="I866" s="24" t="n">
        <v>0.172618940472602</v>
      </c>
      <c r="J866" s="6" t="n">
        <v>71000</v>
      </c>
      <c r="K866" s="25">
        <f>23*10^-6</f>
        <v/>
      </c>
      <c r="L866" s="8">
        <f>H866</f>
        <v/>
      </c>
      <c r="M866" s="26">
        <f>H866^2/6</f>
        <v/>
      </c>
      <c r="N866" s="26">
        <f>H866^3/12</f>
        <v/>
      </c>
      <c r="O866" s="27">
        <f>-J866*L866*K866*C866</f>
        <v/>
      </c>
      <c r="P866" s="28">
        <f>-(12*F866*J866*L866*N866+12*O866*N866*G866*COS(RADIANS(E866)))/(12*N866*G866*COS(RADIANS(E866))^2+L866*G866^3*SIN(RADIANS(E866))^2)</f>
        <v/>
      </c>
      <c r="Q866" s="28">
        <f>-(6*F866*J866*L866*N866*SIN(RADIANS(E866))+6*O866*N866*G866*SIN(RADIANS(E866))*COS(RADIANS(E866)))/(12*N866*COS(RADIANS(E866))^2+L866*G866^2*SIN(RADIANS(E866))^2)</f>
        <v/>
      </c>
      <c r="R866" s="28">
        <f>-P866*SIN(RADIANS(E866))</f>
        <v/>
      </c>
      <c r="S866" s="8">
        <f>(O866+P866*COS(RADIANS(E866)))/L866</f>
        <v/>
      </c>
      <c r="T866" s="8">
        <f>R866/L866</f>
        <v/>
      </c>
      <c r="U866" s="8">
        <f>(Q866-P866*G866*SIN(RADIANS(E866)))/M866</f>
        <v/>
      </c>
      <c r="V866" s="8">
        <f>SQRT((S866+U866)^2+3*T866^2)</f>
        <v/>
      </c>
      <c r="W866" s="8">
        <f>V866/AA866</f>
        <v/>
      </c>
      <c r="X866" s="27">
        <f>((3*10+H866/COS(RADIANS(E866)))*(3+3)+3*G866*H866)*2</f>
        <v/>
      </c>
      <c r="Y866" s="28">
        <f>Z866/X866</f>
        <v/>
      </c>
      <c r="Z866" s="29" t="n">
        <v>673.117560379356</v>
      </c>
      <c r="AA866" s="20" t="n">
        <v>98.4054126405691</v>
      </c>
      <c r="AB866" t="n">
        <v>0.2447207862528949</v>
      </c>
      <c r="AC866" t="n">
        <v>99.71026774369041</v>
      </c>
      <c r="AD866" t="n">
        <v>41.76937106837173</v>
      </c>
    </row>
    <row r="867">
      <c r="A867" t="n">
        <v>866</v>
      </c>
      <c r="B867" t="n">
        <v>87.2</v>
      </c>
      <c r="C867" s="21">
        <f>B867-20</f>
        <v/>
      </c>
      <c r="D867" t="n">
        <v>105.2</v>
      </c>
      <c r="E867" s="22">
        <f>D867-90</f>
        <v/>
      </c>
      <c r="F867" s="23" t="n">
        <v>0.028032</v>
      </c>
      <c r="G867" s="22" t="n">
        <v>31.7</v>
      </c>
      <c r="H867" s="22" t="n">
        <v>1.6</v>
      </c>
      <c r="I867" s="24" t="n">
        <v>0.195564672350883</v>
      </c>
      <c r="J867" s="6" t="n">
        <v>71000</v>
      </c>
      <c r="K867" s="25">
        <f>23*10^-6</f>
        <v/>
      </c>
      <c r="L867" s="8">
        <f>H867</f>
        <v/>
      </c>
      <c r="M867" s="26">
        <f>H867^2/6</f>
        <v/>
      </c>
      <c r="N867" s="26">
        <f>H867^3/12</f>
        <v/>
      </c>
      <c r="O867" s="27">
        <f>-J867*L867*K867*C867</f>
        <v/>
      </c>
      <c r="P867" s="28">
        <f>-(12*F867*J867*L867*N867+12*O867*N867*G867*COS(RADIANS(E867)))/(12*N867*G867*COS(RADIANS(E867))^2+L867*G867^3*SIN(RADIANS(E867))^2)</f>
        <v/>
      </c>
      <c r="Q867" s="28">
        <f>-(6*F867*J867*L867*N867*SIN(RADIANS(E867))+6*O867*N867*G867*SIN(RADIANS(E867))*COS(RADIANS(E867)))/(12*N867*COS(RADIANS(E867))^2+L867*G867^2*SIN(RADIANS(E867))^2)</f>
        <v/>
      </c>
      <c r="R867" s="28">
        <f>-P867*SIN(RADIANS(E867))</f>
        <v/>
      </c>
      <c r="S867" s="8">
        <f>(O867+P867*COS(RADIANS(E867)))/L867</f>
        <v/>
      </c>
      <c r="T867" s="8">
        <f>R867/L867</f>
        <v/>
      </c>
      <c r="U867" s="8">
        <f>(Q867-P867*G867*SIN(RADIANS(E867)))/M867</f>
        <v/>
      </c>
      <c r="V867" s="8">
        <f>SQRT((S867+U867)^2+3*T867^2)</f>
        <v/>
      </c>
      <c r="W867" s="8">
        <f>V867/AA867</f>
        <v/>
      </c>
      <c r="X867" s="27">
        <f>((3*10+H867/COS(RADIANS(E867)))*(3+3)+3*G867*H867)*2</f>
        <v/>
      </c>
      <c r="Y867" s="28">
        <f>Z867/X867</f>
        <v/>
      </c>
      <c r="Z867" s="29" t="n">
        <v>688.519703590023</v>
      </c>
      <c r="AA867" s="20" t="n">
        <v>107.71052900141</v>
      </c>
      <c r="AB867" t="n">
        <v>0.2801145281662163</v>
      </c>
      <c r="AC867" t="n">
        <v>108.8297992292618</v>
      </c>
      <c r="AD867" t="n">
        <v>43.23370616940137</v>
      </c>
    </row>
    <row r="868">
      <c r="A868" t="n">
        <v>867</v>
      </c>
      <c r="B868" t="n">
        <v>67</v>
      </c>
      <c r="C868" s="21">
        <f>B868-20</f>
        <v/>
      </c>
      <c r="D868" t="n">
        <v>102.3</v>
      </c>
      <c r="E868" s="22">
        <f>D868-90</f>
        <v/>
      </c>
      <c r="F868" s="23" t="n">
        <v>0.017978</v>
      </c>
      <c r="G868" s="22" t="n">
        <v>28.2</v>
      </c>
      <c r="H868" s="22" t="n">
        <v>2</v>
      </c>
      <c r="I868" s="24" t="n">
        <v>0.14248077571392</v>
      </c>
      <c r="J868" s="6" t="n">
        <v>71000</v>
      </c>
      <c r="K868" s="25">
        <f>23*10^-6</f>
        <v/>
      </c>
      <c r="L868" s="8">
        <f>H868</f>
        <v/>
      </c>
      <c r="M868" s="26">
        <f>H868^2/6</f>
        <v/>
      </c>
      <c r="N868" s="26">
        <f>H868^3/12</f>
        <v/>
      </c>
      <c r="O868" s="27">
        <f>-J868*L868*K868*C868</f>
        <v/>
      </c>
      <c r="P868" s="28">
        <f>-(12*F868*J868*L868*N868+12*O868*N868*G868*COS(RADIANS(E868)))/(12*N868*G868*COS(RADIANS(E868))^2+L868*G868^3*SIN(RADIANS(E868))^2)</f>
        <v/>
      </c>
      <c r="Q868" s="28">
        <f>-(6*F868*J868*L868*N868*SIN(RADIANS(E868))+6*O868*N868*G868*SIN(RADIANS(E868))*COS(RADIANS(E868)))/(12*N868*COS(RADIANS(E868))^2+L868*G868^2*SIN(RADIANS(E868))^2)</f>
        <v/>
      </c>
      <c r="R868" s="28">
        <f>-P868*SIN(RADIANS(E868))</f>
        <v/>
      </c>
      <c r="S868" s="8">
        <f>(O868+P868*COS(RADIANS(E868)))/L868</f>
        <v/>
      </c>
      <c r="T868" s="8">
        <f>R868/L868</f>
        <v/>
      </c>
      <c r="U868" s="8">
        <f>(Q868-P868*G868*SIN(RADIANS(E868)))/M868</f>
        <v/>
      </c>
      <c r="V868" s="8">
        <f>SQRT((S868+U868)^2+3*T868^2)</f>
        <v/>
      </c>
      <c r="W868" s="8">
        <f>V868/AA868</f>
        <v/>
      </c>
      <c r="X868" s="27">
        <f>((3*10+H868/COS(RADIANS(E868)))*(3+3)+3*G868*H868)*2</f>
        <v/>
      </c>
      <c r="Y868" s="28">
        <f>Z868/X868</f>
        <v/>
      </c>
      <c r="Z868" s="29" t="n">
        <v>726.961327474589</v>
      </c>
      <c r="AA868" s="20" t="n">
        <v>87.41526979314931</v>
      </c>
      <c r="AB868" t="n">
        <v>0.203594171617557</v>
      </c>
      <c r="AC868" t="n">
        <v>82.82018112758867</v>
      </c>
      <c r="AD868" t="n">
        <v>42.89238011052349</v>
      </c>
    </row>
    <row r="869">
      <c r="A869" t="n">
        <v>868</v>
      </c>
      <c r="B869" t="n">
        <v>83.09999999999999</v>
      </c>
      <c r="C869" s="21">
        <f>B869-20</f>
        <v/>
      </c>
      <c r="D869" t="n">
        <v>109.3</v>
      </c>
      <c r="E869" s="22">
        <f>D869-90</f>
        <v/>
      </c>
      <c r="F869" s="23" t="n">
        <v>0.026313</v>
      </c>
      <c r="G869" s="22" t="n">
        <v>32.4</v>
      </c>
      <c r="H869" s="22" t="n">
        <v>1.5</v>
      </c>
      <c r="I869" s="24" t="n">
        <v>0.155491411685943</v>
      </c>
      <c r="J869" s="6" t="n">
        <v>71000</v>
      </c>
      <c r="K869" s="25">
        <f>23*10^-6</f>
        <v/>
      </c>
      <c r="L869" s="8">
        <f>H869</f>
        <v/>
      </c>
      <c r="M869" s="26">
        <f>H869^2/6</f>
        <v/>
      </c>
      <c r="N869" s="26">
        <f>H869^3/12</f>
        <v/>
      </c>
      <c r="O869" s="27">
        <f>-J869*L869*K869*C869</f>
        <v/>
      </c>
      <c r="P869" s="28">
        <f>-(12*F869*J869*L869*N869+12*O869*N869*G869*COS(RADIANS(E869)))/(12*N869*G869*COS(RADIANS(E869))^2+L869*G869^3*SIN(RADIANS(E869))^2)</f>
        <v/>
      </c>
      <c r="Q869" s="28">
        <f>-(6*F869*J869*L869*N869*SIN(RADIANS(E869))+6*O869*N869*G869*SIN(RADIANS(E869))*COS(RADIANS(E869)))/(12*N869*COS(RADIANS(E869))^2+L869*G869^2*SIN(RADIANS(E869))^2)</f>
        <v/>
      </c>
      <c r="R869" s="28">
        <f>-P869*SIN(RADIANS(E869))</f>
        <v/>
      </c>
      <c r="S869" s="8">
        <f>(O869+P869*COS(RADIANS(E869)))/L869</f>
        <v/>
      </c>
      <c r="T869" s="8">
        <f>R869/L869</f>
        <v/>
      </c>
      <c r="U869" s="8">
        <f>(Q869-P869*G869*SIN(RADIANS(E869)))/M869</f>
        <v/>
      </c>
      <c r="V869" s="8">
        <f>SQRT((S869+U869)^2+3*T869^2)</f>
        <v/>
      </c>
      <c r="W869" s="8">
        <f>V869/AA869</f>
        <v/>
      </c>
      <c r="X869" s="27">
        <f>((3*10+H869/COS(RADIANS(E869)))*(3+3)+3*G869*H869)*2</f>
        <v/>
      </c>
      <c r="Y869" s="28">
        <f>Z869/X869</f>
        <v/>
      </c>
      <c r="Z869" s="29" t="n">
        <v>675.534538109608</v>
      </c>
      <c r="AA869" s="20" t="n">
        <v>96.5230263579957</v>
      </c>
      <c r="AB869" t="n">
        <v>0.2135145141469899</v>
      </c>
      <c r="AC869" t="n">
        <v>97.60741481127926</v>
      </c>
      <c r="AD869" t="n">
        <v>37.31595322977729</v>
      </c>
    </row>
    <row r="870">
      <c r="A870" t="n">
        <v>869</v>
      </c>
      <c r="B870" t="n">
        <v>75.3</v>
      </c>
      <c r="C870" s="21">
        <f>B870-20</f>
        <v/>
      </c>
      <c r="D870" t="n">
        <v>120.3</v>
      </c>
      <c r="E870" s="22">
        <f>D870-90</f>
        <v/>
      </c>
      <c r="F870" s="23" t="n">
        <v>0.020765</v>
      </c>
      <c r="G870" s="22" t="n">
        <v>31.2</v>
      </c>
      <c r="H870" s="22" t="n">
        <v>1.1</v>
      </c>
      <c r="I870" s="24" t="n">
        <v>0.09570895880460729</v>
      </c>
      <c r="J870" s="6" t="n">
        <v>71000</v>
      </c>
      <c r="K870" s="25">
        <f>23*10^-6</f>
        <v/>
      </c>
      <c r="L870" s="8">
        <f>H870</f>
        <v/>
      </c>
      <c r="M870" s="26">
        <f>H870^2/6</f>
        <v/>
      </c>
      <c r="N870" s="26">
        <f>H870^3/12</f>
        <v/>
      </c>
      <c r="O870" s="27">
        <f>-J870*L870*K870*C870</f>
        <v/>
      </c>
      <c r="P870" s="28">
        <f>-(12*F870*J870*L870*N870+12*O870*N870*G870*COS(RADIANS(E870)))/(12*N870*G870*COS(RADIANS(E870))^2+L870*G870^3*SIN(RADIANS(E870))^2)</f>
        <v/>
      </c>
      <c r="Q870" s="28">
        <f>-(6*F870*J870*L870*N870*SIN(RADIANS(E870))+6*O870*N870*G870*SIN(RADIANS(E870))*COS(RADIANS(E870)))/(12*N870*COS(RADIANS(E870))^2+L870*G870^2*SIN(RADIANS(E870))^2)</f>
        <v/>
      </c>
      <c r="R870" s="28">
        <f>-P870*SIN(RADIANS(E870))</f>
        <v/>
      </c>
      <c r="S870" s="8">
        <f>(O870+P870*COS(RADIANS(E870)))/L870</f>
        <v/>
      </c>
      <c r="T870" s="8">
        <f>R870/L870</f>
        <v/>
      </c>
      <c r="U870" s="8">
        <f>(Q870-P870*G870*SIN(RADIANS(E870)))/M870</f>
        <v/>
      </c>
      <c r="V870" s="8">
        <f>SQRT((S870+U870)^2+3*T870^2)</f>
        <v/>
      </c>
      <c r="W870" s="8">
        <f>V870/AA870</f>
        <v/>
      </c>
      <c r="X870" s="27">
        <f>((3*10+H870/COS(RADIANS(E870)))*(3+3)+3*G870*H870)*2</f>
        <v/>
      </c>
      <c r="Y870" s="28">
        <f>Z870/X870</f>
        <v/>
      </c>
      <c r="Z870" s="29" t="n">
        <v>588.439327445883</v>
      </c>
      <c r="AA870" s="20" t="n">
        <v>75.0985485940727</v>
      </c>
      <c r="AB870" t="n">
        <v>0.1137307406980469</v>
      </c>
      <c r="AC870" t="n">
        <v>79.44551491116299</v>
      </c>
      <c r="AD870" t="n">
        <v>18.82977530894635</v>
      </c>
    </row>
    <row r="871">
      <c r="A871" t="n">
        <v>870</v>
      </c>
      <c r="B871" t="n">
        <v>65.09999999999999</v>
      </c>
      <c r="C871" s="21">
        <f>B871-20</f>
        <v/>
      </c>
      <c r="D871" t="n">
        <v>105.7</v>
      </c>
      <c r="E871" s="22">
        <f>D871-90</f>
        <v/>
      </c>
      <c r="F871" s="23" t="n">
        <v>0.015211</v>
      </c>
      <c r="G871" s="22" t="n">
        <v>24.5</v>
      </c>
      <c r="H871" s="22" t="n">
        <v>1.8</v>
      </c>
      <c r="I871" s="24" t="n">
        <v>0.104483887553215</v>
      </c>
      <c r="J871" s="6" t="n">
        <v>71000</v>
      </c>
      <c r="K871" s="25">
        <f>23*10^-6</f>
        <v/>
      </c>
      <c r="L871" s="8">
        <f>H871</f>
        <v/>
      </c>
      <c r="M871" s="26">
        <f>H871^2/6</f>
        <v/>
      </c>
      <c r="N871" s="26">
        <f>H871^3/12</f>
        <v/>
      </c>
      <c r="O871" s="27">
        <f>-J871*L871*K871*C871</f>
        <v/>
      </c>
      <c r="P871" s="28">
        <f>-(12*F871*J871*L871*N871+12*O871*N871*G871*COS(RADIANS(E871)))/(12*N871*G871*COS(RADIANS(E871))^2+L871*G871^3*SIN(RADIANS(E871))^2)</f>
        <v/>
      </c>
      <c r="Q871" s="28">
        <f>-(6*F871*J871*L871*N871*SIN(RADIANS(E871))+6*O871*N871*G871*SIN(RADIANS(E871))*COS(RADIANS(E871)))/(12*N871*COS(RADIANS(E871))^2+L871*G871^2*SIN(RADIANS(E871))^2)</f>
        <v/>
      </c>
      <c r="R871" s="28">
        <f>-P871*SIN(RADIANS(E871))</f>
        <v/>
      </c>
      <c r="S871" s="8">
        <f>(O871+P871*COS(RADIANS(E871)))/L871</f>
        <v/>
      </c>
      <c r="T871" s="8">
        <f>R871/L871</f>
        <v/>
      </c>
      <c r="U871" s="8">
        <f>(Q871-P871*G871*SIN(RADIANS(E871)))/M871</f>
        <v/>
      </c>
      <c r="V871" s="8">
        <f>SQRT((S871+U871)^2+3*T871^2)</f>
        <v/>
      </c>
      <c r="W871" s="8">
        <f>V871/AA871</f>
        <v/>
      </c>
      <c r="X871" s="27">
        <f>((3*10+H871/COS(RADIANS(E871)))*(3+3)+3*G871*H871)*2</f>
        <v/>
      </c>
      <c r="Y871" s="28">
        <f>Z871/X871</f>
        <v/>
      </c>
      <c r="Z871" s="29" t="n">
        <v>651.400816410217</v>
      </c>
      <c r="AA871" s="20" t="n">
        <v>77.8638707499684</v>
      </c>
      <c r="AB871" t="n">
        <v>0.1382926279051137</v>
      </c>
      <c r="AC871" t="n">
        <v>75.93058607200123</v>
      </c>
      <c r="AD871" t="n">
        <v>32.35785071136399</v>
      </c>
    </row>
    <row r="872">
      <c r="A872" t="n">
        <v>871</v>
      </c>
      <c r="B872" t="n">
        <v>72</v>
      </c>
      <c r="C872" s="21">
        <f>B872-20</f>
        <v/>
      </c>
      <c r="D872" t="n">
        <v>119.9</v>
      </c>
      <c r="E872" s="22">
        <f>D872-90</f>
        <v/>
      </c>
      <c r="F872" s="23" t="n">
        <v>0.020207</v>
      </c>
      <c r="G872" s="22" t="n">
        <v>32.4</v>
      </c>
      <c r="H872" s="22" t="n">
        <v>1.6</v>
      </c>
      <c r="I872" s="24" t="n">
        <v>0.09330135583877559</v>
      </c>
      <c r="J872" s="6" t="n">
        <v>71000</v>
      </c>
      <c r="K872" s="25">
        <f>23*10^-6</f>
        <v/>
      </c>
      <c r="L872" s="8">
        <f>H872</f>
        <v/>
      </c>
      <c r="M872" s="26">
        <f>H872^2/6</f>
        <v/>
      </c>
      <c r="N872" s="26">
        <f>H872^3/12</f>
        <v/>
      </c>
      <c r="O872" s="27">
        <f>-J872*L872*K872*C872</f>
        <v/>
      </c>
      <c r="P872" s="28">
        <f>-(12*F872*J872*L872*N872+12*O872*N872*G872*COS(RADIANS(E872)))/(12*N872*G872*COS(RADIANS(E872))^2+L872*G872^3*SIN(RADIANS(E872))^2)</f>
        <v/>
      </c>
      <c r="Q872" s="28">
        <f>-(6*F872*J872*L872*N872*SIN(RADIANS(E872))+6*O872*N872*G872*SIN(RADIANS(E872))*COS(RADIANS(E872)))/(12*N872*COS(RADIANS(E872))^2+L872*G872^2*SIN(RADIANS(E872))^2)</f>
        <v/>
      </c>
      <c r="R872" s="28">
        <f>-P872*SIN(RADIANS(E872))</f>
        <v/>
      </c>
      <c r="S872" s="8">
        <f>(O872+P872*COS(RADIANS(E872)))/L872</f>
        <v/>
      </c>
      <c r="T872" s="8">
        <f>R872/L872</f>
        <v/>
      </c>
      <c r="U872" s="8">
        <f>(Q872-P872*G872*SIN(RADIANS(E872)))/M872</f>
        <v/>
      </c>
      <c r="V872" s="8">
        <f>SQRT((S872+U872)^2+3*T872^2)</f>
        <v/>
      </c>
      <c r="W872" s="8">
        <f>V872/AA872</f>
        <v/>
      </c>
      <c r="X872" s="27">
        <f>((3*10+H872/COS(RADIANS(E872)))*(3+3)+3*G872*H872)*2</f>
        <v/>
      </c>
      <c r="Y872" s="28">
        <f>Z872/X872</f>
        <v/>
      </c>
      <c r="Z872" s="29" t="n">
        <v>700.306553609941</v>
      </c>
      <c r="AA872" s="20" t="n">
        <v>78.495286791824</v>
      </c>
      <c r="AB872" t="n">
        <v>0.1119655697649456</v>
      </c>
      <c r="AC872" t="n">
        <v>76.75632261535755</v>
      </c>
      <c r="AD872" t="n">
        <v>20.00422583185367</v>
      </c>
    </row>
    <row r="873">
      <c r="A873" t="n">
        <v>872</v>
      </c>
      <c r="B873" t="n">
        <v>86.2</v>
      </c>
      <c r="C873" s="21">
        <f>B873-20</f>
        <v/>
      </c>
      <c r="D873" t="n">
        <v>122</v>
      </c>
      <c r="E873" s="22">
        <f>D873-90</f>
        <v/>
      </c>
      <c r="F873" s="23" t="n">
        <v>0.026416</v>
      </c>
      <c r="G873" s="22" t="n">
        <v>34.2</v>
      </c>
      <c r="H873" s="22" t="n">
        <v>1.3</v>
      </c>
      <c r="I873" s="24" t="n">
        <v>0.117698207497596</v>
      </c>
      <c r="J873" s="6" t="n">
        <v>71000</v>
      </c>
      <c r="K873" s="25">
        <f>23*10^-6</f>
        <v/>
      </c>
      <c r="L873" s="8">
        <f>H873</f>
        <v/>
      </c>
      <c r="M873" s="26">
        <f>H873^2/6</f>
        <v/>
      </c>
      <c r="N873" s="26">
        <f>H873^3/12</f>
        <v/>
      </c>
      <c r="O873" s="27">
        <f>-J873*L873*K873*C873</f>
        <v/>
      </c>
      <c r="P873" s="28">
        <f>-(12*F873*J873*L873*N873+12*O873*N873*G873*COS(RADIANS(E873)))/(12*N873*G873*COS(RADIANS(E873))^2+L873*G873^3*SIN(RADIANS(E873))^2)</f>
        <v/>
      </c>
      <c r="Q873" s="28">
        <f>-(6*F873*J873*L873*N873*SIN(RADIANS(E873))+6*O873*N873*G873*SIN(RADIANS(E873))*COS(RADIANS(E873)))/(12*N873*COS(RADIANS(E873))^2+L873*G873^2*SIN(RADIANS(E873))^2)</f>
        <v/>
      </c>
      <c r="R873" s="28">
        <f>-P873*SIN(RADIANS(E873))</f>
        <v/>
      </c>
      <c r="S873" s="8">
        <f>(O873+P873*COS(RADIANS(E873)))/L873</f>
        <v/>
      </c>
      <c r="T873" s="8">
        <f>R873/L873</f>
        <v/>
      </c>
      <c r="U873" s="8">
        <f>(Q873-P873*G873*SIN(RADIANS(E873)))/M873</f>
        <v/>
      </c>
      <c r="V873" s="8">
        <f>SQRT((S873+U873)^2+3*T873^2)</f>
        <v/>
      </c>
      <c r="W873" s="8">
        <f>V873/AA873</f>
        <v/>
      </c>
      <c r="X873" s="27">
        <f>((3*10+H873/COS(RADIANS(E873)))*(3+3)+3*G873*H873)*2</f>
        <v/>
      </c>
      <c r="Y873" s="28">
        <f>Z873/X873</f>
        <v/>
      </c>
      <c r="Z873" s="29" t="n">
        <v>652.889094158778</v>
      </c>
      <c r="AA873" s="20" t="n">
        <v>92.4166238524361</v>
      </c>
      <c r="AB873" t="n">
        <v>0.1399615914936858</v>
      </c>
      <c r="AC873" t="n">
        <v>95.27888477817561</v>
      </c>
      <c r="AD873" t="n">
        <v>18.91565255702342</v>
      </c>
    </row>
    <row r="874">
      <c r="A874" t="n">
        <v>873</v>
      </c>
      <c r="B874" t="n">
        <v>42.8</v>
      </c>
      <c r="C874" s="21">
        <f>B874-20</f>
        <v/>
      </c>
      <c r="D874" t="n">
        <v>121</v>
      </c>
      <c r="E874" s="22">
        <f>D874-90</f>
        <v/>
      </c>
      <c r="F874" s="23" t="n">
        <v>0.009179</v>
      </c>
      <c r="G874" s="22" t="n">
        <v>34.2</v>
      </c>
      <c r="H874" s="22" t="n">
        <v>1.8</v>
      </c>
      <c r="I874" s="24" t="n">
        <v>0.0414668284356594</v>
      </c>
      <c r="J874" s="6" t="n">
        <v>71000</v>
      </c>
      <c r="K874" s="25">
        <f>23*10^-6</f>
        <v/>
      </c>
      <c r="L874" s="8">
        <f>H874</f>
        <v/>
      </c>
      <c r="M874" s="26">
        <f>H874^2/6</f>
        <v/>
      </c>
      <c r="N874" s="26">
        <f>H874^3/12</f>
        <v/>
      </c>
      <c r="O874" s="27">
        <f>-J874*L874*K874*C874</f>
        <v/>
      </c>
      <c r="P874" s="28">
        <f>-(12*F874*J874*L874*N874+12*O874*N874*G874*COS(RADIANS(E874)))/(12*N874*G874*COS(RADIANS(E874))^2+L874*G874^3*SIN(RADIANS(E874))^2)</f>
        <v/>
      </c>
      <c r="Q874" s="28">
        <f>-(6*F874*J874*L874*N874*SIN(RADIANS(E874))+6*O874*N874*G874*SIN(RADIANS(E874))*COS(RADIANS(E874)))/(12*N874*COS(RADIANS(E874))^2+L874*G874^2*SIN(RADIANS(E874))^2)</f>
        <v/>
      </c>
      <c r="R874" s="28">
        <f>-P874*SIN(RADIANS(E874))</f>
        <v/>
      </c>
      <c r="S874" s="8">
        <f>(O874+P874*COS(RADIANS(E874)))/L874</f>
        <v/>
      </c>
      <c r="T874" s="8">
        <f>R874/L874</f>
        <v/>
      </c>
      <c r="U874" s="8">
        <f>(Q874-P874*G874*SIN(RADIANS(E874)))/M874</f>
        <v/>
      </c>
      <c r="V874" s="8">
        <f>SQRT((S874+U874)^2+3*T874^2)</f>
        <v/>
      </c>
      <c r="W874" s="8">
        <f>V874/AA874</f>
        <v/>
      </c>
      <c r="X874" s="27">
        <f>((3*10+H874/COS(RADIANS(E874)))*(3+3)+3*G874*H874)*2</f>
        <v/>
      </c>
      <c r="Y874" s="28">
        <f>Z874/X874</f>
        <v/>
      </c>
      <c r="Z874" s="29" t="n">
        <v>761.992112298659</v>
      </c>
      <c r="AA874" s="20" t="n">
        <v>35.177409905322</v>
      </c>
      <c r="AB874" t="n">
        <v>0.04967480231739282</v>
      </c>
      <c r="AC874" t="n">
        <v>33.7468835154184</v>
      </c>
      <c r="AD874" t="n">
        <v>19.79407201220862</v>
      </c>
    </row>
    <row r="875">
      <c r="A875" t="n">
        <v>874</v>
      </c>
      <c r="B875" t="n">
        <v>59.2</v>
      </c>
      <c r="C875" s="21">
        <f>B875-20</f>
        <v/>
      </c>
      <c r="D875" t="n">
        <v>117.6</v>
      </c>
      <c r="E875" s="22">
        <f>D875-90</f>
        <v/>
      </c>
      <c r="F875" s="23" t="n">
        <v>0.015235</v>
      </c>
      <c r="G875" s="22" t="n">
        <v>31.7</v>
      </c>
      <c r="H875" s="22" t="n">
        <v>1.6</v>
      </c>
      <c r="I875" s="24" t="n">
        <v>0.07318134605884551</v>
      </c>
      <c r="J875" s="6" t="n">
        <v>71000</v>
      </c>
      <c r="K875" s="25">
        <f>23*10^-6</f>
        <v/>
      </c>
      <c r="L875" s="8">
        <f>H875</f>
        <v/>
      </c>
      <c r="M875" s="26">
        <f>H875^2/6</f>
        <v/>
      </c>
      <c r="N875" s="26">
        <f>H875^3/12</f>
        <v/>
      </c>
      <c r="O875" s="27">
        <f>-J875*L875*K875*C875</f>
        <v/>
      </c>
      <c r="P875" s="28">
        <f>-(12*F875*J875*L875*N875+12*O875*N875*G875*COS(RADIANS(E875)))/(12*N875*G875*COS(RADIANS(E875))^2+L875*G875^3*SIN(RADIANS(E875))^2)</f>
        <v/>
      </c>
      <c r="Q875" s="28">
        <f>-(6*F875*J875*L875*N875*SIN(RADIANS(E875))+6*O875*N875*G875*SIN(RADIANS(E875))*COS(RADIANS(E875)))/(12*N875*COS(RADIANS(E875))^2+L875*G875^2*SIN(RADIANS(E875))^2)</f>
        <v/>
      </c>
      <c r="R875" s="28">
        <f>-P875*SIN(RADIANS(E875))</f>
        <v/>
      </c>
      <c r="S875" s="8">
        <f>(O875+P875*COS(RADIANS(E875)))/L875</f>
        <v/>
      </c>
      <c r="T875" s="8">
        <f>R875/L875</f>
        <v/>
      </c>
      <c r="U875" s="8">
        <f>(Q875-P875*G875*SIN(RADIANS(E875)))/M875</f>
        <v/>
      </c>
      <c r="V875" s="8">
        <f>SQRT((S875+U875)^2+3*T875^2)</f>
        <v/>
      </c>
      <c r="W875" s="8">
        <f>V875/AA875</f>
        <v/>
      </c>
      <c r="X875" s="27">
        <f>((3*10+H875/COS(RADIANS(E875)))*(3+3)+3*G875*H875)*2</f>
        <v/>
      </c>
      <c r="Y875" s="28">
        <f>Z875/X875</f>
        <v/>
      </c>
      <c r="Z875" s="29" t="n">
        <v>692.50089357236</v>
      </c>
      <c r="AA875" s="20" t="n">
        <v>59.3703088565946</v>
      </c>
      <c r="AB875" t="n">
        <v>0.08992005853682035</v>
      </c>
      <c r="AC875" t="n">
        <v>58.47748024894467</v>
      </c>
      <c r="AD875" t="n">
        <v>22.87292237630496</v>
      </c>
    </row>
    <row r="876">
      <c r="A876" t="n">
        <v>875</v>
      </c>
      <c r="B876" t="n">
        <v>40.1</v>
      </c>
      <c r="C876" s="21">
        <f>B876-20</f>
        <v/>
      </c>
      <c r="D876" t="n">
        <v>104.9</v>
      </c>
      <c r="E876" s="22">
        <f>D876-90</f>
        <v/>
      </c>
      <c r="F876" s="23" t="n">
        <v>0.006335</v>
      </c>
      <c r="G876" s="22" t="n">
        <v>22.4</v>
      </c>
      <c r="H876" s="22" t="n">
        <v>2</v>
      </c>
      <c r="I876" s="24" t="n">
        <v>0.0444015525281429</v>
      </c>
      <c r="J876" s="6" t="n">
        <v>71000</v>
      </c>
      <c r="K876" s="25">
        <f>23*10^-6</f>
        <v/>
      </c>
      <c r="L876" s="8">
        <f>H876</f>
        <v/>
      </c>
      <c r="M876" s="26">
        <f>H876^2/6</f>
        <v/>
      </c>
      <c r="N876" s="26">
        <f>H876^3/12</f>
        <v/>
      </c>
      <c r="O876" s="27">
        <f>-J876*L876*K876*C876</f>
        <v/>
      </c>
      <c r="P876" s="28">
        <f>-(12*F876*J876*L876*N876+12*O876*N876*G876*COS(RADIANS(E876)))/(12*N876*G876*COS(RADIANS(E876))^2+L876*G876^3*SIN(RADIANS(E876))^2)</f>
        <v/>
      </c>
      <c r="Q876" s="28">
        <f>-(6*F876*J876*L876*N876*SIN(RADIANS(E876))+6*O876*N876*G876*SIN(RADIANS(E876))*COS(RADIANS(E876)))/(12*N876*COS(RADIANS(E876))^2+L876*G876^2*SIN(RADIANS(E876))^2)</f>
        <v/>
      </c>
      <c r="R876" s="28">
        <f>-P876*SIN(RADIANS(E876))</f>
        <v/>
      </c>
      <c r="S876" s="8">
        <f>(O876+P876*COS(RADIANS(E876)))/L876</f>
        <v/>
      </c>
      <c r="T876" s="8">
        <f>R876/L876</f>
        <v/>
      </c>
      <c r="U876" s="8">
        <f>(Q876-P876*G876*SIN(RADIANS(E876)))/M876</f>
        <v/>
      </c>
      <c r="V876" s="8">
        <f>SQRT((S876+U876)^2+3*T876^2)</f>
        <v/>
      </c>
      <c r="W876" s="8">
        <f>V876/AA876</f>
        <v/>
      </c>
      <c r="X876" s="27">
        <f>((3*10+H876/COS(RADIANS(E876)))*(3+3)+3*G876*H876)*2</f>
        <v/>
      </c>
      <c r="Y876" s="28">
        <f>Z876/X876</f>
        <v/>
      </c>
      <c r="Z876" s="29" t="n">
        <v>657.903733010006</v>
      </c>
      <c r="AA876" s="20" t="n">
        <v>37.9570588751869</v>
      </c>
      <c r="AB876" t="n">
        <v>0.05742571683036947</v>
      </c>
      <c r="AC876" t="n">
        <v>34.96086731477546</v>
      </c>
      <c r="AD876" t="n">
        <v>29.3326777120496</v>
      </c>
    </row>
    <row r="877">
      <c r="A877" t="n">
        <v>876</v>
      </c>
      <c r="B877" t="n">
        <v>68.59999999999999</v>
      </c>
      <c r="C877" s="21">
        <f>B877-20</f>
        <v/>
      </c>
      <c r="D877" t="n">
        <v>104</v>
      </c>
      <c r="E877" s="22">
        <f>D877-90</f>
        <v/>
      </c>
      <c r="F877" s="23" t="n">
        <v>0.019075</v>
      </c>
      <c r="G877" s="22" t="n">
        <v>29.3</v>
      </c>
      <c r="H877" s="22" t="n">
        <v>1.8</v>
      </c>
      <c r="I877" s="24" t="n">
        <v>0.14047360420227</v>
      </c>
      <c r="J877" s="6" t="n">
        <v>71000</v>
      </c>
      <c r="K877" s="25">
        <f>23*10^-6</f>
        <v/>
      </c>
      <c r="L877" s="8">
        <f>H877</f>
        <v/>
      </c>
      <c r="M877" s="26">
        <f>H877^2/6</f>
        <v/>
      </c>
      <c r="N877" s="26">
        <f>H877^3/12</f>
        <v/>
      </c>
      <c r="O877" s="27">
        <f>-J877*L877*K877*C877</f>
        <v/>
      </c>
      <c r="P877" s="28">
        <f>-(12*F877*J877*L877*N877+12*O877*N877*G877*COS(RADIANS(E877)))/(12*N877*G877*COS(RADIANS(E877))^2+L877*G877^3*SIN(RADIANS(E877))^2)</f>
        <v/>
      </c>
      <c r="Q877" s="28">
        <f>-(6*F877*J877*L877*N877*SIN(RADIANS(E877))+6*O877*N877*G877*SIN(RADIANS(E877))*COS(RADIANS(E877)))/(12*N877*COS(RADIANS(E877))^2+L877*G877^2*SIN(RADIANS(E877))^2)</f>
        <v/>
      </c>
      <c r="R877" s="28">
        <f>-P877*SIN(RADIANS(E877))</f>
        <v/>
      </c>
      <c r="S877" s="8">
        <f>(O877+P877*COS(RADIANS(E877)))/L877</f>
        <v/>
      </c>
      <c r="T877" s="8">
        <f>R877/L877</f>
        <v/>
      </c>
      <c r="U877" s="8">
        <f>(Q877-P877*G877*SIN(RADIANS(E877)))/M877</f>
        <v/>
      </c>
      <c r="V877" s="8">
        <f>SQRT((S877+U877)^2+3*T877^2)</f>
        <v/>
      </c>
      <c r="W877" s="8">
        <f>V877/AA877</f>
        <v/>
      </c>
      <c r="X877" s="27">
        <f>((3*10+H877/COS(RADIANS(E877)))*(3+3)+3*G877*H877)*2</f>
        <v/>
      </c>
      <c r="Y877" s="28">
        <f>Z877/X877</f>
        <v/>
      </c>
      <c r="Z877" s="29" t="n">
        <v>702.869610883997</v>
      </c>
      <c r="AA877" s="20" t="n">
        <v>82.5535055369769</v>
      </c>
      <c r="AB877" t="n">
        <v>0.199488061376051</v>
      </c>
      <c r="AC877" t="n">
        <v>81.96869758635067</v>
      </c>
      <c r="AD877" t="n">
        <v>42.01106500321958</v>
      </c>
    </row>
    <row r="878">
      <c r="A878" t="n">
        <v>877</v>
      </c>
      <c r="B878" t="n">
        <v>40.9</v>
      </c>
      <c r="C878" s="21">
        <f>B878-20</f>
        <v/>
      </c>
      <c r="D878" t="n">
        <v>122.3</v>
      </c>
      <c r="E878" s="22">
        <f>D878-90</f>
        <v/>
      </c>
      <c r="F878" s="23" t="n">
        <v>0.007834000000000001</v>
      </c>
      <c r="G878" s="22" t="n">
        <v>31.8</v>
      </c>
      <c r="H878" s="22" t="n">
        <v>1.9</v>
      </c>
      <c r="I878" s="24" t="n">
        <v>0.0352081283926963</v>
      </c>
      <c r="J878" s="6" t="n">
        <v>71000</v>
      </c>
      <c r="K878" s="25">
        <f>23*10^-6</f>
        <v/>
      </c>
      <c r="L878" s="8">
        <f>H878</f>
        <v/>
      </c>
      <c r="M878" s="26">
        <f>H878^2/6</f>
        <v/>
      </c>
      <c r="N878" s="26">
        <f>H878^3/12</f>
        <v/>
      </c>
      <c r="O878" s="27">
        <f>-J878*L878*K878*C878</f>
        <v/>
      </c>
      <c r="P878" s="28">
        <f>-(12*F878*J878*L878*N878+12*O878*N878*G878*COS(RADIANS(E878)))/(12*N878*G878*COS(RADIANS(E878))^2+L878*G878^3*SIN(RADIANS(E878))^2)</f>
        <v/>
      </c>
      <c r="Q878" s="28">
        <f>-(6*F878*J878*L878*N878*SIN(RADIANS(E878))+6*O878*N878*G878*SIN(RADIANS(E878))*COS(RADIANS(E878)))/(12*N878*COS(RADIANS(E878))^2+L878*G878^2*SIN(RADIANS(E878))^2)</f>
        <v/>
      </c>
      <c r="R878" s="28">
        <f>-P878*SIN(RADIANS(E878))</f>
        <v/>
      </c>
      <c r="S878" s="8">
        <f>(O878+P878*COS(RADIANS(E878)))/L878</f>
        <v/>
      </c>
      <c r="T878" s="8">
        <f>R878/L878</f>
        <v/>
      </c>
      <c r="U878" s="8">
        <f>(Q878-P878*G878*SIN(RADIANS(E878)))/M878</f>
        <v/>
      </c>
      <c r="V878" s="8">
        <f>SQRT((S878+U878)^2+3*T878^2)</f>
        <v/>
      </c>
      <c r="W878" s="8">
        <f>V878/AA878</f>
        <v/>
      </c>
      <c r="X878" s="27">
        <f>((3*10+H878/COS(RADIANS(E878)))*(3+3)+3*G878*H878)*2</f>
        <v/>
      </c>
      <c r="Y878" s="28">
        <f>Z878/X878</f>
        <v/>
      </c>
      <c r="Z878" s="29" t="n">
        <v>757.321088509653</v>
      </c>
      <c r="AA878" s="20" t="n">
        <v>32.8991292636171</v>
      </c>
      <c r="AB878" t="n">
        <v>0.04059213759497805</v>
      </c>
      <c r="AC878" t="n">
        <v>31.07944299432472</v>
      </c>
      <c r="AD878" t="n">
        <v>15.29194946755146</v>
      </c>
    </row>
    <row r="879">
      <c r="A879" t="n">
        <v>878</v>
      </c>
      <c r="B879" t="n">
        <v>88.09999999999999</v>
      </c>
      <c r="C879" s="21">
        <f>B879-20</f>
        <v/>
      </c>
      <c r="D879" t="n">
        <v>117.7</v>
      </c>
      <c r="E879" s="22">
        <f>D879-90</f>
        <v/>
      </c>
      <c r="F879" s="23" t="n">
        <v>0.023217</v>
      </c>
      <c r="G879" s="22" t="n">
        <v>27</v>
      </c>
      <c r="H879" s="22" t="n">
        <v>1.6</v>
      </c>
      <c r="I879" s="24" t="n">
        <v>0.113861717283725</v>
      </c>
      <c r="J879" s="6" t="n">
        <v>71000</v>
      </c>
      <c r="K879" s="25">
        <f>23*10^-6</f>
        <v/>
      </c>
      <c r="L879" s="8">
        <f>H879</f>
        <v/>
      </c>
      <c r="M879" s="26">
        <f>H879^2/6</f>
        <v/>
      </c>
      <c r="N879" s="26">
        <f>H879^3/12</f>
        <v/>
      </c>
      <c r="O879" s="27">
        <f>-J879*L879*K879*C879</f>
        <v/>
      </c>
      <c r="P879" s="28">
        <f>-(12*F879*J879*L879*N879+12*O879*N879*G879*COS(RADIANS(E879)))/(12*N879*G879*COS(RADIANS(E879))^2+L879*G879^3*SIN(RADIANS(E879))^2)</f>
        <v/>
      </c>
      <c r="Q879" s="28">
        <f>-(6*F879*J879*L879*N879*SIN(RADIANS(E879))+6*O879*N879*G879*SIN(RADIANS(E879))*COS(RADIANS(E879)))/(12*N879*COS(RADIANS(E879))^2+L879*G879^2*SIN(RADIANS(E879))^2)</f>
        <v/>
      </c>
      <c r="R879" s="28">
        <f>-P879*SIN(RADIANS(E879))</f>
        <v/>
      </c>
      <c r="S879" s="8">
        <f>(O879+P879*COS(RADIANS(E879)))/L879</f>
        <v/>
      </c>
      <c r="T879" s="8">
        <f>R879/L879</f>
        <v/>
      </c>
      <c r="U879" s="8">
        <f>(Q879-P879*G879*SIN(RADIANS(E879)))/M879</f>
        <v/>
      </c>
      <c r="V879" s="8">
        <f>SQRT((S879+U879)^2+3*T879^2)</f>
        <v/>
      </c>
      <c r="W879" s="8">
        <f>V879/AA879</f>
        <v/>
      </c>
      <c r="X879" s="27">
        <f>((3*10+H879/COS(RADIANS(E879)))*(3+3)+3*G879*H879)*2</f>
        <v/>
      </c>
      <c r="Y879" s="28">
        <f>Z879/X879</f>
        <v/>
      </c>
      <c r="Z879" s="29" t="n">
        <v>647.4254873157111</v>
      </c>
      <c r="AA879" s="20" t="n">
        <v>105.141367054518</v>
      </c>
      <c r="AB879" t="n">
        <v>0.1333449741901042</v>
      </c>
      <c r="AC879" t="n">
        <v>102.6497890577617</v>
      </c>
      <c r="AD879" t="n">
        <v>17.1113323873643</v>
      </c>
    </row>
    <row r="880">
      <c r="A880" t="n">
        <v>879</v>
      </c>
      <c r="B880" t="n">
        <v>40.1</v>
      </c>
      <c r="C880" s="21">
        <f>B880-20</f>
        <v/>
      </c>
      <c r="D880" t="n">
        <v>111.1</v>
      </c>
      <c r="E880" s="22">
        <f>D880-90</f>
        <v/>
      </c>
      <c r="F880" s="23" t="n">
        <v>0.00595</v>
      </c>
      <c r="G880" s="22" t="n">
        <v>21.4</v>
      </c>
      <c r="H880" s="22" t="n">
        <v>1.8</v>
      </c>
      <c r="I880" s="24" t="n">
        <v>0.0346002727746963</v>
      </c>
      <c r="J880" s="6" t="n">
        <v>71000</v>
      </c>
      <c r="K880" s="25">
        <f>23*10^-6</f>
        <v/>
      </c>
      <c r="L880" s="8">
        <f>H880</f>
        <v/>
      </c>
      <c r="M880" s="26">
        <f>H880^2/6</f>
        <v/>
      </c>
      <c r="N880" s="26">
        <f>H880^3/12</f>
        <v/>
      </c>
      <c r="O880" s="27">
        <f>-J880*L880*K880*C880</f>
        <v/>
      </c>
      <c r="P880" s="28">
        <f>-(12*F880*J880*L880*N880+12*O880*N880*G880*COS(RADIANS(E880)))/(12*N880*G880*COS(RADIANS(E880))^2+L880*G880^3*SIN(RADIANS(E880))^2)</f>
        <v/>
      </c>
      <c r="Q880" s="28">
        <f>-(6*F880*J880*L880*N880*SIN(RADIANS(E880))+6*O880*N880*G880*SIN(RADIANS(E880))*COS(RADIANS(E880)))/(12*N880*COS(RADIANS(E880))^2+L880*G880^2*SIN(RADIANS(E880))^2)</f>
        <v/>
      </c>
      <c r="R880" s="28">
        <f>-P880*SIN(RADIANS(E880))</f>
        <v/>
      </c>
      <c r="S880" s="8">
        <f>(O880+P880*COS(RADIANS(E880)))/L880</f>
        <v/>
      </c>
      <c r="T880" s="8">
        <f>R880/L880</f>
        <v/>
      </c>
      <c r="U880" s="8">
        <f>(Q880-P880*G880*SIN(RADIANS(E880)))/M880</f>
        <v/>
      </c>
      <c r="V880" s="8">
        <f>SQRT((S880+U880)^2+3*T880^2)</f>
        <v/>
      </c>
      <c r="W880" s="8">
        <f>V880/AA880</f>
        <v/>
      </c>
      <c r="X880" s="27">
        <f>((3*10+H880/COS(RADIANS(E880)))*(3+3)+3*G880*H880)*2</f>
        <v/>
      </c>
      <c r="Y880" s="28">
        <f>Z880/X880</f>
        <v/>
      </c>
      <c r="Z880" s="29" t="n">
        <v>619.430661625547</v>
      </c>
      <c r="AA880" s="20" t="n">
        <v>34.3686573943001</v>
      </c>
      <c r="AB880" t="n">
        <v>0.04085020685102028</v>
      </c>
      <c r="AC880" t="n">
        <v>32.55245544343185</v>
      </c>
      <c r="AD880" t="n">
        <v>18.06325087961344</v>
      </c>
    </row>
    <row r="881">
      <c r="A881" t="n">
        <v>880</v>
      </c>
      <c r="B881" t="n">
        <v>83.09999999999999</v>
      </c>
      <c r="C881" s="21">
        <f>B881-20</f>
        <v/>
      </c>
      <c r="D881" t="n">
        <v>126.4</v>
      </c>
      <c r="E881" s="22">
        <f>D881-90</f>
        <v/>
      </c>
      <c r="F881" s="23" t="n">
        <v>0.016649</v>
      </c>
      <c r="G881" s="22" t="n">
        <v>21.3</v>
      </c>
      <c r="H881" s="22" t="n">
        <v>1.5</v>
      </c>
      <c r="I881" s="24" t="n">
        <v>0.07658599317073821</v>
      </c>
      <c r="J881" s="6" t="n">
        <v>71000</v>
      </c>
      <c r="K881" s="25">
        <f>23*10^-6</f>
        <v/>
      </c>
      <c r="L881" s="8">
        <f>H881</f>
        <v/>
      </c>
      <c r="M881" s="26">
        <f>H881^2/6</f>
        <v/>
      </c>
      <c r="N881" s="26">
        <f>H881^3/12</f>
        <v/>
      </c>
      <c r="O881" s="27">
        <f>-J881*L881*K881*C881</f>
        <v/>
      </c>
      <c r="P881" s="28">
        <f>-(12*F881*J881*L881*N881+12*O881*N881*G881*COS(RADIANS(E881)))/(12*N881*G881*COS(RADIANS(E881))^2+L881*G881^3*SIN(RADIANS(E881))^2)</f>
        <v/>
      </c>
      <c r="Q881" s="28">
        <f>-(6*F881*J881*L881*N881*SIN(RADIANS(E881))+6*O881*N881*G881*SIN(RADIANS(E881))*COS(RADIANS(E881)))/(12*N881*COS(RADIANS(E881))^2+L881*G881^2*SIN(RADIANS(E881))^2)</f>
        <v/>
      </c>
      <c r="R881" s="28">
        <f>-P881*SIN(RADIANS(E881))</f>
        <v/>
      </c>
      <c r="S881" s="8">
        <f>(O881+P881*COS(RADIANS(E881)))/L881</f>
        <v/>
      </c>
      <c r="T881" s="8">
        <f>R881/L881</f>
        <v/>
      </c>
      <c r="U881" s="8">
        <f>(Q881-P881*G881*SIN(RADIANS(E881)))/M881</f>
        <v/>
      </c>
      <c r="V881" s="8">
        <f>SQRT((S881+U881)^2+3*T881^2)</f>
        <v/>
      </c>
      <c r="W881" s="8">
        <f>V881/AA881</f>
        <v/>
      </c>
      <c r="X881" s="27">
        <f>((3*10+H881/COS(RADIANS(E881)))*(3+3)+3*G881*H881)*2</f>
        <v/>
      </c>
      <c r="Y881" s="28">
        <f>Z881/X881</f>
        <v/>
      </c>
      <c r="Z881" s="29" t="n">
        <v>583.314426576489</v>
      </c>
      <c r="AA881" s="20" t="n">
        <v>95.7346322451676</v>
      </c>
      <c r="AB881" t="n">
        <v>0.07388797553756379</v>
      </c>
      <c r="AC881" t="n">
        <v>92.46109812002651</v>
      </c>
      <c r="AD881" t="n">
        <v>-3.522860410205224</v>
      </c>
    </row>
    <row r="882">
      <c r="A882" t="n">
        <v>881</v>
      </c>
      <c r="B882" t="n">
        <v>89.5</v>
      </c>
      <c r="C882" s="21">
        <f>B882-20</f>
        <v/>
      </c>
      <c r="D882" t="n">
        <v>101.4</v>
      </c>
      <c r="E882" s="22">
        <f>D882-90</f>
        <v/>
      </c>
      <c r="F882" s="23" t="n">
        <v>0.024248</v>
      </c>
      <c r="G882" s="22" t="n">
        <v>25.1</v>
      </c>
      <c r="H882" s="22" t="n">
        <v>1.6</v>
      </c>
      <c r="I882" s="24" t="n">
        <v>0.207479178905487</v>
      </c>
      <c r="J882" s="6" t="n">
        <v>71000</v>
      </c>
      <c r="K882" s="25">
        <f>23*10^-6</f>
        <v/>
      </c>
      <c r="L882" s="8">
        <f>H882</f>
        <v/>
      </c>
      <c r="M882" s="26">
        <f>H882^2/6</f>
        <v/>
      </c>
      <c r="N882" s="26">
        <f>H882^3/12</f>
        <v/>
      </c>
      <c r="O882" s="27">
        <f>-J882*L882*K882*C882</f>
        <v/>
      </c>
      <c r="P882" s="28">
        <f>-(12*F882*J882*L882*N882+12*O882*N882*G882*COS(RADIANS(E882)))/(12*N882*G882*COS(RADIANS(E882))^2+L882*G882^3*SIN(RADIANS(E882))^2)</f>
        <v/>
      </c>
      <c r="Q882" s="28">
        <f>-(6*F882*J882*L882*N882*SIN(RADIANS(E882))+6*O882*N882*G882*SIN(RADIANS(E882))*COS(RADIANS(E882)))/(12*N882*COS(RADIANS(E882))^2+L882*G882^2*SIN(RADIANS(E882))^2)</f>
        <v/>
      </c>
      <c r="R882" s="28">
        <f>-P882*SIN(RADIANS(E882))</f>
        <v/>
      </c>
      <c r="S882" s="8">
        <f>(O882+P882*COS(RADIANS(E882)))/L882</f>
        <v/>
      </c>
      <c r="T882" s="8">
        <f>R882/L882</f>
        <v/>
      </c>
      <c r="U882" s="8">
        <f>(Q882-P882*G882*SIN(RADIANS(E882)))/M882</f>
        <v/>
      </c>
      <c r="V882" s="8">
        <f>SQRT((S882+U882)^2+3*T882^2)</f>
        <v/>
      </c>
      <c r="W882" s="8">
        <f>V882/AA882</f>
        <v/>
      </c>
      <c r="X882" s="27">
        <f>((3*10+H882/COS(RADIANS(E882)))*(3+3)+3*G882*H882)*2</f>
        <v/>
      </c>
      <c r="Y882" s="28">
        <f>Z882/X882</f>
        <v/>
      </c>
      <c r="Z882" s="29" t="n">
        <v>624.463067637429</v>
      </c>
      <c r="AA882" s="20" t="n">
        <v>119.626881619817</v>
      </c>
      <c r="AB882" t="n">
        <v>0.2934315025559953</v>
      </c>
      <c r="AC882" t="n">
        <v>120.965120087093</v>
      </c>
      <c r="AD882" t="n">
        <v>41.42696346878362</v>
      </c>
    </row>
    <row r="883">
      <c r="A883" t="n">
        <v>882</v>
      </c>
      <c r="B883" t="n">
        <v>61.5</v>
      </c>
      <c r="C883" s="21">
        <f>B883-20</f>
        <v/>
      </c>
      <c r="D883" t="n">
        <v>114.7</v>
      </c>
      <c r="E883" s="22">
        <f>D883-90</f>
        <v/>
      </c>
      <c r="F883" s="23" t="n">
        <v>0.011521</v>
      </c>
      <c r="G883" s="22" t="n">
        <v>20.2</v>
      </c>
      <c r="H883" s="22" t="n">
        <v>1.7</v>
      </c>
      <c r="I883" s="24" t="n">
        <v>0.0621959790587425</v>
      </c>
      <c r="J883" s="6" t="n">
        <v>71000</v>
      </c>
      <c r="K883" s="25">
        <f>23*10^-6</f>
        <v/>
      </c>
      <c r="L883" s="8">
        <f>H883</f>
        <v/>
      </c>
      <c r="M883" s="26">
        <f>H883^2/6</f>
        <v/>
      </c>
      <c r="N883" s="26">
        <f>H883^3/12</f>
        <v/>
      </c>
      <c r="O883" s="27">
        <f>-J883*L883*K883*C883</f>
        <v/>
      </c>
      <c r="P883" s="28">
        <f>-(12*F883*J883*L883*N883+12*O883*N883*G883*COS(RADIANS(E883)))/(12*N883*G883*COS(RADIANS(E883))^2+L883*G883^3*SIN(RADIANS(E883))^2)</f>
        <v/>
      </c>
      <c r="Q883" s="28">
        <f>-(6*F883*J883*L883*N883*SIN(RADIANS(E883))+6*O883*N883*G883*SIN(RADIANS(E883))*COS(RADIANS(E883)))/(12*N883*COS(RADIANS(E883))^2+L883*G883^2*SIN(RADIANS(E883))^2)</f>
        <v/>
      </c>
      <c r="R883" s="28">
        <f>-P883*SIN(RADIANS(E883))</f>
        <v/>
      </c>
      <c r="S883" s="8">
        <f>(O883+P883*COS(RADIANS(E883)))/L883</f>
        <v/>
      </c>
      <c r="T883" s="8">
        <f>R883/L883</f>
        <v/>
      </c>
      <c r="U883" s="8">
        <f>(Q883-P883*G883*SIN(RADIANS(E883)))/M883</f>
        <v/>
      </c>
      <c r="V883" s="8">
        <f>SQRT((S883+U883)^2+3*T883^2)</f>
        <v/>
      </c>
      <c r="W883" s="8">
        <f>V883/AA883</f>
        <v/>
      </c>
      <c r="X883" s="27">
        <f>((3*10+H883/COS(RADIANS(E883)))*(3+3)+3*G883*H883)*2</f>
        <v/>
      </c>
      <c r="Y883" s="28">
        <f>Z883/X883</f>
        <v/>
      </c>
      <c r="Z883" s="29" t="n">
        <v>594.3449561367891</v>
      </c>
      <c r="AA883" s="20" t="n">
        <v>69.05219168595551</v>
      </c>
      <c r="AB883" t="n">
        <v>0.06871156755555344</v>
      </c>
      <c r="AC883" t="n">
        <v>65.25716486486547</v>
      </c>
      <c r="AD883" t="n">
        <v>10.47589988197972</v>
      </c>
    </row>
    <row r="884">
      <c r="A884" t="n">
        <v>883</v>
      </c>
      <c r="B884" t="n">
        <v>77</v>
      </c>
      <c r="C884" s="21">
        <f>B884-20</f>
        <v/>
      </c>
      <c r="D884" t="n">
        <v>116.1</v>
      </c>
      <c r="E884" s="22">
        <f>D884-90</f>
        <v/>
      </c>
      <c r="F884" s="23" t="n">
        <v>0.018721</v>
      </c>
      <c r="G884" s="22" t="n">
        <v>25.4</v>
      </c>
      <c r="H884" s="22" t="n">
        <v>1.7</v>
      </c>
      <c r="I884" s="24" t="n">
        <v>0.0952961146831512</v>
      </c>
      <c r="J884" s="6" t="n">
        <v>71000</v>
      </c>
      <c r="K884" s="25">
        <f>23*10^-6</f>
        <v/>
      </c>
      <c r="L884" s="8">
        <f>H884</f>
        <v/>
      </c>
      <c r="M884" s="26">
        <f>H884^2/6</f>
        <v/>
      </c>
      <c r="N884" s="26">
        <f>H884^3/12</f>
        <v/>
      </c>
      <c r="O884" s="27">
        <f>-J884*L884*K884*C884</f>
        <v/>
      </c>
      <c r="P884" s="28">
        <f>-(12*F884*J884*L884*N884+12*O884*N884*G884*COS(RADIANS(E884)))/(12*N884*G884*COS(RADIANS(E884))^2+L884*G884^3*SIN(RADIANS(E884))^2)</f>
        <v/>
      </c>
      <c r="Q884" s="28">
        <f>-(6*F884*J884*L884*N884*SIN(RADIANS(E884))+6*O884*N884*G884*SIN(RADIANS(E884))*COS(RADIANS(E884)))/(12*N884*COS(RADIANS(E884))^2+L884*G884^2*SIN(RADIANS(E884))^2)</f>
        <v/>
      </c>
      <c r="R884" s="28">
        <f>-P884*SIN(RADIANS(E884))</f>
        <v/>
      </c>
      <c r="S884" s="8">
        <f>(O884+P884*COS(RADIANS(E884)))/L884</f>
        <v/>
      </c>
      <c r="T884" s="8">
        <f>R884/L884</f>
        <v/>
      </c>
      <c r="U884" s="8">
        <f>(Q884-P884*G884*SIN(RADIANS(E884)))/M884</f>
        <v/>
      </c>
      <c r="V884" s="8">
        <f>SQRT((S884+U884)^2+3*T884^2)</f>
        <v/>
      </c>
      <c r="W884" s="8">
        <f>V884/AA884</f>
        <v/>
      </c>
      <c r="X884" s="27">
        <f>((3*10+H884/COS(RADIANS(E884)))*(3+3)+3*G884*H884)*2</f>
        <v/>
      </c>
      <c r="Y884" s="28">
        <f>Z884/X884</f>
        <v/>
      </c>
      <c r="Z884" s="29" t="n">
        <v>647.955318258494</v>
      </c>
      <c r="AA884" s="20" t="n">
        <v>90.30175715560451</v>
      </c>
      <c r="AB884" t="n">
        <v>0.1116494685599026</v>
      </c>
      <c r="AC884" t="n">
        <v>87.55378731952906</v>
      </c>
      <c r="AD884" t="n">
        <v>17.16056728138862</v>
      </c>
    </row>
    <row r="885">
      <c r="A885" t="n">
        <v>884</v>
      </c>
      <c r="B885" t="n">
        <v>44.5</v>
      </c>
      <c r="C885" s="21">
        <f>B885-20</f>
        <v/>
      </c>
      <c r="D885" t="n">
        <v>119.6</v>
      </c>
      <c r="E885" s="22">
        <f>D885-90</f>
        <v/>
      </c>
      <c r="F885" s="23" t="n">
        <v>0.009350000000000001</v>
      </c>
      <c r="G885" s="22" t="n">
        <v>31.6</v>
      </c>
      <c r="H885" s="22" t="n">
        <v>1.1</v>
      </c>
      <c r="I885" s="24" t="n">
        <v>0.0434520803391933</v>
      </c>
      <c r="J885" s="6" t="n">
        <v>71000</v>
      </c>
      <c r="K885" s="25">
        <f>23*10^-6</f>
        <v/>
      </c>
      <c r="L885" s="8">
        <f>H885</f>
        <v/>
      </c>
      <c r="M885" s="26">
        <f>H885^2/6</f>
        <v/>
      </c>
      <c r="N885" s="26">
        <f>H885^3/12</f>
        <v/>
      </c>
      <c r="O885" s="27">
        <f>-J885*L885*K885*C885</f>
        <v/>
      </c>
      <c r="P885" s="28">
        <f>-(12*F885*J885*L885*N885+12*O885*N885*G885*COS(RADIANS(E885)))/(12*N885*G885*COS(RADIANS(E885))^2+L885*G885^3*SIN(RADIANS(E885))^2)</f>
        <v/>
      </c>
      <c r="Q885" s="28">
        <f>-(6*F885*J885*L885*N885*SIN(RADIANS(E885))+6*O885*N885*G885*SIN(RADIANS(E885))*COS(RADIANS(E885)))/(12*N885*COS(RADIANS(E885))^2+L885*G885^2*SIN(RADIANS(E885))^2)</f>
        <v/>
      </c>
      <c r="R885" s="28">
        <f>-P885*SIN(RADIANS(E885))</f>
        <v/>
      </c>
      <c r="S885" s="8">
        <f>(O885+P885*COS(RADIANS(E885)))/L885</f>
        <v/>
      </c>
      <c r="T885" s="8">
        <f>R885/L885</f>
        <v/>
      </c>
      <c r="U885" s="8">
        <f>(Q885-P885*G885*SIN(RADIANS(E885)))/M885</f>
        <v/>
      </c>
      <c r="V885" s="8">
        <f>SQRT((S885+U885)^2+3*T885^2)</f>
        <v/>
      </c>
      <c r="W885" s="8">
        <f>V885/AA885</f>
        <v/>
      </c>
      <c r="X885" s="27">
        <f>((3*10+H885/COS(RADIANS(E885)))*(3+3)+3*G885*H885)*2</f>
        <v/>
      </c>
      <c r="Y885" s="28">
        <f>Z885/X885</f>
        <v/>
      </c>
      <c r="Z885" s="29" t="n">
        <v>590.777087618305</v>
      </c>
      <c r="AA885" s="20" t="n">
        <v>33.454306711524</v>
      </c>
      <c r="AB885" t="n">
        <v>0.05229242326575442</v>
      </c>
      <c r="AC885" t="n">
        <v>35.24493020634361</v>
      </c>
      <c r="AD885" t="n">
        <v>20.34503954138009</v>
      </c>
    </row>
    <row r="886">
      <c r="A886" t="n">
        <v>885</v>
      </c>
      <c r="B886" t="n">
        <v>86.40000000000001</v>
      </c>
      <c r="C886" s="21">
        <f>B886-20</f>
        <v/>
      </c>
      <c r="D886" t="n">
        <v>100.2</v>
      </c>
      <c r="E886" s="22">
        <f>D886-90</f>
        <v/>
      </c>
      <c r="F886" s="23" t="n">
        <v>0.027339</v>
      </c>
      <c r="G886" s="22" t="n">
        <v>30.6</v>
      </c>
      <c r="H886" s="22" t="n">
        <v>1.5</v>
      </c>
      <c r="I886" s="24" t="n">
        <v>0.256431549787521</v>
      </c>
      <c r="J886" s="6" t="n">
        <v>71000</v>
      </c>
      <c r="K886" s="25">
        <f>23*10^-6</f>
        <v/>
      </c>
      <c r="L886" s="8">
        <f>H886</f>
        <v/>
      </c>
      <c r="M886" s="26">
        <f>H886^2/6</f>
        <v/>
      </c>
      <c r="N886" s="26">
        <f>H886^3/12</f>
        <v/>
      </c>
      <c r="O886" s="27">
        <f>-J886*L886*K886*C886</f>
        <v/>
      </c>
      <c r="P886" s="28">
        <f>-(12*F886*J886*L886*N886+12*O886*N886*G886*COS(RADIANS(E886)))/(12*N886*G886*COS(RADIANS(E886))^2+L886*G886^3*SIN(RADIANS(E886))^2)</f>
        <v/>
      </c>
      <c r="Q886" s="28">
        <f>-(6*F886*J886*L886*N886*SIN(RADIANS(E886))+6*O886*N886*G886*SIN(RADIANS(E886))*COS(RADIANS(E886)))/(12*N886*COS(RADIANS(E886))^2+L886*G886^2*SIN(RADIANS(E886))^2)</f>
        <v/>
      </c>
      <c r="R886" s="28">
        <f>-P886*SIN(RADIANS(E886))</f>
        <v/>
      </c>
      <c r="S886" s="8">
        <f>(O886+P886*COS(RADIANS(E886)))/L886</f>
        <v/>
      </c>
      <c r="T886" s="8">
        <f>R886/L886</f>
        <v/>
      </c>
      <c r="U886" s="8">
        <f>(Q886-P886*G886*SIN(RADIANS(E886)))/M886</f>
        <v/>
      </c>
      <c r="V886" s="8">
        <f>SQRT((S886+U886)^2+3*T886^2)</f>
        <v/>
      </c>
      <c r="W886" s="8">
        <f>V886/AA886</f>
        <v/>
      </c>
      <c r="X886" s="27">
        <f>((3*10+H886/COS(RADIANS(E886)))*(3+3)+3*G886*H886)*2</f>
        <v/>
      </c>
      <c r="Y886" s="28">
        <f>Z886/X886</f>
        <v/>
      </c>
      <c r="Z886" s="29" t="n">
        <v>657.508073022572</v>
      </c>
      <c r="AA886" s="20" t="n">
        <v>109.17209143488</v>
      </c>
      <c r="AB886" t="n">
        <v>0.386767667864428</v>
      </c>
      <c r="AC886" t="n">
        <v>114.208421762707</v>
      </c>
      <c r="AD886" t="n">
        <v>50.82686517509386</v>
      </c>
    </row>
    <row r="887">
      <c r="A887" t="n">
        <v>886</v>
      </c>
      <c r="B887" t="n">
        <v>46.3</v>
      </c>
      <c r="C887" s="21">
        <f>B887-20</f>
        <v/>
      </c>
      <c r="D887" t="n">
        <v>108</v>
      </c>
      <c r="E887" s="22">
        <f>D887-90</f>
        <v/>
      </c>
      <c r="F887" s="23" t="n">
        <v>0.007616</v>
      </c>
      <c r="G887" s="22" t="n">
        <v>20.4</v>
      </c>
      <c r="H887" s="22" t="n">
        <v>1.7</v>
      </c>
      <c r="I887" s="24" t="n">
        <v>0.0488365702331066</v>
      </c>
      <c r="J887" s="6" t="n">
        <v>71000</v>
      </c>
      <c r="K887" s="25">
        <f>23*10^-6</f>
        <v/>
      </c>
      <c r="L887" s="8">
        <f>H887</f>
        <v/>
      </c>
      <c r="M887" s="26">
        <f>H887^2/6</f>
        <v/>
      </c>
      <c r="N887" s="26">
        <f>H887^3/12</f>
        <v/>
      </c>
      <c r="O887" s="27">
        <f>-J887*L887*K887*C887</f>
        <v/>
      </c>
      <c r="P887" s="28">
        <f>-(12*F887*J887*L887*N887+12*O887*N887*G887*COS(RADIANS(E887)))/(12*N887*G887*COS(RADIANS(E887))^2+L887*G887^3*SIN(RADIANS(E887))^2)</f>
        <v/>
      </c>
      <c r="Q887" s="28">
        <f>-(6*F887*J887*L887*N887*SIN(RADIANS(E887))+6*O887*N887*G887*SIN(RADIANS(E887))*COS(RADIANS(E887)))/(12*N887*COS(RADIANS(E887))^2+L887*G887^2*SIN(RADIANS(E887))^2)</f>
        <v/>
      </c>
      <c r="R887" s="28">
        <f>-P887*SIN(RADIANS(E887))</f>
        <v/>
      </c>
      <c r="S887" s="8">
        <f>(O887+P887*COS(RADIANS(E887)))/L887</f>
        <v/>
      </c>
      <c r="T887" s="8">
        <f>R887/L887</f>
        <v/>
      </c>
      <c r="U887" s="8">
        <f>(Q887-P887*G887*SIN(RADIANS(E887)))/M887</f>
        <v/>
      </c>
      <c r="V887" s="8">
        <f>SQRT((S887+U887)^2+3*T887^2)</f>
        <v/>
      </c>
      <c r="W887" s="8">
        <f>V887/AA887</f>
        <v/>
      </c>
      <c r="X887" s="27">
        <f>((3*10+H887/COS(RADIANS(E887)))*(3+3)+3*G887*H887)*2</f>
        <v/>
      </c>
      <c r="Y887" s="28">
        <f>Z887/X887</f>
        <v/>
      </c>
      <c r="Z887" s="29" t="n">
        <v>594.1985521418191</v>
      </c>
      <c r="AA887" s="20" t="n">
        <v>45.267139072356</v>
      </c>
      <c r="AB887" t="n">
        <v>0.05930826490137141</v>
      </c>
      <c r="AC887" t="n">
        <v>43.51356775405687</v>
      </c>
      <c r="AD887" t="n">
        <v>21.44232205144904</v>
      </c>
    </row>
    <row r="888">
      <c r="A888" t="n">
        <v>887</v>
      </c>
      <c r="B888" t="n">
        <v>63.5</v>
      </c>
      <c r="C888" s="21">
        <f>B888-20</f>
        <v/>
      </c>
      <c r="D888" t="n">
        <v>129.1</v>
      </c>
      <c r="E888" s="22">
        <f>D888-90</f>
        <v/>
      </c>
      <c r="F888" s="23" t="n">
        <v>0.014136</v>
      </c>
      <c r="G888" s="22" t="n">
        <v>29</v>
      </c>
      <c r="H888" s="22" t="n">
        <v>1.1</v>
      </c>
      <c r="I888" s="24" t="n">
        <v>0.0610390342772007</v>
      </c>
      <c r="J888" s="6" t="n">
        <v>71000</v>
      </c>
      <c r="K888" s="25">
        <f>23*10^-6</f>
        <v/>
      </c>
      <c r="L888" s="8">
        <f>H888</f>
        <v/>
      </c>
      <c r="M888" s="26">
        <f>H888^2/6</f>
        <v/>
      </c>
      <c r="N888" s="26">
        <f>H888^3/12</f>
        <v/>
      </c>
      <c r="O888" s="27">
        <f>-J888*L888*K888*C888</f>
        <v/>
      </c>
      <c r="P888" s="28">
        <f>-(12*F888*J888*L888*N888+12*O888*N888*G888*COS(RADIANS(E888)))/(12*N888*G888*COS(RADIANS(E888))^2+L888*G888^3*SIN(RADIANS(E888))^2)</f>
        <v/>
      </c>
      <c r="Q888" s="28">
        <f>-(6*F888*J888*L888*N888*SIN(RADIANS(E888))+6*O888*N888*G888*SIN(RADIANS(E888))*COS(RADIANS(E888)))/(12*N888*COS(RADIANS(E888))^2+L888*G888^2*SIN(RADIANS(E888))^2)</f>
        <v/>
      </c>
      <c r="R888" s="28">
        <f>-P888*SIN(RADIANS(E888))</f>
        <v/>
      </c>
      <c r="S888" s="8">
        <f>(O888+P888*COS(RADIANS(E888)))/L888</f>
        <v/>
      </c>
      <c r="T888" s="8">
        <f>R888/L888</f>
        <v/>
      </c>
      <c r="U888" s="8">
        <f>(Q888-P888*G888*SIN(RADIANS(E888)))/M888</f>
        <v/>
      </c>
      <c r="V888" s="8">
        <f>SQRT((S888+U888)^2+3*T888^2)</f>
        <v/>
      </c>
      <c r="W888" s="8">
        <f>V888/AA888</f>
        <v/>
      </c>
      <c r="X888" s="27">
        <f>((3*10+H888/COS(RADIANS(E888)))*(3+3)+3*G888*H888)*2</f>
        <v/>
      </c>
      <c r="Y888" s="28">
        <f>Z888/X888</f>
        <v/>
      </c>
      <c r="Z888" s="29" t="n">
        <v>578.768907045923</v>
      </c>
      <c r="AA888" s="20" t="n">
        <v>56.8818186180992</v>
      </c>
      <c r="AB888" t="n">
        <v>0.06323672507701703</v>
      </c>
      <c r="AC888" t="n">
        <v>61.41687762661617</v>
      </c>
      <c r="AD888" t="n">
        <v>3.600467841341991</v>
      </c>
    </row>
    <row r="889">
      <c r="A889" t="n">
        <v>888</v>
      </c>
      <c r="B889" t="n">
        <v>85.2</v>
      </c>
      <c r="C889" s="21">
        <f>B889-20</f>
        <v/>
      </c>
      <c r="D889" t="n">
        <v>126.5</v>
      </c>
      <c r="E889" s="22">
        <f>D889-90</f>
        <v/>
      </c>
      <c r="F889" s="23" t="n">
        <v>0.023759</v>
      </c>
      <c r="G889" s="22" t="n">
        <v>32.3</v>
      </c>
      <c r="H889" s="22" t="n">
        <v>1.8</v>
      </c>
      <c r="I889" s="24" t="n">
        <v>0.102751351892948</v>
      </c>
      <c r="J889" s="6" t="n">
        <v>71000</v>
      </c>
      <c r="K889" s="25">
        <f>23*10^-6</f>
        <v/>
      </c>
      <c r="L889" s="8">
        <f>H889</f>
        <v/>
      </c>
      <c r="M889" s="26">
        <f>H889^2/6</f>
        <v/>
      </c>
      <c r="N889" s="26">
        <f>H889^3/12</f>
        <v/>
      </c>
      <c r="O889" s="27">
        <f>-J889*L889*K889*C889</f>
        <v/>
      </c>
      <c r="P889" s="28">
        <f>-(12*F889*J889*L889*N889+12*O889*N889*G889*COS(RADIANS(E889)))/(12*N889*G889*COS(RADIANS(E889))^2+L889*G889^3*SIN(RADIANS(E889))^2)</f>
        <v/>
      </c>
      <c r="Q889" s="28">
        <f>-(6*F889*J889*L889*N889*SIN(RADIANS(E889))+6*O889*N889*G889*SIN(RADIANS(E889))*COS(RADIANS(E889)))/(12*N889*COS(RADIANS(E889))^2+L889*G889^2*SIN(RADIANS(E889))^2)</f>
        <v/>
      </c>
      <c r="R889" s="28">
        <f>-P889*SIN(RADIANS(E889))</f>
        <v/>
      </c>
      <c r="S889" s="8">
        <f>(O889+P889*COS(RADIANS(E889)))/L889</f>
        <v/>
      </c>
      <c r="T889" s="8">
        <f>R889/L889</f>
        <v/>
      </c>
      <c r="U889" s="8">
        <f>(Q889-P889*G889*SIN(RADIANS(E889)))/M889</f>
        <v/>
      </c>
      <c r="V889" s="8">
        <f>SQRT((S889+U889)^2+3*T889^2)</f>
        <v/>
      </c>
      <c r="W889" s="8">
        <f>V889/AA889</f>
        <v/>
      </c>
      <c r="X889" s="27">
        <f>((3*10+H889/COS(RADIANS(E889)))*(3+3)+3*G889*H889)*2</f>
        <v/>
      </c>
      <c r="Y889" s="28">
        <f>Z889/X889</f>
        <v/>
      </c>
      <c r="Z889" s="29" t="n">
        <v>745.000146548145</v>
      </c>
      <c r="AA889" s="20" t="n">
        <v>99.174150970944</v>
      </c>
      <c r="AB889" t="n">
        <v>0.1127995650533773</v>
      </c>
      <c r="AC889" t="n">
        <v>95.04833227590704</v>
      </c>
      <c r="AD889" t="n">
        <v>9.779154215798656</v>
      </c>
    </row>
    <row r="890">
      <c r="A890" t="n">
        <v>889</v>
      </c>
      <c r="B890" t="n">
        <v>63.9</v>
      </c>
      <c r="C890" s="21">
        <f>B890-20</f>
        <v/>
      </c>
      <c r="D890" t="n">
        <v>109</v>
      </c>
      <c r="E890" s="22">
        <f>D890-90</f>
        <v/>
      </c>
      <c r="F890" s="23" t="n">
        <v>0.018476</v>
      </c>
      <c r="G890" s="22" t="n">
        <v>32.7</v>
      </c>
      <c r="H890" s="22" t="n">
        <v>2</v>
      </c>
      <c r="I890" s="24" t="n">
        <v>0.109461814165115</v>
      </c>
      <c r="J890" s="6" t="n">
        <v>71000</v>
      </c>
      <c r="K890" s="25">
        <f>23*10^-6</f>
        <v/>
      </c>
      <c r="L890" s="8">
        <f>H890</f>
        <v/>
      </c>
      <c r="M890" s="26">
        <f>H890^2/6</f>
        <v/>
      </c>
      <c r="N890" s="26">
        <f>H890^3/12</f>
        <v/>
      </c>
      <c r="O890" s="27">
        <f>-J890*L890*K890*C890</f>
        <v/>
      </c>
      <c r="P890" s="28">
        <f>-(12*F890*J890*L890*N890+12*O890*N890*G890*COS(RADIANS(E890)))/(12*N890*G890*COS(RADIANS(E890))^2+L890*G890^3*SIN(RADIANS(E890))^2)</f>
        <v/>
      </c>
      <c r="Q890" s="28">
        <f>-(6*F890*J890*L890*N890*SIN(RADIANS(E890))+6*O890*N890*G890*SIN(RADIANS(E890))*COS(RADIANS(E890)))/(12*N890*COS(RADIANS(E890))^2+L890*G890^2*SIN(RADIANS(E890))^2)</f>
        <v/>
      </c>
      <c r="R890" s="28">
        <f>-P890*SIN(RADIANS(E890))</f>
        <v/>
      </c>
      <c r="S890" s="8">
        <f>(O890+P890*COS(RADIANS(E890)))/L890</f>
        <v/>
      </c>
      <c r="T890" s="8">
        <f>R890/L890</f>
        <v/>
      </c>
      <c r="U890" s="8">
        <f>(Q890-P890*G890*SIN(RADIANS(E890)))/M890</f>
        <v/>
      </c>
      <c r="V890" s="8">
        <f>SQRT((S890+U890)^2+3*T890^2)</f>
        <v/>
      </c>
      <c r="W890" s="8">
        <f>V890/AA890</f>
        <v/>
      </c>
      <c r="X890" s="27">
        <f>((3*10+H890/COS(RADIANS(E890)))*(3+3)+3*G890*H890)*2</f>
        <v/>
      </c>
      <c r="Y890" s="28">
        <f>Z890/X890</f>
        <v/>
      </c>
      <c r="Z890" s="29" t="n">
        <v>782.599422082602</v>
      </c>
      <c r="AA890" s="20" t="n">
        <v>73.8744075562014</v>
      </c>
      <c r="AB890" t="n">
        <v>0.1501351540132324</v>
      </c>
      <c r="AC890" t="n">
        <v>70.66059882337582</v>
      </c>
      <c r="AD890" t="n">
        <v>37.15756052312883</v>
      </c>
    </row>
    <row r="891">
      <c r="A891" t="n">
        <v>890</v>
      </c>
      <c r="B891" t="n">
        <v>48.1</v>
      </c>
      <c r="C891" s="21">
        <f>B891-20</f>
        <v/>
      </c>
      <c r="D891" t="n">
        <v>102.7</v>
      </c>
      <c r="E891" s="22">
        <f>D891-90</f>
        <v/>
      </c>
      <c r="F891" s="23" t="n">
        <v>0.009547</v>
      </c>
      <c r="G891" s="22" t="n">
        <v>24.4</v>
      </c>
      <c r="H891" s="22" t="n">
        <v>1.8</v>
      </c>
      <c r="I891" s="24" t="n">
        <v>0.07488378882408139</v>
      </c>
      <c r="J891" s="6" t="n">
        <v>71000</v>
      </c>
      <c r="K891" s="25">
        <f>23*10^-6</f>
        <v/>
      </c>
      <c r="L891" s="8">
        <f>H891</f>
        <v/>
      </c>
      <c r="M891" s="26">
        <f>H891^2/6</f>
        <v/>
      </c>
      <c r="N891" s="26">
        <f>H891^3/12</f>
        <v/>
      </c>
      <c r="O891" s="27">
        <f>-J891*L891*K891*C891</f>
        <v/>
      </c>
      <c r="P891" s="28">
        <f>-(12*F891*J891*L891*N891+12*O891*N891*G891*COS(RADIANS(E891)))/(12*N891*G891*COS(RADIANS(E891))^2+L891*G891^3*SIN(RADIANS(E891))^2)</f>
        <v/>
      </c>
      <c r="Q891" s="28">
        <f>-(6*F891*J891*L891*N891*SIN(RADIANS(E891))+6*O891*N891*G891*SIN(RADIANS(E891))*COS(RADIANS(E891)))/(12*N891*COS(RADIANS(E891))^2+L891*G891^2*SIN(RADIANS(E891))^2)</f>
        <v/>
      </c>
      <c r="R891" s="28">
        <f>-P891*SIN(RADIANS(E891))</f>
        <v/>
      </c>
      <c r="S891" s="8">
        <f>(O891+P891*COS(RADIANS(E891)))/L891</f>
        <v/>
      </c>
      <c r="T891" s="8">
        <f>R891/L891</f>
        <v/>
      </c>
      <c r="U891" s="8">
        <f>(Q891-P891*G891*SIN(RADIANS(E891)))/M891</f>
        <v/>
      </c>
      <c r="V891" s="8">
        <f>SQRT((S891+U891)^2+3*T891^2)</f>
        <v/>
      </c>
      <c r="W891" s="8">
        <f>V891/AA891</f>
        <v/>
      </c>
      <c r="X891" s="27">
        <f>((3*10+H891/COS(RADIANS(E891)))*(3+3)+3*G891*H891)*2</f>
        <v/>
      </c>
      <c r="Y891" s="28">
        <f>Z891/X891</f>
        <v/>
      </c>
      <c r="Z891" s="29" t="n">
        <v>649.697232964818</v>
      </c>
      <c r="AA891" s="20" t="n">
        <v>50.5051645586778</v>
      </c>
      <c r="AB891" t="n">
        <v>0.1028437655251367</v>
      </c>
      <c r="AC891" t="n">
        <v>49.06008483345368</v>
      </c>
      <c r="AD891" t="n">
        <v>37.33782323266186</v>
      </c>
    </row>
    <row r="892">
      <c r="A892" t="n">
        <v>891</v>
      </c>
      <c r="B892" t="n">
        <v>52.8</v>
      </c>
      <c r="C892" s="21">
        <f>B892-20</f>
        <v/>
      </c>
      <c r="D892" t="n">
        <v>105.5</v>
      </c>
      <c r="E892" s="22">
        <f>D892-90</f>
        <v/>
      </c>
      <c r="F892" s="23" t="n">
        <v>0.010099</v>
      </c>
      <c r="G892" s="22" t="n">
        <v>21.8</v>
      </c>
      <c r="H892" s="22" t="n">
        <v>1.4</v>
      </c>
      <c r="I892" s="24" t="n">
        <v>0.0717727318406105</v>
      </c>
      <c r="J892" s="6" t="n">
        <v>71000</v>
      </c>
      <c r="K892" s="25">
        <f>23*10^-6</f>
        <v/>
      </c>
      <c r="L892" s="8">
        <f>H892</f>
        <v/>
      </c>
      <c r="M892" s="26">
        <f>H892^2/6</f>
        <v/>
      </c>
      <c r="N892" s="26">
        <f>H892^3/12</f>
        <v/>
      </c>
      <c r="O892" s="27">
        <f>-J892*L892*K892*C892</f>
        <v/>
      </c>
      <c r="P892" s="28">
        <f>-(12*F892*J892*L892*N892+12*O892*N892*G892*COS(RADIANS(E892)))/(12*N892*G892*COS(RADIANS(E892))^2+L892*G892^3*SIN(RADIANS(E892))^2)</f>
        <v/>
      </c>
      <c r="Q892" s="28">
        <f>-(6*F892*J892*L892*N892*SIN(RADIANS(E892))+6*O892*N892*G892*SIN(RADIANS(E892))*COS(RADIANS(E892)))/(12*N892*COS(RADIANS(E892))^2+L892*G892^2*SIN(RADIANS(E892))^2)</f>
        <v/>
      </c>
      <c r="R892" s="28">
        <f>-P892*SIN(RADIANS(E892))</f>
        <v/>
      </c>
      <c r="S892" s="8">
        <f>(O892+P892*COS(RADIANS(E892)))/L892</f>
        <v/>
      </c>
      <c r="T892" s="8">
        <f>R892/L892</f>
        <v/>
      </c>
      <c r="U892" s="8">
        <f>(Q892-P892*G892*SIN(RADIANS(E892)))/M892</f>
        <v/>
      </c>
      <c r="V892" s="8">
        <f>SQRT((S892+U892)^2+3*T892^2)</f>
        <v/>
      </c>
      <c r="W892" s="8">
        <f>V892/AA892</f>
        <v/>
      </c>
      <c r="X892" s="27">
        <f>((3*10+H892/COS(RADIANS(E892)))*(3+3)+3*G892*H892)*2</f>
        <v/>
      </c>
      <c r="Y892" s="28">
        <f>Z892/X892</f>
        <v/>
      </c>
      <c r="Z892" s="29" t="n">
        <v>564.893511717241</v>
      </c>
      <c r="AA892" s="20" t="n">
        <v>52.4427193985652</v>
      </c>
      <c r="AB892" t="n">
        <v>0.0928263356639983</v>
      </c>
      <c r="AC892" t="n">
        <v>53.78021076694233</v>
      </c>
      <c r="AD892" t="n">
        <v>29.33370833667394</v>
      </c>
    </row>
    <row r="893">
      <c r="A893" t="n">
        <v>892</v>
      </c>
      <c r="B893" t="n">
        <v>42</v>
      </c>
      <c r="C893" s="21">
        <f>B893-20</f>
        <v/>
      </c>
      <c r="D893" t="n">
        <v>102.5</v>
      </c>
      <c r="E893" s="22">
        <f>D893-90</f>
        <v/>
      </c>
      <c r="F893" s="23" t="n">
        <v>0.007896</v>
      </c>
      <c r="G893" s="22" t="n">
        <v>26.1</v>
      </c>
      <c r="H893" s="22" t="n">
        <v>1.2</v>
      </c>
      <c r="I893" s="24" t="n">
        <v>0.0652160570025444</v>
      </c>
      <c r="J893" s="6" t="n">
        <v>71000</v>
      </c>
      <c r="K893" s="25">
        <f>23*10^-6</f>
        <v/>
      </c>
      <c r="L893" s="8">
        <f>H893</f>
        <v/>
      </c>
      <c r="M893" s="26">
        <f>H893^2/6</f>
        <v/>
      </c>
      <c r="N893" s="26">
        <f>H893^3/12</f>
        <v/>
      </c>
      <c r="O893" s="27">
        <f>-J893*L893*K893*C893</f>
        <v/>
      </c>
      <c r="P893" s="28">
        <f>-(12*F893*J893*L893*N893+12*O893*N893*G893*COS(RADIANS(E893)))/(12*N893*G893*COS(RADIANS(E893))^2+L893*G893^3*SIN(RADIANS(E893))^2)</f>
        <v/>
      </c>
      <c r="Q893" s="28">
        <f>-(6*F893*J893*L893*N893*SIN(RADIANS(E893))+6*O893*N893*G893*SIN(RADIANS(E893))*COS(RADIANS(E893)))/(12*N893*COS(RADIANS(E893))^2+L893*G893^2*SIN(RADIANS(E893))^2)</f>
        <v/>
      </c>
      <c r="R893" s="28">
        <f>-P893*SIN(RADIANS(E893))</f>
        <v/>
      </c>
      <c r="S893" s="8">
        <f>(O893+P893*COS(RADIANS(E893)))/L893</f>
        <v/>
      </c>
      <c r="T893" s="8">
        <f>R893/L893</f>
        <v/>
      </c>
      <c r="U893" s="8">
        <f>(Q893-P893*G893*SIN(RADIANS(E893)))/M893</f>
        <v/>
      </c>
      <c r="V893" s="8">
        <f>SQRT((S893+U893)^2+3*T893^2)</f>
        <v/>
      </c>
      <c r="W893" s="8">
        <f>V893/AA893</f>
        <v/>
      </c>
      <c r="X893" s="27">
        <f>((3*10+H893/COS(RADIANS(E893)))*(3+3)+3*G893*H893)*2</f>
        <v/>
      </c>
      <c r="Y893" s="28">
        <f>Z893/X893</f>
        <v/>
      </c>
      <c r="Z893" s="29" t="n">
        <v>566.685962735318</v>
      </c>
      <c r="AA893" s="20" t="n">
        <v>33.268011761234</v>
      </c>
      <c r="AB893" t="n">
        <v>0.09257490847991991</v>
      </c>
      <c r="AC893" t="n">
        <v>35.90933026591256</v>
      </c>
      <c r="AD893" t="n">
        <v>41.95109722182085</v>
      </c>
    </row>
    <row r="894">
      <c r="A894" t="n">
        <v>893</v>
      </c>
      <c r="B894" t="n">
        <v>79.40000000000001</v>
      </c>
      <c r="C894" s="21">
        <f>B894-20</f>
        <v/>
      </c>
      <c r="D894" t="n">
        <v>116.5</v>
      </c>
      <c r="E894" s="22">
        <f>D894-90</f>
        <v/>
      </c>
      <c r="F894" s="23" t="n">
        <v>0.021153</v>
      </c>
      <c r="G894" s="22" t="n">
        <v>28.2</v>
      </c>
      <c r="H894" s="22" t="n">
        <v>1.4</v>
      </c>
      <c r="I894" s="24" t="n">
        <v>0.10539461672306</v>
      </c>
      <c r="J894" s="6" t="n">
        <v>71000</v>
      </c>
      <c r="K894" s="25">
        <f>23*10^-6</f>
        <v/>
      </c>
      <c r="L894" s="8">
        <f>H894</f>
        <v/>
      </c>
      <c r="M894" s="26">
        <f>H894^2/6</f>
        <v/>
      </c>
      <c r="N894" s="26">
        <f>H894^3/12</f>
        <v/>
      </c>
      <c r="O894" s="27">
        <f>-J894*L894*K894*C894</f>
        <v/>
      </c>
      <c r="P894" s="28">
        <f>-(12*F894*J894*L894*N894+12*O894*N894*G894*COS(RADIANS(E894)))/(12*N894*G894*COS(RADIANS(E894))^2+L894*G894^3*SIN(RADIANS(E894))^2)</f>
        <v/>
      </c>
      <c r="Q894" s="28">
        <f>-(6*F894*J894*L894*N894*SIN(RADIANS(E894))+6*O894*N894*G894*SIN(RADIANS(E894))*COS(RADIANS(E894)))/(12*N894*COS(RADIANS(E894))^2+L894*G894^2*SIN(RADIANS(E894))^2)</f>
        <v/>
      </c>
      <c r="R894" s="28">
        <f>-P894*SIN(RADIANS(E894))</f>
        <v/>
      </c>
      <c r="S894" s="8">
        <f>(O894+P894*COS(RADIANS(E894)))/L894</f>
        <v/>
      </c>
      <c r="T894" s="8">
        <f>R894/L894</f>
        <v/>
      </c>
      <c r="U894" s="8">
        <f>(Q894-P894*G894*SIN(RADIANS(E894)))/M894</f>
        <v/>
      </c>
      <c r="V894" s="8">
        <f>SQRT((S894+U894)^2+3*T894^2)</f>
        <v/>
      </c>
      <c r="W894" s="8">
        <f>V894/AA894</f>
        <v/>
      </c>
      <c r="X894" s="27">
        <f>((3*10+H894/COS(RADIANS(E894)))*(3+3)+3*G894*H894)*2</f>
        <v/>
      </c>
      <c r="Y894" s="28">
        <f>Z894/X894</f>
        <v/>
      </c>
      <c r="Z894" s="29" t="n">
        <v>621.903565084348</v>
      </c>
      <c r="AA894" s="20" t="n">
        <v>88.5434452721842</v>
      </c>
      <c r="AB894" t="n">
        <v>0.1274024620657968</v>
      </c>
      <c r="AC894" t="n">
        <v>88.59998058062681</v>
      </c>
      <c r="AD894" t="n">
        <v>20.88137518500178</v>
      </c>
    </row>
    <row r="895">
      <c r="A895" t="n">
        <v>894</v>
      </c>
      <c r="B895" t="n">
        <v>41.7</v>
      </c>
      <c r="C895" s="21">
        <f>B895-20</f>
        <v/>
      </c>
      <c r="D895" t="n">
        <v>129.6</v>
      </c>
      <c r="E895" s="22">
        <f>D895-90</f>
        <v/>
      </c>
      <c r="F895" s="23" t="n">
        <v>0.00745</v>
      </c>
      <c r="G895" s="22" t="n">
        <v>31.3</v>
      </c>
      <c r="H895" s="22" t="n">
        <v>1.4</v>
      </c>
      <c r="I895" s="24" t="n">
        <v>0.0318260863423347</v>
      </c>
      <c r="J895" s="6" t="n">
        <v>71000</v>
      </c>
      <c r="K895" s="25">
        <f>23*10^-6</f>
        <v/>
      </c>
      <c r="L895" s="8">
        <f>H895</f>
        <v/>
      </c>
      <c r="M895" s="26">
        <f>H895^2/6</f>
        <v/>
      </c>
      <c r="N895" s="26">
        <f>H895^3/12</f>
        <v/>
      </c>
      <c r="O895" s="27">
        <f>-J895*L895*K895*C895</f>
        <v/>
      </c>
      <c r="P895" s="28">
        <f>-(12*F895*J895*L895*N895+12*O895*N895*G895*COS(RADIANS(E895)))/(12*N895*G895*COS(RADIANS(E895))^2+L895*G895^3*SIN(RADIANS(E895))^2)</f>
        <v/>
      </c>
      <c r="Q895" s="28">
        <f>-(6*F895*J895*L895*N895*SIN(RADIANS(E895))+6*O895*N895*G895*SIN(RADIANS(E895))*COS(RADIANS(E895)))/(12*N895*COS(RADIANS(E895))^2+L895*G895^2*SIN(RADIANS(E895))^2)</f>
        <v/>
      </c>
      <c r="R895" s="28">
        <f>-P895*SIN(RADIANS(E895))</f>
        <v/>
      </c>
      <c r="S895" s="8">
        <f>(O895+P895*COS(RADIANS(E895)))/L895</f>
        <v/>
      </c>
      <c r="T895" s="8">
        <f>R895/L895</f>
        <v/>
      </c>
      <c r="U895" s="8">
        <f>(Q895-P895*G895*SIN(RADIANS(E895)))/M895</f>
        <v/>
      </c>
      <c r="V895" s="8">
        <f>SQRT((S895+U895)^2+3*T895^2)</f>
        <v/>
      </c>
      <c r="W895" s="8">
        <f>V895/AA895</f>
        <v/>
      </c>
      <c r="X895" s="27">
        <f>((3*10+H895/COS(RADIANS(E895)))*(3+3)+3*G895*H895)*2</f>
        <v/>
      </c>
      <c r="Y895" s="28">
        <f>Z895/X895</f>
        <v/>
      </c>
      <c r="Z895" s="29" t="n">
        <v>655.305347454778</v>
      </c>
      <c r="AA895" s="20" t="n">
        <v>29.7940907978875</v>
      </c>
      <c r="AB895" t="n">
        <v>0.03339804145683965</v>
      </c>
      <c r="AC895" t="n">
        <v>30.90948280387648</v>
      </c>
      <c r="AD895" t="n">
        <v>4.939203323953628</v>
      </c>
    </row>
    <row r="896">
      <c r="A896" t="n">
        <v>895</v>
      </c>
      <c r="B896" t="n">
        <v>69.40000000000001</v>
      </c>
      <c r="C896" s="21">
        <f>B896-20</f>
        <v/>
      </c>
      <c r="D896" t="n">
        <v>108.2</v>
      </c>
      <c r="E896" s="22">
        <f>D896-90</f>
        <v/>
      </c>
      <c r="F896" s="23" t="n">
        <v>0.014935</v>
      </c>
      <c r="G896" s="22" t="n">
        <v>21.6</v>
      </c>
      <c r="H896" s="22" t="n">
        <v>1.8</v>
      </c>
      <c r="I896" s="24" t="n">
        <v>0.094392329454422</v>
      </c>
      <c r="J896" s="6" t="n">
        <v>71000</v>
      </c>
      <c r="K896" s="25">
        <f>23*10^-6</f>
        <v/>
      </c>
      <c r="L896" s="8">
        <f>H896</f>
        <v/>
      </c>
      <c r="M896" s="26">
        <f>H896^2/6</f>
        <v/>
      </c>
      <c r="N896" s="26">
        <f>H896^3/12</f>
        <v/>
      </c>
      <c r="O896" s="27">
        <f>-J896*L896*K896*C896</f>
        <v/>
      </c>
      <c r="P896" s="28">
        <f>-(12*F896*J896*L896*N896+12*O896*N896*G896*COS(RADIANS(E896)))/(12*N896*G896*COS(RADIANS(E896))^2+L896*G896^3*SIN(RADIANS(E896))^2)</f>
        <v/>
      </c>
      <c r="Q896" s="28">
        <f>-(6*F896*J896*L896*N896*SIN(RADIANS(E896))+6*O896*N896*G896*SIN(RADIANS(E896))*COS(RADIANS(E896)))/(12*N896*COS(RADIANS(E896))^2+L896*G896^2*SIN(RADIANS(E896))^2)</f>
        <v/>
      </c>
      <c r="R896" s="28">
        <f>-P896*SIN(RADIANS(E896))</f>
        <v/>
      </c>
      <c r="S896" s="8">
        <f>(O896+P896*COS(RADIANS(E896)))/L896</f>
        <v/>
      </c>
      <c r="T896" s="8">
        <f>R896/L896</f>
        <v/>
      </c>
      <c r="U896" s="8">
        <f>(Q896-P896*G896*SIN(RADIANS(E896)))/M896</f>
        <v/>
      </c>
      <c r="V896" s="8">
        <f>SQRT((S896+U896)^2+3*T896^2)</f>
        <v/>
      </c>
      <c r="W896" s="8">
        <f>V896/AA896</f>
        <v/>
      </c>
      <c r="X896" s="27">
        <f>((3*10+H896/COS(RADIANS(E896)))*(3+3)+3*G896*H896)*2</f>
        <v/>
      </c>
      <c r="Y896" s="28">
        <f>Z896/X896</f>
        <v/>
      </c>
      <c r="Z896" s="29" t="n">
        <v>620.715041560677</v>
      </c>
      <c r="AA896" s="20" t="n">
        <v>86.2768226323636</v>
      </c>
      <c r="AB896" t="n">
        <v>0.1162181728034783</v>
      </c>
      <c r="AC896" t="n">
        <v>81.95316968911692</v>
      </c>
      <c r="AD896" t="n">
        <v>23.12247560284557</v>
      </c>
    </row>
    <row r="897">
      <c r="A897" t="n">
        <v>896</v>
      </c>
      <c r="B897" t="n">
        <v>52</v>
      </c>
      <c r="C897" s="21">
        <f>B897-20</f>
        <v/>
      </c>
      <c r="D897" t="n">
        <v>125.9</v>
      </c>
      <c r="E897" s="22">
        <f>D897-90</f>
        <v/>
      </c>
      <c r="F897" s="23" t="n">
        <v>0.011438</v>
      </c>
      <c r="G897" s="22" t="n">
        <v>31.3</v>
      </c>
      <c r="H897" s="22" t="n">
        <v>1.1</v>
      </c>
      <c r="I897" s="24" t="n">
        <v>0.0497174821794033</v>
      </c>
      <c r="J897" s="6" t="n">
        <v>71000</v>
      </c>
      <c r="K897" s="25">
        <f>23*10^-6</f>
        <v/>
      </c>
      <c r="L897" s="8">
        <f>H897</f>
        <v/>
      </c>
      <c r="M897" s="26">
        <f>H897^2/6</f>
        <v/>
      </c>
      <c r="N897" s="26">
        <f>H897^3/12</f>
        <v/>
      </c>
      <c r="O897" s="27">
        <f>-J897*L897*K897*C897</f>
        <v/>
      </c>
      <c r="P897" s="28">
        <f>-(12*F897*J897*L897*N897+12*O897*N897*G897*COS(RADIANS(E897)))/(12*N897*G897*COS(RADIANS(E897))^2+L897*G897^3*SIN(RADIANS(E897))^2)</f>
        <v/>
      </c>
      <c r="Q897" s="28">
        <f>-(6*F897*J897*L897*N897*SIN(RADIANS(E897))+6*O897*N897*G897*SIN(RADIANS(E897))*COS(RADIANS(E897)))/(12*N897*COS(RADIANS(E897))^2+L897*G897^2*SIN(RADIANS(E897))^2)</f>
        <v/>
      </c>
      <c r="R897" s="28">
        <f>-P897*SIN(RADIANS(E897))</f>
        <v/>
      </c>
      <c r="S897" s="8">
        <f>(O897+P897*COS(RADIANS(E897)))/L897</f>
        <v/>
      </c>
      <c r="T897" s="8">
        <f>R897/L897</f>
        <v/>
      </c>
      <c r="U897" s="8">
        <f>(Q897-P897*G897*SIN(RADIANS(E897)))/M897</f>
        <v/>
      </c>
      <c r="V897" s="8">
        <f>SQRT((S897+U897)^2+3*T897^2)</f>
        <v/>
      </c>
      <c r="W897" s="8">
        <f>V897/AA897</f>
        <v/>
      </c>
      <c r="X897" s="27">
        <f>((3*10+H897/COS(RADIANS(E897)))*(3+3)+3*G897*H897)*2</f>
        <v/>
      </c>
      <c r="Y897" s="28">
        <f>Z897/X897</f>
        <v/>
      </c>
      <c r="Z897" s="29" t="n">
        <v>591.937194474873</v>
      </c>
      <c r="AA897" s="20" t="n">
        <v>42.5408889118009</v>
      </c>
      <c r="AB897" t="n">
        <v>0.05493901943619631</v>
      </c>
      <c r="AC897" t="n">
        <v>45.35799768117315</v>
      </c>
      <c r="AD897" t="n">
        <v>10.50241691232739</v>
      </c>
    </row>
    <row r="898">
      <c r="A898" t="n">
        <v>897</v>
      </c>
      <c r="B898" t="n">
        <v>74.3</v>
      </c>
      <c r="C898" s="21">
        <f>B898-20</f>
        <v/>
      </c>
      <c r="D898" t="n">
        <v>113.1</v>
      </c>
      <c r="E898" s="22">
        <f>D898-90</f>
        <v/>
      </c>
      <c r="F898" s="23" t="n">
        <v>0.020739</v>
      </c>
      <c r="G898" s="22" t="n">
        <v>29.9</v>
      </c>
      <c r="H898" s="22" t="n">
        <v>1.2</v>
      </c>
      <c r="I898" s="24" t="n">
        <v>0.110639177262783</v>
      </c>
      <c r="J898" s="6" t="n">
        <v>71000</v>
      </c>
      <c r="K898" s="25">
        <f>23*10^-6</f>
        <v/>
      </c>
      <c r="L898" s="8">
        <f>H898</f>
        <v/>
      </c>
      <c r="M898" s="26">
        <f>H898^2/6</f>
        <v/>
      </c>
      <c r="N898" s="26">
        <f>H898^3/12</f>
        <v/>
      </c>
      <c r="O898" s="27">
        <f>-J898*L898*K898*C898</f>
        <v/>
      </c>
      <c r="P898" s="28">
        <f>-(12*F898*J898*L898*N898+12*O898*N898*G898*COS(RADIANS(E898)))/(12*N898*G898*COS(RADIANS(E898))^2+L898*G898^3*SIN(RADIANS(E898))^2)</f>
        <v/>
      </c>
      <c r="Q898" s="28">
        <f>-(6*F898*J898*L898*N898*SIN(RADIANS(E898))+6*O898*N898*G898*SIN(RADIANS(E898))*COS(RADIANS(E898)))/(12*N898*COS(RADIANS(E898))^2+L898*G898^2*SIN(RADIANS(E898))^2)</f>
        <v/>
      </c>
      <c r="R898" s="28">
        <f>-P898*SIN(RADIANS(E898))</f>
        <v/>
      </c>
      <c r="S898" s="8">
        <f>(O898+P898*COS(RADIANS(E898)))/L898</f>
        <v/>
      </c>
      <c r="T898" s="8">
        <f>R898/L898</f>
        <v/>
      </c>
      <c r="U898" s="8">
        <f>(Q898-P898*G898*SIN(RADIANS(E898)))/M898</f>
        <v/>
      </c>
      <c r="V898" s="8">
        <f>SQRT((S898+U898)^2+3*T898^2)</f>
        <v/>
      </c>
      <c r="W898" s="8">
        <f>V898/AA898</f>
        <v/>
      </c>
      <c r="X898" s="27">
        <f>((3*10+H898/COS(RADIANS(E898)))*(3+3)+3*G898*H898)*2</f>
        <v/>
      </c>
      <c r="Y898" s="28">
        <f>Z898/X898</f>
        <v/>
      </c>
      <c r="Z898" s="29" t="n">
        <v>596.460859812207</v>
      </c>
      <c r="AA898" s="20" t="n">
        <v>77.52211051768769</v>
      </c>
      <c r="AB898" t="n">
        <v>0.1424605400311678</v>
      </c>
      <c r="AC898" t="n">
        <v>80.76335257283982</v>
      </c>
      <c r="AD898" t="n">
        <v>28.76138774315424</v>
      </c>
    </row>
    <row r="899">
      <c r="A899" t="n">
        <v>898</v>
      </c>
      <c r="B899" t="n">
        <v>64.90000000000001</v>
      </c>
      <c r="C899" s="21">
        <f>B899-20</f>
        <v/>
      </c>
      <c r="D899" t="n">
        <v>123.4</v>
      </c>
      <c r="E899" s="22">
        <f>D899-90</f>
        <v/>
      </c>
      <c r="F899" s="23" t="n">
        <v>0.016404</v>
      </c>
      <c r="G899" s="22" t="n">
        <v>31.2</v>
      </c>
      <c r="H899" s="22" t="n">
        <v>2</v>
      </c>
      <c r="I899" s="24" t="n">
        <v>0.0731043070554733</v>
      </c>
      <c r="J899" s="6" t="n">
        <v>71000</v>
      </c>
      <c r="K899" s="25">
        <f>23*10^-6</f>
        <v/>
      </c>
      <c r="L899" s="8">
        <f>H899</f>
        <v/>
      </c>
      <c r="M899" s="26">
        <f>H899^2/6</f>
        <v/>
      </c>
      <c r="N899" s="26">
        <f>H899^3/12</f>
        <v/>
      </c>
      <c r="O899" s="27">
        <f>-J899*L899*K899*C899</f>
        <v/>
      </c>
      <c r="P899" s="28">
        <f>-(12*F899*J899*L899*N899+12*O899*N899*G899*COS(RADIANS(E899)))/(12*N899*G899*COS(RADIANS(E899))^2+L899*G899^3*SIN(RADIANS(E899))^2)</f>
        <v/>
      </c>
      <c r="Q899" s="28">
        <f>-(6*F899*J899*L899*N899*SIN(RADIANS(E899))+6*O899*N899*G899*SIN(RADIANS(E899))*COS(RADIANS(E899)))/(12*N899*COS(RADIANS(E899))^2+L899*G899^2*SIN(RADIANS(E899))^2)</f>
        <v/>
      </c>
      <c r="R899" s="28">
        <f>-P899*SIN(RADIANS(E899))</f>
        <v/>
      </c>
      <c r="S899" s="8">
        <f>(O899+P899*COS(RADIANS(E899)))/L899</f>
        <v/>
      </c>
      <c r="T899" s="8">
        <f>R899/L899</f>
        <v/>
      </c>
      <c r="U899" s="8">
        <f>(Q899-P899*G899*SIN(RADIANS(E899)))/M899</f>
        <v/>
      </c>
      <c r="V899" s="8">
        <f>SQRT((S899+U899)^2+3*T899^2)</f>
        <v/>
      </c>
      <c r="W899" s="8">
        <f>V899/AA899</f>
        <v/>
      </c>
      <c r="X899" s="27">
        <f>((3*10+H899/COS(RADIANS(E899)))*(3+3)+3*G899*H899)*2</f>
        <v/>
      </c>
      <c r="Y899" s="28">
        <f>Z899/X899</f>
        <v/>
      </c>
      <c r="Z899" s="29" t="n">
        <v>771.329134988745</v>
      </c>
      <c r="AA899" s="20" t="n">
        <v>71.908171724627</v>
      </c>
      <c r="AB899" t="n">
        <v>0.08252643297310763</v>
      </c>
      <c r="AC899" t="n">
        <v>66.88453213423195</v>
      </c>
      <c r="AD899" t="n">
        <v>12.88860574313986</v>
      </c>
    </row>
    <row r="900">
      <c r="A900" t="n">
        <v>899</v>
      </c>
      <c r="B900" t="n">
        <v>89.5</v>
      </c>
      <c r="C900" s="21">
        <f>B900-20</f>
        <v/>
      </c>
      <c r="D900" t="n">
        <v>120.8</v>
      </c>
      <c r="E900" s="22">
        <f>D900-90</f>
        <v/>
      </c>
      <c r="F900" s="23" t="n">
        <v>0.024082</v>
      </c>
      <c r="G900" s="22" t="n">
        <v>28.4</v>
      </c>
      <c r="H900" s="22" t="n">
        <v>1.5</v>
      </c>
      <c r="I900" s="24" t="n">
        <v>0.111905433237552</v>
      </c>
      <c r="J900" s="6" t="n">
        <v>71000</v>
      </c>
      <c r="K900" s="25">
        <f>23*10^-6</f>
        <v/>
      </c>
      <c r="L900" s="8">
        <f>H900</f>
        <v/>
      </c>
      <c r="M900" s="26">
        <f>H900^2/6</f>
        <v/>
      </c>
      <c r="N900" s="26">
        <f>H900^3/12</f>
        <v/>
      </c>
      <c r="O900" s="27">
        <f>-J900*L900*K900*C900</f>
        <v/>
      </c>
      <c r="P900" s="28">
        <f>-(12*F900*J900*L900*N900+12*O900*N900*G900*COS(RADIANS(E900)))/(12*N900*G900*COS(RADIANS(E900))^2+L900*G900^3*SIN(RADIANS(E900))^2)</f>
        <v/>
      </c>
      <c r="Q900" s="28">
        <f>-(6*F900*J900*L900*N900*SIN(RADIANS(E900))+6*O900*N900*G900*SIN(RADIANS(E900))*COS(RADIANS(E900)))/(12*N900*COS(RADIANS(E900))^2+L900*G900^2*SIN(RADIANS(E900))^2)</f>
        <v/>
      </c>
      <c r="R900" s="28">
        <f>-P900*SIN(RADIANS(E900))</f>
        <v/>
      </c>
      <c r="S900" s="8">
        <f>(O900+P900*COS(RADIANS(E900)))/L900</f>
        <v/>
      </c>
      <c r="T900" s="8">
        <f>R900/L900</f>
        <v/>
      </c>
      <c r="U900" s="8">
        <f>(Q900-P900*G900*SIN(RADIANS(E900)))/M900</f>
        <v/>
      </c>
      <c r="V900" s="8">
        <f>SQRT((S900+U900)^2+3*T900^2)</f>
        <v/>
      </c>
      <c r="W900" s="8">
        <f>V900/AA900</f>
        <v/>
      </c>
      <c r="X900" s="27">
        <f>((3*10+H900/COS(RADIANS(E900)))*(3+3)+3*G900*H900)*2</f>
        <v/>
      </c>
      <c r="Y900" s="28">
        <f>Z900/X900</f>
        <v/>
      </c>
      <c r="Z900" s="29" t="n">
        <v>643.929975012577</v>
      </c>
      <c r="AA900" s="20" t="n">
        <v>104.146666700834</v>
      </c>
      <c r="AB900" t="n">
        <v>0.1279394798436744</v>
      </c>
      <c r="AC900" t="n">
        <v>102.4843573247777</v>
      </c>
      <c r="AD900" t="n">
        <v>14.3282110101709</v>
      </c>
    </row>
    <row r="901">
      <c r="A901" t="n">
        <v>900</v>
      </c>
      <c r="B901" t="n">
        <v>59.3</v>
      </c>
      <c r="C901" s="21">
        <f>B901-20</f>
        <v/>
      </c>
      <c r="D901" t="n">
        <v>115.5</v>
      </c>
      <c r="E901" s="22">
        <f>D901-90</f>
        <v/>
      </c>
      <c r="F901" s="23" t="n">
        <v>0.015507</v>
      </c>
      <c r="G901" s="22" t="n">
        <v>31.7</v>
      </c>
      <c r="H901" s="22" t="n">
        <v>1.5</v>
      </c>
      <c r="I901" s="24" t="n">
        <v>0.07756626605987541</v>
      </c>
      <c r="J901" s="6" t="n">
        <v>71000</v>
      </c>
      <c r="K901" s="25">
        <f>23*10^-6</f>
        <v/>
      </c>
      <c r="L901" s="8">
        <f>H901</f>
        <v/>
      </c>
      <c r="M901" s="26">
        <f>H901^2/6</f>
        <v/>
      </c>
      <c r="N901" s="26">
        <f>H901^3/12</f>
        <v/>
      </c>
      <c r="O901" s="27">
        <f>-J901*L901*K901*C901</f>
        <v/>
      </c>
      <c r="P901" s="28">
        <f>-(12*F901*J901*L901*N901+12*O901*N901*G901*COS(RADIANS(E901)))/(12*N901*G901*COS(RADIANS(E901))^2+L901*G901^3*SIN(RADIANS(E901))^2)</f>
        <v/>
      </c>
      <c r="Q901" s="28">
        <f>-(6*F901*J901*L901*N901*SIN(RADIANS(E901))+6*O901*N901*G901*SIN(RADIANS(E901))*COS(RADIANS(E901)))/(12*N901*COS(RADIANS(E901))^2+L901*G901^2*SIN(RADIANS(E901))^2)</f>
        <v/>
      </c>
      <c r="R901" s="28">
        <f>-P901*SIN(RADIANS(E901))</f>
        <v/>
      </c>
      <c r="S901" s="8">
        <f>(O901+P901*COS(RADIANS(E901)))/L901</f>
        <v/>
      </c>
      <c r="T901" s="8">
        <f>R901/L901</f>
        <v/>
      </c>
      <c r="U901" s="8">
        <f>(Q901-P901*G901*SIN(RADIANS(E901)))/M901</f>
        <v/>
      </c>
      <c r="V901" s="8">
        <f>SQRT((S901+U901)^2+3*T901^2)</f>
        <v/>
      </c>
      <c r="W901" s="8">
        <f>V901/AA901</f>
        <v/>
      </c>
      <c r="X901" s="27">
        <f>((3*10+H901/COS(RADIANS(E901)))*(3+3)+3*G901*H901)*2</f>
        <v/>
      </c>
      <c r="Y901" s="28">
        <f>Z901/X901</f>
        <v/>
      </c>
      <c r="Z901" s="29" t="n">
        <v>671.266628237104</v>
      </c>
      <c r="AA901" s="20" t="n">
        <v>58.8817393694925</v>
      </c>
      <c r="AB901" t="n">
        <v>0.09803043761133595</v>
      </c>
      <c r="AC901" t="n">
        <v>58.80785453301694</v>
      </c>
      <c r="AD901" t="n">
        <v>26.38282412055741</v>
      </c>
    </row>
    <row r="902">
      <c r="A902" t="n">
        <v>901</v>
      </c>
      <c r="B902" t="n">
        <v>78.3</v>
      </c>
      <c r="C902" s="21">
        <f>B902-20</f>
        <v/>
      </c>
      <c r="D902" t="n">
        <v>126.1</v>
      </c>
      <c r="E902" s="22">
        <f>D902-90</f>
        <v/>
      </c>
      <c r="F902" s="23" t="n">
        <v>0.016231</v>
      </c>
      <c r="G902" s="22" t="n">
        <v>22.8</v>
      </c>
      <c r="H902" s="22" t="n">
        <v>1.1</v>
      </c>
      <c r="I902" s="24" t="n">
        <v>0.0739136934280395</v>
      </c>
      <c r="J902" s="6" t="n">
        <v>71000</v>
      </c>
      <c r="K902" s="25">
        <f>23*10^-6</f>
        <v/>
      </c>
      <c r="L902" s="8">
        <f>H902</f>
        <v/>
      </c>
      <c r="M902" s="26">
        <f>H902^2/6</f>
        <v/>
      </c>
      <c r="N902" s="26">
        <f>H902^3/12</f>
        <v/>
      </c>
      <c r="O902" s="27">
        <f>-J902*L902*K902*C902</f>
        <v/>
      </c>
      <c r="P902" s="28">
        <f>-(12*F902*J902*L902*N902+12*O902*N902*G902*COS(RADIANS(E902)))/(12*N902*G902*COS(RADIANS(E902))^2+L902*G902^3*SIN(RADIANS(E902))^2)</f>
        <v/>
      </c>
      <c r="Q902" s="28">
        <f>-(6*F902*J902*L902*N902*SIN(RADIANS(E902))+6*O902*N902*G902*SIN(RADIANS(E902))*COS(RADIANS(E902)))/(12*N902*COS(RADIANS(E902))^2+L902*G902^2*SIN(RADIANS(E902))^2)</f>
        <v/>
      </c>
      <c r="R902" s="28">
        <f>-P902*SIN(RADIANS(E902))</f>
        <v/>
      </c>
      <c r="S902" s="8">
        <f>(O902+P902*COS(RADIANS(E902)))/L902</f>
        <v/>
      </c>
      <c r="T902" s="8">
        <f>R902/L902</f>
        <v/>
      </c>
      <c r="U902" s="8">
        <f>(Q902-P902*G902*SIN(RADIANS(E902)))/M902</f>
        <v/>
      </c>
      <c r="V902" s="8">
        <f>SQRT((S902+U902)^2+3*T902^2)</f>
        <v/>
      </c>
      <c r="W902" s="8">
        <f>V902/AA902</f>
        <v/>
      </c>
      <c r="X902" s="27">
        <f>((3*10+H902/COS(RADIANS(E902)))*(3+3)+3*G902*H902)*2</f>
        <v/>
      </c>
      <c r="Y902" s="28">
        <f>Z902/X902</f>
        <v/>
      </c>
      <c r="Z902" s="29" t="n">
        <v>535.953809765787</v>
      </c>
      <c r="AA902" s="20" t="n">
        <v>80.446514749532</v>
      </c>
      <c r="AB902" t="n">
        <v>0.07377266219326592</v>
      </c>
      <c r="AC902" t="n">
        <v>83.49344676535624</v>
      </c>
      <c r="AD902" t="n">
        <v>-0.1908052868591661</v>
      </c>
    </row>
    <row r="903">
      <c r="A903" t="n">
        <v>902</v>
      </c>
      <c r="B903" t="n">
        <v>61</v>
      </c>
      <c r="C903" s="21">
        <f>B903-20</f>
        <v/>
      </c>
      <c r="D903" t="n">
        <v>115</v>
      </c>
      <c r="E903" s="22">
        <f>D903-90</f>
        <v/>
      </c>
      <c r="F903" s="23" t="n">
        <v>0.01564</v>
      </c>
      <c r="G903" s="22" t="n">
        <v>30.3</v>
      </c>
      <c r="H903" s="22" t="n">
        <v>1.5</v>
      </c>
      <c r="I903" s="24" t="n">
        <v>0.0795521289110183</v>
      </c>
      <c r="J903" s="6" t="n">
        <v>71000</v>
      </c>
      <c r="K903" s="25">
        <f>23*10^-6</f>
        <v/>
      </c>
      <c r="L903" s="8">
        <f>H903</f>
        <v/>
      </c>
      <c r="M903" s="26">
        <f>H903^2/6</f>
        <v/>
      </c>
      <c r="N903" s="26">
        <f>H903^3/12</f>
        <v/>
      </c>
      <c r="O903" s="27">
        <f>-J903*L903*K903*C903</f>
        <v/>
      </c>
      <c r="P903" s="28">
        <f>-(12*F903*J903*L903*N903+12*O903*N903*G903*COS(RADIANS(E903)))/(12*N903*G903*COS(RADIANS(E903))^2+L903*G903^3*SIN(RADIANS(E903))^2)</f>
        <v/>
      </c>
      <c r="Q903" s="28">
        <f>-(6*F903*J903*L903*N903*SIN(RADIANS(E903))+6*O903*N903*G903*SIN(RADIANS(E903))*COS(RADIANS(E903)))/(12*N903*COS(RADIANS(E903))^2+L903*G903^2*SIN(RADIANS(E903))^2)</f>
        <v/>
      </c>
      <c r="R903" s="28">
        <f>-P903*SIN(RADIANS(E903))</f>
        <v/>
      </c>
      <c r="S903" s="8">
        <f>(O903+P903*COS(RADIANS(E903)))/L903</f>
        <v/>
      </c>
      <c r="T903" s="8">
        <f>R903/L903</f>
        <v/>
      </c>
      <c r="U903" s="8">
        <f>(Q903-P903*G903*SIN(RADIANS(E903)))/M903</f>
        <v/>
      </c>
      <c r="V903" s="8">
        <f>SQRT((S903+U903)^2+3*T903^2)</f>
        <v/>
      </c>
      <c r="W903" s="8">
        <f>V903/AA903</f>
        <v/>
      </c>
      <c r="X903" s="27">
        <f>((3*10+H903/COS(RADIANS(E903)))*(3+3)+3*G903*H903)*2</f>
        <v/>
      </c>
      <c r="Y903" s="28">
        <f>Z903/X903</f>
        <v/>
      </c>
      <c r="Z903" s="29" t="n">
        <v>658.475501982065</v>
      </c>
      <c r="AA903" s="20" t="n">
        <v>61.8266163761709</v>
      </c>
      <c r="AB903" t="n">
        <v>0.0999401555680369</v>
      </c>
      <c r="AC903" t="n">
        <v>61.69400011874755</v>
      </c>
      <c r="AD903" t="n">
        <v>25.62851168926388</v>
      </c>
    </row>
    <row r="904">
      <c r="A904" t="n">
        <v>903</v>
      </c>
      <c r="B904" t="n">
        <v>63</v>
      </c>
      <c r="C904" s="21">
        <f>B904-20</f>
        <v/>
      </c>
      <c r="D904" t="n">
        <v>100.7</v>
      </c>
      <c r="E904" s="22">
        <f>D904-90</f>
        <v/>
      </c>
      <c r="F904" s="23" t="n">
        <v>0.014887</v>
      </c>
      <c r="G904" s="22" t="n">
        <v>24.8</v>
      </c>
      <c r="H904" s="22" t="n">
        <v>1.3</v>
      </c>
      <c r="I904" s="24" t="n">
        <v>0.136645197868347</v>
      </c>
      <c r="J904" s="6" t="n">
        <v>71000</v>
      </c>
      <c r="K904" s="25">
        <f>23*10^-6</f>
        <v/>
      </c>
      <c r="L904" s="8">
        <f>H904</f>
        <v/>
      </c>
      <c r="M904" s="26">
        <f>H904^2/6</f>
        <v/>
      </c>
      <c r="N904" s="26">
        <f>H904^3/12</f>
        <v/>
      </c>
      <c r="O904" s="27">
        <f>-J904*L904*K904*C904</f>
        <v/>
      </c>
      <c r="P904" s="28">
        <f>-(12*F904*J904*L904*N904+12*O904*N904*G904*COS(RADIANS(E904)))/(12*N904*G904*COS(RADIANS(E904))^2+L904*G904^3*SIN(RADIANS(E904))^2)</f>
        <v/>
      </c>
      <c r="Q904" s="28">
        <f>-(6*F904*J904*L904*N904*SIN(RADIANS(E904))+6*O904*N904*G904*SIN(RADIANS(E904))*COS(RADIANS(E904)))/(12*N904*COS(RADIANS(E904))^2+L904*G904^2*SIN(RADIANS(E904))^2)</f>
        <v/>
      </c>
      <c r="R904" s="28">
        <f>-P904*SIN(RADIANS(E904))</f>
        <v/>
      </c>
      <c r="S904" s="8">
        <f>(O904+P904*COS(RADIANS(E904)))/L904</f>
        <v/>
      </c>
      <c r="T904" s="8">
        <f>R904/L904</f>
        <v/>
      </c>
      <c r="U904" s="8">
        <f>(Q904-P904*G904*SIN(RADIANS(E904)))/M904</f>
        <v/>
      </c>
      <c r="V904" s="8">
        <f>SQRT((S904+U904)^2+3*T904^2)</f>
        <v/>
      </c>
      <c r="W904" s="8">
        <f>V904/AA904</f>
        <v/>
      </c>
      <c r="X904" s="27">
        <f>((3*10+H904/COS(RADIANS(E904)))*(3+3)+3*G904*H904)*2</f>
        <v/>
      </c>
      <c r="Y904" s="28">
        <f>Z904/X904</f>
        <v/>
      </c>
      <c r="Z904" s="29" t="n">
        <v>573.174346147415</v>
      </c>
      <c r="AA904" s="20" t="n">
        <v>68.34185608910541</v>
      </c>
      <c r="AB904" t="n">
        <v>0.1956177613169077</v>
      </c>
      <c r="AC904" t="n">
        <v>73.24129896180108</v>
      </c>
      <c r="AD904" t="n">
        <v>43.15743573029093</v>
      </c>
    </row>
    <row r="905">
      <c r="A905" t="n">
        <v>904</v>
      </c>
      <c r="B905" t="n">
        <v>71.90000000000001</v>
      </c>
      <c r="C905" s="21">
        <f>B905-20</f>
        <v/>
      </c>
      <c r="D905" t="n">
        <v>112.5</v>
      </c>
      <c r="E905" s="22">
        <f>D905-90</f>
        <v/>
      </c>
      <c r="F905" s="23" t="n">
        <v>0.018418</v>
      </c>
      <c r="G905" s="22" t="n">
        <v>27.2</v>
      </c>
      <c r="H905" s="22" t="n">
        <v>1.1</v>
      </c>
      <c r="I905" s="24" t="n">
        <v>0.101142652332782</v>
      </c>
      <c r="J905" s="6" t="n">
        <v>71000</v>
      </c>
      <c r="K905" s="25">
        <f>23*10^-6</f>
        <v/>
      </c>
      <c r="L905" s="8">
        <f>H905</f>
        <v/>
      </c>
      <c r="M905" s="26">
        <f>H905^2/6</f>
        <v/>
      </c>
      <c r="N905" s="26">
        <f>H905^3/12</f>
        <v/>
      </c>
      <c r="O905" s="27">
        <f>-J905*L905*K905*C905</f>
        <v/>
      </c>
      <c r="P905" s="28">
        <f>-(12*F905*J905*L905*N905+12*O905*N905*G905*COS(RADIANS(E905)))/(12*N905*G905*COS(RADIANS(E905))^2+L905*G905^3*SIN(RADIANS(E905))^2)</f>
        <v/>
      </c>
      <c r="Q905" s="28">
        <f>-(6*F905*J905*L905*N905*SIN(RADIANS(E905))+6*O905*N905*G905*SIN(RADIANS(E905))*COS(RADIANS(E905)))/(12*N905*COS(RADIANS(E905))^2+L905*G905^2*SIN(RADIANS(E905))^2)</f>
        <v/>
      </c>
      <c r="R905" s="28">
        <f>-P905*SIN(RADIANS(E905))</f>
        <v/>
      </c>
      <c r="S905" s="8">
        <f>(O905+P905*COS(RADIANS(E905)))/L905</f>
        <v/>
      </c>
      <c r="T905" s="8">
        <f>R905/L905</f>
        <v/>
      </c>
      <c r="U905" s="8">
        <f>(Q905-P905*G905*SIN(RADIANS(E905)))/M905</f>
        <v/>
      </c>
      <c r="V905" s="8">
        <f>SQRT((S905+U905)^2+3*T905^2)</f>
        <v/>
      </c>
      <c r="W905" s="8">
        <f>V905/AA905</f>
        <v/>
      </c>
      <c r="X905" s="27">
        <f>((3*10+H905/COS(RADIANS(E905)))*(3+3)+3*G905*H905)*2</f>
        <v/>
      </c>
      <c r="Y905" s="28">
        <f>Z905/X905</f>
        <v/>
      </c>
      <c r="Z905" s="29" t="n">
        <v>559.218619236517</v>
      </c>
      <c r="AA905" s="20" t="n">
        <v>73.1919198735883</v>
      </c>
      <c r="AB905" t="n">
        <v>0.1280168361041441</v>
      </c>
      <c r="AC905" t="n">
        <v>77.26095002510465</v>
      </c>
      <c r="AD905" t="n">
        <v>26.57057448220761</v>
      </c>
    </row>
    <row r="906">
      <c r="A906" t="n">
        <v>905</v>
      </c>
      <c r="B906" t="n">
        <v>83.2</v>
      </c>
      <c r="C906" s="21">
        <f>B906-20</f>
        <v/>
      </c>
      <c r="D906" t="n">
        <v>112.6</v>
      </c>
      <c r="E906" s="22">
        <f>D906-90</f>
        <v/>
      </c>
      <c r="F906" s="23" t="n">
        <v>0.024743</v>
      </c>
      <c r="G906" s="22" t="n">
        <v>30.7</v>
      </c>
      <c r="H906" s="22" t="n">
        <v>1.3</v>
      </c>
      <c r="I906" s="24" t="n">
        <v>0.133246481418609</v>
      </c>
      <c r="J906" s="6" t="n">
        <v>71000</v>
      </c>
      <c r="K906" s="25">
        <f>23*10^-6</f>
        <v/>
      </c>
      <c r="L906" s="8">
        <f>H906</f>
        <v/>
      </c>
      <c r="M906" s="26">
        <f>H906^2/6</f>
        <v/>
      </c>
      <c r="N906" s="26">
        <f>H906^3/12</f>
        <v/>
      </c>
      <c r="O906" s="27">
        <f>-J906*L906*K906*C906</f>
        <v/>
      </c>
      <c r="P906" s="28">
        <f>-(12*F906*J906*L906*N906+12*O906*N906*G906*COS(RADIANS(E906)))/(12*N906*G906*COS(RADIANS(E906))^2+L906*G906^3*SIN(RADIANS(E906))^2)</f>
        <v/>
      </c>
      <c r="Q906" s="28">
        <f>-(6*F906*J906*L906*N906*SIN(RADIANS(E906))+6*O906*N906*G906*SIN(RADIANS(E906))*COS(RADIANS(E906)))/(12*N906*COS(RADIANS(E906))^2+L906*G906^2*SIN(RADIANS(E906))^2)</f>
        <v/>
      </c>
      <c r="R906" s="28">
        <f>-P906*SIN(RADIANS(E906))</f>
        <v/>
      </c>
      <c r="S906" s="8">
        <f>(O906+P906*COS(RADIANS(E906)))/L906</f>
        <v/>
      </c>
      <c r="T906" s="8">
        <f>R906/L906</f>
        <v/>
      </c>
      <c r="U906" s="8">
        <f>(Q906-P906*G906*SIN(RADIANS(E906)))/M906</f>
        <v/>
      </c>
      <c r="V906" s="8">
        <f>SQRT((S906+U906)^2+3*T906^2)</f>
        <v/>
      </c>
      <c r="W906" s="8">
        <f>V906/AA906</f>
        <v/>
      </c>
      <c r="X906" s="27">
        <f>((3*10+H906/COS(RADIANS(E906)))*(3+3)+3*G906*H906)*2</f>
        <v/>
      </c>
      <c r="Y906" s="28">
        <f>Z906/X906</f>
        <v/>
      </c>
      <c r="Z906" s="29" t="n">
        <v>621.787435439732</v>
      </c>
      <c r="AA906" s="20" t="n">
        <v>91.73881612409789</v>
      </c>
      <c r="AB906" t="n">
        <v>0.1736607910381849</v>
      </c>
      <c r="AC906" t="n">
        <v>94.77953388430105</v>
      </c>
      <c r="AD906" t="n">
        <v>30.33048917262564</v>
      </c>
    </row>
    <row r="907">
      <c r="A907" t="n">
        <v>906</v>
      </c>
      <c r="B907" t="n">
        <v>76.40000000000001</v>
      </c>
      <c r="C907" s="21">
        <f>B907-20</f>
        <v/>
      </c>
      <c r="D907" t="n">
        <v>119.1</v>
      </c>
      <c r="E907" s="22">
        <f>D907-90</f>
        <v/>
      </c>
      <c r="F907" s="23" t="n">
        <v>0.021386</v>
      </c>
      <c r="G907" s="22" t="n">
        <v>31.2</v>
      </c>
      <c r="H907" s="22" t="n">
        <v>1</v>
      </c>
      <c r="I907" s="24" t="n">
        <v>0.100292742252349</v>
      </c>
      <c r="J907" s="6" t="n">
        <v>71000</v>
      </c>
      <c r="K907" s="25">
        <f>23*10^-6</f>
        <v/>
      </c>
      <c r="L907" s="8">
        <f>H907</f>
        <v/>
      </c>
      <c r="M907" s="26">
        <f>H907^2/6</f>
        <v/>
      </c>
      <c r="N907" s="26">
        <f>H907^3/12</f>
        <v/>
      </c>
      <c r="O907" s="27">
        <f>-J907*L907*K907*C907</f>
        <v/>
      </c>
      <c r="P907" s="28">
        <f>-(12*F907*J907*L907*N907+12*O907*N907*G907*COS(RADIANS(E907)))/(12*N907*G907*COS(RADIANS(E907))^2+L907*G907^3*SIN(RADIANS(E907))^2)</f>
        <v/>
      </c>
      <c r="Q907" s="28">
        <f>-(6*F907*J907*L907*N907*SIN(RADIANS(E907))+6*O907*N907*G907*SIN(RADIANS(E907))*COS(RADIANS(E907)))/(12*N907*COS(RADIANS(E907))^2+L907*G907^2*SIN(RADIANS(E907))^2)</f>
        <v/>
      </c>
      <c r="R907" s="28">
        <f>-P907*SIN(RADIANS(E907))</f>
        <v/>
      </c>
      <c r="S907" s="8">
        <f>(O907+P907*COS(RADIANS(E907)))/L907</f>
        <v/>
      </c>
      <c r="T907" s="8">
        <f>R907/L907</f>
        <v/>
      </c>
      <c r="U907" s="8">
        <f>(Q907-P907*G907*SIN(RADIANS(E907)))/M907</f>
        <v/>
      </c>
      <c r="V907" s="8">
        <f>SQRT((S907+U907)^2+3*T907^2)</f>
        <v/>
      </c>
      <c r="W907" s="8">
        <f>V907/AA907</f>
        <v/>
      </c>
      <c r="X907" s="27">
        <f>((3*10+H907/COS(RADIANS(E907)))*(3+3)+3*G907*H907)*2</f>
        <v/>
      </c>
      <c r="Y907" s="28">
        <f>Z907/X907</f>
        <v/>
      </c>
      <c r="Z907" s="29" t="n">
        <v>567.834298222351</v>
      </c>
      <c r="AA907" s="20" t="n">
        <v>75.16287766215289</v>
      </c>
      <c r="AB907" t="n">
        <v>0.1212011809477025</v>
      </c>
      <c r="AC907" t="n">
        <v>80.80858056731782</v>
      </c>
      <c r="AD907" t="n">
        <v>20.84740951917069</v>
      </c>
    </row>
    <row r="908">
      <c r="A908" t="n">
        <v>907</v>
      </c>
      <c r="B908" t="n">
        <v>70.7</v>
      </c>
      <c r="C908" s="21">
        <f>B908-20</f>
        <v/>
      </c>
      <c r="D908" t="n">
        <v>106.3</v>
      </c>
      <c r="E908" s="22">
        <f>D908-90</f>
        <v/>
      </c>
      <c r="F908" s="23" t="n">
        <v>0.017059</v>
      </c>
      <c r="G908" s="22" t="n">
        <v>24.5</v>
      </c>
      <c r="H908" s="22" t="n">
        <v>1.3</v>
      </c>
      <c r="I908" s="24" t="n">
        <v>0.116690479218959</v>
      </c>
      <c r="J908" s="6" t="n">
        <v>71000</v>
      </c>
      <c r="K908" s="25">
        <f>23*10^-6</f>
        <v/>
      </c>
      <c r="L908" s="8">
        <f>H908</f>
        <v/>
      </c>
      <c r="M908" s="26">
        <f>H908^2/6</f>
        <v/>
      </c>
      <c r="N908" s="26">
        <f>H908^3/12</f>
        <v/>
      </c>
      <c r="O908" s="27">
        <f>-J908*L908*K908*C908</f>
        <v/>
      </c>
      <c r="P908" s="28">
        <f>-(12*F908*J908*L908*N908+12*O908*N908*G908*COS(RADIANS(E908)))/(12*N908*G908*COS(RADIANS(E908))^2+L908*G908^3*SIN(RADIANS(E908))^2)</f>
        <v/>
      </c>
      <c r="Q908" s="28">
        <f>-(6*F908*J908*L908*N908*SIN(RADIANS(E908))+6*O908*N908*G908*SIN(RADIANS(E908))*COS(RADIANS(E908)))/(12*N908*COS(RADIANS(E908))^2+L908*G908^2*SIN(RADIANS(E908))^2)</f>
        <v/>
      </c>
      <c r="R908" s="28">
        <f>-P908*SIN(RADIANS(E908))</f>
        <v/>
      </c>
      <c r="S908" s="8">
        <f>(O908+P908*COS(RADIANS(E908)))/L908</f>
        <v/>
      </c>
      <c r="T908" s="8">
        <f>R908/L908</f>
        <v/>
      </c>
      <c r="U908" s="8">
        <f>(Q908-P908*G908*SIN(RADIANS(E908)))/M908</f>
        <v/>
      </c>
      <c r="V908" s="8">
        <f>SQRT((S908+U908)^2+3*T908^2)</f>
        <v/>
      </c>
      <c r="W908" s="8">
        <f>V908/AA908</f>
        <v/>
      </c>
      <c r="X908" s="27">
        <f>((3*10+H908/COS(RADIANS(E908)))*(3+3)+3*G908*H908)*2</f>
        <v/>
      </c>
      <c r="Y908" s="28">
        <f>Z908/X908</f>
        <v/>
      </c>
      <c r="Z908" s="29" t="n">
        <v>571.791997443297</v>
      </c>
      <c r="AA908" s="20" t="n">
        <v>77.2271308103643</v>
      </c>
      <c r="AB908" t="n">
        <v>0.1548659638259919</v>
      </c>
      <c r="AC908" t="n">
        <v>80.8382591193529</v>
      </c>
      <c r="AD908" t="n">
        <v>32.71516653505218</v>
      </c>
    </row>
    <row r="909">
      <c r="A909" t="n">
        <v>908</v>
      </c>
      <c r="B909" t="n">
        <v>53.3</v>
      </c>
      <c r="C909" s="21">
        <f>B909-20</f>
        <v/>
      </c>
      <c r="D909" t="n">
        <v>103.2</v>
      </c>
      <c r="E909" s="22">
        <f>D909-90</f>
        <v/>
      </c>
      <c r="F909" s="23" t="n">
        <v>0.014992</v>
      </c>
      <c r="G909" s="22" t="n">
        <v>34.4</v>
      </c>
      <c r="H909" s="22" t="n">
        <v>1.2</v>
      </c>
      <c r="I909" s="24" t="n">
        <v>0.116843983530998</v>
      </c>
      <c r="J909" s="6" t="n">
        <v>71000</v>
      </c>
      <c r="K909" s="25">
        <f>23*10^-6</f>
        <v/>
      </c>
      <c r="L909" s="8">
        <f>H909</f>
        <v/>
      </c>
      <c r="M909" s="26">
        <f>H909^2/6</f>
        <v/>
      </c>
      <c r="N909" s="26">
        <f>H909^3/12</f>
        <v/>
      </c>
      <c r="O909" s="27">
        <f>-J909*L909*K909*C909</f>
        <v/>
      </c>
      <c r="P909" s="28">
        <f>-(12*F909*J909*L909*N909+12*O909*N909*G909*COS(RADIANS(E909)))/(12*N909*G909*COS(RADIANS(E909))^2+L909*G909^3*SIN(RADIANS(E909))^2)</f>
        <v/>
      </c>
      <c r="Q909" s="28">
        <f>-(6*F909*J909*L909*N909*SIN(RADIANS(E909))+6*O909*N909*G909*SIN(RADIANS(E909))*COS(RADIANS(E909)))/(12*N909*COS(RADIANS(E909))^2+L909*G909^2*SIN(RADIANS(E909))^2)</f>
        <v/>
      </c>
      <c r="R909" s="28">
        <f>-P909*SIN(RADIANS(E909))</f>
        <v/>
      </c>
      <c r="S909" s="8">
        <f>(O909+P909*COS(RADIANS(E909)))/L909</f>
        <v/>
      </c>
      <c r="T909" s="8">
        <f>R909/L909</f>
        <v/>
      </c>
      <c r="U909" s="8">
        <f>(Q909-P909*G909*SIN(RADIANS(E909)))/M909</f>
        <v/>
      </c>
      <c r="V909" s="8">
        <f>SQRT((S909+U909)^2+3*T909^2)</f>
        <v/>
      </c>
      <c r="W909" s="8">
        <f>V909/AA909</f>
        <v/>
      </c>
      <c r="X909" s="27">
        <f>((3*10+H909/COS(RADIANS(E909)))*(3+3)+3*G909*H909)*2</f>
        <v/>
      </c>
      <c r="Y909" s="28">
        <f>Z909/X909</f>
        <v/>
      </c>
      <c r="Z909" s="29" t="n">
        <v>626.555733037103</v>
      </c>
      <c r="AA909" s="20" t="n">
        <v>49.2413512287838</v>
      </c>
      <c r="AB909" t="n">
        <v>0.1753400897743865</v>
      </c>
      <c r="AC909" t="n">
        <v>52.43719013763742</v>
      </c>
      <c r="AD909" t="n">
        <v>50.06343029024667</v>
      </c>
    </row>
    <row r="910">
      <c r="A910" t="n">
        <v>909</v>
      </c>
      <c r="B910" t="n">
        <v>42.5</v>
      </c>
      <c r="C910" s="21">
        <f>B910-20</f>
        <v/>
      </c>
      <c r="D910" t="n">
        <v>117.3</v>
      </c>
      <c r="E910" s="22">
        <f>D910-90</f>
        <v/>
      </c>
      <c r="F910" s="23" t="n">
        <v>0.006827</v>
      </c>
      <c r="G910" s="22" t="n">
        <v>23.2</v>
      </c>
      <c r="H910" s="22" t="n">
        <v>1.4</v>
      </c>
      <c r="I910" s="24" t="n">
        <v>0.0344942733645439</v>
      </c>
      <c r="J910" s="6" t="n">
        <v>71000</v>
      </c>
      <c r="K910" s="25">
        <f>23*10^-6</f>
        <v/>
      </c>
      <c r="L910" s="8">
        <f>H910</f>
        <v/>
      </c>
      <c r="M910" s="26">
        <f>H910^2/6</f>
        <v/>
      </c>
      <c r="N910" s="26">
        <f>H910^3/12</f>
        <v/>
      </c>
      <c r="O910" s="27">
        <f>-J910*L910*K910*C910</f>
        <v/>
      </c>
      <c r="P910" s="28">
        <f>-(12*F910*J910*L910*N910+12*O910*N910*G910*COS(RADIANS(E910)))/(12*N910*G910*COS(RADIANS(E910))^2+L910*G910^3*SIN(RADIANS(E910))^2)</f>
        <v/>
      </c>
      <c r="Q910" s="28">
        <f>-(6*F910*J910*L910*N910*SIN(RADIANS(E910))+6*O910*N910*G910*SIN(RADIANS(E910))*COS(RADIANS(E910)))/(12*N910*COS(RADIANS(E910))^2+L910*G910^2*SIN(RADIANS(E910))^2)</f>
        <v/>
      </c>
      <c r="R910" s="28">
        <f>-P910*SIN(RADIANS(E910))</f>
        <v/>
      </c>
      <c r="S910" s="8">
        <f>(O910+P910*COS(RADIANS(E910)))/L910</f>
        <v/>
      </c>
      <c r="T910" s="8">
        <f>R910/L910</f>
        <v/>
      </c>
      <c r="U910" s="8">
        <f>(Q910-P910*G910*SIN(RADIANS(E910)))/M910</f>
        <v/>
      </c>
      <c r="V910" s="8">
        <f>SQRT((S910+U910)^2+3*T910^2)</f>
        <v/>
      </c>
      <c r="W910" s="8">
        <f>V910/AA910</f>
        <v/>
      </c>
      <c r="X910" s="27">
        <f>((3*10+H910/COS(RADIANS(E910)))*(3+3)+3*G910*H910)*2</f>
        <v/>
      </c>
      <c r="Y910" s="28">
        <f>Z910/X910</f>
        <v/>
      </c>
      <c r="Z910" s="29" t="n">
        <v>580.227661322766</v>
      </c>
      <c r="AA910" s="20" t="n">
        <v>33.847880686261</v>
      </c>
      <c r="AB910" t="n">
        <v>0.0388250082359555</v>
      </c>
      <c r="AC910" t="n">
        <v>33.83914091410381</v>
      </c>
      <c r="AD910" t="n">
        <v>12.55493868690416</v>
      </c>
    </row>
    <row r="911">
      <c r="A911" t="n">
        <v>910</v>
      </c>
      <c r="B911" t="n">
        <v>50.6</v>
      </c>
      <c r="C911" s="21">
        <f>B911-20</f>
        <v/>
      </c>
      <c r="D911" t="n">
        <v>117.7</v>
      </c>
      <c r="E911" s="22">
        <f>D911-90</f>
        <v/>
      </c>
      <c r="F911" s="23" t="n">
        <v>0.01034</v>
      </c>
      <c r="G911" s="22" t="n">
        <v>26.7</v>
      </c>
      <c r="H911" s="22" t="n">
        <v>1.8</v>
      </c>
      <c r="I911" s="24" t="n">
        <v>0.0507608689367771</v>
      </c>
      <c r="J911" s="6" t="n">
        <v>71000</v>
      </c>
      <c r="K911" s="25">
        <f>23*10^-6</f>
        <v/>
      </c>
      <c r="L911" s="8">
        <f>H911</f>
        <v/>
      </c>
      <c r="M911" s="26">
        <f>H911^2/6</f>
        <v/>
      </c>
      <c r="N911" s="26">
        <f>H911^3/12</f>
        <v/>
      </c>
      <c r="O911" s="27">
        <f>-J911*L911*K911*C911</f>
        <v/>
      </c>
      <c r="P911" s="28">
        <f>-(12*F911*J911*L911*N911+12*O911*N911*G911*COS(RADIANS(E911)))/(12*N911*G911*COS(RADIANS(E911))^2+L911*G911^3*SIN(RADIANS(E911))^2)</f>
        <v/>
      </c>
      <c r="Q911" s="28">
        <f>-(6*F911*J911*L911*N911*SIN(RADIANS(E911))+6*O911*N911*G911*SIN(RADIANS(E911))*COS(RADIANS(E911)))/(12*N911*COS(RADIANS(E911))^2+L911*G911^2*SIN(RADIANS(E911))^2)</f>
        <v/>
      </c>
      <c r="R911" s="28">
        <f>-P911*SIN(RADIANS(E911))</f>
        <v/>
      </c>
      <c r="S911" s="8">
        <f>(O911+P911*COS(RADIANS(E911)))/L911</f>
        <v/>
      </c>
      <c r="T911" s="8">
        <f>R911/L911</f>
        <v/>
      </c>
      <c r="U911" s="8">
        <f>(Q911-P911*G911*SIN(RADIANS(E911)))/M911</f>
        <v/>
      </c>
      <c r="V911" s="8">
        <f>SQRT((S911+U911)^2+3*T911^2)</f>
        <v/>
      </c>
      <c r="W911" s="8">
        <f>V911/AA911</f>
        <v/>
      </c>
      <c r="X911" s="27">
        <f>((3*10+H911/COS(RADIANS(E911)))*(3+3)+3*G911*H911)*2</f>
        <v/>
      </c>
      <c r="Y911" s="28">
        <f>Z911/X911</f>
        <v/>
      </c>
      <c r="Z911" s="29" t="n">
        <v>679.296146089604</v>
      </c>
      <c r="AA911" s="20" t="n">
        <v>49.0239456872122</v>
      </c>
      <c r="AB911" t="n">
        <v>0.05905628563973715</v>
      </c>
      <c r="AC911" t="n">
        <v>46.74383294604221</v>
      </c>
      <c r="AD911" t="n">
        <v>16.34214873920309</v>
      </c>
    </row>
    <row r="912">
      <c r="A912" t="n">
        <v>911</v>
      </c>
      <c r="B912" t="n">
        <v>66</v>
      </c>
      <c r="C912" s="21">
        <f>B912-20</f>
        <v/>
      </c>
      <c r="D912" t="n">
        <v>112.4</v>
      </c>
      <c r="E912" s="22">
        <f>D912-90</f>
        <v/>
      </c>
      <c r="F912" s="23" t="n">
        <v>0.020067</v>
      </c>
      <c r="G912" s="22" t="n">
        <v>34.9</v>
      </c>
      <c r="H912" s="22" t="n">
        <v>1.1</v>
      </c>
      <c r="I912" s="24" t="n">
        <v>0.106956258416175</v>
      </c>
      <c r="J912" s="6" t="n">
        <v>71000</v>
      </c>
      <c r="K912" s="25">
        <f>23*10^-6</f>
        <v/>
      </c>
      <c r="L912" s="8">
        <f>H912</f>
        <v/>
      </c>
      <c r="M912" s="26">
        <f>H912^2/6</f>
        <v/>
      </c>
      <c r="N912" s="26">
        <f>H912^3/12</f>
        <v/>
      </c>
      <c r="O912" s="27">
        <f>-J912*L912*K912*C912</f>
        <v/>
      </c>
      <c r="P912" s="28">
        <f>-(12*F912*J912*L912*N912+12*O912*N912*G912*COS(RADIANS(E912)))/(12*N912*G912*COS(RADIANS(E912))^2+L912*G912^3*SIN(RADIANS(E912))^2)</f>
        <v/>
      </c>
      <c r="Q912" s="28">
        <f>-(6*F912*J912*L912*N912*SIN(RADIANS(E912))+6*O912*N912*G912*SIN(RADIANS(E912))*COS(RADIANS(E912)))/(12*N912*COS(RADIANS(E912))^2+L912*G912^2*SIN(RADIANS(E912))^2)</f>
        <v/>
      </c>
      <c r="R912" s="28">
        <f>-P912*SIN(RADIANS(E912))</f>
        <v/>
      </c>
      <c r="S912" s="8">
        <f>(O912+P912*COS(RADIANS(E912)))/L912</f>
        <v/>
      </c>
      <c r="T912" s="8">
        <f>R912/L912</f>
        <v/>
      </c>
      <c r="U912" s="8">
        <f>(Q912-P912*G912*SIN(RADIANS(E912)))/M912</f>
        <v/>
      </c>
      <c r="V912" s="8">
        <f>SQRT((S912+U912)^2+3*T912^2)</f>
        <v/>
      </c>
      <c r="W912" s="8">
        <f>V912/AA912</f>
        <v/>
      </c>
      <c r="X912" s="27">
        <f>((3*10+H912/COS(RADIANS(E912)))*(3+3)+3*G912*H912)*2</f>
        <v/>
      </c>
      <c r="Y912" s="28">
        <f>Z912/X912</f>
        <v/>
      </c>
      <c r="Z912" s="29" t="n">
        <v>610.009592385402</v>
      </c>
      <c r="AA912" s="20" t="n">
        <v>63.9940700598123</v>
      </c>
      <c r="AB912" t="n">
        <v>0.1446878385331772</v>
      </c>
      <c r="AC912" t="n">
        <v>67.44377338920388</v>
      </c>
      <c r="AD912" t="n">
        <v>35.27758045741063</v>
      </c>
    </row>
    <row r="913">
      <c r="A913" t="n">
        <v>912</v>
      </c>
      <c r="B913" t="n">
        <v>71.2</v>
      </c>
      <c r="C913" s="21">
        <f>B913-20</f>
        <v/>
      </c>
      <c r="D913" t="n">
        <v>116.8</v>
      </c>
      <c r="E913" s="22">
        <f>D913-90</f>
        <v/>
      </c>
      <c r="F913" s="23" t="n">
        <v>0.02158</v>
      </c>
      <c r="G913" s="22" t="n">
        <v>34.7</v>
      </c>
      <c r="H913" s="22" t="n">
        <v>1.7</v>
      </c>
      <c r="I913" s="24" t="n">
        <v>0.103923223912715</v>
      </c>
      <c r="J913" s="6" t="n">
        <v>71000</v>
      </c>
      <c r="K913" s="25">
        <f>23*10^-6</f>
        <v/>
      </c>
      <c r="L913" s="8">
        <f>H913</f>
        <v/>
      </c>
      <c r="M913" s="26">
        <f>H913^2/6</f>
        <v/>
      </c>
      <c r="N913" s="26">
        <f>H913^3/12</f>
        <v/>
      </c>
      <c r="O913" s="27">
        <f>-J913*L913*K913*C913</f>
        <v/>
      </c>
      <c r="P913" s="28">
        <f>-(12*F913*J913*L913*N913+12*O913*N913*G913*COS(RADIANS(E913)))/(12*N913*G913*COS(RADIANS(E913))^2+L913*G913^3*SIN(RADIANS(E913))^2)</f>
        <v/>
      </c>
      <c r="Q913" s="28">
        <f>-(6*F913*J913*L913*N913*SIN(RADIANS(E913))+6*O913*N913*G913*SIN(RADIANS(E913))*COS(RADIANS(E913)))/(12*N913*COS(RADIANS(E913))^2+L913*G913^2*SIN(RADIANS(E913))^2)</f>
        <v/>
      </c>
      <c r="R913" s="28">
        <f>-P913*SIN(RADIANS(E913))</f>
        <v/>
      </c>
      <c r="S913" s="8">
        <f>(O913+P913*COS(RADIANS(E913)))/L913</f>
        <v/>
      </c>
      <c r="T913" s="8">
        <f>R913/L913</f>
        <v/>
      </c>
      <c r="U913" s="8">
        <f>(Q913-P913*G913*SIN(RADIANS(E913)))/M913</f>
        <v/>
      </c>
      <c r="V913" s="8">
        <f>SQRT((S913+U913)^2+3*T913^2)</f>
        <v/>
      </c>
      <c r="W913" s="8">
        <f>V913/AA913</f>
        <v/>
      </c>
      <c r="X913" s="27">
        <f>((3*10+H913/COS(RADIANS(E913)))*(3+3)+3*G913*H913)*2</f>
        <v/>
      </c>
      <c r="Y913" s="28">
        <f>Z913/X913</f>
        <v/>
      </c>
      <c r="Z913" s="29" t="n">
        <v>743.1167454895869</v>
      </c>
      <c r="AA913" s="20" t="n">
        <v>78.13564678313951</v>
      </c>
      <c r="AB913" t="n">
        <v>0.1320066855627701</v>
      </c>
      <c r="AC913" t="n">
        <v>76.60045242090493</v>
      </c>
      <c r="AD913" t="n">
        <v>27.02327794761486</v>
      </c>
    </row>
    <row r="914">
      <c r="A914" t="n">
        <v>913</v>
      </c>
      <c r="B914" t="n">
        <v>61.2</v>
      </c>
      <c r="C914" s="21">
        <f>B914-20</f>
        <v/>
      </c>
      <c r="D914" t="n">
        <v>112.6</v>
      </c>
      <c r="E914" s="22">
        <f>D914-90</f>
        <v/>
      </c>
      <c r="F914" s="23" t="n">
        <v>0.015957</v>
      </c>
      <c r="G914" s="22" t="n">
        <v>30.3</v>
      </c>
      <c r="H914" s="22" t="n">
        <v>1</v>
      </c>
      <c r="I914" s="24" t="n">
        <v>0.08614301681518551</v>
      </c>
      <c r="J914" s="6" t="n">
        <v>71000</v>
      </c>
      <c r="K914" s="25">
        <f>23*10^-6</f>
        <v/>
      </c>
      <c r="L914" s="8">
        <f>H914</f>
        <v/>
      </c>
      <c r="M914" s="26">
        <f>H914^2/6</f>
        <v/>
      </c>
      <c r="N914" s="26">
        <f>H914^3/12</f>
        <v/>
      </c>
      <c r="O914" s="27">
        <f>-J914*L914*K914*C914</f>
        <v/>
      </c>
      <c r="P914" s="28">
        <f>-(12*F914*J914*L914*N914+12*O914*N914*G914*COS(RADIANS(E914)))/(12*N914*G914*COS(RADIANS(E914))^2+L914*G914^3*SIN(RADIANS(E914))^2)</f>
        <v/>
      </c>
      <c r="Q914" s="28">
        <f>-(6*F914*J914*L914*N914*SIN(RADIANS(E914))+6*O914*N914*G914*SIN(RADIANS(E914))*COS(RADIANS(E914)))/(12*N914*COS(RADIANS(E914))^2+L914*G914^2*SIN(RADIANS(E914))^2)</f>
        <v/>
      </c>
      <c r="R914" s="28">
        <f>-P914*SIN(RADIANS(E914))</f>
        <v/>
      </c>
      <c r="S914" s="8">
        <f>(O914+P914*COS(RADIANS(E914)))/L914</f>
        <v/>
      </c>
      <c r="T914" s="8">
        <f>R914/L914</f>
        <v/>
      </c>
      <c r="U914" s="8">
        <f>(Q914-P914*G914*SIN(RADIANS(E914)))/M914</f>
        <v/>
      </c>
      <c r="V914" s="8">
        <f>SQRT((S914+U914)^2+3*T914^2)</f>
        <v/>
      </c>
      <c r="W914" s="8">
        <f>V914/AA914</f>
        <v/>
      </c>
      <c r="X914" s="27">
        <f>((3*10+H914/COS(RADIANS(E914)))*(3+3)+3*G914*H914)*2</f>
        <v/>
      </c>
      <c r="Y914" s="28">
        <f>Z914/X914</f>
        <v/>
      </c>
      <c r="Z914" s="29" t="n">
        <v>560.227998525723</v>
      </c>
      <c r="AA914" s="20" t="n">
        <v>56.5744528843941</v>
      </c>
      <c r="AB914" t="n">
        <v>0.112299601176745</v>
      </c>
      <c r="AC914" t="n">
        <v>60.40532821206247</v>
      </c>
      <c r="AD914" t="n">
        <v>30.36413783566097</v>
      </c>
    </row>
    <row r="915">
      <c r="A915" t="n">
        <v>914</v>
      </c>
      <c r="B915" t="n">
        <v>86.2</v>
      </c>
      <c r="C915" s="21">
        <f>B915-20</f>
        <v/>
      </c>
      <c r="D915" t="n">
        <v>127.3</v>
      </c>
      <c r="E915" s="22">
        <f>D915-90</f>
        <v/>
      </c>
      <c r="F915" s="23" t="n">
        <v>0.019536</v>
      </c>
      <c r="G915" s="22" t="n">
        <v>25</v>
      </c>
      <c r="H915" s="22" t="n">
        <v>1.4</v>
      </c>
      <c r="I915" s="24" t="n">
        <v>0.08713725954294201</v>
      </c>
      <c r="J915" s="6" t="n">
        <v>71000</v>
      </c>
      <c r="K915" s="25">
        <f>23*10^-6</f>
        <v/>
      </c>
      <c r="L915" s="8">
        <f>H915</f>
        <v/>
      </c>
      <c r="M915" s="26">
        <f>H915^2/6</f>
        <v/>
      </c>
      <c r="N915" s="26">
        <f>H915^3/12</f>
        <v/>
      </c>
      <c r="O915" s="27">
        <f>-J915*L915*K915*C915</f>
        <v/>
      </c>
      <c r="P915" s="28">
        <f>-(12*F915*J915*L915*N915+12*O915*N915*G915*COS(RADIANS(E915)))/(12*N915*G915*COS(RADIANS(E915))^2+L915*G915^3*SIN(RADIANS(E915))^2)</f>
        <v/>
      </c>
      <c r="Q915" s="28">
        <f>-(6*F915*J915*L915*N915*SIN(RADIANS(E915))+6*O915*N915*G915*SIN(RADIANS(E915))*COS(RADIANS(E915)))/(12*N915*COS(RADIANS(E915))^2+L915*G915^2*SIN(RADIANS(E915))^2)</f>
        <v/>
      </c>
      <c r="R915" s="28">
        <f>-P915*SIN(RADIANS(E915))</f>
        <v/>
      </c>
      <c r="S915" s="8">
        <f>(O915+P915*COS(RADIANS(E915)))/L915</f>
        <v/>
      </c>
      <c r="T915" s="8">
        <f>R915/L915</f>
        <v/>
      </c>
      <c r="U915" s="8">
        <f>(Q915-P915*G915*SIN(RADIANS(E915)))/M915</f>
        <v/>
      </c>
      <c r="V915" s="8">
        <f>SQRT((S915+U915)^2+3*T915^2)</f>
        <v/>
      </c>
      <c r="W915" s="8">
        <f>V915/AA915</f>
        <v/>
      </c>
      <c r="X915" s="27">
        <f>((3*10+H915/COS(RADIANS(E915)))*(3+3)+3*G915*H915)*2</f>
        <v/>
      </c>
      <c r="Y915" s="28">
        <f>Z915/X915</f>
        <v/>
      </c>
      <c r="Z915" s="29" t="n">
        <v>600.723837019152</v>
      </c>
      <c r="AA915" s="20" t="n">
        <v>96.32256463171289</v>
      </c>
      <c r="AB915" t="n">
        <v>0.08790432478290797</v>
      </c>
      <c r="AC915" t="n">
        <v>95.66510575477068</v>
      </c>
      <c r="AD915" t="n">
        <v>0.8802953455151348</v>
      </c>
    </row>
    <row r="916">
      <c r="A916" t="n">
        <v>915</v>
      </c>
      <c r="B916" t="n">
        <v>77.40000000000001</v>
      </c>
      <c r="C916" s="21">
        <f>B916-20</f>
        <v/>
      </c>
      <c r="D916" t="n">
        <v>116.9</v>
      </c>
      <c r="E916" s="22">
        <f>D916-90</f>
        <v/>
      </c>
      <c r="F916" s="23" t="n">
        <v>0.019799</v>
      </c>
      <c r="G916" s="22" t="n">
        <v>27.2</v>
      </c>
      <c r="H916" s="22" t="n">
        <v>1.1</v>
      </c>
      <c r="I916" s="24" t="n">
        <v>0.09841529279947279</v>
      </c>
      <c r="J916" s="6" t="n">
        <v>71000</v>
      </c>
      <c r="K916" s="25">
        <f>23*10^-6</f>
        <v/>
      </c>
      <c r="L916" s="8">
        <f>H916</f>
        <v/>
      </c>
      <c r="M916" s="26">
        <f>H916^2/6</f>
        <v/>
      </c>
      <c r="N916" s="26">
        <f>H916^3/12</f>
        <v/>
      </c>
      <c r="O916" s="27">
        <f>-J916*L916*K916*C916</f>
        <v/>
      </c>
      <c r="P916" s="28">
        <f>-(12*F916*J916*L916*N916+12*O916*N916*G916*COS(RADIANS(E916)))/(12*N916*G916*COS(RADIANS(E916))^2+L916*G916^3*SIN(RADIANS(E916))^2)</f>
        <v/>
      </c>
      <c r="Q916" s="28">
        <f>-(6*F916*J916*L916*N916*SIN(RADIANS(E916))+6*O916*N916*G916*SIN(RADIANS(E916))*COS(RADIANS(E916)))/(12*N916*COS(RADIANS(E916))^2+L916*G916^2*SIN(RADIANS(E916))^2)</f>
        <v/>
      </c>
      <c r="R916" s="28">
        <f>-P916*SIN(RADIANS(E916))</f>
        <v/>
      </c>
      <c r="S916" s="8">
        <f>(O916+P916*COS(RADIANS(E916)))/L916</f>
        <v/>
      </c>
      <c r="T916" s="8">
        <f>R916/L916</f>
        <v/>
      </c>
      <c r="U916" s="8">
        <f>(Q916-P916*G916*SIN(RADIANS(E916)))/M916</f>
        <v/>
      </c>
      <c r="V916" s="8">
        <f>SQRT((S916+U916)^2+3*T916^2)</f>
        <v/>
      </c>
      <c r="W916" s="8">
        <f>V916/AA916</f>
        <v/>
      </c>
      <c r="X916" s="27">
        <f>((3*10+H916/COS(RADIANS(E916)))*(3+3)+3*G916*H916)*2</f>
        <v/>
      </c>
      <c r="Y916" s="28">
        <f>Z916/X916</f>
        <v/>
      </c>
      <c r="Z916" s="29" t="n">
        <v>560.6671335893</v>
      </c>
      <c r="AA916" s="20" t="n">
        <v>80.13985700259531</v>
      </c>
      <c r="AB916" t="n">
        <v>0.1175841033117715</v>
      </c>
      <c r="AC916" t="n">
        <v>83.90316013936118</v>
      </c>
      <c r="AD916" t="n">
        <v>19.47747140412048</v>
      </c>
    </row>
    <row r="917">
      <c r="A917" t="n">
        <v>916</v>
      </c>
      <c r="B917" t="n">
        <v>40.8</v>
      </c>
      <c r="C917" s="21">
        <f>B917-20</f>
        <v/>
      </c>
      <c r="D917" t="n">
        <v>102.9</v>
      </c>
      <c r="E917" s="22">
        <f>D917-90</f>
        <v/>
      </c>
      <c r="F917" s="23" t="n">
        <v>0.008194999999999999</v>
      </c>
      <c r="G917" s="22" t="n">
        <v>29.3</v>
      </c>
      <c r="H917" s="22" t="n">
        <v>1</v>
      </c>
      <c r="I917" s="24" t="n">
        <v>0.0661689937114715</v>
      </c>
      <c r="J917" s="6" t="n">
        <v>71000</v>
      </c>
      <c r="K917" s="25">
        <f>23*10^-6</f>
        <v/>
      </c>
      <c r="L917" s="8">
        <f>H917</f>
        <v/>
      </c>
      <c r="M917" s="26">
        <f>H917^2/6</f>
        <v/>
      </c>
      <c r="N917" s="26">
        <f>H917^3/12</f>
        <v/>
      </c>
      <c r="O917" s="27">
        <f>-J917*L917*K917*C917</f>
        <v/>
      </c>
      <c r="P917" s="28">
        <f>-(12*F917*J917*L917*N917+12*O917*N917*G917*COS(RADIANS(E917)))/(12*N917*G917*COS(RADIANS(E917))^2+L917*G917^3*SIN(RADIANS(E917))^2)</f>
        <v/>
      </c>
      <c r="Q917" s="28">
        <f>-(6*F917*J917*L917*N917*SIN(RADIANS(E917))+6*O917*N917*G917*SIN(RADIANS(E917))*COS(RADIANS(E917)))/(12*N917*COS(RADIANS(E917))^2+L917*G917^2*SIN(RADIANS(E917))^2)</f>
        <v/>
      </c>
      <c r="R917" s="28">
        <f>-P917*SIN(RADIANS(E917))</f>
        <v/>
      </c>
      <c r="S917" s="8">
        <f>(O917+P917*COS(RADIANS(E917)))/L917</f>
        <v/>
      </c>
      <c r="T917" s="8">
        <f>R917/L917</f>
        <v/>
      </c>
      <c r="U917" s="8">
        <f>(Q917-P917*G917*SIN(RADIANS(E917)))/M917</f>
        <v/>
      </c>
      <c r="V917" s="8">
        <f>SQRT((S917+U917)^2+3*T917^2)</f>
        <v/>
      </c>
      <c r="W917" s="8">
        <f>V917/AA917</f>
        <v/>
      </c>
      <c r="X917" s="27">
        <f>((3*10+H917/COS(RADIANS(E917)))*(3+3)+3*G917*H917)*2</f>
        <v/>
      </c>
      <c r="Y917" s="28">
        <f>Z917/X917</f>
        <v/>
      </c>
      <c r="Z917" s="29" t="n">
        <v>552.165752057871</v>
      </c>
      <c r="AA917" s="20" t="n">
        <v>30.0181018744122</v>
      </c>
      <c r="AB917" t="n">
        <v>0.09638575084998692</v>
      </c>
      <c r="AC917" t="n">
        <v>32.58405861656259</v>
      </c>
      <c r="AD917" t="n">
        <v>45.66603698142207</v>
      </c>
    </row>
    <row r="918">
      <c r="A918" t="n">
        <v>917</v>
      </c>
      <c r="B918" t="n">
        <v>40.7</v>
      </c>
      <c r="C918" s="21">
        <f>B918-20</f>
        <v/>
      </c>
      <c r="D918" t="n">
        <v>126.6</v>
      </c>
      <c r="E918" s="22">
        <f>D918-90</f>
        <v/>
      </c>
      <c r="F918" s="23" t="n">
        <v>0.007913999999999999</v>
      </c>
      <c r="G918" s="22" t="n">
        <v>34.3</v>
      </c>
      <c r="H918" s="22" t="n">
        <v>1.9</v>
      </c>
      <c r="I918" s="24" t="n">
        <v>0.0339372903108596</v>
      </c>
      <c r="J918" s="6" t="n">
        <v>71000</v>
      </c>
      <c r="K918" s="25">
        <f>23*10^-6</f>
        <v/>
      </c>
      <c r="L918" s="8">
        <f>H918</f>
        <v/>
      </c>
      <c r="M918" s="26">
        <f>H918^2/6</f>
        <v/>
      </c>
      <c r="N918" s="26">
        <f>H918^3/12</f>
        <v/>
      </c>
      <c r="O918" s="27">
        <f>-J918*L918*K918*C918</f>
        <v/>
      </c>
      <c r="P918" s="28">
        <f>-(12*F918*J918*L918*N918+12*O918*N918*G918*COS(RADIANS(E918)))/(12*N918*G918*COS(RADIANS(E918))^2+L918*G918^3*SIN(RADIANS(E918))^2)</f>
        <v/>
      </c>
      <c r="Q918" s="28">
        <f>-(6*F918*J918*L918*N918*SIN(RADIANS(E918))+6*O918*N918*G918*SIN(RADIANS(E918))*COS(RADIANS(E918)))/(12*N918*COS(RADIANS(E918))^2+L918*G918^2*SIN(RADIANS(E918))^2)</f>
        <v/>
      </c>
      <c r="R918" s="28">
        <f>-P918*SIN(RADIANS(E918))</f>
        <v/>
      </c>
      <c r="S918" s="8">
        <f>(O918+P918*COS(RADIANS(E918)))/L918</f>
        <v/>
      </c>
      <c r="T918" s="8">
        <f>R918/L918</f>
        <v/>
      </c>
      <c r="U918" s="8">
        <f>(Q918-P918*G918*SIN(RADIANS(E918)))/M918</f>
        <v/>
      </c>
      <c r="V918" s="8">
        <f>SQRT((S918+U918)^2+3*T918^2)</f>
        <v/>
      </c>
      <c r="W918" s="8">
        <f>V918/AA918</f>
        <v/>
      </c>
      <c r="X918" s="27">
        <f>((3*10+H918/COS(RADIANS(E918)))*(3+3)+3*G918*H918)*2</f>
        <v/>
      </c>
      <c r="Y918" s="28">
        <f>Z918/X918</f>
        <v/>
      </c>
      <c r="Z918" s="29" t="n">
        <v>788.748324563843</v>
      </c>
      <c r="AA918" s="20" t="n">
        <v>31.6808766540923</v>
      </c>
      <c r="AB918" t="n">
        <v>0.03780255364954611</v>
      </c>
      <c r="AC918" t="n">
        <v>30.19385512124393</v>
      </c>
      <c r="AD918" t="n">
        <v>11.38942827574443</v>
      </c>
    </row>
    <row r="919">
      <c r="A919" t="n">
        <v>918</v>
      </c>
      <c r="B919" t="n">
        <v>61.3</v>
      </c>
      <c r="C919" s="21">
        <f>B919-20</f>
        <v/>
      </c>
      <c r="D919" t="n">
        <v>114.2</v>
      </c>
      <c r="E919" s="22">
        <f>D919-90</f>
        <v/>
      </c>
      <c r="F919" s="23" t="n">
        <v>0.014592</v>
      </c>
      <c r="G919" s="22" t="n">
        <v>27.4</v>
      </c>
      <c r="H919" s="22" t="n">
        <v>1.9</v>
      </c>
      <c r="I919" s="24" t="n">
        <v>0.0763701424002647</v>
      </c>
      <c r="J919" s="6" t="n">
        <v>71000</v>
      </c>
      <c r="K919" s="25">
        <f>23*10^-6</f>
        <v/>
      </c>
      <c r="L919" s="8">
        <f>H919</f>
        <v/>
      </c>
      <c r="M919" s="26">
        <f>H919^2/6</f>
        <v/>
      </c>
      <c r="N919" s="26">
        <f>H919^3/12</f>
        <v/>
      </c>
      <c r="O919" s="27">
        <f>-J919*L919*K919*C919</f>
        <v/>
      </c>
      <c r="P919" s="28">
        <f>-(12*F919*J919*L919*N919+12*O919*N919*G919*COS(RADIANS(E919)))/(12*N919*G919*COS(RADIANS(E919))^2+L919*G919^3*SIN(RADIANS(E919))^2)</f>
        <v/>
      </c>
      <c r="Q919" s="28">
        <f>-(6*F919*J919*L919*N919*SIN(RADIANS(E919))+6*O919*N919*G919*SIN(RADIANS(E919))*COS(RADIANS(E919)))/(12*N919*COS(RADIANS(E919))^2+L919*G919^2*SIN(RADIANS(E919))^2)</f>
        <v/>
      </c>
      <c r="R919" s="28">
        <f>-P919*SIN(RADIANS(E919))</f>
        <v/>
      </c>
      <c r="S919" s="8">
        <f>(O919+P919*COS(RADIANS(E919)))/L919</f>
        <v/>
      </c>
      <c r="T919" s="8">
        <f>R919/L919</f>
        <v/>
      </c>
      <c r="U919" s="8">
        <f>(Q919-P919*G919*SIN(RADIANS(E919)))/M919</f>
        <v/>
      </c>
      <c r="V919" s="8">
        <f>SQRT((S919+U919)^2+3*T919^2)</f>
        <v/>
      </c>
      <c r="W919" s="8">
        <f>V919/AA919</f>
        <v/>
      </c>
      <c r="X919" s="27">
        <f>((3*10+H919/COS(RADIANS(E919)))*(3+3)+3*G919*H919)*2</f>
        <v/>
      </c>
      <c r="Y919" s="28">
        <f>Z919/X919</f>
        <v/>
      </c>
      <c r="Z919" s="29" t="n">
        <v>703.102661135096</v>
      </c>
      <c r="AA919" s="20" t="n">
        <v>67.939507449263</v>
      </c>
      <c r="AB919" t="n">
        <v>0.0935771220277149</v>
      </c>
      <c r="AC919" t="n">
        <v>64.63950542364455</v>
      </c>
      <c r="AD919" t="n">
        <v>22.53102991122688</v>
      </c>
    </row>
    <row r="920">
      <c r="A920" t="n">
        <v>919</v>
      </c>
      <c r="B920" t="n">
        <v>72.40000000000001</v>
      </c>
      <c r="C920" s="21">
        <f>B920-20</f>
        <v/>
      </c>
      <c r="D920" t="n">
        <v>127.7</v>
      </c>
      <c r="E920" s="22">
        <f>D920-90</f>
        <v/>
      </c>
      <c r="F920" s="23" t="n">
        <v>0.01956</v>
      </c>
      <c r="G920" s="22" t="n">
        <v>33.8</v>
      </c>
      <c r="H920" s="22" t="n">
        <v>1.7</v>
      </c>
      <c r="I920" s="24" t="n">
        <v>0.08345947414636611</v>
      </c>
      <c r="J920" s="6" t="n">
        <v>71000</v>
      </c>
      <c r="K920" s="25">
        <f>23*10^-6</f>
        <v/>
      </c>
      <c r="L920" s="8">
        <f>H920</f>
        <v/>
      </c>
      <c r="M920" s="26">
        <f>H920^2/6</f>
        <v/>
      </c>
      <c r="N920" s="26">
        <f>H920^3/12</f>
        <v/>
      </c>
      <c r="O920" s="27">
        <f>-J920*L920*K920*C920</f>
        <v/>
      </c>
      <c r="P920" s="28">
        <f>-(12*F920*J920*L920*N920+12*O920*N920*G920*COS(RADIANS(E920)))/(12*N920*G920*COS(RADIANS(E920))^2+L920*G920^3*SIN(RADIANS(E920))^2)</f>
        <v/>
      </c>
      <c r="Q920" s="28">
        <f>-(6*F920*J920*L920*N920*SIN(RADIANS(E920))+6*O920*N920*G920*SIN(RADIANS(E920))*COS(RADIANS(E920)))/(12*N920*COS(RADIANS(E920))^2+L920*G920^2*SIN(RADIANS(E920))^2)</f>
        <v/>
      </c>
      <c r="R920" s="28">
        <f>-P920*SIN(RADIANS(E920))</f>
        <v/>
      </c>
      <c r="S920" s="8">
        <f>(O920+P920*COS(RADIANS(E920)))/L920</f>
        <v/>
      </c>
      <c r="T920" s="8">
        <f>R920/L920</f>
        <v/>
      </c>
      <c r="U920" s="8">
        <f>(Q920-P920*G920*SIN(RADIANS(E920)))/M920</f>
        <v/>
      </c>
      <c r="V920" s="8">
        <f>SQRT((S920+U920)^2+3*T920^2)</f>
        <v/>
      </c>
      <c r="W920" s="8">
        <f>V920/AA920</f>
        <v/>
      </c>
      <c r="X920" s="27">
        <f>((3*10+H920/COS(RADIANS(E920)))*(3+3)+3*G920*H920)*2</f>
        <v/>
      </c>
      <c r="Y920" s="28">
        <f>Z920/X920</f>
        <v/>
      </c>
      <c r="Z920" s="29" t="n">
        <v>740.30925050914</v>
      </c>
      <c r="AA920" s="20" t="n">
        <v>76.96321930056629</v>
      </c>
      <c r="AB920" t="n">
        <v>0.09146893590471122</v>
      </c>
      <c r="AC920" t="n">
        <v>75.64201158677263</v>
      </c>
      <c r="AD920" t="n">
        <v>9.596827490547827</v>
      </c>
    </row>
    <row r="921">
      <c r="A921" t="n">
        <v>920</v>
      </c>
      <c r="B921" t="n">
        <v>68.2</v>
      </c>
      <c r="C921" s="21">
        <f>B921-20</f>
        <v/>
      </c>
      <c r="D921" t="n">
        <v>102.6</v>
      </c>
      <c r="E921" s="22">
        <f>D921-90</f>
        <v/>
      </c>
      <c r="F921" s="23" t="n">
        <v>0.021851</v>
      </c>
      <c r="G921" s="22" t="n">
        <v>34.6</v>
      </c>
      <c r="H921" s="22" t="n">
        <v>1.6</v>
      </c>
      <c r="I921" s="24" t="n">
        <v>0.174147754907608</v>
      </c>
      <c r="J921" s="6" t="n">
        <v>71000</v>
      </c>
      <c r="K921" s="25">
        <f>23*10^-6</f>
        <v/>
      </c>
      <c r="L921" s="8">
        <f>H921</f>
        <v/>
      </c>
      <c r="M921" s="26">
        <f>H921^2/6</f>
        <v/>
      </c>
      <c r="N921" s="26">
        <f>H921^3/12</f>
        <v/>
      </c>
      <c r="O921" s="27">
        <f>-J921*L921*K921*C921</f>
        <v/>
      </c>
      <c r="P921" s="28">
        <f>-(12*F921*J921*L921*N921+12*O921*N921*G921*COS(RADIANS(E921)))/(12*N921*G921*COS(RADIANS(E921))^2+L921*G921^3*SIN(RADIANS(E921))^2)</f>
        <v/>
      </c>
      <c r="Q921" s="28">
        <f>-(6*F921*J921*L921*N921*SIN(RADIANS(E921))+6*O921*N921*G921*SIN(RADIANS(E921))*COS(RADIANS(E921)))/(12*N921*COS(RADIANS(E921))^2+L921*G921^2*SIN(RADIANS(E921))^2)</f>
        <v/>
      </c>
      <c r="R921" s="28">
        <f>-P921*SIN(RADIANS(E921))</f>
        <v/>
      </c>
      <c r="S921" s="8">
        <f>(O921+P921*COS(RADIANS(E921)))/L921</f>
        <v/>
      </c>
      <c r="T921" s="8">
        <f>R921/L921</f>
        <v/>
      </c>
      <c r="U921" s="8">
        <f>(Q921-P921*G921*SIN(RADIANS(E921)))/M921</f>
        <v/>
      </c>
      <c r="V921" s="8">
        <f>SQRT((S921+U921)^2+3*T921^2)</f>
        <v/>
      </c>
      <c r="W921" s="8">
        <f>V921/AA921</f>
        <v/>
      </c>
      <c r="X921" s="27">
        <f>((3*10+H921/COS(RADIANS(E921)))*(3+3)+3*G921*H921)*2</f>
        <v/>
      </c>
      <c r="Y921" s="28">
        <f>Z921/X921</f>
        <v/>
      </c>
      <c r="Z921" s="29" t="n">
        <v>715.859699694937</v>
      </c>
      <c r="AA921" s="20" t="n">
        <v>77.5408897388742</v>
      </c>
      <c r="AB921" t="n">
        <v>0.2621631428637234</v>
      </c>
      <c r="AC921" t="n">
        <v>79.67257766647663</v>
      </c>
      <c r="AD921" t="n">
        <v>50.5406388975907</v>
      </c>
    </row>
    <row r="922">
      <c r="A922" t="n">
        <v>921</v>
      </c>
      <c r="B922" t="n">
        <v>88.90000000000001</v>
      </c>
      <c r="C922" s="21">
        <f>B922-20</f>
        <v/>
      </c>
      <c r="D922" t="n">
        <v>125.1</v>
      </c>
      <c r="E922" s="22">
        <f>D922-90</f>
        <v/>
      </c>
      <c r="F922" s="23" t="n">
        <v>0.021164</v>
      </c>
      <c r="G922" s="22" t="n">
        <v>25.6</v>
      </c>
      <c r="H922" s="22" t="n">
        <v>1.2</v>
      </c>
      <c r="I922" s="24" t="n">
        <v>0.09541035443544379</v>
      </c>
      <c r="J922" s="6" t="n">
        <v>71000</v>
      </c>
      <c r="K922" s="25">
        <f>23*10^-6</f>
        <v/>
      </c>
      <c r="L922" s="8">
        <f>H922</f>
        <v/>
      </c>
      <c r="M922" s="26">
        <f>H922^2/6</f>
        <v/>
      </c>
      <c r="N922" s="26">
        <f>H922^3/12</f>
        <v/>
      </c>
      <c r="O922" s="27">
        <f>-J922*L922*K922*C922</f>
        <v/>
      </c>
      <c r="P922" s="28">
        <f>-(12*F922*J922*L922*N922+12*O922*N922*G922*COS(RADIANS(E922)))/(12*N922*G922*COS(RADIANS(E922))^2+L922*G922^3*SIN(RADIANS(E922))^2)</f>
        <v/>
      </c>
      <c r="Q922" s="28">
        <f>-(6*F922*J922*L922*N922*SIN(RADIANS(E922))+6*O922*N922*G922*SIN(RADIANS(E922))*COS(RADIANS(E922)))/(12*N922*COS(RADIANS(E922))^2+L922*G922^2*SIN(RADIANS(E922))^2)</f>
        <v/>
      </c>
      <c r="R922" s="28">
        <f>-P922*SIN(RADIANS(E922))</f>
        <v/>
      </c>
      <c r="S922" s="8">
        <f>(O922+P922*COS(RADIANS(E922)))/L922</f>
        <v/>
      </c>
      <c r="T922" s="8">
        <f>R922/L922</f>
        <v/>
      </c>
      <c r="U922" s="8">
        <f>(Q922-P922*G922*SIN(RADIANS(E922)))/M922</f>
        <v/>
      </c>
      <c r="V922" s="8">
        <f>SQRT((S922+U922)^2+3*T922^2)</f>
        <v/>
      </c>
      <c r="W922" s="8">
        <f>V922/AA922</f>
        <v/>
      </c>
      <c r="X922" s="27">
        <f>((3*10+H922/COS(RADIANS(E922)))*(3+3)+3*G922*H922)*2</f>
        <v/>
      </c>
      <c r="Y922" s="28">
        <f>Z922/X922</f>
        <v/>
      </c>
      <c r="Z922" s="29" t="n">
        <v>570.688804185745</v>
      </c>
      <c r="AA922" s="20" t="n">
        <v>96.455071312295</v>
      </c>
      <c r="AB922" t="n">
        <v>0.1001544890912553</v>
      </c>
      <c r="AC922" t="n">
        <v>99.07255632433844</v>
      </c>
      <c r="AD922" t="n">
        <v>4.972347795879401</v>
      </c>
    </row>
    <row r="923">
      <c r="A923" t="n">
        <v>922</v>
      </c>
      <c r="B923" t="n">
        <v>71.40000000000001</v>
      </c>
      <c r="C923" s="21">
        <f>B923-20</f>
        <v/>
      </c>
      <c r="D923" t="n">
        <v>115.9</v>
      </c>
      <c r="E923" s="22">
        <f>D923-90</f>
        <v/>
      </c>
      <c r="F923" s="23" t="n">
        <v>0.021437</v>
      </c>
      <c r="G923" s="22" t="n">
        <v>34</v>
      </c>
      <c r="H923" s="22" t="n">
        <v>1.9</v>
      </c>
      <c r="I923" s="24" t="n">
        <v>0.105315797030925</v>
      </c>
      <c r="J923" s="6" t="n">
        <v>71000</v>
      </c>
      <c r="K923" s="25">
        <f>23*10^-6</f>
        <v/>
      </c>
      <c r="L923" s="8">
        <f>H923</f>
        <v/>
      </c>
      <c r="M923" s="26">
        <f>H923^2/6</f>
        <v/>
      </c>
      <c r="N923" s="26">
        <f>H923^3/12</f>
        <v/>
      </c>
      <c r="O923" s="27">
        <f>-J923*L923*K923*C923</f>
        <v/>
      </c>
      <c r="P923" s="28">
        <f>-(12*F923*J923*L923*N923+12*O923*N923*G923*COS(RADIANS(E923)))/(12*N923*G923*COS(RADIANS(E923))^2+L923*G923^3*SIN(RADIANS(E923))^2)</f>
        <v/>
      </c>
      <c r="Q923" s="28">
        <f>-(6*F923*J923*L923*N923*SIN(RADIANS(E923))+6*O923*N923*G923*SIN(RADIANS(E923))*COS(RADIANS(E923)))/(12*N923*COS(RADIANS(E923))^2+L923*G923^2*SIN(RADIANS(E923))^2)</f>
        <v/>
      </c>
      <c r="R923" s="28">
        <f>-P923*SIN(RADIANS(E923))</f>
        <v/>
      </c>
      <c r="S923" s="8">
        <f>(O923+P923*COS(RADIANS(E923)))/L923</f>
        <v/>
      </c>
      <c r="T923" s="8">
        <f>R923/L923</f>
        <v/>
      </c>
      <c r="U923" s="8">
        <f>(Q923-P923*G923*SIN(RADIANS(E923)))/M923</f>
        <v/>
      </c>
      <c r="V923" s="8">
        <f>SQRT((S923+U923)^2+3*T923^2)</f>
        <v/>
      </c>
      <c r="W923" s="8">
        <f>V923/AA923</f>
        <v/>
      </c>
      <c r="X923" s="27">
        <f>((3*10+H923/COS(RADIANS(E923)))*(3+3)+3*G923*H923)*2</f>
        <v/>
      </c>
      <c r="Y923" s="28">
        <f>Z923/X923</f>
        <v/>
      </c>
      <c r="Z923" s="29" t="n">
        <v>779.059192495503</v>
      </c>
      <c r="AA923" s="20" t="n">
        <v>81.614447535043</v>
      </c>
      <c r="AB923" t="n">
        <v>0.13425311896613</v>
      </c>
      <c r="AC923" t="n">
        <v>78.24642087369259</v>
      </c>
      <c r="AD923" t="n">
        <v>27.47671550803322</v>
      </c>
    </row>
    <row r="924">
      <c r="A924" t="n">
        <v>923</v>
      </c>
      <c r="B924" t="n">
        <v>79</v>
      </c>
      <c r="C924" s="21">
        <f>B924-20</f>
        <v/>
      </c>
      <c r="D924" t="n">
        <v>105</v>
      </c>
      <c r="E924" s="22">
        <f>D924-90</f>
        <v/>
      </c>
      <c r="F924" s="23" t="n">
        <v>0.02554</v>
      </c>
      <c r="G924" s="22" t="n">
        <v>33.1</v>
      </c>
      <c r="H924" s="22" t="n">
        <v>1.5</v>
      </c>
      <c r="I924" s="24" t="n">
        <v>0.179831266403198</v>
      </c>
      <c r="J924" s="6" t="n">
        <v>71000</v>
      </c>
      <c r="K924" s="25">
        <f>23*10^-6</f>
        <v/>
      </c>
      <c r="L924" s="8">
        <f>H924</f>
        <v/>
      </c>
      <c r="M924" s="26">
        <f>H924^2/6</f>
        <v/>
      </c>
      <c r="N924" s="26">
        <f>H924^3/12</f>
        <v/>
      </c>
      <c r="O924" s="27">
        <f>-J924*L924*K924*C924</f>
        <v/>
      </c>
      <c r="P924" s="28">
        <f>-(12*F924*J924*L924*N924+12*O924*N924*G924*COS(RADIANS(E924)))/(12*N924*G924*COS(RADIANS(E924))^2+L924*G924^3*SIN(RADIANS(E924))^2)</f>
        <v/>
      </c>
      <c r="Q924" s="28">
        <f>-(6*F924*J924*L924*N924*SIN(RADIANS(E924))+6*O924*N924*G924*SIN(RADIANS(E924))*COS(RADIANS(E924)))/(12*N924*COS(RADIANS(E924))^2+L924*G924^2*SIN(RADIANS(E924))^2)</f>
        <v/>
      </c>
      <c r="R924" s="28">
        <f>-P924*SIN(RADIANS(E924))</f>
        <v/>
      </c>
      <c r="S924" s="8">
        <f>(O924+P924*COS(RADIANS(E924)))/L924</f>
        <v/>
      </c>
      <c r="T924" s="8">
        <f>R924/L924</f>
        <v/>
      </c>
      <c r="U924" s="8">
        <f>(Q924-P924*G924*SIN(RADIANS(E924)))/M924</f>
        <v/>
      </c>
      <c r="V924" s="8">
        <f>SQRT((S924+U924)^2+3*T924^2)</f>
        <v/>
      </c>
      <c r="W924" s="8">
        <f>V924/AA924</f>
        <v/>
      </c>
      <c r="X924" s="27">
        <f>((3*10+H924/COS(RADIANS(E924)))*(3+3)+3*G924*H924)*2</f>
        <v/>
      </c>
      <c r="Y924" s="28">
        <f>Z924/X924</f>
        <v/>
      </c>
      <c r="Z924" s="29" t="n">
        <v>680.815228962865</v>
      </c>
      <c r="AA924" s="20" t="n">
        <v>91.48296476876661</v>
      </c>
      <c r="AB924" t="n">
        <v>0.2611947475585299</v>
      </c>
      <c r="AC924" t="n">
        <v>94.41706339436369</v>
      </c>
      <c r="AD924" t="n">
        <v>45.24434642689309</v>
      </c>
    </row>
    <row r="925">
      <c r="A925" t="n">
        <v>924</v>
      </c>
      <c r="B925" t="n">
        <v>73.7</v>
      </c>
      <c r="C925" s="21">
        <f>B925-20</f>
        <v/>
      </c>
      <c r="D925" t="n">
        <v>101.8</v>
      </c>
      <c r="E925" s="22">
        <f>D925-90</f>
        <v/>
      </c>
      <c r="F925" s="23" t="n">
        <v>0.015898</v>
      </c>
      <c r="G925" s="22" t="n">
        <v>20.4</v>
      </c>
      <c r="H925" s="22" t="n">
        <v>1.9</v>
      </c>
      <c r="I925" s="24" t="n">
        <v>0.126380667090415</v>
      </c>
      <c r="J925" s="6" t="n">
        <v>71000</v>
      </c>
      <c r="K925" s="25">
        <f>23*10^-6</f>
        <v/>
      </c>
      <c r="L925" s="8">
        <f>H925</f>
        <v/>
      </c>
      <c r="M925" s="26">
        <f>H925^2/6</f>
        <v/>
      </c>
      <c r="N925" s="26">
        <f>H925^3/12</f>
        <v/>
      </c>
      <c r="O925" s="27">
        <f>-J925*L925*K925*C925</f>
        <v/>
      </c>
      <c r="P925" s="28">
        <f>-(12*F925*J925*L925*N925+12*O925*N925*G925*COS(RADIANS(E925)))/(12*N925*G925*COS(RADIANS(E925))^2+L925*G925^3*SIN(RADIANS(E925))^2)</f>
        <v/>
      </c>
      <c r="Q925" s="28">
        <f>-(6*F925*J925*L925*N925*SIN(RADIANS(E925))+6*O925*N925*G925*SIN(RADIANS(E925))*COS(RADIANS(E925)))/(12*N925*COS(RADIANS(E925))^2+L925*G925^2*SIN(RADIANS(E925))^2)</f>
        <v/>
      </c>
      <c r="R925" s="28">
        <f>-P925*SIN(RADIANS(E925))</f>
        <v/>
      </c>
      <c r="S925" s="8">
        <f>(O925+P925*COS(RADIANS(E925)))/L925</f>
        <v/>
      </c>
      <c r="T925" s="8">
        <f>R925/L925</f>
        <v/>
      </c>
      <c r="U925" s="8">
        <f>(Q925-P925*G925*SIN(RADIANS(E925)))/M925</f>
        <v/>
      </c>
      <c r="V925" s="8">
        <f>SQRT((S925+U925)^2+3*T925^2)</f>
        <v/>
      </c>
      <c r="W925" s="8">
        <f>V925/AA925</f>
        <v/>
      </c>
      <c r="X925" s="27">
        <f>((3*10+H925/COS(RADIANS(E925)))*(3+3)+3*G925*H925)*2</f>
        <v/>
      </c>
      <c r="Y925" s="28">
        <f>Z925/X925</f>
        <v/>
      </c>
      <c r="Z925" s="29" t="n">
        <v>619.803987088131</v>
      </c>
      <c r="AA925" s="20" t="n">
        <v>135.791653141194</v>
      </c>
      <c r="AB925" t="n">
        <v>0.165711492484796</v>
      </c>
      <c r="AC925" t="n">
        <v>96.48866872482598</v>
      </c>
      <c r="AD925" t="n">
        <v>31.12091928288602</v>
      </c>
    </row>
    <row r="926">
      <c r="A926" t="n">
        <v>925</v>
      </c>
      <c r="B926" t="n">
        <v>48.7</v>
      </c>
      <c r="C926" s="21">
        <f>B926-20</f>
        <v/>
      </c>
      <c r="D926" t="n">
        <v>115.5</v>
      </c>
      <c r="E926" s="22">
        <f>D926-90</f>
        <v/>
      </c>
      <c r="F926" s="23" t="n">
        <v>0.01032</v>
      </c>
      <c r="G926" s="22" t="n">
        <v>28.3</v>
      </c>
      <c r="H926" s="22" t="n">
        <v>1.7</v>
      </c>
      <c r="I926" s="24" t="n">
        <v>0.0523851886391639</v>
      </c>
      <c r="J926" s="6" t="n">
        <v>71000</v>
      </c>
      <c r="K926" s="25">
        <f>23*10^-6</f>
        <v/>
      </c>
      <c r="L926" s="8">
        <f>H926</f>
        <v/>
      </c>
      <c r="M926" s="26">
        <f>H926^2/6</f>
        <v/>
      </c>
      <c r="N926" s="26">
        <f>H926^3/12</f>
        <v/>
      </c>
      <c r="O926" s="27">
        <f>-J926*L926*K926*C926</f>
        <v/>
      </c>
      <c r="P926" s="28">
        <f>-(12*F926*J926*L926*N926+12*O926*N926*G926*COS(RADIANS(E926)))/(12*N926*G926*COS(RADIANS(E926))^2+L926*G926^3*SIN(RADIANS(E926))^2)</f>
        <v/>
      </c>
      <c r="Q926" s="28">
        <f>-(6*F926*J926*L926*N926*SIN(RADIANS(E926))+6*O926*N926*G926*SIN(RADIANS(E926))*COS(RADIANS(E926)))/(12*N926*COS(RADIANS(E926))^2+L926*G926^2*SIN(RADIANS(E926))^2)</f>
        <v/>
      </c>
      <c r="R926" s="28">
        <f>-P926*SIN(RADIANS(E926))</f>
        <v/>
      </c>
      <c r="S926" s="8">
        <f>(O926+P926*COS(RADIANS(E926)))/L926</f>
        <v/>
      </c>
      <c r="T926" s="8">
        <f>R926/L926</f>
        <v/>
      </c>
      <c r="U926" s="8">
        <f>(Q926-P926*G926*SIN(RADIANS(E926)))/M926</f>
        <v/>
      </c>
      <c r="V926" s="8">
        <f>SQRT((S926+U926)^2+3*T926^2)</f>
        <v/>
      </c>
      <c r="W926" s="8">
        <f>V926/AA926</f>
        <v/>
      </c>
      <c r="X926" s="27">
        <f>((3*10+H926/COS(RADIANS(E926)))*(3+3)+3*G926*H926)*2</f>
        <v/>
      </c>
      <c r="Y926" s="28">
        <f>Z926/X926</f>
        <v/>
      </c>
      <c r="Z926" s="29" t="n">
        <v>677.285656742902</v>
      </c>
      <c r="AA926" s="20" t="n">
        <v>44.7938477497891</v>
      </c>
      <c r="AB926" t="n">
        <v>0.06393697144371877</v>
      </c>
      <c r="AC926" t="n">
        <v>43.87603395888923</v>
      </c>
      <c r="AD926" t="n">
        <v>22.05162013279186</v>
      </c>
    </row>
    <row r="927">
      <c r="A927" t="n">
        <v>926</v>
      </c>
      <c r="B927" t="n">
        <v>47.3</v>
      </c>
      <c r="C927" s="21">
        <f>B927-20</f>
        <v/>
      </c>
      <c r="D927" t="n">
        <v>112.9</v>
      </c>
      <c r="E927" s="22">
        <f>D927-90</f>
        <v/>
      </c>
      <c r="F927" s="23" t="n">
        <v>0.008691000000000001</v>
      </c>
      <c r="G927" s="22" t="n">
        <v>23.8</v>
      </c>
      <c r="H927" s="22" t="n">
        <v>1.3</v>
      </c>
      <c r="I927" s="24" t="n">
        <v>0.0480450727045536</v>
      </c>
      <c r="J927" s="6" t="n">
        <v>71000</v>
      </c>
      <c r="K927" s="25">
        <f>23*10^-6</f>
        <v/>
      </c>
      <c r="L927" s="8">
        <f>H927</f>
        <v/>
      </c>
      <c r="M927" s="26">
        <f>H927^2/6</f>
        <v/>
      </c>
      <c r="N927" s="26">
        <f>H927^3/12</f>
        <v/>
      </c>
      <c r="O927" s="27">
        <f>-J927*L927*K927*C927</f>
        <v/>
      </c>
      <c r="P927" s="28">
        <f>-(12*F927*J927*L927*N927+12*O927*N927*G927*COS(RADIANS(E927)))/(12*N927*G927*COS(RADIANS(E927))^2+L927*G927^3*SIN(RADIANS(E927))^2)</f>
        <v/>
      </c>
      <c r="Q927" s="28">
        <f>-(6*F927*J927*L927*N927*SIN(RADIANS(E927))+6*O927*N927*G927*SIN(RADIANS(E927))*COS(RADIANS(E927)))/(12*N927*COS(RADIANS(E927))^2+L927*G927^2*SIN(RADIANS(E927))^2)</f>
        <v/>
      </c>
      <c r="R927" s="28">
        <f>-P927*SIN(RADIANS(E927))</f>
        <v/>
      </c>
      <c r="S927" s="8">
        <f>(O927+P927*COS(RADIANS(E927)))/L927</f>
        <v/>
      </c>
      <c r="T927" s="8">
        <f>R927/L927</f>
        <v/>
      </c>
      <c r="U927" s="8">
        <f>(Q927-P927*G927*SIN(RADIANS(E927)))/M927</f>
        <v/>
      </c>
      <c r="V927" s="8">
        <f>SQRT((S927+U927)^2+3*T927^2)</f>
        <v/>
      </c>
      <c r="W927" s="8">
        <f>V927/AA927</f>
        <v/>
      </c>
      <c r="X927" s="27">
        <f>((3*10+H927/COS(RADIANS(E927)))*(3+3)+3*G927*H927)*2</f>
        <v/>
      </c>
      <c r="Y927" s="28">
        <f>Z927/X927</f>
        <v/>
      </c>
      <c r="Z927" s="29" t="n">
        <v>568.061718168572</v>
      </c>
      <c r="AA927" s="20" t="n">
        <v>40.9840805310938</v>
      </c>
      <c r="AB927" t="n">
        <v>0.057947439714111</v>
      </c>
      <c r="AC927" t="n">
        <v>41.60339281098724</v>
      </c>
      <c r="AD927" t="n">
        <v>20.61057763498583</v>
      </c>
    </row>
    <row r="928">
      <c r="A928" t="n">
        <v>927</v>
      </c>
      <c r="B928" t="n">
        <v>66.90000000000001</v>
      </c>
      <c r="C928" s="21">
        <f>B928-20</f>
        <v/>
      </c>
      <c r="D928" t="n">
        <v>103.7</v>
      </c>
      <c r="E928" s="22">
        <f>D928-90</f>
        <v/>
      </c>
      <c r="F928" s="23" t="n">
        <v>0.016506</v>
      </c>
      <c r="G928" s="22" t="n">
        <v>25.6</v>
      </c>
      <c r="H928" s="22" t="n">
        <v>1.5</v>
      </c>
      <c r="I928" s="24" t="n">
        <v>0.125762566924095</v>
      </c>
      <c r="J928" s="6" t="n">
        <v>71000</v>
      </c>
      <c r="K928" s="25">
        <f>23*10^-6</f>
        <v/>
      </c>
      <c r="L928" s="8">
        <f>H928</f>
        <v/>
      </c>
      <c r="M928" s="26">
        <f>H928^2/6</f>
        <v/>
      </c>
      <c r="N928" s="26">
        <f>H928^3/12</f>
        <v/>
      </c>
      <c r="O928" s="27">
        <f>-J928*L928*K928*C928</f>
        <v/>
      </c>
      <c r="P928" s="28">
        <f>-(12*F928*J928*L928*N928+12*O928*N928*G928*COS(RADIANS(E928)))/(12*N928*G928*COS(RADIANS(E928))^2+L928*G928^3*SIN(RADIANS(E928))^2)</f>
        <v/>
      </c>
      <c r="Q928" s="28">
        <f>-(6*F928*J928*L928*N928*SIN(RADIANS(E928))+6*O928*N928*G928*SIN(RADIANS(E928))*COS(RADIANS(E928)))/(12*N928*COS(RADIANS(E928))^2+L928*G928^2*SIN(RADIANS(E928))^2)</f>
        <v/>
      </c>
      <c r="R928" s="28">
        <f>-P928*SIN(RADIANS(E928))</f>
        <v/>
      </c>
      <c r="S928" s="8">
        <f>(O928+P928*COS(RADIANS(E928)))/L928</f>
        <v/>
      </c>
      <c r="T928" s="8">
        <f>R928/L928</f>
        <v/>
      </c>
      <c r="U928" s="8">
        <f>(Q928-P928*G928*SIN(RADIANS(E928)))/M928</f>
        <v/>
      </c>
      <c r="V928" s="8">
        <f>SQRT((S928+U928)^2+3*T928^2)</f>
        <v/>
      </c>
      <c r="W928" s="8">
        <f>V928/AA928</f>
        <v/>
      </c>
      <c r="X928" s="27">
        <f>((3*10+H928/COS(RADIANS(E928)))*(3+3)+3*G928*H928)*2</f>
        <v/>
      </c>
      <c r="Y928" s="28">
        <f>Z928/X928</f>
        <v/>
      </c>
      <c r="Z928" s="29" t="n">
        <v>613.06355892343</v>
      </c>
      <c r="AA928" s="20" t="n">
        <v>76.08559609313831</v>
      </c>
      <c r="AB928" t="n">
        <v>0.1740208525088779</v>
      </c>
      <c r="AC928" t="n">
        <v>78.19358695023897</v>
      </c>
      <c r="AD928" t="n">
        <v>38.37253545715996</v>
      </c>
    </row>
    <row r="929">
      <c r="A929" t="n">
        <v>928</v>
      </c>
      <c r="B929" t="n">
        <v>81.90000000000001</v>
      </c>
      <c r="C929" s="21">
        <f>B929-20</f>
        <v/>
      </c>
      <c r="D929" t="n">
        <v>122.3</v>
      </c>
      <c r="E929" s="22">
        <f>D929-90</f>
        <v/>
      </c>
      <c r="F929" s="23" t="n">
        <v>0.019205</v>
      </c>
      <c r="G929" s="22" t="n">
        <v>25.1</v>
      </c>
      <c r="H929" s="22" t="n">
        <v>1.5</v>
      </c>
      <c r="I929" s="24" t="n">
        <v>0.08929514139890669</v>
      </c>
      <c r="J929" s="6" t="n">
        <v>71000</v>
      </c>
      <c r="K929" s="25">
        <f>23*10^-6</f>
        <v/>
      </c>
      <c r="L929" s="8">
        <f>H929</f>
        <v/>
      </c>
      <c r="M929" s="26">
        <f>H929^2/6</f>
        <v/>
      </c>
      <c r="N929" s="26">
        <f>H929^3/12</f>
        <v/>
      </c>
      <c r="O929" s="27">
        <f>-J929*L929*K929*C929</f>
        <v/>
      </c>
      <c r="P929" s="28">
        <f>-(12*F929*J929*L929*N929+12*O929*N929*G929*COS(RADIANS(E929)))/(12*N929*G929*COS(RADIANS(E929))^2+L929*G929^3*SIN(RADIANS(E929))^2)</f>
        <v/>
      </c>
      <c r="Q929" s="28">
        <f>-(6*F929*J929*L929*N929*SIN(RADIANS(E929))+6*O929*N929*G929*SIN(RADIANS(E929))*COS(RADIANS(E929)))/(12*N929*COS(RADIANS(E929))^2+L929*G929^2*SIN(RADIANS(E929))^2)</f>
        <v/>
      </c>
      <c r="R929" s="28">
        <f>-P929*SIN(RADIANS(E929))</f>
        <v/>
      </c>
      <c r="S929" s="8">
        <f>(O929+P929*COS(RADIANS(E929)))/L929</f>
        <v/>
      </c>
      <c r="T929" s="8">
        <f>R929/L929</f>
        <v/>
      </c>
      <c r="U929" s="8">
        <f>(Q929-P929*G929*SIN(RADIANS(E929)))/M929</f>
        <v/>
      </c>
      <c r="V929" s="8">
        <f>SQRT((S929+U929)^2+3*T929^2)</f>
        <v/>
      </c>
      <c r="W929" s="8">
        <f>V929/AA929</f>
        <v/>
      </c>
      <c r="X929" s="27">
        <f>((3*10+H929/COS(RADIANS(E929)))*(3+3)+3*G929*H929)*2</f>
        <v/>
      </c>
      <c r="Y929" s="28">
        <f>Z929/X929</f>
        <v/>
      </c>
      <c r="Z929" s="29" t="n">
        <v>615.022374753345</v>
      </c>
      <c r="AA929" s="20" t="n">
        <v>92.8948357529551</v>
      </c>
      <c r="AB929" t="n">
        <v>0.09628592987005194</v>
      </c>
      <c r="AC929" t="n">
        <v>91.38196344699895</v>
      </c>
      <c r="AD929" t="n">
        <v>7.828856488300313</v>
      </c>
    </row>
    <row r="930">
      <c r="A930" t="n">
        <v>929</v>
      </c>
      <c r="B930" t="n">
        <v>73.90000000000001</v>
      </c>
      <c r="C930" s="21">
        <f>B930-20</f>
        <v/>
      </c>
      <c r="D930" t="n">
        <v>107.7</v>
      </c>
      <c r="E930" s="22">
        <f>D930-90</f>
        <v/>
      </c>
      <c r="F930" s="23" t="n">
        <v>0.019492</v>
      </c>
      <c r="G930" s="22" t="n">
        <v>27</v>
      </c>
      <c r="H930" s="22" t="n">
        <v>1.8</v>
      </c>
      <c r="I930" s="24" t="n">
        <v>0.123342506587505</v>
      </c>
      <c r="J930" s="6" t="n">
        <v>71000</v>
      </c>
      <c r="K930" s="25">
        <f>23*10^-6</f>
        <v/>
      </c>
      <c r="L930" s="8">
        <f>H930</f>
        <v/>
      </c>
      <c r="M930" s="26">
        <f>H930^2/6</f>
        <v/>
      </c>
      <c r="N930" s="26">
        <f>H930^3/12</f>
        <v/>
      </c>
      <c r="O930" s="27">
        <f>-J930*L930*K930*C930</f>
        <v/>
      </c>
      <c r="P930" s="28">
        <f>-(12*F930*J930*L930*N930+12*O930*N930*G930*COS(RADIANS(E930)))/(12*N930*G930*COS(RADIANS(E930))^2+L930*G930^3*SIN(RADIANS(E930))^2)</f>
        <v/>
      </c>
      <c r="Q930" s="28">
        <f>-(6*F930*J930*L930*N930*SIN(RADIANS(E930))+6*O930*N930*G930*SIN(RADIANS(E930))*COS(RADIANS(E930)))/(12*N930*COS(RADIANS(E930))^2+L930*G930^2*SIN(RADIANS(E930))^2)</f>
        <v/>
      </c>
      <c r="R930" s="28">
        <f>-P930*SIN(RADIANS(E930))</f>
        <v/>
      </c>
      <c r="S930" s="8">
        <f>(O930+P930*COS(RADIANS(E930)))/L930</f>
        <v/>
      </c>
      <c r="T930" s="8">
        <f>R930/L930</f>
        <v/>
      </c>
      <c r="U930" s="8">
        <f>(Q930-P930*G930*SIN(RADIANS(E930)))/M930</f>
        <v/>
      </c>
      <c r="V930" s="8">
        <f>SQRT((S930+U930)^2+3*T930^2)</f>
        <v/>
      </c>
      <c r="W930" s="8">
        <f>V930/AA930</f>
        <v/>
      </c>
      <c r="X930" s="27">
        <f>((3*10+H930/COS(RADIANS(E930)))*(3+3)+3*G930*H930)*2</f>
        <v/>
      </c>
      <c r="Y930" s="28">
        <f>Z930/X930</f>
        <v/>
      </c>
      <c r="Z930" s="29" t="n">
        <v>678.89953023008</v>
      </c>
      <c r="AA930" s="20" t="n">
        <v>90.4322551520858</v>
      </c>
      <c r="AB930" t="n">
        <v>0.1637518292071509</v>
      </c>
      <c r="AC930" t="n">
        <v>88.11850683282761</v>
      </c>
      <c r="AD930" t="n">
        <v>32.76187888315501</v>
      </c>
    </row>
    <row r="931">
      <c r="A931" t="n">
        <v>930</v>
      </c>
      <c r="B931" t="n">
        <v>41.3</v>
      </c>
      <c r="C931" s="21">
        <f>B931-20</f>
        <v/>
      </c>
      <c r="D931" t="n">
        <v>112.9</v>
      </c>
      <c r="E931" s="22">
        <f>D931-90</f>
        <v/>
      </c>
      <c r="F931" s="23" t="n">
        <v>0.00734</v>
      </c>
      <c r="G931" s="22" t="n">
        <v>26.3</v>
      </c>
      <c r="H931" s="22" t="n">
        <v>1.7</v>
      </c>
      <c r="I931" s="24" t="n">
        <v>0.0398875512182712</v>
      </c>
      <c r="J931" s="6" t="n">
        <v>71000</v>
      </c>
      <c r="K931" s="25">
        <f>23*10^-6</f>
        <v/>
      </c>
      <c r="L931" s="8">
        <f>H931</f>
        <v/>
      </c>
      <c r="M931" s="26">
        <f>H931^2/6</f>
        <v/>
      </c>
      <c r="N931" s="26">
        <f>H931^3/12</f>
        <v/>
      </c>
      <c r="O931" s="27">
        <f>-J931*L931*K931*C931</f>
        <v/>
      </c>
      <c r="P931" s="28">
        <f>-(12*F931*J931*L931*N931+12*O931*N931*G931*COS(RADIANS(E931)))/(12*N931*G931*COS(RADIANS(E931))^2+L931*G931^3*SIN(RADIANS(E931))^2)</f>
        <v/>
      </c>
      <c r="Q931" s="28">
        <f>-(6*F931*J931*L931*N931*SIN(RADIANS(E931))+6*O931*N931*G931*SIN(RADIANS(E931))*COS(RADIANS(E931)))/(12*N931*COS(RADIANS(E931))^2+L931*G931^2*SIN(RADIANS(E931))^2)</f>
        <v/>
      </c>
      <c r="R931" s="28">
        <f>-P931*SIN(RADIANS(E931))</f>
        <v/>
      </c>
      <c r="S931" s="8">
        <f>(O931+P931*COS(RADIANS(E931)))/L931</f>
        <v/>
      </c>
      <c r="T931" s="8">
        <f>R931/L931</f>
        <v/>
      </c>
      <c r="U931" s="8">
        <f>(Q931-P931*G931*SIN(RADIANS(E931)))/M931</f>
        <v/>
      </c>
      <c r="V931" s="8">
        <f>SQRT((S931+U931)^2+3*T931^2)</f>
        <v/>
      </c>
      <c r="W931" s="8">
        <f>V931/AA931</f>
        <v/>
      </c>
      <c r="X931" s="27">
        <f>((3*10+H931/COS(RADIANS(E931)))*(3+3)+3*G931*H931)*2</f>
        <v/>
      </c>
      <c r="Y931" s="28">
        <f>Z931/X931</f>
        <v/>
      </c>
      <c r="Z931" s="29" t="n">
        <v>655.892395596806</v>
      </c>
      <c r="AA931" s="20" t="n">
        <v>34.2518645536431</v>
      </c>
      <c r="AB931" t="n">
        <v>0.04926080784645752</v>
      </c>
      <c r="AC931" t="n">
        <v>33.25609209752518</v>
      </c>
      <c r="AD931" t="n">
        <v>23.49920298915902</v>
      </c>
    </row>
    <row r="932">
      <c r="A932" t="n">
        <v>931</v>
      </c>
      <c r="B932" t="n">
        <v>79.40000000000001</v>
      </c>
      <c r="C932" s="21">
        <f>B932-20</f>
        <v/>
      </c>
      <c r="D932" t="n">
        <v>101</v>
      </c>
      <c r="E932" s="22">
        <f>D932-90</f>
        <v/>
      </c>
      <c r="F932" s="23" t="n">
        <v>0.024204</v>
      </c>
      <c r="G932" s="22" t="n">
        <v>30.3</v>
      </c>
      <c r="H932" s="22" t="n">
        <v>1.5</v>
      </c>
      <c r="I932" s="24" t="n">
        <v>0.214885294437408</v>
      </c>
      <c r="J932" s="6" t="n">
        <v>71000</v>
      </c>
      <c r="K932" s="25">
        <f>23*10^-6</f>
        <v/>
      </c>
      <c r="L932" s="8">
        <f>H932</f>
        <v/>
      </c>
      <c r="M932" s="26">
        <f>H932^2/6</f>
        <v/>
      </c>
      <c r="N932" s="26">
        <f>H932^3/12</f>
        <v/>
      </c>
      <c r="O932" s="27">
        <f>-J932*L932*K932*C932</f>
        <v/>
      </c>
      <c r="P932" s="28">
        <f>-(12*F932*J932*L932*N932+12*O932*N932*G932*COS(RADIANS(E932)))/(12*N932*G932*COS(RADIANS(E932))^2+L932*G932^3*SIN(RADIANS(E932))^2)</f>
        <v/>
      </c>
      <c r="Q932" s="28">
        <f>-(6*F932*J932*L932*N932*SIN(RADIANS(E932))+6*O932*N932*G932*SIN(RADIANS(E932))*COS(RADIANS(E932)))/(12*N932*COS(RADIANS(E932))^2+L932*G932^2*SIN(RADIANS(E932))^2)</f>
        <v/>
      </c>
      <c r="R932" s="28">
        <f>-P932*SIN(RADIANS(E932))</f>
        <v/>
      </c>
      <c r="S932" s="8">
        <f>(O932+P932*COS(RADIANS(E932)))/L932</f>
        <v/>
      </c>
      <c r="T932" s="8">
        <f>R932/L932</f>
        <v/>
      </c>
      <c r="U932" s="8">
        <f>(Q932-P932*G932*SIN(RADIANS(E932)))/M932</f>
        <v/>
      </c>
      <c r="V932" s="8">
        <f>SQRT((S932+U932)^2+3*T932^2)</f>
        <v/>
      </c>
      <c r="W932" s="8">
        <f>V932/AA932</f>
        <v/>
      </c>
      <c r="X932" s="27">
        <f>((3*10+H932/COS(RADIANS(E932)))*(3+3)+3*G932*H932)*2</f>
        <v/>
      </c>
      <c r="Y932" s="28">
        <f>Z932/X932</f>
        <v/>
      </c>
      <c r="Z932" s="29" t="n">
        <v>654.919730573759</v>
      </c>
      <c r="AA932" s="20" t="n">
        <v>96.8531940986734</v>
      </c>
      <c r="AB932" t="n">
        <v>0.3203817797289816</v>
      </c>
      <c r="AC932" t="n">
        <v>100.9655610228172</v>
      </c>
      <c r="AD932" t="n">
        <v>49.09432521558738</v>
      </c>
    </row>
    <row r="933">
      <c r="A933" t="n">
        <v>932</v>
      </c>
      <c r="B933" t="n">
        <v>43.8</v>
      </c>
      <c r="C933" s="21">
        <f>B933-20</f>
        <v/>
      </c>
      <c r="D933" t="n">
        <v>101.4</v>
      </c>
      <c r="E933" s="22">
        <f>D933-90</f>
        <v/>
      </c>
      <c r="F933" s="23" t="n">
        <v>0.010884</v>
      </c>
      <c r="G933" s="22" t="n">
        <v>34.8</v>
      </c>
      <c r="H933" s="22" t="n">
        <v>1.1</v>
      </c>
      <c r="I933" s="24" t="n">
        <v>0.09549865126609799</v>
      </c>
      <c r="J933" s="6" t="n">
        <v>71000</v>
      </c>
      <c r="K933" s="25">
        <f>23*10^-6</f>
        <v/>
      </c>
      <c r="L933" s="8">
        <f>H933</f>
        <v/>
      </c>
      <c r="M933" s="26">
        <f>H933^2/6</f>
        <v/>
      </c>
      <c r="N933" s="26">
        <f>H933^3/12</f>
        <v/>
      </c>
      <c r="O933" s="27">
        <f>-J933*L933*K933*C933</f>
        <v/>
      </c>
      <c r="P933" s="28">
        <f>-(12*F933*J933*L933*N933+12*O933*N933*G933*COS(RADIANS(E933)))/(12*N933*G933*COS(RADIANS(E933))^2+L933*G933^3*SIN(RADIANS(E933))^2)</f>
        <v/>
      </c>
      <c r="Q933" s="28">
        <f>-(6*F933*J933*L933*N933*SIN(RADIANS(E933))+6*O933*N933*G933*SIN(RADIANS(E933))*COS(RADIANS(E933)))/(12*N933*COS(RADIANS(E933))^2+L933*G933^2*SIN(RADIANS(E933))^2)</f>
        <v/>
      </c>
      <c r="R933" s="28">
        <f>-P933*SIN(RADIANS(E933))</f>
        <v/>
      </c>
      <c r="S933" s="8">
        <f>(O933+P933*COS(RADIANS(E933)))/L933</f>
        <v/>
      </c>
      <c r="T933" s="8">
        <f>R933/L933</f>
        <v/>
      </c>
      <c r="U933" s="8">
        <f>(Q933-P933*G933*SIN(RADIANS(E933)))/M933</f>
        <v/>
      </c>
      <c r="V933" s="8">
        <f>SQRT((S933+U933)^2+3*T933^2)</f>
        <v/>
      </c>
      <c r="W933" s="8">
        <f>V933/AA933</f>
        <v/>
      </c>
      <c r="X933" s="27">
        <f>((3*10+H933/COS(RADIANS(E933)))*(3+3)+3*G933*H933)*2</f>
        <v/>
      </c>
      <c r="Y933" s="28">
        <f>Z933/X933</f>
        <v/>
      </c>
      <c r="Z933" s="29" t="n">
        <v>607.062312324682</v>
      </c>
      <c r="AA933" s="20" t="n">
        <v>34.7899540856657</v>
      </c>
      <c r="AB933" t="n">
        <v>0.1466940805690146</v>
      </c>
      <c r="AC933" t="n">
        <v>37.76768938298972</v>
      </c>
      <c r="AD933" t="n">
        <v>53.60853648107072</v>
      </c>
    </row>
    <row r="934">
      <c r="A934" t="n">
        <v>933</v>
      </c>
      <c r="B934" t="n">
        <v>70</v>
      </c>
      <c r="C934" s="21">
        <f>B934-20</f>
        <v/>
      </c>
      <c r="D934" t="n">
        <v>119.3</v>
      </c>
      <c r="E934" s="22">
        <f>D934-90</f>
        <v/>
      </c>
      <c r="F934" s="23" t="n">
        <v>0.018631</v>
      </c>
      <c r="G934" s="22" t="n">
        <v>30.6</v>
      </c>
      <c r="H934" s="22" t="n">
        <v>1.4</v>
      </c>
      <c r="I934" s="24" t="n">
        <v>0.087450236082077</v>
      </c>
      <c r="J934" s="6" t="n">
        <v>71000</v>
      </c>
      <c r="K934" s="25">
        <f>23*10^-6</f>
        <v/>
      </c>
      <c r="L934" s="8">
        <f>H934</f>
        <v/>
      </c>
      <c r="M934" s="26">
        <f>H934^2/6</f>
        <v/>
      </c>
      <c r="N934" s="26">
        <f>H934^3/12</f>
        <v/>
      </c>
      <c r="O934" s="27">
        <f>-J934*L934*K934*C934</f>
        <v/>
      </c>
      <c r="P934" s="28">
        <f>-(12*F934*J934*L934*N934+12*O934*N934*G934*COS(RADIANS(E934)))/(12*N934*G934*COS(RADIANS(E934))^2+L934*G934^3*SIN(RADIANS(E934))^2)</f>
        <v/>
      </c>
      <c r="Q934" s="28">
        <f>-(6*F934*J934*L934*N934*SIN(RADIANS(E934))+6*O934*N934*G934*SIN(RADIANS(E934))*COS(RADIANS(E934)))/(12*N934*COS(RADIANS(E934))^2+L934*G934^2*SIN(RADIANS(E934))^2)</f>
        <v/>
      </c>
      <c r="R934" s="28">
        <f>-P934*SIN(RADIANS(E934))</f>
        <v/>
      </c>
      <c r="S934" s="8">
        <f>(O934+P934*COS(RADIANS(E934)))/L934</f>
        <v/>
      </c>
      <c r="T934" s="8">
        <f>R934/L934</f>
        <v/>
      </c>
      <c r="U934" s="8">
        <f>(Q934-P934*G934*SIN(RADIANS(E934)))/M934</f>
        <v/>
      </c>
      <c r="V934" s="8">
        <f>SQRT((S934+U934)^2+3*T934^2)</f>
        <v/>
      </c>
      <c r="W934" s="8">
        <f>V934/AA934</f>
        <v/>
      </c>
      <c r="X934" s="27">
        <f>((3*10+H934/COS(RADIANS(E934)))*(3+3)+3*G934*H934)*2</f>
        <v/>
      </c>
      <c r="Y934" s="28">
        <f>Z934/X934</f>
        <v/>
      </c>
      <c r="Z934" s="29" t="n">
        <v>643.258903548795</v>
      </c>
      <c r="AA934" s="20" t="n">
        <v>72.95117453015111</v>
      </c>
      <c r="AB934" t="n">
        <v>0.1043432956085941</v>
      </c>
      <c r="AC934" t="n">
        <v>73.3929929077583</v>
      </c>
      <c r="AD934" t="n">
        <v>19.31734010490494</v>
      </c>
    </row>
    <row r="935">
      <c r="A935" t="n">
        <v>934</v>
      </c>
      <c r="B935" t="n">
        <v>83.3</v>
      </c>
      <c r="C935" s="21">
        <f>B935-20</f>
        <v/>
      </c>
      <c r="D935" t="n">
        <v>123.1</v>
      </c>
      <c r="E935" s="22">
        <f>D935-90</f>
        <v/>
      </c>
      <c r="F935" s="23" t="n">
        <v>0.021075</v>
      </c>
      <c r="G935" s="22" t="n">
        <v>27.7</v>
      </c>
      <c r="H935" s="22" t="n">
        <v>1.5</v>
      </c>
      <c r="I935" s="24" t="n">
        <v>0.0957168564200401</v>
      </c>
      <c r="J935" s="6" t="n">
        <v>71000</v>
      </c>
      <c r="K935" s="25">
        <f>23*10^-6</f>
        <v/>
      </c>
      <c r="L935" s="8">
        <f>H935</f>
        <v/>
      </c>
      <c r="M935" s="26">
        <f>H935^2/6</f>
        <v/>
      </c>
      <c r="N935" s="26">
        <f>H935^3/12</f>
        <v/>
      </c>
      <c r="O935" s="27">
        <f>-J935*L935*K935*C935</f>
        <v/>
      </c>
      <c r="P935" s="28">
        <f>-(12*F935*J935*L935*N935+12*O935*N935*G935*COS(RADIANS(E935)))/(12*N935*G935*COS(RADIANS(E935))^2+L935*G935^3*SIN(RADIANS(E935))^2)</f>
        <v/>
      </c>
      <c r="Q935" s="28">
        <f>-(6*F935*J935*L935*N935*SIN(RADIANS(E935))+6*O935*N935*G935*SIN(RADIANS(E935))*COS(RADIANS(E935)))/(12*N935*COS(RADIANS(E935))^2+L935*G935^2*SIN(RADIANS(E935))^2)</f>
        <v/>
      </c>
      <c r="R935" s="28">
        <f>-P935*SIN(RADIANS(E935))</f>
        <v/>
      </c>
      <c r="S935" s="8">
        <f>(O935+P935*COS(RADIANS(E935)))/L935</f>
        <v/>
      </c>
      <c r="T935" s="8">
        <f>R935/L935</f>
        <v/>
      </c>
      <c r="U935" s="8">
        <f>(Q935-P935*G935*SIN(RADIANS(E935)))/M935</f>
        <v/>
      </c>
      <c r="V935" s="8">
        <f>SQRT((S935+U935)^2+3*T935^2)</f>
        <v/>
      </c>
      <c r="W935" s="8">
        <f>V935/AA935</f>
        <v/>
      </c>
      <c r="X935" s="27">
        <f>((3*10+H935/COS(RADIANS(E935)))*(3+3)+3*G935*H935)*2</f>
        <v/>
      </c>
      <c r="Y935" s="28">
        <f>Z935/X935</f>
        <v/>
      </c>
      <c r="Z935" s="29" t="n">
        <v>638.869789849427</v>
      </c>
      <c r="AA935" s="20" t="n">
        <v>94.4112011336216</v>
      </c>
      <c r="AB935" t="n">
        <v>0.1053546549559708</v>
      </c>
      <c r="AC935" t="n">
        <v>92.71649201415167</v>
      </c>
      <c r="AD935" t="n">
        <v>10.06907131763345</v>
      </c>
    </row>
    <row r="936">
      <c r="A936" t="n">
        <v>935</v>
      </c>
      <c r="B936" t="n">
        <v>89.7</v>
      </c>
      <c r="C936" s="21">
        <f>B936-20</f>
        <v/>
      </c>
      <c r="D936" t="n">
        <v>124.8</v>
      </c>
      <c r="E936" s="22">
        <f>D936-90</f>
        <v/>
      </c>
      <c r="F936" s="23" t="n">
        <v>0.025385</v>
      </c>
      <c r="G936" s="22" t="n">
        <v>31.6</v>
      </c>
      <c r="H936" s="22" t="n">
        <v>1.2</v>
      </c>
      <c r="I936" s="24" t="n">
        <v>0.111185871064662</v>
      </c>
      <c r="J936" s="6" t="n">
        <v>71000</v>
      </c>
      <c r="K936" s="25">
        <f>23*10^-6</f>
        <v/>
      </c>
      <c r="L936" s="8">
        <f>H936</f>
        <v/>
      </c>
      <c r="M936" s="26">
        <f>H936^2/6</f>
        <v/>
      </c>
      <c r="N936" s="26">
        <f>H936^3/12</f>
        <v/>
      </c>
      <c r="O936" s="27">
        <f>-J936*L936*K936*C936</f>
        <v/>
      </c>
      <c r="P936" s="28">
        <f>-(12*F936*J936*L936*N936+12*O936*N936*G936*COS(RADIANS(E936)))/(12*N936*G936*COS(RADIANS(E936))^2+L936*G936^3*SIN(RADIANS(E936))^2)</f>
        <v/>
      </c>
      <c r="Q936" s="28">
        <f>-(6*F936*J936*L936*N936*SIN(RADIANS(E936))+6*O936*N936*G936*SIN(RADIANS(E936))*COS(RADIANS(E936)))/(12*N936*COS(RADIANS(E936))^2+L936*G936^2*SIN(RADIANS(E936))^2)</f>
        <v/>
      </c>
      <c r="R936" s="28">
        <f>-P936*SIN(RADIANS(E936))</f>
        <v/>
      </c>
      <c r="S936" s="8">
        <f>(O936+P936*COS(RADIANS(E936)))/L936</f>
        <v/>
      </c>
      <c r="T936" s="8">
        <f>R936/L936</f>
        <v/>
      </c>
      <c r="U936" s="8">
        <f>(Q936-P936*G936*SIN(RADIANS(E936)))/M936</f>
        <v/>
      </c>
      <c r="V936" s="8">
        <f>SQRT((S936+U936)^2+3*T936^2)</f>
        <v/>
      </c>
      <c r="W936" s="8">
        <f>V936/AA936</f>
        <v/>
      </c>
      <c r="X936" s="27">
        <f>((3*10+H936/COS(RADIANS(E936)))*(3+3)+3*G936*H936)*2</f>
        <v/>
      </c>
      <c r="Y936" s="28">
        <f>Z936/X936</f>
        <v/>
      </c>
      <c r="Z936" s="29" t="n">
        <v>613.7173595005499</v>
      </c>
      <c r="AA936" s="20" t="n">
        <v>94.8220021768729</v>
      </c>
      <c r="AB936" t="n">
        <v>0.1248620018581804</v>
      </c>
      <c r="AC936" t="n">
        <v>99.46974647109049</v>
      </c>
      <c r="AD936" t="n">
        <v>12.3002416247338</v>
      </c>
    </row>
    <row r="937">
      <c r="A937" t="n">
        <v>936</v>
      </c>
      <c r="B937" t="n">
        <v>85.40000000000001</v>
      </c>
      <c r="C937" s="21">
        <f>B937-20</f>
        <v/>
      </c>
      <c r="D937" t="n">
        <v>111</v>
      </c>
      <c r="E937" s="22">
        <f>D937-90</f>
        <v/>
      </c>
      <c r="F937" s="23" t="n">
        <v>0.018951</v>
      </c>
      <c r="G937" s="22" t="n">
        <v>20.8</v>
      </c>
      <c r="H937" s="22" t="n">
        <v>1.7</v>
      </c>
      <c r="I937" s="24" t="n">
        <v>0.111124813556671</v>
      </c>
      <c r="J937" s="6" t="n">
        <v>71000</v>
      </c>
      <c r="K937" s="25">
        <f>23*10^-6</f>
        <v/>
      </c>
      <c r="L937" s="8">
        <f>H937</f>
        <v/>
      </c>
      <c r="M937" s="26">
        <f>H937^2/6</f>
        <v/>
      </c>
      <c r="N937" s="26">
        <f>H937^3/12</f>
        <v/>
      </c>
      <c r="O937" s="27">
        <f>-J937*L937*K937*C937</f>
        <v/>
      </c>
      <c r="P937" s="28">
        <f>-(12*F937*J937*L937*N937+12*O937*N937*G937*COS(RADIANS(E937)))/(12*N937*G937*COS(RADIANS(E937))^2+L937*G937^3*SIN(RADIANS(E937))^2)</f>
        <v/>
      </c>
      <c r="Q937" s="28">
        <f>-(6*F937*J937*L937*N937*SIN(RADIANS(E937))+6*O937*N937*G937*SIN(RADIANS(E937))*COS(RADIANS(E937)))/(12*N937*COS(RADIANS(E937))^2+L937*G937^2*SIN(RADIANS(E937))^2)</f>
        <v/>
      </c>
      <c r="R937" s="28">
        <f>-P937*SIN(RADIANS(E937))</f>
        <v/>
      </c>
      <c r="S937" s="8">
        <f>(O937+P937*COS(RADIANS(E937)))/L937</f>
        <v/>
      </c>
      <c r="T937" s="8">
        <f>R937/L937</f>
        <v/>
      </c>
      <c r="U937" s="8">
        <f>(Q937-P937*G937*SIN(RADIANS(E937)))/M937</f>
        <v/>
      </c>
      <c r="V937" s="8">
        <f>SQRT((S937+U937)^2+3*T937^2)</f>
        <v/>
      </c>
      <c r="W937" s="8">
        <f>V937/AA937</f>
        <v/>
      </c>
      <c r="X937" s="27">
        <f>((3*10+H937/COS(RADIANS(E937)))*(3+3)+3*G937*H937)*2</f>
        <v/>
      </c>
      <c r="Y937" s="28">
        <f>Z937/X937</f>
        <v/>
      </c>
      <c r="Z937" s="29" t="n">
        <v>599.1524671031229</v>
      </c>
      <c r="AA937" s="20" t="n">
        <v>110.136449377247</v>
      </c>
      <c r="AB937" t="n">
        <v>0.1304315049873311</v>
      </c>
      <c r="AC937" t="n">
        <v>105.3564169866708</v>
      </c>
      <c r="AD937" t="n">
        <v>17.37387970582655</v>
      </c>
    </row>
    <row r="938">
      <c r="A938" t="n">
        <v>937</v>
      </c>
      <c r="B938" t="n">
        <v>55.4</v>
      </c>
      <c r="C938" s="21">
        <f>B938-20</f>
        <v/>
      </c>
      <c r="D938" t="n">
        <v>110.1</v>
      </c>
      <c r="E938" s="22">
        <f>D938-90</f>
        <v/>
      </c>
      <c r="F938" s="23" t="n">
        <v>0.011972</v>
      </c>
      <c r="G938" s="22" t="n">
        <v>25.2</v>
      </c>
      <c r="H938" s="22" t="n">
        <v>1.9</v>
      </c>
      <c r="I938" s="24" t="n">
        <v>0.07027567178010941</v>
      </c>
      <c r="J938" s="6" t="n">
        <v>71000</v>
      </c>
      <c r="K938" s="25">
        <f>23*10^-6</f>
        <v/>
      </c>
      <c r="L938" s="8">
        <f>H938</f>
        <v/>
      </c>
      <c r="M938" s="26">
        <f>H938^2/6</f>
        <v/>
      </c>
      <c r="N938" s="26">
        <f>H938^3/12</f>
        <v/>
      </c>
      <c r="O938" s="27">
        <f>-J938*L938*K938*C938</f>
        <v/>
      </c>
      <c r="P938" s="28">
        <f>-(12*F938*J938*L938*N938+12*O938*N938*G938*COS(RADIANS(E938)))/(12*N938*G938*COS(RADIANS(E938))^2+L938*G938^3*SIN(RADIANS(E938))^2)</f>
        <v/>
      </c>
      <c r="Q938" s="28">
        <f>-(6*F938*J938*L938*N938*SIN(RADIANS(E938))+6*O938*N938*G938*SIN(RADIANS(E938))*COS(RADIANS(E938)))/(12*N938*COS(RADIANS(E938))^2+L938*G938^2*SIN(RADIANS(E938))^2)</f>
        <v/>
      </c>
      <c r="R938" s="28">
        <f>-P938*SIN(RADIANS(E938))</f>
        <v/>
      </c>
      <c r="S938" s="8">
        <f>(O938+P938*COS(RADIANS(E938)))/L938</f>
        <v/>
      </c>
      <c r="T938" s="8">
        <f>R938/L938</f>
        <v/>
      </c>
      <c r="U938" s="8">
        <f>(Q938-P938*G938*SIN(RADIANS(E938)))/M938</f>
        <v/>
      </c>
      <c r="V938" s="8">
        <f>SQRT((S938+U938)^2+3*T938^2)</f>
        <v/>
      </c>
      <c r="W938" s="8">
        <f>V938/AA938</f>
        <v/>
      </c>
      <c r="X938" s="27">
        <f>((3*10+H938/COS(RADIANS(E938)))*(3+3)+3*G938*H938)*2</f>
        <v/>
      </c>
      <c r="Y938" s="28">
        <f>Z938/X938</f>
        <v/>
      </c>
      <c r="Z938" s="29" t="n">
        <v>676.548882764744</v>
      </c>
      <c r="AA938" s="20" t="n">
        <v>60.9955461494058</v>
      </c>
      <c r="AB938" t="n">
        <v>0.08847639201866248</v>
      </c>
      <c r="AC938" t="n">
        <v>57.490789947975</v>
      </c>
      <c r="AD938" t="n">
        <v>25.89903415722956</v>
      </c>
    </row>
    <row r="939">
      <c r="A939" t="n">
        <v>938</v>
      </c>
      <c r="B939" t="n">
        <v>75.09999999999999</v>
      </c>
      <c r="C939" s="21">
        <f>B939-20</f>
        <v/>
      </c>
      <c r="D939" t="n">
        <v>127.3</v>
      </c>
      <c r="E939" s="22">
        <f>D939-90</f>
        <v/>
      </c>
      <c r="F939" s="23" t="n">
        <v>0.01646</v>
      </c>
      <c r="G939" s="22" t="n">
        <v>25.4</v>
      </c>
      <c r="H939" s="22" t="n">
        <v>1.2</v>
      </c>
      <c r="I939" s="24" t="n">
        <v>0.0731685683131218</v>
      </c>
      <c r="J939" s="6" t="n">
        <v>71000</v>
      </c>
      <c r="K939" s="25">
        <f>23*10^-6</f>
        <v/>
      </c>
      <c r="L939" s="8">
        <f>H939</f>
        <v/>
      </c>
      <c r="M939" s="26">
        <f>H939^2/6</f>
        <v/>
      </c>
      <c r="N939" s="26">
        <f>H939^3/12</f>
        <v/>
      </c>
      <c r="O939" s="27">
        <f>-J939*L939*K939*C939</f>
        <v/>
      </c>
      <c r="P939" s="28">
        <f>-(12*F939*J939*L939*N939+12*O939*N939*G939*COS(RADIANS(E939)))/(12*N939*G939*COS(RADIANS(E939))^2+L939*G939^3*SIN(RADIANS(E939))^2)</f>
        <v/>
      </c>
      <c r="Q939" s="28">
        <f>-(6*F939*J939*L939*N939*SIN(RADIANS(E939))+6*O939*N939*G939*SIN(RADIANS(E939))*COS(RADIANS(E939)))/(12*N939*COS(RADIANS(E939))^2+L939*G939^2*SIN(RADIANS(E939))^2)</f>
        <v/>
      </c>
      <c r="R939" s="28">
        <f>-P939*SIN(RADIANS(E939))</f>
        <v/>
      </c>
      <c r="S939" s="8">
        <f>(O939+P939*COS(RADIANS(E939)))/L939</f>
        <v/>
      </c>
      <c r="T939" s="8">
        <f>R939/L939</f>
        <v/>
      </c>
      <c r="U939" s="8">
        <f>(Q939-P939*G939*SIN(RADIANS(E939)))/M939</f>
        <v/>
      </c>
      <c r="V939" s="8">
        <f>SQRT((S939+U939)^2+3*T939^2)</f>
        <v/>
      </c>
      <c r="W939" s="8">
        <f>V939/AA939</f>
        <v/>
      </c>
      <c r="X939" s="27">
        <f>((3*10+H939/COS(RADIANS(E939)))*(3+3)+3*G939*H939)*2</f>
        <v/>
      </c>
      <c r="Y939" s="28">
        <f>Z939/X939</f>
        <v/>
      </c>
      <c r="Z939" s="29" t="n">
        <v>570.586765981887</v>
      </c>
      <c r="AA939" s="20" t="n">
        <v>76.471199029977</v>
      </c>
      <c r="AB939" t="n">
        <v>0.07439192354073947</v>
      </c>
      <c r="AC939" t="n">
        <v>78.80364189090953</v>
      </c>
      <c r="AD939" t="n">
        <v>1.671968245138231</v>
      </c>
    </row>
    <row r="940">
      <c r="A940" t="n">
        <v>939</v>
      </c>
      <c r="B940" t="n">
        <v>85.40000000000001</v>
      </c>
      <c r="C940" s="21">
        <f>B940-20</f>
        <v/>
      </c>
      <c r="D940" t="n">
        <v>109.4</v>
      </c>
      <c r="E940" s="22">
        <f>D940-90</f>
        <v/>
      </c>
      <c r="F940" s="23" t="n">
        <v>0.019663</v>
      </c>
      <c r="G940" s="22" t="n">
        <v>21.6</v>
      </c>
      <c r="H940" s="22" t="n">
        <v>1.9</v>
      </c>
      <c r="I940" s="24" t="n">
        <v>0.119348920881748</v>
      </c>
      <c r="J940" s="6" t="n">
        <v>71000</v>
      </c>
      <c r="K940" s="25">
        <f>23*10^-6</f>
        <v/>
      </c>
      <c r="L940" s="8">
        <f>H940</f>
        <v/>
      </c>
      <c r="M940" s="26">
        <f>H940^2/6</f>
        <v/>
      </c>
      <c r="N940" s="26">
        <f>H940^3/12</f>
        <v/>
      </c>
      <c r="O940" s="27">
        <f>-J940*L940*K940*C940</f>
        <v/>
      </c>
      <c r="P940" s="28">
        <f>-(12*F940*J940*L940*N940+12*O940*N940*G940*COS(RADIANS(E940)))/(12*N940*G940*COS(RADIANS(E940))^2+L940*G940^3*SIN(RADIANS(E940))^2)</f>
        <v/>
      </c>
      <c r="Q940" s="28">
        <f>-(6*F940*J940*L940*N940*SIN(RADIANS(E940))+6*O940*N940*G940*SIN(RADIANS(E940))*COS(RADIANS(E940)))/(12*N940*COS(RADIANS(E940))^2+L940*G940^2*SIN(RADIANS(E940))^2)</f>
        <v/>
      </c>
      <c r="R940" s="28">
        <f>-P940*SIN(RADIANS(E940))</f>
        <v/>
      </c>
      <c r="S940" s="8">
        <f>(O940+P940*COS(RADIANS(E940)))/L940</f>
        <v/>
      </c>
      <c r="T940" s="8">
        <f>R940/L940</f>
        <v/>
      </c>
      <c r="U940" s="8">
        <f>(Q940-P940*G940*SIN(RADIANS(E940)))/M940</f>
        <v/>
      </c>
      <c r="V940" s="8">
        <f>SQRT((S940+U940)^2+3*T940^2)</f>
        <v/>
      </c>
      <c r="W940" s="8">
        <f>V940/AA940</f>
        <v/>
      </c>
      <c r="X940" s="27">
        <f>((3*10+H940/COS(RADIANS(E940)))*(3+3)+3*G940*H940)*2</f>
        <v/>
      </c>
      <c r="Y940" s="28">
        <f>Z940/X940</f>
        <v/>
      </c>
      <c r="Z940" s="29" t="n">
        <v>635.2907580727669</v>
      </c>
      <c r="AA940" s="20" t="n">
        <v>115.582201015907</v>
      </c>
      <c r="AB940" t="n">
        <v>0.1442221854212515</v>
      </c>
      <c r="AC940" t="n">
        <v>108.2015024360314</v>
      </c>
      <c r="AD940" t="n">
        <v>20.84079550593353</v>
      </c>
    </row>
    <row r="941">
      <c r="A941" t="n">
        <v>940</v>
      </c>
      <c r="B941" t="n">
        <v>54.9</v>
      </c>
      <c r="C941" s="21">
        <f>B941-20</f>
        <v/>
      </c>
      <c r="D941" t="n">
        <v>105.7</v>
      </c>
      <c r="E941" s="22">
        <f>D941-90</f>
        <v/>
      </c>
      <c r="F941" s="23" t="n">
        <v>0.015563</v>
      </c>
      <c r="G941" s="22" t="n">
        <v>34.4</v>
      </c>
      <c r="H941" s="22" t="n">
        <v>1.7</v>
      </c>
      <c r="I941" s="24" t="n">
        <v>0.105226106941699</v>
      </c>
      <c r="J941" s="6" t="n">
        <v>71000</v>
      </c>
      <c r="K941" s="25">
        <f>23*10^-6</f>
        <v/>
      </c>
      <c r="L941" s="8">
        <f>H941</f>
        <v/>
      </c>
      <c r="M941" s="26">
        <f>H941^2/6</f>
        <v/>
      </c>
      <c r="N941" s="26">
        <f>H941^3/12</f>
        <v/>
      </c>
      <c r="O941" s="27">
        <f>-J941*L941*K941*C941</f>
        <v/>
      </c>
      <c r="P941" s="28">
        <f>-(12*F941*J941*L941*N941+12*O941*N941*G941*COS(RADIANS(E941)))/(12*N941*G941*COS(RADIANS(E941))^2+L941*G941^3*SIN(RADIANS(E941))^2)</f>
        <v/>
      </c>
      <c r="Q941" s="28">
        <f>-(6*F941*J941*L941*N941*SIN(RADIANS(E941))+6*O941*N941*G941*SIN(RADIANS(E941))*COS(RADIANS(E941)))/(12*N941*COS(RADIANS(E941))^2+L941*G941^2*SIN(RADIANS(E941))^2)</f>
        <v/>
      </c>
      <c r="R941" s="28">
        <f>-P941*SIN(RADIANS(E941))</f>
        <v/>
      </c>
      <c r="S941" s="8">
        <f>(O941+P941*COS(RADIANS(E941)))/L941</f>
        <v/>
      </c>
      <c r="T941" s="8">
        <f>R941/L941</f>
        <v/>
      </c>
      <c r="U941" s="8">
        <f>(Q941-P941*G941*SIN(RADIANS(E941)))/M941</f>
        <v/>
      </c>
      <c r="V941" s="8">
        <f>SQRT((S941+U941)^2+3*T941^2)</f>
        <v/>
      </c>
      <c r="W941" s="8">
        <f>V941/AA941</f>
        <v/>
      </c>
      <c r="X941" s="27">
        <f>((3*10+H941/COS(RADIANS(E941)))*(3+3)+3*G941*H941)*2</f>
        <v/>
      </c>
      <c r="Y941" s="28">
        <f>Z941/X941</f>
        <v/>
      </c>
      <c r="Z941" s="29" t="n">
        <v>736.434311488519</v>
      </c>
      <c r="AA941" s="20" t="n">
        <v>56.2860985990797</v>
      </c>
      <c r="AB941" t="n">
        <v>0.1525590665938497</v>
      </c>
      <c r="AC941" t="n">
        <v>56.23476654863556</v>
      </c>
      <c r="AD941" t="n">
        <v>44.98214466717437</v>
      </c>
    </row>
    <row r="942">
      <c r="A942" t="n">
        <v>941</v>
      </c>
      <c r="B942" t="n">
        <v>87.09999999999999</v>
      </c>
      <c r="C942" s="21">
        <f>B942-20</f>
        <v/>
      </c>
      <c r="D942" t="n">
        <v>100.3</v>
      </c>
      <c r="E942" s="22">
        <f>D942-90</f>
        <v/>
      </c>
      <c r="F942" s="23" t="n">
        <v>0.025813</v>
      </c>
      <c r="G942" s="22" t="n">
        <v>28.2</v>
      </c>
      <c r="H942" s="22" t="n">
        <v>1.1</v>
      </c>
      <c r="I942" s="24" t="n">
        <v>0.247516304254531</v>
      </c>
      <c r="J942" s="6" t="n">
        <v>71000</v>
      </c>
      <c r="K942" s="25">
        <f>23*10^-6</f>
        <v/>
      </c>
      <c r="L942" s="8">
        <f>H942</f>
        <v/>
      </c>
      <c r="M942" s="26">
        <f>H942^2/6</f>
        <v/>
      </c>
      <c r="N942" s="26">
        <f>H942^3/12</f>
        <v/>
      </c>
      <c r="O942" s="27">
        <f>-J942*L942*K942*C942</f>
        <v/>
      </c>
      <c r="P942" s="28">
        <f>-(12*F942*J942*L942*N942+12*O942*N942*G942*COS(RADIANS(E942)))/(12*N942*G942*COS(RADIANS(E942))^2+L942*G942^3*SIN(RADIANS(E942))^2)</f>
        <v/>
      </c>
      <c r="Q942" s="28">
        <f>-(6*F942*J942*L942*N942*SIN(RADIANS(E942))+6*O942*N942*G942*SIN(RADIANS(E942))*COS(RADIANS(E942)))/(12*N942*COS(RADIANS(E942))^2+L942*G942^2*SIN(RADIANS(E942))^2)</f>
        <v/>
      </c>
      <c r="R942" s="28">
        <f>-P942*SIN(RADIANS(E942))</f>
        <v/>
      </c>
      <c r="S942" s="8">
        <f>(O942+P942*COS(RADIANS(E942)))/L942</f>
        <v/>
      </c>
      <c r="T942" s="8">
        <f>R942/L942</f>
        <v/>
      </c>
      <c r="U942" s="8">
        <f>(Q942-P942*G942*SIN(RADIANS(E942)))/M942</f>
        <v/>
      </c>
      <c r="V942" s="8">
        <f>SQRT((S942+U942)^2+3*T942^2)</f>
        <v/>
      </c>
      <c r="W942" s="8">
        <f>V942/AA942</f>
        <v/>
      </c>
      <c r="X942" s="27">
        <f>((3*10+H942/COS(RADIANS(E942)))*(3+3)+3*G942*H942)*2</f>
        <v/>
      </c>
      <c r="Y942" s="28">
        <f>Z942/X942</f>
        <v/>
      </c>
      <c r="Z942" s="29" t="n">
        <v>563.362924746134</v>
      </c>
      <c r="AA942" s="20" t="n">
        <v>100.923112353636</v>
      </c>
      <c r="AB942" t="n">
        <v>0.3682624850550562</v>
      </c>
      <c r="AC942" t="n">
        <v>110.5814574003806</v>
      </c>
      <c r="AD942" t="n">
        <v>48.78312205096479</v>
      </c>
    </row>
    <row r="943">
      <c r="A943" t="n">
        <v>942</v>
      </c>
      <c r="B943" t="n">
        <v>70.7</v>
      </c>
      <c r="C943" s="21">
        <f>B943-20</f>
        <v/>
      </c>
      <c r="D943" t="n">
        <v>115.1</v>
      </c>
      <c r="E943" s="22">
        <f>D943-90</f>
        <v/>
      </c>
      <c r="F943" s="23" t="n">
        <v>0.020321</v>
      </c>
      <c r="G943" s="22" t="n">
        <v>32.2</v>
      </c>
      <c r="H943" s="22" t="n">
        <v>1.1</v>
      </c>
      <c r="I943" s="24" t="n">
        <v>0.102323248982429</v>
      </c>
      <c r="J943" s="6" t="n">
        <v>71000</v>
      </c>
      <c r="K943" s="25">
        <f>23*10^-6</f>
        <v/>
      </c>
      <c r="L943" s="8">
        <f>H943</f>
        <v/>
      </c>
      <c r="M943" s="26">
        <f>H943^2/6</f>
        <v/>
      </c>
      <c r="N943" s="26">
        <f>H943^3/12</f>
        <v/>
      </c>
      <c r="O943" s="27">
        <f>-J943*L943*K943*C943</f>
        <v/>
      </c>
      <c r="P943" s="28">
        <f>-(12*F943*J943*L943*N943+12*O943*N943*G943*COS(RADIANS(E943)))/(12*N943*G943*COS(RADIANS(E943))^2+L943*G943^3*SIN(RADIANS(E943))^2)</f>
        <v/>
      </c>
      <c r="Q943" s="28">
        <f>-(6*F943*J943*L943*N943*SIN(RADIANS(E943))+6*O943*N943*G943*SIN(RADIANS(E943))*COS(RADIANS(E943)))/(12*N943*COS(RADIANS(E943))^2+L943*G943^2*SIN(RADIANS(E943))^2)</f>
        <v/>
      </c>
      <c r="R943" s="28">
        <f>-P943*SIN(RADIANS(E943))</f>
        <v/>
      </c>
      <c r="S943" s="8">
        <f>(O943+P943*COS(RADIANS(E943)))/L943</f>
        <v/>
      </c>
      <c r="T943" s="8">
        <f>R943/L943</f>
        <v/>
      </c>
      <c r="U943" s="8">
        <f>(Q943-P943*G943*SIN(RADIANS(E943)))/M943</f>
        <v/>
      </c>
      <c r="V943" s="8">
        <f>SQRT((S943+U943)^2+3*T943^2)</f>
        <v/>
      </c>
      <c r="W943" s="8">
        <f>V943/AA943</f>
        <v/>
      </c>
      <c r="X943" s="27">
        <f>((3*10+H943/COS(RADIANS(E943)))*(3+3)+3*G943*H943)*2</f>
        <v/>
      </c>
      <c r="Y943" s="28">
        <f>Z943/X943</f>
        <v/>
      </c>
      <c r="Z943" s="29" t="n">
        <v>593.032783217599</v>
      </c>
      <c r="AA943" s="20" t="n">
        <v>70.1996999264676</v>
      </c>
      <c r="AB943" t="n">
        <v>0.1311493415439248</v>
      </c>
      <c r="AC943" t="n">
        <v>73.91406836469102</v>
      </c>
      <c r="AD943" t="n">
        <v>28.17159623854971</v>
      </c>
    </row>
    <row r="944">
      <c r="A944" t="n">
        <v>943</v>
      </c>
      <c r="B944" t="n">
        <v>59</v>
      </c>
      <c r="C944" s="21">
        <f>B944-20</f>
        <v/>
      </c>
      <c r="D944" t="n">
        <v>106.5</v>
      </c>
      <c r="E944" s="22">
        <f>D944-90</f>
        <v/>
      </c>
      <c r="F944" s="23" t="n">
        <v>0.016906</v>
      </c>
      <c r="G944" s="22" t="n">
        <v>33.4</v>
      </c>
      <c r="H944" s="22" t="n">
        <v>1.7</v>
      </c>
      <c r="I944" s="24" t="n">
        <v>0.110582567751407</v>
      </c>
      <c r="J944" s="6" t="n">
        <v>71000</v>
      </c>
      <c r="K944" s="25">
        <f>23*10^-6</f>
        <v/>
      </c>
      <c r="L944" s="8">
        <f>H944</f>
        <v/>
      </c>
      <c r="M944" s="26">
        <f>H944^2/6</f>
        <v/>
      </c>
      <c r="N944" s="26">
        <f>H944^3/12</f>
        <v/>
      </c>
      <c r="O944" s="27">
        <f>-J944*L944*K944*C944</f>
        <v/>
      </c>
      <c r="P944" s="28">
        <f>-(12*F944*J944*L944*N944+12*O944*N944*G944*COS(RADIANS(E944)))/(12*N944*G944*COS(RADIANS(E944))^2+L944*G944^3*SIN(RADIANS(E944))^2)</f>
        <v/>
      </c>
      <c r="Q944" s="28">
        <f>-(6*F944*J944*L944*N944*SIN(RADIANS(E944))+6*O944*N944*G944*SIN(RADIANS(E944))*COS(RADIANS(E944)))/(12*N944*COS(RADIANS(E944))^2+L944*G944^2*SIN(RADIANS(E944))^2)</f>
        <v/>
      </c>
      <c r="R944" s="28">
        <f>-P944*SIN(RADIANS(E944))</f>
        <v/>
      </c>
      <c r="S944" s="8">
        <f>(O944+P944*COS(RADIANS(E944)))/L944</f>
        <v/>
      </c>
      <c r="T944" s="8">
        <f>R944/L944</f>
        <v/>
      </c>
      <c r="U944" s="8">
        <f>(Q944-P944*G944*SIN(RADIANS(E944)))/M944</f>
        <v/>
      </c>
      <c r="V944" s="8">
        <f>SQRT((S944+U944)^2+3*T944^2)</f>
        <v/>
      </c>
      <c r="W944" s="8">
        <f>V944/AA944</f>
        <v/>
      </c>
      <c r="X944" s="27">
        <f>((3*10+H944/COS(RADIANS(E944)))*(3+3)+3*G944*H944)*2</f>
        <v/>
      </c>
      <c r="Y944" s="28">
        <f>Z944/X944</f>
        <v/>
      </c>
      <c r="Z944" s="29" t="n">
        <v>726.420561111555</v>
      </c>
      <c r="AA944" s="20" t="n">
        <v>62.7787515737536</v>
      </c>
      <c r="AB944" t="n">
        <v>0.1577537442092587</v>
      </c>
      <c r="AC944" t="n">
        <v>62.55668699036431</v>
      </c>
      <c r="AD944" t="n">
        <v>42.65697335215976</v>
      </c>
    </row>
    <row r="945">
      <c r="A945" t="n">
        <v>944</v>
      </c>
      <c r="B945" t="n">
        <v>57.1</v>
      </c>
      <c r="C945" s="21">
        <f>B945-20</f>
        <v/>
      </c>
      <c r="D945" t="n">
        <v>111.1</v>
      </c>
      <c r="E945" s="22">
        <f>D945-90</f>
        <v/>
      </c>
      <c r="F945" s="23" t="n">
        <v>0.011416</v>
      </c>
      <c r="G945" s="22" t="n">
        <v>22.5</v>
      </c>
      <c r="H945" s="22" t="n">
        <v>1.7</v>
      </c>
      <c r="I945" s="24" t="n">
        <v>0.0662083998322486</v>
      </c>
      <c r="J945" s="6" t="n">
        <v>71000</v>
      </c>
      <c r="K945" s="25">
        <f>23*10^-6</f>
        <v/>
      </c>
      <c r="L945" s="8">
        <f>H945</f>
        <v/>
      </c>
      <c r="M945" s="26">
        <f>H945^2/6</f>
        <v/>
      </c>
      <c r="N945" s="26">
        <f>H945^3/12</f>
        <v/>
      </c>
      <c r="O945" s="27">
        <f>-J945*L945*K945*C945</f>
        <v/>
      </c>
      <c r="P945" s="28">
        <f>-(12*F945*J945*L945*N945+12*O945*N945*G945*COS(RADIANS(E945)))/(12*N945*G945*COS(RADIANS(E945))^2+L945*G945^3*SIN(RADIANS(E945))^2)</f>
        <v/>
      </c>
      <c r="Q945" s="28">
        <f>-(6*F945*J945*L945*N945*SIN(RADIANS(E945))+6*O945*N945*G945*SIN(RADIANS(E945))*COS(RADIANS(E945)))/(12*N945*COS(RADIANS(E945))^2+L945*G945^2*SIN(RADIANS(E945))^2)</f>
        <v/>
      </c>
      <c r="R945" s="28">
        <f>-P945*SIN(RADIANS(E945))</f>
        <v/>
      </c>
      <c r="S945" s="8">
        <f>(O945+P945*COS(RADIANS(E945)))/L945</f>
        <v/>
      </c>
      <c r="T945" s="8">
        <f>R945/L945</f>
        <v/>
      </c>
      <c r="U945" s="8">
        <f>(Q945-P945*G945*SIN(RADIANS(E945)))/M945</f>
        <v/>
      </c>
      <c r="V945" s="8">
        <f>SQRT((S945+U945)^2+3*T945^2)</f>
        <v/>
      </c>
      <c r="W945" s="8">
        <f>V945/AA945</f>
        <v/>
      </c>
      <c r="X945" s="27">
        <f>((3*10+H945/COS(RADIANS(E945)))*(3+3)+3*G945*H945)*2</f>
        <v/>
      </c>
      <c r="Y945" s="28">
        <f>Z945/X945</f>
        <v/>
      </c>
      <c r="Z945" s="29" t="n">
        <v>616.524423935023</v>
      </c>
      <c r="AA945" s="20" t="n">
        <v>61.4336229054287</v>
      </c>
      <c r="AB945" t="n">
        <v>0.07969206532078636</v>
      </c>
      <c r="AC945" t="n">
        <v>59.38804285498244</v>
      </c>
      <c r="AD945" t="n">
        <v>20.36549066689597</v>
      </c>
    </row>
    <row r="946">
      <c r="A946" t="n">
        <v>945</v>
      </c>
      <c r="B946" t="n">
        <v>81.09999999999999</v>
      </c>
      <c r="C946" s="21">
        <f>B946-20</f>
        <v/>
      </c>
      <c r="D946" t="n">
        <v>120</v>
      </c>
      <c r="E946" s="22">
        <f>D946-90</f>
        <v/>
      </c>
      <c r="F946" s="23" t="n">
        <v>0.022879</v>
      </c>
      <c r="G946" s="22" t="n">
        <v>31</v>
      </c>
      <c r="H946" s="22" t="n">
        <v>1.7</v>
      </c>
      <c r="I946" s="24" t="n">
        <v>0.106158927083015</v>
      </c>
      <c r="J946" s="6" t="n">
        <v>71000</v>
      </c>
      <c r="K946" s="25">
        <f>23*10^-6</f>
        <v/>
      </c>
      <c r="L946" s="8">
        <f>H946</f>
        <v/>
      </c>
      <c r="M946" s="26">
        <f>H946^2/6</f>
        <v/>
      </c>
      <c r="N946" s="26">
        <f>H946^3/12</f>
        <v/>
      </c>
      <c r="O946" s="27">
        <f>-J946*L946*K946*C946</f>
        <v/>
      </c>
      <c r="P946" s="28">
        <f>-(12*F946*J946*L946*N946+12*O946*N946*G946*COS(RADIANS(E946)))/(12*N946*G946*COS(RADIANS(E946))^2+L946*G946^3*SIN(RADIANS(E946))^2)</f>
        <v/>
      </c>
      <c r="Q946" s="28">
        <f>-(6*F946*J946*L946*N946*SIN(RADIANS(E946))+6*O946*N946*G946*SIN(RADIANS(E946))*COS(RADIANS(E946)))/(12*N946*COS(RADIANS(E946))^2+L946*G946^2*SIN(RADIANS(E946))^2)</f>
        <v/>
      </c>
      <c r="R946" s="28">
        <f>-P946*SIN(RADIANS(E946))</f>
        <v/>
      </c>
      <c r="S946" s="8">
        <f>(O946+P946*COS(RADIANS(E946)))/L946</f>
        <v/>
      </c>
      <c r="T946" s="8">
        <f>R946/L946</f>
        <v/>
      </c>
      <c r="U946" s="8">
        <f>(Q946-P946*G946*SIN(RADIANS(E946)))/M946</f>
        <v/>
      </c>
      <c r="V946" s="8">
        <f>SQRT((S946+U946)^2+3*T946^2)</f>
        <v/>
      </c>
      <c r="W946" s="8">
        <f>V946/AA946</f>
        <v/>
      </c>
      <c r="X946" s="27">
        <f>((3*10+H946/COS(RADIANS(E946)))*(3+3)+3*G946*H946)*2</f>
        <v/>
      </c>
      <c r="Y946" s="28">
        <f>Z946/X946</f>
        <v/>
      </c>
      <c r="Z946" s="29" t="n">
        <v>706.90233328968</v>
      </c>
      <c r="AA946" s="20" t="n">
        <v>93.4003049406243</v>
      </c>
      <c r="AB946" t="n">
        <v>0.1255049073381367</v>
      </c>
      <c r="AC946" t="n">
        <v>90.89753964394906</v>
      </c>
      <c r="AD946" t="n">
        <v>18.22360190207404</v>
      </c>
    </row>
    <row r="947">
      <c r="A947" t="n">
        <v>946</v>
      </c>
      <c r="B947" t="n">
        <v>79.5</v>
      </c>
      <c r="C947" s="21">
        <f>B947-20</f>
        <v/>
      </c>
      <c r="D947" t="n">
        <v>127.3</v>
      </c>
      <c r="E947" s="22">
        <f>D947-90</f>
        <v/>
      </c>
      <c r="F947" s="23" t="n">
        <v>0.021444</v>
      </c>
      <c r="G947" s="22" t="n">
        <v>32.2</v>
      </c>
      <c r="H947" s="22" t="n">
        <v>1</v>
      </c>
      <c r="I947" s="24" t="n">
        <v>0.09196055680513381</v>
      </c>
      <c r="J947" s="6" t="n">
        <v>71000</v>
      </c>
      <c r="K947" s="25">
        <f>23*10^-6</f>
        <v/>
      </c>
      <c r="L947" s="8">
        <f>H947</f>
        <v/>
      </c>
      <c r="M947" s="26">
        <f>H947^2/6</f>
        <v/>
      </c>
      <c r="N947" s="26">
        <f>H947^3/12</f>
        <v/>
      </c>
      <c r="O947" s="27">
        <f>-J947*L947*K947*C947</f>
        <v/>
      </c>
      <c r="P947" s="28">
        <f>-(12*F947*J947*L947*N947+12*O947*N947*G947*COS(RADIANS(E947)))/(12*N947*G947*COS(RADIANS(E947))^2+L947*G947^3*SIN(RADIANS(E947))^2)</f>
        <v/>
      </c>
      <c r="Q947" s="28">
        <f>-(6*F947*J947*L947*N947*SIN(RADIANS(E947))+6*O947*N947*G947*SIN(RADIANS(E947))*COS(RADIANS(E947)))/(12*N947*COS(RADIANS(E947))^2+L947*G947^2*SIN(RADIANS(E947))^2)</f>
        <v/>
      </c>
      <c r="R947" s="28">
        <f>-P947*SIN(RADIANS(E947))</f>
        <v/>
      </c>
      <c r="S947" s="8">
        <f>(O947+P947*COS(RADIANS(E947)))/L947</f>
        <v/>
      </c>
      <c r="T947" s="8">
        <f>R947/L947</f>
        <v/>
      </c>
      <c r="U947" s="8">
        <f>(Q947-P947*G947*SIN(RADIANS(E947)))/M947</f>
        <v/>
      </c>
      <c r="V947" s="8">
        <f>SQRT((S947+U947)^2+3*T947^2)</f>
        <v/>
      </c>
      <c r="W947" s="8">
        <f>V947/AA947</f>
        <v/>
      </c>
      <c r="X947" s="27">
        <f>((3*10+H947/COS(RADIANS(E947)))*(3+3)+3*G947*H947)*2</f>
        <v/>
      </c>
      <c r="Y947" s="28">
        <f>Z947/X947</f>
        <v/>
      </c>
      <c r="Z947" s="29" t="n">
        <v>577.889694944622</v>
      </c>
      <c r="AA947" s="20" t="n">
        <v>75.87554615494309</v>
      </c>
      <c r="AB947" t="n">
        <v>0.1006718096061092</v>
      </c>
      <c r="AC947" t="n">
        <v>83.65251545183152</v>
      </c>
      <c r="AD947" t="n">
        <v>9.472814327815298</v>
      </c>
    </row>
    <row r="948">
      <c r="A948" t="n">
        <v>947</v>
      </c>
      <c r="B948" t="n">
        <v>78</v>
      </c>
      <c r="C948" s="21">
        <f>B948-20</f>
        <v/>
      </c>
      <c r="D948" t="n">
        <v>105.2</v>
      </c>
      <c r="E948" s="22">
        <f>D948-90</f>
        <v/>
      </c>
      <c r="F948" s="23" t="n">
        <v>0.024449</v>
      </c>
      <c r="G948" s="22" t="n">
        <v>32.1</v>
      </c>
      <c r="H948" s="22" t="n">
        <v>1.4</v>
      </c>
      <c r="I948" s="24" t="n">
        <v>0.171307533979415</v>
      </c>
      <c r="J948" s="6" t="n">
        <v>71000</v>
      </c>
      <c r="K948" s="25">
        <f>23*10^-6</f>
        <v/>
      </c>
      <c r="L948" s="8">
        <f>H948</f>
        <v/>
      </c>
      <c r="M948" s="26">
        <f>H948^2/6</f>
        <v/>
      </c>
      <c r="N948" s="26">
        <f>H948^3/12</f>
        <v/>
      </c>
      <c r="O948" s="27">
        <f>-J948*L948*K948*C948</f>
        <v/>
      </c>
      <c r="P948" s="28">
        <f>-(12*F948*J948*L948*N948+12*O948*N948*G948*COS(RADIANS(E948)))/(12*N948*G948*COS(RADIANS(E948))^2+L948*G948^3*SIN(RADIANS(E948))^2)</f>
        <v/>
      </c>
      <c r="Q948" s="28">
        <f>-(6*F948*J948*L948*N948*SIN(RADIANS(E948))+6*O948*N948*G948*SIN(RADIANS(E948))*COS(RADIANS(E948)))/(12*N948*COS(RADIANS(E948))^2+L948*G948^2*SIN(RADIANS(E948))^2)</f>
        <v/>
      </c>
      <c r="R948" s="28">
        <f>-P948*SIN(RADIANS(E948))</f>
        <v/>
      </c>
      <c r="S948" s="8">
        <f>(O948+P948*COS(RADIANS(E948)))/L948</f>
        <v/>
      </c>
      <c r="T948" s="8">
        <f>R948/L948</f>
        <v/>
      </c>
      <c r="U948" s="8">
        <f>(Q948-P948*G948*SIN(RADIANS(E948)))/M948</f>
        <v/>
      </c>
      <c r="V948" s="8">
        <f>SQRT((S948+U948)^2+3*T948^2)</f>
        <v/>
      </c>
      <c r="W948" s="8">
        <f>V948/AA948</f>
        <v/>
      </c>
      <c r="X948" s="27">
        <f>((3*10+H948/COS(RADIANS(E948)))*(3+3)+3*G948*H948)*2</f>
        <v/>
      </c>
      <c r="Y948" s="28">
        <f>Z948/X948</f>
        <v/>
      </c>
      <c r="Z948" s="29" t="n">
        <v>651.352699467558</v>
      </c>
      <c r="AA948" s="20" t="n">
        <v>88.74716074394171</v>
      </c>
      <c r="AB948" t="n">
        <v>0.2467802966826133</v>
      </c>
      <c r="AC948" t="n">
        <v>92.03693908777778</v>
      </c>
      <c r="AD948" t="n">
        <v>44.05688468568311</v>
      </c>
    </row>
    <row r="949">
      <c r="A949" t="n">
        <v>948</v>
      </c>
      <c r="B949" t="n">
        <v>85.5</v>
      </c>
      <c r="C949" s="21">
        <f>B949-20</f>
        <v/>
      </c>
      <c r="D949" t="n">
        <v>119</v>
      </c>
      <c r="E949" s="22">
        <f>D949-90</f>
        <v/>
      </c>
      <c r="F949" s="23" t="n">
        <v>0.02453</v>
      </c>
      <c r="G949" s="22" t="n">
        <v>30.7</v>
      </c>
      <c r="H949" s="22" t="n">
        <v>1.7</v>
      </c>
      <c r="I949" s="24" t="n">
        <v>0.115659721195697</v>
      </c>
      <c r="J949" s="6" t="n">
        <v>71000</v>
      </c>
      <c r="K949" s="25">
        <f>23*10^-6</f>
        <v/>
      </c>
      <c r="L949" s="8">
        <f>H949</f>
        <v/>
      </c>
      <c r="M949" s="26">
        <f>H949^2/6</f>
        <v/>
      </c>
      <c r="N949" s="26">
        <f>H949^3/12</f>
        <v/>
      </c>
      <c r="O949" s="27">
        <f>-J949*L949*K949*C949</f>
        <v/>
      </c>
      <c r="P949" s="28">
        <f>-(12*F949*J949*L949*N949+12*O949*N949*G949*COS(RADIANS(E949)))/(12*N949*G949*COS(RADIANS(E949))^2+L949*G949^3*SIN(RADIANS(E949))^2)</f>
        <v/>
      </c>
      <c r="Q949" s="28">
        <f>-(6*F949*J949*L949*N949*SIN(RADIANS(E949))+6*O949*N949*G949*SIN(RADIANS(E949))*COS(RADIANS(E949)))/(12*N949*COS(RADIANS(E949))^2+L949*G949^2*SIN(RADIANS(E949))^2)</f>
        <v/>
      </c>
      <c r="R949" s="28">
        <f>-P949*SIN(RADIANS(E949))</f>
        <v/>
      </c>
      <c r="S949" s="8">
        <f>(O949+P949*COS(RADIANS(E949)))/L949</f>
        <v/>
      </c>
      <c r="T949" s="8">
        <f>R949/L949</f>
        <v/>
      </c>
      <c r="U949" s="8">
        <f>(Q949-P949*G949*SIN(RADIANS(E949)))/M949</f>
        <v/>
      </c>
      <c r="V949" s="8">
        <f>SQRT((S949+U949)^2+3*T949^2)</f>
        <v/>
      </c>
      <c r="W949" s="8">
        <f>V949/AA949</f>
        <v/>
      </c>
      <c r="X949" s="27">
        <f>((3*10+H949/COS(RADIANS(E949)))*(3+3)+3*G949*H949)*2</f>
        <v/>
      </c>
      <c r="Y949" s="28">
        <f>Z949/X949</f>
        <v/>
      </c>
      <c r="Z949" s="29" t="n">
        <v>703.338549999215</v>
      </c>
      <c r="AA949" s="20" t="n">
        <v>100.662002390094</v>
      </c>
      <c r="AB949" t="n">
        <v>0.138135866163393</v>
      </c>
      <c r="AC949" t="n">
        <v>97.90750650329986</v>
      </c>
      <c r="AD949" t="n">
        <v>19.4329925192075</v>
      </c>
    </row>
    <row r="950">
      <c r="A950" t="n">
        <v>949</v>
      </c>
      <c r="B950" t="n">
        <v>40.8</v>
      </c>
      <c r="C950" s="21">
        <f>B950-20</f>
        <v/>
      </c>
      <c r="D950" t="n">
        <v>112</v>
      </c>
      <c r="E950" s="22">
        <f>D950-90</f>
        <v/>
      </c>
      <c r="F950" s="23" t="n">
        <v>0.006106</v>
      </c>
      <c r="G950" s="22" t="n">
        <v>21.3</v>
      </c>
      <c r="H950" s="22" t="n">
        <v>1</v>
      </c>
      <c r="I950" s="24" t="n">
        <v>0.0352072492241859</v>
      </c>
      <c r="J950" s="6" t="n">
        <v>71000</v>
      </c>
      <c r="K950" s="25">
        <f>23*10^-6</f>
        <v/>
      </c>
      <c r="L950" s="8">
        <f>H950</f>
        <v/>
      </c>
      <c r="M950" s="26">
        <f>H950^2/6</f>
        <v/>
      </c>
      <c r="N950" s="26">
        <f>H950^3/12</f>
        <v/>
      </c>
      <c r="O950" s="27">
        <f>-J950*L950*K950*C950</f>
        <v/>
      </c>
      <c r="P950" s="28">
        <f>-(12*F950*J950*L950*N950+12*O950*N950*G950*COS(RADIANS(E950)))/(12*N950*G950*COS(RADIANS(E950))^2+L950*G950^3*SIN(RADIANS(E950))^2)</f>
        <v/>
      </c>
      <c r="Q950" s="28">
        <f>-(6*F950*J950*L950*N950*SIN(RADIANS(E950))+6*O950*N950*G950*SIN(RADIANS(E950))*COS(RADIANS(E950)))/(12*N950*COS(RADIANS(E950))^2+L950*G950^2*SIN(RADIANS(E950))^2)</f>
        <v/>
      </c>
      <c r="R950" s="28">
        <f>-P950*SIN(RADIANS(E950))</f>
        <v/>
      </c>
      <c r="S950" s="8">
        <f>(O950+P950*COS(RADIANS(E950)))/L950</f>
        <v/>
      </c>
      <c r="T950" s="8">
        <f>R950/L950</f>
        <v/>
      </c>
      <c r="U950" s="8">
        <f>(Q950-P950*G950*SIN(RADIANS(E950)))/M950</f>
        <v/>
      </c>
      <c r="V950" s="8">
        <f>SQRT((S950+U950)^2+3*T950^2)</f>
        <v/>
      </c>
      <c r="W950" s="8">
        <f>V950/AA950</f>
        <v/>
      </c>
      <c r="X950" s="27">
        <f>((3*10+H950/COS(RADIANS(E950)))*(3+3)+3*G950*H950)*2</f>
        <v/>
      </c>
      <c r="Y950" s="28">
        <f>Z950/X950</f>
        <v/>
      </c>
      <c r="Z950" s="29" t="n">
        <v>506.060880122033</v>
      </c>
      <c r="AA950" s="20" t="n">
        <v>29.5051338291937</v>
      </c>
      <c r="AB950" t="n">
        <v>0.04171696182061709</v>
      </c>
      <c r="AC950" t="n">
        <v>31.20473848756803</v>
      </c>
      <c r="AD950" t="n">
        <v>18.48969385531912</v>
      </c>
    </row>
    <row r="951">
      <c r="A951" t="n">
        <v>950</v>
      </c>
      <c r="B951" t="n">
        <v>77.3</v>
      </c>
      <c r="C951" s="21">
        <f>B951-20</f>
        <v/>
      </c>
      <c r="D951" t="n">
        <v>108.6</v>
      </c>
      <c r="E951" s="22">
        <f>D951-90</f>
        <v/>
      </c>
      <c r="F951" s="23" t="n">
        <v>0.02435</v>
      </c>
      <c r="G951" s="22" t="n">
        <v>33</v>
      </c>
      <c r="H951" s="22" t="n">
        <v>1.1</v>
      </c>
      <c r="I951" s="24" t="n">
        <v>0.147803977131843</v>
      </c>
      <c r="J951" s="6" t="n">
        <v>71000</v>
      </c>
      <c r="K951" s="25">
        <f>23*10^-6</f>
        <v/>
      </c>
      <c r="L951" s="8">
        <f>H951</f>
        <v/>
      </c>
      <c r="M951" s="26">
        <f>H951^2/6</f>
        <v/>
      </c>
      <c r="N951" s="26">
        <f>H951^3/12</f>
        <v/>
      </c>
      <c r="O951" s="27">
        <f>-J951*L951*K951*C951</f>
        <v/>
      </c>
      <c r="P951" s="28">
        <f>-(12*F951*J951*L951*N951+12*O951*N951*G951*COS(RADIANS(E951)))/(12*N951*G951*COS(RADIANS(E951))^2+L951*G951^3*SIN(RADIANS(E951))^2)</f>
        <v/>
      </c>
      <c r="Q951" s="28">
        <f>-(6*F951*J951*L951*N951*SIN(RADIANS(E951))+6*O951*N951*G951*SIN(RADIANS(E951))*COS(RADIANS(E951)))/(12*N951*COS(RADIANS(E951))^2+L951*G951^2*SIN(RADIANS(E951))^2)</f>
        <v/>
      </c>
      <c r="R951" s="28">
        <f>-P951*SIN(RADIANS(E951))</f>
        <v/>
      </c>
      <c r="S951" s="8">
        <f>(O951+P951*COS(RADIANS(E951)))/L951</f>
        <v/>
      </c>
      <c r="T951" s="8">
        <f>R951/L951</f>
        <v/>
      </c>
      <c r="U951" s="8">
        <f>(Q951-P951*G951*SIN(RADIANS(E951)))/M951</f>
        <v/>
      </c>
      <c r="V951" s="8">
        <f>SQRT((S951+U951)^2+3*T951^2)</f>
        <v/>
      </c>
      <c r="W951" s="8">
        <f>V951/AA951</f>
        <v/>
      </c>
      <c r="X951" s="27">
        <f>((3*10+H951/COS(RADIANS(E951)))*(3+3)+3*G951*H951)*2</f>
        <v/>
      </c>
      <c r="Y951" s="28">
        <f>Z951/X951</f>
        <v/>
      </c>
      <c r="Z951" s="29" t="n">
        <v>596.483724247552</v>
      </c>
      <c r="AA951" s="20" t="n">
        <v>81.0651186169947</v>
      </c>
      <c r="AB951" t="n">
        <v>0.2065982071082985</v>
      </c>
      <c r="AC951" t="n">
        <v>85.92327949087691</v>
      </c>
      <c r="AD951" t="n">
        <v>39.77851686900837</v>
      </c>
    </row>
    <row r="952">
      <c r="A952" t="n">
        <v>951</v>
      </c>
      <c r="B952" t="n">
        <v>82</v>
      </c>
      <c r="C952" s="21">
        <f>B952-20</f>
        <v/>
      </c>
      <c r="D952" t="n">
        <v>118</v>
      </c>
      <c r="E952" s="22">
        <f>D952-90</f>
        <v/>
      </c>
      <c r="F952" s="23" t="n">
        <v>0.018407</v>
      </c>
      <c r="G952" s="22" t="n">
        <v>22.7</v>
      </c>
      <c r="H952" s="22" t="n">
        <v>1</v>
      </c>
      <c r="I952" s="24" t="n">
        <v>0.09224594384431831</v>
      </c>
      <c r="J952" s="6" t="n">
        <v>71000</v>
      </c>
      <c r="K952" s="25">
        <f>23*10^-6</f>
        <v/>
      </c>
      <c r="L952" s="8">
        <f>H952</f>
        <v/>
      </c>
      <c r="M952" s="26">
        <f>H952^2/6</f>
        <v/>
      </c>
      <c r="N952" s="26">
        <f>H952^3/12</f>
        <v/>
      </c>
      <c r="O952" s="27">
        <f>-J952*L952*K952*C952</f>
        <v/>
      </c>
      <c r="P952" s="28">
        <f>-(12*F952*J952*L952*N952+12*O952*N952*G952*COS(RADIANS(E952)))/(12*N952*G952*COS(RADIANS(E952))^2+L952*G952^3*SIN(RADIANS(E952))^2)</f>
        <v/>
      </c>
      <c r="Q952" s="28">
        <f>-(6*F952*J952*L952*N952*SIN(RADIANS(E952))+6*O952*N952*G952*SIN(RADIANS(E952))*COS(RADIANS(E952)))/(12*N952*COS(RADIANS(E952))^2+L952*G952^2*SIN(RADIANS(E952))^2)</f>
        <v/>
      </c>
      <c r="R952" s="28">
        <f>-P952*SIN(RADIANS(E952))</f>
        <v/>
      </c>
      <c r="S952" s="8">
        <f>(O952+P952*COS(RADIANS(E952)))/L952</f>
        <v/>
      </c>
      <c r="T952" s="8">
        <f>R952/L952</f>
        <v/>
      </c>
      <c r="U952" s="8">
        <f>(Q952-P952*G952*SIN(RADIANS(E952)))/M952</f>
        <v/>
      </c>
      <c r="V952" s="8">
        <f>SQRT((S952+U952)^2+3*T952^2)</f>
        <v/>
      </c>
      <c r="W952" s="8">
        <f>V952/AA952</f>
        <v/>
      </c>
      <c r="X952" s="27">
        <f>((3*10+H952/COS(RADIANS(E952)))*(3+3)+3*G952*H952)*2</f>
        <v/>
      </c>
      <c r="Y952" s="28">
        <f>Z952/X952</f>
        <v/>
      </c>
      <c r="Z952" s="29" t="n">
        <v>516.406151210446</v>
      </c>
      <c r="AA952" s="20" t="n">
        <v>86.29478736818901</v>
      </c>
      <c r="AB952" t="n">
        <v>0.1027962511229883</v>
      </c>
      <c r="AC952" t="n">
        <v>90.38922220784789</v>
      </c>
      <c r="AD952" t="n">
        <v>11.43715033852935</v>
      </c>
    </row>
    <row r="953">
      <c r="A953" t="n">
        <v>952</v>
      </c>
      <c r="B953" t="n">
        <v>74</v>
      </c>
      <c r="C953" s="21">
        <f>B953-20</f>
        <v/>
      </c>
      <c r="D953" t="n">
        <v>118.3</v>
      </c>
      <c r="E953" s="22">
        <f>D953-90</f>
        <v/>
      </c>
      <c r="F953" s="23" t="n">
        <v>0.02055</v>
      </c>
      <c r="G953" s="22" t="n">
        <v>31.1</v>
      </c>
      <c r="H953" s="22" t="n">
        <v>1.6</v>
      </c>
      <c r="I953" s="24" t="n">
        <v>0.09780058264732359</v>
      </c>
      <c r="J953" s="6" t="n">
        <v>71000</v>
      </c>
      <c r="K953" s="25">
        <f>23*10^-6</f>
        <v/>
      </c>
      <c r="L953" s="8">
        <f>H953</f>
        <v/>
      </c>
      <c r="M953" s="26">
        <f>H953^2/6</f>
        <v/>
      </c>
      <c r="N953" s="26">
        <f>H953^3/12</f>
        <v/>
      </c>
      <c r="O953" s="27">
        <f>-J953*L953*K953*C953</f>
        <v/>
      </c>
      <c r="P953" s="28">
        <f>-(12*F953*J953*L953*N953+12*O953*N953*G953*COS(RADIANS(E953)))/(12*N953*G953*COS(RADIANS(E953))^2+L953*G953^3*SIN(RADIANS(E953))^2)</f>
        <v/>
      </c>
      <c r="Q953" s="28">
        <f>-(6*F953*J953*L953*N953*SIN(RADIANS(E953))+6*O953*N953*G953*SIN(RADIANS(E953))*COS(RADIANS(E953)))/(12*N953*COS(RADIANS(E953))^2+L953*G953^2*SIN(RADIANS(E953))^2)</f>
        <v/>
      </c>
      <c r="R953" s="28">
        <f>-P953*SIN(RADIANS(E953))</f>
        <v/>
      </c>
      <c r="S953" s="8">
        <f>(O953+P953*COS(RADIANS(E953)))/L953</f>
        <v/>
      </c>
      <c r="T953" s="8">
        <f>R953/L953</f>
        <v/>
      </c>
      <c r="U953" s="8">
        <f>(Q953-P953*G953*SIN(RADIANS(E953)))/M953</f>
        <v/>
      </c>
      <c r="V953" s="8">
        <f>SQRT((S953+U953)^2+3*T953^2)</f>
        <v/>
      </c>
      <c r="W953" s="8">
        <f>V953/AA953</f>
        <v/>
      </c>
      <c r="X953" s="27">
        <f>((3*10+H953/COS(RADIANS(E953)))*(3+3)+3*G953*H953)*2</f>
        <v/>
      </c>
      <c r="Y953" s="28">
        <f>Z953/X953</f>
        <v/>
      </c>
      <c r="Z953" s="29" t="n">
        <v>687.0579236889801</v>
      </c>
      <c r="AA953" s="20" t="n">
        <v>82.168882081246</v>
      </c>
      <c r="AB953" t="n">
        <v>0.118458632022785</v>
      </c>
      <c r="AC953" t="n">
        <v>80.42217392735201</v>
      </c>
      <c r="AD953" t="n">
        <v>21.12262403380148</v>
      </c>
    </row>
    <row r="954">
      <c r="A954" t="n">
        <v>953</v>
      </c>
      <c r="B954" t="n">
        <v>57.2</v>
      </c>
      <c r="C954" s="21">
        <f>B954-20</f>
        <v/>
      </c>
      <c r="D954" t="n">
        <v>103</v>
      </c>
      <c r="E954" s="22">
        <f>D954-90</f>
        <v/>
      </c>
      <c r="F954" s="23" t="n">
        <v>0.011181</v>
      </c>
      <c r="G954" s="22" t="n">
        <v>20.9</v>
      </c>
      <c r="H954" s="22" t="n">
        <v>1.3</v>
      </c>
      <c r="I954" s="24" t="n">
        <v>0.0898983553051948</v>
      </c>
      <c r="J954" s="6" t="n">
        <v>71000</v>
      </c>
      <c r="K954" s="25">
        <f>23*10^-6</f>
        <v/>
      </c>
      <c r="L954" s="8">
        <f>H954</f>
        <v/>
      </c>
      <c r="M954" s="26">
        <f>H954^2/6</f>
        <v/>
      </c>
      <c r="N954" s="26">
        <f>H954^3/12</f>
        <v/>
      </c>
      <c r="O954" s="27">
        <f>-J954*L954*K954*C954</f>
        <v/>
      </c>
      <c r="P954" s="28">
        <f>-(12*F954*J954*L954*N954+12*O954*N954*G954*COS(RADIANS(E954)))/(12*N954*G954*COS(RADIANS(E954))^2+L954*G954^3*SIN(RADIANS(E954))^2)</f>
        <v/>
      </c>
      <c r="Q954" s="28">
        <f>-(6*F954*J954*L954*N954*SIN(RADIANS(E954))+6*O954*N954*G954*SIN(RADIANS(E954))*COS(RADIANS(E954)))/(12*N954*COS(RADIANS(E954))^2+L954*G954^2*SIN(RADIANS(E954))^2)</f>
        <v/>
      </c>
      <c r="R954" s="28">
        <f>-P954*SIN(RADIANS(E954))</f>
        <v/>
      </c>
      <c r="S954" s="8">
        <f>(O954+P954*COS(RADIANS(E954)))/L954</f>
        <v/>
      </c>
      <c r="T954" s="8">
        <f>R954/L954</f>
        <v/>
      </c>
      <c r="U954" s="8">
        <f>(Q954-P954*G954*SIN(RADIANS(E954)))/M954</f>
        <v/>
      </c>
      <c r="V954" s="8">
        <f>SQRT((S954+U954)^2+3*T954^2)</f>
        <v/>
      </c>
      <c r="W954" s="8">
        <f>V954/AA954</f>
        <v/>
      </c>
      <c r="X954" s="27">
        <f>((3*10+H954/COS(RADIANS(E954)))*(3+3)+3*G954*H954)*2</f>
        <v/>
      </c>
      <c r="Y954" s="28">
        <f>Z954/X954</f>
        <v/>
      </c>
      <c r="Z954" s="29" t="n">
        <v>543.095272054258</v>
      </c>
      <c r="AA954" s="20" t="n">
        <v>59.4931181407501</v>
      </c>
      <c r="AB954" t="n">
        <v>0.1190896027532395</v>
      </c>
      <c r="AC954" t="n">
        <v>62.24530106505509</v>
      </c>
      <c r="AD954" t="n">
        <v>32.4713921060554</v>
      </c>
    </row>
    <row r="955">
      <c r="A955" t="n">
        <v>954</v>
      </c>
      <c r="B955" t="n">
        <v>80.2</v>
      </c>
      <c r="C955" s="21">
        <f>B955-20</f>
        <v/>
      </c>
      <c r="D955" t="n">
        <v>118.7</v>
      </c>
      <c r="E955" s="22">
        <f>D955-90</f>
        <v/>
      </c>
      <c r="F955" s="23" t="n">
        <v>0.024946</v>
      </c>
      <c r="G955" s="22" t="n">
        <v>34.6</v>
      </c>
      <c r="H955" s="22" t="n">
        <v>1.3</v>
      </c>
      <c r="I955" s="24" t="n">
        <v>0.116165190935134</v>
      </c>
      <c r="J955" s="6" t="n">
        <v>71000</v>
      </c>
      <c r="K955" s="25">
        <f>23*10^-6</f>
        <v/>
      </c>
      <c r="L955" s="8">
        <f>H955</f>
        <v/>
      </c>
      <c r="M955" s="26">
        <f>H955^2/6</f>
        <v/>
      </c>
      <c r="N955" s="26">
        <f>H955^3/12</f>
        <v/>
      </c>
      <c r="O955" s="27">
        <f>-J955*L955*K955*C955</f>
        <v/>
      </c>
      <c r="P955" s="28">
        <f>-(12*F955*J955*L955*N955+12*O955*N955*G955*COS(RADIANS(E955)))/(12*N955*G955*COS(RADIANS(E955))^2+L955*G955^3*SIN(RADIANS(E955))^2)</f>
        <v/>
      </c>
      <c r="Q955" s="28">
        <f>-(6*F955*J955*L955*N955*SIN(RADIANS(E955))+6*O955*N955*G955*SIN(RADIANS(E955))*COS(RADIANS(E955)))/(12*N955*COS(RADIANS(E955))^2+L955*G955^2*SIN(RADIANS(E955))^2)</f>
        <v/>
      </c>
      <c r="R955" s="28">
        <f>-P955*SIN(RADIANS(E955))</f>
        <v/>
      </c>
      <c r="S955" s="8">
        <f>(O955+P955*COS(RADIANS(E955)))/L955</f>
        <v/>
      </c>
      <c r="T955" s="8">
        <f>R955/L955</f>
        <v/>
      </c>
      <c r="U955" s="8">
        <f>(Q955-P955*G955*SIN(RADIANS(E955)))/M955</f>
        <v/>
      </c>
      <c r="V955" s="8">
        <f>SQRT((S955+U955)^2+3*T955^2)</f>
        <v/>
      </c>
      <c r="W955" s="8">
        <f>V955/AA955</f>
        <v/>
      </c>
      <c r="X955" s="27">
        <f>((3*10+H955/COS(RADIANS(E955)))*(3+3)+3*G955*H955)*2</f>
        <v/>
      </c>
      <c r="Y955" s="28">
        <f>Z955/X955</f>
        <v/>
      </c>
      <c r="Z955" s="29" t="n">
        <v>654.46003900192</v>
      </c>
      <c r="AA955" s="20" t="n">
        <v>85.59459812083389</v>
      </c>
      <c r="AB955" t="n">
        <v>0.1445792665108198</v>
      </c>
      <c r="AC955" t="n">
        <v>87.43479303739568</v>
      </c>
      <c r="AD955" t="n">
        <v>24.46006014964679</v>
      </c>
    </row>
    <row r="956">
      <c r="A956" t="n">
        <v>955</v>
      </c>
      <c r="B956" t="n">
        <v>72.5</v>
      </c>
      <c r="C956" s="21">
        <f>B956-20</f>
        <v/>
      </c>
      <c r="D956" t="n">
        <v>120.8</v>
      </c>
      <c r="E956" s="22">
        <f>D956-90</f>
        <v/>
      </c>
      <c r="F956" s="23" t="n">
        <v>0.020247</v>
      </c>
      <c r="G956" s="22" t="n">
        <v>32.4</v>
      </c>
      <c r="H956" s="22" t="n">
        <v>1.5</v>
      </c>
      <c r="I956" s="24" t="n">
        <v>0.0923230051994323</v>
      </c>
      <c r="J956" s="6" t="n">
        <v>71000</v>
      </c>
      <c r="K956" s="25">
        <f>23*10^-6</f>
        <v/>
      </c>
      <c r="L956" s="8">
        <f>H956</f>
        <v/>
      </c>
      <c r="M956" s="26">
        <f>H956^2/6</f>
        <v/>
      </c>
      <c r="N956" s="26">
        <f>H956^3/12</f>
        <v/>
      </c>
      <c r="O956" s="27">
        <f>-J956*L956*K956*C956</f>
        <v/>
      </c>
      <c r="P956" s="28">
        <f>-(12*F956*J956*L956*N956+12*O956*N956*G956*COS(RADIANS(E956)))/(12*N956*G956*COS(RADIANS(E956))^2+L956*G956^3*SIN(RADIANS(E956))^2)</f>
        <v/>
      </c>
      <c r="Q956" s="28">
        <f>-(6*F956*J956*L956*N956*SIN(RADIANS(E956))+6*O956*N956*G956*SIN(RADIANS(E956))*COS(RADIANS(E956)))/(12*N956*COS(RADIANS(E956))^2+L956*G956^2*SIN(RADIANS(E956))^2)</f>
        <v/>
      </c>
      <c r="R956" s="28">
        <f>-P956*SIN(RADIANS(E956))</f>
        <v/>
      </c>
      <c r="S956" s="8">
        <f>(O956+P956*COS(RADIANS(E956)))/L956</f>
        <v/>
      </c>
      <c r="T956" s="8">
        <f>R956/L956</f>
        <v/>
      </c>
      <c r="U956" s="8">
        <f>(Q956-P956*G956*SIN(RADIANS(E956)))/M956</f>
        <v/>
      </c>
      <c r="V956" s="8">
        <f>SQRT((S956+U956)^2+3*T956^2)</f>
        <v/>
      </c>
      <c r="W956" s="8">
        <f>V956/AA956</f>
        <v/>
      </c>
      <c r="X956" s="27">
        <f>((3*10+H956/COS(RADIANS(E956)))*(3+3)+3*G956*H956)*2</f>
        <v/>
      </c>
      <c r="Y956" s="28">
        <f>Z956/X956</f>
        <v/>
      </c>
      <c r="Z956" s="29" t="n">
        <v>679.929975012577</v>
      </c>
      <c r="AA956" s="20" t="n">
        <v>77.2358565402221</v>
      </c>
      <c r="AB956" t="n">
        <v>0.1096370249699574</v>
      </c>
      <c r="AC956" t="n">
        <v>76.83714939666137</v>
      </c>
      <c r="AD956" t="n">
        <v>18.75374369922645</v>
      </c>
    </row>
    <row r="957">
      <c r="A957" t="n">
        <v>956</v>
      </c>
      <c r="B957" t="n">
        <v>75</v>
      </c>
      <c r="C957" s="21">
        <f>B957-20</f>
        <v/>
      </c>
      <c r="D957" t="n">
        <v>129.7</v>
      </c>
      <c r="E957" s="22">
        <f>D957-90</f>
        <v/>
      </c>
      <c r="F957" s="23" t="n">
        <v>0.016739</v>
      </c>
      <c r="G957" s="22" t="n">
        <v>26.9</v>
      </c>
      <c r="H957" s="22" t="n">
        <v>1.8</v>
      </c>
      <c r="I957" s="24" t="n">
        <v>0.07317540049552911</v>
      </c>
      <c r="J957" s="6" t="n">
        <v>71000</v>
      </c>
      <c r="K957" s="25">
        <f>23*10^-6</f>
        <v/>
      </c>
      <c r="L957" s="8">
        <f>H957</f>
        <v/>
      </c>
      <c r="M957" s="26">
        <f>H957^2/6</f>
        <v/>
      </c>
      <c r="N957" s="26">
        <f>H957^3/12</f>
        <v/>
      </c>
      <c r="O957" s="27">
        <f>-J957*L957*K957*C957</f>
        <v/>
      </c>
      <c r="P957" s="28">
        <f>-(12*F957*J957*L957*N957+12*O957*N957*G957*COS(RADIANS(E957)))/(12*N957*G957*COS(RADIANS(E957))^2+L957*G957^3*SIN(RADIANS(E957))^2)</f>
        <v/>
      </c>
      <c r="Q957" s="28">
        <f>-(6*F957*J957*L957*N957*SIN(RADIANS(E957))+6*O957*N957*G957*SIN(RADIANS(E957))*COS(RADIANS(E957)))/(12*N957*COS(RADIANS(E957))^2+L957*G957^2*SIN(RADIANS(E957))^2)</f>
        <v/>
      </c>
      <c r="R957" s="28">
        <f>-P957*SIN(RADIANS(E957))</f>
        <v/>
      </c>
      <c r="S957" s="8">
        <f>(O957+P957*COS(RADIANS(E957)))/L957</f>
        <v/>
      </c>
      <c r="T957" s="8">
        <f>R957/L957</f>
        <v/>
      </c>
      <c r="U957" s="8">
        <f>(Q957-P957*G957*SIN(RADIANS(E957)))/M957</f>
        <v/>
      </c>
      <c r="V957" s="8">
        <f>SQRT((S957+U957)^2+3*T957^2)</f>
        <v/>
      </c>
      <c r="W957" s="8">
        <f>V957/AA957</f>
        <v/>
      </c>
      <c r="X957" s="27">
        <f>((3*10+H957/COS(RADIANS(E957)))*(3+3)+3*G957*H957)*2</f>
        <v/>
      </c>
      <c r="Y957" s="28">
        <f>Z957/X957</f>
        <v/>
      </c>
      <c r="Z957" s="29" t="n">
        <v>689.220624928965</v>
      </c>
      <c r="AA957" s="20" t="n">
        <v>84.27549702886949</v>
      </c>
      <c r="AB957" t="n">
        <v>0.07287056878204773</v>
      </c>
      <c r="AC957" t="n">
        <v>80.10054240856766</v>
      </c>
      <c r="AD957" t="n">
        <v>-0.4165767613393538</v>
      </c>
    </row>
    <row r="958">
      <c r="A958" t="n">
        <v>957</v>
      </c>
      <c r="B958" t="n">
        <v>88.5</v>
      </c>
      <c r="C958" s="21">
        <f>B958-20</f>
        <v/>
      </c>
      <c r="D958" t="n">
        <v>129.6</v>
      </c>
      <c r="E958" s="22">
        <f>D958-90</f>
        <v/>
      </c>
      <c r="F958" s="23" t="n">
        <v>0.018464</v>
      </c>
      <c r="G958" s="22" t="n">
        <v>22.9</v>
      </c>
      <c r="H958" s="22" t="n">
        <v>1.3</v>
      </c>
      <c r="I958" s="24" t="n">
        <v>0.08250013738870619</v>
      </c>
      <c r="J958" s="6" t="n">
        <v>71000</v>
      </c>
      <c r="K958" s="25">
        <f>23*10^-6</f>
        <v/>
      </c>
      <c r="L958" s="8">
        <f>H958</f>
        <v/>
      </c>
      <c r="M958" s="26">
        <f>H958^2/6</f>
        <v/>
      </c>
      <c r="N958" s="26">
        <f>H958^3/12</f>
        <v/>
      </c>
      <c r="O958" s="27">
        <f>-J958*L958*K958*C958</f>
        <v/>
      </c>
      <c r="P958" s="28">
        <f>-(12*F958*J958*L958*N958+12*O958*N958*G958*COS(RADIANS(E958)))/(12*N958*G958*COS(RADIANS(E958))^2+L958*G958^3*SIN(RADIANS(E958))^2)</f>
        <v/>
      </c>
      <c r="Q958" s="28">
        <f>-(6*F958*J958*L958*N958*SIN(RADIANS(E958))+6*O958*N958*G958*SIN(RADIANS(E958))*COS(RADIANS(E958)))/(12*N958*COS(RADIANS(E958))^2+L958*G958^2*SIN(RADIANS(E958))^2)</f>
        <v/>
      </c>
      <c r="R958" s="28">
        <f>-P958*SIN(RADIANS(E958))</f>
        <v/>
      </c>
      <c r="S958" s="8">
        <f>(O958+P958*COS(RADIANS(E958)))/L958</f>
        <v/>
      </c>
      <c r="T958" s="8">
        <f>R958/L958</f>
        <v/>
      </c>
      <c r="U958" s="8">
        <f>(Q958-P958*G958*SIN(RADIANS(E958)))/M958</f>
        <v/>
      </c>
      <c r="V958" s="8">
        <f>SQRT((S958+U958)^2+3*T958^2)</f>
        <v/>
      </c>
      <c r="W958" s="8">
        <f>V958/AA958</f>
        <v/>
      </c>
      <c r="X958" s="27">
        <f>((3*10+H958/COS(RADIANS(E958)))*(3+3)+3*G958*H958)*2</f>
        <v/>
      </c>
      <c r="Y958" s="28">
        <f>Z958/X958</f>
        <v/>
      </c>
      <c r="Z958" s="29" t="n">
        <v>569.447943982155</v>
      </c>
      <c r="AA958" s="20" t="n">
        <v>96.0452492769449</v>
      </c>
      <c r="AB958" t="n">
        <v>0.07847907125530147</v>
      </c>
      <c r="AC958" t="n">
        <v>98.18960402313087</v>
      </c>
      <c r="AD958" t="n">
        <v>-4.874011438864807</v>
      </c>
    </row>
    <row r="959">
      <c r="A959" t="n">
        <v>958</v>
      </c>
      <c r="B959" t="n">
        <v>69.2</v>
      </c>
      <c r="C959" s="21">
        <f>B959-20</f>
        <v/>
      </c>
      <c r="D959" t="n">
        <v>114.1</v>
      </c>
      <c r="E959" s="22">
        <f>D959-90</f>
        <v/>
      </c>
      <c r="F959" s="23" t="n">
        <v>0.019903</v>
      </c>
      <c r="G959" s="22" t="n">
        <v>32.3</v>
      </c>
      <c r="H959" s="22" t="n">
        <v>1.7</v>
      </c>
      <c r="I959" s="24" t="n">
        <v>0.102400034666061</v>
      </c>
      <c r="J959" s="6" t="n">
        <v>71000</v>
      </c>
      <c r="K959" s="25">
        <f>23*10^-6</f>
        <v/>
      </c>
      <c r="L959" s="8">
        <f>H959</f>
        <v/>
      </c>
      <c r="M959" s="26">
        <f>H959^2/6</f>
        <v/>
      </c>
      <c r="N959" s="26">
        <f>H959^3/12</f>
        <v/>
      </c>
      <c r="O959" s="27">
        <f>-J959*L959*K959*C959</f>
        <v/>
      </c>
      <c r="P959" s="28">
        <f>-(12*F959*J959*L959*N959+12*O959*N959*G959*COS(RADIANS(E959)))/(12*N959*G959*COS(RADIANS(E959))^2+L959*G959^3*SIN(RADIANS(E959))^2)</f>
        <v/>
      </c>
      <c r="Q959" s="28">
        <f>-(6*F959*J959*L959*N959*SIN(RADIANS(E959))+6*O959*N959*G959*SIN(RADIANS(E959))*COS(RADIANS(E959)))/(12*N959*COS(RADIANS(E959))^2+L959*G959^2*SIN(RADIANS(E959))^2)</f>
        <v/>
      </c>
      <c r="R959" s="28">
        <f>-P959*SIN(RADIANS(E959))</f>
        <v/>
      </c>
      <c r="S959" s="8">
        <f>(O959+P959*COS(RADIANS(E959)))/L959</f>
        <v/>
      </c>
      <c r="T959" s="8">
        <f>R959/L959</f>
        <v/>
      </c>
      <c r="U959" s="8">
        <f>(Q959-P959*G959*SIN(RADIANS(E959)))/M959</f>
        <v/>
      </c>
      <c r="V959" s="8">
        <f>SQRT((S959+U959)^2+3*T959^2)</f>
        <v/>
      </c>
      <c r="W959" s="8">
        <f>V959/AA959</f>
        <v/>
      </c>
      <c r="X959" s="27">
        <f>((3*10+H959/COS(RADIANS(E959)))*(3+3)+3*G959*H959)*2</f>
        <v/>
      </c>
      <c r="Y959" s="28">
        <f>Z959/X959</f>
        <v/>
      </c>
      <c r="Z959" s="29" t="n">
        <v>717.533350714418</v>
      </c>
      <c r="AA959" s="20" t="n">
        <v>76.64537411848229</v>
      </c>
      <c r="AB959" t="n">
        <v>0.1320538873150244</v>
      </c>
      <c r="AC959" t="n">
        <v>75.00089651526903</v>
      </c>
      <c r="AD959" t="n">
        <v>28.95883067390381</v>
      </c>
    </row>
    <row r="960">
      <c r="A960" t="n">
        <v>959</v>
      </c>
      <c r="B960" t="n">
        <v>87</v>
      </c>
      <c r="C960" s="21">
        <f>B960-20</f>
        <v/>
      </c>
      <c r="D960" t="n">
        <v>119.1</v>
      </c>
      <c r="E960" s="22">
        <f>D960-90</f>
        <v/>
      </c>
      <c r="F960" s="23" t="n">
        <v>0.018531</v>
      </c>
      <c r="G960" s="22" t="n">
        <v>20.9</v>
      </c>
      <c r="H960" s="22" t="n">
        <v>1.4</v>
      </c>
      <c r="I960" s="24" t="n">
        <v>0.092417299747467</v>
      </c>
      <c r="J960" s="6" t="n">
        <v>71000</v>
      </c>
      <c r="K960" s="25">
        <f>23*10^-6</f>
        <v/>
      </c>
      <c r="L960" s="8">
        <f>H960</f>
        <v/>
      </c>
      <c r="M960" s="26">
        <f>H960^2/6</f>
        <v/>
      </c>
      <c r="N960" s="26">
        <f>H960^3/12</f>
        <v/>
      </c>
      <c r="O960" s="27">
        <f>-J960*L960*K960*C960</f>
        <v/>
      </c>
      <c r="P960" s="28">
        <f>-(12*F960*J960*L960*N960+12*O960*N960*G960*COS(RADIANS(E960)))/(12*N960*G960*COS(RADIANS(E960))^2+L960*G960^3*SIN(RADIANS(E960))^2)</f>
        <v/>
      </c>
      <c r="Q960" s="28">
        <f>-(6*F960*J960*L960*N960*SIN(RADIANS(E960))+6*O960*N960*G960*SIN(RADIANS(E960))*COS(RADIANS(E960)))/(12*N960*COS(RADIANS(E960))^2+L960*G960^2*SIN(RADIANS(E960))^2)</f>
        <v/>
      </c>
      <c r="R960" s="28">
        <f>-P960*SIN(RADIANS(E960))</f>
        <v/>
      </c>
      <c r="S960" s="8">
        <f>(O960+P960*COS(RADIANS(E960)))/L960</f>
        <v/>
      </c>
      <c r="T960" s="8">
        <f>R960/L960</f>
        <v/>
      </c>
      <c r="U960" s="8">
        <f>(Q960-P960*G960*SIN(RADIANS(E960)))/M960</f>
        <v/>
      </c>
      <c r="V960" s="8">
        <f>SQRT((S960+U960)^2+3*T960^2)</f>
        <v/>
      </c>
      <c r="W960" s="8">
        <f>V960/AA960</f>
        <v/>
      </c>
      <c r="X960" s="27">
        <f>((3*10+H960/COS(RADIANS(E960)))*(3+3)+3*G960*H960)*2</f>
        <v/>
      </c>
      <c r="Y960" s="28">
        <f>Z960/X960</f>
        <v/>
      </c>
      <c r="Z960" s="29" t="n">
        <v>561.6877207339101</v>
      </c>
      <c r="AA960" s="20" t="n">
        <v>102.654732662776</v>
      </c>
      <c r="AB960" t="n">
        <v>0.09794953156644202</v>
      </c>
      <c r="AC960" t="n">
        <v>100.4882665534918</v>
      </c>
      <c r="AD960" t="n">
        <v>5.986143107504777</v>
      </c>
    </row>
    <row r="961">
      <c r="A961" t="n">
        <v>960</v>
      </c>
      <c r="B961" t="n">
        <v>43.5</v>
      </c>
      <c r="C961" s="21">
        <f>B961-20</f>
        <v/>
      </c>
      <c r="D961" t="n">
        <v>105.4</v>
      </c>
      <c r="E961" s="22">
        <f>D961-90</f>
        <v/>
      </c>
      <c r="F961" s="23" t="n">
        <v>0.008116</v>
      </c>
      <c r="G961" s="22" t="n">
        <v>25.2</v>
      </c>
      <c r="H961" s="22" t="n">
        <v>1</v>
      </c>
      <c r="I961" s="24" t="n">
        <v>0.0581360459327697</v>
      </c>
      <c r="J961" s="6" t="n">
        <v>71000</v>
      </c>
      <c r="K961" s="25">
        <f>23*10^-6</f>
        <v/>
      </c>
      <c r="L961" s="8">
        <f>H961</f>
        <v/>
      </c>
      <c r="M961" s="26">
        <f>H961^2/6</f>
        <v/>
      </c>
      <c r="N961" s="26">
        <f>H961^3/12</f>
        <v/>
      </c>
      <c r="O961" s="27">
        <f>-J961*L961*K961*C961</f>
        <v/>
      </c>
      <c r="P961" s="28">
        <f>-(12*F961*J961*L961*N961+12*O961*N961*G961*COS(RADIANS(E961)))/(12*N961*G961*COS(RADIANS(E961))^2+L961*G961^3*SIN(RADIANS(E961))^2)</f>
        <v/>
      </c>
      <c r="Q961" s="28">
        <f>-(6*F961*J961*L961*N961*SIN(RADIANS(E961))+6*O961*N961*G961*SIN(RADIANS(E961))*COS(RADIANS(E961)))/(12*N961*COS(RADIANS(E961))^2+L961*G961^2*SIN(RADIANS(E961))^2)</f>
        <v/>
      </c>
      <c r="R961" s="28">
        <f>-P961*SIN(RADIANS(E961))</f>
        <v/>
      </c>
      <c r="S961" s="8">
        <f>(O961+P961*COS(RADIANS(E961)))/L961</f>
        <v/>
      </c>
      <c r="T961" s="8">
        <f>R961/L961</f>
        <v/>
      </c>
      <c r="U961" s="8">
        <f>(Q961-P961*G961*SIN(RADIANS(E961)))/M961</f>
        <v/>
      </c>
      <c r="V961" s="8">
        <f>SQRT((S961+U961)^2+3*T961^2)</f>
        <v/>
      </c>
      <c r="W961" s="8">
        <f>V961/AA961</f>
        <v/>
      </c>
      <c r="X961" s="27">
        <f>((3*10+H961/COS(RADIANS(E961)))*(3+3)+3*G961*H961)*2</f>
        <v/>
      </c>
      <c r="Y961" s="28">
        <f>Z961/X961</f>
        <v/>
      </c>
      <c r="Z961" s="29" t="n">
        <v>527.974332226766</v>
      </c>
      <c r="AA961" s="20" t="n">
        <v>33.4077305378995</v>
      </c>
      <c r="AB961" t="n">
        <v>0.07906863321059798</v>
      </c>
      <c r="AC961" t="n">
        <v>36.42276336999665</v>
      </c>
      <c r="AD961" t="n">
        <v>36.00621084900643</v>
      </c>
    </row>
    <row r="962">
      <c r="A962" t="n">
        <v>961</v>
      </c>
      <c r="B962" t="n">
        <v>82.09999999999999</v>
      </c>
      <c r="C962" s="21">
        <f>B962-20</f>
        <v/>
      </c>
      <c r="D962" t="n">
        <v>129</v>
      </c>
      <c r="E962" s="22">
        <f>D962-90</f>
        <v/>
      </c>
      <c r="F962" s="23" t="n">
        <v>0.020973</v>
      </c>
      <c r="G962" s="22" t="n">
        <v>30.4</v>
      </c>
      <c r="H962" s="22" t="n">
        <v>1.8</v>
      </c>
      <c r="I962" s="24" t="n">
        <v>0.09033460915088649</v>
      </c>
      <c r="J962" s="6" t="n">
        <v>71000</v>
      </c>
      <c r="K962" s="25">
        <f>23*10^-6</f>
        <v/>
      </c>
      <c r="L962" s="8">
        <f>H962</f>
        <v/>
      </c>
      <c r="M962" s="26">
        <f>H962^2/6</f>
        <v/>
      </c>
      <c r="N962" s="26">
        <f>H962^3/12</f>
        <v/>
      </c>
      <c r="O962" s="27">
        <f>-J962*L962*K962*C962</f>
        <v/>
      </c>
      <c r="P962" s="28">
        <f>-(12*F962*J962*L962*N962+12*O962*N962*G962*COS(RADIANS(E962)))/(12*N962*G962*COS(RADIANS(E962))^2+L962*G962^3*SIN(RADIANS(E962))^2)</f>
        <v/>
      </c>
      <c r="Q962" s="28">
        <f>-(6*F962*J962*L962*N962*SIN(RADIANS(E962))+6*O962*N962*G962*SIN(RADIANS(E962))*COS(RADIANS(E962)))/(12*N962*COS(RADIANS(E962))^2+L962*G962^2*SIN(RADIANS(E962))^2)</f>
        <v/>
      </c>
      <c r="R962" s="28">
        <f>-P962*SIN(RADIANS(E962))</f>
        <v/>
      </c>
      <c r="S962" s="8">
        <f>(O962+P962*COS(RADIANS(E962)))/L962</f>
        <v/>
      </c>
      <c r="T962" s="8">
        <f>R962/L962</f>
        <v/>
      </c>
      <c r="U962" s="8">
        <f>(Q962-P962*G962*SIN(RADIANS(E962)))/M962</f>
        <v/>
      </c>
      <c r="V962" s="8">
        <f>SQRT((S962+U962)^2+3*T962^2)</f>
        <v/>
      </c>
      <c r="W962" s="8">
        <f>V962/AA962</f>
        <v/>
      </c>
      <c r="X962" s="27">
        <f>((3*10+H962/COS(RADIANS(E962)))*(3+3)+3*G962*H962)*2</f>
        <v/>
      </c>
      <c r="Y962" s="28">
        <f>Z962/X962</f>
        <v/>
      </c>
      <c r="Z962" s="29" t="n">
        <v>726.42986559037</v>
      </c>
      <c r="AA962" s="20" t="n">
        <v>93.2092080847502</v>
      </c>
      <c r="AB962" t="n">
        <v>0.09429997097420126</v>
      </c>
      <c r="AC962" t="n">
        <v>90.12790396475881</v>
      </c>
      <c r="AD962" t="n">
        <v>4.389637438616018</v>
      </c>
    </row>
    <row r="963">
      <c r="A963" t="n">
        <v>962</v>
      </c>
      <c r="B963" t="n">
        <v>53.8</v>
      </c>
      <c r="C963" s="21">
        <f>B963-20</f>
        <v/>
      </c>
      <c r="D963" t="n">
        <v>127.9</v>
      </c>
      <c r="E963" s="22">
        <f>D963-90</f>
        <v/>
      </c>
      <c r="F963" s="23" t="n">
        <v>0.011646</v>
      </c>
      <c r="G963" s="22" t="n">
        <v>30.7</v>
      </c>
      <c r="H963" s="22" t="n">
        <v>1.2</v>
      </c>
      <c r="I963" s="24" t="n">
        <v>0.0501806810498237</v>
      </c>
      <c r="J963" s="6" t="n">
        <v>71000</v>
      </c>
      <c r="K963" s="25">
        <f>23*10^-6</f>
        <v/>
      </c>
      <c r="L963" s="8">
        <f>H963</f>
        <v/>
      </c>
      <c r="M963" s="26">
        <f>H963^2/6</f>
        <v/>
      </c>
      <c r="N963" s="26">
        <f>H963^3/12</f>
        <v/>
      </c>
      <c r="O963" s="27">
        <f>-J963*L963*K963*C963</f>
        <v/>
      </c>
      <c r="P963" s="28">
        <f>-(12*F963*J963*L963*N963+12*O963*N963*G963*COS(RADIANS(E963)))/(12*N963*G963*COS(RADIANS(E963))^2+L963*G963^3*SIN(RADIANS(E963))^2)</f>
        <v/>
      </c>
      <c r="Q963" s="28">
        <f>-(6*F963*J963*L963*N963*SIN(RADIANS(E963))+6*O963*N963*G963*SIN(RADIANS(E963))*COS(RADIANS(E963)))/(12*N963*COS(RADIANS(E963))^2+L963*G963^2*SIN(RADIANS(E963))^2)</f>
        <v/>
      </c>
      <c r="R963" s="28">
        <f>-P963*SIN(RADIANS(E963))</f>
        <v/>
      </c>
      <c r="S963" s="8">
        <f>(O963+P963*COS(RADIANS(E963)))/L963</f>
        <v/>
      </c>
      <c r="T963" s="8">
        <f>R963/L963</f>
        <v/>
      </c>
      <c r="U963" s="8">
        <f>(Q963-P963*G963*SIN(RADIANS(E963)))/M963</f>
        <v/>
      </c>
      <c r="V963" s="8">
        <f>SQRT((S963+U963)^2+3*T963^2)</f>
        <v/>
      </c>
      <c r="W963" s="8">
        <f>V963/AA963</f>
        <v/>
      </c>
      <c r="X963" s="27">
        <f>((3*10+H963/COS(RADIANS(E963)))*(3+3)+3*G963*H963)*2</f>
        <v/>
      </c>
      <c r="Y963" s="28">
        <f>Z963/X963</f>
        <v/>
      </c>
      <c r="Z963" s="29" t="n">
        <v>609.137644714304</v>
      </c>
      <c r="AA963" s="20" t="n">
        <v>45.0576356432308</v>
      </c>
      <c r="AB963" t="n">
        <v>0.05365409666883708</v>
      </c>
      <c r="AC963" t="n">
        <v>47.95679060468834</v>
      </c>
      <c r="AD963" t="n">
        <v>6.921818409687738</v>
      </c>
    </row>
    <row r="964">
      <c r="A964" t="n">
        <v>963</v>
      </c>
      <c r="B964" t="n">
        <v>88.3</v>
      </c>
      <c r="C964" s="21">
        <f>B964-20</f>
        <v/>
      </c>
      <c r="D964" t="n">
        <v>104.5</v>
      </c>
      <c r="E964" s="22">
        <f>D964-90</f>
        <v/>
      </c>
      <c r="F964" s="23" t="n">
        <v>0.021105</v>
      </c>
      <c r="G964" s="22" t="n">
        <v>21.8</v>
      </c>
      <c r="H964" s="22" t="n">
        <v>1.8</v>
      </c>
      <c r="I964" s="24" t="n">
        <v>0.152404695749282</v>
      </c>
      <c r="J964" s="6" t="n">
        <v>71000</v>
      </c>
      <c r="K964" s="25">
        <f>23*10^-6</f>
        <v/>
      </c>
      <c r="L964" s="8">
        <f>H964</f>
        <v/>
      </c>
      <c r="M964" s="26">
        <f>H964^2/6</f>
        <v/>
      </c>
      <c r="N964" s="26">
        <f>H964^3/12</f>
        <v/>
      </c>
      <c r="O964" s="27">
        <f>-J964*L964*K964*C964</f>
        <v/>
      </c>
      <c r="P964" s="28">
        <f>-(12*F964*J964*L964*N964+12*O964*N964*G964*COS(RADIANS(E964)))/(12*N964*G964*COS(RADIANS(E964))^2+L964*G964^3*SIN(RADIANS(E964))^2)</f>
        <v/>
      </c>
      <c r="Q964" s="28">
        <f>-(6*F964*J964*L964*N964*SIN(RADIANS(E964))+6*O964*N964*G964*SIN(RADIANS(E964))*COS(RADIANS(E964)))/(12*N964*COS(RADIANS(E964))^2+L964*G964^2*SIN(RADIANS(E964))^2)</f>
        <v/>
      </c>
      <c r="R964" s="28">
        <f>-P964*SIN(RADIANS(E964))</f>
        <v/>
      </c>
      <c r="S964" s="8">
        <f>(O964+P964*COS(RADIANS(E964)))/L964</f>
        <v/>
      </c>
      <c r="T964" s="8">
        <f>R964/L964</f>
        <v/>
      </c>
      <c r="U964" s="8">
        <f>(Q964-P964*G964*SIN(RADIANS(E964)))/M964</f>
        <v/>
      </c>
      <c r="V964" s="8">
        <f>SQRT((S964+U964)^2+3*T964^2)</f>
        <v/>
      </c>
      <c r="W964" s="8">
        <f>V964/AA964</f>
        <v/>
      </c>
      <c r="X964" s="27">
        <f>((3*10+H964/COS(RADIANS(E964)))*(3+3)+3*G964*H964)*2</f>
        <v/>
      </c>
      <c r="Y964" s="28">
        <f>Z964/X964</f>
        <v/>
      </c>
      <c r="Z964" s="29" t="n">
        <v>621.973883621855</v>
      </c>
      <c r="AA964" s="20" t="n">
        <v>123.501550712495</v>
      </c>
      <c r="AB964" t="n">
        <v>0.197675407453684</v>
      </c>
      <c r="AC964" t="n">
        <v>117.6388694177259</v>
      </c>
      <c r="AD964" t="n">
        <v>29.70427615883696</v>
      </c>
    </row>
    <row r="965">
      <c r="A965" t="n">
        <v>964</v>
      </c>
      <c r="B965" t="n">
        <v>74.8</v>
      </c>
      <c r="C965" s="21">
        <f>B965-20</f>
        <v/>
      </c>
      <c r="D965" t="n">
        <v>113.5</v>
      </c>
      <c r="E965" s="22">
        <f>D965-90</f>
        <v/>
      </c>
      <c r="F965" s="23" t="n">
        <v>0.018587</v>
      </c>
      <c r="G965" s="22" t="n">
        <v>25.9</v>
      </c>
      <c r="H965" s="22" t="n">
        <v>2</v>
      </c>
      <c r="I965" s="24" t="n">
        <v>0.0993936210870742</v>
      </c>
      <c r="J965" s="6" t="n">
        <v>71000</v>
      </c>
      <c r="K965" s="25">
        <f>23*10^-6</f>
        <v/>
      </c>
      <c r="L965" s="8">
        <f>H965</f>
        <v/>
      </c>
      <c r="M965" s="26">
        <f>H965^2/6</f>
        <v/>
      </c>
      <c r="N965" s="26">
        <f>H965^3/12</f>
        <v/>
      </c>
      <c r="O965" s="27">
        <f>-J965*L965*K965*C965</f>
        <v/>
      </c>
      <c r="P965" s="28">
        <f>-(12*F965*J965*L965*N965+12*O965*N965*G965*COS(RADIANS(E965)))/(12*N965*G965*COS(RADIANS(E965))^2+L965*G965^3*SIN(RADIANS(E965))^2)</f>
        <v/>
      </c>
      <c r="Q965" s="28">
        <f>-(6*F965*J965*L965*N965*SIN(RADIANS(E965))+6*O965*N965*G965*SIN(RADIANS(E965))*COS(RADIANS(E965)))/(12*N965*COS(RADIANS(E965))^2+L965*G965^2*SIN(RADIANS(E965))^2)</f>
        <v/>
      </c>
      <c r="R965" s="28">
        <f>-P965*SIN(RADIANS(E965))</f>
        <v/>
      </c>
      <c r="S965" s="8">
        <f>(O965+P965*COS(RADIANS(E965)))/L965</f>
        <v/>
      </c>
      <c r="T965" s="8">
        <f>R965/L965</f>
        <v/>
      </c>
      <c r="U965" s="8">
        <f>(Q965-P965*G965*SIN(RADIANS(E965)))/M965</f>
        <v/>
      </c>
      <c r="V965" s="8">
        <f>SQRT((S965+U965)^2+3*T965^2)</f>
        <v/>
      </c>
      <c r="W965" s="8">
        <f>V965/AA965</f>
        <v/>
      </c>
      <c r="X965" s="27">
        <f>((3*10+H965/COS(RADIANS(E965)))*(3+3)+3*G965*H965)*2</f>
        <v/>
      </c>
      <c r="Y965" s="28">
        <f>Z965/X965</f>
        <v/>
      </c>
      <c r="Z965" s="29" t="n">
        <v>702.5748023804221</v>
      </c>
      <c r="AA965" s="20" t="n">
        <v>93.3637911886586</v>
      </c>
      <c r="AB965" t="n">
        <v>0.1205559471693193</v>
      </c>
      <c r="AC965" t="n">
        <v>87.16531281522764</v>
      </c>
      <c r="AD965" t="n">
        <v>21.29143284125426</v>
      </c>
    </row>
    <row r="966">
      <c r="A966" t="n">
        <v>965</v>
      </c>
      <c r="B966" t="n">
        <v>88.59999999999999</v>
      </c>
      <c r="C966" s="21">
        <f>B966-20</f>
        <v/>
      </c>
      <c r="D966" t="n">
        <v>119</v>
      </c>
      <c r="E966" s="22">
        <f>D966-90</f>
        <v/>
      </c>
      <c r="F966" s="23" t="n">
        <v>0.024254</v>
      </c>
      <c r="G966" s="22" t="n">
        <v>28.6</v>
      </c>
      <c r="H966" s="22" t="n">
        <v>1.7</v>
      </c>
      <c r="I966" s="24" t="n">
        <v>0.115512818098068</v>
      </c>
      <c r="J966" s="6" t="n">
        <v>71000</v>
      </c>
      <c r="K966" s="25">
        <f>23*10^-6</f>
        <v/>
      </c>
      <c r="L966" s="8">
        <f>H966</f>
        <v/>
      </c>
      <c r="M966" s="26">
        <f>H966^2/6</f>
        <v/>
      </c>
      <c r="N966" s="26">
        <f>H966^3/12</f>
        <v/>
      </c>
      <c r="O966" s="27">
        <f>-J966*L966*K966*C966</f>
        <v/>
      </c>
      <c r="P966" s="28">
        <f>-(12*F966*J966*L966*N966+12*O966*N966*G966*COS(RADIANS(E966)))/(12*N966*G966*COS(RADIANS(E966))^2+L966*G966^3*SIN(RADIANS(E966))^2)</f>
        <v/>
      </c>
      <c r="Q966" s="28">
        <f>-(6*F966*J966*L966*N966*SIN(RADIANS(E966))+6*O966*N966*G966*SIN(RADIANS(E966))*COS(RADIANS(E966)))/(12*N966*COS(RADIANS(E966))^2+L966*G966^2*SIN(RADIANS(E966))^2)</f>
        <v/>
      </c>
      <c r="R966" s="28">
        <f>-P966*SIN(RADIANS(E966))</f>
        <v/>
      </c>
      <c r="S966" s="8">
        <f>(O966+P966*COS(RADIANS(E966)))/L966</f>
        <v/>
      </c>
      <c r="T966" s="8">
        <f>R966/L966</f>
        <v/>
      </c>
      <c r="U966" s="8">
        <f>(Q966-P966*G966*SIN(RADIANS(E966)))/M966</f>
        <v/>
      </c>
      <c r="V966" s="8">
        <f>SQRT((S966+U966)^2+3*T966^2)</f>
        <v/>
      </c>
      <c r="W966" s="8">
        <f>V966/AA966</f>
        <v/>
      </c>
      <c r="X966" s="27">
        <f>((3*10+H966/COS(RADIANS(E966)))*(3+3)+3*G966*H966)*2</f>
        <v/>
      </c>
      <c r="Y966" s="28">
        <f>Z966/X966</f>
        <v/>
      </c>
      <c r="Z966" s="29" t="n">
        <v>681.918549999215</v>
      </c>
      <c r="AA966" s="20" t="n">
        <v>106.742090160063</v>
      </c>
      <c r="AB966" t="n">
        <v>0.1351254164025469</v>
      </c>
      <c r="AC966" t="n">
        <v>103.0305095141436</v>
      </c>
      <c r="AD966" t="n">
        <v>16.97872030775683</v>
      </c>
    </row>
    <row r="967">
      <c r="A967" t="n">
        <v>966</v>
      </c>
      <c r="B967" t="n">
        <v>46.6</v>
      </c>
      <c r="C967" s="21">
        <f>B967-20</f>
        <v/>
      </c>
      <c r="D967" t="n">
        <v>110.3</v>
      </c>
      <c r="E967" s="22">
        <f>D967-90</f>
        <v/>
      </c>
      <c r="F967" s="23" t="n">
        <v>0.011262</v>
      </c>
      <c r="G967" s="22" t="n">
        <v>33.2</v>
      </c>
      <c r="H967" s="22" t="n">
        <v>1.7</v>
      </c>
      <c r="I967" s="24" t="n">
        <v>0.064086228609085</v>
      </c>
      <c r="J967" s="6" t="n">
        <v>71000</v>
      </c>
      <c r="K967" s="25">
        <f>23*10^-6</f>
        <v/>
      </c>
      <c r="L967" s="8">
        <f>H967</f>
        <v/>
      </c>
      <c r="M967" s="26">
        <f>H967^2/6</f>
        <v/>
      </c>
      <c r="N967" s="26">
        <f>H967^3/12</f>
        <v/>
      </c>
      <c r="O967" s="27">
        <f>-J967*L967*K967*C967</f>
        <v/>
      </c>
      <c r="P967" s="28">
        <f>-(12*F967*J967*L967*N967+12*O967*N967*G967*COS(RADIANS(E967)))/(12*N967*G967*COS(RADIANS(E967))^2+L967*G967^3*SIN(RADIANS(E967))^2)</f>
        <v/>
      </c>
      <c r="Q967" s="28">
        <f>-(6*F967*J967*L967*N967*SIN(RADIANS(E967))+6*O967*N967*G967*SIN(RADIANS(E967))*COS(RADIANS(E967)))/(12*N967*COS(RADIANS(E967))^2+L967*G967^2*SIN(RADIANS(E967))^2)</f>
        <v/>
      </c>
      <c r="R967" s="28">
        <f>-P967*SIN(RADIANS(E967))</f>
        <v/>
      </c>
      <c r="S967" s="8">
        <f>(O967+P967*COS(RADIANS(E967)))/L967</f>
        <v/>
      </c>
      <c r="T967" s="8">
        <f>R967/L967</f>
        <v/>
      </c>
      <c r="U967" s="8">
        <f>(Q967-P967*G967*SIN(RADIANS(E967)))/M967</f>
        <v/>
      </c>
      <c r="V967" s="8">
        <f>SQRT((S967+U967)^2+3*T967^2)</f>
        <v/>
      </c>
      <c r="W967" s="8">
        <f>V967/AA967</f>
        <v/>
      </c>
      <c r="X967" s="27">
        <f>((3*10+H967/COS(RADIANS(E967)))*(3+3)+3*G967*H967)*2</f>
        <v/>
      </c>
      <c r="Y967" s="28">
        <f>Z967/X967</f>
        <v/>
      </c>
      <c r="Z967" s="29" t="n">
        <v>725.413989594041</v>
      </c>
      <c r="AA967" s="20" t="n">
        <v>42.126732673817</v>
      </c>
      <c r="AB967" t="n">
        <v>0.08723907747372771</v>
      </c>
      <c r="AC967" t="n">
        <v>41.40447417282105</v>
      </c>
      <c r="AD967" t="n">
        <v>36.12765077169873</v>
      </c>
    </row>
    <row r="968">
      <c r="A968" t="n">
        <v>967</v>
      </c>
      <c r="B968" t="n">
        <v>65.2</v>
      </c>
      <c r="C968" s="21">
        <f>B968-20</f>
        <v/>
      </c>
      <c r="D968" t="n">
        <v>123.5</v>
      </c>
      <c r="E968" s="22">
        <f>D968-90</f>
        <v/>
      </c>
      <c r="F968" s="23" t="n">
        <v>0.017615</v>
      </c>
      <c r="G968" s="22" t="n">
        <v>33.8</v>
      </c>
      <c r="H968" s="22" t="n">
        <v>1.4</v>
      </c>
      <c r="I968" s="24" t="n">
        <v>0.0774000138044357</v>
      </c>
      <c r="J968" s="6" t="n">
        <v>71000</v>
      </c>
      <c r="K968" s="25">
        <f>23*10^-6</f>
        <v/>
      </c>
      <c r="L968" s="8">
        <f>H968</f>
        <v/>
      </c>
      <c r="M968" s="26">
        <f>H968^2/6</f>
        <v/>
      </c>
      <c r="N968" s="26">
        <f>H968^3/12</f>
        <v/>
      </c>
      <c r="O968" s="27">
        <f>-J968*L968*K968*C968</f>
        <v/>
      </c>
      <c r="P968" s="28">
        <f>-(12*F968*J968*L968*N968+12*O968*N968*G968*COS(RADIANS(E968)))/(12*N968*G968*COS(RADIANS(E968))^2+L968*G968^3*SIN(RADIANS(E968))^2)</f>
        <v/>
      </c>
      <c r="Q968" s="28">
        <f>-(6*F968*J968*L968*N968*SIN(RADIANS(E968))+6*O968*N968*G968*SIN(RADIANS(E968))*COS(RADIANS(E968)))/(12*N968*COS(RADIANS(E968))^2+L968*G968^2*SIN(RADIANS(E968))^2)</f>
        <v/>
      </c>
      <c r="R968" s="28">
        <f>-P968*SIN(RADIANS(E968))</f>
        <v/>
      </c>
      <c r="S968" s="8">
        <f>(O968+P968*COS(RADIANS(E968)))/L968</f>
        <v/>
      </c>
      <c r="T968" s="8">
        <f>R968/L968</f>
        <v/>
      </c>
      <c r="U968" s="8">
        <f>(Q968-P968*G968*SIN(RADIANS(E968)))/M968</f>
        <v/>
      </c>
      <c r="V968" s="8">
        <f>SQRT((S968+U968)^2+3*T968^2)</f>
        <v/>
      </c>
      <c r="W968" s="8">
        <f>V968/AA968</f>
        <v/>
      </c>
      <c r="X968" s="27">
        <f>((3*10+H968/COS(RADIANS(E968)))*(3+3)+3*G968*H968)*2</f>
        <v/>
      </c>
      <c r="Y968" s="28">
        <f>Z968/X968</f>
        <v/>
      </c>
      <c r="Z968" s="29" t="n">
        <v>672.281191073714</v>
      </c>
      <c r="AA968" s="20" t="n">
        <v>64.5109937768834</v>
      </c>
      <c r="AB968" t="n">
        <v>0.08987969113524888</v>
      </c>
      <c r="AC968" t="n">
        <v>65.14262005726022</v>
      </c>
      <c r="AD968" t="n">
        <v>16.12361124682123</v>
      </c>
    </row>
    <row r="969">
      <c r="A969" t="n">
        <v>968</v>
      </c>
      <c r="B969" t="n">
        <v>42.4</v>
      </c>
      <c r="C969" s="21">
        <f>B969-20</f>
        <v/>
      </c>
      <c r="D969" t="n">
        <v>123.4</v>
      </c>
      <c r="E969" s="22">
        <f>D969-90</f>
        <v/>
      </c>
      <c r="F969" s="23" t="n">
        <v>0.005881</v>
      </c>
      <c r="G969" s="22" t="n">
        <v>20.4</v>
      </c>
      <c r="H969" s="22" t="n">
        <v>1.4</v>
      </c>
      <c r="I969" s="24" t="n">
        <v>0.0279277097433805</v>
      </c>
      <c r="J969" s="6" t="n">
        <v>71000</v>
      </c>
      <c r="K969" s="25">
        <f>23*10^-6</f>
        <v/>
      </c>
      <c r="L969" s="8">
        <f>H969</f>
        <v/>
      </c>
      <c r="M969" s="26">
        <f>H969^2/6</f>
        <v/>
      </c>
      <c r="N969" s="26">
        <f>H969^3/12</f>
        <v/>
      </c>
      <c r="O969" s="27">
        <f>-J969*L969*K969*C969</f>
        <v/>
      </c>
      <c r="P969" s="28">
        <f>-(12*F969*J969*L969*N969+12*O969*N969*G969*COS(RADIANS(E969)))/(12*N969*G969*COS(RADIANS(E969))^2+L969*G969^3*SIN(RADIANS(E969))^2)</f>
        <v/>
      </c>
      <c r="Q969" s="28">
        <f>-(6*F969*J969*L969*N969*SIN(RADIANS(E969))+6*O969*N969*G969*SIN(RADIANS(E969))*COS(RADIANS(E969)))/(12*N969*COS(RADIANS(E969))^2+L969*G969^2*SIN(RADIANS(E969))^2)</f>
        <v/>
      </c>
      <c r="R969" s="28">
        <f>-P969*SIN(RADIANS(E969))</f>
        <v/>
      </c>
      <c r="S969" s="8">
        <f>(O969+P969*COS(RADIANS(E969)))/L969</f>
        <v/>
      </c>
      <c r="T969" s="8">
        <f>R969/L969</f>
        <v/>
      </c>
      <c r="U969" s="8">
        <f>(Q969-P969*G969*SIN(RADIANS(E969)))/M969</f>
        <v/>
      </c>
      <c r="V969" s="8">
        <f>SQRT((S969+U969)^2+3*T969^2)</f>
        <v/>
      </c>
      <c r="W969" s="8">
        <f>V969/AA969</f>
        <v/>
      </c>
      <c r="X969" s="27">
        <f>((3*10+H969/COS(RADIANS(E969)))*(3+3)+3*G969*H969)*2</f>
        <v/>
      </c>
      <c r="Y969" s="28">
        <f>Z969/X969</f>
        <v/>
      </c>
      <c r="Z969" s="29" t="n">
        <v>559.664809148279</v>
      </c>
      <c r="AA969" s="20" t="n">
        <v>33.6585279481062</v>
      </c>
      <c r="AB969" t="n">
        <v>0.02767006856088976</v>
      </c>
      <c r="AC969" t="n">
        <v>33.04407884538883</v>
      </c>
      <c r="AD969" t="n">
        <v>-0.9225288606123797</v>
      </c>
    </row>
    <row r="970">
      <c r="A970" t="n">
        <v>969</v>
      </c>
      <c r="B970" t="n">
        <v>41.8</v>
      </c>
      <c r="C970" s="21">
        <f>B970-20</f>
        <v/>
      </c>
      <c r="D970" t="n">
        <v>116.4</v>
      </c>
      <c r="E970" s="22">
        <f>D970-90</f>
        <v/>
      </c>
      <c r="F970" s="23" t="n">
        <v>0.008279999999999999</v>
      </c>
      <c r="G970" s="22" t="n">
        <v>30.5</v>
      </c>
      <c r="H970" s="22" t="n">
        <v>1.4</v>
      </c>
      <c r="I970" s="24" t="n">
        <v>0.0408874489367008</v>
      </c>
      <c r="J970" s="6" t="n">
        <v>71000</v>
      </c>
      <c r="K970" s="25">
        <f>23*10^-6</f>
        <v/>
      </c>
      <c r="L970" s="8">
        <f>H970</f>
        <v/>
      </c>
      <c r="M970" s="26">
        <f>H970^2/6</f>
        <v/>
      </c>
      <c r="N970" s="26">
        <f>H970^3/12</f>
        <v/>
      </c>
      <c r="O970" s="27">
        <f>-J970*L970*K970*C970</f>
        <v/>
      </c>
      <c r="P970" s="28">
        <f>-(12*F970*J970*L970*N970+12*O970*N970*G970*COS(RADIANS(E970)))/(12*N970*G970*COS(RADIANS(E970))^2+L970*G970^3*SIN(RADIANS(E970))^2)</f>
        <v/>
      </c>
      <c r="Q970" s="28">
        <f>-(6*F970*J970*L970*N970*SIN(RADIANS(E970))+6*O970*N970*G970*SIN(RADIANS(E970))*COS(RADIANS(E970)))/(12*N970*COS(RADIANS(E970))^2+L970*G970^2*SIN(RADIANS(E970))^2)</f>
        <v/>
      </c>
      <c r="R970" s="28">
        <f>-P970*SIN(RADIANS(E970))</f>
        <v/>
      </c>
      <c r="S970" s="8">
        <f>(O970+P970*COS(RADIANS(E970)))/L970</f>
        <v/>
      </c>
      <c r="T970" s="8">
        <f>R970/L970</f>
        <v/>
      </c>
      <c r="U970" s="8">
        <f>(Q970-P970*G970*SIN(RADIANS(E970)))/M970</f>
        <v/>
      </c>
      <c r="V970" s="8">
        <f>SQRT((S970+U970)^2+3*T970^2)</f>
        <v/>
      </c>
      <c r="W970" s="8">
        <f>V970/AA970</f>
        <v/>
      </c>
      <c r="X970" s="27">
        <f>((3*10+H970/COS(RADIANS(E970)))*(3+3)+3*G970*H970)*2</f>
        <v/>
      </c>
      <c r="Y970" s="28">
        <f>Z970/X970</f>
        <v/>
      </c>
      <c r="Z970" s="29" t="n">
        <v>641.1839970497811</v>
      </c>
      <c r="AA970" s="20" t="n">
        <v>32.0482542039932</v>
      </c>
      <c r="AB970" t="n">
        <v>0.05060689902198671</v>
      </c>
      <c r="AC970" t="n">
        <v>32.36706981136265</v>
      </c>
      <c r="AD970" t="n">
        <v>23.77123136327949</v>
      </c>
    </row>
    <row r="971">
      <c r="A971" t="n">
        <v>970</v>
      </c>
      <c r="B971" t="n">
        <v>52.9</v>
      </c>
      <c r="C971" s="21">
        <f>B971-20</f>
        <v/>
      </c>
      <c r="D971" t="n">
        <v>120.1</v>
      </c>
      <c r="E971" s="22">
        <f>D971-90</f>
        <v/>
      </c>
      <c r="F971" s="23" t="n">
        <v>0.011563</v>
      </c>
      <c r="G971" s="22" t="n">
        <v>28.7</v>
      </c>
      <c r="H971" s="22" t="n">
        <v>1.3</v>
      </c>
      <c r="I971" s="24" t="n">
        <v>0.0541344471275806</v>
      </c>
      <c r="J971" s="6" t="n">
        <v>71000</v>
      </c>
      <c r="K971" s="25">
        <f>23*10^-6</f>
        <v/>
      </c>
      <c r="L971" s="8">
        <f>H971</f>
        <v/>
      </c>
      <c r="M971" s="26">
        <f>H971^2/6</f>
        <v/>
      </c>
      <c r="N971" s="26">
        <f>H971^3/12</f>
        <v/>
      </c>
      <c r="O971" s="27">
        <f>-J971*L971*K971*C971</f>
        <v/>
      </c>
      <c r="P971" s="28">
        <f>-(12*F971*J971*L971*N971+12*O971*N971*G971*COS(RADIANS(E971)))/(12*N971*G971*COS(RADIANS(E971))^2+L971*G971^3*SIN(RADIANS(E971))^2)</f>
        <v/>
      </c>
      <c r="Q971" s="28">
        <f>-(6*F971*J971*L971*N971*SIN(RADIANS(E971))+6*O971*N971*G971*SIN(RADIANS(E971))*COS(RADIANS(E971)))/(12*N971*COS(RADIANS(E971))^2+L971*G971^2*SIN(RADIANS(E971))^2)</f>
        <v/>
      </c>
      <c r="R971" s="28">
        <f>-P971*SIN(RADIANS(E971))</f>
        <v/>
      </c>
      <c r="S971" s="8">
        <f>(O971+P971*COS(RADIANS(E971)))/L971</f>
        <v/>
      </c>
      <c r="T971" s="8">
        <f>R971/L971</f>
        <v/>
      </c>
      <c r="U971" s="8">
        <f>(Q971-P971*G971*SIN(RADIANS(E971)))/M971</f>
        <v/>
      </c>
      <c r="V971" s="8">
        <f>SQRT((S971+U971)^2+3*T971^2)</f>
        <v/>
      </c>
      <c r="W971" s="8">
        <f>V971/AA971</f>
        <v/>
      </c>
      <c r="X971" s="27">
        <f>((3*10+H971/COS(RADIANS(E971)))*(3+3)+3*G971*H971)*2</f>
        <v/>
      </c>
      <c r="Y971" s="28">
        <f>Z971/X971</f>
        <v/>
      </c>
      <c r="Z971" s="29" t="n">
        <v>609.06596363659</v>
      </c>
      <c r="AA971" s="20" t="n">
        <v>47.0897702988908</v>
      </c>
      <c r="AB971" t="n">
        <v>0.06282649659959241</v>
      </c>
      <c r="AC971" t="n">
        <v>48.045186313426</v>
      </c>
      <c r="AD971" t="n">
        <v>16.05641127455674</v>
      </c>
    </row>
    <row r="972">
      <c r="A972" t="n">
        <v>971</v>
      </c>
      <c r="B972" t="n">
        <v>74.3</v>
      </c>
      <c r="C972" s="21">
        <f>B972-20</f>
        <v/>
      </c>
      <c r="D972" t="n">
        <v>120.2</v>
      </c>
      <c r="E972" s="22">
        <f>D972-90</f>
        <v/>
      </c>
      <c r="F972" s="23" t="n">
        <v>0.019764</v>
      </c>
      <c r="G972" s="22" t="n">
        <v>30</v>
      </c>
      <c r="H972" s="22" t="n">
        <v>2</v>
      </c>
      <c r="I972" s="24" t="n">
        <v>0.0918904989957809</v>
      </c>
      <c r="J972" s="6" t="n">
        <v>71000</v>
      </c>
      <c r="K972" s="25">
        <f>23*10^-6</f>
        <v/>
      </c>
      <c r="L972" s="8">
        <f>H972</f>
        <v/>
      </c>
      <c r="M972" s="26">
        <f>H972^2/6</f>
        <v/>
      </c>
      <c r="N972" s="26">
        <f>H972^3/12</f>
        <v/>
      </c>
      <c r="O972" s="27">
        <f>-J972*L972*K972*C972</f>
        <v/>
      </c>
      <c r="P972" s="28">
        <f>-(12*F972*J972*L972*N972+12*O972*N972*G972*COS(RADIANS(E972)))/(12*N972*G972*COS(RADIANS(E972))^2+L972*G972^3*SIN(RADIANS(E972))^2)</f>
        <v/>
      </c>
      <c r="Q972" s="28">
        <f>-(6*F972*J972*L972*N972*SIN(RADIANS(E972))+6*O972*N972*G972*SIN(RADIANS(E972))*COS(RADIANS(E972)))/(12*N972*COS(RADIANS(E972))^2+L972*G972^2*SIN(RADIANS(E972))^2)</f>
        <v/>
      </c>
      <c r="R972" s="28">
        <f>-P972*SIN(RADIANS(E972))</f>
        <v/>
      </c>
      <c r="S972" s="8">
        <f>(O972+P972*COS(RADIANS(E972)))/L972</f>
        <v/>
      </c>
      <c r="T972" s="8">
        <f>R972/L972</f>
        <v/>
      </c>
      <c r="U972" s="8">
        <f>(Q972-P972*G972*SIN(RADIANS(E972)))/M972</f>
        <v/>
      </c>
      <c r="V972" s="8">
        <f>SQRT((S972+U972)^2+3*T972^2)</f>
        <v/>
      </c>
      <c r="W972" s="8">
        <f>V972/AA972</f>
        <v/>
      </c>
      <c r="X972" s="27">
        <f>((3*10+H972/COS(RADIANS(E972)))*(3+3)+3*G972*H972)*2</f>
        <v/>
      </c>
      <c r="Y972" s="28">
        <f>Z972/X972</f>
        <v/>
      </c>
      <c r="Z972" s="29" t="n">
        <v>754.971520680741</v>
      </c>
      <c r="AA972" s="20" t="n">
        <v>88.34460435946561</v>
      </c>
      <c r="AB972" t="n">
        <v>0.1068890911318845</v>
      </c>
      <c r="AC972" t="n">
        <v>82.20311426397748</v>
      </c>
      <c r="AD972" t="n">
        <v>16.32224473695837</v>
      </c>
    </row>
    <row r="973">
      <c r="A973" t="n">
        <v>972</v>
      </c>
      <c r="B973" t="n">
        <v>65.8</v>
      </c>
      <c r="C973" s="21">
        <f>B973-20</f>
        <v/>
      </c>
      <c r="D973" t="n">
        <v>113.9</v>
      </c>
      <c r="E973" s="22">
        <f>D973-90</f>
        <v/>
      </c>
      <c r="F973" s="23" t="n">
        <v>0.019745</v>
      </c>
      <c r="G973" s="22" t="n">
        <v>34.8</v>
      </c>
      <c r="H973" s="22" t="n">
        <v>2</v>
      </c>
      <c r="I973" s="24" t="n">
        <v>0.101021267473697</v>
      </c>
      <c r="J973" s="6" t="n">
        <v>71000</v>
      </c>
      <c r="K973" s="25">
        <f>23*10^-6</f>
        <v/>
      </c>
      <c r="L973" s="8">
        <f>H973</f>
        <v/>
      </c>
      <c r="M973" s="26">
        <f>H973^2/6</f>
        <v/>
      </c>
      <c r="N973" s="26">
        <f>H973^3/12</f>
        <v/>
      </c>
      <c r="O973" s="27">
        <f>-J973*L973*K973*C973</f>
        <v/>
      </c>
      <c r="P973" s="28">
        <f>-(12*F973*J973*L973*N973+12*O973*N973*G973*COS(RADIANS(E973)))/(12*N973*G973*COS(RADIANS(E973))^2+L973*G973^3*SIN(RADIANS(E973))^2)</f>
        <v/>
      </c>
      <c r="Q973" s="28">
        <f>-(6*F973*J973*L973*N973*SIN(RADIANS(E973))+6*O973*N973*G973*SIN(RADIANS(E973))*COS(RADIANS(E973)))/(12*N973*COS(RADIANS(E973))^2+L973*G973^2*SIN(RADIANS(E973))^2)</f>
        <v/>
      </c>
      <c r="R973" s="28">
        <f>-P973*SIN(RADIANS(E973))</f>
        <v/>
      </c>
      <c r="S973" s="8">
        <f>(O973+P973*COS(RADIANS(E973)))/L973</f>
        <v/>
      </c>
      <c r="T973" s="8">
        <f>R973/L973</f>
        <v/>
      </c>
      <c r="U973" s="8">
        <f>(Q973-P973*G973*SIN(RADIANS(E973)))/M973</f>
        <v/>
      </c>
      <c r="V973" s="8">
        <f>SQRT((S973+U973)^2+3*T973^2)</f>
        <v/>
      </c>
      <c r="W973" s="8">
        <f>V973/AA973</f>
        <v/>
      </c>
      <c r="X973" s="27">
        <f>((3*10+H973/COS(RADIANS(E973)))*(3+3)+3*G973*H973)*2</f>
        <v/>
      </c>
      <c r="Y973" s="28">
        <f>Z973/X973</f>
        <v/>
      </c>
      <c r="Z973" s="29" t="n">
        <v>809.535453113273</v>
      </c>
      <c r="AA973" s="20" t="n">
        <v>74.746298475008</v>
      </c>
      <c r="AB973" t="n">
        <v>0.1326602672142712</v>
      </c>
      <c r="AC973" t="n">
        <v>70.76873838512019</v>
      </c>
      <c r="AD973" t="n">
        <v>31.31914747437915</v>
      </c>
    </row>
    <row r="974">
      <c r="A974" t="n">
        <v>973</v>
      </c>
      <c r="B974" t="n">
        <v>43.2</v>
      </c>
      <c r="C974" s="21">
        <f>B974-20</f>
        <v/>
      </c>
      <c r="D974" t="n">
        <v>123.1</v>
      </c>
      <c r="E974" s="22">
        <f>D974-90</f>
        <v/>
      </c>
      <c r="F974" s="23" t="n">
        <v>0.006794</v>
      </c>
      <c r="G974" s="22" t="n">
        <v>23.5</v>
      </c>
      <c r="H974" s="22" t="n">
        <v>1</v>
      </c>
      <c r="I974" s="24" t="n">
        <v>0.0315948501229286</v>
      </c>
      <c r="J974" s="6" t="n">
        <v>71000</v>
      </c>
      <c r="K974" s="25">
        <f>23*10^-6</f>
        <v/>
      </c>
      <c r="L974" s="8">
        <f>H974</f>
        <v/>
      </c>
      <c r="M974" s="26">
        <f>H974^2/6</f>
        <v/>
      </c>
      <c r="N974" s="26">
        <f>H974^3/12</f>
        <v/>
      </c>
      <c r="O974" s="27">
        <f>-J974*L974*K974*C974</f>
        <v/>
      </c>
      <c r="P974" s="28">
        <f>-(12*F974*J974*L974*N974+12*O974*N974*G974*COS(RADIANS(E974)))/(12*N974*G974*COS(RADIANS(E974))^2+L974*G974^3*SIN(RADIANS(E974))^2)</f>
        <v/>
      </c>
      <c r="Q974" s="28">
        <f>-(6*F974*J974*L974*N974*SIN(RADIANS(E974))+6*O974*N974*G974*SIN(RADIANS(E974))*COS(RADIANS(E974)))/(12*N974*COS(RADIANS(E974))^2+L974*G974^2*SIN(RADIANS(E974))^2)</f>
        <v/>
      </c>
      <c r="R974" s="28">
        <f>-P974*SIN(RADIANS(E974))</f>
        <v/>
      </c>
      <c r="S974" s="8">
        <f>(O974+P974*COS(RADIANS(E974)))/L974</f>
        <v/>
      </c>
      <c r="T974" s="8">
        <f>R974/L974</f>
        <v/>
      </c>
      <c r="U974" s="8">
        <f>(Q974-P974*G974*SIN(RADIANS(E974)))/M974</f>
        <v/>
      </c>
      <c r="V974" s="8">
        <f>SQRT((S974+U974)^2+3*T974^2)</f>
        <v/>
      </c>
      <c r="W974" s="8">
        <f>V974/AA974</f>
        <v/>
      </c>
      <c r="X974" s="27">
        <f>((3*10+H974/COS(RADIANS(E974)))*(3+3)+3*G974*H974)*2</f>
        <v/>
      </c>
      <c r="Y974" s="28">
        <f>Z974/X974</f>
        <v/>
      </c>
      <c r="Z974" s="29" t="n">
        <v>523.4074812117429</v>
      </c>
      <c r="AA974" s="20" t="n">
        <v>31.3541917416384</v>
      </c>
      <c r="AB974" t="n">
        <v>0.03322284252760972</v>
      </c>
      <c r="AC974" t="n">
        <v>33.26036659905213</v>
      </c>
      <c r="AD974" t="n">
        <v>5.15271444031846</v>
      </c>
    </row>
    <row r="975">
      <c r="A975" t="n">
        <v>974</v>
      </c>
      <c r="B975" t="n">
        <v>78.5</v>
      </c>
      <c r="C975" s="21">
        <f>B975-20</f>
        <v/>
      </c>
      <c r="D975" t="n">
        <v>108.4</v>
      </c>
      <c r="E975" s="22">
        <f>D975-90</f>
        <v/>
      </c>
      <c r="F975" s="23" t="n">
        <v>0.01805</v>
      </c>
      <c r="G975" s="22" t="n">
        <v>22.2</v>
      </c>
      <c r="H975" s="22" t="n">
        <v>1.1</v>
      </c>
      <c r="I975" s="24" t="n">
        <v>0.115643322467803</v>
      </c>
      <c r="J975" s="6" t="n">
        <v>71000</v>
      </c>
      <c r="K975" s="25">
        <f>23*10^-6</f>
        <v/>
      </c>
      <c r="L975" s="8">
        <f>H975</f>
        <v/>
      </c>
      <c r="M975" s="26">
        <f>H975^2/6</f>
        <v/>
      </c>
      <c r="N975" s="26">
        <f>H975^3/12</f>
        <v/>
      </c>
      <c r="O975" s="27">
        <f>-J975*L975*K975*C975</f>
        <v/>
      </c>
      <c r="P975" s="28">
        <f>-(12*F975*J975*L975*N975+12*O975*N975*G975*COS(RADIANS(E975)))/(12*N975*G975*COS(RADIANS(E975))^2+L975*G975^3*SIN(RADIANS(E975))^2)</f>
        <v/>
      </c>
      <c r="Q975" s="28">
        <f>-(6*F975*J975*L975*N975*SIN(RADIANS(E975))+6*O975*N975*G975*SIN(RADIANS(E975))*COS(RADIANS(E975)))/(12*N975*COS(RADIANS(E975))^2+L975*G975^2*SIN(RADIANS(E975))^2)</f>
        <v/>
      </c>
      <c r="R975" s="28">
        <f>-P975*SIN(RADIANS(E975))</f>
        <v/>
      </c>
      <c r="S975" s="8">
        <f>(O975+P975*COS(RADIANS(E975)))/L975</f>
        <v/>
      </c>
      <c r="T975" s="8">
        <f>R975/L975</f>
        <v/>
      </c>
      <c r="U975" s="8">
        <f>(Q975-P975*G975*SIN(RADIANS(E975)))/M975</f>
        <v/>
      </c>
      <c r="V975" s="8">
        <f>SQRT((S975+U975)^2+3*T975^2)</f>
        <v/>
      </c>
      <c r="W975" s="8">
        <f>V975/AA975</f>
        <v/>
      </c>
      <c r="X975" s="27">
        <f>((3*10+H975/COS(RADIANS(E975)))*(3+3)+3*G975*H975)*2</f>
        <v/>
      </c>
      <c r="Y975" s="28">
        <f>Z975/X975</f>
        <v/>
      </c>
      <c r="Z975" s="29" t="n">
        <v>525.1579084942759</v>
      </c>
      <c r="AA975" s="20" t="n">
        <v>85.29785197211091</v>
      </c>
      <c r="AB975" t="n">
        <v>0.145528095175915</v>
      </c>
      <c r="AC975" t="n">
        <v>90.42823360992956</v>
      </c>
      <c r="AD975" t="n">
        <v>25.84219483700186</v>
      </c>
    </row>
    <row r="976">
      <c r="A976" t="n">
        <v>975</v>
      </c>
      <c r="B976" t="n">
        <v>44.7</v>
      </c>
      <c r="C976" s="21">
        <f>B976-20</f>
        <v/>
      </c>
      <c r="D976" t="n">
        <v>125.8</v>
      </c>
      <c r="E976" s="22">
        <f>D976-90</f>
        <v/>
      </c>
      <c r="F976" s="23" t="n">
        <v>0.007924</v>
      </c>
      <c r="G976" s="22" t="n">
        <v>27.3</v>
      </c>
      <c r="H976" s="22" t="n">
        <v>1.6</v>
      </c>
      <c r="I976" s="24" t="n">
        <v>0.0352488607168197</v>
      </c>
      <c r="J976" s="6" t="n">
        <v>71000</v>
      </c>
      <c r="K976" s="25">
        <f>23*10^-6</f>
        <v/>
      </c>
      <c r="L976" s="8">
        <f>H976</f>
        <v/>
      </c>
      <c r="M976" s="26">
        <f>H976^2/6</f>
        <v/>
      </c>
      <c r="N976" s="26">
        <f>H976^3/12</f>
        <v/>
      </c>
      <c r="O976" s="27">
        <f>-J976*L976*K976*C976</f>
        <v/>
      </c>
      <c r="P976" s="28">
        <f>-(12*F976*J976*L976*N976+12*O976*N976*G976*COS(RADIANS(E976)))/(12*N976*G976*COS(RADIANS(E976))^2+L976*G976^3*SIN(RADIANS(E976))^2)</f>
        <v/>
      </c>
      <c r="Q976" s="28">
        <f>-(6*F976*J976*L976*N976*SIN(RADIANS(E976))+6*O976*N976*G976*SIN(RADIANS(E976))*COS(RADIANS(E976)))/(12*N976*COS(RADIANS(E976))^2+L976*G976^2*SIN(RADIANS(E976))^2)</f>
        <v/>
      </c>
      <c r="R976" s="28">
        <f>-P976*SIN(RADIANS(E976))</f>
        <v/>
      </c>
      <c r="S976" s="8">
        <f>(O976+P976*COS(RADIANS(E976)))/L976</f>
        <v/>
      </c>
      <c r="T976" s="8">
        <f>R976/L976</f>
        <v/>
      </c>
      <c r="U976" s="8">
        <f>(Q976-P976*G976*SIN(RADIANS(E976)))/M976</f>
        <v/>
      </c>
      <c r="V976" s="8">
        <f>SQRT((S976+U976)^2+3*T976^2)</f>
        <v/>
      </c>
      <c r="W976" s="8">
        <f>V976/AA976</f>
        <v/>
      </c>
      <c r="X976" s="27">
        <f>((3*10+H976/COS(RADIANS(E976)))*(3+3)+3*G976*H976)*2</f>
        <v/>
      </c>
      <c r="Y976" s="28">
        <f>Z976/X976</f>
        <v/>
      </c>
      <c r="Z976" s="29" t="n">
        <v>654.777008898528</v>
      </c>
      <c r="AA976" s="20" t="n">
        <v>37.0835851373997</v>
      </c>
      <c r="AB976" t="n">
        <v>0.03721697283539756</v>
      </c>
      <c r="AC976" t="n">
        <v>36.06777937937206</v>
      </c>
      <c r="AD976" t="n">
        <v>5.583477248780241</v>
      </c>
    </row>
    <row r="977">
      <c r="A977" t="n">
        <v>976</v>
      </c>
      <c r="B977" t="n">
        <v>85.09999999999999</v>
      </c>
      <c r="C977" s="21">
        <f>B977-20</f>
        <v/>
      </c>
      <c r="D977" t="n">
        <v>123.5</v>
      </c>
      <c r="E977" s="22">
        <f>D977-90</f>
        <v/>
      </c>
      <c r="F977" s="23" t="n">
        <v>0.020667</v>
      </c>
      <c r="G977" s="22" t="n">
        <v>26.2</v>
      </c>
      <c r="H977" s="22" t="n">
        <v>1.9</v>
      </c>
      <c r="I977" s="24" t="n">
        <v>0.0943542867898941</v>
      </c>
      <c r="J977" s="6" t="n">
        <v>71000</v>
      </c>
      <c r="K977" s="25">
        <f>23*10^-6</f>
        <v/>
      </c>
      <c r="L977" s="8">
        <f>H977</f>
        <v/>
      </c>
      <c r="M977" s="26">
        <f>H977^2/6</f>
        <v/>
      </c>
      <c r="N977" s="26">
        <f>H977^3/12</f>
        <v/>
      </c>
      <c r="O977" s="27">
        <f>-J977*L977*K977*C977</f>
        <v/>
      </c>
      <c r="P977" s="28">
        <f>-(12*F977*J977*L977*N977+12*O977*N977*G977*COS(RADIANS(E977)))/(12*N977*G977*COS(RADIANS(E977))^2+L977*G977^3*SIN(RADIANS(E977))^2)</f>
        <v/>
      </c>
      <c r="Q977" s="28">
        <f>-(6*F977*J977*L977*N977*SIN(RADIANS(E977))+6*O977*N977*G977*SIN(RADIANS(E977))*COS(RADIANS(E977)))/(12*N977*COS(RADIANS(E977))^2+L977*G977^2*SIN(RADIANS(E977))^2)</f>
        <v/>
      </c>
      <c r="R977" s="28">
        <f>-P977*SIN(RADIANS(E977))</f>
        <v/>
      </c>
      <c r="S977" s="8">
        <f>(O977+P977*COS(RADIANS(E977)))/L977</f>
        <v/>
      </c>
      <c r="T977" s="8">
        <f>R977/L977</f>
        <v/>
      </c>
      <c r="U977" s="8">
        <f>(Q977-P977*G977*SIN(RADIANS(E977)))/M977</f>
        <v/>
      </c>
      <c r="V977" s="8">
        <f>SQRT((S977+U977)^2+3*T977^2)</f>
        <v/>
      </c>
      <c r="W977" s="8">
        <f>V977/AA977</f>
        <v/>
      </c>
      <c r="X977" s="27">
        <f>((3*10+H977/COS(RADIANS(E977)))*(3+3)+3*G977*H977)*2</f>
        <v/>
      </c>
      <c r="Y977" s="28">
        <f>Z977/X977</f>
        <v/>
      </c>
      <c r="Z977" s="29" t="n">
        <v>694.236420733724</v>
      </c>
      <c r="AA977" s="20" t="n">
        <v>104.965390230895</v>
      </c>
      <c r="AB977" t="n">
        <v>0.1009242631496606</v>
      </c>
      <c r="AC977" t="n">
        <v>97.51357216989317</v>
      </c>
      <c r="AD977" t="n">
        <v>6.963092598427875</v>
      </c>
    </row>
    <row r="978">
      <c r="A978" t="n">
        <v>977</v>
      </c>
      <c r="B978" t="n">
        <v>49.2</v>
      </c>
      <c r="C978" s="21">
        <f>B978-20</f>
        <v/>
      </c>
      <c r="D978" t="n">
        <v>116.5</v>
      </c>
      <c r="E978" s="22">
        <f>D978-90</f>
        <v/>
      </c>
      <c r="F978" s="23" t="n">
        <v>0.010696</v>
      </c>
      <c r="G978" s="22" t="n">
        <v>29.2</v>
      </c>
      <c r="H978" s="22" t="n">
        <v>1.6</v>
      </c>
      <c r="I978" s="24" t="n">
        <v>0.0530179105699062</v>
      </c>
      <c r="J978" s="6" t="n">
        <v>71000</v>
      </c>
      <c r="K978" s="25">
        <f>23*10^-6</f>
        <v/>
      </c>
      <c r="L978" s="8">
        <f>H978</f>
        <v/>
      </c>
      <c r="M978" s="26">
        <f>H978^2/6</f>
        <v/>
      </c>
      <c r="N978" s="26">
        <f>H978^3/12</f>
        <v/>
      </c>
      <c r="O978" s="27">
        <f>-J978*L978*K978*C978</f>
        <v/>
      </c>
      <c r="P978" s="28">
        <f>-(12*F978*J978*L978*N978+12*O978*N978*G978*COS(RADIANS(E978)))/(12*N978*G978*COS(RADIANS(E978))^2+L978*G978^3*SIN(RADIANS(E978))^2)</f>
        <v/>
      </c>
      <c r="Q978" s="28">
        <f>-(6*F978*J978*L978*N978*SIN(RADIANS(E978))+6*O978*N978*G978*SIN(RADIANS(E978))*COS(RADIANS(E978)))/(12*N978*COS(RADIANS(E978))^2+L978*G978^2*SIN(RADIANS(E978))^2)</f>
        <v/>
      </c>
      <c r="R978" s="28">
        <f>-P978*SIN(RADIANS(E978))</f>
        <v/>
      </c>
      <c r="S978" s="8">
        <f>(O978+P978*COS(RADIANS(E978)))/L978</f>
        <v/>
      </c>
      <c r="T978" s="8">
        <f>R978/L978</f>
        <v/>
      </c>
      <c r="U978" s="8">
        <f>(Q978-P978*G978*SIN(RADIANS(E978)))/M978</f>
        <v/>
      </c>
      <c r="V978" s="8">
        <f>SQRT((S978+U978)^2+3*T978^2)</f>
        <v/>
      </c>
      <c r="W978" s="8">
        <f>V978/AA978</f>
        <v/>
      </c>
      <c r="X978" s="27">
        <f>((3*10+H978/COS(RADIANS(E978)))*(3+3)+3*G978*H978)*2</f>
        <v/>
      </c>
      <c r="Y978" s="28">
        <f>Z978/X978</f>
        <v/>
      </c>
      <c r="Z978" s="29" t="n">
        <v>668.0253260078021</v>
      </c>
      <c r="AA978" s="20" t="n">
        <v>44.7371325545328</v>
      </c>
      <c r="AB978" t="n">
        <v>0.06455966909618387</v>
      </c>
      <c r="AC978" t="n">
        <v>44.02634314959671</v>
      </c>
      <c r="AD978" t="n">
        <v>21.76954618205748</v>
      </c>
    </row>
    <row r="979">
      <c r="A979" t="n">
        <v>978</v>
      </c>
      <c r="B979" t="n">
        <v>57.2</v>
      </c>
      <c r="C979" s="21">
        <f>B979-20</f>
        <v/>
      </c>
      <c r="D979" t="n">
        <v>107.9</v>
      </c>
      <c r="E979" s="22">
        <f>D979-90</f>
        <v/>
      </c>
      <c r="F979" s="23" t="n">
        <v>0.013844</v>
      </c>
      <c r="G979" s="22" t="n">
        <v>28</v>
      </c>
      <c r="H979" s="22" t="n">
        <v>1.6</v>
      </c>
      <c r="I979" s="24" t="n">
        <v>0.08713918924331659</v>
      </c>
      <c r="J979" s="6" t="n">
        <v>71000</v>
      </c>
      <c r="K979" s="25">
        <f>23*10^-6</f>
        <v/>
      </c>
      <c r="L979" s="8">
        <f>H979</f>
        <v/>
      </c>
      <c r="M979" s="26">
        <f>H979^2/6</f>
        <v/>
      </c>
      <c r="N979" s="26">
        <f>H979^3/12</f>
        <v/>
      </c>
      <c r="O979" s="27">
        <f>-J979*L979*K979*C979</f>
        <v/>
      </c>
      <c r="P979" s="28">
        <f>-(12*F979*J979*L979*N979+12*O979*N979*G979*COS(RADIANS(E979)))/(12*N979*G979*COS(RADIANS(E979))^2+L979*G979^3*SIN(RADIANS(E979))^2)</f>
        <v/>
      </c>
      <c r="Q979" s="28">
        <f>-(6*F979*J979*L979*N979*SIN(RADIANS(E979))+6*O979*N979*G979*SIN(RADIANS(E979))*COS(RADIANS(E979)))/(12*N979*COS(RADIANS(E979))^2+L979*G979^2*SIN(RADIANS(E979))^2)</f>
        <v/>
      </c>
      <c r="R979" s="28">
        <f>-P979*SIN(RADIANS(E979))</f>
        <v/>
      </c>
      <c r="S979" s="8">
        <f>(O979+P979*COS(RADIANS(E979)))/L979</f>
        <v/>
      </c>
      <c r="T979" s="8">
        <f>R979/L979</f>
        <v/>
      </c>
      <c r="U979" s="8">
        <f>(Q979-P979*G979*SIN(RADIANS(E979)))/M979</f>
        <v/>
      </c>
      <c r="V979" s="8">
        <f>SQRT((S979+U979)^2+3*T979^2)</f>
        <v/>
      </c>
      <c r="W979" s="8">
        <f>V979/AA979</f>
        <v/>
      </c>
      <c r="X979" s="27">
        <f>((3*10+H979/COS(RADIANS(E979)))*(3+3)+3*G979*H979)*2</f>
        <v/>
      </c>
      <c r="Y979" s="28">
        <f>Z979/X979</f>
        <v/>
      </c>
      <c r="Z979" s="29" t="n">
        <v>653.631122081985</v>
      </c>
      <c r="AA979" s="20" t="n">
        <v>59.2721132853976</v>
      </c>
      <c r="AB979" t="n">
        <v>0.1170041307554773</v>
      </c>
      <c r="AC979" t="n">
        <v>59.46814534098414</v>
      </c>
      <c r="AD979" t="n">
        <v>34.27268691790275</v>
      </c>
    </row>
    <row r="980">
      <c r="A980" t="n">
        <v>979</v>
      </c>
      <c r="B980" t="n">
        <v>83.7</v>
      </c>
      <c r="C980" s="21">
        <f>B980-20</f>
        <v/>
      </c>
      <c r="D980" t="n">
        <v>103.9</v>
      </c>
      <c r="E980" s="22">
        <f>D980-90</f>
        <v/>
      </c>
      <c r="F980" s="23" t="n">
        <v>0.019936</v>
      </c>
      <c r="G980" s="22" t="n">
        <v>22.1</v>
      </c>
      <c r="H980" s="22" t="n">
        <v>1.8</v>
      </c>
      <c r="I980" s="24" t="n">
        <v>0.147625312209129</v>
      </c>
      <c r="J980" s="6" t="n">
        <v>71000</v>
      </c>
      <c r="K980" s="25">
        <f>23*10^-6</f>
        <v/>
      </c>
      <c r="L980" s="8">
        <f>H980</f>
        <v/>
      </c>
      <c r="M980" s="26">
        <f>H980^2/6</f>
        <v/>
      </c>
      <c r="N980" s="26">
        <f>H980^3/12</f>
        <v/>
      </c>
      <c r="O980" s="27">
        <f>-J980*L980*K980*C980</f>
        <v/>
      </c>
      <c r="P980" s="28">
        <f>-(12*F980*J980*L980*N980+12*O980*N980*G980*COS(RADIANS(E980)))/(12*N980*G980*COS(RADIANS(E980))^2+L980*G980^3*SIN(RADIANS(E980))^2)</f>
        <v/>
      </c>
      <c r="Q980" s="28">
        <f>-(6*F980*J980*L980*N980*SIN(RADIANS(E980))+6*O980*N980*G980*SIN(RADIANS(E980))*COS(RADIANS(E980)))/(12*N980*COS(RADIANS(E980))^2+L980*G980^2*SIN(RADIANS(E980))^2)</f>
        <v/>
      </c>
      <c r="R980" s="28">
        <f>-P980*SIN(RADIANS(E980))</f>
        <v/>
      </c>
      <c r="S980" s="8">
        <f>(O980+P980*COS(RADIANS(E980)))/L980</f>
        <v/>
      </c>
      <c r="T980" s="8">
        <f>R980/L980</f>
        <v/>
      </c>
      <c r="U980" s="8">
        <f>(Q980-P980*G980*SIN(RADIANS(E980)))/M980</f>
        <v/>
      </c>
      <c r="V980" s="8">
        <f>SQRT((S980+U980)^2+3*T980^2)</f>
        <v/>
      </c>
      <c r="W980" s="8">
        <f>V980/AA980</f>
        <v/>
      </c>
      <c r="X980" s="27">
        <f>((3*10+H980/COS(RADIANS(E980)))*(3+3)+3*G980*H980)*2</f>
        <v/>
      </c>
      <c r="Y980" s="28">
        <f>Z980/X980</f>
        <v/>
      </c>
      <c r="Z980" s="29" t="n">
        <v>625.089240560866</v>
      </c>
      <c r="AA980" s="20" t="n">
        <v>118.136482325601</v>
      </c>
      <c r="AB980" t="n">
        <v>0.1938120534695383</v>
      </c>
      <c r="AC980" t="n">
        <v>110.3813660938342</v>
      </c>
      <c r="AD980" t="n">
        <v>31.28646474595103</v>
      </c>
    </row>
    <row r="981">
      <c r="A981" t="n">
        <v>980</v>
      </c>
      <c r="B981" t="n">
        <v>46.7</v>
      </c>
      <c r="C981" s="21">
        <f>B981-20</f>
        <v/>
      </c>
      <c r="D981" t="n">
        <v>103.9</v>
      </c>
      <c r="E981" s="22">
        <f>D981-90</f>
        <v/>
      </c>
      <c r="F981" s="23" t="n">
        <v>0.010306</v>
      </c>
      <c r="G981" s="22" t="n">
        <v>28.7</v>
      </c>
      <c r="H981" s="22" t="n">
        <v>1.4</v>
      </c>
      <c r="I981" s="24" t="n">
        <v>0.0776701122522354</v>
      </c>
      <c r="J981" s="6" t="n">
        <v>71000</v>
      </c>
      <c r="K981" s="25">
        <f>23*10^-6</f>
        <v/>
      </c>
      <c r="L981" s="8">
        <f>H981</f>
        <v/>
      </c>
      <c r="M981" s="26">
        <f>H981^2/6</f>
        <v/>
      </c>
      <c r="N981" s="26">
        <f>H981^3/12</f>
        <v/>
      </c>
      <c r="O981" s="27">
        <f>-J981*L981*K981*C981</f>
        <v/>
      </c>
      <c r="P981" s="28">
        <f>-(12*F981*J981*L981*N981+12*O981*N981*G981*COS(RADIANS(E981)))/(12*N981*G981*COS(RADIANS(E981))^2+L981*G981^3*SIN(RADIANS(E981))^2)</f>
        <v/>
      </c>
      <c r="Q981" s="28">
        <f>-(6*F981*J981*L981*N981*SIN(RADIANS(E981))+6*O981*N981*G981*SIN(RADIANS(E981))*COS(RADIANS(E981)))/(12*N981*COS(RADIANS(E981))^2+L981*G981^2*SIN(RADIANS(E981))^2)</f>
        <v/>
      </c>
      <c r="R981" s="28">
        <f>-P981*SIN(RADIANS(E981))</f>
        <v/>
      </c>
      <c r="S981" s="8">
        <f>(O981+P981*COS(RADIANS(E981)))/L981</f>
        <v/>
      </c>
      <c r="T981" s="8">
        <f>R981/L981</f>
        <v/>
      </c>
      <c r="U981" s="8">
        <f>(Q981-P981*G981*SIN(RADIANS(E981)))/M981</f>
        <v/>
      </c>
      <c r="V981" s="8">
        <f>SQRT((S981+U981)^2+3*T981^2)</f>
        <v/>
      </c>
      <c r="W981" s="8">
        <f>V981/AA981</f>
        <v/>
      </c>
      <c r="X981" s="27">
        <f>((3*10+H981/COS(RADIANS(E981)))*(3+3)+3*G981*H981)*2</f>
        <v/>
      </c>
      <c r="Y981" s="28">
        <f>Z981/X981</f>
        <v/>
      </c>
      <c r="Z981" s="29" t="n">
        <v>622.544439384527</v>
      </c>
      <c r="AA981" s="20" t="n">
        <v>41.6599234624751</v>
      </c>
      <c r="AB981" t="n">
        <v>0.1106148635040114</v>
      </c>
      <c r="AC981" t="n">
        <v>43.44491061621592</v>
      </c>
      <c r="AD981" t="n">
        <v>42.41625291436063</v>
      </c>
    </row>
    <row r="982">
      <c r="A982" t="n">
        <v>981</v>
      </c>
      <c r="B982" t="n">
        <v>46.3</v>
      </c>
      <c r="C982" s="21">
        <f>B982-20</f>
        <v/>
      </c>
      <c r="D982" t="n">
        <v>119.3</v>
      </c>
      <c r="E982" s="22">
        <f>D982-90</f>
        <v/>
      </c>
      <c r="F982" s="23" t="n">
        <v>0.008309</v>
      </c>
      <c r="G982" s="22" t="n">
        <v>24.9</v>
      </c>
      <c r="H982" s="22" t="n">
        <v>1.2</v>
      </c>
      <c r="I982" s="24" t="n">
        <v>0.0402047894895076</v>
      </c>
      <c r="J982" s="6" t="n">
        <v>71000</v>
      </c>
      <c r="K982" s="25">
        <f>23*10^-6</f>
        <v/>
      </c>
      <c r="L982" s="8">
        <f>H982</f>
        <v/>
      </c>
      <c r="M982" s="26">
        <f>H982^2/6</f>
        <v/>
      </c>
      <c r="N982" s="26">
        <f>H982^3/12</f>
        <v/>
      </c>
      <c r="O982" s="27">
        <f>-J982*L982*K982*C982</f>
        <v/>
      </c>
      <c r="P982" s="28">
        <f>-(12*F982*J982*L982*N982+12*O982*N982*G982*COS(RADIANS(E982)))/(12*N982*G982*COS(RADIANS(E982))^2+L982*G982^3*SIN(RADIANS(E982))^2)</f>
        <v/>
      </c>
      <c r="Q982" s="28">
        <f>-(6*F982*J982*L982*N982*SIN(RADIANS(E982))+6*O982*N982*G982*SIN(RADIANS(E982))*COS(RADIANS(E982)))/(12*N982*COS(RADIANS(E982))^2+L982*G982^2*SIN(RADIANS(E982))^2)</f>
        <v/>
      </c>
      <c r="R982" s="28">
        <f>-P982*SIN(RADIANS(E982))</f>
        <v/>
      </c>
      <c r="S982" s="8">
        <f>(O982+P982*COS(RADIANS(E982)))/L982</f>
        <v/>
      </c>
      <c r="T982" s="8">
        <f>R982/L982</f>
        <v/>
      </c>
      <c r="U982" s="8">
        <f>(Q982-P982*G982*SIN(RADIANS(E982)))/M982</f>
        <v/>
      </c>
      <c r="V982" s="8">
        <f>SQRT((S982+U982)^2+3*T982^2)</f>
        <v/>
      </c>
      <c r="W982" s="8">
        <f>V982/AA982</f>
        <v/>
      </c>
      <c r="X982" s="27">
        <f>((3*10+H982/COS(RADIANS(E982)))*(3+3)+3*G982*H982)*2</f>
        <v/>
      </c>
      <c r="Y982" s="28">
        <f>Z982/X982</f>
        <v/>
      </c>
      <c r="Z982" s="29" t="n">
        <v>562.746828598021</v>
      </c>
      <c r="AA982" s="20" t="n">
        <v>37.4051383916585</v>
      </c>
      <c r="AB982" t="n">
        <v>0.04521683644040986</v>
      </c>
      <c r="AC982" t="n">
        <v>38.54824070119836</v>
      </c>
      <c r="AD982" t="n">
        <v>12.46629323158197</v>
      </c>
    </row>
    <row r="983">
      <c r="A983" t="n">
        <v>982</v>
      </c>
      <c r="B983" t="n">
        <v>65.40000000000001</v>
      </c>
      <c r="C983" s="21">
        <f>B983-20</f>
        <v/>
      </c>
      <c r="D983" t="n">
        <v>112.7</v>
      </c>
      <c r="E983" s="22">
        <f>D983-90</f>
        <v/>
      </c>
      <c r="F983" s="23" t="n">
        <v>0.019005</v>
      </c>
      <c r="G983" s="22" t="n">
        <v>33.3</v>
      </c>
      <c r="H983" s="22" t="n">
        <v>1.1</v>
      </c>
      <c r="I983" s="24" t="n">
        <v>0.101058796048164</v>
      </c>
      <c r="J983" s="6" t="n">
        <v>71000</v>
      </c>
      <c r="K983" s="25">
        <f>23*10^-6</f>
        <v/>
      </c>
      <c r="L983" s="8">
        <f>H983</f>
        <v/>
      </c>
      <c r="M983" s="26">
        <f>H983^2/6</f>
        <v/>
      </c>
      <c r="N983" s="26">
        <f>H983^3/12</f>
        <v/>
      </c>
      <c r="O983" s="27">
        <f>-J983*L983*K983*C983</f>
        <v/>
      </c>
      <c r="P983" s="28">
        <f>-(12*F983*J983*L983*N983+12*O983*N983*G983*COS(RADIANS(E983)))/(12*N983*G983*COS(RADIANS(E983))^2+L983*G983^3*SIN(RADIANS(E983))^2)</f>
        <v/>
      </c>
      <c r="Q983" s="28">
        <f>-(6*F983*J983*L983*N983*SIN(RADIANS(E983))+6*O983*N983*G983*SIN(RADIANS(E983))*COS(RADIANS(E983)))/(12*N983*COS(RADIANS(E983))^2+L983*G983^2*SIN(RADIANS(E983))^2)</f>
        <v/>
      </c>
      <c r="R983" s="28">
        <f>-P983*SIN(RADIANS(E983))</f>
        <v/>
      </c>
      <c r="S983" s="8">
        <f>(O983+P983*COS(RADIANS(E983)))/L983</f>
        <v/>
      </c>
      <c r="T983" s="8">
        <f>R983/L983</f>
        <v/>
      </c>
      <c r="U983" s="8">
        <f>(Q983-P983*G983*SIN(RADIANS(E983)))/M983</f>
        <v/>
      </c>
      <c r="V983" s="8">
        <f>SQRT((S983+U983)^2+3*T983^2)</f>
        <v/>
      </c>
      <c r="W983" s="8">
        <f>V983/AA983</f>
        <v/>
      </c>
      <c r="X983" s="27">
        <f>((3*10+H983/COS(RADIANS(E983)))*(3+3)+3*G983*H983)*2</f>
        <v/>
      </c>
      <c r="Y983" s="28">
        <f>Z983/X983</f>
        <v/>
      </c>
      <c r="Z983" s="29" t="n">
        <v>599.537167703635</v>
      </c>
      <c r="AA983" s="20" t="n">
        <v>63.5404215463534</v>
      </c>
      <c r="AB983" t="n">
        <v>0.1346483219313181</v>
      </c>
      <c r="AC983" t="n">
        <v>66.67458019704002</v>
      </c>
      <c r="AD983" t="n">
        <v>33.2376074093991</v>
      </c>
    </row>
    <row r="984">
      <c r="A984" t="n">
        <v>983</v>
      </c>
      <c r="B984" t="n">
        <v>52.3</v>
      </c>
      <c r="C984" s="21">
        <f>B984-20</f>
        <v/>
      </c>
      <c r="D984" t="n">
        <v>116</v>
      </c>
      <c r="E984" s="22">
        <f>D984-90</f>
        <v/>
      </c>
      <c r="F984" s="23" t="n">
        <v>0.009159</v>
      </c>
      <c r="G984" s="22" t="n">
        <v>21</v>
      </c>
      <c r="H984" s="22" t="n">
        <v>2</v>
      </c>
      <c r="I984" s="24" t="n">
        <v>0.0477741807699203</v>
      </c>
      <c r="J984" s="6" t="n">
        <v>71000</v>
      </c>
      <c r="K984" s="25">
        <f>23*10^-6</f>
        <v/>
      </c>
      <c r="L984" s="8">
        <f>H984</f>
        <v/>
      </c>
      <c r="M984" s="26">
        <f>H984^2/6</f>
        <v/>
      </c>
      <c r="N984" s="26">
        <f>H984^3/12</f>
        <v/>
      </c>
      <c r="O984" s="27">
        <f>-J984*L984*K984*C984</f>
        <v/>
      </c>
      <c r="P984" s="28">
        <f>-(12*F984*J984*L984*N984+12*O984*N984*G984*COS(RADIANS(E984)))/(12*N984*G984*COS(RADIANS(E984))^2+L984*G984^3*SIN(RADIANS(E984))^2)</f>
        <v/>
      </c>
      <c r="Q984" s="28">
        <f>-(6*F984*J984*L984*N984*SIN(RADIANS(E984))+6*O984*N984*G984*SIN(RADIANS(E984))*COS(RADIANS(E984)))/(12*N984*COS(RADIANS(E984))^2+L984*G984^2*SIN(RADIANS(E984))^2)</f>
        <v/>
      </c>
      <c r="R984" s="28">
        <f>-P984*SIN(RADIANS(E984))</f>
        <v/>
      </c>
      <c r="S984" s="8">
        <f>(O984+P984*COS(RADIANS(E984)))/L984</f>
        <v/>
      </c>
      <c r="T984" s="8">
        <f>R984/L984</f>
        <v/>
      </c>
      <c r="U984" s="8">
        <f>(Q984-P984*G984*SIN(RADIANS(E984)))/M984</f>
        <v/>
      </c>
      <c r="V984" s="8">
        <f>SQRT((S984+U984)^2+3*T984^2)</f>
        <v/>
      </c>
      <c r="W984" s="8">
        <f>V984/AA984</f>
        <v/>
      </c>
      <c r="X984" s="27">
        <f>((3*10+H984/COS(RADIANS(E984)))*(3+3)+3*G984*H984)*2</f>
        <v/>
      </c>
      <c r="Y984" s="28">
        <f>Z984/X984</f>
        <v/>
      </c>
      <c r="Z984" s="29" t="n">
        <v>644.8385225284489</v>
      </c>
      <c r="AA984" s="20" t="n">
        <v>56.8514417824026</v>
      </c>
      <c r="AB984" t="n">
        <v>0.05220685161339333</v>
      </c>
      <c r="AC984" t="n">
        <v>51.32179122791504</v>
      </c>
      <c r="AD984" t="n">
        <v>9.278381694959265</v>
      </c>
    </row>
    <row r="985">
      <c r="A985" t="n">
        <v>984</v>
      </c>
      <c r="B985" t="n">
        <v>87.5</v>
      </c>
      <c r="C985" s="21">
        <f>B985-20</f>
        <v/>
      </c>
      <c r="D985" t="n">
        <v>125</v>
      </c>
      <c r="E985" s="22">
        <f>D985-90</f>
        <v/>
      </c>
      <c r="F985" s="23" t="n">
        <v>0.021825</v>
      </c>
      <c r="G985" s="22" t="n">
        <v>27.3</v>
      </c>
      <c r="H985" s="22" t="n">
        <v>1.9</v>
      </c>
      <c r="I985" s="24" t="n">
        <v>0.0977557301521301</v>
      </c>
      <c r="J985" s="6" t="n">
        <v>71000</v>
      </c>
      <c r="K985" s="25">
        <f>23*10^-6</f>
        <v/>
      </c>
      <c r="L985" s="8">
        <f>H985</f>
        <v/>
      </c>
      <c r="M985" s="26">
        <f>H985^2/6</f>
        <v/>
      </c>
      <c r="N985" s="26">
        <f>H985^3/12</f>
        <v/>
      </c>
      <c r="O985" s="27">
        <f>-J985*L985*K985*C985</f>
        <v/>
      </c>
      <c r="P985" s="28">
        <f>-(12*F985*J985*L985*N985+12*O985*N985*G985*COS(RADIANS(E985)))/(12*N985*G985*COS(RADIANS(E985))^2+L985*G985^3*SIN(RADIANS(E985))^2)</f>
        <v/>
      </c>
      <c r="Q985" s="28">
        <f>-(6*F985*J985*L985*N985*SIN(RADIANS(E985))+6*O985*N985*G985*SIN(RADIANS(E985))*COS(RADIANS(E985)))/(12*N985*COS(RADIANS(E985))^2+L985*G985^2*SIN(RADIANS(E985))^2)</f>
        <v/>
      </c>
      <c r="R985" s="28">
        <f>-P985*SIN(RADIANS(E985))</f>
        <v/>
      </c>
      <c r="S985" s="8">
        <f>(O985+P985*COS(RADIANS(E985)))/L985</f>
        <v/>
      </c>
      <c r="T985" s="8">
        <f>R985/L985</f>
        <v/>
      </c>
      <c r="U985" s="8">
        <f>(Q985-P985*G985*SIN(RADIANS(E985)))/M985</f>
        <v/>
      </c>
      <c r="V985" s="8">
        <f>SQRT((S985+U985)^2+3*T985^2)</f>
        <v/>
      </c>
      <c r="W985" s="8">
        <f>V985/AA985</f>
        <v/>
      </c>
      <c r="X985" s="27">
        <f>((3*10+H985/COS(RADIANS(E985)))*(3+3)+3*G985*H985)*2</f>
        <v/>
      </c>
      <c r="Y985" s="28">
        <f>Z985/X985</f>
        <v/>
      </c>
      <c r="Z985" s="29" t="n">
        <v>707.785880139676</v>
      </c>
      <c r="AA985" s="20" t="n">
        <v>108.115585702025</v>
      </c>
      <c r="AB985" t="n">
        <v>0.1038852798780851</v>
      </c>
      <c r="AC985" t="n">
        <v>100.2731654211769</v>
      </c>
      <c r="AD985" t="n">
        <v>6.270271539495438</v>
      </c>
    </row>
    <row r="986">
      <c r="A986" t="n">
        <v>985</v>
      </c>
      <c r="B986" t="n">
        <v>73.90000000000001</v>
      </c>
      <c r="C986" s="21">
        <f>B986-20</f>
        <v/>
      </c>
      <c r="D986" t="n">
        <v>116.7</v>
      </c>
      <c r="E986" s="22">
        <f>D986-90</f>
        <v/>
      </c>
      <c r="F986" s="23" t="n">
        <v>0.01999</v>
      </c>
      <c r="G986" s="22" t="n">
        <v>29.7</v>
      </c>
      <c r="H986" s="22" t="n">
        <v>1.5</v>
      </c>
      <c r="I986" s="24" t="n">
        <v>0.0984965711832046</v>
      </c>
      <c r="J986" s="6" t="n">
        <v>71000</v>
      </c>
      <c r="K986" s="25">
        <f>23*10^-6</f>
        <v/>
      </c>
      <c r="L986" s="8">
        <f>H986</f>
        <v/>
      </c>
      <c r="M986" s="26">
        <f>H986^2/6</f>
        <v/>
      </c>
      <c r="N986" s="26">
        <f>H986^3/12</f>
        <v/>
      </c>
      <c r="O986" s="27">
        <f>-J986*L986*K986*C986</f>
        <v/>
      </c>
      <c r="P986" s="28">
        <f>-(12*F986*J986*L986*N986+12*O986*N986*G986*COS(RADIANS(E986)))/(12*N986*G986*COS(RADIANS(E986))^2+L986*G986^3*SIN(RADIANS(E986))^2)</f>
        <v/>
      </c>
      <c r="Q986" s="28">
        <f>-(6*F986*J986*L986*N986*SIN(RADIANS(E986))+6*O986*N986*G986*SIN(RADIANS(E986))*COS(RADIANS(E986)))/(12*N986*COS(RADIANS(E986))^2+L986*G986^2*SIN(RADIANS(E986))^2)</f>
        <v/>
      </c>
      <c r="R986" s="28">
        <f>-P986*SIN(RADIANS(E986))</f>
        <v/>
      </c>
      <c r="S986" s="8">
        <f>(O986+P986*COS(RADIANS(E986)))/L986</f>
        <v/>
      </c>
      <c r="T986" s="8">
        <f>R986/L986</f>
        <v/>
      </c>
      <c r="U986" s="8">
        <f>(Q986-P986*G986*SIN(RADIANS(E986)))/M986</f>
        <v/>
      </c>
      <c r="V986" s="8">
        <f>SQRT((S986+U986)^2+3*T986^2)</f>
        <v/>
      </c>
      <c r="W986" s="8">
        <f>V986/AA986</f>
        <v/>
      </c>
      <c r="X986" s="27">
        <f>((3*10+H986/COS(RADIANS(E986)))*(3+3)+3*G986*H986)*2</f>
        <v/>
      </c>
      <c r="Y986" s="28">
        <f>Z986/X986</f>
        <v/>
      </c>
      <c r="Z986" s="29" t="n">
        <v>653.746552061184</v>
      </c>
      <c r="AA986" s="20" t="n">
        <v>80.96354658944171</v>
      </c>
      <c r="AB986" t="n">
        <v>0.1203752875459747</v>
      </c>
      <c r="AC986" t="n">
        <v>80.58061428609456</v>
      </c>
      <c r="AD986" t="n">
        <v>22.21266801468195</v>
      </c>
    </row>
    <row r="987">
      <c r="A987" t="n">
        <v>986</v>
      </c>
      <c r="B987" t="n">
        <v>48.6</v>
      </c>
      <c r="C987" s="21">
        <f>B987-20</f>
        <v/>
      </c>
      <c r="D987" t="n">
        <v>123.5</v>
      </c>
      <c r="E987" s="22">
        <f>D987-90</f>
        <v/>
      </c>
      <c r="F987" s="23" t="n">
        <v>0.010167</v>
      </c>
      <c r="G987" s="22" t="n">
        <v>30.2</v>
      </c>
      <c r="H987" s="22" t="n">
        <v>1.3</v>
      </c>
      <c r="I987" s="24" t="n">
        <v>0.0453744493424892</v>
      </c>
      <c r="J987" s="6" t="n">
        <v>71000</v>
      </c>
      <c r="K987" s="25">
        <f>23*10^-6</f>
        <v/>
      </c>
      <c r="L987" s="8">
        <f>H987</f>
        <v/>
      </c>
      <c r="M987" s="26">
        <f>H987^2/6</f>
        <v/>
      </c>
      <c r="N987" s="26">
        <f>H987^3/12</f>
        <v/>
      </c>
      <c r="O987" s="27">
        <f>-J987*L987*K987*C987</f>
        <v/>
      </c>
      <c r="P987" s="28">
        <f>-(12*F987*J987*L987*N987+12*O987*N987*G987*COS(RADIANS(E987)))/(12*N987*G987*COS(RADIANS(E987))^2+L987*G987^3*SIN(RADIANS(E987))^2)</f>
        <v/>
      </c>
      <c r="Q987" s="28">
        <f>-(6*F987*J987*L987*N987*SIN(RADIANS(E987))+6*O987*N987*G987*SIN(RADIANS(E987))*COS(RADIANS(E987)))/(12*N987*COS(RADIANS(E987))^2+L987*G987^2*SIN(RADIANS(E987))^2)</f>
        <v/>
      </c>
      <c r="R987" s="28">
        <f>-P987*SIN(RADIANS(E987))</f>
        <v/>
      </c>
      <c r="S987" s="8">
        <f>(O987+P987*COS(RADIANS(E987)))/L987</f>
        <v/>
      </c>
      <c r="T987" s="8">
        <f>R987/L987</f>
        <v/>
      </c>
      <c r="U987" s="8">
        <f>(Q987-P987*G987*SIN(RADIANS(E987)))/M987</f>
        <v/>
      </c>
      <c r="V987" s="8">
        <f>SQRT((S987+U987)^2+3*T987^2)</f>
        <v/>
      </c>
      <c r="W987" s="8">
        <f>V987/AA987</f>
        <v/>
      </c>
      <c r="X987" s="27">
        <f>((3*10+H987/COS(RADIANS(E987)))*(3+3)+3*G987*H987)*2</f>
        <v/>
      </c>
      <c r="Y987" s="28">
        <f>Z987/X987</f>
        <v/>
      </c>
      <c r="Z987" s="29" t="n">
        <v>622.482145141712</v>
      </c>
      <c r="AA987" s="20" t="n">
        <v>40.5335630591686</v>
      </c>
      <c r="AB987" t="n">
        <v>0.05110849826723815</v>
      </c>
      <c r="AC987" t="n">
        <v>41.23352335024573</v>
      </c>
      <c r="AD987" t="n">
        <v>12.63717578469766</v>
      </c>
    </row>
    <row r="988">
      <c r="A988" t="n">
        <v>987</v>
      </c>
      <c r="B988" t="n">
        <v>47.2</v>
      </c>
      <c r="C988" s="21">
        <f>B988-20</f>
        <v/>
      </c>
      <c r="D988" t="n">
        <v>122.5</v>
      </c>
      <c r="E988" s="22">
        <f>D988-90</f>
        <v/>
      </c>
      <c r="F988" s="23" t="n">
        <v>0.009025999999999999</v>
      </c>
      <c r="G988" s="22" t="n">
        <v>27.4</v>
      </c>
      <c r="H988" s="22" t="n">
        <v>1.4</v>
      </c>
      <c r="I988" s="24" t="n">
        <v>0.041309256106615</v>
      </c>
      <c r="J988" s="6" t="n">
        <v>71000</v>
      </c>
      <c r="K988" s="25">
        <f>23*10^-6</f>
        <v/>
      </c>
      <c r="L988" s="8">
        <f>H988</f>
        <v/>
      </c>
      <c r="M988" s="26">
        <f>H988^2/6</f>
        <v/>
      </c>
      <c r="N988" s="26">
        <f>H988^3/12</f>
        <v/>
      </c>
      <c r="O988" s="27">
        <f>-J988*L988*K988*C988</f>
        <v/>
      </c>
      <c r="P988" s="28">
        <f>-(12*F988*J988*L988*N988+12*O988*N988*G988*COS(RADIANS(E988)))/(12*N988*G988*COS(RADIANS(E988))^2+L988*G988^3*SIN(RADIANS(E988))^2)</f>
        <v/>
      </c>
      <c r="Q988" s="28">
        <f>-(6*F988*J988*L988*N988*SIN(RADIANS(E988))+6*O988*N988*G988*SIN(RADIANS(E988))*COS(RADIANS(E988)))/(12*N988*COS(RADIANS(E988))^2+L988*G988^2*SIN(RADIANS(E988))^2)</f>
        <v/>
      </c>
      <c r="R988" s="28">
        <f>-P988*SIN(RADIANS(E988))</f>
        <v/>
      </c>
      <c r="S988" s="8">
        <f>(O988+P988*COS(RADIANS(E988)))/L988</f>
        <v/>
      </c>
      <c r="T988" s="8">
        <f>R988/L988</f>
        <v/>
      </c>
      <c r="U988" s="8">
        <f>(Q988-P988*G988*SIN(RADIANS(E988)))/M988</f>
        <v/>
      </c>
      <c r="V988" s="8">
        <f>SQRT((S988+U988)^2+3*T988^2)</f>
        <v/>
      </c>
      <c r="W988" s="8">
        <f>V988/AA988</f>
        <v/>
      </c>
      <c r="X988" s="27">
        <f>((3*10+H988/COS(RADIANS(E988)))*(3+3)+3*G988*H988)*2</f>
        <v/>
      </c>
      <c r="Y988" s="28">
        <f>Z988/X988</f>
        <v/>
      </c>
      <c r="Z988" s="29" t="n">
        <v>617.969742520954</v>
      </c>
      <c r="AA988" s="20" t="n">
        <v>39.6413680281707</v>
      </c>
      <c r="AB988" t="n">
        <v>0.0457398668460751</v>
      </c>
      <c r="AC988" t="n">
        <v>39.72625475302827</v>
      </c>
      <c r="AD988" t="n">
        <v>10.72546726095757</v>
      </c>
    </row>
    <row r="989">
      <c r="A989" t="n">
        <v>988</v>
      </c>
      <c r="B989" t="n">
        <v>50.5</v>
      </c>
      <c r="C989" s="21">
        <f>B989-20</f>
        <v/>
      </c>
      <c r="D989" t="n">
        <v>122</v>
      </c>
      <c r="E989" s="22">
        <f>D989-90</f>
        <v/>
      </c>
      <c r="F989" s="23" t="n">
        <v>0.010401</v>
      </c>
      <c r="G989" s="22" t="n">
        <v>28.2</v>
      </c>
      <c r="H989" s="22" t="n">
        <v>1</v>
      </c>
      <c r="I989" s="24" t="n">
        <v>0.0475945472717285</v>
      </c>
      <c r="J989" s="6" t="n">
        <v>71000</v>
      </c>
      <c r="K989" s="25">
        <f>23*10^-6</f>
        <v/>
      </c>
      <c r="L989" s="8">
        <f>H989</f>
        <v/>
      </c>
      <c r="M989" s="26">
        <f>H989^2/6</f>
        <v/>
      </c>
      <c r="N989" s="26">
        <f>H989^3/12</f>
        <v/>
      </c>
      <c r="O989" s="27">
        <f>-J989*L989*K989*C989</f>
        <v/>
      </c>
      <c r="P989" s="28">
        <f>-(12*F989*J989*L989*N989+12*O989*N989*G989*COS(RADIANS(E989)))/(12*N989*G989*COS(RADIANS(E989))^2+L989*G989^3*SIN(RADIANS(E989))^2)</f>
        <v/>
      </c>
      <c r="Q989" s="28">
        <f>-(6*F989*J989*L989*N989*SIN(RADIANS(E989))+6*O989*N989*G989*SIN(RADIANS(E989))*COS(RADIANS(E989)))/(12*N989*COS(RADIANS(E989))^2+L989*G989^2*SIN(RADIANS(E989))^2)</f>
        <v/>
      </c>
      <c r="R989" s="28">
        <f>-P989*SIN(RADIANS(E989))</f>
        <v/>
      </c>
      <c r="S989" s="8">
        <f>(O989+P989*COS(RADIANS(E989)))/L989</f>
        <v/>
      </c>
      <c r="T989" s="8">
        <f>R989/L989</f>
        <v/>
      </c>
      <c r="U989" s="8">
        <f>(Q989-P989*G989*SIN(RADIANS(E989)))/M989</f>
        <v/>
      </c>
      <c r="V989" s="8">
        <f>SQRT((S989+U989)^2+3*T989^2)</f>
        <v/>
      </c>
      <c r="W989" s="8">
        <f>V989/AA989</f>
        <v/>
      </c>
      <c r="X989" s="27">
        <f>((3*10+H989/COS(RADIANS(E989)))*(3+3)+3*G989*H989)*2</f>
        <v/>
      </c>
      <c r="Y989" s="28">
        <f>Z989/X989</f>
        <v/>
      </c>
      <c r="Z989" s="29" t="n">
        <v>551.084051906676</v>
      </c>
      <c r="AA989" s="20" t="n">
        <v>40.4762034420569</v>
      </c>
      <c r="AB989" t="n">
        <v>0.05378241105299952</v>
      </c>
      <c r="AC989" t="n">
        <v>43.55691359534806</v>
      </c>
      <c r="AD989" t="n">
        <v>13.00120315451904</v>
      </c>
    </row>
    <row r="990">
      <c r="A990" t="n">
        <v>989</v>
      </c>
      <c r="B990" t="n">
        <v>74.59999999999999</v>
      </c>
      <c r="C990" s="21">
        <f>B990-20</f>
        <v/>
      </c>
      <c r="D990" t="n">
        <v>126.1</v>
      </c>
      <c r="E990" s="22">
        <f>D990-90</f>
        <v/>
      </c>
      <c r="F990" s="23" t="n">
        <v>0.01505</v>
      </c>
      <c r="G990" s="22" t="n">
        <v>22.5</v>
      </c>
      <c r="H990" s="22" t="n">
        <v>1.6</v>
      </c>
      <c r="I990" s="24" t="n">
        <v>0.0688042789697647</v>
      </c>
      <c r="J990" s="6" t="n">
        <v>71000</v>
      </c>
      <c r="K990" s="25">
        <f>23*10^-6</f>
        <v/>
      </c>
      <c r="L990" s="8">
        <f>H990</f>
        <v/>
      </c>
      <c r="M990" s="26">
        <f>H990^2/6</f>
        <v/>
      </c>
      <c r="N990" s="26">
        <f>H990^3/12</f>
        <v/>
      </c>
      <c r="O990" s="27">
        <f>-J990*L990*K990*C990</f>
        <v/>
      </c>
      <c r="P990" s="28">
        <f>-(12*F990*J990*L990*N990+12*O990*N990*G990*COS(RADIANS(E990)))/(12*N990*G990*COS(RADIANS(E990))^2+L990*G990^3*SIN(RADIANS(E990))^2)</f>
        <v/>
      </c>
      <c r="Q990" s="28">
        <f>-(6*F990*J990*L990*N990*SIN(RADIANS(E990))+6*O990*N990*G990*SIN(RADIANS(E990))*COS(RADIANS(E990)))/(12*N990*COS(RADIANS(E990))^2+L990*G990^2*SIN(RADIANS(E990))^2)</f>
        <v/>
      </c>
      <c r="R990" s="28">
        <f>-P990*SIN(RADIANS(E990))</f>
        <v/>
      </c>
      <c r="S990" s="8">
        <f>(O990+P990*COS(RADIANS(E990)))/L990</f>
        <v/>
      </c>
      <c r="T990" s="8">
        <f>R990/L990</f>
        <v/>
      </c>
      <c r="U990" s="8">
        <f>(Q990-P990*G990*SIN(RADIANS(E990)))/M990</f>
        <v/>
      </c>
      <c r="V990" s="8">
        <f>SQRT((S990+U990)^2+3*T990^2)</f>
        <v/>
      </c>
      <c r="W990" s="8">
        <f>V990/AA990</f>
        <v/>
      </c>
      <c r="X990" s="27">
        <f>((3*10+H990/COS(RADIANS(E990)))*(3+3)+3*G990*H990)*2</f>
        <v/>
      </c>
      <c r="Y990" s="28">
        <f>Z990/X990</f>
        <v/>
      </c>
      <c r="Z990" s="29" t="n">
        <v>608.899645310973</v>
      </c>
      <c r="AA990" s="20" t="n">
        <v>85.01727371156819</v>
      </c>
      <c r="AB990" t="n">
        <v>0.06784576664322513</v>
      </c>
      <c r="AC990" t="n">
        <v>80.34149042794647</v>
      </c>
      <c r="AD990" t="n">
        <v>-1.393099878222364</v>
      </c>
    </row>
    <row r="991">
      <c r="A991" t="n">
        <v>990</v>
      </c>
      <c r="B991" t="n">
        <v>83</v>
      </c>
      <c r="C991" s="21">
        <f>B991-20</f>
        <v/>
      </c>
      <c r="D991" t="n">
        <v>110.4</v>
      </c>
      <c r="E991" s="22">
        <f>D991-90</f>
        <v/>
      </c>
      <c r="F991" s="23" t="n">
        <v>0.024773</v>
      </c>
      <c r="G991" s="22" t="n">
        <v>30.4</v>
      </c>
      <c r="H991" s="22" t="n">
        <v>1.6</v>
      </c>
      <c r="I991" s="24" t="n">
        <v>0.142036899924278</v>
      </c>
      <c r="J991" s="6" t="n">
        <v>71000</v>
      </c>
      <c r="K991" s="25">
        <f>23*10^-6</f>
        <v/>
      </c>
      <c r="L991" s="8">
        <f>H991</f>
        <v/>
      </c>
      <c r="M991" s="26">
        <f>H991^2/6</f>
        <v/>
      </c>
      <c r="N991" s="26">
        <f>H991^3/12</f>
        <v/>
      </c>
      <c r="O991" s="27">
        <f>-J991*L991*K991*C991</f>
        <v/>
      </c>
      <c r="P991" s="28">
        <f>-(12*F991*J991*L991*N991+12*O991*N991*G991*COS(RADIANS(E991)))/(12*N991*G991*COS(RADIANS(E991))^2+L991*G991^3*SIN(RADIANS(E991))^2)</f>
        <v/>
      </c>
      <c r="Q991" s="28">
        <f>-(6*F991*J991*L991*N991*SIN(RADIANS(E991))+6*O991*N991*G991*SIN(RADIANS(E991))*COS(RADIANS(E991)))/(12*N991*COS(RADIANS(E991))^2+L991*G991^2*SIN(RADIANS(E991))^2)</f>
        <v/>
      </c>
      <c r="R991" s="28">
        <f>-P991*SIN(RADIANS(E991))</f>
        <v/>
      </c>
      <c r="S991" s="8">
        <f>(O991+P991*COS(RADIANS(E991)))/L991</f>
        <v/>
      </c>
      <c r="T991" s="8">
        <f>R991/L991</f>
        <v/>
      </c>
      <c r="U991" s="8">
        <f>(Q991-P991*G991*SIN(RADIANS(E991)))/M991</f>
        <v/>
      </c>
      <c r="V991" s="8">
        <f>SQRT((S991+U991)^2+3*T991^2)</f>
        <v/>
      </c>
      <c r="W991" s="8">
        <f>V991/AA991</f>
        <v/>
      </c>
      <c r="X991" s="27">
        <f>((3*10+H991/COS(RADIANS(E991)))*(3+3)+3*G991*H991)*2</f>
        <v/>
      </c>
      <c r="Y991" s="28">
        <f>Z991/X991</f>
        <v/>
      </c>
      <c r="Z991" s="29" t="n">
        <v>677.364347530582</v>
      </c>
      <c r="AA991" s="20" t="n">
        <v>98.1016913817524</v>
      </c>
      <c r="AB991" t="n">
        <v>0.1890143496574934</v>
      </c>
      <c r="AC991" t="n">
        <v>98.04011813498578</v>
      </c>
      <c r="AD991" t="n">
        <v>33.07411648540613</v>
      </c>
    </row>
    <row r="992">
      <c r="A992" t="n">
        <v>991</v>
      </c>
      <c r="B992" t="n">
        <v>45.8</v>
      </c>
      <c r="C992" s="21">
        <f>B992-20</f>
        <v/>
      </c>
      <c r="D992" t="n">
        <v>122</v>
      </c>
      <c r="E992" s="22">
        <f>D992-90</f>
        <v/>
      </c>
      <c r="F992" s="23" t="n">
        <v>0.009447000000000001</v>
      </c>
      <c r="G992" s="22" t="n">
        <v>30.8</v>
      </c>
      <c r="H992" s="22" t="n">
        <v>1.6</v>
      </c>
      <c r="I992" s="24" t="n">
        <v>0.0427628681063652</v>
      </c>
      <c r="J992" s="6" t="n">
        <v>71000</v>
      </c>
      <c r="K992" s="25">
        <f>23*10^-6</f>
        <v/>
      </c>
      <c r="L992" s="8">
        <f>H992</f>
        <v/>
      </c>
      <c r="M992" s="26">
        <f>H992^2/6</f>
        <v/>
      </c>
      <c r="N992" s="26">
        <f>H992^3/12</f>
        <v/>
      </c>
      <c r="O992" s="27">
        <f>-J992*L992*K992*C992</f>
        <v/>
      </c>
      <c r="P992" s="28">
        <f>-(12*F992*J992*L992*N992+12*O992*N992*G992*COS(RADIANS(E992)))/(12*N992*G992*COS(RADIANS(E992))^2+L992*G992^3*SIN(RADIANS(E992))^2)</f>
        <v/>
      </c>
      <c r="Q992" s="28">
        <f>-(6*F992*J992*L992*N992*SIN(RADIANS(E992))+6*O992*N992*G992*SIN(RADIANS(E992))*COS(RADIANS(E992)))/(12*N992*COS(RADIANS(E992))^2+L992*G992^2*SIN(RADIANS(E992))^2)</f>
        <v/>
      </c>
      <c r="R992" s="28">
        <f>-P992*SIN(RADIANS(E992))</f>
        <v/>
      </c>
      <c r="S992" s="8">
        <f>(O992+P992*COS(RADIANS(E992)))/L992</f>
        <v/>
      </c>
      <c r="T992" s="8">
        <f>R992/L992</f>
        <v/>
      </c>
      <c r="U992" s="8">
        <f>(Q992-P992*G992*SIN(RADIANS(E992)))/M992</f>
        <v/>
      </c>
      <c r="V992" s="8">
        <f>SQRT((S992+U992)^2+3*T992^2)</f>
        <v/>
      </c>
      <c r="W992" s="8">
        <f>V992/AA992</f>
        <v/>
      </c>
      <c r="X992" s="27">
        <f>((3*10+H992/COS(RADIANS(E992)))*(3+3)+3*G992*H992)*2</f>
        <v/>
      </c>
      <c r="Y992" s="28">
        <f>Z992/X992</f>
        <v/>
      </c>
      <c r="Z992" s="29" t="n">
        <v>686.054136410885</v>
      </c>
      <c r="AA992" s="20" t="n">
        <v>38.6374930723553</v>
      </c>
      <c r="AB992" t="n">
        <v>0.04922712820426865</v>
      </c>
      <c r="AC992" t="n">
        <v>37.91140286855753</v>
      </c>
      <c r="AD992" t="n">
        <v>15.11652605205229</v>
      </c>
    </row>
    <row r="993">
      <c r="A993" t="n">
        <v>992</v>
      </c>
      <c r="B993" t="n">
        <v>80.8</v>
      </c>
      <c r="C993" s="21">
        <f>B993-20</f>
        <v/>
      </c>
      <c r="D993" t="n">
        <v>129.7</v>
      </c>
      <c r="E993" s="22">
        <f>D993-90</f>
        <v/>
      </c>
      <c r="F993" s="23" t="n">
        <v>0.019197</v>
      </c>
      <c r="G993" s="22" t="n">
        <v>28.2</v>
      </c>
      <c r="H993" s="22" t="n">
        <v>1.5</v>
      </c>
      <c r="I993" s="24" t="n">
        <v>0.0832364931702613</v>
      </c>
      <c r="J993" s="6" t="n">
        <v>71000</v>
      </c>
      <c r="K993" s="25">
        <f>23*10^-6</f>
        <v/>
      </c>
      <c r="L993" s="8">
        <f>H993</f>
        <v/>
      </c>
      <c r="M993" s="26">
        <f>H993^2/6</f>
        <v/>
      </c>
      <c r="N993" s="26">
        <f>H993^3/12</f>
        <v/>
      </c>
      <c r="O993" s="27">
        <f>-J993*L993*K993*C993</f>
        <v/>
      </c>
      <c r="P993" s="28">
        <f>-(12*F993*J993*L993*N993+12*O993*N993*G993*COS(RADIANS(E993)))/(12*N993*G993*COS(RADIANS(E993))^2+L993*G993^3*SIN(RADIANS(E993))^2)</f>
        <v/>
      </c>
      <c r="Q993" s="28">
        <f>-(6*F993*J993*L993*N993*SIN(RADIANS(E993))+6*O993*N993*G993*SIN(RADIANS(E993))*COS(RADIANS(E993)))/(12*N993*COS(RADIANS(E993))^2+L993*G993^2*SIN(RADIANS(E993))^2)</f>
        <v/>
      </c>
      <c r="R993" s="28">
        <f>-P993*SIN(RADIANS(E993))</f>
        <v/>
      </c>
      <c r="S993" s="8">
        <f>(O993+P993*COS(RADIANS(E993)))/L993</f>
        <v/>
      </c>
      <c r="T993" s="8">
        <f>R993/L993</f>
        <v/>
      </c>
      <c r="U993" s="8">
        <f>(Q993-P993*G993*SIN(RADIANS(E993)))/M993</f>
        <v/>
      </c>
      <c r="V993" s="8">
        <f>SQRT((S993+U993)^2+3*T993^2)</f>
        <v/>
      </c>
      <c r="W993" s="8">
        <f>V993/AA993</f>
        <v/>
      </c>
      <c r="X993" s="27">
        <f>((3*10+H993/COS(RADIANS(E993)))*(3+3)+3*G993*H993)*2</f>
        <v/>
      </c>
      <c r="Y993" s="28">
        <f>Z993/X993</f>
        <v/>
      </c>
      <c r="Z993" s="29" t="n">
        <v>647.821651596598</v>
      </c>
      <c r="AA993" s="20" t="n">
        <v>87.1740538187444</v>
      </c>
      <c r="AB993" t="n">
        <v>0.08444715831850652</v>
      </c>
      <c r="AC993" t="n">
        <v>87.28063099025927</v>
      </c>
      <c r="AD993" t="n">
        <v>1.454488412635057</v>
      </c>
    </row>
    <row r="994">
      <c r="A994" t="n">
        <v>993</v>
      </c>
      <c r="B994" t="n">
        <v>63.1</v>
      </c>
      <c r="C994" s="21">
        <f>B994-20</f>
        <v/>
      </c>
      <c r="D994" t="n">
        <v>123.2</v>
      </c>
      <c r="E994" s="22">
        <f>D994-90</f>
        <v/>
      </c>
      <c r="F994" s="23" t="n">
        <v>0.012157</v>
      </c>
      <c r="G994" s="22" t="n">
        <v>22.4</v>
      </c>
      <c r="H994" s="22" t="n">
        <v>1.2</v>
      </c>
      <c r="I994" s="24" t="n">
        <v>0.0569606646895408</v>
      </c>
      <c r="J994" s="6" t="n">
        <v>71000</v>
      </c>
      <c r="K994" s="25">
        <f>23*10^-6</f>
        <v/>
      </c>
      <c r="L994" s="8">
        <f>H994</f>
        <v/>
      </c>
      <c r="M994" s="26">
        <f>H994^2/6</f>
        <v/>
      </c>
      <c r="N994" s="26">
        <f>H994^3/12</f>
        <v/>
      </c>
      <c r="O994" s="27">
        <f>-J994*L994*K994*C994</f>
        <v/>
      </c>
      <c r="P994" s="28">
        <f>-(12*F994*J994*L994*N994+12*O994*N994*G994*COS(RADIANS(E994)))/(12*N994*G994*COS(RADIANS(E994))^2+L994*G994^3*SIN(RADIANS(E994))^2)</f>
        <v/>
      </c>
      <c r="Q994" s="28">
        <f>-(6*F994*J994*L994*N994*SIN(RADIANS(E994))+6*O994*N994*G994*SIN(RADIANS(E994))*COS(RADIANS(E994)))/(12*N994*COS(RADIANS(E994))^2+L994*G994^2*SIN(RADIANS(E994))^2)</f>
        <v/>
      </c>
      <c r="R994" s="28">
        <f>-P994*SIN(RADIANS(E994))</f>
        <v/>
      </c>
      <c r="S994" s="8">
        <f>(O994+P994*COS(RADIANS(E994)))/L994</f>
        <v/>
      </c>
      <c r="T994" s="8">
        <f>R994/L994</f>
        <v/>
      </c>
      <c r="U994" s="8">
        <f>(Q994-P994*G994*SIN(RADIANS(E994)))/M994</f>
        <v/>
      </c>
      <c r="V994" s="8">
        <f>SQRT((S994+U994)^2+3*T994^2)</f>
        <v/>
      </c>
      <c r="W994" s="8">
        <f>V994/AA994</f>
        <v/>
      </c>
      <c r="X994" s="27">
        <f>((3*10+H994/COS(RADIANS(E994)))*(3+3)+3*G994*H994)*2</f>
        <v/>
      </c>
      <c r="Y994" s="28">
        <f>Z994/X994</f>
        <v/>
      </c>
      <c r="Z994" s="29" t="n">
        <v>546.6046878143439</v>
      </c>
      <c r="AA994" s="20" t="n">
        <v>61.6521485080384</v>
      </c>
      <c r="AB994" t="n">
        <v>0.05868457047812501</v>
      </c>
      <c r="AC994" t="n">
        <v>62.63742638642662</v>
      </c>
      <c r="AD994" t="n">
        <v>3.026484676715431</v>
      </c>
    </row>
    <row r="995">
      <c r="A995" t="n">
        <v>994</v>
      </c>
      <c r="B995" t="n">
        <v>58.2</v>
      </c>
      <c r="C995" s="21">
        <f>B995-20</f>
        <v/>
      </c>
      <c r="D995" t="n">
        <v>118.6</v>
      </c>
      <c r="E995" s="22">
        <f>D995-90</f>
        <v/>
      </c>
      <c r="F995" s="23" t="n">
        <v>0.015804</v>
      </c>
      <c r="G995" s="22" t="n">
        <v>34.5</v>
      </c>
      <c r="H995" s="22" t="n">
        <v>1.4</v>
      </c>
      <c r="I995" s="24" t="n">
        <v>0.07376581430435181</v>
      </c>
      <c r="J995" s="6" t="n">
        <v>71000</v>
      </c>
      <c r="K995" s="25">
        <f>23*10^-6</f>
        <v/>
      </c>
      <c r="L995" s="8">
        <f>H995</f>
        <v/>
      </c>
      <c r="M995" s="26">
        <f>H995^2/6</f>
        <v/>
      </c>
      <c r="N995" s="26">
        <f>H995^3/12</f>
        <v/>
      </c>
      <c r="O995" s="27">
        <f>-J995*L995*K995*C995</f>
        <v/>
      </c>
      <c r="P995" s="28">
        <f>-(12*F995*J995*L995*N995+12*O995*N995*G995*COS(RADIANS(E995)))/(12*N995*G995*COS(RADIANS(E995))^2+L995*G995^3*SIN(RADIANS(E995))^2)</f>
        <v/>
      </c>
      <c r="Q995" s="28">
        <f>-(6*F995*J995*L995*N995*SIN(RADIANS(E995))+6*O995*N995*G995*SIN(RADIANS(E995))*COS(RADIANS(E995)))/(12*N995*COS(RADIANS(E995))^2+L995*G995^2*SIN(RADIANS(E995))^2)</f>
        <v/>
      </c>
      <c r="R995" s="28">
        <f>-P995*SIN(RADIANS(E995))</f>
        <v/>
      </c>
      <c r="S995" s="8">
        <f>(O995+P995*COS(RADIANS(E995)))/L995</f>
        <v/>
      </c>
      <c r="T995" s="8">
        <f>R995/L995</f>
        <v/>
      </c>
      <c r="U995" s="8">
        <f>(Q995-P995*G995*SIN(RADIANS(E995)))/M995</f>
        <v/>
      </c>
      <c r="V995" s="8">
        <f>SQRT((S995+U995)^2+3*T995^2)</f>
        <v/>
      </c>
      <c r="W995" s="8">
        <f>V995/AA995</f>
        <v/>
      </c>
      <c r="X995" s="27">
        <f>((3*10+H995/COS(RADIANS(E995)))*(3+3)+3*G995*H995)*2</f>
        <v/>
      </c>
      <c r="Y995" s="28">
        <f>Z995/X995</f>
        <v/>
      </c>
      <c r="Z995" s="29" t="n">
        <v>675.7037787414559</v>
      </c>
      <c r="AA995" s="20" t="n">
        <v>55.3608768560371</v>
      </c>
      <c r="AB995" t="n">
        <v>0.09175207087933213</v>
      </c>
      <c r="AC995" t="n">
        <v>55.81999687270505</v>
      </c>
      <c r="AD995" t="n">
        <v>24.38291604939176</v>
      </c>
    </row>
    <row r="996">
      <c r="A996" t="n">
        <v>995</v>
      </c>
      <c r="B996" t="n">
        <v>89.2</v>
      </c>
      <c r="C996" s="21">
        <f>B996-20</f>
        <v/>
      </c>
      <c r="D996" t="n">
        <v>105</v>
      </c>
      <c r="E996" s="22">
        <f>D996-90</f>
        <v/>
      </c>
      <c r="F996" s="23" t="n">
        <v>0.024926</v>
      </c>
      <c r="G996" s="22" t="n">
        <v>26.5</v>
      </c>
      <c r="H996" s="22" t="n">
        <v>1.8</v>
      </c>
      <c r="I996" s="24" t="n">
        <v>0.175807580351829</v>
      </c>
      <c r="J996" s="6" t="n">
        <v>71000</v>
      </c>
      <c r="K996" s="25">
        <f>23*10^-6</f>
        <v/>
      </c>
      <c r="L996" s="8">
        <f>H996</f>
        <v/>
      </c>
      <c r="M996" s="26">
        <f>H996^2/6</f>
        <v/>
      </c>
      <c r="N996" s="26">
        <f>H996^3/12</f>
        <v/>
      </c>
      <c r="O996" s="27">
        <f>-J996*L996*K996*C996</f>
        <v/>
      </c>
      <c r="P996" s="28">
        <f>-(12*F996*J996*L996*N996+12*O996*N996*G996*COS(RADIANS(E996)))/(12*N996*G996*COS(RADIANS(E996))^2+L996*G996^3*SIN(RADIANS(E996))^2)</f>
        <v/>
      </c>
      <c r="Q996" s="28">
        <f>-(6*F996*J996*L996*N996*SIN(RADIANS(E996))+6*O996*N996*G996*SIN(RADIANS(E996))*COS(RADIANS(E996)))/(12*N996*COS(RADIANS(E996))^2+L996*G996^2*SIN(RADIANS(E996))^2)</f>
        <v/>
      </c>
      <c r="R996" s="28">
        <f>-P996*SIN(RADIANS(E996))</f>
        <v/>
      </c>
      <c r="S996" s="8">
        <f>(O996+P996*COS(RADIANS(E996)))/L996</f>
        <v/>
      </c>
      <c r="T996" s="8">
        <f>R996/L996</f>
        <v/>
      </c>
      <c r="U996" s="8">
        <f>(Q996-P996*G996*SIN(RADIANS(E996)))/M996</f>
        <v/>
      </c>
      <c r="V996" s="8">
        <f>SQRT((S996+U996)^2+3*T996^2)</f>
        <v/>
      </c>
      <c r="W996" s="8">
        <f>V996/AA996</f>
        <v/>
      </c>
      <c r="X996" s="27">
        <f>((3*10+H996/COS(RADIANS(E996)))*(3+3)+3*G996*H996)*2</f>
        <v/>
      </c>
      <c r="Y996" s="28">
        <f>Z996/X996</f>
        <v/>
      </c>
      <c r="Z996" s="29" t="n">
        <v>672.842223212341</v>
      </c>
      <c r="AA996" s="20" t="n">
        <v>119.062850720534</v>
      </c>
      <c r="AB996" t="n">
        <v>0.2401270277439989</v>
      </c>
      <c r="AC996" t="n">
        <v>116.5501035117882</v>
      </c>
      <c r="AD996" t="n">
        <v>36.58513885661404</v>
      </c>
    </row>
    <row r="997">
      <c r="A997" t="n">
        <v>996</v>
      </c>
      <c r="B997" t="n">
        <v>63.2</v>
      </c>
      <c r="C997" s="21">
        <f>B997-20</f>
        <v/>
      </c>
      <c r="D997" t="n">
        <v>112.6</v>
      </c>
      <c r="E997" s="22">
        <f>D997-90</f>
        <v/>
      </c>
      <c r="F997" s="23" t="n">
        <v>0.017004</v>
      </c>
      <c r="G997" s="22" t="n">
        <v>30.9</v>
      </c>
      <c r="H997" s="22" t="n">
        <v>1.3</v>
      </c>
      <c r="I997" s="24" t="n">
        <v>0.09149473160505291</v>
      </c>
      <c r="J997" s="6" t="n">
        <v>71000</v>
      </c>
      <c r="K997" s="25">
        <f>23*10^-6</f>
        <v/>
      </c>
      <c r="L997" s="8">
        <f>H997</f>
        <v/>
      </c>
      <c r="M997" s="26">
        <f>H997^2/6</f>
        <v/>
      </c>
      <c r="N997" s="26">
        <f>H997^3/12</f>
        <v/>
      </c>
      <c r="O997" s="27">
        <f>-J997*L997*K997*C997</f>
        <v/>
      </c>
      <c r="P997" s="28">
        <f>-(12*F997*J997*L997*N997+12*O997*N997*G997*COS(RADIANS(E997)))/(12*N997*G997*COS(RADIANS(E997))^2+L997*G997^3*SIN(RADIANS(E997))^2)</f>
        <v/>
      </c>
      <c r="Q997" s="28">
        <f>-(6*F997*J997*L997*N997*SIN(RADIANS(E997))+6*O997*N997*G997*SIN(RADIANS(E997))*COS(RADIANS(E997)))/(12*N997*COS(RADIANS(E997))^2+L997*G997^2*SIN(RADIANS(E997))^2)</f>
        <v/>
      </c>
      <c r="R997" s="28">
        <f>-P997*SIN(RADIANS(E997))</f>
        <v/>
      </c>
      <c r="S997" s="8">
        <f>(O997+P997*COS(RADIANS(E997)))/L997</f>
        <v/>
      </c>
      <c r="T997" s="8">
        <f>R997/L997</f>
        <v/>
      </c>
      <c r="U997" s="8">
        <f>(Q997-P997*G997*SIN(RADIANS(E997)))/M997</f>
        <v/>
      </c>
      <c r="V997" s="8">
        <f>SQRT((S997+U997)^2+3*T997^2)</f>
        <v/>
      </c>
      <c r="W997" s="8">
        <f>V997/AA997</f>
        <v/>
      </c>
      <c r="X997" s="27">
        <f>((3*10+H997/COS(RADIANS(E997)))*(3+3)+3*G997*H997)*2</f>
        <v/>
      </c>
      <c r="Y997" s="28">
        <f>Z997/X997</f>
        <v/>
      </c>
      <c r="Z997" s="29" t="n">
        <v>623.347435439731</v>
      </c>
      <c r="AA997" s="20" t="n">
        <v>62.850345319416</v>
      </c>
      <c r="AB997" t="n">
        <v>0.1194491984569362</v>
      </c>
      <c r="AC997" t="n">
        <v>64.75607605760905</v>
      </c>
      <c r="AD997" t="n">
        <v>30.55308908118544</v>
      </c>
    </row>
    <row r="998">
      <c r="A998" t="n">
        <v>997</v>
      </c>
      <c r="B998" t="n">
        <v>88.59999999999999</v>
      </c>
      <c r="C998" s="21">
        <f>B998-20</f>
        <v/>
      </c>
      <c r="D998" t="n">
        <v>119.9</v>
      </c>
      <c r="E998" s="22">
        <f>D998-90</f>
        <v/>
      </c>
      <c r="F998" s="23" t="n">
        <v>0.019946</v>
      </c>
      <c r="G998" s="22" t="n">
        <v>22.5</v>
      </c>
      <c r="H998" s="22" t="n">
        <v>1.2</v>
      </c>
      <c r="I998" s="24" t="n">
        <v>0.0972029864788055</v>
      </c>
      <c r="J998" s="6" t="n">
        <v>71000</v>
      </c>
      <c r="K998" s="25">
        <f>23*10^-6</f>
        <v/>
      </c>
      <c r="L998" s="8">
        <f>H998</f>
        <v/>
      </c>
      <c r="M998" s="26">
        <f>H998^2/6</f>
        <v/>
      </c>
      <c r="N998" s="26">
        <f>H998^3/12</f>
        <v/>
      </c>
      <c r="O998" s="27">
        <f>-J998*L998*K998*C998</f>
        <v/>
      </c>
      <c r="P998" s="28">
        <f>-(12*F998*J998*L998*N998+12*O998*N998*G998*COS(RADIANS(E998)))/(12*N998*G998*COS(RADIANS(E998))^2+L998*G998^3*SIN(RADIANS(E998))^2)</f>
        <v/>
      </c>
      <c r="Q998" s="28">
        <f>-(6*F998*J998*L998*N998*SIN(RADIANS(E998))+6*O998*N998*G998*SIN(RADIANS(E998))*COS(RADIANS(E998)))/(12*N998*COS(RADIANS(E998))^2+L998*G998^2*SIN(RADIANS(E998))^2)</f>
        <v/>
      </c>
      <c r="R998" s="28">
        <f>-P998*SIN(RADIANS(E998))</f>
        <v/>
      </c>
      <c r="S998" s="8">
        <f>(O998+P998*COS(RADIANS(E998)))/L998</f>
        <v/>
      </c>
      <c r="T998" s="8">
        <f>R998/L998</f>
        <v/>
      </c>
      <c r="U998" s="8">
        <f>(Q998-P998*G998*SIN(RADIANS(E998)))/M998</f>
        <v/>
      </c>
      <c r="V998" s="8">
        <f>SQRT((S998+U998)^2+3*T998^2)</f>
        <v/>
      </c>
      <c r="W998" s="8">
        <f>V998/AA998</f>
        <v/>
      </c>
      <c r="X998" s="27">
        <f>((3*10+H998/COS(RADIANS(E998)))*(3+3)+3*G998*H998)*2</f>
        <v/>
      </c>
      <c r="Y998" s="28">
        <f>Z998/X998</f>
        <v/>
      </c>
      <c r="Z998" s="29" t="n">
        <v>545.729562029462</v>
      </c>
      <c r="AA998" s="20" t="n">
        <v>98.3606311561938</v>
      </c>
      <c r="AB998" t="n">
        <v>0.104902584187366</v>
      </c>
      <c r="AC998" t="n">
        <v>100.8062360701697</v>
      </c>
      <c r="AD998" t="n">
        <v>7.921153441349644</v>
      </c>
    </row>
    <row r="999">
      <c r="A999" t="n">
        <v>998</v>
      </c>
      <c r="B999" t="n">
        <v>55.1</v>
      </c>
      <c r="C999" s="21">
        <f>B999-20</f>
        <v/>
      </c>
      <c r="D999" t="n">
        <v>111.9</v>
      </c>
      <c r="E999" s="22">
        <f>D999-90</f>
        <v/>
      </c>
      <c r="F999" s="23" t="n">
        <v>0.013502</v>
      </c>
      <c r="G999" s="22" t="n">
        <v>29.9</v>
      </c>
      <c r="H999" s="22" t="n">
        <v>1.9</v>
      </c>
      <c r="I999" s="24" t="n">
        <v>0.0740024521946907</v>
      </c>
      <c r="J999" s="6" t="n">
        <v>71000</v>
      </c>
      <c r="K999" s="25">
        <f>23*10^-6</f>
        <v/>
      </c>
      <c r="L999" s="8">
        <f>H999</f>
        <v/>
      </c>
      <c r="M999" s="26">
        <f>H999^2/6</f>
        <v/>
      </c>
      <c r="N999" s="26">
        <f>H999^3/12</f>
        <v/>
      </c>
      <c r="O999" s="27">
        <f>-J999*L999*K999*C999</f>
        <v/>
      </c>
      <c r="P999" s="28">
        <f>-(12*F999*J999*L999*N999+12*O999*N999*G999*COS(RADIANS(E999)))/(12*N999*G999*COS(RADIANS(E999))^2+L999*G999^3*SIN(RADIANS(E999))^2)</f>
        <v/>
      </c>
      <c r="Q999" s="28">
        <f>-(6*F999*J999*L999*N999*SIN(RADIANS(E999))+6*O999*N999*G999*SIN(RADIANS(E999))*COS(RADIANS(E999)))/(12*N999*COS(RADIANS(E999))^2+L999*G999^2*SIN(RADIANS(E999))^2)</f>
        <v/>
      </c>
      <c r="R999" s="28">
        <f>-P999*SIN(RADIANS(E999))</f>
        <v/>
      </c>
      <c r="S999" s="8">
        <f>(O999+P999*COS(RADIANS(E999)))/L999</f>
        <v/>
      </c>
      <c r="T999" s="8">
        <f>R999/L999</f>
        <v/>
      </c>
      <c r="U999" s="8">
        <f>(Q999-P999*G999*SIN(RADIANS(E999)))/M999</f>
        <v/>
      </c>
      <c r="V999" s="8">
        <f>SQRT((S999+U999)^2+3*T999^2)</f>
        <v/>
      </c>
      <c r="W999" s="8">
        <f>V999/AA999</f>
        <v/>
      </c>
      <c r="X999" s="27">
        <f>((3*10+H999/COS(RADIANS(E999)))*(3+3)+3*G999*H999)*2</f>
        <v/>
      </c>
      <c r="Y999" s="28">
        <f>Z999/X999</f>
        <v/>
      </c>
      <c r="Z999" s="29" t="n">
        <v>730.7335640221009</v>
      </c>
      <c r="AA999" s="20" t="n">
        <v>57.5564365454478</v>
      </c>
      <c r="AB999" t="n">
        <v>0.09577363826120022</v>
      </c>
      <c r="AC999" t="n">
        <v>55.35042798402271</v>
      </c>
      <c r="AD999" t="n">
        <v>29.41954681343855</v>
      </c>
    </row>
    <row r="1000">
      <c r="A1000" t="n">
        <v>999</v>
      </c>
      <c r="B1000" t="n">
        <v>82.09999999999999</v>
      </c>
      <c r="C1000" s="21">
        <f>B1000-20</f>
        <v/>
      </c>
      <c r="D1000" t="n">
        <v>118.4</v>
      </c>
      <c r="E1000" s="22">
        <f>D1000-90</f>
        <v/>
      </c>
      <c r="F1000" s="23" t="n">
        <v>0.019131</v>
      </c>
      <c r="G1000" s="22" t="n">
        <v>23.9</v>
      </c>
      <c r="H1000" s="22" t="n">
        <v>1.8</v>
      </c>
      <c r="I1000" s="24" t="n">
        <v>0.0943453311920166</v>
      </c>
      <c r="J1000" s="6" t="n">
        <v>71000</v>
      </c>
      <c r="K1000" s="25">
        <f>23*10^-6</f>
        <v/>
      </c>
      <c r="L1000" s="8">
        <f>H1000</f>
        <v/>
      </c>
      <c r="M1000" s="26">
        <f>H1000^2/6</f>
        <v/>
      </c>
      <c r="N1000" s="26">
        <f>H1000^3/12</f>
        <v/>
      </c>
      <c r="O1000" s="27">
        <f>-J1000*L1000*K1000*C1000</f>
        <v/>
      </c>
      <c r="P1000" s="28">
        <f>-(12*F1000*J1000*L1000*N1000+12*O1000*N1000*G1000*COS(RADIANS(E1000)))/(12*N1000*G1000*COS(RADIANS(E1000))^2+L1000*G1000^3*SIN(RADIANS(E1000))^2)</f>
        <v/>
      </c>
      <c r="Q1000" s="28">
        <f>-(6*F1000*J1000*L1000*N1000*SIN(RADIANS(E1000))+6*O1000*N1000*G1000*SIN(RADIANS(E1000))*COS(RADIANS(E1000)))/(12*N1000*COS(RADIANS(E1000))^2+L1000*G1000^2*SIN(RADIANS(E1000))^2)</f>
        <v/>
      </c>
      <c r="R1000" s="28">
        <f>-P1000*SIN(RADIANS(E1000))</f>
        <v/>
      </c>
      <c r="S1000" s="8">
        <f>(O1000+P1000*COS(RADIANS(E1000)))/L1000</f>
        <v/>
      </c>
      <c r="T1000" s="8">
        <f>R1000/L1000</f>
        <v/>
      </c>
      <c r="U1000" s="8">
        <f>(Q1000-P1000*G1000*SIN(RADIANS(E1000)))/M1000</f>
        <v/>
      </c>
      <c r="V1000" s="8">
        <f>SQRT((S1000+U1000)^2+3*T1000^2)</f>
        <v/>
      </c>
      <c r="W1000" s="8">
        <f>V1000/AA1000</f>
        <v/>
      </c>
      <c r="X1000" s="27">
        <f>((3*10+H1000/COS(RADIANS(E1000)))*(3+3)+3*G1000*H1000)*2</f>
        <v/>
      </c>
      <c r="Y1000" s="28">
        <f>Z1000/X1000</f>
        <v/>
      </c>
      <c r="Z1000" s="29" t="n">
        <v>649.392513010947</v>
      </c>
      <c r="AA1000" s="20" t="n">
        <v>102.024567546165</v>
      </c>
      <c r="AB1000" t="n">
        <v>0.1049176577925479</v>
      </c>
      <c r="AC1000" t="n">
        <v>95.24062060372012</v>
      </c>
      <c r="AD1000" t="n">
        <v>11.20598811510235</v>
      </c>
    </row>
    <row r="1001">
      <c r="A1001" t="n">
        <v>1000</v>
      </c>
      <c r="B1001" t="n">
        <v>78.09999999999999</v>
      </c>
      <c r="C1001" s="21">
        <f>B1001-20</f>
        <v/>
      </c>
      <c r="D1001" t="n">
        <v>112.1</v>
      </c>
      <c r="E1001" s="22">
        <f>D1001-90</f>
        <v/>
      </c>
      <c r="F1001" s="23" t="n">
        <v>0.020421</v>
      </c>
      <c r="G1001" s="22" t="n">
        <v>26.8</v>
      </c>
      <c r="H1001" s="22" t="n">
        <v>1.2</v>
      </c>
      <c r="I1001" s="24" t="n">
        <v>0.113540194928646</v>
      </c>
      <c r="J1001" s="6" t="n">
        <v>71000</v>
      </c>
      <c r="K1001" s="25">
        <f>23*10^-6</f>
        <v/>
      </c>
      <c r="L1001" s="8">
        <f>H1001</f>
        <v/>
      </c>
      <c r="M1001" s="26">
        <f>H1001^2/6</f>
        <v/>
      </c>
      <c r="N1001" s="26">
        <f>H1001^3/12</f>
        <v/>
      </c>
      <c r="O1001" s="27">
        <f>-J1001*L1001*K1001*C1001</f>
        <v/>
      </c>
      <c r="P1001" s="28">
        <f>-(12*F1001*J1001*L1001*N1001+12*O1001*N1001*G1001*COS(RADIANS(E1001)))/(12*N1001*G1001*COS(RADIANS(E1001))^2+L1001*G1001^3*SIN(RADIANS(E1001))^2)</f>
        <v/>
      </c>
      <c r="Q1001" s="28">
        <f>-(6*F1001*J1001*L1001*N1001*SIN(RADIANS(E1001))+6*O1001*N1001*G1001*SIN(RADIANS(E1001))*COS(RADIANS(E1001)))/(12*N1001*COS(RADIANS(E1001))^2+L1001*G1001^2*SIN(RADIANS(E1001))^2)</f>
        <v/>
      </c>
      <c r="R1001" s="28">
        <f>-P1001*SIN(RADIANS(E1001))</f>
        <v/>
      </c>
      <c r="S1001" s="8">
        <f>(O1001+P1001*COS(RADIANS(E1001)))/L1001</f>
        <v/>
      </c>
      <c r="T1001" s="8">
        <f>R1001/L1001</f>
        <v/>
      </c>
      <c r="U1001" s="8">
        <f>(Q1001-P1001*G1001*SIN(RADIANS(E1001)))/M1001</f>
        <v/>
      </c>
      <c r="V1001" s="8">
        <f>SQRT((S1001+U1001)^2+3*T1001^2)</f>
        <v/>
      </c>
      <c r="W1001" s="8">
        <f>V1001/AA1001</f>
        <v/>
      </c>
      <c r="X1001" s="27">
        <f>((3*10+H1001/COS(RADIANS(E1001)))*(3+3)+3*G1001*H1001)*2</f>
        <v/>
      </c>
      <c r="Y1001" s="28">
        <f>Z1001/X1001</f>
        <v/>
      </c>
      <c r="Z1001" s="29" t="n">
        <v>573.83865193596</v>
      </c>
      <c r="AA1001" s="20" t="n">
        <v>84.01174408876579</v>
      </c>
      <c r="AB1001" t="n">
        <v>0.1436326381848822</v>
      </c>
      <c r="AC1001" t="n">
        <v>87.48382336408409</v>
      </c>
      <c r="AD1001" t="n">
        <v>26.50377980692008</v>
      </c>
    </row>
    <row r="1002">
      <c r="A1002" t="n">
        <v>1001</v>
      </c>
      <c r="B1002" t="n">
        <v>75.8</v>
      </c>
      <c r="C1002" s="21">
        <f>B1002-20</f>
        <v/>
      </c>
      <c r="D1002" t="n">
        <v>125.8</v>
      </c>
      <c r="E1002" s="22">
        <f>D1002-90</f>
        <v/>
      </c>
      <c r="F1002" s="23" t="n">
        <v>0.021513</v>
      </c>
      <c r="G1002" s="22" t="n">
        <v>34.3</v>
      </c>
      <c r="H1002" s="22" t="n">
        <v>1</v>
      </c>
      <c r="I1002" s="24" t="n">
        <v>0.0923357680439949</v>
      </c>
      <c r="J1002" s="6" t="n">
        <v>71000</v>
      </c>
      <c r="K1002" s="25">
        <f>23*10^-6</f>
        <v/>
      </c>
      <c r="L1002" s="8">
        <f>H1002</f>
        <v/>
      </c>
      <c r="M1002" s="26">
        <f>H1002^2/6</f>
        <v/>
      </c>
      <c r="N1002" s="26">
        <f>H1002^3/12</f>
        <v/>
      </c>
      <c r="O1002" s="27">
        <f>-J1002*L1002*K1002*C1002</f>
        <v/>
      </c>
      <c r="P1002" s="28">
        <f>-(12*F1002*J1002*L1002*N1002+12*O1002*N1002*G1002*COS(RADIANS(E1002)))/(12*N1002*G1002*COS(RADIANS(E1002))^2+L1002*G1002^3*SIN(RADIANS(E1002))^2)</f>
        <v/>
      </c>
      <c r="Q1002" s="28">
        <f>-(6*F1002*J1002*L1002*N1002*SIN(RADIANS(E1002))+6*O1002*N1002*G1002*SIN(RADIANS(E1002))*COS(RADIANS(E1002)))/(12*N1002*COS(RADIANS(E1002))^2+L1002*G1002^2*SIN(RADIANS(E1002))^2)</f>
        <v/>
      </c>
      <c r="R1002" s="28">
        <f>-P1002*SIN(RADIANS(E1002))</f>
        <v/>
      </c>
      <c r="S1002" s="8">
        <f>(O1002+P1002*COS(RADIANS(E1002)))/L1002</f>
        <v/>
      </c>
      <c r="T1002" s="8">
        <f>R1002/L1002</f>
        <v/>
      </c>
      <c r="U1002" s="8">
        <f>(Q1002-P1002*G1002*SIN(RADIANS(E1002)))/M1002</f>
        <v/>
      </c>
      <c r="V1002" s="8">
        <f>SQRT((S1002+U1002)^2+3*T1002^2)</f>
        <v/>
      </c>
      <c r="W1002" s="8">
        <f>V1002/AA1002</f>
        <v/>
      </c>
      <c r="X1002" s="27">
        <f>((3*10+H1002/COS(RADIANS(E1002)))*(3+3)+3*G1002*H1002)*2</f>
        <v/>
      </c>
      <c r="Y1002" s="28">
        <f>Z1002/X1002</f>
        <v/>
      </c>
      <c r="Z1002" s="29" t="n">
        <v>589.6197789797141</v>
      </c>
      <c r="AA1002" s="20" t="n">
        <v>71.7940197553569</v>
      </c>
      <c r="AB1002" t="n">
        <v>0.1048864822968138</v>
      </c>
      <c r="AC1002" t="n">
        <v>78.5039967058005</v>
      </c>
      <c r="AD1002" t="n">
        <v>13.59247290479994</v>
      </c>
    </row>
    <row r="1003">
      <c r="A1003" t="n">
        <v>1002</v>
      </c>
      <c r="B1003" t="n">
        <v>58.7</v>
      </c>
      <c r="C1003" s="21">
        <f>B1003-20</f>
        <v/>
      </c>
      <c r="D1003" t="n">
        <v>125.1</v>
      </c>
      <c r="E1003" s="22">
        <f>D1003-90</f>
        <v/>
      </c>
      <c r="F1003" s="23" t="n">
        <v>0.014919</v>
      </c>
      <c r="G1003" s="22" t="n">
        <v>34</v>
      </c>
      <c r="H1003" s="22" t="n">
        <v>1</v>
      </c>
      <c r="I1003" s="24" t="n">
        <v>0.0644512549042701</v>
      </c>
      <c r="J1003" s="6" t="n">
        <v>71000</v>
      </c>
      <c r="K1003" s="25">
        <f>23*10^-6</f>
        <v/>
      </c>
      <c r="L1003" s="8">
        <f>H1003</f>
        <v/>
      </c>
      <c r="M1003" s="26">
        <f>H1003^2/6</f>
        <v/>
      </c>
      <c r="N1003" s="26">
        <f>H1003^3/12</f>
        <v/>
      </c>
      <c r="O1003" s="27">
        <f>-J1003*L1003*K1003*C1003</f>
        <v/>
      </c>
      <c r="P1003" s="28">
        <f>-(12*F1003*J1003*L1003*N1003+12*O1003*N1003*G1003*COS(RADIANS(E1003)))/(12*N1003*G1003*COS(RADIANS(E1003))^2+L1003*G1003^3*SIN(RADIANS(E1003))^2)</f>
        <v/>
      </c>
      <c r="Q1003" s="28">
        <f>-(6*F1003*J1003*L1003*N1003*SIN(RADIANS(E1003))+6*O1003*N1003*G1003*SIN(RADIANS(E1003))*COS(RADIANS(E1003)))/(12*N1003*COS(RADIANS(E1003))^2+L1003*G1003^2*SIN(RADIANS(E1003))^2)</f>
        <v/>
      </c>
      <c r="R1003" s="28">
        <f>-P1003*SIN(RADIANS(E1003))</f>
        <v/>
      </c>
      <c r="S1003" s="8">
        <f>(O1003+P1003*COS(RADIANS(E1003)))/L1003</f>
        <v/>
      </c>
      <c r="T1003" s="8">
        <f>R1003/L1003</f>
        <v/>
      </c>
      <c r="U1003" s="8">
        <f>(Q1003-P1003*G1003*SIN(RADIANS(E1003)))/M1003</f>
        <v/>
      </c>
      <c r="V1003" s="8">
        <f>SQRT((S1003+U1003)^2+3*T1003^2)</f>
        <v/>
      </c>
      <c r="W1003" s="8">
        <f>V1003/AA1003</f>
        <v/>
      </c>
      <c r="X1003" s="27">
        <f>((3*10+H1003/COS(RADIANS(E1003)))*(3+3)+3*G1003*H1003)*2</f>
        <v/>
      </c>
      <c r="Y1003" s="28">
        <f>Z1003/X1003</f>
        <v/>
      </c>
      <c r="Z1003" s="29" t="n">
        <v>587.43535576074</v>
      </c>
      <c r="AA1003" s="20" t="n">
        <v>50.0187286212068</v>
      </c>
      <c r="AB1003" t="n">
        <v>0.07371225546683156</v>
      </c>
      <c r="AC1003" t="n">
        <v>54.53171632700238</v>
      </c>
      <c r="AD1003" t="n">
        <v>14.36899960492141</v>
      </c>
    </row>
    <row r="1004">
      <c r="A1004" t="n">
        <v>1003</v>
      </c>
      <c r="B1004" t="n">
        <v>74.2</v>
      </c>
      <c r="C1004" s="21">
        <f>B1004-20</f>
        <v/>
      </c>
      <c r="D1004" t="n">
        <v>119.1</v>
      </c>
      <c r="E1004" s="22">
        <f>D1004-90</f>
        <v/>
      </c>
      <c r="F1004" s="23" t="n">
        <v>0.017636</v>
      </c>
      <c r="G1004" s="22" t="n">
        <v>25.8</v>
      </c>
      <c r="H1004" s="22" t="n">
        <v>1.4</v>
      </c>
      <c r="I1004" s="24" t="n">
        <v>0.0851435959339141</v>
      </c>
      <c r="J1004" s="6" t="n">
        <v>71000</v>
      </c>
      <c r="K1004" s="25">
        <f>23*10^-6</f>
        <v/>
      </c>
      <c r="L1004" s="8">
        <f>H1004</f>
        <v/>
      </c>
      <c r="M1004" s="26">
        <f>H1004^2/6</f>
        <v/>
      </c>
      <c r="N1004" s="26">
        <f>H1004^3/12</f>
        <v/>
      </c>
      <c r="O1004" s="27">
        <f>-J1004*L1004*K1004*C1004</f>
        <v/>
      </c>
      <c r="P1004" s="28">
        <f>-(12*F1004*J1004*L1004*N1004+12*O1004*N1004*G1004*COS(RADIANS(E1004)))/(12*N1004*G1004*COS(RADIANS(E1004))^2+L1004*G1004^3*SIN(RADIANS(E1004))^2)</f>
        <v/>
      </c>
      <c r="Q1004" s="28">
        <f>-(6*F1004*J1004*L1004*N1004*SIN(RADIANS(E1004))+6*O1004*N1004*G1004*SIN(RADIANS(E1004))*COS(RADIANS(E1004)))/(12*N1004*COS(RADIANS(E1004))^2+L1004*G1004^2*SIN(RADIANS(E1004))^2)</f>
        <v/>
      </c>
      <c r="R1004" s="28">
        <f>-P1004*SIN(RADIANS(E1004))</f>
        <v/>
      </c>
      <c r="S1004" s="8">
        <f>(O1004+P1004*COS(RADIANS(E1004)))/L1004</f>
        <v/>
      </c>
      <c r="T1004" s="8">
        <f>R1004/L1004</f>
        <v/>
      </c>
      <c r="U1004" s="8">
        <f>(Q1004-P1004*G1004*SIN(RADIANS(E1004)))/M1004</f>
        <v/>
      </c>
      <c r="V1004" s="8">
        <f>SQRT((S1004+U1004)^2+3*T1004^2)</f>
        <v/>
      </c>
      <c r="W1004" s="8">
        <f>V1004/AA1004</f>
        <v/>
      </c>
      <c r="X1004" s="27">
        <f>((3*10+H1004/COS(RADIANS(E1004)))*(3+3)+3*G1004*H1004)*2</f>
        <v/>
      </c>
      <c r="Y1004" s="28">
        <f>Z1004/X1004</f>
        <v/>
      </c>
      <c r="Z1004" s="29" t="n">
        <v>602.847720733912</v>
      </c>
      <c r="AA1004" s="20" t="n">
        <v>80.4788746242648</v>
      </c>
      <c r="AB1004" t="n">
        <v>0.09680475122086607</v>
      </c>
      <c r="AC1004" t="n">
        <v>80.39714768526267</v>
      </c>
      <c r="AD1004" t="n">
        <v>13.6958689130337</v>
      </c>
    </row>
    <row r="1005">
      <c r="A1005" t="n">
        <v>1004</v>
      </c>
      <c r="B1005" t="n">
        <v>45.2</v>
      </c>
      <c r="C1005" s="21">
        <f>B1005-20</f>
        <v/>
      </c>
      <c r="D1005" t="n">
        <v>110.5</v>
      </c>
      <c r="E1005" s="22">
        <f>D1005-90</f>
        <v/>
      </c>
      <c r="F1005" s="23" t="n">
        <v>0.009527000000000001</v>
      </c>
      <c r="G1005" s="22" t="n">
        <v>29</v>
      </c>
      <c r="H1005" s="22" t="n">
        <v>1.3</v>
      </c>
      <c r="I1005" s="24" t="n">
        <v>0.0549190714955329</v>
      </c>
      <c r="J1005" s="6" t="n">
        <v>71000</v>
      </c>
      <c r="K1005" s="25">
        <f>23*10^-6</f>
        <v/>
      </c>
      <c r="L1005" s="8">
        <f>H1005</f>
        <v/>
      </c>
      <c r="M1005" s="26">
        <f>H1005^2/6</f>
        <v/>
      </c>
      <c r="N1005" s="26">
        <f>H1005^3/12</f>
        <v/>
      </c>
      <c r="O1005" s="27">
        <f>-J1005*L1005*K1005*C1005</f>
        <v/>
      </c>
      <c r="P1005" s="28">
        <f>-(12*F1005*J1005*L1005*N1005+12*O1005*N1005*G1005*COS(RADIANS(E1005)))/(12*N1005*G1005*COS(RADIANS(E1005))^2+L1005*G1005^3*SIN(RADIANS(E1005))^2)</f>
        <v/>
      </c>
      <c r="Q1005" s="28">
        <f>-(6*F1005*J1005*L1005*N1005*SIN(RADIANS(E1005))+6*O1005*N1005*G1005*SIN(RADIANS(E1005))*COS(RADIANS(E1005)))/(12*N1005*COS(RADIANS(E1005))^2+L1005*G1005^2*SIN(RADIANS(E1005))^2)</f>
        <v/>
      </c>
      <c r="R1005" s="28">
        <f>-P1005*SIN(RADIANS(E1005))</f>
        <v/>
      </c>
      <c r="S1005" s="8">
        <f>(O1005+P1005*COS(RADIANS(E1005)))/L1005</f>
        <v/>
      </c>
      <c r="T1005" s="8">
        <f>R1005/L1005</f>
        <v/>
      </c>
      <c r="U1005" s="8">
        <f>(Q1005-P1005*G1005*SIN(RADIANS(E1005)))/M1005</f>
        <v/>
      </c>
      <c r="V1005" s="8">
        <f>SQRT((S1005+U1005)^2+3*T1005^2)</f>
        <v/>
      </c>
      <c r="W1005" s="8">
        <f>V1005/AA1005</f>
        <v/>
      </c>
      <c r="X1005" s="27">
        <f>((3*10+H1005/COS(RADIANS(E1005)))*(3+3)+3*G1005*H1005)*2</f>
        <v/>
      </c>
      <c r="Y1005" s="28">
        <f>Z1005/X1005</f>
        <v/>
      </c>
      <c r="Z1005" s="29" t="n">
        <v>607.910960189895</v>
      </c>
      <c r="AA1005" s="20" t="n">
        <v>37.545615975828</v>
      </c>
      <c r="AB1005" t="n">
        <v>0.07238547322688772</v>
      </c>
      <c r="AC1005" t="n">
        <v>38.39653328479495</v>
      </c>
      <c r="AD1005" t="n">
        <v>31.80389117244186</v>
      </c>
    </row>
    <row r="1006">
      <c r="A1006" t="n">
        <v>1005</v>
      </c>
      <c r="B1006" t="n">
        <v>63.3</v>
      </c>
      <c r="C1006" s="21">
        <f>B1006-20</f>
        <v/>
      </c>
      <c r="D1006" t="n">
        <v>127.5</v>
      </c>
      <c r="E1006" s="22">
        <f>D1006-90</f>
        <v/>
      </c>
      <c r="F1006" s="23" t="n">
        <v>0.013496</v>
      </c>
      <c r="G1006" s="22" t="n">
        <v>26.9</v>
      </c>
      <c r="H1006" s="22" t="n">
        <v>1.1</v>
      </c>
      <c r="I1006" s="24" t="n">
        <v>0.0593724027276039</v>
      </c>
      <c r="J1006" s="6" t="n">
        <v>71000</v>
      </c>
      <c r="K1006" s="25">
        <f>23*10^-6</f>
        <v/>
      </c>
      <c r="L1006" s="8">
        <f>H1006</f>
        <v/>
      </c>
      <c r="M1006" s="26">
        <f>H1006^2/6</f>
        <v/>
      </c>
      <c r="N1006" s="26">
        <f>H1006^3/12</f>
        <v/>
      </c>
      <c r="O1006" s="27">
        <f>-J1006*L1006*K1006*C1006</f>
        <v/>
      </c>
      <c r="P1006" s="28">
        <f>-(12*F1006*J1006*L1006*N1006+12*O1006*N1006*G1006*COS(RADIANS(E1006)))/(12*N1006*G1006*COS(RADIANS(E1006))^2+L1006*G1006^3*SIN(RADIANS(E1006))^2)</f>
        <v/>
      </c>
      <c r="Q1006" s="28">
        <f>-(6*F1006*J1006*L1006*N1006*SIN(RADIANS(E1006))+6*O1006*N1006*G1006*SIN(RADIANS(E1006))*COS(RADIANS(E1006)))/(12*N1006*COS(RADIANS(E1006))^2+L1006*G1006^2*SIN(RADIANS(E1006))^2)</f>
        <v/>
      </c>
      <c r="R1006" s="28">
        <f>-P1006*SIN(RADIANS(E1006))</f>
        <v/>
      </c>
      <c r="S1006" s="8">
        <f>(O1006+P1006*COS(RADIANS(E1006)))/L1006</f>
        <v/>
      </c>
      <c r="T1006" s="8">
        <f>R1006/L1006</f>
        <v/>
      </c>
      <c r="U1006" s="8">
        <f>(Q1006-P1006*G1006*SIN(RADIANS(E1006)))/M1006</f>
        <v/>
      </c>
      <c r="V1006" s="8">
        <f>SQRT((S1006+U1006)^2+3*T1006^2)</f>
        <v/>
      </c>
      <c r="W1006" s="8">
        <f>V1006/AA1006</f>
        <v/>
      </c>
      <c r="X1006" s="27">
        <f>((3*10+H1006/COS(RADIANS(E1006)))*(3+3)+3*G1006*H1006)*2</f>
        <v/>
      </c>
      <c r="Y1006" s="28">
        <f>Z1006/X1006</f>
        <v/>
      </c>
      <c r="Z1006" s="29" t="n">
        <v>563.8632031868229</v>
      </c>
      <c r="AA1006" s="20" t="n">
        <v>57.8941287798214</v>
      </c>
      <c r="AB1006" t="n">
        <v>0.06139169224245015</v>
      </c>
      <c r="AC1006" t="n">
        <v>61.481155017467</v>
      </c>
      <c r="AD1006" t="n">
        <v>3.401057430858246</v>
      </c>
    </row>
    <row r="1007">
      <c r="A1007" t="n">
        <v>1006</v>
      </c>
      <c r="B1007" t="n">
        <v>57.9</v>
      </c>
      <c r="C1007" s="21">
        <f>B1007-20</f>
        <v/>
      </c>
      <c r="D1007" t="n">
        <v>107.2</v>
      </c>
      <c r="E1007" s="22">
        <f>D1007-90</f>
        <v/>
      </c>
      <c r="F1007" s="23" t="n">
        <v>0.013158</v>
      </c>
      <c r="G1007" s="22" t="n">
        <v>25.6</v>
      </c>
      <c r="H1007" s="22" t="n">
        <v>1.5</v>
      </c>
      <c r="I1007" s="24" t="n">
        <v>0.0859526172280311</v>
      </c>
      <c r="J1007" s="6" t="n">
        <v>71000</v>
      </c>
      <c r="K1007" s="25">
        <f>23*10^-6</f>
        <v/>
      </c>
      <c r="L1007" s="8">
        <f>H1007</f>
        <v/>
      </c>
      <c r="M1007" s="26">
        <f>H1007^2/6</f>
        <v/>
      </c>
      <c r="N1007" s="26">
        <f>H1007^3/12</f>
        <v/>
      </c>
      <c r="O1007" s="27">
        <f>-J1007*L1007*K1007*C1007</f>
        <v/>
      </c>
      <c r="P1007" s="28">
        <f>-(12*F1007*J1007*L1007*N1007+12*O1007*N1007*G1007*COS(RADIANS(E1007)))/(12*N1007*G1007*COS(RADIANS(E1007))^2+L1007*G1007^3*SIN(RADIANS(E1007))^2)</f>
        <v/>
      </c>
      <c r="Q1007" s="28">
        <f>-(6*F1007*J1007*L1007*N1007*SIN(RADIANS(E1007))+6*O1007*N1007*G1007*SIN(RADIANS(E1007))*COS(RADIANS(E1007)))/(12*N1007*COS(RADIANS(E1007))^2+L1007*G1007^2*SIN(RADIANS(E1007))^2)</f>
        <v/>
      </c>
      <c r="R1007" s="28">
        <f>-P1007*SIN(RADIANS(E1007))</f>
        <v/>
      </c>
      <c r="S1007" s="8">
        <f>(O1007+P1007*COS(RADIANS(E1007)))/L1007</f>
        <v/>
      </c>
      <c r="T1007" s="8">
        <f>R1007/L1007</f>
        <v/>
      </c>
      <c r="U1007" s="8">
        <f>(Q1007-P1007*G1007*SIN(RADIANS(E1007)))/M1007</f>
        <v/>
      </c>
      <c r="V1007" s="8">
        <f>SQRT((S1007+U1007)^2+3*T1007^2)</f>
        <v/>
      </c>
      <c r="W1007" s="8">
        <f>V1007/AA1007</f>
        <v/>
      </c>
      <c r="X1007" s="27">
        <f>((3*10+H1007/COS(RADIANS(E1007)))*(3+3)+3*G1007*H1007)*2</f>
        <v/>
      </c>
      <c r="Y1007" s="28">
        <f>Z1007/X1007</f>
        <v/>
      </c>
      <c r="Z1007" s="29" t="n">
        <v>613.799871755758</v>
      </c>
      <c r="AA1007" s="20" t="n">
        <v>59.9852044472903</v>
      </c>
      <c r="AB1007" t="n">
        <v>0.113751213589691</v>
      </c>
      <c r="AC1007" t="n">
        <v>60.91239107161573</v>
      </c>
      <c r="AD1007" t="n">
        <v>32.34176835815317</v>
      </c>
    </row>
    <row r="1008">
      <c r="A1008" t="n">
        <v>1007</v>
      </c>
      <c r="B1008" t="n">
        <v>63.1</v>
      </c>
      <c r="C1008" s="21">
        <f>B1008-20</f>
        <v/>
      </c>
      <c r="D1008" t="n">
        <v>126.4</v>
      </c>
      <c r="E1008" s="22">
        <f>D1008-90</f>
        <v/>
      </c>
      <c r="F1008" s="23" t="n">
        <v>0.01679</v>
      </c>
      <c r="G1008" s="22" t="n">
        <v>35</v>
      </c>
      <c r="H1008" s="22" t="n">
        <v>1.4</v>
      </c>
      <c r="I1008" s="24" t="n">
        <v>0.0717240646481514</v>
      </c>
      <c r="J1008" s="6" t="n">
        <v>71000</v>
      </c>
      <c r="K1008" s="25">
        <f>23*10^-6</f>
        <v/>
      </c>
      <c r="L1008" s="8">
        <f>H1008</f>
        <v/>
      </c>
      <c r="M1008" s="26">
        <f>H1008^2/6</f>
        <v/>
      </c>
      <c r="N1008" s="26">
        <f>H1008^3/12</f>
        <v/>
      </c>
      <c r="O1008" s="27">
        <f>-J1008*L1008*K1008*C1008</f>
        <v/>
      </c>
      <c r="P1008" s="28">
        <f>-(12*F1008*J1008*L1008*N1008+12*O1008*N1008*G1008*COS(RADIANS(E1008)))/(12*N1008*G1008*COS(RADIANS(E1008))^2+L1008*G1008^3*SIN(RADIANS(E1008))^2)</f>
        <v/>
      </c>
      <c r="Q1008" s="28">
        <f>-(6*F1008*J1008*L1008*N1008*SIN(RADIANS(E1008))+6*O1008*N1008*G1008*SIN(RADIANS(E1008))*COS(RADIANS(E1008)))/(12*N1008*COS(RADIANS(E1008))^2+L1008*G1008^2*SIN(RADIANS(E1008))^2)</f>
        <v/>
      </c>
      <c r="R1008" s="28">
        <f>-P1008*SIN(RADIANS(E1008))</f>
        <v/>
      </c>
      <c r="S1008" s="8">
        <f>(O1008+P1008*COS(RADIANS(E1008)))/L1008</f>
        <v/>
      </c>
      <c r="T1008" s="8">
        <f>R1008/L1008</f>
        <v/>
      </c>
      <c r="U1008" s="8">
        <f>(Q1008-P1008*G1008*SIN(RADIANS(E1008)))/M1008</f>
        <v/>
      </c>
      <c r="V1008" s="8">
        <f>SQRT((S1008+U1008)^2+3*T1008^2)</f>
        <v/>
      </c>
      <c r="W1008" s="8">
        <f>V1008/AA1008</f>
        <v/>
      </c>
      <c r="X1008" s="27">
        <f>((3*10+H1008/COS(RADIANS(E1008)))*(3+3)+3*G1008*H1008)*2</f>
        <v/>
      </c>
      <c r="Y1008" s="28">
        <f>Z1008/X1008</f>
        <v/>
      </c>
      <c r="Z1008" s="29" t="n">
        <v>684.123546656751</v>
      </c>
      <c r="AA1008" s="20" t="n">
        <v>60.1580709920683</v>
      </c>
      <c r="AB1008" t="n">
        <v>0.0809653869248983</v>
      </c>
      <c r="AC1008" t="n">
        <v>61.56717884572959</v>
      </c>
      <c r="AD1008" t="n">
        <v>12.88454903118082</v>
      </c>
    </row>
    <row r="1009">
      <c r="A1009" t="n">
        <v>1008</v>
      </c>
      <c r="B1009" t="n">
        <v>64.5</v>
      </c>
      <c r="C1009" s="21">
        <f>B1009-20</f>
        <v/>
      </c>
      <c r="D1009" t="n">
        <v>124.2</v>
      </c>
      <c r="E1009" s="22">
        <f>D1009-90</f>
        <v/>
      </c>
      <c r="F1009" s="23" t="n">
        <v>0.01475</v>
      </c>
      <c r="G1009" s="22" t="n">
        <v>27.9</v>
      </c>
      <c r="H1009" s="22" t="n">
        <v>1.7</v>
      </c>
      <c r="I1009" s="24" t="n">
        <v>0.06626378744840621</v>
      </c>
      <c r="J1009" s="6" t="n">
        <v>71000</v>
      </c>
      <c r="K1009" s="25">
        <f>23*10^-6</f>
        <v/>
      </c>
      <c r="L1009" s="8">
        <f>H1009</f>
        <v/>
      </c>
      <c r="M1009" s="26">
        <f>H1009^2/6</f>
        <v/>
      </c>
      <c r="N1009" s="26">
        <f>H1009^3/12</f>
        <v/>
      </c>
      <c r="O1009" s="27">
        <f>-J1009*L1009*K1009*C1009</f>
        <v/>
      </c>
      <c r="P1009" s="28">
        <f>-(12*F1009*J1009*L1009*N1009+12*O1009*N1009*G1009*COS(RADIANS(E1009)))/(12*N1009*G1009*COS(RADIANS(E1009))^2+L1009*G1009^3*SIN(RADIANS(E1009))^2)</f>
        <v/>
      </c>
      <c r="Q1009" s="28">
        <f>-(6*F1009*J1009*L1009*N1009*SIN(RADIANS(E1009))+6*O1009*N1009*G1009*SIN(RADIANS(E1009))*COS(RADIANS(E1009)))/(12*N1009*COS(RADIANS(E1009))^2+L1009*G1009^2*SIN(RADIANS(E1009))^2)</f>
        <v/>
      </c>
      <c r="R1009" s="28">
        <f>-P1009*SIN(RADIANS(E1009))</f>
        <v/>
      </c>
      <c r="S1009" s="8">
        <f>(O1009+P1009*COS(RADIANS(E1009)))/L1009</f>
        <v/>
      </c>
      <c r="T1009" s="8">
        <f>R1009/L1009</f>
        <v/>
      </c>
      <c r="U1009" s="8">
        <f>(Q1009-P1009*G1009*SIN(RADIANS(E1009)))/M1009</f>
        <v/>
      </c>
      <c r="V1009" s="8">
        <f>SQRT((S1009+U1009)^2+3*T1009^2)</f>
        <v/>
      </c>
      <c r="W1009" s="8">
        <f>V1009/AA1009</f>
        <v/>
      </c>
      <c r="X1009" s="27">
        <f>((3*10+H1009/COS(RADIANS(E1009)))*(3+3)+3*G1009*H1009)*2</f>
        <v/>
      </c>
      <c r="Y1009" s="28">
        <f>Z1009/X1009</f>
        <v/>
      </c>
      <c r="Z1009" s="29" t="n">
        <v>677.696428112891</v>
      </c>
      <c r="AA1009" s="20" t="n">
        <v>68.68620262445189</v>
      </c>
      <c r="AB1009" t="n">
        <v>0.07184908083000661</v>
      </c>
      <c r="AC1009" t="n">
        <v>65.57832043015854</v>
      </c>
      <c r="AD1009" t="n">
        <v>8.428877365256533</v>
      </c>
    </row>
    <row r="1010">
      <c r="A1010" t="n">
        <v>1009</v>
      </c>
      <c r="B1010" t="n">
        <v>45.9</v>
      </c>
      <c r="C1010" s="21">
        <f>B1010-20</f>
        <v/>
      </c>
      <c r="D1010" t="n">
        <v>127.1</v>
      </c>
      <c r="E1010" s="22">
        <f>D1010-90</f>
        <v/>
      </c>
      <c r="F1010" s="23" t="n">
        <v>0.008671999999999999</v>
      </c>
      <c r="G1010" s="22" t="n">
        <v>29.3</v>
      </c>
      <c r="H1010" s="22" t="n">
        <v>1.8</v>
      </c>
      <c r="I1010" s="24" t="n">
        <v>0.0378857925534248</v>
      </c>
      <c r="J1010" s="6" t="n">
        <v>71000</v>
      </c>
      <c r="K1010" s="25">
        <f>23*10^-6</f>
        <v/>
      </c>
      <c r="L1010" s="8">
        <f>H1010</f>
        <v/>
      </c>
      <c r="M1010" s="26">
        <f>H1010^2/6</f>
        <v/>
      </c>
      <c r="N1010" s="26">
        <f>H1010^3/12</f>
        <v/>
      </c>
      <c r="O1010" s="27">
        <f>-J1010*L1010*K1010*C1010</f>
        <v/>
      </c>
      <c r="P1010" s="28">
        <f>-(12*F1010*J1010*L1010*N1010+12*O1010*N1010*G1010*COS(RADIANS(E1010)))/(12*N1010*G1010*COS(RADIANS(E1010))^2+L1010*G1010^3*SIN(RADIANS(E1010))^2)</f>
        <v/>
      </c>
      <c r="Q1010" s="28">
        <f>-(6*F1010*J1010*L1010*N1010*SIN(RADIANS(E1010))+6*O1010*N1010*G1010*SIN(RADIANS(E1010))*COS(RADIANS(E1010)))/(12*N1010*COS(RADIANS(E1010))^2+L1010*G1010^2*SIN(RADIANS(E1010))^2)</f>
        <v/>
      </c>
      <c r="R1010" s="28">
        <f>-P1010*SIN(RADIANS(E1010))</f>
        <v/>
      </c>
      <c r="S1010" s="8">
        <f>(O1010+P1010*COS(RADIANS(E1010)))/L1010</f>
        <v/>
      </c>
      <c r="T1010" s="8">
        <f>R1010/L1010</f>
        <v/>
      </c>
      <c r="U1010" s="8">
        <f>(Q1010-P1010*G1010*SIN(RADIANS(E1010)))/M1010</f>
        <v/>
      </c>
      <c r="V1010" s="8">
        <f>SQRT((S1010+U1010)^2+3*T1010^2)</f>
        <v/>
      </c>
      <c r="W1010" s="8">
        <f>V1010/AA1010</f>
        <v/>
      </c>
      <c r="X1010" s="27">
        <f>((3*10+H1010/COS(RADIANS(E1010)))*(3+3)+3*G1010*H1010)*2</f>
        <v/>
      </c>
      <c r="Y1010" s="28">
        <f>Z1010/X1010</f>
        <v/>
      </c>
      <c r="Z1010" s="29" t="n">
        <v>713.046295925154</v>
      </c>
      <c r="AA1010" s="20" t="n">
        <v>39.7977844796963</v>
      </c>
      <c r="AB1010" t="n">
        <v>0.04009333919092539</v>
      </c>
      <c r="AC1010" t="n">
        <v>37.87670585314762</v>
      </c>
      <c r="AD1010" t="n">
        <v>5.826845602840707</v>
      </c>
    </row>
    <row r="1011">
      <c r="A1011" t="n">
        <v>1010</v>
      </c>
      <c r="B1011" t="n">
        <v>53.5</v>
      </c>
      <c r="C1011" s="21">
        <f>B1011-20</f>
        <v/>
      </c>
      <c r="D1011" t="n">
        <v>119.6</v>
      </c>
      <c r="E1011" s="22">
        <f>D1011-90</f>
        <v/>
      </c>
      <c r="F1011" s="23" t="n">
        <v>0.009464</v>
      </c>
      <c r="G1011" s="22" t="n">
        <v>21.6</v>
      </c>
      <c r="H1011" s="22" t="n">
        <v>2</v>
      </c>
      <c r="I1011" s="24" t="n">
        <v>0.0464852750301361</v>
      </c>
      <c r="J1011" s="6" t="n">
        <v>71000</v>
      </c>
      <c r="K1011" s="25">
        <f>23*10^-6</f>
        <v/>
      </c>
      <c r="L1011" s="8">
        <f>H1011</f>
        <v/>
      </c>
      <c r="M1011" s="26">
        <f>H1011^2/6</f>
        <v/>
      </c>
      <c r="N1011" s="26">
        <f>H1011^3/12</f>
        <v/>
      </c>
      <c r="O1011" s="27">
        <f>-J1011*L1011*K1011*C1011</f>
        <v/>
      </c>
      <c r="P1011" s="28">
        <f>-(12*F1011*J1011*L1011*N1011+12*O1011*N1011*G1011*COS(RADIANS(E1011)))/(12*N1011*G1011*COS(RADIANS(E1011))^2+L1011*G1011^3*SIN(RADIANS(E1011))^2)</f>
        <v/>
      </c>
      <c r="Q1011" s="28">
        <f>-(6*F1011*J1011*L1011*N1011*SIN(RADIANS(E1011))+6*O1011*N1011*G1011*SIN(RADIANS(E1011))*COS(RADIANS(E1011)))/(12*N1011*COS(RADIANS(E1011))^2+L1011*G1011^2*SIN(RADIANS(E1011))^2)</f>
        <v/>
      </c>
      <c r="R1011" s="28">
        <f>-P1011*SIN(RADIANS(E1011))</f>
        <v/>
      </c>
      <c r="S1011" s="8">
        <f>(O1011+P1011*COS(RADIANS(E1011)))/L1011</f>
        <v/>
      </c>
      <c r="T1011" s="8">
        <f>R1011/L1011</f>
        <v/>
      </c>
      <c r="U1011" s="8">
        <f>(Q1011-P1011*G1011*SIN(RADIANS(E1011)))/M1011</f>
        <v/>
      </c>
      <c r="V1011" s="8">
        <f>SQRT((S1011+U1011)^2+3*T1011^2)</f>
        <v/>
      </c>
      <c r="W1011" s="8">
        <f>V1011/AA1011</f>
        <v/>
      </c>
      <c r="X1011" s="27">
        <f>((3*10+H1011/COS(RADIANS(E1011)))*(3+3)+3*G1011*H1011)*2</f>
        <v/>
      </c>
      <c r="Y1011" s="28">
        <f>Z1011/X1011</f>
        <v/>
      </c>
      <c r="Z1011" s="29" t="n">
        <v>653.838091621337</v>
      </c>
      <c r="AA1011" s="20" t="n">
        <v>57.8584985506499</v>
      </c>
      <c r="AB1011" t="n">
        <v>0.04891109129725229</v>
      </c>
      <c r="AC1011" t="n">
        <v>52.00865355322266</v>
      </c>
      <c r="AD1011" t="n">
        <v>5.218461686079187</v>
      </c>
    </row>
    <row r="1012">
      <c r="A1012" t="n">
        <v>1011</v>
      </c>
      <c r="B1012" t="n">
        <v>43.3</v>
      </c>
      <c r="C1012" s="21">
        <f>B1012-20</f>
        <v/>
      </c>
      <c r="D1012" t="n">
        <v>119.3</v>
      </c>
      <c r="E1012" s="22">
        <f>D1012-90</f>
        <v/>
      </c>
      <c r="F1012" s="23" t="n">
        <v>0.007986999999999999</v>
      </c>
      <c r="G1012" s="22" t="n">
        <v>27.6</v>
      </c>
      <c r="H1012" s="22" t="n">
        <v>1.5</v>
      </c>
      <c r="I1012" s="24" t="n">
        <v>0.0380589850246906</v>
      </c>
      <c r="J1012" s="6" t="n">
        <v>71000</v>
      </c>
      <c r="K1012" s="25">
        <f>23*10^-6</f>
        <v/>
      </c>
      <c r="L1012" s="8">
        <f>H1012</f>
        <v/>
      </c>
      <c r="M1012" s="26">
        <f>H1012^2/6</f>
        <v/>
      </c>
      <c r="N1012" s="26">
        <f>H1012^3/12</f>
        <v/>
      </c>
      <c r="O1012" s="27">
        <f>-J1012*L1012*K1012*C1012</f>
        <v/>
      </c>
      <c r="P1012" s="28">
        <f>-(12*F1012*J1012*L1012*N1012+12*O1012*N1012*G1012*COS(RADIANS(E1012)))/(12*N1012*G1012*COS(RADIANS(E1012))^2+L1012*G1012^3*SIN(RADIANS(E1012))^2)</f>
        <v/>
      </c>
      <c r="Q1012" s="28">
        <f>-(6*F1012*J1012*L1012*N1012*SIN(RADIANS(E1012))+6*O1012*N1012*G1012*SIN(RADIANS(E1012))*COS(RADIANS(E1012)))/(12*N1012*COS(RADIANS(E1012))^2+L1012*G1012^2*SIN(RADIANS(E1012))^2)</f>
        <v/>
      </c>
      <c r="R1012" s="28">
        <f>-P1012*SIN(RADIANS(E1012))</f>
        <v/>
      </c>
      <c r="S1012" s="8">
        <f>(O1012+P1012*COS(RADIANS(E1012)))/L1012</f>
        <v/>
      </c>
      <c r="T1012" s="8">
        <f>R1012/L1012</f>
        <v/>
      </c>
      <c r="U1012" s="8">
        <f>(Q1012-P1012*G1012*SIN(RADIANS(E1012)))/M1012</f>
        <v/>
      </c>
      <c r="V1012" s="8">
        <f>SQRT((S1012+U1012)^2+3*T1012^2)</f>
        <v/>
      </c>
      <c r="W1012" s="8">
        <f>V1012/AA1012</f>
        <v/>
      </c>
      <c r="X1012" s="27">
        <f>((3*10+H1012/COS(RADIANS(E1012)))*(3+3)+3*G1012*H1012)*2</f>
        <v/>
      </c>
      <c r="Y1012" s="28">
        <f>Z1012/X1012</f>
        <v/>
      </c>
      <c r="Z1012" s="29" t="n">
        <v>635.994941024184</v>
      </c>
      <c r="AA1012" s="20" t="n">
        <v>34.8942428063684</v>
      </c>
      <c r="AB1012" t="n">
        <v>0.0440013299329729</v>
      </c>
      <c r="AC1012" t="n">
        <v>34.61426489379615</v>
      </c>
      <c r="AD1012" t="n">
        <v>15.61351387701808</v>
      </c>
    </row>
    <row r="1013">
      <c r="A1013" t="n">
        <v>1012</v>
      </c>
      <c r="B1013" t="n">
        <v>89</v>
      </c>
      <c r="C1013" s="21">
        <f>B1013-20</f>
        <v/>
      </c>
      <c r="D1013" t="n">
        <v>113.7</v>
      </c>
      <c r="E1013" s="22">
        <f>D1013-90</f>
        <v/>
      </c>
      <c r="F1013" s="23" t="n">
        <v>0.026255</v>
      </c>
      <c r="G1013" s="22" t="n">
        <v>29.9</v>
      </c>
      <c r="H1013" s="22" t="n">
        <v>1.2</v>
      </c>
      <c r="I1013" s="24" t="n">
        <v>0.137966305017471</v>
      </c>
      <c r="J1013" s="6" t="n">
        <v>71000</v>
      </c>
      <c r="K1013" s="25">
        <f>23*10^-6</f>
        <v/>
      </c>
      <c r="L1013" s="8">
        <f>H1013</f>
        <v/>
      </c>
      <c r="M1013" s="26">
        <f>H1013^2/6</f>
        <v/>
      </c>
      <c r="N1013" s="26">
        <f>H1013^3/12</f>
        <v/>
      </c>
      <c r="O1013" s="27">
        <f>-J1013*L1013*K1013*C1013</f>
        <v/>
      </c>
      <c r="P1013" s="28">
        <f>-(12*F1013*J1013*L1013*N1013+12*O1013*N1013*G1013*COS(RADIANS(E1013)))/(12*N1013*G1013*COS(RADIANS(E1013))^2+L1013*G1013^3*SIN(RADIANS(E1013))^2)</f>
        <v/>
      </c>
      <c r="Q1013" s="28">
        <f>-(6*F1013*J1013*L1013*N1013*SIN(RADIANS(E1013))+6*O1013*N1013*G1013*SIN(RADIANS(E1013))*COS(RADIANS(E1013)))/(12*N1013*COS(RADIANS(E1013))^2+L1013*G1013^2*SIN(RADIANS(E1013))^2)</f>
        <v/>
      </c>
      <c r="R1013" s="28">
        <f>-P1013*SIN(RADIANS(E1013))</f>
        <v/>
      </c>
      <c r="S1013" s="8">
        <f>(O1013+P1013*COS(RADIANS(E1013)))/L1013</f>
        <v/>
      </c>
      <c r="T1013" s="8">
        <f>R1013/L1013</f>
        <v/>
      </c>
      <c r="U1013" s="8">
        <f>(Q1013-P1013*G1013*SIN(RADIANS(E1013)))/M1013</f>
        <v/>
      </c>
      <c r="V1013" s="8">
        <f>SQRT((S1013+U1013)^2+3*T1013^2)</f>
        <v/>
      </c>
      <c r="W1013" s="8">
        <f>V1013/AA1013</f>
        <v/>
      </c>
      <c r="X1013" s="27">
        <f>((3*10+H1013/COS(RADIANS(E1013)))*(3+3)+3*G1013*H1013)*2</f>
        <v/>
      </c>
      <c r="Y1013" s="28">
        <f>Z1013/X1013</f>
        <v/>
      </c>
      <c r="Z1013" s="29" t="n">
        <v>596.650474113511</v>
      </c>
      <c r="AA1013" s="20" t="n">
        <v>98.23926273706699</v>
      </c>
      <c r="AB1013" t="n">
        <v>0.1762948411814304</v>
      </c>
      <c r="AC1013" t="n">
        <v>102.3471884732703</v>
      </c>
      <c r="AD1013" t="n">
        <v>27.78108477943637</v>
      </c>
    </row>
    <row r="1014">
      <c r="A1014" t="n">
        <v>1013</v>
      </c>
      <c r="B1014" t="n">
        <v>72.2</v>
      </c>
      <c r="C1014" s="21">
        <f>B1014-20</f>
        <v/>
      </c>
      <c r="D1014" t="n">
        <v>128.9</v>
      </c>
      <c r="E1014" s="22">
        <f>D1014-90</f>
        <v/>
      </c>
      <c r="F1014" s="23" t="n">
        <v>0.013389</v>
      </c>
      <c r="G1014" s="22" t="n">
        <v>21.2</v>
      </c>
      <c r="H1014" s="22" t="n">
        <v>2</v>
      </c>
      <c r="I1014" s="24" t="n">
        <v>0.0608437545597553</v>
      </c>
      <c r="J1014" s="6" t="n">
        <v>71000</v>
      </c>
      <c r="K1014" s="25">
        <f>23*10^-6</f>
        <v/>
      </c>
      <c r="L1014" s="8">
        <f>H1014</f>
        <v/>
      </c>
      <c r="M1014" s="26">
        <f>H1014^2/6</f>
        <v/>
      </c>
      <c r="N1014" s="26">
        <f>H1014^3/12</f>
        <v/>
      </c>
      <c r="O1014" s="27">
        <f>-J1014*L1014*K1014*C1014</f>
        <v/>
      </c>
      <c r="P1014" s="28">
        <f>-(12*F1014*J1014*L1014*N1014+12*O1014*N1014*G1014*COS(RADIANS(E1014)))/(12*N1014*G1014*COS(RADIANS(E1014))^2+L1014*G1014^3*SIN(RADIANS(E1014))^2)</f>
        <v/>
      </c>
      <c r="Q1014" s="28">
        <f>-(6*F1014*J1014*L1014*N1014*SIN(RADIANS(E1014))+6*O1014*N1014*G1014*SIN(RADIANS(E1014))*COS(RADIANS(E1014)))/(12*N1014*COS(RADIANS(E1014))^2+L1014*G1014^2*SIN(RADIANS(E1014))^2)</f>
        <v/>
      </c>
      <c r="R1014" s="28">
        <f>-P1014*SIN(RADIANS(E1014))</f>
        <v/>
      </c>
      <c r="S1014" s="8">
        <f>(O1014+P1014*COS(RADIANS(E1014)))/L1014</f>
        <v/>
      </c>
      <c r="T1014" s="8">
        <f>R1014/L1014</f>
        <v/>
      </c>
      <c r="U1014" s="8">
        <f>(Q1014-P1014*G1014*SIN(RADIANS(E1014)))/M1014</f>
        <v/>
      </c>
      <c r="V1014" s="8">
        <f>SQRT((S1014+U1014)^2+3*T1014^2)</f>
        <v/>
      </c>
      <c r="W1014" s="8">
        <f>V1014/AA1014</f>
        <v/>
      </c>
      <c r="X1014" s="27">
        <f>((3*10+H1014/COS(RADIANS(E1014)))*(3+3)+3*G1014*H1014)*2</f>
        <v/>
      </c>
      <c r="Y1014" s="28">
        <f>Z1014/X1014</f>
        <v/>
      </c>
      <c r="Z1014" s="29" t="n">
        <v>655.511011436367</v>
      </c>
      <c r="AA1014" s="20" t="n">
        <v>87.8504247162663</v>
      </c>
      <c r="AB1014" t="n">
        <v>0.05620879975614319</v>
      </c>
      <c r="AC1014" t="n">
        <v>77.66816935762336</v>
      </c>
      <c r="AD1014" t="n">
        <v>-7.617798798165991</v>
      </c>
    </row>
    <row r="1015">
      <c r="A1015" t="n">
        <v>1014</v>
      </c>
      <c r="B1015" t="n">
        <v>84.40000000000001</v>
      </c>
      <c r="C1015" s="21">
        <f>B1015-20</f>
        <v/>
      </c>
      <c r="D1015" t="n">
        <v>111.4</v>
      </c>
      <c r="E1015" s="22">
        <f>D1015-90</f>
        <v/>
      </c>
      <c r="F1015" s="23" t="n">
        <v>0.019511</v>
      </c>
      <c r="G1015" s="22" t="n">
        <v>22.1</v>
      </c>
      <c r="H1015" s="22" t="n">
        <v>1.2</v>
      </c>
      <c r="I1015" s="24" t="n">
        <v>0.113530799746513</v>
      </c>
      <c r="J1015" s="6" t="n">
        <v>71000</v>
      </c>
      <c r="K1015" s="25">
        <f>23*10^-6</f>
        <v/>
      </c>
      <c r="L1015" s="8">
        <f>H1015</f>
        <v/>
      </c>
      <c r="M1015" s="26">
        <f>H1015^2/6</f>
        <v/>
      </c>
      <c r="N1015" s="26">
        <f>H1015^3/12</f>
        <v/>
      </c>
      <c r="O1015" s="27">
        <f>-J1015*L1015*K1015*C1015</f>
        <v/>
      </c>
      <c r="P1015" s="28">
        <f>-(12*F1015*J1015*L1015*N1015+12*O1015*N1015*G1015*COS(RADIANS(E1015)))/(12*N1015*G1015*COS(RADIANS(E1015))^2+L1015*G1015^3*SIN(RADIANS(E1015))^2)</f>
        <v/>
      </c>
      <c r="Q1015" s="28">
        <f>-(6*F1015*J1015*L1015*N1015*SIN(RADIANS(E1015))+6*O1015*N1015*G1015*SIN(RADIANS(E1015))*COS(RADIANS(E1015)))/(12*N1015*COS(RADIANS(E1015))^2+L1015*G1015^2*SIN(RADIANS(E1015))^2)</f>
        <v/>
      </c>
      <c r="R1015" s="28">
        <f>-P1015*SIN(RADIANS(E1015))</f>
        <v/>
      </c>
      <c r="S1015" s="8">
        <f>(O1015+P1015*COS(RADIANS(E1015)))/L1015</f>
        <v/>
      </c>
      <c r="T1015" s="8">
        <f>R1015/L1015</f>
        <v/>
      </c>
      <c r="U1015" s="8">
        <f>(Q1015-P1015*G1015*SIN(RADIANS(E1015)))/M1015</f>
        <v/>
      </c>
      <c r="V1015" s="8">
        <f>SQRT((S1015+U1015)^2+3*T1015^2)</f>
        <v/>
      </c>
      <c r="W1015" s="8">
        <f>V1015/AA1015</f>
        <v/>
      </c>
      <c r="X1015" s="27">
        <f>((3*10+H1015/COS(RADIANS(E1015)))*(3+3)+3*G1015*H1015)*2</f>
        <v/>
      </c>
      <c r="Y1015" s="28">
        <f>Z1015/X1015</f>
        <v/>
      </c>
      <c r="Z1015" s="29" t="n">
        <v>539.7971288040141</v>
      </c>
      <c r="AA1015" s="20" t="n">
        <v>95.4406985308277</v>
      </c>
      <c r="AB1015" t="n">
        <v>0.136729221674119</v>
      </c>
      <c r="AC1015" t="n">
        <v>98.604555120255</v>
      </c>
      <c r="AD1015" t="n">
        <v>20.43359333273655</v>
      </c>
    </row>
    <row r="1016">
      <c r="A1016" t="n">
        <v>1015</v>
      </c>
      <c r="B1016" t="n">
        <v>59.7</v>
      </c>
      <c r="C1016" s="21">
        <f>B1016-20</f>
        <v/>
      </c>
      <c r="D1016" t="n">
        <v>127.4</v>
      </c>
      <c r="E1016" s="22">
        <f>D1016-90</f>
        <v/>
      </c>
      <c r="F1016" s="23" t="n">
        <v>0.010338</v>
      </c>
      <c r="G1016" s="22" t="n">
        <v>21.2</v>
      </c>
      <c r="H1016" s="22" t="n">
        <v>1.9</v>
      </c>
      <c r="I1016" s="24" t="n">
        <v>0.0473261810839176</v>
      </c>
      <c r="J1016" s="6" t="n">
        <v>71000</v>
      </c>
      <c r="K1016" s="25">
        <f>23*10^-6</f>
        <v/>
      </c>
      <c r="L1016" s="8">
        <f>H1016</f>
        <v/>
      </c>
      <c r="M1016" s="26">
        <f>H1016^2/6</f>
        <v/>
      </c>
      <c r="N1016" s="26">
        <f>H1016^3/12</f>
        <v/>
      </c>
      <c r="O1016" s="27">
        <f>-J1016*L1016*K1016*C1016</f>
        <v/>
      </c>
      <c r="P1016" s="28">
        <f>-(12*F1016*J1016*L1016*N1016+12*O1016*N1016*G1016*COS(RADIANS(E1016)))/(12*N1016*G1016*COS(RADIANS(E1016))^2+L1016*G1016^3*SIN(RADIANS(E1016))^2)</f>
        <v/>
      </c>
      <c r="Q1016" s="28">
        <f>-(6*F1016*J1016*L1016*N1016*SIN(RADIANS(E1016))+6*O1016*N1016*G1016*SIN(RADIANS(E1016))*COS(RADIANS(E1016)))/(12*N1016*COS(RADIANS(E1016))^2+L1016*G1016^2*SIN(RADIANS(E1016))^2)</f>
        <v/>
      </c>
      <c r="R1016" s="28">
        <f>-P1016*SIN(RADIANS(E1016))</f>
        <v/>
      </c>
      <c r="S1016" s="8">
        <f>(O1016+P1016*COS(RADIANS(E1016)))/L1016</f>
        <v/>
      </c>
      <c r="T1016" s="8">
        <f>R1016/L1016</f>
        <v/>
      </c>
      <c r="U1016" s="8">
        <f>(Q1016-P1016*G1016*SIN(RADIANS(E1016)))/M1016</f>
        <v/>
      </c>
      <c r="V1016" s="8">
        <f>SQRT((S1016+U1016)^2+3*T1016^2)</f>
        <v/>
      </c>
      <c r="W1016" s="8">
        <f>V1016/AA1016</f>
        <v/>
      </c>
      <c r="X1016" s="27">
        <f>((3*10+H1016/COS(RADIANS(E1016)))*(3+3)+3*G1016*H1016)*2</f>
        <v/>
      </c>
      <c r="Y1016" s="28">
        <f>Z1016/X1016</f>
        <v/>
      </c>
      <c r="Z1016" s="29" t="n">
        <v>640.024931859477</v>
      </c>
      <c r="AA1016" s="20" t="n">
        <v>66.0690446450382</v>
      </c>
      <c r="AB1016" t="n">
        <v>0.04466974772807815</v>
      </c>
      <c r="AC1016" t="n">
        <v>59.14860713719896</v>
      </c>
      <c r="AD1016" t="n">
        <v>-5.613031296839961</v>
      </c>
    </row>
    <row r="1017">
      <c r="A1017" t="n">
        <v>1016</v>
      </c>
      <c r="B1017" t="n">
        <v>43</v>
      </c>
      <c r="C1017" s="21">
        <f>B1017-20</f>
        <v/>
      </c>
      <c r="D1017" t="n">
        <v>124.5</v>
      </c>
      <c r="E1017" s="22">
        <f>D1017-90</f>
        <v/>
      </c>
      <c r="F1017" s="23" t="n">
        <v>0.005981</v>
      </c>
      <c r="G1017" s="22" t="n">
        <v>20.4</v>
      </c>
      <c r="H1017" s="22" t="n">
        <v>1.5</v>
      </c>
      <c r="I1017" s="24" t="n">
        <v>0.0281163826584815</v>
      </c>
      <c r="J1017" s="6" t="n">
        <v>71000</v>
      </c>
      <c r="K1017" s="25">
        <f>23*10^-6</f>
        <v/>
      </c>
      <c r="L1017" s="8">
        <f>H1017</f>
        <v/>
      </c>
      <c r="M1017" s="26">
        <f>H1017^2/6</f>
        <v/>
      </c>
      <c r="N1017" s="26">
        <f>H1017^3/12</f>
        <v/>
      </c>
      <c r="O1017" s="27">
        <f>-J1017*L1017*K1017*C1017</f>
        <v/>
      </c>
      <c r="P1017" s="28">
        <f>-(12*F1017*J1017*L1017*N1017+12*O1017*N1017*G1017*COS(RADIANS(E1017)))/(12*N1017*G1017*COS(RADIANS(E1017))^2+L1017*G1017^3*SIN(RADIANS(E1017))^2)</f>
        <v/>
      </c>
      <c r="Q1017" s="28">
        <f>-(6*F1017*J1017*L1017*N1017*SIN(RADIANS(E1017))+6*O1017*N1017*G1017*SIN(RADIANS(E1017))*COS(RADIANS(E1017)))/(12*N1017*COS(RADIANS(E1017))^2+L1017*G1017^2*SIN(RADIANS(E1017))^2)</f>
        <v/>
      </c>
      <c r="R1017" s="28">
        <f>-P1017*SIN(RADIANS(E1017))</f>
        <v/>
      </c>
      <c r="S1017" s="8">
        <f>(O1017+P1017*COS(RADIANS(E1017)))/L1017</f>
        <v/>
      </c>
      <c r="T1017" s="8">
        <f>R1017/L1017</f>
        <v/>
      </c>
      <c r="U1017" s="8">
        <f>(Q1017-P1017*G1017*SIN(RADIANS(E1017)))/M1017</f>
        <v/>
      </c>
      <c r="V1017" s="8">
        <f>SQRT((S1017+U1017)^2+3*T1017^2)</f>
        <v/>
      </c>
      <c r="W1017" s="8">
        <f>V1017/AA1017</f>
        <v/>
      </c>
      <c r="X1017" s="27">
        <f>((3*10+H1017/COS(RADIANS(E1017)))*(3+3)+3*G1017*H1017)*2</f>
        <v/>
      </c>
      <c r="Y1017" s="28">
        <f>Z1017/X1017</f>
        <v/>
      </c>
      <c r="Z1017" s="29" t="n">
        <v>573.996698609575</v>
      </c>
      <c r="AA1017" s="20" t="n">
        <v>35.6917014514251</v>
      </c>
      <c r="AB1017" t="n">
        <v>0.0273950608665143</v>
      </c>
      <c r="AC1017" t="n">
        <v>33.98756082486253</v>
      </c>
      <c r="AD1017" t="n">
        <v>-2.565485755151385</v>
      </c>
    </row>
    <row r="1018">
      <c r="A1018" t="n">
        <v>1017</v>
      </c>
      <c r="B1018" t="n">
        <v>66.09999999999999</v>
      </c>
      <c r="C1018" s="21">
        <f>B1018-20</f>
        <v/>
      </c>
      <c r="D1018" t="n">
        <v>110.3</v>
      </c>
      <c r="E1018" s="22">
        <f>D1018-90</f>
        <v/>
      </c>
      <c r="F1018" s="23" t="n">
        <v>0.01863</v>
      </c>
      <c r="G1018" s="22" t="n">
        <v>31.4</v>
      </c>
      <c r="H1018" s="22" t="n">
        <v>1.7</v>
      </c>
      <c r="I1018" s="24" t="n">
        <v>0.106653928756713</v>
      </c>
      <c r="J1018" s="6" t="n">
        <v>71000</v>
      </c>
      <c r="K1018" s="25">
        <f>23*10^-6</f>
        <v/>
      </c>
      <c r="L1018" s="8">
        <f>H1018</f>
        <v/>
      </c>
      <c r="M1018" s="26">
        <f>H1018^2/6</f>
        <v/>
      </c>
      <c r="N1018" s="26">
        <f>H1018^3/12</f>
        <v/>
      </c>
      <c r="O1018" s="27">
        <f>-J1018*L1018*K1018*C1018</f>
        <v/>
      </c>
      <c r="P1018" s="28">
        <f>-(12*F1018*J1018*L1018*N1018+12*O1018*N1018*G1018*COS(RADIANS(E1018)))/(12*N1018*G1018*COS(RADIANS(E1018))^2+L1018*G1018^3*SIN(RADIANS(E1018))^2)</f>
        <v/>
      </c>
      <c r="Q1018" s="28">
        <f>-(6*F1018*J1018*L1018*N1018*SIN(RADIANS(E1018))+6*O1018*N1018*G1018*SIN(RADIANS(E1018))*COS(RADIANS(E1018)))/(12*N1018*COS(RADIANS(E1018))^2+L1018*G1018^2*SIN(RADIANS(E1018))^2)</f>
        <v/>
      </c>
      <c r="R1018" s="28">
        <f>-P1018*SIN(RADIANS(E1018))</f>
        <v/>
      </c>
      <c r="S1018" s="8">
        <f>(O1018+P1018*COS(RADIANS(E1018)))/L1018</f>
        <v/>
      </c>
      <c r="T1018" s="8">
        <f>R1018/L1018</f>
        <v/>
      </c>
      <c r="U1018" s="8">
        <f>(Q1018-P1018*G1018*SIN(RADIANS(E1018)))/M1018</f>
        <v/>
      </c>
      <c r="V1018" s="8">
        <f>SQRT((S1018+U1018)^2+3*T1018^2)</f>
        <v/>
      </c>
      <c r="W1018" s="8">
        <f>V1018/AA1018</f>
        <v/>
      </c>
      <c r="X1018" s="27">
        <f>((3*10+H1018/COS(RADIANS(E1018)))*(3+3)+3*G1018*H1018)*2</f>
        <v/>
      </c>
      <c r="Y1018" s="28">
        <f>Z1018/X1018</f>
        <v/>
      </c>
      <c r="Z1018" s="29" t="n">
        <v>707.053989594042</v>
      </c>
      <c r="AA1018" s="20" t="n">
        <v>73.1948761440179</v>
      </c>
      <c r="AB1018" t="n">
        <v>0.1431150210228619</v>
      </c>
      <c r="AC1018" t="n">
        <v>72.13110717112195</v>
      </c>
      <c r="AD1018" t="n">
        <v>34.18635646261086</v>
      </c>
    </row>
    <row r="1019">
      <c r="A1019" t="n">
        <v>1018</v>
      </c>
      <c r="B1019" t="n">
        <v>48.8</v>
      </c>
      <c r="C1019" s="21">
        <f>B1019-20</f>
        <v/>
      </c>
      <c r="D1019" t="n">
        <v>101</v>
      </c>
      <c r="E1019" s="22">
        <f>D1019-90</f>
        <v/>
      </c>
      <c r="F1019" s="23" t="n">
        <v>0.008867</v>
      </c>
      <c r="G1019" s="22" t="n">
        <v>21.4</v>
      </c>
      <c r="H1019" s="22" t="n">
        <v>1.6</v>
      </c>
      <c r="I1019" s="24" t="n">
        <v>0.0766230970621109</v>
      </c>
      <c r="J1019" s="6" t="n">
        <v>71000</v>
      </c>
      <c r="K1019" s="25">
        <f>23*10^-6</f>
        <v/>
      </c>
      <c r="L1019" s="8">
        <f>H1019</f>
        <v/>
      </c>
      <c r="M1019" s="26">
        <f>H1019^2/6</f>
        <v/>
      </c>
      <c r="N1019" s="26">
        <f>H1019^3/12</f>
        <v/>
      </c>
      <c r="O1019" s="27">
        <f>-J1019*L1019*K1019*C1019</f>
        <v/>
      </c>
      <c r="P1019" s="28">
        <f>-(12*F1019*J1019*L1019*N1019+12*O1019*N1019*G1019*COS(RADIANS(E1019)))/(12*N1019*G1019*COS(RADIANS(E1019))^2+L1019*G1019^3*SIN(RADIANS(E1019))^2)</f>
        <v/>
      </c>
      <c r="Q1019" s="28">
        <f>-(6*F1019*J1019*L1019*N1019*SIN(RADIANS(E1019))+6*O1019*N1019*G1019*SIN(RADIANS(E1019))*COS(RADIANS(E1019)))/(12*N1019*COS(RADIANS(E1019))^2+L1019*G1019^2*SIN(RADIANS(E1019))^2)</f>
        <v/>
      </c>
      <c r="R1019" s="28">
        <f>-P1019*SIN(RADIANS(E1019))</f>
        <v/>
      </c>
      <c r="S1019" s="8">
        <f>(O1019+P1019*COS(RADIANS(E1019)))/L1019</f>
        <v/>
      </c>
      <c r="T1019" s="8">
        <f>R1019/L1019</f>
        <v/>
      </c>
      <c r="U1019" s="8">
        <f>(Q1019-P1019*G1019*SIN(RADIANS(E1019)))/M1019</f>
        <v/>
      </c>
      <c r="V1019" s="8">
        <f>SQRT((S1019+U1019)^2+3*T1019^2)</f>
        <v/>
      </c>
      <c r="W1019" s="8">
        <f>V1019/AA1019</f>
        <v/>
      </c>
      <c r="X1019" s="27">
        <f>((3*10+H1019/COS(RADIANS(E1019)))*(3+3)+3*G1019*H1019)*2</f>
        <v/>
      </c>
      <c r="Y1019" s="28">
        <f>Z1019/X1019</f>
        <v/>
      </c>
      <c r="Z1019" s="29" t="n">
        <v>588.882190607706</v>
      </c>
      <c r="AA1019" s="20" t="n">
        <v>62.5673917072771</v>
      </c>
      <c r="AB1019" t="n">
        <v>0.104231225957991</v>
      </c>
      <c r="AC1019" t="n">
        <v>50.98290529481187</v>
      </c>
      <c r="AD1019" t="n">
        <v>36.03107934086876</v>
      </c>
    </row>
    <row r="1020">
      <c r="A1020" t="n">
        <v>1019</v>
      </c>
      <c r="B1020" t="n">
        <v>57.6</v>
      </c>
      <c r="C1020" s="21">
        <f>B1020-20</f>
        <v/>
      </c>
      <c r="D1020" t="n">
        <v>109.7</v>
      </c>
      <c r="E1020" s="22">
        <f>D1020-90</f>
        <v/>
      </c>
      <c r="F1020" s="23" t="n">
        <v>0.014759</v>
      </c>
      <c r="G1020" s="22" t="n">
        <v>30.2</v>
      </c>
      <c r="H1020" s="22" t="n">
        <v>1.6</v>
      </c>
      <c r="I1020" s="24" t="n">
        <v>0.08659517019987099</v>
      </c>
      <c r="J1020" s="6" t="n">
        <v>71000</v>
      </c>
      <c r="K1020" s="25">
        <f>23*10^-6</f>
        <v/>
      </c>
      <c r="L1020" s="8">
        <f>H1020</f>
        <v/>
      </c>
      <c r="M1020" s="26">
        <f>H1020^2/6</f>
        <v/>
      </c>
      <c r="N1020" s="26">
        <f>H1020^3/12</f>
        <v/>
      </c>
      <c r="O1020" s="27">
        <f>-J1020*L1020*K1020*C1020</f>
        <v/>
      </c>
      <c r="P1020" s="28">
        <f>-(12*F1020*J1020*L1020*N1020+12*O1020*N1020*G1020*COS(RADIANS(E1020)))/(12*N1020*G1020*COS(RADIANS(E1020))^2+L1020*G1020^3*SIN(RADIANS(E1020))^2)</f>
        <v/>
      </c>
      <c r="Q1020" s="28">
        <f>-(6*F1020*J1020*L1020*N1020*SIN(RADIANS(E1020))+6*O1020*N1020*G1020*SIN(RADIANS(E1020))*COS(RADIANS(E1020)))/(12*N1020*COS(RADIANS(E1020))^2+L1020*G1020^2*SIN(RADIANS(E1020))^2)</f>
        <v/>
      </c>
      <c r="R1020" s="28">
        <f>-P1020*SIN(RADIANS(E1020))</f>
        <v/>
      </c>
      <c r="S1020" s="8">
        <f>(O1020+P1020*COS(RADIANS(E1020)))/L1020</f>
        <v/>
      </c>
      <c r="T1020" s="8">
        <f>R1020/L1020</f>
        <v/>
      </c>
      <c r="U1020" s="8">
        <f>(Q1020-P1020*G1020*SIN(RADIANS(E1020)))/M1020</f>
        <v/>
      </c>
      <c r="V1020" s="8">
        <f>SQRT((S1020+U1020)^2+3*T1020^2)</f>
        <v/>
      </c>
      <c r="W1020" s="8">
        <f>V1020/AA1020</f>
        <v/>
      </c>
      <c r="X1020" s="27">
        <f>((3*10+H1020/COS(RADIANS(E1020)))*(3+3)+3*G1020*H1020)*2</f>
        <v/>
      </c>
      <c r="Y1020" s="28">
        <f>Z1020/X1020</f>
        <v/>
      </c>
      <c r="Z1020" s="29" t="n">
        <v>675.239292233038</v>
      </c>
      <c r="AA1020" s="20" t="n">
        <v>58.8784982664071</v>
      </c>
      <c r="AB1020" t="n">
        <v>0.116040737559476</v>
      </c>
      <c r="AC1020" t="n">
        <v>58.83893598236507</v>
      </c>
      <c r="AD1020" t="n">
        <v>34.00370631715543</v>
      </c>
    </row>
    <row r="1021">
      <c r="A1021" t="n">
        <v>1020</v>
      </c>
      <c r="B1021" t="n">
        <v>77.09999999999999</v>
      </c>
      <c r="C1021" s="21">
        <f>B1021-20</f>
        <v/>
      </c>
      <c r="D1021" t="n">
        <v>100.2</v>
      </c>
      <c r="E1021" s="22">
        <f>D1021-90</f>
        <v/>
      </c>
      <c r="F1021" s="23" t="n">
        <v>0.023189</v>
      </c>
      <c r="G1021" s="22" t="n">
        <v>30.1</v>
      </c>
      <c r="H1021" s="22" t="n">
        <v>1.1</v>
      </c>
      <c r="I1021" s="24" t="n">
        <v>0.223692864179611</v>
      </c>
      <c r="J1021" s="6" t="n">
        <v>71000</v>
      </c>
      <c r="K1021" s="25">
        <f>23*10^-6</f>
        <v/>
      </c>
      <c r="L1021" s="8">
        <f>H1021</f>
        <v/>
      </c>
      <c r="M1021" s="26">
        <f>H1021^2/6</f>
        <v/>
      </c>
      <c r="N1021" s="26">
        <f>H1021^3/12</f>
        <v/>
      </c>
      <c r="O1021" s="27">
        <f>-J1021*L1021*K1021*C1021</f>
        <v/>
      </c>
      <c r="P1021" s="28">
        <f>-(12*F1021*J1021*L1021*N1021+12*O1021*N1021*G1021*COS(RADIANS(E1021)))/(12*N1021*G1021*COS(RADIANS(E1021))^2+L1021*G1021^3*SIN(RADIANS(E1021))^2)</f>
        <v/>
      </c>
      <c r="Q1021" s="28">
        <f>-(6*F1021*J1021*L1021*N1021*SIN(RADIANS(E1021))+6*O1021*N1021*G1021*SIN(RADIANS(E1021))*COS(RADIANS(E1021)))/(12*N1021*COS(RADIANS(E1021))^2+L1021*G1021^2*SIN(RADIANS(E1021))^2)</f>
        <v/>
      </c>
      <c r="R1021" s="28">
        <f>-P1021*SIN(RADIANS(E1021))</f>
        <v/>
      </c>
      <c r="S1021" s="8">
        <f>(O1021+P1021*COS(RADIANS(E1021)))/L1021</f>
        <v/>
      </c>
      <c r="T1021" s="8">
        <f>R1021/L1021</f>
        <v/>
      </c>
      <c r="U1021" s="8">
        <f>(Q1021-P1021*G1021*SIN(RADIANS(E1021)))/M1021</f>
        <v/>
      </c>
      <c r="V1021" s="8">
        <f>SQRT((S1021+U1021)^2+3*T1021^2)</f>
        <v/>
      </c>
      <c r="W1021" s="8">
        <f>V1021/AA1021</f>
        <v/>
      </c>
      <c r="X1021" s="27">
        <f>((3*10+H1021/COS(RADIANS(E1021)))*(3+3)+3*G1021*H1021)*2</f>
        <v/>
      </c>
      <c r="Y1021" s="28">
        <f>Z1021/X1021</f>
        <v/>
      </c>
      <c r="Z1021" s="29" t="n">
        <v>575.890993749781</v>
      </c>
      <c r="AA1021" s="20" t="n">
        <v>85.1868718381575</v>
      </c>
      <c r="AB1021" t="n">
        <v>0.33799360077754</v>
      </c>
      <c r="AC1021" t="n">
        <v>93.59488460820936</v>
      </c>
      <c r="AD1021" t="n">
        <v>51.09717603962226</v>
      </c>
    </row>
    <row r="1022">
      <c r="A1022" t="n">
        <v>1021</v>
      </c>
      <c r="B1022" t="n">
        <v>41</v>
      </c>
      <c r="C1022" s="21">
        <f>B1022-20</f>
        <v/>
      </c>
      <c r="D1022" t="n">
        <v>101.9</v>
      </c>
      <c r="E1022" s="22">
        <f>D1022-90</f>
        <v/>
      </c>
      <c r="F1022" s="23" t="n">
        <v>0.006754</v>
      </c>
      <c r="G1022" s="22" t="n">
        <v>22.7</v>
      </c>
      <c r="H1022" s="22" t="n">
        <v>1.3</v>
      </c>
      <c r="I1022" s="24" t="n">
        <v>0.0575709603726863</v>
      </c>
      <c r="J1022" s="6" t="n">
        <v>71000</v>
      </c>
      <c r="K1022" s="25">
        <f>23*10^-6</f>
        <v/>
      </c>
      <c r="L1022" s="8">
        <f>H1022</f>
        <v/>
      </c>
      <c r="M1022" s="26">
        <f>H1022^2/6</f>
        <v/>
      </c>
      <c r="N1022" s="26">
        <f>H1022^3/12</f>
        <v/>
      </c>
      <c r="O1022" s="27">
        <f>-J1022*L1022*K1022*C1022</f>
        <v/>
      </c>
      <c r="P1022" s="28">
        <f>-(12*F1022*J1022*L1022*N1022+12*O1022*N1022*G1022*COS(RADIANS(E1022)))/(12*N1022*G1022*COS(RADIANS(E1022))^2+L1022*G1022^3*SIN(RADIANS(E1022))^2)</f>
        <v/>
      </c>
      <c r="Q1022" s="28">
        <f>-(6*F1022*J1022*L1022*N1022*SIN(RADIANS(E1022))+6*O1022*N1022*G1022*SIN(RADIANS(E1022))*COS(RADIANS(E1022)))/(12*N1022*COS(RADIANS(E1022))^2+L1022*G1022^2*SIN(RADIANS(E1022))^2)</f>
        <v/>
      </c>
      <c r="R1022" s="28">
        <f>-P1022*SIN(RADIANS(E1022))</f>
        <v/>
      </c>
      <c r="S1022" s="8">
        <f>(O1022+P1022*COS(RADIANS(E1022)))/L1022</f>
        <v/>
      </c>
      <c r="T1022" s="8">
        <f>R1022/L1022</f>
        <v/>
      </c>
      <c r="U1022" s="8">
        <f>(Q1022-P1022*G1022*SIN(RADIANS(E1022)))/M1022</f>
        <v/>
      </c>
      <c r="V1022" s="8">
        <f>SQRT((S1022+U1022)^2+3*T1022^2)</f>
        <v/>
      </c>
      <c r="W1022" s="8">
        <f>V1022/AA1022</f>
        <v/>
      </c>
      <c r="X1022" s="27">
        <f>((3*10+H1022/COS(RADIANS(E1022)))*(3+3)+3*G1022*H1022)*2</f>
        <v/>
      </c>
      <c r="Y1022" s="28">
        <f>Z1022/X1022</f>
        <v/>
      </c>
      <c r="Z1022" s="29" t="n">
        <v>556.96336507834</v>
      </c>
      <c r="AA1022" s="20" t="n">
        <v>33.3947500315871</v>
      </c>
      <c r="AB1022" t="n">
        <v>0.07926217678532663</v>
      </c>
      <c r="AC1022" t="n">
        <v>35.42089443792684</v>
      </c>
      <c r="AD1022" t="n">
        <v>37.67735725133292</v>
      </c>
    </row>
    <row r="1023">
      <c r="A1023" t="n">
        <v>1022</v>
      </c>
      <c r="B1023" t="n">
        <v>59.2</v>
      </c>
      <c r="C1023" s="21">
        <f>B1023-20</f>
        <v/>
      </c>
      <c r="D1023" t="n">
        <v>121</v>
      </c>
      <c r="E1023" s="22">
        <f>D1023-90</f>
        <v/>
      </c>
      <c r="F1023" s="23" t="n">
        <v>0.010381</v>
      </c>
      <c r="G1023" s="22" t="n">
        <v>20.1</v>
      </c>
      <c r="H1023" s="22" t="n">
        <v>1.3</v>
      </c>
      <c r="I1023" s="24" t="n">
        <v>0.0507619902491569</v>
      </c>
      <c r="J1023" s="6" t="n">
        <v>71000</v>
      </c>
      <c r="K1023" s="25">
        <f>23*10^-6</f>
        <v/>
      </c>
      <c r="L1023" s="8">
        <f>H1023</f>
        <v/>
      </c>
      <c r="M1023" s="26">
        <f>H1023^2/6</f>
        <v/>
      </c>
      <c r="N1023" s="26">
        <f>H1023^3/12</f>
        <v/>
      </c>
      <c r="O1023" s="27">
        <f>-J1023*L1023*K1023*C1023</f>
        <v/>
      </c>
      <c r="P1023" s="28">
        <f>-(12*F1023*J1023*L1023*N1023+12*O1023*N1023*G1023*COS(RADIANS(E1023)))/(12*N1023*G1023*COS(RADIANS(E1023))^2+L1023*G1023^3*SIN(RADIANS(E1023))^2)</f>
        <v/>
      </c>
      <c r="Q1023" s="28">
        <f>-(6*F1023*J1023*L1023*N1023*SIN(RADIANS(E1023))+6*O1023*N1023*G1023*SIN(RADIANS(E1023))*COS(RADIANS(E1023)))/(12*N1023*COS(RADIANS(E1023))^2+L1023*G1023^2*SIN(RADIANS(E1023))^2)</f>
        <v/>
      </c>
      <c r="R1023" s="28">
        <f>-P1023*SIN(RADIANS(E1023))</f>
        <v/>
      </c>
      <c r="S1023" s="8">
        <f>(O1023+P1023*COS(RADIANS(E1023)))/L1023</f>
        <v/>
      </c>
      <c r="T1023" s="8">
        <f>R1023/L1023</f>
        <v/>
      </c>
      <c r="U1023" s="8">
        <f>(Q1023-P1023*G1023*SIN(RADIANS(E1023)))/M1023</f>
        <v/>
      </c>
      <c r="V1023" s="8">
        <f>SQRT((S1023+U1023)^2+3*T1023^2)</f>
        <v/>
      </c>
      <c r="W1023" s="8">
        <f>V1023/AA1023</f>
        <v/>
      </c>
      <c r="X1023" s="27">
        <f>((3*10+H1023/COS(RADIANS(E1023)))*(3+3)+3*G1023*H1023)*2</f>
        <v/>
      </c>
      <c r="Y1023" s="28">
        <f>Z1023/X1023</f>
        <v/>
      </c>
      <c r="Z1023" s="29" t="n">
        <v>542.412311915368</v>
      </c>
      <c r="AA1023" s="20" t="n">
        <v>58.6789437767939</v>
      </c>
      <c r="AB1023" t="n">
        <v>0.05178995953122011</v>
      </c>
      <c r="AC1023" t="n">
        <v>58.02620467794428</v>
      </c>
      <c r="AD1023" t="n">
        <v>2.02507678878939</v>
      </c>
    </row>
    <row r="1024">
      <c r="A1024" t="n">
        <v>1023</v>
      </c>
      <c r="B1024" t="n">
        <v>64.5</v>
      </c>
      <c r="C1024" s="21">
        <f>B1024-20</f>
        <v/>
      </c>
      <c r="D1024" t="n">
        <v>124.1</v>
      </c>
      <c r="E1024" s="22">
        <f>D1024-90</f>
        <v/>
      </c>
      <c r="F1024" s="23" t="n">
        <v>0.013966</v>
      </c>
      <c r="G1024" s="22" t="n">
        <v>26</v>
      </c>
      <c r="H1024" s="22" t="n">
        <v>1.8</v>
      </c>
      <c r="I1024" s="24" t="n">
        <v>0.0634724050760269</v>
      </c>
      <c r="J1024" s="6" t="n">
        <v>71000</v>
      </c>
      <c r="K1024" s="25">
        <f>23*10^-6</f>
        <v/>
      </c>
      <c r="L1024" s="8">
        <f>H1024</f>
        <v/>
      </c>
      <c r="M1024" s="26">
        <f>H1024^2/6</f>
        <v/>
      </c>
      <c r="N1024" s="26">
        <f>H1024^3/12</f>
        <v/>
      </c>
      <c r="O1024" s="27">
        <f>-J1024*L1024*K1024*C1024</f>
        <v/>
      </c>
      <c r="P1024" s="28">
        <f>-(12*F1024*J1024*L1024*N1024+12*O1024*N1024*G1024*COS(RADIANS(E1024)))/(12*N1024*G1024*COS(RADIANS(E1024))^2+L1024*G1024^3*SIN(RADIANS(E1024))^2)</f>
        <v/>
      </c>
      <c r="Q1024" s="28">
        <f>-(6*F1024*J1024*L1024*N1024*SIN(RADIANS(E1024))+6*O1024*N1024*G1024*SIN(RADIANS(E1024))*COS(RADIANS(E1024)))/(12*N1024*COS(RADIANS(E1024))^2+L1024*G1024^2*SIN(RADIANS(E1024))^2)</f>
        <v/>
      </c>
      <c r="R1024" s="28">
        <f>-P1024*SIN(RADIANS(E1024))</f>
        <v/>
      </c>
      <c r="S1024" s="8">
        <f>(O1024+P1024*COS(RADIANS(E1024)))/L1024</f>
        <v/>
      </c>
      <c r="T1024" s="8">
        <f>R1024/L1024</f>
        <v/>
      </c>
      <c r="U1024" s="8">
        <f>(Q1024-P1024*G1024*SIN(RADIANS(E1024)))/M1024</f>
        <v/>
      </c>
      <c r="V1024" s="8">
        <f>SQRT((S1024+U1024)^2+3*T1024^2)</f>
        <v/>
      </c>
      <c r="W1024" s="8">
        <f>V1024/AA1024</f>
        <v/>
      </c>
      <c r="X1024" s="27">
        <f>((3*10+H1024/COS(RADIANS(E1024)))*(3+3)+3*G1024*H1024)*2</f>
        <v/>
      </c>
      <c r="Y1024" s="28">
        <f>Z1024/X1024</f>
        <v/>
      </c>
      <c r="Z1024" s="29" t="n">
        <v>675.302080431287</v>
      </c>
      <c r="AA1024" s="20" t="n">
        <v>69.7856209668676</v>
      </c>
      <c r="AB1024" t="n">
        <v>0.0672903718685243</v>
      </c>
      <c r="AC1024" t="n">
        <v>66.18790708128221</v>
      </c>
      <c r="AD1024" t="n">
        <v>6.015160112373643</v>
      </c>
    </row>
    <row r="1025">
      <c r="A1025" t="n">
        <v>1024</v>
      </c>
      <c r="B1025" t="n">
        <v>79.59999999999999</v>
      </c>
      <c r="C1025" s="21">
        <f>B1025-20</f>
        <v/>
      </c>
      <c r="D1025" t="n">
        <v>118.4</v>
      </c>
      <c r="E1025" s="22">
        <f>D1025-90</f>
        <v/>
      </c>
      <c r="F1025" s="23" t="n">
        <v>0.020333</v>
      </c>
      <c r="G1025" s="22" t="n">
        <v>27.2</v>
      </c>
      <c r="H1025" s="22" t="n">
        <v>1</v>
      </c>
      <c r="I1025" s="24" t="n">
        <v>0.09840817004442209</v>
      </c>
      <c r="J1025" s="6" t="n">
        <v>71000</v>
      </c>
      <c r="K1025" s="25">
        <f>23*10^-6</f>
        <v/>
      </c>
      <c r="L1025" s="8">
        <f>H1025</f>
        <v/>
      </c>
      <c r="M1025" s="26">
        <f>H1025^2/6</f>
        <v/>
      </c>
      <c r="N1025" s="26">
        <f>H1025^3/12</f>
        <v/>
      </c>
      <c r="O1025" s="27">
        <f>-J1025*L1025*K1025*C1025</f>
        <v/>
      </c>
      <c r="P1025" s="28">
        <f>-(12*F1025*J1025*L1025*N1025+12*O1025*N1025*G1025*COS(RADIANS(E1025)))/(12*N1025*G1025*COS(RADIANS(E1025))^2+L1025*G1025^3*SIN(RADIANS(E1025))^2)</f>
        <v/>
      </c>
      <c r="Q1025" s="28">
        <f>-(6*F1025*J1025*L1025*N1025*SIN(RADIANS(E1025))+6*O1025*N1025*G1025*SIN(RADIANS(E1025))*COS(RADIANS(E1025)))/(12*N1025*COS(RADIANS(E1025))^2+L1025*G1025^2*SIN(RADIANS(E1025))^2)</f>
        <v/>
      </c>
      <c r="R1025" s="28">
        <f>-P1025*SIN(RADIANS(E1025))</f>
        <v/>
      </c>
      <c r="S1025" s="8">
        <f>(O1025+P1025*COS(RADIANS(E1025)))/L1025</f>
        <v/>
      </c>
      <c r="T1025" s="8">
        <f>R1025/L1025</f>
        <v/>
      </c>
      <c r="U1025" s="8">
        <f>(Q1025-P1025*G1025*SIN(RADIANS(E1025)))/M1025</f>
        <v/>
      </c>
      <c r="V1025" s="8">
        <f>SQRT((S1025+U1025)^2+3*T1025^2)</f>
        <v/>
      </c>
      <c r="W1025" s="8">
        <f>V1025/AA1025</f>
        <v/>
      </c>
      <c r="X1025" s="27">
        <f>((3*10+H1025/COS(RADIANS(E1025)))*(3+3)+3*G1025*H1025)*2</f>
        <v/>
      </c>
      <c r="Y1025" s="28">
        <f>Z1025/X1025</f>
        <v/>
      </c>
      <c r="Z1025" s="29" t="n">
        <v>543.559063826671</v>
      </c>
      <c r="AA1025" s="20" t="n">
        <v>81.2409432703884</v>
      </c>
      <c r="AB1025" t="n">
        <v>0.1154143987974956</v>
      </c>
      <c r="AC1025" t="n">
        <v>86.08741672632929</v>
      </c>
      <c r="AD1025" t="n">
        <v>17.28131794890283</v>
      </c>
    </row>
    <row r="1026">
      <c r="A1026" t="n">
        <v>1025</v>
      </c>
      <c r="B1026" t="n">
        <v>75</v>
      </c>
      <c r="C1026" s="21">
        <f>B1026-20</f>
        <v/>
      </c>
      <c r="D1026" t="n">
        <v>120</v>
      </c>
      <c r="E1026" s="22">
        <f>D1026-90</f>
        <v/>
      </c>
      <c r="F1026" s="23" t="n">
        <v>0.020486</v>
      </c>
      <c r="G1026" s="22" t="n">
        <v>30.8</v>
      </c>
      <c r="H1026" s="22" t="n">
        <v>1.9</v>
      </c>
      <c r="I1026" s="24" t="n">
        <v>0.09515760093927381</v>
      </c>
      <c r="J1026" s="6" t="n">
        <v>71000</v>
      </c>
      <c r="K1026" s="25">
        <f>23*10^-6</f>
        <v/>
      </c>
      <c r="L1026" s="8">
        <f>H1026</f>
        <v/>
      </c>
      <c r="M1026" s="26">
        <f>H1026^2/6</f>
        <v/>
      </c>
      <c r="N1026" s="26">
        <f>H1026^3/12</f>
        <v/>
      </c>
      <c r="O1026" s="27">
        <f>-J1026*L1026*K1026*C1026</f>
        <v/>
      </c>
      <c r="P1026" s="28">
        <f>-(12*F1026*J1026*L1026*N1026+12*O1026*N1026*G1026*COS(RADIANS(E1026)))/(12*N1026*G1026*COS(RADIANS(E1026))^2+L1026*G1026^3*SIN(RADIANS(E1026))^2)</f>
        <v/>
      </c>
      <c r="Q1026" s="28">
        <f>-(6*F1026*J1026*L1026*N1026*SIN(RADIANS(E1026))+6*O1026*N1026*G1026*SIN(RADIANS(E1026))*COS(RADIANS(E1026)))/(12*N1026*COS(RADIANS(E1026))^2+L1026*G1026^2*SIN(RADIANS(E1026))^2)</f>
        <v/>
      </c>
      <c r="R1026" s="28">
        <f>-P1026*SIN(RADIANS(E1026))</f>
        <v/>
      </c>
      <c r="S1026" s="8">
        <f>(O1026+P1026*COS(RADIANS(E1026)))/L1026</f>
        <v/>
      </c>
      <c r="T1026" s="8">
        <f>R1026/L1026</f>
        <v/>
      </c>
      <c r="U1026" s="8">
        <f>(Q1026-P1026*G1026*SIN(RADIANS(E1026)))/M1026</f>
        <v/>
      </c>
      <c r="V1026" s="8">
        <f>SQRT((S1026+U1026)^2+3*T1026^2)</f>
        <v/>
      </c>
      <c r="W1026" s="8">
        <f>V1026/AA1026</f>
        <v/>
      </c>
      <c r="X1026" s="27">
        <f>((3*10+H1026/COS(RADIANS(E1026)))*(3+3)+3*G1026*H1026)*2</f>
        <v/>
      </c>
      <c r="Y1026" s="28">
        <f>Z1026/X1026</f>
        <v/>
      </c>
      <c r="Z1026" s="29" t="n">
        <v>744.59361458179</v>
      </c>
      <c r="AA1026" s="20" t="n">
        <v>87.563761605313</v>
      </c>
      <c r="AB1026" t="n">
        <v>0.1119937854927556</v>
      </c>
      <c r="AC1026" t="n">
        <v>82.74211181514634</v>
      </c>
      <c r="AD1026" t="n">
        <v>17.69294768604566</v>
      </c>
    </row>
    <row r="1027">
      <c r="A1027" t="n">
        <v>1026</v>
      </c>
      <c r="B1027" t="n">
        <v>64</v>
      </c>
      <c r="C1027" s="21">
        <f>B1027-20</f>
        <v/>
      </c>
      <c r="D1027" t="n">
        <v>127.8</v>
      </c>
      <c r="E1027" s="22">
        <f>D1027-90</f>
        <v/>
      </c>
      <c r="F1027" s="23" t="n">
        <v>0.012086</v>
      </c>
      <c r="G1027" s="22" t="n">
        <v>22.9</v>
      </c>
      <c r="H1027" s="22" t="n">
        <v>1.9</v>
      </c>
      <c r="I1027" s="24" t="n">
        <v>0.0545680411159992</v>
      </c>
      <c r="J1027" s="6" t="n">
        <v>71000</v>
      </c>
      <c r="K1027" s="25">
        <f>23*10^-6</f>
        <v/>
      </c>
      <c r="L1027" s="8">
        <f>H1027</f>
        <v/>
      </c>
      <c r="M1027" s="26">
        <f>H1027^2/6</f>
        <v/>
      </c>
      <c r="N1027" s="26">
        <f>H1027^3/12</f>
        <v/>
      </c>
      <c r="O1027" s="27">
        <f>-J1027*L1027*K1027*C1027</f>
        <v/>
      </c>
      <c r="P1027" s="28">
        <f>-(12*F1027*J1027*L1027*N1027+12*O1027*N1027*G1027*COS(RADIANS(E1027)))/(12*N1027*G1027*COS(RADIANS(E1027))^2+L1027*G1027^3*SIN(RADIANS(E1027))^2)</f>
        <v/>
      </c>
      <c r="Q1027" s="28">
        <f>-(6*F1027*J1027*L1027*N1027*SIN(RADIANS(E1027))+6*O1027*N1027*G1027*SIN(RADIANS(E1027))*COS(RADIANS(E1027)))/(12*N1027*COS(RADIANS(E1027))^2+L1027*G1027^2*SIN(RADIANS(E1027))^2)</f>
        <v/>
      </c>
      <c r="R1027" s="28">
        <f>-P1027*SIN(RADIANS(E1027))</f>
        <v/>
      </c>
      <c r="S1027" s="8">
        <f>(O1027+P1027*COS(RADIANS(E1027)))/L1027</f>
        <v/>
      </c>
      <c r="T1027" s="8">
        <f>R1027/L1027</f>
        <v/>
      </c>
      <c r="U1027" s="8">
        <f>(Q1027-P1027*G1027*SIN(RADIANS(E1027)))/M1027</f>
        <v/>
      </c>
      <c r="V1027" s="8">
        <f>SQRT((S1027+U1027)^2+3*T1027^2)</f>
        <v/>
      </c>
      <c r="W1027" s="8">
        <f>V1027/AA1027</f>
        <v/>
      </c>
      <c r="X1027" s="27">
        <f>((3*10+H1027/COS(RADIANS(E1027)))*(3+3)+3*G1027*H1027)*2</f>
        <v/>
      </c>
      <c r="Y1027" s="28">
        <f>Z1027/X1027</f>
        <v/>
      </c>
      <c r="Z1027" s="29" t="n">
        <v>659.722513929814</v>
      </c>
      <c r="AA1027" s="20" t="n">
        <v>71.6639722558003</v>
      </c>
      <c r="AB1027" t="n">
        <v>0.05268222679608744</v>
      </c>
      <c r="AC1027" t="n">
        <v>65.24537418486251</v>
      </c>
      <c r="AD1027" t="n">
        <v>-3.455895211453445</v>
      </c>
    </row>
    <row r="1028">
      <c r="A1028" t="n">
        <v>1027</v>
      </c>
      <c r="B1028" t="n">
        <v>89.40000000000001</v>
      </c>
      <c r="C1028" s="21">
        <f>B1028-20</f>
        <v/>
      </c>
      <c r="D1028" t="n">
        <v>101.2</v>
      </c>
      <c r="E1028" s="22">
        <f>D1028-90</f>
        <v/>
      </c>
      <c r="F1028" s="23" t="n">
        <v>0.024693</v>
      </c>
      <c r="G1028" s="22" t="n">
        <v>25.7</v>
      </c>
      <c r="H1028" s="22" t="n">
        <v>1.5</v>
      </c>
      <c r="I1028" s="24" t="n">
        <v>0.215894326567649</v>
      </c>
      <c r="J1028" s="6" t="n">
        <v>71000</v>
      </c>
      <c r="K1028" s="25">
        <f>23*10^-6</f>
        <v/>
      </c>
      <c r="L1028" s="8">
        <f>H1028</f>
        <v/>
      </c>
      <c r="M1028" s="26">
        <f>H1028^2/6</f>
        <v/>
      </c>
      <c r="N1028" s="26">
        <f>H1028^3/12</f>
        <v/>
      </c>
      <c r="O1028" s="27">
        <f>-J1028*L1028*K1028*C1028</f>
        <v/>
      </c>
      <c r="P1028" s="28">
        <f>-(12*F1028*J1028*L1028*N1028+12*O1028*N1028*G1028*COS(RADIANS(E1028)))/(12*N1028*G1028*COS(RADIANS(E1028))^2+L1028*G1028^3*SIN(RADIANS(E1028))^2)</f>
        <v/>
      </c>
      <c r="Q1028" s="28">
        <f>-(6*F1028*J1028*L1028*N1028*SIN(RADIANS(E1028))+6*O1028*N1028*G1028*SIN(RADIANS(E1028))*COS(RADIANS(E1028)))/(12*N1028*COS(RADIANS(E1028))^2+L1028*G1028^2*SIN(RADIANS(E1028))^2)</f>
        <v/>
      </c>
      <c r="R1028" s="28">
        <f>-P1028*SIN(RADIANS(E1028))</f>
        <v/>
      </c>
      <c r="S1028" s="8">
        <f>(O1028+P1028*COS(RADIANS(E1028)))/L1028</f>
        <v/>
      </c>
      <c r="T1028" s="8">
        <f>R1028/L1028</f>
        <v/>
      </c>
      <c r="U1028" s="8">
        <f>(Q1028-P1028*G1028*SIN(RADIANS(E1028)))/M1028</f>
        <v/>
      </c>
      <c r="V1028" s="8">
        <f>SQRT((S1028+U1028)^2+3*T1028^2)</f>
        <v/>
      </c>
      <c r="W1028" s="8">
        <f>V1028/AA1028</f>
        <v/>
      </c>
      <c r="X1028" s="27">
        <f>((3*10+H1028/COS(RADIANS(E1028)))*(3+3)+3*G1028*H1028)*2</f>
        <v/>
      </c>
      <c r="Y1028" s="28">
        <f>Z1028/X1028</f>
        <v/>
      </c>
      <c r="Z1028" s="29" t="n">
        <v>613.5490422727351</v>
      </c>
      <c r="AA1028" s="20" t="n">
        <v>115.186407725797</v>
      </c>
      <c r="AB1028" t="n">
        <v>0.308662592876392</v>
      </c>
      <c r="AC1028" t="n">
        <v>119.6404493473961</v>
      </c>
      <c r="AD1028" t="n">
        <v>42.96929325730783</v>
      </c>
    </row>
    <row r="1029">
      <c r="A1029" t="n">
        <v>1028</v>
      </c>
      <c r="B1029" t="n">
        <v>80.3</v>
      </c>
      <c r="C1029" s="21">
        <f>B1029-20</f>
        <v/>
      </c>
      <c r="D1029" t="n">
        <v>105.9</v>
      </c>
      <c r="E1029" s="22">
        <f>D1029-90</f>
        <v/>
      </c>
      <c r="F1029" s="23" t="n">
        <v>0.01933</v>
      </c>
      <c r="G1029" s="22" t="n">
        <v>23</v>
      </c>
      <c r="H1029" s="22" t="n">
        <v>1.4</v>
      </c>
      <c r="I1029" s="24" t="n">
        <v>0.134626805782318</v>
      </c>
      <c r="J1029" s="6" t="n">
        <v>71000</v>
      </c>
      <c r="K1029" s="25">
        <f>23*10^-6</f>
        <v/>
      </c>
      <c r="L1029" s="8">
        <f>H1029</f>
        <v/>
      </c>
      <c r="M1029" s="26">
        <f>H1029^2/6</f>
        <v/>
      </c>
      <c r="N1029" s="26">
        <f>H1029^3/12</f>
        <v/>
      </c>
      <c r="O1029" s="27">
        <f>-J1029*L1029*K1029*C1029</f>
        <v/>
      </c>
      <c r="P1029" s="28">
        <f>-(12*F1029*J1029*L1029*N1029+12*O1029*N1029*G1029*COS(RADIANS(E1029)))/(12*N1029*G1029*COS(RADIANS(E1029))^2+L1029*G1029^3*SIN(RADIANS(E1029))^2)</f>
        <v/>
      </c>
      <c r="Q1029" s="28">
        <f>-(6*F1029*J1029*L1029*N1029*SIN(RADIANS(E1029))+6*O1029*N1029*G1029*SIN(RADIANS(E1029))*COS(RADIANS(E1029)))/(12*N1029*COS(RADIANS(E1029))^2+L1029*G1029^2*SIN(RADIANS(E1029))^2)</f>
        <v/>
      </c>
      <c r="R1029" s="28">
        <f>-P1029*SIN(RADIANS(E1029))</f>
        <v/>
      </c>
      <c r="S1029" s="8">
        <f>(O1029+P1029*COS(RADIANS(E1029)))/L1029</f>
        <v/>
      </c>
      <c r="T1029" s="8">
        <f>R1029/L1029</f>
        <v/>
      </c>
      <c r="U1029" s="8">
        <f>(Q1029-P1029*G1029*SIN(RADIANS(E1029)))/M1029</f>
        <v/>
      </c>
      <c r="V1029" s="8">
        <f>SQRT((S1029+U1029)^2+3*T1029^2)</f>
        <v/>
      </c>
      <c r="W1029" s="8">
        <f>V1029/AA1029</f>
        <v/>
      </c>
      <c r="X1029" s="27">
        <f>((3*10+H1029/COS(RADIANS(E1029)))*(3+3)+3*G1029*H1029)*2</f>
        <v/>
      </c>
      <c r="Y1029" s="28">
        <f>Z1029/X1029</f>
        <v/>
      </c>
      <c r="Z1029" s="29" t="n">
        <v>575.056679737013</v>
      </c>
      <c r="AA1029" s="20" t="n">
        <v>95.48036605022</v>
      </c>
      <c r="AB1029" t="n">
        <v>0.1760073433844922</v>
      </c>
      <c r="AC1029" t="n">
        <v>98.05049356603084</v>
      </c>
      <c r="AD1029" t="n">
        <v>30.73722009648184</v>
      </c>
    </row>
    <row r="1030">
      <c r="A1030" t="n">
        <v>1029</v>
      </c>
      <c r="B1030" t="n">
        <v>77.2</v>
      </c>
      <c r="C1030" s="21">
        <f>B1030-20</f>
        <v/>
      </c>
      <c r="D1030" t="n">
        <v>100.8</v>
      </c>
      <c r="E1030" s="22">
        <f>D1030-90</f>
        <v/>
      </c>
      <c r="F1030" s="23" t="n">
        <v>0.021335</v>
      </c>
      <c r="G1030" s="22" t="n">
        <v>27.2</v>
      </c>
      <c r="H1030" s="22" t="n">
        <v>1.6</v>
      </c>
      <c r="I1030" s="24" t="n">
        <v>0.189877048134803</v>
      </c>
      <c r="J1030" s="6" t="n">
        <v>71000</v>
      </c>
      <c r="K1030" s="25">
        <f>23*10^-6</f>
        <v/>
      </c>
      <c r="L1030" s="8">
        <f>H1030</f>
        <v/>
      </c>
      <c r="M1030" s="26">
        <f>H1030^2/6</f>
        <v/>
      </c>
      <c r="N1030" s="26">
        <f>H1030^3/12</f>
        <v/>
      </c>
      <c r="O1030" s="27">
        <f>-J1030*L1030*K1030*C1030</f>
        <v/>
      </c>
      <c r="P1030" s="28">
        <f>-(12*F1030*J1030*L1030*N1030+12*O1030*N1030*G1030*COS(RADIANS(E1030)))/(12*N1030*G1030*COS(RADIANS(E1030))^2+L1030*G1030^3*SIN(RADIANS(E1030))^2)</f>
        <v/>
      </c>
      <c r="Q1030" s="28">
        <f>-(6*F1030*J1030*L1030*N1030*SIN(RADIANS(E1030))+6*O1030*N1030*G1030*SIN(RADIANS(E1030))*COS(RADIANS(E1030)))/(12*N1030*COS(RADIANS(E1030))^2+L1030*G1030^2*SIN(RADIANS(E1030))^2)</f>
        <v/>
      </c>
      <c r="R1030" s="28">
        <f>-P1030*SIN(RADIANS(E1030))</f>
        <v/>
      </c>
      <c r="S1030" s="8">
        <f>(O1030+P1030*COS(RADIANS(E1030)))/L1030</f>
        <v/>
      </c>
      <c r="T1030" s="8">
        <f>R1030/L1030</f>
        <v/>
      </c>
      <c r="U1030" s="8">
        <f>(Q1030-P1030*G1030*SIN(RADIANS(E1030)))/M1030</f>
        <v/>
      </c>
      <c r="V1030" s="8">
        <f>SQRT((S1030+U1030)^2+3*T1030^2)</f>
        <v/>
      </c>
      <c r="W1030" s="8">
        <f>V1030/AA1030</f>
        <v/>
      </c>
      <c r="X1030" s="27">
        <f>((3*10+H1030/COS(RADIANS(E1030)))*(3+3)+3*G1030*H1030)*2</f>
        <v/>
      </c>
      <c r="Y1030" s="28">
        <f>Z1030/X1030</f>
        <v/>
      </c>
      <c r="Z1030" s="29" t="n">
        <v>644.532618187494</v>
      </c>
      <c r="AA1030" s="20" t="n">
        <v>97.75158493857209</v>
      </c>
      <c r="AB1030" t="n">
        <v>0.2761649869656025</v>
      </c>
      <c r="AC1030" t="n">
        <v>99.71679089180083</v>
      </c>
      <c r="AD1030" t="n">
        <v>45.44411221810207</v>
      </c>
    </row>
    <row r="1031">
      <c r="A1031" t="n">
        <v>1030</v>
      </c>
      <c r="B1031" t="n">
        <v>65.5</v>
      </c>
      <c r="C1031" s="21">
        <f>B1031-20</f>
        <v/>
      </c>
      <c r="D1031" t="n">
        <v>129</v>
      </c>
      <c r="E1031" s="22">
        <f>D1031-90</f>
        <v/>
      </c>
      <c r="F1031" s="23" t="n">
        <v>0.014681</v>
      </c>
      <c r="G1031" s="22" t="n">
        <v>28.7</v>
      </c>
      <c r="H1031" s="22" t="n">
        <v>1.3</v>
      </c>
      <c r="I1031" s="24" t="n">
        <v>0.06358896940946571</v>
      </c>
      <c r="J1031" s="6" t="n">
        <v>71000</v>
      </c>
      <c r="K1031" s="25">
        <f>23*10^-6</f>
        <v/>
      </c>
      <c r="L1031" s="8">
        <f>H1031</f>
        <v/>
      </c>
      <c r="M1031" s="26">
        <f>H1031^2/6</f>
        <v/>
      </c>
      <c r="N1031" s="26">
        <f>H1031^3/12</f>
        <v/>
      </c>
      <c r="O1031" s="27">
        <f>-J1031*L1031*K1031*C1031</f>
        <v/>
      </c>
      <c r="P1031" s="28">
        <f>-(12*F1031*J1031*L1031*N1031+12*O1031*N1031*G1031*COS(RADIANS(E1031)))/(12*N1031*G1031*COS(RADIANS(E1031))^2+L1031*G1031^3*SIN(RADIANS(E1031))^2)</f>
        <v/>
      </c>
      <c r="Q1031" s="28">
        <f>-(6*F1031*J1031*L1031*N1031*SIN(RADIANS(E1031))+6*O1031*N1031*G1031*SIN(RADIANS(E1031))*COS(RADIANS(E1031)))/(12*N1031*COS(RADIANS(E1031))^2+L1031*G1031^2*SIN(RADIANS(E1031))^2)</f>
        <v/>
      </c>
      <c r="R1031" s="28">
        <f>-P1031*SIN(RADIANS(E1031))</f>
        <v/>
      </c>
      <c r="S1031" s="8">
        <f>(O1031+P1031*COS(RADIANS(E1031)))/L1031</f>
        <v/>
      </c>
      <c r="T1031" s="8">
        <f>R1031/L1031</f>
        <v/>
      </c>
      <c r="U1031" s="8">
        <f>(Q1031-P1031*G1031*SIN(RADIANS(E1031)))/M1031</f>
        <v/>
      </c>
      <c r="V1031" s="8">
        <f>SQRT((S1031+U1031)^2+3*T1031^2)</f>
        <v/>
      </c>
      <c r="W1031" s="8">
        <f>V1031/AA1031</f>
        <v/>
      </c>
      <c r="X1031" s="27">
        <f>((3*10+H1031/COS(RADIANS(E1031)))*(3+3)+3*G1031*H1031)*2</f>
        <v/>
      </c>
      <c r="Y1031" s="28">
        <f>Z1031/X1031</f>
        <v/>
      </c>
      <c r="Z1031" s="29" t="n">
        <v>614.2493081950111</v>
      </c>
      <c r="AA1031" s="20" t="n">
        <v>62.6870401611814</v>
      </c>
      <c r="AB1031" t="n">
        <v>0.06561281578653613</v>
      </c>
      <c r="AC1031" t="n">
        <v>64.83425734332209</v>
      </c>
      <c r="AD1031" t="n">
        <v>3.182700389494221</v>
      </c>
    </row>
    <row r="1032">
      <c r="A1032" t="n">
        <v>1031</v>
      </c>
      <c r="B1032" t="n">
        <v>51.7</v>
      </c>
      <c r="C1032" s="21">
        <f>B1032-20</f>
        <v/>
      </c>
      <c r="D1032" t="n">
        <v>124</v>
      </c>
      <c r="E1032" s="22">
        <f>D1032-90</f>
        <v/>
      </c>
      <c r="F1032" s="23" t="n">
        <v>0.011695</v>
      </c>
      <c r="G1032" s="22" t="n">
        <v>31.8</v>
      </c>
      <c r="H1032" s="22" t="n">
        <v>2</v>
      </c>
      <c r="I1032" s="24" t="n">
        <v>0.0516965314745903</v>
      </c>
      <c r="J1032" s="6" t="n">
        <v>71000</v>
      </c>
      <c r="K1032" s="25">
        <f>23*10^-6</f>
        <v/>
      </c>
      <c r="L1032" s="8">
        <f>H1032</f>
        <v/>
      </c>
      <c r="M1032" s="26">
        <f>H1032^2/6</f>
        <v/>
      </c>
      <c r="N1032" s="26">
        <f>H1032^3/12</f>
        <v/>
      </c>
      <c r="O1032" s="27">
        <f>-J1032*L1032*K1032*C1032</f>
        <v/>
      </c>
      <c r="P1032" s="28">
        <f>-(12*F1032*J1032*L1032*N1032+12*O1032*N1032*G1032*COS(RADIANS(E1032)))/(12*N1032*G1032*COS(RADIANS(E1032))^2+L1032*G1032^3*SIN(RADIANS(E1032))^2)</f>
        <v/>
      </c>
      <c r="Q1032" s="28">
        <f>-(6*F1032*J1032*L1032*N1032*SIN(RADIANS(E1032))+6*O1032*N1032*G1032*SIN(RADIANS(E1032))*COS(RADIANS(E1032)))/(12*N1032*COS(RADIANS(E1032))^2+L1032*G1032^2*SIN(RADIANS(E1032))^2)</f>
        <v/>
      </c>
      <c r="R1032" s="28">
        <f>-P1032*SIN(RADIANS(E1032))</f>
        <v/>
      </c>
      <c r="S1032" s="8">
        <f>(O1032+P1032*COS(RADIANS(E1032)))/L1032</f>
        <v/>
      </c>
      <c r="T1032" s="8">
        <f>R1032/L1032</f>
        <v/>
      </c>
      <c r="U1032" s="8">
        <f>(Q1032-P1032*G1032*SIN(RADIANS(E1032)))/M1032</f>
        <v/>
      </c>
      <c r="V1032" s="8">
        <f>SQRT((S1032+U1032)^2+3*T1032^2)</f>
        <v/>
      </c>
      <c r="W1032" s="8">
        <f>V1032/AA1032</f>
        <v/>
      </c>
      <c r="X1032" s="27">
        <f>((3*10+H1032/COS(RADIANS(E1032)))*(3+3)+3*G1032*H1032)*2</f>
        <v/>
      </c>
      <c r="Y1032" s="28">
        <f>Z1032/X1032</f>
        <v/>
      </c>
      <c r="Z1032" s="29" t="n">
        <v>778.932090913828</v>
      </c>
      <c r="AA1032" s="20" t="n">
        <v>50.6597549168643</v>
      </c>
      <c r="AB1032" t="n">
        <v>0.05822666706476671</v>
      </c>
      <c r="AC1032" t="n">
        <v>47.05661464097014</v>
      </c>
      <c r="AD1032" t="n">
        <v>12.63167064387304</v>
      </c>
    </row>
    <row r="1033">
      <c r="A1033" t="n">
        <v>1032</v>
      </c>
      <c r="B1033" t="n">
        <v>73.2</v>
      </c>
      <c r="C1033" s="21">
        <f>B1033-20</f>
        <v/>
      </c>
      <c r="D1033" t="n">
        <v>127.9</v>
      </c>
      <c r="E1033" s="22">
        <f>D1033-90</f>
        <v/>
      </c>
      <c r="F1033" s="23" t="n">
        <v>0.019719</v>
      </c>
      <c r="G1033" s="22" t="n">
        <v>33.6</v>
      </c>
      <c r="H1033" s="22" t="n">
        <v>1.2</v>
      </c>
      <c r="I1033" s="24" t="n">
        <v>0.0839028283953666</v>
      </c>
      <c r="J1033" s="6" t="n">
        <v>71000</v>
      </c>
      <c r="K1033" s="25">
        <f>23*10^-6</f>
        <v/>
      </c>
      <c r="L1033" s="8">
        <f>H1033</f>
        <v/>
      </c>
      <c r="M1033" s="26">
        <f>H1033^2/6</f>
        <v/>
      </c>
      <c r="N1033" s="26">
        <f>H1033^3/12</f>
        <v/>
      </c>
      <c r="O1033" s="27">
        <f>-J1033*L1033*K1033*C1033</f>
        <v/>
      </c>
      <c r="P1033" s="28">
        <f>-(12*F1033*J1033*L1033*N1033+12*O1033*N1033*G1033*COS(RADIANS(E1033)))/(12*N1033*G1033*COS(RADIANS(E1033))^2+L1033*G1033^3*SIN(RADIANS(E1033))^2)</f>
        <v/>
      </c>
      <c r="Q1033" s="28">
        <f>-(6*F1033*J1033*L1033*N1033*SIN(RADIANS(E1033))+6*O1033*N1033*G1033*SIN(RADIANS(E1033))*COS(RADIANS(E1033)))/(12*N1033*COS(RADIANS(E1033))^2+L1033*G1033^2*SIN(RADIANS(E1033))^2)</f>
        <v/>
      </c>
      <c r="R1033" s="28">
        <f>-P1033*SIN(RADIANS(E1033))</f>
        <v/>
      </c>
      <c r="S1033" s="8">
        <f>(O1033+P1033*COS(RADIANS(E1033)))/L1033</f>
        <v/>
      </c>
      <c r="T1033" s="8">
        <f>R1033/L1033</f>
        <v/>
      </c>
      <c r="U1033" s="8">
        <f>(Q1033-P1033*G1033*SIN(RADIANS(E1033)))/M1033</f>
        <v/>
      </c>
      <c r="V1033" s="8">
        <f>SQRT((S1033+U1033)^2+3*T1033^2)</f>
        <v/>
      </c>
      <c r="W1033" s="8">
        <f>V1033/AA1033</f>
        <v/>
      </c>
      <c r="X1033" s="27">
        <f>((3*10+H1033/COS(RADIANS(E1033)))*(3+3)+3*G1033*H1033)*2</f>
        <v/>
      </c>
      <c r="Y1033" s="28">
        <f>Z1033/X1033</f>
        <v/>
      </c>
      <c r="Z1033" s="29" t="n">
        <v>630.017644714306</v>
      </c>
      <c r="AA1033" s="20" t="n">
        <v>70.86890272773211</v>
      </c>
      <c r="AB1033" t="n">
        <v>0.09203180654767604</v>
      </c>
      <c r="AC1033" t="n">
        <v>75.24392859724055</v>
      </c>
      <c r="AD1033" t="n">
        <v>9.688562719249578</v>
      </c>
    </row>
    <row r="1034">
      <c r="A1034" t="n">
        <v>1033</v>
      </c>
      <c r="B1034" t="n">
        <v>64</v>
      </c>
      <c r="C1034" s="21">
        <f>B1034-20</f>
        <v/>
      </c>
      <c r="D1034" t="n">
        <v>108</v>
      </c>
      <c r="E1034" s="22">
        <f>D1034-90</f>
        <v/>
      </c>
      <c r="F1034" s="23" t="n">
        <v>0.014984</v>
      </c>
      <c r="G1034" s="22" t="n">
        <v>25.1</v>
      </c>
      <c r="H1034" s="22" t="n">
        <v>1.8</v>
      </c>
      <c r="I1034" s="24" t="n">
        <v>0.0943352058529853</v>
      </c>
      <c r="J1034" s="6" t="n">
        <v>71000</v>
      </c>
      <c r="K1034" s="25">
        <f>23*10^-6</f>
        <v/>
      </c>
      <c r="L1034" s="8">
        <f>H1034</f>
        <v/>
      </c>
      <c r="M1034" s="26">
        <f>H1034^2/6</f>
        <v/>
      </c>
      <c r="N1034" s="26">
        <f>H1034^3/12</f>
        <v/>
      </c>
      <c r="O1034" s="27">
        <f>-J1034*L1034*K1034*C1034</f>
        <v/>
      </c>
      <c r="P1034" s="28">
        <f>-(12*F1034*J1034*L1034*N1034+12*O1034*N1034*G1034*COS(RADIANS(E1034)))/(12*N1034*G1034*COS(RADIANS(E1034))^2+L1034*G1034^3*SIN(RADIANS(E1034))^2)</f>
        <v/>
      </c>
      <c r="Q1034" s="28">
        <f>-(6*F1034*J1034*L1034*N1034*SIN(RADIANS(E1034))+6*O1034*N1034*G1034*SIN(RADIANS(E1034))*COS(RADIANS(E1034)))/(12*N1034*COS(RADIANS(E1034))^2+L1034*G1034^2*SIN(RADIANS(E1034))^2)</f>
        <v/>
      </c>
      <c r="R1034" s="28">
        <f>-P1034*SIN(RADIANS(E1034))</f>
        <v/>
      </c>
      <c r="S1034" s="8">
        <f>(O1034+P1034*COS(RADIANS(E1034)))/L1034</f>
        <v/>
      </c>
      <c r="T1034" s="8">
        <f>R1034/L1034</f>
        <v/>
      </c>
      <c r="U1034" s="8">
        <f>(Q1034-P1034*G1034*SIN(RADIANS(E1034)))/M1034</f>
        <v/>
      </c>
      <c r="V1034" s="8">
        <f>SQRT((S1034+U1034)^2+3*T1034^2)</f>
        <v/>
      </c>
      <c r="W1034" s="8">
        <f>V1034/AA1034</f>
        <v/>
      </c>
      <c r="X1034" s="27">
        <f>((3*10+H1034/COS(RADIANS(E1034)))*(3+3)+3*G1034*H1034)*2</f>
        <v/>
      </c>
      <c r="Y1034" s="28">
        <f>Z1034/X1034</f>
        <v/>
      </c>
      <c r="Z1034" s="29" t="n">
        <v>658.460306810905</v>
      </c>
      <c r="AA1034" s="20" t="n">
        <v>74.6268098155316</v>
      </c>
      <c r="AB1034" t="n">
        <v>0.1221282475370503</v>
      </c>
      <c r="AC1034" t="n">
        <v>72.22730976381879</v>
      </c>
      <c r="AD1034" t="n">
        <v>29.4620035359635</v>
      </c>
    </row>
    <row r="1035">
      <c r="A1035" t="n">
        <v>1034</v>
      </c>
      <c r="B1035" t="n">
        <v>41.3</v>
      </c>
      <c r="C1035" s="21">
        <f>B1035-20</f>
        <v/>
      </c>
      <c r="D1035" t="n">
        <v>113.2</v>
      </c>
      <c r="E1035" s="22">
        <f>D1035-90</f>
        <v/>
      </c>
      <c r="F1035" s="23" t="n">
        <v>0.006635</v>
      </c>
      <c r="G1035" s="22" t="n">
        <v>23.2</v>
      </c>
      <c r="H1035" s="22" t="n">
        <v>1.2</v>
      </c>
      <c r="I1035" s="24" t="n">
        <v>0.0365696139633655</v>
      </c>
      <c r="J1035" s="6" t="n">
        <v>71000</v>
      </c>
      <c r="K1035" s="25">
        <f>23*10^-6</f>
        <v/>
      </c>
      <c r="L1035" s="8">
        <f>H1035</f>
        <v/>
      </c>
      <c r="M1035" s="26">
        <f>H1035^2/6</f>
        <v/>
      </c>
      <c r="N1035" s="26">
        <f>H1035^3/12</f>
        <v/>
      </c>
      <c r="O1035" s="27">
        <f>-J1035*L1035*K1035*C1035</f>
        <v/>
      </c>
      <c r="P1035" s="28">
        <f>-(12*F1035*J1035*L1035*N1035+12*O1035*N1035*G1035*COS(RADIANS(E1035)))/(12*N1035*G1035*COS(RADIANS(E1035))^2+L1035*G1035^3*SIN(RADIANS(E1035))^2)</f>
        <v/>
      </c>
      <c r="Q1035" s="28">
        <f>-(6*F1035*J1035*L1035*N1035*SIN(RADIANS(E1035))+6*O1035*N1035*G1035*SIN(RADIANS(E1035))*COS(RADIANS(E1035)))/(12*N1035*COS(RADIANS(E1035))^2+L1035*G1035^2*SIN(RADIANS(E1035))^2)</f>
        <v/>
      </c>
      <c r="R1035" s="28">
        <f>-P1035*SIN(RADIANS(E1035))</f>
        <v/>
      </c>
      <c r="S1035" s="8">
        <f>(O1035+P1035*COS(RADIANS(E1035)))/L1035</f>
        <v/>
      </c>
      <c r="T1035" s="8">
        <f>R1035/L1035</f>
        <v/>
      </c>
      <c r="U1035" s="8">
        <f>(Q1035-P1035*G1035*SIN(RADIANS(E1035)))/M1035</f>
        <v/>
      </c>
      <c r="V1035" s="8">
        <f>SQRT((S1035+U1035)^2+3*T1035^2)</f>
        <v/>
      </c>
      <c r="W1035" s="8">
        <f>V1035/AA1035</f>
        <v/>
      </c>
      <c r="X1035" s="27">
        <f>((3*10+H1035/COS(RADIANS(E1035)))*(3+3)+3*G1035*H1035)*2</f>
        <v/>
      </c>
      <c r="Y1035" s="28">
        <f>Z1035/X1035</f>
        <v/>
      </c>
      <c r="Z1035" s="29" t="n">
        <v>548.2520251887159</v>
      </c>
      <c r="AA1035" s="20" t="n">
        <v>31.2872948203242</v>
      </c>
      <c r="AB1035" t="n">
        <v>0.04365410895147872</v>
      </c>
      <c r="AC1035" t="n">
        <v>32.18386591736795</v>
      </c>
      <c r="AD1035" t="n">
        <v>19.37262721780516</v>
      </c>
    </row>
    <row r="1036">
      <c r="A1036" t="n">
        <v>1035</v>
      </c>
      <c r="B1036" t="n">
        <v>41.7</v>
      </c>
      <c r="C1036" s="21">
        <f>B1036-20</f>
        <v/>
      </c>
      <c r="D1036" t="n">
        <v>122.9</v>
      </c>
      <c r="E1036" s="22">
        <f>D1036-90</f>
        <v/>
      </c>
      <c r="F1036" s="23" t="n">
        <v>0.005805</v>
      </c>
      <c r="G1036" s="22" t="n">
        <v>20.8</v>
      </c>
      <c r="H1036" s="22" t="n">
        <v>1.7</v>
      </c>
      <c r="I1036" s="24" t="n">
        <v>0.0276121199131011</v>
      </c>
      <c r="J1036" s="6" t="n">
        <v>71000</v>
      </c>
      <c r="K1036" s="25">
        <f>23*10^-6</f>
        <v/>
      </c>
      <c r="L1036" s="8">
        <f>H1036</f>
        <v/>
      </c>
      <c r="M1036" s="26">
        <f>H1036^2/6</f>
        <v/>
      </c>
      <c r="N1036" s="26">
        <f>H1036^3/12</f>
        <v/>
      </c>
      <c r="O1036" s="27">
        <f>-J1036*L1036*K1036*C1036</f>
        <v/>
      </c>
      <c r="P1036" s="28">
        <f>-(12*F1036*J1036*L1036*N1036+12*O1036*N1036*G1036*COS(RADIANS(E1036)))/(12*N1036*G1036*COS(RADIANS(E1036))^2+L1036*G1036^3*SIN(RADIANS(E1036))^2)</f>
        <v/>
      </c>
      <c r="Q1036" s="28">
        <f>-(6*F1036*J1036*L1036*N1036*SIN(RADIANS(E1036))+6*O1036*N1036*G1036*SIN(RADIANS(E1036))*COS(RADIANS(E1036)))/(12*N1036*COS(RADIANS(E1036))^2+L1036*G1036^2*SIN(RADIANS(E1036))^2)</f>
        <v/>
      </c>
      <c r="R1036" s="28">
        <f>-P1036*SIN(RADIANS(E1036))</f>
        <v/>
      </c>
      <c r="S1036" s="8">
        <f>(O1036+P1036*COS(RADIANS(E1036)))/L1036</f>
        <v/>
      </c>
      <c r="T1036" s="8">
        <f>R1036/L1036</f>
        <v/>
      </c>
      <c r="U1036" s="8">
        <f>(Q1036-P1036*G1036*SIN(RADIANS(E1036)))/M1036</f>
        <v/>
      </c>
      <c r="V1036" s="8">
        <f>SQRT((S1036+U1036)^2+3*T1036^2)</f>
        <v/>
      </c>
      <c r="W1036" s="8">
        <f>V1036/AA1036</f>
        <v/>
      </c>
      <c r="X1036" s="27">
        <f>((3*10+H1036/COS(RADIANS(E1036)))*(3+3)+3*G1036*H1036)*2</f>
        <v/>
      </c>
      <c r="Y1036" s="28">
        <f>Z1036/X1036</f>
        <v/>
      </c>
      <c r="Z1036" s="29" t="n">
        <v>604.474703161356</v>
      </c>
      <c r="AA1036" s="20" t="n">
        <v>35.3267836258161</v>
      </c>
      <c r="AB1036" t="n">
        <v>0.02758449409031641</v>
      </c>
      <c r="AC1036" t="n">
        <v>32.62543787225728</v>
      </c>
      <c r="AD1036" t="n">
        <v>-0.100049626293211</v>
      </c>
    </row>
    <row r="1037">
      <c r="A1037" t="n">
        <v>1036</v>
      </c>
      <c r="B1037" t="n">
        <v>61</v>
      </c>
      <c r="C1037" s="21">
        <f>B1037-20</f>
        <v/>
      </c>
      <c r="D1037" t="n">
        <v>129.1</v>
      </c>
      <c r="E1037" s="22">
        <f>D1037-90</f>
        <v/>
      </c>
      <c r="F1037" s="23" t="n">
        <v>0.010712</v>
      </c>
      <c r="G1037" s="22" t="n">
        <v>21.8</v>
      </c>
      <c r="H1037" s="22" t="n">
        <v>1.3</v>
      </c>
      <c r="I1037" s="24" t="n">
        <v>0.0483252257108688</v>
      </c>
      <c r="J1037" s="6" t="n">
        <v>71000</v>
      </c>
      <c r="K1037" s="25">
        <f>23*10^-6</f>
        <v/>
      </c>
      <c r="L1037" s="8">
        <f>H1037</f>
        <v/>
      </c>
      <c r="M1037" s="26">
        <f>H1037^2/6</f>
        <v/>
      </c>
      <c r="N1037" s="26">
        <f>H1037^3/12</f>
        <v/>
      </c>
      <c r="O1037" s="27">
        <f>-J1037*L1037*K1037*C1037</f>
        <v/>
      </c>
      <c r="P1037" s="28">
        <f>-(12*F1037*J1037*L1037*N1037+12*O1037*N1037*G1037*COS(RADIANS(E1037)))/(12*N1037*G1037*COS(RADIANS(E1037))^2+L1037*G1037^3*SIN(RADIANS(E1037))^2)</f>
        <v/>
      </c>
      <c r="Q1037" s="28">
        <f>-(6*F1037*J1037*L1037*N1037*SIN(RADIANS(E1037))+6*O1037*N1037*G1037*SIN(RADIANS(E1037))*COS(RADIANS(E1037)))/(12*N1037*COS(RADIANS(E1037))^2+L1037*G1037^2*SIN(RADIANS(E1037))^2)</f>
        <v/>
      </c>
      <c r="R1037" s="28">
        <f>-P1037*SIN(RADIANS(E1037))</f>
        <v/>
      </c>
      <c r="S1037" s="8">
        <f>(O1037+P1037*COS(RADIANS(E1037)))/L1037</f>
        <v/>
      </c>
      <c r="T1037" s="8">
        <f>R1037/L1037</f>
        <v/>
      </c>
      <c r="U1037" s="8">
        <f>(Q1037-P1037*G1037*SIN(RADIANS(E1037)))/M1037</f>
        <v/>
      </c>
      <c r="V1037" s="8">
        <f>SQRT((S1037+U1037)^2+3*T1037^2)</f>
        <v/>
      </c>
      <c r="W1037" s="8">
        <f>V1037/AA1037</f>
        <v/>
      </c>
      <c r="X1037" s="27">
        <f>((3*10+H1037/COS(RADIANS(E1037)))*(3+3)+3*G1037*H1037)*2</f>
        <v/>
      </c>
      <c r="Y1037" s="28">
        <f>Z1037/X1037</f>
        <v/>
      </c>
      <c r="Z1037" s="29" t="n">
        <v>560.501505604652</v>
      </c>
      <c r="AA1037" s="20" t="n">
        <v>58.4669275636679</v>
      </c>
      <c r="AB1037" t="n">
        <v>0.04548489553143384</v>
      </c>
      <c r="AC1037" t="n">
        <v>58.93283625379206</v>
      </c>
      <c r="AD1037" t="n">
        <v>-5.877531118899968</v>
      </c>
    </row>
    <row r="1038">
      <c r="A1038" t="n">
        <v>1037</v>
      </c>
      <c r="B1038" t="n">
        <v>67.7</v>
      </c>
      <c r="C1038" s="21">
        <f>B1038-20</f>
        <v/>
      </c>
      <c r="D1038" t="n">
        <v>108.4</v>
      </c>
      <c r="E1038" s="22">
        <f>D1038-90</f>
        <v/>
      </c>
      <c r="F1038" s="23" t="n">
        <v>0.018123</v>
      </c>
      <c r="G1038" s="22" t="n">
        <v>28.8</v>
      </c>
      <c r="H1038" s="22" t="n">
        <v>1.7</v>
      </c>
      <c r="I1038" s="24" t="n">
        <v>0.111501224339008</v>
      </c>
      <c r="J1038" s="6" t="n">
        <v>71000</v>
      </c>
      <c r="K1038" s="25">
        <f>23*10^-6</f>
        <v/>
      </c>
      <c r="L1038" s="8">
        <f>H1038</f>
        <v/>
      </c>
      <c r="M1038" s="26">
        <f>H1038^2/6</f>
        <v/>
      </c>
      <c r="N1038" s="26">
        <f>H1038^3/12</f>
        <v/>
      </c>
      <c r="O1038" s="27">
        <f>-J1038*L1038*K1038*C1038</f>
        <v/>
      </c>
      <c r="P1038" s="28">
        <f>-(12*F1038*J1038*L1038*N1038+12*O1038*N1038*G1038*COS(RADIANS(E1038)))/(12*N1038*G1038*COS(RADIANS(E1038))^2+L1038*G1038^3*SIN(RADIANS(E1038))^2)</f>
        <v/>
      </c>
      <c r="Q1038" s="28">
        <f>-(6*F1038*J1038*L1038*N1038*SIN(RADIANS(E1038))+6*O1038*N1038*G1038*SIN(RADIANS(E1038))*COS(RADIANS(E1038)))/(12*N1038*COS(RADIANS(E1038))^2+L1038*G1038^2*SIN(RADIANS(E1038))^2)</f>
        <v/>
      </c>
      <c r="R1038" s="28">
        <f>-P1038*SIN(RADIANS(E1038))</f>
        <v/>
      </c>
      <c r="S1038" s="8">
        <f>(O1038+P1038*COS(RADIANS(E1038)))/L1038</f>
        <v/>
      </c>
      <c r="T1038" s="8">
        <f>R1038/L1038</f>
        <v/>
      </c>
      <c r="U1038" s="8">
        <f>(Q1038-P1038*G1038*SIN(RADIANS(E1038)))/M1038</f>
        <v/>
      </c>
      <c r="V1038" s="8">
        <f>SQRT((S1038+U1038)^2+3*T1038^2)</f>
        <v/>
      </c>
      <c r="W1038" s="8">
        <f>V1038/AA1038</f>
        <v/>
      </c>
      <c r="X1038" s="27">
        <f>((3*10+H1038/COS(RADIANS(E1038)))*(3+3)+3*G1038*H1038)*2</f>
        <v/>
      </c>
      <c r="Y1038" s="28">
        <f>Z1038/X1038</f>
        <v/>
      </c>
      <c r="Z1038" s="29" t="n">
        <v>679.985833483044</v>
      </c>
      <c r="AA1038" s="20" t="n">
        <v>77.1959987503152</v>
      </c>
      <c r="AB1038" t="n">
        <v>0.149676872058674</v>
      </c>
      <c r="AC1038" t="n">
        <v>76.37215427852149</v>
      </c>
      <c r="AD1038" t="n">
        <v>34.2378731228967</v>
      </c>
    </row>
    <row r="1039">
      <c r="A1039" t="n">
        <v>1038</v>
      </c>
      <c r="B1039" t="n">
        <v>64.90000000000001</v>
      </c>
      <c r="C1039" s="21">
        <f>B1039-20</f>
        <v/>
      </c>
      <c r="D1039" t="n">
        <v>126.5</v>
      </c>
      <c r="E1039" s="22">
        <f>D1039-90</f>
        <v/>
      </c>
      <c r="F1039" s="23" t="n">
        <v>0.014386</v>
      </c>
      <c r="G1039" s="22" t="n">
        <v>27.5</v>
      </c>
      <c r="H1039" s="22" t="n">
        <v>1.6</v>
      </c>
      <c r="I1039" s="24" t="n">
        <v>0.0636184513568878</v>
      </c>
      <c r="J1039" s="6" t="n">
        <v>71000</v>
      </c>
      <c r="K1039" s="25">
        <f>23*10^-6</f>
        <v/>
      </c>
      <c r="L1039" s="8">
        <f>H1039</f>
        <v/>
      </c>
      <c r="M1039" s="26">
        <f>H1039^2/6</f>
        <v/>
      </c>
      <c r="N1039" s="26">
        <f>H1039^3/12</f>
        <v/>
      </c>
      <c r="O1039" s="27">
        <f>-J1039*L1039*K1039*C1039</f>
        <v/>
      </c>
      <c r="P1039" s="28">
        <f>-(12*F1039*J1039*L1039*N1039+12*O1039*N1039*G1039*COS(RADIANS(E1039)))/(12*N1039*G1039*COS(RADIANS(E1039))^2+L1039*G1039^3*SIN(RADIANS(E1039))^2)</f>
        <v/>
      </c>
      <c r="Q1039" s="28">
        <f>-(6*F1039*J1039*L1039*N1039*SIN(RADIANS(E1039))+6*O1039*N1039*G1039*SIN(RADIANS(E1039))*COS(RADIANS(E1039)))/(12*N1039*COS(RADIANS(E1039))^2+L1039*G1039^2*SIN(RADIANS(E1039))^2)</f>
        <v/>
      </c>
      <c r="R1039" s="28">
        <f>-P1039*SIN(RADIANS(E1039))</f>
        <v/>
      </c>
      <c r="S1039" s="8">
        <f>(O1039+P1039*COS(RADIANS(E1039)))/L1039</f>
        <v/>
      </c>
      <c r="T1039" s="8">
        <f>R1039/L1039</f>
        <v/>
      </c>
      <c r="U1039" s="8">
        <f>(Q1039-P1039*G1039*SIN(RADIANS(E1039)))/M1039</f>
        <v/>
      </c>
      <c r="V1039" s="8">
        <f>SQRT((S1039+U1039)^2+3*T1039^2)</f>
        <v/>
      </c>
      <c r="W1039" s="8">
        <f>V1039/AA1039</f>
        <v/>
      </c>
      <c r="X1039" s="27">
        <f>((3*10+H1039/COS(RADIANS(E1039)))*(3+3)+3*G1039*H1039)*2</f>
        <v/>
      </c>
      <c r="Y1039" s="28">
        <f>Z1039/X1039</f>
        <v/>
      </c>
      <c r="Z1039" s="29" t="n">
        <v>657.1745403816971</v>
      </c>
      <c r="AA1039" s="20" t="n">
        <v>67.07254983372771</v>
      </c>
      <c r="AB1039" t="n">
        <v>0.06670788640397779</v>
      </c>
      <c r="AC1039" t="n">
        <v>65.39777334846946</v>
      </c>
      <c r="AD1039" t="n">
        <v>4.856193417470702</v>
      </c>
    </row>
    <row r="1040">
      <c r="A1040" t="n">
        <v>1039</v>
      </c>
      <c r="B1040" t="n">
        <v>70.3</v>
      </c>
      <c r="C1040" s="21">
        <f>B1040-20</f>
        <v/>
      </c>
      <c r="D1040" t="n">
        <v>104.2</v>
      </c>
      <c r="E1040" s="22">
        <f>D1040-90</f>
        <v/>
      </c>
      <c r="F1040" s="23" t="n">
        <v>0.021174</v>
      </c>
      <c r="G1040" s="22" t="n">
        <v>31.9</v>
      </c>
      <c r="H1040" s="22" t="n">
        <v>1.6</v>
      </c>
      <c r="I1040" s="24" t="n">
        <v>0.155066102743148</v>
      </c>
      <c r="J1040" s="6" t="n">
        <v>71000</v>
      </c>
      <c r="K1040" s="25">
        <f>23*10^-6</f>
        <v/>
      </c>
      <c r="L1040" s="8">
        <f>H1040</f>
        <v/>
      </c>
      <c r="M1040" s="26">
        <f>H1040^2/6</f>
        <v/>
      </c>
      <c r="N1040" s="26">
        <f>H1040^3/12</f>
        <v/>
      </c>
      <c r="O1040" s="27">
        <f>-J1040*L1040*K1040*C1040</f>
        <v/>
      </c>
      <c r="P1040" s="28">
        <f>-(12*F1040*J1040*L1040*N1040+12*O1040*N1040*G1040*COS(RADIANS(E1040)))/(12*N1040*G1040*COS(RADIANS(E1040))^2+L1040*G1040^3*SIN(RADIANS(E1040))^2)</f>
        <v/>
      </c>
      <c r="Q1040" s="28">
        <f>-(6*F1040*J1040*L1040*N1040*SIN(RADIANS(E1040))+6*O1040*N1040*G1040*SIN(RADIANS(E1040))*COS(RADIANS(E1040)))/(12*N1040*COS(RADIANS(E1040))^2+L1040*G1040^2*SIN(RADIANS(E1040))^2)</f>
        <v/>
      </c>
      <c r="R1040" s="28">
        <f>-P1040*SIN(RADIANS(E1040))</f>
        <v/>
      </c>
      <c r="S1040" s="8">
        <f>(O1040+P1040*COS(RADIANS(E1040)))/L1040</f>
        <v/>
      </c>
      <c r="T1040" s="8">
        <f>R1040/L1040</f>
        <v/>
      </c>
      <c r="U1040" s="8">
        <f>(Q1040-P1040*G1040*SIN(RADIANS(E1040)))/M1040</f>
        <v/>
      </c>
      <c r="V1040" s="8">
        <f>SQRT((S1040+U1040)^2+3*T1040^2)</f>
        <v/>
      </c>
      <c r="W1040" s="8">
        <f>V1040/AA1040</f>
        <v/>
      </c>
      <c r="X1040" s="27">
        <f>((3*10+H1040/COS(RADIANS(E1040)))*(3+3)+3*G1040*H1040)*2</f>
        <v/>
      </c>
      <c r="Y1040" s="28">
        <f>Z1040/X1040</f>
        <v/>
      </c>
      <c r="Z1040" s="29" t="n">
        <v>690.2351923501481</v>
      </c>
      <c r="AA1040" s="20" t="n">
        <v>80.3799450818027</v>
      </c>
      <c r="AB1040" t="n">
        <v>0.2250685424248856</v>
      </c>
      <c r="AC1040" t="n">
        <v>82.29618786588529</v>
      </c>
      <c r="AD1040" t="n">
        <v>45.14361194573252</v>
      </c>
    </row>
    <row r="1041">
      <c r="A1041" t="n">
        <v>1040</v>
      </c>
      <c r="B1041" t="n">
        <v>49</v>
      </c>
      <c r="C1041" s="21">
        <f>B1041-20</f>
        <v/>
      </c>
      <c r="D1041" t="n">
        <v>122.6</v>
      </c>
      <c r="E1041" s="22">
        <f>D1041-90</f>
        <v/>
      </c>
      <c r="F1041" s="23" t="n">
        <v>0.008026999999999999</v>
      </c>
      <c r="G1041" s="22" t="n">
        <v>21.7</v>
      </c>
      <c r="H1041" s="22" t="n">
        <v>1.6</v>
      </c>
      <c r="I1041" s="24" t="n">
        <v>0.0380568318068981</v>
      </c>
      <c r="J1041" s="6" t="n">
        <v>71000</v>
      </c>
      <c r="K1041" s="25">
        <f>23*10^-6</f>
        <v/>
      </c>
      <c r="L1041" s="8">
        <f>H1041</f>
        <v/>
      </c>
      <c r="M1041" s="26">
        <f>H1041^2/6</f>
        <v/>
      </c>
      <c r="N1041" s="26">
        <f>H1041^3/12</f>
        <v/>
      </c>
      <c r="O1041" s="27">
        <f>-J1041*L1041*K1041*C1041</f>
        <v/>
      </c>
      <c r="P1041" s="28">
        <f>-(12*F1041*J1041*L1041*N1041+12*O1041*N1041*G1041*COS(RADIANS(E1041)))/(12*N1041*G1041*COS(RADIANS(E1041))^2+L1041*G1041^3*SIN(RADIANS(E1041))^2)</f>
        <v/>
      </c>
      <c r="Q1041" s="28">
        <f>-(6*F1041*J1041*L1041*N1041*SIN(RADIANS(E1041))+6*O1041*N1041*G1041*SIN(RADIANS(E1041))*COS(RADIANS(E1041)))/(12*N1041*COS(RADIANS(E1041))^2+L1041*G1041^2*SIN(RADIANS(E1041))^2)</f>
        <v/>
      </c>
      <c r="R1041" s="28">
        <f>-P1041*SIN(RADIANS(E1041))</f>
        <v/>
      </c>
      <c r="S1041" s="8">
        <f>(O1041+P1041*COS(RADIANS(E1041)))/L1041</f>
        <v/>
      </c>
      <c r="T1041" s="8">
        <f>R1041/L1041</f>
        <v/>
      </c>
      <c r="U1041" s="8">
        <f>(Q1041-P1041*G1041*SIN(RADIANS(E1041)))/M1041</f>
        <v/>
      </c>
      <c r="V1041" s="8">
        <f>SQRT((S1041+U1041)^2+3*T1041^2)</f>
        <v/>
      </c>
      <c r="W1041" s="8">
        <f>V1041/AA1041</f>
        <v/>
      </c>
      <c r="X1041" s="27">
        <f>((3*10+H1041/COS(RADIANS(E1041)))*(3+3)+3*G1041*H1041)*2</f>
        <v/>
      </c>
      <c r="Y1041" s="28">
        <f>Z1041/X1041</f>
        <v/>
      </c>
      <c r="Z1041" s="29" t="n">
        <v>599.0324911391</v>
      </c>
      <c r="AA1041" s="20" t="n">
        <v>45.5943334803377</v>
      </c>
      <c r="AB1041" t="n">
        <v>0.03883230673528579</v>
      </c>
      <c r="AC1041" t="n">
        <v>43.31901669844416</v>
      </c>
      <c r="AD1041" t="n">
        <v>2.037676000783466</v>
      </c>
    </row>
    <row r="1042">
      <c r="A1042" t="n">
        <v>1041</v>
      </c>
      <c r="B1042" t="n">
        <v>88</v>
      </c>
      <c r="C1042" s="21">
        <f>B1042-20</f>
        <v/>
      </c>
      <c r="D1042" t="n">
        <v>127.5</v>
      </c>
      <c r="E1042" s="22">
        <f>D1042-90</f>
        <v/>
      </c>
      <c r="F1042" s="23" t="n">
        <v>0.023286</v>
      </c>
      <c r="G1042" s="22" t="n">
        <v>30.3</v>
      </c>
      <c r="H1042" s="22" t="n">
        <v>1.4</v>
      </c>
      <c r="I1042" s="24" t="n">
        <v>0.100840635597705</v>
      </c>
      <c r="J1042" s="6" t="n">
        <v>71000</v>
      </c>
      <c r="K1042" s="25">
        <f>23*10^-6</f>
        <v/>
      </c>
      <c r="L1042" s="8">
        <f>H1042</f>
        <v/>
      </c>
      <c r="M1042" s="26">
        <f>H1042^2/6</f>
        <v/>
      </c>
      <c r="N1042" s="26">
        <f>H1042^3/12</f>
        <v/>
      </c>
      <c r="O1042" s="27">
        <f>-J1042*L1042*K1042*C1042</f>
        <v/>
      </c>
      <c r="P1042" s="28">
        <f>-(12*F1042*J1042*L1042*N1042+12*O1042*N1042*G1042*COS(RADIANS(E1042)))/(12*N1042*G1042*COS(RADIANS(E1042))^2+L1042*G1042^3*SIN(RADIANS(E1042))^2)</f>
        <v/>
      </c>
      <c r="Q1042" s="28">
        <f>-(6*F1042*J1042*L1042*N1042*SIN(RADIANS(E1042))+6*O1042*N1042*G1042*SIN(RADIANS(E1042))*COS(RADIANS(E1042)))/(12*N1042*COS(RADIANS(E1042))^2+L1042*G1042^2*SIN(RADIANS(E1042))^2)</f>
        <v/>
      </c>
      <c r="R1042" s="28">
        <f>-P1042*SIN(RADIANS(E1042))</f>
        <v/>
      </c>
      <c r="S1042" s="8">
        <f>(O1042+P1042*COS(RADIANS(E1042)))/L1042</f>
        <v/>
      </c>
      <c r="T1042" s="8">
        <f>R1042/L1042</f>
        <v/>
      </c>
      <c r="U1042" s="8">
        <f>(Q1042-P1042*G1042*SIN(RADIANS(E1042)))/M1042</f>
        <v/>
      </c>
      <c r="V1042" s="8">
        <f>SQRT((S1042+U1042)^2+3*T1042^2)</f>
        <v/>
      </c>
      <c r="W1042" s="8">
        <f>V1042/AA1042</f>
        <v/>
      </c>
      <c r="X1042" s="27">
        <f>((3*10+H1042/COS(RADIANS(E1042)))*(3+3)+3*G1042*H1042)*2</f>
        <v/>
      </c>
      <c r="Y1042" s="28">
        <f>Z1042/X1042</f>
        <v/>
      </c>
      <c r="Z1042" s="29" t="n">
        <v>645.38090387726</v>
      </c>
      <c r="AA1042" s="20" t="n">
        <v>95.1373516095437</v>
      </c>
      <c r="AB1042" t="n">
        <v>0.1077366617848308</v>
      </c>
      <c r="AC1042" t="n">
        <v>97.46404017906019</v>
      </c>
      <c r="AD1042" t="n">
        <v>6.838538993979472</v>
      </c>
    </row>
    <row r="1043">
      <c r="A1043" t="n">
        <v>1042</v>
      </c>
      <c r="B1043" t="n">
        <v>48.1</v>
      </c>
      <c r="C1043" s="21">
        <f>B1043-20</f>
        <v/>
      </c>
      <c r="D1043" t="n">
        <v>115.6</v>
      </c>
      <c r="E1043" s="22">
        <f>D1043-90</f>
        <v/>
      </c>
      <c r="F1043" s="23" t="n">
        <v>0.01134</v>
      </c>
      <c r="G1043" s="22" t="n">
        <v>32.6</v>
      </c>
      <c r="H1043" s="22" t="n">
        <v>1.9</v>
      </c>
      <c r="I1043" s="24" t="n">
        <v>0.0563503354787826</v>
      </c>
      <c r="J1043" s="6" t="n">
        <v>71000</v>
      </c>
      <c r="K1043" s="25">
        <f>23*10^-6</f>
        <v/>
      </c>
      <c r="L1043" s="8">
        <f>H1043</f>
        <v/>
      </c>
      <c r="M1043" s="26">
        <f>H1043^2/6</f>
        <v/>
      </c>
      <c r="N1043" s="26">
        <f>H1043^3/12</f>
        <v/>
      </c>
      <c r="O1043" s="27">
        <f>-J1043*L1043*K1043*C1043</f>
        <v/>
      </c>
      <c r="P1043" s="28">
        <f>-(12*F1043*J1043*L1043*N1043+12*O1043*N1043*G1043*COS(RADIANS(E1043)))/(12*N1043*G1043*COS(RADIANS(E1043))^2+L1043*G1043^3*SIN(RADIANS(E1043))^2)</f>
        <v/>
      </c>
      <c r="Q1043" s="28">
        <f>-(6*F1043*J1043*L1043*N1043*SIN(RADIANS(E1043))+6*O1043*N1043*G1043*SIN(RADIANS(E1043))*COS(RADIANS(E1043)))/(12*N1043*COS(RADIANS(E1043))^2+L1043*G1043^2*SIN(RADIANS(E1043))^2)</f>
        <v/>
      </c>
      <c r="R1043" s="28">
        <f>-P1043*SIN(RADIANS(E1043))</f>
        <v/>
      </c>
      <c r="S1043" s="8">
        <f>(O1043+P1043*COS(RADIANS(E1043)))/L1043</f>
        <v/>
      </c>
      <c r="T1043" s="8">
        <f>R1043/L1043</f>
        <v/>
      </c>
      <c r="U1043" s="8">
        <f>(Q1043-P1043*G1043*SIN(RADIANS(E1043)))/M1043</f>
        <v/>
      </c>
      <c r="V1043" s="8">
        <f>SQRT((S1043+U1043)^2+3*T1043^2)</f>
        <v/>
      </c>
      <c r="W1043" s="8">
        <f>V1043/AA1043</f>
        <v/>
      </c>
      <c r="X1043" s="27">
        <f>((3*10+H1043/COS(RADIANS(E1043)))*(3+3)+3*G1043*H1043)*2</f>
        <v/>
      </c>
      <c r="Y1043" s="28">
        <f>Z1043/X1043</f>
        <v/>
      </c>
      <c r="Z1043" s="29" t="n">
        <v>762.967965229297</v>
      </c>
      <c r="AA1043" s="20" t="n">
        <v>45.1904511602654</v>
      </c>
      <c r="AB1043" t="n">
        <v>0.07129496803722482</v>
      </c>
      <c r="AC1043" t="n">
        <v>42.9924812744842</v>
      </c>
      <c r="AD1043" t="n">
        <v>26.52092916832638</v>
      </c>
    </row>
    <row r="1044">
      <c r="A1044" t="n">
        <v>1043</v>
      </c>
      <c r="B1044" t="n">
        <v>41.8</v>
      </c>
      <c r="C1044" s="21">
        <f>B1044-20</f>
        <v/>
      </c>
      <c r="D1044" t="n">
        <v>127.5</v>
      </c>
      <c r="E1044" s="22">
        <f>D1044-90</f>
        <v/>
      </c>
      <c r="F1044" s="23" t="n">
        <v>0.007583</v>
      </c>
      <c r="G1044" s="22" t="n">
        <v>30.9</v>
      </c>
      <c r="H1044" s="22" t="n">
        <v>2</v>
      </c>
      <c r="I1044" s="24" t="n">
        <v>0.032838225364685</v>
      </c>
      <c r="J1044" s="6" t="n">
        <v>71000</v>
      </c>
      <c r="K1044" s="25">
        <f>23*10^-6</f>
        <v/>
      </c>
      <c r="L1044" s="8">
        <f>H1044</f>
        <v/>
      </c>
      <c r="M1044" s="26">
        <f>H1044^2/6</f>
        <v/>
      </c>
      <c r="N1044" s="26">
        <f>H1044^3/12</f>
        <v/>
      </c>
      <c r="O1044" s="27">
        <f>-J1044*L1044*K1044*C1044</f>
        <v/>
      </c>
      <c r="P1044" s="28">
        <f>-(12*F1044*J1044*L1044*N1044+12*O1044*N1044*G1044*COS(RADIANS(E1044)))/(12*N1044*G1044*COS(RADIANS(E1044))^2+L1044*G1044^3*SIN(RADIANS(E1044))^2)</f>
        <v/>
      </c>
      <c r="Q1044" s="28">
        <f>-(6*F1044*J1044*L1044*N1044*SIN(RADIANS(E1044))+6*O1044*N1044*G1044*SIN(RADIANS(E1044))*COS(RADIANS(E1044)))/(12*N1044*COS(RADIANS(E1044))^2+L1044*G1044^2*SIN(RADIANS(E1044))^2)</f>
        <v/>
      </c>
      <c r="R1044" s="28">
        <f>-P1044*SIN(RADIANS(E1044))</f>
        <v/>
      </c>
      <c r="S1044" s="8">
        <f>(O1044+P1044*COS(RADIANS(E1044)))/L1044</f>
        <v/>
      </c>
      <c r="T1044" s="8">
        <f>R1044/L1044</f>
        <v/>
      </c>
      <c r="U1044" s="8">
        <f>(Q1044-P1044*G1044*SIN(RADIANS(E1044)))/M1044</f>
        <v/>
      </c>
      <c r="V1044" s="8">
        <f>SQRT((S1044+U1044)^2+3*T1044^2)</f>
        <v/>
      </c>
      <c r="W1044" s="8">
        <f>V1044/AA1044</f>
        <v/>
      </c>
      <c r="X1044" s="27">
        <f>((3*10+H1044/COS(RADIANS(E1044)))*(3+3)+3*G1044*H1044)*2</f>
        <v/>
      </c>
      <c r="Y1044" s="28">
        <f>Z1044/X1044</f>
        <v/>
      </c>
      <c r="Z1044" s="29" t="n">
        <v>770.736305258135</v>
      </c>
      <c r="AA1044" s="20" t="n">
        <v>34.29159499296</v>
      </c>
      <c r="AB1044" t="n">
        <v>0.03504272688914725</v>
      </c>
      <c r="AC1044" t="n">
        <v>32.01899253886543</v>
      </c>
      <c r="AD1044" t="n">
        <v>6.71321759924644</v>
      </c>
    </row>
    <row r="1045">
      <c r="A1045" t="n">
        <v>1044</v>
      </c>
      <c r="B1045" t="n">
        <v>42</v>
      </c>
      <c r="C1045" s="21">
        <f>B1045-20</f>
        <v/>
      </c>
      <c r="D1045" t="n">
        <v>117.5</v>
      </c>
      <c r="E1045" s="22">
        <f>D1045-90</f>
        <v/>
      </c>
      <c r="F1045" s="23" t="n">
        <v>0.006688</v>
      </c>
      <c r="G1045" s="22" t="n">
        <v>23.3</v>
      </c>
      <c r="H1045" s="22" t="n">
        <v>1.8</v>
      </c>
      <c r="I1045" s="24" t="n">
        <v>0.0335866473615169</v>
      </c>
      <c r="J1045" s="6" t="n">
        <v>71000</v>
      </c>
      <c r="K1045" s="25">
        <f>23*10^-6</f>
        <v/>
      </c>
      <c r="L1045" s="8">
        <f>H1045</f>
        <v/>
      </c>
      <c r="M1045" s="26">
        <f>H1045^2/6</f>
        <v/>
      </c>
      <c r="N1045" s="26">
        <f>H1045^3/12</f>
        <v/>
      </c>
      <c r="O1045" s="27">
        <f>-J1045*L1045*K1045*C1045</f>
        <v/>
      </c>
      <c r="P1045" s="28">
        <f>-(12*F1045*J1045*L1045*N1045+12*O1045*N1045*G1045*COS(RADIANS(E1045)))/(12*N1045*G1045*COS(RADIANS(E1045))^2+L1045*G1045^3*SIN(RADIANS(E1045))^2)</f>
        <v/>
      </c>
      <c r="Q1045" s="28">
        <f>-(6*F1045*J1045*L1045*N1045*SIN(RADIANS(E1045))+6*O1045*N1045*G1045*SIN(RADIANS(E1045))*COS(RADIANS(E1045)))/(12*N1045*COS(RADIANS(E1045))^2+L1045*G1045^2*SIN(RADIANS(E1045))^2)</f>
        <v/>
      </c>
      <c r="R1045" s="28">
        <f>-P1045*SIN(RADIANS(E1045))</f>
        <v/>
      </c>
      <c r="S1045" s="8">
        <f>(O1045+P1045*COS(RADIANS(E1045)))/L1045</f>
        <v/>
      </c>
      <c r="T1045" s="8">
        <f>R1045/L1045</f>
        <v/>
      </c>
      <c r="U1045" s="8">
        <f>(Q1045-P1045*G1045*SIN(RADIANS(E1045)))/M1045</f>
        <v/>
      </c>
      <c r="V1045" s="8">
        <f>SQRT((S1045+U1045)^2+3*T1045^2)</f>
        <v/>
      </c>
      <c r="W1045" s="8">
        <f>V1045/AA1045</f>
        <v/>
      </c>
      <c r="X1045" s="27">
        <f>((3*10+H1045/COS(RADIANS(E1045)))*(3+3)+3*G1045*H1045)*2</f>
        <v/>
      </c>
      <c r="Y1045" s="28">
        <f>Z1045/X1045</f>
        <v/>
      </c>
      <c r="Z1045" s="29" t="n">
        <v>642.482246162745</v>
      </c>
      <c r="AA1045" s="20" t="n">
        <v>36.2280773863819</v>
      </c>
      <c r="AB1045" t="n">
        <v>0.03747872259092782</v>
      </c>
      <c r="AC1045" t="n">
        <v>33.95944883600637</v>
      </c>
      <c r="AD1045" t="n">
        <v>11.58816236559058</v>
      </c>
    </row>
    <row r="1046">
      <c r="A1046" t="n">
        <v>1045</v>
      </c>
      <c r="B1046" t="n">
        <v>81.09999999999999</v>
      </c>
      <c r="C1046" s="21">
        <f>B1046-20</f>
        <v/>
      </c>
      <c r="D1046" t="n">
        <v>106.8</v>
      </c>
      <c r="E1046" s="22">
        <f>D1046-90</f>
        <v/>
      </c>
      <c r="F1046" s="23" t="n">
        <v>0.024517</v>
      </c>
      <c r="G1046" s="22" t="n">
        <v>30.5</v>
      </c>
      <c r="H1046" s="22" t="n">
        <v>1.8</v>
      </c>
      <c r="I1046" s="24" t="n">
        <v>0.159114032983779</v>
      </c>
      <c r="J1046" s="6" t="n">
        <v>71000</v>
      </c>
      <c r="K1046" s="25">
        <f>23*10^-6</f>
        <v/>
      </c>
      <c r="L1046" s="8">
        <f>H1046</f>
        <v/>
      </c>
      <c r="M1046" s="26">
        <f>H1046^2/6</f>
        <v/>
      </c>
      <c r="N1046" s="26">
        <f>H1046^3/12</f>
        <v/>
      </c>
      <c r="O1046" s="27">
        <f>-J1046*L1046*K1046*C1046</f>
        <v/>
      </c>
      <c r="P1046" s="28">
        <f>-(12*F1046*J1046*L1046*N1046+12*O1046*N1046*G1046*COS(RADIANS(E1046)))/(12*N1046*G1046*COS(RADIANS(E1046))^2+L1046*G1046^3*SIN(RADIANS(E1046))^2)</f>
        <v/>
      </c>
      <c r="Q1046" s="28">
        <f>-(6*F1046*J1046*L1046*N1046*SIN(RADIANS(E1046))+6*O1046*N1046*G1046*SIN(RADIANS(E1046))*COS(RADIANS(E1046)))/(12*N1046*COS(RADIANS(E1046))^2+L1046*G1046^2*SIN(RADIANS(E1046))^2)</f>
        <v/>
      </c>
      <c r="R1046" s="28">
        <f>-P1046*SIN(RADIANS(E1046))</f>
        <v/>
      </c>
      <c r="S1046" s="8">
        <f>(O1046+P1046*COS(RADIANS(E1046)))/L1046</f>
        <v/>
      </c>
      <c r="T1046" s="8">
        <f>R1046/L1046</f>
        <v/>
      </c>
      <c r="U1046" s="8">
        <f>(Q1046-P1046*G1046*SIN(RADIANS(E1046)))/M1046</f>
        <v/>
      </c>
      <c r="V1046" s="8">
        <f>SQRT((S1046+U1046)^2+3*T1046^2)</f>
        <v/>
      </c>
      <c r="W1046" s="8">
        <f>V1046/AA1046</f>
        <v/>
      </c>
      <c r="X1046" s="27">
        <f>((3*10+H1046/COS(RADIANS(E1046)))*(3+3)+3*G1046*H1046)*2</f>
        <v/>
      </c>
      <c r="Y1046" s="28">
        <f>Z1046/X1046</f>
        <v/>
      </c>
      <c r="Z1046" s="29" t="n">
        <v>716.466629776373</v>
      </c>
      <c r="AA1046" s="20" t="n">
        <v>101.339726320336</v>
      </c>
      <c r="AB1046" t="n">
        <v>0.2207794315934075</v>
      </c>
      <c r="AC1046" t="n">
        <v>99.50789530437457</v>
      </c>
      <c r="AD1046" t="n">
        <v>38.75547458212878</v>
      </c>
    </row>
    <row r="1047">
      <c r="A1047" t="n">
        <v>1046</v>
      </c>
      <c r="B1047" t="n">
        <v>43.1</v>
      </c>
      <c r="C1047" s="21">
        <f>B1047-20</f>
        <v/>
      </c>
      <c r="D1047" t="n">
        <v>114.7</v>
      </c>
      <c r="E1047" s="22">
        <f>D1047-90</f>
        <v/>
      </c>
      <c r="F1047" s="23" t="n">
        <v>0.009594999999999999</v>
      </c>
      <c r="G1047" s="22" t="n">
        <v>33.5</v>
      </c>
      <c r="H1047" s="22" t="n">
        <v>1.9</v>
      </c>
      <c r="I1047" s="24" t="n">
        <v>0.0484375581145286</v>
      </c>
      <c r="J1047" s="6" t="n">
        <v>71000</v>
      </c>
      <c r="K1047" s="25">
        <f>23*10^-6</f>
        <v/>
      </c>
      <c r="L1047" s="8">
        <f>H1047</f>
        <v/>
      </c>
      <c r="M1047" s="26">
        <f>H1047^2/6</f>
        <v/>
      </c>
      <c r="N1047" s="26">
        <f>H1047^3/12</f>
        <v/>
      </c>
      <c r="O1047" s="27">
        <f>-J1047*L1047*K1047*C1047</f>
        <v/>
      </c>
      <c r="P1047" s="28">
        <f>-(12*F1047*J1047*L1047*N1047+12*O1047*N1047*G1047*COS(RADIANS(E1047)))/(12*N1047*G1047*COS(RADIANS(E1047))^2+L1047*G1047^3*SIN(RADIANS(E1047))^2)</f>
        <v/>
      </c>
      <c r="Q1047" s="28">
        <f>-(6*F1047*J1047*L1047*N1047*SIN(RADIANS(E1047))+6*O1047*N1047*G1047*SIN(RADIANS(E1047))*COS(RADIANS(E1047)))/(12*N1047*COS(RADIANS(E1047))^2+L1047*G1047^2*SIN(RADIANS(E1047))^2)</f>
        <v/>
      </c>
      <c r="R1047" s="28">
        <f>-P1047*SIN(RADIANS(E1047))</f>
        <v/>
      </c>
      <c r="S1047" s="8">
        <f>(O1047+P1047*COS(RADIANS(E1047)))/L1047</f>
        <v/>
      </c>
      <c r="T1047" s="8">
        <f>R1047/L1047</f>
        <v/>
      </c>
      <c r="U1047" s="8">
        <f>(Q1047-P1047*G1047*SIN(RADIANS(E1047)))/M1047</f>
        <v/>
      </c>
      <c r="V1047" s="8">
        <f>SQRT((S1047+U1047)^2+3*T1047^2)</f>
        <v/>
      </c>
      <c r="W1047" s="8">
        <f>V1047/AA1047</f>
        <v/>
      </c>
      <c r="X1047" s="27">
        <f>((3*10+H1047/COS(RADIANS(E1047)))*(3+3)+3*G1047*H1047)*2</f>
        <v/>
      </c>
      <c r="Y1047" s="28">
        <f>Z1047/X1047</f>
        <v/>
      </c>
      <c r="Z1047" s="29" t="n">
        <v>772.84664947469</v>
      </c>
      <c r="AA1047" s="20" t="n">
        <v>37.2017556434579</v>
      </c>
      <c r="AB1047" t="n">
        <v>0.06243789881749773</v>
      </c>
      <c r="AC1047" t="n">
        <v>35.43469345239089</v>
      </c>
      <c r="AD1047" t="n">
        <v>28.90389451480172</v>
      </c>
    </row>
    <row r="1048">
      <c r="A1048" t="n">
        <v>1047</v>
      </c>
      <c r="B1048" t="n">
        <v>64.5</v>
      </c>
      <c r="C1048" s="21">
        <f>B1048-20</f>
        <v/>
      </c>
      <c r="D1048" t="n">
        <v>113.1</v>
      </c>
      <c r="E1048" s="22">
        <f>D1048-90</f>
        <v/>
      </c>
      <c r="F1048" s="23" t="n">
        <v>0.014196</v>
      </c>
      <c r="G1048" s="22" t="n">
        <v>23.9</v>
      </c>
      <c r="H1048" s="22" t="n">
        <v>1.4</v>
      </c>
      <c r="I1048" s="24" t="n">
        <v>0.0779716521501541</v>
      </c>
      <c r="J1048" s="6" t="n">
        <v>71000</v>
      </c>
      <c r="K1048" s="25">
        <f>23*10^-6</f>
        <v/>
      </c>
      <c r="L1048" s="8">
        <f>H1048</f>
        <v/>
      </c>
      <c r="M1048" s="26">
        <f>H1048^2/6</f>
        <v/>
      </c>
      <c r="N1048" s="26">
        <f>H1048^3/12</f>
        <v/>
      </c>
      <c r="O1048" s="27">
        <f>-J1048*L1048*K1048*C1048</f>
        <v/>
      </c>
      <c r="P1048" s="28">
        <f>-(12*F1048*J1048*L1048*N1048+12*O1048*N1048*G1048*COS(RADIANS(E1048)))/(12*N1048*G1048*COS(RADIANS(E1048))^2+L1048*G1048^3*SIN(RADIANS(E1048))^2)</f>
        <v/>
      </c>
      <c r="Q1048" s="28">
        <f>-(6*F1048*J1048*L1048*N1048*SIN(RADIANS(E1048))+6*O1048*N1048*G1048*SIN(RADIANS(E1048))*COS(RADIANS(E1048)))/(12*N1048*COS(RADIANS(E1048))^2+L1048*G1048^2*SIN(RADIANS(E1048))^2)</f>
        <v/>
      </c>
      <c r="R1048" s="28">
        <f>-P1048*SIN(RADIANS(E1048))</f>
        <v/>
      </c>
      <c r="S1048" s="8">
        <f>(O1048+P1048*COS(RADIANS(E1048)))/L1048</f>
        <v/>
      </c>
      <c r="T1048" s="8">
        <f>R1048/L1048</f>
        <v/>
      </c>
      <c r="U1048" s="8">
        <f>(Q1048-P1048*G1048*SIN(RADIANS(E1048)))/M1048</f>
        <v/>
      </c>
      <c r="V1048" s="8">
        <f>SQRT((S1048+U1048)^2+3*T1048^2)</f>
        <v/>
      </c>
      <c r="W1048" s="8">
        <f>V1048/AA1048</f>
        <v/>
      </c>
      <c r="X1048" s="27">
        <f>((3*10+H1048/COS(RADIANS(E1048)))*(3+3)+3*G1048*H1048)*2</f>
        <v/>
      </c>
      <c r="Y1048" s="28">
        <f>Z1048/X1048</f>
        <v/>
      </c>
      <c r="Z1048" s="29" t="n">
        <v>584.550061713867</v>
      </c>
      <c r="AA1048" s="20" t="n">
        <v>67.9768784089175</v>
      </c>
      <c r="AB1048" t="n">
        <v>0.0937486232656555</v>
      </c>
      <c r="AC1048" t="n">
        <v>68.28119916900857</v>
      </c>
      <c r="AD1048" t="n">
        <v>20.23423985568353</v>
      </c>
    </row>
    <row r="1049">
      <c r="A1049" t="n">
        <v>1048</v>
      </c>
      <c r="B1049" t="n">
        <v>89.7</v>
      </c>
      <c r="C1049" s="21">
        <f>B1049-20</f>
        <v/>
      </c>
      <c r="D1049" t="n">
        <v>106.4</v>
      </c>
      <c r="E1049" s="22">
        <f>D1049-90</f>
        <v/>
      </c>
      <c r="F1049" s="23" t="n">
        <v>0.028778</v>
      </c>
      <c r="G1049" s="22" t="n">
        <v>31.5</v>
      </c>
      <c r="H1049" s="22" t="n">
        <v>1.4</v>
      </c>
      <c r="I1049" s="24" t="n">
        <v>0.191151350736618</v>
      </c>
      <c r="J1049" s="6" t="n">
        <v>71000</v>
      </c>
      <c r="K1049" s="25">
        <f>23*10^-6</f>
        <v/>
      </c>
      <c r="L1049" s="8">
        <f>H1049</f>
        <v/>
      </c>
      <c r="M1049" s="26">
        <f>H1049^2/6</f>
        <v/>
      </c>
      <c r="N1049" s="26">
        <f>H1049^3/12</f>
        <v/>
      </c>
      <c r="O1049" s="27">
        <f>-J1049*L1049*K1049*C1049</f>
        <v/>
      </c>
      <c r="P1049" s="28">
        <f>-(12*F1049*J1049*L1049*N1049+12*O1049*N1049*G1049*COS(RADIANS(E1049)))/(12*N1049*G1049*COS(RADIANS(E1049))^2+L1049*G1049^3*SIN(RADIANS(E1049))^2)</f>
        <v/>
      </c>
      <c r="Q1049" s="28">
        <f>-(6*F1049*J1049*L1049*N1049*SIN(RADIANS(E1049))+6*O1049*N1049*G1049*SIN(RADIANS(E1049))*COS(RADIANS(E1049)))/(12*N1049*COS(RADIANS(E1049))^2+L1049*G1049^2*SIN(RADIANS(E1049))^2)</f>
        <v/>
      </c>
      <c r="R1049" s="28">
        <f>-P1049*SIN(RADIANS(E1049))</f>
        <v/>
      </c>
      <c r="S1049" s="8">
        <f>(O1049+P1049*COS(RADIANS(E1049)))/L1049</f>
        <v/>
      </c>
      <c r="T1049" s="8">
        <f>R1049/L1049</f>
        <v/>
      </c>
      <c r="U1049" s="8">
        <f>(Q1049-P1049*G1049*SIN(RADIANS(E1049)))/M1049</f>
        <v/>
      </c>
      <c r="V1049" s="8">
        <f>SQRT((S1049+U1049)^2+3*T1049^2)</f>
        <v/>
      </c>
      <c r="W1049" s="8">
        <f>V1049/AA1049</f>
        <v/>
      </c>
      <c r="X1049" s="27">
        <f>((3*10+H1049/COS(RADIANS(E1049)))*(3+3)+3*G1049*H1049)*2</f>
        <v/>
      </c>
      <c r="Y1049" s="28">
        <f>Z1049/X1049</f>
        <v/>
      </c>
      <c r="Z1049" s="29" t="n">
        <v>646.564022023318</v>
      </c>
      <c r="AA1049" s="20" t="n">
        <v>105.699317072332</v>
      </c>
      <c r="AB1049" t="n">
        <v>0.2702772667710662</v>
      </c>
      <c r="AC1049" t="n">
        <v>109.6010990171914</v>
      </c>
      <c r="AD1049" t="n">
        <v>41.39437975694641</v>
      </c>
    </row>
    <row r="1050">
      <c r="A1050" t="n">
        <v>1049</v>
      </c>
      <c r="B1050" t="n">
        <v>59.8</v>
      </c>
      <c r="C1050" s="21">
        <f>B1050-20</f>
        <v/>
      </c>
      <c r="D1050" t="n">
        <v>105</v>
      </c>
      <c r="E1050" s="22">
        <f>D1050-90</f>
        <v/>
      </c>
      <c r="F1050" s="23" t="n">
        <v>0.01793</v>
      </c>
      <c r="G1050" s="22" t="n">
        <v>34.7</v>
      </c>
      <c r="H1050" s="22" t="n">
        <v>1.2</v>
      </c>
      <c r="I1050" s="24" t="n">
        <v>0.126568838953971</v>
      </c>
      <c r="J1050" s="6" t="n">
        <v>71000</v>
      </c>
      <c r="K1050" s="25">
        <f>23*10^-6</f>
        <v/>
      </c>
      <c r="L1050" s="8">
        <f>H1050</f>
        <v/>
      </c>
      <c r="M1050" s="26">
        <f>H1050^2/6</f>
        <v/>
      </c>
      <c r="N1050" s="26">
        <f>H1050^3/12</f>
        <v/>
      </c>
      <c r="O1050" s="27">
        <f>-J1050*L1050*K1050*C1050</f>
        <v/>
      </c>
      <c r="P1050" s="28">
        <f>-(12*F1050*J1050*L1050*N1050+12*O1050*N1050*G1050*COS(RADIANS(E1050)))/(12*N1050*G1050*COS(RADIANS(E1050))^2+L1050*G1050^3*SIN(RADIANS(E1050))^2)</f>
        <v/>
      </c>
      <c r="Q1050" s="28">
        <f>-(6*F1050*J1050*L1050*N1050*SIN(RADIANS(E1050))+6*O1050*N1050*G1050*SIN(RADIANS(E1050))*COS(RADIANS(E1050)))/(12*N1050*COS(RADIANS(E1050))^2+L1050*G1050^2*SIN(RADIANS(E1050))^2)</f>
        <v/>
      </c>
      <c r="R1050" s="28">
        <f>-P1050*SIN(RADIANS(E1050))</f>
        <v/>
      </c>
      <c r="S1050" s="8">
        <f>(O1050+P1050*COS(RADIANS(E1050)))/L1050</f>
        <v/>
      </c>
      <c r="T1050" s="8">
        <f>R1050/L1050</f>
        <v/>
      </c>
      <c r="U1050" s="8">
        <f>(Q1050-P1050*G1050*SIN(RADIANS(E1050)))/M1050</f>
        <v/>
      </c>
      <c r="V1050" s="8">
        <f>SQRT((S1050+U1050)^2+3*T1050^2)</f>
        <v/>
      </c>
      <c r="W1050" s="8">
        <f>V1050/AA1050</f>
        <v/>
      </c>
      <c r="X1050" s="27">
        <f>((3*10+H1050/COS(RADIANS(E1050)))*(3+3)+3*G1050*H1050)*2</f>
        <v/>
      </c>
      <c r="Y1050" s="28">
        <f>Z1050/X1050</f>
        <v/>
      </c>
      <c r="Z1050" s="29" t="n">
        <v>629.02823471339</v>
      </c>
      <c r="AA1050" s="20" t="n">
        <v>58.6544346557535</v>
      </c>
      <c r="AB1050" t="n">
        <v>0.1864577120246539</v>
      </c>
      <c r="AC1050" t="n">
        <v>61.55381139974394</v>
      </c>
      <c r="AD1050" t="n">
        <v>47.3172335036292</v>
      </c>
    </row>
    <row r="1051">
      <c r="A1051" t="n">
        <v>1050</v>
      </c>
      <c r="B1051" t="n">
        <v>68.40000000000001</v>
      </c>
      <c r="C1051" s="21">
        <f>B1051-20</f>
        <v/>
      </c>
      <c r="D1051" t="n">
        <v>108.9</v>
      </c>
      <c r="E1051" s="22">
        <f>D1051-90</f>
        <v/>
      </c>
      <c r="F1051" s="23" t="n">
        <v>0.016935</v>
      </c>
      <c r="G1051" s="22" t="n">
        <v>26.1</v>
      </c>
      <c r="H1051" s="22" t="n">
        <v>1.5</v>
      </c>
      <c r="I1051" s="24" t="n">
        <v>0.10382192581892</v>
      </c>
      <c r="J1051" s="6" t="n">
        <v>71000</v>
      </c>
      <c r="K1051" s="25">
        <f>23*10^-6</f>
        <v/>
      </c>
      <c r="L1051" s="8">
        <f>H1051</f>
        <v/>
      </c>
      <c r="M1051" s="26">
        <f>H1051^2/6</f>
        <v/>
      </c>
      <c r="N1051" s="26">
        <f>H1051^3/12</f>
        <v/>
      </c>
      <c r="O1051" s="27">
        <f>-J1051*L1051*K1051*C1051</f>
        <v/>
      </c>
      <c r="P1051" s="28">
        <f>-(12*F1051*J1051*L1051*N1051+12*O1051*N1051*G1051*COS(RADIANS(E1051)))/(12*N1051*G1051*COS(RADIANS(E1051))^2+L1051*G1051^3*SIN(RADIANS(E1051))^2)</f>
        <v/>
      </c>
      <c r="Q1051" s="28">
        <f>-(6*F1051*J1051*L1051*N1051*SIN(RADIANS(E1051))+6*O1051*N1051*G1051*SIN(RADIANS(E1051))*COS(RADIANS(E1051)))/(12*N1051*COS(RADIANS(E1051))^2+L1051*G1051^2*SIN(RADIANS(E1051))^2)</f>
        <v/>
      </c>
      <c r="R1051" s="28">
        <f>-P1051*SIN(RADIANS(E1051))</f>
        <v/>
      </c>
      <c r="S1051" s="8">
        <f>(O1051+P1051*COS(RADIANS(E1051)))/L1051</f>
        <v/>
      </c>
      <c r="T1051" s="8">
        <f>R1051/L1051</f>
        <v/>
      </c>
      <c r="U1051" s="8">
        <f>(Q1051-P1051*G1051*SIN(RADIANS(E1051)))/M1051</f>
        <v/>
      </c>
      <c r="V1051" s="8">
        <f>SQRT((S1051+U1051)^2+3*T1051^2)</f>
        <v/>
      </c>
      <c r="W1051" s="8">
        <f>V1051/AA1051</f>
        <v/>
      </c>
      <c r="X1051" s="27">
        <f>((3*10+H1051/COS(RADIANS(E1051)))*(3+3)+3*G1051*H1051)*2</f>
        <v/>
      </c>
      <c r="Y1051" s="28">
        <f>Z1051/X1051</f>
        <v/>
      </c>
      <c r="Z1051" s="29" t="n">
        <v>618.727086707557</v>
      </c>
      <c r="AA1051" s="20" t="n">
        <v>76.1023858428815</v>
      </c>
      <c r="AB1051" t="n">
        <v>0.1351880543899439</v>
      </c>
      <c r="AC1051" t="n">
        <v>76.54757137843173</v>
      </c>
      <c r="AD1051" t="n">
        <v>30.21146865039933</v>
      </c>
    </row>
    <row r="1052">
      <c r="A1052" t="n">
        <v>1051</v>
      </c>
      <c r="B1052" t="n">
        <v>89.09999999999999</v>
      </c>
      <c r="C1052" s="21">
        <f>B1052-20</f>
        <v/>
      </c>
      <c r="D1052" t="n">
        <v>116.6</v>
      </c>
      <c r="E1052" s="22">
        <f>D1052-90</f>
        <v/>
      </c>
      <c r="F1052" s="23" t="n">
        <v>0.027829</v>
      </c>
      <c r="G1052" s="22" t="n">
        <v>32.8</v>
      </c>
      <c r="H1052" s="22" t="n">
        <v>1.2</v>
      </c>
      <c r="I1052" s="24" t="n">
        <v>0.135491028428077</v>
      </c>
      <c r="J1052" s="6" t="n">
        <v>71000</v>
      </c>
      <c r="K1052" s="25">
        <f>23*10^-6</f>
        <v/>
      </c>
      <c r="L1052" s="8">
        <f>H1052</f>
        <v/>
      </c>
      <c r="M1052" s="26">
        <f>H1052^2/6</f>
        <v/>
      </c>
      <c r="N1052" s="26">
        <f>H1052^3/12</f>
        <v/>
      </c>
      <c r="O1052" s="27">
        <f>-J1052*L1052*K1052*C1052</f>
        <v/>
      </c>
      <c r="P1052" s="28">
        <f>-(12*F1052*J1052*L1052*N1052+12*O1052*N1052*G1052*COS(RADIANS(E1052)))/(12*N1052*G1052*COS(RADIANS(E1052))^2+L1052*G1052^3*SIN(RADIANS(E1052))^2)</f>
        <v/>
      </c>
      <c r="Q1052" s="28">
        <f>-(6*F1052*J1052*L1052*N1052*SIN(RADIANS(E1052))+6*O1052*N1052*G1052*SIN(RADIANS(E1052))*COS(RADIANS(E1052)))/(12*N1052*COS(RADIANS(E1052))^2+L1052*G1052^2*SIN(RADIANS(E1052))^2)</f>
        <v/>
      </c>
      <c r="R1052" s="28">
        <f>-P1052*SIN(RADIANS(E1052))</f>
        <v/>
      </c>
      <c r="S1052" s="8">
        <f>(O1052+P1052*COS(RADIANS(E1052)))/L1052</f>
        <v/>
      </c>
      <c r="T1052" s="8">
        <f>R1052/L1052</f>
        <v/>
      </c>
      <c r="U1052" s="8">
        <f>(Q1052-P1052*G1052*SIN(RADIANS(E1052)))/M1052</f>
        <v/>
      </c>
      <c r="V1052" s="8">
        <f>SQRT((S1052+U1052)^2+3*T1052^2)</f>
        <v/>
      </c>
      <c r="W1052" s="8">
        <f>V1052/AA1052</f>
        <v/>
      </c>
      <c r="X1052" s="27">
        <f>((3*10+H1052/COS(RADIANS(E1052)))*(3+3)+3*G1052*H1052)*2</f>
        <v/>
      </c>
      <c r="Y1052" s="28">
        <f>Z1052/X1052</f>
        <v/>
      </c>
      <c r="Z1052" s="29" t="n">
        <v>618.539240352867</v>
      </c>
      <c r="AA1052" s="20" t="n">
        <v>96.9467417960544</v>
      </c>
      <c r="AB1052" t="n">
        <v>0.1710090893806055</v>
      </c>
      <c r="AC1052" t="n">
        <v>100.7643897899748</v>
      </c>
      <c r="AD1052" t="n">
        <v>26.21432678207369</v>
      </c>
    </row>
    <row r="1053">
      <c r="A1053" t="n">
        <v>1052</v>
      </c>
      <c r="B1053" t="n">
        <v>46.6</v>
      </c>
      <c r="C1053" s="21">
        <f>B1053-20</f>
        <v/>
      </c>
      <c r="D1053" t="n">
        <v>119.4</v>
      </c>
      <c r="E1053" s="22">
        <f>D1053-90</f>
        <v/>
      </c>
      <c r="F1053" s="23" t="n">
        <v>0.010406</v>
      </c>
      <c r="G1053" s="22" t="n">
        <v>32.5</v>
      </c>
      <c r="H1053" s="22" t="n">
        <v>1.6</v>
      </c>
      <c r="I1053" s="24" t="n">
        <v>0.0483754239976406</v>
      </c>
      <c r="J1053" s="6" t="n">
        <v>71000</v>
      </c>
      <c r="K1053" s="25">
        <f>23*10^-6</f>
        <v/>
      </c>
      <c r="L1053" s="8">
        <f>H1053</f>
        <v/>
      </c>
      <c r="M1053" s="26">
        <f>H1053^2/6</f>
        <v/>
      </c>
      <c r="N1053" s="26">
        <f>H1053^3/12</f>
        <v/>
      </c>
      <c r="O1053" s="27">
        <f>-J1053*L1053*K1053*C1053</f>
        <v/>
      </c>
      <c r="P1053" s="28">
        <f>-(12*F1053*J1053*L1053*N1053+12*O1053*N1053*G1053*COS(RADIANS(E1053)))/(12*N1053*G1053*COS(RADIANS(E1053))^2+L1053*G1053^3*SIN(RADIANS(E1053))^2)</f>
        <v/>
      </c>
      <c r="Q1053" s="28">
        <f>-(6*F1053*J1053*L1053*N1053*SIN(RADIANS(E1053))+6*O1053*N1053*G1053*SIN(RADIANS(E1053))*COS(RADIANS(E1053)))/(12*N1053*COS(RADIANS(E1053))^2+L1053*G1053^2*SIN(RADIANS(E1053))^2)</f>
        <v/>
      </c>
      <c r="R1053" s="28">
        <f>-P1053*SIN(RADIANS(E1053))</f>
        <v/>
      </c>
      <c r="S1053" s="8">
        <f>(O1053+P1053*COS(RADIANS(E1053)))/L1053</f>
        <v/>
      </c>
      <c r="T1053" s="8">
        <f>R1053/L1053</f>
        <v/>
      </c>
      <c r="U1053" s="8">
        <f>(Q1053-P1053*G1053*SIN(RADIANS(E1053)))/M1053</f>
        <v/>
      </c>
      <c r="V1053" s="8">
        <f>SQRT((S1053+U1053)^2+3*T1053^2)</f>
        <v/>
      </c>
      <c r="W1053" s="8">
        <f>V1053/AA1053</f>
        <v/>
      </c>
      <c r="X1053" s="27">
        <f>((3*10+H1053/COS(RADIANS(E1053)))*(3+3)+3*G1053*H1053)*2</f>
        <v/>
      </c>
      <c r="Y1053" s="28">
        <f>Z1053/X1053</f>
        <v/>
      </c>
      <c r="Z1053" s="29" t="n">
        <v>701.019620159198</v>
      </c>
      <c r="AA1053" s="20" t="n">
        <v>40.0257305922013</v>
      </c>
      <c r="AB1053" t="n">
        <v>0.0584795104445908</v>
      </c>
      <c r="AC1053" t="n">
        <v>39.33012791151309</v>
      </c>
      <c r="AD1053" t="n">
        <v>20.88681733816535</v>
      </c>
    </row>
    <row r="1054">
      <c r="A1054" t="n">
        <v>1053</v>
      </c>
      <c r="B1054" t="n">
        <v>60.1</v>
      </c>
      <c r="C1054" s="21">
        <f>B1054-20</f>
        <v/>
      </c>
      <c r="D1054" t="n">
        <v>110.5</v>
      </c>
      <c r="E1054" s="22">
        <f>D1054-90</f>
        <v/>
      </c>
      <c r="F1054" s="23" t="n">
        <v>0.01576</v>
      </c>
      <c r="G1054" s="22" t="n">
        <v>30.4</v>
      </c>
      <c r="H1054" s="22" t="n">
        <v>1.2</v>
      </c>
      <c r="I1054" s="24" t="n">
        <v>0.0903942361474037</v>
      </c>
      <c r="J1054" s="6" t="n">
        <v>71000</v>
      </c>
      <c r="K1054" s="25">
        <f>23*10^-6</f>
        <v/>
      </c>
      <c r="L1054" s="8">
        <f>H1054</f>
        <v/>
      </c>
      <c r="M1054" s="26">
        <f>H1054^2/6</f>
        <v/>
      </c>
      <c r="N1054" s="26">
        <f>H1054^3/12</f>
        <v/>
      </c>
      <c r="O1054" s="27">
        <f>-J1054*L1054*K1054*C1054</f>
        <v/>
      </c>
      <c r="P1054" s="28">
        <f>-(12*F1054*J1054*L1054*N1054+12*O1054*N1054*G1054*COS(RADIANS(E1054)))/(12*N1054*G1054*COS(RADIANS(E1054))^2+L1054*G1054^3*SIN(RADIANS(E1054))^2)</f>
        <v/>
      </c>
      <c r="Q1054" s="28">
        <f>-(6*F1054*J1054*L1054*N1054*SIN(RADIANS(E1054))+6*O1054*N1054*G1054*SIN(RADIANS(E1054))*COS(RADIANS(E1054)))/(12*N1054*COS(RADIANS(E1054))^2+L1054*G1054^2*SIN(RADIANS(E1054))^2)</f>
        <v/>
      </c>
      <c r="R1054" s="28">
        <f>-P1054*SIN(RADIANS(E1054))</f>
        <v/>
      </c>
      <c r="S1054" s="8">
        <f>(O1054+P1054*COS(RADIANS(E1054)))/L1054</f>
        <v/>
      </c>
      <c r="T1054" s="8">
        <f>R1054/L1054</f>
        <v/>
      </c>
      <c r="U1054" s="8">
        <f>(Q1054-P1054*G1054*SIN(RADIANS(E1054)))/M1054</f>
        <v/>
      </c>
      <c r="V1054" s="8">
        <f>SQRT((S1054+U1054)^2+3*T1054^2)</f>
        <v/>
      </c>
      <c r="W1054" s="8">
        <f>V1054/AA1054</f>
        <v/>
      </c>
      <c r="X1054" s="27">
        <f>((3*10+H1054/COS(RADIANS(E1054)))*(3+3)+3*G1054*H1054)*2</f>
        <v/>
      </c>
      <c r="Y1054" s="28">
        <f>Z1054/X1054</f>
        <v/>
      </c>
      <c r="Z1054" s="29" t="n">
        <v>599.3098289534011</v>
      </c>
      <c r="AA1054" s="20" t="n">
        <v>57.8182904109461</v>
      </c>
      <c r="AB1054" t="n">
        <v>0.1208002899858205</v>
      </c>
      <c r="AC1054" t="n">
        <v>60.36868045945209</v>
      </c>
      <c r="AD1054" t="n">
        <v>33.63715999417748</v>
      </c>
    </row>
    <row r="1055">
      <c r="A1055" t="n">
        <v>1054</v>
      </c>
      <c r="B1055" t="n">
        <v>45.9</v>
      </c>
      <c r="C1055" s="21">
        <f>B1055-20</f>
        <v/>
      </c>
      <c r="D1055" t="n">
        <v>123</v>
      </c>
      <c r="E1055" s="22">
        <f>D1055-90</f>
        <v/>
      </c>
      <c r="F1055" s="23" t="n">
        <v>0.007591</v>
      </c>
      <c r="G1055" s="22" t="n">
        <v>23.5</v>
      </c>
      <c r="H1055" s="22" t="n">
        <v>1.8</v>
      </c>
      <c r="I1055" s="24" t="n">
        <v>0.0353969894349575</v>
      </c>
      <c r="J1055" s="6" t="n">
        <v>71000</v>
      </c>
      <c r="K1055" s="25">
        <f>23*10^-6</f>
        <v/>
      </c>
      <c r="L1055" s="8">
        <f>H1055</f>
        <v/>
      </c>
      <c r="M1055" s="26">
        <f>H1055^2/6</f>
        <v/>
      </c>
      <c r="N1055" s="26">
        <f>H1055^3/12</f>
        <v/>
      </c>
      <c r="O1055" s="27">
        <f>-J1055*L1055*K1055*C1055</f>
        <v/>
      </c>
      <c r="P1055" s="28">
        <f>-(12*F1055*J1055*L1055*N1055+12*O1055*N1055*G1055*COS(RADIANS(E1055)))/(12*N1055*G1055*COS(RADIANS(E1055))^2+L1055*G1055^3*SIN(RADIANS(E1055))^2)</f>
        <v/>
      </c>
      <c r="Q1055" s="28">
        <f>-(6*F1055*J1055*L1055*N1055*SIN(RADIANS(E1055))+6*O1055*N1055*G1055*SIN(RADIANS(E1055))*COS(RADIANS(E1055)))/(12*N1055*COS(RADIANS(E1055))^2+L1055*G1055^2*SIN(RADIANS(E1055))^2)</f>
        <v/>
      </c>
      <c r="R1055" s="28">
        <f>-P1055*SIN(RADIANS(E1055))</f>
        <v/>
      </c>
      <c r="S1055" s="8">
        <f>(O1055+P1055*COS(RADIANS(E1055)))/L1055</f>
        <v/>
      </c>
      <c r="T1055" s="8">
        <f>R1055/L1055</f>
        <v/>
      </c>
      <c r="U1055" s="8">
        <f>(Q1055-P1055*G1055*SIN(RADIANS(E1055)))/M1055</f>
        <v/>
      </c>
      <c r="V1055" s="8">
        <f>SQRT((S1055+U1055)^2+3*T1055^2)</f>
        <v/>
      </c>
      <c r="W1055" s="8">
        <f>V1055/AA1055</f>
        <v/>
      </c>
      <c r="X1055" s="27">
        <f>((3*10+H1055/COS(RADIANS(E1055)))*(3+3)+3*G1055*H1055)*2</f>
        <v/>
      </c>
      <c r="Y1055" s="28">
        <f>Z1055/X1055</f>
        <v/>
      </c>
      <c r="Z1055" s="29" t="n">
        <v>647.60539553896</v>
      </c>
      <c r="AA1055" s="20" t="n">
        <v>41.6955339009853</v>
      </c>
      <c r="AB1055" t="n">
        <v>0.03681125092292931</v>
      </c>
      <c r="AC1055" t="n">
        <v>38.90957427574929</v>
      </c>
      <c r="AD1055" t="n">
        <v>3.995428737154429</v>
      </c>
    </row>
    <row r="1056">
      <c r="A1056" t="n">
        <v>1055</v>
      </c>
      <c r="B1056" t="n">
        <v>57.2</v>
      </c>
      <c r="C1056" s="21">
        <f>B1056-20</f>
        <v/>
      </c>
      <c r="D1056" t="n">
        <v>118.3</v>
      </c>
      <c r="E1056" s="22">
        <f>D1056-90</f>
        <v/>
      </c>
      <c r="F1056" s="23" t="n">
        <v>0.014306</v>
      </c>
      <c r="G1056" s="22" t="n">
        <v>31.5</v>
      </c>
      <c r="H1056" s="22" t="n">
        <v>1.7</v>
      </c>
      <c r="I1056" s="24" t="n">
        <v>0.06796595454216001</v>
      </c>
      <c r="J1056" s="6" t="n">
        <v>71000</v>
      </c>
      <c r="K1056" s="25">
        <f>23*10^-6</f>
        <v/>
      </c>
      <c r="L1056" s="8">
        <f>H1056</f>
        <v/>
      </c>
      <c r="M1056" s="26">
        <f>H1056^2/6</f>
        <v/>
      </c>
      <c r="N1056" s="26">
        <f>H1056^3/12</f>
        <v/>
      </c>
      <c r="O1056" s="27">
        <f>-J1056*L1056*K1056*C1056</f>
        <v/>
      </c>
      <c r="P1056" s="28">
        <f>-(12*F1056*J1056*L1056*N1056+12*O1056*N1056*G1056*COS(RADIANS(E1056)))/(12*N1056*G1056*COS(RADIANS(E1056))^2+L1056*G1056^3*SIN(RADIANS(E1056))^2)</f>
        <v/>
      </c>
      <c r="Q1056" s="28">
        <f>-(6*F1056*J1056*L1056*N1056*SIN(RADIANS(E1056))+6*O1056*N1056*G1056*SIN(RADIANS(E1056))*COS(RADIANS(E1056)))/(12*N1056*COS(RADIANS(E1056))^2+L1056*G1056^2*SIN(RADIANS(E1056))^2)</f>
        <v/>
      </c>
      <c r="R1056" s="28">
        <f>-P1056*SIN(RADIANS(E1056))</f>
        <v/>
      </c>
      <c r="S1056" s="8">
        <f>(O1056+P1056*COS(RADIANS(E1056)))/L1056</f>
        <v/>
      </c>
      <c r="T1056" s="8">
        <f>R1056/L1056</f>
        <v/>
      </c>
      <c r="U1056" s="8">
        <f>(Q1056-P1056*G1056*SIN(RADIANS(E1056)))/M1056</f>
        <v/>
      </c>
      <c r="V1056" s="8">
        <f>SQRT((S1056+U1056)^2+3*T1056^2)</f>
        <v/>
      </c>
      <c r="W1056" s="8">
        <f>V1056/AA1056</f>
        <v/>
      </c>
      <c r="X1056" s="27">
        <f>((3*10+H1056/COS(RADIANS(E1056)))*(3+3)+3*G1056*H1056)*2</f>
        <v/>
      </c>
      <c r="Y1056" s="28">
        <f>Z1056/X1056</f>
        <v/>
      </c>
      <c r="Z1056" s="29" t="n">
        <v>711.1608207529609</v>
      </c>
      <c r="AA1056" s="20" t="n">
        <v>57.4318160430205</v>
      </c>
      <c r="AB1056" t="n">
        <v>0.08251238872996057</v>
      </c>
      <c r="AC1056" t="n">
        <v>55.67394353593009</v>
      </c>
      <c r="AD1056" t="n">
        <v>21.40253055487841</v>
      </c>
    </row>
    <row r="1057">
      <c r="A1057" t="n">
        <v>1056</v>
      </c>
      <c r="B1057" t="n">
        <v>85.40000000000001</v>
      </c>
      <c r="C1057" s="21">
        <f>B1057-20</f>
        <v/>
      </c>
      <c r="D1057" t="n">
        <v>124.2</v>
      </c>
      <c r="E1057" s="22">
        <f>D1057-90</f>
        <v/>
      </c>
      <c r="F1057" s="23" t="n">
        <v>0.024082</v>
      </c>
      <c r="G1057" s="22" t="n">
        <v>31.8</v>
      </c>
      <c r="H1057" s="22" t="n">
        <v>1.6</v>
      </c>
      <c r="I1057" s="24" t="n">
        <v>0.106118708848953</v>
      </c>
      <c r="J1057" s="6" t="n">
        <v>71000</v>
      </c>
      <c r="K1057" s="25">
        <f>23*10^-6</f>
        <v/>
      </c>
      <c r="L1057" s="8">
        <f>H1057</f>
        <v/>
      </c>
      <c r="M1057" s="26">
        <f>H1057^2/6</f>
        <v/>
      </c>
      <c r="N1057" s="26">
        <f>H1057^3/12</f>
        <v/>
      </c>
      <c r="O1057" s="27">
        <f>-J1057*L1057*K1057*C1057</f>
        <v/>
      </c>
      <c r="P1057" s="28">
        <f>-(12*F1057*J1057*L1057*N1057+12*O1057*N1057*G1057*COS(RADIANS(E1057)))/(12*N1057*G1057*COS(RADIANS(E1057))^2+L1057*G1057^3*SIN(RADIANS(E1057))^2)</f>
        <v/>
      </c>
      <c r="Q1057" s="28">
        <f>-(6*F1057*J1057*L1057*N1057*SIN(RADIANS(E1057))+6*O1057*N1057*G1057*SIN(RADIANS(E1057))*COS(RADIANS(E1057)))/(12*N1057*COS(RADIANS(E1057))^2+L1057*G1057^2*SIN(RADIANS(E1057))^2)</f>
        <v/>
      </c>
      <c r="R1057" s="28">
        <f>-P1057*SIN(RADIANS(E1057))</f>
        <v/>
      </c>
      <c r="S1057" s="8">
        <f>(O1057+P1057*COS(RADIANS(E1057)))/L1057</f>
        <v/>
      </c>
      <c r="T1057" s="8">
        <f>R1057/L1057</f>
        <v/>
      </c>
      <c r="U1057" s="8">
        <f>(Q1057-P1057*G1057*SIN(RADIANS(E1057)))/M1057</f>
        <v/>
      </c>
      <c r="V1057" s="8">
        <f>SQRT((S1057+U1057)^2+3*T1057^2)</f>
        <v/>
      </c>
      <c r="W1057" s="8">
        <f>V1057/AA1057</f>
        <v/>
      </c>
      <c r="X1057" s="27">
        <f>((3*10+H1057/COS(RADIANS(E1057)))*(3+3)+3*G1057*H1057)*2</f>
        <v/>
      </c>
      <c r="Y1057" s="28">
        <f>Z1057/X1057</f>
        <v/>
      </c>
      <c r="Z1057" s="29" t="n">
        <v>696.945541660804</v>
      </c>
      <c r="AA1057" s="20" t="n">
        <v>97.083509231824</v>
      </c>
      <c r="AB1057" t="n">
        <v>0.1197904162749781</v>
      </c>
      <c r="AC1057" t="n">
        <v>95.24511791859459</v>
      </c>
      <c r="AD1057" t="n">
        <v>12.88340913145214</v>
      </c>
    </row>
    <row r="1058">
      <c r="A1058" t="n">
        <v>1057</v>
      </c>
      <c r="B1058" t="n">
        <v>87.40000000000001</v>
      </c>
      <c r="C1058" s="21">
        <f>B1058-20</f>
        <v/>
      </c>
      <c r="D1058" t="n">
        <v>125.5</v>
      </c>
      <c r="E1058" s="22">
        <f>D1058-90</f>
        <v/>
      </c>
      <c r="F1058" s="23" t="n">
        <v>0.026379</v>
      </c>
      <c r="G1058" s="22" t="n">
        <v>34.8</v>
      </c>
      <c r="H1058" s="22" t="n">
        <v>1.2</v>
      </c>
      <c r="I1058" s="24" t="n">
        <v>0.113366320729255</v>
      </c>
      <c r="J1058" s="6" t="n">
        <v>71000</v>
      </c>
      <c r="K1058" s="25">
        <f>23*10^-6</f>
        <v/>
      </c>
      <c r="L1058" s="8">
        <f>H1058</f>
        <v/>
      </c>
      <c r="M1058" s="26">
        <f>H1058^2/6</f>
        <v/>
      </c>
      <c r="N1058" s="26">
        <f>H1058^3/12</f>
        <v/>
      </c>
      <c r="O1058" s="27">
        <f>-J1058*L1058*K1058*C1058</f>
        <v/>
      </c>
      <c r="P1058" s="28">
        <f>-(12*F1058*J1058*L1058*N1058+12*O1058*N1058*G1058*COS(RADIANS(E1058)))/(12*N1058*G1058*COS(RADIANS(E1058))^2+L1058*G1058^3*SIN(RADIANS(E1058))^2)</f>
        <v/>
      </c>
      <c r="Q1058" s="28">
        <f>-(6*F1058*J1058*L1058*N1058*SIN(RADIANS(E1058))+6*O1058*N1058*G1058*SIN(RADIANS(E1058))*COS(RADIANS(E1058)))/(12*N1058*COS(RADIANS(E1058))^2+L1058*G1058^2*SIN(RADIANS(E1058))^2)</f>
        <v/>
      </c>
      <c r="R1058" s="28">
        <f>-P1058*SIN(RADIANS(E1058))</f>
        <v/>
      </c>
      <c r="S1058" s="8">
        <f>(O1058+P1058*COS(RADIANS(E1058)))/L1058</f>
        <v/>
      </c>
      <c r="T1058" s="8">
        <f>R1058/L1058</f>
        <v/>
      </c>
      <c r="U1058" s="8">
        <f>(Q1058-P1058*G1058*SIN(RADIANS(E1058)))/M1058</f>
        <v/>
      </c>
      <c r="V1058" s="8">
        <f>SQRT((S1058+U1058)^2+3*T1058^2)</f>
        <v/>
      </c>
      <c r="W1058" s="8">
        <f>V1058/AA1058</f>
        <v/>
      </c>
      <c r="X1058" s="27">
        <f>((3*10+H1058/COS(RADIANS(E1058)))*(3+3)+3*G1058*H1058)*2</f>
        <v/>
      </c>
      <c r="Y1058" s="28">
        <f>Z1058/X1058</f>
        <v/>
      </c>
      <c r="Z1058" s="29" t="n">
        <v>637.161382774654</v>
      </c>
      <c r="AA1058" s="20" t="n">
        <v>91.2168108812658</v>
      </c>
      <c r="AB1058" t="n">
        <v>0.1295343292793059</v>
      </c>
      <c r="AC1058" t="n">
        <v>95.67329285484121</v>
      </c>
      <c r="AD1058" t="n">
        <v>14.26173880041842</v>
      </c>
    </row>
    <row r="1059">
      <c r="A1059" t="n">
        <v>1058</v>
      </c>
      <c r="B1059" t="n">
        <v>59.9</v>
      </c>
      <c r="C1059" s="21">
        <f>B1059-20</f>
        <v/>
      </c>
      <c r="D1059" t="n">
        <v>126.5</v>
      </c>
      <c r="E1059" s="22">
        <f>D1059-90</f>
        <v/>
      </c>
      <c r="F1059" s="23" t="n">
        <v>0.01092</v>
      </c>
      <c r="G1059" s="22" t="n">
        <v>22.4</v>
      </c>
      <c r="H1059" s="22" t="n">
        <v>1.8</v>
      </c>
      <c r="I1059" s="24" t="n">
        <v>0.0498381368815898</v>
      </c>
      <c r="J1059" s="6" t="n">
        <v>71000</v>
      </c>
      <c r="K1059" s="25">
        <f>23*10^-6</f>
        <v/>
      </c>
      <c r="L1059" s="8">
        <f>H1059</f>
        <v/>
      </c>
      <c r="M1059" s="26">
        <f>H1059^2/6</f>
        <v/>
      </c>
      <c r="N1059" s="26">
        <f>H1059^3/12</f>
        <v/>
      </c>
      <c r="O1059" s="27">
        <f>-J1059*L1059*K1059*C1059</f>
        <v/>
      </c>
      <c r="P1059" s="28">
        <f>-(12*F1059*J1059*L1059*N1059+12*O1059*N1059*G1059*COS(RADIANS(E1059)))/(12*N1059*G1059*COS(RADIANS(E1059))^2+L1059*G1059^3*SIN(RADIANS(E1059))^2)</f>
        <v/>
      </c>
      <c r="Q1059" s="28">
        <f>-(6*F1059*J1059*L1059*N1059*SIN(RADIANS(E1059))+6*O1059*N1059*G1059*SIN(RADIANS(E1059))*COS(RADIANS(E1059)))/(12*N1059*COS(RADIANS(E1059))^2+L1059*G1059^2*SIN(RADIANS(E1059))^2)</f>
        <v/>
      </c>
      <c r="R1059" s="28">
        <f>-P1059*SIN(RADIANS(E1059))</f>
        <v/>
      </c>
      <c r="S1059" s="8">
        <f>(O1059+P1059*COS(RADIANS(E1059)))/L1059</f>
        <v/>
      </c>
      <c r="T1059" s="8">
        <f>R1059/L1059</f>
        <v/>
      </c>
      <c r="U1059" s="8">
        <f>(Q1059-P1059*G1059*SIN(RADIANS(E1059)))/M1059</f>
        <v/>
      </c>
      <c r="V1059" s="8">
        <f>SQRT((S1059+U1059)^2+3*T1059^2)</f>
        <v/>
      </c>
      <c r="W1059" s="8">
        <f>V1059/AA1059</f>
        <v/>
      </c>
      <c r="X1059" s="27">
        <f>((3*10+H1059/COS(RADIANS(E1059)))*(3+3)+3*G1059*H1059)*2</f>
        <v/>
      </c>
      <c r="Y1059" s="28">
        <f>Z1059/X1059</f>
        <v/>
      </c>
      <c r="Z1059" s="29" t="n">
        <v>638.080146548145</v>
      </c>
      <c r="AA1059" s="20" t="n">
        <v>64.7555168279314</v>
      </c>
      <c r="AB1059" t="n">
        <v>0.04864692950515081</v>
      </c>
      <c r="AC1059" t="n">
        <v>59.23222198238825</v>
      </c>
      <c r="AD1059" t="n">
        <v>-2.390152302982704</v>
      </c>
    </row>
    <row r="1060">
      <c r="A1060" t="n">
        <v>1059</v>
      </c>
      <c r="B1060" t="n">
        <v>89.90000000000001</v>
      </c>
      <c r="C1060" s="21">
        <f>B1060-20</f>
        <v/>
      </c>
      <c r="D1060" t="n">
        <v>120.5</v>
      </c>
      <c r="E1060" s="22">
        <f>D1060-90</f>
        <v/>
      </c>
      <c r="F1060" s="23" t="n">
        <v>0.026821</v>
      </c>
      <c r="G1060" s="22" t="n">
        <v>32.1</v>
      </c>
      <c r="H1060" s="22" t="n">
        <v>1.1</v>
      </c>
      <c r="I1060" s="24" t="n">
        <v>0.122780561447143</v>
      </c>
      <c r="J1060" s="6" t="n">
        <v>71000</v>
      </c>
      <c r="K1060" s="25">
        <f>23*10^-6</f>
        <v/>
      </c>
      <c r="L1060" s="8">
        <f>H1060</f>
        <v/>
      </c>
      <c r="M1060" s="26">
        <f>H1060^2/6</f>
        <v/>
      </c>
      <c r="N1060" s="26">
        <f>H1060^3/12</f>
        <v/>
      </c>
      <c r="O1060" s="27">
        <f>-J1060*L1060*K1060*C1060</f>
        <v/>
      </c>
      <c r="P1060" s="28">
        <f>-(12*F1060*J1060*L1060*N1060+12*O1060*N1060*G1060*COS(RADIANS(E1060)))/(12*N1060*G1060*COS(RADIANS(E1060))^2+L1060*G1060^3*SIN(RADIANS(E1060))^2)</f>
        <v/>
      </c>
      <c r="Q1060" s="28">
        <f>-(6*F1060*J1060*L1060*N1060*SIN(RADIANS(E1060))+6*O1060*N1060*G1060*SIN(RADIANS(E1060))*COS(RADIANS(E1060)))/(12*N1060*COS(RADIANS(E1060))^2+L1060*G1060^2*SIN(RADIANS(E1060))^2)</f>
        <v/>
      </c>
      <c r="R1060" s="28">
        <f>-P1060*SIN(RADIANS(E1060))</f>
        <v/>
      </c>
      <c r="S1060" s="8">
        <f>(O1060+P1060*COS(RADIANS(E1060)))/L1060</f>
        <v/>
      </c>
      <c r="T1060" s="8">
        <f>R1060/L1060</f>
        <v/>
      </c>
      <c r="U1060" s="8">
        <f>(Q1060-P1060*G1060*SIN(RADIANS(E1060)))/M1060</f>
        <v/>
      </c>
      <c r="V1060" s="8">
        <f>SQRT((S1060+U1060)^2+3*T1060^2)</f>
        <v/>
      </c>
      <c r="W1060" s="8">
        <f>V1060/AA1060</f>
        <v/>
      </c>
      <c r="X1060" s="27">
        <f>((3*10+H1060/COS(RADIANS(E1060)))*(3+3)+3*G1060*H1060)*2</f>
        <v/>
      </c>
      <c r="Y1060" s="28">
        <f>Z1060/X1060</f>
        <v/>
      </c>
      <c r="Z1060" s="29" t="n">
        <v>594.467655646471</v>
      </c>
      <c r="AA1060" s="20" t="n">
        <v>94.971702382598</v>
      </c>
      <c r="AB1060" t="n">
        <v>0.1466644198162419</v>
      </c>
      <c r="AC1060" t="n">
        <v>100.2386910319532</v>
      </c>
      <c r="AD1060" t="n">
        <v>19.45247528403011</v>
      </c>
    </row>
    <row r="1061">
      <c r="A1061" t="n">
        <v>1060</v>
      </c>
      <c r="B1061" t="n">
        <v>40.4</v>
      </c>
      <c r="C1061" s="21">
        <f>B1061-20</f>
        <v/>
      </c>
      <c r="D1061" t="n">
        <v>114.6</v>
      </c>
      <c r="E1061" s="22">
        <f>D1061-90</f>
        <v/>
      </c>
      <c r="F1061" s="23" t="n">
        <v>0.007633</v>
      </c>
      <c r="G1061" s="22" t="n">
        <v>29.5</v>
      </c>
      <c r="H1061" s="22" t="n">
        <v>1.3</v>
      </c>
      <c r="I1061" s="24" t="n">
        <v>0.039331704378128</v>
      </c>
      <c r="J1061" s="6" t="n">
        <v>71000</v>
      </c>
      <c r="K1061" s="25">
        <f>23*10^-6</f>
        <v/>
      </c>
      <c r="L1061" s="8">
        <f>H1061</f>
        <v/>
      </c>
      <c r="M1061" s="26">
        <f>H1061^2/6</f>
        <v/>
      </c>
      <c r="N1061" s="26">
        <f>H1061^3/12</f>
        <v/>
      </c>
      <c r="O1061" s="27">
        <f>-J1061*L1061*K1061*C1061</f>
        <v/>
      </c>
      <c r="P1061" s="28">
        <f>-(12*F1061*J1061*L1061*N1061+12*O1061*N1061*G1061*COS(RADIANS(E1061)))/(12*N1061*G1061*COS(RADIANS(E1061))^2+L1061*G1061^3*SIN(RADIANS(E1061))^2)</f>
        <v/>
      </c>
      <c r="Q1061" s="28">
        <f>-(6*F1061*J1061*L1061*N1061*SIN(RADIANS(E1061))+6*O1061*N1061*G1061*SIN(RADIANS(E1061))*COS(RADIANS(E1061)))/(12*N1061*COS(RADIANS(E1061))^2+L1061*G1061^2*SIN(RADIANS(E1061))^2)</f>
        <v/>
      </c>
      <c r="R1061" s="28">
        <f>-P1061*SIN(RADIANS(E1061))</f>
        <v/>
      </c>
      <c r="S1061" s="8">
        <f>(O1061+P1061*COS(RADIANS(E1061)))/L1061</f>
        <v/>
      </c>
      <c r="T1061" s="8">
        <f>R1061/L1061</f>
        <v/>
      </c>
      <c r="U1061" s="8">
        <f>(Q1061-P1061*G1061*SIN(RADIANS(E1061)))/M1061</f>
        <v/>
      </c>
      <c r="V1061" s="8">
        <f>SQRT((S1061+U1061)^2+3*T1061^2)</f>
        <v/>
      </c>
      <c r="W1061" s="8">
        <f>V1061/AA1061</f>
        <v/>
      </c>
      <c r="X1061" s="27">
        <f>((3*10+H1061/COS(RADIANS(E1061)))*(3+3)+3*G1061*H1061)*2</f>
        <v/>
      </c>
      <c r="Y1061" s="28">
        <f>Z1061/X1061</f>
        <v/>
      </c>
      <c r="Z1061" s="29" t="n">
        <v>613.0866730955991</v>
      </c>
      <c r="AA1061" s="20" t="n">
        <v>29.7498676678468</v>
      </c>
      <c r="AB1061" t="n">
        <v>0.04943214867147366</v>
      </c>
      <c r="AC1061" t="n">
        <v>30.38532996001998</v>
      </c>
      <c r="AD1061" t="n">
        <v>25.68015918212387</v>
      </c>
    </row>
    <row r="1062">
      <c r="A1062" t="n">
        <v>1061</v>
      </c>
      <c r="B1062" t="n">
        <v>62.4</v>
      </c>
      <c r="C1062" s="21">
        <f>B1062-20</f>
        <v/>
      </c>
      <c r="D1062" t="n">
        <v>104.3</v>
      </c>
      <c r="E1062" s="22">
        <f>D1062-90</f>
        <v/>
      </c>
      <c r="F1062" s="23" t="n">
        <v>0.013626</v>
      </c>
      <c r="G1062" s="22" t="n">
        <v>22.9</v>
      </c>
      <c r="H1062" s="22" t="n">
        <v>1.7</v>
      </c>
      <c r="I1062" s="24" t="n">
        <v>0.0999604687094688</v>
      </c>
      <c r="J1062" s="6" t="n">
        <v>71000</v>
      </c>
      <c r="K1062" s="25">
        <f>23*10^-6</f>
        <v/>
      </c>
      <c r="L1062" s="8">
        <f>H1062</f>
        <v/>
      </c>
      <c r="M1062" s="26">
        <f>H1062^2/6</f>
        <v/>
      </c>
      <c r="N1062" s="26">
        <f>H1062^3/12</f>
        <v/>
      </c>
      <c r="O1062" s="27">
        <f>-J1062*L1062*K1062*C1062</f>
        <v/>
      </c>
      <c r="P1062" s="28">
        <f>-(12*F1062*J1062*L1062*N1062+12*O1062*N1062*G1062*COS(RADIANS(E1062)))/(12*N1062*G1062*COS(RADIANS(E1062))^2+L1062*G1062^3*SIN(RADIANS(E1062))^2)</f>
        <v/>
      </c>
      <c r="Q1062" s="28">
        <f>-(6*F1062*J1062*L1062*N1062*SIN(RADIANS(E1062))+6*O1062*N1062*G1062*SIN(RADIANS(E1062))*COS(RADIANS(E1062)))/(12*N1062*COS(RADIANS(E1062))^2+L1062*G1062^2*SIN(RADIANS(E1062))^2)</f>
        <v/>
      </c>
      <c r="R1062" s="28">
        <f>-P1062*SIN(RADIANS(E1062))</f>
        <v/>
      </c>
      <c r="S1062" s="8">
        <f>(O1062+P1062*COS(RADIANS(E1062)))/L1062</f>
        <v/>
      </c>
      <c r="T1062" s="8">
        <f>R1062/L1062</f>
        <v/>
      </c>
      <c r="U1062" s="8">
        <f>(Q1062-P1062*G1062*SIN(RADIANS(E1062)))/M1062</f>
        <v/>
      </c>
      <c r="V1062" s="8">
        <f>SQRT((S1062+U1062)^2+3*T1062^2)</f>
        <v/>
      </c>
      <c r="W1062" s="8">
        <f>V1062/AA1062</f>
        <v/>
      </c>
      <c r="X1062" s="27">
        <f>((3*10+H1062/COS(RADIANS(E1062)))*(3+3)+3*G1062*H1062)*2</f>
        <v/>
      </c>
      <c r="Y1062" s="28">
        <f>Z1062/X1062</f>
        <v/>
      </c>
      <c r="Z1062" s="29" t="n">
        <v>618.833318954083</v>
      </c>
      <c r="AA1062" s="20" t="n">
        <v>73.5046853920971</v>
      </c>
      <c r="AB1062" t="n">
        <v>0.1323505499985189</v>
      </c>
      <c r="AC1062" t="n">
        <v>72.28869332522873</v>
      </c>
      <c r="AD1062" t="n">
        <v>32.40289056986182</v>
      </c>
    </row>
    <row r="1063">
      <c r="A1063" t="n">
        <v>1062</v>
      </c>
      <c r="B1063" t="n">
        <v>52.3</v>
      </c>
      <c r="C1063" s="21">
        <f>B1063-20</f>
        <v/>
      </c>
      <c r="D1063" t="n">
        <v>117.2</v>
      </c>
      <c r="E1063" s="22">
        <f>D1063-90</f>
        <v/>
      </c>
      <c r="F1063" s="23" t="n">
        <v>0.010135</v>
      </c>
      <c r="G1063" s="22" t="n">
        <v>24.2</v>
      </c>
      <c r="H1063" s="22" t="n">
        <v>1.7</v>
      </c>
      <c r="I1063" s="24" t="n">
        <v>0.0509102791547775</v>
      </c>
      <c r="J1063" s="6" t="n">
        <v>71000</v>
      </c>
      <c r="K1063" s="25">
        <f>23*10^-6</f>
        <v/>
      </c>
      <c r="L1063" s="8">
        <f>H1063</f>
        <v/>
      </c>
      <c r="M1063" s="26">
        <f>H1063^2/6</f>
        <v/>
      </c>
      <c r="N1063" s="26">
        <f>H1063^3/12</f>
        <v/>
      </c>
      <c r="O1063" s="27">
        <f>-J1063*L1063*K1063*C1063</f>
        <v/>
      </c>
      <c r="P1063" s="28">
        <f>-(12*F1063*J1063*L1063*N1063+12*O1063*N1063*G1063*COS(RADIANS(E1063)))/(12*N1063*G1063*COS(RADIANS(E1063))^2+L1063*G1063^3*SIN(RADIANS(E1063))^2)</f>
        <v/>
      </c>
      <c r="Q1063" s="28">
        <f>-(6*F1063*J1063*L1063*N1063*SIN(RADIANS(E1063))+6*O1063*N1063*G1063*SIN(RADIANS(E1063))*COS(RADIANS(E1063)))/(12*N1063*COS(RADIANS(E1063))^2+L1063*G1063^2*SIN(RADIANS(E1063))^2)</f>
        <v/>
      </c>
      <c r="R1063" s="28">
        <f>-P1063*SIN(RADIANS(E1063))</f>
        <v/>
      </c>
      <c r="S1063" s="8">
        <f>(O1063+P1063*COS(RADIANS(E1063)))/L1063</f>
        <v/>
      </c>
      <c r="T1063" s="8">
        <f>R1063/L1063</f>
        <v/>
      </c>
      <c r="U1063" s="8">
        <f>(Q1063-P1063*G1063*SIN(RADIANS(E1063)))/M1063</f>
        <v/>
      </c>
      <c r="V1063" s="8">
        <f>SQRT((S1063+U1063)^2+3*T1063^2)</f>
        <v/>
      </c>
      <c r="W1063" s="8">
        <f>V1063/AA1063</f>
        <v/>
      </c>
      <c r="X1063" s="27">
        <f>((3*10+H1063/COS(RADIANS(E1063)))*(3+3)+3*G1063*H1063)*2</f>
        <v/>
      </c>
      <c r="Y1063" s="28">
        <f>Z1063/X1063</f>
        <v/>
      </c>
      <c r="Z1063" s="29" t="n">
        <v>636.194005638326</v>
      </c>
      <c r="AA1063" s="20" t="n">
        <v>51.8072060228402</v>
      </c>
      <c r="AB1063" t="n">
        <v>0.05787282016117515</v>
      </c>
      <c r="AC1063" t="n">
        <v>49.48686416122584</v>
      </c>
      <c r="AD1063" t="n">
        <v>13.67610062641796</v>
      </c>
    </row>
    <row r="1064">
      <c r="A1064" t="n">
        <v>1063</v>
      </c>
      <c r="B1064" t="n">
        <v>89.3</v>
      </c>
      <c r="C1064" s="21">
        <f>B1064-20</f>
        <v/>
      </c>
      <c r="D1064" t="n">
        <v>117.5</v>
      </c>
      <c r="E1064" s="22">
        <f>D1064-90</f>
        <v/>
      </c>
      <c r="F1064" s="23" t="n">
        <v>0.027094</v>
      </c>
      <c r="G1064" s="22" t="n">
        <v>31.9</v>
      </c>
      <c r="H1064" s="22" t="n">
        <v>1.6</v>
      </c>
      <c r="I1064" s="24" t="n">
        <v>0.130260735750198</v>
      </c>
      <c r="J1064" s="6" t="n">
        <v>71000</v>
      </c>
      <c r="K1064" s="25">
        <f>23*10^-6</f>
        <v/>
      </c>
      <c r="L1064" s="8">
        <f>H1064</f>
        <v/>
      </c>
      <c r="M1064" s="26">
        <f>H1064^2/6</f>
        <v/>
      </c>
      <c r="N1064" s="26">
        <f>H1064^3/12</f>
        <v/>
      </c>
      <c r="O1064" s="27">
        <f>-J1064*L1064*K1064*C1064</f>
        <v/>
      </c>
      <c r="P1064" s="28">
        <f>-(12*F1064*J1064*L1064*N1064+12*O1064*N1064*G1064*COS(RADIANS(E1064)))/(12*N1064*G1064*COS(RADIANS(E1064))^2+L1064*G1064^3*SIN(RADIANS(E1064))^2)</f>
        <v/>
      </c>
      <c r="Q1064" s="28">
        <f>-(6*F1064*J1064*L1064*N1064*SIN(RADIANS(E1064))+6*O1064*N1064*G1064*SIN(RADIANS(E1064))*COS(RADIANS(E1064)))/(12*N1064*COS(RADIANS(E1064))^2+L1064*G1064^2*SIN(RADIANS(E1064))^2)</f>
        <v/>
      </c>
      <c r="R1064" s="28">
        <f>-P1064*SIN(RADIANS(E1064))</f>
        <v/>
      </c>
      <c r="S1064" s="8">
        <f>(O1064+P1064*COS(RADIANS(E1064)))/L1064</f>
        <v/>
      </c>
      <c r="T1064" s="8">
        <f>R1064/L1064</f>
        <v/>
      </c>
      <c r="U1064" s="8">
        <f>(Q1064-P1064*G1064*SIN(RADIANS(E1064)))/M1064</f>
        <v/>
      </c>
      <c r="V1064" s="8">
        <f>SQRT((S1064+U1064)^2+3*T1064^2)</f>
        <v/>
      </c>
      <c r="W1064" s="8">
        <f>V1064/AA1064</f>
        <v/>
      </c>
      <c r="X1064" s="27">
        <f>((3*10+H1064/COS(RADIANS(E1064)))*(3+3)+3*G1064*H1064)*2</f>
        <v/>
      </c>
      <c r="Y1064" s="28">
        <f>Z1064/X1064</f>
        <v/>
      </c>
      <c r="Z1064" s="29" t="n">
        <v>694.376529490266</v>
      </c>
      <c r="AA1064" s="20" t="n">
        <v>105.459713809917</v>
      </c>
      <c r="AB1064" t="n">
        <v>0.1605411809332061</v>
      </c>
      <c r="AC1064" t="n">
        <v>103.3795760346242</v>
      </c>
      <c r="AD1064" t="n">
        <v>23.24602652412246</v>
      </c>
    </row>
    <row r="1065">
      <c r="A1065" t="n">
        <v>1064</v>
      </c>
      <c r="B1065" t="n">
        <v>72.2</v>
      </c>
      <c r="C1065" s="21">
        <f>B1065-20</f>
        <v/>
      </c>
      <c r="D1065" t="n">
        <v>118.2</v>
      </c>
      <c r="E1065" s="22">
        <f>D1065-90</f>
        <v/>
      </c>
      <c r="F1065" s="23" t="n">
        <v>0.018622</v>
      </c>
      <c r="G1065" s="22" t="n">
        <v>28.7</v>
      </c>
      <c r="H1065" s="22" t="n">
        <v>1</v>
      </c>
      <c r="I1065" s="24" t="n">
        <v>0.0897058099508285</v>
      </c>
      <c r="J1065" s="6" t="n">
        <v>71000</v>
      </c>
      <c r="K1065" s="25">
        <f>23*10^-6</f>
        <v/>
      </c>
      <c r="L1065" s="8">
        <f>H1065</f>
        <v/>
      </c>
      <c r="M1065" s="26">
        <f>H1065^2/6</f>
        <v/>
      </c>
      <c r="N1065" s="26">
        <f>H1065^3/12</f>
        <v/>
      </c>
      <c r="O1065" s="27">
        <f>-J1065*L1065*K1065*C1065</f>
        <v/>
      </c>
      <c r="P1065" s="28">
        <f>-(12*F1065*J1065*L1065*N1065+12*O1065*N1065*G1065*COS(RADIANS(E1065)))/(12*N1065*G1065*COS(RADIANS(E1065))^2+L1065*G1065^3*SIN(RADIANS(E1065))^2)</f>
        <v/>
      </c>
      <c r="Q1065" s="28">
        <f>-(6*F1065*J1065*L1065*N1065*SIN(RADIANS(E1065))+6*O1065*N1065*G1065*SIN(RADIANS(E1065))*COS(RADIANS(E1065)))/(12*N1065*COS(RADIANS(E1065))^2+L1065*G1065^2*SIN(RADIANS(E1065))^2)</f>
        <v/>
      </c>
      <c r="R1065" s="28">
        <f>-P1065*SIN(RADIANS(E1065))</f>
        <v/>
      </c>
      <c r="S1065" s="8">
        <f>(O1065+P1065*COS(RADIANS(E1065)))/L1065</f>
        <v/>
      </c>
      <c r="T1065" s="8">
        <f>R1065/L1065</f>
        <v/>
      </c>
      <c r="U1065" s="8">
        <f>(Q1065-P1065*G1065*SIN(RADIANS(E1065)))/M1065</f>
        <v/>
      </c>
      <c r="V1065" s="8">
        <f>SQRT((S1065+U1065)^2+3*T1065^2)</f>
        <v/>
      </c>
      <c r="W1065" s="8">
        <f>V1065/AA1065</f>
        <v/>
      </c>
      <c r="X1065" s="27">
        <f>((3*10+H1065/COS(RADIANS(E1065)))*(3+3)+3*G1065*H1065)*2</f>
        <v/>
      </c>
      <c r="Y1065" s="28">
        <f>Z1065/X1065</f>
        <v/>
      </c>
      <c r="Z1065" s="29" t="n">
        <v>552.48221555156</v>
      </c>
      <c r="AA1065" s="20" t="n">
        <v>70.4939789232327</v>
      </c>
      <c r="AB1065" t="n">
        <v>0.1071528966000355</v>
      </c>
      <c r="AC1065" t="n">
        <v>75.26107540222517</v>
      </c>
      <c r="AD1065" t="n">
        <v>19.44922704423551</v>
      </c>
    </row>
    <row r="1066">
      <c r="A1066" t="n">
        <v>1065</v>
      </c>
      <c r="B1066" t="n">
        <v>43.5</v>
      </c>
      <c r="C1066" s="21">
        <f>B1066-20</f>
        <v/>
      </c>
      <c r="D1066" t="n">
        <v>117</v>
      </c>
      <c r="E1066" s="22">
        <f>D1066-90</f>
        <v/>
      </c>
      <c r="F1066" s="23" t="n">
        <v>0.007718</v>
      </c>
      <c r="G1066" s="22" t="n">
        <v>25.6</v>
      </c>
      <c r="H1066" s="22" t="n">
        <v>1.3</v>
      </c>
      <c r="I1066" s="24" t="n">
        <v>0.0386390835046768</v>
      </c>
      <c r="J1066" s="6" t="n">
        <v>71000</v>
      </c>
      <c r="K1066" s="25">
        <f>23*10^-6</f>
        <v/>
      </c>
      <c r="L1066" s="8">
        <f>H1066</f>
        <v/>
      </c>
      <c r="M1066" s="26">
        <f>H1066^2/6</f>
        <v/>
      </c>
      <c r="N1066" s="26">
        <f>H1066^3/12</f>
        <v/>
      </c>
      <c r="O1066" s="27">
        <f>-J1066*L1066*K1066*C1066</f>
        <v/>
      </c>
      <c r="P1066" s="28">
        <f>-(12*F1066*J1066*L1066*N1066+12*O1066*N1066*G1066*COS(RADIANS(E1066)))/(12*N1066*G1066*COS(RADIANS(E1066))^2+L1066*G1066^3*SIN(RADIANS(E1066))^2)</f>
        <v/>
      </c>
      <c r="Q1066" s="28">
        <f>-(6*F1066*J1066*L1066*N1066*SIN(RADIANS(E1066))+6*O1066*N1066*G1066*SIN(RADIANS(E1066))*COS(RADIANS(E1066)))/(12*N1066*COS(RADIANS(E1066))^2+L1066*G1066^2*SIN(RADIANS(E1066))^2)</f>
        <v/>
      </c>
      <c r="R1066" s="28">
        <f>-P1066*SIN(RADIANS(E1066))</f>
        <v/>
      </c>
      <c r="S1066" s="8">
        <f>(O1066+P1066*COS(RADIANS(E1066)))/L1066</f>
        <v/>
      </c>
      <c r="T1066" s="8">
        <f>R1066/L1066</f>
        <v/>
      </c>
      <c r="U1066" s="8">
        <f>(Q1066-P1066*G1066*SIN(RADIANS(E1066)))/M1066</f>
        <v/>
      </c>
      <c r="V1066" s="8">
        <f>SQRT((S1066+U1066)^2+3*T1066^2)</f>
        <v/>
      </c>
      <c r="W1066" s="8">
        <f>V1066/AA1066</f>
        <v/>
      </c>
      <c r="X1066" s="27">
        <f>((3*10+H1066/COS(RADIANS(E1066)))*(3+3)+3*G1066*H1066)*2</f>
        <v/>
      </c>
      <c r="Y1066" s="28">
        <f>Z1066/X1066</f>
        <v/>
      </c>
      <c r="Z1066" s="29" t="n">
        <v>583.557748395963</v>
      </c>
      <c r="AA1066" s="20" t="n">
        <v>34.6003562638737</v>
      </c>
      <c r="AB1066" t="n">
        <v>0.04513845023324094</v>
      </c>
      <c r="AC1066" t="n">
        <v>34.94189282306276</v>
      </c>
      <c r="AD1066" t="n">
        <v>16.82070623589577</v>
      </c>
    </row>
    <row r="1067">
      <c r="A1067" t="n">
        <v>1066</v>
      </c>
      <c r="B1067" t="n">
        <v>52.7</v>
      </c>
      <c r="C1067" s="21">
        <f>B1067-20</f>
        <v/>
      </c>
      <c r="D1067" t="n">
        <v>103.7</v>
      </c>
      <c r="E1067" s="22">
        <f>D1067-90</f>
        <v/>
      </c>
      <c r="F1067" s="23" t="n">
        <v>0.010639</v>
      </c>
      <c r="G1067" s="22" t="n">
        <v>23.2</v>
      </c>
      <c r="H1067" s="22" t="n">
        <v>1.2</v>
      </c>
      <c r="I1067" s="24" t="n">
        <v>0.0827805548906326</v>
      </c>
      <c r="J1067" s="6" t="n">
        <v>71000</v>
      </c>
      <c r="K1067" s="25">
        <f>23*10^-6</f>
        <v/>
      </c>
      <c r="L1067" s="8">
        <f>H1067</f>
        <v/>
      </c>
      <c r="M1067" s="26">
        <f>H1067^2/6</f>
        <v/>
      </c>
      <c r="N1067" s="26">
        <f>H1067^3/12</f>
        <v/>
      </c>
      <c r="O1067" s="27">
        <f>-J1067*L1067*K1067*C1067</f>
        <v/>
      </c>
      <c r="P1067" s="28">
        <f>-(12*F1067*J1067*L1067*N1067+12*O1067*N1067*G1067*COS(RADIANS(E1067)))/(12*N1067*G1067*COS(RADIANS(E1067))^2+L1067*G1067^3*SIN(RADIANS(E1067))^2)</f>
        <v/>
      </c>
      <c r="Q1067" s="28">
        <f>-(6*F1067*J1067*L1067*N1067*SIN(RADIANS(E1067))+6*O1067*N1067*G1067*SIN(RADIANS(E1067))*COS(RADIANS(E1067)))/(12*N1067*COS(RADIANS(E1067))^2+L1067*G1067^2*SIN(RADIANS(E1067))^2)</f>
        <v/>
      </c>
      <c r="R1067" s="28">
        <f>-P1067*SIN(RADIANS(E1067))</f>
        <v/>
      </c>
      <c r="S1067" s="8">
        <f>(O1067+P1067*COS(RADIANS(E1067)))/L1067</f>
        <v/>
      </c>
      <c r="T1067" s="8">
        <f>R1067/L1067</f>
        <v/>
      </c>
      <c r="U1067" s="8">
        <f>(Q1067-P1067*G1067*SIN(RADIANS(E1067)))/M1067</f>
        <v/>
      </c>
      <c r="V1067" s="8">
        <f>SQRT((S1067+U1067)^2+3*T1067^2)</f>
        <v/>
      </c>
      <c r="W1067" s="8">
        <f>V1067/AA1067</f>
        <v/>
      </c>
      <c r="X1067" s="27">
        <f>((3*10+H1067/COS(RADIANS(E1067)))*(3+3)+3*G1067*H1067)*2</f>
        <v/>
      </c>
      <c r="Y1067" s="28">
        <f>Z1067/X1067</f>
        <v/>
      </c>
      <c r="Z1067" s="29" t="n">
        <v>545.9981363916201</v>
      </c>
      <c r="AA1067" s="20" t="n">
        <v>49.7256976773425</v>
      </c>
      <c r="AB1067" t="n">
        <v>0.1121511323796963</v>
      </c>
      <c r="AC1067" t="n">
        <v>53.17911098474818</v>
      </c>
      <c r="AD1067" t="n">
        <v>35.48004423003361</v>
      </c>
    </row>
    <row r="1068">
      <c r="A1068" t="n">
        <v>1067</v>
      </c>
      <c r="B1068" t="n">
        <v>87.7</v>
      </c>
      <c r="C1068" s="21">
        <f>B1068-20</f>
        <v/>
      </c>
      <c r="D1068" t="n">
        <v>119.4</v>
      </c>
      <c r="E1068" s="22">
        <f>D1068-90</f>
        <v/>
      </c>
      <c r="F1068" s="23" t="n">
        <v>0.023121</v>
      </c>
      <c r="G1068" s="22" t="n">
        <v>27.5</v>
      </c>
      <c r="H1068" s="22" t="n">
        <v>1.4</v>
      </c>
      <c r="I1068" s="24" t="n">
        <v>0.110065013170242</v>
      </c>
      <c r="J1068" s="6" t="n">
        <v>71000</v>
      </c>
      <c r="K1068" s="25">
        <f>23*10^-6</f>
        <v/>
      </c>
      <c r="L1068" s="8">
        <f>H1068</f>
        <v/>
      </c>
      <c r="M1068" s="26">
        <f>H1068^2/6</f>
        <v/>
      </c>
      <c r="N1068" s="26">
        <f>H1068^3/12</f>
        <v/>
      </c>
      <c r="O1068" s="27">
        <f>-J1068*L1068*K1068*C1068</f>
        <v/>
      </c>
      <c r="P1068" s="28">
        <f>-(12*F1068*J1068*L1068*N1068+12*O1068*N1068*G1068*COS(RADIANS(E1068)))/(12*N1068*G1068*COS(RADIANS(E1068))^2+L1068*G1068^3*SIN(RADIANS(E1068))^2)</f>
        <v/>
      </c>
      <c r="Q1068" s="28">
        <f>-(6*F1068*J1068*L1068*N1068*SIN(RADIANS(E1068))+6*O1068*N1068*G1068*SIN(RADIANS(E1068))*COS(RADIANS(E1068)))/(12*N1068*COS(RADIANS(E1068))^2+L1068*G1068^2*SIN(RADIANS(E1068))^2)</f>
        <v/>
      </c>
      <c r="R1068" s="28">
        <f>-P1068*SIN(RADIANS(E1068))</f>
        <v/>
      </c>
      <c r="S1068" s="8">
        <f>(O1068+P1068*COS(RADIANS(E1068)))/L1068</f>
        <v/>
      </c>
      <c r="T1068" s="8">
        <f>R1068/L1068</f>
        <v/>
      </c>
      <c r="U1068" s="8">
        <f>(Q1068-P1068*G1068*SIN(RADIANS(E1068)))/M1068</f>
        <v/>
      </c>
      <c r="V1068" s="8">
        <f>SQRT((S1068+U1068)^2+3*T1068^2)</f>
        <v/>
      </c>
      <c r="W1068" s="8">
        <f>V1068/AA1068</f>
        <v/>
      </c>
      <c r="X1068" s="27">
        <f>((3*10+H1068/COS(RADIANS(E1068)))*(3+3)+3*G1068*H1068)*2</f>
        <v/>
      </c>
      <c r="Y1068" s="28">
        <f>Z1068/X1068</f>
        <v/>
      </c>
      <c r="Z1068" s="29" t="n">
        <v>617.264842894</v>
      </c>
      <c r="AA1068" s="20" t="n">
        <v>99.9714897372893</v>
      </c>
      <c r="AB1068" t="n">
        <v>0.1271170428895053</v>
      </c>
      <c r="AC1068" t="n">
        <v>99.94477834392636</v>
      </c>
      <c r="AD1068" t="n">
        <v>15.49268857387792</v>
      </c>
    </row>
    <row r="1069">
      <c r="A1069" t="n">
        <v>1068</v>
      </c>
      <c r="B1069" t="n">
        <v>42.6</v>
      </c>
      <c r="C1069" s="21">
        <f>B1069-20</f>
        <v/>
      </c>
      <c r="D1069" t="n">
        <v>127.7</v>
      </c>
      <c r="E1069" s="22">
        <f>D1069-90</f>
        <v/>
      </c>
      <c r="F1069" s="23" t="n">
        <v>0.005725</v>
      </c>
      <c r="G1069" s="22" t="n">
        <v>20.5</v>
      </c>
      <c r="H1069" s="22" t="n">
        <v>1.8</v>
      </c>
      <c r="I1069" s="24" t="n">
        <v>0.0262956582009792</v>
      </c>
      <c r="J1069" s="6" t="n">
        <v>71000</v>
      </c>
      <c r="K1069" s="25">
        <f>23*10^-6</f>
        <v/>
      </c>
      <c r="L1069" s="8">
        <f>H1069</f>
        <v/>
      </c>
      <c r="M1069" s="26">
        <f>H1069^2/6</f>
        <v/>
      </c>
      <c r="N1069" s="26">
        <f>H1069^3/12</f>
        <v/>
      </c>
      <c r="O1069" s="27">
        <f>-J1069*L1069*K1069*C1069</f>
        <v/>
      </c>
      <c r="P1069" s="28">
        <f>-(12*F1069*J1069*L1069*N1069+12*O1069*N1069*G1069*COS(RADIANS(E1069)))/(12*N1069*G1069*COS(RADIANS(E1069))^2+L1069*G1069^3*SIN(RADIANS(E1069))^2)</f>
        <v/>
      </c>
      <c r="Q1069" s="28">
        <f>-(6*F1069*J1069*L1069*N1069*SIN(RADIANS(E1069))+6*O1069*N1069*G1069*SIN(RADIANS(E1069))*COS(RADIANS(E1069)))/(12*N1069*COS(RADIANS(E1069))^2+L1069*G1069^2*SIN(RADIANS(E1069))^2)</f>
        <v/>
      </c>
      <c r="R1069" s="28">
        <f>-P1069*SIN(RADIANS(E1069))</f>
        <v/>
      </c>
      <c r="S1069" s="8">
        <f>(O1069+P1069*COS(RADIANS(E1069)))/L1069</f>
        <v/>
      </c>
      <c r="T1069" s="8">
        <f>R1069/L1069</f>
        <v/>
      </c>
      <c r="U1069" s="8">
        <f>(Q1069-P1069*G1069*SIN(RADIANS(E1069)))/M1069</f>
        <v/>
      </c>
      <c r="V1069" s="8">
        <f>SQRT((S1069+U1069)^2+3*T1069^2)</f>
        <v/>
      </c>
      <c r="W1069" s="8">
        <f>V1069/AA1069</f>
        <v/>
      </c>
      <c r="X1069" s="27">
        <f>((3*10+H1069/COS(RADIANS(E1069)))*(3+3)+3*G1069*H1069)*2</f>
        <v/>
      </c>
      <c r="Y1069" s="28">
        <f>Z1069/X1069</f>
        <v/>
      </c>
      <c r="Z1069" s="29" t="n">
        <v>618.465888917883</v>
      </c>
      <c r="AA1069" s="20" t="n">
        <v>36.5043788002781</v>
      </c>
      <c r="AB1069" t="n">
        <v>0.02445928352146561</v>
      </c>
      <c r="AC1069" t="n">
        <v>33.50934476984943</v>
      </c>
      <c r="AD1069" t="n">
        <v>-6.983566128971079</v>
      </c>
    </row>
    <row r="1070">
      <c r="A1070" t="n">
        <v>1069</v>
      </c>
      <c r="B1070" t="n">
        <v>41.4</v>
      </c>
      <c r="C1070" s="21">
        <f>B1070-20</f>
        <v/>
      </c>
      <c r="D1070" t="n">
        <v>121.1</v>
      </c>
      <c r="E1070" s="22">
        <f>D1070-90</f>
        <v/>
      </c>
      <c r="F1070" s="23" t="n">
        <v>0.007355</v>
      </c>
      <c r="G1070" s="22" t="n">
        <v>28.2</v>
      </c>
      <c r="H1070" s="22" t="n">
        <v>1.7</v>
      </c>
      <c r="I1070" s="24" t="n">
        <v>0.0340912342071533</v>
      </c>
      <c r="J1070" s="6" t="n">
        <v>71000</v>
      </c>
      <c r="K1070" s="25">
        <f>23*10^-6</f>
        <v/>
      </c>
      <c r="L1070" s="8">
        <f>H1070</f>
        <v/>
      </c>
      <c r="M1070" s="26">
        <f>H1070^2/6</f>
        <v/>
      </c>
      <c r="N1070" s="26">
        <f>H1070^3/12</f>
        <v/>
      </c>
      <c r="O1070" s="27">
        <f>-J1070*L1070*K1070*C1070</f>
        <v/>
      </c>
      <c r="P1070" s="28">
        <f>-(12*F1070*J1070*L1070*N1070+12*O1070*N1070*G1070*COS(RADIANS(E1070)))/(12*N1070*G1070*COS(RADIANS(E1070))^2+L1070*G1070^3*SIN(RADIANS(E1070))^2)</f>
        <v/>
      </c>
      <c r="Q1070" s="28">
        <f>-(6*F1070*J1070*L1070*N1070*SIN(RADIANS(E1070))+6*O1070*N1070*G1070*SIN(RADIANS(E1070))*COS(RADIANS(E1070)))/(12*N1070*COS(RADIANS(E1070))^2+L1070*G1070^2*SIN(RADIANS(E1070))^2)</f>
        <v/>
      </c>
      <c r="R1070" s="28">
        <f>-P1070*SIN(RADIANS(E1070))</f>
        <v/>
      </c>
      <c r="S1070" s="8">
        <f>(O1070+P1070*COS(RADIANS(E1070)))/L1070</f>
        <v/>
      </c>
      <c r="T1070" s="8">
        <f>R1070/L1070</f>
        <v/>
      </c>
      <c r="U1070" s="8">
        <f>(Q1070-P1070*G1070*SIN(RADIANS(E1070)))/M1070</f>
        <v/>
      </c>
      <c r="V1070" s="8">
        <f>SQRT((S1070+U1070)^2+3*T1070^2)</f>
        <v/>
      </c>
      <c r="W1070" s="8">
        <f>V1070/AA1070</f>
        <v/>
      </c>
      <c r="X1070" s="27">
        <f>((3*10+H1070/COS(RADIANS(E1070)))*(3+3)+3*G1070*H1070)*2</f>
        <v/>
      </c>
      <c r="Y1070" s="28">
        <f>Z1070/X1070</f>
        <v/>
      </c>
      <c r="Z1070" s="29" t="n">
        <v>678.926609371114</v>
      </c>
      <c r="AA1070" s="20" t="n">
        <v>33.1582543948985</v>
      </c>
      <c r="AB1070" t="n">
        <v>0.03863325768253179</v>
      </c>
      <c r="AC1070" t="n">
        <v>31.88689989754777</v>
      </c>
      <c r="AD1070" t="n">
        <v>13.32314180172875</v>
      </c>
    </row>
    <row r="1071">
      <c r="A1071" t="n">
        <v>1070</v>
      </c>
      <c r="B1071" t="n">
        <v>57.8</v>
      </c>
      <c r="C1071" s="21">
        <f>B1071-20</f>
        <v/>
      </c>
      <c r="D1071" t="n">
        <v>107.3</v>
      </c>
      <c r="E1071" s="22">
        <f>D1071-90</f>
        <v/>
      </c>
      <c r="F1071" s="23" t="n">
        <v>0.01176</v>
      </c>
      <c r="G1071" s="22" t="n">
        <v>22.3</v>
      </c>
      <c r="H1071" s="22" t="n">
        <v>1.2</v>
      </c>
      <c r="I1071" s="24" t="n">
        <v>0.0782347545027732</v>
      </c>
      <c r="J1071" s="6" t="n">
        <v>71000</v>
      </c>
      <c r="K1071" s="25">
        <f>23*10^-6</f>
        <v/>
      </c>
      <c r="L1071" s="8">
        <f>H1071</f>
        <v/>
      </c>
      <c r="M1071" s="26">
        <f>H1071^2/6</f>
        <v/>
      </c>
      <c r="N1071" s="26">
        <f>H1071^3/12</f>
        <v/>
      </c>
      <c r="O1071" s="27">
        <f>-J1071*L1071*K1071*C1071</f>
        <v/>
      </c>
      <c r="P1071" s="28">
        <f>-(12*F1071*J1071*L1071*N1071+12*O1071*N1071*G1071*COS(RADIANS(E1071)))/(12*N1071*G1071*COS(RADIANS(E1071))^2+L1071*G1071^3*SIN(RADIANS(E1071))^2)</f>
        <v/>
      </c>
      <c r="Q1071" s="28">
        <f>-(6*F1071*J1071*L1071*N1071*SIN(RADIANS(E1071))+6*O1071*N1071*G1071*SIN(RADIANS(E1071))*COS(RADIANS(E1071)))/(12*N1071*COS(RADIANS(E1071))^2+L1071*G1071^2*SIN(RADIANS(E1071))^2)</f>
        <v/>
      </c>
      <c r="R1071" s="28">
        <f>-P1071*SIN(RADIANS(E1071))</f>
        <v/>
      </c>
      <c r="S1071" s="8">
        <f>(O1071+P1071*COS(RADIANS(E1071)))/L1071</f>
        <v/>
      </c>
      <c r="T1071" s="8">
        <f>R1071/L1071</f>
        <v/>
      </c>
      <c r="U1071" s="8">
        <f>(Q1071-P1071*G1071*SIN(RADIANS(E1071)))/M1071</f>
        <v/>
      </c>
      <c r="V1071" s="8">
        <f>SQRT((S1071+U1071)^2+3*T1071^2)</f>
        <v/>
      </c>
      <c r="W1071" s="8">
        <f>V1071/AA1071</f>
        <v/>
      </c>
      <c r="X1071" s="27">
        <f>((3*10+H1071/COS(RADIANS(E1071)))*(3+3)+3*G1071*H1071)*2</f>
        <v/>
      </c>
      <c r="Y1071" s="28">
        <f>Z1071/X1071</f>
        <v/>
      </c>
      <c r="Z1071" s="29" t="n">
        <v>540.213127316428</v>
      </c>
      <c r="AA1071" s="20" t="n">
        <v>56.4898902310415</v>
      </c>
      <c r="AB1071" t="n">
        <v>0.09986370505356552</v>
      </c>
      <c r="AC1071" t="n">
        <v>59.55200476992029</v>
      </c>
      <c r="AD1071" t="n">
        <v>27.64621770497872</v>
      </c>
    </row>
    <row r="1072">
      <c r="A1072" t="n">
        <v>1071</v>
      </c>
      <c r="B1072" t="n">
        <v>41.1</v>
      </c>
      <c r="C1072" s="21">
        <f>B1072-20</f>
        <v/>
      </c>
      <c r="D1072" t="n">
        <v>100.4</v>
      </c>
      <c r="E1072" s="22">
        <f>D1072-90</f>
        <v/>
      </c>
      <c r="F1072" s="23" t="n">
        <v>0.006695</v>
      </c>
      <c r="G1072" s="22" t="n">
        <v>22.2</v>
      </c>
      <c r="H1072" s="22" t="n">
        <v>1.2</v>
      </c>
      <c r="I1072" s="24" t="n">
        <v>0.06314507871866221</v>
      </c>
      <c r="J1072" s="6" t="n">
        <v>71000</v>
      </c>
      <c r="K1072" s="25">
        <f>23*10^-6</f>
        <v/>
      </c>
      <c r="L1072" s="8">
        <f>H1072</f>
        <v/>
      </c>
      <c r="M1072" s="26">
        <f>H1072^2/6</f>
        <v/>
      </c>
      <c r="N1072" s="26">
        <f>H1072^3/12</f>
        <v/>
      </c>
      <c r="O1072" s="27">
        <f>-J1072*L1072*K1072*C1072</f>
        <v/>
      </c>
      <c r="P1072" s="28">
        <f>-(12*F1072*J1072*L1072*N1072+12*O1072*N1072*G1072*COS(RADIANS(E1072)))/(12*N1072*G1072*COS(RADIANS(E1072))^2+L1072*G1072^3*SIN(RADIANS(E1072))^2)</f>
        <v/>
      </c>
      <c r="Q1072" s="28">
        <f>-(6*F1072*J1072*L1072*N1072*SIN(RADIANS(E1072))+6*O1072*N1072*G1072*SIN(RADIANS(E1072))*COS(RADIANS(E1072)))/(12*N1072*COS(RADIANS(E1072))^2+L1072*G1072^2*SIN(RADIANS(E1072))^2)</f>
        <v/>
      </c>
      <c r="R1072" s="28">
        <f>-P1072*SIN(RADIANS(E1072))</f>
        <v/>
      </c>
      <c r="S1072" s="8">
        <f>(O1072+P1072*COS(RADIANS(E1072)))/L1072</f>
        <v/>
      </c>
      <c r="T1072" s="8">
        <f>R1072/L1072</f>
        <v/>
      </c>
      <c r="U1072" s="8">
        <f>(Q1072-P1072*G1072*SIN(RADIANS(E1072)))/M1072</f>
        <v/>
      </c>
      <c r="V1072" s="8">
        <f>SQRT((S1072+U1072)^2+3*T1072^2)</f>
        <v/>
      </c>
      <c r="W1072" s="8">
        <f>V1072/AA1072</f>
        <v/>
      </c>
      <c r="X1072" s="27">
        <f>((3*10+H1072/COS(RADIANS(E1072)))*(3+3)+3*G1072*H1072)*2</f>
        <v/>
      </c>
      <c r="Y1072" s="28">
        <f>Z1072/X1072</f>
        <v/>
      </c>
      <c r="Z1072" s="29" t="n">
        <v>538.315022044421</v>
      </c>
      <c r="AA1072" s="20" t="n">
        <v>35.4846623318761</v>
      </c>
      <c r="AB1072" t="n">
        <v>0.0883889541628527</v>
      </c>
      <c r="AC1072" t="n">
        <v>35.99066284290571</v>
      </c>
      <c r="AD1072" t="n">
        <v>39.97758171569084</v>
      </c>
    </row>
    <row r="1073">
      <c r="A1073" t="n">
        <v>1072</v>
      </c>
      <c r="B1073" t="n">
        <v>78.3</v>
      </c>
      <c r="C1073" s="21">
        <f>B1073-20</f>
        <v/>
      </c>
      <c r="D1073" t="n">
        <v>106</v>
      </c>
      <c r="E1073" s="22">
        <f>D1073-90</f>
        <v/>
      </c>
      <c r="F1073" s="23" t="n">
        <v>0.021173</v>
      </c>
      <c r="G1073" s="22" t="n">
        <v>26.9</v>
      </c>
      <c r="H1073" s="22" t="n">
        <v>1.3</v>
      </c>
      <c r="I1073" s="24" t="n">
        <v>0.145487621426582</v>
      </c>
      <c r="J1073" s="6" t="n">
        <v>71000</v>
      </c>
      <c r="K1073" s="25">
        <f>23*10^-6</f>
        <v/>
      </c>
      <c r="L1073" s="8">
        <f>H1073</f>
        <v/>
      </c>
      <c r="M1073" s="26">
        <f>H1073^2/6</f>
        <v/>
      </c>
      <c r="N1073" s="26">
        <f>H1073^3/12</f>
        <v/>
      </c>
      <c r="O1073" s="27">
        <f>-J1073*L1073*K1073*C1073</f>
        <v/>
      </c>
      <c r="P1073" s="28">
        <f>-(12*F1073*J1073*L1073*N1073+12*O1073*N1073*G1073*COS(RADIANS(E1073)))/(12*N1073*G1073*COS(RADIANS(E1073))^2+L1073*G1073^3*SIN(RADIANS(E1073))^2)</f>
        <v/>
      </c>
      <c r="Q1073" s="28">
        <f>-(6*F1073*J1073*L1073*N1073*SIN(RADIANS(E1073))+6*O1073*N1073*G1073*SIN(RADIANS(E1073))*COS(RADIANS(E1073)))/(12*N1073*COS(RADIANS(E1073))^2+L1073*G1073^2*SIN(RADIANS(E1073))^2)</f>
        <v/>
      </c>
      <c r="R1073" s="28">
        <f>-P1073*SIN(RADIANS(E1073))</f>
        <v/>
      </c>
      <c r="S1073" s="8">
        <f>(O1073+P1073*COS(RADIANS(E1073)))/L1073</f>
        <v/>
      </c>
      <c r="T1073" s="8">
        <f>R1073/L1073</f>
        <v/>
      </c>
      <c r="U1073" s="8">
        <f>(Q1073-P1073*G1073*SIN(RADIANS(E1073)))/M1073</f>
        <v/>
      </c>
      <c r="V1073" s="8">
        <f>SQRT((S1073+U1073)^2+3*T1073^2)</f>
        <v/>
      </c>
      <c r="W1073" s="8">
        <f>V1073/AA1073</f>
        <v/>
      </c>
      <c r="X1073" s="27">
        <f>((3*10+H1073/COS(RADIANS(E1073)))*(3+3)+3*G1073*H1073)*2</f>
        <v/>
      </c>
      <c r="Y1073" s="28">
        <f>Z1073/X1073</f>
        <v/>
      </c>
      <c r="Z1073" s="29" t="n">
        <v>590.449487045759</v>
      </c>
      <c r="AA1073" s="20" t="n">
        <v>88.23493330078411</v>
      </c>
      <c r="AB1073" t="n">
        <v>0.1988800417438643</v>
      </c>
      <c r="AC1073" t="n">
        <v>92.45148650344922</v>
      </c>
      <c r="AD1073" t="n">
        <v>36.69894372713068</v>
      </c>
    </row>
    <row r="1074">
      <c r="A1074" t="n">
        <v>1073</v>
      </c>
      <c r="B1074" t="n">
        <v>62.6</v>
      </c>
      <c r="C1074" s="21">
        <f>B1074-20</f>
        <v/>
      </c>
      <c r="D1074" t="n">
        <v>115.7</v>
      </c>
      <c r="E1074" s="22">
        <f>D1074-90</f>
        <v/>
      </c>
      <c r="F1074" s="23" t="n">
        <v>0.014248</v>
      </c>
      <c r="G1074" s="22" t="n">
        <v>25.9</v>
      </c>
      <c r="H1074" s="22" t="n">
        <v>1.9</v>
      </c>
      <c r="I1074" s="24" t="n">
        <v>0.07279710471630089</v>
      </c>
      <c r="J1074" s="6" t="n">
        <v>71000</v>
      </c>
      <c r="K1074" s="25">
        <f>23*10^-6</f>
        <v/>
      </c>
      <c r="L1074" s="8">
        <f>H1074</f>
        <v/>
      </c>
      <c r="M1074" s="26">
        <f>H1074^2/6</f>
        <v/>
      </c>
      <c r="N1074" s="26">
        <f>H1074^3/12</f>
        <v/>
      </c>
      <c r="O1074" s="27">
        <f>-J1074*L1074*K1074*C1074</f>
        <v/>
      </c>
      <c r="P1074" s="28">
        <f>-(12*F1074*J1074*L1074*N1074+12*O1074*N1074*G1074*COS(RADIANS(E1074)))/(12*N1074*G1074*COS(RADIANS(E1074))^2+L1074*G1074^3*SIN(RADIANS(E1074))^2)</f>
        <v/>
      </c>
      <c r="Q1074" s="28">
        <f>-(6*F1074*J1074*L1074*N1074*SIN(RADIANS(E1074))+6*O1074*N1074*G1074*SIN(RADIANS(E1074))*COS(RADIANS(E1074)))/(12*N1074*COS(RADIANS(E1074))^2+L1074*G1074^2*SIN(RADIANS(E1074))^2)</f>
        <v/>
      </c>
      <c r="R1074" s="28">
        <f>-P1074*SIN(RADIANS(E1074))</f>
        <v/>
      </c>
      <c r="S1074" s="8">
        <f>(O1074+P1074*COS(RADIANS(E1074)))/L1074</f>
        <v/>
      </c>
      <c r="T1074" s="8">
        <f>R1074/L1074</f>
        <v/>
      </c>
      <c r="U1074" s="8">
        <f>(Q1074-P1074*G1074*SIN(RADIANS(E1074)))/M1074</f>
        <v/>
      </c>
      <c r="V1074" s="8">
        <f>SQRT((S1074+U1074)^2+3*T1074^2)</f>
        <v/>
      </c>
      <c r="W1074" s="8">
        <f>V1074/AA1074</f>
        <v/>
      </c>
      <c r="X1074" s="27">
        <f>((3*10+H1074/COS(RADIANS(E1074)))*(3+3)+3*G1074*H1074)*2</f>
        <v/>
      </c>
      <c r="Y1074" s="28">
        <f>Z1074/X1074</f>
        <v/>
      </c>
      <c r="Z1074" s="29" t="n">
        <v>686.63147586555</v>
      </c>
      <c r="AA1074" s="20" t="n">
        <v>70.63151414985199</v>
      </c>
      <c r="AB1074" t="n">
        <v>0.08596565071195186</v>
      </c>
      <c r="AC1074" t="n">
        <v>66.36648496376181</v>
      </c>
      <c r="AD1074" t="n">
        <v>18.08938150352322</v>
      </c>
    </row>
    <row r="1075">
      <c r="A1075" t="n">
        <v>1074</v>
      </c>
      <c r="B1075" t="n">
        <v>54.1</v>
      </c>
      <c r="C1075" s="21">
        <f>B1075-20</f>
        <v/>
      </c>
      <c r="D1075" t="n">
        <v>129.3</v>
      </c>
      <c r="E1075" s="22">
        <f>D1075-90</f>
        <v/>
      </c>
      <c r="F1075" s="23" t="n">
        <v>0.011899</v>
      </c>
      <c r="G1075" s="22" t="n">
        <v>31.8</v>
      </c>
      <c r="H1075" s="22" t="n">
        <v>1</v>
      </c>
      <c r="I1075" s="24" t="n">
        <v>0.0506503283977508</v>
      </c>
      <c r="J1075" s="6" t="n">
        <v>71000</v>
      </c>
      <c r="K1075" s="25">
        <f>23*10^-6</f>
        <v/>
      </c>
      <c r="L1075" s="8">
        <f>H1075</f>
        <v/>
      </c>
      <c r="M1075" s="26">
        <f>H1075^2/6</f>
        <v/>
      </c>
      <c r="N1075" s="26">
        <f>H1075^3/12</f>
        <v/>
      </c>
      <c r="O1075" s="27">
        <f>-J1075*L1075*K1075*C1075</f>
        <v/>
      </c>
      <c r="P1075" s="28">
        <f>-(12*F1075*J1075*L1075*N1075+12*O1075*N1075*G1075*COS(RADIANS(E1075)))/(12*N1075*G1075*COS(RADIANS(E1075))^2+L1075*G1075^3*SIN(RADIANS(E1075))^2)</f>
        <v/>
      </c>
      <c r="Q1075" s="28">
        <f>-(6*F1075*J1075*L1075*N1075*SIN(RADIANS(E1075))+6*O1075*N1075*G1075*SIN(RADIANS(E1075))*COS(RADIANS(E1075)))/(12*N1075*COS(RADIANS(E1075))^2+L1075*G1075^2*SIN(RADIANS(E1075))^2)</f>
        <v/>
      </c>
      <c r="R1075" s="28">
        <f>-P1075*SIN(RADIANS(E1075))</f>
        <v/>
      </c>
      <c r="S1075" s="8">
        <f>(O1075+P1075*COS(RADIANS(E1075)))/L1075</f>
        <v/>
      </c>
      <c r="T1075" s="8">
        <f>R1075/L1075</f>
        <v/>
      </c>
      <c r="U1075" s="8">
        <f>(Q1075-P1075*G1075*SIN(RADIANS(E1075)))/M1075</f>
        <v/>
      </c>
      <c r="V1075" s="8">
        <f>SQRT((S1075+U1075)^2+3*T1075^2)</f>
        <v/>
      </c>
      <c r="W1075" s="8">
        <f>V1075/AA1075</f>
        <v/>
      </c>
      <c r="X1075" s="27">
        <f>((3*10+H1075/COS(RADIANS(E1075)))*(3+3)+3*G1075*H1075)*2</f>
        <v/>
      </c>
      <c r="Y1075" s="28">
        <f>Z1075/X1075</f>
        <v/>
      </c>
      <c r="Z1075" s="29" t="n">
        <v>576.75486147918</v>
      </c>
      <c r="AA1075" s="20" t="n">
        <v>42.792171723676</v>
      </c>
      <c r="AB1075" t="n">
        <v>0.05382058786359045</v>
      </c>
      <c r="AC1075" t="n">
        <v>47.79603099359519</v>
      </c>
      <c r="AD1075" t="n">
        <v>6.259109399931222</v>
      </c>
    </row>
    <row r="1076">
      <c r="A1076" t="n">
        <v>1075</v>
      </c>
      <c r="B1076" t="n">
        <v>40.8</v>
      </c>
      <c r="C1076" s="21">
        <f>B1076-20</f>
        <v/>
      </c>
      <c r="D1076" t="n">
        <v>106.6</v>
      </c>
      <c r="E1076" s="22">
        <f>D1076-90</f>
        <v/>
      </c>
      <c r="F1076" s="23" t="n">
        <v>0.008694</v>
      </c>
      <c r="G1076" s="22" t="n">
        <v>32</v>
      </c>
      <c r="H1076" s="22" t="n">
        <v>1</v>
      </c>
      <c r="I1076" s="24" t="n">
        <v>0.057502768933773</v>
      </c>
      <c r="J1076" s="6" t="n">
        <v>71000</v>
      </c>
      <c r="K1076" s="25">
        <f>23*10^-6</f>
        <v/>
      </c>
      <c r="L1076" s="8">
        <f>H1076</f>
        <v/>
      </c>
      <c r="M1076" s="26">
        <f>H1076^2/6</f>
        <v/>
      </c>
      <c r="N1076" s="26">
        <f>H1076^3/12</f>
        <v/>
      </c>
      <c r="O1076" s="27">
        <f>-J1076*L1076*K1076*C1076</f>
        <v/>
      </c>
      <c r="P1076" s="28">
        <f>-(12*F1076*J1076*L1076*N1076+12*O1076*N1076*G1076*COS(RADIANS(E1076)))/(12*N1076*G1076*COS(RADIANS(E1076))^2+L1076*G1076^3*SIN(RADIANS(E1076))^2)</f>
        <v/>
      </c>
      <c r="Q1076" s="28">
        <f>-(6*F1076*J1076*L1076*N1076*SIN(RADIANS(E1076))+6*O1076*N1076*G1076*SIN(RADIANS(E1076))*COS(RADIANS(E1076)))/(12*N1076*COS(RADIANS(E1076))^2+L1076*G1076^2*SIN(RADIANS(E1076))^2)</f>
        <v/>
      </c>
      <c r="R1076" s="28">
        <f>-P1076*SIN(RADIANS(E1076))</f>
        <v/>
      </c>
      <c r="S1076" s="8">
        <f>(O1076+P1076*COS(RADIANS(E1076)))/L1076</f>
        <v/>
      </c>
      <c r="T1076" s="8">
        <f>R1076/L1076</f>
        <v/>
      </c>
      <c r="U1076" s="8">
        <f>(Q1076-P1076*G1076*SIN(RADIANS(E1076)))/M1076</f>
        <v/>
      </c>
      <c r="V1076" s="8">
        <f>SQRT((S1076+U1076)^2+3*T1076^2)</f>
        <v/>
      </c>
      <c r="W1076" s="8">
        <f>V1076/AA1076</f>
        <v/>
      </c>
      <c r="X1076" s="27">
        <f>((3*10+H1076/COS(RADIANS(E1076)))*(3+3)+3*G1076*H1076)*2</f>
        <v/>
      </c>
      <c r="Y1076" s="28">
        <f>Z1076/X1076</f>
        <v/>
      </c>
      <c r="Z1076" s="29" t="n">
        <v>568.999268513043</v>
      </c>
      <c r="AA1076" s="20" t="n">
        <v>29.1429507728397</v>
      </c>
      <c r="AB1076" t="n">
        <v>0.08182258372334651</v>
      </c>
      <c r="AC1076" t="n">
        <v>31.35335878794194</v>
      </c>
      <c r="AD1076" t="n">
        <v>42.29329341963183</v>
      </c>
    </row>
    <row r="1077">
      <c r="A1077" t="n">
        <v>1076</v>
      </c>
      <c r="B1077" t="n">
        <v>44.8</v>
      </c>
      <c r="C1077" s="21">
        <f>B1077-20</f>
        <v/>
      </c>
      <c r="D1077" t="n">
        <v>128.3</v>
      </c>
      <c r="E1077" s="22">
        <f>D1077-90</f>
        <v/>
      </c>
      <c r="F1077" s="23" t="n">
        <v>0.006444</v>
      </c>
      <c r="G1077" s="22" t="n">
        <v>21.4</v>
      </c>
      <c r="H1077" s="22" t="n">
        <v>1.8</v>
      </c>
      <c r="I1077" s="24" t="n">
        <v>0.029314836487174</v>
      </c>
      <c r="J1077" s="6" t="n">
        <v>71000</v>
      </c>
      <c r="K1077" s="25">
        <f>23*10^-6</f>
        <v/>
      </c>
      <c r="L1077" s="8">
        <f>H1077</f>
        <v/>
      </c>
      <c r="M1077" s="26">
        <f>H1077^2/6</f>
        <v/>
      </c>
      <c r="N1077" s="26">
        <f>H1077^3/12</f>
        <v/>
      </c>
      <c r="O1077" s="27">
        <f>-J1077*L1077*K1077*C1077</f>
        <v/>
      </c>
      <c r="P1077" s="28">
        <f>-(12*F1077*J1077*L1077*N1077+12*O1077*N1077*G1077*COS(RADIANS(E1077)))/(12*N1077*G1077*COS(RADIANS(E1077))^2+L1077*G1077^3*SIN(RADIANS(E1077))^2)</f>
        <v/>
      </c>
      <c r="Q1077" s="28">
        <f>-(6*F1077*J1077*L1077*N1077*SIN(RADIANS(E1077))+6*O1077*N1077*G1077*SIN(RADIANS(E1077))*COS(RADIANS(E1077)))/(12*N1077*COS(RADIANS(E1077))^2+L1077*G1077^2*SIN(RADIANS(E1077))^2)</f>
        <v/>
      </c>
      <c r="R1077" s="28">
        <f>-P1077*SIN(RADIANS(E1077))</f>
        <v/>
      </c>
      <c r="S1077" s="8">
        <f>(O1077+P1077*COS(RADIANS(E1077)))/L1077</f>
        <v/>
      </c>
      <c r="T1077" s="8">
        <f>R1077/L1077</f>
        <v/>
      </c>
      <c r="U1077" s="8">
        <f>(Q1077-P1077*G1077*SIN(RADIANS(E1077)))/M1077</f>
        <v/>
      </c>
      <c r="V1077" s="8">
        <f>SQRT((S1077+U1077)^2+3*T1077^2)</f>
        <v/>
      </c>
      <c r="W1077" s="8">
        <f>V1077/AA1077</f>
        <v/>
      </c>
      <c r="X1077" s="27">
        <f>((3*10+H1077/COS(RADIANS(E1077)))*(3+3)+3*G1077*H1077)*2</f>
        <v/>
      </c>
      <c r="Y1077" s="28">
        <f>Z1077/X1077</f>
        <v/>
      </c>
      <c r="Z1077" s="29" t="n">
        <v>628.659354420436</v>
      </c>
      <c r="AA1077" s="20" t="n">
        <v>40.111222882522</v>
      </c>
      <c r="AB1077" t="n">
        <v>0.02748551558173722</v>
      </c>
      <c r="AC1077" t="n">
        <v>36.63149286388489</v>
      </c>
      <c r="AD1077" t="n">
        <v>-6.240256213733816</v>
      </c>
    </row>
    <row r="1078">
      <c r="A1078" t="n">
        <v>1077</v>
      </c>
      <c r="B1078" t="n">
        <v>79.8</v>
      </c>
      <c r="C1078" s="21">
        <f>B1078-20</f>
        <v/>
      </c>
      <c r="D1078" t="n">
        <v>113.2</v>
      </c>
      <c r="E1078" s="22">
        <f>D1078-90</f>
        <v/>
      </c>
      <c r="F1078" s="23" t="n">
        <v>0.025081</v>
      </c>
      <c r="G1078" s="22" t="n">
        <v>33.5</v>
      </c>
      <c r="H1078" s="22" t="n">
        <v>1.5</v>
      </c>
      <c r="I1078" s="24" t="n">
        <v>0.131417289376258</v>
      </c>
      <c r="J1078" s="6" t="n">
        <v>71000</v>
      </c>
      <c r="K1078" s="25">
        <f>23*10^-6</f>
        <v/>
      </c>
      <c r="L1078" s="8">
        <f>H1078</f>
        <v/>
      </c>
      <c r="M1078" s="26">
        <f>H1078^2/6</f>
        <v/>
      </c>
      <c r="N1078" s="26">
        <f>H1078^3/12</f>
        <v/>
      </c>
      <c r="O1078" s="27">
        <f>-J1078*L1078*K1078*C1078</f>
        <v/>
      </c>
      <c r="P1078" s="28">
        <f>-(12*F1078*J1078*L1078*N1078+12*O1078*N1078*G1078*COS(RADIANS(E1078)))/(12*N1078*G1078*COS(RADIANS(E1078))^2+L1078*G1078^3*SIN(RADIANS(E1078))^2)</f>
        <v/>
      </c>
      <c r="Q1078" s="28">
        <f>-(6*F1078*J1078*L1078*N1078*SIN(RADIANS(E1078))+6*O1078*N1078*G1078*SIN(RADIANS(E1078))*COS(RADIANS(E1078)))/(12*N1078*COS(RADIANS(E1078))^2+L1078*G1078^2*SIN(RADIANS(E1078))^2)</f>
        <v/>
      </c>
      <c r="R1078" s="28">
        <f>-P1078*SIN(RADIANS(E1078))</f>
        <v/>
      </c>
      <c r="S1078" s="8">
        <f>(O1078+P1078*COS(RADIANS(E1078)))/L1078</f>
        <v/>
      </c>
      <c r="T1078" s="8">
        <f>R1078/L1078</f>
        <v/>
      </c>
      <c r="U1078" s="8">
        <f>(Q1078-P1078*G1078*SIN(RADIANS(E1078)))/M1078</f>
        <v/>
      </c>
      <c r="V1078" s="8">
        <f>SQRT((S1078+U1078)^2+3*T1078^2)</f>
        <v/>
      </c>
      <c r="W1078" s="8">
        <f>V1078/AA1078</f>
        <v/>
      </c>
      <c r="X1078" s="27">
        <f>((3*10+H1078/COS(RADIANS(E1078)))*(3+3)+3*G1078*H1078)*2</f>
        <v/>
      </c>
      <c r="Y1078" s="28">
        <f>Z1078/X1078</f>
        <v/>
      </c>
      <c r="Z1078" s="29" t="n">
        <v>686.628749795256</v>
      </c>
      <c r="AA1078" s="20" t="n">
        <v>89.6485388981428</v>
      </c>
      <c r="AB1078" t="n">
        <v>0.1734693546341338</v>
      </c>
      <c r="AC1078" t="n">
        <v>90.1191519025317</v>
      </c>
      <c r="AD1078" t="n">
        <v>31.99888344788295</v>
      </c>
    </row>
    <row r="1079">
      <c r="A1079" t="n">
        <v>1078</v>
      </c>
      <c r="B1079" t="n">
        <v>84.8</v>
      </c>
      <c r="C1079" s="21">
        <f>B1079-20</f>
        <v/>
      </c>
      <c r="D1079" t="n">
        <v>115.4</v>
      </c>
      <c r="E1079" s="22">
        <f>D1079-90</f>
        <v/>
      </c>
      <c r="F1079" s="23" t="n">
        <v>0.021249</v>
      </c>
      <c r="G1079" s="22" t="n">
        <v>25.2</v>
      </c>
      <c r="H1079" s="22" t="n">
        <v>1.4</v>
      </c>
      <c r="I1079" s="24" t="n">
        <v>0.109975643455982</v>
      </c>
      <c r="J1079" s="6" t="n">
        <v>71000</v>
      </c>
      <c r="K1079" s="25">
        <f>23*10^-6</f>
        <v/>
      </c>
      <c r="L1079" s="8">
        <f>H1079</f>
        <v/>
      </c>
      <c r="M1079" s="26">
        <f>H1079^2/6</f>
        <v/>
      </c>
      <c r="N1079" s="26">
        <f>H1079^3/12</f>
        <v/>
      </c>
      <c r="O1079" s="27">
        <f>-J1079*L1079*K1079*C1079</f>
        <v/>
      </c>
      <c r="P1079" s="28">
        <f>-(12*F1079*J1079*L1079*N1079+12*O1079*N1079*G1079*COS(RADIANS(E1079)))/(12*N1079*G1079*COS(RADIANS(E1079))^2+L1079*G1079^3*SIN(RADIANS(E1079))^2)</f>
        <v/>
      </c>
      <c r="Q1079" s="28">
        <f>-(6*F1079*J1079*L1079*N1079*SIN(RADIANS(E1079))+6*O1079*N1079*G1079*SIN(RADIANS(E1079))*COS(RADIANS(E1079)))/(12*N1079*COS(RADIANS(E1079))^2+L1079*G1079^2*SIN(RADIANS(E1079))^2)</f>
        <v/>
      </c>
      <c r="R1079" s="28">
        <f>-P1079*SIN(RADIANS(E1079))</f>
        <v/>
      </c>
      <c r="S1079" s="8">
        <f>(O1079+P1079*COS(RADIANS(E1079)))/L1079</f>
        <v/>
      </c>
      <c r="T1079" s="8">
        <f>R1079/L1079</f>
        <v/>
      </c>
      <c r="U1079" s="8">
        <f>(Q1079-P1079*G1079*SIN(RADIANS(E1079)))/M1079</f>
        <v/>
      </c>
      <c r="V1079" s="8">
        <f>SQRT((S1079+U1079)^2+3*T1079^2)</f>
        <v/>
      </c>
      <c r="W1079" s="8">
        <f>V1079/AA1079</f>
        <v/>
      </c>
      <c r="X1079" s="27">
        <f>((3*10+H1079/COS(RADIANS(E1079)))*(3+3)+3*G1079*H1079)*2</f>
        <v/>
      </c>
      <c r="Y1079" s="28">
        <f>Z1079/X1079</f>
        <v/>
      </c>
      <c r="Z1079" s="29" t="n">
        <v>596.279583071204</v>
      </c>
      <c r="AA1079" s="20" t="n">
        <v>97.0357275951956</v>
      </c>
      <c r="AB1079" t="n">
        <v>0.1303876307326021</v>
      </c>
      <c r="AC1079" t="n">
        <v>97.85785404100413</v>
      </c>
      <c r="AD1079" t="n">
        <v>18.56046178514981</v>
      </c>
    </row>
    <row r="1080">
      <c r="A1080" t="n">
        <v>1079</v>
      </c>
      <c r="B1080" t="n">
        <v>57.4</v>
      </c>
      <c r="C1080" s="21">
        <f>B1080-20</f>
        <v/>
      </c>
      <c r="D1080" t="n">
        <v>109.9</v>
      </c>
      <c r="E1080" s="22">
        <f>D1080-90</f>
        <v/>
      </c>
      <c r="F1080" s="23" t="n">
        <v>0.015547</v>
      </c>
      <c r="G1080" s="22" t="n">
        <v>32.4</v>
      </c>
      <c r="H1080" s="22" t="n">
        <v>1.4</v>
      </c>
      <c r="I1080" s="24" t="n">
        <v>0.0901132449507713</v>
      </c>
      <c r="J1080" s="6" t="n">
        <v>71000</v>
      </c>
      <c r="K1080" s="25">
        <f>23*10^-6</f>
        <v/>
      </c>
      <c r="L1080" s="8">
        <f>H1080</f>
        <v/>
      </c>
      <c r="M1080" s="26">
        <f>H1080^2/6</f>
        <v/>
      </c>
      <c r="N1080" s="26">
        <f>H1080^3/12</f>
        <v/>
      </c>
      <c r="O1080" s="27">
        <f>-J1080*L1080*K1080*C1080</f>
        <v/>
      </c>
      <c r="P1080" s="28">
        <f>-(12*F1080*J1080*L1080*N1080+12*O1080*N1080*G1080*COS(RADIANS(E1080)))/(12*N1080*G1080*COS(RADIANS(E1080))^2+L1080*G1080^3*SIN(RADIANS(E1080))^2)</f>
        <v/>
      </c>
      <c r="Q1080" s="28">
        <f>-(6*F1080*J1080*L1080*N1080*SIN(RADIANS(E1080))+6*O1080*N1080*G1080*SIN(RADIANS(E1080))*COS(RADIANS(E1080)))/(12*N1080*COS(RADIANS(E1080))^2+L1080*G1080^2*SIN(RADIANS(E1080))^2)</f>
        <v/>
      </c>
      <c r="R1080" s="28">
        <f>-P1080*SIN(RADIANS(E1080))</f>
        <v/>
      </c>
      <c r="S1080" s="8">
        <f>(O1080+P1080*COS(RADIANS(E1080)))/L1080</f>
        <v/>
      </c>
      <c r="T1080" s="8">
        <f>R1080/L1080</f>
        <v/>
      </c>
      <c r="U1080" s="8">
        <f>(Q1080-P1080*G1080*SIN(RADIANS(E1080)))/M1080</f>
        <v/>
      </c>
      <c r="V1080" s="8">
        <f>SQRT((S1080+U1080)^2+3*T1080^2)</f>
        <v/>
      </c>
      <c r="W1080" s="8">
        <f>V1080/AA1080</f>
        <v/>
      </c>
      <c r="X1080" s="27">
        <f>((3*10+H1080/COS(RADIANS(E1080)))*(3+3)+3*G1080*H1080)*2</f>
        <v/>
      </c>
      <c r="Y1080" s="28">
        <f>Z1080/X1080</f>
        <v/>
      </c>
      <c r="Z1080" s="29" t="n">
        <v>654.984584591809</v>
      </c>
      <c r="AA1080" s="20" t="n">
        <v>55.9517767111582</v>
      </c>
      <c r="AB1080" t="n">
        <v>0.1229970232261272</v>
      </c>
      <c r="AC1080" t="n">
        <v>57.15957892446458</v>
      </c>
      <c r="AD1080" t="n">
        <v>36.49161484898277</v>
      </c>
    </row>
    <row r="1081">
      <c r="A1081" t="n">
        <v>1080</v>
      </c>
      <c r="B1081" t="n">
        <v>57</v>
      </c>
      <c r="C1081" s="21">
        <f>B1081-20</f>
        <v/>
      </c>
      <c r="D1081" t="n">
        <v>109.4</v>
      </c>
      <c r="E1081" s="22">
        <f>D1081-90</f>
        <v/>
      </c>
      <c r="F1081" s="23" t="n">
        <v>0.016177</v>
      </c>
      <c r="G1081" s="22" t="n">
        <v>34.3</v>
      </c>
      <c r="H1081" s="22" t="n">
        <v>1.1</v>
      </c>
      <c r="I1081" s="24" t="n">
        <v>0.09495550394058221</v>
      </c>
      <c r="J1081" s="6" t="n">
        <v>71000</v>
      </c>
      <c r="K1081" s="25">
        <f>23*10^-6</f>
        <v/>
      </c>
      <c r="L1081" s="8">
        <f>H1081</f>
        <v/>
      </c>
      <c r="M1081" s="26">
        <f>H1081^2/6</f>
        <v/>
      </c>
      <c r="N1081" s="26">
        <f>H1081^3/12</f>
        <v/>
      </c>
      <c r="O1081" s="27">
        <f>-J1081*L1081*K1081*C1081</f>
        <v/>
      </c>
      <c r="P1081" s="28">
        <f>-(12*F1081*J1081*L1081*N1081+12*O1081*N1081*G1081*COS(RADIANS(E1081)))/(12*N1081*G1081*COS(RADIANS(E1081))^2+L1081*G1081^3*SIN(RADIANS(E1081))^2)</f>
        <v/>
      </c>
      <c r="Q1081" s="28">
        <f>-(6*F1081*J1081*L1081*N1081*SIN(RADIANS(E1081))+6*O1081*N1081*G1081*SIN(RADIANS(E1081))*COS(RADIANS(E1081)))/(12*N1081*COS(RADIANS(E1081))^2+L1081*G1081^2*SIN(RADIANS(E1081))^2)</f>
        <v/>
      </c>
      <c r="R1081" s="28">
        <f>-P1081*SIN(RADIANS(E1081))</f>
        <v/>
      </c>
      <c r="S1081" s="8">
        <f>(O1081+P1081*COS(RADIANS(E1081)))/L1081</f>
        <v/>
      </c>
      <c r="T1081" s="8">
        <f>R1081/L1081</f>
        <v/>
      </c>
      <c r="U1081" s="8">
        <f>(Q1081-P1081*G1081*SIN(RADIANS(E1081)))/M1081</f>
        <v/>
      </c>
      <c r="V1081" s="8">
        <f>SQRT((S1081+U1081)^2+3*T1081^2)</f>
        <v/>
      </c>
      <c r="W1081" s="8">
        <f>V1081/AA1081</f>
        <v/>
      </c>
      <c r="X1081" s="27">
        <f>((3*10+H1081/COS(RADIANS(E1081)))*(3+3)+3*G1081*H1081)*2</f>
        <v/>
      </c>
      <c r="Y1081" s="28">
        <f>Z1081/X1081</f>
        <v/>
      </c>
      <c r="Z1081" s="29" t="n">
        <v>605.252885521562</v>
      </c>
      <c r="AA1081" s="20" t="n">
        <v>51.9794956258594</v>
      </c>
      <c r="AB1081" t="n">
        <v>0.132666801354734</v>
      </c>
      <c r="AC1081" t="n">
        <v>55.08040893722453</v>
      </c>
      <c r="AD1081" t="n">
        <v>39.71470409735218</v>
      </c>
    </row>
    <row r="1082">
      <c r="A1082" t="n">
        <v>1081</v>
      </c>
      <c r="B1082" t="n">
        <v>43.7</v>
      </c>
      <c r="C1082" s="21">
        <f>B1082-20</f>
        <v/>
      </c>
      <c r="D1082" t="n">
        <v>120.6</v>
      </c>
      <c r="E1082" s="22">
        <f>D1082-90</f>
        <v/>
      </c>
      <c r="F1082" s="23" t="n">
        <v>0.00804</v>
      </c>
      <c r="G1082" s="22" t="n">
        <v>27.6</v>
      </c>
      <c r="H1082" s="22" t="n">
        <v>1.4</v>
      </c>
      <c r="I1082" s="24" t="n">
        <v>0.037609077990055</v>
      </c>
      <c r="J1082" s="6" t="n">
        <v>71000</v>
      </c>
      <c r="K1082" s="25">
        <f>23*10^-6</f>
        <v/>
      </c>
      <c r="L1082" s="8">
        <f>H1082</f>
        <v/>
      </c>
      <c r="M1082" s="26">
        <f>H1082^2/6</f>
        <v/>
      </c>
      <c r="N1082" s="26">
        <f>H1082^3/12</f>
        <v/>
      </c>
      <c r="O1082" s="27">
        <f>-J1082*L1082*K1082*C1082</f>
        <v/>
      </c>
      <c r="P1082" s="28">
        <f>-(12*F1082*J1082*L1082*N1082+12*O1082*N1082*G1082*COS(RADIANS(E1082)))/(12*N1082*G1082*COS(RADIANS(E1082))^2+L1082*G1082^3*SIN(RADIANS(E1082))^2)</f>
        <v/>
      </c>
      <c r="Q1082" s="28">
        <f>-(6*F1082*J1082*L1082*N1082*SIN(RADIANS(E1082))+6*O1082*N1082*G1082*SIN(RADIANS(E1082))*COS(RADIANS(E1082)))/(12*N1082*COS(RADIANS(E1082))^2+L1082*G1082^2*SIN(RADIANS(E1082))^2)</f>
        <v/>
      </c>
      <c r="R1082" s="28">
        <f>-P1082*SIN(RADIANS(E1082))</f>
        <v/>
      </c>
      <c r="S1082" s="8">
        <f>(O1082+P1082*COS(RADIANS(E1082)))/L1082</f>
        <v/>
      </c>
      <c r="T1082" s="8">
        <f>R1082/L1082</f>
        <v/>
      </c>
      <c r="U1082" s="8">
        <f>(Q1082-P1082*G1082*SIN(RADIANS(E1082)))/M1082</f>
        <v/>
      </c>
      <c r="V1082" s="8">
        <f>SQRT((S1082+U1082)^2+3*T1082^2)</f>
        <v/>
      </c>
      <c r="W1082" s="8">
        <f>V1082/AA1082</f>
        <v/>
      </c>
      <c r="X1082" s="27">
        <f>((3*10+H1082/COS(RADIANS(E1082)))*(3+3)+3*G1082*H1082)*2</f>
        <v/>
      </c>
      <c r="Y1082" s="28">
        <f>Z1082/X1082</f>
        <v/>
      </c>
      <c r="Z1082" s="29" t="n">
        <v>618.67459125341</v>
      </c>
      <c r="AA1082" s="20" t="n">
        <v>34.8877824933762</v>
      </c>
      <c r="AB1082" t="n">
        <v>0.04279947456024134</v>
      </c>
      <c r="AC1082" t="n">
        <v>34.82689706145502</v>
      </c>
      <c r="AD1082" t="n">
        <v>13.80091416109386</v>
      </c>
    </row>
    <row r="1083">
      <c r="A1083" t="n">
        <v>1082</v>
      </c>
      <c r="B1083" t="n">
        <v>77.59999999999999</v>
      </c>
      <c r="C1083" s="21">
        <f>B1083-20</f>
        <v/>
      </c>
      <c r="D1083" t="n">
        <v>100.3</v>
      </c>
      <c r="E1083" s="22">
        <f>D1083-90</f>
        <v/>
      </c>
      <c r="F1083" s="23" t="n">
        <v>0.025454</v>
      </c>
      <c r="G1083" s="22" t="n">
        <v>33.3</v>
      </c>
      <c r="H1083" s="22" t="n">
        <v>1.8</v>
      </c>
      <c r="I1083" s="24" t="n">
        <v>0.232453301548957</v>
      </c>
      <c r="J1083" s="6" t="n">
        <v>71000</v>
      </c>
      <c r="K1083" s="25">
        <f>23*10^-6</f>
        <v/>
      </c>
      <c r="L1083" s="8">
        <f>H1083</f>
        <v/>
      </c>
      <c r="M1083" s="26">
        <f>H1083^2/6</f>
        <v/>
      </c>
      <c r="N1083" s="26">
        <f>H1083^3/12</f>
        <v/>
      </c>
      <c r="O1083" s="27">
        <f>-J1083*L1083*K1083*C1083</f>
        <v/>
      </c>
      <c r="P1083" s="28">
        <f>-(12*F1083*J1083*L1083*N1083+12*O1083*N1083*G1083*COS(RADIANS(E1083)))/(12*N1083*G1083*COS(RADIANS(E1083))^2+L1083*G1083^3*SIN(RADIANS(E1083))^2)</f>
        <v/>
      </c>
      <c r="Q1083" s="28">
        <f>-(6*F1083*J1083*L1083*N1083*SIN(RADIANS(E1083))+6*O1083*N1083*G1083*SIN(RADIANS(E1083))*COS(RADIANS(E1083)))/(12*N1083*COS(RADIANS(E1083))^2+L1083*G1083^2*SIN(RADIANS(E1083))^2)</f>
        <v/>
      </c>
      <c r="R1083" s="28">
        <f>-P1083*SIN(RADIANS(E1083))</f>
        <v/>
      </c>
      <c r="S1083" s="8">
        <f>(O1083+P1083*COS(RADIANS(E1083)))/L1083</f>
        <v/>
      </c>
      <c r="T1083" s="8">
        <f>R1083/L1083</f>
        <v/>
      </c>
      <c r="U1083" s="8">
        <f>(Q1083-P1083*G1083*SIN(RADIANS(E1083)))/M1083</f>
        <v/>
      </c>
      <c r="V1083" s="8">
        <f>SQRT((S1083+U1083)^2+3*T1083^2)</f>
        <v/>
      </c>
      <c r="W1083" s="8">
        <f>V1083/AA1083</f>
        <v/>
      </c>
      <c r="X1083" s="27">
        <f>((3*10+H1083/COS(RADIANS(E1083)))*(3+3)+3*G1083*H1083)*2</f>
        <v/>
      </c>
      <c r="Y1083" s="28">
        <f>Z1083/X1083</f>
        <v/>
      </c>
      <c r="Z1083" s="29" t="n">
        <v>745.4205075694711</v>
      </c>
      <c r="AA1083" s="20" t="n">
        <v>100.691005266145</v>
      </c>
      <c r="AB1083" t="n">
        <v>0.3549774893325792</v>
      </c>
      <c r="AC1083" t="n">
        <v>100.996524917784</v>
      </c>
      <c r="AD1083" t="n">
        <v>52.70916221330477</v>
      </c>
    </row>
    <row r="1084">
      <c r="A1084" t="n">
        <v>1083</v>
      </c>
      <c r="B1084" t="n">
        <v>55.9</v>
      </c>
      <c r="C1084" s="21">
        <f>B1084-20</f>
        <v/>
      </c>
      <c r="D1084" t="n">
        <v>108</v>
      </c>
      <c r="E1084" s="22">
        <f>D1084-90</f>
        <v/>
      </c>
      <c r="F1084" s="23" t="n">
        <v>0.010668</v>
      </c>
      <c r="G1084" s="22" t="n">
        <v>21.1</v>
      </c>
      <c r="H1084" s="22" t="n">
        <v>1.2</v>
      </c>
      <c r="I1084" s="24" t="n">
        <v>0.069554828107357</v>
      </c>
      <c r="J1084" s="6" t="n">
        <v>71000</v>
      </c>
      <c r="K1084" s="25">
        <f>23*10^-6</f>
        <v/>
      </c>
      <c r="L1084" s="8">
        <f>H1084</f>
        <v/>
      </c>
      <c r="M1084" s="26">
        <f>H1084^2/6</f>
        <v/>
      </c>
      <c r="N1084" s="26">
        <f>H1084^3/12</f>
        <v/>
      </c>
      <c r="O1084" s="27">
        <f>-J1084*L1084*K1084*C1084</f>
        <v/>
      </c>
      <c r="P1084" s="28">
        <f>-(12*F1084*J1084*L1084*N1084+12*O1084*N1084*G1084*COS(RADIANS(E1084)))/(12*N1084*G1084*COS(RADIANS(E1084))^2+L1084*G1084^3*SIN(RADIANS(E1084))^2)</f>
        <v/>
      </c>
      <c r="Q1084" s="28">
        <f>-(6*F1084*J1084*L1084*N1084*SIN(RADIANS(E1084))+6*O1084*N1084*G1084*SIN(RADIANS(E1084))*COS(RADIANS(E1084)))/(12*N1084*COS(RADIANS(E1084))^2+L1084*G1084^2*SIN(RADIANS(E1084))^2)</f>
        <v/>
      </c>
      <c r="R1084" s="28">
        <f>-P1084*SIN(RADIANS(E1084))</f>
        <v/>
      </c>
      <c r="S1084" s="8">
        <f>(O1084+P1084*COS(RADIANS(E1084)))/L1084</f>
        <v/>
      </c>
      <c r="T1084" s="8">
        <f>R1084/L1084</f>
        <v/>
      </c>
      <c r="U1084" s="8">
        <f>(Q1084-P1084*G1084*SIN(RADIANS(E1084)))/M1084</f>
        <v/>
      </c>
      <c r="V1084" s="8">
        <f>SQRT((S1084+U1084)^2+3*T1084^2)</f>
        <v/>
      </c>
      <c r="W1084" s="8">
        <f>V1084/AA1084</f>
        <v/>
      </c>
      <c r="X1084" s="27">
        <f>((3*10+H1084/COS(RADIANS(E1084)))*(3+3)+3*G1084*H1084)*2</f>
        <v/>
      </c>
      <c r="Y1084" s="28">
        <f>Z1084/X1084</f>
        <v/>
      </c>
      <c r="Z1084" s="29" t="n">
        <v>531.729778796389</v>
      </c>
      <c r="AA1084" s="20" t="n">
        <v>53.8334110245815</v>
      </c>
      <c r="AB1084" t="n">
        <v>0.08645828557504752</v>
      </c>
      <c r="AC1084" t="n">
        <v>56.45774993946355</v>
      </c>
      <c r="AD1084" t="n">
        <v>24.30234956745238</v>
      </c>
    </row>
    <row r="1085">
      <c r="A1085" t="n">
        <v>1084</v>
      </c>
      <c r="B1085" t="n">
        <v>59.6</v>
      </c>
      <c r="C1085" s="21">
        <f>B1085-20</f>
        <v/>
      </c>
      <c r="D1085" t="n">
        <v>104.7</v>
      </c>
      <c r="E1085" s="22">
        <f>D1085-90</f>
        <v/>
      </c>
      <c r="F1085" s="23" t="n">
        <v>0.011835</v>
      </c>
      <c r="G1085" s="22" t="n">
        <v>20.9</v>
      </c>
      <c r="H1085" s="22" t="n">
        <v>1.2</v>
      </c>
      <c r="I1085" s="24" t="n">
        <v>0.08828841149806969</v>
      </c>
      <c r="J1085" s="6" t="n">
        <v>71000</v>
      </c>
      <c r="K1085" s="25">
        <f>23*10^-6</f>
        <v/>
      </c>
      <c r="L1085" s="8">
        <f>H1085</f>
        <v/>
      </c>
      <c r="M1085" s="26">
        <f>H1085^2/6</f>
        <v/>
      </c>
      <c r="N1085" s="26">
        <f>H1085^3/12</f>
        <v/>
      </c>
      <c r="O1085" s="27">
        <f>-J1085*L1085*K1085*C1085</f>
        <v/>
      </c>
      <c r="P1085" s="28">
        <f>-(12*F1085*J1085*L1085*N1085+12*O1085*N1085*G1085*COS(RADIANS(E1085)))/(12*N1085*G1085*COS(RADIANS(E1085))^2+L1085*G1085^3*SIN(RADIANS(E1085))^2)</f>
        <v/>
      </c>
      <c r="Q1085" s="28">
        <f>-(6*F1085*J1085*L1085*N1085*SIN(RADIANS(E1085))+6*O1085*N1085*G1085*SIN(RADIANS(E1085))*COS(RADIANS(E1085)))/(12*N1085*COS(RADIANS(E1085))^2+L1085*G1085^2*SIN(RADIANS(E1085))^2)</f>
        <v/>
      </c>
      <c r="R1085" s="28">
        <f>-P1085*SIN(RADIANS(E1085))</f>
        <v/>
      </c>
      <c r="S1085" s="8">
        <f>(O1085+P1085*COS(RADIANS(E1085)))/L1085</f>
        <v/>
      </c>
      <c r="T1085" s="8">
        <f>R1085/L1085</f>
        <v/>
      </c>
      <c r="U1085" s="8">
        <f>(Q1085-P1085*G1085*SIN(RADIANS(E1085)))/M1085</f>
        <v/>
      </c>
      <c r="V1085" s="8">
        <f>SQRT((S1085+U1085)^2+3*T1085^2)</f>
        <v/>
      </c>
      <c r="W1085" s="8">
        <f>V1085/AA1085</f>
        <v/>
      </c>
      <c r="X1085" s="27">
        <f>((3*10+H1085/COS(RADIANS(E1085)))*(3+3)+3*G1085*H1085)*2</f>
        <v/>
      </c>
      <c r="Y1085" s="28">
        <f>Z1085/X1085</f>
        <v/>
      </c>
      <c r="Z1085" s="29" t="n">
        <v>529.613081672558</v>
      </c>
      <c r="AA1085" s="20" t="n">
        <v>60.5422915527266</v>
      </c>
      <c r="AB1085" t="n">
        <v>0.114494384811619</v>
      </c>
      <c r="AC1085" t="n">
        <v>64.22542257334095</v>
      </c>
      <c r="AD1085" t="n">
        <v>29.6822344732324</v>
      </c>
    </row>
    <row r="1086">
      <c r="A1086" t="n">
        <v>1085</v>
      </c>
      <c r="B1086" t="n">
        <v>75.40000000000001</v>
      </c>
      <c r="C1086" s="21">
        <f>B1086-20</f>
        <v/>
      </c>
      <c r="D1086" t="n">
        <v>122</v>
      </c>
      <c r="E1086" s="22">
        <f>D1086-90</f>
        <v/>
      </c>
      <c r="F1086" s="23" t="n">
        <v>0.01659</v>
      </c>
      <c r="G1086" s="22" t="n">
        <v>23.9</v>
      </c>
      <c r="H1086" s="22" t="n">
        <v>1.3</v>
      </c>
      <c r="I1086" s="24" t="n">
        <v>0.077959157526493</v>
      </c>
      <c r="J1086" s="6" t="n">
        <v>71000</v>
      </c>
      <c r="K1086" s="25">
        <f>23*10^-6</f>
        <v/>
      </c>
      <c r="L1086" s="8">
        <f>H1086</f>
        <v/>
      </c>
      <c r="M1086" s="26">
        <f>H1086^2/6</f>
        <v/>
      </c>
      <c r="N1086" s="26">
        <f>H1086^3/12</f>
        <v/>
      </c>
      <c r="O1086" s="27">
        <f>-J1086*L1086*K1086*C1086</f>
        <v/>
      </c>
      <c r="P1086" s="28">
        <f>-(12*F1086*J1086*L1086*N1086+12*O1086*N1086*G1086*COS(RADIANS(E1086)))/(12*N1086*G1086*COS(RADIANS(E1086))^2+L1086*G1086^3*SIN(RADIANS(E1086))^2)</f>
        <v/>
      </c>
      <c r="Q1086" s="28">
        <f>-(6*F1086*J1086*L1086*N1086*SIN(RADIANS(E1086))+6*O1086*N1086*G1086*SIN(RADIANS(E1086))*COS(RADIANS(E1086)))/(12*N1086*COS(RADIANS(E1086))^2+L1086*G1086^2*SIN(RADIANS(E1086))^2)</f>
        <v/>
      </c>
      <c r="R1086" s="28">
        <f>-P1086*SIN(RADIANS(E1086))</f>
        <v/>
      </c>
      <c r="S1086" s="8">
        <f>(O1086+P1086*COS(RADIANS(E1086)))/L1086</f>
        <v/>
      </c>
      <c r="T1086" s="8">
        <f>R1086/L1086</f>
        <v/>
      </c>
      <c r="U1086" s="8">
        <f>(Q1086-P1086*G1086*SIN(RADIANS(E1086)))/M1086</f>
        <v/>
      </c>
      <c r="V1086" s="8">
        <f>SQRT((S1086+U1086)^2+3*T1086^2)</f>
        <v/>
      </c>
      <c r="W1086" s="8">
        <f>V1086/AA1086</f>
        <v/>
      </c>
      <c r="X1086" s="27">
        <f>((3*10+H1086/COS(RADIANS(E1086)))*(3+3)+3*G1086*H1086)*2</f>
        <v/>
      </c>
      <c r="Y1086" s="28">
        <f>Z1086/X1086</f>
        <v/>
      </c>
      <c r="Z1086" s="29" t="n">
        <v>572.549094158779</v>
      </c>
      <c r="AA1086" s="20" t="n">
        <v>81.37771857456831</v>
      </c>
      <c r="AB1086" t="n">
        <v>0.08330777807791727</v>
      </c>
      <c r="AC1086" t="n">
        <v>81.10584921247869</v>
      </c>
      <c r="AD1086" t="n">
        <v>6.860798296347205</v>
      </c>
    </row>
    <row r="1087">
      <c r="A1087" t="n">
        <v>1086</v>
      </c>
      <c r="B1087" t="n">
        <v>85.40000000000001</v>
      </c>
      <c r="C1087" s="21">
        <f>B1087-20</f>
        <v/>
      </c>
      <c r="D1087" t="n">
        <v>123.8</v>
      </c>
      <c r="E1087" s="22">
        <f>D1087-90</f>
        <v/>
      </c>
      <c r="F1087" s="23" t="n">
        <v>0.024485</v>
      </c>
      <c r="G1087" s="22" t="n">
        <v>32.3</v>
      </c>
      <c r="H1087" s="22" t="n">
        <v>1.3</v>
      </c>
      <c r="I1087" s="24" t="n">
        <v>0.107911318540573</v>
      </c>
      <c r="J1087" s="6" t="n">
        <v>71000</v>
      </c>
      <c r="K1087" s="25">
        <f>23*10^-6</f>
        <v/>
      </c>
      <c r="L1087" s="8">
        <f>H1087</f>
        <v/>
      </c>
      <c r="M1087" s="26">
        <f>H1087^2/6</f>
        <v/>
      </c>
      <c r="N1087" s="26">
        <f>H1087^3/12</f>
        <v/>
      </c>
      <c r="O1087" s="27">
        <f>-J1087*L1087*K1087*C1087</f>
        <v/>
      </c>
      <c r="P1087" s="28">
        <f>-(12*F1087*J1087*L1087*N1087+12*O1087*N1087*G1087*COS(RADIANS(E1087)))/(12*N1087*G1087*COS(RADIANS(E1087))^2+L1087*G1087^3*SIN(RADIANS(E1087))^2)</f>
        <v/>
      </c>
      <c r="Q1087" s="28">
        <f>-(6*F1087*J1087*L1087*N1087*SIN(RADIANS(E1087))+6*O1087*N1087*G1087*SIN(RADIANS(E1087))*COS(RADIANS(E1087)))/(12*N1087*COS(RADIANS(E1087))^2+L1087*G1087^2*SIN(RADIANS(E1087))^2)</f>
        <v/>
      </c>
      <c r="R1087" s="28">
        <f>-P1087*SIN(RADIANS(E1087))</f>
        <v/>
      </c>
      <c r="S1087" s="8">
        <f>(O1087+P1087*COS(RADIANS(E1087)))/L1087</f>
        <v/>
      </c>
      <c r="T1087" s="8">
        <f>R1087/L1087</f>
        <v/>
      </c>
      <c r="U1087" s="8">
        <f>(Q1087-P1087*G1087*SIN(RADIANS(E1087)))/M1087</f>
        <v/>
      </c>
      <c r="V1087" s="8">
        <f>SQRT((S1087+U1087)^2+3*T1087^2)</f>
        <v/>
      </c>
      <c r="W1087" s="8">
        <f>V1087/AA1087</f>
        <v/>
      </c>
      <c r="X1087" s="27">
        <f>((3*10+H1087/COS(RADIANS(E1087)))*(3+3)+3*G1087*H1087)*2</f>
        <v/>
      </c>
      <c r="Y1087" s="28">
        <f>Z1087/X1087</f>
        <v/>
      </c>
      <c r="Z1087" s="29" t="n">
        <v>639.027949609678</v>
      </c>
      <c r="AA1087" s="20" t="n">
        <v>91.2436026286432</v>
      </c>
      <c r="AB1087" t="n">
        <v>0.1234074693309016</v>
      </c>
      <c r="AC1087" t="n">
        <v>93.92832221748326</v>
      </c>
      <c r="AD1087" t="n">
        <v>14.36007918344756</v>
      </c>
    </row>
    <row r="1088">
      <c r="A1088" t="n">
        <v>1087</v>
      </c>
      <c r="B1088" t="n">
        <v>72.8</v>
      </c>
      <c r="C1088" s="21">
        <f>B1088-20</f>
        <v/>
      </c>
      <c r="D1088" t="n">
        <v>129</v>
      </c>
      <c r="E1088" s="22">
        <f>D1088-90</f>
        <v/>
      </c>
      <c r="F1088" s="23" t="n">
        <v>0.017551</v>
      </c>
      <c r="G1088" s="22" t="n">
        <v>29.8</v>
      </c>
      <c r="H1088" s="22" t="n">
        <v>1.9</v>
      </c>
      <c r="I1088" s="24" t="n">
        <v>0.07584506273269651</v>
      </c>
      <c r="J1088" s="6" t="n">
        <v>71000</v>
      </c>
      <c r="K1088" s="25">
        <f>23*10^-6</f>
        <v/>
      </c>
      <c r="L1088" s="8">
        <f>H1088</f>
        <v/>
      </c>
      <c r="M1088" s="26">
        <f>H1088^2/6</f>
        <v/>
      </c>
      <c r="N1088" s="26">
        <f>H1088^3/12</f>
        <v/>
      </c>
      <c r="O1088" s="27">
        <f>-J1088*L1088*K1088*C1088</f>
        <v/>
      </c>
      <c r="P1088" s="28">
        <f>-(12*F1088*J1088*L1088*N1088+12*O1088*N1088*G1088*COS(RADIANS(E1088)))/(12*N1088*G1088*COS(RADIANS(E1088))^2+L1088*G1088^3*SIN(RADIANS(E1088))^2)</f>
        <v/>
      </c>
      <c r="Q1088" s="28">
        <f>-(6*F1088*J1088*L1088*N1088*SIN(RADIANS(E1088))+6*O1088*N1088*G1088*SIN(RADIANS(E1088))*COS(RADIANS(E1088)))/(12*N1088*COS(RADIANS(E1088))^2+L1088*G1088^2*SIN(RADIANS(E1088))^2)</f>
        <v/>
      </c>
      <c r="R1088" s="28">
        <f>-P1088*SIN(RADIANS(E1088))</f>
        <v/>
      </c>
      <c r="S1088" s="8">
        <f>(O1088+P1088*COS(RADIANS(E1088)))/L1088</f>
        <v/>
      </c>
      <c r="T1088" s="8">
        <f>R1088/L1088</f>
        <v/>
      </c>
      <c r="U1088" s="8">
        <f>(Q1088-P1088*G1088*SIN(RADIANS(E1088)))/M1088</f>
        <v/>
      </c>
      <c r="V1088" s="8">
        <f>SQRT((S1088+U1088)^2+3*T1088^2)</f>
        <v/>
      </c>
      <c r="W1088" s="8">
        <f>V1088/AA1088</f>
        <v/>
      </c>
      <c r="X1088" s="27">
        <f>((3*10+H1088/COS(RADIANS(E1088)))*(3+3)+3*G1088*H1088)*2</f>
        <v/>
      </c>
      <c r="Y1088" s="28">
        <f>Z1088/X1088</f>
        <v/>
      </c>
      <c r="Z1088" s="29" t="n">
        <v>739.373977069441</v>
      </c>
      <c r="AA1088" s="20" t="n">
        <v>81.6626940275353</v>
      </c>
      <c r="AB1088" t="n">
        <v>0.07860380967741755</v>
      </c>
      <c r="AC1088" t="n">
        <v>77.01131689205924</v>
      </c>
      <c r="AD1088" t="n">
        <v>3.637345458390345</v>
      </c>
    </row>
    <row r="1089">
      <c r="A1089" t="n">
        <v>1088</v>
      </c>
      <c r="B1089" t="n">
        <v>88.59999999999999</v>
      </c>
      <c r="C1089" s="21">
        <f>B1089-20</f>
        <v/>
      </c>
      <c r="D1089" t="n">
        <v>126.4</v>
      </c>
      <c r="E1089" s="22">
        <f>D1089-90</f>
        <v/>
      </c>
      <c r="F1089" s="23" t="n">
        <v>0.021247</v>
      </c>
      <c r="G1089" s="22" t="n">
        <v>26.3</v>
      </c>
      <c r="H1089" s="22" t="n">
        <v>1.2</v>
      </c>
      <c r="I1089" s="24" t="n">
        <v>0.0944765508174896</v>
      </c>
      <c r="J1089" s="6" t="n">
        <v>71000</v>
      </c>
      <c r="K1089" s="25">
        <f>23*10^-6</f>
        <v/>
      </c>
      <c r="L1089" s="8">
        <f>H1089</f>
        <v/>
      </c>
      <c r="M1089" s="26">
        <f>H1089^2/6</f>
        <v/>
      </c>
      <c r="N1089" s="26">
        <f>H1089^3/12</f>
        <v/>
      </c>
      <c r="O1089" s="27">
        <f>-J1089*L1089*K1089*C1089</f>
        <v/>
      </c>
      <c r="P1089" s="28">
        <f>-(12*F1089*J1089*L1089*N1089+12*O1089*N1089*G1089*COS(RADIANS(E1089)))/(12*N1089*G1089*COS(RADIANS(E1089))^2+L1089*G1089^3*SIN(RADIANS(E1089))^2)</f>
        <v/>
      </c>
      <c r="Q1089" s="28">
        <f>-(6*F1089*J1089*L1089*N1089*SIN(RADIANS(E1089))+6*O1089*N1089*G1089*SIN(RADIANS(E1089))*COS(RADIANS(E1089)))/(12*N1089*COS(RADIANS(E1089))^2+L1089*G1089^2*SIN(RADIANS(E1089))^2)</f>
        <v/>
      </c>
      <c r="R1089" s="28">
        <f>-P1089*SIN(RADIANS(E1089))</f>
        <v/>
      </c>
      <c r="S1089" s="8">
        <f>(O1089+P1089*COS(RADIANS(E1089)))/L1089</f>
        <v/>
      </c>
      <c r="T1089" s="8">
        <f>R1089/L1089</f>
        <v/>
      </c>
      <c r="U1089" s="8">
        <f>(Q1089-P1089*G1089*SIN(RADIANS(E1089)))/M1089</f>
        <v/>
      </c>
      <c r="V1089" s="8">
        <f>SQRT((S1089+U1089)^2+3*T1089^2)</f>
        <v/>
      </c>
      <c r="W1089" s="8">
        <f>V1089/AA1089</f>
        <v/>
      </c>
      <c r="X1089" s="27">
        <f>((3*10+H1089/COS(RADIANS(E1089)))*(3+3)+3*G1089*H1089)*2</f>
        <v/>
      </c>
      <c r="Y1089" s="28">
        <f>Z1089/X1089</f>
        <v/>
      </c>
      <c r="Z1089" s="29" t="n">
        <v>576.501786817272</v>
      </c>
      <c r="AA1089" s="20" t="n">
        <v>93.1211006980085</v>
      </c>
      <c r="AB1089" t="n">
        <v>0.09830945500938434</v>
      </c>
      <c r="AC1089" t="n">
        <v>98.21098077314902</v>
      </c>
      <c r="AD1089" t="n">
        <v>4.056989971298992</v>
      </c>
    </row>
    <row r="1090">
      <c r="A1090" t="n">
        <v>1089</v>
      </c>
      <c r="B1090" t="n">
        <v>67.59999999999999</v>
      </c>
      <c r="C1090" s="21">
        <f>B1090-20</f>
        <v/>
      </c>
      <c r="D1090" t="n">
        <v>115.6</v>
      </c>
      <c r="E1090" s="22">
        <f>D1090-90</f>
        <v/>
      </c>
      <c r="F1090" s="23" t="n">
        <v>0.018573</v>
      </c>
      <c r="G1090" s="22" t="n">
        <v>31.3</v>
      </c>
      <c r="H1090" s="22" t="n">
        <v>1.7</v>
      </c>
      <c r="I1090" s="24" t="n">
        <v>0.0928310230374336</v>
      </c>
      <c r="J1090" s="6" t="n">
        <v>71000</v>
      </c>
      <c r="K1090" s="25">
        <f>23*10^-6</f>
        <v/>
      </c>
      <c r="L1090" s="8">
        <f>H1090</f>
        <v/>
      </c>
      <c r="M1090" s="26">
        <f>H1090^2/6</f>
        <v/>
      </c>
      <c r="N1090" s="26">
        <f>H1090^3/12</f>
        <v/>
      </c>
      <c r="O1090" s="27">
        <f>-J1090*L1090*K1090*C1090</f>
        <v/>
      </c>
      <c r="P1090" s="28">
        <f>-(12*F1090*J1090*L1090*N1090+12*O1090*N1090*G1090*COS(RADIANS(E1090)))/(12*N1090*G1090*COS(RADIANS(E1090))^2+L1090*G1090^3*SIN(RADIANS(E1090))^2)</f>
        <v/>
      </c>
      <c r="Q1090" s="28">
        <f>-(6*F1090*J1090*L1090*N1090*SIN(RADIANS(E1090))+6*O1090*N1090*G1090*SIN(RADIANS(E1090))*COS(RADIANS(E1090)))/(12*N1090*COS(RADIANS(E1090))^2+L1090*G1090^2*SIN(RADIANS(E1090))^2)</f>
        <v/>
      </c>
      <c r="R1090" s="28">
        <f>-P1090*SIN(RADIANS(E1090))</f>
        <v/>
      </c>
      <c r="S1090" s="8">
        <f>(O1090+P1090*COS(RADIANS(E1090)))/L1090</f>
        <v/>
      </c>
      <c r="T1090" s="8">
        <f>R1090/L1090</f>
        <v/>
      </c>
      <c r="U1090" s="8">
        <f>(Q1090-P1090*G1090*SIN(RADIANS(E1090)))/M1090</f>
        <v/>
      </c>
      <c r="V1090" s="8">
        <f>SQRT((S1090+U1090)^2+3*T1090^2)</f>
        <v/>
      </c>
      <c r="W1090" s="8">
        <f>V1090/AA1090</f>
        <v/>
      </c>
      <c r="X1090" s="27">
        <f>((3*10+H1090/COS(RADIANS(E1090)))*(3+3)+3*G1090*H1090)*2</f>
        <v/>
      </c>
      <c r="Y1090" s="28">
        <f>Z1090/X1090</f>
        <v/>
      </c>
      <c r="Z1090" s="29" t="n">
        <v>707.9267172373141</v>
      </c>
      <c r="AA1090" s="20" t="n">
        <v>74.26319180707679</v>
      </c>
      <c r="AB1090" t="n">
        <v>0.1164607569541016</v>
      </c>
      <c r="AC1090" t="n">
        <v>72.17431636186848</v>
      </c>
      <c r="AD1090" t="n">
        <v>25.45456588056718</v>
      </c>
    </row>
    <row r="1091">
      <c r="A1091" t="n">
        <v>1090</v>
      </c>
      <c r="B1091" t="n">
        <v>86.8</v>
      </c>
      <c r="C1091" s="21">
        <f>B1091-20</f>
        <v/>
      </c>
      <c r="D1091" t="n">
        <v>102.2</v>
      </c>
      <c r="E1091" s="22">
        <f>D1091-90</f>
        <v/>
      </c>
      <c r="F1091" s="23" t="n">
        <v>0.025112</v>
      </c>
      <c r="G1091" s="22" t="n">
        <v>27.6</v>
      </c>
      <c r="H1091" s="22" t="n">
        <v>1.5</v>
      </c>
      <c r="I1091" s="24" t="n">
        <v>0.207069233059883</v>
      </c>
      <c r="J1091" s="6" t="n">
        <v>71000</v>
      </c>
      <c r="K1091" s="25">
        <f>23*10^-6</f>
        <v/>
      </c>
      <c r="L1091" s="8">
        <f>H1091</f>
        <v/>
      </c>
      <c r="M1091" s="26">
        <f>H1091^2/6</f>
        <v/>
      </c>
      <c r="N1091" s="26">
        <f>H1091^3/12</f>
        <v/>
      </c>
      <c r="O1091" s="27">
        <f>-J1091*L1091*K1091*C1091</f>
        <v/>
      </c>
      <c r="P1091" s="28">
        <f>-(12*F1091*J1091*L1091*N1091+12*O1091*N1091*G1091*COS(RADIANS(E1091)))/(12*N1091*G1091*COS(RADIANS(E1091))^2+L1091*G1091^3*SIN(RADIANS(E1091))^2)</f>
        <v/>
      </c>
      <c r="Q1091" s="28">
        <f>-(6*F1091*J1091*L1091*N1091*SIN(RADIANS(E1091))+6*O1091*N1091*G1091*SIN(RADIANS(E1091))*COS(RADIANS(E1091)))/(12*N1091*COS(RADIANS(E1091))^2+L1091*G1091^2*SIN(RADIANS(E1091))^2)</f>
        <v/>
      </c>
      <c r="R1091" s="28">
        <f>-P1091*SIN(RADIANS(E1091))</f>
        <v/>
      </c>
      <c r="S1091" s="8">
        <f>(O1091+P1091*COS(RADIANS(E1091)))/L1091</f>
        <v/>
      </c>
      <c r="T1091" s="8">
        <f>R1091/L1091</f>
        <v/>
      </c>
      <c r="U1091" s="8">
        <f>(Q1091-P1091*G1091*SIN(RADIANS(E1091)))/M1091</f>
        <v/>
      </c>
      <c r="V1091" s="8">
        <f>SQRT((S1091+U1091)^2+3*T1091^2)</f>
        <v/>
      </c>
      <c r="W1091" s="8">
        <f>V1091/AA1091</f>
        <v/>
      </c>
      <c r="X1091" s="27">
        <f>((3*10+H1091/COS(RADIANS(E1091)))*(3+3)+3*G1091*H1091)*2</f>
        <v/>
      </c>
      <c r="Y1091" s="28">
        <f>Z1091/X1091</f>
        <v/>
      </c>
      <c r="Z1091" s="29" t="n">
        <v>630.804078552192</v>
      </c>
      <c r="AA1091" s="20" t="n">
        <v>108.156343304403</v>
      </c>
      <c r="AB1091" t="n">
        <v>0.2976593935210149</v>
      </c>
      <c r="AC1091" t="n">
        <v>112.7018728181646</v>
      </c>
      <c r="AD1091" t="n">
        <v>43.74873037508855</v>
      </c>
    </row>
    <row r="1092">
      <c r="A1092" t="n">
        <v>1091</v>
      </c>
      <c r="B1092" t="n">
        <v>53.5</v>
      </c>
      <c r="C1092" s="21">
        <f>B1092-20</f>
        <v/>
      </c>
      <c r="D1092" t="n">
        <v>117.9</v>
      </c>
      <c r="E1092" s="22">
        <f>D1092-90</f>
        <v/>
      </c>
      <c r="F1092" s="23" t="n">
        <v>0.009986999999999999</v>
      </c>
      <c r="G1092" s="22" t="n">
        <v>22.8</v>
      </c>
      <c r="H1092" s="22" t="n">
        <v>1.5</v>
      </c>
      <c r="I1092" s="24" t="n">
        <v>0.0500580444931983</v>
      </c>
      <c r="J1092" s="6" t="n">
        <v>71000</v>
      </c>
      <c r="K1092" s="25">
        <f>23*10^-6</f>
        <v/>
      </c>
      <c r="L1092" s="8">
        <f>H1092</f>
        <v/>
      </c>
      <c r="M1092" s="26">
        <f>H1092^2/6</f>
        <v/>
      </c>
      <c r="N1092" s="26">
        <f>H1092^3/12</f>
        <v/>
      </c>
      <c r="O1092" s="27">
        <f>-J1092*L1092*K1092*C1092</f>
        <v/>
      </c>
      <c r="P1092" s="28">
        <f>-(12*F1092*J1092*L1092*N1092+12*O1092*N1092*G1092*COS(RADIANS(E1092)))/(12*N1092*G1092*COS(RADIANS(E1092))^2+L1092*G1092^3*SIN(RADIANS(E1092))^2)</f>
        <v/>
      </c>
      <c r="Q1092" s="28">
        <f>-(6*F1092*J1092*L1092*N1092*SIN(RADIANS(E1092))+6*O1092*N1092*G1092*SIN(RADIANS(E1092))*COS(RADIANS(E1092)))/(12*N1092*COS(RADIANS(E1092))^2+L1092*G1092^2*SIN(RADIANS(E1092))^2)</f>
        <v/>
      </c>
      <c r="R1092" s="28">
        <f>-P1092*SIN(RADIANS(E1092))</f>
        <v/>
      </c>
      <c r="S1092" s="8">
        <f>(O1092+P1092*COS(RADIANS(E1092)))/L1092</f>
        <v/>
      </c>
      <c r="T1092" s="8">
        <f>R1092/L1092</f>
        <v/>
      </c>
      <c r="U1092" s="8">
        <f>(Q1092-P1092*G1092*SIN(RADIANS(E1092)))/M1092</f>
        <v/>
      </c>
      <c r="V1092" s="8">
        <f>SQRT((S1092+U1092)^2+3*T1092^2)</f>
        <v/>
      </c>
      <c r="W1092" s="8">
        <f>V1092/AA1092</f>
        <v/>
      </c>
      <c r="X1092" s="27">
        <f>((3*10+H1092/COS(RADIANS(E1092)))*(3+3)+3*G1092*H1092)*2</f>
        <v/>
      </c>
      <c r="Y1092" s="28">
        <f>Z1092/X1092</f>
        <v/>
      </c>
      <c r="Z1092" s="29" t="n">
        <v>592.157541348347</v>
      </c>
      <c r="AA1092" s="20" t="n">
        <v>51.9021270487511</v>
      </c>
      <c r="AB1092" t="n">
        <v>0.05546627814373332</v>
      </c>
      <c r="AC1092" t="n">
        <v>50.64366666249726</v>
      </c>
      <c r="AD1092" t="n">
        <v>10.80392513389106</v>
      </c>
    </row>
    <row r="1093">
      <c r="A1093" t="n">
        <v>1092</v>
      </c>
      <c r="B1093" t="n">
        <v>53.5</v>
      </c>
      <c r="C1093" s="21">
        <f>B1093-20</f>
        <v/>
      </c>
      <c r="D1093" t="n">
        <v>125</v>
      </c>
      <c r="E1093" s="22">
        <f>D1093-90</f>
        <v/>
      </c>
      <c r="F1093" s="23" t="n">
        <v>0.012928</v>
      </c>
      <c r="G1093" s="22" t="n">
        <v>34</v>
      </c>
      <c r="H1093" s="22" t="n">
        <v>1.7</v>
      </c>
      <c r="I1093" s="24" t="n">
        <v>0.0560827404260635</v>
      </c>
      <c r="J1093" s="6" t="n">
        <v>71000</v>
      </c>
      <c r="K1093" s="25">
        <f>23*10^-6</f>
        <v/>
      </c>
      <c r="L1093" s="8">
        <f>H1093</f>
        <v/>
      </c>
      <c r="M1093" s="26">
        <f>H1093^2/6</f>
        <v/>
      </c>
      <c r="N1093" s="26">
        <f>H1093^3/12</f>
        <v/>
      </c>
      <c r="O1093" s="27">
        <f>-J1093*L1093*K1093*C1093</f>
        <v/>
      </c>
      <c r="P1093" s="28">
        <f>-(12*F1093*J1093*L1093*N1093+12*O1093*N1093*G1093*COS(RADIANS(E1093)))/(12*N1093*G1093*COS(RADIANS(E1093))^2+L1093*G1093^3*SIN(RADIANS(E1093))^2)</f>
        <v/>
      </c>
      <c r="Q1093" s="28">
        <f>-(6*F1093*J1093*L1093*N1093*SIN(RADIANS(E1093))+6*O1093*N1093*G1093*SIN(RADIANS(E1093))*COS(RADIANS(E1093)))/(12*N1093*COS(RADIANS(E1093))^2+L1093*G1093^2*SIN(RADIANS(E1093))^2)</f>
        <v/>
      </c>
      <c r="R1093" s="28">
        <f>-P1093*SIN(RADIANS(E1093))</f>
        <v/>
      </c>
      <c r="S1093" s="8">
        <f>(O1093+P1093*COS(RADIANS(E1093)))/L1093</f>
        <v/>
      </c>
      <c r="T1093" s="8">
        <f>R1093/L1093</f>
        <v/>
      </c>
      <c r="U1093" s="8">
        <f>(Q1093-P1093*G1093*SIN(RADIANS(E1093)))/M1093</f>
        <v/>
      </c>
      <c r="V1093" s="8">
        <f>SQRT((S1093+U1093)^2+3*T1093^2)</f>
        <v/>
      </c>
      <c r="W1093" s="8">
        <f>V1093/AA1093</f>
        <v/>
      </c>
      <c r="X1093" s="27">
        <f>((3*10+H1093/COS(RADIANS(E1093)))*(3+3)+3*G1093*H1093)*2</f>
        <v/>
      </c>
      <c r="Y1093" s="28">
        <f>Z1093/X1093</f>
        <v/>
      </c>
      <c r="Z1093" s="29" t="n">
        <v>740.43602112665</v>
      </c>
      <c r="AA1093" s="20" t="n">
        <v>49.2460850198674</v>
      </c>
      <c r="AB1093" t="n">
        <v>0.06376453936307162</v>
      </c>
      <c r="AC1093" t="n">
        <v>48.71657854729176</v>
      </c>
      <c r="AD1093" t="n">
        <v>13.69726029550107</v>
      </c>
    </row>
    <row r="1094">
      <c r="A1094" t="n">
        <v>1093</v>
      </c>
      <c r="B1094" t="n">
        <v>41.8</v>
      </c>
      <c r="C1094" s="21">
        <f>B1094-20</f>
        <v/>
      </c>
      <c r="D1094" t="n">
        <v>120.4</v>
      </c>
      <c r="E1094" s="22">
        <f>D1094-90</f>
        <v/>
      </c>
      <c r="F1094" s="23" t="n">
        <v>0.006143</v>
      </c>
      <c r="G1094" s="22" t="n">
        <v>21.7</v>
      </c>
      <c r="H1094" s="22" t="n">
        <v>1.6</v>
      </c>
      <c r="I1094" s="24" t="n">
        <v>0.0298880599439144</v>
      </c>
      <c r="J1094" s="6" t="n">
        <v>71000</v>
      </c>
      <c r="K1094" s="25">
        <f>23*10^-6</f>
        <v/>
      </c>
      <c r="L1094" s="8">
        <f>H1094</f>
        <v/>
      </c>
      <c r="M1094" s="26">
        <f>H1094^2/6</f>
        <v/>
      </c>
      <c r="N1094" s="26">
        <f>H1094^3/12</f>
        <v/>
      </c>
      <c r="O1094" s="27">
        <f>-J1094*L1094*K1094*C1094</f>
        <v/>
      </c>
      <c r="P1094" s="28">
        <f>-(12*F1094*J1094*L1094*N1094+12*O1094*N1094*G1094*COS(RADIANS(E1094)))/(12*N1094*G1094*COS(RADIANS(E1094))^2+L1094*G1094^3*SIN(RADIANS(E1094))^2)</f>
        <v/>
      </c>
      <c r="Q1094" s="28">
        <f>-(6*F1094*J1094*L1094*N1094*SIN(RADIANS(E1094))+6*O1094*N1094*G1094*SIN(RADIANS(E1094))*COS(RADIANS(E1094)))/(12*N1094*COS(RADIANS(E1094))^2+L1094*G1094^2*SIN(RADIANS(E1094))^2)</f>
        <v/>
      </c>
      <c r="R1094" s="28">
        <f>-P1094*SIN(RADIANS(E1094))</f>
        <v/>
      </c>
      <c r="S1094" s="8">
        <f>(O1094+P1094*COS(RADIANS(E1094)))/L1094</f>
        <v/>
      </c>
      <c r="T1094" s="8">
        <f>R1094/L1094</f>
        <v/>
      </c>
      <c r="U1094" s="8">
        <f>(Q1094-P1094*G1094*SIN(RADIANS(E1094)))/M1094</f>
        <v/>
      </c>
      <c r="V1094" s="8">
        <f>SQRT((S1094+U1094)^2+3*T1094^2)</f>
        <v/>
      </c>
      <c r="W1094" s="8">
        <f>V1094/AA1094</f>
        <v/>
      </c>
      <c r="X1094" s="27">
        <f>((3*10+H1094/COS(RADIANS(E1094)))*(3+3)+3*G1094*H1094)*2</f>
        <v/>
      </c>
      <c r="Y1094" s="28">
        <f>Z1094/X1094</f>
        <v/>
      </c>
      <c r="Z1094" s="29" t="n">
        <v>597.8397921240301</v>
      </c>
      <c r="AA1094" s="20" t="n">
        <v>34.5926662873736</v>
      </c>
      <c r="AB1094" t="n">
        <v>0.03141789148730426</v>
      </c>
      <c r="AC1094" t="n">
        <v>32.87742424152616</v>
      </c>
      <c r="AD1094" t="n">
        <v>5.118537456966513</v>
      </c>
    </row>
    <row r="1095">
      <c r="A1095" t="n">
        <v>1094</v>
      </c>
      <c r="B1095" t="n">
        <v>87.8</v>
      </c>
      <c r="C1095" s="21">
        <f>B1095-20</f>
        <v/>
      </c>
      <c r="D1095" t="n">
        <v>106</v>
      </c>
      <c r="E1095" s="22">
        <f>D1095-90</f>
        <v/>
      </c>
      <c r="F1095" s="23" t="n">
        <v>0.025292</v>
      </c>
      <c r="G1095" s="22" t="n">
        <v>27.8</v>
      </c>
      <c r="H1095" s="22" t="n">
        <v>1.6</v>
      </c>
      <c r="I1095" s="24" t="n">
        <v>0.171779721975326</v>
      </c>
      <c r="J1095" s="6" t="n">
        <v>71000</v>
      </c>
      <c r="K1095" s="25">
        <f>23*10^-6</f>
        <v/>
      </c>
      <c r="L1095" s="8">
        <f>H1095</f>
        <v/>
      </c>
      <c r="M1095" s="26">
        <f>H1095^2/6</f>
        <v/>
      </c>
      <c r="N1095" s="26">
        <f>H1095^3/12</f>
        <v/>
      </c>
      <c r="O1095" s="27">
        <f>-J1095*L1095*K1095*C1095</f>
        <v/>
      </c>
      <c r="P1095" s="28">
        <f>-(12*F1095*J1095*L1095*N1095+12*O1095*N1095*G1095*COS(RADIANS(E1095)))/(12*N1095*G1095*COS(RADIANS(E1095))^2+L1095*G1095^3*SIN(RADIANS(E1095))^2)</f>
        <v/>
      </c>
      <c r="Q1095" s="28">
        <f>-(6*F1095*J1095*L1095*N1095*SIN(RADIANS(E1095))+6*O1095*N1095*G1095*SIN(RADIANS(E1095))*COS(RADIANS(E1095)))/(12*N1095*COS(RADIANS(E1095))^2+L1095*G1095^2*SIN(RADIANS(E1095))^2)</f>
        <v/>
      </c>
      <c r="R1095" s="28">
        <f>-P1095*SIN(RADIANS(E1095))</f>
        <v/>
      </c>
      <c r="S1095" s="8">
        <f>(O1095+P1095*COS(RADIANS(E1095)))/L1095</f>
        <v/>
      </c>
      <c r="T1095" s="8">
        <f>R1095/L1095</f>
        <v/>
      </c>
      <c r="U1095" s="8">
        <f>(Q1095-P1095*G1095*SIN(RADIANS(E1095)))/M1095</f>
        <v/>
      </c>
      <c r="V1095" s="8">
        <f>SQRT((S1095+U1095)^2+3*T1095^2)</f>
        <v/>
      </c>
      <c r="W1095" s="8">
        <f>V1095/AA1095</f>
        <v/>
      </c>
      <c r="X1095" s="27">
        <f>((3*10+H1095/COS(RADIANS(E1095)))*(3+3)+3*G1095*H1095)*2</f>
        <v/>
      </c>
      <c r="Y1095" s="28">
        <f>Z1095/X1095</f>
        <v/>
      </c>
      <c r="Z1095" s="29" t="n">
        <v>651.254565014861</v>
      </c>
      <c r="AA1095" s="20" t="n">
        <v>109.983634177066</v>
      </c>
      <c r="AB1095" t="n">
        <v>0.2356940319894147</v>
      </c>
      <c r="AC1095" t="n">
        <v>110.3978006095582</v>
      </c>
      <c r="AD1095" t="n">
        <v>37.20713322802396</v>
      </c>
    </row>
    <row r="1096">
      <c r="A1096" t="n">
        <v>1095</v>
      </c>
      <c r="B1096" t="n">
        <v>73.2</v>
      </c>
      <c r="C1096" s="21">
        <f>B1096-20</f>
        <v/>
      </c>
      <c r="D1096" t="n">
        <v>122.2</v>
      </c>
      <c r="E1096" s="22">
        <f>D1096-90</f>
        <v/>
      </c>
      <c r="F1096" s="23" t="n">
        <v>0.016879</v>
      </c>
      <c r="G1096" s="22" t="n">
        <v>25.8</v>
      </c>
      <c r="H1096" s="22" t="n">
        <v>1.1</v>
      </c>
      <c r="I1096" s="24" t="n">
        <v>0.0781483575701713</v>
      </c>
      <c r="J1096" s="6" t="n">
        <v>71000</v>
      </c>
      <c r="K1096" s="25">
        <f>23*10^-6</f>
        <v/>
      </c>
      <c r="L1096" s="8">
        <f>H1096</f>
        <v/>
      </c>
      <c r="M1096" s="26">
        <f>H1096^2/6</f>
        <v/>
      </c>
      <c r="N1096" s="26">
        <f>H1096^3/12</f>
        <v/>
      </c>
      <c r="O1096" s="27">
        <f>-J1096*L1096*K1096*C1096</f>
        <v/>
      </c>
      <c r="P1096" s="28">
        <f>-(12*F1096*J1096*L1096*N1096+12*O1096*N1096*G1096*COS(RADIANS(E1096)))/(12*N1096*G1096*COS(RADIANS(E1096))^2+L1096*G1096^3*SIN(RADIANS(E1096))^2)</f>
        <v/>
      </c>
      <c r="Q1096" s="28">
        <f>-(6*F1096*J1096*L1096*N1096*SIN(RADIANS(E1096))+6*O1096*N1096*G1096*SIN(RADIANS(E1096))*COS(RADIANS(E1096)))/(12*N1096*COS(RADIANS(E1096))^2+L1096*G1096^2*SIN(RADIANS(E1096))^2)</f>
        <v/>
      </c>
      <c r="R1096" s="28">
        <f>-P1096*SIN(RADIANS(E1096))</f>
        <v/>
      </c>
      <c r="S1096" s="8">
        <f>(O1096+P1096*COS(RADIANS(E1096)))/L1096</f>
        <v/>
      </c>
      <c r="T1096" s="8">
        <f>R1096/L1096</f>
        <v/>
      </c>
      <c r="U1096" s="8">
        <f>(Q1096-P1096*G1096*SIN(RADIANS(E1096)))/M1096</f>
        <v/>
      </c>
      <c r="V1096" s="8">
        <f>SQRT((S1096+U1096)^2+3*T1096^2)</f>
        <v/>
      </c>
      <c r="W1096" s="8">
        <f>V1096/AA1096</f>
        <v/>
      </c>
      <c r="X1096" s="27">
        <f>((3*10+H1096/COS(RADIANS(E1096)))*(3+3)+3*G1096*H1096)*2</f>
        <v/>
      </c>
      <c r="Y1096" s="28">
        <f>Z1096/X1096</f>
        <v/>
      </c>
      <c r="Z1096" s="29" t="n">
        <v>553.675222895356</v>
      </c>
      <c r="AA1096" s="20" t="n">
        <v>73.26366162368539</v>
      </c>
      <c r="AB1096" t="n">
        <v>0.08560535589750101</v>
      </c>
      <c r="AC1096" t="n">
        <v>76.65246331361942</v>
      </c>
      <c r="AD1096" t="n">
        <v>9.542104990029882</v>
      </c>
    </row>
    <row r="1097">
      <c r="A1097" t="n">
        <v>1096</v>
      </c>
      <c r="B1097" t="n">
        <v>53.6</v>
      </c>
      <c r="C1097" s="21">
        <f>B1097-20</f>
        <v/>
      </c>
      <c r="D1097" t="n">
        <v>104.4</v>
      </c>
      <c r="E1097" s="22">
        <f>D1097-90</f>
        <v/>
      </c>
      <c r="F1097" s="23" t="n">
        <v>0.011981</v>
      </c>
      <c r="G1097" s="22" t="n">
        <v>26.1</v>
      </c>
      <c r="H1097" s="22" t="n">
        <v>1.6</v>
      </c>
      <c r="I1097" s="24" t="n">
        <v>0.0877253413200378</v>
      </c>
      <c r="J1097" s="6" t="n">
        <v>71000</v>
      </c>
      <c r="K1097" s="25">
        <f>23*10^-6</f>
        <v/>
      </c>
      <c r="L1097" s="8">
        <f>H1097</f>
        <v/>
      </c>
      <c r="M1097" s="26">
        <f>H1097^2/6</f>
        <v/>
      </c>
      <c r="N1097" s="26">
        <f>H1097^3/12</f>
        <v/>
      </c>
      <c r="O1097" s="27">
        <f>-J1097*L1097*K1097*C1097</f>
        <v/>
      </c>
      <c r="P1097" s="28">
        <f>-(12*F1097*J1097*L1097*N1097+12*O1097*N1097*G1097*COS(RADIANS(E1097)))/(12*N1097*G1097*COS(RADIANS(E1097))^2+L1097*G1097^3*SIN(RADIANS(E1097))^2)</f>
        <v/>
      </c>
      <c r="Q1097" s="28">
        <f>-(6*F1097*J1097*L1097*N1097*SIN(RADIANS(E1097))+6*O1097*N1097*G1097*SIN(RADIANS(E1097))*COS(RADIANS(E1097)))/(12*N1097*COS(RADIANS(E1097))^2+L1097*G1097^2*SIN(RADIANS(E1097))^2)</f>
        <v/>
      </c>
      <c r="R1097" s="28">
        <f>-P1097*SIN(RADIANS(E1097))</f>
        <v/>
      </c>
      <c r="S1097" s="8">
        <f>(O1097+P1097*COS(RADIANS(E1097)))/L1097</f>
        <v/>
      </c>
      <c r="T1097" s="8">
        <f>R1097/L1097</f>
        <v/>
      </c>
      <c r="U1097" s="8">
        <f>(Q1097-P1097*G1097*SIN(RADIANS(E1097)))/M1097</f>
        <v/>
      </c>
      <c r="V1097" s="8">
        <f>SQRT((S1097+U1097)^2+3*T1097^2)</f>
        <v/>
      </c>
      <c r="W1097" s="8">
        <f>V1097/AA1097</f>
        <v/>
      </c>
      <c r="X1097" s="27">
        <f>((3*10+H1097/COS(RADIANS(E1097)))*(3+3)+3*G1097*H1097)*2</f>
        <v/>
      </c>
      <c r="Y1097" s="28">
        <f>Z1097/X1097</f>
        <v/>
      </c>
      <c r="Z1097" s="29" t="n">
        <v>634.594859030869</v>
      </c>
      <c r="AA1097" s="20" t="n">
        <v>55.5429260868287</v>
      </c>
      <c r="AB1097" t="n">
        <v>0.1207135087741971</v>
      </c>
      <c r="AC1097" t="n">
        <v>56.01531051016318</v>
      </c>
      <c r="AD1097" t="n">
        <v>37.60392032424541</v>
      </c>
    </row>
    <row r="1098">
      <c r="A1098" t="n">
        <v>1097</v>
      </c>
      <c r="B1098" t="n">
        <v>44.9</v>
      </c>
      <c r="C1098" s="21">
        <f>B1098-20</f>
        <v/>
      </c>
      <c r="D1098" t="n">
        <v>107</v>
      </c>
      <c r="E1098" s="22">
        <f>D1098-90</f>
        <v/>
      </c>
      <c r="F1098" s="23" t="n">
        <v>0.010227</v>
      </c>
      <c r="G1098" s="22" t="n">
        <v>31.4</v>
      </c>
      <c r="H1098" s="22" t="n">
        <v>2</v>
      </c>
      <c r="I1098" s="24" t="n">
        <v>0.06537428498268121</v>
      </c>
      <c r="J1098" s="6" t="n">
        <v>71000</v>
      </c>
      <c r="K1098" s="25">
        <f>23*10^-6</f>
        <v/>
      </c>
      <c r="L1098" s="8">
        <f>H1098</f>
        <v/>
      </c>
      <c r="M1098" s="26">
        <f>H1098^2/6</f>
        <v/>
      </c>
      <c r="N1098" s="26">
        <f>H1098^3/12</f>
        <v/>
      </c>
      <c r="O1098" s="27">
        <f>-J1098*L1098*K1098*C1098</f>
        <v/>
      </c>
      <c r="P1098" s="28">
        <f>-(12*F1098*J1098*L1098*N1098+12*O1098*N1098*G1098*COS(RADIANS(E1098)))/(12*N1098*G1098*COS(RADIANS(E1098))^2+L1098*G1098^3*SIN(RADIANS(E1098))^2)</f>
        <v/>
      </c>
      <c r="Q1098" s="28">
        <f>-(6*F1098*J1098*L1098*N1098*SIN(RADIANS(E1098))+6*O1098*N1098*G1098*SIN(RADIANS(E1098))*COS(RADIANS(E1098)))/(12*N1098*COS(RADIANS(E1098))^2+L1098*G1098^2*SIN(RADIANS(E1098))^2)</f>
        <v/>
      </c>
      <c r="R1098" s="28">
        <f>-P1098*SIN(RADIANS(E1098))</f>
        <v/>
      </c>
      <c r="S1098" s="8">
        <f>(O1098+P1098*COS(RADIANS(E1098)))/L1098</f>
        <v/>
      </c>
      <c r="T1098" s="8">
        <f>R1098/L1098</f>
        <v/>
      </c>
      <c r="U1098" s="8">
        <f>(Q1098-P1098*G1098*SIN(RADIANS(E1098)))/M1098</f>
        <v/>
      </c>
      <c r="V1098" s="8">
        <f>SQRT((S1098+U1098)^2+3*T1098^2)</f>
        <v/>
      </c>
      <c r="W1098" s="8">
        <f>V1098/AA1098</f>
        <v/>
      </c>
      <c r="X1098" s="27">
        <f>((3*10+H1098/COS(RADIANS(E1098)))*(3+3)+3*G1098*H1098)*2</f>
        <v/>
      </c>
      <c r="Y1098" s="28">
        <f>Z1098/X1098</f>
        <v/>
      </c>
      <c r="Z1098" s="29" t="n">
        <v>766.426833697024</v>
      </c>
      <c r="AA1098" s="20" t="n">
        <v>42.7224516235692</v>
      </c>
      <c r="AB1098" t="n">
        <v>0.09087717186054704</v>
      </c>
      <c r="AC1098" t="n">
        <v>41.00048003060037</v>
      </c>
      <c r="AD1098" t="n">
        <v>39.01057867726125</v>
      </c>
    </row>
    <row r="1099">
      <c r="A1099" t="n">
        <v>1098</v>
      </c>
      <c r="B1099" t="n">
        <v>57.5</v>
      </c>
      <c r="C1099" s="21">
        <f>B1099-20</f>
        <v/>
      </c>
      <c r="D1099" t="n">
        <v>126</v>
      </c>
      <c r="E1099" s="22">
        <f>D1099-90</f>
        <v/>
      </c>
      <c r="F1099" s="23" t="n">
        <v>0.011453</v>
      </c>
      <c r="G1099" s="22" t="n">
        <v>25.7</v>
      </c>
      <c r="H1099" s="22" t="n">
        <v>1.1</v>
      </c>
      <c r="I1099" s="24" t="n">
        <v>0.0512246005237102</v>
      </c>
      <c r="J1099" s="6" t="n">
        <v>71000</v>
      </c>
      <c r="K1099" s="25">
        <f>23*10^-6</f>
        <v/>
      </c>
      <c r="L1099" s="8">
        <f>H1099</f>
        <v/>
      </c>
      <c r="M1099" s="26">
        <f>H1099^2/6</f>
        <v/>
      </c>
      <c r="N1099" s="26">
        <f>H1099^3/12</f>
        <v/>
      </c>
      <c r="O1099" s="27">
        <f>-J1099*L1099*K1099*C1099</f>
        <v/>
      </c>
      <c r="P1099" s="28">
        <f>-(12*F1099*J1099*L1099*N1099+12*O1099*N1099*G1099*COS(RADIANS(E1099)))/(12*N1099*G1099*COS(RADIANS(E1099))^2+L1099*G1099^3*SIN(RADIANS(E1099))^2)</f>
        <v/>
      </c>
      <c r="Q1099" s="28">
        <f>-(6*F1099*J1099*L1099*N1099*SIN(RADIANS(E1099))+6*O1099*N1099*G1099*SIN(RADIANS(E1099))*COS(RADIANS(E1099)))/(12*N1099*COS(RADIANS(E1099))^2+L1099*G1099^2*SIN(RADIANS(E1099))^2)</f>
        <v/>
      </c>
      <c r="R1099" s="28">
        <f>-P1099*SIN(RADIANS(E1099))</f>
        <v/>
      </c>
      <c r="S1099" s="8">
        <f>(O1099+P1099*COS(RADIANS(E1099)))/L1099</f>
        <v/>
      </c>
      <c r="T1099" s="8">
        <f>R1099/L1099</f>
        <v/>
      </c>
      <c r="U1099" s="8">
        <f>(Q1099-P1099*G1099*SIN(RADIANS(E1099)))/M1099</f>
        <v/>
      </c>
      <c r="V1099" s="8">
        <f>SQRT((S1099+U1099)^2+3*T1099^2)</f>
        <v/>
      </c>
      <c r="W1099" s="8">
        <f>V1099/AA1099</f>
        <v/>
      </c>
      <c r="X1099" s="27">
        <f>((3*10+H1099/COS(RADIANS(E1099)))*(3+3)+3*G1099*H1099)*2</f>
        <v/>
      </c>
      <c r="Y1099" s="28">
        <f>Z1099/X1099</f>
        <v/>
      </c>
      <c r="Z1099" s="29" t="n">
        <v>555.035358148633</v>
      </c>
      <c r="AA1099" s="20" t="n">
        <v>50.1206836790084</v>
      </c>
      <c r="AB1099" t="n">
        <v>0.0532620944208689</v>
      </c>
      <c r="AC1099" t="n">
        <v>53.50928501364098</v>
      </c>
      <c r="AD1099" t="n">
        <v>3.977569129534951</v>
      </c>
    </row>
    <row r="1100">
      <c r="A1100" t="n">
        <v>1099</v>
      </c>
      <c r="B1100" t="n">
        <v>74.09999999999999</v>
      </c>
      <c r="C1100" s="21">
        <f>B1100-20</f>
        <v/>
      </c>
      <c r="D1100" t="n">
        <v>109.5</v>
      </c>
      <c r="E1100" s="22">
        <f>D1100-90</f>
        <v/>
      </c>
      <c r="F1100" s="23" t="n">
        <v>0.018525</v>
      </c>
      <c r="G1100" s="22" t="n">
        <v>25.5</v>
      </c>
      <c r="H1100" s="22" t="n">
        <v>1.2</v>
      </c>
      <c r="I1100" s="24" t="n">
        <v>0.112169690430164</v>
      </c>
      <c r="J1100" s="6" t="n">
        <v>71000</v>
      </c>
      <c r="K1100" s="25">
        <f>23*10^-6</f>
        <v/>
      </c>
      <c r="L1100" s="8">
        <f>H1100</f>
        <v/>
      </c>
      <c r="M1100" s="26">
        <f>H1100^2/6</f>
        <v/>
      </c>
      <c r="N1100" s="26">
        <f>H1100^3/12</f>
        <v/>
      </c>
      <c r="O1100" s="27">
        <f>-J1100*L1100*K1100*C1100</f>
        <v/>
      </c>
      <c r="P1100" s="28">
        <f>-(12*F1100*J1100*L1100*N1100+12*O1100*N1100*G1100*COS(RADIANS(E1100)))/(12*N1100*G1100*COS(RADIANS(E1100))^2+L1100*G1100^3*SIN(RADIANS(E1100))^2)</f>
        <v/>
      </c>
      <c r="Q1100" s="28">
        <f>-(6*F1100*J1100*L1100*N1100*SIN(RADIANS(E1100))+6*O1100*N1100*G1100*SIN(RADIANS(E1100))*COS(RADIANS(E1100)))/(12*N1100*COS(RADIANS(E1100))^2+L1100*G1100^2*SIN(RADIANS(E1100))^2)</f>
        <v/>
      </c>
      <c r="R1100" s="28">
        <f>-P1100*SIN(RADIANS(E1100))</f>
        <v/>
      </c>
      <c r="S1100" s="8">
        <f>(O1100+P1100*COS(RADIANS(E1100)))/L1100</f>
        <v/>
      </c>
      <c r="T1100" s="8">
        <f>R1100/L1100</f>
        <v/>
      </c>
      <c r="U1100" s="8">
        <f>(Q1100-P1100*G1100*SIN(RADIANS(E1100)))/M1100</f>
        <v/>
      </c>
      <c r="V1100" s="8">
        <f>SQRT((S1100+U1100)^2+3*T1100^2)</f>
        <v/>
      </c>
      <c r="W1100" s="8">
        <f>V1100/AA1100</f>
        <v/>
      </c>
      <c r="X1100" s="27">
        <f>((3*10+H1100/COS(RADIANS(E1100)))*(3+3)+3*G1100*H1100)*2</f>
        <v/>
      </c>
      <c r="Y1100" s="28">
        <f>Z1100/X1100</f>
        <v/>
      </c>
      <c r="Z1100" s="29" t="n">
        <v>563.770219449704</v>
      </c>
      <c r="AA1100" s="20" t="n">
        <v>79.1215277700512</v>
      </c>
      <c r="AB1100" t="n">
        <v>0.1446964289042019</v>
      </c>
      <c r="AC1100" t="n">
        <v>83.01826670786836</v>
      </c>
      <c r="AD1100" t="n">
        <v>28.99779641835492</v>
      </c>
    </row>
    <row r="1101">
      <c r="A1101" t="n">
        <v>1100</v>
      </c>
      <c r="B1101" t="n">
        <v>72.7</v>
      </c>
      <c r="C1101" s="21">
        <f>B1101-20</f>
        <v/>
      </c>
      <c r="D1101" t="n">
        <v>109.3</v>
      </c>
      <c r="E1101" s="22">
        <f>D1101-90</f>
        <v/>
      </c>
      <c r="F1101" s="23" t="n">
        <v>0.020899</v>
      </c>
      <c r="G1101" s="22" t="n">
        <v>30.5</v>
      </c>
      <c r="H1101" s="22" t="n">
        <v>1.6</v>
      </c>
      <c r="I1101" s="24" t="n">
        <v>0.124134123325347</v>
      </c>
      <c r="J1101" s="6" t="n">
        <v>71000</v>
      </c>
      <c r="K1101" s="25">
        <f>23*10^-6</f>
        <v/>
      </c>
      <c r="L1101" s="8">
        <f>H1101</f>
        <v/>
      </c>
      <c r="M1101" s="26">
        <f>H1101^2/6</f>
        <v/>
      </c>
      <c r="N1101" s="26">
        <f>H1101^3/12</f>
        <v/>
      </c>
      <c r="O1101" s="27">
        <f>-J1101*L1101*K1101*C1101</f>
        <v/>
      </c>
      <c r="P1101" s="28">
        <f>-(12*F1101*J1101*L1101*N1101+12*O1101*N1101*G1101*COS(RADIANS(E1101)))/(12*N1101*G1101*COS(RADIANS(E1101))^2+L1101*G1101^3*SIN(RADIANS(E1101))^2)</f>
        <v/>
      </c>
      <c r="Q1101" s="28">
        <f>-(6*F1101*J1101*L1101*N1101*SIN(RADIANS(E1101))+6*O1101*N1101*G1101*SIN(RADIANS(E1101))*COS(RADIANS(E1101)))/(12*N1101*COS(RADIANS(E1101))^2+L1101*G1101^2*SIN(RADIANS(E1101))^2)</f>
        <v/>
      </c>
      <c r="R1101" s="28">
        <f>-P1101*SIN(RADIANS(E1101))</f>
        <v/>
      </c>
      <c r="S1101" s="8">
        <f>(O1101+P1101*COS(RADIANS(E1101)))/L1101</f>
        <v/>
      </c>
      <c r="T1101" s="8">
        <f>R1101/L1101</f>
        <v/>
      </c>
      <c r="U1101" s="8">
        <f>(Q1101-P1101*G1101*SIN(RADIANS(E1101)))/M1101</f>
        <v/>
      </c>
      <c r="V1101" s="8">
        <f>SQRT((S1101+U1101)^2+3*T1101^2)</f>
        <v/>
      </c>
      <c r="W1101" s="8">
        <f>V1101/AA1101</f>
        <v/>
      </c>
      <c r="X1101" s="27">
        <f>((3*10+H1101/COS(RADIANS(E1101)))*(3+3)+3*G1101*H1101)*2</f>
        <v/>
      </c>
      <c r="Y1101" s="28">
        <f>Z1101/X1101</f>
        <v/>
      </c>
      <c r="Z1101" s="29" t="n">
        <v>678.00599264458</v>
      </c>
      <c r="AA1101" s="20" t="n">
        <v>82.57306168695131</v>
      </c>
      <c r="AB1101" t="n">
        <v>0.1676050978919868</v>
      </c>
      <c r="AC1101" t="n">
        <v>82.63712106657229</v>
      </c>
      <c r="AD1101" t="n">
        <v>35.0193592238174</v>
      </c>
    </row>
    <row r="1102">
      <c r="A1102" t="n">
        <v>1101</v>
      </c>
      <c r="B1102" t="n">
        <v>80.2</v>
      </c>
      <c r="C1102" s="21">
        <f>B1102-20</f>
        <v/>
      </c>
      <c r="D1102" t="n">
        <v>110.8</v>
      </c>
      <c r="E1102" s="22">
        <f>D1102-90</f>
        <v/>
      </c>
      <c r="F1102" s="23" t="n">
        <v>0.019258</v>
      </c>
      <c r="G1102" s="22" t="n">
        <v>23.6</v>
      </c>
      <c r="H1102" s="22" t="n">
        <v>1.6</v>
      </c>
      <c r="I1102" s="24" t="n">
        <v>0.112272731959819</v>
      </c>
      <c r="J1102" s="6" t="n">
        <v>71000</v>
      </c>
      <c r="K1102" s="25">
        <f>23*10^-6</f>
        <v/>
      </c>
      <c r="L1102" s="8">
        <f>H1102</f>
        <v/>
      </c>
      <c r="M1102" s="26">
        <f>H1102^2/6</f>
        <v/>
      </c>
      <c r="N1102" s="26">
        <f>H1102^3/12</f>
        <v/>
      </c>
      <c r="O1102" s="27">
        <f>-J1102*L1102*K1102*C1102</f>
        <v/>
      </c>
      <c r="P1102" s="28">
        <f>-(12*F1102*J1102*L1102*N1102+12*O1102*N1102*G1102*COS(RADIANS(E1102)))/(12*N1102*G1102*COS(RADIANS(E1102))^2+L1102*G1102^3*SIN(RADIANS(E1102))^2)</f>
        <v/>
      </c>
      <c r="Q1102" s="28">
        <f>-(6*F1102*J1102*L1102*N1102*SIN(RADIANS(E1102))+6*O1102*N1102*G1102*SIN(RADIANS(E1102))*COS(RADIANS(E1102)))/(12*N1102*COS(RADIANS(E1102))^2+L1102*G1102^2*SIN(RADIANS(E1102))^2)</f>
        <v/>
      </c>
      <c r="R1102" s="28">
        <f>-P1102*SIN(RADIANS(E1102))</f>
        <v/>
      </c>
      <c r="S1102" s="8">
        <f>(O1102+P1102*COS(RADIANS(E1102)))/L1102</f>
        <v/>
      </c>
      <c r="T1102" s="8">
        <f>R1102/L1102</f>
        <v/>
      </c>
      <c r="U1102" s="8">
        <f>(Q1102-P1102*G1102*SIN(RADIANS(E1102)))/M1102</f>
        <v/>
      </c>
      <c r="V1102" s="8">
        <f>SQRT((S1102+U1102)^2+3*T1102^2)</f>
        <v/>
      </c>
      <c r="W1102" s="8">
        <f>V1102/AA1102</f>
        <v/>
      </c>
      <c r="X1102" s="27">
        <f>((3*10+H1102/COS(RADIANS(E1102)))*(3+3)+3*G1102*H1102)*2</f>
        <v/>
      </c>
      <c r="Y1102" s="28">
        <f>Z1102/X1102</f>
        <v/>
      </c>
      <c r="Z1102" s="29" t="n">
        <v>612.205453783261</v>
      </c>
      <c r="AA1102" s="20" t="n">
        <v>97.0550348684814</v>
      </c>
      <c r="AB1102" t="n">
        <v>0.1380852420968257</v>
      </c>
      <c r="AC1102" t="n">
        <v>95.44019326191794</v>
      </c>
      <c r="AD1102" t="n">
        <v>22.9908987573623</v>
      </c>
    </row>
    <row r="1103">
      <c r="A1103" t="n">
        <v>1102</v>
      </c>
      <c r="B1103" t="n">
        <v>68.8</v>
      </c>
      <c r="C1103" s="21">
        <f>B1103-20</f>
        <v/>
      </c>
      <c r="D1103" t="n">
        <v>129.5</v>
      </c>
      <c r="E1103" s="22">
        <f>D1103-90</f>
        <v/>
      </c>
      <c r="F1103" s="23" t="n">
        <v>0.012052</v>
      </c>
      <c r="G1103" s="22" t="n">
        <v>20.3</v>
      </c>
      <c r="H1103" s="22" t="n">
        <v>1.5</v>
      </c>
      <c r="I1103" s="24" t="n">
        <v>0.0549258403480052</v>
      </c>
      <c r="J1103" s="6" t="n">
        <v>71000</v>
      </c>
      <c r="K1103" s="25">
        <f>23*10^-6</f>
        <v/>
      </c>
      <c r="L1103" s="8">
        <f>H1103</f>
        <v/>
      </c>
      <c r="M1103" s="26">
        <f>H1103^2/6</f>
        <v/>
      </c>
      <c r="N1103" s="26">
        <f>H1103^3/12</f>
        <v/>
      </c>
      <c r="O1103" s="27">
        <f>-J1103*L1103*K1103*C1103</f>
        <v/>
      </c>
      <c r="P1103" s="28">
        <f>-(12*F1103*J1103*L1103*N1103+12*O1103*N1103*G1103*COS(RADIANS(E1103)))/(12*N1103*G1103*COS(RADIANS(E1103))^2+L1103*G1103^3*SIN(RADIANS(E1103))^2)</f>
        <v/>
      </c>
      <c r="Q1103" s="28">
        <f>-(6*F1103*J1103*L1103*N1103*SIN(RADIANS(E1103))+6*O1103*N1103*G1103*SIN(RADIANS(E1103))*COS(RADIANS(E1103)))/(12*N1103*COS(RADIANS(E1103))^2+L1103*G1103^2*SIN(RADIANS(E1103))^2)</f>
        <v/>
      </c>
      <c r="R1103" s="28">
        <f>-P1103*SIN(RADIANS(E1103))</f>
        <v/>
      </c>
      <c r="S1103" s="8">
        <f>(O1103+P1103*COS(RADIANS(E1103)))/L1103</f>
        <v/>
      </c>
      <c r="T1103" s="8">
        <f>R1103/L1103</f>
        <v/>
      </c>
      <c r="U1103" s="8">
        <f>(Q1103-P1103*G1103*SIN(RADIANS(E1103)))/M1103</f>
        <v/>
      </c>
      <c r="V1103" s="8">
        <f>SQRT((S1103+U1103)^2+3*T1103^2)</f>
        <v/>
      </c>
      <c r="W1103" s="8">
        <f>V1103/AA1103</f>
        <v/>
      </c>
      <c r="X1103" s="27">
        <f>((3*10+H1103/COS(RADIANS(E1103)))*(3+3)+3*G1103*H1103)*2</f>
        <v/>
      </c>
      <c r="Y1103" s="28">
        <f>Z1103/X1103</f>
        <v/>
      </c>
      <c r="Z1103" s="29" t="n">
        <v>576.564243578367</v>
      </c>
      <c r="AA1103" s="20" t="n">
        <v>74.2976595662355</v>
      </c>
      <c r="AB1103" t="n">
        <v>0.04995974883309422</v>
      </c>
      <c r="AC1103" t="n">
        <v>70.87932332701922</v>
      </c>
      <c r="AD1103" t="n">
        <v>-9.041448402876078</v>
      </c>
    </row>
    <row r="1104">
      <c r="A1104" t="n">
        <v>1103</v>
      </c>
      <c r="B1104" t="n">
        <v>62.6</v>
      </c>
      <c r="C1104" s="21">
        <f>B1104-20</f>
        <v/>
      </c>
      <c r="D1104" t="n">
        <v>119.4</v>
      </c>
      <c r="E1104" s="22">
        <f>D1104-90</f>
        <v/>
      </c>
      <c r="F1104" s="23" t="n">
        <v>0.012264</v>
      </c>
      <c r="G1104" s="22" t="n">
        <v>22.1</v>
      </c>
      <c r="H1104" s="22" t="n">
        <v>1.7</v>
      </c>
      <c r="I1104" s="24" t="n">
        <v>0.0603080615401268</v>
      </c>
      <c r="J1104" s="6" t="n">
        <v>71000</v>
      </c>
      <c r="K1104" s="25">
        <f>23*10^-6</f>
        <v/>
      </c>
      <c r="L1104" s="8">
        <f>H1104</f>
        <v/>
      </c>
      <c r="M1104" s="26">
        <f>H1104^2/6</f>
        <v/>
      </c>
      <c r="N1104" s="26">
        <f>H1104^3/12</f>
        <v/>
      </c>
      <c r="O1104" s="27">
        <f>-J1104*L1104*K1104*C1104</f>
        <v/>
      </c>
      <c r="P1104" s="28">
        <f>-(12*F1104*J1104*L1104*N1104+12*O1104*N1104*G1104*COS(RADIANS(E1104)))/(12*N1104*G1104*COS(RADIANS(E1104))^2+L1104*G1104^3*SIN(RADIANS(E1104))^2)</f>
        <v/>
      </c>
      <c r="Q1104" s="28">
        <f>-(6*F1104*J1104*L1104*N1104*SIN(RADIANS(E1104))+6*O1104*N1104*G1104*SIN(RADIANS(E1104))*COS(RADIANS(E1104)))/(12*N1104*COS(RADIANS(E1104))^2+L1104*G1104^2*SIN(RADIANS(E1104))^2)</f>
        <v/>
      </c>
      <c r="R1104" s="28">
        <f>-P1104*SIN(RADIANS(E1104))</f>
        <v/>
      </c>
      <c r="S1104" s="8">
        <f>(O1104+P1104*COS(RADIANS(E1104)))/L1104</f>
        <v/>
      </c>
      <c r="T1104" s="8">
        <f>R1104/L1104</f>
        <v/>
      </c>
      <c r="U1104" s="8">
        <f>(Q1104-P1104*G1104*SIN(RADIANS(E1104)))/M1104</f>
        <v/>
      </c>
      <c r="V1104" s="8">
        <f>SQRT((S1104+U1104)^2+3*T1104^2)</f>
        <v/>
      </c>
      <c r="W1104" s="8">
        <f>V1104/AA1104</f>
        <v/>
      </c>
      <c r="X1104" s="27">
        <f>((3*10+H1104/COS(RADIANS(E1104)))*(3+3)+3*G1104*H1104)*2</f>
        <v/>
      </c>
      <c r="Y1104" s="28">
        <f>Z1104/X1104</f>
        <v/>
      </c>
      <c r="Z1104" s="29" t="n">
        <v>615.817008791795</v>
      </c>
      <c r="AA1104" s="20" t="n">
        <v>68.80212977840409</v>
      </c>
      <c r="AB1104" t="n">
        <v>0.06454352116901817</v>
      </c>
      <c r="AC1104" t="n">
        <v>64.90066562239666</v>
      </c>
      <c r="AD1104" t="n">
        <v>7.023040569913269</v>
      </c>
    </row>
    <row r="1105">
      <c r="A1105" t="n">
        <v>1104</v>
      </c>
      <c r="B1105" t="n">
        <v>81.90000000000001</v>
      </c>
      <c r="C1105" s="21">
        <f>B1105-20</f>
        <v/>
      </c>
      <c r="D1105" t="n">
        <v>110.3</v>
      </c>
      <c r="E1105" s="22">
        <f>D1105-90</f>
        <v/>
      </c>
      <c r="F1105" s="23" t="n">
        <v>0.019919</v>
      </c>
      <c r="G1105" s="22" t="n">
        <v>23.7</v>
      </c>
      <c r="H1105" s="22" t="n">
        <v>1.2</v>
      </c>
      <c r="I1105" s="24" t="n">
        <v>0.118632741272449</v>
      </c>
      <c r="J1105" s="6" t="n">
        <v>71000</v>
      </c>
      <c r="K1105" s="25">
        <f>23*10^-6</f>
        <v/>
      </c>
      <c r="L1105" s="8">
        <f>H1105</f>
        <v/>
      </c>
      <c r="M1105" s="26">
        <f>H1105^2/6</f>
        <v/>
      </c>
      <c r="N1105" s="26">
        <f>H1105^3/12</f>
        <v/>
      </c>
      <c r="O1105" s="27">
        <f>-J1105*L1105*K1105*C1105</f>
        <v/>
      </c>
      <c r="P1105" s="28">
        <f>-(12*F1105*J1105*L1105*N1105+12*O1105*N1105*G1105*COS(RADIANS(E1105)))/(12*N1105*G1105*COS(RADIANS(E1105))^2+L1105*G1105^3*SIN(RADIANS(E1105))^2)</f>
        <v/>
      </c>
      <c r="Q1105" s="28">
        <f>-(6*F1105*J1105*L1105*N1105*SIN(RADIANS(E1105))+6*O1105*N1105*G1105*SIN(RADIANS(E1105))*COS(RADIANS(E1105)))/(12*N1105*COS(RADIANS(E1105))^2+L1105*G1105^2*SIN(RADIANS(E1105))^2)</f>
        <v/>
      </c>
      <c r="R1105" s="28">
        <f>-P1105*SIN(RADIANS(E1105))</f>
        <v/>
      </c>
      <c r="S1105" s="8">
        <f>(O1105+P1105*COS(RADIANS(E1105)))/L1105</f>
        <v/>
      </c>
      <c r="T1105" s="8">
        <f>R1105/L1105</f>
        <v/>
      </c>
      <c r="U1105" s="8">
        <f>(Q1105-P1105*G1105*SIN(RADIANS(E1105)))/M1105</f>
        <v/>
      </c>
      <c r="V1105" s="8">
        <f>SQRT((S1105+U1105)^2+3*T1105^2)</f>
        <v/>
      </c>
      <c r="W1105" s="8">
        <f>V1105/AA1105</f>
        <v/>
      </c>
      <c r="X1105" s="27">
        <f>((3*10+H1105/COS(RADIANS(E1105)))*(3+3)+3*G1105*H1105)*2</f>
        <v/>
      </c>
      <c r="Y1105" s="28">
        <f>Z1105/X1105</f>
        <v/>
      </c>
      <c r="Z1105" s="29" t="n">
        <v>551.016643619933</v>
      </c>
      <c r="AA1105" s="20" t="n">
        <v>90.80538149221481</v>
      </c>
      <c r="AB1105" t="n">
        <v>0.1481908129229783</v>
      </c>
      <c r="AC1105" t="n">
        <v>94.99137390075367</v>
      </c>
      <c r="AD1105" t="n">
        <v>24.9156104238095</v>
      </c>
    </row>
    <row r="1106">
      <c r="A1106" t="n">
        <v>1105</v>
      </c>
      <c r="B1106" t="n">
        <v>46.2</v>
      </c>
      <c r="C1106" s="21">
        <f>B1106-20</f>
        <v/>
      </c>
      <c r="D1106" t="n">
        <v>110.4</v>
      </c>
      <c r="E1106" s="22">
        <f>D1106-90</f>
        <v/>
      </c>
      <c r="F1106" s="23" t="n">
        <v>0.009266999999999999</v>
      </c>
      <c r="G1106" s="22" t="n">
        <v>26.7</v>
      </c>
      <c r="H1106" s="22" t="n">
        <v>1.1</v>
      </c>
      <c r="I1106" s="24" t="n">
        <v>0.0542362555861473</v>
      </c>
      <c r="J1106" s="6" t="n">
        <v>71000</v>
      </c>
      <c r="K1106" s="25">
        <f>23*10^-6</f>
        <v/>
      </c>
      <c r="L1106" s="8">
        <f>H1106</f>
        <v/>
      </c>
      <c r="M1106" s="26">
        <f>H1106^2/6</f>
        <v/>
      </c>
      <c r="N1106" s="26">
        <f>H1106^3/12</f>
        <v/>
      </c>
      <c r="O1106" s="27">
        <f>-J1106*L1106*K1106*C1106</f>
        <v/>
      </c>
      <c r="P1106" s="28">
        <f>-(12*F1106*J1106*L1106*N1106+12*O1106*N1106*G1106*COS(RADIANS(E1106)))/(12*N1106*G1106*COS(RADIANS(E1106))^2+L1106*G1106^3*SIN(RADIANS(E1106))^2)</f>
        <v/>
      </c>
      <c r="Q1106" s="28">
        <f>-(6*F1106*J1106*L1106*N1106*SIN(RADIANS(E1106))+6*O1106*N1106*G1106*SIN(RADIANS(E1106))*COS(RADIANS(E1106)))/(12*N1106*COS(RADIANS(E1106))^2+L1106*G1106^2*SIN(RADIANS(E1106))^2)</f>
        <v/>
      </c>
      <c r="R1106" s="28">
        <f>-P1106*SIN(RADIANS(E1106))</f>
        <v/>
      </c>
      <c r="S1106" s="8">
        <f>(O1106+P1106*COS(RADIANS(E1106)))/L1106</f>
        <v/>
      </c>
      <c r="T1106" s="8">
        <f>R1106/L1106</f>
        <v/>
      </c>
      <c r="U1106" s="8">
        <f>(Q1106-P1106*G1106*SIN(RADIANS(E1106)))/M1106</f>
        <v/>
      </c>
      <c r="V1106" s="8">
        <f>SQRT((S1106+U1106)^2+3*T1106^2)</f>
        <v/>
      </c>
      <c r="W1106" s="8">
        <f>V1106/AA1106</f>
        <v/>
      </c>
      <c r="X1106" s="27">
        <f>((3*10+H1106/COS(RADIANS(E1106)))*(3+3)+3*G1106*H1106)*2</f>
        <v/>
      </c>
      <c r="Y1106" s="28">
        <f>Z1106/X1106</f>
        <v/>
      </c>
      <c r="Z1106" s="29" t="n">
        <v>555.342858899338</v>
      </c>
      <c r="AA1106" s="20" t="n">
        <v>37.5102096341756</v>
      </c>
      <c r="AB1106" t="n">
        <v>0.0701719798634636</v>
      </c>
      <c r="AC1106" t="n">
        <v>39.47931030314837</v>
      </c>
      <c r="AD1106" t="n">
        <v>29.38205100092955</v>
      </c>
    </row>
    <row r="1107">
      <c r="A1107" t="n">
        <v>1106</v>
      </c>
      <c r="B1107" t="n">
        <v>48.1</v>
      </c>
      <c r="C1107" s="21">
        <f>B1107-20</f>
        <v/>
      </c>
      <c r="D1107" t="n">
        <v>127.3</v>
      </c>
      <c r="E1107" s="22">
        <f>D1107-90</f>
        <v/>
      </c>
      <c r="F1107" s="23" t="n">
        <v>0.007171</v>
      </c>
      <c r="G1107" s="22" t="n">
        <v>20.6</v>
      </c>
      <c r="H1107" s="22" t="n">
        <v>1.8</v>
      </c>
      <c r="I1107" s="24" t="n">
        <v>0.0329909510910511</v>
      </c>
      <c r="J1107" s="6" t="n">
        <v>71000</v>
      </c>
      <c r="K1107" s="25">
        <f>23*10^-6</f>
        <v/>
      </c>
      <c r="L1107" s="8">
        <f>H1107</f>
        <v/>
      </c>
      <c r="M1107" s="26">
        <f>H1107^2/6</f>
        <v/>
      </c>
      <c r="N1107" s="26">
        <f>H1107^3/12</f>
        <v/>
      </c>
      <c r="O1107" s="27">
        <f>-J1107*L1107*K1107*C1107</f>
        <v/>
      </c>
      <c r="P1107" s="28">
        <f>-(12*F1107*J1107*L1107*N1107+12*O1107*N1107*G1107*COS(RADIANS(E1107)))/(12*N1107*G1107*COS(RADIANS(E1107))^2+L1107*G1107^3*SIN(RADIANS(E1107))^2)</f>
        <v/>
      </c>
      <c r="Q1107" s="28">
        <f>-(6*F1107*J1107*L1107*N1107*SIN(RADIANS(E1107))+6*O1107*N1107*G1107*SIN(RADIANS(E1107))*COS(RADIANS(E1107)))/(12*N1107*COS(RADIANS(E1107))^2+L1107*G1107^2*SIN(RADIANS(E1107))^2)</f>
        <v/>
      </c>
      <c r="R1107" s="28">
        <f>-P1107*SIN(RADIANS(E1107))</f>
        <v/>
      </c>
      <c r="S1107" s="8">
        <f>(O1107+P1107*COS(RADIANS(E1107)))/L1107</f>
        <v/>
      </c>
      <c r="T1107" s="8">
        <f>R1107/L1107</f>
        <v/>
      </c>
      <c r="U1107" s="8">
        <f>(Q1107-P1107*G1107*SIN(RADIANS(E1107)))/M1107</f>
        <v/>
      </c>
      <c r="V1107" s="8">
        <f>SQRT((S1107+U1107)^2+3*T1107^2)</f>
        <v/>
      </c>
      <c r="W1107" s="8">
        <f>V1107/AA1107</f>
        <v/>
      </c>
      <c r="X1107" s="27">
        <f>((3*10+H1107/COS(RADIANS(E1107)))*(3+3)+3*G1107*H1107)*2</f>
        <v/>
      </c>
      <c r="Y1107" s="28">
        <f>Z1107/X1107</f>
        <v/>
      </c>
      <c r="Z1107" s="29" t="n">
        <v>619.237979093683</v>
      </c>
      <c r="AA1107" s="20" t="n">
        <v>46.1541489500096</v>
      </c>
      <c r="AB1107" t="n">
        <v>0.03090564878604424</v>
      </c>
      <c r="AC1107" t="n">
        <v>41.72258605610994</v>
      </c>
      <c r="AD1107" t="n">
        <v>-6.320831125030833</v>
      </c>
    </row>
    <row r="1108">
      <c r="A1108" t="n">
        <v>1107</v>
      </c>
      <c r="B1108" t="n">
        <v>72.40000000000001</v>
      </c>
      <c r="C1108" s="21">
        <f>B1108-20</f>
        <v/>
      </c>
      <c r="D1108" t="n">
        <v>119.4</v>
      </c>
      <c r="E1108" s="22">
        <f>D1108-90</f>
        <v/>
      </c>
      <c r="F1108" s="23" t="n">
        <v>0.020342</v>
      </c>
      <c r="G1108" s="22" t="n">
        <v>32.2</v>
      </c>
      <c r="H1108" s="22" t="n">
        <v>1.1</v>
      </c>
      <c r="I1108" s="24" t="n">
        <v>0.09456842392683019</v>
      </c>
      <c r="J1108" s="6" t="n">
        <v>71000</v>
      </c>
      <c r="K1108" s="25">
        <f>23*10^-6</f>
        <v/>
      </c>
      <c r="L1108" s="8">
        <f>H1108</f>
        <v/>
      </c>
      <c r="M1108" s="26">
        <f>H1108^2/6</f>
        <v/>
      </c>
      <c r="N1108" s="26">
        <f>H1108^3/12</f>
        <v/>
      </c>
      <c r="O1108" s="27">
        <f>-J1108*L1108*K1108*C1108</f>
        <v/>
      </c>
      <c r="P1108" s="28">
        <f>-(12*F1108*J1108*L1108*N1108+12*O1108*N1108*G1108*COS(RADIANS(E1108)))/(12*N1108*G1108*COS(RADIANS(E1108))^2+L1108*G1108^3*SIN(RADIANS(E1108))^2)</f>
        <v/>
      </c>
      <c r="Q1108" s="28">
        <f>-(6*F1108*J1108*L1108*N1108*SIN(RADIANS(E1108))+6*O1108*N1108*G1108*SIN(RADIANS(E1108))*COS(RADIANS(E1108)))/(12*N1108*COS(RADIANS(E1108))^2+L1108*G1108^2*SIN(RADIANS(E1108))^2)</f>
        <v/>
      </c>
      <c r="R1108" s="28">
        <f>-P1108*SIN(RADIANS(E1108))</f>
        <v/>
      </c>
      <c r="S1108" s="8">
        <f>(O1108+P1108*COS(RADIANS(E1108)))/L1108</f>
        <v/>
      </c>
      <c r="T1108" s="8">
        <f>R1108/L1108</f>
        <v/>
      </c>
      <c r="U1108" s="8">
        <f>(Q1108-P1108*G1108*SIN(RADIANS(E1108)))/M1108</f>
        <v/>
      </c>
      <c r="V1108" s="8">
        <f>SQRT((S1108+U1108)^2+3*T1108^2)</f>
        <v/>
      </c>
      <c r="W1108" s="8">
        <f>V1108/AA1108</f>
        <v/>
      </c>
      <c r="X1108" s="27">
        <f>((3*10+H1108/COS(RADIANS(E1108)))*(3+3)+3*G1108*H1108)*2</f>
        <v/>
      </c>
      <c r="Y1108" s="28">
        <f>Z1108/X1108</f>
        <v/>
      </c>
      <c r="Z1108" s="29" t="n">
        <v>594.652676996203</v>
      </c>
      <c r="AA1108" s="20" t="n">
        <v>71.27240182755951</v>
      </c>
      <c r="AB1108" t="n">
        <v>0.1146905098324636</v>
      </c>
      <c r="AC1108" t="n">
        <v>75.35724205310089</v>
      </c>
      <c r="AD1108" t="n">
        <v>21.27780613241723</v>
      </c>
    </row>
    <row r="1109">
      <c r="A1109" t="n">
        <v>1108</v>
      </c>
      <c r="B1109" t="n">
        <v>69.90000000000001</v>
      </c>
      <c r="C1109" s="21">
        <f>B1109-20</f>
        <v/>
      </c>
      <c r="D1109" t="n">
        <v>102.8</v>
      </c>
      <c r="E1109" s="22">
        <f>D1109-90</f>
        <v/>
      </c>
      <c r="F1109" s="23" t="n">
        <v>0.016948</v>
      </c>
      <c r="G1109" s="22" t="n">
        <v>24.4</v>
      </c>
      <c r="H1109" s="22" t="n">
        <v>1.1</v>
      </c>
      <c r="I1109" s="24" t="n">
        <v>0.13880868256092</v>
      </c>
      <c r="J1109" s="6" t="n">
        <v>71000</v>
      </c>
      <c r="K1109" s="25">
        <f>23*10^-6</f>
        <v/>
      </c>
      <c r="L1109" s="8">
        <f>H1109</f>
        <v/>
      </c>
      <c r="M1109" s="26">
        <f>H1109^2/6</f>
        <v/>
      </c>
      <c r="N1109" s="26">
        <f>H1109^3/12</f>
        <v/>
      </c>
      <c r="O1109" s="27">
        <f>-J1109*L1109*K1109*C1109</f>
        <v/>
      </c>
      <c r="P1109" s="28">
        <f>-(12*F1109*J1109*L1109*N1109+12*O1109*N1109*G1109*COS(RADIANS(E1109)))/(12*N1109*G1109*COS(RADIANS(E1109))^2+L1109*G1109^3*SIN(RADIANS(E1109))^2)</f>
        <v/>
      </c>
      <c r="Q1109" s="28">
        <f>-(6*F1109*J1109*L1109*N1109*SIN(RADIANS(E1109))+6*O1109*N1109*G1109*SIN(RADIANS(E1109))*COS(RADIANS(E1109)))/(12*N1109*COS(RADIANS(E1109))^2+L1109*G1109^2*SIN(RADIANS(E1109))^2)</f>
        <v/>
      </c>
      <c r="R1109" s="28">
        <f>-P1109*SIN(RADIANS(E1109))</f>
        <v/>
      </c>
      <c r="S1109" s="8">
        <f>(O1109+P1109*COS(RADIANS(E1109)))/L1109</f>
        <v/>
      </c>
      <c r="T1109" s="8">
        <f>R1109/L1109</f>
        <v/>
      </c>
      <c r="U1109" s="8">
        <f>(Q1109-P1109*G1109*SIN(RADIANS(E1109)))/M1109</f>
        <v/>
      </c>
      <c r="V1109" s="8">
        <f>SQRT((S1109+U1109)^2+3*T1109^2)</f>
        <v/>
      </c>
      <c r="W1109" s="8">
        <f>V1109/AA1109</f>
        <v/>
      </c>
      <c r="X1109" s="27">
        <f>((3*10+H1109/COS(RADIANS(E1109)))*(3+3)+3*G1109*H1109)*2</f>
        <v/>
      </c>
      <c r="Y1109" s="28">
        <f>Z1109/X1109</f>
        <v/>
      </c>
      <c r="Z1109" s="29" t="n">
        <v>538.621631879567</v>
      </c>
      <c r="AA1109" s="20" t="n">
        <v>74.60048744287261</v>
      </c>
      <c r="AB1109" t="n">
        <v>0.1932391658828706</v>
      </c>
      <c r="AC1109" t="n">
        <v>80.62146679711374</v>
      </c>
      <c r="AD1109" t="n">
        <v>39.21259269791158</v>
      </c>
    </row>
    <row r="1110">
      <c r="A1110" t="n">
        <v>1109</v>
      </c>
      <c r="B1110" t="n">
        <v>85.59999999999999</v>
      </c>
      <c r="C1110" s="21">
        <f>B1110-20</f>
        <v/>
      </c>
      <c r="D1110" t="n">
        <v>111.3</v>
      </c>
      <c r="E1110" s="22">
        <f>D1110-90</f>
        <v/>
      </c>
      <c r="F1110" s="23" t="n">
        <v>0.022324</v>
      </c>
      <c r="G1110" s="22" t="n">
        <v>25.6</v>
      </c>
      <c r="H1110" s="22" t="n">
        <v>1.2</v>
      </c>
      <c r="I1110" s="24" t="n">
        <v>0.127738609910011</v>
      </c>
      <c r="J1110" s="6" t="n">
        <v>71000</v>
      </c>
      <c r="K1110" s="25">
        <f>23*10^-6</f>
        <v/>
      </c>
      <c r="L1110" s="8">
        <f>H1110</f>
        <v/>
      </c>
      <c r="M1110" s="26">
        <f>H1110^2/6</f>
        <v/>
      </c>
      <c r="N1110" s="26">
        <f>H1110^3/12</f>
        <v/>
      </c>
      <c r="O1110" s="27">
        <f>-J1110*L1110*K1110*C1110</f>
        <v/>
      </c>
      <c r="P1110" s="28">
        <f>-(12*F1110*J1110*L1110*N1110+12*O1110*N1110*G1110*COS(RADIANS(E1110)))/(12*N1110*G1110*COS(RADIANS(E1110))^2+L1110*G1110^3*SIN(RADIANS(E1110))^2)</f>
        <v/>
      </c>
      <c r="Q1110" s="28">
        <f>-(6*F1110*J1110*L1110*N1110*SIN(RADIANS(E1110))+6*O1110*N1110*G1110*SIN(RADIANS(E1110))*COS(RADIANS(E1110)))/(12*N1110*COS(RADIANS(E1110))^2+L1110*G1110^2*SIN(RADIANS(E1110))^2)</f>
        <v/>
      </c>
      <c r="R1110" s="28">
        <f>-P1110*SIN(RADIANS(E1110))</f>
        <v/>
      </c>
      <c r="S1110" s="8">
        <f>(O1110+P1110*COS(RADIANS(E1110)))/L1110</f>
        <v/>
      </c>
      <c r="T1110" s="8">
        <f>R1110/L1110</f>
        <v/>
      </c>
      <c r="U1110" s="8">
        <f>(Q1110-P1110*G1110*SIN(RADIANS(E1110)))/M1110</f>
        <v/>
      </c>
      <c r="V1110" s="8">
        <f>SQRT((S1110+U1110)^2+3*T1110^2)</f>
        <v/>
      </c>
      <c r="W1110" s="8">
        <f>V1110/AA1110</f>
        <v/>
      </c>
      <c r="X1110" s="27">
        <f>((3*10+H1110/COS(RADIANS(E1110)))*(3+3)+3*G1110*H1110)*2</f>
        <v/>
      </c>
      <c r="Y1110" s="28">
        <f>Z1110/X1110</f>
        <v/>
      </c>
      <c r="Z1110" s="29" t="n">
        <v>564.969000812409</v>
      </c>
      <c r="AA1110" s="20" t="n">
        <v>95.58713060764271</v>
      </c>
      <c r="AB1110" t="n">
        <v>0.1611352283682004</v>
      </c>
      <c r="AC1110" t="n">
        <v>99.52613214159916</v>
      </c>
      <c r="AD1110" t="n">
        <v>26.14449811354345</v>
      </c>
    </row>
    <row r="1111">
      <c r="A1111" t="n">
        <v>1110</v>
      </c>
      <c r="B1111" t="n">
        <v>66.7</v>
      </c>
      <c r="C1111" s="21">
        <f>B1111-20</f>
        <v/>
      </c>
      <c r="D1111" t="n">
        <v>110.6</v>
      </c>
      <c r="E1111" s="22">
        <f>D1111-90</f>
        <v/>
      </c>
      <c r="F1111" s="23" t="n">
        <v>0.014357</v>
      </c>
      <c r="G1111" s="22" t="n">
        <v>22.4</v>
      </c>
      <c r="H1111" s="22" t="n">
        <v>1.8</v>
      </c>
      <c r="I1111" s="24" t="n">
        <v>0.08424085378646851</v>
      </c>
      <c r="J1111" s="6" t="n">
        <v>71000</v>
      </c>
      <c r="K1111" s="25">
        <f>23*10^-6</f>
        <v/>
      </c>
      <c r="L1111" s="8">
        <f>H1111</f>
        <v/>
      </c>
      <c r="M1111" s="26">
        <f>H1111^2/6</f>
        <v/>
      </c>
      <c r="N1111" s="26">
        <f>H1111^3/12</f>
        <v/>
      </c>
      <c r="O1111" s="27">
        <f>-J1111*L1111*K1111*C1111</f>
        <v/>
      </c>
      <c r="P1111" s="28">
        <f>-(12*F1111*J1111*L1111*N1111+12*O1111*N1111*G1111*COS(RADIANS(E1111)))/(12*N1111*G1111*COS(RADIANS(E1111))^2+L1111*G1111^3*SIN(RADIANS(E1111))^2)</f>
        <v/>
      </c>
      <c r="Q1111" s="28">
        <f>-(6*F1111*J1111*L1111*N1111*SIN(RADIANS(E1111))+6*O1111*N1111*G1111*SIN(RADIANS(E1111))*COS(RADIANS(E1111)))/(12*N1111*COS(RADIANS(E1111))^2+L1111*G1111^2*SIN(RADIANS(E1111))^2)</f>
        <v/>
      </c>
      <c r="R1111" s="28">
        <f>-P1111*SIN(RADIANS(E1111))</f>
        <v/>
      </c>
      <c r="S1111" s="8">
        <f>(O1111+P1111*COS(RADIANS(E1111)))/L1111</f>
        <v/>
      </c>
      <c r="T1111" s="8">
        <f>R1111/L1111</f>
        <v/>
      </c>
      <c r="U1111" s="8">
        <f>(Q1111-P1111*G1111*SIN(RADIANS(E1111)))/M1111</f>
        <v/>
      </c>
      <c r="V1111" s="8">
        <f>SQRT((S1111+U1111)^2+3*T1111^2)</f>
        <v/>
      </c>
      <c r="W1111" s="8">
        <f>V1111/AA1111</f>
        <v/>
      </c>
      <c r="X1111" s="27">
        <f>((3*10+H1111/COS(RADIANS(E1111)))*(3+3)+3*G1111*H1111)*2</f>
        <v/>
      </c>
      <c r="Y1111" s="28">
        <f>Z1111/X1111</f>
        <v/>
      </c>
      <c r="Z1111" s="29" t="n">
        <v>630.068479519613</v>
      </c>
      <c r="AA1111" s="20" t="n">
        <v>79.64766703357409</v>
      </c>
      <c r="AB1111" t="n">
        <v>0.1016848524751703</v>
      </c>
      <c r="AC1111" t="n">
        <v>75.67871507918909</v>
      </c>
      <c r="AD1111" t="n">
        <v>20.70729094569533</v>
      </c>
    </row>
    <row r="1112">
      <c r="A1112" t="n">
        <v>1111</v>
      </c>
      <c r="B1112" t="n">
        <v>89.5</v>
      </c>
      <c r="C1112" s="21">
        <f>B1112-20</f>
        <v/>
      </c>
      <c r="D1112" t="n">
        <v>124.3</v>
      </c>
      <c r="E1112" s="22">
        <f>D1112-90</f>
        <v/>
      </c>
      <c r="F1112" s="23" t="n">
        <v>0.024128</v>
      </c>
      <c r="G1112" s="22" t="n">
        <v>29.6</v>
      </c>
      <c r="H1112" s="22" t="n">
        <v>1.2</v>
      </c>
      <c r="I1112" s="24" t="n">
        <v>0.107144221663475</v>
      </c>
      <c r="J1112" s="6" t="n">
        <v>71000</v>
      </c>
      <c r="K1112" s="25">
        <f>23*10^-6</f>
        <v/>
      </c>
      <c r="L1112" s="8">
        <f>H1112</f>
        <v/>
      </c>
      <c r="M1112" s="26">
        <f>H1112^2/6</f>
        <v/>
      </c>
      <c r="N1112" s="26">
        <f>H1112^3/12</f>
        <v/>
      </c>
      <c r="O1112" s="27">
        <f>-J1112*L1112*K1112*C1112</f>
        <v/>
      </c>
      <c r="P1112" s="28">
        <f>-(12*F1112*J1112*L1112*N1112+12*O1112*N1112*G1112*COS(RADIANS(E1112)))/(12*N1112*G1112*COS(RADIANS(E1112))^2+L1112*G1112^3*SIN(RADIANS(E1112))^2)</f>
        <v/>
      </c>
      <c r="Q1112" s="28">
        <f>-(6*F1112*J1112*L1112*N1112*SIN(RADIANS(E1112))+6*O1112*N1112*G1112*SIN(RADIANS(E1112))*COS(RADIANS(E1112)))/(12*N1112*COS(RADIANS(E1112))^2+L1112*G1112^2*SIN(RADIANS(E1112))^2)</f>
        <v/>
      </c>
      <c r="R1112" s="28">
        <f>-P1112*SIN(RADIANS(E1112))</f>
        <v/>
      </c>
      <c r="S1112" s="8">
        <f>(O1112+P1112*COS(RADIANS(E1112)))/L1112</f>
        <v/>
      </c>
      <c r="T1112" s="8">
        <f>R1112/L1112</f>
        <v/>
      </c>
      <c r="U1112" s="8">
        <f>(Q1112-P1112*G1112*SIN(RADIANS(E1112)))/M1112</f>
        <v/>
      </c>
      <c r="V1112" s="8">
        <f>SQRT((S1112+U1112)^2+3*T1112^2)</f>
        <v/>
      </c>
      <c r="W1112" s="8">
        <f>V1112/AA1112</f>
        <v/>
      </c>
      <c r="X1112" s="27">
        <f>((3*10+H1112/COS(RADIANS(E1112)))*(3+3)+3*G1112*H1112)*2</f>
        <v/>
      </c>
      <c r="Y1112" s="28">
        <f>Z1112/X1112</f>
        <v/>
      </c>
      <c r="Z1112" s="29" t="n">
        <v>599.037201928831</v>
      </c>
      <c r="AA1112" s="20" t="n">
        <v>95.3571814022211</v>
      </c>
      <c r="AB1112" t="n">
        <v>0.1188551702616388</v>
      </c>
      <c r="AC1112" t="n">
        <v>99.56853673574716</v>
      </c>
      <c r="AD1112" t="n">
        <v>10.93007949131059</v>
      </c>
    </row>
    <row r="1113">
      <c r="A1113" t="n">
        <v>1112</v>
      </c>
      <c r="B1113" t="n">
        <v>60.8</v>
      </c>
      <c r="C1113" s="21">
        <f>B1113-20</f>
        <v/>
      </c>
      <c r="D1113" t="n">
        <v>126.4</v>
      </c>
      <c r="E1113" s="22">
        <f>D1113-90</f>
        <v/>
      </c>
      <c r="F1113" s="23" t="n">
        <v>0.015145</v>
      </c>
      <c r="G1113" s="22" t="n">
        <v>33</v>
      </c>
      <c r="H1113" s="22" t="n">
        <v>1.2</v>
      </c>
      <c r="I1113" s="24" t="n">
        <v>0.0651533454656601</v>
      </c>
      <c r="J1113" s="6" t="n">
        <v>71000</v>
      </c>
      <c r="K1113" s="25">
        <f>23*10^-6</f>
        <v/>
      </c>
      <c r="L1113" s="8">
        <f>H1113</f>
        <v/>
      </c>
      <c r="M1113" s="26">
        <f>H1113^2/6</f>
        <v/>
      </c>
      <c r="N1113" s="26">
        <f>H1113^3/12</f>
        <v/>
      </c>
      <c r="O1113" s="27">
        <f>-J1113*L1113*K1113*C1113</f>
        <v/>
      </c>
      <c r="P1113" s="28">
        <f>-(12*F1113*J1113*L1113*N1113+12*O1113*N1113*G1113*COS(RADIANS(E1113)))/(12*N1113*G1113*COS(RADIANS(E1113))^2+L1113*G1113^3*SIN(RADIANS(E1113))^2)</f>
        <v/>
      </c>
      <c r="Q1113" s="28">
        <f>-(6*F1113*J1113*L1113*N1113*SIN(RADIANS(E1113))+6*O1113*N1113*G1113*SIN(RADIANS(E1113))*COS(RADIANS(E1113)))/(12*N1113*COS(RADIANS(E1113))^2+L1113*G1113^2*SIN(RADIANS(E1113))^2)</f>
        <v/>
      </c>
      <c r="R1113" s="28">
        <f>-P1113*SIN(RADIANS(E1113))</f>
        <v/>
      </c>
      <c r="S1113" s="8">
        <f>(O1113+P1113*COS(RADIANS(E1113)))/L1113</f>
        <v/>
      </c>
      <c r="T1113" s="8">
        <f>R1113/L1113</f>
        <v/>
      </c>
      <c r="U1113" s="8">
        <f>(Q1113-P1113*G1113*SIN(RADIANS(E1113)))/M1113</f>
        <v/>
      </c>
      <c r="V1113" s="8">
        <f>SQRT((S1113+U1113)^2+3*T1113^2)</f>
        <v/>
      </c>
      <c r="W1113" s="8">
        <f>V1113/AA1113</f>
        <v/>
      </c>
      <c r="X1113" s="27">
        <f>((3*10+H1113/COS(RADIANS(E1113)))*(3+3)+3*G1113*H1113)*2</f>
        <v/>
      </c>
      <c r="Y1113" s="28">
        <f>Z1113/X1113</f>
        <v/>
      </c>
      <c r="Z1113" s="29" t="n">
        <v>624.741786817272</v>
      </c>
      <c r="AA1113" s="20" t="n">
        <v>54.661260895614</v>
      </c>
      <c r="AB1113" t="n">
        <v>0.07252297747452834</v>
      </c>
      <c r="AC1113" t="n">
        <v>57.9211146205994</v>
      </c>
      <c r="AD1113" t="n">
        <v>11.31121043163087</v>
      </c>
    </row>
    <row r="1114">
      <c r="A1114" t="n">
        <v>1113</v>
      </c>
      <c r="B1114" t="n">
        <v>66.3</v>
      </c>
      <c r="C1114" s="21">
        <f>B1114-20</f>
        <v/>
      </c>
      <c r="D1114" t="n">
        <v>105.9</v>
      </c>
      <c r="E1114" s="22">
        <f>D1114-90</f>
        <v/>
      </c>
      <c r="F1114" s="23" t="n">
        <v>0.013573</v>
      </c>
      <c r="G1114" s="22" t="n">
        <v>20.5</v>
      </c>
      <c r="H1114" s="22" t="n">
        <v>1.4</v>
      </c>
      <c r="I1114" s="24" t="n">
        <v>0.0952513515949249</v>
      </c>
      <c r="J1114" s="6" t="n">
        <v>71000</v>
      </c>
      <c r="K1114" s="25">
        <f>23*10^-6</f>
        <v/>
      </c>
      <c r="L1114" s="8">
        <f>H1114</f>
        <v/>
      </c>
      <c r="M1114" s="26">
        <f>H1114^2/6</f>
        <v/>
      </c>
      <c r="N1114" s="26">
        <f>H1114^3/12</f>
        <v/>
      </c>
      <c r="O1114" s="27">
        <f>-J1114*L1114*K1114*C1114</f>
        <v/>
      </c>
      <c r="P1114" s="28">
        <f>-(12*F1114*J1114*L1114*N1114+12*O1114*N1114*G1114*COS(RADIANS(E1114)))/(12*N1114*G1114*COS(RADIANS(E1114))^2+L1114*G1114^3*SIN(RADIANS(E1114))^2)</f>
        <v/>
      </c>
      <c r="Q1114" s="28">
        <f>-(6*F1114*J1114*L1114*N1114*SIN(RADIANS(E1114))+6*O1114*N1114*G1114*SIN(RADIANS(E1114))*COS(RADIANS(E1114)))/(12*N1114*COS(RADIANS(E1114))^2+L1114*G1114^2*SIN(RADIANS(E1114))^2)</f>
        <v/>
      </c>
      <c r="R1114" s="28">
        <f>-P1114*SIN(RADIANS(E1114))</f>
        <v/>
      </c>
      <c r="S1114" s="8">
        <f>(O1114+P1114*COS(RADIANS(E1114)))/L1114</f>
        <v/>
      </c>
      <c r="T1114" s="8">
        <f>R1114/L1114</f>
        <v/>
      </c>
      <c r="U1114" s="8">
        <f>(Q1114-P1114*G1114*SIN(RADIANS(E1114)))/M1114</f>
        <v/>
      </c>
      <c r="V1114" s="8">
        <f>SQRT((S1114+U1114)^2+3*T1114^2)</f>
        <v/>
      </c>
      <c r="W1114" s="8">
        <f>V1114/AA1114</f>
        <v/>
      </c>
      <c r="X1114" s="27">
        <f>((3*10+H1114/COS(RADIANS(E1114)))*(3+3)+3*G1114*H1114)*2</f>
        <v/>
      </c>
      <c r="Y1114" s="28">
        <f>Z1114/X1114</f>
        <v/>
      </c>
      <c r="Z1114" s="29" t="n">
        <v>554.056679737013</v>
      </c>
      <c r="AA1114" s="20" t="n">
        <v>74.7453233323463</v>
      </c>
      <c r="AB1114" t="n">
        <v>0.1202031978078481</v>
      </c>
      <c r="AC1114" t="n">
        <v>75.94567172239688</v>
      </c>
      <c r="AD1114" t="n">
        <v>26.1957922854846</v>
      </c>
    </row>
    <row r="1115">
      <c r="A1115" t="n">
        <v>1114</v>
      </c>
      <c r="B1115" t="n">
        <v>51.7</v>
      </c>
      <c r="C1115" s="21">
        <f>B1115-20</f>
        <v/>
      </c>
      <c r="D1115" t="n">
        <v>116.1</v>
      </c>
      <c r="E1115" s="22">
        <f>D1115-90</f>
        <v/>
      </c>
      <c r="F1115" s="23" t="n">
        <v>0.01119</v>
      </c>
      <c r="G1115" s="22" t="n">
        <v>27.8</v>
      </c>
      <c r="H1115" s="22" t="n">
        <v>1.8</v>
      </c>
      <c r="I1115" s="24" t="n">
        <v>0.0562354438006877</v>
      </c>
      <c r="J1115" s="6" t="n">
        <v>71000</v>
      </c>
      <c r="K1115" s="25">
        <f>23*10^-6</f>
        <v/>
      </c>
      <c r="L1115" s="8">
        <f>H1115</f>
        <v/>
      </c>
      <c r="M1115" s="26">
        <f>H1115^2/6</f>
        <v/>
      </c>
      <c r="N1115" s="26">
        <f>H1115^3/12</f>
        <v/>
      </c>
      <c r="O1115" s="27">
        <f>-J1115*L1115*K1115*C1115</f>
        <v/>
      </c>
      <c r="P1115" s="28">
        <f>-(12*F1115*J1115*L1115*N1115+12*O1115*N1115*G1115*COS(RADIANS(E1115)))/(12*N1115*G1115*COS(RADIANS(E1115))^2+L1115*G1115^3*SIN(RADIANS(E1115))^2)</f>
        <v/>
      </c>
      <c r="Q1115" s="28">
        <f>-(6*F1115*J1115*L1115*N1115*SIN(RADIANS(E1115))+6*O1115*N1115*G1115*SIN(RADIANS(E1115))*COS(RADIANS(E1115)))/(12*N1115*COS(RADIANS(E1115))^2+L1115*G1115^2*SIN(RADIANS(E1115))^2)</f>
        <v/>
      </c>
      <c r="R1115" s="28">
        <f>-P1115*SIN(RADIANS(E1115))</f>
        <v/>
      </c>
      <c r="S1115" s="8">
        <f>(O1115+P1115*COS(RADIANS(E1115)))/L1115</f>
        <v/>
      </c>
      <c r="T1115" s="8">
        <f>R1115/L1115</f>
        <v/>
      </c>
      <c r="U1115" s="8">
        <f>(Q1115-P1115*G1115*SIN(RADIANS(E1115)))/M1115</f>
        <v/>
      </c>
      <c r="V1115" s="8">
        <f>SQRT((S1115+U1115)^2+3*T1115^2)</f>
        <v/>
      </c>
      <c r="W1115" s="8">
        <f>V1115/AA1115</f>
        <v/>
      </c>
      <c r="X1115" s="27">
        <f>((3*10+H1115/COS(RADIANS(E1115)))*(3+3)+3*G1115*H1115)*2</f>
        <v/>
      </c>
      <c r="Y1115" s="28">
        <f>Z1115/X1115</f>
        <v/>
      </c>
      <c r="Z1115" s="29" t="n">
        <v>690.451580119924</v>
      </c>
      <c r="AA1115" s="20" t="n">
        <v>50.8243599646098</v>
      </c>
      <c r="AB1115" t="n">
        <v>0.06763699524856595</v>
      </c>
      <c r="AC1115" t="n">
        <v>48.68759260978712</v>
      </c>
      <c r="AD1115" t="n">
        <v>20.27467141237147</v>
      </c>
    </row>
    <row r="1116">
      <c r="A1116" t="n">
        <v>1115</v>
      </c>
      <c r="B1116" t="n">
        <v>83</v>
      </c>
      <c r="C1116" s="21">
        <f>B1116-20</f>
        <v/>
      </c>
      <c r="D1116" t="n">
        <v>109.9</v>
      </c>
      <c r="E1116" s="22">
        <f>D1116-90</f>
        <v/>
      </c>
      <c r="F1116" s="23" t="n">
        <v>0.024231</v>
      </c>
      <c r="G1116" s="22" t="n">
        <v>29.5</v>
      </c>
      <c r="H1116" s="22" t="n">
        <v>1.9</v>
      </c>
      <c r="I1116" s="24" t="n">
        <v>0.140965461730957</v>
      </c>
      <c r="J1116" s="6" t="n">
        <v>71000</v>
      </c>
      <c r="K1116" s="25">
        <f>23*10^-6</f>
        <v/>
      </c>
      <c r="L1116" s="8">
        <f>H1116</f>
        <v/>
      </c>
      <c r="M1116" s="26">
        <f>H1116^2/6</f>
        <v/>
      </c>
      <c r="N1116" s="26">
        <f>H1116^3/12</f>
        <v/>
      </c>
      <c r="O1116" s="27">
        <f>-J1116*L1116*K1116*C1116</f>
        <v/>
      </c>
      <c r="P1116" s="28">
        <f>-(12*F1116*J1116*L1116*N1116+12*O1116*N1116*G1116*COS(RADIANS(E1116)))/(12*N1116*G1116*COS(RADIANS(E1116))^2+L1116*G1116^3*SIN(RADIANS(E1116))^2)</f>
        <v/>
      </c>
      <c r="Q1116" s="28">
        <f>-(6*F1116*J1116*L1116*N1116*SIN(RADIANS(E1116))+6*O1116*N1116*G1116*SIN(RADIANS(E1116))*COS(RADIANS(E1116)))/(12*N1116*COS(RADIANS(E1116))^2+L1116*G1116^2*SIN(RADIANS(E1116))^2)</f>
        <v/>
      </c>
      <c r="R1116" s="28">
        <f>-P1116*SIN(RADIANS(E1116))</f>
        <v/>
      </c>
      <c r="S1116" s="8">
        <f>(O1116+P1116*COS(RADIANS(E1116)))/L1116</f>
        <v/>
      </c>
      <c r="T1116" s="8">
        <f>R1116/L1116</f>
        <v/>
      </c>
      <c r="U1116" s="8">
        <f>(Q1116-P1116*G1116*SIN(RADIANS(E1116)))/M1116</f>
        <v/>
      </c>
      <c r="V1116" s="8">
        <f>SQRT((S1116+U1116)^2+3*T1116^2)</f>
        <v/>
      </c>
      <c r="W1116" s="8">
        <f>V1116/AA1116</f>
        <v/>
      </c>
      <c r="X1116" s="27">
        <f>((3*10+H1116/COS(RADIANS(E1116)))*(3+3)+3*G1116*H1116)*2</f>
        <v/>
      </c>
      <c r="Y1116" s="28">
        <f>Z1116/X1116</f>
        <v/>
      </c>
      <c r="Z1116" s="29" t="n">
        <v>725.505607416245</v>
      </c>
      <c r="AA1116" s="20" t="n">
        <v>104.787850402462</v>
      </c>
      <c r="AB1116" t="n">
        <v>0.1863426767245608</v>
      </c>
      <c r="AC1116" t="n">
        <v>100.973931235295</v>
      </c>
      <c r="AD1116" t="n">
        <v>32.19030706983354</v>
      </c>
    </row>
    <row r="1117">
      <c r="A1117" t="n">
        <v>1116</v>
      </c>
      <c r="B1117" t="n">
        <v>70.40000000000001</v>
      </c>
      <c r="C1117" s="21">
        <f>B1117-20</f>
        <v/>
      </c>
      <c r="D1117" t="n">
        <v>112.9</v>
      </c>
      <c r="E1117" s="22">
        <f>D1117-90</f>
        <v/>
      </c>
      <c r="F1117" s="23" t="n">
        <v>0.019696</v>
      </c>
      <c r="G1117" s="22" t="n">
        <v>30.7</v>
      </c>
      <c r="H1117" s="22" t="n">
        <v>1.3</v>
      </c>
      <c r="I1117" s="24" t="n">
        <v>0.105230592191219</v>
      </c>
      <c r="J1117" s="6" t="n">
        <v>71000</v>
      </c>
      <c r="K1117" s="25">
        <f>23*10^-6</f>
        <v/>
      </c>
      <c r="L1117" s="8">
        <f>H1117</f>
        <v/>
      </c>
      <c r="M1117" s="26">
        <f>H1117^2/6</f>
        <v/>
      </c>
      <c r="N1117" s="26">
        <f>H1117^3/12</f>
        <v/>
      </c>
      <c r="O1117" s="27">
        <f>-J1117*L1117*K1117*C1117</f>
        <v/>
      </c>
      <c r="P1117" s="28">
        <f>-(12*F1117*J1117*L1117*N1117+12*O1117*N1117*G1117*COS(RADIANS(E1117)))/(12*N1117*G1117*COS(RADIANS(E1117))^2+L1117*G1117^3*SIN(RADIANS(E1117))^2)</f>
        <v/>
      </c>
      <c r="Q1117" s="28">
        <f>-(6*F1117*J1117*L1117*N1117*SIN(RADIANS(E1117))+6*O1117*N1117*G1117*SIN(RADIANS(E1117))*COS(RADIANS(E1117)))/(12*N1117*COS(RADIANS(E1117))^2+L1117*G1117^2*SIN(RADIANS(E1117))^2)</f>
        <v/>
      </c>
      <c r="R1117" s="28">
        <f>-P1117*SIN(RADIANS(E1117))</f>
        <v/>
      </c>
      <c r="S1117" s="8">
        <f>(O1117+P1117*COS(RADIANS(E1117)))/L1117</f>
        <v/>
      </c>
      <c r="T1117" s="8">
        <f>R1117/L1117</f>
        <v/>
      </c>
      <c r="U1117" s="8">
        <f>(Q1117-P1117*G1117*SIN(RADIANS(E1117)))/M1117</f>
        <v/>
      </c>
      <c r="V1117" s="8">
        <f>SQRT((S1117+U1117)^2+3*T1117^2)</f>
        <v/>
      </c>
      <c r="W1117" s="8">
        <f>V1117/AA1117</f>
        <v/>
      </c>
      <c r="X1117" s="27">
        <f>((3*10+H1117/COS(RADIANS(E1117)))*(3+3)+3*G1117*H1117)*2</f>
        <v/>
      </c>
      <c r="Y1117" s="28">
        <f>Z1117/X1117</f>
        <v/>
      </c>
      <c r="Z1117" s="29" t="n">
        <v>621.881718168571</v>
      </c>
      <c r="AA1117" s="20" t="n">
        <v>73.4593165271629</v>
      </c>
      <c r="AB1117" t="n">
        <v>0.1366259991049736</v>
      </c>
      <c r="AC1117" t="n">
        <v>75.47046375958131</v>
      </c>
      <c r="AD1117" t="n">
        <v>29.83486670559133</v>
      </c>
    </row>
    <row r="1118">
      <c r="A1118" t="n">
        <v>1117</v>
      </c>
      <c r="B1118" t="n">
        <v>71.2</v>
      </c>
      <c r="C1118" s="21">
        <f>B1118-20</f>
        <v/>
      </c>
      <c r="D1118" t="n">
        <v>101.3</v>
      </c>
      <c r="E1118" s="22">
        <f>D1118-90</f>
        <v/>
      </c>
      <c r="F1118" s="23" t="n">
        <v>0.021818</v>
      </c>
      <c r="G1118" s="22" t="n">
        <v>32</v>
      </c>
      <c r="H1118" s="22" t="n">
        <v>1.7</v>
      </c>
      <c r="I1118" s="24" t="n">
        <v>0.187618926167488</v>
      </c>
      <c r="J1118" s="6" t="n">
        <v>71000</v>
      </c>
      <c r="K1118" s="25">
        <f>23*10^-6</f>
        <v/>
      </c>
      <c r="L1118" s="8">
        <f>H1118</f>
        <v/>
      </c>
      <c r="M1118" s="26">
        <f>H1118^2/6</f>
        <v/>
      </c>
      <c r="N1118" s="26">
        <f>H1118^3/12</f>
        <v/>
      </c>
      <c r="O1118" s="27">
        <f>-J1118*L1118*K1118*C1118</f>
        <v/>
      </c>
      <c r="P1118" s="28">
        <f>-(12*F1118*J1118*L1118*N1118+12*O1118*N1118*G1118*COS(RADIANS(E1118)))/(12*N1118*G1118*COS(RADIANS(E1118))^2+L1118*G1118^3*SIN(RADIANS(E1118))^2)</f>
        <v/>
      </c>
      <c r="Q1118" s="28">
        <f>-(6*F1118*J1118*L1118*N1118*SIN(RADIANS(E1118))+6*O1118*N1118*G1118*SIN(RADIANS(E1118))*COS(RADIANS(E1118)))/(12*N1118*COS(RADIANS(E1118))^2+L1118*G1118^2*SIN(RADIANS(E1118))^2)</f>
        <v/>
      </c>
      <c r="R1118" s="28">
        <f>-P1118*SIN(RADIANS(E1118))</f>
        <v/>
      </c>
      <c r="S1118" s="8">
        <f>(O1118+P1118*COS(RADIANS(E1118)))/L1118</f>
        <v/>
      </c>
      <c r="T1118" s="8">
        <f>R1118/L1118</f>
        <v/>
      </c>
      <c r="U1118" s="8">
        <f>(Q1118-P1118*G1118*SIN(RADIANS(E1118)))/M1118</f>
        <v/>
      </c>
      <c r="V1118" s="8">
        <f>SQRT((S1118+U1118)^2+3*T1118^2)</f>
        <v/>
      </c>
      <c r="W1118" s="8">
        <f>V1118/AA1118</f>
        <v/>
      </c>
      <c r="X1118" s="27">
        <f>((3*10+H1118/COS(RADIANS(E1118)))*(3+3)+3*G1118*H1118)*2</f>
        <v/>
      </c>
      <c r="Y1118" s="28">
        <f>Z1118/X1118</f>
        <v/>
      </c>
      <c r="Z1118" s="29" t="n">
        <v>711.1113535283801</v>
      </c>
      <c r="AA1118" s="20" t="n">
        <v>86.6785737347233</v>
      </c>
      <c r="AB1118" t="n">
        <v>0.2813091042440926</v>
      </c>
      <c r="AC1118" t="n">
        <v>87.89237329147468</v>
      </c>
      <c r="AD1118" t="n">
        <v>49.93642165554616</v>
      </c>
    </row>
    <row r="1119">
      <c r="A1119" t="n">
        <v>1118</v>
      </c>
      <c r="B1119" t="n">
        <v>65.90000000000001</v>
      </c>
      <c r="C1119" s="21">
        <f>B1119-20</f>
        <v/>
      </c>
      <c r="D1119" t="n">
        <v>115.6</v>
      </c>
      <c r="E1119" s="22">
        <f>D1119-90</f>
        <v/>
      </c>
      <c r="F1119" s="23" t="n">
        <v>0.012955</v>
      </c>
      <c r="G1119" s="22" t="n">
        <v>20.8</v>
      </c>
      <c r="H1119" s="22" t="n">
        <v>1.5</v>
      </c>
      <c r="I1119" s="24" t="n">
        <v>0.0686074420809745</v>
      </c>
      <c r="J1119" s="6" t="n">
        <v>71000</v>
      </c>
      <c r="K1119" s="25">
        <f>23*10^-6</f>
        <v/>
      </c>
      <c r="L1119" s="8">
        <f>H1119</f>
        <v/>
      </c>
      <c r="M1119" s="26">
        <f>H1119^2/6</f>
        <v/>
      </c>
      <c r="N1119" s="26">
        <f>H1119^3/12</f>
        <v/>
      </c>
      <c r="O1119" s="27">
        <f>-J1119*L1119*K1119*C1119</f>
        <v/>
      </c>
      <c r="P1119" s="28">
        <f>-(12*F1119*J1119*L1119*N1119+12*O1119*N1119*G1119*COS(RADIANS(E1119)))/(12*N1119*G1119*COS(RADIANS(E1119))^2+L1119*G1119^3*SIN(RADIANS(E1119))^2)</f>
        <v/>
      </c>
      <c r="Q1119" s="28">
        <f>-(6*F1119*J1119*L1119*N1119*SIN(RADIANS(E1119))+6*O1119*N1119*G1119*SIN(RADIANS(E1119))*COS(RADIANS(E1119)))/(12*N1119*COS(RADIANS(E1119))^2+L1119*G1119^2*SIN(RADIANS(E1119))^2)</f>
        <v/>
      </c>
      <c r="R1119" s="28">
        <f>-P1119*SIN(RADIANS(E1119))</f>
        <v/>
      </c>
      <c r="S1119" s="8">
        <f>(O1119+P1119*COS(RADIANS(E1119)))/L1119</f>
        <v/>
      </c>
      <c r="T1119" s="8">
        <f>R1119/L1119</f>
        <v/>
      </c>
      <c r="U1119" s="8">
        <f>(Q1119-P1119*G1119*SIN(RADIANS(E1119)))/M1119</f>
        <v/>
      </c>
      <c r="V1119" s="8">
        <f>SQRT((S1119+U1119)^2+3*T1119^2)</f>
        <v/>
      </c>
      <c r="W1119" s="8">
        <f>V1119/AA1119</f>
        <v/>
      </c>
      <c r="X1119" s="27">
        <f>((3*10+H1119/COS(RADIANS(E1119)))*(3+3)+3*G1119*H1119)*2</f>
        <v/>
      </c>
      <c r="Y1119" s="28">
        <f>Z1119/X1119</f>
        <v/>
      </c>
      <c r="Z1119" s="29" t="n">
        <v>573.205469245332</v>
      </c>
      <c r="AA1119" s="20" t="n">
        <v>72.57915747442669</v>
      </c>
      <c r="AB1119" t="n">
        <v>0.07599660404375599</v>
      </c>
      <c r="AC1119" t="n">
        <v>70.59127216129367</v>
      </c>
      <c r="AD1119" t="n">
        <v>10.77020471636354</v>
      </c>
    </row>
    <row r="1120">
      <c r="A1120" t="n">
        <v>1119</v>
      </c>
      <c r="B1120" t="n">
        <v>83.3</v>
      </c>
      <c r="C1120" s="21">
        <f>B1120-20</f>
        <v/>
      </c>
      <c r="D1120" t="n">
        <v>109.2</v>
      </c>
      <c r="E1120" s="22">
        <f>D1120-90</f>
        <v/>
      </c>
      <c r="F1120" s="23" t="n">
        <v>0.020072</v>
      </c>
      <c r="G1120" s="22" t="n">
        <v>23.1</v>
      </c>
      <c r="H1120" s="22" t="n">
        <v>1.7</v>
      </c>
      <c r="I1120" s="24" t="n">
        <v>0.12270750105381</v>
      </c>
      <c r="J1120" s="6" t="n">
        <v>71000</v>
      </c>
      <c r="K1120" s="25">
        <f>23*10^-6</f>
        <v/>
      </c>
      <c r="L1120" s="8">
        <f>H1120</f>
        <v/>
      </c>
      <c r="M1120" s="26">
        <f>H1120^2/6</f>
        <v/>
      </c>
      <c r="N1120" s="26">
        <f>H1120^3/12</f>
        <v/>
      </c>
      <c r="O1120" s="27">
        <f>-J1120*L1120*K1120*C1120</f>
        <v/>
      </c>
      <c r="P1120" s="28">
        <f>-(12*F1120*J1120*L1120*N1120+12*O1120*N1120*G1120*COS(RADIANS(E1120)))/(12*N1120*G1120*COS(RADIANS(E1120))^2+L1120*G1120^3*SIN(RADIANS(E1120))^2)</f>
        <v/>
      </c>
      <c r="Q1120" s="28">
        <f>-(6*F1120*J1120*L1120*N1120*SIN(RADIANS(E1120))+6*O1120*N1120*G1120*SIN(RADIANS(E1120))*COS(RADIANS(E1120)))/(12*N1120*COS(RADIANS(E1120))^2+L1120*G1120^2*SIN(RADIANS(E1120))^2)</f>
        <v/>
      </c>
      <c r="R1120" s="28">
        <f>-P1120*SIN(RADIANS(E1120))</f>
        <v/>
      </c>
      <c r="S1120" s="8">
        <f>(O1120+P1120*COS(RADIANS(E1120)))/L1120</f>
        <v/>
      </c>
      <c r="T1120" s="8">
        <f>R1120/L1120</f>
        <v/>
      </c>
      <c r="U1120" s="8">
        <f>(Q1120-P1120*G1120*SIN(RADIANS(E1120)))/M1120</f>
        <v/>
      </c>
      <c r="V1120" s="8">
        <f>SQRT((S1120+U1120)^2+3*T1120^2)</f>
        <v/>
      </c>
      <c r="W1120" s="8">
        <f>V1120/AA1120</f>
        <v/>
      </c>
      <c r="X1120" s="27">
        <f>((3*10+H1120/COS(RADIANS(E1120)))*(3+3)+3*G1120*H1120)*2</f>
        <v/>
      </c>
      <c r="Y1120" s="28">
        <f>Z1120/X1120</f>
        <v/>
      </c>
      <c r="Z1120" s="29" t="n">
        <v>622.068782876652</v>
      </c>
      <c r="AA1120" s="20" t="n">
        <v>105.809817654156</v>
      </c>
      <c r="AB1120" t="n">
        <v>0.1527680635964607</v>
      </c>
      <c r="AC1120" t="n">
        <v>102.6741141036269</v>
      </c>
      <c r="AD1120" t="n">
        <v>24.49773834891191</v>
      </c>
    </row>
    <row r="1121">
      <c r="A1121" t="n">
        <v>1120</v>
      </c>
      <c r="B1121" t="n">
        <v>45.6</v>
      </c>
      <c r="C1121" s="21">
        <f>B1121-20</f>
        <v/>
      </c>
      <c r="D1121" t="n">
        <v>106.8</v>
      </c>
      <c r="E1121" s="22">
        <f>D1121-90</f>
        <v/>
      </c>
      <c r="F1121" s="23" t="n">
        <v>0.00787</v>
      </c>
      <c r="G1121" s="22" t="n">
        <v>21.9</v>
      </c>
      <c r="H1121" s="22" t="n">
        <v>1</v>
      </c>
      <c r="I1121" s="24" t="n">
        <v>0.0538112074136734</v>
      </c>
      <c r="J1121" s="6" t="n">
        <v>71000</v>
      </c>
      <c r="K1121" s="25">
        <f>23*10^-6</f>
        <v/>
      </c>
      <c r="L1121" s="8">
        <f>H1121</f>
        <v/>
      </c>
      <c r="M1121" s="26">
        <f>H1121^2/6</f>
        <v/>
      </c>
      <c r="N1121" s="26">
        <f>H1121^3/12</f>
        <v/>
      </c>
      <c r="O1121" s="27">
        <f>-J1121*L1121*K1121*C1121</f>
        <v/>
      </c>
      <c r="P1121" s="28">
        <f>-(12*F1121*J1121*L1121*N1121+12*O1121*N1121*G1121*COS(RADIANS(E1121)))/(12*N1121*G1121*COS(RADIANS(E1121))^2+L1121*G1121^3*SIN(RADIANS(E1121))^2)</f>
        <v/>
      </c>
      <c r="Q1121" s="28">
        <f>-(6*F1121*J1121*L1121*N1121*SIN(RADIANS(E1121))+6*O1121*N1121*G1121*SIN(RADIANS(E1121))*COS(RADIANS(E1121)))/(12*N1121*COS(RADIANS(E1121))^2+L1121*G1121^2*SIN(RADIANS(E1121))^2)</f>
        <v/>
      </c>
      <c r="R1121" s="28">
        <f>-P1121*SIN(RADIANS(E1121))</f>
        <v/>
      </c>
      <c r="S1121" s="8">
        <f>(O1121+P1121*COS(RADIANS(E1121)))/L1121</f>
        <v/>
      </c>
      <c r="T1121" s="8">
        <f>R1121/L1121</f>
        <v/>
      </c>
      <c r="U1121" s="8">
        <f>(Q1121-P1121*G1121*SIN(RADIANS(E1121)))/M1121</f>
        <v/>
      </c>
      <c r="V1121" s="8">
        <f>SQRT((S1121+U1121)^2+3*T1121^2)</f>
        <v/>
      </c>
      <c r="W1121" s="8">
        <f>V1121/AA1121</f>
        <v/>
      </c>
      <c r="X1121" s="27">
        <f>((3*10+H1121/COS(RADIANS(E1121)))*(3+3)+3*G1121*H1121)*2</f>
        <v/>
      </c>
      <c r="Y1121" s="28">
        <f>Z1121/X1121</f>
        <v/>
      </c>
      <c r="Z1121" s="29" t="n">
        <v>508.438629694112</v>
      </c>
      <c r="AA1121" s="20" t="n">
        <v>36.8013717695985</v>
      </c>
      <c r="AB1121" t="n">
        <v>0.06904505933644117</v>
      </c>
      <c r="AC1121" t="n">
        <v>39.63419501767367</v>
      </c>
      <c r="AD1121" t="n">
        <v>28.30981249994561</v>
      </c>
    </row>
    <row r="1122">
      <c r="A1122" t="n">
        <v>1121</v>
      </c>
      <c r="B1122" t="n">
        <v>72.40000000000001</v>
      </c>
      <c r="C1122" s="21">
        <f>B1122-20</f>
        <v/>
      </c>
      <c r="D1122" t="n">
        <v>116.7</v>
      </c>
      <c r="E1122" s="22">
        <f>D1122-90</f>
        <v/>
      </c>
      <c r="F1122" s="23" t="n">
        <v>0.018527</v>
      </c>
      <c r="G1122" s="22" t="n">
        <v>28</v>
      </c>
      <c r="H1122" s="22" t="n">
        <v>1.1</v>
      </c>
      <c r="I1122" s="24" t="n">
        <v>0.092049241065979</v>
      </c>
      <c r="J1122" s="6" t="n">
        <v>71000</v>
      </c>
      <c r="K1122" s="25">
        <f>23*10^-6</f>
        <v/>
      </c>
      <c r="L1122" s="8">
        <f>H1122</f>
        <v/>
      </c>
      <c r="M1122" s="26">
        <f>H1122^2/6</f>
        <v/>
      </c>
      <c r="N1122" s="26">
        <f>H1122^3/12</f>
        <v/>
      </c>
      <c r="O1122" s="27">
        <f>-J1122*L1122*K1122*C1122</f>
        <v/>
      </c>
      <c r="P1122" s="28">
        <f>-(12*F1122*J1122*L1122*N1122+12*O1122*N1122*G1122*COS(RADIANS(E1122)))/(12*N1122*G1122*COS(RADIANS(E1122))^2+L1122*G1122^3*SIN(RADIANS(E1122))^2)</f>
        <v/>
      </c>
      <c r="Q1122" s="28">
        <f>-(6*F1122*J1122*L1122*N1122*SIN(RADIANS(E1122))+6*O1122*N1122*G1122*SIN(RADIANS(E1122))*COS(RADIANS(E1122)))/(12*N1122*COS(RADIANS(E1122))^2+L1122*G1122^2*SIN(RADIANS(E1122))^2)</f>
        <v/>
      </c>
      <c r="R1122" s="28">
        <f>-P1122*SIN(RADIANS(E1122))</f>
        <v/>
      </c>
      <c r="S1122" s="8">
        <f>(O1122+P1122*COS(RADIANS(E1122)))/L1122</f>
        <v/>
      </c>
      <c r="T1122" s="8">
        <f>R1122/L1122</f>
        <v/>
      </c>
      <c r="U1122" s="8">
        <f>(Q1122-P1122*G1122*SIN(RADIANS(E1122)))/M1122</f>
        <v/>
      </c>
      <c r="V1122" s="8">
        <f>SQRT((S1122+U1122)^2+3*T1122^2)</f>
        <v/>
      </c>
      <c r="W1122" s="8">
        <f>V1122/AA1122</f>
        <v/>
      </c>
      <c r="X1122" s="27">
        <f>((3*10+H1122/COS(RADIANS(E1122)))*(3+3)+3*G1122*H1122)*2</f>
        <v/>
      </c>
      <c r="Y1122" s="28">
        <f>Z1122/X1122</f>
        <v/>
      </c>
      <c r="Z1122" s="29" t="n">
        <v>565.873646612552</v>
      </c>
      <c r="AA1122" s="20" t="n">
        <v>73.2614558841686</v>
      </c>
      <c r="AB1122" t="n">
        <v>0.1112048955749908</v>
      </c>
      <c r="AC1122" t="n">
        <v>76.53368698558116</v>
      </c>
      <c r="AD1122" t="n">
        <v>20.81022536109933</v>
      </c>
    </row>
    <row r="1123">
      <c r="A1123" t="n">
        <v>1122</v>
      </c>
      <c r="B1123" t="n">
        <v>51.7</v>
      </c>
      <c r="C1123" s="21">
        <f>B1123-20</f>
        <v/>
      </c>
      <c r="D1123" t="n">
        <v>113.5</v>
      </c>
      <c r="E1123" s="22">
        <f>D1123-90</f>
        <v/>
      </c>
      <c r="F1123" s="23" t="n">
        <v>0.010917</v>
      </c>
      <c r="G1123" s="22" t="n">
        <v>26.4</v>
      </c>
      <c r="H1123" s="22" t="n">
        <v>1.6</v>
      </c>
      <c r="I1123" s="24" t="n">
        <v>0.0585012845695018</v>
      </c>
      <c r="J1123" s="6" t="n">
        <v>71000</v>
      </c>
      <c r="K1123" s="25">
        <f>23*10^-6</f>
        <v/>
      </c>
      <c r="L1123" s="8">
        <f>H1123</f>
        <v/>
      </c>
      <c r="M1123" s="26">
        <f>H1123^2/6</f>
        <v/>
      </c>
      <c r="N1123" s="26">
        <f>H1123^3/12</f>
        <v/>
      </c>
      <c r="O1123" s="27">
        <f>-J1123*L1123*K1123*C1123</f>
        <v/>
      </c>
      <c r="P1123" s="28">
        <f>-(12*F1123*J1123*L1123*N1123+12*O1123*N1123*G1123*COS(RADIANS(E1123)))/(12*N1123*G1123*COS(RADIANS(E1123))^2+L1123*G1123^3*SIN(RADIANS(E1123))^2)</f>
        <v/>
      </c>
      <c r="Q1123" s="28">
        <f>-(6*F1123*J1123*L1123*N1123*SIN(RADIANS(E1123))+6*O1123*N1123*G1123*SIN(RADIANS(E1123))*COS(RADIANS(E1123)))/(12*N1123*COS(RADIANS(E1123))^2+L1123*G1123^2*SIN(RADIANS(E1123))^2)</f>
        <v/>
      </c>
      <c r="R1123" s="28">
        <f>-P1123*SIN(RADIANS(E1123))</f>
        <v/>
      </c>
      <c r="S1123" s="8">
        <f>(O1123+P1123*COS(RADIANS(E1123)))/L1123</f>
        <v/>
      </c>
      <c r="T1123" s="8">
        <f>R1123/L1123</f>
        <v/>
      </c>
      <c r="U1123" s="8">
        <f>(Q1123-P1123*G1123*SIN(RADIANS(E1123)))/M1123</f>
        <v/>
      </c>
      <c r="V1123" s="8">
        <f>SQRT((S1123+U1123)^2+3*T1123^2)</f>
        <v/>
      </c>
      <c r="W1123" s="8">
        <f>V1123/AA1123</f>
        <v/>
      </c>
      <c r="X1123" s="27">
        <f>((3*10+H1123/COS(RADIANS(E1123)))*(3+3)+3*G1123*H1123)*2</f>
        <v/>
      </c>
      <c r="Y1123" s="28">
        <f>Z1123/X1123</f>
        <v/>
      </c>
      <c r="Z1123" s="29" t="n">
        <v>639.980685080943</v>
      </c>
      <c r="AA1123" s="20" t="n">
        <v>49.7561198677624</v>
      </c>
      <c r="AB1123" t="n">
        <v>0.07189100477613128</v>
      </c>
      <c r="AC1123" t="n">
        <v>48.93077963495688</v>
      </c>
      <c r="AD1123" t="n">
        <v>22.88790802656986</v>
      </c>
    </row>
    <row r="1124">
      <c r="A1124" t="n">
        <v>1123</v>
      </c>
      <c r="B1124" t="n">
        <v>79.3</v>
      </c>
      <c r="C1124" s="21">
        <f>B1124-20</f>
        <v/>
      </c>
      <c r="D1124" t="n">
        <v>104.2</v>
      </c>
      <c r="E1124" s="22">
        <f>D1124-90</f>
        <v/>
      </c>
      <c r="F1124" s="23" t="n">
        <v>0.024045</v>
      </c>
      <c r="G1124" s="22" t="n">
        <v>30.5</v>
      </c>
      <c r="H1124" s="22" t="n">
        <v>1.3</v>
      </c>
      <c r="I1124" s="24" t="n">
        <v>0.178292497992515</v>
      </c>
      <c r="J1124" s="6" t="n">
        <v>71000</v>
      </c>
      <c r="K1124" s="25">
        <f>23*10^-6</f>
        <v/>
      </c>
      <c r="L1124" s="8">
        <f>H1124</f>
        <v/>
      </c>
      <c r="M1124" s="26">
        <f>H1124^2/6</f>
        <v/>
      </c>
      <c r="N1124" s="26">
        <f>H1124^3/12</f>
        <v/>
      </c>
      <c r="O1124" s="27">
        <f>-J1124*L1124*K1124*C1124</f>
        <v/>
      </c>
      <c r="P1124" s="28">
        <f>-(12*F1124*J1124*L1124*N1124+12*O1124*N1124*G1124*COS(RADIANS(E1124)))/(12*N1124*G1124*COS(RADIANS(E1124))^2+L1124*G1124^3*SIN(RADIANS(E1124))^2)</f>
        <v/>
      </c>
      <c r="Q1124" s="28">
        <f>-(6*F1124*J1124*L1124*N1124*SIN(RADIANS(E1124))+6*O1124*N1124*G1124*SIN(RADIANS(E1124))*COS(RADIANS(E1124)))/(12*N1124*COS(RADIANS(E1124))^2+L1124*G1124^2*SIN(RADIANS(E1124))^2)</f>
        <v/>
      </c>
      <c r="R1124" s="28">
        <f>-P1124*SIN(RADIANS(E1124))</f>
        <v/>
      </c>
      <c r="S1124" s="8">
        <f>(O1124+P1124*COS(RADIANS(E1124)))/L1124</f>
        <v/>
      </c>
      <c r="T1124" s="8">
        <f>R1124/L1124</f>
        <v/>
      </c>
      <c r="U1124" s="8">
        <f>(Q1124-P1124*G1124*SIN(RADIANS(E1124)))/M1124</f>
        <v/>
      </c>
      <c r="V1124" s="8">
        <f>SQRT((S1124+U1124)^2+3*T1124^2)</f>
        <v/>
      </c>
      <c r="W1124" s="8">
        <f>V1124/AA1124</f>
        <v/>
      </c>
      <c r="X1124" s="27">
        <f>((3*10+H1124/COS(RADIANS(E1124)))*(3+3)+3*G1124*H1124)*2</f>
        <v/>
      </c>
      <c r="Y1124" s="28">
        <f>Z1124/X1124</f>
        <v/>
      </c>
      <c r="Z1124" s="29" t="n">
        <v>618.181728769773</v>
      </c>
      <c r="AA1124" s="20" t="n">
        <v>89.4297871651099</v>
      </c>
      <c r="AB1124" t="n">
        <v>0.257134318617472</v>
      </c>
      <c r="AC1124" t="n">
        <v>94.56321333708691</v>
      </c>
      <c r="AD1124" t="n">
        <v>44.22049245631576</v>
      </c>
    </row>
    <row r="1125">
      <c r="A1125" t="n">
        <v>1124</v>
      </c>
      <c r="B1125" t="n">
        <v>81.90000000000001</v>
      </c>
      <c r="C1125" s="21">
        <f>B1125-20</f>
        <v/>
      </c>
      <c r="D1125" t="n">
        <v>119.2</v>
      </c>
      <c r="E1125" s="22">
        <f>D1125-90</f>
        <v/>
      </c>
      <c r="F1125" s="23" t="n">
        <v>0.017293</v>
      </c>
      <c r="G1125" s="22" t="n">
        <v>21.2</v>
      </c>
      <c r="H1125" s="22" t="n">
        <v>1.9</v>
      </c>
      <c r="I1125" s="24" t="n">
        <v>0.085697516798973</v>
      </c>
      <c r="J1125" s="6" t="n">
        <v>71000</v>
      </c>
      <c r="K1125" s="25">
        <f>23*10^-6</f>
        <v/>
      </c>
      <c r="L1125" s="8">
        <f>H1125</f>
        <v/>
      </c>
      <c r="M1125" s="26">
        <f>H1125^2/6</f>
        <v/>
      </c>
      <c r="N1125" s="26">
        <f>H1125^3/12</f>
        <v/>
      </c>
      <c r="O1125" s="27">
        <f>-J1125*L1125*K1125*C1125</f>
        <v/>
      </c>
      <c r="P1125" s="28">
        <f>-(12*F1125*J1125*L1125*N1125+12*O1125*N1125*G1125*COS(RADIANS(E1125)))/(12*N1125*G1125*COS(RADIANS(E1125))^2+L1125*G1125^3*SIN(RADIANS(E1125))^2)</f>
        <v/>
      </c>
      <c r="Q1125" s="28">
        <f>-(6*F1125*J1125*L1125*N1125*SIN(RADIANS(E1125))+6*O1125*N1125*G1125*SIN(RADIANS(E1125))*COS(RADIANS(E1125)))/(12*N1125*COS(RADIANS(E1125))^2+L1125*G1125^2*SIN(RADIANS(E1125))^2)</f>
        <v/>
      </c>
      <c r="R1125" s="28">
        <f>-P1125*SIN(RADIANS(E1125))</f>
        <v/>
      </c>
      <c r="S1125" s="8">
        <f>(O1125+P1125*COS(RADIANS(E1125)))/L1125</f>
        <v/>
      </c>
      <c r="T1125" s="8">
        <f>R1125/L1125</f>
        <v/>
      </c>
      <c r="U1125" s="8">
        <f>(Q1125-P1125*G1125*SIN(RADIANS(E1125)))/M1125</f>
        <v/>
      </c>
      <c r="V1125" s="8">
        <f>SQRT((S1125+U1125)^2+3*T1125^2)</f>
        <v/>
      </c>
      <c r="W1125" s="8">
        <f>V1125/AA1125</f>
        <v/>
      </c>
      <c r="X1125" s="27">
        <f>((3*10+H1125/COS(RADIANS(E1125)))*(3+3)+3*G1125*H1125)*2</f>
        <v/>
      </c>
      <c r="Y1125" s="28">
        <f>Z1125/X1125</f>
        <v/>
      </c>
      <c r="Z1125" s="29" t="n">
        <v>634.726662230879</v>
      </c>
      <c r="AA1125" s="20" t="n">
        <v>105.026962044032</v>
      </c>
      <c r="AB1125" t="n">
        <v>0.09023989183589681</v>
      </c>
      <c r="AC1125" t="n">
        <v>95.82559745575566</v>
      </c>
      <c r="AD1125" t="n">
        <v>5.300474513840578</v>
      </c>
    </row>
    <row r="1126">
      <c r="A1126" t="n">
        <v>1125</v>
      </c>
      <c r="B1126" t="n">
        <v>61.6</v>
      </c>
      <c r="C1126" s="21">
        <f>B1126-20</f>
        <v/>
      </c>
      <c r="D1126" t="n">
        <v>123</v>
      </c>
      <c r="E1126" s="22">
        <f>D1126-90</f>
        <v/>
      </c>
      <c r="F1126" s="23" t="n">
        <v>0.013425</v>
      </c>
      <c r="G1126" s="22" t="n">
        <v>26.6</v>
      </c>
      <c r="H1126" s="22" t="n">
        <v>1.1</v>
      </c>
      <c r="I1126" s="24" t="n">
        <v>0.0613230429589748</v>
      </c>
      <c r="J1126" s="6" t="n">
        <v>71000</v>
      </c>
      <c r="K1126" s="25">
        <f>23*10^-6</f>
        <v/>
      </c>
      <c r="L1126" s="8">
        <f>H1126</f>
        <v/>
      </c>
      <c r="M1126" s="26">
        <f>H1126^2/6</f>
        <v/>
      </c>
      <c r="N1126" s="26">
        <f>H1126^3/12</f>
        <v/>
      </c>
      <c r="O1126" s="27">
        <f>-J1126*L1126*K1126*C1126</f>
        <v/>
      </c>
      <c r="P1126" s="28">
        <f>-(12*F1126*J1126*L1126*N1126+12*O1126*N1126*G1126*COS(RADIANS(E1126)))/(12*N1126*G1126*COS(RADIANS(E1126))^2+L1126*G1126^3*SIN(RADIANS(E1126))^2)</f>
        <v/>
      </c>
      <c r="Q1126" s="28">
        <f>-(6*F1126*J1126*L1126*N1126*SIN(RADIANS(E1126))+6*O1126*N1126*G1126*SIN(RADIANS(E1126))*COS(RADIANS(E1126)))/(12*N1126*COS(RADIANS(E1126))^2+L1126*G1126^2*SIN(RADIANS(E1126))^2)</f>
        <v/>
      </c>
      <c r="R1126" s="28">
        <f>-P1126*SIN(RADIANS(E1126))</f>
        <v/>
      </c>
      <c r="S1126" s="8">
        <f>(O1126+P1126*COS(RADIANS(E1126)))/L1126</f>
        <v/>
      </c>
      <c r="T1126" s="8">
        <f>R1126/L1126</f>
        <v/>
      </c>
      <c r="U1126" s="8">
        <f>(Q1126-P1126*G1126*SIN(RADIANS(E1126)))/M1126</f>
        <v/>
      </c>
      <c r="V1126" s="8">
        <f>SQRT((S1126+U1126)^2+3*T1126^2)</f>
        <v/>
      </c>
      <c r="W1126" s="8">
        <f>V1126/AA1126</f>
        <v/>
      </c>
      <c r="X1126" s="27">
        <f>((3*10+H1126/COS(RADIANS(E1126)))*(3+3)+3*G1126*H1126)*2</f>
        <v/>
      </c>
      <c r="Y1126" s="28">
        <f>Z1126/X1126</f>
        <v/>
      </c>
      <c r="Z1126" s="29" t="n">
        <v>559.349543879139</v>
      </c>
      <c r="AA1126" s="20" t="n">
        <v>56.9775758354011</v>
      </c>
      <c r="AB1126" t="n">
        <v>0.06709521371747681</v>
      </c>
      <c r="AC1126" t="n">
        <v>59.73462371530965</v>
      </c>
      <c r="AD1126" t="n">
        <v>9.412727222886849</v>
      </c>
    </row>
    <row r="1127">
      <c r="A1127" t="n">
        <v>1126</v>
      </c>
      <c r="B1127" t="n">
        <v>68.2</v>
      </c>
      <c r="C1127" s="21">
        <f>B1127-20</f>
        <v/>
      </c>
      <c r="D1127" t="n">
        <v>110.3</v>
      </c>
      <c r="E1127" s="22">
        <f>D1127-90</f>
        <v/>
      </c>
      <c r="F1127" s="23" t="n">
        <v>0.013707</v>
      </c>
      <c r="G1127" s="22" t="n">
        <v>20.2</v>
      </c>
      <c r="H1127" s="22" t="n">
        <v>1.8</v>
      </c>
      <c r="I1127" s="24" t="n">
        <v>0.081856831908226</v>
      </c>
      <c r="J1127" s="6" t="n">
        <v>71000</v>
      </c>
      <c r="K1127" s="25">
        <f>23*10^-6</f>
        <v/>
      </c>
      <c r="L1127" s="8">
        <f>H1127</f>
        <v/>
      </c>
      <c r="M1127" s="26">
        <f>H1127^2/6</f>
        <v/>
      </c>
      <c r="N1127" s="26">
        <f>H1127^3/12</f>
        <v/>
      </c>
      <c r="O1127" s="27">
        <f>-J1127*L1127*K1127*C1127</f>
        <v/>
      </c>
      <c r="P1127" s="28">
        <f>-(12*F1127*J1127*L1127*N1127+12*O1127*N1127*G1127*COS(RADIANS(E1127)))/(12*N1127*G1127*COS(RADIANS(E1127))^2+L1127*G1127^3*SIN(RADIANS(E1127))^2)</f>
        <v/>
      </c>
      <c r="Q1127" s="28">
        <f>-(6*F1127*J1127*L1127*N1127*SIN(RADIANS(E1127))+6*O1127*N1127*G1127*SIN(RADIANS(E1127))*COS(RADIANS(E1127)))/(12*N1127*COS(RADIANS(E1127))^2+L1127*G1127^2*SIN(RADIANS(E1127))^2)</f>
        <v/>
      </c>
      <c r="R1127" s="28">
        <f>-P1127*SIN(RADIANS(E1127))</f>
        <v/>
      </c>
      <c r="S1127" s="8">
        <f>(O1127+P1127*COS(RADIANS(E1127)))/L1127</f>
        <v/>
      </c>
      <c r="T1127" s="8">
        <f>R1127/L1127</f>
        <v/>
      </c>
      <c r="U1127" s="8">
        <f>(Q1127-P1127*G1127*SIN(RADIANS(E1127)))/M1127</f>
        <v/>
      </c>
      <c r="V1127" s="8">
        <f>SQRT((S1127+U1127)^2+3*T1127^2)</f>
        <v/>
      </c>
      <c r="W1127" s="8">
        <f>V1127/AA1127</f>
        <v/>
      </c>
      <c r="X1127" s="27">
        <f>((3*10+H1127/COS(RADIANS(E1127)))*(3+3)+3*G1127*H1127)*2</f>
        <v/>
      </c>
      <c r="Y1127" s="28">
        <f>Z1127/X1127</f>
        <v/>
      </c>
      <c r="Z1127" s="29" t="n">
        <v>606.213458788862</v>
      </c>
      <c r="AA1127" s="20" t="n">
        <v>84.0322492530867</v>
      </c>
      <c r="AB1127" t="n">
        <v>0.09575134114109282</v>
      </c>
      <c r="AC1127" t="n">
        <v>78.86953420486074</v>
      </c>
      <c r="AD1127" t="n">
        <v>16.97415952824156</v>
      </c>
    </row>
    <row r="1128">
      <c r="A1128" t="n">
        <v>1127</v>
      </c>
      <c r="B1128" t="n">
        <v>85.59999999999999</v>
      </c>
      <c r="C1128" s="21">
        <f>B1128-20</f>
        <v/>
      </c>
      <c r="D1128" t="n">
        <v>127.1</v>
      </c>
      <c r="E1128" s="22">
        <f>D1128-90</f>
        <v/>
      </c>
      <c r="F1128" s="23" t="n">
        <v>0.017908</v>
      </c>
      <c r="G1128" s="22" t="n">
        <v>22.5</v>
      </c>
      <c r="H1128" s="22" t="n">
        <v>1.7</v>
      </c>
      <c r="I1128" s="24" t="n">
        <v>0.08135406672954559</v>
      </c>
      <c r="J1128" s="6" t="n">
        <v>71000</v>
      </c>
      <c r="K1128" s="25">
        <f>23*10^-6</f>
        <v/>
      </c>
      <c r="L1128" s="8">
        <f>H1128</f>
        <v/>
      </c>
      <c r="M1128" s="26">
        <f>H1128^2/6</f>
        <v/>
      </c>
      <c r="N1128" s="26">
        <f>H1128^3/12</f>
        <v/>
      </c>
      <c r="O1128" s="27">
        <f>-J1128*L1128*K1128*C1128</f>
        <v/>
      </c>
      <c r="P1128" s="28">
        <f>-(12*F1128*J1128*L1128*N1128+12*O1128*N1128*G1128*COS(RADIANS(E1128)))/(12*N1128*G1128*COS(RADIANS(E1128))^2+L1128*G1128^3*SIN(RADIANS(E1128))^2)</f>
        <v/>
      </c>
      <c r="Q1128" s="28">
        <f>-(6*F1128*J1128*L1128*N1128*SIN(RADIANS(E1128))+6*O1128*N1128*G1128*SIN(RADIANS(E1128))*COS(RADIANS(E1128)))/(12*N1128*COS(RADIANS(E1128))^2+L1128*G1128^2*SIN(RADIANS(E1128))^2)</f>
        <v/>
      </c>
      <c r="R1128" s="28">
        <f>-P1128*SIN(RADIANS(E1128))</f>
        <v/>
      </c>
      <c r="S1128" s="8">
        <f>(O1128+P1128*COS(RADIANS(E1128)))/L1128</f>
        <v/>
      </c>
      <c r="T1128" s="8">
        <f>R1128/L1128</f>
        <v/>
      </c>
      <c r="U1128" s="8">
        <f>(Q1128-P1128*G1128*SIN(RADIANS(E1128)))/M1128</f>
        <v/>
      </c>
      <c r="V1128" s="8">
        <f>SQRT((S1128+U1128)^2+3*T1128^2)</f>
        <v/>
      </c>
      <c r="W1128" s="8">
        <f>V1128/AA1128</f>
        <v/>
      </c>
      <c r="X1128" s="27">
        <f>((3*10+H1128/COS(RADIANS(E1128)))*(3+3)+3*G1128*H1128)*2</f>
        <v/>
      </c>
      <c r="Y1128" s="28">
        <f>Z1128/X1128</f>
        <v/>
      </c>
      <c r="Z1128" s="29" t="n">
        <v>624.6017520688511</v>
      </c>
      <c r="AA1128" s="20" t="n">
        <v>103.478892863719</v>
      </c>
      <c r="AB1128" t="n">
        <v>0.07903310577696328</v>
      </c>
      <c r="AC1128" t="n">
        <v>96.66842501884045</v>
      </c>
      <c r="AD1128" t="n">
        <v>-2.852913254229988</v>
      </c>
    </row>
    <row r="1129">
      <c r="A1129" t="n">
        <v>1128</v>
      </c>
      <c r="B1129" t="n">
        <v>63.4</v>
      </c>
      <c r="C1129" s="21">
        <f>B1129-20</f>
        <v/>
      </c>
      <c r="D1129" t="n">
        <v>127</v>
      </c>
      <c r="E1129" s="22">
        <f>D1129-90</f>
        <v/>
      </c>
      <c r="F1129" s="23" t="n">
        <v>0.012412</v>
      </c>
      <c r="G1129" s="22" t="n">
        <v>23.9</v>
      </c>
      <c r="H1129" s="22" t="n">
        <v>1.4</v>
      </c>
      <c r="I1129" s="24" t="n">
        <v>0.055843785405159</v>
      </c>
      <c r="J1129" s="6" t="n">
        <v>71000</v>
      </c>
      <c r="K1129" s="25">
        <f>23*10^-6</f>
        <v/>
      </c>
      <c r="L1129" s="8">
        <f>H1129</f>
        <v/>
      </c>
      <c r="M1129" s="26">
        <f>H1129^2/6</f>
        <v/>
      </c>
      <c r="N1129" s="26">
        <f>H1129^3/12</f>
        <v/>
      </c>
      <c r="O1129" s="27">
        <f>-J1129*L1129*K1129*C1129</f>
        <v/>
      </c>
      <c r="P1129" s="28">
        <f>-(12*F1129*J1129*L1129*N1129+12*O1129*N1129*G1129*COS(RADIANS(E1129)))/(12*N1129*G1129*COS(RADIANS(E1129))^2+L1129*G1129^3*SIN(RADIANS(E1129))^2)</f>
        <v/>
      </c>
      <c r="Q1129" s="28">
        <f>-(6*F1129*J1129*L1129*N1129*SIN(RADIANS(E1129))+6*O1129*N1129*G1129*SIN(RADIANS(E1129))*COS(RADIANS(E1129)))/(12*N1129*COS(RADIANS(E1129))^2+L1129*G1129^2*SIN(RADIANS(E1129))^2)</f>
        <v/>
      </c>
      <c r="R1129" s="28">
        <f>-P1129*SIN(RADIANS(E1129))</f>
        <v/>
      </c>
      <c r="S1129" s="8">
        <f>(O1129+P1129*COS(RADIANS(E1129)))/L1129</f>
        <v/>
      </c>
      <c r="T1129" s="8">
        <f>R1129/L1129</f>
        <v/>
      </c>
      <c r="U1129" s="8">
        <f>(Q1129-P1129*G1129*SIN(RADIANS(E1129)))/M1129</f>
        <v/>
      </c>
      <c r="V1129" s="8">
        <f>SQRT((S1129+U1129)^2+3*T1129^2)</f>
        <v/>
      </c>
      <c r="W1129" s="8">
        <f>V1129/AA1129</f>
        <v/>
      </c>
      <c r="X1129" s="27">
        <f>((3*10+H1129/COS(RADIANS(E1129)))*(3+3)+3*G1129*H1129)*2</f>
        <v/>
      </c>
      <c r="Y1129" s="28">
        <f>Z1129/X1129</f>
        <v/>
      </c>
      <c r="Z1129" s="29" t="n">
        <v>591.280764238414</v>
      </c>
      <c r="AA1129" s="20" t="n">
        <v>63.8411129123574</v>
      </c>
      <c r="AB1129" t="n">
        <v>0.05572009038941736</v>
      </c>
      <c r="AC1129" t="n">
        <v>62.87918020754935</v>
      </c>
      <c r="AD1129" t="n">
        <v>-0.2215018463454842</v>
      </c>
    </row>
    <row r="1130">
      <c r="A1130" t="n">
        <v>1129</v>
      </c>
      <c r="B1130" t="n">
        <v>86.59999999999999</v>
      </c>
      <c r="C1130" s="21">
        <f>B1130-20</f>
        <v/>
      </c>
      <c r="D1130" t="n">
        <v>103.6</v>
      </c>
      <c r="E1130" s="22">
        <f>D1130-90</f>
        <v/>
      </c>
      <c r="F1130" s="23" t="n">
        <v>0.029941</v>
      </c>
      <c r="G1130" s="22" t="n">
        <v>34.4</v>
      </c>
      <c r="H1130" s="22" t="n">
        <v>1.8</v>
      </c>
      <c r="I1130" s="24" t="n">
        <v>0.223908618092536</v>
      </c>
      <c r="J1130" s="6" t="n">
        <v>71000</v>
      </c>
      <c r="K1130" s="25">
        <f>23*10^-6</f>
        <v/>
      </c>
      <c r="L1130" s="8">
        <f>H1130</f>
        <v/>
      </c>
      <c r="M1130" s="26">
        <f>H1130^2/6</f>
        <v/>
      </c>
      <c r="N1130" s="26">
        <f>H1130^3/12</f>
        <v/>
      </c>
      <c r="O1130" s="27">
        <f>-J1130*L1130*K1130*C1130</f>
        <v/>
      </c>
      <c r="P1130" s="28">
        <f>-(12*F1130*J1130*L1130*N1130+12*O1130*N1130*G1130*COS(RADIANS(E1130)))/(12*N1130*G1130*COS(RADIANS(E1130))^2+L1130*G1130^3*SIN(RADIANS(E1130))^2)</f>
        <v/>
      </c>
      <c r="Q1130" s="28">
        <f>-(6*F1130*J1130*L1130*N1130*SIN(RADIANS(E1130))+6*O1130*N1130*G1130*SIN(RADIANS(E1130))*COS(RADIANS(E1130)))/(12*N1130*COS(RADIANS(E1130))^2+L1130*G1130^2*SIN(RADIANS(E1130))^2)</f>
        <v/>
      </c>
      <c r="R1130" s="28">
        <f>-P1130*SIN(RADIANS(E1130))</f>
        <v/>
      </c>
      <c r="S1130" s="8">
        <f>(O1130+P1130*COS(RADIANS(E1130)))/L1130</f>
        <v/>
      </c>
      <c r="T1130" s="8">
        <f>R1130/L1130</f>
        <v/>
      </c>
      <c r="U1130" s="8">
        <f>(Q1130-P1130*G1130*SIN(RADIANS(E1130)))/M1130</f>
        <v/>
      </c>
      <c r="V1130" s="8">
        <f>SQRT((S1130+U1130)^2+3*T1130^2)</f>
        <v/>
      </c>
      <c r="W1130" s="8">
        <f>V1130/AA1130</f>
        <v/>
      </c>
      <c r="X1130" s="27">
        <f>((3*10+H1130/COS(RADIANS(E1130)))*(3+3)+3*G1130*H1130)*2</f>
        <v/>
      </c>
      <c r="Y1130" s="28">
        <f>Z1130/X1130</f>
        <v/>
      </c>
      <c r="Z1130" s="29" t="n">
        <v>757.869092015169</v>
      </c>
      <c r="AA1130" s="20" t="n">
        <v>111.14948284219</v>
      </c>
      <c r="AB1130" t="n">
        <v>0.3319857777351216</v>
      </c>
      <c r="AC1130" t="n">
        <v>110.8267561102189</v>
      </c>
      <c r="AD1130" t="n">
        <v>48.26842332523348</v>
      </c>
    </row>
    <row r="1131">
      <c r="A1131" t="n">
        <v>1130</v>
      </c>
      <c r="B1131" t="n">
        <v>40.1</v>
      </c>
      <c r="C1131" s="21">
        <f>B1131-20</f>
        <v/>
      </c>
      <c r="D1131" t="n">
        <v>109.9</v>
      </c>
      <c r="E1131" s="22">
        <f>D1131-90</f>
        <v/>
      </c>
      <c r="F1131" s="23" t="n">
        <v>0.008054</v>
      </c>
      <c r="G1131" s="22" t="n">
        <v>31</v>
      </c>
      <c r="H1131" s="22" t="n">
        <v>1</v>
      </c>
      <c r="I1131" s="24" t="n">
        <v>0.0470518693327903</v>
      </c>
      <c r="J1131" s="6" t="n">
        <v>71000</v>
      </c>
      <c r="K1131" s="25">
        <f>23*10^-6</f>
        <v/>
      </c>
      <c r="L1131" s="8">
        <f>H1131</f>
        <v/>
      </c>
      <c r="M1131" s="26">
        <f>H1131^2/6</f>
        <v/>
      </c>
      <c r="N1131" s="26">
        <f>H1131^3/12</f>
        <v/>
      </c>
      <c r="O1131" s="27">
        <f>-J1131*L1131*K1131*C1131</f>
        <v/>
      </c>
      <c r="P1131" s="28">
        <f>-(12*F1131*J1131*L1131*N1131+12*O1131*N1131*G1131*COS(RADIANS(E1131)))/(12*N1131*G1131*COS(RADIANS(E1131))^2+L1131*G1131^3*SIN(RADIANS(E1131))^2)</f>
        <v/>
      </c>
      <c r="Q1131" s="28">
        <f>-(6*F1131*J1131*L1131*N1131*SIN(RADIANS(E1131))+6*O1131*N1131*G1131*SIN(RADIANS(E1131))*COS(RADIANS(E1131)))/(12*N1131*COS(RADIANS(E1131))^2+L1131*G1131^2*SIN(RADIANS(E1131))^2)</f>
        <v/>
      </c>
      <c r="R1131" s="28">
        <f>-P1131*SIN(RADIANS(E1131))</f>
        <v/>
      </c>
      <c r="S1131" s="8">
        <f>(O1131+P1131*COS(RADIANS(E1131)))/L1131</f>
        <v/>
      </c>
      <c r="T1131" s="8">
        <f>R1131/L1131</f>
        <v/>
      </c>
      <c r="U1131" s="8">
        <f>(Q1131-P1131*G1131*SIN(RADIANS(E1131)))/M1131</f>
        <v/>
      </c>
      <c r="V1131" s="8">
        <f>SQRT((S1131+U1131)^2+3*T1131^2)</f>
        <v/>
      </c>
      <c r="W1131" s="8">
        <f>V1131/AA1131</f>
        <v/>
      </c>
      <c r="X1131" s="27">
        <f>((3*10+H1131/COS(RADIANS(E1131)))*(3+3)+3*G1131*H1131)*2</f>
        <v/>
      </c>
      <c r="Y1131" s="28">
        <f>Z1131/X1131</f>
        <v/>
      </c>
      <c r="Z1131" s="29" t="n">
        <v>563.719766332258</v>
      </c>
      <c r="AA1131" s="20" t="n">
        <v>27.9267335148284</v>
      </c>
      <c r="AB1131" t="n">
        <v>0.06382291719481958</v>
      </c>
      <c r="AC1131" t="n">
        <v>29.79197116827158</v>
      </c>
      <c r="AD1131" t="n">
        <v>35.64374402090247</v>
      </c>
    </row>
    <row r="1132">
      <c r="A1132" t="n">
        <v>1131</v>
      </c>
      <c r="B1132" t="n">
        <v>66.09999999999999</v>
      </c>
      <c r="C1132" s="21">
        <f>B1132-20</f>
        <v/>
      </c>
      <c r="D1132" t="n">
        <v>127.3</v>
      </c>
      <c r="E1132" s="22">
        <f>D1132-90</f>
        <v/>
      </c>
      <c r="F1132" s="23" t="n">
        <v>0.013354</v>
      </c>
      <c r="G1132" s="22" t="n">
        <v>24.4</v>
      </c>
      <c r="H1132" s="22" t="n">
        <v>1.5</v>
      </c>
      <c r="I1132" s="24" t="n">
        <v>0.0598027259111404</v>
      </c>
      <c r="J1132" s="6" t="n">
        <v>71000</v>
      </c>
      <c r="K1132" s="25">
        <f>23*10^-6</f>
        <v/>
      </c>
      <c r="L1132" s="8">
        <f>H1132</f>
        <v/>
      </c>
      <c r="M1132" s="26">
        <f>H1132^2/6</f>
        <v/>
      </c>
      <c r="N1132" s="26">
        <f>H1132^3/12</f>
        <v/>
      </c>
      <c r="O1132" s="27">
        <f>-J1132*L1132*K1132*C1132</f>
        <v/>
      </c>
      <c r="P1132" s="28">
        <f>-(12*F1132*J1132*L1132*N1132+12*O1132*N1132*G1132*COS(RADIANS(E1132)))/(12*N1132*G1132*COS(RADIANS(E1132))^2+L1132*G1132^3*SIN(RADIANS(E1132))^2)</f>
        <v/>
      </c>
      <c r="Q1132" s="28">
        <f>-(6*F1132*J1132*L1132*N1132*SIN(RADIANS(E1132))+6*O1132*N1132*G1132*SIN(RADIANS(E1132))*COS(RADIANS(E1132)))/(12*N1132*COS(RADIANS(E1132))^2+L1132*G1132^2*SIN(RADIANS(E1132))^2)</f>
        <v/>
      </c>
      <c r="R1132" s="28">
        <f>-P1132*SIN(RADIANS(E1132))</f>
        <v/>
      </c>
      <c r="S1132" s="8">
        <f>(O1132+P1132*COS(RADIANS(E1132)))/L1132</f>
        <v/>
      </c>
      <c r="T1132" s="8">
        <f>R1132/L1132</f>
        <v/>
      </c>
      <c r="U1132" s="8">
        <f>(Q1132-P1132*G1132*SIN(RADIANS(E1132)))/M1132</f>
        <v/>
      </c>
      <c r="V1132" s="8">
        <f>SQRT((S1132+U1132)^2+3*T1132^2)</f>
        <v/>
      </c>
      <c r="W1132" s="8">
        <f>V1132/AA1132</f>
        <v/>
      </c>
      <c r="X1132" s="27">
        <f>((3*10+H1132/COS(RADIANS(E1132)))*(3+3)+3*G1132*H1132)*2</f>
        <v/>
      </c>
      <c r="Y1132" s="28">
        <f>Z1132/X1132</f>
        <v/>
      </c>
      <c r="Z1132" s="29" t="n">
        <v>611.832372537785</v>
      </c>
      <c r="AA1132" s="20" t="n">
        <v>68.2829105127352</v>
      </c>
      <c r="AB1132" t="n">
        <v>0.05976659186424278</v>
      </c>
      <c r="AC1132" t="n">
        <v>67.00680437646182</v>
      </c>
      <c r="AD1132" t="n">
        <v>-0.06042207332039622</v>
      </c>
    </row>
    <row r="1133">
      <c r="A1133" t="n">
        <v>1132</v>
      </c>
      <c r="B1133" t="n">
        <v>44.3</v>
      </c>
      <c r="C1133" s="21">
        <f>B1133-20</f>
        <v/>
      </c>
      <c r="D1133" t="n">
        <v>111.3</v>
      </c>
      <c r="E1133" s="22">
        <f>D1133-90</f>
        <v/>
      </c>
      <c r="F1133" s="23" t="n">
        <v>0.007005</v>
      </c>
      <c r="G1133" s="22" t="n">
        <v>20.7</v>
      </c>
      <c r="H1133" s="22" t="n">
        <v>1.4</v>
      </c>
      <c r="I1133" s="24" t="n">
        <v>0.0410703979432582</v>
      </c>
      <c r="J1133" s="6" t="n">
        <v>71000</v>
      </c>
      <c r="K1133" s="25">
        <f>23*10^-6</f>
        <v/>
      </c>
      <c r="L1133" s="8">
        <f>H1133</f>
        <v/>
      </c>
      <c r="M1133" s="26">
        <f>H1133^2/6</f>
        <v/>
      </c>
      <c r="N1133" s="26">
        <f>H1133^3/12</f>
        <v/>
      </c>
      <c r="O1133" s="27">
        <f>-J1133*L1133*K1133*C1133</f>
        <v/>
      </c>
      <c r="P1133" s="28">
        <f>-(12*F1133*J1133*L1133*N1133+12*O1133*N1133*G1133*COS(RADIANS(E1133)))/(12*N1133*G1133*COS(RADIANS(E1133))^2+L1133*G1133^3*SIN(RADIANS(E1133))^2)</f>
        <v/>
      </c>
      <c r="Q1133" s="28">
        <f>-(6*F1133*J1133*L1133*N1133*SIN(RADIANS(E1133))+6*O1133*N1133*G1133*SIN(RADIANS(E1133))*COS(RADIANS(E1133)))/(12*N1133*COS(RADIANS(E1133))^2+L1133*G1133^2*SIN(RADIANS(E1133))^2)</f>
        <v/>
      </c>
      <c r="R1133" s="28">
        <f>-P1133*SIN(RADIANS(E1133))</f>
        <v/>
      </c>
      <c r="S1133" s="8">
        <f>(O1133+P1133*COS(RADIANS(E1133)))/L1133</f>
        <v/>
      </c>
      <c r="T1133" s="8">
        <f>R1133/L1133</f>
        <v/>
      </c>
      <c r="U1133" s="8">
        <f>(Q1133-P1133*G1133*SIN(RADIANS(E1133)))/M1133</f>
        <v/>
      </c>
      <c r="V1133" s="8">
        <f>SQRT((S1133+U1133)^2+3*T1133^2)</f>
        <v/>
      </c>
      <c r="W1133" s="8">
        <f>V1133/AA1133</f>
        <v/>
      </c>
      <c r="X1133" s="27">
        <f>((3*10+H1133/COS(RADIANS(E1133)))*(3+3)+3*G1133*H1133)*2</f>
        <v/>
      </c>
      <c r="Y1133" s="28">
        <f>Z1133/X1133</f>
        <v/>
      </c>
      <c r="Z1133" s="29" t="n">
        <v>557.104961526581</v>
      </c>
      <c r="AA1133" s="20" t="n">
        <v>38.1954448250451</v>
      </c>
      <c r="AB1133" t="n">
        <v>0.04828030550176164</v>
      </c>
      <c r="AC1133" t="n">
        <v>38.07817138169459</v>
      </c>
      <c r="AD1133" t="n">
        <v>17.55499805106457</v>
      </c>
    </row>
    <row r="1134">
      <c r="A1134" t="n">
        <v>1133</v>
      </c>
      <c r="B1134" t="n">
        <v>84.90000000000001</v>
      </c>
      <c r="C1134" s="21">
        <f>B1134-20</f>
        <v/>
      </c>
      <c r="D1134" t="n">
        <v>121.1</v>
      </c>
      <c r="E1134" s="22">
        <f>D1134-90</f>
        <v/>
      </c>
      <c r="F1134" s="23" t="n">
        <v>0.020277</v>
      </c>
      <c r="G1134" s="22" t="n">
        <v>25</v>
      </c>
      <c r="H1134" s="22" t="n">
        <v>1.6</v>
      </c>
      <c r="I1134" s="24" t="n">
        <v>0.09568542987108231</v>
      </c>
      <c r="J1134" s="6" t="n">
        <v>71000</v>
      </c>
      <c r="K1134" s="25">
        <f>23*10^-6</f>
        <v/>
      </c>
      <c r="L1134" s="8">
        <f>H1134</f>
        <v/>
      </c>
      <c r="M1134" s="26">
        <f>H1134^2/6</f>
        <v/>
      </c>
      <c r="N1134" s="26">
        <f>H1134^3/12</f>
        <v/>
      </c>
      <c r="O1134" s="27">
        <f>-J1134*L1134*K1134*C1134</f>
        <v/>
      </c>
      <c r="P1134" s="28">
        <f>-(12*F1134*J1134*L1134*N1134+12*O1134*N1134*G1134*COS(RADIANS(E1134)))/(12*N1134*G1134*COS(RADIANS(E1134))^2+L1134*G1134^3*SIN(RADIANS(E1134))^2)</f>
        <v/>
      </c>
      <c r="Q1134" s="28">
        <f>-(6*F1134*J1134*L1134*N1134*SIN(RADIANS(E1134))+6*O1134*N1134*G1134*SIN(RADIANS(E1134))*COS(RADIANS(E1134)))/(12*N1134*COS(RADIANS(E1134))^2+L1134*G1134^2*SIN(RADIANS(E1134))^2)</f>
        <v/>
      </c>
      <c r="R1134" s="28">
        <f>-P1134*SIN(RADIANS(E1134))</f>
        <v/>
      </c>
      <c r="S1134" s="8">
        <f>(O1134+P1134*COS(RADIANS(E1134)))/L1134</f>
        <v/>
      </c>
      <c r="T1134" s="8">
        <f>R1134/L1134</f>
        <v/>
      </c>
      <c r="U1134" s="8">
        <f>(Q1134-P1134*G1134*SIN(RADIANS(E1134)))/M1134</f>
        <v/>
      </c>
      <c r="V1134" s="8">
        <f>SQRT((S1134+U1134)^2+3*T1134^2)</f>
        <v/>
      </c>
      <c r="W1134" s="8">
        <f>V1134/AA1134</f>
        <v/>
      </c>
      <c r="X1134" s="27">
        <f>((3*10+H1134/COS(RADIANS(E1134)))*(3+3)+3*G1134*H1134)*2</f>
        <v/>
      </c>
      <c r="Y1134" s="28">
        <f>Z1134/X1134</f>
        <v/>
      </c>
      <c r="Z1134" s="29" t="n">
        <v>629.885177479613</v>
      </c>
      <c r="AA1134" s="20" t="n">
        <v>100.944720972941</v>
      </c>
      <c r="AB1134" t="n">
        <v>0.1045453655914161</v>
      </c>
      <c r="AC1134" t="n">
        <v>96.84021750664151</v>
      </c>
      <c r="AD1134" t="n">
        <v>9.259440786618036</v>
      </c>
    </row>
    <row r="1135">
      <c r="A1135" t="n">
        <v>1134</v>
      </c>
      <c r="B1135" t="n">
        <v>50.9</v>
      </c>
      <c r="C1135" s="21">
        <f>B1135-20</f>
        <v/>
      </c>
      <c r="D1135" t="n">
        <v>117.4</v>
      </c>
      <c r="E1135" s="22">
        <f>D1135-90</f>
        <v/>
      </c>
      <c r="F1135" s="23" t="n">
        <v>0.011089</v>
      </c>
      <c r="G1135" s="22" t="n">
        <v>28.7</v>
      </c>
      <c r="H1135" s="22" t="n">
        <v>1.9</v>
      </c>
      <c r="I1135" s="24" t="n">
        <v>0.0541613921523094</v>
      </c>
      <c r="J1135" s="6" t="n">
        <v>71000</v>
      </c>
      <c r="K1135" s="25">
        <f>23*10^-6</f>
        <v/>
      </c>
      <c r="L1135" s="8">
        <f>H1135</f>
        <v/>
      </c>
      <c r="M1135" s="26">
        <f>H1135^2/6</f>
        <v/>
      </c>
      <c r="N1135" s="26">
        <f>H1135^3/12</f>
        <v/>
      </c>
      <c r="O1135" s="27">
        <f>-J1135*L1135*K1135*C1135</f>
        <v/>
      </c>
      <c r="P1135" s="28">
        <f>-(12*F1135*J1135*L1135*N1135+12*O1135*N1135*G1135*COS(RADIANS(E1135)))/(12*N1135*G1135*COS(RADIANS(E1135))^2+L1135*G1135^3*SIN(RADIANS(E1135))^2)</f>
        <v/>
      </c>
      <c r="Q1135" s="28">
        <f>-(6*F1135*J1135*L1135*N1135*SIN(RADIANS(E1135))+6*O1135*N1135*G1135*SIN(RADIANS(E1135))*COS(RADIANS(E1135)))/(12*N1135*COS(RADIANS(E1135))^2+L1135*G1135^2*SIN(RADIANS(E1135))^2)</f>
        <v/>
      </c>
      <c r="R1135" s="28">
        <f>-P1135*SIN(RADIANS(E1135))</f>
        <v/>
      </c>
      <c r="S1135" s="8">
        <f>(O1135+P1135*COS(RADIANS(E1135)))/L1135</f>
        <v/>
      </c>
      <c r="T1135" s="8">
        <f>R1135/L1135</f>
        <v/>
      </c>
      <c r="U1135" s="8">
        <f>(Q1135-P1135*G1135*SIN(RADIANS(E1135)))/M1135</f>
        <v/>
      </c>
      <c r="V1135" s="8">
        <f>SQRT((S1135+U1135)^2+3*T1135^2)</f>
        <v/>
      </c>
      <c r="W1135" s="8">
        <f>V1135/AA1135</f>
        <v/>
      </c>
      <c r="X1135" s="27">
        <f>((3*10+H1135/COS(RADIANS(E1135)))*(3+3)+3*G1135*H1135)*2</f>
        <v/>
      </c>
      <c r="Y1135" s="28">
        <f>Z1135/X1135</f>
        <v/>
      </c>
      <c r="Z1135" s="29" t="n">
        <v>719.327291238673</v>
      </c>
      <c r="AA1135" s="20" t="n">
        <v>50.2780729391345</v>
      </c>
      <c r="AB1135" t="n">
        <v>0.06456860746096751</v>
      </c>
      <c r="AC1135" t="n">
        <v>47.30988521822765</v>
      </c>
      <c r="AD1135" t="n">
        <v>19.21519166160201</v>
      </c>
    </row>
    <row r="1136">
      <c r="A1136" t="n">
        <v>1135</v>
      </c>
      <c r="B1136" t="n">
        <v>65.3</v>
      </c>
      <c r="C1136" s="21">
        <f>B1136-20</f>
        <v/>
      </c>
      <c r="D1136" t="n">
        <v>117.8</v>
      </c>
      <c r="E1136" s="22">
        <f>D1136-90</f>
        <v/>
      </c>
      <c r="F1136" s="23" t="n">
        <v>0.015661</v>
      </c>
      <c r="G1136" s="22" t="n">
        <v>27.5</v>
      </c>
      <c r="H1136" s="22" t="n">
        <v>1.7</v>
      </c>
      <c r="I1136" s="24" t="n">
        <v>0.07646015286445609</v>
      </c>
      <c r="J1136" s="6" t="n">
        <v>71000</v>
      </c>
      <c r="K1136" s="25">
        <f>23*10^-6</f>
        <v/>
      </c>
      <c r="L1136" s="8">
        <f>H1136</f>
        <v/>
      </c>
      <c r="M1136" s="26">
        <f>H1136^2/6</f>
        <v/>
      </c>
      <c r="N1136" s="26">
        <f>H1136^3/12</f>
        <v/>
      </c>
      <c r="O1136" s="27">
        <f>-J1136*L1136*K1136*C1136</f>
        <v/>
      </c>
      <c r="P1136" s="28">
        <f>-(12*F1136*J1136*L1136*N1136+12*O1136*N1136*G1136*COS(RADIANS(E1136)))/(12*N1136*G1136*COS(RADIANS(E1136))^2+L1136*G1136^3*SIN(RADIANS(E1136))^2)</f>
        <v/>
      </c>
      <c r="Q1136" s="28">
        <f>-(6*F1136*J1136*L1136*N1136*SIN(RADIANS(E1136))+6*O1136*N1136*G1136*SIN(RADIANS(E1136))*COS(RADIANS(E1136)))/(12*N1136*COS(RADIANS(E1136))^2+L1136*G1136^2*SIN(RADIANS(E1136))^2)</f>
        <v/>
      </c>
      <c r="R1136" s="28">
        <f>-P1136*SIN(RADIANS(E1136))</f>
        <v/>
      </c>
      <c r="S1136" s="8">
        <f>(O1136+P1136*COS(RADIANS(E1136)))/L1136</f>
        <v/>
      </c>
      <c r="T1136" s="8">
        <f>R1136/L1136</f>
        <v/>
      </c>
      <c r="U1136" s="8">
        <f>(Q1136-P1136*G1136*SIN(RADIANS(E1136)))/M1136</f>
        <v/>
      </c>
      <c r="V1136" s="8">
        <f>SQRT((S1136+U1136)^2+3*T1136^2)</f>
        <v/>
      </c>
      <c r="W1136" s="8">
        <f>V1136/AA1136</f>
        <v/>
      </c>
      <c r="X1136" s="27">
        <f>((3*10+H1136/COS(RADIANS(E1136)))*(3+3)+3*G1136*H1136)*2</f>
        <v/>
      </c>
      <c r="Y1136" s="28">
        <f>Z1136/X1136</f>
        <v/>
      </c>
      <c r="Z1136" s="29" t="n">
        <v>670.126886129836</v>
      </c>
      <c r="AA1136" s="20" t="n">
        <v>71.1546298482418</v>
      </c>
      <c r="AB1136" t="n">
        <v>0.08979028003251278</v>
      </c>
      <c r="AC1136" t="n">
        <v>68.59519505675235</v>
      </c>
      <c r="AD1136" t="n">
        <v>17.43408385762389</v>
      </c>
    </row>
    <row r="1137">
      <c r="A1137" t="n">
        <v>1136</v>
      </c>
      <c r="B1137" t="n">
        <v>40.9</v>
      </c>
      <c r="C1137" s="21">
        <f>B1137-20</f>
        <v/>
      </c>
      <c r="D1137" t="n">
        <v>106</v>
      </c>
      <c r="E1137" s="22">
        <f>D1137-90</f>
        <v/>
      </c>
      <c r="F1137" s="23" t="n">
        <v>0.008345999999999999</v>
      </c>
      <c r="G1137" s="22" t="n">
        <v>30.2</v>
      </c>
      <c r="H1137" s="22" t="n">
        <v>1.2</v>
      </c>
      <c r="I1137" s="24" t="n">
        <v>0.0568723455071449</v>
      </c>
      <c r="J1137" s="6" t="n">
        <v>71000</v>
      </c>
      <c r="K1137" s="25">
        <f>23*10^-6</f>
        <v/>
      </c>
      <c r="L1137" s="8">
        <f>H1137</f>
        <v/>
      </c>
      <c r="M1137" s="26">
        <f>H1137^2/6</f>
        <v/>
      </c>
      <c r="N1137" s="26">
        <f>H1137^3/12</f>
        <v/>
      </c>
      <c r="O1137" s="27">
        <f>-J1137*L1137*K1137*C1137</f>
        <v/>
      </c>
      <c r="P1137" s="28">
        <f>-(12*F1137*J1137*L1137*N1137+12*O1137*N1137*G1137*COS(RADIANS(E1137)))/(12*N1137*G1137*COS(RADIANS(E1137))^2+L1137*G1137^3*SIN(RADIANS(E1137))^2)</f>
        <v/>
      </c>
      <c r="Q1137" s="28">
        <f>-(6*F1137*J1137*L1137*N1137*SIN(RADIANS(E1137))+6*O1137*N1137*G1137*SIN(RADIANS(E1137))*COS(RADIANS(E1137)))/(12*N1137*COS(RADIANS(E1137))^2+L1137*G1137^2*SIN(RADIANS(E1137))^2)</f>
        <v/>
      </c>
      <c r="R1137" s="28">
        <f>-P1137*SIN(RADIANS(E1137))</f>
        <v/>
      </c>
      <c r="S1137" s="8">
        <f>(O1137+P1137*COS(RADIANS(E1137)))/L1137</f>
        <v/>
      </c>
      <c r="T1137" s="8">
        <f>R1137/L1137</f>
        <v/>
      </c>
      <c r="U1137" s="8">
        <f>(Q1137-P1137*G1137*SIN(RADIANS(E1137)))/M1137</f>
        <v/>
      </c>
      <c r="V1137" s="8">
        <f>SQRT((S1137+U1137)^2+3*T1137^2)</f>
        <v/>
      </c>
      <c r="W1137" s="8">
        <f>V1137/AA1137</f>
        <v/>
      </c>
      <c r="X1137" s="27">
        <f>((3*10+H1137/COS(RADIANS(E1137)))*(3+3)+3*G1137*H1137)*2</f>
        <v/>
      </c>
      <c r="Y1137" s="28">
        <f>Z1137/X1137</f>
        <v/>
      </c>
      <c r="Z1137" s="29" t="n">
        <v>596.821127722726</v>
      </c>
      <c r="AA1137" s="20" t="n">
        <v>30.6034004123902</v>
      </c>
      <c r="AB1137" t="n">
        <v>0.08018867356372911</v>
      </c>
      <c r="AC1137" t="n">
        <v>32.46059502752907</v>
      </c>
      <c r="AD1137" t="n">
        <v>40.99765509698376</v>
      </c>
    </row>
    <row r="1138">
      <c r="A1138" t="n">
        <v>1137</v>
      </c>
      <c r="B1138" t="n">
        <v>64.5</v>
      </c>
      <c r="C1138" s="21">
        <f>B1138-20</f>
        <v/>
      </c>
      <c r="D1138" t="n">
        <v>112.2</v>
      </c>
      <c r="E1138" s="22">
        <f>D1138-90</f>
        <v/>
      </c>
      <c r="F1138" s="23" t="n">
        <v>0.016853</v>
      </c>
      <c r="G1138" s="22" t="n">
        <v>29.4</v>
      </c>
      <c r="H1138" s="22" t="n">
        <v>1.3</v>
      </c>
      <c r="I1138" s="24" t="n">
        <v>0.09225849807262421</v>
      </c>
      <c r="J1138" s="6" t="n">
        <v>71000</v>
      </c>
      <c r="K1138" s="25">
        <f>23*10^-6</f>
        <v/>
      </c>
      <c r="L1138" s="8">
        <f>H1138</f>
        <v/>
      </c>
      <c r="M1138" s="26">
        <f>H1138^2/6</f>
        <v/>
      </c>
      <c r="N1138" s="26">
        <f>H1138^3/12</f>
        <v/>
      </c>
      <c r="O1138" s="27">
        <f>-J1138*L1138*K1138*C1138</f>
        <v/>
      </c>
      <c r="P1138" s="28">
        <f>-(12*F1138*J1138*L1138*N1138+12*O1138*N1138*G1138*COS(RADIANS(E1138)))/(12*N1138*G1138*COS(RADIANS(E1138))^2+L1138*G1138^3*SIN(RADIANS(E1138))^2)</f>
        <v/>
      </c>
      <c r="Q1138" s="28">
        <f>-(6*F1138*J1138*L1138*N1138*SIN(RADIANS(E1138))+6*O1138*N1138*G1138*SIN(RADIANS(E1138))*COS(RADIANS(E1138)))/(12*N1138*COS(RADIANS(E1138))^2+L1138*G1138^2*SIN(RADIANS(E1138))^2)</f>
        <v/>
      </c>
      <c r="R1138" s="28">
        <f>-P1138*SIN(RADIANS(E1138))</f>
        <v/>
      </c>
      <c r="S1138" s="8">
        <f>(O1138+P1138*COS(RADIANS(E1138)))/L1138</f>
        <v/>
      </c>
      <c r="T1138" s="8">
        <f>R1138/L1138</f>
        <v/>
      </c>
      <c r="U1138" s="8">
        <f>(Q1138-P1138*G1138*SIN(RADIANS(E1138)))/M1138</f>
        <v/>
      </c>
      <c r="V1138" s="8">
        <f>SQRT((S1138+U1138)^2+3*T1138^2)</f>
        <v/>
      </c>
      <c r="W1138" s="8">
        <f>V1138/AA1138</f>
        <v/>
      </c>
      <c r="X1138" s="27">
        <f>((3*10+H1138/COS(RADIANS(E1138)))*(3+3)+3*G1138*H1138)*2</f>
        <v/>
      </c>
      <c r="Y1138" s="28">
        <f>Z1138/X1138</f>
        <v/>
      </c>
      <c r="Z1138" s="29" t="n">
        <v>611.524185713582</v>
      </c>
      <c r="AA1138" s="20" t="n">
        <v>65.4982914169876</v>
      </c>
      <c r="AB1138" t="n">
        <v>0.1194525069877453</v>
      </c>
      <c r="AC1138" t="n">
        <v>67.08207625468009</v>
      </c>
      <c r="AD1138" t="n">
        <v>29.475885130619</v>
      </c>
    </row>
    <row r="1139">
      <c r="A1139" t="n">
        <v>1138</v>
      </c>
      <c r="B1139" t="n">
        <v>80.7</v>
      </c>
      <c r="C1139" s="21">
        <f>B1139-20</f>
        <v/>
      </c>
      <c r="D1139" t="n">
        <v>104.5</v>
      </c>
      <c r="E1139" s="22">
        <f>D1139-90</f>
        <v/>
      </c>
      <c r="F1139" s="23" t="n">
        <v>0.021771</v>
      </c>
      <c r="G1139" s="22" t="n">
        <v>26.3</v>
      </c>
      <c r="H1139" s="22" t="n">
        <v>1.7</v>
      </c>
      <c r="I1139" s="24" t="n">
        <v>0.15783305466175</v>
      </c>
      <c r="J1139" s="6" t="n">
        <v>71000</v>
      </c>
      <c r="K1139" s="25">
        <f>23*10^-6</f>
        <v/>
      </c>
      <c r="L1139" s="8">
        <f>H1139</f>
        <v/>
      </c>
      <c r="M1139" s="26">
        <f>H1139^2/6</f>
        <v/>
      </c>
      <c r="N1139" s="26">
        <f>H1139^3/12</f>
        <v/>
      </c>
      <c r="O1139" s="27">
        <f>-J1139*L1139*K1139*C1139</f>
        <v/>
      </c>
      <c r="P1139" s="28">
        <f>-(12*F1139*J1139*L1139*N1139+12*O1139*N1139*G1139*COS(RADIANS(E1139)))/(12*N1139*G1139*COS(RADIANS(E1139))^2+L1139*G1139^3*SIN(RADIANS(E1139))^2)</f>
        <v/>
      </c>
      <c r="Q1139" s="28">
        <f>-(6*F1139*J1139*L1139*N1139*SIN(RADIANS(E1139))+6*O1139*N1139*G1139*SIN(RADIANS(E1139))*COS(RADIANS(E1139)))/(12*N1139*COS(RADIANS(E1139))^2+L1139*G1139^2*SIN(RADIANS(E1139))^2)</f>
        <v/>
      </c>
      <c r="R1139" s="28">
        <f>-P1139*SIN(RADIANS(E1139))</f>
        <v/>
      </c>
      <c r="S1139" s="8">
        <f>(O1139+P1139*COS(RADIANS(E1139)))/L1139</f>
        <v/>
      </c>
      <c r="T1139" s="8">
        <f>R1139/L1139</f>
        <v/>
      </c>
      <c r="U1139" s="8">
        <f>(Q1139-P1139*G1139*SIN(RADIANS(E1139)))/M1139</f>
        <v/>
      </c>
      <c r="V1139" s="8">
        <f>SQRT((S1139+U1139)^2+3*T1139^2)</f>
        <v/>
      </c>
      <c r="W1139" s="8">
        <f>V1139/AA1139</f>
        <v/>
      </c>
      <c r="X1139" s="27">
        <f>((3*10+H1139/COS(RADIANS(E1139)))*(3+3)+3*G1139*H1139)*2</f>
        <v/>
      </c>
      <c r="Y1139" s="28">
        <f>Z1139/X1139</f>
        <v/>
      </c>
      <c r="Z1139" s="29" t="n">
        <v>653.5544032472191</v>
      </c>
      <c r="AA1139" s="20" t="n">
        <v>102.085821276879</v>
      </c>
      <c r="AB1139" t="n">
        <v>0.2169269519259082</v>
      </c>
      <c r="AC1139" t="n">
        <v>101.9714128549669</v>
      </c>
      <c r="AD1139" t="n">
        <v>37.44076130998138</v>
      </c>
    </row>
    <row r="1140">
      <c r="A1140" t="n">
        <v>1139</v>
      </c>
      <c r="B1140" t="n">
        <v>85.09999999999999</v>
      </c>
      <c r="C1140" s="21">
        <f>B1140-20</f>
        <v/>
      </c>
      <c r="D1140" t="n">
        <v>107.4</v>
      </c>
      <c r="E1140" s="22">
        <f>D1140-90</f>
        <v/>
      </c>
      <c r="F1140" s="23" t="n">
        <v>0.027256</v>
      </c>
      <c r="G1140" s="22" t="n">
        <v>32.2</v>
      </c>
      <c r="H1140" s="22" t="n">
        <v>1.4</v>
      </c>
      <c r="I1140" s="24" t="n">
        <v>0.17324686050415</v>
      </c>
      <c r="J1140" s="6" t="n">
        <v>71000</v>
      </c>
      <c r="K1140" s="25">
        <f>23*10^-6</f>
        <v/>
      </c>
      <c r="L1140" s="8">
        <f>H1140</f>
        <v/>
      </c>
      <c r="M1140" s="26">
        <f>H1140^2/6</f>
        <v/>
      </c>
      <c r="N1140" s="26">
        <f>H1140^3/12</f>
        <v/>
      </c>
      <c r="O1140" s="27">
        <f>-J1140*L1140*K1140*C1140</f>
        <v/>
      </c>
      <c r="P1140" s="28">
        <f>-(12*F1140*J1140*L1140*N1140+12*O1140*N1140*G1140*COS(RADIANS(E1140)))/(12*N1140*G1140*COS(RADIANS(E1140))^2+L1140*G1140^3*SIN(RADIANS(E1140))^2)</f>
        <v/>
      </c>
      <c r="Q1140" s="28">
        <f>-(6*F1140*J1140*L1140*N1140*SIN(RADIANS(E1140))+6*O1140*N1140*G1140*SIN(RADIANS(E1140))*COS(RADIANS(E1140)))/(12*N1140*COS(RADIANS(E1140))^2+L1140*G1140^2*SIN(RADIANS(E1140))^2)</f>
        <v/>
      </c>
      <c r="R1140" s="28">
        <f>-P1140*SIN(RADIANS(E1140))</f>
        <v/>
      </c>
      <c r="S1140" s="8">
        <f>(O1140+P1140*COS(RADIANS(E1140)))/L1140</f>
        <v/>
      </c>
      <c r="T1140" s="8">
        <f>R1140/L1140</f>
        <v/>
      </c>
      <c r="U1140" s="8">
        <f>(Q1140-P1140*G1140*SIN(RADIANS(E1140)))/M1140</f>
        <v/>
      </c>
      <c r="V1140" s="8">
        <f>SQRT((S1140+U1140)^2+3*T1140^2)</f>
        <v/>
      </c>
      <c r="W1140" s="8">
        <f>V1140/AA1140</f>
        <v/>
      </c>
      <c r="X1140" s="27">
        <f>((3*10+H1140/COS(RADIANS(E1140)))*(3+3)+3*G1140*H1140)*2</f>
        <v/>
      </c>
      <c r="Y1140" s="28">
        <f>Z1140/X1140</f>
        <v/>
      </c>
      <c r="Z1140" s="29" t="n">
        <v>652.6701539012601</v>
      </c>
      <c r="AA1140" s="20" t="n">
        <v>98.5626051762582</v>
      </c>
      <c r="AB1140" t="n">
        <v>0.2433518485825098</v>
      </c>
      <c r="AC1140" t="n">
        <v>101.3170641728914</v>
      </c>
      <c r="AD1140" t="n">
        <v>40.46537286410481</v>
      </c>
    </row>
    <row r="1141">
      <c r="A1141" t="n">
        <v>1140</v>
      </c>
      <c r="B1141" t="n">
        <v>89.5</v>
      </c>
      <c r="C1141" s="21">
        <f>B1141-20</f>
        <v/>
      </c>
      <c r="D1141" t="n">
        <v>108.3</v>
      </c>
      <c r="E1141" s="22">
        <f>D1141-90</f>
        <v/>
      </c>
      <c r="F1141" s="23" t="n">
        <v>0.021002</v>
      </c>
      <c r="G1141" s="22" t="n">
        <v>21.6</v>
      </c>
      <c r="H1141" s="22" t="n">
        <v>1.7</v>
      </c>
      <c r="I1141" s="24" t="n">
        <v>0.132861644029617</v>
      </c>
      <c r="J1141" s="6" t="n">
        <v>71000</v>
      </c>
      <c r="K1141" s="25">
        <f>23*10^-6</f>
        <v/>
      </c>
      <c r="L1141" s="8">
        <f>H1141</f>
        <v/>
      </c>
      <c r="M1141" s="26">
        <f>H1141^2/6</f>
        <v/>
      </c>
      <c r="N1141" s="26">
        <f>H1141^3/12</f>
        <v/>
      </c>
      <c r="O1141" s="27">
        <f>-J1141*L1141*K1141*C1141</f>
        <v/>
      </c>
      <c r="P1141" s="28">
        <f>-(12*F1141*J1141*L1141*N1141+12*O1141*N1141*G1141*COS(RADIANS(E1141)))/(12*N1141*G1141*COS(RADIANS(E1141))^2+L1141*G1141^3*SIN(RADIANS(E1141))^2)</f>
        <v/>
      </c>
      <c r="Q1141" s="28">
        <f>-(6*F1141*J1141*L1141*N1141*SIN(RADIANS(E1141))+6*O1141*N1141*G1141*SIN(RADIANS(E1141))*COS(RADIANS(E1141)))/(12*N1141*COS(RADIANS(E1141))^2+L1141*G1141^2*SIN(RADIANS(E1141))^2)</f>
        <v/>
      </c>
      <c r="R1141" s="28">
        <f>-P1141*SIN(RADIANS(E1141))</f>
        <v/>
      </c>
      <c r="S1141" s="8">
        <f>(O1141+P1141*COS(RADIANS(E1141)))/L1141</f>
        <v/>
      </c>
      <c r="T1141" s="8">
        <f>R1141/L1141</f>
        <v/>
      </c>
      <c r="U1141" s="8">
        <f>(Q1141-P1141*G1141*SIN(RADIANS(E1141)))/M1141</f>
        <v/>
      </c>
      <c r="V1141" s="8">
        <f>SQRT((S1141+U1141)^2+3*T1141^2)</f>
        <v/>
      </c>
      <c r="W1141" s="8">
        <f>V1141/AA1141</f>
        <v/>
      </c>
      <c r="X1141" s="27">
        <f>((3*10+H1141/COS(RADIANS(E1141)))*(3+3)+3*G1141*H1141)*2</f>
        <v/>
      </c>
      <c r="Y1141" s="28">
        <f>Z1141/X1141</f>
        <v/>
      </c>
      <c r="Z1141" s="29" t="n">
        <v>606.5187531847999</v>
      </c>
      <c r="AA1141" s="20" t="n">
        <v>117.296374523912</v>
      </c>
      <c r="AB1141" t="n">
        <v>0.1637974340527693</v>
      </c>
      <c r="AC1141" t="n">
        <v>114.2173826786648</v>
      </c>
      <c r="AD1141" t="n">
        <v>23.28421437887387</v>
      </c>
    </row>
    <row r="1142">
      <c r="A1142" t="n">
        <v>1141</v>
      </c>
      <c r="B1142" t="n">
        <v>82</v>
      </c>
      <c r="C1142" s="21">
        <f>B1142-20</f>
        <v/>
      </c>
      <c r="D1142" t="n">
        <v>120.8</v>
      </c>
      <c r="E1142" s="22">
        <f>D1142-90</f>
        <v/>
      </c>
      <c r="F1142" s="23" t="n">
        <v>0.017779</v>
      </c>
      <c r="G1142" s="22" t="n">
        <v>22.3</v>
      </c>
      <c r="H1142" s="22" t="n">
        <v>1.8</v>
      </c>
      <c r="I1142" s="24" t="n">
        <v>0.0856631621718406</v>
      </c>
      <c r="J1142" s="6" t="n">
        <v>71000</v>
      </c>
      <c r="K1142" s="25">
        <f>23*10^-6</f>
        <v/>
      </c>
      <c r="L1142" s="8">
        <f>H1142</f>
        <v/>
      </c>
      <c r="M1142" s="26">
        <f>H1142^2/6</f>
        <v/>
      </c>
      <c r="N1142" s="26">
        <f>H1142^3/12</f>
        <v/>
      </c>
      <c r="O1142" s="27">
        <f>-J1142*L1142*K1142*C1142</f>
        <v/>
      </c>
      <c r="P1142" s="28">
        <f>-(12*F1142*J1142*L1142*N1142+12*O1142*N1142*G1142*COS(RADIANS(E1142)))/(12*N1142*G1142*COS(RADIANS(E1142))^2+L1142*G1142^3*SIN(RADIANS(E1142))^2)</f>
        <v/>
      </c>
      <c r="Q1142" s="28">
        <f>-(6*F1142*J1142*L1142*N1142*SIN(RADIANS(E1142))+6*O1142*N1142*G1142*SIN(RADIANS(E1142))*COS(RADIANS(E1142)))/(12*N1142*COS(RADIANS(E1142))^2+L1142*G1142^2*SIN(RADIANS(E1142))^2)</f>
        <v/>
      </c>
      <c r="R1142" s="28">
        <f>-P1142*SIN(RADIANS(E1142))</f>
        <v/>
      </c>
      <c r="S1142" s="8">
        <f>(O1142+P1142*COS(RADIANS(E1142)))/L1142</f>
        <v/>
      </c>
      <c r="T1142" s="8">
        <f>R1142/L1142</f>
        <v/>
      </c>
      <c r="U1142" s="8">
        <f>(Q1142-P1142*G1142*SIN(RADIANS(E1142)))/M1142</f>
        <v/>
      </c>
      <c r="V1142" s="8">
        <f>SQRT((S1142+U1142)^2+3*T1142^2)</f>
        <v/>
      </c>
      <c r="W1142" s="8">
        <f>V1142/AA1142</f>
        <v/>
      </c>
      <c r="X1142" s="27">
        <f>((3*10+H1142/COS(RADIANS(E1142)))*(3+3)+3*G1142*H1142)*2</f>
        <v/>
      </c>
      <c r="Y1142" s="28">
        <f>Z1142/X1142</f>
        <v/>
      </c>
      <c r="Z1142" s="29" t="n">
        <v>633.36109035203</v>
      </c>
      <c r="AA1142" s="20" t="n">
        <v>100.816106130993</v>
      </c>
      <c r="AB1142" t="n">
        <v>0.09008308722404962</v>
      </c>
      <c r="AC1142" t="n">
        <v>94.34770728238706</v>
      </c>
      <c r="AD1142" t="n">
        <v>5.159656660050251</v>
      </c>
    </row>
    <row r="1143">
      <c r="A1143" t="n">
        <v>1142</v>
      </c>
      <c r="B1143" t="n">
        <v>55.2</v>
      </c>
      <c r="C1143" s="21">
        <f>B1143-20</f>
        <v/>
      </c>
      <c r="D1143" t="n">
        <v>121.9</v>
      </c>
      <c r="E1143" s="22">
        <f>D1143-90</f>
        <v/>
      </c>
      <c r="F1143" s="23" t="n">
        <v>0.013548</v>
      </c>
      <c r="G1143" s="22" t="n">
        <v>32.7</v>
      </c>
      <c r="H1143" s="22" t="n">
        <v>1.3</v>
      </c>
      <c r="I1143" s="24" t="n">
        <v>0.0608156472444534</v>
      </c>
      <c r="J1143" s="6" t="n">
        <v>71000</v>
      </c>
      <c r="K1143" s="25">
        <f>23*10^-6</f>
        <v/>
      </c>
      <c r="L1143" s="8">
        <f>H1143</f>
        <v/>
      </c>
      <c r="M1143" s="26">
        <f>H1143^2/6</f>
        <v/>
      </c>
      <c r="N1143" s="26">
        <f>H1143^3/12</f>
        <v/>
      </c>
      <c r="O1143" s="27">
        <f>-J1143*L1143*K1143*C1143</f>
        <v/>
      </c>
      <c r="P1143" s="28">
        <f>-(12*F1143*J1143*L1143*N1143+12*O1143*N1143*G1143*COS(RADIANS(E1143)))/(12*N1143*G1143*COS(RADIANS(E1143))^2+L1143*G1143^3*SIN(RADIANS(E1143))^2)</f>
        <v/>
      </c>
      <c r="Q1143" s="28">
        <f>-(6*F1143*J1143*L1143*N1143*SIN(RADIANS(E1143))+6*O1143*N1143*G1143*SIN(RADIANS(E1143))*COS(RADIANS(E1143)))/(12*N1143*COS(RADIANS(E1143))^2+L1143*G1143^2*SIN(RADIANS(E1143))^2)</f>
        <v/>
      </c>
      <c r="R1143" s="28">
        <f>-P1143*SIN(RADIANS(E1143))</f>
        <v/>
      </c>
      <c r="S1143" s="8">
        <f>(O1143+P1143*COS(RADIANS(E1143)))/L1143</f>
        <v/>
      </c>
      <c r="T1143" s="8">
        <f>R1143/L1143</f>
        <v/>
      </c>
      <c r="U1143" s="8">
        <f>(Q1143-P1143*G1143*SIN(RADIANS(E1143)))/M1143</f>
        <v/>
      </c>
      <c r="V1143" s="8">
        <f>SQRT((S1143+U1143)^2+3*T1143^2)</f>
        <v/>
      </c>
      <c r="W1143" s="8">
        <f>V1143/AA1143</f>
        <v/>
      </c>
      <c r="X1143" s="27">
        <f>((3*10+H1143/COS(RADIANS(E1143)))*(3+3)+3*G1143*H1143)*2</f>
        <v/>
      </c>
      <c r="Y1143" s="28">
        <f>Z1143/X1143</f>
        <v/>
      </c>
      <c r="Z1143" s="29" t="n">
        <v>641.138294428111</v>
      </c>
      <c r="AA1143" s="20" t="n">
        <v>49.5607850747503</v>
      </c>
      <c r="AB1143" t="n">
        <v>0.07153757734890095</v>
      </c>
      <c r="AC1143" t="n">
        <v>50.78539236933661</v>
      </c>
      <c r="AD1143" t="n">
        <v>17.63021621943756</v>
      </c>
    </row>
    <row r="1144">
      <c r="A1144" t="n">
        <v>1143</v>
      </c>
      <c r="B1144" t="n">
        <v>52.1</v>
      </c>
      <c r="C1144" s="21">
        <f>B1144-20</f>
        <v/>
      </c>
      <c r="D1144" t="n">
        <v>100.5</v>
      </c>
      <c r="E1144" s="22">
        <f>D1144-90</f>
        <v/>
      </c>
      <c r="F1144" s="23" t="n">
        <v>0.010615</v>
      </c>
      <c r="G1144" s="22" t="n">
        <v>23.4</v>
      </c>
      <c r="H1144" s="22" t="n">
        <v>1.4</v>
      </c>
      <c r="I1144" s="24" t="n">
        <v>0.09745641797780991</v>
      </c>
      <c r="J1144" s="6" t="n">
        <v>71000</v>
      </c>
      <c r="K1144" s="25">
        <f>23*10^-6</f>
        <v/>
      </c>
      <c r="L1144" s="8">
        <f>H1144</f>
        <v/>
      </c>
      <c r="M1144" s="26">
        <f>H1144^2/6</f>
        <v/>
      </c>
      <c r="N1144" s="26">
        <f>H1144^3/12</f>
        <v/>
      </c>
      <c r="O1144" s="27">
        <f>-J1144*L1144*K1144*C1144</f>
        <v/>
      </c>
      <c r="P1144" s="28">
        <f>-(12*F1144*J1144*L1144*N1144+12*O1144*N1144*G1144*COS(RADIANS(E1144)))/(12*N1144*G1144*COS(RADIANS(E1144))^2+L1144*G1144^3*SIN(RADIANS(E1144))^2)</f>
        <v/>
      </c>
      <c r="Q1144" s="28">
        <f>-(6*F1144*J1144*L1144*N1144*SIN(RADIANS(E1144))+6*O1144*N1144*G1144*SIN(RADIANS(E1144))*COS(RADIANS(E1144)))/(12*N1144*COS(RADIANS(E1144))^2+L1144*G1144^2*SIN(RADIANS(E1144))^2)</f>
        <v/>
      </c>
      <c r="R1144" s="28">
        <f>-P1144*SIN(RADIANS(E1144))</f>
        <v/>
      </c>
      <c r="S1144" s="8">
        <f>(O1144+P1144*COS(RADIANS(E1144)))/L1144</f>
        <v/>
      </c>
      <c r="T1144" s="8">
        <f>R1144/L1144</f>
        <v/>
      </c>
      <c r="U1144" s="8">
        <f>(Q1144-P1144*G1144*SIN(RADIANS(E1144)))/M1144</f>
        <v/>
      </c>
      <c r="V1144" s="8">
        <f>SQRT((S1144+U1144)^2+3*T1144^2)</f>
        <v/>
      </c>
      <c r="W1144" s="8">
        <f>V1144/AA1144</f>
        <v/>
      </c>
      <c r="X1144" s="27">
        <f>((3*10+H1144/COS(RADIANS(E1144)))*(3+3)+3*G1144*H1144)*2</f>
        <v/>
      </c>
      <c r="Y1144" s="28">
        <f>Z1144/X1144</f>
        <v/>
      </c>
      <c r="Z1144" s="29" t="n">
        <v>577.48846423074</v>
      </c>
      <c r="AA1144" s="20" t="n">
        <v>57.7802783234441</v>
      </c>
      <c r="AB1144" t="n">
        <v>0.1375390211587016</v>
      </c>
      <c r="AC1144" t="n">
        <v>55.77342084831061</v>
      </c>
      <c r="AD1144" t="n">
        <v>41.1287465849794</v>
      </c>
    </row>
    <row r="1145">
      <c r="A1145" t="n">
        <v>1144</v>
      </c>
      <c r="B1145" t="n">
        <v>76.7</v>
      </c>
      <c r="C1145" s="21">
        <f>B1145-20</f>
        <v/>
      </c>
      <c r="D1145" t="n">
        <v>125</v>
      </c>
      <c r="E1145" s="22">
        <f>D1145-90</f>
        <v/>
      </c>
      <c r="F1145" s="23" t="n">
        <v>0.019233</v>
      </c>
      <c r="G1145" s="22" t="n">
        <v>29</v>
      </c>
      <c r="H1145" s="22" t="n">
        <v>1.9</v>
      </c>
      <c r="I1145" s="24" t="n">
        <v>0.0853910520672798</v>
      </c>
      <c r="J1145" s="6" t="n">
        <v>71000</v>
      </c>
      <c r="K1145" s="25">
        <f>23*10^-6</f>
        <v/>
      </c>
      <c r="L1145" s="8">
        <f>H1145</f>
        <v/>
      </c>
      <c r="M1145" s="26">
        <f>H1145^2/6</f>
        <v/>
      </c>
      <c r="N1145" s="26">
        <f>H1145^3/12</f>
        <v/>
      </c>
      <c r="O1145" s="27">
        <f>-J1145*L1145*K1145*C1145</f>
        <v/>
      </c>
      <c r="P1145" s="28">
        <f>-(12*F1145*J1145*L1145*N1145+12*O1145*N1145*G1145*COS(RADIANS(E1145)))/(12*N1145*G1145*COS(RADIANS(E1145))^2+L1145*G1145^3*SIN(RADIANS(E1145))^2)</f>
        <v/>
      </c>
      <c r="Q1145" s="28">
        <f>-(6*F1145*J1145*L1145*N1145*SIN(RADIANS(E1145))+6*O1145*N1145*G1145*SIN(RADIANS(E1145))*COS(RADIANS(E1145)))/(12*N1145*COS(RADIANS(E1145))^2+L1145*G1145^2*SIN(RADIANS(E1145))^2)</f>
        <v/>
      </c>
      <c r="R1145" s="28">
        <f>-P1145*SIN(RADIANS(E1145))</f>
        <v/>
      </c>
      <c r="S1145" s="8">
        <f>(O1145+P1145*COS(RADIANS(E1145)))/L1145</f>
        <v/>
      </c>
      <c r="T1145" s="8">
        <f>R1145/L1145</f>
        <v/>
      </c>
      <c r="U1145" s="8">
        <f>(Q1145-P1145*G1145*SIN(RADIANS(E1145)))/M1145</f>
        <v/>
      </c>
      <c r="V1145" s="8">
        <f>SQRT((S1145+U1145)^2+3*T1145^2)</f>
        <v/>
      </c>
      <c r="W1145" s="8">
        <f>V1145/AA1145</f>
        <v/>
      </c>
      <c r="X1145" s="27">
        <f>((3*10+H1145/COS(RADIANS(E1145)))*(3+3)+3*G1145*H1145)*2</f>
        <v/>
      </c>
      <c r="Y1145" s="28">
        <f>Z1145/X1145</f>
        <v/>
      </c>
      <c r="Z1145" s="29" t="n">
        <v>727.165880139677</v>
      </c>
      <c r="AA1145" s="20" t="n">
        <v>89.5914660913168</v>
      </c>
      <c r="AB1145" t="n">
        <v>0.09247570691742217</v>
      </c>
      <c r="AC1145" t="n">
        <v>83.93985160112486</v>
      </c>
      <c r="AD1145" t="n">
        <v>8.296718073645883</v>
      </c>
    </row>
    <row r="1146">
      <c r="A1146" t="n">
        <v>1145</v>
      </c>
      <c r="B1146" t="n">
        <v>47.3</v>
      </c>
      <c r="C1146" s="21">
        <f>B1146-20</f>
        <v/>
      </c>
      <c r="D1146" t="n">
        <v>108.5</v>
      </c>
      <c r="E1146" s="22">
        <f>D1146-90</f>
        <v/>
      </c>
      <c r="F1146" s="23" t="n">
        <v>0.009246000000000001</v>
      </c>
      <c r="G1146" s="22" t="n">
        <v>25</v>
      </c>
      <c r="H1146" s="22" t="n">
        <v>1.1</v>
      </c>
      <c r="I1146" s="24" t="n">
        <v>0.0581897273659706</v>
      </c>
      <c r="J1146" s="6" t="n">
        <v>71000</v>
      </c>
      <c r="K1146" s="25">
        <f>23*10^-6</f>
        <v/>
      </c>
      <c r="L1146" s="8">
        <f>H1146</f>
        <v/>
      </c>
      <c r="M1146" s="26">
        <f>H1146^2/6</f>
        <v/>
      </c>
      <c r="N1146" s="26">
        <f>H1146^3/12</f>
        <v/>
      </c>
      <c r="O1146" s="27">
        <f>-J1146*L1146*K1146*C1146</f>
        <v/>
      </c>
      <c r="P1146" s="28">
        <f>-(12*F1146*J1146*L1146*N1146+12*O1146*N1146*G1146*COS(RADIANS(E1146)))/(12*N1146*G1146*COS(RADIANS(E1146))^2+L1146*G1146^3*SIN(RADIANS(E1146))^2)</f>
        <v/>
      </c>
      <c r="Q1146" s="28">
        <f>-(6*F1146*J1146*L1146*N1146*SIN(RADIANS(E1146))+6*O1146*N1146*G1146*SIN(RADIANS(E1146))*COS(RADIANS(E1146)))/(12*N1146*COS(RADIANS(E1146))^2+L1146*G1146^2*SIN(RADIANS(E1146))^2)</f>
        <v/>
      </c>
      <c r="R1146" s="28">
        <f>-P1146*SIN(RADIANS(E1146))</f>
        <v/>
      </c>
      <c r="S1146" s="8">
        <f>(O1146+P1146*COS(RADIANS(E1146)))/L1146</f>
        <v/>
      </c>
      <c r="T1146" s="8">
        <f>R1146/L1146</f>
        <v/>
      </c>
      <c r="U1146" s="8">
        <f>(Q1146-P1146*G1146*SIN(RADIANS(E1146)))/M1146</f>
        <v/>
      </c>
      <c r="V1146" s="8">
        <f>SQRT((S1146+U1146)^2+3*T1146^2)</f>
        <v/>
      </c>
      <c r="W1146" s="8">
        <f>V1146/AA1146</f>
        <v/>
      </c>
      <c r="X1146" s="27">
        <f>((3*10+H1146/COS(RADIANS(E1146)))*(3+3)+3*G1146*H1146)*2</f>
        <v/>
      </c>
      <c r="Y1146" s="28">
        <f>Z1146/X1146</f>
        <v/>
      </c>
      <c r="Z1146" s="29" t="n">
        <v>543.660743246796</v>
      </c>
      <c r="AA1146" s="20" t="n">
        <v>39.320687231155</v>
      </c>
      <c r="AB1146" t="n">
        <v>0.07574075551746172</v>
      </c>
      <c r="AC1146" t="n">
        <v>41.81916210499479</v>
      </c>
      <c r="AD1146" t="n">
        <v>30.16172947693682</v>
      </c>
    </row>
    <row r="1147">
      <c r="A1147" t="n">
        <v>1146</v>
      </c>
      <c r="B1147" t="n">
        <v>40.6</v>
      </c>
      <c r="C1147" s="21">
        <f>B1147-20</f>
        <v/>
      </c>
      <c r="D1147" t="n">
        <v>117.4</v>
      </c>
      <c r="E1147" s="22">
        <f>D1147-90</f>
        <v/>
      </c>
      <c r="F1147" s="23" t="n">
        <v>0.007706</v>
      </c>
      <c r="G1147" s="22" t="n">
        <v>30.2</v>
      </c>
      <c r="H1147" s="22" t="n">
        <v>1</v>
      </c>
      <c r="I1147" s="24" t="n">
        <v>0.0373658016324043</v>
      </c>
      <c r="J1147" s="6" t="n">
        <v>71000</v>
      </c>
      <c r="K1147" s="25">
        <f>23*10^-6</f>
        <v/>
      </c>
      <c r="L1147" s="8">
        <f>H1147</f>
        <v/>
      </c>
      <c r="M1147" s="26">
        <f>H1147^2/6</f>
        <v/>
      </c>
      <c r="N1147" s="26">
        <f>H1147^3/12</f>
        <v/>
      </c>
      <c r="O1147" s="27">
        <f>-J1147*L1147*K1147*C1147</f>
        <v/>
      </c>
      <c r="P1147" s="28">
        <f>-(12*F1147*J1147*L1147*N1147+12*O1147*N1147*G1147*COS(RADIANS(E1147)))/(12*N1147*G1147*COS(RADIANS(E1147))^2+L1147*G1147^3*SIN(RADIANS(E1147))^2)</f>
        <v/>
      </c>
      <c r="Q1147" s="28">
        <f>-(6*F1147*J1147*L1147*N1147*SIN(RADIANS(E1147))+6*O1147*N1147*G1147*SIN(RADIANS(E1147))*COS(RADIANS(E1147)))/(12*N1147*COS(RADIANS(E1147))^2+L1147*G1147^2*SIN(RADIANS(E1147))^2)</f>
        <v/>
      </c>
      <c r="R1147" s="28">
        <f>-P1147*SIN(RADIANS(E1147))</f>
        <v/>
      </c>
      <c r="S1147" s="8">
        <f>(O1147+P1147*COS(RADIANS(E1147)))/L1147</f>
        <v/>
      </c>
      <c r="T1147" s="8">
        <f>R1147/L1147</f>
        <v/>
      </c>
      <c r="U1147" s="8">
        <f>(Q1147-P1147*G1147*SIN(RADIANS(E1147)))/M1147</f>
        <v/>
      </c>
      <c r="V1147" s="8">
        <f>SQRT((S1147+U1147)^2+3*T1147^2)</f>
        <v/>
      </c>
      <c r="W1147" s="8">
        <f>V1147/AA1147</f>
        <v/>
      </c>
      <c r="X1147" s="27">
        <f>((3*10+H1147/COS(RADIANS(E1147)))*(3+3)+3*G1147*H1147)*2</f>
        <v/>
      </c>
      <c r="Y1147" s="28">
        <f>Z1147/X1147</f>
        <v/>
      </c>
      <c r="Z1147" s="29" t="n">
        <v>561.182600041819</v>
      </c>
      <c r="AA1147" s="20" t="n">
        <v>27.885910024623</v>
      </c>
      <c r="AB1147" t="n">
        <v>0.04575504531679167</v>
      </c>
      <c r="AC1147" t="n">
        <v>29.70172353096312</v>
      </c>
      <c r="AD1147" t="n">
        <v>22.451662530671</v>
      </c>
    </row>
    <row r="1148">
      <c r="A1148" t="n">
        <v>1147</v>
      </c>
      <c r="B1148" t="n">
        <v>64.2</v>
      </c>
      <c r="C1148" s="21">
        <f>B1148-20</f>
        <v/>
      </c>
      <c r="D1148" t="n">
        <v>118.6</v>
      </c>
      <c r="E1148" s="22">
        <f>D1148-90</f>
        <v/>
      </c>
      <c r="F1148" s="23" t="n">
        <v>0.013198</v>
      </c>
      <c r="G1148" s="22" t="n">
        <v>23</v>
      </c>
      <c r="H1148" s="22" t="n">
        <v>1.2</v>
      </c>
      <c r="I1148" s="24" t="n">
        <v>0.06536362320184699</v>
      </c>
      <c r="J1148" s="6" t="n">
        <v>71000</v>
      </c>
      <c r="K1148" s="25">
        <f>23*10^-6</f>
        <v/>
      </c>
      <c r="L1148" s="8">
        <f>H1148</f>
        <v/>
      </c>
      <c r="M1148" s="26">
        <f>H1148^2/6</f>
        <v/>
      </c>
      <c r="N1148" s="26">
        <f>H1148^3/12</f>
        <v/>
      </c>
      <c r="O1148" s="27">
        <f>-J1148*L1148*K1148*C1148</f>
        <v/>
      </c>
      <c r="P1148" s="28">
        <f>-(12*F1148*J1148*L1148*N1148+12*O1148*N1148*G1148*COS(RADIANS(E1148)))/(12*N1148*G1148*COS(RADIANS(E1148))^2+L1148*G1148^3*SIN(RADIANS(E1148))^2)</f>
        <v/>
      </c>
      <c r="Q1148" s="28">
        <f>-(6*F1148*J1148*L1148*N1148*SIN(RADIANS(E1148))+6*O1148*N1148*G1148*SIN(RADIANS(E1148))*COS(RADIANS(E1148)))/(12*N1148*COS(RADIANS(E1148))^2+L1148*G1148^2*SIN(RADIANS(E1148))^2)</f>
        <v/>
      </c>
      <c r="R1148" s="28">
        <f>-P1148*SIN(RADIANS(E1148))</f>
        <v/>
      </c>
      <c r="S1148" s="8">
        <f>(O1148+P1148*COS(RADIANS(E1148)))/L1148</f>
        <v/>
      </c>
      <c r="T1148" s="8">
        <f>R1148/L1148</f>
        <v/>
      </c>
      <c r="U1148" s="8">
        <f>(Q1148-P1148*G1148*SIN(RADIANS(E1148)))/M1148</f>
        <v/>
      </c>
      <c r="V1148" s="8">
        <f>SQRT((S1148+U1148)^2+3*T1148^2)</f>
        <v/>
      </c>
      <c r="W1148" s="8">
        <f>V1148/AA1148</f>
        <v/>
      </c>
      <c r="X1148" s="27">
        <f>((3*10+H1148/COS(RADIANS(E1148)))*(3+3)+3*G1148*H1148)*2</f>
        <v/>
      </c>
      <c r="Y1148" s="28">
        <f>Z1148/X1148</f>
        <v/>
      </c>
      <c r="Z1148" s="29" t="n">
        <v>548.770240544053</v>
      </c>
      <c r="AA1148" s="20" t="n">
        <v>63.8958998079671</v>
      </c>
      <c r="AB1148" t="n">
        <v>0.0723246501756227</v>
      </c>
      <c r="AC1148" t="n">
        <v>65.20423164073097</v>
      </c>
      <c r="AD1148" t="n">
        <v>10.64969570655473</v>
      </c>
    </row>
    <row r="1149">
      <c r="A1149" t="n">
        <v>1148</v>
      </c>
      <c r="B1149" t="n">
        <v>53.8</v>
      </c>
      <c r="C1149" s="21">
        <f>B1149-20</f>
        <v/>
      </c>
      <c r="D1149" t="n">
        <v>126.1</v>
      </c>
      <c r="E1149" s="22">
        <f>D1149-90</f>
        <v/>
      </c>
      <c r="F1149" s="23" t="n">
        <v>0.012212</v>
      </c>
      <c r="G1149" s="22" t="n">
        <v>31.8</v>
      </c>
      <c r="H1149" s="22" t="n">
        <v>1.2</v>
      </c>
      <c r="I1149" s="24" t="n">
        <v>0.0529176518321037</v>
      </c>
      <c r="J1149" s="6" t="n">
        <v>71000</v>
      </c>
      <c r="K1149" s="25">
        <f>23*10^-6</f>
        <v/>
      </c>
      <c r="L1149" s="8">
        <f>H1149</f>
        <v/>
      </c>
      <c r="M1149" s="26">
        <f>H1149^2/6</f>
        <v/>
      </c>
      <c r="N1149" s="26">
        <f>H1149^3/12</f>
        <v/>
      </c>
      <c r="O1149" s="27">
        <f>-J1149*L1149*K1149*C1149</f>
        <v/>
      </c>
      <c r="P1149" s="28">
        <f>-(12*F1149*J1149*L1149*N1149+12*O1149*N1149*G1149*COS(RADIANS(E1149)))/(12*N1149*G1149*COS(RADIANS(E1149))^2+L1149*G1149^3*SIN(RADIANS(E1149))^2)</f>
        <v/>
      </c>
      <c r="Q1149" s="28">
        <f>-(6*F1149*J1149*L1149*N1149*SIN(RADIANS(E1149))+6*O1149*N1149*G1149*SIN(RADIANS(E1149))*COS(RADIANS(E1149)))/(12*N1149*COS(RADIANS(E1149))^2+L1149*G1149^2*SIN(RADIANS(E1149))^2)</f>
        <v/>
      </c>
      <c r="R1149" s="28">
        <f>-P1149*SIN(RADIANS(E1149))</f>
        <v/>
      </c>
      <c r="S1149" s="8">
        <f>(O1149+P1149*COS(RADIANS(E1149)))/L1149</f>
        <v/>
      </c>
      <c r="T1149" s="8">
        <f>R1149/L1149</f>
        <v/>
      </c>
      <c r="U1149" s="8">
        <f>(Q1149-P1149*G1149*SIN(RADIANS(E1149)))/M1149</f>
        <v/>
      </c>
      <c r="V1149" s="8">
        <f>SQRT((S1149+U1149)^2+3*T1149^2)</f>
        <v/>
      </c>
      <c r="W1149" s="8">
        <f>V1149/AA1149</f>
        <v/>
      </c>
      <c r="X1149" s="27">
        <f>((3*10+H1149/COS(RADIANS(E1149)))*(3+3)+3*G1149*H1149)*2</f>
        <v/>
      </c>
      <c r="Y1149" s="28">
        <f>Z1149/X1149</f>
        <v/>
      </c>
      <c r="Z1149" s="29" t="n">
        <v>615.918976874825</v>
      </c>
      <c r="AA1149" s="20" t="n">
        <v>45.8141363799967</v>
      </c>
      <c r="AB1149" t="n">
        <v>0.05852444930761375</v>
      </c>
      <c r="AC1149" t="n">
        <v>48.08189067844941</v>
      </c>
      <c r="AD1149" t="n">
        <v>10.59532553201569</v>
      </c>
    </row>
    <row r="1150">
      <c r="A1150" t="n">
        <v>1149</v>
      </c>
      <c r="B1150" t="n">
        <v>42.8</v>
      </c>
      <c r="C1150" s="21">
        <f>B1150-20</f>
        <v/>
      </c>
      <c r="D1150" t="n">
        <v>105</v>
      </c>
      <c r="E1150" s="22">
        <f>D1150-90</f>
        <v/>
      </c>
      <c r="F1150" s="23" t="n">
        <v>0.007861</v>
      </c>
      <c r="G1150" s="22" t="n">
        <v>25.1</v>
      </c>
      <c r="H1150" s="22" t="n">
        <v>1.6</v>
      </c>
      <c r="I1150" s="24" t="n">
        <v>0.0561008974909782</v>
      </c>
      <c r="J1150" s="6" t="n">
        <v>71000</v>
      </c>
      <c r="K1150" s="25">
        <f>23*10^-6</f>
        <v/>
      </c>
      <c r="L1150" s="8">
        <f>H1150</f>
        <v/>
      </c>
      <c r="M1150" s="26">
        <f>H1150^2/6</f>
        <v/>
      </c>
      <c r="N1150" s="26">
        <f>H1150^3/12</f>
        <v/>
      </c>
      <c r="O1150" s="27">
        <f>-J1150*L1150*K1150*C1150</f>
        <v/>
      </c>
      <c r="P1150" s="28">
        <f>-(12*F1150*J1150*L1150*N1150+12*O1150*N1150*G1150*COS(RADIANS(E1150)))/(12*N1150*G1150*COS(RADIANS(E1150))^2+L1150*G1150^3*SIN(RADIANS(E1150))^2)</f>
        <v/>
      </c>
      <c r="Q1150" s="28">
        <f>-(6*F1150*J1150*L1150*N1150*SIN(RADIANS(E1150))+6*O1150*N1150*G1150*SIN(RADIANS(E1150))*COS(RADIANS(E1150)))/(12*N1150*COS(RADIANS(E1150))^2+L1150*G1150^2*SIN(RADIANS(E1150))^2)</f>
        <v/>
      </c>
      <c r="R1150" s="28">
        <f>-P1150*SIN(RADIANS(E1150))</f>
        <v/>
      </c>
      <c r="S1150" s="8">
        <f>(O1150+P1150*COS(RADIANS(E1150)))/L1150</f>
        <v/>
      </c>
      <c r="T1150" s="8">
        <f>R1150/L1150</f>
        <v/>
      </c>
      <c r="U1150" s="8">
        <f>(Q1150-P1150*G1150*SIN(RADIANS(E1150)))/M1150</f>
        <v/>
      </c>
      <c r="V1150" s="8">
        <f>SQRT((S1150+U1150)^2+3*T1150^2)</f>
        <v/>
      </c>
      <c r="W1150" s="8">
        <f>V1150/AA1150</f>
        <v/>
      </c>
      <c r="X1150" s="27">
        <f>((3*10+H1150/COS(RADIANS(E1150)))*(3+3)+3*G1150*H1150)*2</f>
        <v/>
      </c>
      <c r="Y1150" s="28">
        <f>Z1150/X1150</f>
        <v/>
      </c>
      <c r="Z1150" s="29" t="n">
        <v>625.117560379357</v>
      </c>
      <c r="AA1150" s="20" t="n">
        <v>37.6377506602985</v>
      </c>
      <c r="AB1150" t="n">
        <v>0.07578580051093944</v>
      </c>
      <c r="AC1150" t="n">
        <v>37.8933545345937</v>
      </c>
      <c r="AD1150" t="n">
        <v>35.08839234368193</v>
      </c>
    </row>
    <row r="1151">
      <c r="A1151" t="n">
        <v>1150</v>
      </c>
      <c r="B1151" t="n">
        <v>56.9</v>
      </c>
      <c r="C1151" s="21">
        <f>B1151-20</f>
        <v/>
      </c>
      <c r="D1151" t="n">
        <v>124.3</v>
      </c>
      <c r="E1151" s="22">
        <f>D1151-90</f>
        <v/>
      </c>
      <c r="F1151" s="23" t="n">
        <v>0.01288</v>
      </c>
      <c r="G1151" s="22" t="n">
        <v>29.8</v>
      </c>
      <c r="H1151" s="22" t="n">
        <v>1.4</v>
      </c>
      <c r="I1151" s="24" t="n">
        <v>0.0571905113756656</v>
      </c>
      <c r="J1151" s="6" t="n">
        <v>71000</v>
      </c>
      <c r="K1151" s="25">
        <f>23*10^-6</f>
        <v/>
      </c>
      <c r="L1151" s="8">
        <f>H1151</f>
        <v/>
      </c>
      <c r="M1151" s="26">
        <f>H1151^2/6</f>
        <v/>
      </c>
      <c r="N1151" s="26">
        <f>H1151^3/12</f>
        <v/>
      </c>
      <c r="O1151" s="27">
        <f>-J1151*L1151*K1151*C1151</f>
        <v/>
      </c>
      <c r="P1151" s="28">
        <f>-(12*F1151*J1151*L1151*N1151+12*O1151*N1151*G1151*COS(RADIANS(E1151)))/(12*N1151*G1151*COS(RADIANS(E1151))^2+L1151*G1151^3*SIN(RADIANS(E1151))^2)</f>
        <v/>
      </c>
      <c r="Q1151" s="28">
        <f>-(6*F1151*J1151*L1151*N1151*SIN(RADIANS(E1151))+6*O1151*N1151*G1151*SIN(RADIANS(E1151))*COS(RADIANS(E1151)))/(12*N1151*COS(RADIANS(E1151))^2+L1151*G1151^2*SIN(RADIANS(E1151))^2)</f>
        <v/>
      </c>
      <c r="R1151" s="28">
        <f>-P1151*SIN(RADIANS(E1151))</f>
        <v/>
      </c>
      <c r="S1151" s="8">
        <f>(O1151+P1151*COS(RADIANS(E1151)))/L1151</f>
        <v/>
      </c>
      <c r="T1151" s="8">
        <f>R1151/L1151</f>
        <v/>
      </c>
      <c r="U1151" s="8">
        <f>(Q1151-P1151*G1151*SIN(RADIANS(E1151)))/M1151</f>
        <v/>
      </c>
      <c r="V1151" s="8">
        <f>SQRT((S1151+U1151)^2+3*T1151^2)</f>
        <v/>
      </c>
      <c r="W1151" s="8">
        <f>V1151/AA1151</f>
        <v/>
      </c>
      <c r="X1151" s="27">
        <f>((3*10+H1151/COS(RADIANS(E1151)))*(3+3)+3*G1151*H1151)*2</f>
        <v/>
      </c>
      <c r="Y1151" s="28">
        <f>Z1151/X1151</f>
        <v/>
      </c>
      <c r="Z1151" s="29" t="n">
        <v>639.1424252127809</v>
      </c>
      <c r="AA1151" s="20" t="n">
        <v>52.0433612764416</v>
      </c>
      <c r="AB1151" t="n">
        <v>0.06341876950884977</v>
      </c>
      <c r="AC1151" t="n">
        <v>53.38040720053981</v>
      </c>
      <c r="AD1151" t="n">
        <v>10.89036971932773</v>
      </c>
    </row>
    <row r="1152">
      <c r="A1152" t="n">
        <v>1151</v>
      </c>
      <c r="B1152" t="n">
        <v>63.1</v>
      </c>
      <c r="C1152" s="21">
        <f>B1152-20</f>
        <v/>
      </c>
      <c r="D1152" t="n">
        <v>114.5</v>
      </c>
      <c r="E1152" s="22">
        <f>D1152-90</f>
        <v/>
      </c>
      <c r="F1152" s="23" t="n">
        <v>0.014528</v>
      </c>
      <c r="G1152" s="22" t="n">
        <v>25.9</v>
      </c>
      <c r="H1152" s="22" t="n">
        <v>1.6</v>
      </c>
      <c r="I1152" s="24" t="n">
        <v>0.0762751922011375</v>
      </c>
      <c r="J1152" s="6" t="n">
        <v>71000</v>
      </c>
      <c r="K1152" s="25">
        <f>23*10^-6</f>
        <v/>
      </c>
      <c r="L1152" s="8">
        <f>H1152</f>
        <v/>
      </c>
      <c r="M1152" s="26">
        <f>H1152^2/6</f>
        <v/>
      </c>
      <c r="N1152" s="26">
        <f>H1152^3/12</f>
        <v/>
      </c>
      <c r="O1152" s="27">
        <f>-J1152*L1152*K1152*C1152</f>
        <v/>
      </c>
      <c r="P1152" s="28">
        <f>-(12*F1152*J1152*L1152*N1152+12*O1152*N1152*G1152*COS(RADIANS(E1152)))/(12*N1152*G1152*COS(RADIANS(E1152))^2+L1152*G1152^3*SIN(RADIANS(E1152))^2)</f>
        <v/>
      </c>
      <c r="Q1152" s="28">
        <f>-(6*F1152*J1152*L1152*N1152*SIN(RADIANS(E1152))+6*O1152*N1152*G1152*SIN(RADIANS(E1152))*COS(RADIANS(E1152)))/(12*N1152*COS(RADIANS(E1152))^2+L1152*G1152^2*SIN(RADIANS(E1152))^2)</f>
        <v/>
      </c>
      <c r="R1152" s="28">
        <f>-P1152*SIN(RADIANS(E1152))</f>
        <v/>
      </c>
      <c r="S1152" s="8">
        <f>(O1152+P1152*COS(RADIANS(E1152)))/L1152</f>
        <v/>
      </c>
      <c r="T1152" s="8">
        <f>R1152/L1152</f>
        <v/>
      </c>
      <c r="U1152" s="8">
        <f>(Q1152-P1152*G1152*SIN(RADIANS(E1152)))/M1152</f>
        <v/>
      </c>
      <c r="V1152" s="8">
        <f>SQRT((S1152+U1152)^2+3*T1152^2)</f>
        <v/>
      </c>
      <c r="W1152" s="8">
        <f>V1152/AA1152</f>
        <v/>
      </c>
      <c r="X1152" s="27">
        <f>((3*10+H1152/COS(RADIANS(E1152)))*(3+3)+3*G1152*H1152)*2</f>
        <v/>
      </c>
      <c r="Y1152" s="28">
        <f>Z1152/X1152</f>
        <v/>
      </c>
      <c r="Z1152" s="29" t="n">
        <v>635.548177350068</v>
      </c>
      <c r="AA1152" s="20" t="n">
        <v>67.520239927365</v>
      </c>
      <c r="AB1152" t="n">
        <v>0.09197929584772843</v>
      </c>
      <c r="AC1152" t="n">
        <v>66.23605075560988</v>
      </c>
      <c r="AD1152" t="n">
        <v>20.58874346088732</v>
      </c>
    </row>
    <row r="1153">
      <c r="A1153" t="n">
        <v>1152</v>
      </c>
      <c r="B1153" t="n">
        <v>60.1</v>
      </c>
      <c r="C1153" s="21">
        <f>B1153-20</f>
        <v/>
      </c>
      <c r="D1153" t="n">
        <v>122.5</v>
      </c>
      <c r="E1153" s="22">
        <f>D1153-90</f>
        <v/>
      </c>
      <c r="F1153" s="23" t="n">
        <v>0.01508</v>
      </c>
      <c r="G1153" s="22" t="n">
        <v>32</v>
      </c>
      <c r="H1153" s="22" t="n">
        <v>1.6</v>
      </c>
      <c r="I1153" s="24" t="n">
        <v>0.067515917122364</v>
      </c>
      <c r="J1153" s="6" t="n">
        <v>71000</v>
      </c>
      <c r="K1153" s="25">
        <f>23*10^-6</f>
        <v/>
      </c>
      <c r="L1153" s="8">
        <f>H1153</f>
        <v/>
      </c>
      <c r="M1153" s="26">
        <f>H1153^2/6</f>
        <v/>
      </c>
      <c r="N1153" s="26">
        <f>H1153^3/12</f>
        <v/>
      </c>
      <c r="O1153" s="27">
        <f>-J1153*L1153*K1153*C1153</f>
        <v/>
      </c>
      <c r="P1153" s="28">
        <f>-(12*F1153*J1153*L1153*N1153+12*O1153*N1153*G1153*COS(RADIANS(E1153)))/(12*N1153*G1153*COS(RADIANS(E1153))^2+L1153*G1153^3*SIN(RADIANS(E1153))^2)</f>
        <v/>
      </c>
      <c r="Q1153" s="28">
        <f>-(6*F1153*J1153*L1153*N1153*SIN(RADIANS(E1153))+6*O1153*N1153*G1153*SIN(RADIANS(E1153))*COS(RADIANS(E1153)))/(12*N1153*COS(RADIANS(E1153))^2+L1153*G1153^2*SIN(RADIANS(E1153))^2)</f>
        <v/>
      </c>
      <c r="R1153" s="28">
        <f>-P1153*SIN(RADIANS(E1153))</f>
        <v/>
      </c>
      <c r="S1153" s="8">
        <f>(O1153+P1153*COS(RADIANS(E1153)))/L1153</f>
        <v/>
      </c>
      <c r="T1153" s="8">
        <f>R1153/L1153</f>
        <v/>
      </c>
      <c r="U1153" s="8">
        <f>(Q1153-P1153*G1153*SIN(RADIANS(E1153)))/M1153</f>
        <v/>
      </c>
      <c r="V1153" s="8">
        <f>SQRT((S1153+U1153)^2+3*T1153^2)</f>
        <v/>
      </c>
      <c r="W1153" s="8">
        <f>V1153/AA1153</f>
        <v/>
      </c>
      <c r="X1153" s="27">
        <f>((3*10+H1153/COS(RADIANS(E1153)))*(3+3)+3*G1153*H1153)*2</f>
        <v/>
      </c>
      <c r="Y1153" s="28">
        <f>Z1153/X1153</f>
        <v/>
      </c>
      <c r="Z1153" s="29" t="n">
        <v>697.855396234797</v>
      </c>
      <c r="AA1153" s="20" t="n">
        <v>59.6679225261237</v>
      </c>
      <c r="AB1153" t="n">
        <v>0.07806093219422439</v>
      </c>
      <c r="AC1153" t="n">
        <v>58.69715797491465</v>
      </c>
      <c r="AD1153" t="n">
        <v>15.61856155008438</v>
      </c>
    </row>
    <row r="1154">
      <c r="A1154" t="n">
        <v>1153</v>
      </c>
      <c r="B1154" t="n">
        <v>69.3</v>
      </c>
      <c r="C1154" s="21">
        <f>B1154-20</f>
        <v/>
      </c>
      <c r="D1154" t="n">
        <v>105.9</v>
      </c>
      <c r="E1154" s="22">
        <f>D1154-90</f>
        <v/>
      </c>
      <c r="F1154" s="23" t="n">
        <v>0.020669</v>
      </c>
      <c r="G1154" s="22" t="n">
        <v>32</v>
      </c>
      <c r="H1154" s="22" t="n">
        <v>1.6</v>
      </c>
      <c r="I1154" s="24" t="n">
        <v>0.139545947313308</v>
      </c>
      <c r="J1154" s="6" t="n">
        <v>71000</v>
      </c>
      <c r="K1154" s="25">
        <f>23*10^-6</f>
        <v/>
      </c>
      <c r="L1154" s="8">
        <f>H1154</f>
        <v/>
      </c>
      <c r="M1154" s="26">
        <f>H1154^2/6</f>
        <v/>
      </c>
      <c r="N1154" s="26">
        <f>H1154^3/12</f>
        <v/>
      </c>
      <c r="O1154" s="27">
        <f>-J1154*L1154*K1154*C1154</f>
        <v/>
      </c>
      <c r="P1154" s="28">
        <f>-(12*F1154*J1154*L1154*N1154+12*O1154*N1154*G1154*COS(RADIANS(E1154)))/(12*N1154*G1154*COS(RADIANS(E1154))^2+L1154*G1154^3*SIN(RADIANS(E1154))^2)</f>
        <v/>
      </c>
      <c r="Q1154" s="28">
        <f>-(6*F1154*J1154*L1154*N1154*SIN(RADIANS(E1154))+6*O1154*N1154*G1154*SIN(RADIANS(E1154))*COS(RADIANS(E1154)))/(12*N1154*COS(RADIANS(E1154))^2+L1154*G1154^2*SIN(RADIANS(E1154))^2)</f>
        <v/>
      </c>
      <c r="R1154" s="28">
        <f>-P1154*SIN(RADIANS(E1154))</f>
        <v/>
      </c>
      <c r="S1154" s="8">
        <f>(O1154+P1154*COS(RADIANS(E1154)))/L1154</f>
        <v/>
      </c>
      <c r="T1154" s="8">
        <f>R1154/L1154</f>
        <v/>
      </c>
      <c r="U1154" s="8">
        <f>(Q1154-P1154*G1154*SIN(RADIANS(E1154)))/M1154</f>
        <v/>
      </c>
      <c r="V1154" s="8">
        <f>SQRT((S1154+U1154)^2+3*T1154^2)</f>
        <v/>
      </c>
      <c r="W1154" s="8">
        <f>V1154/AA1154</f>
        <v/>
      </c>
      <c r="X1154" s="27">
        <f>((3*10+H1154/COS(RADIANS(E1154)))*(3+3)+3*G1154*H1154)*2</f>
        <v/>
      </c>
      <c r="Y1154" s="28">
        <f>Z1154/X1154</f>
        <v/>
      </c>
      <c r="Z1154" s="29" t="n">
        <v>691.552153287094</v>
      </c>
      <c r="AA1154" s="20" t="n">
        <v>78.6289695432732</v>
      </c>
      <c r="AB1154" t="n">
        <v>0.1987007285371936</v>
      </c>
      <c r="AC1154" t="n">
        <v>79.20123377843508</v>
      </c>
      <c r="AD1154" t="n">
        <v>42.39089874181119</v>
      </c>
    </row>
    <row r="1155">
      <c r="A1155" t="n">
        <v>1154</v>
      </c>
      <c r="B1155" t="n">
        <v>54.2</v>
      </c>
      <c r="C1155" s="21">
        <f>B1155-20</f>
        <v/>
      </c>
      <c r="D1155" t="n">
        <v>107</v>
      </c>
      <c r="E1155" s="22">
        <f>D1155-90</f>
        <v/>
      </c>
      <c r="F1155" s="23" t="n">
        <v>0.014158</v>
      </c>
      <c r="G1155" s="22" t="n">
        <v>31.7</v>
      </c>
      <c r="H1155" s="22" t="n">
        <v>1.6</v>
      </c>
      <c r="I1155" s="24" t="n">
        <v>0.0912827402353286</v>
      </c>
      <c r="J1155" s="6" t="n">
        <v>71000</v>
      </c>
      <c r="K1155" s="25">
        <f>23*10^-6</f>
        <v/>
      </c>
      <c r="L1155" s="8">
        <f>H1155</f>
        <v/>
      </c>
      <c r="M1155" s="26">
        <f>H1155^2/6</f>
        <v/>
      </c>
      <c r="N1155" s="26">
        <f>H1155^3/12</f>
        <v/>
      </c>
      <c r="O1155" s="27">
        <f>-J1155*L1155*K1155*C1155</f>
        <v/>
      </c>
      <c r="P1155" s="28">
        <f>-(12*F1155*J1155*L1155*N1155+12*O1155*N1155*G1155*COS(RADIANS(E1155)))/(12*N1155*G1155*COS(RADIANS(E1155))^2+L1155*G1155^3*SIN(RADIANS(E1155))^2)</f>
        <v/>
      </c>
      <c r="Q1155" s="28">
        <f>-(6*F1155*J1155*L1155*N1155*SIN(RADIANS(E1155))+6*O1155*N1155*G1155*SIN(RADIANS(E1155))*COS(RADIANS(E1155)))/(12*N1155*COS(RADIANS(E1155))^2+L1155*G1155^2*SIN(RADIANS(E1155))^2)</f>
        <v/>
      </c>
      <c r="R1155" s="28">
        <f>-P1155*SIN(RADIANS(E1155))</f>
        <v/>
      </c>
      <c r="S1155" s="8">
        <f>(O1155+P1155*COS(RADIANS(E1155)))/L1155</f>
        <v/>
      </c>
      <c r="T1155" s="8">
        <f>R1155/L1155</f>
        <v/>
      </c>
      <c r="U1155" s="8">
        <f>(Q1155-P1155*G1155*SIN(RADIANS(E1155)))/M1155</f>
        <v/>
      </c>
      <c r="V1155" s="8">
        <f>SQRT((S1155+U1155)^2+3*T1155^2)</f>
        <v/>
      </c>
      <c r="W1155" s="8">
        <f>V1155/AA1155</f>
        <v/>
      </c>
      <c r="X1155" s="27">
        <f>((3*10+H1155/COS(RADIANS(E1155)))*(3+3)+3*G1155*H1155)*2</f>
        <v/>
      </c>
      <c r="Y1155" s="28">
        <f>Z1155/X1155</f>
        <v/>
      </c>
      <c r="Z1155" s="29" t="n">
        <v>688.927513265887</v>
      </c>
      <c r="AA1155" s="20" t="n">
        <v>54.0198486026548</v>
      </c>
      <c r="AB1155" t="n">
        <v>0.1279898684225436</v>
      </c>
      <c r="AC1155" t="n">
        <v>54.43722270492507</v>
      </c>
      <c r="AD1155" t="n">
        <v>40.21256164372731</v>
      </c>
    </row>
    <row r="1156">
      <c r="A1156" t="n">
        <v>1155</v>
      </c>
      <c r="B1156" t="n">
        <v>79.2</v>
      </c>
      <c r="C1156" s="21">
        <f>B1156-20</f>
        <v/>
      </c>
      <c r="D1156" t="n">
        <v>103.4</v>
      </c>
      <c r="E1156" s="22">
        <f>D1156-90</f>
        <v/>
      </c>
      <c r="F1156" s="23" t="n">
        <v>0.020265</v>
      </c>
      <c r="G1156" s="22" t="n">
        <v>24.7</v>
      </c>
      <c r="H1156" s="22" t="n">
        <v>1.7</v>
      </c>
      <c r="I1156" s="24" t="n">
        <v>0.154872700572013</v>
      </c>
      <c r="J1156" s="6" t="n">
        <v>71000</v>
      </c>
      <c r="K1156" s="25">
        <f>23*10^-6</f>
        <v/>
      </c>
      <c r="L1156" s="8">
        <f>H1156</f>
        <v/>
      </c>
      <c r="M1156" s="26">
        <f>H1156^2/6</f>
        <v/>
      </c>
      <c r="N1156" s="26">
        <f>H1156^3/12</f>
        <v/>
      </c>
      <c r="O1156" s="27">
        <f>-J1156*L1156*K1156*C1156</f>
        <v/>
      </c>
      <c r="P1156" s="28">
        <f>-(12*F1156*J1156*L1156*N1156+12*O1156*N1156*G1156*COS(RADIANS(E1156)))/(12*N1156*G1156*COS(RADIANS(E1156))^2+L1156*G1156^3*SIN(RADIANS(E1156))^2)</f>
        <v/>
      </c>
      <c r="Q1156" s="28">
        <f>-(6*F1156*J1156*L1156*N1156*SIN(RADIANS(E1156))+6*O1156*N1156*G1156*SIN(RADIANS(E1156))*COS(RADIANS(E1156)))/(12*N1156*COS(RADIANS(E1156))^2+L1156*G1156^2*SIN(RADIANS(E1156))^2)</f>
        <v/>
      </c>
      <c r="R1156" s="28">
        <f>-P1156*SIN(RADIANS(E1156))</f>
        <v/>
      </c>
      <c r="S1156" s="8">
        <f>(O1156+P1156*COS(RADIANS(E1156)))/L1156</f>
        <v/>
      </c>
      <c r="T1156" s="8">
        <f>R1156/L1156</f>
        <v/>
      </c>
      <c r="U1156" s="8">
        <f>(Q1156-P1156*G1156*SIN(RADIANS(E1156)))/M1156</f>
        <v/>
      </c>
      <c r="V1156" s="8">
        <f>SQRT((S1156+U1156)^2+3*T1156^2)</f>
        <v/>
      </c>
      <c r="W1156" s="8">
        <f>V1156/AA1156</f>
        <v/>
      </c>
      <c r="X1156" s="27">
        <f>((3*10+H1156/COS(RADIANS(E1156)))*(3+3)+3*G1156*H1156)*2</f>
        <v/>
      </c>
      <c r="Y1156" s="28">
        <f>Z1156/X1156</f>
        <v/>
      </c>
      <c r="Z1156" s="29" t="n">
        <v>637.016208518798</v>
      </c>
      <c r="AA1156" s="20" t="n">
        <v>101.891777778328</v>
      </c>
      <c r="AB1156" t="n">
        <v>0.2120807184276985</v>
      </c>
      <c r="AC1156" t="n">
        <v>101.392870393319</v>
      </c>
      <c r="AD1156" t="n">
        <v>36.93873590658081</v>
      </c>
    </row>
    <row r="1157">
      <c r="A1157" t="n">
        <v>1156</v>
      </c>
      <c r="B1157" t="n">
        <v>51.1</v>
      </c>
      <c r="C1157" s="21">
        <f>B1157-20</f>
        <v/>
      </c>
      <c r="D1157" t="n">
        <v>102.8</v>
      </c>
      <c r="E1157" s="22">
        <f>D1157-90</f>
        <v/>
      </c>
      <c r="F1157" s="23" t="n">
        <v>0.011324</v>
      </c>
      <c r="G1157" s="22" t="n">
        <v>26.6</v>
      </c>
      <c r="H1157" s="22" t="n">
        <v>1.5</v>
      </c>
      <c r="I1157" s="24" t="n">
        <v>0.0903311595320701</v>
      </c>
      <c r="J1157" s="6" t="n">
        <v>71000</v>
      </c>
      <c r="K1157" s="25">
        <f>23*10^-6</f>
        <v/>
      </c>
      <c r="L1157" s="8">
        <f>H1157</f>
        <v/>
      </c>
      <c r="M1157" s="26">
        <f>H1157^2/6</f>
        <v/>
      </c>
      <c r="N1157" s="26">
        <f>H1157^3/12</f>
        <v/>
      </c>
      <c r="O1157" s="27">
        <f>-J1157*L1157*K1157*C1157</f>
        <v/>
      </c>
      <c r="P1157" s="28">
        <f>-(12*F1157*J1157*L1157*N1157+12*O1157*N1157*G1157*COS(RADIANS(E1157)))/(12*N1157*G1157*COS(RADIANS(E1157))^2+L1157*G1157^3*SIN(RADIANS(E1157))^2)</f>
        <v/>
      </c>
      <c r="Q1157" s="28">
        <f>-(6*F1157*J1157*L1157*N1157*SIN(RADIANS(E1157))+6*O1157*N1157*G1157*SIN(RADIANS(E1157))*COS(RADIANS(E1157)))/(12*N1157*COS(RADIANS(E1157))^2+L1157*G1157^2*SIN(RADIANS(E1157))^2)</f>
        <v/>
      </c>
      <c r="R1157" s="28">
        <f>-P1157*SIN(RADIANS(E1157))</f>
        <v/>
      </c>
      <c r="S1157" s="8">
        <f>(O1157+P1157*COS(RADIANS(E1157)))/L1157</f>
        <v/>
      </c>
      <c r="T1157" s="8">
        <f>R1157/L1157</f>
        <v/>
      </c>
      <c r="U1157" s="8">
        <f>(Q1157-P1157*G1157*SIN(RADIANS(E1157)))/M1157</f>
        <v/>
      </c>
      <c r="V1157" s="8">
        <f>SQRT((S1157+U1157)^2+3*T1157^2)</f>
        <v/>
      </c>
      <c r="W1157" s="8">
        <f>V1157/AA1157</f>
        <v/>
      </c>
      <c r="X1157" s="27">
        <f>((3*10+H1157/COS(RADIANS(E1157)))*(3+3)+3*G1157*H1157)*2</f>
        <v/>
      </c>
      <c r="Y1157" s="28">
        <f>Z1157/X1157</f>
        <v/>
      </c>
      <c r="Z1157" s="29" t="n">
        <v>621.90395478201</v>
      </c>
      <c r="AA1157" s="20" t="n">
        <v>50.4082258308398</v>
      </c>
      <c r="AB1157" t="n">
        <v>0.1276975426220519</v>
      </c>
      <c r="AC1157" t="n">
        <v>52.24529034102687</v>
      </c>
      <c r="AD1157" t="n">
        <v>41.36599517104141</v>
      </c>
    </row>
    <row r="1158">
      <c r="A1158" t="n">
        <v>1157</v>
      </c>
      <c r="B1158" t="n">
        <v>68.3</v>
      </c>
      <c r="C1158" s="21">
        <f>B1158-20</f>
        <v/>
      </c>
      <c r="D1158" t="n">
        <v>120.8</v>
      </c>
      <c r="E1158" s="22">
        <f>D1158-90</f>
        <v/>
      </c>
      <c r="F1158" s="23" t="n">
        <v>0.01702</v>
      </c>
      <c r="G1158" s="22" t="n">
        <v>29</v>
      </c>
      <c r="H1158" s="22" t="n">
        <v>1.3</v>
      </c>
      <c r="I1158" s="24" t="n">
        <v>0.0788075700402259</v>
      </c>
      <c r="J1158" s="6" t="n">
        <v>71000</v>
      </c>
      <c r="K1158" s="25">
        <f>23*10^-6</f>
        <v/>
      </c>
      <c r="L1158" s="8">
        <f>H1158</f>
        <v/>
      </c>
      <c r="M1158" s="26">
        <f>H1158^2/6</f>
        <v/>
      </c>
      <c r="N1158" s="26">
        <f>H1158^3/12</f>
        <v/>
      </c>
      <c r="O1158" s="27">
        <f>-J1158*L1158*K1158*C1158</f>
        <v/>
      </c>
      <c r="P1158" s="28">
        <f>-(12*F1158*J1158*L1158*N1158+12*O1158*N1158*G1158*COS(RADIANS(E1158)))/(12*N1158*G1158*COS(RADIANS(E1158))^2+L1158*G1158^3*SIN(RADIANS(E1158))^2)</f>
        <v/>
      </c>
      <c r="Q1158" s="28">
        <f>-(6*F1158*J1158*L1158*N1158*SIN(RADIANS(E1158))+6*O1158*N1158*G1158*SIN(RADIANS(E1158))*COS(RADIANS(E1158)))/(12*N1158*COS(RADIANS(E1158))^2+L1158*G1158^2*SIN(RADIANS(E1158))^2)</f>
        <v/>
      </c>
      <c r="R1158" s="28">
        <f>-P1158*SIN(RADIANS(E1158))</f>
        <v/>
      </c>
      <c r="S1158" s="8">
        <f>(O1158+P1158*COS(RADIANS(E1158)))/L1158</f>
        <v/>
      </c>
      <c r="T1158" s="8">
        <f>R1158/L1158</f>
        <v/>
      </c>
      <c r="U1158" s="8">
        <f>(Q1158-P1158*G1158*SIN(RADIANS(E1158)))/M1158</f>
        <v/>
      </c>
      <c r="V1158" s="8">
        <f>SQRT((S1158+U1158)^2+3*T1158^2)</f>
        <v/>
      </c>
      <c r="W1158" s="8">
        <f>V1158/AA1158</f>
        <v/>
      </c>
      <c r="X1158" s="27">
        <f>((3*10+H1158/COS(RADIANS(E1158)))*(3+3)+3*G1158*H1158)*2</f>
        <v/>
      </c>
      <c r="Y1158" s="28">
        <f>Z1158/X1158</f>
        <v/>
      </c>
      <c r="Z1158" s="29" t="n">
        <v>611.735898119611</v>
      </c>
      <c r="AA1158" s="20" t="n">
        <v>69.17882531368851</v>
      </c>
      <c r="AB1158" t="n">
        <v>0.09089602520789293</v>
      </c>
      <c r="AC1158" t="n">
        <v>70.33470776182848</v>
      </c>
      <c r="AD1158" t="n">
        <v>15.33920556298931</v>
      </c>
    </row>
    <row r="1159">
      <c r="A1159" t="n">
        <v>1158</v>
      </c>
      <c r="B1159" t="n">
        <v>50</v>
      </c>
      <c r="C1159" s="21">
        <f>B1159-20</f>
        <v/>
      </c>
      <c r="D1159" t="n">
        <v>112.1</v>
      </c>
      <c r="E1159" s="22">
        <f>D1159-90</f>
        <v/>
      </c>
      <c r="F1159" s="23" t="n">
        <v>0.01121</v>
      </c>
      <c r="G1159" s="22" t="n">
        <v>28.9</v>
      </c>
      <c r="H1159" s="22" t="n">
        <v>1.1</v>
      </c>
      <c r="I1159" s="24" t="n">
        <v>0.0617295019328594</v>
      </c>
      <c r="J1159" s="6" t="n">
        <v>71000</v>
      </c>
      <c r="K1159" s="25">
        <f>23*10^-6</f>
        <v/>
      </c>
      <c r="L1159" s="8">
        <f>H1159</f>
        <v/>
      </c>
      <c r="M1159" s="26">
        <f>H1159^2/6</f>
        <v/>
      </c>
      <c r="N1159" s="26">
        <f>H1159^3/12</f>
        <v/>
      </c>
      <c r="O1159" s="27">
        <f>-J1159*L1159*K1159*C1159</f>
        <v/>
      </c>
      <c r="P1159" s="28">
        <f>-(12*F1159*J1159*L1159*N1159+12*O1159*N1159*G1159*COS(RADIANS(E1159)))/(12*N1159*G1159*COS(RADIANS(E1159))^2+L1159*G1159^3*SIN(RADIANS(E1159))^2)</f>
        <v/>
      </c>
      <c r="Q1159" s="28">
        <f>-(6*F1159*J1159*L1159*N1159*SIN(RADIANS(E1159))+6*O1159*N1159*G1159*SIN(RADIANS(E1159))*COS(RADIANS(E1159)))/(12*N1159*COS(RADIANS(E1159))^2+L1159*G1159^2*SIN(RADIANS(E1159))^2)</f>
        <v/>
      </c>
      <c r="R1159" s="28">
        <f>-P1159*SIN(RADIANS(E1159))</f>
        <v/>
      </c>
      <c r="S1159" s="8">
        <f>(O1159+P1159*COS(RADIANS(E1159)))/L1159</f>
        <v/>
      </c>
      <c r="T1159" s="8">
        <f>R1159/L1159</f>
        <v/>
      </c>
      <c r="U1159" s="8">
        <f>(Q1159-P1159*G1159*SIN(RADIANS(E1159)))/M1159</f>
        <v/>
      </c>
      <c r="V1159" s="8">
        <f>SQRT((S1159+U1159)^2+3*T1159^2)</f>
        <v/>
      </c>
      <c r="W1159" s="8">
        <f>V1159/AA1159</f>
        <v/>
      </c>
      <c r="X1159" s="27">
        <f>((3*10+H1159/COS(RADIANS(E1159)))*(3+3)+3*G1159*H1159)*2</f>
        <v/>
      </c>
      <c r="Y1159" s="28">
        <f>Z1159/X1159</f>
        <v/>
      </c>
      <c r="Z1159" s="29" t="n">
        <v>570.323494981264</v>
      </c>
      <c r="AA1159" s="20" t="n">
        <v>42.0221840811655</v>
      </c>
      <c r="AB1159" t="n">
        <v>0.0798671918612034</v>
      </c>
      <c r="AC1159" t="n">
        <v>44.57315449536936</v>
      </c>
      <c r="AD1159" t="n">
        <v>29.38253081658039</v>
      </c>
    </row>
    <row r="1160">
      <c r="A1160" t="n">
        <v>1159</v>
      </c>
      <c r="B1160" t="n">
        <v>69.59999999999999</v>
      </c>
      <c r="C1160" s="21">
        <f>B1160-20</f>
        <v/>
      </c>
      <c r="D1160" t="n">
        <v>103.4</v>
      </c>
      <c r="E1160" s="22">
        <f>D1160-90</f>
        <v/>
      </c>
      <c r="F1160" s="23" t="n">
        <v>0.018134</v>
      </c>
      <c r="G1160" s="22" t="n">
        <v>26.8</v>
      </c>
      <c r="H1160" s="22" t="n">
        <v>1.5</v>
      </c>
      <c r="I1160" s="24" t="n">
        <v>0.140078112483024</v>
      </c>
      <c r="J1160" s="6" t="n">
        <v>71000</v>
      </c>
      <c r="K1160" s="25">
        <f>23*10^-6</f>
        <v/>
      </c>
      <c r="L1160" s="8">
        <f>H1160</f>
        <v/>
      </c>
      <c r="M1160" s="26">
        <f>H1160^2/6</f>
        <v/>
      </c>
      <c r="N1160" s="26">
        <f>H1160^3/12</f>
        <v/>
      </c>
      <c r="O1160" s="27">
        <f>-J1160*L1160*K1160*C1160</f>
        <v/>
      </c>
      <c r="P1160" s="28">
        <f>-(12*F1160*J1160*L1160*N1160+12*O1160*N1160*G1160*COS(RADIANS(E1160)))/(12*N1160*G1160*COS(RADIANS(E1160))^2+L1160*G1160^3*SIN(RADIANS(E1160))^2)</f>
        <v/>
      </c>
      <c r="Q1160" s="28">
        <f>-(6*F1160*J1160*L1160*N1160*SIN(RADIANS(E1160))+6*O1160*N1160*G1160*SIN(RADIANS(E1160))*COS(RADIANS(E1160)))/(12*N1160*COS(RADIANS(E1160))^2+L1160*G1160^2*SIN(RADIANS(E1160))^2)</f>
        <v/>
      </c>
      <c r="R1160" s="28">
        <f>-P1160*SIN(RADIANS(E1160))</f>
        <v/>
      </c>
      <c r="S1160" s="8">
        <f>(O1160+P1160*COS(RADIANS(E1160)))/L1160</f>
        <v/>
      </c>
      <c r="T1160" s="8">
        <f>R1160/L1160</f>
        <v/>
      </c>
      <c r="U1160" s="8">
        <f>(Q1160-P1160*G1160*SIN(RADIANS(E1160)))/M1160</f>
        <v/>
      </c>
      <c r="V1160" s="8">
        <f>SQRT((S1160+U1160)^2+3*T1160^2)</f>
        <v/>
      </c>
      <c r="W1160" s="8">
        <f>V1160/AA1160</f>
        <v/>
      </c>
      <c r="X1160" s="27">
        <f>((3*10+H1160/COS(RADIANS(E1160)))*(3+3)+3*G1160*H1160)*2</f>
        <v/>
      </c>
      <c r="Y1160" s="28">
        <f>Z1160/X1160</f>
        <v/>
      </c>
      <c r="Z1160" s="29" t="n">
        <v>623.809042079169</v>
      </c>
      <c r="AA1160" s="20" t="n">
        <v>80.4375256742649</v>
      </c>
      <c r="AB1160" t="n">
        <v>0.1969350368451789</v>
      </c>
      <c r="AC1160" t="n">
        <v>82.62707416813403</v>
      </c>
      <c r="AD1160" t="n">
        <v>40.58944210077458</v>
      </c>
    </row>
    <row r="1161">
      <c r="A1161" t="n">
        <v>1160</v>
      </c>
      <c r="B1161" t="n">
        <v>70.7</v>
      </c>
      <c r="C1161" s="21">
        <f>B1161-20</f>
        <v/>
      </c>
      <c r="D1161" t="n">
        <v>118.9</v>
      </c>
      <c r="E1161" s="22">
        <f>D1161-90</f>
        <v/>
      </c>
      <c r="F1161" s="23" t="n">
        <v>0.016928</v>
      </c>
      <c r="G1161" s="22" t="n">
        <v>26.6</v>
      </c>
      <c r="H1161" s="22" t="n">
        <v>1.4</v>
      </c>
      <c r="I1161" s="24" t="n">
        <v>0.0815978199243545</v>
      </c>
      <c r="J1161" s="6" t="n">
        <v>71000</v>
      </c>
      <c r="K1161" s="25">
        <f>23*10^-6</f>
        <v/>
      </c>
      <c r="L1161" s="8">
        <f>H1161</f>
        <v/>
      </c>
      <c r="M1161" s="26">
        <f>H1161^2/6</f>
        <v/>
      </c>
      <c r="N1161" s="26">
        <f>H1161^3/12</f>
        <v/>
      </c>
      <c r="O1161" s="27">
        <f>-J1161*L1161*K1161*C1161</f>
        <v/>
      </c>
      <c r="P1161" s="28">
        <f>-(12*F1161*J1161*L1161*N1161+12*O1161*N1161*G1161*COS(RADIANS(E1161)))/(12*N1161*G1161*COS(RADIANS(E1161))^2+L1161*G1161^3*SIN(RADIANS(E1161))^2)</f>
        <v/>
      </c>
      <c r="Q1161" s="28">
        <f>-(6*F1161*J1161*L1161*N1161*SIN(RADIANS(E1161))+6*O1161*N1161*G1161*SIN(RADIANS(E1161))*COS(RADIANS(E1161)))/(12*N1161*COS(RADIANS(E1161))^2+L1161*G1161^2*SIN(RADIANS(E1161))^2)</f>
        <v/>
      </c>
      <c r="R1161" s="28">
        <f>-P1161*SIN(RADIANS(E1161))</f>
        <v/>
      </c>
      <c r="S1161" s="8">
        <f>(O1161+P1161*COS(RADIANS(E1161)))/L1161</f>
        <v/>
      </c>
      <c r="T1161" s="8">
        <f>R1161/L1161</f>
        <v/>
      </c>
      <c r="U1161" s="8">
        <f>(Q1161-P1161*G1161*SIN(RADIANS(E1161)))/M1161</f>
        <v/>
      </c>
      <c r="V1161" s="8">
        <f>SQRT((S1161+U1161)^2+3*T1161^2)</f>
        <v/>
      </c>
      <c r="W1161" s="8">
        <f>V1161/AA1161</f>
        <v/>
      </c>
      <c r="X1161" s="27">
        <f>((3*10+H1161/COS(RADIANS(E1161)))*(3+3)+3*G1161*H1161)*2</f>
        <v/>
      </c>
      <c r="Y1161" s="28">
        <f>Z1161/X1161</f>
        <v/>
      </c>
      <c r="Z1161" s="29" t="n">
        <v>609.477459400103</v>
      </c>
      <c r="AA1161" s="20" t="n">
        <v>75.1342574519654</v>
      </c>
      <c r="AB1161" t="n">
        <v>0.09390802658862057</v>
      </c>
      <c r="AC1161" t="n">
        <v>75.13539648058523</v>
      </c>
      <c r="AD1161" t="n">
        <v>15.08644063735807</v>
      </c>
    </row>
    <row r="1162">
      <c r="A1162" t="n">
        <v>1161</v>
      </c>
      <c r="B1162" t="n">
        <v>42.4</v>
      </c>
      <c r="C1162" s="21">
        <f>B1162-20</f>
        <v/>
      </c>
      <c r="D1162" t="n">
        <v>127.2</v>
      </c>
      <c r="E1162" s="22">
        <f>D1162-90</f>
        <v/>
      </c>
      <c r="F1162" s="23" t="n">
        <v>0.006882</v>
      </c>
      <c r="G1162" s="22" t="n">
        <v>26.3</v>
      </c>
      <c r="H1162" s="22" t="n">
        <v>1.1</v>
      </c>
      <c r="I1162" s="24" t="n">
        <v>0.0304288808256387</v>
      </c>
      <c r="J1162" s="6" t="n">
        <v>71000</v>
      </c>
      <c r="K1162" s="25">
        <f>23*10^-6</f>
        <v/>
      </c>
      <c r="L1162" s="8">
        <f>H1162</f>
        <v/>
      </c>
      <c r="M1162" s="26">
        <f>H1162^2/6</f>
        <v/>
      </c>
      <c r="N1162" s="26">
        <f>H1162^3/12</f>
        <v/>
      </c>
      <c r="O1162" s="27">
        <f>-J1162*L1162*K1162*C1162</f>
        <v/>
      </c>
      <c r="P1162" s="28">
        <f>-(12*F1162*J1162*L1162*N1162+12*O1162*N1162*G1162*COS(RADIANS(E1162)))/(12*N1162*G1162*COS(RADIANS(E1162))^2+L1162*G1162^3*SIN(RADIANS(E1162))^2)</f>
        <v/>
      </c>
      <c r="Q1162" s="28">
        <f>-(6*F1162*J1162*L1162*N1162*SIN(RADIANS(E1162))+6*O1162*N1162*G1162*SIN(RADIANS(E1162))*COS(RADIANS(E1162)))/(12*N1162*COS(RADIANS(E1162))^2+L1162*G1162^2*SIN(RADIANS(E1162))^2)</f>
        <v/>
      </c>
      <c r="R1162" s="28">
        <f>-P1162*SIN(RADIANS(E1162))</f>
        <v/>
      </c>
      <c r="S1162" s="8">
        <f>(O1162+P1162*COS(RADIANS(E1162)))/L1162</f>
        <v/>
      </c>
      <c r="T1162" s="8">
        <f>R1162/L1162</f>
        <v/>
      </c>
      <c r="U1162" s="8">
        <f>(Q1162-P1162*G1162*SIN(RADIANS(E1162)))/M1162</f>
        <v/>
      </c>
      <c r="V1162" s="8">
        <f>SQRT((S1162+U1162)^2+3*T1162^2)</f>
        <v/>
      </c>
      <c r="W1162" s="8">
        <f>V1162/AA1162</f>
        <v/>
      </c>
      <c r="X1162" s="27">
        <f>((3*10+H1162/COS(RADIANS(E1162)))*(3+3)+3*G1162*H1162)*2</f>
        <v/>
      </c>
      <c r="Y1162" s="28">
        <f>Z1162/X1162</f>
        <v/>
      </c>
      <c r="Z1162" s="29" t="n">
        <v>559.716206599909</v>
      </c>
      <c r="AA1162" s="20" t="n">
        <v>30.1870285176539</v>
      </c>
      <c r="AB1162" t="n">
        <v>0.03136626267061399</v>
      </c>
      <c r="AC1162" t="n">
        <v>31.84977743593183</v>
      </c>
      <c r="AD1162" t="n">
        <v>3.080566289462306</v>
      </c>
    </row>
    <row r="1163">
      <c r="A1163" t="n">
        <v>1162</v>
      </c>
      <c r="B1163" t="n">
        <v>78.90000000000001</v>
      </c>
      <c r="C1163" s="21">
        <f>B1163-20</f>
        <v/>
      </c>
      <c r="D1163" t="n">
        <v>110.1</v>
      </c>
      <c r="E1163" s="22">
        <f>D1163-90</f>
        <v/>
      </c>
      <c r="F1163" s="23" t="n">
        <v>0.017271</v>
      </c>
      <c r="G1163" s="22" t="n">
        <v>21</v>
      </c>
      <c r="H1163" s="22" t="n">
        <v>1.2</v>
      </c>
      <c r="I1163" s="24" t="n">
        <v>0.105094172060489</v>
      </c>
      <c r="J1163" s="6" t="n">
        <v>71000</v>
      </c>
      <c r="K1163" s="25">
        <f>23*10^-6</f>
        <v/>
      </c>
      <c r="L1163" s="8">
        <f>H1163</f>
        <v/>
      </c>
      <c r="M1163" s="26">
        <f>H1163^2/6</f>
        <v/>
      </c>
      <c r="N1163" s="26">
        <f>H1163^3/12</f>
        <v/>
      </c>
      <c r="O1163" s="27">
        <f>-J1163*L1163*K1163*C1163</f>
        <v/>
      </c>
      <c r="P1163" s="28">
        <f>-(12*F1163*J1163*L1163*N1163+12*O1163*N1163*G1163*COS(RADIANS(E1163)))/(12*N1163*G1163*COS(RADIANS(E1163))^2+L1163*G1163^3*SIN(RADIANS(E1163))^2)</f>
        <v/>
      </c>
      <c r="Q1163" s="28">
        <f>-(6*F1163*J1163*L1163*N1163*SIN(RADIANS(E1163))+6*O1163*N1163*G1163*SIN(RADIANS(E1163))*COS(RADIANS(E1163)))/(12*N1163*COS(RADIANS(E1163))^2+L1163*G1163^2*SIN(RADIANS(E1163))^2)</f>
        <v/>
      </c>
      <c r="R1163" s="28">
        <f>-P1163*SIN(RADIANS(E1163))</f>
        <v/>
      </c>
      <c r="S1163" s="8">
        <f>(O1163+P1163*COS(RADIANS(E1163)))/L1163</f>
        <v/>
      </c>
      <c r="T1163" s="8">
        <f>R1163/L1163</f>
        <v/>
      </c>
      <c r="U1163" s="8">
        <f>(Q1163-P1163*G1163*SIN(RADIANS(E1163)))/M1163</f>
        <v/>
      </c>
      <c r="V1163" s="8">
        <f>SQRT((S1163+U1163)^2+3*T1163^2)</f>
        <v/>
      </c>
      <c r="W1163" s="8">
        <f>V1163/AA1163</f>
        <v/>
      </c>
      <c r="X1163" s="27">
        <f>((3*10+H1163/COS(RADIANS(E1163)))*(3+3)+3*G1163*H1163)*2</f>
        <v/>
      </c>
      <c r="Y1163" s="28">
        <f>Z1163/X1163</f>
        <v/>
      </c>
      <c r="Z1163" s="29" t="n">
        <v>531.5240936967</v>
      </c>
      <c r="AA1163" s="20" t="n">
        <v>87.8655000957192</v>
      </c>
      <c r="AB1163" t="n">
        <v>0.1267315737409943</v>
      </c>
      <c r="AC1163" t="n">
        <v>91.23534954620696</v>
      </c>
      <c r="AD1163" t="n">
        <v>20.58858379706481</v>
      </c>
    </row>
    <row r="1164">
      <c r="A1164" t="n">
        <v>1163</v>
      </c>
      <c r="B1164" t="n">
        <v>49.3</v>
      </c>
      <c r="C1164" s="21">
        <f>B1164-20</f>
        <v/>
      </c>
      <c r="D1164" t="n">
        <v>104.6</v>
      </c>
      <c r="E1164" s="22">
        <f>D1164-90</f>
        <v/>
      </c>
      <c r="F1164" s="23" t="n">
        <v>0.008921</v>
      </c>
      <c r="G1164" s="22" t="n">
        <v>21.4</v>
      </c>
      <c r="H1164" s="22" t="n">
        <v>1.9</v>
      </c>
      <c r="I1164" s="24" t="n">
        <v>0.0636550039052963</v>
      </c>
      <c r="J1164" s="6" t="n">
        <v>71000</v>
      </c>
      <c r="K1164" s="25">
        <f>23*10^-6</f>
        <v/>
      </c>
      <c r="L1164" s="8">
        <f>H1164</f>
        <v/>
      </c>
      <c r="M1164" s="26">
        <f>H1164^2/6</f>
        <v/>
      </c>
      <c r="N1164" s="26">
        <f>H1164^3/12</f>
        <v/>
      </c>
      <c r="O1164" s="27">
        <f>-J1164*L1164*K1164*C1164</f>
        <v/>
      </c>
      <c r="P1164" s="28">
        <f>-(12*F1164*J1164*L1164*N1164+12*O1164*N1164*G1164*COS(RADIANS(E1164)))/(12*N1164*G1164*COS(RADIANS(E1164))^2+L1164*G1164^3*SIN(RADIANS(E1164))^2)</f>
        <v/>
      </c>
      <c r="Q1164" s="28">
        <f>-(6*F1164*J1164*L1164*N1164*SIN(RADIANS(E1164))+6*O1164*N1164*G1164*SIN(RADIANS(E1164))*COS(RADIANS(E1164)))/(12*N1164*COS(RADIANS(E1164))^2+L1164*G1164^2*SIN(RADIANS(E1164))^2)</f>
        <v/>
      </c>
      <c r="R1164" s="28">
        <f>-P1164*SIN(RADIANS(E1164))</f>
        <v/>
      </c>
      <c r="S1164" s="8">
        <f>(O1164+P1164*COS(RADIANS(E1164)))/L1164</f>
        <v/>
      </c>
      <c r="T1164" s="8">
        <f>R1164/L1164</f>
        <v/>
      </c>
      <c r="U1164" s="8">
        <f>(Q1164-P1164*G1164*SIN(RADIANS(E1164)))/M1164</f>
        <v/>
      </c>
      <c r="V1164" s="8">
        <f>SQRT((S1164+U1164)^2+3*T1164^2)</f>
        <v/>
      </c>
      <c r="W1164" s="8">
        <f>V1164/AA1164</f>
        <v/>
      </c>
      <c r="X1164" s="27">
        <f>((3*10+H1164/COS(RADIANS(E1164)))*(3+3)+3*G1164*H1164)*2</f>
        <v/>
      </c>
      <c r="Y1164" s="28">
        <f>Z1164/X1164</f>
        <v/>
      </c>
      <c r="Z1164" s="29" t="n">
        <v>631.755266773753</v>
      </c>
      <c r="AA1164" s="20" t="n">
        <v>57.039112134375</v>
      </c>
      <c r="AB1164" t="n">
        <v>0.08169995510405598</v>
      </c>
      <c r="AC1164" t="n">
        <v>50.88579601459865</v>
      </c>
      <c r="AD1164" t="n">
        <v>28.34804821566947</v>
      </c>
    </row>
    <row r="1165">
      <c r="A1165" t="n">
        <v>1164</v>
      </c>
      <c r="B1165" t="n">
        <v>51.3</v>
      </c>
      <c r="C1165" s="21">
        <f>B1165-20</f>
        <v/>
      </c>
      <c r="D1165" t="n">
        <v>114</v>
      </c>
      <c r="E1165" s="22">
        <f>D1165-90</f>
        <v/>
      </c>
      <c r="F1165" s="23" t="n">
        <v>0.013485</v>
      </c>
      <c r="G1165" s="22" t="n">
        <v>34.8</v>
      </c>
      <c r="H1165" s="22" t="n">
        <v>1.8</v>
      </c>
      <c r="I1165" s="24" t="n">
        <v>0.0688871443271637</v>
      </c>
      <c r="J1165" s="6" t="n">
        <v>71000</v>
      </c>
      <c r="K1165" s="25">
        <f>23*10^-6</f>
        <v/>
      </c>
      <c r="L1165" s="8">
        <f>H1165</f>
        <v/>
      </c>
      <c r="M1165" s="26">
        <f>H1165^2/6</f>
        <v/>
      </c>
      <c r="N1165" s="26">
        <f>H1165^3/12</f>
        <v/>
      </c>
      <c r="O1165" s="27">
        <f>-J1165*L1165*K1165*C1165</f>
        <v/>
      </c>
      <c r="P1165" s="28">
        <f>-(12*F1165*J1165*L1165*N1165+12*O1165*N1165*G1165*COS(RADIANS(E1165)))/(12*N1165*G1165*COS(RADIANS(E1165))^2+L1165*G1165^3*SIN(RADIANS(E1165))^2)</f>
        <v/>
      </c>
      <c r="Q1165" s="28">
        <f>-(6*F1165*J1165*L1165*N1165*SIN(RADIANS(E1165))+6*O1165*N1165*G1165*SIN(RADIANS(E1165))*COS(RADIANS(E1165)))/(12*N1165*COS(RADIANS(E1165))^2+L1165*G1165^2*SIN(RADIANS(E1165))^2)</f>
        <v/>
      </c>
      <c r="R1165" s="28">
        <f>-P1165*SIN(RADIANS(E1165))</f>
        <v/>
      </c>
      <c r="S1165" s="8">
        <f>(O1165+P1165*COS(RADIANS(E1165)))/L1165</f>
        <v/>
      </c>
      <c r="T1165" s="8">
        <f>R1165/L1165</f>
        <v/>
      </c>
      <c r="U1165" s="8">
        <f>(Q1165-P1165*G1165*SIN(RADIANS(E1165)))/M1165</f>
        <v/>
      </c>
      <c r="V1165" s="8">
        <f>SQRT((S1165+U1165)^2+3*T1165^2)</f>
        <v/>
      </c>
      <c r="W1165" s="8">
        <f>V1165/AA1165</f>
        <v/>
      </c>
      <c r="X1165" s="27">
        <f>((3*10+H1165/COS(RADIANS(E1165)))*(3+3)+3*G1165*H1165)*2</f>
        <v/>
      </c>
      <c r="Y1165" s="28">
        <f>Z1165/X1165</f>
        <v/>
      </c>
      <c r="Z1165" s="29" t="n">
        <v>765.189043685518</v>
      </c>
      <c r="AA1165" s="20" t="n">
        <v>49.4545793566685</v>
      </c>
      <c r="AB1165" t="n">
        <v>0.09057762941808044</v>
      </c>
      <c r="AC1165" t="n">
        <v>47.74887781238774</v>
      </c>
      <c r="AD1165" t="n">
        <v>31.48698542053472</v>
      </c>
    </row>
    <row r="1166">
      <c r="A1166" t="n">
        <v>1165</v>
      </c>
      <c r="B1166" t="n">
        <v>46.9</v>
      </c>
      <c r="C1166" s="21">
        <f>B1166-20</f>
        <v/>
      </c>
      <c r="D1166" t="n">
        <v>124.1</v>
      </c>
      <c r="E1166" s="22">
        <f>D1166-90</f>
        <v/>
      </c>
      <c r="F1166" s="23" t="n">
        <v>0.009382</v>
      </c>
      <c r="G1166" s="22" t="n">
        <v>29.7</v>
      </c>
      <c r="H1166" s="22" t="n">
        <v>1.4</v>
      </c>
      <c r="I1166" s="24" t="n">
        <v>0.0417544357478618</v>
      </c>
      <c r="J1166" s="6" t="n">
        <v>71000</v>
      </c>
      <c r="K1166" s="25">
        <f>23*10^-6</f>
        <v/>
      </c>
      <c r="L1166" s="8">
        <f>H1166</f>
        <v/>
      </c>
      <c r="M1166" s="26">
        <f>H1166^2/6</f>
        <v/>
      </c>
      <c r="N1166" s="26">
        <f>H1166^3/12</f>
        <v/>
      </c>
      <c r="O1166" s="27">
        <f>-J1166*L1166*K1166*C1166</f>
        <v/>
      </c>
      <c r="P1166" s="28">
        <f>-(12*F1166*J1166*L1166*N1166+12*O1166*N1166*G1166*COS(RADIANS(E1166)))/(12*N1166*G1166*COS(RADIANS(E1166))^2+L1166*G1166^3*SIN(RADIANS(E1166))^2)</f>
        <v/>
      </c>
      <c r="Q1166" s="28">
        <f>-(6*F1166*J1166*L1166*N1166*SIN(RADIANS(E1166))+6*O1166*N1166*G1166*SIN(RADIANS(E1166))*COS(RADIANS(E1166)))/(12*N1166*COS(RADIANS(E1166))^2+L1166*G1166^2*SIN(RADIANS(E1166))^2)</f>
        <v/>
      </c>
      <c r="R1166" s="28">
        <f>-P1166*SIN(RADIANS(E1166))</f>
        <v/>
      </c>
      <c r="S1166" s="8">
        <f>(O1166+P1166*COS(RADIANS(E1166)))/L1166</f>
        <v/>
      </c>
      <c r="T1166" s="8">
        <f>R1166/L1166</f>
        <v/>
      </c>
      <c r="U1166" s="8">
        <f>(Q1166-P1166*G1166*SIN(RADIANS(E1166)))/M1166</f>
        <v/>
      </c>
      <c r="V1166" s="8">
        <f>SQRT((S1166+U1166)^2+3*T1166^2)</f>
        <v/>
      </c>
      <c r="W1166" s="8">
        <f>V1166/AA1166</f>
        <v/>
      </c>
      <c r="X1166" s="27">
        <f>((3*10+H1166/COS(RADIANS(E1166)))*(3+3)+3*G1166*H1166)*2</f>
        <v/>
      </c>
      <c r="Y1166" s="28">
        <f>Z1166/X1166</f>
        <v/>
      </c>
      <c r="Z1166" s="29" t="n">
        <v>638.18540137385</v>
      </c>
      <c r="AA1166" s="20" t="n">
        <v>38.6442747230978</v>
      </c>
      <c r="AB1166" t="n">
        <v>0.04637701953554565</v>
      </c>
      <c r="AC1166" t="n">
        <v>38.94271131979864</v>
      </c>
      <c r="AD1166" t="n">
        <v>11.07088074569554</v>
      </c>
    </row>
    <row r="1167">
      <c r="A1167" t="n">
        <v>1166</v>
      </c>
      <c r="B1167" t="n">
        <v>71.5</v>
      </c>
      <c r="C1167" s="21">
        <f>B1167-20</f>
        <v/>
      </c>
      <c r="D1167" t="n">
        <v>122.6</v>
      </c>
      <c r="E1167" s="22">
        <f>D1167-90</f>
        <v/>
      </c>
      <c r="F1167" s="23" t="n">
        <v>0.016086</v>
      </c>
      <c r="G1167" s="22" t="n">
        <v>25.4</v>
      </c>
      <c r="H1167" s="22" t="n">
        <v>1</v>
      </c>
      <c r="I1167" s="24" t="n">
        <v>0.0742896497249603</v>
      </c>
      <c r="J1167" s="6" t="n">
        <v>71000</v>
      </c>
      <c r="K1167" s="25">
        <f>23*10^-6</f>
        <v/>
      </c>
      <c r="L1167" s="8">
        <f>H1167</f>
        <v/>
      </c>
      <c r="M1167" s="26">
        <f>H1167^2/6</f>
        <v/>
      </c>
      <c r="N1167" s="26">
        <f>H1167^3/12</f>
        <v/>
      </c>
      <c r="O1167" s="27">
        <f>-J1167*L1167*K1167*C1167</f>
        <v/>
      </c>
      <c r="P1167" s="28">
        <f>-(12*F1167*J1167*L1167*N1167+12*O1167*N1167*G1167*COS(RADIANS(E1167)))/(12*N1167*G1167*COS(RADIANS(E1167))^2+L1167*G1167^3*SIN(RADIANS(E1167))^2)</f>
        <v/>
      </c>
      <c r="Q1167" s="28">
        <f>-(6*F1167*J1167*L1167*N1167*SIN(RADIANS(E1167))+6*O1167*N1167*G1167*SIN(RADIANS(E1167))*COS(RADIANS(E1167)))/(12*N1167*COS(RADIANS(E1167))^2+L1167*G1167^2*SIN(RADIANS(E1167))^2)</f>
        <v/>
      </c>
      <c r="R1167" s="28">
        <f>-P1167*SIN(RADIANS(E1167))</f>
        <v/>
      </c>
      <c r="S1167" s="8">
        <f>(O1167+P1167*COS(RADIANS(E1167)))/L1167</f>
        <v/>
      </c>
      <c r="T1167" s="8">
        <f>R1167/L1167</f>
        <v/>
      </c>
      <c r="U1167" s="8">
        <f>(Q1167-P1167*G1167*SIN(RADIANS(E1167)))/M1167</f>
        <v/>
      </c>
      <c r="V1167" s="8">
        <f>SQRT((S1167+U1167)^2+3*T1167^2)</f>
        <v/>
      </c>
      <c r="W1167" s="8">
        <f>V1167/AA1167</f>
        <v/>
      </c>
      <c r="X1167" s="27">
        <f>((3*10+H1167/COS(RADIANS(E1167)))*(3+3)+3*G1167*H1167)*2</f>
        <v/>
      </c>
      <c r="Y1167" s="28">
        <f>Z1167/X1167</f>
        <v/>
      </c>
      <c r="Z1167" s="29" t="n">
        <v>534.566014180192</v>
      </c>
      <c r="AA1167" s="20" t="n">
        <v>69.0085198703957</v>
      </c>
      <c r="AB1167" t="n">
        <v>0.08065010541486188</v>
      </c>
      <c r="AC1167" t="n">
        <v>73.72523678623361</v>
      </c>
      <c r="AD1167" t="n">
        <v>8.561698316588719</v>
      </c>
    </row>
    <row r="1168">
      <c r="A1168" t="n">
        <v>1167</v>
      </c>
      <c r="B1168" t="n">
        <v>55.9</v>
      </c>
      <c r="C1168" s="21">
        <f>B1168-20</f>
        <v/>
      </c>
      <c r="D1168" t="n">
        <v>114.6</v>
      </c>
      <c r="E1168" s="22">
        <f>D1168-90</f>
        <v/>
      </c>
      <c r="F1168" s="23" t="n">
        <v>0.015182</v>
      </c>
      <c r="G1168" s="22" t="n">
        <v>34.2</v>
      </c>
      <c r="H1168" s="22" t="n">
        <v>1.4</v>
      </c>
      <c r="I1168" s="24" t="n">
        <v>0.07670512050390239</v>
      </c>
      <c r="J1168" s="6" t="n">
        <v>71000</v>
      </c>
      <c r="K1168" s="25">
        <f>23*10^-6</f>
        <v/>
      </c>
      <c r="L1168" s="8">
        <f>H1168</f>
        <v/>
      </c>
      <c r="M1168" s="26">
        <f>H1168^2/6</f>
        <v/>
      </c>
      <c r="N1168" s="26">
        <f>H1168^3/12</f>
        <v/>
      </c>
      <c r="O1168" s="27">
        <f>-J1168*L1168*K1168*C1168</f>
        <v/>
      </c>
      <c r="P1168" s="28">
        <f>-(12*F1168*J1168*L1168*N1168+12*O1168*N1168*G1168*COS(RADIANS(E1168)))/(12*N1168*G1168*COS(RADIANS(E1168))^2+L1168*G1168^3*SIN(RADIANS(E1168))^2)</f>
        <v/>
      </c>
      <c r="Q1168" s="28">
        <f>-(6*F1168*J1168*L1168*N1168*SIN(RADIANS(E1168))+6*O1168*N1168*G1168*SIN(RADIANS(E1168))*COS(RADIANS(E1168)))/(12*N1168*COS(RADIANS(E1168))^2+L1168*G1168^2*SIN(RADIANS(E1168))^2)</f>
        <v/>
      </c>
      <c r="R1168" s="28">
        <f>-P1168*SIN(RADIANS(E1168))</f>
        <v/>
      </c>
      <c r="S1168" s="8">
        <f>(O1168+P1168*COS(RADIANS(E1168)))/L1168</f>
        <v/>
      </c>
      <c r="T1168" s="8">
        <f>R1168/L1168</f>
        <v/>
      </c>
      <c r="U1168" s="8">
        <f>(Q1168-P1168*G1168*SIN(RADIANS(E1168)))/M1168</f>
        <v/>
      </c>
      <c r="V1168" s="8">
        <f>SQRT((S1168+U1168)^2+3*T1168^2)</f>
        <v/>
      </c>
      <c r="W1168" s="8">
        <f>V1168/AA1168</f>
        <v/>
      </c>
      <c r="X1168" s="27">
        <f>((3*10+H1168/COS(RADIANS(E1168)))*(3+3)+3*G1168*H1168)*2</f>
        <v/>
      </c>
      <c r="Y1168" s="28">
        <f>Z1168/X1168</f>
        <v/>
      </c>
      <c r="Z1168" s="29" t="n">
        <v>671.586462298932</v>
      </c>
      <c r="AA1168" s="20" t="n">
        <v>52.3314459899401</v>
      </c>
      <c r="AB1168" t="n">
        <v>0.1001402069132906</v>
      </c>
      <c r="AC1168" t="n">
        <v>53.30610395276464</v>
      </c>
      <c r="AD1168" t="n">
        <v>30.55217990068333</v>
      </c>
    </row>
    <row r="1169">
      <c r="A1169" t="n">
        <v>1168</v>
      </c>
      <c r="B1169" t="n">
        <v>53.5</v>
      </c>
      <c r="C1169" s="21">
        <f>B1169-20</f>
        <v/>
      </c>
      <c r="D1169" t="n">
        <v>106.6</v>
      </c>
      <c r="E1169" s="22">
        <f>D1169-90</f>
        <v/>
      </c>
      <c r="F1169" s="23" t="n">
        <v>0.011075</v>
      </c>
      <c r="G1169" s="22" t="n">
        <v>24</v>
      </c>
      <c r="H1169" s="22" t="n">
        <v>1.4</v>
      </c>
      <c r="I1169" s="24" t="n">
        <v>0.07471154630184169</v>
      </c>
      <c r="J1169" s="6" t="n">
        <v>71000</v>
      </c>
      <c r="K1169" s="25">
        <f>23*10^-6</f>
        <v/>
      </c>
      <c r="L1169" s="8">
        <f>H1169</f>
        <v/>
      </c>
      <c r="M1169" s="26">
        <f>H1169^2/6</f>
        <v/>
      </c>
      <c r="N1169" s="26">
        <f>H1169^3/12</f>
        <v/>
      </c>
      <c r="O1169" s="27">
        <f>-J1169*L1169*K1169*C1169</f>
        <v/>
      </c>
      <c r="P1169" s="28">
        <f>-(12*F1169*J1169*L1169*N1169+12*O1169*N1169*G1169*COS(RADIANS(E1169)))/(12*N1169*G1169*COS(RADIANS(E1169))^2+L1169*G1169^3*SIN(RADIANS(E1169))^2)</f>
        <v/>
      </c>
      <c r="Q1169" s="28">
        <f>-(6*F1169*J1169*L1169*N1169*SIN(RADIANS(E1169))+6*O1169*N1169*G1169*SIN(RADIANS(E1169))*COS(RADIANS(E1169)))/(12*N1169*COS(RADIANS(E1169))^2+L1169*G1169^2*SIN(RADIANS(E1169))^2)</f>
        <v/>
      </c>
      <c r="R1169" s="28">
        <f>-P1169*SIN(RADIANS(E1169))</f>
        <v/>
      </c>
      <c r="S1169" s="8">
        <f>(O1169+P1169*COS(RADIANS(E1169)))/L1169</f>
        <v/>
      </c>
      <c r="T1169" s="8">
        <f>R1169/L1169</f>
        <v/>
      </c>
      <c r="U1169" s="8">
        <f>(Q1169-P1169*G1169*SIN(RADIANS(E1169)))/M1169</f>
        <v/>
      </c>
      <c r="V1169" s="8">
        <f>SQRT((S1169+U1169)^2+3*T1169^2)</f>
        <v/>
      </c>
      <c r="W1169" s="8">
        <f>V1169/AA1169</f>
        <v/>
      </c>
      <c r="X1169" s="27">
        <f>((3*10+H1169/COS(RADIANS(E1169)))*(3+3)+3*G1169*H1169)*2</f>
        <v/>
      </c>
      <c r="Y1169" s="28">
        <f>Z1169/X1169</f>
        <v/>
      </c>
      <c r="Z1169" s="29" t="n">
        <v>583.608020396695</v>
      </c>
      <c r="AA1169" s="20" t="n">
        <v>52.3788515829172</v>
      </c>
      <c r="AB1169" t="n">
        <v>0.09799952527768938</v>
      </c>
      <c r="AC1169" t="n">
        <v>53.91397037495339</v>
      </c>
      <c r="AD1169" t="n">
        <v>31.17052199905226</v>
      </c>
    </row>
    <row r="1170">
      <c r="A1170" t="n">
        <v>1169</v>
      </c>
      <c r="B1170" t="n">
        <v>86.90000000000001</v>
      </c>
      <c r="C1170" s="21">
        <f>B1170-20</f>
        <v/>
      </c>
      <c r="D1170" t="n">
        <v>125</v>
      </c>
      <c r="E1170" s="22">
        <f>D1170-90</f>
        <v/>
      </c>
      <c r="F1170" s="23" t="n">
        <v>0.021381</v>
      </c>
      <c r="G1170" s="22" t="n">
        <v>26.9</v>
      </c>
      <c r="H1170" s="22" t="n">
        <v>1.9</v>
      </c>
      <c r="I1170" s="24" t="n">
        <v>0.0959789380431175</v>
      </c>
      <c r="J1170" s="6" t="n">
        <v>71000</v>
      </c>
      <c r="K1170" s="25">
        <f>23*10^-6</f>
        <v/>
      </c>
      <c r="L1170" s="8">
        <f>H1170</f>
        <v/>
      </c>
      <c r="M1170" s="26">
        <f>H1170^2/6</f>
        <v/>
      </c>
      <c r="N1170" s="26">
        <f>H1170^3/12</f>
        <v/>
      </c>
      <c r="O1170" s="27">
        <f>-J1170*L1170*K1170*C1170</f>
        <v/>
      </c>
      <c r="P1170" s="28">
        <f>-(12*F1170*J1170*L1170*N1170+12*O1170*N1170*G1170*COS(RADIANS(E1170)))/(12*N1170*G1170*COS(RADIANS(E1170))^2+L1170*G1170^3*SIN(RADIANS(E1170))^2)</f>
        <v/>
      </c>
      <c r="Q1170" s="28">
        <f>-(6*F1170*J1170*L1170*N1170*SIN(RADIANS(E1170))+6*O1170*N1170*G1170*SIN(RADIANS(E1170))*COS(RADIANS(E1170)))/(12*N1170*COS(RADIANS(E1170))^2+L1170*G1170^2*SIN(RADIANS(E1170))^2)</f>
        <v/>
      </c>
      <c r="R1170" s="28">
        <f>-P1170*SIN(RADIANS(E1170))</f>
        <v/>
      </c>
      <c r="S1170" s="8">
        <f>(O1170+P1170*COS(RADIANS(E1170)))/L1170</f>
        <v/>
      </c>
      <c r="T1170" s="8">
        <f>R1170/L1170</f>
        <v/>
      </c>
      <c r="U1170" s="8">
        <f>(Q1170-P1170*G1170*SIN(RADIANS(E1170)))/M1170</f>
        <v/>
      </c>
      <c r="V1170" s="8">
        <f>SQRT((S1170+U1170)^2+3*T1170^2)</f>
        <v/>
      </c>
      <c r="W1170" s="8">
        <f>V1170/AA1170</f>
        <v/>
      </c>
      <c r="X1170" s="27">
        <f>((3*10+H1170/COS(RADIANS(E1170)))*(3+3)+3*G1170*H1170)*2</f>
        <v/>
      </c>
      <c r="Y1170" s="28">
        <f>Z1170/X1170</f>
        <v/>
      </c>
      <c r="Z1170" s="29" t="n">
        <v>703.225880139676</v>
      </c>
      <c r="AA1170" s="20" t="n">
        <v>107.167620594071</v>
      </c>
      <c r="AB1170" t="n">
        <v>0.1015134721255314</v>
      </c>
      <c r="AC1170" t="n">
        <v>99.4643441168416</v>
      </c>
      <c r="AD1170" t="n">
        <v>5.766404791775895</v>
      </c>
    </row>
    <row r="1171">
      <c r="A1171" t="n">
        <v>1170</v>
      </c>
      <c r="B1171" t="n">
        <v>41.2</v>
      </c>
      <c r="C1171" s="21">
        <f>B1171-20</f>
        <v/>
      </c>
      <c r="D1171" t="n">
        <v>109.1</v>
      </c>
      <c r="E1171" s="22">
        <f>D1171-90</f>
        <v/>
      </c>
      <c r="F1171" s="23" t="n">
        <v>0.00604</v>
      </c>
      <c r="G1171" s="22" t="n">
        <v>20.1</v>
      </c>
      <c r="H1171" s="22" t="n">
        <v>1.3</v>
      </c>
      <c r="I1171" s="24" t="n">
        <v>0.0380255877971649</v>
      </c>
      <c r="J1171" s="6" t="n">
        <v>71000</v>
      </c>
      <c r="K1171" s="25">
        <f>23*10^-6</f>
        <v/>
      </c>
      <c r="L1171" s="8">
        <f>H1171</f>
        <v/>
      </c>
      <c r="M1171" s="26">
        <f>H1171^2/6</f>
        <v/>
      </c>
      <c r="N1171" s="26">
        <f>H1171^3/12</f>
        <v/>
      </c>
      <c r="O1171" s="27">
        <f>-J1171*L1171*K1171*C1171</f>
        <v/>
      </c>
      <c r="P1171" s="28">
        <f>-(12*F1171*J1171*L1171*N1171+12*O1171*N1171*G1171*COS(RADIANS(E1171)))/(12*N1171*G1171*COS(RADIANS(E1171))^2+L1171*G1171^3*SIN(RADIANS(E1171))^2)</f>
        <v/>
      </c>
      <c r="Q1171" s="28">
        <f>-(6*F1171*J1171*L1171*N1171*SIN(RADIANS(E1171))+6*O1171*N1171*G1171*SIN(RADIANS(E1171))*COS(RADIANS(E1171)))/(12*N1171*COS(RADIANS(E1171))^2+L1171*G1171^2*SIN(RADIANS(E1171))^2)</f>
        <v/>
      </c>
      <c r="R1171" s="28">
        <f>-P1171*SIN(RADIANS(E1171))</f>
        <v/>
      </c>
      <c r="S1171" s="8">
        <f>(O1171+P1171*COS(RADIANS(E1171)))/L1171</f>
        <v/>
      </c>
      <c r="T1171" s="8">
        <f>R1171/L1171</f>
        <v/>
      </c>
      <c r="U1171" s="8">
        <f>(Q1171-P1171*G1171*SIN(RADIANS(E1171)))/M1171</f>
        <v/>
      </c>
      <c r="V1171" s="8">
        <f>SQRT((S1171+U1171)^2+3*T1171^2)</f>
        <v/>
      </c>
      <c r="W1171" s="8">
        <f>V1171/AA1171</f>
        <v/>
      </c>
      <c r="X1171" s="27">
        <f>((3*10+H1171/COS(RADIANS(E1171)))*(3+3)+3*G1171*H1171)*2</f>
        <v/>
      </c>
      <c r="Y1171" s="28">
        <f>Z1171/X1171</f>
        <v/>
      </c>
      <c r="Z1171" s="29" t="n">
        <v>538.1206568349691</v>
      </c>
      <c r="AA1171" s="20" t="n">
        <v>32.8454629061452</v>
      </c>
      <c r="AB1171" t="n">
        <v>0.04572732415753705</v>
      </c>
      <c r="AC1171" t="n">
        <v>33.50254547870296</v>
      </c>
      <c r="AD1171" t="n">
        <v>20.25408890838072</v>
      </c>
    </row>
    <row r="1172">
      <c r="A1172" t="n">
        <v>1171</v>
      </c>
      <c r="B1172" t="n">
        <v>88.8</v>
      </c>
      <c r="C1172" s="21">
        <f>B1172-20</f>
        <v/>
      </c>
      <c r="D1172" t="n">
        <v>113.1</v>
      </c>
      <c r="E1172" s="22">
        <f>D1172-90</f>
        <v/>
      </c>
      <c r="F1172" s="23" t="n">
        <v>0.028369</v>
      </c>
      <c r="G1172" s="22" t="n">
        <v>32.8</v>
      </c>
      <c r="H1172" s="22" t="n">
        <v>1.1</v>
      </c>
      <c r="I1172" s="24" t="n">
        <v>0.14954262971878</v>
      </c>
      <c r="J1172" s="6" t="n">
        <v>71000</v>
      </c>
      <c r="K1172" s="25">
        <f>23*10^-6</f>
        <v/>
      </c>
      <c r="L1172" s="8">
        <f>H1172</f>
        <v/>
      </c>
      <c r="M1172" s="26">
        <f>H1172^2/6</f>
        <v/>
      </c>
      <c r="N1172" s="26">
        <f>H1172^3/12</f>
        <v/>
      </c>
      <c r="O1172" s="27">
        <f>-J1172*L1172*K1172*C1172</f>
        <v/>
      </c>
      <c r="P1172" s="28">
        <f>-(12*F1172*J1172*L1172*N1172+12*O1172*N1172*G1172*COS(RADIANS(E1172)))/(12*N1172*G1172*COS(RADIANS(E1172))^2+L1172*G1172^3*SIN(RADIANS(E1172))^2)</f>
        <v/>
      </c>
      <c r="Q1172" s="28">
        <f>-(6*F1172*J1172*L1172*N1172*SIN(RADIANS(E1172))+6*O1172*N1172*G1172*SIN(RADIANS(E1172))*COS(RADIANS(E1172)))/(12*N1172*COS(RADIANS(E1172))^2+L1172*G1172^2*SIN(RADIANS(E1172))^2)</f>
        <v/>
      </c>
      <c r="R1172" s="28">
        <f>-P1172*SIN(RADIANS(E1172))</f>
        <v/>
      </c>
      <c r="S1172" s="8">
        <f>(O1172+P1172*COS(RADIANS(E1172)))/L1172</f>
        <v/>
      </c>
      <c r="T1172" s="8">
        <f>R1172/L1172</f>
        <v/>
      </c>
      <c r="U1172" s="8">
        <f>(Q1172-P1172*G1172*SIN(RADIANS(E1172)))/M1172</f>
        <v/>
      </c>
      <c r="V1172" s="8">
        <f>SQRT((S1172+U1172)^2+3*T1172^2)</f>
        <v/>
      </c>
      <c r="W1172" s="8">
        <f>V1172/AA1172</f>
        <v/>
      </c>
      <c r="X1172" s="27">
        <f>((3*10+H1172/COS(RADIANS(E1172)))*(3+3)+3*G1172*H1172)*2</f>
        <v/>
      </c>
      <c r="Y1172" s="28">
        <f>Z1172/X1172</f>
        <v/>
      </c>
      <c r="Z1172" s="29" t="n">
        <v>596.356258861378</v>
      </c>
      <c r="AA1172" s="20" t="n">
        <v>95.0913256281776</v>
      </c>
      <c r="AB1172" t="n">
        <v>0.1975054694522917</v>
      </c>
      <c r="AC1172" t="n">
        <v>100.9666588214167</v>
      </c>
      <c r="AD1172" t="n">
        <v>32.07302146799711</v>
      </c>
    </row>
    <row r="1173">
      <c r="A1173" t="n">
        <v>1172</v>
      </c>
      <c r="B1173" t="n">
        <v>43.9</v>
      </c>
      <c r="C1173" s="21">
        <f>B1173-20</f>
        <v/>
      </c>
      <c r="D1173" t="n">
        <v>109.1</v>
      </c>
      <c r="E1173" s="22">
        <f>D1173-90</f>
        <v/>
      </c>
      <c r="F1173" s="23" t="n">
        <v>0.007376</v>
      </c>
      <c r="G1173" s="22" t="n">
        <v>22.3</v>
      </c>
      <c r="H1173" s="22" t="n">
        <v>1.7</v>
      </c>
      <c r="I1173" s="24" t="n">
        <v>0.0453766584396362</v>
      </c>
      <c r="J1173" s="6" t="n">
        <v>71000</v>
      </c>
      <c r="K1173" s="25">
        <f>23*10^-6</f>
        <v/>
      </c>
      <c r="L1173" s="8">
        <f>H1173</f>
        <v/>
      </c>
      <c r="M1173" s="26">
        <f>H1173^2/6</f>
        <v/>
      </c>
      <c r="N1173" s="26">
        <f>H1173^3/12</f>
        <v/>
      </c>
      <c r="O1173" s="27">
        <f>-J1173*L1173*K1173*C1173</f>
        <v/>
      </c>
      <c r="P1173" s="28">
        <f>-(12*F1173*J1173*L1173*N1173+12*O1173*N1173*G1173*COS(RADIANS(E1173)))/(12*N1173*G1173*COS(RADIANS(E1173))^2+L1173*G1173^3*SIN(RADIANS(E1173))^2)</f>
        <v/>
      </c>
      <c r="Q1173" s="28">
        <f>-(6*F1173*J1173*L1173*N1173*SIN(RADIANS(E1173))+6*O1173*N1173*G1173*SIN(RADIANS(E1173))*COS(RADIANS(E1173)))/(12*N1173*COS(RADIANS(E1173))^2+L1173*G1173^2*SIN(RADIANS(E1173))^2)</f>
        <v/>
      </c>
      <c r="R1173" s="28">
        <f>-P1173*SIN(RADIANS(E1173))</f>
        <v/>
      </c>
      <c r="S1173" s="8">
        <f>(O1173+P1173*COS(RADIANS(E1173)))/L1173</f>
        <v/>
      </c>
      <c r="T1173" s="8">
        <f>R1173/L1173</f>
        <v/>
      </c>
      <c r="U1173" s="8">
        <f>(Q1173-P1173*G1173*SIN(RADIANS(E1173)))/M1173</f>
        <v/>
      </c>
      <c r="V1173" s="8">
        <f>SQRT((S1173+U1173)^2+3*T1173^2)</f>
        <v/>
      </c>
      <c r="W1173" s="8">
        <f>V1173/AA1173</f>
        <v/>
      </c>
      <c r="X1173" s="27">
        <f>((3*10+H1173/COS(RADIANS(E1173)))*(3+3)+3*G1173*H1173)*2</f>
        <v/>
      </c>
      <c r="Y1173" s="28">
        <f>Z1173/X1173</f>
        <v/>
      </c>
      <c r="Z1173" s="29" t="n">
        <v>613.880296525797</v>
      </c>
      <c r="AA1173" s="20" t="n">
        <v>40.1458641170587</v>
      </c>
      <c r="AB1173" t="n">
        <v>0.05592883438760613</v>
      </c>
      <c r="AC1173" t="n">
        <v>38.90750138819353</v>
      </c>
      <c r="AD1173" t="n">
        <v>23.25463423448712</v>
      </c>
    </row>
    <row r="1174">
      <c r="A1174" t="n">
        <v>1173</v>
      </c>
      <c r="B1174" t="n">
        <v>64.90000000000001</v>
      </c>
      <c r="C1174" s="21">
        <f>B1174-20</f>
        <v/>
      </c>
      <c r="D1174" t="n">
        <v>120.1</v>
      </c>
      <c r="E1174" s="22">
        <f>D1174-90</f>
        <v/>
      </c>
      <c r="F1174" s="23" t="n">
        <v>0.017596</v>
      </c>
      <c r="G1174" s="22" t="n">
        <v>32.8</v>
      </c>
      <c r="H1174" s="22" t="n">
        <v>1.5</v>
      </c>
      <c r="I1174" s="24" t="n">
        <v>0.08086133003234861</v>
      </c>
      <c r="J1174" s="6" t="n">
        <v>71000</v>
      </c>
      <c r="K1174" s="25">
        <f>23*10^-6</f>
        <v/>
      </c>
      <c r="L1174" s="8">
        <f>H1174</f>
        <v/>
      </c>
      <c r="M1174" s="26">
        <f>H1174^2/6</f>
        <v/>
      </c>
      <c r="N1174" s="26">
        <f>H1174^3/12</f>
        <v/>
      </c>
      <c r="O1174" s="27">
        <f>-J1174*L1174*K1174*C1174</f>
        <v/>
      </c>
      <c r="P1174" s="28">
        <f>-(12*F1174*J1174*L1174*N1174+12*O1174*N1174*G1174*COS(RADIANS(E1174)))/(12*N1174*G1174*COS(RADIANS(E1174))^2+L1174*G1174^3*SIN(RADIANS(E1174))^2)</f>
        <v/>
      </c>
      <c r="Q1174" s="28">
        <f>-(6*F1174*J1174*L1174*N1174*SIN(RADIANS(E1174))+6*O1174*N1174*G1174*SIN(RADIANS(E1174))*COS(RADIANS(E1174)))/(12*N1174*COS(RADIANS(E1174))^2+L1174*G1174^2*SIN(RADIANS(E1174))^2)</f>
        <v/>
      </c>
      <c r="R1174" s="28">
        <f>-P1174*SIN(RADIANS(E1174))</f>
        <v/>
      </c>
      <c r="S1174" s="8">
        <f>(O1174+P1174*COS(RADIANS(E1174)))/L1174</f>
        <v/>
      </c>
      <c r="T1174" s="8">
        <f>R1174/L1174</f>
        <v/>
      </c>
      <c r="U1174" s="8">
        <f>(Q1174-P1174*G1174*SIN(RADIANS(E1174)))/M1174</f>
        <v/>
      </c>
      <c r="V1174" s="8">
        <f>SQRT((S1174+U1174)^2+3*T1174^2)</f>
        <v/>
      </c>
      <c r="W1174" s="8">
        <f>V1174/AA1174</f>
        <v/>
      </c>
      <c r="X1174" s="27">
        <f>((3*10+H1174/COS(RADIANS(E1174)))*(3+3)+3*G1174*H1174)*2</f>
        <v/>
      </c>
      <c r="Y1174" s="28">
        <f>Z1174/X1174</f>
        <v/>
      </c>
      <c r="Z1174" s="29" t="n">
        <v>683.180044500284</v>
      </c>
      <c r="AA1174" s="20" t="n">
        <v>66.08379673328351</v>
      </c>
      <c r="AB1174" t="n">
        <v>0.09722746160396914</v>
      </c>
      <c r="AC1174" t="n">
        <v>65.82468044726903</v>
      </c>
      <c r="AD1174" t="n">
        <v>20.23975065098887</v>
      </c>
    </row>
    <row r="1175">
      <c r="A1175" t="n">
        <v>1174</v>
      </c>
      <c r="B1175" t="n">
        <v>84.09999999999999</v>
      </c>
      <c r="C1175" s="21">
        <f>B1175-20</f>
        <v/>
      </c>
      <c r="D1175" t="n">
        <v>117.6</v>
      </c>
      <c r="E1175" s="22">
        <f>D1175-90</f>
        <v/>
      </c>
      <c r="F1175" s="23" t="n">
        <v>0.022646</v>
      </c>
      <c r="G1175" s="22" t="n">
        <v>28.2</v>
      </c>
      <c r="H1175" s="22" t="n">
        <v>1.4</v>
      </c>
      <c r="I1175" s="24" t="n">
        <v>0.110583536326885</v>
      </c>
      <c r="J1175" s="6" t="n">
        <v>71000</v>
      </c>
      <c r="K1175" s="25">
        <f>23*10^-6</f>
        <v/>
      </c>
      <c r="L1175" s="8">
        <f>H1175</f>
        <v/>
      </c>
      <c r="M1175" s="26">
        <f>H1175^2/6</f>
        <v/>
      </c>
      <c r="N1175" s="26">
        <f>H1175^3/12</f>
        <v/>
      </c>
      <c r="O1175" s="27">
        <f>-J1175*L1175*K1175*C1175</f>
        <v/>
      </c>
      <c r="P1175" s="28">
        <f>-(12*F1175*J1175*L1175*N1175+12*O1175*N1175*G1175*COS(RADIANS(E1175)))/(12*N1175*G1175*COS(RADIANS(E1175))^2+L1175*G1175^3*SIN(RADIANS(E1175))^2)</f>
        <v/>
      </c>
      <c r="Q1175" s="28">
        <f>-(6*F1175*J1175*L1175*N1175*SIN(RADIANS(E1175))+6*O1175*N1175*G1175*SIN(RADIANS(E1175))*COS(RADIANS(E1175)))/(12*N1175*COS(RADIANS(E1175))^2+L1175*G1175^2*SIN(RADIANS(E1175))^2)</f>
        <v/>
      </c>
      <c r="R1175" s="28">
        <f>-P1175*SIN(RADIANS(E1175))</f>
        <v/>
      </c>
      <c r="S1175" s="8">
        <f>(O1175+P1175*COS(RADIANS(E1175)))/L1175</f>
        <v/>
      </c>
      <c r="T1175" s="8">
        <f>R1175/L1175</f>
        <v/>
      </c>
      <c r="U1175" s="8">
        <f>(Q1175-P1175*G1175*SIN(RADIANS(E1175)))/M1175</f>
        <v/>
      </c>
      <c r="V1175" s="8">
        <f>SQRT((S1175+U1175)^2+3*T1175^2)</f>
        <v/>
      </c>
      <c r="W1175" s="8">
        <f>V1175/AA1175</f>
        <v/>
      </c>
      <c r="X1175" s="27">
        <f>((3*10+H1175/COS(RADIANS(E1175)))*(3+3)+3*G1175*H1175)*2</f>
        <v/>
      </c>
      <c r="Y1175" s="28">
        <f>Z1175/X1175</f>
        <v/>
      </c>
      <c r="Z1175" s="29" t="n">
        <v>622.352712228653</v>
      </c>
      <c r="AA1175" s="20" t="n">
        <v>94.48563696090091</v>
      </c>
      <c r="AB1175" t="n">
        <v>0.131761433025446</v>
      </c>
      <c r="AC1175" t="n">
        <v>95.16495613180599</v>
      </c>
      <c r="AD1175" t="n">
        <v>19.15103947838957</v>
      </c>
    </row>
    <row r="1176">
      <c r="A1176" t="n">
        <v>1175</v>
      </c>
      <c r="B1176" t="n">
        <v>84.90000000000001</v>
      </c>
      <c r="C1176" s="21">
        <f>B1176-20</f>
        <v/>
      </c>
      <c r="D1176" t="n">
        <v>118</v>
      </c>
      <c r="E1176" s="22">
        <f>D1176-90</f>
        <v/>
      </c>
      <c r="F1176" s="23" t="n">
        <v>0.024755</v>
      </c>
      <c r="G1176" s="22" t="n">
        <v>31.1</v>
      </c>
      <c r="H1176" s="22" t="n">
        <v>1.7</v>
      </c>
      <c r="I1176" s="24" t="n">
        <v>0.118405528366565</v>
      </c>
      <c r="J1176" s="6" t="n">
        <v>71000</v>
      </c>
      <c r="K1176" s="25">
        <f>23*10^-6</f>
        <v/>
      </c>
      <c r="L1176" s="8">
        <f>H1176</f>
        <v/>
      </c>
      <c r="M1176" s="26">
        <f>H1176^2/6</f>
        <v/>
      </c>
      <c r="N1176" s="26">
        <f>H1176^3/12</f>
        <v/>
      </c>
      <c r="O1176" s="27">
        <f>-J1176*L1176*K1176*C1176</f>
        <v/>
      </c>
      <c r="P1176" s="28">
        <f>-(12*F1176*J1176*L1176*N1176+12*O1176*N1176*G1176*COS(RADIANS(E1176)))/(12*N1176*G1176*COS(RADIANS(E1176))^2+L1176*G1176^3*SIN(RADIANS(E1176))^2)</f>
        <v/>
      </c>
      <c r="Q1176" s="28">
        <f>-(6*F1176*J1176*L1176*N1176*SIN(RADIANS(E1176))+6*O1176*N1176*G1176*SIN(RADIANS(E1176))*COS(RADIANS(E1176)))/(12*N1176*COS(RADIANS(E1176))^2+L1176*G1176^2*SIN(RADIANS(E1176))^2)</f>
        <v/>
      </c>
      <c r="R1176" s="28">
        <f>-P1176*SIN(RADIANS(E1176))</f>
        <v/>
      </c>
      <c r="S1176" s="8">
        <f>(O1176+P1176*COS(RADIANS(E1176)))/L1176</f>
        <v/>
      </c>
      <c r="T1176" s="8">
        <f>R1176/L1176</f>
        <v/>
      </c>
      <c r="U1176" s="8">
        <f>(Q1176-P1176*G1176*SIN(RADIANS(E1176)))/M1176</f>
        <v/>
      </c>
      <c r="V1176" s="8">
        <f>SQRT((S1176+U1176)^2+3*T1176^2)</f>
        <v/>
      </c>
      <c r="W1176" s="8">
        <f>V1176/AA1176</f>
        <v/>
      </c>
      <c r="X1176" s="27">
        <f>((3*10+H1176/COS(RADIANS(E1176)))*(3+3)+3*G1176*H1176)*2</f>
        <v/>
      </c>
      <c r="Y1176" s="28">
        <f>Z1176/X1176</f>
        <v/>
      </c>
      <c r="Z1176" s="29" t="n">
        <v>706.939739636235</v>
      </c>
      <c r="AA1176" s="20" t="n">
        <v>100.253255589349</v>
      </c>
      <c r="AB1176" t="n">
        <v>0.1437829872631491</v>
      </c>
      <c r="AC1176" t="n">
        <v>97.34405068914566</v>
      </c>
      <c r="AD1176" t="n">
        <v>21.43266386854799</v>
      </c>
    </row>
    <row r="1177">
      <c r="A1177" t="n">
        <v>1176</v>
      </c>
      <c r="B1177" t="n">
        <v>73.2</v>
      </c>
      <c r="C1177" s="21">
        <f>B1177-20</f>
        <v/>
      </c>
      <c r="D1177" t="n">
        <v>104.2</v>
      </c>
      <c r="E1177" s="22">
        <f>D1177-90</f>
        <v/>
      </c>
      <c r="F1177" s="23" t="n">
        <v>0.018749</v>
      </c>
      <c r="G1177" s="22" t="n">
        <v>25.7</v>
      </c>
      <c r="H1177" s="22" t="n">
        <v>1.6</v>
      </c>
      <c r="I1177" s="24" t="n">
        <v>0.138654962182044</v>
      </c>
      <c r="J1177" s="6" t="n">
        <v>71000</v>
      </c>
      <c r="K1177" s="25">
        <f>23*10^-6</f>
        <v/>
      </c>
      <c r="L1177" s="8">
        <f>H1177</f>
        <v/>
      </c>
      <c r="M1177" s="26">
        <f>H1177^2/6</f>
        <v/>
      </c>
      <c r="N1177" s="26">
        <f>H1177^3/12</f>
        <v/>
      </c>
      <c r="O1177" s="27">
        <f>-J1177*L1177*K1177*C1177</f>
        <v/>
      </c>
      <c r="P1177" s="28">
        <f>-(12*F1177*J1177*L1177*N1177+12*O1177*N1177*G1177*COS(RADIANS(E1177)))/(12*N1177*G1177*COS(RADIANS(E1177))^2+L1177*G1177^3*SIN(RADIANS(E1177))^2)</f>
        <v/>
      </c>
      <c r="Q1177" s="28">
        <f>-(6*F1177*J1177*L1177*N1177*SIN(RADIANS(E1177))+6*O1177*N1177*G1177*SIN(RADIANS(E1177))*COS(RADIANS(E1177)))/(12*N1177*COS(RADIANS(E1177))^2+L1177*G1177^2*SIN(RADIANS(E1177))^2)</f>
        <v/>
      </c>
      <c r="R1177" s="28">
        <f>-P1177*SIN(RADIANS(E1177))</f>
        <v/>
      </c>
      <c r="S1177" s="8">
        <f>(O1177+P1177*COS(RADIANS(E1177)))/L1177</f>
        <v/>
      </c>
      <c r="T1177" s="8">
        <f>R1177/L1177</f>
        <v/>
      </c>
      <c r="U1177" s="8">
        <f>(Q1177-P1177*G1177*SIN(RADIANS(E1177)))/M1177</f>
        <v/>
      </c>
      <c r="V1177" s="8">
        <f>SQRT((S1177+U1177)^2+3*T1177^2)</f>
        <v/>
      </c>
      <c r="W1177" s="8">
        <f>V1177/AA1177</f>
        <v/>
      </c>
      <c r="X1177" s="27">
        <f>((3*10+H1177/COS(RADIANS(E1177)))*(3+3)+3*G1177*H1177)*2</f>
        <v/>
      </c>
      <c r="Y1177" s="28">
        <f>Z1177/X1177</f>
        <v/>
      </c>
      <c r="Z1177" s="29" t="n">
        <v>630.715192350148</v>
      </c>
      <c r="AA1177" s="20" t="n">
        <v>88.0540348386443</v>
      </c>
      <c r="AB1177" t="n">
        <v>0.1904711612428383</v>
      </c>
      <c r="AC1177" t="n">
        <v>89.03198582151565</v>
      </c>
      <c r="AD1177" t="n">
        <v>37.3706055992164</v>
      </c>
    </row>
    <row r="1178">
      <c r="A1178" t="n">
        <v>1177</v>
      </c>
      <c r="B1178" t="n">
        <v>44.6</v>
      </c>
      <c r="C1178" s="21">
        <f>B1178-20</f>
        <v/>
      </c>
      <c r="D1178" t="n">
        <v>108.6</v>
      </c>
      <c r="E1178" s="22">
        <f>D1178-90</f>
        <v/>
      </c>
      <c r="F1178" s="23" t="n">
        <v>0.008035</v>
      </c>
      <c r="G1178" s="22" t="n">
        <v>23.9</v>
      </c>
      <c r="H1178" s="22" t="n">
        <v>1.9</v>
      </c>
      <c r="I1178" s="24" t="n">
        <v>0.0496084615588188</v>
      </c>
      <c r="J1178" s="6" t="n">
        <v>71000</v>
      </c>
      <c r="K1178" s="25">
        <f>23*10^-6</f>
        <v/>
      </c>
      <c r="L1178" s="8">
        <f>H1178</f>
        <v/>
      </c>
      <c r="M1178" s="26">
        <f>H1178^2/6</f>
        <v/>
      </c>
      <c r="N1178" s="26">
        <f>H1178^3/12</f>
        <v/>
      </c>
      <c r="O1178" s="27">
        <f>-J1178*L1178*K1178*C1178</f>
        <v/>
      </c>
      <c r="P1178" s="28">
        <f>-(12*F1178*J1178*L1178*N1178+12*O1178*N1178*G1178*COS(RADIANS(E1178)))/(12*N1178*G1178*COS(RADIANS(E1178))^2+L1178*G1178^3*SIN(RADIANS(E1178))^2)</f>
        <v/>
      </c>
      <c r="Q1178" s="28">
        <f>-(6*F1178*J1178*L1178*N1178*SIN(RADIANS(E1178))+6*O1178*N1178*G1178*SIN(RADIANS(E1178))*COS(RADIANS(E1178)))/(12*N1178*COS(RADIANS(E1178))^2+L1178*G1178^2*SIN(RADIANS(E1178))^2)</f>
        <v/>
      </c>
      <c r="R1178" s="28">
        <f>-P1178*SIN(RADIANS(E1178))</f>
        <v/>
      </c>
      <c r="S1178" s="8">
        <f>(O1178+P1178*COS(RADIANS(E1178)))/L1178</f>
        <v/>
      </c>
      <c r="T1178" s="8">
        <f>R1178/L1178</f>
        <v/>
      </c>
      <c r="U1178" s="8">
        <f>(Q1178-P1178*G1178*SIN(RADIANS(E1178)))/M1178</f>
        <v/>
      </c>
      <c r="V1178" s="8">
        <f>SQRT((S1178+U1178)^2+3*T1178^2)</f>
        <v/>
      </c>
      <c r="W1178" s="8">
        <f>V1178/AA1178</f>
        <v/>
      </c>
      <c r="X1178" s="27">
        <f>((3*10+H1178/COS(RADIANS(E1178)))*(3+3)+3*G1178*H1178)*2</f>
        <v/>
      </c>
      <c r="Y1178" s="28">
        <f>Z1178/X1178</f>
        <v/>
      </c>
      <c r="Z1178" s="29" t="n">
        <v>661.272780986111</v>
      </c>
      <c r="AA1178" s="20" t="n">
        <v>42.7543271778486</v>
      </c>
      <c r="AB1178" t="n">
        <v>0.06262627427031195</v>
      </c>
      <c r="AC1178" t="n">
        <v>40.66457792909982</v>
      </c>
      <c r="AD1178" t="n">
        <v>26.24111351660933</v>
      </c>
    </row>
    <row r="1179">
      <c r="A1179" t="n">
        <v>1178</v>
      </c>
      <c r="B1179" t="n">
        <v>50.7</v>
      </c>
      <c r="C1179" s="21">
        <f>B1179-20</f>
        <v/>
      </c>
      <c r="D1179" t="n">
        <v>104.4</v>
      </c>
      <c r="E1179" s="22">
        <f>D1179-90</f>
        <v/>
      </c>
      <c r="F1179" s="23" t="n">
        <v>0.01149</v>
      </c>
      <c r="G1179" s="22" t="n">
        <v>27.7</v>
      </c>
      <c r="H1179" s="22" t="n">
        <v>1.6</v>
      </c>
      <c r="I1179" s="24" t="n">
        <v>0.083908811211586</v>
      </c>
      <c r="J1179" s="6" t="n">
        <v>71000</v>
      </c>
      <c r="K1179" s="25">
        <f>23*10^-6</f>
        <v/>
      </c>
      <c r="L1179" s="8">
        <f>H1179</f>
        <v/>
      </c>
      <c r="M1179" s="26">
        <f>H1179^2/6</f>
        <v/>
      </c>
      <c r="N1179" s="26">
        <f>H1179^3/12</f>
        <v/>
      </c>
      <c r="O1179" s="27">
        <f>-J1179*L1179*K1179*C1179</f>
        <v/>
      </c>
      <c r="P1179" s="28">
        <f>-(12*F1179*J1179*L1179*N1179+12*O1179*N1179*G1179*COS(RADIANS(E1179)))/(12*N1179*G1179*COS(RADIANS(E1179))^2+L1179*G1179^3*SIN(RADIANS(E1179))^2)</f>
        <v/>
      </c>
      <c r="Q1179" s="28">
        <f>-(6*F1179*J1179*L1179*N1179*SIN(RADIANS(E1179))+6*O1179*N1179*G1179*SIN(RADIANS(E1179))*COS(RADIANS(E1179)))/(12*N1179*COS(RADIANS(E1179))^2+L1179*G1179^2*SIN(RADIANS(E1179))^2)</f>
        <v/>
      </c>
      <c r="R1179" s="28">
        <f>-P1179*SIN(RADIANS(E1179))</f>
        <v/>
      </c>
      <c r="S1179" s="8">
        <f>(O1179+P1179*COS(RADIANS(E1179)))/L1179</f>
        <v/>
      </c>
      <c r="T1179" s="8">
        <f>R1179/L1179</f>
        <v/>
      </c>
      <c r="U1179" s="8">
        <f>(Q1179-P1179*G1179*SIN(RADIANS(E1179)))/M1179</f>
        <v/>
      </c>
      <c r="V1179" s="8">
        <f>SQRT((S1179+U1179)^2+3*T1179^2)</f>
        <v/>
      </c>
      <c r="W1179" s="8">
        <f>V1179/AA1179</f>
        <v/>
      </c>
      <c r="X1179" s="27">
        <f>((3*10+H1179/COS(RADIANS(E1179)))*(3+3)+3*G1179*H1179)*2</f>
        <v/>
      </c>
      <c r="Y1179" s="28">
        <f>Z1179/X1179</f>
        <v/>
      </c>
      <c r="Z1179" s="29" t="n">
        <v>649.95485903087</v>
      </c>
      <c r="AA1179" s="20" t="n">
        <v>50.4432731701069</v>
      </c>
      <c r="AB1179" t="n">
        <v>0.1173112329205604</v>
      </c>
      <c r="AC1179" t="n">
        <v>50.87657159962835</v>
      </c>
      <c r="AD1179" t="n">
        <v>39.80800255261178</v>
      </c>
    </row>
    <row r="1180">
      <c r="A1180" t="n">
        <v>1179</v>
      </c>
      <c r="B1180" t="n">
        <v>67.59999999999999</v>
      </c>
      <c r="C1180" s="21">
        <f>B1180-20</f>
        <v/>
      </c>
      <c r="D1180" t="n">
        <v>106</v>
      </c>
      <c r="E1180" s="22">
        <f>D1180-90</f>
        <v/>
      </c>
      <c r="F1180" s="23" t="n">
        <v>0.021408</v>
      </c>
      <c r="G1180" s="22" t="n">
        <v>34.8</v>
      </c>
      <c r="H1180" s="22" t="n">
        <v>1.5</v>
      </c>
      <c r="I1180" s="24" t="n">
        <v>0.143248632550239</v>
      </c>
      <c r="J1180" s="6" t="n">
        <v>71000</v>
      </c>
      <c r="K1180" s="25">
        <f>23*10^-6</f>
        <v/>
      </c>
      <c r="L1180" s="8">
        <f>H1180</f>
        <v/>
      </c>
      <c r="M1180" s="26">
        <f>H1180^2/6</f>
        <v/>
      </c>
      <c r="N1180" s="26">
        <f>H1180^3/12</f>
        <v/>
      </c>
      <c r="O1180" s="27">
        <f>-J1180*L1180*K1180*C1180</f>
        <v/>
      </c>
      <c r="P1180" s="28">
        <f>-(12*F1180*J1180*L1180*N1180+12*O1180*N1180*G1180*COS(RADIANS(E1180)))/(12*N1180*G1180*COS(RADIANS(E1180))^2+L1180*G1180^3*SIN(RADIANS(E1180))^2)</f>
        <v/>
      </c>
      <c r="Q1180" s="28">
        <f>-(6*F1180*J1180*L1180*N1180*SIN(RADIANS(E1180))+6*O1180*N1180*G1180*SIN(RADIANS(E1180))*COS(RADIANS(E1180)))/(12*N1180*COS(RADIANS(E1180))^2+L1180*G1180^2*SIN(RADIANS(E1180))^2)</f>
        <v/>
      </c>
      <c r="R1180" s="28">
        <f>-P1180*SIN(RADIANS(E1180))</f>
        <v/>
      </c>
      <c r="S1180" s="8">
        <f>(O1180+P1180*COS(RADIANS(E1180)))/L1180</f>
        <v/>
      </c>
      <c r="T1180" s="8">
        <f>R1180/L1180</f>
        <v/>
      </c>
      <c r="U1180" s="8">
        <f>(Q1180-P1180*G1180*SIN(RADIANS(E1180)))/M1180</f>
        <v/>
      </c>
      <c r="V1180" s="8">
        <f>SQRT((S1180+U1180)^2+3*T1180^2)</f>
        <v/>
      </c>
      <c r="W1180" s="8">
        <f>V1180/AA1180</f>
        <v/>
      </c>
      <c r="X1180" s="27">
        <f>((3*10+H1180/COS(RADIANS(E1180)))*(3+3)+3*G1180*H1180)*2</f>
        <v/>
      </c>
      <c r="Y1180" s="28">
        <f>Z1180/X1180</f>
        <v/>
      </c>
      <c r="Z1180" s="29" t="n">
        <v>696.326205691828</v>
      </c>
      <c r="AA1180" s="20" t="n">
        <v>73.15134571047621</v>
      </c>
      <c r="AB1180" t="n">
        <v>0.2080412145688437</v>
      </c>
      <c r="AC1180" t="n">
        <v>75.05926427972871</v>
      </c>
      <c r="AD1180" t="n">
        <v>45.23085551681004</v>
      </c>
    </row>
    <row r="1181">
      <c r="A1181" t="n">
        <v>1180</v>
      </c>
      <c r="B1181" t="n">
        <v>48.8</v>
      </c>
      <c r="C1181" s="21">
        <f>B1181-20</f>
        <v/>
      </c>
      <c r="D1181" t="n">
        <v>114.2</v>
      </c>
      <c r="E1181" s="22">
        <f>D1181-90</f>
        <v/>
      </c>
      <c r="F1181" s="23" t="n">
        <v>0.008858</v>
      </c>
      <c r="G1181" s="22" t="n">
        <v>23</v>
      </c>
      <c r="H1181" s="22" t="n">
        <v>1.3</v>
      </c>
      <c r="I1181" s="24" t="n">
        <v>0.0477002933621406</v>
      </c>
      <c r="J1181" s="6" t="n">
        <v>71000</v>
      </c>
      <c r="K1181" s="25">
        <f>23*10^-6</f>
        <v/>
      </c>
      <c r="L1181" s="8">
        <f>H1181</f>
        <v/>
      </c>
      <c r="M1181" s="26">
        <f>H1181^2/6</f>
        <v/>
      </c>
      <c r="N1181" s="26">
        <f>H1181^3/12</f>
        <v/>
      </c>
      <c r="O1181" s="27">
        <f>-J1181*L1181*K1181*C1181</f>
        <v/>
      </c>
      <c r="P1181" s="28">
        <f>-(12*F1181*J1181*L1181*N1181+12*O1181*N1181*G1181*COS(RADIANS(E1181)))/(12*N1181*G1181*COS(RADIANS(E1181))^2+L1181*G1181^3*SIN(RADIANS(E1181))^2)</f>
        <v/>
      </c>
      <c r="Q1181" s="28">
        <f>-(6*F1181*J1181*L1181*N1181*SIN(RADIANS(E1181))+6*O1181*N1181*G1181*SIN(RADIANS(E1181))*COS(RADIANS(E1181)))/(12*N1181*COS(RADIANS(E1181))^2+L1181*G1181^2*SIN(RADIANS(E1181))^2)</f>
        <v/>
      </c>
      <c r="R1181" s="28">
        <f>-P1181*SIN(RADIANS(E1181))</f>
        <v/>
      </c>
      <c r="S1181" s="8">
        <f>(O1181+P1181*COS(RADIANS(E1181)))/L1181</f>
        <v/>
      </c>
      <c r="T1181" s="8">
        <f>R1181/L1181</f>
        <v/>
      </c>
      <c r="U1181" s="8">
        <f>(Q1181-P1181*G1181*SIN(RADIANS(E1181)))/M1181</f>
        <v/>
      </c>
      <c r="V1181" s="8">
        <f>SQRT((S1181+U1181)^2+3*T1181^2)</f>
        <v/>
      </c>
      <c r="W1181" s="8">
        <f>V1181/AA1181</f>
        <v/>
      </c>
      <c r="X1181" s="27">
        <f>((3*10+H1181/COS(RADIANS(E1181)))*(3+3)+3*G1181*H1181)*2</f>
        <v/>
      </c>
      <c r="Y1181" s="28">
        <f>Z1181/X1181</f>
        <v/>
      </c>
      <c r="Z1181" s="29" t="n">
        <v>562.248963942871</v>
      </c>
      <c r="AA1181" s="20" t="n">
        <v>42.7183089802771</v>
      </c>
      <c r="AB1181" t="n">
        <v>0.05592761978540906</v>
      </c>
      <c r="AC1181" t="n">
        <v>43.67328816145073</v>
      </c>
      <c r="AD1181" t="n">
        <v>17.24795770291515</v>
      </c>
    </row>
    <row r="1182">
      <c r="A1182" t="n">
        <v>1181</v>
      </c>
      <c r="B1182" t="n">
        <v>58.7</v>
      </c>
      <c r="C1182" s="21">
        <f>B1182-20</f>
        <v/>
      </c>
      <c r="D1182" t="n">
        <v>101.8</v>
      </c>
      <c r="E1182" s="22">
        <f>D1182-90</f>
        <v/>
      </c>
      <c r="F1182" s="23" t="n">
        <v>0.015776</v>
      </c>
      <c r="G1182" s="22" t="n">
        <v>30.4</v>
      </c>
      <c r="H1182" s="22" t="n">
        <v>1.5</v>
      </c>
      <c r="I1182" s="24" t="n">
        <v>0.133051395416259</v>
      </c>
      <c r="J1182" s="6" t="n">
        <v>71000</v>
      </c>
      <c r="K1182" s="25">
        <f>23*10^-6</f>
        <v/>
      </c>
      <c r="L1182" s="8">
        <f>H1182</f>
        <v/>
      </c>
      <c r="M1182" s="26">
        <f>H1182^2/6</f>
        <v/>
      </c>
      <c r="N1182" s="26">
        <f>H1182^3/12</f>
        <v/>
      </c>
      <c r="O1182" s="27">
        <f>-J1182*L1182*K1182*C1182</f>
        <v/>
      </c>
      <c r="P1182" s="28">
        <f>-(12*F1182*J1182*L1182*N1182+12*O1182*N1182*G1182*COS(RADIANS(E1182)))/(12*N1182*G1182*COS(RADIANS(E1182))^2+L1182*G1182^3*SIN(RADIANS(E1182))^2)</f>
        <v/>
      </c>
      <c r="Q1182" s="28">
        <f>-(6*F1182*J1182*L1182*N1182*SIN(RADIANS(E1182))+6*O1182*N1182*G1182*SIN(RADIANS(E1182))*COS(RADIANS(E1182)))/(12*N1182*COS(RADIANS(E1182))^2+L1182*G1182^2*SIN(RADIANS(E1182))^2)</f>
        <v/>
      </c>
      <c r="R1182" s="28">
        <f>-P1182*SIN(RADIANS(E1182))</f>
        <v/>
      </c>
      <c r="S1182" s="8">
        <f>(O1182+P1182*COS(RADIANS(E1182)))/L1182</f>
        <v/>
      </c>
      <c r="T1182" s="8">
        <f>R1182/L1182</f>
        <v/>
      </c>
      <c r="U1182" s="8">
        <f>(Q1182-P1182*G1182*SIN(RADIANS(E1182)))/M1182</f>
        <v/>
      </c>
      <c r="V1182" s="8">
        <f>SQRT((S1182+U1182)^2+3*T1182^2)</f>
        <v/>
      </c>
      <c r="W1182" s="8">
        <f>V1182/AA1182</f>
        <v/>
      </c>
      <c r="X1182" s="27">
        <f>((3*10+H1182/COS(RADIANS(E1182)))*(3+3)+3*G1182*H1182)*2</f>
        <v/>
      </c>
      <c r="Y1182" s="28">
        <f>Z1182/X1182</f>
        <v/>
      </c>
      <c r="Z1182" s="29" t="n">
        <v>655.940360657108</v>
      </c>
      <c r="AA1182" s="20" t="n">
        <v>62.2070308059405</v>
      </c>
      <c r="AB1182" t="n">
        <v>0.1966783316906677</v>
      </c>
      <c r="AC1182" t="n">
        <v>64.9768511463153</v>
      </c>
      <c r="AD1182" t="n">
        <v>47.82132203525422</v>
      </c>
    </row>
    <row r="1183">
      <c r="A1183" t="n">
        <v>1182</v>
      </c>
      <c r="B1183" t="n">
        <v>57</v>
      </c>
      <c r="C1183" s="21">
        <f>B1183-20</f>
        <v/>
      </c>
      <c r="D1183" t="n">
        <v>126.1</v>
      </c>
      <c r="E1183" s="22">
        <f>D1183-90</f>
        <v/>
      </c>
      <c r="F1183" s="23" t="n">
        <v>0.013505</v>
      </c>
      <c r="G1183" s="22" t="n">
        <v>32.2</v>
      </c>
      <c r="H1183" s="22" t="n">
        <v>1.3</v>
      </c>
      <c r="I1183" s="24" t="n">
        <v>0.0584449097514152</v>
      </c>
      <c r="J1183" s="6" t="n">
        <v>71000</v>
      </c>
      <c r="K1183" s="25">
        <f>23*10^-6</f>
        <v/>
      </c>
      <c r="L1183" s="8">
        <f>H1183</f>
        <v/>
      </c>
      <c r="M1183" s="26">
        <f>H1183^2/6</f>
        <v/>
      </c>
      <c r="N1183" s="26">
        <f>H1183^3/12</f>
        <v/>
      </c>
      <c r="O1183" s="27">
        <f>-J1183*L1183*K1183*C1183</f>
        <v/>
      </c>
      <c r="P1183" s="28">
        <f>-(12*F1183*J1183*L1183*N1183+12*O1183*N1183*G1183*COS(RADIANS(E1183)))/(12*N1183*G1183*COS(RADIANS(E1183))^2+L1183*G1183^3*SIN(RADIANS(E1183))^2)</f>
        <v/>
      </c>
      <c r="Q1183" s="28">
        <f>-(6*F1183*J1183*L1183*N1183*SIN(RADIANS(E1183))+6*O1183*N1183*G1183*SIN(RADIANS(E1183))*COS(RADIANS(E1183)))/(12*N1183*COS(RADIANS(E1183))^2+L1183*G1183^2*SIN(RADIANS(E1183))^2)</f>
        <v/>
      </c>
      <c r="R1183" s="28">
        <f>-P1183*SIN(RADIANS(E1183))</f>
        <v/>
      </c>
      <c r="S1183" s="8">
        <f>(O1183+P1183*COS(RADIANS(E1183)))/L1183</f>
        <v/>
      </c>
      <c r="T1183" s="8">
        <f>R1183/L1183</f>
        <v/>
      </c>
      <c r="U1183" s="8">
        <f>(Q1183-P1183*G1183*SIN(RADIANS(E1183)))/M1183</f>
        <v/>
      </c>
      <c r="V1183" s="8">
        <f>SQRT((S1183+U1183)^2+3*T1183^2)</f>
        <v/>
      </c>
      <c r="W1183" s="8">
        <f>V1183/AA1183</f>
        <v/>
      </c>
      <c r="X1183" s="27">
        <f>((3*10+H1183/COS(RADIANS(E1183)))*(3+3)+3*G1183*H1183)*2</f>
        <v/>
      </c>
      <c r="Y1183" s="28">
        <f>Z1183/X1183</f>
        <v/>
      </c>
      <c r="Z1183" s="29" t="n">
        <v>639.604143983864</v>
      </c>
      <c r="AA1183" s="20" t="n">
        <v>51.023009763216</v>
      </c>
      <c r="AB1183" t="n">
        <v>0.06479876579380092</v>
      </c>
      <c r="AC1183" t="n">
        <v>52.8459108225555</v>
      </c>
      <c r="AD1183" t="n">
        <v>10.87153024858914</v>
      </c>
    </row>
    <row r="1184">
      <c r="A1184" t="n">
        <v>1183</v>
      </c>
      <c r="B1184" t="n">
        <v>85.8</v>
      </c>
      <c r="C1184" s="21">
        <f>B1184-20</f>
        <v/>
      </c>
      <c r="D1184" t="n">
        <v>115</v>
      </c>
      <c r="E1184" s="22">
        <f>D1184-90</f>
        <v/>
      </c>
      <c r="F1184" s="23" t="n">
        <v>0.024148</v>
      </c>
      <c r="G1184" s="22" t="n">
        <v>28.9</v>
      </c>
      <c r="H1184" s="22" t="n">
        <v>2</v>
      </c>
      <c r="I1184" s="24" t="n">
        <v>0.123303815722465</v>
      </c>
      <c r="J1184" s="6" t="n">
        <v>71000</v>
      </c>
      <c r="K1184" s="25">
        <f>23*10^-6</f>
        <v/>
      </c>
      <c r="L1184" s="8">
        <f>H1184</f>
        <v/>
      </c>
      <c r="M1184" s="26">
        <f>H1184^2/6</f>
        <v/>
      </c>
      <c r="N1184" s="26">
        <f>H1184^3/12</f>
        <v/>
      </c>
      <c r="O1184" s="27">
        <f>-J1184*L1184*K1184*C1184</f>
        <v/>
      </c>
      <c r="P1184" s="28">
        <f>-(12*F1184*J1184*L1184*N1184+12*O1184*N1184*G1184*COS(RADIANS(E1184)))/(12*N1184*G1184*COS(RADIANS(E1184))^2+L1184*G1184^3*SIN(RADIANS(E1184))^2)</f>
        <v/>
      </c>
      <c r="Q1184" s="28">
        <f>-(6*F1184*J1184*L1184*N1184*SIN(RADIANS(E1184))+6*O1184*N1184*G1184*SIN(RADIANS(E1184))*COS(RADIANS(E1184)))/(12*N1184*COS(RADIANS(E1184))^2+L1184*G1184^2*SIN(RADIANS(E1184))^2)</f>
        <v/>
      </c>
      <c r="R1184" s="28">
        <f>-P1184*SIN(RADIANS(E1184))</f>
        <v/>
      </c>
      <c r="S1184" s="8">
        <f>(O1184+P1184*COS(RADIANS(E1184)))/L1184</f>
        <v/>
      </c>
      <c r="T1184" s="8">
        <f>R1184/L1184</f>
        <v/>
      </c>
      <c r="U1184" s="8">
        <f>(Q1184-P1184*G1184*SIN(RADIANS(E1184)))/M1184</f>
        <v/>
      </c>
      <c r="V1184" s="8">
        <f>SQRT((S1184+U1184)^2+3*T1184^2)</f>
        <v/>
      </c>
      <c r="W1184" s="8">
        <f>V1184/AA1184</f>
        <v/>
      </c>
      <c r="X1184" s="27">
        <f>((3*10+H1184/COS(RADIANS(E1184)))*(3+3)+3*G1184*H1184)*2</f>
        <v/>
      </c>
      <c r="Y1184" s="28">
        <f>Z1184/X1184</f>
        <v/>
      </c>
      <c r="Z1184" s="29" t="n">
        <v>739.19576949584</v>
      </c>
      <c r="AA1184" s="20" t="n">
        <v>109.928679943621</v>
      </c>
      <c r="AB1184" t="n">
        <v>0.1516879426148503</v>
      </c>
      <c r="AC1184" t="n">
        <v>102.680808877127</v>
      </c>
      <c r="AD1184" t="n">
        <v>23.01966628208238</v>
      </c>
    </row>
    <row r="1185">
      <c r="A1185" t="n">
        <v>1184</v>
      </c>
      <c r="B1185" t="n">
        <v>55.9</v>
      </c>
      <c r="C1185" s="21">
        <f>B1185-20</f>
        <v/>
      </c>
      <c r="D1185" t="n">
        <v>123.9</v>
      </c>
      <c r="E1185" s="22">
        <f>D1185-90</f>
        <v/>
      </c>
      <c r="F1185" s="23" t="n">
        <v>0.013496</v>
      </c>
      <c r="G1185" s="22" t="n">
        <v>32.5</v>
      </c>
      <c r="H1185" s="22" t="n">
        <v>1.9</v>
      </c>
      <c r="I1185" s="24" t="n">
        <v>0.0595096349716186</v>
      </c>
      <c r="J1185" s="6" t="n">
        <v>71000</v>
      </c>
      <c r="K1185" s="25">
        <f>23*10^-6</f>
        <v/>
      </c>
      <c r="L1185" s="8">
        <f>H1185</f>
        <v/>
      </c>
      <c r="M1185" s="26">
        <f>H1185^2/6</f>
        <v/>
      </c>
      <c r="N1185" s="26">
        <f>H1185^3/12</f>
        <v/>
      </c>
      <c r="O1185" s="27">
        <f>-J1185*L1185*K1185*C1185</f>
        <v/>
      </c>
      <c r="P1185" s="28">
        <f>-(12*F1185*J1185*L1185*N1185+12*O1185*N1185*G1185*COS(RADIANS(E1185)))/(12*N1185*G1185*COS(RADIANS(E1185))^2+L1185*G1185^3*SIN(RADIANS(E1185))^2)</f>
        <v/>
      </c>
      <c r="Q1185" s="28">
        <f>-(6*F1185*J1185*L1185*N1185*SIN(RADIANS(E1185))+6*O1185*N1185*G1185*SIN(RADIANS(E1185))*COS(RADIANS(E1185)))/(12*N1185*COS(RADIANS(E1185))^2+L1185*G1185^2*SIN(RADIANS(E1185))^2)</f>
        <v/>
      </c>
      <c r="R1185" s="28">
        <f>-P1185*SIN(RADIANS(E1185))</f>
        <v/>
      </c>
      <c r="S1185" s="8">
        <f>(O1185+P1185*COS(RADIANS(E1185)))/L1185</f>
        <v/>
      </c>
      <c r="T1185" s="8">
        <f>R1185/L1185</f>
        <v/>
      </c>
      <c r="U1185" s="8">
        <f>(Q1185-P1185*G1185*SIN(RADIANS(E1185)))/M1185</f>
        <v/>
      </c>
      <c r="V1185" s="8">
        <f>SQRT((S1185+U1185)^2+3*T1185^2)</f>
        <v/>
      </c>
      <c r="W1185" s="8">
        <f>V1185/AA1185</f>
        <v/>
      </c>
      <c r="X1185" s="27">
        <f>((3*10+H1185/COS(RADIANS(E1185)))*(3+3)+3*G1185*H1185)*2</f>
        <v/>
      </c>
      <c r="Y1185" s="28">
        <f>Z1185/X1185</f>
        <v/>
      </c>
      <c r="Z1185" s="29" t="n">
        <v>766.31833698623</v>
      </c>
      <c r="AA1185" s="20" t="n">
        <v>56.3576394650123</v>
      </c>
      <c r="AB1185" t="n">
        <v>0.06761683301725481</v>
      </c>
      <c r="AC1185" t="n">
        <v>52.99802464958798</v>
      </c>
      <c r="AD1185" t="n">
        <v>13.62333687562141</v>
      </c>
    </row>
    <row r="1186">
      <c r="A1186" t="n">
        <v>1185</v>
      </c>
      <c r="B1186" t="n">
        <v>82.3</v>
      </c>
      <c r="C1186" s="21">
        <f>B1186-20</f>
        <v/>
      </c>
      <c r="D1186" t="n">
        <v>103.9</v>
      </c>
      <c r="E1186" s="22">
        <f>D1186-90</f>
        <v/>
      </c>
      <c r="F1186" s="23" t="n">
        <v>0.027081</v>
      </c>
      <c r="G1186" s="22" t="n">
        <v>33.1</v>
      </c>
      <c r="H1186" s="22" t="n">
        <v>1.2</v>
      </c>
      <c r="I1186" s="24" t="n">
        <v>0.203382566571235</v>
      </c>
      <c r="J1186" s="6" t="n">
        <v>71000</v>
      </c>
      <c r="K1186" s="25">
        <f>23*10^-6</f>
        <v/>
      </c>
      <c r="L1186" s="8">
        <f>H1186</f>
        <v/>
      </c>
      <c r="M1186" s="26">
        <f>H1186^2/6</f>
        <v/>
      </c>
      <c r="N1186" s="26">
        <f>H1186^3/12</f>
        <v/>
      </c>
      <c r="O1186" s="27">
        <f>-J1186*L1186*K1186*C1186</f>
        <v/>
      </c>
      <c r="P1186" s="28">
        <f>-(12*F1186*J1186*L1186*N1186+12*O1186*N1186*G1186*COS(RADIANS(E1186)))/(12*N1186*G1186*COS(RADIANS(E1186))^2+L1186*G1186^3*SIN(RADIANS(E1186))^2)</f>
        <v/>
      </c>
      <c r="Q1186" s="28">
        <f>-(6*F1186*J1186*L1186*N1186*SIN(RADIANS(E1186))+6*O1186*N1186*G1186*SIN(RADIANS(E1186))*COS(RADIANS(E1186)))/(12*N1186*COS(RADIANS(E1186))^2+L1186*G1186^2*SIN(RADIANS(E1186))^2)</f>
        <v/>
      </c>
      <c r="R1186" s="28">
        <f>-P1186*SIN(RADIANS(E1186))</f>
        <v/>
      </c>
      <c r="S1186" s="8">
        <f>(O1186+P1186*COS(RADIANS(E1186)))/L1186</f>
        <v/>
      </c>
      <c r="T1186" s="8">
        <f>R1186/L1186</f>
        <v/>
      </c>
      <c r="U1186" s="8">
        <f>(Q1186-P1186*G1186*SIN(RADIANS(E1186)))/M1186</f>
        <v/>
      </c>
      <c r="V1186" s="8">
        <f>SQRT((S1186+U1186)^2+3*T1186^2)</f>
        <v/>
      </c>
      <c r="W1186" s="8">
        <f>V1186/AA1186</f>
        <v/>
      </c>
      <c r="X1186" s="27">
        <f>((3*10+H1186/COS(RADIANS(E1186)))*(3+3)+3*G1186*H1186)*2</f>
        <v/>
      </c>
      <c r="Y1186" s="28">
        <f>Z1186/X1186</f>
        <v/>
      </c>
      <c r="Z1186" s="29" t="n">
        <v>617.312038796358</v>
      </c>
      <c r="AA1186" s="20" t="n">
        <v>91.90936911351071</v>
      </c>
      <c r="AB1186" t="n">
        <v>0.3002752881319822</v>
      </c>
      <c r="AC1186" t="n">
        <v>97.77821149130212</v>
      </c>
      <c r="AD1186" t="n">
        <v>47.64062288829975</v>
      </c>
    </row>
    <row r="1187">
      <c r="A1187" t="n">
        <v>1186</v>
      </c>
      <c r="B1187" t="n">
        <v>75.7</v>
      </c>
      <c r="C1187" s="21">
        <f>B1187-20</f>
        <v/>
      </c>
      <c r="D1187" t="n">
        <v>127.3</v>
      </c>
      <c r="E1187" s="22">
        <f>D1187-90</f>
        <v/>
      </c>
      <c r="F1187" s="23" t="n">
        <v>0.019923</v>
      </c>
      <c r="G1187" s="22" t="n">
        <v>31.9</v>
      </c>
      <c r="H1187" s="22" t="n">
        <v>1</v>
      </c>
      <c r="I1187" s="24" t="n">
        <v>0.08555034548044201</v>
      </c>
      <c r="J1187" s="6" t="n">
        <v>71000</v>
      </c>
      <c r="K1187" s="25">
        <f>23*10^-6</f>
        <v/>
      </c>
      <c r="L1187" s="8">
        <f>H1187</f>
        <v/>
      </c>
      <c r="M1187" s="26">
        <f>H1187^2/6</f>
        <v/>
      </c>
      <c r="N1187" s="26">
        <f>H1187^3/12</f>
        <v/>
      </c>
      <c r="O1187" s="27">
        <f>-J1187*L1187*K1187*C1187</f>
        <v/>
      </c>
      <c r="P1187" s="28">
        <f>-(12*F1187*J1187*L1187*N1187+12*O1187*N1187*G1187*COS(RADIANS(E1187)))/(12*N1187*G1187*COS(RADIANS(E1187))^2+L1187*G1187^3*SIN(RADIANS(E1187))^2)</f>
        <v/>
      </c>
      <c r="Q1187" s="28">
        <f>-(6*F1187*J1187*L1187*N1187*SIN(RADIANS(E1187))+6*O1187*N1187*G1187*SIN(RADIANS(E1187))*COS(RADIANS(E1187)))/(12*N1187*COS(RADIANS(E1187))^2+L1187*G1187^2*SIN(RADIANS(E1187))^2)</f>
        <v/>
      </c>
      <c r="R1187" s="28">
        <f>-P1187*SIN(RADIANS(E1187))</f>
        <v/>
      </c>
      <c r="S1187" s="8">
        <f>(O1187+P1187*COS(RADIANS(E1187)))/L1187</f>
        <v/>
      </c>
      <c r="T1187" s="8">
        <f>R1187/L1187</f>
        <v/>
      </c>
      <c r="U1187" s="8">
        <f>(Q1187-P1187*G1187*SIN(RADIANS(E1187)))/M1187</f>
        <v/>
      </c>
      <c r="V1187" s="8">
        <f>SQRT((S1187+U1187)^2+3*T1187^2)</f>
        <v/>
      </c>
      <c r="W1187" s="8">
        <f>V1187/AA1187</f>
        <v/>
      </c>
      <c r="X1187" s="27">
        <f>((3*10+H1187/COS(RADIANS(E1187)))*(3+3)+3*G1187*H1187)*2</f>
        <v/>
      </c>
      <c r="Y1187" s="28">
        <f>Z1187/X1187</f>
        <v/>
      </c>
      <c r="Z1187" s="29" t="n">
        <v>576.089694944622</v>
      </c>
      <c r="AA1187" s="20" t="n">
        <v>71.041248907745</v>
      </c>
      <c r="AB1187" t="n">
        <v>0.0934073833585643</v>
      </c>
      <c r="AC1187" t="n">
        <v>78.33240347337862</v>
      </c>
      <c r="AD1187" t="n">
        <v>9.184110051219516</v>
      </c>
    </row>
    <row r="1188">
      <c r="A1188" t="n">
        <v>1187</v>
      </c>
      <c r="B1188" t="n">
        <v>69.3</v>
      </c>
      <c r="C1188" s="21">
        <f>B1188-20</f>
        <v/>
      </c>
      <c r="D1188" t="n">
        <v>126.2</v>
      </c>
      <c r="E1188" s="22">
        <f>D1188-90</f>
        <v/>
      </c>
      <c r="F1188" s="23" t="n">
        <v>0.018157</v>
      </c>
      <c r="G1188" s="22" t="n">
        <v>32.6</v>
      </c>
      <c r="H1188" s="22" t="n">
        <v>1.3</v>
      </c>
      <c r="I1188" s="24" t="n">
        <v>0.0783910229802131</v>
      </c>
      <c r="J1188" s="6" t="n">
        <v>71000</v>
      </c>
      <c r="K1188" s="25">
        <f>23*10^-6</f>
        <v/>
      </c>
      <c r="L1188" s="8">
        <f>H1188</f>
        <v/>
      </c>
      <c r="M1188" s="26">
        <f>H1188^2/6</f>
        <v/>
      </c>
      <c r="N1188" s="26">
        <f>H1188^3/12</f>
        <v/>
      </c>
      <c r="O1188" s="27">
        <f>-J1188*L1188*K1188*C1188</f>
        <v/>
      </c>
      <c r="P1188" s="28">
        <f>-(12*F1188*J1188*L1188*N1188+12*O1188*N1188*G1188*COS(RADIANS(E1188)))/(12*N1188*G1188*COS(RADIANS(E1188))^2+L1188*G1188^3*SIN(RADIANS(E1188))^2)</f>
        <v/>
      </c>
      <c r="Q1188" s="28">
        <f>-(6*F1188*J1188*L1188*N1188*SIN(RADIANS(E1188))+6*O1188*N1188*G1188*SIN(RADIANS(E1188))*COS(RADIANS(E1188)))/(12*N1188*COS(RADIANS(E1188))^2+L1188*G1188^2*SIN(RADIANS(E1188))^2)</f>
        <v/>
      </c>
      <c r="R1188" s="28">
        <f>-P1188*SIN(RADIANS(E1188))</f>
        <v/>
      </c>
      <c r="S1188" s="8">
        <f>(O1188+P1188*COS(RADIANS(E1188)))/L1188</f>
        <v/>
      </c>
      <c r="T1188" s="8">
        <f>R1188/L1188</f>
        <v/>
      </c>
      <c r="U1188" s="8">
        <f>(Q1188-P1188*G1188*SIN(RADIANS(E1188)))/M1188</f>
        <v/>
      </c>
      <c r="V1188" s="8">
        <f>SQRT((S1188+U1188)^2+3*T1188^2)</f>
        <v/>
      </c>
      <c r="W1188" s="8">
        <f>V1188/AA1188</f>
        <v/>
      </c>
      <c r="X1188" s="27">
        <f>((3*10+H1188/COS(RADIANS(E1188)))*(3+3)+3*G1188*H1188)*2</f>
        <v/>
      </c>
      <c r="Y1188" s="28">
        <f>Z1188/X1188</f>
        <v/>
      </c>
      <c r="Z1188" s="29" t="n">
        <v>642.786674743717</v>
      </c>
      <c r="AA1188" s="20" t="n">
        <v>67.6977251059398</v>
      </c>
      <c r="AB1188" t="n">
        <v>0.08709907942245983</v>
      </c>
      <c r="AC1188" t="n">
        <v>70.36189806935802</v>
      </c>
      <c r="AD1188" t="n">
        <v>11.10848680268499</v>
      </c>
    </row>
    <row r="1189">
      <c r="A1189" t="n">
        <v>1188</v>
      </c>
      <c r="B1189" t="n">
        <v>81.3</v>
      </c>
      <c r="C1189" s="21">
        <f>B1189-20</f>
        <v/>
      </c>
      <c r="D1189" t="n">
        <v>102.5</v>
      </c>
      <c r="E1189" s="22">
        <f>D1189-90</f>
        <v/>
      </c>
      <c r="F1189" s="23" t="n">
        <v>0.024251</v>
      </c>
      <c r="G1189" s="22" t="n">
        <v>29.4</v>
      </c>
      <c r="H1189" s="22" t="n">
        <v>1.9</v>
      </c>
      <c r="I1189" s="24" t="n">
        <v>0.191771641373634</v>
      </c>
      <c r="J1189" s="6" t="n">
        <v>71000</v>
      </c>
      <c r="K1189" s="25">
        <f>23*10^-6</f>
        <v/>
      </c>
      <c r="L1189" s="8">
        <f>H1189</f>
        <v/>
      </c>
      <c r="M1189" s="26">
        <f>H1189^2/6</f>
        <v/>
      </c>
      <c r="N1189" s="26">
        <f>H1189^3/12</f>
        <v/>
      </c>
      <c r="O1189" s="27">
        <f>-J1189*L1189*K1189*C1189</f>
        <v/>
      </c>
      <c r="P1189" s="28">
        <f>-(12*F1189*J1189*L1189*N1189+12*O1189*N1189*G1189*COS(RADIANS(E1189)))/(12*N1189*G1189*COS(RADIANS(E1189))^2+L1189*G1189^3*SIN(RADIANS(E1189))^2)</f>
        <v/>
      </c>
      <c r="Q1189" s="28">
        <f>-(6*F1189*J1189*L1189*N1189*SIN(RADIANS(E1189))+6*O1189*N1189*G1189*SIN(RADIANS(E1189))*COS(RADIANS(E1189)))/(12*N1189*COS(RADIANS(E1189))^2+L1189*G1189^2*SIN(RADIANS(E1189))^2)</f>
        <v/>
      </c>
      <c r="R1189" s="28">
        <f>-P1189*SIN(RADIANS(E1189))</f>
        <v/>
      </c>
      <c r="S1189" s="8">
        <f>(O1189+P1189*COS(RADIANS(E1189)))/L1189</f>
        <v/>
      </c>
      <c r="T1189" s="8">
        <f>R1189/L1189</f>
        <v/>
      </c>
      <c r="U1189" s="8">
        <f>(Q1189-P1189*G1189*SIN(RADIANS(E1189)))/M1189</f>
        <v/>
      </c>
      <c r="V1189" s="8">
        <f>SQRT((S1189+U1189)^2+3*T1189^2)</f>
        <v/>
      </c>
      <c r="W1189" s="8">
        <f>V1189/AA1189</f>
        <v/>
      </c>
      <c r="X1189" s="27">
        <f>((3*10+H1189/COS(RADIANS(E1189)))*(3+3)+3*G1189*H1189)*2</f>
        <v/>
      </c>
      <c r="Y1189" s="28">
        <f>Z1189/X1189</f>
        <v/>
      </c>
      <c r="Z1189" s="29" t="n">
        <v>722.52991065556</v>
      </c>
      <c r="AA1189" s="20" t="n">
        <v>108.729669514786</v>
      </c>
      <c r="AB1189" t="n">
        <v>0.2769151490598853</v>
      </c>
      <c r="AC1189" t="n">
        <v>106.3480544087909</v>
      </c>
      <c r="AD1189" t="n">
        <v>44.39838292897743</v>
      </c>
    </row>
    <row r="1190">
      <c r="A1190" t="n">
        <v>1189</v>
      </c>
      <c r="B1190" t="n">
        <v>51.3</v>
      </c>
      <c r="C1190" s="21">
        <f>B1190-20</f>
        <v/>
      </c>
      <c r="D1190" t="n">
        <v>115.8</v>
      </c>
      <c r="E1190" s="22">
        <f>D1190-90</f>
        <v/>
      </c>
      <c r="F1190" s="23" t="n">
        <v>0.012228</v>
      </c>
      <c r="G1190" s="22" t="n">
        <v>31.4</v>
      </c>
      <c r="H1190" s="22" t="n">
        <v>1.2</v>
      </c>
      <c r="I1190" s="24" t="n">
        <v>0.0608651116490364</v>
      </c>
      <c r="J1190" s="6" t="n">
        <v>71000</v>
      </c>
      <c r="K1190" s="25">
        <f>23*10^-6</f>
        <v/>
      </c>
      <c r="L1190" s="8">
        <f>H1190</f>
        <v/>
      </c>
      <c r="M1190" s="26">
        <f>H1190^2/6</f>
        <v/>
      </c>
      <c r="N1190" s="26">
        <f>H1190^3/12</f>
        <v/>
      </c>
      <c r="O1190" s="27">
        <f>-J1190*L1190*K1190*C1190</f>
        <v/>
      </c>
      <c r="P1190" s="28">
        <f>-(12*F1190*J1190*L1190*N1190+12*O1190*N1190*G1190*COS(RADIANS(E1190)))/(12*N1190*G1190*COS(RADIANS(E1190))^2+L1190*G1190^3*SIN(RADIANS(E1190))^2)</f>
        <v/>
      </c>
      <c r="Q1190" s="28">
        <f>-(6*F1190*J1190*L1190*N1190*SIN(RADIANS(E1190))+6*O1190*N1190*G1190*SIN(RADIANS(E1190))*COS(RADIANS(E1190)))/(12*N1190*COS(RADIANS(E1190))^2+L1190*G1190^2*SIN(RADIANS(E1190))^2)</f>
        <v/>
      </c>
      <c r="R1190" s="28">
        <f>-P1190*SIN(RADIANS(E1190))</f>
        <v/>
      </c>
      <c r="S1190" s="8">
        <f>(O1190+P1190*COS(RADIANS(E1190)))/L1190</f>
        <v/>
      </c>
      <c r="T1190" s="8">
        <f>R1190/L1190</f>
        <v/>
      </c>
      <c r="U1190" s="8">
        <f>(Q1190-P1190*G1190*SIN(RADIANS(E1190)))/M1190</f>
        <v/>
      </c>
      <c r="V1190" s="8">
        <f>SQRT((S1190+U1190)^2+3*T1190^2)</f>
        <v/>
      </c>
      <c r="W1190" s="8">
        <f>V1190/AA1190</f>
        <v/>
      </c>
      <c r="X1190" s="27">
        <f>((3*10+H1190/COS(RADIANS(E1190)))*(3+3)+3*G1190*H1190)*2</f>
        <v/>
      </c>
      <c r="Y1190" s="28">
        <f>Z1190/X1190</f>
        <v/>
      </c>
      <c r="Z1190" s="29" t="n">
        <v>608.165189277248</v>
      </c>
      <c r="AA1190" s="20" t="n">
        <v>43.9604924476812</v>
      </c>
      <c r="AB1190" t="n">
        <v>0.07671650520790781</v>
      </c>
      <c r="AC1190" t="n">
        <v>45.89048585423328</v>
      </c>
      <c r="AD1190" t="n">
        <v>26.04348062363632</v>
      </c>
    </row>
    <row r="1191">
      <c r="A1191" t="n">
        <v>1190</v>
      </c>
      <c r="B1191" t="n">
        <v>86.7</v>
      </c>
      <c r="C1191" s="21">
        <f>B1191-20</f>
        <v/>
      </c>
      <c r="D1191" t="n">
        <v>129.5</v>
      </c>
      <c r="E1191" s="22">
        <f>D1191-90</f>
        <v/>
      </c>
      <c r="F1191" s="23" t="n">
        <v>0.019876</v>
      </c>
      <c r="G1191" s="22" t="n">
        <v>26.1</v>
      </c>
      <c r="H1191" s="22" t="n">
        <v>2</v>
      </c>
      <c r="I1191" s="24" t="n">
        <v>0.0874001756310463</v>
      </c>
      <c r="J1191" s="6" t="n">
        <v>71000</v>
      </c>
      <c r="K1191" s="25">
        <f>23*10^-6</f>
        <v/>
      </c>
      <c r="L1191" s="8">
        <f>H1191</f>
        <v/>
      </c>
      <c r="M1191" s="26">
        <f>H1191^2/6</f>
        <v/>
      </c>
      <c r="N1191" s="26">
        <f>H1191^3/12</f>
        <v/>
      </c>
      <c r="O1191" s="27">
        <f>-J1191*L1191*K1191*C1191</f>
        <v/>
      </c>
      <c r="P1191" s="28">
        <f>-(12*F1191*J1191*L1191*N1191+12*O1191*N1191*G1191*COS(RADIANS(E1191)))/(12*N1191*G1191*COS(RADIANS(E1191))^2+L1191*G1191^3*SIN(RADIANS(E1191))^2)</f>
        <v/>
      </c>
      <c r="Q1191" s="28">
        <f>-(6*F1191*J1191*L1191*N1191*SIN(RADIANS(E1191))+6*O1191*N1191*G1191*SIN(RADIANS(E1191))*COS(RADIANS(E1191)))/(12*N1191*COS(RADIANS(E1191))^2+L1191*G1191^2*SIN(RADIANS(E1191))^2)</f>
        <v/>
      </c>
      <c r="R1191" s="28">
        <f>-P1191*SIN(RADIANS(E1191))</f>
        <v/>
      </c>
      <c r="S1191" s="8">
        <f>(O1191+P1191*COS(RADIANS(E1191)))/L1191</f>
        <v/>
      </c>
      <c r="T1191" s="8">
        <f>R1191/L1191</f>
        <v/>
      </c>
      <c r="U1191" s="8">
        <f>(Q1191-P1191*G1191*SIN(RADIANS(E1191)))/M1191</f>
        <v/>
      </c>
      <c r="V1191" s="8">
        <f>SQRT((S1191+U1191)^2+3*T1191^2)</f>
        <v/>
      </c>
      <c r="W1191" s="8">
        <f>V1191/AA1191</f>
        <v/>
      </c>
      <c r="X1191" s="27">
        <f>((3*10+H1191/COS(RADIANS(E1191)))*(3+3)+3*G1191*H1191)*2</f>
        <v/>
      </c>
      <c r="Y1191" s="28">
        <f>Z1191/X1191</f>
        <v/>
      </c>
      <c r="Z1191" s="29" t="n">
        <v>714.8400456058999</v>
      </c>
      <c r="AA1191" s="20" t="n">
        <v>107.379739434412</v>
      </c>
      <c r="AB1191" t="n">
        <v>0.08617340264034412</v>
      </c>
      <c r="AC1191" t="n">
        <v>98.14786454453821</v>
      </c>
      <c r="AD1191" t="n">
        <v>-1.403627603542709</v>
      </c>
    </row>
    <row r="1192">
      <c r="A1192" t="n">
        <v>1191</v>
      </c>
      <c r="B1192" t="n">
        <v>57.3</v>
      </c>
      <c r="C1192" s="21">
        <f>B1192-20</f>
        <v/>
      </c>
      <c r="D1192" t="n">
        <v>111.7</v>
      </c>
      <c r="E1192" s="22">
        <f>D1192-90</f>
        <v/>
      </c>
      <c r="F1192" s="23" t="n">
        <v>0.014483</v>
      </c>
      <c r="G1192" s="22" t="n">
        <v>30.2</v>
      </c>
      <c r="H1192" s="22" t="n">
        <v>1.5</v>
      </c>
      <c r="I1192" s="24" t="n">
        <v>0.08002800494432449</v>
      </c>
      <c r="J1192" s="6" t="n">
        <v>71000</v>
      </c>
      <c r="K1192" s="25">
        <f>23*10^-6</f>
        <v/>
      </c>
      <c r="L1192" s="8">
        <f>H1192</f>
        <v/>
      </c>
      <c r="M1192" s="26">
        <f>H1192^2/6</f>
        <v/>
      </c>
      <c r="N1192" s="26">
        <f>H1192^3/12</f>
        <v/>
      </c>
      <c r="O1192" s="27">
        <f>-J1192*L1192*K1192*C1192</f>
        <v/>
      </c>
      <c r="P1192" s="28">
        <f>-(12*F1192*J1192*L1192*N1192+12*O1192*N1192*G1192*COS(RADIANS(E1192)))/(12*N1192*G1192*COS(RADIANS(E1192))^2+L1192*G1192^3*SIN(RADIANS(E1192))^2)</f>
        <v/>
      </c>
      <c r="Q1192" s="28">
        <f>-(6*F1192*J1192*L1192*N1192*SIN(RADIANS(E1192))+6*O1192*N1192*G1192*SIN(RADIANS(E1192))*COS(RADIANS(E1192)))/(12*N1192*COS(RADIANS(E1192))^2+L1192*G1192^2*SIN(RADIANS(E1192))^2)</f>
        <v/>
      </c>
      <c r="R1192" s="28">
        <f>-P1192*SIN(RADIANS(E1192))</f>
        <v/>
      </c>
      <c r="S1192" s="8">
        <f>(O1192+P1192*COS(RADIANS(E1192)))/L1192</f>
        <v/>
      </c>
      <c r="T1192" s="8">
        <f>R1192/L1192</f>
        <v/>
      </c>
      <c r="U1192" s="8">
        <f>(Q1192-P1192*G1192*SIN(RADIANS(E1192)))/M1192</f>
        <v/>
      </c>
      <c r="V1192" s="8">
        <f>SQRT((S1192+U1192)^2+3*T1192^2)</f>
        <v/>
      </c>
      <c r="W1192" s="8">
        <f>V1192/AA1192</f>
        <v/>
      </c>
      <c r="X1192" s="27">
        <f>((3*10+H1192/COS(RADIANS(E1192)))*(3+3)+3*G1192*H1192)*2</f>
        <v/>
      </c>
      <c r="Y1192" s="28">
        <f>Z1192/X1192</f>
        <v/>
      </c>
      <c r="Z1192" s="29" t="n">
        <v>656.437081817252</v>
      </c>
      <c r="AA1192" s="20" t="n">
        <v>57.3769696691074</v>
      </c>
      <c r="AB1192" t="n">
        <v>0.1047436007387035</v>
      </c>
      <c r="AC1192" t="n">
        <v>57.15081058821453</v>
      </c>
      <c r="AD1192" t="n">
        <v>30.88368354499605</v>
      </c>
    </row>
    <row r="1193">
      <c r="A1193" t="n">
        <v>1192</v>
      </c>
      <c r="B1193" t="n">
        <v>65.90000000000001</v>
      </c>
      <c r="C1193" s="21">
        <f>B1193-20</f>
        <v/>
      </c>
      <c r="D1193" t="n">
        <v>123.3</v>
      </c>
      <c r="E1193" s="22">
        <f>D1193-90</f>
        <v/>
      </c>
      <c r="F1193" s="23" t="n">
        <v>0.017091</v>
      </c>
      <c r="G1193" s="22" t="n">
        <v>31.9</v>
      </c>
      <c r="H1193" s="22" t="n">
        <v>1.8</v>
      </c>
      <c r="I1193" s="24" t="n">
        <v>0.07596623152494431</v>
      </c>
      <c r="J1193" s="6" t="n">
        <v>71000</v>
      </c>
      <c r="K1193" s="25">
        <f>23*10^-6</f>
        <v/>
      </c>
      <c r="L1193" s="8">
        <f>H1193</f>
        <v/>
      </c>
      <c r="M1193" s="26">
        <f>H1193^2/6</f>
        <v/>
      </c>
      <c r="N1193" s="26">
        <f>H1193^3/12</f>
        <v/>
      </c>
      <c r="O1193" s="27">
        <f>-J1193*L1193*K1193*C1193</f>
        <v/>
      </c>
      <c r="P1193" s="28">
        <f>-(12*F1193*J1193*L1193*N1193+12*O1193*N1193*G1193*COS(RADIANS(E1193)))/(12*N1193*G1193*COS(RADIANS(E1193))^2+L1193*G1193^3*SIN(RADIANS(E1193))^2)</f>
        <v/>
      </c>
      <c r="Q1193" s="28">
        <f>-(6*F1193*J1193*L1193*N1193*SIN(RADIANS(E1193))+6*O1193*N1193*G1193*SIN(RADIANS(E1193))*COS(RADIANS(E1193)))/(12*N1193*COS(RADIANS(E1193))^2+L1193*G1193^2*SIN(RADIANS(E1193))^2)</f>
        <v/>
      </c>
      <c r="R1193" s="28">
        <f>-P1193*SIN(RADIANS(E1193))</f>
        <v/>
      </c>
      <c r="S1193" s="8">
        <f>(O1193+P1193*COS(RADIANS(E1193)))/L1193</f>
        <v/>
      </c>
      <c r="T1193" s="8">
        <f>R1193/L1193</f>
        <v/>
      </c>
      <c r="U1193" s="8">
        <f>(Q1193-P1193*G1193*SIN(RADIANS(E1193)))/M1193</f>
        <v/>
      </c>
      <c r="V1193" s="8">
        <f>SQRT((S1193+U1193)^2+3*T1193^2)</f>
        <v/>
      </c>
      <c r="W1193" s="8">
        <f>V1193/AA1193</f>
        <v/>
      </c>
      <c r="X1193" s="27">
        <f>((3*10+H1193/COS(RADIANS(E1193)))*(3+3)+3*G1193*H1193)*2</f>
        <v/>
      </c>
      <c r="Y1193" s="28">
        <f>Z1193/X1193</f>
        <v/>
      </c>
      <c r="Z1193" s="29" t="n">
        <v>738.511655681737</v>
      </c>
      <c r="AA1193" s="20" t="n">
        <v>71.06159953337649</v>
      </c>
      <c r="AB1193" t="n">
        <v>0.08663579368931761</v>
      </c>
      <c r="AC1193" t="n">
        <v>67.6670516245569</v>
      </c>
      <c r="AD1193" t="n">
        <v>14.04513814913912</v>
      </c>
    </row>
    <row r="1194">
      <c r="A1194" t="n">
        <v>1193</v>
      </c>
      <c r="B1194" t="n">
        <v>75.90000000000001</v>
      </c>
      <c r="C1194" s="21">
        <f>B1194-20</f>
        <v/>
      </c>
      <c r="D1194" t="n">
        <v>123.1</v>
      </c>
      <c r="E1194" s="22">
        <f>D1194-90</f>
        <v/>
      </c>
      <c r="F1194" s="23" t="n">
        <v>0.020213</v>
      </c>
      <c r="G1194" s="22" t="n">
        <v>30.7</v>
      </c>
      <c r="H1194" s="22" t="n">
        <v>1.6</v>
      </c>
      <c r="I1194" s="24" t="n">
        <v>0.0904543548822403</v>
      </c>
      <c r="J1194" s="6" t="n">
        <v>71000</v>
      </c>
      <c r="K1194" s="25">
        <f>23*10^-6</f>
        <v/>
      </c>
      <c r="L1194" s="8">
        <f>H1194</f>
        <v/>
      </c>
      <c r="M1194" s="26">
        <f>H1194^2/6</f>
        <v/>
      </c>
      <c r="N1194" s="26">
        <f>H1194^3/12</f>
        <v/>
      </c>
      <c r="O1194" s="27">
        <f>-J1194*L1194*K1194*C1194</f>
        <v/>
      </c>
      <c r="P1194" s="28">
        <f>-(12*F1194*J1194*L1194*N1194+12*O1194*N1194*G1194*COS(RADIANS(E1194)))/(12*N1194*G1194*COS(RADIANS(E1194))^2+L1194*G1194^3*SIN(RADIANS(E1194))^2)</f>
        <v/>
      </c>
      <c r="Q1194" s="28">
        <f>-(6*F1194*J1194*L1194*N1194*SIN(RADIANS(E1194))+6*O1194*N1194*G1194*SIN(RADIANS(E1194))*COS(RADIANS(E1194)))/(12*N1194*COS(RADIANS(E1194))^2+L1194*G1194^2*SIN(RADIANS(E1194))^2)</f>
        <v/>
      </c>
      <c r="R1194" s="28">
        <f>-P1194*SIN(RADIANS(E1194))</f>
        <v/>
      </c>
      <c r="S1194" s="8">
        <f>(O1194+P1194*COS(RADIANS(E1194)))/L1194</f>
        <v/>
      </c>
      <c r="T1194" s="8">
        <f>R1194/L1194</f>
        <v/>
      </c>
      <c r="U1194" s="8">
        <f>(Q1194-P1194*G1194*SIN(RADIANS(E1194)))/M1194</f>
        <v/>
      </c>
      <c r="V1194" s="8">
        <f>SQRT((S1194+U1194)^2+3*T1194^2)</f>
        <v/>
      </c>
      <c r="W1194" s="8">
        <f>V1194/AA1194</f>
        <v/>
      </c>
      <c r="X1194" s="27">
        <f>((3*10+H1194/COS(RADIANS(E1194)))*(3+3)+3*G1194*H1194)*2</f>
        <v/>
      </c>
      <c r="Y1194" s="28">
        <f>Z1194/X1194</f>
        <v/>
      </c>
      <c r="Z1194" s="29" t="n">
        <v>685.722251576964</v>
      </c>
      <c r="AA1194" s="20" t="n">
        <v>83.9726868227678</v>
      </c>
      <c r="AB1194" t="n">
        <v>0.1025441001458564</v>
      </c>
      <c r="AC1194" t="n">
        <v>81.85065556940872</v>
      </c>
      <c r="AD1194" t="n">
        <v>13.36557568660494</v>
      </c>
    </row>
    <row r="1195">
      <c r="A1195" t="n">
        <v>1194</v>
      </c>
      <c r="B1195" t="n">
        <v>77.7</v>
      </c>
      <c r="C1195" s="21">
        <f>B1195-20</f>
        <v/>
      </c>
      <c r="D1195" t="n">
        <v>123.7</v>
      </c>
      <c r="E1195" s="22">
        <f>D1195-90</f>
        <v/>
      </c>
      <c r="F1195" s="23" t="n">
        <v>0.021294</v>
      </c>
      <c r="G1195" s="22" t="n">
        <v>31.7</v>
      </c>
      <c r="H1195" s="22" t="n">
        <v>1.7</v>
      </c>
      <c r="I1195" s="24" t="n">
        <v>0.0943418070673942</v>
      </c>
      <c r="J1195" s="6" t="n">
        <v>71000</v>
      </c>
      <c r="K1195" s="25">
        <f>23*10^-6</f>
        <v/>
      </c>
      <c r="L1195" s="8">
        <f>H1195</f>
        <v/>
      </c>
      <c r="M1195" s="26">
        <f>H1195^2/6</f>
        <v/>
      </c>
      <c r="N1195" s="26">
        <f>H1195^3/12</f>
        <v/>
      </c>
      <c r="O1195" s="27">
        <f>-J1195*L1195*K1195*C1195</f>
        <v/>
      </c>
      <c r="P1195" s="28">
        <f>-(12*F1195*J1195*L1195*N1195+12*O1195*N1195*G1195*COS(RADIANS(E1195)))/(12*N1195*G1195*COS(RADIANS(E1195))^2+L1195*G1195^3*SIN(RADIANS(E1195))^2)</f>
        <v/>
      </c>
      <c r="Q1195" s="28">
        <f>-(6*F1195*J1195*L1195*N1195*SIN(RADIANS(E1195))+6*O1195*N1195*G1195*SIN(RADIANS(E1195))*COS(RADIANS(E1195)))/(12*N1195*COS(RADIANS(E1195))^2+L1195*G1195^2*SIN(RADIANS(E1195))^2)</f>
        <v/>
      </c>
      <c r="R1195" s="28">
        <f>-P1195*SIN(RADIANS(E1195))</f>
        <v/>
      </c>
      <c r="S1195" s="8">
        <f>(O1195+P1195*COS(RADIANS(E1195)))/L1195</f>
        <v/>
      </c>
      <c r="T1195" s="8">
        <f>R1195/L1195</f>
        <v/>
      </c>
      <c r="U1195" s="8">
        <f>(Q1195-P1195*G1195*SIN(RADIANS(E1195)))/M1195</f>
        <v/>
      </c>
      <c r="V1195" s="8">
        <f>SQRT((S1195+U1195)^2+3*T1195^2)</f>
        <v/>
      </c>
      <c r="W1195" s="8">
        <f>V1195/AA1195</f>
        <v/>
      </c>
      <c r="X1195" s="27">
        <f>((3*10+H1195/COS(RADIANS(E1195)))*(3+3)+3*G1195*H1195)*2</f>
        <v/>
      </c>
      <c r="Y1195" s="28">
        <f>Z1195/X1195</f>
        <v/>
      </c>
      <c r="Z1195" s="29" t="n">
        <v>716.141956819729</v>
      </c>
      <c r="AA1195" s="20" t="n">
        <v>87.7110881673519</v>
      </c>
      <c r="AB1195" t="n">
        <v>0.1069673223145262</v>
      </c>
      <c r="AC1195" t="n">
        <v>84.57711072754945</v>
      </c>
      <c r="AD1195" t="n">
        <v>13.38273628584706</v>
      </c>
    </row>
    <row r="1196">
      <c r="A1196" t="n">
        <v>1195</v>
      </c>
      <c r="B1196" t="n">
        <v>51.5</v>
      </c>
      <c r="C1196" s="21">
        <f>B1196-20</f>
        <v/>
      </c>
      <c r="D1196" t="n">
        <v>101.6</v>
      </c>
      <c r="E1196" s="22">
        <f>D1196-90</f>
        <v/>
      </c>
      <c r="F1196" s="23" t="n">
        <v>0.013974</v>
      </c>
      <c r="G1196" s="22" t="n">
        <v>33.6</v>
      </c>
      <c r="H1196" s="22" t="n">
        <v>1.2</v>
      </c>
      <c r="I1196" s="24" t="n">
        <v>0.120707862079143</v>
      </c>
      <c r="J1196" s="6" t="n">
        <v>71000</v>
      </c>
      <c r="K1196" s="25">
        <f>23*10^-6</f>
        <v/>
      </c>
      <c r="L1196" s="8">
        <f>H1196</f>
        <v/>
      </c>
      <c r="M1196" s="26">
        <f>H1196^2/6</f>
        <v/>
      </c>
      <c r="N1196" s="26">
        <f>H1196^3/12</f>
        <v/>
      </c>
      <c r="O1196" s="27">
        <f>-J1196*L1196*K1196*C1196</f>
        <v/>
      </c>
      <c r="P1196" s="28">
        <f>-(12*F1196*J1196*L1196*N1196+12*O1196*N1196*G1196*COS(RADIANS(E1196)))/(12*N1196*G1196*COS(RADIANS(E1196))^2+L1196*G1196^3*SIN(RADIANS(E1196))^2)</f>
        <v/>
      </c>
      <c r="Q1196" s="28">
        <f>-(6*F1196*J1196*L1196*N1196*SIN(RADIANS(E1196))+6*O1196*N1196*G1196*SIN(RADIANS(E1196))*COS(RADIANS(E1196)))/(12*N1196*COS(RADIANS(E1196))^2+L1196*G1196^2*SIN(RADIANS(E1196))^2)</f>
        <v/>
      </c>
      <c r="R1196" s="28">
        <f>-P1196*SIN(RADIANS(E1196))</f>
        <v/>
      </c>
      <c r="S1196" s="8">
        <f>(O1196+P1196*COS(RADIANS(E1196)))/L1196</f>
        <v/>
      </c>
      <c r="T1196" s="8">
        <f>R1196/L1196</f>
        <v/>
      </c>
      <c r="U1196" s="8">
        <f>(Q1196-P1196*G1196*SIN(RADIANS(E1196)))/M1196</f>
        <v/>
      </c>
      <c r="V1196" s="8">
        <f>SQRT((S1196+U1196)^2+3*T1196^2)</f>
        <v/>
      </c>
      <c r="W1196" s="8">
        <f>V1196/AA1196</f>
        <v/>
      </c>
      <c r="X1196" s="27">
        <f>((3*10+H1196/COS(RADIANS(E1196)))*(3+3)+3*G1196*H1196)*2</f>
        <v/>
      </c>
      <c r="Y1196" s="28">
        <f>Z1196/X1196</f>
        <v/>
      </c>
      <c r="Z1196" s="29" t="n">
        <v>620.554293158747</v>
      </c>
      <c r="AA1196" s="20" t="n">
        <v>47.1870201474644</v>
      </c>
      <c r="AB1196" t="n">
        <v>0.1834976063711296</v>
      </c>
      <c r="AC1196" t="n">
        <v>50.66767904242656</v>
      </c>
      <c r="AD1196" t="n">
        <v>52.01794084532626</v>
      </c>
    </row>
    <row r="1197">
      <c r="A1197" t="n">
        <v>1196</v>
      </c>
      <c r="B1197" t="n">
        <v>56.9</v>
      </c>
      <c r="C1197" s="21">
        <f>B1197-20</f>
        <v/>
      </c>
      <c r="D1197" t="n">
        <v>103.9</v>
      </c>
      <c r="E1197" s="22">
        <f>D1197-90</f>
        <v/>
      </c>
      <c r="F1197" s="23" t="n">
        <v>0.012978</v>
      </c>
      <c r="G1197" s="22" t="n">
        <v>25.6</v>
      </c>
      <c r="H1197" s="22" t="n">
        <v>1.7</v>
      </c>
      <c r="I1197" s="24" t="n">
        <v>0.0968128889799118</v>
      </c>
      <c r="J1197" s="6" t="n">
        <v>71000</v>
      </c>
      <c r="K1197" s="25">
        <f>23*10^-6</f>
        <v/>
      </c>
      <c r="L1197" s="8">
        <f>H1197</f>
        <v/>
      </c>
      <c r="M1197" s="26">
        <f>H1197^2/6</f>
        <v/>
      </c>
      <c r="N1197" s="26">
        <f>H1197^3/12</f>
        <v/>
      </c>
      <c r="O1197" s="27">
        <f>-J1197*L1197*K1197*C1197</f>
        <v/>
      </c>
      <c r="P1197" s="28">
        <f>-(12*F1197*J1197*L1197*N1197+12*O1197*N1197*G1197*COS(RADIANS(E1197)))/(12*N1197*G1197*COS(RADIANS(E1197))^2+L1197*G1197^3*SIN(RADIANS(E1197))^2)</f>
        <v/>
      </c>
      <c r="Q1197" s="28">
        <f>-(6*F1197*J1197*L1197*N1197*SIN(RADIANS(E1197))+6*O1197*N1197*G1197*SIN(RADIANS(E1197))*COS(RADIANS(E1197)))/(12*N1197*COS(RADIANS(E1197))^2+L1197*G1197^2*SIN(RADIANS(E1197))^2)</f>
        <v/>
      </c>
      <c r="R1197" s="28">
        <f>-P1197*SIN(RADIANS(E1197))</f>
        <v/>
      </c>
      <c r="S1197" s="8">
        <f>(O1197+P1197*COS(RADIANS(E1197)))/L1197</f>
        <v/>
      </c>
      <c r="T1197" s="8">
        <f>R1197/L1197</f>
        <v/>
      </c>
      <c r="U1197" s="8">
        <f>(Q1197-P1197*G1197*SIN(RADIANS(E1197)))/M1197</f>
        <v/>
      </c>
      <c r="V1197" s="8">
        <f>SQRT((S1197+U1197)^2+3*T1197^2)</f>
        <v/>
      </c>
      <c r="W1197" s="8">
        <f>V1197/AA1197</f>
        <v/>
      </c>
      <c r="X1197" s="27">
        <f>((3*10+H1197/COS(RADIANS(E1197)))*(3+3)+3*G1197*H1197)*2</f>
        <v/>
      </c>
      <c r="Y1197" s="28">
        <f>Z1197/X1197</f>
        <v/>
      </c>
      <c r="Z1197" s="29" t="n">
        <v>646.293040266781</v>
      </c>
      <c r="AA1197" s="20" t="n">
        <v>63.0631457907767</v>
      </c>
      <c r="AB1197" t="n">
        <v>0.1330690081513561</v>
      </c>
      <c r="AC1197" t="n">
        <v>62.59955186942776</v>
      </c>
      <c r="AD1197" t="n">
        <v>37.44968211718924</v>
      </c>
    </row>
    <row r="1198">
      <c r="A1198" t="n">
        <v>1197</v>
      </c>
      <c r="B1198" t="n">
        <v>59.7</v>
      </c>
      <c r="C1198" s="21">
        <f>B1198-20</f>
        <v/>
      </c>
      <c r="D1198" t="n">
        <v>114.2</v>
      </c>
      <c r="E1198" s="22">
        <f>D1198-90</f>
        <v/>
      </c>
      <c r="F1198" s="23" t="n">
        <v>0.012912</v>
      </c>
      <c r="G1198" s="22" t="n">
        <v>24.7</v>
      </c>
      <c r="H1198" s="22" t="n">
        <v>1.7</v>
      </c>
      <c r="I1198" s="24" t="n">
        <v>0.0686119347810745</v>
      </c>
      <c r="J1198" s="6" t="n">
        <v>71000</v>
      </c>
      <c r="K1198" s="25">
        <f>23*10^-6</f>
        <v/>
      </c>
      <c r="L1198" s="8">
        <f>H1198</f>
        <v/>
      </c>
      <c r="M1198" s="26">
        <f>H1198^2/6</f>
        <v/>
      </c>
      <c r="N1198" s="26">
        <f>H1198^3/12</f>
        <v/>
      </c>
      <c r="O1198" s="27">
        <f>-J1198*L1198*K1198*C1198</f>
        <v/>
      </c>
      <c r="P1198" s="28">
        <f>-(12*F1198*J1198*L1198*N1198+12*O1198*N1198*G1198*COS(RADIANS(E1198)))/(12*N1198*G1198*COS(RADIANS(E1198))^2+L1198*G1198^3*SIN(RADIANS(E1198))^2)</f>
        <v/>
      </c>
      <c r="Q1198" s="28">
        <f>-(6*F1198*J1198*L1198*N1198*SIN(RADIANS(E1198))+6*O1198*N1198*G1198*SIN(RADIANS(E1198))*COS(RADIANS(E1198)))/(12*N1198*COS(RADIANS(E1198))^2+L1198*G1198^2*SIN(RADIANS(E1198))^2)</f>
        <v/>
      </c>
      <c r="R1198" s="28">
        <f>-P1198*SIN(RADIANS(E1198))</f>
        <v/>
      </c>
      <c r="S1198" s="8">
        <f>(O1198+P1198*COS(RADIANS(E1198)))/L1198</f>
        <v/>
      </c>
      <c r="T1198" s="8">
        <f>R1198/L1198</f>
        <v/>
      </c>
      <c r="U1198" s="8">
        <f>(Q1198-P1198*G1198*SIN(RADIANS(E1198)))/M1198</f>
        <v/>
      </c>
      <c r="V1198" s="8">
        <f>SQRT((S1198+U1198)^2+3*T1198^2)</f>
        <v/>
      </c>
      <c r="W1198" s="8">
        <f>V1198/AA1198</f>
        <v/>
      </c>
      <c r="X1198" s="27">
        <f>((3*10+H1198/COS(RADIANS(E1198)))*(3+3)+3*G1198*H1198)*2</f>
        <v/>
      </c>
      <c r="Y1198" s="28">
        <f>Z1198/X1198</f>
        <v/>
      </c>
      <c r="Z1198" s="29" t="n">
        <v>640.051428737687</v>
      </c>
      <c r="AA1198" s="20" t="n">
        <v>63.5154227535782</v>
      </c>
      <c r="AB1198" t="n">
        <v>0.08169698406729969</v>
      </c>
      <c r="AC1198" t="n">
        <v>61.7805946328626</v>
      </c>
      <c r="AD1198" t="n">
        <v>19.07109794815828</v>
      </c>
    </row>
    <row r="1199">
      <c r="A1199" t="n">
        <v>1198</v>
      </c>
      <c r="B1199" t="n">
        <v>73</v>
      </c>
      <c r="C1199" s="21">
        <f>B1199-20</f>
        <v/>
      </c>
      <c r="D1199" t="n">
        <v>120.8</v>
      </c>
      <c r="E1199" s="22">
        <f>D1199-90</f>
        <v/>
      </c>
      <c r="F1199" s="23" t="n">
        <v>0.016029</v>
      </c>
      <c r="G1199" s="22" t="n">
        <v>23.9</v>
      </c>
      <c r="H1199" s="22" t="n">
        <v>1.2</v>
      </c>
      <c r="I1199" s="24" t="n">
        <v>0.07642571628093719</v>
      </c>
      <c r="J1199" s="6" t="n">
        <v>71000</v>
      </c>
      <c r="K1199" s="25">
        <f>23*10^-6</f>
        <v/>
      </c>
      <c r="L1199" s="8">
        <f>H1199</f>
        <v/>
      </c>
      <c r="M1199" s="26">
        <f>H1199^2/6</f>
        <v/>
      </c>
      <c r="N1199" s="26">
        <f>H1199^3/12</f>
        <v/>
      </c>
      <c r="O1199" s="27">
        <f>-J1199*L1199*K1199*C1199</f>
        <v/>
      </c>
      <c r="P1199" s="28">
        <f>-(12*F1199*J1199*L1199*N1199+12*O1199*N1199*G1199*COS(RADIANS(E1199)))/(12*N1199*G1199*COS(RADIANS(E1199))^2+L1199*G1199^3*SIN(RADIANS(E1199))^2)</f>
        <v/>
      </c>
      <c r="Q1199" s="28">
        <f>-(6*F1199*J1199*L1199*N1199*SIN(RADIANS(E1199))+6*O1199*N1199*G1199*SIN(RADIANS(E1199))*COS(RADIANS(E1199)))/(12*N1199*COS(RADIANS(E1199))^2+L1199*G1199^2*SIN(RADIANS(E1199))^2)</f>
        <v/>
      </c>
      <c r="R1199" s="28">
        <f>-P1199*SIN(RADIANS(E1199))</f>
        <v/>
      </c>
      <c r="S1199" s="8">
        <f>(O1199+P1199*COS(RADIANS(E1199)))/L1199</f>
        <v/>
      </c>
      <c r="T1199" s="8">
        <f>R1199/L1199</f>
        <v/>
      </c>
      <c r="U1199" s="8">
        <f>(Q1199-P1199*G1199*SIN(RADIANS(E1199)))/M1199</f>
        <v/>
      </c>
      <c r="V1199" s="8">
        <f>SQRT((S1199+U1199)^2+3*T1199^2)</f>
        <v/>
      </c>
      <c r="W1199" s="8">
        <f>V1199/AA1199</f>
        <v/>
      </c>
      <c r="X1199" s="27">
        <f>((3*10+H1199/COS(RADIANS(E1199)))*(3+3)+3*G1199*H1199)*2</f>
        <v/>
      </c>
      <c r="Y1199" s="28">
        <f>Z1199/X1199</f>
        <v/>
      </c>
      <c r="Z1199" s="29" t="n">
        <v>556.218859673126</v>
      </c>
      <c r="AA1199" s="20" t="n">
        <v>75.6894397126063</v>
      </c>
      <c r="AB1199" t="n">
        <v>0.08312900328507672</v>
      </c>
      <c r="AC1199" t="n">
        <v>77.42591747106701</v>
      </c>
      <c r="AD1199" t="n">
        <v>8.770983551529394</v>
      </c>
    </row>
    <row r="1200">
      <c r="A1200" t="n">
        <v>1199</v>
      </c>
      <c r="B1200" t="n">
        <v>62</v>
      </c>
      <c r="C1200" s="21">
        <f>B1200-20</f>
        <v/>
      </c>
      <c r="D1200" t="n">
        <v>108.5</v>
      </c>
      <c r="E1200" s="22">
        <f>D1200-90</f>
        <v/>
      </c>
      <c r="F1200" s="23" t="n">
        <v>0.016449</v>
      </c>
      <c r="G1200" s="22" t="n">
        <v>29.9</v>
      </c>
      <c r="H1200" s="22" t="n">
        <v>1.7</v>
      </c>
      <c r="I1200" s="24" t="n">
        <v>0.100493736565113</v>
      </c>
      <c r="J1200" s="6" t="n">
        <v>71000</v>
      </c>
      <c r="K1200" s="25">
        <f>23*10^-6</f>
        <v/>
      </c>
      <c r="L1200" s="8">
        <f>H1200</f>
        <v/>
      </c>
      <c r="M1200" s="26">
        <f>H1200^2/6</f>
        <v/>
      </c>
      <c r="N1200" s="26">
        <f>H1200^3/12</f>
        <v/>
      </c>
      <c r="O1200" s="27">
        <f>-J1200*L1200*K1200*C1200</f>
        <v/>
      </c>
      <c r="P1200" s="28">
        <f>-(12*F1200*J1200*L1200*N1200+12*O1200*N1200*G1200*COS(RADIANS(E1200)))/(12*N1200*G1200*COS(RADIANS(E1200))^2+L1200*G1200^3*SIN(RADIANS(E1200))^2)</f>
        <v/>
      </c>
      <c r="Q1200" s="28">
        <f>-(6*F1200*J1200*L1200*N1200*SIN(RADIANS(E1200))+6*O1200*N1200*G1200*SIN(RADIANS(E1200))*COS(RADIANS(E1200)))/(12*N1200*COS(RADIANS(E1200))^2+L1200*G1200^2*SIN(RADIANS(E1200))^2)</f>
        <v/>
      </c>
      <c r="R1200" s="28">
        <f>-P1200*SIN(RADIANS(E1200))</f>
        <v/>
      </c>
      <c r="S1200" s="8">
        <f>(O1200+P1200*COS(RADIANS(E1200)))/L1200</f>
        <v/>
      </c>
      <c r="T1200" s="8">
        <f>R1200/L1200</f>
        <v/>
      </c>
      <c r="U1200" s="8">
        <f>(Q1200-P1200*G1200*SIN(RADIANS(E1200)))/M1200</f>
        <v/>
      </c>
      <c r="V1200" s="8">
        <f>SQRT((S1200+U1200)^2+3*T1200^2)</f>
        <v/>
      </c>
      <c r="W1200" s="8">
        <f>V1200/AA1200</f>
        <v/>
      </c>
      <c r="X1200" s="27">
        <f>((3*10+H1200/COS(RADIANS(E1200)))*(3+3)+3*G1200*H1200)*2</f>
        <v/>
      </c>
      <c r="Y1200" s="28">
        <f>Z1200/X1200</f>
        <v/>
      </c>
      <c r="Z1200" s="29" t="n">
        <v>691.233087865083</v>
      </c>
      <c r="AA1200" s="20" t="n">
        <v>67.369188518634</v>
      </c>
      <c r="AB1200" t="n">
        <v>0.1360998213977276</v>
      </c>
      <c r="AC1200" t="n">
        <v>66.94471928735325</v>
      </c>
      <c r="AD1200" t="n">
        <v>35.43114829802778</v>
      </c>
    </row>
    <row r="1201">
      <c r="A1201" t="n">
        <v>1200</v>
      </c>
      <c r="B1201" t="n">
        <v>53.6</v>
      </c>
      <c r="C1201" s="21">
        <f>B1201-20</f>
        <v/>
      </c>
      <c r="D1201" t="n">
        <v>102.2</v>
      </c>
      <c r="E1201" s="22">
        <f>D1201-90</f>
        <v/>
      </c>
      <c r="F1201" s="23" t="n">
        <v>0.015065</v>
      </c>
      <c r="G1201" s="22" t="n">
        <v>34.1</v>
      </c>
      <c r="H1201" s="22" t="n">
        <v>1.1</v>
      </c>
      <c r="I1201" s="24" t="n">
        <v>0.125353395938873</v>
      </c>
      <c r="J1201" s="6" t="n">
        <v>71000</v>
      </c>
      <c r="K1201" s="25">
        <f>23*10^-6</f>
        <v/>
      </c>
      <c r="L1201" s="8">
        <f>H1201</f>
        <v/>
      </c>
      <c r="M1201" s="26">
        <f>H1201^2/6</f>
        <v/>
      </c>
      <c r="N1201" s="26">
        <f>H1201^3/12</f>
        <v/>
      </c>
      <c r="O1201" s="27">
        <f>-J1201*L1201*K1201*C1201</f>
        <v/>
      </c>
      <c r="P1201" s="28">
        <f>-(12*F1201*J1201*L1201*N1201+12*O1201*N1201*G1201*COS(RADIANS(E1201)))/(12*N1201*G1201*COS(RADIANS(E1201))^2+L1201*G1201^3*SIN(RADIANS(E1201))^2)</f>
        <v/>
      </c>
      <c r="Q1201" s="28">
        <f>-(6*F1201*J1201*L1201*N1201*SIN(RADIANS(E1201))+6*O1201*N1201*G1201*SIN(RADIANS(E1201))*COS(RADIANS(E1201)))/(12*N1201*COS(RADIANS(E1201))^2+L1201*G1201^2*SIN(RADIANS(E1201))^2)</f>
        <v/>
      </c>
      <c r="R1201" s="28">
        <f>-P1201*SIN(RADIANS(E1201))</f>
        <v/>
      </c>
      <c r="S1201" s="8">
        <f>(O1201+P1201*COS(RADIANS(E1201)))/L1201</f>
        <v/>
      </c>
      <c r="T1201" s="8">
        <f>R1201/L1201</f>
        <v/>
      </c>
      <c r="U1201" s="8">
        <f>(Q1201-P1201*G1201*SIN(RADIANS(E1201)))/M1201</f>
        <v/>
      </c>
      <c r="V1201" s="8">
        <f>SQRT((S1201+U1201)^2+3*T1201^2)</f>
        <v/>
      </c>
      <c r="W1201" s="8">
        <f>V1201/AA1201</f>
        <v/>
      </c>
      <c r="X1201" s="27">
        <f>((3*10+H1201/COS(RADIANS(E1201)))*(3+3)+3*G1201*H1201)*2</f>
        <v/>
      </c>
      <c r="Y1201" s="28">
        <f>Z1201/X1201</f>
        <v/>
      </c>
      <c r="Z1201" s="29" t="n">
        <v>602.553170076014</v>
      </c>
      <c r="AA1201" s="20" t="n">
        <v>48.6526374112173</v>
      </c>
      <c r="AB1201" t="n">
        <v>0.1900756399557514</v>
      </c>
      <c r="AC1201" t="n">
        <v>52.92381946068834</v>
      </c>
      <c r="AD1201" t="n">
        <v>51.63182339985381</v>
      </c>
    </row>
    <row r="1202">
      <c r="A1202" t="n">
        <v>1201</v>
      </c>
      <c r="B1202" t="n">
        <v>84.90000000000001</v>
      </c>
      <c r="C1202" s="21">
        <f>B1202-20</f>
        <v/>
      </c>
      <c r="D1202" t="n">
        <v>115.3</v>
      </c>
      <c r="E1202" s="22">
        <f>D1202-90</f>
        <v/>
      </c>
      <c r="F1202" s="23" t="n">
        <v>0.023971</v>
      </c>
      <c r="G1202" s="22" t="n">
        <v>29.2</v>
      </c>
      <c r="H1202" s="22" t="n">
        <v>1.3</v>
      </c>
      <c r="I1202" s="24" t="n">
        <v>0.121791690587997</v>
      </c>
      <c r="J1202" s="6" t="n">
        <v>71000</v>
      </c>
      <c r="K1202" s="25">
        <f>23*10^-6</f>
        <v/>
      </c>
      <c r="L1202" s="8">
        <f>H1202</f>
        <v/>
      </c>
      <c r="M1202" s="26">
        <f>H1202^2/6</f>
        <v/>
      </c>
      <c r="N1202" s="26">
        <f>H1202^3/12</f>
        <v/>
      </c>
      <c r="O1202" s="27">
        <f>-J1202*L1202*K1202*C1202</f>
        <v/>
      </c>
      <c r="P1202" s="28">
        <f>-(12*F1202*J1202*L1202*N1202+12*O1202*N1202*G1202*COS(RADIANS(E1202)))/(12*N1202*G1202*COS(RADIANS(E1202))^2+L1202*G1202^3*SIN(RADIANS(E1202))^2)</f>
        <v/>
      </c>
      <c r="Q1202" s="28">
        <f>-(6*F1202*J1202*L1202*N1202*SIN(RADIANS(E1202))+6*O1202*N1202*G1202*SIN(RADIANS(E1202))*COS(RADIANS(E1202)))/(12*N1202*COS(RADIANS(E1202))^2+L1202*G1202^2*SIN(RADIANS(E1202))^2)</f>
        <v/>
      </c>
      <c r="R1202" s="28">
        <f>-P1202*SIN(RADIANS(E1202))</f>
        <v/>
      </c>
      <c r="S1202" s="8">
        <f>(O1202+P1202*COS(RADIANS(E1202)))/L1202</f>
        <v/>
      </c>
      <c r="T1202" s="8">
        <f>R1202/L1202</f>
        <v/>
      </c>
      <c r="U1202" s="8">
        <f>(Q1202-P1202*G1202*SIN(RADIANS(E1202)))/M1202</f>
        <v/>
      </c>
      <c r="V1202" s="8">
        <f>SQRT((S1202+U1202)^2+3*T1202^2)</f>
        <v/>
      </c>
      <c r="W1202" s="8">
        <f>V1202/AA1202</f>
        <v/>
      </c>
      <c r="X1202" s="27">
        <f>((3*10+H1202/COS(RADIANS(E1202)))*(3+3)+3*G1202*H1202)*2</f>
        <v/>
      </c>
      <c r="Y1202" s="28">
        <f>Z1202/X1202</f>
        <v/>
      </c>
      <c r="Z1202" s="29" t="n">
        <v>610.994939359889</v>
      </c>
      <c r="AA1202" s="20" t="n">
        <v>94.2969824774722</v>
      </c>
      <c r="AB1202" t="n">
        <v>0.1512599376696762</v>
      </c>
      <c r="AC1202" t="n">
        <v>96.43114597473148</v>
      </c>
      <c r="AD1202" t="n">
        <v>24.19561378892903</v>
      </c>
    </row>
    <row r="1203">
      <c r="A1203" t="n">
        <v>1202</v>
      </c>
      <c r="B1203" t="n">
        <v>57.6</v>
      </c>
      <c r="C1203" s="21">
        <f>B1203-20</f>
        <v/>
      </c>
      <c r="D1203" t="n">
        <v>120.9</v>
      </c>
      <c r="E1203" s="22">
        <f>D1203-90</f>
        <v/>
      </c>
      <c r="F1203" s="23" t="n">
        <v>0.014636</v>
      </c>
      <c r="G1203" s="22" t="n">
        <v>32.8</v>
      </c>
      <c r="H1203" s="22" t="n">
        <v>1.7</v>
      </c>
      <c r="I1203" s="24" t="n">
        <v>0.0665659457445144</v>
      </c>
      <c r="J1203" s="6" t="n">
        <v>71000</v>
      </c>
      <c r="K1203" s="25">
        <f>23*10^-6</f>
        <v/>
      </c>
      <c r="L1203" s="8">
        <f>H1203</f>
        <v/>
      </c>
      <c r="M1203" s="26">
        <f>H1203^2/6</f>
        <v/>
      </c>
      <c r="N1203" s="26">
        <f>H1203^3/12</f>
        <v/>
      </c>
      <c r="O1203" s="27">
        <f>-J1203*L1203*K1203*C1203</f>
        <v/>
      </c>
      <c r="P1203" s="28">
        <f>-(12*F1203*J1203*L1203*N1203+12*O1203*N1203*G1203*COS(RADIANS(E1203)))/(12*N1203*G1203*COS(RADIANS(E1203))^2+L1203*G1203^3*SIN(RADIANS(E1203))^2)</f>
        <v/>
      </c>
      <c r="Q1203" s="28">
        <f>-(6*F1203*J1203*L1203*N1203*SIN(RADIANS(E1203))+6*O1203*N1203*G1203*SIN(RADIANS(E1203))*COS(RADIANS(E1203)))/(12*N1203*COS(RADIANS(E1203))^2+L1203*G1203^2*SIN(RADIANS(E1203))^2)</f>
        <v/>
      </c>
      <c r="R1203" s="28">
        <f>-P1203*SIN(RADIANS(E1203))</f>
        <v/>
      </c>
      <c r="S1203" s="8">
        <f>(O1203+P1203*COS(RADIANS(E1203)))/L1203</f>
        <v/>
      </c>
      <c r="T1203" s="8">
        <f>R1203/L1203</f>
        <v/>
      </c>
      <c r="U1203" s="8">
        <f>(Q1203-P1203*G1203*SIN(RADIANS(E1203)))/M1203</f>
        <v/>
      </c>
      <c r="V1203" s="8">
        <f>SQRT((S1203+U1203)^2+3*T1203^2)</f>
        <v/>
      </c>
      <c r="W1203" s="8">
        <f>V1203/AA1203</f>
        <v/>
      </c>
      <c r="X1203" s="27">
        <f>((3*10+H1203/COS(RADIANS(E1203)))*(3+3)+3*G1203*H1203)*2</f>
        <v/>
      </c>
      <c r="Y1203" s="28">
        <f>Z1203/X1203</f>
        <v/>
      </c>
      <c r="Z1203" s="29" t="n">
        <v>725.737966793957</v>
      </c>
      <c r="AA1203" s="20" t="n">
        <v>57.2710706264553</v>
      </c>
      <c r="AB1203" t="n">
        <v>0.07903107420116644</v>
      </c>
      <c r="AC1203" t="n">
        <v>55.54357809245221</v>
      </c>
      <c r="AD1203" t="n">
        <v>18.72598416087144</v>
      </c>
    </row>
    <row r="1204">
      <c r="A1204" t="n">
        <v>1203</v>
      </c>
      <c r="B1204" t="n">
        <v>55.7</v>
      </c>
      <c r="C1204" s="21">
        <f>B1204-20</f>
        <v/>
      </c>
      <c r="D1204" t="n">
        <v>121.4</v>
      </c>
      <c r="E1204" s="22">
        <f>D1204-90</f>
        <v/>
      </c>
      <c r="F1204" s="23" t="n">
        <v>0.009494000000000001</v>
      </c>
      <c r="G1204" s="22" t="n">
        <v>20.3</v>
      </c>
      <c r="H1204" s="22" t="n">
        <v>1.5</v>
      </c>
      <c r="I1204" s="24" t="n">
        <v>0.046109102666378</v>
      </c>
      <c r="J1204" s="6" t="n">
        <v>71000</v>
      </c>
      <c r="K1204" s="25">
        <f>23*10^-6</f>
        <v/>
      </c>
      <c r="L1204" s="8">
        <f>H1204</f>
        <v/>
      </c>
      <c r="M1204" s="26">
        <f>H1204^2/6</f>
        <v/>
      </c>
      <c r="N1204" s="26">
        <f>H1204^3/12</f>
        <v/>
      </c>
      <c r="O1204" s="27">
        <f>-J1204*L1204*K1204*C1204</f>
        <v/>
      </c>
      <c r="P1204" s="28">
        <f>-(12*F1204*J1204*L1204*N1204+12*O1204*N1204*G1204*COS(RADIANS(E1204)))/(12*N1204*G1204*COS(RADIANS(E1204))^2+L1204*G1204^3*SIN(RADIANS(E1204))^2)</f>
        <v/>
      </c>
      <c r="Q1204" s="28">
        <f>-(6*F1204*J1204*L1204*N1204*SIN(RADIANS(E1204))+6*O1204*N1204*G1204*SIN(RADIANS(E1204))*COS(RADIANS(E1204)))/(12*N1204*COS(RADIANS(E1204))^2+L1204*G1204^2*SIN(RADIANS(E1204))^2)</f>
        <v/>
      </c>
      <c r="R1204" s="28">
        <f>-P1204*SIN(RADIANS(E1204))</f>
        <v/>
      </c>
      <c r="S1204" s="8">
        <f>(O1204+P1204*COS(RADIANS(E1204)))/L1204</f>
        <v/>
      </c>
      <c r="T1204" s="8">
        <f>R1204/L1204</f>
        <v/>
      </c>
      <c r="U1204" s="8">
        <f>(Q1204-P1204*G1204*SIN(RADIANS(E1204)))/M1204</f>
        <v/>
      </c>
      <c r="V1204" s="8">
        <f>SQRT((S1204+U1204)^2+3*T1204^2)</f>
        <v/>
      </c>
      <c r="W1204" s="8">
        <f>V1204/AA1204</f>
        <v/>
      </c>
      <c r="X1204" s="27">
        <f>((3*10+H1204/COS(RADIANS(E1204)))*(3+3)+3*G1204*H1204)*2</f>
        <v/>
      </c>
      <c r="Y1204" s="28">
        <f>Z1204/X1204</f>
        <v/>
      </c>
      <c r="Z1204" s="29" t="n">
        <v>571.339839647608</v>
      </c>
      <c r="AA1204" s="20" t="n">
        <v>55.8512020527429</v>
      </c>
      <c r="AB1204" t="n">
        <v>0.04677510458760805</v>
      </c>
      <c r="AC1204" t="n">
        <v>53.42956432198177</v>
      </c>
      <c r="AD1204" t="n">
        <v>1.444404429313884</v>
      </c>
    </row>
    <row r="1205">
      <c r="A1205" t="n">
        <v>1204</v>
      </c>
      <c r="B1205" t="n">
        <v>64.59999999999999</v>
      </c>
      <c r="C1205" s="21">
        <f>B1205-20</f>
        <v/>
      </c>
      <c r="D1205" t="n">
        <v>113.9</v>
      </c>
      <c r="E1205" s="22">
        <f>D1205-90</f>
        <v/>
      </c>
      <c r="F1205" s="23" t="n">
        <v>0.018762</v>
      </c>
      <c r="G1205" s="22" t="n">
        <v>33.8</v>
      </c>
      <c r="H1205" s="22" t="n">
        <v>1.7</v>
      </c>
      <c r="I1205" s="24" t="n">
        <v>0.0964523330330848</v>
      </c>
      <c r="J1205" s="6" t="n">
        <v>71000</v>
      </c>
      <c r="K1205" s="25">
        <f>23*10^-6</f>
        <v/>
      </c>
      <c r="L1205" s="8">
        <f>H1205</f>
        <v/>
      </c>
      <c r="M1205" s="26">
        <f>H1205^2/6</f>
        <v/>
      </c>
      <c r="N1205" s="26">
        <f>H1205^3/12</f>
        <v/>
      </c>
      <c r="O1205" s="27">
        <f>-J1205*L1205*K1205*C1205</f>
        <v/>
      </c>
      <c r="P1205" s="28">
        <f>-(12*F1205*J1205*L1205*N1205+12*O1205*N1205*G1205*COS(RADIANS(E1205)))/(12*N1205*G1205*COS(RADIANS(E1205))^2+L1205*G1205^3*SIN(RADIANS(E1205))^2)</f>
        <v/>
      </c>
      <c r="Q1205" s="28">
        <f>-(6*F1205*J1205*L1205*N1205*SIN(RADIANS(E1205))+6*O1205*N1205*G1205*SIN(RADIANS(E1205))*COS(RADIANS(E1205)))/(12*N1205*COS(RADIANS(E1205))^2+L1205*G1205^2*SIN(RADIANS(E1205))^2)</f>
        <v/>
      </c>
      <c r="R1205" s="28">
        <f>-P1205*SIN(RADIANS(E1205))</f>
        <v/>
      </c>
      <c r="S1205" s="8">
        <f>(O1205+P1205*COS(RADIANS(E1205)))/L1205</f>
        <v/>
      </c>
      <c r="T1205" s="8">
        <f>R1205/L1205</f>
        <v/>
      </c>
      <c r="U1205" s="8">
        <f>(Q1205-P1205*G1205*SIN(RADIANS(E1205)))/M1205</f>
        <v/>
      </c>
      <c r="V1205" s="8">
        <f>SQRT((S1205+U1205)^2+3*T1205^2)</f>
        <v/>
      </c>
      <c r="W1205" s="8">
        <f>V1205/AA1205</f>
        <v/>
      </c>
      <c r="X1205" s="27">
        <f>((3*10+H1205/COS(RADIANS(E1205)))*(3+3)+3*G1205*H1205)*2</f>
        <v/>
      </c>
      <c r="Y1205" s="28">
        <f>Z1205/X1205</f>
        <v/>
      </c>
      <c r="Z1205" s="29" t="n">
        <v>732.7578163337</v>
      </c>
      <c r="AA1205" s="20" t="n">
        <v>68.9839217875785</v>
      </c>
      <c r="AB1205" t="n">
        <v>0.1261870387000095</v>
      </c>
      <c r="AC1205" t="n">
        <v>67.81098276157313</v>
      </c>
      <c r="AD1205" t="n">
        <v>30.82839443264189</v>
      </c>
    </row>
    <row r="1206">
      <c r="A1206" t="n">
        <v>1205</v>
      </c>
      <c r="B1206" t="n">
        <v>86.5</v>
      </c>
      <c r="C1206" s="21">
        <f>B1206-20</f>
        <v/>
      </c>
      <c r="D1206" t="n">
        <v>126</v>
      </c>
      <c r="E1206" s="22">
        <f>D1206-90</f>
        <v/>
      </c>
      <c r="F1206" s="23" t="n">
        <v>0.022212</v>
      </c>
      <c r="G1206" s="22" t="n">
        <v>28.8</v>
      </c>
      <c r="H1206" s="22" t="n">
        <v>2</v>
      </c>
      <c r="I1206" s="24" t="n">
        <v>0.09802497178316109</v>
      </c>
      <c r="J1206" s="6" t="n">
        <v>71000</v>
      </c>
      <c r="K1206" s="25">
        <f>23*10^-6</f>
        <v/>
      </c>
      <c r="L1206" s="8">
        <f>H1206</f>
        <v/>
      </c>
      <c r="M1206" s="26">
        <f>H1206^2/6</f>
        <v/>
      </c>
      <c r="N1206" s="26">
        <f>H1206^3/12</f>
        <v/>
      </c>
      <c r="O1206" s="27">
        <f>-J1206*L1206*K1206*C1206</f>
        <v/>
      </c>
      <c r="P1206" s="28">
        <f>-(12*F1206*J1206*L1206*N1206+12*O1206*N1206*G1206*COS(RADIANS(E1206)))/(12*N1206*G1206*COS(RADIANS(E1206))^2+L1206*G1206^3*SIN(RADIANS(E1206))^2)</f>
        <v/>
      </c>
      <c r="Q1206" s="28">
        <f>-(6*F1206*J1206*L1206*N1206*SIN(RADIANS(E1206))+6*O1206*N1206*G1206*SIN(RADIANS(E1206))*COS(RADIANS(E1206)))/(12*N1206*COS(RADIANS(E1206))^2+L1206*G1206^2*SIN(RADIANS(E1206))^2)</f>
        <v/>
      </c>
      <c r="R1206" s="28">
        <f>-P1206*SIN(RADIANS(E1206))</f>
        <v/>
      </c>
      <c r="S1206" s="8">
        <f>(O1206+P1206*COS(RADIANS(E1206)))/L1206</f>
        <v/>
      </c>
      <c r="T1206" s="8">
        <f>R1206/L1206</f>
        <v/>
      </c>
      <c r="U1206" s="8">
        <f>(Q1206-P1206*G1206*SIN(RADIANS(E1206)))/M1206</f>
        <v/>
      </c>
      <c r="V1206" s="8">
        <f>SQRT((S1206+U1206)^2+3*T1206^2)</f>
        <v/>
      </c>
      <c r="W1206" s="8">
        <f>V1206/AA1206</f>
        <v/>
      </c>
      <c r="X1206" s="27">
        <f>((3*10+H1206/COS(RADIANS(E1206)))*(3+3)+3*G1206*H1206)*2</f>
        <v/>
      </c>
      <c r="Y1206" s="28">
        <f>Z1206/X1206</f>
        <v/>
      </c>
      <c r="Z1206" s="29" t="n">
        <v>744.364892305633</v>
      </c>
      <c r="AA1206" s="20" t="n">
        <v>107.022098168966</v>
      </c>
      <c r="AB1206" t="n">
        <v>0.1044126381556641</v>
      </c>
      <c r="AC1206" t="n">
        <v>98.57442034766474</v>
      </c>
      <c r="AD1206" t="n">
        <v>6.516366448574979</v>
      </c>
    </row>
    <row r="1207">
      <c r="A1207" t="n">
        <v>1206</v>
      </c>
      <c r="B1207" t="n">
        <v>40.7</v>
      </c>
      <c r="C1207" s="21">
        <f>B1207-20</f>
        <v/>
      </c>
      <c r="D1207" t="n">
        <v>104.7</v>
      </c>
      <c r="E1207" s="22">
        <f>D1207-90</f>
        <v/>
      </c>
      <c r="F1207" s="23" t="n">
        <v>0.008925000000000001</v>
      </c>
      <c r="G1207" s="22" t="n">
        <v>32.9</v>
      </c>
      <c r="H1207" s="22" t="n">
        <v>1.4</v>
      </c>
      <c r="I1207" s="24" t="n">
        <v>0.06397704780101771</v>
      </c>
      <c r="J1207" s="6" t="n">
        <v>71000</v>
      </c>
      <c r="K1207" s="25">
        <f>23*10^-6</f>
        <v/>
      </c>
      <c r="L1207" s="8">
        <f>H1207</f>
        <v/>
      </c>
      <c r="M1207" s="26">
        <f>H1207^2/6</f>
        <v/>
      </c>
      <c r="N1207" s="26">
        <f>H1207^3/12</f>
        <v/>
      </c>
      <c r="O1207" s="27">
        <f>-J1207*L1207*K1207*C1207</f>
        <v/>
      </c>
      <c r="P1207" s="28">
        <f>-(12*F1207*J1207*L1207*N1207+12*O1207*N1207*G1207*COS(RADIANS(E1207)))/(12*N1207*G1207*COS(RADIANS(E1207))^2+L1207*G1207^3*SIN(RADIANS(E1207))^2)</f>
        <v/>
      </c>
      <c r="Q1207" s="28">
        <f>-(6*F1207*J1207*L1207*N1207*SIN(RADIANS(E1207))+6*O1207*N1207*G1207*SIN(RADIANS(E1207))*COS(RADIANS(E1207)))/(12*N1207*COS(RADIANS(E1207))^2+L1207*G1207^2*SIN(RADIANS(E1207))^2)</f>
        <v/>
      </c>
      <c r="R1207" s="28">
        <f>-P1207*SIN(RADIANS(E1207))</f>
        <v/>
      </c>
      <c r="S1207" s="8">
        <f>(O1207+P1207*COS(RADIANS(E1207)))/L1207</f>
        <v/>
      </c>
      <c r="T1207" s="8">
        <f>R1207/L1207</f>
        <v/>
      </c>
      <c r="U1207" s="8">
        <f>(Q1207-P1207*G1207*SIN(RADIANS(E1207)))/M1207</f>
        <v/>
      </c>
      <c r="V1207" s="8">
        <f>SQRT((S1207+U1207)^2+3*T1207^2)</f>
        <v/>
      </c>
      <c r="W1207" s="8">
        <f>V1207/AA1207</f>
        <v/>
      </c>
      <c r="X1207" s="27">
        <f>((3*10+H1207/COS(RADIANS(E1207)))*(3+3)+3*G1207*H1207)*2</f>
        <v/>
      </c>
      <c r="Y1207" s="28">
        <f>Z1207/X1207</f>
        <v/>
      </c>
      <c r="Z1207" s="29" t="n">
        <v>657.974297440492</v>
      </c>
      <c r="AA1207" s="20" t="n">
        <v>31.6169520960684</v>
      </c>
      <c r="AB1207" t="n">
        <v>0.09323428083302031</v>
      </c>
      <c r="AC1207" t="n">
        <v>32.92652242782635</v>
      </c>
      <c r="AD1207" t="n">
        <v>45.73082697250872</v>
      </c>
    </row>
    <row r="1208">
      <c r="A1208" t="n">
        <v>1207</v>
      </c>
      <c r="B1208" t="n">
        <v>74.90000000000001</v>
      </c>
      <c r="C1208" s="21">
        <f>B1208-20</f>
        <v/>
      </c>
      <c r="D1208" t="n">
        <v>112</v>
      </c>
      <c r="E1208" s="22">
        <f>D1208-90</f>
        <v/>
      </c>
      <c r="F1208" s="23" t="n">
        <v>0.019249</v>
      </c>
      <c r="G1208" s="22" t="n">
        <v>26.7</v>
      </c>
      <c r="H1208" s="22" t="n">
        <v>1.4</v>
      </c>
      <c r="I1208" s="24" t="n">
        <v>0.107202924787998</v>
      </c>
      <c r="J1208" s="6" t="n">
        <v>71000</v>
      </c>
      <c r="K1208" s="25">
        <f>23*10^-6</f>
        <v/>
      </c>
      <c r="L1208" s="8">
        <f>H1208</f>
        <v/>
      </c>
      <c r="M1208" s="26">
        <f>H1208^2/6</f>
        <v/>
      </c>
      <c r="N1208" s="26">
        <f>H1208^3/12</f>
        <v/>
      </c>
      <c r="O1208" s="27">
        <f>-J1208*L1208*K1208*C1208</f>
        <v/>
      </c>
      <c r="P1208" s="28">
        <f>-(12*F1208*J1208*L1208*N1208+12*O1208*N1208*G1208*COS(RADIANS(E1208)))/(12*N1208*G1208*COS(RADIANS(E1208))^2+L1208*G1208^3*SIN(RADIANS(E1208))^2)</f>
        <v/>
      </c>
      <c r="Q1208" s="28">
        <f>-(6*F1208*J1208*L1208*N1208*SIN(RADIANS(E1208))+6*O1208*N1208*G1208*SIN(RADIANS(E1208))*COS(RADIANS(E1208)))/(12*N1208*COS(RADIANS(E1208))^2+L1208*G1208^2*SIN(RADIANS(E1208))^2)</f>
        <v/>
      </c>
      <c r="R1208" s="28">
        <f>-P1208*SIN(RADIANS(E1208))</f>
        <v/>
      </c>
      <c r="S1208" s="8">
        <f>(O1208+P1208*COS(RADIANS(E1208)))/L1208</f>
        <v/>
      </c>
      <c r="T1208" s="8">
        <f>R1208/L1208</f>
        <v/>
      </c>
      <c r="U1208" s="8">
        <f>(Q1208-P1208*G1208*SIN(RADIANS(E1208)))/M1208</f>
        <v/>
      </c>
      <c r="V1208" s="8">
        <f>SQRT((S1208+U1208)^2+3*T1208^2)</f>
        <v/>
      </c>
      <c r="W1208" s="8">
        <f>V1208/AA1208</f>
        <v/>
      </c>
      <c r="X1208" s="27">
        <f>((3*10+H1208/COS(RADIANS(E1208)))*(3+3)+3*G1208*H1208)*2</f>
        <v/>
      </c>
      <c r="Y1208" s="28">
        <f>Z1208/X1208</f>
        <v/>
      </c>
      <c r="Z1208" s="29" t="n">
        <v>607.717846886885</v>
      </c>
      <c r="AA1208" s="20" t="n">
        <v>82.943382361722</v>
      </c>
      <c r="AB1208" t="n">
        <v>0.1352325018741075</v>
      </c>
      <c r="AC1208" t="n">
        <v>84.11644665372407</v>
      </c>
      <c r="AD1208" t="n">
        <v>26.14628018922069</v>
      </c>
    </row>
    <row r="1209">
      <c r="A1209" t="n">
        <v>1208</v>
      </c>
      <c r="B1209" t="n">
        <v>85</v>
      </c>
      <c r="C1209" s="21">
        <f>B1209-20</f>
        <v/>
      </c>
      <c r="D1209" t="n">
        <v>104</v>
      </c>
      <c r="E1209" s="22">
        <f>D1209-90</f>
        <v/>
      </c>
      <c r="F1209" s="23" t="n">
        <v>0.020551</v>
      </c>
      <c r="G1209" s="22" t="n">
        <v>22.4</v>
      </c>
      <c r="H1209" s="22" t="n">
        <v>1.8</v>
      </c>
      <c r="I1209" s="24" t="n">
        <v>0.15159098803997</v>
      </c>
      <c r="J1209" s="6" t="n">
        <v>71000</v>
      </c>
      <c r="K1209" s="25">
        <f>23*10^-6</f>
        <v/>
      </c>
      <c r="L1209" s="8">
        <f>H1209</f>
        <v/>
      </c>
      <c r="M1209" s="26">
        <f>H1209^2/6</f>
        <v/>
      </c>
      <c r="N1209" s="26">
        <f>H1209^3/12</f>
        <v/>
      </c>
      <c r="O1209" s="27">
        <f>-J1209*L1209*K1209*C1209</f>
        <v/>
      </c>
      <c r="P1209" s="28">
        <f>-(12*F1209*J1209*L1209*N1209+12*O1209*N1209*G1209*COS(RADIANS(E1209)))/(12*N1209*G1209*COS(RADIANS(E1209))^2+L1209*G1209^3*SIN(RADIANS(E1209))^2)</f>
        <v/>
      </c>
      <c r="Q1209" s="28">
        <f>-(6*F1209*J1209*L1209*N1209*SIN(RADIANS(E1209))+6*O1209*N1209*G1209*SIN(RADIANS(E1209))*COS(RADIANS(E1209)))/(12*N1209*COS(RADIANS(E1209))^2+L1209*G1209^2*SIN(RADIANS(E1209))^2)</f>
        <v/>
      </c>
      <c r="R1209" s="28">
        <f>-P1209*SIN(RADIANS(E1209))</f>
        <v/>
      </c>
      <c r="S1209" s="8">
        <f>(O1209+P1209*COS(RADIANS(E1209)))/L1209</f>
        <v/>
      </c>
      <c r="T1209" s="8">
        <f>R1209/L1209</f>
        <v/>
      </c>
      <c r="U1209" s="8">
        <f>(Q1209-P1209*G1209*SIN(RADIANS(E1209)))/M1209</f>
        <v/>
      </c>
      <c r="V1209" s="8">
        <f>SQRT((S1209+U1209)^2+3*T1209^2)</f>
        <v/>
      </c>
      <c r="W1209" s="8">
        <f>V1209/AA1209</f>
        <v/>
      </c>
      <c r="X1209" s="27">
        <f>((3*10+H1209/COS(RADIANS(E1209)))*(3+3)+3*G1209*H1209)*2</f>
        <v/>
      </c>
      <c r="Y1209" s="28">
        <f>Z1209/X1209</f>
        <v/>
      </c>
      <c r="Z1209" s="29" t="n">
        <v>628.349610883996</v>
      </c>
      <c r="AA1209" s="20" t="n">
        <v>117.926459608319</v>
      </c>
      <c r="AB1209" t="n">
        <v>0.199587613266236</v>
      </c>
      <c r="AC1209" t="n">
        <v>112.3949099258713</v>
      </c>
      <c r="AD1209" t="n">
        <v>31.66192518885802</v>
      </c>
    </row>
    <row r="1210">
      <c r="A1210" t="n">
        <v>1209</v>
      </c>
      <c r="B1210" t="n">
        <v>49.7</v>
      </c>
      <c r="C1210" s="21">
        <f>B1210-20</f>
        <v/>
      </c>
      <c r="D1210" t="n">
        <v>126.2</v>
      </c>
      <c r="E1210" s="22">
        <f>D1210-90</f>
        <v/>
      </c>
      <c r="F1210" s="23" t="n">
        <v>0.010037</v>
      </c>
      <c r="G1210" s="22" t="n">
        <v>29.3</v>
      </c>
      <c r="H1210" s="22" t="n">
        <v>1.5</v>
      </c>
      <c r="I1210" s="24" t="n">
        <v>0.044041022658348</v>
      </c>
      <c r="J1210" s="6" t="n">
        <v>71000</v>
      </c>
      <c r="K1210" s="25">
        <f>23*10^-6</f>
        <v/>
      </c>
      <c r="L1210" s="8">
        <f>H1210</f>
        <v/>
      </c>
      <c r="M1210" s="26">
        <f>H1210^2/6</f>
        <v/>
      </c>
      <c r="N1210" s="26">
        <f>H1210^3/12</f>
        <v/>
      </c>
      <c r="O1210" s="27">
        <f>-J1210*L1210*K1210*C1210</f>
        <v/>
      </c>
      <c r="P1210" s="28">
        <f>-(12*F1210*J1210*L1210*N1210+12*O1210*N1210*G1210*COS(RADIANS(E1210)))/(12*N1210*G1210*COS(RADIANS(E1210))^2+L1210*G1210^3*SIN(RADIANS(E1210))^2)</f>
        <v/>
      </c>
      <c r="Q1210" s="28">
        <f>-(6*F1210*J1210*L1210*N1210*SIN(RADIANS(E1210))+6*O1210*N1210*G1210*SIN(RADIANS(E1210))*COS(RADIANS(E1210)))/(12*N1210*COS(RADIANS(E1210))^2+L1210*G1210^2*SIN(RADIANS(E1210))^2)</f>
        <v/>
      </c>
      <c r="R1210" s="28">
        <f>-P1210*SIN(RADIANS(E1210))</f>
        <v/>
      </c>
      <c r="S1210" s="8">
        <f>(O1210+P1210*COS(RADIANS(E1210)))/L1210</f>
        <v/>
      </c>
      <c r="T1210" s="8">
        <f>R1210/L1210</f>
        <v/>
      </c>
      <c r="U1210" s="8">
        <f>(Q1210-P1210*G1210*SIN(RADIANS(E1210)))/M1210</f>
        <v/>
      </c>
      <c r="V1210" s="8">
        <f>SQRT((S1210+U1210)^2+3*T1210^2)</f>
        <v/>
      </c>
      <c r="W1210" s="8">
        <f>V1210/AA1210</f>
        <v/>
      </c>
      <c r="X1210" s="27">
        <f>((3*10+H1210/COS(RADIANS(E1210)))*(3+3)+3*G1210*H1210)*2</f>
        <v/>
      </c>
      <c r="Y1210" s="28">
        <f>Z1210/X1210</f>
        <v/>
      </c>
      <c r="Z1210" s="29" t="n">
        <v>655.180798704813</v>
      </c>
      <c r="AA1210" s="20" t="n">
        <v>43.1798046900215</v>
      </c>
      <c r="AB1210" t="n">
        <v>0.04733472020780459</v>
      </c>
      <c r="AC1210" t="n">
        <v>42.970781864313</v>
      </c>
      <c r="AD1210" t="n">
        <v>7.47870360551736</v>
      </c>
    </row>
    <row r="1211">
      <c r="A1211" t="n">
        <v>1210</v>
      </c>
      <c r="B1211" t="n">
        <v>82.40000000000001</v>
      </c>
      <c r="C1211" s="21">
        <f>B1211-20</f>
        <v/>
      </c>
      <c r="D1211" t="n">
        <v>105.4</v>
      </c>
      <c r="E1211" s="22">
        <f>D1211-90</f>
        <v/>
      </c>
      <c r="F1211" s="23" t="n">
        <v>0.021002</v>
      </c>
      <c r="G1211" s="22" t="n">
        <v>24.4</v>
      </c>
      <c r="H1211" s="22" t="n">
        <v>1.3</v>
      </c>
      <c r="I1211" s="24" t="n">
        <v>0.149420976638793</v>
      </c>
      <c r="J1211" s="6" t="n">
        <v>71000</v>
      </c>
      <c r="K1211" s="25">
        <f>23*10^-6</f>
        <v/>
      </c>
      <c r="L1211" s="8">
        <f>H1211</f>
        <v/>
      </c>
      <c r="M1211" s="26">
        <f>H1211^2/6</f>
        <v/>
      </c>
      <c r="N1211" s="26">
        <f>H1211^3/12</f>
        <v/>
      </c>
      <c r="O1211" s="27">
        <f>-J1211*L1211*K1211*C1211</f>
        <v/>
      </c>
      <c r="P1211" s="28">
        <f>-(12*F1211*J1211*L1211*N1211+12*O1211*N1211*G1211*COS(RADIANS(E1211)))/(12*N1211*G1211*COS(RADIANS(E1211))^2+L1211*G1211^3*SIN(RADIANS(E1211))^2)</f>
        <v/>
      </c>
      <c r="Q1211" s="28">
        <f>-(6*F1211*J1211*L1211*N1211*SIN(RADIANS(E1211))+6*O1211*N1211*G1211*SIN(RADIANS(E1211))*COS(RADIANS(E1211)))/(12*N1211*COS(RADIANS(E1211))^2+L1211*G1211^2*SIN(RADIANS(E1211))^2)</f>
        <v/>
      </c>
      <c r="R1211" s="28">
        <f>-P1211*SIN(RADIANS(E1211))</f>
        <v/>
      </c>
      <c r="S1211" s="8">
        <f>(O1211+P1211*COS(RADIANS(E1211)))/L1211</f>
        <v/>
      </c>
      <c r="T1211" s="8">
        <f>R1211/L1211</f>
        <v/>
      </c>
      <c r="U1211" s="8">
        <f>(Q1211-P1211*G1211*SIN(RADIANS(E1211)))/M1211</f>
        <v/>
      </c>
      <c r="V1211" s="8">
        <f>SQRT((S1211+U1211)^2+3*T1211^2)</f>
        <v/>
      </c>
      <c r="W1211" s="8">
        <f>V1211/AA1211</f>
        <v/>
      </c>
      <c r="X1211" s="27">
        <f>((3*10+H1211/COS(RADIANS(E1211)))*(3+3)+3*G1211*H1211)*2</f>
        <v/>
      </c>
      <c r="Y1211" s="28">
        <f>Z1211/X1211</f>
        <v/>
      </c>
      <c r="Z1211" s="29" t="n">
        <v>570.828402510878</v>
      </c>
      <c r="AA1211" s="20" t="n">
        <v>95.3351281170269</v>
      </c>
      <c r="AB1211" t="n">
        <v>0.2004034356010772</v>
      </c>
      <c r="AC1211" t="n">
        <v>100.3870434066636</v>
      </c>
      <c r="AD1211" t="n">
        <v>34.12001454489759</v>
      </c>
    </row>
    <row r="1212">
      <c r="A1212" t="n">
        <v>1211</v>
      </c>
      <c r="B1212" t="n">
        <v>52.8</v>
      </c>
      <c r="C1212" s="21">
        <f>B1212-20</f>
        <v/>
      </c>
      <c r="D1212" t="n">
        <v>109.2</v>
      </c>
      <c r="E1212" s="22">
        <f>D1212-90</f>
        <v/>
      </c>
      <c r="F1212" s="23" t="n">
        <v>0.011248</v>
      </c>
      <c r="G1212" s="22" t="n">
        <v>25.5</v>
      </c>
      <c r="H1212" s="22" t="n">
        <v>2</v>
      </c>
      <c r="I1212" s="24" t="n">
        <v>0.0676035434007644</v>
      </c>
      <c r="J1212" s="6" t="n">
        <v>71000</v>
      </c>
      <c r="K1212" s="25">
        <f>23*10^-6</f>
        <v/>
      </c>
      <c r="L1212" s="8">
        <f>H1212</f>
        <v/>
      </c>
      <c r="M1212" s="26">
        <f>H1212^2/6</f>
        <v/>
      </c>
      <c r="N1212" s="26">
        <f>H1212^3/12</f>
        <v/>
      </c>
      <c r="O1212" s="27">
        <f>-J1212*L1212*K1212*C1212</f>
        <v/>
      </c>
      <c r="P1212" s="28">
        <f>-(12*F1212*J1212*L1212*N1212+12*O1212*N1212*G1212*COS(RADIANS(E1212)))/(12*N1212*G1212*COS(RADIANS(E1212))^2+L1212*G1212^3*SIN(RADIANS(E1212))^2)</f>
        <v/>
      </c>
      <c r="Q1212" s="28">
        <f>-(6*F1212*J1212*L1212*N1212*SIN(RADIANS(E1212))+6*O1212*N1212*G1212*SIN(RADIANS(E1212))*COS(RADIANS(E1212)))/(12*N1212*COS(RADIANS(E1212))^2+L1212*G1212^2*SIN(RADIANS(E1212))^2)</f>
        <v/>
      </c>
      <c r="R1212" s="28">
        <f>-P1212*SIN(RADIANS(E1212))</f>
        <v/>
      </c>
      <c r="S1212" s="8">
        <f>(O1212+P1212*COS(RADIANS(E1212)))/L1212</f>
        <v/>
      </c>
      <c r="T1212" s="8">
        <f>R1212/L1212</f>
        <v/>
      </c>
      <c r="U1212" s="8">
        <f>(Q1212-P1212*G1212*SIN(RADIANS(E1212)))/M1212</f>
        <v/>
      </c>
      <c r="V1212" s="8">
        <f>SQRT((S1212+U1212)^2+3*T1212^2)</f>
        <v/>
      </c>
      <c r="W1212" s="8">
        <f>V1212/AA1212</f>
        <v/>
      </c>
      <c r="X1212" s="27">
        <f>((3*10+H1212/COS(RADIANS(E1212)))*(3+3)+3*G1212*H1212)*2</f>
        <v/>
      </c>
      <c r="Y1212" s="28">
        <f>Z1212/X1212</f>
        <v/>
      </c>
      <c r="Z1212" s="29" t="n">
        <v>696.260822348896</v>
      </c>
      <c r="AA1212" s="20" t="n">
        <v>57.5234415187027</v>
      </c>
      <c r="AB1212" t="n">
        <v>0.08622317098043412</v>
      </c>
      <c r="AC1212" t="n">
        <v>54.0359061029567</v>
      </c>
      <c r="AD1212" t="n">
        <v>27.54238408671815</v>
      </c>
    </row>
    <row r="1213">
      <c r="A1213" t="n">
        <v>1212</v>
      </c>
      <c r="B1213" t="n">
        <v>44.9</v>
      </c>
      <c r="C1213" s="21">
        <f>B1213-20</f>
        <v/>
      </c>
      <c r="D1213" t="n">
        <v>106.9</v>
      </c>
      <c r="E1213" s="22">
        <f>D1213-90</f>
        <v/>
      </c>
      <c r="F1213" s="23" t="n">
        <v>0.011101</v>
      </c>
      <c r="G1213" s="22" t="n">
        <v>34.6</v>
      </c>
      <c r="H1213" s="22" t="n">
        <v>1.8</v>
      </c>
      <c r="I1213" s="24" t="n">
        <v>0.07107120007276529</v>
      </c>
      <c r="J1213" s="6" t="n">
        <v>71000</v>
      </c>
      <c r="K1213" s="25">
        <f>23*10^-6</f>
        <v/>
      </c>
      <c r="L1213" s="8">
        <f>H1213</f>
        <v/>
      </c>
      <c r="M1213" s="26">
        <f>H1213^2/6</f>
        <v/>
      </c>
      <c r="N1213" s="26">
        <f>H1213^3/12</f>
        <v/>
      </c>
      <c r="O1213" s="27">
        <f>-J1213*L1213*K1213*C1213</f>
        <v/>
      </c>
      <c r="P1213" s="28">
        <f>-(12*F1213*J1213*L1213*N1213+12*O1213*N1213*G1213*COS(RADIANS(E1213)))/(12*N1213*G1213*COS(RADIANS(E1213))^2+L1213*G1213^3*SIN(RADIANS(E1213))^2)</f>
        <v/>
      </c>
      <c r="Q1213" s="28">
        <f>-(6*F1213*J1213*L1213*N1213*SIN(RADIANS(E1213))+6*O1213*N1213*G1213*SIN(RADIANS(E1213))*COS(RADIANS(E1213)))/(12*N1213*COS(RADIANS(E1213))^2+L1213*G1213^2*SIN(RADIANS(E1213))^2)</f>
        <v/>
      </c>
      <c r="R1213" s="28">
        <f>-P1213*SIN(RADIANS(E1213))</f>
        <v/>
      </c>
      <c r="S1213" s="8">
        <f>(O1213+P1213*COS(RADIANS(E1213)))/L1213</f>
        <v/>
      </c>
      <c r="T1213" s="8">
        <f>R1213/L1213</f>
        <v/>
      </c>
      <c r="U1213" s="8">
        <f>(Q1213-P1213*G1213*SIN(RADIANS(E1213)))/M1213</f>
        <v/>
      </c>
      <c r="V1213" s="8">
        <f>SQRT((S1213+U1213)^2+3*T1213^2)</f>
        <v/>
      </c>
      <c r="W1213" s="8">
        <f>V1213/AA1213</f>
        <v/>
      </c>
      <c r="X1213" s="27">
        <f>((3*10+H1213/COS(RADIANS(E1213)))*(3+3)+3*G1213*H1213)*2</f>
        <v/>
      </c>
      <c r="Y1213" s="28">
        <f>Z1213/X1213</f>
        <v/>
      </c>
      <c r="Z1213" s="29" t="n">
        <v>760.771815640294</v>
      </c>
      <c r="AA1213" s="20" t="n">
        <v>40.8314612800947</v>
      </c>
      <c r="AB1213" t="n">
        <v>0.1016218788608903</v>
      </c>
      <c r="AC1213" t="n">
        <v>39.96773915031734</v>
      </c>
      <c r="AD1213" t="n">
        <v>42.9860179043637</v>
      </c>
    </row>
    <row r="1214">
      <c r="A1214" t="n">
        <v>1213</v>
      </c>
      <c r="B1214" t="n">
        <v>75.7</v>
      </c>
      <c r="C1214" s="21">
        <f>B1214-20</f>
        <v/>
      </c>
      <c r="D1214" t="n">
        <v>129.3</v>
      </c>
      <c r="E1214" s="22">
        <f>D1214-90</f>
        <v/>
      </c>
      <c r="F1214" s="23" t="n">
        <v>0.016487</v>
      </c>
      <c r="G1214" s="22" t="n">
        <v>25.8</v>
      </c>
      <c r="H1214" s="22" t="n">
        <v>1.1</v>
      </c>
      <c r="I1214" s="24" t="n">
        <v>0.0723646283149719</v>
      </c>
      <c r="J1214" s="6" t="n">
        <v>71000</v>
      </c>
      <c r="K1214" s="25">
        <f>23*10^-6</f>
        <v/>
      </c>
      <c r="L1214" s="8">
        <f>H1214</f>
        <v/>
      </c>
      <c r="M1214" s="26">
        <f>H1214^2/6</f>
        <v/>
      </c>
      <c r="N1214" s="26">
        <f>H1214^3/12</f>
        <v/>
      </c>
      <c r="O1214" s="27">
        <f>-J1214*L1214*K1214*C1214</f>
        <v/>
      </c>
      <c r="P1214" s="28">
        <f>-(12*F1214*J1214*L1214*N1214+12*O1214*N1214*G1214*COS(RADIANS(E1214)))/(12*N1214*G1214*COS(RADIANS(E1214))^2+L1214*G1214^3*SIN(RADIANS(E1214))^2)</f>
        <v/>
      </c>
      <c r="Q1214" s="28">
        <f>-(6*F1214*J1214*L1214*N1214*SIN(RADIANS(E1214))+6*O1214*N1214*G1214*SIN(RADIANS(E1214))*COS(RADIANS(E1214)))/(12*N1214*COS(RADIANS(E1214))^2+L1214*G1214^2*SIN(RADIANS(E1214))^2)</f>
        <v/>
      </c>
      <c r="R1214" s="28">
        <f>-P1214*SIN(RADIANS(E1214))</f>
        <v/>
      </c>
      <c r="S1214" s="8">
        <f>(O1214+P1214*COS(RADIANS(E1214)))/L1214</f>
        <v/>
      </c>
      <c r="T1214" s="8">
        <f>R1214/L1214</f>
        <v/>
      </c>
      <c r="U1214" s="8">
        <f>(Q1214-P1214*G1214*SIN(RADIANS(E1214)))/M1214</f>
        <v/>
      </c>
      <c r="V1214" s="8">
        <f>SQRT((S1214+U1214)^2+3*T1214^2)</f>
        <v/>
      </c>
      <c r="W1214" s="8">
        <f>V1214/AA1214</f>
        <v/>
      </c>
      <c r="X1214" s="27">
        <f>((3*10+H1214/COS(RADIANS(E1214)))*(3+3)+3*G1214*H1214)*2</f>
        <v/>
      </c>
      <c r="Y1214" s="28">
        <f>Z1214/X1214</f>
        <v/>
      </c>
      <c r="Z1214" s="29" t="n">
        <v>557.7855692156299</v>
      </c>
      <c r="AA1214" s="20" t="n">
        <v>73.7891561472513</v>
      </c>
      <c r="AB1214" t="n">
        <v>0.07209535898859643</v>
      </c>
      <c r="AC1214" t="n">
        <v>78.88358045699988</v>
      </c>
      <c r="AD1214" t="n">
        <v>-0.37210075232261</v>
      </c>
    </row>
    <row r="1215">
      <c r="A1215" t="n">
        <v>1214</v>
      </c>
      <c r="B1215" t="n">
        <v>47</v>
      </c>
      <c r="C1215" s="21">
        <f>B1215-20</f>
        <v/>
      </c>
      <c r="D1215" t="n">
        <v>109.7</v>
      </c>
      <c r="E1215" s="22">
        <f>D1215-90</f>
        <v/>
      </c>
      <c r="F1215" s="23" t="n">
        <v>0.008106</v>
      </c>
      <c r="G1215" s="22" t="n">
        <v>21.6</v>
      </c>
      <c r="H1215" s="22" t="n">
        <v>1.7</v>
      </c>
      <c r="I1215" s="24" t="n">
        <v>0.0491075552999973</v>
      </c>
      <c r="J1215" s="6" t="n">
        <v>71000</v>
      </c>
      <c r="K1215" s="25">
        <f>23*10^-6</f>
        <v/>
      </c>
      <c r="L1215" s="8">
        <f>H1215</f>
        <v/>
      </c>
      <c r="M1215" s="26">
        <f>H1215^2/6</f>
        <v/>
      </c>
      <c r="N1215" s="26">
        <f>H1215^3/12</f>
        <v/>
      </c>
      <c r="O1215" s="27">
        <f>-J1215*L1215*K1215*C1215</f>
        <v/>
      </c>
      <c r="P1215" s="28">
        <f>-(12*F1215*J1215*L1215*N1215+12*O1215*N1215*G1215*COS(RADIANS(E1215)))/(12*N1215*G1215*COS(RADIANS(E1215))^2+L1215*G1215^3*SIN(RADIANS(E1215))^2)</f>
        <v/>
      </c>
      <c r="Q1215" s="28">
        <f>-(6*F1215*J1215*L1215*N1215*SIN(RADIANS(E1215))+6*O1215*N1215*G1215*SIN(RADIANS(E1215))*COS(RADIANS(E1215)))/(12*N1215*COS(RADIANS(E1215))^2+L1215*G1215^2*SIN(RADIANS(E1215))^2)</f>
        <v/>
      </c>
      <c r="R1215" s="28">
        <f>-P1215*SIN(RADIANS(E1215))</f>
        <v/>
      </c>
      <c r="S1215" s="8">
        <f>(O1215+P1215*COS(RADIANS(E1215)))/L1215</f>
        <v/>
      </c>
      <c r="T1215" s="8">
        <f>R1215/L1215</f>
        <v/>
      </c>
      <c r="U1215" s="8">
        <f>(Q1215-P1215*G1215*SIN(RADIANS(E1215)))/M1215</f>
        <v/>
      </c>
      <c r="V1215" s="8">
        <f>SQRT((S1215+U1215)^2+3*T1215^2)</f>
        <v/>
      </c>
      <c r="W1215" s="8">
        <f>V1215/AA1215</f>
        <v/>
      </c>
      <c r="X1215" s="27">
        <f>((3*10+H1215/COS(RADIANS(E1215)))*(3+3)+3*G1215*H1215)*2</f>
        <v/>
      </c>
      <c r="Y1215" s="28">
        <f>Z1215/X1215</f>
        <v/>
      </c>
      <c r="Z1215" s="29" t="n">
        <v>606.913893978798</v>
      </c>
      <c r="AA1215" s="20" t="n">
        <v>45.5547394258244</v>
      </c>
      <c r="AB1215" t="n">
        <v>0.05942008653546179</v>
      </c>
      <c r="AC1215" t="n">
        <v>43.83630463116807</v>
      </c>
      <c r="AD1215" t="n">
        <v>20.99988723214868</v>
      </c>
    </row>
    <row r="1216">
      <c r="A1216" t="n">
        <v>1215</v>
      </c>
      <c r="B1216" t="n">
        <v>48</v>
      </c>
      <c r="C1216" s="21">
        <f>B1216-20</f>
        <v/>
      </c>
      <c r="D1216" t="n">
        <v>107.9</v>
      </c>
      <c r="E1216" s="22">
        <f>D1216-90</f>
        <v/>
      </c>
      <c r="F1216" s="23" t="n">
        <v>0.011301</v>
      </c>
      <c r="G1216" s="22" t="n">
        <v>30.9</v>
      </c>
      <c r="H1216" s="22" t="n">
        <v>1.3</v>
      </c>
      <c r="I1216" s="24" t="n">
        <v>0.070823349058628</v>
      </c>
      <c r="J1216" s="6" t="n">
        <v>71000</v>
      </c>
      <c r="K1216" s="25">
        <f>23*10^-6</f>
        <v/>
      </c>
      <c r="L1216" s="8">
        <f>H1216</f>
        <v/>
      </c>
      <c r="M1216" s="26">
        <f>H1216^2/6</f>
        <v/>
      </c>
      <c r="N1216" s="26">
        <f>H1216^3/12</f>
        <v/>
      </c>
      <c r="O1216" s="27">
        <f>-J1216*L1216*K1216*C1216</f>
        <v/>
      </c>
      <c r="P1216" s="28">
        <f>-(12*F1216*J1216*L1216*N1216+12*O1216*N1216*G1216*COS(RADIANS(E1216)))/(12*N1216*G1216*COS(RADIANS(E1216))^2+L1216*G1216^3*SIN(RADIANS(E1216))^2)</f>
        <v/>
      </c>
      <c r="Q1216" s="28">
        <f>-(6*F1216*J1216*L1216*N1216*SIN(RADIANS(E1216))+6*O1216*N1216*G1216*SIN(RADIANS(E1216))*COS(RADIANS(E1216)))/(12*N1216*COS(RADIANS(E1216))^2+L1216*G1216^2*SIN(RADIANS(E1216))^2)</f>
        <v/>
      </c>
      <c r="R1216" s="28">
        <f>-P1216*SIN(RADIANS(E1216))</f>
        <v/>
      </c>
      <c r="S1216" s="8">
        <f>(O1216+P1216*COS(RADIANS(E1216)))/L1216</f>
        <v/>
      </c>
      <c r="T1216" s="8">
        <f>R1216/L1216</f>
        <v/>
      </c>
      <c r="U1216" s="8">
        <f>(Q1216-P1216*G1216*SIN(RADIANS(E1216)))/M1216</f>
        <v/>
      </c>
      <c r="V1216" s="8">
        <f>SQRT((S1216+U1216)^2+3*T1216^2)</f>
        <v/>
      </c>
      <c r="W1216" s="8">
        <f>V1216/AA1216</f>
        <v/>
      </c>
      <c r="X1216" s="27">
        <f>((3*10+H1216/COS(RADIANS(E1216)))*(3+3)+3*G1216*H1216)*2</f>
        <v/>
      </c>
      <c r="Y1216" s="28">
        <f>Z1216/X1216</f>
        <v/>
      </c>
      <c r="Z1216" s="29" t="n">
        <v>622.067997690623</v>
      </c>
      <c r="AA1216" s="20" t="n">
        <v>41.3388695739009</v>
      </c>
      <c r="AB1216" t="n">
        <v>0.09800826338812463</v>
      </c>
      <c r="AC1216" t="n">
        <v>43.18119249778071</v>
      </c>
      <c r="AD1216" t="n">
        <v>38.3841129949853</v>
      </c>
    </row>
    <row r="1217">
      <c r="A1217" t="n">
        <v>1216</v>
      </c>
      <c r="B1217" t="n">
        <v>49.1</v>
      </c>
      <c r="C1217" s="21">
        <f>B1217-20</f>
        <v/>
      </c>
      <c r="D1217" t="n">
        <v>123.8</v>
      </c>
      <c r="E1217" s="22">
        <f>D1217-90</f>
        <v/>
      </c>
      <c r="F1217" s="23" t="n">
        <v>0.009653999999999999</v>
      </c>
      <c r="G1217" s="22" t="n">
        <v>27.8</v>
      </c>
      <c r="H1217" s="22" t="n">
        <v>2</v>
      </c>
      <c r="I1217" s="24" t="n">
        <v>0.0435769781470298</v>
      </c>
      <c r="J1217" s="6" t="n">
        <v>71000</v>
      </c>
      <c r="K1217" s="25">
        <f>23*10^-6</f>
        <v/>
      </c>
      <c r="L1217" s="8">
        <f>H1217</f>
        <v/>
      </c>
      <c r="M1217" s="26">
        <f>H1217^2/6</f>
        <v/>
      </c>
      <c r="N1217" s="26">
        <f>H1217^3/12</f>
        <v/>
      </c>
      <c r="O1217" s="27">
        <f>-J1217*L1217*K1217*C1217</f>
        <v/>
      </c>
      <c r="P1217" s="28">
        <f>-(12*F1217*J1217*L1217*N1217+12*O1217*N1217*G1217*COS(RADIANS(E1217)))/(12*N1217*G1217*COS(RADIANS(E1217))^2+L1217*G1217^3*SIN(RADIANS(E1217))^2)</f>
        <v/>
      </c>
      <c r="Q1217" s="28">
        <f>-(6*F1217*J1217*L1217*N1217*SIN(RADIANS(E1217))+6*O1217*N1217*G1217*SIN(RADIANS(E1217))*COS(RADIANS(E1217)))/(12*N1217*COS(RADIANS(E1217))^2+L1217*G1217^2*SIN(RADIANS(E1217))^2)</f>
        <v/>
      </c>
      <c r="R1217" s="28">
        <f>-P1217*SIN(RADIANS(E1217))</f>
        <v/>
      </c>
      <c r="S1217" s="8">
        <f>(O1217+P1217*COS(RADIANS(E1217)))/L1217</f>
        <v/>
      </c>
      <c r="T1217" s="8">
        <f>R1217/L1217</f>
        <v/>
      </c>
      <c r="U1217" s="8">
        <f>(Q1217-P1217*G1217*SIN(RADIANS(E1217)))/M1217</f>
        <v/>
      </c>
      <c r="V1217" s="8">
        <f>SQRT((S1217+U1217)^2+3*T1217^2)</f>
        <v/>
      </c>
      <c r="W1217" s="8">
        <f>V1217/AA1217</f>
        <v/>
      </c>
      <c r="X1217" s="27">
        <f>((3*10+H1217/COS(RADIANS(E1217)))*(3+3)+3*G1217*H1217)*2</f>
        <v/>
      </c>
      <c r="Y1217" s="28">
        <f>Z1217/X1217</f>
        <v/>
      </c>
      <c r="Z1217" s="29" t="n">
        <v>730.796441778412</v>
      </c>
      <c r="AA1217" s="20" t="n">
        <v>47.4829245800841</v>
      </c>
      <c r="AB1217" t="n">
        <v>0.0472480134889136</v>
      </c>
      <c r="AC1217" t="n">
        <v>43.59667964377925</v>
      </c>
      <c r="AD1217" t="n">
        <v>8.42425403959318</v>
      </c>
    </row>
    <row r="1218">
      <c r="A1218" t="n">
        <v>1217</v>
      </c>
      <c r="B1218" t="n">
        <v>67.90000000000001</v>
      </c>
      <c r="C1218" s="21">
        <f>B1218-20</f>
        <v/>
      </c>
      <c r="D1218" t="n">
        <v>114.2</v>
      </c>
      <c r="E1218" s="22">
        <f>D1218-90</f>
        <v/>
      </c>
      <c r="F1218" s="23" t="n">
        <v>0.013935</v>
      </c>
      <c r="G1218" s="22" t="n">
        <v>21.4</v>
      </c>
      <c r="H1218" s="22" t="n">
        <v>1.1</v>
      </c>
      <c r="I1218" s="24" t="n">
        <v>0.0759620666503906</v>
      </c>
      <c r="J1218" s="6" t="n">
        <v>71000</v>
      </c>
      <c r="K1218" s="25">
        <f>23*10^-6</f>
        <v/>
      </c>
      <c r="L1218" s="8">
        <f>H1218</f>
        <v/>
      </c>
      <c r="M1218" s="26">
        <f>H1218^2/6</f>
        <v/>
      </c>
      <c r="N1218" s="26">
        <f>H1218^3/12</f>
        <v/>
      </c>
      <c r="O1218" s="27">
        <f>-J1218*L1218*K1218*C1218</f>
        <v/>
      </c>
      <c r="P1218" s="28">
        <f>-(12*F1218*J1218*L1218*N1218+12*O1218*N1218*G1218*COS(RADIANS(E1218)))/(12*N1218*G1218*COS(RADIANS(E1218))^2+L1218*G1218^3*SIN(RADIANS(E1218))^2)</f>
        <v/>
      </c>
      <c r="Q1218" s="28">
        <f>-(6*F1218*J1218*L1218*N1218*SIN(RADIANS(E1218))+6*O1218*N1218*G1218*SIN(RADIANS(E1218))*COS(RADIANS(E1218)))/(12*N1218*COS(RADIANS(E1218))^2+L1218*G1218^2*SIN(RADIANS(E1218))^2)</f>
        <v/>
      </c>
      <c r="R1218" s="28">
        <f>-P1218*SIN(RADIANS(E1218))</f>
        <v/>
      </c>
      <c r="S1218" s="8">
        <f>(O1218+P1218*COS(RADIANS(E1218)))/L1218</f>
        <v/>
      </c>
      <c r="T1218" s="8">
        <f>R1218/L1218</f>
        <v/>
      </c>
      <c r="U1218" s="8">
        <f>(Q1218-P1218*G1218*SIN(RADIANS(E1218)))/M1218</f>
        <v/>
      </c>
      <c r="V1218" s="8">
        <f>SQRT((S1218+U1218)^2+3*T1218^2)</f>
        <v/>
      </c>
      <c r="W1218" s="8">
        <f>V1218/AA1218</f>
        <v/>
      </c>
      <c r="X1218" s="27">
        <f>((3*10+H1218/COS(RADIANS(E1218)))*(3+3)+3*G1218*H1218)*2</f>
        <v/>
      </c>
      <c r="Y1218" s="28">
        <f>Z1218/X1218</f>
        <v/>
      </c>
      <c r="Z1218" s="29" t="n">
        <v>521.457731545464</v>
      </c>
      <c r="AA1218" s="20" t="n">
        <v>69.07250951785841</v>
      </c>
      <c r="AB1218" t="n">
        <v>0.08729727899273172</v>
      </c>
      <c r="AC1218" t="n">
        <v>71.71329222990602</v>
      </c>
      <c r="AD1218" t="n">
        <v>14.92220109612149</v>
      </c>
    </row>
    <row r="1219">
      <c r="A1219" t="n">
        <v>1218</v>
      </c>
      <c r="B1219" t="n">
        <v>65.09999999999999</v>
      </c>
      <c r="C1219" s="21">
        <f>B1219-20</f>
        <v/>
      </c>
      <c r="D1219" t="n">
        <v>118.6</v>
      </c>
      <c r="E1219" s="22">
        <f>D1219-90</f>
        <v/>
      </c>
      <c r="F1219" s="23" t="n">
        <v>0.015769</v>
      </c>
      <c r="G1219" s="22" t="n">
        <v>28.1</v>
      </c>
      <c r="H1219" s="22" t="n">
        <v>1.9</v>
      </c>
      <c r="I1219" s="24" t="n">
        <v>0.0757335871458053</v>
      </c>
      <c r="J1219" s="6" t="n">
        <v>71000</v>
      </c>
      <c r="K1219" s="25">
        <f>23*10^-6</f>
        <v/>
      </c>
      <c r="L1219" s="8">
        <f>H1219</f>
        <v/>
      </c>
      <c r="M1219" s="26">
        <f>H1219^2/6</f>
        <v/>
      </c>
      <c r="N1219" s="26">
        <f>H1219^3/12</f>
        <v/>
      </c>
      <c r="O1219" s="27">
        <f>-J1219*L1219*K1219*C1219</f>
        <v/>
      </c>
      <c r="P1219" s="28">
        <f>-(12*F1219*J1219*L1219*N1219+12*O1219*N1219*G1219*COS(RADIANS(E1219)))/(12*N1219*G1219*COS(RADIANS(E1219))^2+L1219*G1219^3*SIN(RADIANS(E1219))^2)</f>
        <v/>
      </c>
      <c r="Q1219" s="28">
        <f>-(6*F1219*J1219*L1219*N1219*SIN(RADIANS(E1219))+6*O1219*N1219*G1219*SIN(RADIANS(E1219))*COS(RADIANS(E1219)))/(12*N1219*COS(RADIANS(E1219))^2+L1219*G1219^2*SIN(RADIANS(E1219))^2)</f>
        <v/>
      </c>
      <c r="R1219" s="28">
        <f>-P1219*SIN(RADIANS(E1219))</f>
        <v/>
      </c>
      <c r="S1219" s="8">
        <f>(O1219+P1219*COS(RADIANS(E1219)))/L1219</f>
        <v/>
      </c>
      <c r="T1219" s="8">
        <f>R1219/L1219</f>
        <v/>
      </c>
      <c r="U1219" s="8">
        <f>(Q1219-P1219*G1219*SIN(RADIANS(E1219)))/M1219</f>
        <v/>
      </c>
      <c r="V1219" s="8">
        <f>SQRT((S1219+U1219)^2+3*T1219^2)</f>
        <v/>
      </c>
      <c r="W1219" s="8">
        <f>V1219/AA1219</f>
        <v/>
      </c>
      <c r="X1219" s="27">
        <f>((3*10+H1219/COS(RADIANS(E1219)))*(3+3)+3*G1219*H1219)*2</f>
        <v/>
      </c>
      <c r="Y1219" s="28">
        <f>Z1219/X1219</f>
        <v/>
      </c>
      <c r="Z1219" s="29" t="n">
        <v>713.077624234956</v>
      </c>
      <c r="AA1219" s="20" t="n">
        <v>72.59665737561809</v>
      </c>
      <c r="AB1219" t="n">
        <v>0.0883236128124824</v>
      </c>
      <c r="AC1219" t="n">
        <v>68.74211057855354</v>
      </c>
      <c r="AD1219" t="n">
        <v>16.6240978952156</v>
      </c>
    </row>
    <row r="1220">
      <c r="A1220" t="n">
        <v>1219</v>
      </c>
      <c r="B1220" t="n">
        <v>47.4</v>
      </c>
      <c r="C1220" s="21">
        <f>B1220-20</f>
        <v/>
      </c>
      <c r="D1220" t="n">
        <v>112.5</v>
      </c>
      <c r="E1220" s="22">
        <f>D1220-90</f>
        <v/>
      </c>
      <c r="F1220" s="23" t="n">
        <v>0.011282</v>
      </c>
      <c r="G1220" s="22" t="n">
        <v>32.6</v>
      </c>
      <c r="H1220" s="22" t="n">
        <v>1.3</v>
      </c>
      <c r="I1220" s="24" t="n">
        <v>0.0604563653469085</v>
      </c>
      <c r="J1220" s="6" t="n">
        <v>71000</v>
      </c>
      <c r="K1220" s="25">
        <f>23*10^-6</f>
        <v/>
      </c>
      <c r="L1220" s="8">
        <f>H1220</f>
        <v/>
      </c>
      <c r="M1220" s="26">
        <f>H1220^2/6</f>
        <v/>
      </c>
      <c r="N1220" s="26">
        <f>H1220^3/12</f>
        <v/>
      </c>
      <c r="O1220" s="27">
        <f>-J1220*L1220*K1220*C1220</f>
        <v/>
      </c>
      <c r="P1220" s="28">
        <f>-(12*F1220*J1220*L1220*N1220+12*O1220*N1220*G1220*COS(RADIANS(E1220)))/(12*N1220*G1220*COS(RADIANS(E1220))^2+L1220*G1220^3*SIN(RADIANS(E1220))^2)</f>
        <v/>
      </c>
      <c r="Q1220" s="28">
        <f>-(6*F1220*J1220*L1220*N1220*SIN(RADIANS(E1220))+6*O1220*N1220*G1220*SIN(RADIANS(E1220))*COS(RADIANS(E1220)))/(12*N1220*COS(RADIANS(E1220))^2+L1220*G1220^2*SIN(RADIANS(E1220))^2)</f>
        <v/>
      </c>
      <c r="R1220" s="28">
        <f>-P1220*SIN(RADIANS(E1220))</f>
        <v/>
      </c>
      <c r="S1220" s="8">
        <f>(O1220+P1220*COS(RADIANS(E1220)))/L1220</f>
        <v/>
      </c>
      <c r="T1220" s="8">
        <f>R1220/L1220</f>
        <v/>
      </c>
      <c r="U1220" s="8">
        <f>(Q1220-P1220*G1220*SIN(RADIANS(E1220)))/M1220</f>
        <v/>
      </c>
      <c r="V1220" s="8">
        <f>SQRT((S1220+U1220)^2+3*T1220^2)</f>
        <v/>
      </c>
      <c r="W1220" s="8">
        <f>V1220/AA1220</f>
        <v/>
      </c>
      <c r="X1220" s="27">
        <f>((3*10+H1220/COS(RADIANS(E1220)))*(3+3)+3*G1220*H1220)*2</f>
        <v/>
      </c>
      <c r="Y1220" s="28">
        <f>Z1220/X1220</f>
        <v/>
      </c>
      <c r="Z1220" s="29" t="n">
        <v>636.57636051722</v>
      </c>
      <c r="AA1220" s="20" t="n">
        <v>39.7944278000377</v>
      </c>
      <c r="AB1220" t="n">
        <v>0.08013644783060994</v>
      </c>
      <c r="AC1220" t="n">
        <v>40.93611766274434</v>
      </c>
      <c r="AD1220" t="n">
        <v>32.55253995302879</v>
      </c>
    </row>
    <row r="1221">
      <c r="A1221" t="n">
        <v>1220</v>
      </c>
      <c r="B1221" t="n">
        <v>82.40000000000001</v>
      </c>
      <c r="C1221" s="21">
        <f>B1221-20</f>
        <v/>
      </c>
      <c r="D1221" t="n">
        <v>106.1</v>
      </c>
      <c r="E1221" s="22">
        <f>D1221-90</f>
        <v/>
      </c>
      <c r="F1221" s="23" t="n">
        <v>0.019236</v>
      </c>
      <c r="G1221" s="22" t="n">
        <v>21.9</v>
      </c>
      <c r="H1221" s="22" t="n">
        <v>1.9</v>
      </c>
      <c r="I1221" s="24" t="n">
        <v>0.129820972681045</v>
      </c>
      <c r="J1221" s="6" t="n">
        <v>71000</v>
      </c>
      <c r="K1221" s="25">
        <f>23*10^-6</f>
        <v/>
      </c>
      <c r="L1221" s="8">
        <f>H1221</f>
        <v/>
      </c>
      <c r="M1221" s="26">
        <f>H1221^2/6</f>
        <v/>
      </c>
      <c r="N1221" s="26">
        <f>H1221^3/12</f>
        <v/>
      </c>
      <c r="O1221" s="27">
        <f>-J1221*L1221*K1221*C1221</f>
        <v/>
      </c>
      <c r="P1221" s="28">
        <f>-(12*F1221*J1221*L1221*N1221+12*O1221*N1221*G1221*COS(RADIANS(E1221)))/(12*N1221*G1221*COS(RADIANS(E1221))^2+L1221*G1221^3*SIN(RADIANS(E1221))^2)</f>
        <v/>
      </c>
      <c r="Q1221" s="28">
        <f>-(6*F1221*J1221*L1221*N1221*SIN(RADIANS(E1221))+6*O1221*N1221*G1221*SIN(RADIANS(E1221))*COS(RADIANS(E1221)))/(12*N1221*COS(RADIANS(E1221))^2+L1221*G1221^2*SIN(RADIANS(E1221))^2)</f>
        <v/>
      </c>
      <c r="R1221" s="28">
        <f>-P1221*SIN(RADIANS(E1221))</f>
        <v/>
      </c>
      <c r="S1221" s="8">
        <f>(O1221+P1221*COS(RADIANS(E1221)))/L1221</f>
        <v/>
      </c>
      <c r="T1221" s="8">
        <f>R1221/L1221</f>
        <v/>
      </c>
      <c r="U1221" s="8">
        <f>(Q1221-P1221*G1221*SIN(RADIANS(E1221)))/M1221</f>
        <v/>
      </c>
      <c r="V1221" s="8">
        <f>SQRT((S1221+U1221)^2+3*T1221^2)</f>
        <v/>
      </c>
      <c r="W1221" s="8">
        <f>V1221/AA1221</f>
        <v/>
      </c>
      <c r="X1221" s="27">
        <f>((3*10+H1221/COS(RADIANS(E1221)))*(3+3)+3*G1221*H1221)*2</f>
        <v/>
      </c>
      <c r="Y1221" s="28">
        <f>Z1221/X1221</f>
        <v/>
      </c>
      <c r="Z1221" s="29" t="n">
        <v>637.8040950503899</v>
      </c>
      <c r="AA1221" s="20" t="n">
        <v>113.393717029392</v>
      </c>
      <c r="AB1221" t="n">
        <v>0.1646106421754774</v>
      </c>
      <c r="AC1221" t="n">
        <v>106.4585262171646</v>
      </c>
      <c r="AD1221" t="n">
        <v>26.79818890273339</v>
      </c>
    </row>
    <row r="1222">
      <c r="A1222" t="n">
        <v>1221</v>
      </c>
      <c r="B1222" t="n">
        <v>60.9</v>
      </c>
      <c r="C1222" s="21">
        <f>B1222-20</f>
        <v/>
      </c>
      <c r="D1222" t="n">
        <v>107.5</v>
      </c>
      <c r="E1222" s="22">
        <f>D1222-90</f>
        <v/>
      </c>
      <c r="F1222" s="23" t="n">
        <v>0.013292</v>
      </c>
      <c r="G1222" s="22" t="n">
        <v>23.6</v>
      </c>
      <c r="H1222" s="22" t="n">
        <v>1.3</v>
      </c>
      <c r="I1222" s="24" t="n">
        <v>0.0869905725121498</v>
      </c>
      <c r="J1222" s="6" t="n">
        <v>71000</v>
      </c>
      <c r="K1222" s="25">
        <f>23*10^-6</f>
        <v/>
      </c>
      <c r="L1222" s="8">
        <f>H1222</f>
        <v/>
      </c>
      <c r="M1222" s="26">
        <f>H1222^2/6</f>
        <v/>
      </c>
      <c r="N1222" s="26">
        <f>H1222^3/12</f>
        <v/>
      </c>
      <c r="O1222" s="27">
        <f>-J1222*L1222*K1222*C1222</f>
        <v/>
      </c>
      <c r="P1222" s="28">
        <f>-(12*F1222*J1222*L1222*N1222+12*O1222*N1222*G1222*COS(RADIANS(E1222)))/(12*N1222*G1222*COS(RADIANS(E1222))^2+L1222*G1222^3*SIN(RADIANS(E1222))^2)</f>
        <v/>
      </c>
      <c r="Q1222" s="28">
        <f>-(6*F1222*J1222*L1222*N1222*SIN(RADIANS(E1222))+6*O1222*N1222*G1222*SIN(RADIANS(E1222))*COS(RADIANS(E1222)))/(12*N1222*COS(RADIANS(E1222))^2+L1222*G1222^2*SIN(RADIANS(E1222))^2)</f>
        <v/>
      </c>
      <c r="R1222" s="28">
        <f>-P1222*SIN(RADIANS(E1222))</f>
        <v/>
      </c>
      <c r="S1222" s="8">
        <f>(O1222+P1222*COS(RADIANS(E1222)))/L1222</f>
        <v/>
      </c>
      <c r="T1222" s="8">
        <f>R1222/L1222</f>
        <v/>
      </c>
      <c r="U1222" s="8">
        <f>(Q1222-P1222*G1222*SIN(RADIANS(E1222)))/M1222</f>
        <v/>
      </c>
      <c r="V1222" s="8">
        <f>SQRT((S1222+U1222)^2+3*T1222^2)</f>
        <v/>
      </c>
      <c r="W1222" s="8">
        <f>V1222/AA1222</f>
        <v/>
      </c>
      <c r="X1222" s="27">
        <f>((3*10+H1222/COS(RADIANS(E1222)))*(3+3)+3*G1222*H1222)*2</f>
        <v/>
      </c>
      <c r="Y1222" s="28">
        <f>Z1222/X1222</f>
        <v/>
      </c>
      <c r="Z1222" s="29" t="n">
        <v>565.0353827412169</v>
      </c>
      <c r="AA1222" s="20" t="n">
        <v>62.117716553509</v>
      </c>
      <c r="AB1222" t="n">
        <v>0.1124254998071754</v>
      </c>
      <c r="AC1222" t="n">
        <v>64.72830943831099</v>
      </c>
      <c r="AD1222" t="n">
        <v>29.23871697875446</v>
      </c>
    </row>
    <row r="1223">
      <c r="A1223" t="n">
        <v>1222</v>
      </c>
      <c r="B1223" t="n">
        <v>75.09999999999999</v>
      </c>
      <c r="C1223" s="21">
        <f>B1223-20</f>
        <v/>
      </c>
      <c r="D1223" t="n">
        <v>127.7</v>
      </c>
      <c r="E1223" s="22">
        <f>D1223-90</f>
        <v/>
      </c>
      <c r="F1223" s="23" t="n">
        <v>0.019822</v>
      </c>
      <c r="G1223" s="22" t="n">
        <v>32.3</v>
      </c>
      <c r="H1223" s="22" t="n">
        <v>1</v>
      </c>
      <c r="I1223" s="24" t="n">
        <v>0.0847880095243454</v>
      </c>
      <c r="J1223" s="6" t="n">
        <v>71000</v>
      </c>
      <c r="K1223" s="25">
        <f>23*10^-6</f>
        <v/>
      </c>
      <c r="L1223" s="8">
        <f>H1223</f>
        <v/>
      </c>
      <c r="M1223" s="26">
        <f>H1223^2/6</f>
        <v/>
      </c>
      <c r="N1223" s="26">
        <f>H1223^3/12</f>
        <v/>
      </c>
      <c r="O1223" s="27">
        <f>-J1223*L1223*K1223*C1223</f>
        <v/>
      </c>
      <c r="P1223" s="28">
        <f>-(12*F1223*J1223*L1223*N1223+12*O1223*N1223*G1223*COS(RADIANS(E1223)))/(12*N1223*G1223*COS(RADIANS(E1223))^2+L1223*G1223^3*SIN(RADIANS(E1223))^2)</f>
        <v/>
      </c>
      <c r="Q1223" s="28">
        <f>-(6*F1223*J1223*L1223*N1223*SIN(RADIANS(E1223))+6*O1223*N1223*G1223*SIN(RADIANS(E1223))*COS(RADIANS(E1223)))/(12*N1223*COS(RADIANS(E1223))^2+L1223*G1223^2*SIN(RADIANS(E1223))^2)</f>
        <v/>
      </c>
      <c r="R1223" s="28">
        <f>-P1223*SIN(RADIANS(E1223))</f>
        <v/>
      </c>
      <c r="S1223" s="8">
        <f>(O1223+P1223*COS(RADIANS(E1223)))/L1223</f>
        <v/>
      </c>
      <c r="T1223" s="8">
        <f>R1223/L1223</f>
        <v/>
      </c>
      <c r="U1223" s="8">
        <f>(Q1223-P1223*G1223*SIN(RADIANS(E1223)))/M1223</f>
        <v/>
      </c>
      <c r="V1223" s="8">
        <f>SQRT((S1223+U1223)^2+3*T1223^2)</f>
        <v/>
      </c>
      <c r="W1223" s="8">
        <f>V1223/AA1223</f>
        <v/>
      </c>
      <c r="X1223" s="27">
        <f>((3*10+H1223/COS(RADIANS(E1223)))*(3+3)+3*G1223*H1223)*2</f>
        <v/>
      </c>
      <c r="Y1223" s="28">
        <f>Z1223/X1223</f>
        <v/>
      </c>
      <c r="Z1223" s="29" t="n">
        <v>578.732781647937</v>
      </c>
      <c r="AA1223" s="20" t="n">
        <v>70.227544351684</v>
      </c>
      <c r="AB1223" t="n">
        <v>0.09241070235617437</v>
      </c>
      <c r="AC1223" t="n">
        <v>77.40493632388653</v>
      </c>
      <c r="AD1223" t="n">
        <v>8.990295767752684</v>
      </c>
    </row>
    <row r="1224">
      <c r="A1224" t="n">
        <v>1223</v>
      </c>
      <c r="B1224" t="n">
        <v>69.3</v>
      </c>
      <c r="C1224" s="21">
        <f>B1224-20</f>
        <v/>
      </c>
      <c r="D1224" t="n">
        <v>120.6</v>
      </c>
      <c r="E1224" s="22">
        <f>D1224-90</f>
        <v/>
      </c>
      <c r="F1224" s="23" t="n">
        <v>0.017643</v>
      </c>
      <c r="G1224" s="22" t="n">
        <v>29.5</v>
      </c>
      <c r="H1224" s="22" t="n">
        <v>1.6</v>
      </c>
      <c r="I1224" s="24" t="n">
        <v>0.0817609950900077</v>
      </c>
      <c r="J1224" s="6" t="n">
        <v>71000</v>
      </c>
      <c r="K1224" s="25">
        <f>23*10^-6</f>
        <v/>
      </c>
      <c r="L1224" s="8">
        <f>H1224</f>
        <v/>
      </c>
      <c r="M1224" s="26">
        <f>H1224^2/6</f>
        <v/>
      </c>
      <c r="N1224" s="26">
        <f>H1224^3/12</f>
        <v/>
      </c>
      <c r="O1224" s="27">
        <f>-J1224*L1224*K1224*C1224</f>
        <v/>
      </c>
      <c r="P1224" s="28">
        <f>-(12*F1224*J1224*L1224*N1224+12*O1224*N1224*G1224*COS(RADIANS(E1224)))/(12*N1224*G1224*COS(RADIANS(E1224))^2+L1224*G1224^3*SIN(RADIANS(E1224))^2)</f>
        <v/>
      </c>
      <c r="Q1224" s="28">
        <f>-(6*F1224*J1224*L1224*N1224*SIN(RADIANS(E1224))+6*O1224*N1224*G1224*SIN(RADIANS(E1224))*COS(RADIANS(E1224)))/(12*N1224*COS(RADIANS(E1224))^2+L1224*G1224^2*SIN(RADIANS(E1224))^2)</f>
        <v/>
      </c>
      <c r="R1224" s="28">
        <f>-P1224*SIN(RADIANS(E1224))</f>
        <v/>
      </c>
      <c r="S1224" s="8">
        <f>(O1224+P1224*COS(RADIANS(E1224)))/L1224</f>
        <v/>
      </c>
      <c r="T1224" s="8">
        <f>R1224/L1224</f>
        <v/>
      </c>
      <c r="U1224" s="8">
        <f>(Q1224-P1224*G1224*SIN(RADIANS(E1224)))/M1224</f>
        <v/>
      </c>
      <c r="V1224" s="8">
        <f>SQRT((S1224+U1224)^2+3*T1224^2)</f>
        <v/>
      </c>
      <c r="W1224" s="8">
        <f>V1224/AA1224</f>
        <v/>
      </c>
      <c r="X1224" s="27">
        <f>((3*10+H1224/COS(RADIANS(E1224)))*(3+3)+3*G1224*H1224)*2</f>
        <v/>
      </c>
      <c r="Y1224" s="28">
        <f>Z1224/X1224</f>
        <v/>
      </c>
      <c r="Z1224" s="29" t="n">
        <v>672.8228831279851</v>
      </c>
      <c r="AA1224" s="20" t="n">
        <v>74.6138955950788</v>
      </c>
      <c r="AB1224" t="n">
        <v>0.09466038329281974</v>
      </c>
      <c r="AC1224" t="n">
        <v>72.99799611273522</v>
      </c>
      <c r="AD1224" t="n">
        <v>15.77694619373404</v>
      </c>
    </row>
    <row r="1225">
      <c r="A1225" t="n">
        <v>1224</v>
      </c>
      <c r="B1225" t="n">
        <v>75.7</v>
      </c>
      <c r="C1225" s="21">
        <f>B1225-20</f>
        <v/>
      </c>
      <c r="D1225" t="n">
        <v>116.8</v>
      </c>
      <c r="E1225" s="22">
        <f>D1225-90</f>
        <v/>
      </c>
      <c r="F1225" s="23" t="n">
        <v>0.018999</v>
      </c>
      <c r="G1225" s="22" t="n">
        <v>26.8</v>
      </c>
      <c r="H1225" s="22" t="n">
        <v>1.7</v>
      </c>
      <c r="I1225" s="24" t="n">
        <v>0.0947450324892997</v>
      </c>
      <c r="J1225" s="6" t="n">
        <v>71000</v>
      </c>
      <c r="K1225" s="25">
        <f>23*10^-6</f>
        <v/>
      </c>
      <c r="L1225" s="8">
        <f>H1225</f>
        <v/>
      </c>
      <c r="M1225" s="26">
        <f>H1225^2/6</f>
        <v/>
      </c>
      <c r="N1225" s="26">
        <f>H1225^3/12</f>
        <v/>
      </c>
      <c r="O1225" s="27">
        <f>-J1225*L1225*K1225*C1225</f>
        <v/>
      </c>
      <c r="P1225" s="28">
        <f>-(12*F1225*J1225*L1225*N1225+12*O1225*N1225*G1225*COS(RADIANS(E1225)))/(12*N1225*G1225*COS(RADIANS(E1225))^2+L1225*G1225^3*SIN(RADIANS(E1225))^2)</f>
        <v/>
      </c>
      <c r="Q1225" s="28">
        <f>-(6*F1225*J1225*L1225*N1225*SIN(RADIANS(E1225))+6*O1225*N1225*G1225*SIN(RADIANS(E1225))*COS(RADIANS(E1225)))/(12*N1225*COS(RADIANS(E1225))^2+L1225*G1225^2*SIN(RADIANS(E1225))^2)</f>
        <v/>
      </c>
      <c r="R1225" s="28">
        <f>-P1225*SIN(RADIANS(E1225))</f>
        <v/>
      </c>
      <c r="S1225" s="8">
        <f>(O1225+P1225*COS(RADIANS(E1225)))/L1225</f>
        <v/>
      </c>
      <c r="T1225" s="8">
        <f>R1225/L1225</f>
        <v/>
      </c>
      <c r="U1225" s="8">
        <f>(Q1225-P1225*G1225*SIN(RADIANS(E1225)))/M1225</f>
        <v/>
      </c>
      <c r="V1225" s="8">
        <f>SQRT((S1225+U1225)^2+3*T1225^2)</f>
        <v/>
      </c>
      <c r="W1225" s="8">
        <f>V1225/AA1225</f>
        <v/>
      </c>
      <c r="X1225" s="27">
        <f>((3*10+H1225/COS(RADIANS(E1225)))*(3+3)+3*G1225*H1225)*2</f>
        <v/>
      </c>
      <c r="Y1225" s="28">
        <f>Z1225/X1225</f>
        <v/>
      </c>
      <c r="Z1225" s="29" t="n">
        <v>662.536745489586</v>
      </c>
      <c r="AA1225" s="20" t="n">
        <v>87.2285130857848</v>
      </c>
      <c r="AB1225" t="n">
        <v>0.1118455366865209</v>
      </c>
      <c r="AC1225" t="n">
        <v>84.91560583174926</v>
      </c>
      <c r="AD1225" t="n">
        <v>18.04897180140023</v>
      </c>
    </row>
    <row r="1226">
      <c r="A1226" t="n">
        <v>1225</v>
      </c>
      <c r="B1226" t="n">
        <v>69.59999999999999</v>
      </c>
      <c r="C1226" s="21">
        <f>B1226-20</f>
        <v/>
      </c>
      <c r="D1226" t="n">
        <v>116.3</v>
      </c>
      <c r="E1226" s="22">
        <f>D1226-90</f>
        <v/>
      </c>
      <c r="F1226" s="23" t="n">
        <v>0.016167</v>
      </c>
      <c r="G1226" s="22" t="n">
        <v>25.2</v>
      </c>
      <c r="H1226" s="22" t="n">
        <v>1.3</v>
      </c>
      <c r="I1226" s="24" t="n">
        <v>0.08220855891704559</v>
      </c>
      <c r="J1226" s="6" t="n">
        <v>71000</v>
      </c>
      <c r="K1226" s="25">
        <f>23*10^-6</f>
        <v/>
      </c>
      <c r="L1226" s="8">
        <f>H1226</f>
        <v/>
      </c>
      <c r="M1226" s="26">
        <f>H1226^2/6</f>
        <v/>
      </c>
      <c r="N1226" s="26">
        <f>H1226^3/12</f>
        <v/>
      </c>
      <c r="O1226" s="27">
        <f>-J1226*L1226*K1226*C1226</f>
        <v/>
      </c>
      <c r="P1226" s="28">
        <f>-(12*F1226*J1226*L1226*N1226+12*O1226*N1226*G1226*COS(RADIANS(E1226)))/(12*N1226*G1226*COS(RADIANS(E1226))^2+L1226*G1226^3*SIN(RADIANS(E1226))^2)</f>
        <v/>
      </c>
      <c r="Q1226" s="28">
        <f>-(6*F1226*J1226*L1226*N1226*SIN(RADIANS(E1226))+6*O1226*N1226*G1226*SIN(RADIANS(E1226))*COS(RADIANS(E1226)))/(12*N1226*COS(RADIANS(E1226))^2+L1226*G1226^2*SIN(RADIANS(E1226))^2)</f>
        <v/>
      </c>
      <c r="R1226" s="28">
        <f>-P1226*SIN(RADIANS(E1226))</f>
        <v/>
      </c>
      <c r="S1226" s="8">
        <f>(O1226+P1226*COS(RADIANS(E1226)))/L1226</f>
        <v/>
      </c>
      <c r="T1226" s="8">
        <f>R1226/L1226</f>
        <v/>
      </c>
      <c r="U1226" s="8">
        <f>(Q1226-P1226*G1226*SIN(RADIANS(E1226)))/M1226</f>
        <v/>
      </c>
      <c r="V1226" s="8">
        <f>SQRT((S1226+U1226)^2+3*T1226^2)</f>
        <v/>
      </c>
      <c r="W1226" s="8">
        <f>V1226/AA1226</f>
        <v/>
      </c>
      <c r="X1226" s="27">
        <f>((3*10+H1226/COS(RADIANS(E1226)))*(3+3)+3*G1226*H1226)*2</f>
        <v/>
      </c>
      <c r="Y1226" s="28">
        <f>Z1226/X1226</f>
        <v/>
      </c>
      <c r="Z1226" s="29" t="n">
        <v>580.166077130402</v>
      </c>
      <c r="AA1226" s="20" t="n">
        <v>72.60465111798329</v>
      </c>
      <c r="AB1226" t="n">
        <v>0.09645683421120026</v>
      </c>
      <c r="AC1226" t="n">
        <v>74.04275600806582</v>
      </c>
      <c r="AD1226" t="n">
        <v>17.33186359407201</v>
      </c>
    </row>
    <row r="1227">
      <c r="A1227" t="n">
        <v>1226</v>
      </c>
      <c r="B1227" t="n">
        <v>82.8</v>
      </c>
      <c r="C1227" s="21">
        <f>B1227-20</f>
        <v/>
      </c>
      <c r="D1227" t="n">
        <v>111.3</v>
      </c>
      <c r="E1227" s="22">
        <f>D1227-90</f>
        <v/>
      </c>
      <c r="F1227" s="23" t="n">
        <v>0.02604</v>
      </c>
      <c r="G1227" s="22" t="n">
        <v>32.6</v>
      </c>
      <c r="H1227" s="22" t="n">
        <v>1.6</v>
      </c>
      <c r="I1227" s="24" t="n">
        <v>0.144139543175697</v>
      </c>
      <c r="J1227" s="6" t="n">
        <v>71000</v>
      </c>
      <c r="K1227" s="25">
        <f>23*10^-6</f>
        <v/>
      </c>
      <c r="L1227" s="8">
        <f>H1227</f>
        <v/>
      </c>
      <c r="M1227" s="26">
        <f>H1227^2/6</f>
        <v/>
      </c>
      <c r="N1227" s="26">
        <f>H1227^3/12</f>
        <v/>
      </c>
      <c r="O1227" s="27">
        <f>-J1227*L1227*K1227*C1227</f>
        <v/>
      </c>
      <c r="P1227" s="28">
        <f>-(12*F1227*J1227*L1227*N1227+12*O1227*N1227*G1227*COS(RADIANS(E1227)))/(12*N1227*G1227*COS(RADIANS(E1227))^2+L1227*G1227^3*SIN(RADIANS(E1227))^2)</f>
        <v/>
      </c>
      <c r="Q1227" s="28">
        <f>-(6*F1227*J1227*L1227*N1227*SIN(RADIANS(E1227))+6*O1227*N1227*G1227*SIN(RADIANS(E1227))*COS(RADIANS(E1227)))/(12*N1227*COS(RADIANS(E1227))^2+L1227*G1227^2*SIN(RADIANS(E1227))^2)</f>
        <v/>
      </c>
      <c r="R1227" s="28">
        <f>-P1227*SIN(RADIANS(E1227))</f>
        <v/>
      </c>
      <c r="S1227" s="8">
        <f>(O1227+P1227*COS(RADIANS(E1227)))/L1227</f>
        <v/>
      </c>
      <c r="T1227" s="8">
        <f>R1227/L1227</f>
        <v/>
      </c>
      <c r="U1227" s="8">
        <f>(Q1227-P1227*G1227*SIN(RADIANS(E1227)))/M1227</f>
        <v/>
      </c>
      <c r="V1227" s="8">
        <f>SQRT((S1227+U1227)^2+3*T1227^2)</f>
        <v/>
      </c>
      <c r="W1227" s="8">
        <f>V1227/AA1227</f>
        <v/>
      </c>
      <c r="X1227" s="27">
        <f>((3*10+H1227/COS(RADIANS(E1227)))*(3+3)+3*G1227*H1227)*2</f>
        <v/>
      </c>
      <c r="Y1227" s="28">
        <f>Z1227/X1227</f>
        <v/>
      </c>
      <c r="Z1227" s="29" t="n">
        <v>698.760922240756</v>
      </c>
      <c r="AA1227" s="20" t="n">
        <v>96.9792019093387</v>
      </c>
      <c r="AB1227" t="n">
        <v>0.1931951878715036</v>
      </c>
      <c r="AC1227" t="n">
        <v>96.558488646641</v>
      </c>
      <c r="AD1227" t="n">
        <v>34.03343982852147</v>
      </c>
    </row>
    <row r="1228">
      <c r="A1228" t="n">
        <v>1227</v>
      </c>
      <c r="B1228" t="n">
        <v>51</v>
      </c>
      <c r="C1228" s="21">
        <f>B1228-20</f>
        <v/>
      </c>
      <c r="D1228" t="n">
        <v>116.2</v>
      </c>
      <c r="E1228" s="22">
        <f>D1228-90</f>
        <v/>
      </c>
      <c r="F1228" s="23" t="n">
        <v>0.012838</v>
      </c>
      <c r="G1228" s="22" t="n">
        <v>33.8</v>
      </c>
      <c r="H1228" s="22" t="n">
        <v>1.9</v>
      </c>
      <c r="I1228" s="24" t="n">
        <v>0.0627422034740448</v>
      </c>
      <c r="J1228" s="6" t="n">
        <v>71000</v>
      </c>
      <c r="K1228" s="25">
        <f>23*10^-6</f>
        <v/>
      </c>
      <c r="L1228" s="8">
        <f>H1228</f>
        <v/>
      </c>
      <c r="M1228" s="26">
        <f>H1228^2/6</f>
        <v/>
      </c>
      <c r="N1228" s="26">
        <f>H1228^3/12</f>
        <v/>
      </c>
      <c r="O1228" s="27">
        <f>-J1228*L1228*K1228*C1228</f>
        <v/>
      </c>
      <c r="P1228" s="28">
        <f>-(12*F1228*J1228*L1228*N1228+12*O1228*N1228*G1228*COS(RADIANS(E1228)))/(12*N1228*G1228*COS(RADIANS(E1228))^2+L1228*G1228^3*SIN(RADIANS(E1228))^2)</f>
        <v/>
      </c>
      <c r="Q1228" s="28">
        <f>-(6*F1228*J1228*L1228*N1228*SIN(RADIANS(E1228))+6*O1228*N1228*G1228*SIN(RADIANS(E1228))*COS(RADIANS(E1228)))/(12*N1228*COS(RADIANS(E1228))^2+L1228*G1228^2*SIN(RADIANS(E1228))^2)</f>
        <v/>
      </c>
      <c r="R1228" s="28">
        <f>-P1228*SIN(RADIANS(E1228))</f>
        <v/>
      </c>
      <c r="S1228" s="8">
        <f>(O1228+P1228*COS(RADIANS(E1228)))/L1228</f>
        <v/>
      </c>
      <c r="T1228" s="8">
        <f>R1228/L1228</f>
        <v/>
      </c>
      <c r="U1228" s="8">
        <f>(Q1228-P1228*G1228*SIN(RADIANS(E1228)))/M1228</f>
        <v/>
      </c>
      <c r="V1228" s="8">
        <f>SQRT((S1228+U1228)^2+3*T1228^2)</f>
        <v/>
      </c>
      <c r="W1228" s="8">
        <f>V1228/AA1228</f>
        <v/>
      </c>
      <c r="X1228" s="27">
        <f>((3*10+H1228/COS(RADIANS(E1228)))*(3+3)+3*G1228*H1228)*2</f>
        <v/>
      </c>
      <c r="Y1228" s="28">
        <f>Z1228/X1228</f>
        <v/>
      </c>
      <c r="Z1228" s="29" t="n">
        <v>776.912518710894</v>
      </c>
      <c r="AA1228" s="20" t="n">
        <v>49.6046155271869</v>
      </c>
      <c r="AB1228" t="n">
        <v>0.07955428895567693</v>
      </c>
      <c r="AC1228" t="n">
        <v>47.14210480897775</v>
      </c>
      <c r="AD1228" t="n">
        <v>26.79549736978388</v>
      </c>
    </row>
    <row r="1229">
      <c r="A1229" t="n">
        <v>1228</v>
      </c>
      <c r="B1229" t="n">
        <v>90</v>
      </c>
      <c r="C1229" s="21">
        <f>B1229-20</f>
        <v/>
      </c>
      <c r="D1229" t="n">
        <v>108.6</v>
      </c>
      <c r="E1229" s="22">
        <f>D1229-90</f>
        <v/>
      </c>
      <c r="F1229" s="23" t="n">
        <v>0.02778</v>
      </c>
      <c r="G1229" s="22" t="n">
        <v>30.4</v>
      </c>
      <c r="H1229" s="22" t="n">
        <v>1.6</v>
      </c>
      <c r="I1229" s="24" t="n">
        <v>0.169134274125099</v>
      </c>
      <c r="J1229" s="6" t="n">
        <v>71000</v>
      </c>
      <c r="K1229" s="25">
        <f>23*10^-6</f>
        <v/>
      </c>
      <c r="L1229" s="8">
        <f>H1229</f>
        <v/>
      </c>
      <c r="M1229" s="26">
        <f>H1229^2/6</f>
        <v/>
      </c>
      <c r="N1229" s="26">
        <f>H1229^3/12</f>
        <v/>
      </c>
      <c r="O1229" s="27">
        <f>-J1229*L1229*K1229*C1229</f>
        <v/>
      </c>
      <c r="P1229" s="28">
        <f>-(12*F1229*J1229*L1229*N1229+12*O1229*N1229*G1229*COS(RADIANS(E1229)))/(12*N1229*G1229*COS(RADIANS(E1229))^2+L1229*G1229^3*SIN(RADIANS(E1229))^2)</f>
        <v/>
      </c>
      <c r="Q1229" s="28">
        <f>-(6*F1229*J1229*L1229*N1229*SIN(RADIANS(E1229))+6*O1229*N1229*G1229*SIN(RADIANS(E1229))*COS(RADIANS(E1229)))/(12*N1229*COS(RADIANS(E1229))^2+L1229*G1229^2*SIN(RADIANS(E1229))^2)</f>
        <v/>
      </c>
      <c r="R1229" s="28">
        <f>-P1229*SIN(RADIANS(E1229))</f>
        <v/>
      </c>
      <c r="S1229" s="8">
        <f>(O1229+P1229*COS(RADIANS(E1229)))/L1229</f>
        <v/>
      </c>
      <c r="T1229" s="8">
        <f>R1229/L1229</f>
        <v/>
      </c>
      <c r="U1229" s="8">
        <f>(Q1229-P1229*G1229*SIN(RADIANS(E1229)))/M1229</f>
        <v/>
      </c>
      <c r="V1229" s="8">
        <f>SQRT((S1229+U1229)^2+3*T1229^2)</f>
        <v/>
      </c>
      <c r="W1229" s="8">
        <f>V1229/AA1229</f>
        <v/>
      </c>
      <c r="X1229" s="27">
        <f>((3*10+H1229/COS(RADIANS(E1229)))*(3+3)+3*G1229*H1229)*2</f>
        <v/>
      </c>
      <c r="Y1229" s="28">
        <f>Z1229/X1229</f>
        <v/>
      </c>
      <c r="Z1229" s="29" t="n">
        <v>676.854384709152</v>
      </c>
      <c r="AA1229" s="20" t="n">
        <v>110.053567411439</v>
      </c>
      <c r="AB1229" t="n">
        <v>0.2301384842100368</v>
      </c>
      <c r="AC1229" t="n">
        <v>110.391169014166</v>
      </c>
      <c r="AD1229" t="n">
        <v>36.06850852702775</v>
      </c>
    </row>
    <row r="1230">
      <c r="A1230" t="n">
        <v>1229</v>
      </c>
      <c r="B1230" t="n">
        <v>51.9</v>
      </c>
      <c r="C1230" s="21">
        <f>B1230-20</f>
        <v/>
      </c>
      <c r="D1230" t="n">
        <v>107.8</v>
      </c>
      <c r="E1230" s="22">
        <f>D1230-90</f>
        <v/>
      </c>
      <c r="F1230" s="23" t="n">
        <v>0.012085</v>
      </c>
      <c r="G1230" s="22" t="n">
        <v>28.6</v>
      </c>
      <c r="H1230" s="22" t="n">
        <v>1.6</v>
      </c>
      <c r="I1230" s="24" t="n">
        <v>0.0762018784880638</v>
      </c>
      <c r="J1230" s="6" t="n">
        <v>71000</v>
      </c>
      <c r="K1230" s="25">
        <f>23*10^-6</f>
        <v/>
      </c>
      <c r="L1230" s="8">
        <f>H1230</f>
        <v/>
      </c>
      <c r="M1230" s="26">
        <f>H1230^2/6</f>
        <v/>
      </c>
      <c r="N1230" s="26">
        <f>H1230^3/12</f>
        <v/>
      </c>
      <c r="O1230" s="27">
        <f>-J1230*L1230*K1230*C1230</f>
        <v/>
      </c>
      <c r="P1230" s="28">
        <f>-(12*F1230*J1230*L1230*N1230+12*O1230*N1230*G1230*COS(RADIANS(E1230)))/(12*N1230*G1230*COS(RADIANS(E1230))^2+L1230*G1230^3*SIN(RADIANS(E1230))^2)</f>
        <v/>
      </c>
      <c r="Q1230" s="28">
        <f>-(6*F1230*J1230*L1230*N1230*SIN(RADIANS(E1230))+6*O1230*N1230*G1230*SIN(RADIANS(E1230))*COS(RADIANS(E1230)))/(12*N1230*COS(RADIANS(E1230))^2+L1230*G1230^2*SIN(RADIANS(E1230))^2)</f>
        <v/>
      </c>
      <c r="R1230" s="28">
        <f>-P1230*SIN(RADIANS(E1230))</f>
        <v/>
      </c>
      <c r="S1230" s="8">
        <f>(O1230+P1230*COS(RADIANS(E1230)))/L1230</f>
        <v/>
      </c>
      <c r="T1230" s="8">
        <f>R1230/L1230</f>
        <v/>
      </c>
      <c r="U1230" s="8">
        <f>(Q1230-P1230*G1230*SIN(RADIANS(E1230)))/M1230</f>
        <v/>
      </c>
      <c r="V1230" s="8">
        <f>SQRT((S1230+U1230)^2+3*T1230^2)</f>
        <v/>
      </c>
      <c r="W1230" s="8">
        <f>V1230/AA1230</f>
        <v/>
      </c>
      <c r="X1230" s="27">
        <f>((3*10+H1230/COS(RADIANS(E1230)))*(3+3)+3*G1230*H1230)*2</f>
        <v/>
      </c>
      <c r="Y1230" s="28">
        <f>Z1230/X1230</f>
        <v/>
      </c>
      <c r="Z1230" s="29" t="n">
        <v>659.365613833661</v>
      </c>
      <c r="AA1230" s="20" t="n">
        <v>50.8974106633044</v>
      </c>
      <c r="AB1230" t="n">
        <v>0.1030363779802206</v>
      </c>
      <c r="AC1230" t="n">
        <v>50.93650774904921</v>
      </c>
      <c r="AD1230" t="n">
        <v>35.21501047557531</v>
      </c>
    </row>
    <row r="1231">
      <c r="A1231" t="n">
        <v>1230</v>
      </c>
      <c r="B1231" t="n">
        <v>74.2</v>
      </c>
      <c r="C1231" s="21">
        <f>B1231-20</f>
        <v/>
      </c>
      <c r="D1231" t="n">
        <v>116.2</v>
      </c>
      <c r="E1231" s="22">
        <f>D1231-90</f>
        <v/>
      </c>
      <c r="F1231" s="23" t="n">
        <v>0.017456</v>
      </c>
      <c r="G1231" s="22" t="n">
        <v>24.8</v>
      </c>
      <c r="H1231" s="22" t="n">
        <v>1.6</v>
      </c>
      <c r="I1231" s="24" t="n">
        <v>0.08904128521680831</v>
      </c>
      <c r="J1231" s="6" t="n">
        <v>71000</v>
      </c>
      <c r="K1231" s="25">
        <f>23*10^-6</f>
        <v/>
      </c>
      <c r="L1231" s="8">
        <f>H1231</f>
        <v/>
      </c>
      <c r="M1231" s="26">
        <f>H1231^2/6</f>
        <v/>
      </c>
      <c r="N1231" s="26">
        <f>H1231^3/12</f>
        <v/>
      </c>
      <c r="O1231" s="27">
        <f>-J1231*L1231*K1231*C1231</f>
        <v/>
      </c>
      <c r="P1231" s="28">
        <f>-(12*F1231*J1231*L1231*N1231+12*O1231*N1231*G1231*COS(RADIANS(E1231)))/(12*N1231*G1231*COS(RADIANS(E1231))^2+L1231*G1231^3*SIN(RADIANS(E1231))^2)</f>
        <v/>
      </c>
      <c r="Q1231" s="28">
        <f>-(6*F1231*J1231*L1231*N1231*SIN(RADIANS(E1231))+6*O1231*N1231*G1231*SIN(RADIANS(E1231))*COS(RADIANS(E1231)))/(12*N1231*COS(RADIANS(E1231))^2+L1231*G1231^2*SIN(RADIANS(E1231))^2)</f>
        <v/>
      </c>
      <c r="R1231" s="28">
        <f>-P1231*SIN(RADIANS(E1231))</f>
        <v/>
      </c>
      <c r="S1231" s="8">
        <f>(O1231+P1231*COS(RADIANS(E1231)))/L1231</f>
        <v/>
      </c>
      <c r="T1231" s="8">
        <f>R1231/L1231</f>
        <v/>
      </c>
      <c r="U1231" s="8">
        <f>(Q1231-P1231*G1231*SIN(RADIANS(E1231)))/M1231</f>
        <v/>
      </c>
      <c r="V1231" s="8">
        <f>SQRT((S1231+U1231)^2+3*T1231^2)</f>
        <v/>
      </c>
      <c r="W1231" s="8">
        <f>V1231/AA1231</f>
        <v/>
      </c>
      <c r="X1231" s="27">
        <f>((3*10+H1231/COS(RADIANS(E1231)))*(3+3)+3*G1231*H1231)*2</f>
        <v/>
      </c>
      <c r="Y1231" s="28">
        <f>Z1231/X1231</f>
        <v/>
      </c>
      <c r="Z1231" s="29" t="n">
        <v>625.660296455106</v>
      </c>
      <c r="AA1231" s="20" t="n">
        <v>85.39720572709081</v>
      </c>
      <c r="AB1231" t="n">
        <v>0.1035711067028071</v>
      </c>
      <c r="AC1231" t="n">
        <v>82.7773116671499</v>
      </c>
      <c r="AD1231" t="n">
        <v>16.31807251054369</v>
      </c>
    </row>
    <row r="1232">
      <c r="A1232" t="n">
        <v>1231</v>
      </c>
      <c r="B1232" t="n">
        <v>63.2</v>
      </c>
      <c r="C1232" s="21">
        <f>B1232-20</f>
        <v/>
      </c>
      <c r="D1232" t="n">
        <v>101.5</v>
      </c>
      <c r="E1232" s="22">
        <f>D1232-90</f>
        <v/>
      </c>
      <c r="F1232" s="23" t="n">
        <v>0.017143</v>
      </c>
      <c r="G1232" s="22" t="n">
        <v>29.4</v>
      </c>
      <c r="H1232" s="22" t="n">
        <v>1.4</v>
      </c>
      <c r="I1232" s="24" t="n">
        <v>0.148283839225769</v>
      </c>
      <c r="J1232" s="6" t="n">
        <v>71000</v>
      </c>
      <c r="K1232" s="25">
        <f>23*10^-6</f>
        <v/>
      </c>
      <c r="L1232" s="8">
        <f>H1232</f>
        <v/>
      </c>
      <c r="M1232" s="26">
        <f>H1232^2/6</f>
        <v/>
      </c>
      <c r="N1232" s="26">
        <f>H1232^3/12</f>
        <v/>
      </c>
      <c r="O1232" s="27">
        <f>-J1232*L1232*K1232*C1232</f>
        <v/>
      </c>
      <c r="P1232" s="28">
        <f>-(12*F1232*J1232*L1232*N1232+12*O1232*N1232*G1232*COS(RADIANS(E1232)))/(12*N1232*G1232*COS(RADIANS(E1232))^2+L1232*G1232^3*SIN(RADIANS(E1232))^2)</f>
        <v/>
      </c>
      <c r="Q1232" s="28">
        <f>-(6*F1232*J1232*L1232*N1232*SIN(RADIANS(E1232))+6*O1232*N1232*G1232*SIN(RADIANS(E1232))*COS(RADIANS(E1232)))/(12*N1232*COS(RADIANS(E1232))^2+L1232*G1232^2*SIN(RADIANS(E1232))^2)</f>
        <v/>
      </c>
      <c r="R1232" s="28">
        <f>-P1232*SIN(RADIANS(E1232))</f>
        <v/>
      </c>
      <c r="S1232" s="8">
        <f>(O1232+P1232*COS(RADIANS(E1232)))/L1232</f>
        <v/>
      </c>
      <c r="T1232" s="8">
        <f>R1232/L1232</f>
        <v/>
      </c>
      <c r="U1232" s="8">
        <f>(Q1232-P1232*G1232*SIN(RADIANS(E1232)))/M1232</f>
        <v/>
      </c>
      <c r="V1232" s="8">
        <f>SQRT((S1232+U1232)^2+3*T1232^2)</f>
        <v/>
      </c>
      <c r="W1232" s="8">
        <f>V1232/AA1232</f>
        <v/>
      </c>
      <c r="X1232" s="27">
        <f>((3*10+H1232/COS(RADIANS(E1232)))*(3+3)+3*G1232*H1232)*2</f>
        <v/>
      </c>
      <c r="Y1232" s="28">
        <f>Z1232/X1232</f>
        <v/>
      </c>
      <c r="Z1232" s="29" t="n">
        <v>628.029481413462</v>
      </c>
      <c r="AA1232" s="20" t="n">
        <v>68.4292011259399</v>
      </c>
      <c r="AB1232" t="n">
        <v>0.2186161506681585</v>
      </c>
      <c r="AC1232" t="n">
        <v>72.30887597946246</v>
      </c>
      <c r="AD1232" t="n">
        <v>47.43086759124525</v>
      </c>
    </row>
    <row r="1233">
      <c r="A1233" t="n">
        <v>1232</v>
      </c>
      <c r="B1233" t="n">
        <v>77.7</v>
      </c>
      <c r="C1233" s="21">
        <f>B1233-20</f>
        <v/>
      </c>
      <c r="D1233" t="n">
        <v>106</v>
      </c>
      <c r="E1233" s="22">
        <f>D1233-90</f>
        <v/>
      </c>
      <c r="F1233" s="23" t="n">
        <v>0.022473</v>
      </c>
      <c r="G1233" s="22" t="n">
        <v>29.3</v>
      </c>
      <c r="H1233" s="22" t="n">
        <v>1.5</v>
      </c>
      <c r="I1233" s="24" t="n">
        <v>0.152482226490974</v>
      </c>
      <c r="J1233" s="6" t="n">
        <v>71000</v>
      </c>
      <c r="K1233" s="25">
        <f>23*10^-6</f>
        <v/>
      </c>
      <c r="L1233" s="8">
        <f>H1233</f>
        <v/>
      </c>
      <c r="M1233" s="26">
        <f>H1233^2/6</f>
        <v/>
      </c>
      <c r="N1233" s="26">
        <f>H1233^3/12</f>
        <v/>
      </c>
      <c r="O1233" s="27">
        <f>-J1233*L1233*K1233*C1233</f>
        <v/>
      </c>
      <c r="P1233" s="28">
        <f>-(12*F1233*J1233*L1233*N1233+12*O1233*N1233*G1233*COS(RADIANS(E1233)))/(12*N1233*G1233*COS(RADIANS(E1233))^2+L1233*G1233^3*SIN(RADIANS(E1233))^2)</f>
        <v/>
      </c>
      <c r="Q1233" s="28">
        <f>-(6*F1233*J1233*L1233*N1233*SIN(RADIANS(E1233))+6*O1233*N1233*G1233*SIN(RADIANS(E1233))*COS(RADIANS(E1233)))/(12*N1233*COS(RADIANS(E1233))^2+L1233*G1233^2*SIN(RADIANS(E1233))^2)</f>
        <v/>
      </c>
      <c r="R1233" s="28">
        <f>-P1233*SIN(RADIANS(E1233))</f>
        <v/>
      </c>
      <c r="S1233" s="8">
        <f>(O1233+P1233*COS(RADIANS(E1233)))/L1233</f>
        <v/>
      </c>
      <c r="T1233" s="8">
        <f>R1233/L1233</f>
        <v/>
      </c>
      <c r="U1233" s="8">
        <f>(Q1233-P1233*G1233*SIN(RADIANS(E1233)))/M1233</f>
        <v/>
      </c>
      <c r="V1233" s="8">
        <f>SQRT((S1233+U1233)^2+3*T1233^2)</f>
        <v/>
      </c>
      <c r="W1233" s="8">
        <f>V1233/AA1233</f>
        <v/>
      </c>
      <c r="X1233" s="27">
        <f>((3*10+H1233/COS(RADIANS(E1233)))*(3+3)+3*G1233*H1233)*2</f>
        <v/>
      </c>
      <c r="Y1233" s="28">
        <f>Z1233/X1233</f>
        <v/>
      </c>
      <c r="Z1233" s="29" t="n">
        <v>646.826205691828</v>
      </c>
      <c r="AA1233" s="20" t="n">
        <v>91.2927639855135</v>
      </c>
      <c r="AB1233" t="n">
        <v>0.2124645218805313</v>
      </c>
      <c r="AC1233" t="n">
        <v>92.58532906357472</v>
      </c>
      <c r="AD1233" t="n">
        <v>39.33723737507722</v>
      </c>
    </row>
    <row r="1234">
      <c r="A1234" t="n">
        <v>1233</v>
      </c>
      <c r="B1234" t="n">
        <v>59.6</v>
      </c>
      <c r="C1234" s="21">
        <f>B1234-20</f>
        <v/>
      </c>
      <c r="D1234" t="n">
        <v>107.9</v>
      </c>
      <c r="E1234" s="22">
        <f>D1234-90</f>
        <v/>
      </c>
      <c r="F1234" s="23" t="n">
        <v>0.011558</v>
      </c>
      <c r="G1234" s="22" t="n">
        <v>20.6</v>
      </c>
      <c r="H1234" s="22" t="n">
        <v>1.3</v>
      </c>
      <c r="I1234" s="24" t="n">
        <v>0.0755602866411209</v>
      </c>
      <c r="J1234" s="6" t="n">
        <v>71000</v>
      </c>
      <c r="K1234" s="25">
        <f>23*10^-6</f>
        <v/>
      </c>
      <c r="L1234" s="8">
        <f>H1234</f>
        <v/>
      </c>
      <c r="M1234" s="26">
        <f>H1234^2/6</f>
        <v/>
      </c>
      <c r="N1234" s="26">
        <f>H1234^3/12</f>
        <v/>
      </c>
      <c r="O1234" s="27">
        <f>-J1234*L1234*K1234*C1234</f>
        <v/>
      </c>
      <c r="P1234" s="28">
        <f>-(12*F1234*J1234*L1234*N1234+12*O1234*N1234*G1234*COS(RADIANS(E1234)))/(12*N1234*G1234*COS(RADIANS(E1234))^2+L1234*G1234^3*SIN(RADIANS(E1234))^2)</f>
        <v/>
      </c>
      <c r="Q1234" s="28">
        <f>-(6*F1234*J1234*L1234*N1234*SIN(RADIANS(E1234))+6*O1234*N1234*G1234*SIN(RADIANS(E1234))*COS(RADIANS(E1234)))/(12*N1234*COS(RADIANS(E1234))^2+L1234*G1234^2*SIN(RADIANS(E1234))^2)</f>
        <v/>
      </c>
      <c r="R1234" s="28">
        <f>-P1234*SIN(RADIANS(E1234))</f>
        <v/>
      </c>
      <c r="S1234" s="8">
        <f>(O1234+P1234*COS(RADIANS(E1234)))/L1234</f>
        <v/>
      </c>
      <c r="T1234" s="8">
        <f>R1234/L1234</f>
        <v/>
      </c>
      <c r="U1234" s="8">
        <f>(Q1234-P1234*G1234*SIN(RADIANS(E1234)))/M1234</f>
        <v/>
      </c>
      <c r="V1234" s="8">
        <f>SQRT((S1234+U1234)^2+3*T1234^2)</f>
        <v/>
      </c>
      <c r="W1234" s="8">
        <f>V1234/AA1234</f>
        <v/>
      </c>
      <c r="X1234" s="27">
        <f>((3*10+H1234/COS(RADIANS(E1234)))*(3+3)+3*G1234*H1234)*2</f>
        <v/>
      </c>
      <c r="Y1234" s="28">
        <f>Z1234/X1234</f>
        <v/>
      </c>
      <c r="Z1234" s="29" t="n">
        <v>541.7279976906231</v>
      </c>
      <c r="AA1234" s="20" t="n">
        <v>61.420437004035</v>
      </c>
      <c r="AB1234" t="n">
        <v>0.09313163021910445</v>
      </c>
      <c r="AC1234" t="n">
        <v>63.08864588975542</v>
      </c>
      <c r="AD1234" t="n">
        <v>23.25473388082808</v>
      </c>
    </row>
    <row r="1235">
      <c r="A1235" t="n">
        <v>1234</v>
      </c>
      <c r="B1235" t="n">
        <v>41.3</v>
      </c>
      <c r="C1235" s="21">
        <f>B1235-20</f>
        <v/>
      </c>
      <c r="D1235" t="n">
        <v>125</v>
      </c>
      <c r="E1235" s="22">
        <f>D1235-90</f>
        <v/>
      </c>
      <c r="F1235" s="23" t="n">
        <v>0.006052</v>
      </c>
      <c r="G1235" s="22" t="n">
        <v>23.1</v>
      </c>
      <c r="H1235" s="22" t="n">
        <v>1.7</v>
      </c>
      <c r="I1235" s="24" t="n">
        <v>0.0277871340513229</v>
      </c>
      <c r="J1235" s="6" t="n">
        <v>71000</v>
      </c>
      <c r="K1235" s="25">
        <f>23*10^-6</f>
        <v/>
      </c>
      <c r="L1235" s="8">
        <f>H1235</f>
        <v/>
      </c>
      <c r="M1235" s="26">
        <f>H1235^2/6</f>
        <v/>
      </c>
      <c r="N1235" s="26">
        <f>H1235^3/12</f>
        <v/>
      </c>
      <c r="O1235" s="27">
        <f>-J1235*L1235*K1235*C1235</f>
        <v/>
      </c>
      <c r="P1235" s="28">
        <f>-(12*F1235*J1235*L1235*N1235+12*O1235*N1235*G1235*COS(RADIANS(E1235)))/(12*N1235*G1235*COS(RADIANS(E1235))^2+L1235*G1235^3*SIN(RADIANS(E1235))^2)</f>
        <v/>
      </c>
      <c r="Q1235" s="28">
        <f>-(6*F1235*J1235*L1235*N1235*SIN(RADIANS(E1235))+6*O1235*N1235*G1235*SIN(RADIANS(E1235))*COS(RADIANS(E1235)))/(12*N1235*COS(RADIANS(E1235))^2+L1235*G1235^2*SIN(RADIANS(E1235))^2)</f>
        <v/>
      </c>
      <c r="R1235" s="28">
        <f>-P1235*SIN(RADIANS(E1235))</f>
        <v/>
      </c>
      <c r="S1235" s="8">
        <f>(O1235+P1235*COS(RADIANS(E1235)))/L1235</f>
        <v/>
      </c>
      <c r="T1235" s="8">
        <f>R1235/L1235</f>
        <v/>
      </c>
      <c r="U1235" s="8">
        <f>(Q1235-P1235*G1235*SIN(RADIANS(E1235)))/M1235</f>
        <v/>
      </c>
      <c r="V1235" s="8">
        <f>SQRT((S1235+U1235)^2+3*T1235^2)</f>
        <v/>
      </c>
      <c r="W1235" s="8">
        <f>V1235/AA1235</f>
        <v/>
      </c>
      <c r="X1235" s="27">
        <f>((3*10+H1235/COS(RADIANS(E1235)))*(3+3)+3*G1235*H1235)*2</f>
        <v/>
      </c>
      <c r="Y1235" s="28">
        <f>Z1235/X1235</f>
        <v/>
      </c>
      <c r="Z1235" s="29" t="n">
        <v>629.256021126649</v>
      </c>
      <c r="AA1235" s="20" t="n">
        <v>33.7349052542378</v>
      </c>
      <c r="AB1235" t="n">
        <v>0.02801642479479735</v>
      </c>
      <c r="AC1235" t="n">
        <v>31.59775410415175</v>
      </c>
      <c r="AD1235" t="n">
        <v>0.8251687383483006</v>
      </c>
    </row>
    <row r="1236">
      <c r="A1236" t="n">
        <v>1235</v>
      </c>
      <c r="B1236" t="n">
        <v>42.8</v>
      </c>
      <c r="C1236" s="21">
        <f>B1236-20</f>
        <v/>
      </c>
      <c r="D1236" t="n">
        <v>110.9</v>
      </c>
      <c r="E1236" s="22">
        <f>D1236-90</f>
        <v/>
      </c>
      <c r="F1236" s="23" t="n">
        <v>0.008430999999999999</v>
      </c>
      <c r="G1236" s="22" t="n">
        <v>28.3</v>
      </c>
      <c r="H1236" s="22" t="n">
        <v>1.6</v>
      </c>
      <c r="I1236" s="24" t="n">
        <v>0.048001579940319</v>
      </c>
      <c r="J1236" s="6" t="n">
        <v>71000</v>
      </c>
      <c r="K1236" s="25">
        <f>23*10^-6</f>
        <v/>
      </c>
      <c r="L1236" s="8">
        <f>H1236</f>
        <v/>
      </c>
      <c r="M1236" s="26">
        <f>H1236^2/6</f>
        <v/>
      </c>
      <c r="N1236" s="26">
        <f>H1236^3/12</f>
        <v/>
      </c>
      <c r="O1236" s="27">
        <f>-J1236*L1236*K1236*C1236</f>
        <v/>
      </c>
      <c r="P1236" s="28">
        <f>-(12*F1236*J1236*L1236*N1236+12*O1236*N1236*G1236*COS(RADIANS(E1236)))/(12*N1236*G1236*COS(RADIANS(E1236))^2+L1236*G1236^3*SIN(RADIANS(E1236))^2)</f>
        <v/>
      </c>
      <c r="Q1236" s="28">
        <f>-(6*F1236*J1236*L1236*N1236*SIN(RADIANS(E1236))+6*O1236*N1236*G1236*SIN(RADIANS(E1236))*COS(RADIANS(E1236)))/(12*N1236*COS(RADIANS(E1236))^2+L1236*G1236^2*SIN(RADIANS(E1236))^2)</f>
        <v/>
      </c>
      <c r="R1236" s="28">
        <f>-P1236*SIN(RADIANS(E1236))</f>
        <v/>
      </c>
      <c r="S1236" s="8">
        <f>(O1236+P1236*COS(RADIANS(E1236)))/L1236</f>
        <v/>
      </c>
      <c r="T1236" s="8">
        <f>R1236/L1236</f>
        <v/>
      </c>
      <c r="U1236" s="8">
        <f>(Q1236-P1236*G1236*SIN(RADIANS(E1236)))/M1236</f>
        <v/>
      </c>
      <c r="V1236" s="8">
        <f>SQRT((S1236+U1236)^2+3*T1236^2)</f>
        <v/>
      </c>
      <c r="W1236" s="8">
        <f>V1236/AA1236</f>
        <v/>
      </c>
      <c r="X1236" s="27">
        <f>((3*10+H1236/COS(RADIANS(E1236)))*(3+3)+3*G1236*H1236)*2</f>
        <v/>
      </c>
      <c r="Y1236" s="28">
        <f>Z1236/X1236</f>
        <v/>
      </c>
      <c r="Z1236" s="29" t="n">
        <v>657.356182474885</v>
      </c>
      <c r="AA1236" s="20" t="n">
        <v>35.7871019754982</v>
      </c>
      <c r="AB1236" t="n">
        <v>0.06224493708350644</v>
      </c>
      <c r="AC1236" t="n">
        <v>35.58185576729468</v>
      </c>
      <c r="AD1236" t="n">
        <v>29.6726840260183</v>
      </c>
    </row>
    <row r="1237">
      <c r="A1237" t="n">
        <v>1236</v>
      </c>
      <c r="B1237" t="n">
        <v>42.7</v>
      </c>
      <c r="C1237" s="21">
        <f>B1237-20</f>
        <v/>
      </c>
      <c r="D1237" t="n">
        <v>101.8</v>
      </c>
      <c r="E1237" s="22">
        <f>D1237-90</f>
        <v/>
      </c>
      <c r="F1237" s="23" t="n">
        <v>0.007151</v>
      </c>
      <c r="G1237" s="22" t="n">
        <v>22.1</v>
      </c>
      <c r="H1237" s="22" t="n">
        <v>1.1</v>
      </c>
      <c r="I1237" s="24" t="n">
        <v>0.0623724795877933</v>
      </c>
      <c r="J1237" s="6" t="n">
        <v>71000</v>
      </c>
      <c r="K1237" s="25">
        <f>23*10^-6</f>
        <v/>
      </c>
      <c r="L1237" s="8">
        <f>H1237</f>
        <v/>
      </c>
      <c r="M1237" s="26">
        <f>H1237^2/6</f>
        <v/>
      </c>
      <c r="N1237" s="26">
        <f>H1237^3/12</f>
        <v/>
      </c>
      <c r="O1237" s="27">
        <f>-J1237*L1237*K1237*C1237</f>
        <v/>
      </c>
      <c r="P1237" s="28">
        <f>-(12*F1237*J1237*L1237*N1237+12*O1237*N1237*G1237*COS(RADIANS(E1237)))/(12*N1237*G1237*COS(RADIANS(E1237))^2+L1237*G1237^3*SIN(RADIANS(E1237))^2)</f>
        <v/>
      </c>
      <c r="Q1237" s="28">
        <f>-(6*F1237*J1237*L1237*N1237*SIN(RADIANS(E1237))+6*O1237*N1237*G1237*SIN(RADIANS(E1237))*COS(RADIANS(E1237)))/(12*N1237*COS(RADIANS(E1237))^2+L1237*G1237^2*SIN(RADIANS(E1237))^2)</f>
        <v/>
      </c>
      <c r="R1237" s="28">
        <f>-P1237*SIN(RADIANS(E1237))</f>
        <v/>
      </c>
      <c r="S1237" s="8">
        <f>(O1237+P1237*COS(RADIANS(E1237)))/L1237</f>
        <v/>
      </c>
      <c r="T1237" s="8">
        <f>R1237/L1237</f>
        <v/>
      </c>
      <c r="U1237" s="8">
        <f>(Q1237-P1237*G1237*SIN(RADIANS(E1237)))/M1237</f>
        <v/>
      </c>
      <c r="V1237" s="8">
        <f>SQRT((S1237+U1237)^2+3*T1237^2)</f>
        <v/>
      </c>
      <c r="W1237" s="8">
        <f>V1237/AA1237</f>
        <v/>
      </c>
      <c r="X1237" s="27">
        <f>((3*10+H1237/COS(RADIANS(E1237)))*(3+3)+3*G1237*H1237)*2</f>
        <v/>
      </c>
      <c r="Y1237" s="28">
        <f>Z1237/X1237</f>
        <v/>
      </c>
      <c r="Z1237" s="29" t="n">
        <v>523.296734226082</v>
      </c>
      <c r="AA1237" s="20" t="n">
        <v>34.3792375768006</v>
      </c>
      <c r="AB1237" t="n">
        <v>0.08570314949800369</v>
      </c>
      <c r="AC1237" t="n">
        <v>37.45422355954267</v>
      </c>
      <c r="AD1237" t="n">
        <v>37.40539107054571</v>
      </c>
    </row>
    <row r="1238">
      <c r="A1238" t="n">
        <v>1237</v>
      </c>
      <c r="B1238" t="n">
        <v>66.5</v>
      </c>
      <c r="C1238" s="21">
        <f>B1238-20</f>
        <v/>
      </c>
      <c r="D1238" t="n">
        <v>117.9</v>
      </c>
      <c r="E1238" s="22">
        <f>D1238-90</f>
        <v/>
      </c>
      <c r="F1238" s="23" t="n">
        <v>0.013112</v>
      </c>
      <c r="G1238" s="22" t="n">
        <v>21.2</v>
      </c>
      <c r="H1238" s="22" t="n">
        <v>1.6</v>
      </c>
      <c r="I1238" s="24" t="n">
        <v>0.0664120316505432</v>
      </c>
      <c r="J1238" s="6" t="n">
        <v>71000</v>
      </c>
      <c r="K1238" s="25">
        <f>23*10^-6</f>
        <v/>
      </c>
      <c r="L1238" s="8">
        <f>H1238</f>
        <v/>
      </c>
      <c r="M1238" s="26">
        <f>H1238^2/6</f>
        <v/>
      </c>
      <c r="N1238" s="26">
        <f>H1238^3/12</f>
        <v/>
      </c>
      <c r="O1238" s="27">
        <f>-J1238*L1238*K1238*C1238</f>
        <v/>
      </c>
      <c r="P1238" s="28">
        <f>-(12*F1238*J1238*L1238*N1238+12*O1238*N1238*G1238*COS(RADIANS(E1238)))/(12*N1238*G1238*COS(RADIANS(E1238))^2+L1238*G1238^3*SIN(RADIANS(E1238))^2)</f>
        <v/>
      </c>
      <c r="Q1238" s="28">
        <f>-(6*F1238*J1238*L1238*N1238*SIN(RADIANS(E1238))+6*O1238*N1238*G1238*SIN(RADIANS(E1238))*COS(RADIANS(E1238)))/(12*N1238*COS(RADIANS(E1238))^2+L1238*G1238^2*SIN(RADIANS(E1238))^2)</f>
        <v/>
      </c>
      <c r="R1238" s="28">
        <f>-P1238*SIN(RADIANS(E1238))</f>
        <v/>
      </c>
      <c r="S1238" s="8">
        <f>(O1238+P1238*COS(RADIANS(E1238)))/L1238</f>
        <v/>
      </c>
      <c r="T1238" s="8">
        <f>R1238/L1238</f>
        <v/>
      </c>
      <c r="U1238" s="8">
        <f>(Q1238-P1238*G1238*SIN(RADIANS(E1238)))/M1238</f>
        <v/>
      </c>
      <c r="V1238" s="8">
        <f>SQRT((S1238+U1238)^2+3*T1238^2)</f>
        <v/>
      </c>
      <c r="W1238" s="8">
        <f>V1238/AA1238</f>
        <v/>
      </c>
      <c r="X1238" s="27">
        <f>((3*10+H1238/COS(RADIANS(E1238)))*(3+3)+3*G1238*H1238)*2</f>
        <v/>
      </c>
      <c r="Y1238" s="28">
        <f>Z1238/X1238</f>
        <v/>
      </c>
      <c r="Z1238" s="29" t="n">
        <v>591.835367404424</v>
      </c>
      <c r="AA1238" s="20" t="n">
        <v>74.8922250376967</v>
      </c>
      <c r="AB1238" t="n">
        <v>0.07162352924133449</v>
      </c>
      <c r="AC1238" t="n">
        <v>71.07310237114972</v>
      </c>
      <c r="AD1238" t="n">
        <v>7.847219037378538</v>
      </c>
    </row>
    <row r="1239">
      <c r="A1239" t="n">
        <v>1238</v>
      </c>
      <c r="B1239" t="n">
        <v>52.7</v>
      </c>
      <c r="C1239" s="21">
        <f>B1239-20</f>
        <v/>
      </c>
      <c r="D1239" t="n">
        <v>125.2</v>
      </c>
      <c r="E1239" s="22">
        <f>D1239-90</f>
        <v/>
      </c>
      <c r="F1239" s="23" t="n">
        <v>0.009516999999999999</v>
      </c>
      <c r="G1239" s="22" t="n">
        <v>23.9</v>
      </c>
      <c r="H1239" s="22" t="n">
        <v>1.2</v>
      </c>
      <c r="I1239" s="24" t="n">
        <v>0.043330829590559</v>
      </c>
      <c r="J1239" s="6" t="n">
        <v>71000</v>
      </c>
      <c r="K1239" s="25">
        <f>23*10^-6</f>
        <v/>
      </c>
      <c r="L1239" s="8">
        <f>H1239</f>
        <v/>
      </c>
      <c r="M1239" s="26">
        <f>H1239^2/6</f>
        <v/>
      </c>
      <c r="N1239" s="26">
        <f>H1239^3/12</f>
        <v/>
      </c>
      <c r="O1239" s="27">
        <f>-J1239*L1239*K1239*C1239</f>
        <v/>
      </c>
      <c r="P1239" s="28">
        <f>-(12*F1239*J1239*L1239*N1239+12*O1239*N1239*G1239*COS(RADIANS(E1239)))/(12*N1239*G1239*COS(RADIANS(E1239))^2+L1239*G1239^3*SIN(RADIANS(E1239))^2)</f>
        <v/>
      </c>
      <c r="Q1239" s="28">
        <f>-(6*F1239*J1239*L1239*N1239*SIN(RADIANS(E1239))+6*O1239*N1239*G1239*SIN(RADIANS(E1239))*COS(RADIANS(E1239)))/(12*N1239*COS(RADIANS(E1239))^2+L1239*G1239^2*SIN(RADIANS(E1239))^2)</f>
        <v/>
      </c>
      <c r="R1239" s="28">
        <f>-P1239*SIN(RADIANS(E1239))</f>
        <v/>
      </c>
      <c r="S1239" s="8">
        <f>(O1239+P1239*COS(RADIANS(E1239)))/L1239</f>
        <v/>
      </c>
      <c r="T1239" s="8">
        <f>R1239/L1239</f>
        <v/>
      </c>
      <c r="U1239" s="8">
        <f>(Q1239-P1239*G1239*SIN(RADIANS(E1239)))/M1239</f>
        <v/>
      </c>
      <c r="V1239" s="8">
        <f>SQRT((S1239+U1239)^2+3*T1239^2)</f>
        <v/>
      </c>
      <c r="W1239" s="8">
        <f>V1239/AA1239</f>
        <v/>
      </c>
      <c r="X1239" s="27">
        <f>((3*10+H1239/COS(RADIANS(E1239)))*(3+3)+3*G1239*H1239)*2</f>
        <v/>
      </c>
      <c r="Y1239" s="28">
        <f>Z1239/X1239</f>
        <v/>
      </c>
      <c r="Z1239" s="29" t="n">
        <v>558.506518992169</v>
      </c>
      <c r="AA1239" s="20" t="n">
        <v>45.8791063128847</v>
      </c>
      <c r="AB1239" t="n">
        <v>0.04441568646189054</v>
      </c>
      <c r="AC1239" t="n">
        <v>47.12735092064081</v>
      </c>
      <c r="AD1239" t="n">
        <v>2.503660515117196</v>
      </c>
    </row>
    <row r="1240">
      <c r="A1240" t="n">
        <v>1239</v>
      </c>
      <c r="B1240" t="n">
        <v>59</v>
      </c>
      <c r="C1240" s="21">
        <f>B1240-20</f>
        <v/>
      </c>
      <c r="D1240" t="n">
        <v>111.6</v>
      </c>
      <c r="E1240" s="22">
        <f>D1240-90</f>
        <v/>
      </c>
      <c r="F1240" s="23" t="n">
        <v>0.012878</v>
      </c>
      <c r="G1240" s="22" t="n">
        <v>24.7</v>
      </c>
      <c r="H1240" s="22" t="n">
        <v>1.6</v>
      </c>
      <c r="I1240" s="24" t="n">
        <v>0.0730361863970756</v>
      </c>
      <c r="J1240" s="6" t="n">
        <v>71000</v>
      </c>
      <c r="K1240" s="25">
        <f>23*10^-6</f>
        <v/>
      </c>
      <c r="L1240" s="8">
        <f>H1240</f>
        <v/>
      </c>
      <c r="M1240" s="26">
        <f>H1240^2/6</f>
        <v/>
      </c>
      <c r="N1240" s="26">
        <f>H1240^3/12</f>
        <v/>
      </c>
      <c r="O1240" s="27">
        <f>-J1240*L1240*K1240*C1240</f>
        <v/>
      </c>
      <c r="P1240" s="28">
        <f>-(12*F1240*J1240*L1240*N1240+12*O1240*N1240*G1240*COS(RADIANS(E1240)))/(12*N1240*G1240*COS(RADIANS(E1240))^2+L1240*G1240^3*SIN(RADIANS(E1240))^2)</f>
        <v/>
      </c>
      <c r="Q1240" s="28">
        <f>-(6*F1240*J1240*L1240*N1240*SIN(RADIANS(E1240))+6*O1240*N1240*G1240*SIN(RADIANS(E1240))*COS(RADIANS(E1240)))/(12*N1240*COS(RADIANS(E1240))^2+L1240*G1240^2*SIN(RADIANS(E1240))^2)</f>
        <v/>
      </c>
      <c r="R1240" s="28">
        <f>-P1240*SIN(RADIANS(E1240))</f>
        <v/>
      </c>
      <c r="S1240" s="8">
        <f>(O1240+P1240*COS(RADIANS(E1240)))/L1240</f>
        <v/>
      </c>
      <c r="T1240" s="8">
        <f>R1240/L1240</f>
        <v/>
      </c>
      <c r="U1240" s="8">
        <f>(Q1240-P1240*G1240*SIN(RADIANS(E1240)))/M1240</f>
        <v/>
      </c>
      <c r="V1240" s="8">
        <f>SQRT((S1240+U1240)^2+3*T1240^2)</f>
        <v/>
      </c>
      <c r="W1240" s="8">
        <f>V1240/AA1240</f>
        <v/>
      </c>
      <c r="X1240" s="27">
        <f>((3*10+H1240/COS(RADIANS(E1240)))*(3+3)+3*G1240*H1240)*2</f>
        <v/>
      </c>
      <c r="Y1240" s="28">
        <f>Z1240/X1240</f>
        <v/>
      </c>
      <c r="Z1240" s="29" t="n">
        <v>623.016409049002</v>
      </c>
      <c r="AA1240" s="20" t="n">
        <v>62.0092354855992</v>
      </c>
      <c r="AB1240" t="n">
        <v>0.09016219400002481</v>
      </c>
      <c r="AC1240" t="n">
        <v>61.25715966531689</v>
      </c>
      <c r="AD1240" t="n">
        <v>23.44866079102256</v>
      </c>
    </row>
    <row r="1241">
      <c r="A1241" t="n">
        <v>1240</v>
      </c>
      <c r="B1241" t="n">
        <v>63.5</v>
      </c>
      <c r="C1241" s="21">
        <f>B1241-20</f>
        <v/>
      </c>
      <c r="D1241" t="n">
        <v>123</v>
      </c>
      <c r="E1241" s="22">
        <f>D1241-90</f>
        <v/>
      </c>
      <c r="F1241" s="23" t="n">
        <v>0.014662</v>
      </c>
      <c r="G1241" s="22" t="n">
        <v>28.1</v>
      </c>
      <c r="H1241" s="22" t="n">
        <v>1.9</v>
      </c>
      <c r="I1241" s="24" t="n">
        <v>0.0665791407227516</v>
      </c>
      <c r="J1241" s="6" t="n">
        <v>71000</v>
      </c>
      <c r="K1241" s="25">
        <f>23*10^-6</f>
        <v/>
      </c>
      <c r="L1241" s="8">
        <f>H1241</f>
        <v/>
      </c>
      <c r="M1241" s="26">
        <f>H1241^2/6</f>
        <v/>
      </c>
      <c r="N1241" s="26">
        <f>H1241^3/12</f>
        <v/>
      </c>
      <c r="O1241" s="27">
        <f>-J1241*L1241*K1241*C1241</f>
        <v/>
      </c>
      <c r="P1241" s="28">
        <f>-(12*F1241*J1241*L1241*N1241+12*O1241*N1241*G1241*COS(RADIANS(E1241)))/(12*N1241*G1241*COS(RADIANS(E1241))^2+L1241*G1241^3*SIN(RADIANS(E1241))^2)</f>
        <v/>
      </c>
      <c r="Q1241" s="28">
        <f>-(6*F1241*J1241*L1241*N1241*SIN(RADIANS(E1241))+6*O1241*N1241*G1241*SIN(RADIANS(E1241))*COS(RADIANS(E1241)))/(12*N1241*COS(RADIANS(E1241))^2+L1241*G1241^2*SIN(RADIANS(E1241))^2)</f>
        <v/>
      </c>
      <c r="R1241" s="28">
        <f>-P1241*SIN(RADIANS(E1241))</f>
        <v/>
      </c>
      <c r="S1241" s="8">
        <f>(O1241+P1241*COS(RADIANS(E1241)))/L1241</f>
        <v/>
      </c>
      <c r="T1241" s="8">
        <f>R1241/L1241</f>
        <v/>
      </c>
      <c r="U1241" s="8">
        <f>(Q1241-P1241*G1241*SIN(RADIANS(E1241)))/M1241</f>
        <v/>
      </c>
      <c r="V1241" s="8">
        <f>SQRT((S1241+U1241)^2+3*T1241^2)</f>
        <v/>
      </c>
      <c r="W1241" s="8">
        <f>V1241/AA1241</f>
        <v/>
      </c>
      <c r="X1241" s="27">
        <f>((3*10+H1241/COS(RADIANS(E1241)))*(3+3)+3*G1241*H1241)*2</f>
        <v/>
      </c>
      <c r="Y1241" s="28">
        <f>Z1241/X1241</f>
        <v/>
      </c>
      <c r="Z1241" s="29" t="n">
        <v>715.576231490364</v>
      </c>
      <c r="AA1241" s="20" t="n">
        <v>69.701159905775</v>
      </c>
      <c r="AB1241" t="n">
        <v>0.0732994092237914</v>
      </c>
      <c r="AC1241" t="n">
        <v>65.0165717686701</v>
      </c>
      <c r="AD1241" t="n">
        <v>10.09365460125761</v>
      </c>
    </row>
    <row r="1242">
      <c r="A1242" t="n">
        <v>1241</v>
      </c>
      <c r="B1242" t="n">
        <v>71</v>
      </c>
      <c r="C1242" s="21">
        <f>B1242-20</f>
        <v/>
      </c>
      <c r="D1242" t="n">
        <v>108.9</v>
      </c>
      <c r="E1242" s="22">
        <f>D1242-90</f>
        <v/>
      </c>
      <c r="F1242" s="23" t="n">
        <v>0.015095</v>
      </c>
      <c r="G1242" s="22" t="n">
        <v>21.1</v>
      </c>
      <c r="H1242" s="22" t="n">
        <v>1.4</v>
      </c>
      <c r="I1242" s="24" t="n">
        <v>0.0948509499430656</v>
      </c>
      <c r="J1242" s="6" t="n">
        <v>71000</v>
      </c>
      <c r="K1242" s="25">
        <f>23*10^-6</f>
        <v/>
      </c>
      <c r="L1242" s="8">
        <f>H1242</f>
        <v/>
      </c>
      <c r="M1242" s="26">
        <f>H1242^2/6</f>
        <v/>
      </c>
      <c r="N1242" s="26">
        <f>H1242^3/12</f>
        <v/>
      </c>
      <c r="O1242" s="27">
        <f>-J1242*L1242*K1242*C1242</f>
        <v/>
      </c>
      <c r="P1242" s="28">
        <f>-(12*F1242*J1242*L1242*N1242+12*O1242*N1242*G1242*COS(RADIANS(E1242)))/(12*N1242*G1242*COS(RADIANS(E1242))^2+L1242*G1242^3*SIN(RADIANS(E1242))^2)</f>
        <v/>
      </c>
      <c r="Q1242" s="28">
        <f>-(6*F1242*J1242*L1242*N1242*SIN(RADIANS(E1242))+6*O1242*N1242*G1242*SIN(RADIANS(E1242))*COS(RADIANS(E1242)))/(12*N1242*COS(RADIANS(E1242))^2+L1242*G1242^2*SIN(RADIANS(E1242))^2)</f>
        <v/>
      </c>
      <c r="R1242" s="28">
        <f>-P1242*SIN(RADIANS(E1242))</f>
        <v/>
      </c>
      <c r="S1242" s="8">
        <f>(O1242+P1242*COS(RADIANS(E1242)))/L1242</f>
        <v/>
      </c>
      <c r="T1242" s="8">
        <f>R1242/L1242</f>
        <v/>
      </c>
      <c r="U1242" s="8">
        <f>(Q1242-P1242*G1242*SIN(RADIANS(E1242)))/M1242</f>
        <v/>
      </c>
      <c r="V1242" s="8">
        <f>SQRT((S1242+U1242)^2+3*T1242^2)</f>
        <v/>
      </c>
      <c r="W1242" s="8">
        <f>V1242/AA1242</f>
        <v/>
      </c>
      <c r="X1242" s="27">
        <f>((3*10+H1242/COS(RADIANS(E1242)))*(3+3)+3*G1242*H1242)*2</f>
        <v/>
      </c>
      <c r="Y1242" s="28">
        <f>Z1242/X1242</f>
        <v/>
      </c>
      <c r="Z1242" s="29" t="n">
        <v>559.798702212645</v>
      </c>
      <c r="AA1242" s="20" t="n">
        <v>80.3493900195765</v>
      </c>
      <c r="AB1242" t="n">
        <v>0.115948154287266</v>
      </c>
      <c r="AC1242" t="n">
        <v>81.25987619966487</v>
      </c>
      <c r="AD1242" t="n">
        <v>22.24248081528341</v>
      </c>
    </row>
    <row r="1243">
      <c r="A1243" t="n">
        <v>1242</v>
      </c>
      <c r="B1243" t="n">
        <v>80.8</v>
      </c>
      <c r="C1243" s="21">
        <f>B1243-20</f>
        <v/>
      </c>
      <c r="D1243" t="n">
        <v>112.2</v>
      </c>
      <c r="E1243" s="22">
        <f>D1243-90</f>
        <v/>
      </c>
      <c r="F1243" s="23" t="n">
        <v>0.020651</v>
      </c>
      <c r="G1243" s="22" t="n">
        <v>25.7</v>
      </c>
      <c r="H1243" s="22" t="n">
        <v>1.1</v>
      </c>
      <c r="I1243" s="24" t="n">
        <v>0.115227445960044</v>
      </c>
      <c r="J1243" s="6" t="n">
        <v>71000</v>
      </c>
      <c r="K1243" s="25">
        <f>23*10^-6</f>
        <v/>
      </c>
      <c r="L1243" s="8">
        <f>H1243</f>
        <v/>
      </c>
      <c r="M1243" s="26">
        <f>H1243^2/6</f>
        <v/>
      </c>
      <c r="N1243" s="26">
        <f>H1243^3/12</f>
        <v/>
      </c>
      <c r="O1243" s="27">
        <f>-J1243*L1243*K1243*C1243</f>
        <v/>
      </c>
      <c r="P1243" s="28">
        <f>-(12*F1243*J1243*L1243*N1243+12*O1243*N1243*G1243*COS(RADIANS(E1243)))/(12*N1243*G1243*COS(RADIANS(E1243))^2+L1243*G1243^3*SIN(RADIANS(E1243))^2)</f>
        <v/>
      </c>
      <c r="Q1243" s="28">
        <f>-(6*F1243*J1243*L1243*N1243*SIN(RADIANS(E1243))+6*O1243*N1243*G1243*SIN(RADIANS(E1243))*COS(RADIANS(E1243)))/(12*N1243*COS(RADIANS(E1243))^2+L1243*G1243^2*SIN(RADIANS(E1243))^2)</f>
        <v/>
      </c>
      <c r="R1243" s="28">
        <f>-P1243*SIN(RADIANS(E1243))</f>
        <v/>
      </c>
      <c r="S1243" s="8">
        <f>(O1243+P1243*COS(RADIANS(E1243)))/L1243</f>
        <v/>
      </c>
      <c r="T1243" s="8">
        <f>R1243/L1243</f>
        <v/>
      </c>
      <c r="U1243" s="8">
        <f>(Q1243-P1243*G1243*SIN(RADIANS(E1243)))/M1243</f>
        <v/>
      </c>
      <c r="V1243" s="8">
        <f>SQRT((S1243+U1243)^2+3*T1243^2)</f>
        <v/>
      </c>
      <c r="W1243" s="8">
        <f>V1243/AA1243</f>
        <v/>
      </c>
      <c r="X1243" s="27">
        <f>((3*10+H1243/COS(RADIANS(E1243)))*(3+3)+3*G1243*H1243)*2</f>
        <v/>
      </c>
      <c r="Y1243" s="28">
        <f>Z1243/X1243</f>
        <v/>
      </c>
      <c r="Z1243" s="29" t="n">
        <v>549.232030784616</v>
      </c>
      <c r="AA1243" s="20" t="n">
        <v>86.7505472581563</v>
      </c>
      <c r="AB1243" t="n">
        <v>0.1440440078372973</v>
      </c>
      <c r="AC1243" t="n">
        <v>90.96656776384785</v>
      </c>
      <c r="AD1243" t="n">
        <v>25.00841846936855</v>
      </c>
    </row>
    <row r="1244">
      <c r="A1244" t="n">
        <v>1243</v>
      </c>
      <c r="B1244" t="n">
        <v>54.3</v>
      </c>
      <c r="C1244" s="21">
        <f>B1244-20</f>
        <v/>
      </c>
      <c r="D1244" t="n">
        <v>122.1</v>
      </c>
      <c r="E1244" s="22">
        <f>D1244-90</f>
        <v/>
      </c>
      <c r="F1244" s="23" t="n">
        <v>0.012316</v>
      </c>
      <c r="G1244" s="22" t="n">
        <v>30.1</v>
      </c>
      <c r="H1244" s="22" t="n">
        <v>1.8</v>
      </c>
      <c r="I1244" s="24" t="n">
        <v>0.0558992326259613</v>
      </c>
      <c r="J1244" s="6" t="n">
        <v>71000</v>
      </c>
      <c r="K1244" s="25">
        <f>23*10^-6</f>
        <v/>
      </c>
      <c r="L1244" s="8">
        <f>H1244</f>
        <v/>
      </c>
      <c r="M1244" s="26">
        <f>H1244^2/6</f>
        <v/>
      </c>
      <c r="N1244" s="26">
        <f>H1244^3/12</f>
        <v/>
      </c>
      <c r="O1244" s="27">
        <f>-J1244*L1244*K1244*C1244</f>
        <v/>
      </c>
      <c r="P1244" s="28">
        <f>-(12*F1244*J1244*L1244*N1244+12*O1244*N1244*G1244*COS(RADIANS(E1244)))/(12*N1244*G1244*COS(RADIANS(E1244))^2+L1244*G1244^3*SIN(RADIANS(E1244))^2)</f>
        <v/>
      </c>
      <c r="Q1244" s="28">
        <f>-(6*F1244*J1244*L1244*N1244*SIN(RADIANS(E1244))+6*O1244*N1244*G1244*SIN(RADIANS(E1244))*COS(RADIANS(E1244)))/(12*N1244*COS(RADIANS(E1244))^2+L1244*G1244^2*SIN(RADIANS(E1244))^2)</f>
        <v/>
      </c>
      <c r="R1244" s="28">
        <f>-P1244*SIN(RADIANS(E1244))</f>
        <v/>
      </c>
      <c r="S1244" s="8">
        <f>(O1244+P1244*COS(RADIANS(E1244)))/L1244</f>
        <v/>
      </c>
      <c r="T1244" s="8">
        <f>R1244/L1244</f>
        <v/>
      </c>
      <c r="U1244" s="8">
        <f>(Q1244-P1244*G1244*SIN(RADIANS(E1244)))/M1244</f>
        <v/>
      </c>
      <c r="V1244" s="8">
        <f>SQRT((S1244+U1244)^2+3*T1244^2)</f>
        <v/>
      </c>
      <c r="W1244" s="8">
        <f>V1244/AA1244</f>
        <v/>
      </c>
      <c r="X1244" s="27">
        <f>((3*10+H1244/COS(RADIANS(E1244)))*(3+3)+3*G1244*H1244)*2</f>
        <v/>
      </c>
      <c r="Y1244" s="28">
        <f>Z1244/X1244</f>
        <v/>
      </c>
      <c r="Z1244" s="29" t="n">
        <v>718.342952944638</v>
      </c>
      <c r="AA1244" s="20" t="n">
        <v>53.4186161143011</v>
      </c>
      <c r="AB1244" t="n">
        <v>0.06367097080670965</v>
      </c>
      <c r="AC1244" t="n">
        <v>50.97076821708641</v>
      </c>
      <c r="AD1244" t="n">
        <v>13.90312141268809</v>
      </c>
    </row>
    <row r="1245">
      <c r="A1245" t="n">
        <v>1244</v>
      </c>
      <c r="B1245" t="n">
        <v>68</v>
      </c>
      <c r="C1245" s="21">
        <f>B1245-20</f>
        <v/>
      </c>
      <c r="D1245" t="n">
        <v>120.8</v>
      </c>
      <c r="E1245" s="22">
        <f>D1245-90</f>
        <v/>
      </c>
      <c r="F1245" s="23" t="n">
        <v>0.017196</v>
      </c>
      <c r="G1245" s="22" t="n">
        <v>29.6</v>
      </c>
      <c r="H1245" s="22" t="n">
        <v>1.3</v>
      </c>
      <c r="I1245" s="24" t="n">
        <v>0.0793830752372741</v>
      </c>
      <c r="J1245" s="6" t="n">
        <v>71000</v>
      </c>
      <c r="K1245" s="25">
        <f>23*10^-6</f>
        <v/>
      </c>
      <c r="L1245" s="8">
        <f>H1245</f>
        <v/>
      </c>
      <c r="M1245" s="26">
        <f>H1245^2/6</f>
        <v/>
      </c>
      <c r="N1245" s="26">
        <f>H1245^3/12</f>
        <v/>
      </c>
      <c r="O1245" s="27">
        <f>-J1245*L1245*K1245*C1245</f>
        <v/>
      </c>
      <c r="P1245" s="28">
        <f>-(12*F1245*J1245*L1245*N1245+12*O1245*N1245*G1245*COS(RADIANS(E1245)))/(12*N1245*G1245*COS(RADIANS(E1245))^2+L1245*G1245^3*SIN(RADIANS(E1245))^2)</f>
        <v/>
      </c>
      <c r="Q1245" s="28">
        <f>-(6*F1245*J1245*L1245*N1245*SIN(RADIANS(E1245))+6*O1245*N1245*G1245*SIN(RADIANS(E1245))*COS(RADIANS(E1245)))/(12*N1245*COS(RADIANS(E1245))^2+L1245*G1245^2*SIN(RADIANS(E1245))^2)</f>
        <v/>
      </c>
      <c r="R1245" s="28">
        <f>-P1245*SIN(RADIANS(E1245))</f>
        <v/>
      </c>
      <c r="S1245" s="8">
        <f>(O1245+P1245*COS(RADIANS(E1245)))/L1245</f>
        <v/>
      </c>
      <c r="T1245" s="8">
        <f>R1245/L1245</f>
        <v/>
      </c>
      <c r="U1245" s="8">
        <f>(Q1245-P1245*G1245*SIN(RADIANS(E1245)))/M1245</f>
        <v/>
      </c>
      <c r="V1245" s="8">
        <f>SQRT((S1245+U1245)^2+3*T1245^2)</f>
        <v/>
      </c>
      <c r="W1245" s="8">
        <f>V1245/AA1245</f>
        <v/>
      </c>
      <c r="X1245" s="27">
        <f>((3*10+H1245/COS(RADIANS(E1245)))*(3+3)+3*G1245*H1245)*2</f>
        <v/>
      </c>
      <c r="Y1245" s="28">
        <f>Z1245/X1245</f>
        <v/>
      </c>
      <c r="Z1245" s="29" t="n">
        <v>616.415898119611</v>
      </c>
      <c r="AA1245" s="20" t="n">
        <v>68.6256817037733</v>
      </c>
      <c r="AB1245" t="n">
        <v>0.09211039602843563</v>
      </c>
      <c r="AC1245" t="n">
        <v>69.82523896839365</v>
      </c>
      <c r="AD1245" t="n">
        <v>16.03278879423588</v>
      </c>
    </row>
    <row r="1246">
      <c r="A1246" t="n">
        <v>1245</v>
      </c>
      <c r="B1246" t="n">
        <v>86.2</v>
      </c>
      <c r="C1246" s="21">
        <f>B1246-20</f>
        <v/>
      </c>
      <c r="D1246" t="n">
        <v>121.9</v>
      </c>
      <c r="E1246" s="22">
        <f>D1246-90</f>
        <v/>
      </c>
      <c r="F1246" s="23" t="n">
        <v>0.025415</v>
      </c>
      <c r="G1246" s="22" t="n">
        <v>32.6</v>
      </c>
      <c r="H1246" s="22" t="n">
        <v>1.1</v>
      </c>
      <c r="I1246" s="24" t="n">
        <v>0.114035800099372</v>
      </c>
      <c r="J1246" s="6" t="n">
        <v>71000</v>
      </c>
      <c r="K1246" s="25">
        <f>23*10^-6</f>
        <v/>
      </c>
      <c r="L1246" s="8">
        <f>H1246</f>
        <v/>
      </c>
      <c r="M1246" s="26">
        <f>H1246^2/6</f>
        <v/>
      </c>
      <c r="N1246" s="26">
        <f>H1246^3/12</f>
        <v/>
      </c>
      <c r="O1246" s="27">
        <f>-J1246*L1246*K1246*C1246</f>
        <v/>
      </c>
      <c r="P1246" s="28">
        <f>-(12*F1246*J1246*L1246*N1246+12*O1246*N1246*G1246*COS(RADIANS(E1246)))/(12*N1246*G1246*COS(RADIANS(E1246))^2+L1246*G1246^3*SIN(RADIANS(E1246))^2)</f>
        <v/>
      </c>
      <c r="Q1246" s="28">
        <f>-(6*F1246*J1246*L1246*N1246*SIN(RADIANS(E1246))+6*O1246*N1246*G1246*SIN(RADIANS(E1246))*COS(RADIANS(E1246)))/(12*N1246*COS(RADIANS(E1246))^2+L1246*G1246^2*SIN(RADIANS(E1246))^2)</f>
        <v/>
      </c>
      <c r="R1246" s="28">
        <f>-P1246*SIN(RADIANS(E1246))</f>
        <v/>
      </c>
      <c r="S1246" s="8">
        <f>(O1246+P1246*COS(RADIANS(E1246)))/L1246</f>
        <v/>
      </c>
      <c r="T1246" s="8">
        <f>R1246/L1246</f>
        <v/>
      </c>
      <c r="U1246" s="8">
        <f>(Q1246-P1246*G1246*SIN(RADIANS(E1246)))/M1246</f>
        <v/>
      </c>
      <c r="V1246" s="8">
        <f>SQRT((S1246+U1246)^2+3*T1246^2)</f>
        <v/>
      </c>
      <c r="W1246" s="8">
        <f>V1246/AA1246</f>
        <v/>
      </c>
      <c r="X1246" s="27">
        <f>((3*10+H1246/COS(RADIANS(E1246)))*(3+3)+3*G1246*H1246)*2</f>
        <v/>
      </c>
      <c r="Y1246" s="28">
        <f>Z1246/X1246</f>
        <v/>
      </c>
      <c r="Z1246" s="29" t="n">
        <v>598.411345031597</v>
      </c>
      <c r="AA1246" s="20" t="n">
        <v>88.8713802638223</v>
      </c>
      <c r="AB1246" t="n">
        <v>0.1343206728974298</v>
      </c>
      <c r="AC1246" t="n">
        <v>94.53354543430441</v>
      </c>
      <c r="AD1246" t="n">
        <v>17.788161945969</v>
      </c>
    </row>
    <row r="1247">
      <c r="A1247" t="n">
        <v>1246</v>
      </c>
      <c r="B1247" t="n">
        <v>59.4</v>
      </c>
      <c r="C1247" s="21">
        <f>B1247-20</f>
        <v/>
      </c>
      <c r="D1247" t="n">
        <v>119.2</v>
      </c>
      <c r="E1247" s="22">
        <f>D1247-90</f>
        <v/>
      </c>
      <c r="F1247" s="23" t="n">
        <v>0.01481</v>
      </c>
      <c r="G1247" s="22" t="n">
        <v>30.9</v>
      </c>
      <c r="H1247" s="22" t="n">
        <v>1.3</v>
      </c>
      <c r="I1247" s="24" t="n">
        <v>0.06951127201318739</v>
      </c>
      <c r="J1247" s="6" t="n">
        <v>71000</v>
      </c>
      <c r="K1247" s="25">
        <f>23*10^-6</f>
        <v/>
      </c>
      <c r="L1247" s="8">
        <f>H1247</f>
        <v/>
      </c>
      <c r="M1247" s="26">
        <f>H1247^2/6</f>
        <v/>
      </c>
      <c r="N1247" s="26">
        <f>H1247^3/12</f>
        <v/>
      </c>
      <c r="O1247" s="27">
        <f>-J1247*L1247*K1247*C1247</f>
        <v/>
      </c>
      <c r="P1247" s="28">
        <f>-(12*F1247*J1247*L1247*N1247+12*O1247*N1247*G1247*COS(RADIANS(E1247)))/(12*N1247*G1247*COS(RADIANS(E1247))^2+L1247*G1247^3*SIN(RADIANS(E1247))^2)</f>
        <v/>
      </c>
      <c r="Q1247" s="28">
        <f>-(6*F1247*J1247*L1247*N1247*SIN(RADIANS(E1247))+6*O1247*N1247*G1247*SIN(RADIANS(E1247))*COS(RADIANS(E1247)))/(12*N1247*COS(RADIANS(E1247))^2+L1247*G1247^2*SIN(RADIANS(E1247))^2)</f>
        <v/>
      </c>
      <c r="R1247" s="28">
        <f>-P1247*SIN(RADIANS(E1247))</f>
        <v/>
      </c>
      <c r="S1247" s="8">
        <f>(O1247+P1247*COS(RADIANS(E1247)))/L1247</f>
        <v/>
      </c>
      <c r="T1247" s="8">
        <f>R1247/L1247</f>
        <v/>
      </c>
      <c r="U1247" s="8">
        <f>(Q1247-P1247*G1247*SIN(RADIANS(E1247)))/M1247</f>
        <v/>
      </c>
      <c r="V1247" s="8">
        <f>SQRT((S1247+U1247)^2+3*T1247^2)</f>
        <v/>
      </c>
      <c r="W1247" s="8">
        <f>V1247/AA1247</f>
        <v/>
      </c>
      <c r="X1247" s="27">
        <f>((3*10+H1247/COS(RADIANS(E1247)))*(3+3)+3*G1247*H1247)*2</f>
        <v/>
      </c>
      <c r="Y1247" s="28">
        <f>Z1247/X1247</f>
        <v/>
      </c>
      <c r="Z1247" s="29" t="n">
        <v>625.818503331612</v>
      </c>
      <c r="AA1247" s="20" t="n">
        <v>56.1391616684896</v>
      </c>
      <c r="AB1247" t="n">
        <v>0.08337729683492079</v>
      </c>
      <c r="AC1247" t="n">
        <v>57.48476532969985</v>
      </c>
      <c r="AD1247" t="n">
        <v>19.94787955988316</v>
      </c>
    </row>
    <row r="1248">
      <c r="A1248" t="n">
        <v>1247</v>
      </c>
      <c r="B1248" t="n">
        <v>40.2</v>
      </c>
      <c r="C1248" s="21">
        <f>B1248-20</f>
        <v/>
      </c>
      <c r="D1248" t="n">
        <v>101.9</v>
      </c>
      <c r="E1248" s="22">
        <f>D1248-90</f>
        <v/>
      </c>
      <c r="F1248" s="23" t="n">
        <v>0.006226</v>
      </c>
      <c r="G1248" s="22" t="n">
        <v>21.5</v>
      </c>
      <c r="H1248" s="22" t="n">
        <v>1.2</v>
      </c>
      <c r="I1248" s="24" t="n">
        <v>0.0535602234303951</v>
      </c>
      <c r="J1248" s="6" t="n">
        <v>71000</v>
      </c>
      <c r="K1248" s="25">
        <f>23*10^-6</f>
        <v/>
      </c>
      <c r="L1248" s="8">
        <f>H1248</f>
        <v/>
      </c>
      <c r="M1248" s="26">
        <f>H1248^2/6</f>
        <v/>
      </c>
      <c r="N1248" s="26">
        <f>H1248^3/12</f>
        <v/>
      </c>
      <c r="O1248" s="27">
        <f>-J1248*L1248*K1248*C1248</f>
        <v/>
      </c>
      <c r="P1248" s="28">
        <f>-(12*F1248*J1248*L1248*N1248+12*O1248*N1248*G1248*COS(RADIANS(E1248)))/(12*N1248*G1248*COS(RADIANS(E1248))^2+L1248*G1248^3*SIN(RADIANS(E1248))^2)</f>
        <v/>
      </c>
      <c r="Q1248" s="28">
        <f>-(6*F1248*J1248*L1248*N1248*SIN(RADIANS(E1248))+6*O1248*N1248*G1248*SIN(RADIANS(E1248))*COS(RADIANS(E1248)))/(12*N1248*COS(RADIANS(E1248))^2+L1248*G1248^2*SIN(RADIANS(E1248))^2)</f>
        <v/>
      </c>
      <c r="R1248" s="28">
        <f>-P1248*SIN(RADIANS(E1248))</f>
        <v/>
      </c>
      <c r="S1248" s="8">
        <f>(O1248+P1248*COS(RADIANS(E1248)))/L1248</f>
        <v/>
      </c>
      <c r="T1248" s="8">
        <f>R1248/L1248</f>
        <v/>
      </c>
      <c r="U1248" s="8">
        <f>(Q1248-P1248*G1248*SIN(RADIANS(E1248)))/M1248</f>
        <v/>
      </c>
      <c r="V1248" s="8">
        <f>SQRT((S1248+U1248)^2+3*T1248^2)</f>
        <v/>
      </c>
      <c r="W1248" s="8">
        <f>V1248/AA1248</f>
        <v/>
      </c>
      <c r="X1248" s="27">
        <f>((3*10+H1248/COS(RADIANS(E1248)))*(3+3)+3*G1248*H1248)*2</f>
        <v/>
      </c>
      <c r="Y1248" s="28">
        <f>Z1248/X1248</f>
        <v/>
      </c>
      <c r="Z1248" s="29" t="n">
        <v>533.477009451289</v>
      </c>
      <c r="AA1248" s="20" t="n">
        <v>31.4896094995043</v>
      </c>
      <c r="AB1248" t="n">
        <v>0.07278954912302742</v>
      </c>
      <c r="AC1248" t="n">
        <v>33.79847284307268</v>
      </c>
      <c r="AD1248" t="n">
        <v>35.90225070218769</v>
      </c>
    </row>
    <row r="1249">
      <c r="A1249" t="n">
        <v>1248</v>
      </c>
      <c r="B1249" t="n">
        <v>40.3</v>
      </c>
      <c r="C1249" s="21">
        <f>B1249-20</f>
        <v/>
      </c>
      <c r="D1249" t="n">
        <v>110.3</v>
      </c>
      <c r="E1249" s="22">
        <f>D1249-90</f>
        <v/>
      </c>
      <c r="F1249" s="23" t="n">
        <v>0.006467</v>
      </c>
      <c r="G1249" s="22" t="n">
        <v>23.4</v>
      </c>
      <c r="H1249" s="22" t="n">
        <v>1.4</v>
      </c>
      <c r="I1249" s="24" t="n">
        <v>0.0384488254785537</v>
      </c>
      <c r="J1249" s="6" t="n">
        <v>71000</v>
      </c>
      <c r="K1249" s="25">
        <f>23*10^-6</f>
        <v/>
      </c>
      <c r="L1249" s="8">
        <f>H1249</f>
        <v/>
      </c>
      <c r="M1249" s="26">
        <f>H1249^2/6</f>
        <v/>
      </c>
      <c r="N1249" s="26">
        <f>H1249^3/12</f>
        <v/>
      </c>
      <c r="O1249" s="27">
        <f>-J1249*L1249*K1249*C1249</f>
        <v/>
      </c>
      <c r="P1249" s="28">
        <f>-(12*F1249*J1249*L1249*N1249+12*O1249*N1249*G1249*COS(RADIANS(E1249)))/(12*N1249*G1249*COS(RADIANS(E1249))^2+L1249*G1249^3*SIN(RADIANS(E1249))^2)</f>
        <v/>
      </c>
      <c r="Q1249" s="28">
        <f>-(6*F1249*J1249*L1249*N1249*SIN(RADIANS(E1249))+6*O1249*N1249*G1249*SIN(RADIANS(E1249))*COS(RADIANS(E1249)))/(12*N1249*COS(RADIANS(E1249))^2+L1249*G1249^2*SIN(RADIANS(E1249))^2)</f>
        <v/>
      </c>
      <c r="R1249" s="28">
        <f>-P1249*SIN(RADIANS(E1249))</f>
        <v/>
      </c>
      <c r="S1249" s="8">
        <f>(O1249+P1249*COS(RADIANS(E1249)))/L1249</f>
        <v/>
      </c>
      <c r="T1249" s="8">
        <f>R1249/L1249</f>
        <v/>
      </c>
      <c r="U1249" s="8">
        <f>(Q1249-P1249*G1249*SIN(RADIANS(E1249)))/M1249</f>
        <v/>
      </c>
      <c r="V1249" s="8">
        <f>SQRT((S1249+U1249)^2+3*T1249^2)</f>
        <v/>
      </c>
      <c r="W1249" s="8">
        <f>V1249/AA1249</f>
        <v/>
      </c>
      <c r="X1249" s="27">
        <f>((3*10+H1249/COS(RADIANS(E1249)))*(3+3)+3*G1249*H1249)*2</f>
        <v/>
      </c>
      <c r="Y1249" s="28">
        <f>Z1249/X1249</f>
        <v/>
      </c>
      <c r="Z1249" s="29" t="n">
        <v>579.4955820095749</v>
      </c>
      <c r="AA1249" s="20" t="n">
        <v>31.3227313197706</v>
      </c>
      <c r="AB1249" t="n">
        <v>0.0476654878378324</v>
      </c>
      <c r="AC1249" t="n">
        <v>31.76463572661241</v>
      </c>
      <c r="AD1249" t="n">
        <v>23.97124553107518</v>
      </c>
    </row>
    <row r="1250">
      <c r="A1250" t="n">
        <v>1249</v>
      </c>
      <c r="B1250" t="n">
        <v>75.3</v>
      </c>
      <c r="C1250" s="21">
        <f>B1250-20</f>
        <v/>
      </c>
      <c r="D1250" t="n">
        <v>121.9</v>
      </c>
      <c r="E1250" s="22">
        <f>D1250-90</f>
        <v/>
      </c>
      <c r="F1250" s="23" t="n">
        <v>0.016306</v>
      </c>
      <c r="G1250" s="22" t="n">
        <v>23.4</v>
      </c>
      <c r="H1250" s="22" t="n">
        <v>1.8</v>
      </c>
      <c r="I1250" s="24" t="n">
        <v>0.07698618620634071</v>
      </c>
      <c r="J1250" s="6" t="n">
        <v>71000</v>
      </c>
      <c r="K1250" s="25">
        <f>23*10^-6</f>
        <v/>
      </c>
      <c r="L1250" s="8">
        <f>H1250</f>
        <v/>
      </c>
      <c r="M1250" s="26">
        <f>H1250^2/6</f>
        <v/>
      </c>
      <c r="N1250" s="26">
        <f>H1250^3/12</f>
        <v/>
      </c>
      <c r="O1250" s="27">
        <f>-J1250*L1250*K1250*C1250</f>
        <v/>
      </c>
      <c r="P1250" s="28">
        <f>-(12*F1250*J1250*L1250*N1250+12*O1250*N1250*G1250*COS(RADIANS(E1250)))/(12*N1250*G1250*COS(RADIANS(E1250))^2+L1250*G1250^3*SIN(RADIANS(E1250))^2)</f>
        <v/>
      </c>
      <c r="Q1250" s="28">
        <f>-(6*F1250*J1250*L1250*N1250*SIN(RADIANS(E1250))+6*O1250*N1250*G1250*SIN(RADIANS(E1250))*COS(RADIANS(E1250)))/(12*N1250*COS(RADIANS(E1250))^2+L1250*G1250^2*SIN(RADIANS(E1250))^2)</f>
        <v/>
      </c>
      <c r="R1250" s="28">
        <f>-P1250*SIN(RADIANS(E1250))</f>
        <v/>
      </c>
      <c r="S1250" s="8">
        <f>(O1250+P1250*COS(RADIANS(E1250)))/L1250</f>
        <v/>
      </c>
      <c r="T1250" s="8">
        <f>R1250/L1250</f>
        <v/>
      </c>
      <c r="U1250" s="8">
        <f>(Q1250-P1250*G1250*SIN(RADIANS(E1250)))/M1250</f>
        <v/>
      </c>
      <c r="V1250" s="8">
        <f>SQRT((S1250+U1250)^2+3*T1250^2)</f>
        <v/>
      </c>
      <c r="W1250" s="8">
        <f>V1250/AA1250</f>
        <v/>
      </c>
      <c r="X1250" s="27">
        <f>((3*10+H1250/COS(RADIANS(E1250)))*(3+3)+3*G1250*H1250)*2</f>
        <v/>
      </c>
      <c r="Y1250" s="28">
        <f>Z1250/X1250</f>
        <v/>
      </c>
      <c r="Z1250" s="29" t="n">
        <v>645.865667919393</v>
      </c>
      <c r="AA1250" s="20" t="n">
        <v>89.43860791878529</v>
      </c>
      <c r="AB1250" t="n">
        <v>0.08112487635843352</v>
      </c>
      <c r="AC1250" t="n">
        <v>83.49848431018168</v>
      </c>
      <c r="AD1250" t="n">
        <v>5.37588670907813</v>
      </c>
    </row>
    <row r="1251">
      <c r="A1251" t="n">
        <v>1250</v>
      </c>
      <c r="B1251" t="n">
        <v>58.6</v>
      </c>
      <c r="C1251" s="21">
        <f>B1251-20</f>
        <v/>
      </c>
      <c r="D1251" t="n">
        <v>108.8</v>
      </c>
      <c r="E1251" s="22">
        <f>D1251-90</f>
        <v/>
      </c>
      <c r="F1251" s="23" t="n">
        <v>0.013762</v>
      </c>
      <c r="G1251" s="22" t="n">
        <v>26.7</v>
      </c>
      <c r="H1251" s="22" t="n">
        <v>1.9</v>
      </c>
      <c r="I1251" s="24" t="n">
        <v>0.0836986601352691</v>
      </c>
      <c r="J1251" s="6" t="n">
        <v>71000</v>
      </c>
      <c r="K1251" s="25">
        <f>23*10^-6</f>
        <v/>
      </c>
      <c r="L1251" s="8">
        <f>H1251</f>
        <v/>
      </c>
      <c r="M1251" s="26">
        <f>H1251^2/6</f>
        <v/>
      </c>
      <c r="N1251" s="26">
        <f>H1251^3/12</f>
        <v/>
      </c>
      <c r="O1251" s="27">
        <f>-J1251*L1251*K1251*C1251</f>
        <v/>
      </c>
      <c r="P1251" s="28">
        <f>-(12*F1251*J1251*L1251*N1251+12*O1251*N1251*G1251*COS(RADIANS(E1251)))/(12*N1251*G1251*COS(RADIANS(E1251))^2+L1251*G1251^3*SIN(RADIANS(E1251))^2)</f>
        <v/>
      </c>
      <c r="Q1251" s="28">
        <f>-(6*F1251*J1251*L1251*N1251*SIN(RADIANS(E1251))+6*O1251*N1251*G1251*SIN(RADIANS(E1251))*COS(RADIANS(E1251)))/(12*N1251*COS(RADIANS(E1251))^2+L1251*G1251^2*SIN(RADIANS(E1251))^2)</f>
        <v/>
      </c>
      <c r="R1251" s="28">
        <f>-P1251*SIN(RADIANS(E1251))</f>
        <v/>
      </c>
      <c r="S1251" s="8">
        <f>(O1251+P1251*COS(RADIANS(E1251)))/L1251</f>
        <v/>
      </c>
      <c r="T1251" s="8">
        <f>R1251/L1251</f>
        <v/>
      </c>
      <c r="U1251" s="8">
        <f>(Q1251-P1251*G1251*SIN(RADIANS(E1251)))/M1251</f>
        <v/>
      </c>
      <c r="V1251" s="8">
        <f>SQRT((S1251+U1251)^2+3*T1251^2)</f>
        <v/>
      </c>
      <c r="W1251" s="8">
        <f>V1251/AA1251</f>
        <v/>
      </c>
      <c r="X1251" s="27">
        <f>((3*10+H1251/COS(RADIANS(E1251)))*(3+3)+3*G1251*H1251)*2</f>
        <v/>
      </c>
      <c r="Y1251" s="28">
        <f>Z1251/X1251</f>
        <v/>
      </c>
      <c r="Z1251" s="29" t="n">
        <v>693.251158121765</v>
      </c>
      <c r="AA1251" s="20" t="n">
        <v>66.2091493042161</v>
      </c>
      <c r="AB1251" t="n">
        <v>0.1090139443798739</v>
      </c>
      <c r="AC1251" t="n">
        <v>63.05267826888611</v>
      </c>
      <c r="AD1251" t="n">
        <v>30.24574611312968</v>
      </c>
    </row>
    <row r="1252">
      <c r="A1252" t="n">
        <v>1251</v>
      </c>
      <c r="B1252" t="n">
        <v>47.2</v>
      </c>
      <c r="C1252" s="21">
        <f>B1252-20</f>
        <v/>
      </c>
      <c r="D1252" t="n">
        <v>128.9</v>
      </c>
      <c r="E1252" s="22">
        <f>D1252-90</f>
        <v/>
      </c>
      <c r="F1252" s="23" t="n">
        <v>0.00881</v>
      </c>
      <c r="G1252" s="22" t="n">
        <v>28.8</v>
      </c>
      <c r="H1252" s="22" t="n">
        <v>1.2</v>
      </c>
      <c r="I1252" s="24" t="n">
        <v>0.0381358228623867</v>
      </c>
      <c r="J1252" s="6" t="n">
        <v>71000</v>
      </c>
      <c r="K1252" s="25">
        <f>23*10^-6</f>
        <v/>
      </c>
      <c r="L1252" s="8">
        <f>H1252</f>
        <v/>
      </c>
      <c r="M1252" s="26">
        <f>H1252^2/6</f>
        <v/>
      </c>
      <c r="N1252" s="26">
        <f>H1252^3/12</f>
        <v/>
      </c>
      <c r="O1252" s="27">
        <f>-J1252*L1252*K1252*C1252</f>
        <v/>
      </c>
      <c r="P1252" s="28">
        <f>-(12*F1252*J1252*L1252*N1252+12*O1252*N1252*G1252*COS(RADIANS(E1252)))/(12*N1252*G1252*COS(RADIANS(E1252))^2+L1252*G1252^3*SIN(RADIANS(E1252))^2)</f>
        <v/>
      </c>
      <c r="Q1252" s="28">
        <f>-(6*F1252*J1252*L1252*N1252*SIN(RADIANS(E1252))+6*O1252*N1252*G1252*SIN(RADIANS(E1252))*COS(RADIANS(E1252)))/(12*N1252*COS(RADIANS(E1252))^2+L1252*G1252^2*SIN(RADIANS(E1252))^2)</f>
        <v/>
      </c>
      <c r="R1252" s="28">
        <f>-P1252*SIN(RADIANS(E1252))</f>
        <v/>
      </c>
      <c r="S1252" s="8">
        <f>(O1252+P1252*COS(RADIANS(E1252)))/L1252</f>
        <v/>
      </c>
      <c r="T1252" s="8">
        <f>R1252/L1252</f>
        <v/>
      </c>
      <c r="U1252" s="8">
        <f>(Q1252-P1252*G1252*SIN(RADIANS(E1252)))/M1252</f>
        <v/>
      </c>
      <c r="V1252" s="8">
        <f>SQRT((S1252+U1252)^2+3*T1252^2)</f>
        <v/>
      </c>
      <c r="W1252" s="8">
        <f>V1252/AA1252</f>
        <v/>
      </c>
      <c r="X1252" s="27">
        <f>((3*10+H1252/COS(RADIANS(E1252)))*(3+3)+3*G1252*H1252)*2</f>
        <v/>
      </c>
      <c r="Y1252" s="28">
        <f>Z1252/X1252</f>
        <v/>
      </c>
      <c r="Z1252" s="29" t="n">
        <v>596.135535026222</v>
      </c>
      <c r="AA1252" s="20" t="n">
        <v>36.6589354831177</v>
      </c>
      <c r="AB1252" t="n">
        <v>0.03948626098627617</v>
      </c>
      <c r="AC1252" t="n">
        <v>38.5946283722752</v>
      </c>
      <c r="AD1252" t="n">
        <v>3.541127534503538</v>
      </c>
    </row>
    <row r="1253">
      <c r="A1253" t="n">
        <v>1252</v>
      </c>
      <c r="B1253" t="n">
        <v>78.3</v>
      </c>
      <c r="C1253" s="21">
        <f>B1253-20</f>
        <v/>
      </c>
      <c r="D1253" t="n">
        <v>116.4</v>
      </c>
      <c r="E1253" s="22">
        <f>D1253-90</f>
        <v/>
      </c>
      <c r="F1253" s="23" t="n">
        <v>0.024109</v>
      </c>
      <c r="G1253" s="22" t="n">
        <v>33.8</v>
      </c>
      <c r="H1253" s="22" t="n">
        <v>1.2</v>
      </c>
      <c r="I1253" s="24" t="n">
        <v>0.117362216114997</v>
      </c>
      <c r="J1253" s="6" t="n">
        <v>71000</v>
      </c>
      <c r="K1253" s="25">
        <f>23*10^-6</f>
        <v/>
      </c>
      <c r="L1253" s="8">
        <f>H1253</f>
        <v/>
      </c>
      <c r="M1253" s="26">
        <f>H1253^2/6</f>
        <v/>
      </c>
      <c r="N1253" s="26">
        <f>H1253^3/12</f>
        <v/>
      </c>
      <c r="O1253" s="27">
        <f>-J1253*L1253*K1253*C1253</f>
        <v/>
      </c>
      <c r="P1253" s="28">
        <f>-(12*F1253*J1253*L1253*N1253+12*O1253*N1253*G1253*COS(RADIANS(E1253)))/(12*N1253*G1253*COS(RADIANS(E1253))^2+L1253*G1253^3*SIN(RADIANS(E1253))^2)</f>
        <v/>
      </c>
      <c r="Q1253" s="28">
        <f>-(6*F1253*J1253*L1253*N1253*SIN(RADIANS(E1253))+6*O1253*N1253*G1253*SIN(RADIANS(E1253))*COS(RADIANS(E1253)))/(12*N1253*COS(RADIANS(E1253))^2+L1253*G1253^2*SIN(RADIANS(E1253))^2)</f>
        <v/>
      </c>
      <c r="R1253" s="28">
        <f>-P1253*SIN(RADIANS(E1253))</f>
        <v/>
      </c>
      <c r="S1253" s="8">
        <f>(O1253+P1253*COS(RADIANS(E1253)))/L1253</f>
        <v/>
      </c>
      <c r="T1253" s="8">
        <f>R1253/L1253</f>
        <v/>
      </c>
      <c r="U1253" s="8">
        <f>(Q1253-P1253*G1253*SIN(RADIANS(E1253)))/M1253</f>
        <v/>
      </c>
      <c r="V1253" s="8">
        <f>SQRT((S1253+U1253)^2+3*T1253^2)</f>
        <v/>
      </c>
      <c r="W1253" s="8">
        <f>V1253/AA1253</f>
        <v/>
      </c>
      <c r="X1253" s="27">
        <f>((3*10+H1253/COS(RADIANS(E1253)))*(3+3)+3*G1253*H1253)*2</f>
        <v/>
      </c>
      <c r="Y1253" s="28">
        <f>Z1253/X1253</f>
        <v/>
      </c>
      <c r="Z1253" s="29" t="n">
        <v>625.664563657774</v>
      </c>
      <c r="AA1253" s="20" t="n">
        <v>81.64732136581949</v>
      </c>
      <c r="AB1253" t="n">
        <v>0.1496724119356558</v>
      </c>
      <c r="AC1253" t="n">
        <v>84.9306612048189</v>
      </c>
      <c r="AD1253" t="n">
        <v>27.53032184480884</v>
      </c>
    </row>
    <row r="1254">
      <c r="A1254" t="n">
        <v>1253</v>
      </c>
      <c r="B1254" t="n">
        <v>77.90000000000001</v>
      </c>
      <c r="C1254" s="21">
        <f>B1254-20</f>
        <v/>
      </c>
      <c r="D1254" t="n">
        <v>127.6</v>
      </c>
      <c r="E1254" s="22">
        <f>D1254-90</f>
        <v/>
      </c>
      <c r="F1254" s="23" t="n">
        <v>0.020329</v>
      </c>
      <c r="G1254" s="22" t="n">
        <v>31.3</v>
      </c>
      <c r="H1254" s="22" t="n">
        <v>1.5</v>
      </c>
      <c r="I1254" s="24" t="n">
        <v>0.0876275151968002</v>
      </c>
      <c r="J1254" s="6" t="n">
        <v>71000</v>
      </c>
      <c r="K1254" s="25">
        <f>23*10^-6</f>
        <v/>
      </c>
      <c r="L1254" s="8">
        <f>H1254</f>
        <v/>
      </c>
      <c r="M1254" s="26">
        <f>H1254^2/6</f>
        <v/>
      </c>
      <c r="N1254" s="26">
        <f>H1254^3/12</f>
        <v/>
      </c>
      <c r="O1254" s="27">
        <f>-J1254*L1254*K1254*C1254</f>
        <v/>
      </c>
      <c r="P1254" s="28">
        <f>-(12*F1254*J1254*L1254*N1254+12*O1254*N1254*G1254*COS(RADIANS(E1254)))/(12*N1254*G1254*COS(RADIANS(E1254))^2+L1254*G1254^3*SIN(RADIANS(E1254))^2)</f>
        <v/>
      </c>
      <c r="Q1254" s="28">
        <f>-(6*F1254*J1254*L1254*N1254*SIN(RADIANS(E1254))+6*O1254*N1254*G1254*SIN(RADIANS(E1254))*COS(RADIANS(E1254)))/(12*N1254*COS(RADIANS(E1254))^2+L1254*G1254^2*SIN(RADIANS(E1254))^2)</f>
        <v/>
      </c>
      <c r="R1254" s="28">
        <f>-P1254*SIN(RADIANS(E1254))</f>
        <v/>
      </c>
      <c r="S1254" s="8">
        <f>(O1254+P1254*COS(RADIANS(E1254)))/L1254</f>
        <v/>
      </c>
      <c r="T1254" s="8">
        <f>R1254/L1254</f>
        <v/>
      </c>
      <c r="U1254" s="8">
        <f>(Q1254-P1254*G1254*SIN(RADIANS(E1254)))/M1254</f>
        <v/>
      </c>
      <c r="V1254" s="8">
        <f>SQRT((S1254+U1254)^2+3*T1254^2)</f>
        <v/>
      </c>
      <c r="W1254" s="8">
        <f>V1254/AA1254</f>
        <v/>
      </c>
      <c r="X1254" s="27">
        <f>((3*10+H1254/COS(RADIANS(E1254)))*(3+3)+3*G1254*H1254)*2</f>
        <v/>
      </c>
      <c r="Y1254" s="28">
        <f>Z1254/X1254</f>
        <v/>
      </c>
      <c r="Z1254" s="29" t="n">
        <v>674.1445457244409</v>
      </c>
      <c r="AA1254" s="20" t="n">
        <v>82.9986355473083</v>
      </c>
      <c r="AB1254" t="n">
        <v>0.09428718009927166</v>
      </c>
      <c r="AC1254" t="n">
        <v>83.21114286943978</v>
      </c>
      <c r="AD1254" t="n">
        <v>7.599970040819596</v>
      </c>
    </row>
    <row r="1255">
      <c r="A1255" t="n">
        <v>1254</v>
      </c>
      <c r="B1255" t="n">
        <v>56.8</v>
      </c>
      <c r="C1255" s="21">
        <f>B1255-20</f>
        <v/>
      </c>
      <c r="D1255" t="n">
        <v>127.1</v>
      </c>
      <c r="E1255" s="22">
        <f>D1255-90</f>
        <v/>
      </c>
      <c r="F1255" s="23" t="n">
        <v>0.011183</v>
      </c>
      <c r="G1255" s="22" t="n">
        <v>25.9</v>
      </c>
      <c r="H1255" s="22" t="n">
        <v>1.7</v>
      </c>
      <c r="I1255" s="24" t="n">
        <v>0.0497330538928508</v>
      </c>
      <c r="J1255" s="6" t="n">
        <v>71000</v>
      </c>
      <c r="K1255" s="25">
        <f>23*10^-6</f>
        <v/>
      </c>
      <c r="L1255" s="8">
        <f>H1255</f>
        <v/>
      </c>
      <c r="M1255" s="26">
        <f>H1255^2/6</f>
        <v/>
      </c>
      <c r="N1255" s="26">
        <f>H1255^3/12</f>
        <v/>
      </c>
      <c r="O1255" s="27">
        <f>-J1255*L1255*K1255*C1255</f>
        <v/>
      </c>
      <c r="P1255" s="28">
        <f>-(12*F1255*J1255*L1255*N1255+12*O1255*N1255*G1255*COS(RADIANS(E1255)))/(12*N1255*G1255*COS(RADIANS(E1255))^2+L1255*G1255^3*SIN(RADIANS(E1255))^2)</f>
        <v/>
      </c>
      <c r="Q1255" s="28">
        <f>-(6*F1255*J1255*L1255*N1255*SIN(RADIANS(E1255))+6*O1255*N1255*G1255*SIN(RADIANS(E1255))*COS(RADIANS(E1255)))/(12*N1255*COS(RADIANS(E1255))^2+L1255*G1255^2*SIN(RADIANS(E1255))^2)</f>
        <v/>
      </c>
      <c r="R1255" s="28">
        <f>-P1255*SIN(RADIANS(E1255))</f>
        <v/>
      </c>
      <c r="S1255" s="8">
        <f>(O1255+P1255*COS(RADIANS(E1255)))/L1255</f>
        <v/>
      </c>
      <c r="T1255" s="8">
        <f>R1255/L1255</f>
        <v/>
      </c>
      <c r="U1255" s="8">
        <f>(Q1255-P1255*G1255*SIN(RADIANS(E1255)))/M1255</f>
        <v/>
      </c>
      <c r="V1255" s="8">
        <f>SQRT((S1255+U1255)^2+3*T1255^2)</f>
        <v/>
      </c>
      <c r="W1255" s="8">
        <f>V1255/AA1255</f>
        <v/>
      </c>
      <c r="X1255" s="27">
        <f>((3*10+H1255/COS(RADIANS(E1255)))*(3+3)+3*G1255*H1255)*2</f>
        <v/>
      </c>
      <c r="Y1255" s="28">
        <f>Z1255/X1255</f>
        <v/>
      </c>
      <c r="Z1255" s="29" t="n">
        <v>659.281752068852</v>
      </c>
      <c r="AA1255" s="20" t="n">
        <v>56.8738113935906</v>
      </c>
      <c r="AB1255" t="n">
        <v>0.05068350222101032</v>
      </c>
      <c r="AC1255" t="n">
        <v>53.89705410824929</v>
      </c>
      <c r="AD1255" t="n">
        <v>1.911099869731001</v>
      </c>
    </row>
    <row r="1256">
      <c r="A1256" t="n">
        <v>1255</v>
      </c>
      <c r="B1256" t="n">
        <v>59.6</v>
      </c>
      <c r="C1256" s="21">
        <f>B1256-20</f>
        <v/>
      </c>
      <c r="D1256" t="n">
        <v>112.9</v>
      </c>
      <c r="E1256" s="22">
        <f>D1256-90</f>
        <v/>
      </c>
      <c r="F1256" s="23" t="n">
        <v>0.015683</v>
      </c>
      <c r="G1256" s="22" t="n">
        <v>31.2</v>
      </c>
      <c r="H1256" s="22" t="n">
        <v>1.2</v>
      </c>
      <c r="I1256" s="24" t="n">
        <v>0.0836397930979728</v>
      </c>
      <c r="J1256" s="6" t="n">
        <v>71000</v>
      </c>
      <c r="K1256" s="25">
        <f>23*10^-6</f>
        <v/>
      </c>
      <c r="L1256" s="8">
        <f>H1256</f>
        <v/>
      </c>
      <c r="M1256" s="26">
        <f>H1256^2/6</f>
        <v/>
      </c>
      <c r="N1256" s="26">
        <f>H1256^3/12</f>
        <v/>
      </c>
      <c r="O1256" s="27">
        <f>-J1256*L1256*K1256*C1256</f>
        <v/>
      </c>
      <c r="P1256" s="28">
        <f>-(12*F1256*J1256*L1256*N1256+12*O1256*N1256*G1256*COS(RADIANS(E1256)))/(12*N1256*G1256*COS(RADIANS(E1256))^2+L1256*G1256^3*SIN(RADIANS(E1256))^2)</f>
        <v/>
      </c>
      <c r="Q1256" s="28">
        <f>-(6*F1256*J1256*L1256*N1256*SIN(RADIANS(E1256))+6*O1256*N1256*G1256*SIN(RADIANS(E1256))*COS(RADIANS(E1256)))/(12*N1256*COS(RADIANS(E1256))^2+L1256*G1256^2*SIN(RADIANS(E1256))^2)</f>
        <v/>
      </c>
      <c r="R1256" s="28">
        <f>-P1256*SIN(RADIANS(E1256))</f>
        <v/>
      </c>
      <c r="S1256" s="8">
        <f>(O1256+P1256*COS(RADIANS(E1256)))/L1256</f>
        <v/>
      </c>
      <c r="T1256" s="8">
        <f>R1256/L1256</f>
        <v/>
      </c>
      <c r="U1256" s="8">
        <f>(Q1256-P1256*G1256*SIN(RADIANS(E1256)))/M1256</f>
        <v/>
      </c>
      <c r="V1256" s="8">
        <f>SQRT((S1256+U1256)^2+3*T1256^2)</f>
        <v/>
      </c>
      <c r="W1256" s="8">
        <f>V1256/AA1256</f>
        <v/>
      </c>
      <c r="X1256" s="27">
        <f>((3*10+H1256/COS(RADIANS(E1256)))*(3+3)+3*G1256*H1256)*2</f>
        <v/>
      </c>
      <c r="Y1256" s="28">
        <f>Z1256/X1256</f>
        <v/>
      </c>
      <c r="Z1256" s="29" t="n">
        <v>605.759048811514</v>
      </c>
      <c r="AA1256" s="20" t="n">
        <v>56.4336571774444</v>
      </c>
      <c r="AB1256" t="n">
        <v>0.1091958234848763</v>
      </c>
      <c r="AC1256" t="n">
        <v>58.78858943210292</v>
      </c>
      <c r="AD1256" t="n">
        <v>30.55487040357461</v>
      </c>
    </row>
    <row r="1257">
      <c r="A1257" t="n">
        <v>1256</v>
      </c>
      <c r="B1257" t="n">
        <v>68.59999999999999</v>
      </c>
      <c r="C1257" s="21">
        <f>B1257-20</f>
        <v/>
      </c>
      <c r="D1257" t="n">
        <v>111</v>
      </c>
      <c r="E1257" s="22">
        <f>D1257-90</f>
        <v/>
      </c>
      <c r="F1257" s="23" t="n">
        <v>0.015997</v>
      </c>
      <c r="G1257" s="22" t="n">
        <v>24.5</v>
      </c>
      <c r="H1257" s="22" t="n">
        <v>1.2</v>
      </c>
      <c r="I1257" s="24" t="n">
        <v>0.0928757786750793</v>
      </c>
      <c r="J1257" s="6" t="n">
        <v>71000</v>
      </c>
      <c r="K1257" s="25">
        <f>23*10^-6</f>
        <v/>
      </c>
      <c r="L1257" s="8">
        <f>H1257</f>
        <v/>
      </c>
      <c r="M1257" s="26">
        <f>H1257^2/6</f>
        <v/>
      </c>
      <c r="N1257" s="26">
        <f>H1257^3/12</f>
        <v/>
      </c>
      <c r="O1257" s="27">
        <f>-J1257*L1257*K1257*C1257</f>
        <v/>
      </c>
      <c r="P1257" s="28">
        <f>-(12*F1257*J1257*L1257*N1257+12*O1257*N1257*G1257*COS(RADIANS(E1257)))/(12*N1257*G1257*COS(RADIANS(E1257))^2+L1257*G1257^3*SIN(RADIANS(E1257))^2)</f>
        <v/>
      </c>
      <c r="Q1257" s="28">
        <f>-(6*F1257*J1257*L1257*N1257*SIN(RADIANS(E1257))+6*O1257*N1257*G1257*SIN(RADIANS(E1257))*COS(RADIANS(E1257)))/(12*N1257*COS(RADIANS(E1257))^2+L1257*G1257^2*SIN(RADIANS(E1257))^2)</f>
        <v/>
      </c>
      <c r="R1257" s="28">
        <f>-P1257*SIN(RADIANS(E1257))</f>
        <v/>
      </c>
      <c r="S1257" s="8">
        <f>(O1257+P1257*COS(RADIANS(E1257)))/L1257</f>
        <v/>
      </c>
      <c r="T1257" s="8">
        <f>R1257/L1257</f>
        <v/>
      </c>
      <c r="U1257" s="8">
        <f>(Q1257-P1257*G1257*SIN(RADIANS(E1257)))/M1257</f>
        <v/>
      </c>
      <c r="V1257" s="8">
        <f>SQRT((S1257+U1257)^2+3*T1257^2)</f>
        <v/>
      </c>
      <c r="W1257" s="8">
        <f>V1257/AA1257</f>
        <v/>
      </c>
      <c r="X1257" s="27">
        <f>((3*10+H1257/COS(RADIANS(E1257)))*(3+3)+3*G1257*H1257)*2</f>
        <v/>
      </c>
      <c r="Y1257" s="28">
        <f>Z1257/X1257</f>
        <v/>
      </c>
      <c r="Z1257" s="29" t="n">
        <v>556.965597141301</v>
      </c>
      <c r="AA1257" s="20" t="n">
        <v>70.9822344466649</v>
      </c>
      <c r="AB1257" t="n">
        <v>0.1161014248085853</v>
      </c>
      <c r="AC1257" t="n">
        <v>74.088091966977</v>
      </c>
      <c r="AD1257" t="n">
        <v>25.00721551391738</v>
      </c>
    </row>
    <row r="1258">
      <c r="A1258" t="n">
        <v>1257</v>
      </c>
      <c r="B1258" t="n">
        <v>64.5</v>
      </c>
      <c r="C1258" s="21">
        <f>B1258-20</f>
        <v/>
      </c>
      <c r="D1258" t="n">
        <v>101.9</v>
      </c>
      <c r="E1258" s="22">
        <f>D1258-90</f>
        <v/>
      </c>
      <c r="F1258" s="23" t="n">
        <v>0.019127</v>
      </c>
      <c r="G1258" s="22" t="n">
        <v>32.4</v>
      </c>
      <c r="H1258" s="22" t="n">
        <v>1.6</v>
      </c>
      <c r="I1258" s="24" t="n">
        <v>0.159315049648284</v>
      </c>
      <c r="J1258" s="6" t="n">
        <v>71000</v>
      </c>
      <c r="K1258" s="25">
        <f>23*10^-6</f>
        <v/>
      </c>
      <c r="L1258" s="8">
        <f>H1258</f>
        <v/>
      </c>
      <c r="M1258" s="26">
        <f>H1258^2/6</f>
        <v/>
      </c>
      <c r="N1258" s="26">
        <f>H1258^3/12</f>
        <v/>
      </c>
      <c r="O1258" s="27">
        <f>-J1258*L1258*K1258*C1258</f>
        <v/>
      </c>
      <c r="P1258" s="28">
        <f>-(12*F1258*J1258*L1258*N1258+12*O1258*N1258*G1258*COS(RADIANS(E1258)))/(12*N1258*G1258*COS(RADIANS(E1258))^2+L1258*G1258^3*SIN(RADIANS(E1258))^2)</f>
        <v/>
      </c>
      <c r="Q1258" s="28">
        <f>-(6*F1258*J1258*L1258*N1258*SIN(RADIANS(E1258))+6*O1258*N1258*G1258*SIN(RADIANS(E1258))*COS(RADIANS(E1258)))/(12*N1258*COS(RADIANS(E1258))^2+L1258*G1258^2*SIN(RADIANS(E1258))^2)</f>
        <v/>
      </c>
      <c r="R1258" s="28">
        <f>-P1258*SIN(RADIANS(E1258))</f>
        <v/>
      </c>
      <c r="S1258" s="8">
        <f>(O1258+P1258*COS(RADIANS(E1258)))/L1258</f>
        <v/>
      </c>
      <c r="T1258" s="8">
        <f>R1258/L1258</f>
        <v/>
      </c>
      <c r="U1258" s="8">
        <f>(Q1258-P1258*G1258*SIN(RADIANS(E1258)))/M1258</f>
        <v/>
      </c>
      <c r="V1258" s="8">
        <f>SQRT((S1258+U1258)^2+3*T1258^2)</f>
        <v/>
      </c>
      <c r="W1258" s="8">
        <f>V1258/AA1258</f>
        <v/>
      </c>
      <c r="X1258" s="27">
        <f>((3*10+H1258/COS(RADIANS(E1258)))*(3+3)+3*G1258*H1258)*2</f>
        <v/>
      </c>
      <c r="Y1258" s="28">
        <f>Z1258/X1258</f>
        <v/>
      </c>
      <c r="Z1258" s="29" t="n">
        <v>694.622431959495</v>
      </c>
      <c r="AA1258" s="20" t="n">
        <v>72.97352158701651</v>
      </c>
      <c r="AB1258" t="n">
        <v>0.2382766648494709</v>
      </c>
      <c r="AC1258" t="n">
        <v>74.84540332036016</v>
      </c>
      <c r="AD1258" t="n">
        <v>49.56318651345781</v>
      </c>
    </row>
    <row r="1259">
      <c r="A1259" t="n">
        <v>1258</v>
      </c>
      <c r="B1259" t="n">
        <v>43.9</v>
      </c>
      <c r="C1259" s="21">
        <f>B1259-20</f>
        <v/>
      </c>
      <c r="D1259" t="n">
        <v>117.4</v>
      </c>
      <c r="E1259" s="22">
        <f>D1259-90</f>
        <v/>
      </c>
      <c r="F1259" s="23" t="n">
        <v>0.009303000000000001</v>
      </c>
      <c r="G1259" s="22" t="n">
        <v>31.7</v>
      </c>
      <c r="H1259" s="22" t="n">
        <v>2</v>
      </c>
      <c r="I1259" s="24" t="n">
        <v>0.0448247417807579</v>
      </c>
      <c r="J1259" s="6" t="n">
        <v>71000</v>
      </c>
      <c r="K1259" s="25">
        <f>23*10^-6</f>
        <v/>
      </c>
      <c r="L1259" s="8">
        <f>H1259</f>
        <v/>
      </c>
      <c r="M1259" s="26">
        <f>H1259^2/6</f>
        <v/>
      </c>
      <c r="N1259" s="26">
        <f>H1259^3/12</f>
        <v/>
      </c>
      <c r="O1259" s="27">
        <f>-J1259*L1259*K1259*C1259</f>
        <v/>
      </c>
      <c r="P1259" s="28">
        <f>-(12*F1259*J1259*L1259*N1259+12*O1259*N1259*G1259*COS(RADIANS(E1259)))/(12*N1259*G1259*COS(RADIANS(E1259))^2+L1259*G1259^3*SIN(RADIANS(E1259))^2)</f>
        <v/>
      </c>
      <c r="Q1259" s="28">
        <f>-(6*F1259*J1259*L1259*N1259*SIN(RADIANS(E1259))+6*O1259*N1259*G1259*SIN(RADIANS(E1259))*COS(RADIANS(E1259)))/(12*N1259*COS(RADIANS(E1259))^2+L1259*G1259^2*SIN(RADIANS(E1259))^2)</f>
        <v/>
      </c>
      <c r="R1259" s="28">
        <f>-P1259*SIN(RADIANS(E1259))</f>
        <v/>
      </c>
      <c r="S1259" s="8">
        <f>(O1259+P1259*COS(RADIANS(E1259)))/L1259</f>
        <v/>
      </c>
      <c r="T1259" s="8">
        <f>R1259/L1259</f>
        <v/>
      </c>
      <c r="U1259" s="8">
        <f>(Q1259-P1259*G1259*SIN(RADIANS(E1259)))/M1259</f>
        <v/>
      </c>
      <c r="V1259" s="8">
        <f>SQRT((S1259+U1259)^2+3*T1259^2)</f>
        <v/>
      </c>
      <c r="W1259" s="8">
        <f>V1259/AA1259</f>
        <v/>
      </c>
      <c r="X1259" s="27">
        <f>((3*10+H1259/COS(RADIANS(E1259)))*(3+3)+3*G1259*H1259)*2</f>
        <v/>
      </c>
      <c r="Y1259" s="28">
        <f>Z1259/X1259</f>
        <v/>
      </c>
      <c r="Z1259" s="29" t="n">
        <v>773.898923593879</v>
      </c>
      <c r="AA1259" s="20" t="n">
        <v>39.0582797414399</v>
      </c>
      <c r="AB1259" t="n">
        <v>0.05492682093218632</v>
      </c>
      <c r="AC1259" t="n">
        <v>36.51901820003486</v>
      </c>
      <c r="AD1259" t="n">
        <v>22.53683735834701</v>
      </c>
    </row>
    <row r="1260">
      <c r="A1260" t="n">
        <v>1259</v>
      </c>
      <c r="B1260" t="n">
        <v>89.5</v>
      </c>
      <c r="C1260" s="21">
        <f>B1260-20</f>
        <v/>
      </c>
      <c r="D1260" t="n">
        <v>100.7</v>
      </c>
      <c r="E1260" s="22">
        <f>D1260-90</f>
        <v/>
      </c>
      <c r="F1260" s="23" t="n">
        <v>0.020636</v>
      </c>
      <c r="G1260" s="22" t="n">
        <v>20.4</v>
      </c>
      <c r="H1260" s="22" t="n">
        <v>1.7</v>
      </c>
      <c r="I1260" s="24" t="n">
        <v>0.177244871854782</v>
      </c>
      <c r="J1260" s="6" t="n">
        <v>71000</v>
      </c>
      <c r="K1260" s="25">
        <f>23*10^-6</f>
        <v/>
      </c>
      <c r="L1260" s="8">
        <f>H1260</f>
        <v/>
      </c>
      <c r="M1260" s="26">
        <f>H1260^2/6</f>
        <v/>
      </c>
      <c r="N1260" s="26">
        <f>H1260^3/12</f>
        <v/>
      </c>
      <c r="O1260" s="27">
        <f>-J1260*L1260*K1260*C1260</f>
        <v/>
      </c>
      <c r="P1260" s="28">
        <f>-(12*F1260*J1260*L1260*N1260+12*O1260*N1260*G1260*COS(RADIANS(E1260)))/(12*N1260*G1260*COS(RADIANS(E1260))^2+L1260*G1260^3*SIN(RADIANS(E1260))^2)</f>
        <v/>
      </c>
      <c r="Q1260" s="28">
        <f>-(6*F1260*J1260*L1260*N1260*SIN(RADIANS(E1260))+6*O1260*N1260*G1260*SIN(RADIANS(E1260))*COS(RADIANS(E1260)))/(12*N1260*COS(RADIANS(E1260))^2+L1260*G1260^2*SIN(RADIANS(E1260))^2)</f>
        <v/>
      </c>
      <c r="R1260" s="28">
        <f>-P1260*SIN(RADIANS(E1260))</f>
        <v/>
      </c>
      <c r="S1260" s="8">
        <f>(O1260+P1260*COS(RADIANS(E1260)))/L1260</f>
        <v/>
      </c>
      <c r="T1260" s="8">
        <f>R1260/L1260</f>
        <v/>
      </c>
      <c r="U1260" s="8">
        <f>(Q1260-P1260*G1260*SIN(RADIANS(E1260)))/M1260</f>
        <v/>
      </c>
      <c r="V1260" s="8">
        <f>SQRT((S1260+U1260)^2+3*T1260^2)</f>
        <v/>
      </c>
      <c r="W1260" s="8">
        <f>V1260/AA1260</f>
        <v/>
      </c>
      <c r="X1260" s="27">
        <f>((3*10+H1260/COS(RADIANS(E1260)))*(3+3)+3*G1260*H1260)*2</f>
        <v/>
      </c>
      <c r="Y1260" s="28">
        <f>Z1260/X1260</f>
        <v/>
      </c>
      <c r="Z1260" s="29" t="n">
        <v>592.699281512479</v>
      </c>
      <c r="AA1260" s="20" t="n">
        <v>172.616420800597</v>
      </c>
      <c r="AB1260" t="n">
        <v>0.237827923340065</v>
      </c>
      <c r="AC1260" t="n">
        <v>124.7558390715095</v>
      </c>
      <c r="AD1260" t="n">
        <v>34.18042556115198</v>
      </c>
    </row>
    <row r="1261">
      <c r="A1261" t="n">
        <v>1260</v>
      </c>
      <c r="B1261" t="n">
        <v>45.2</v>
      </c>
      <c r="C1261" s="21">
        <f>B1261-20</f>
        <v/>
      </c>
      <c r="D1261" t="n">
        <v>123.4</v>
      </c>
      <c r="E1261" s="22">
        <f>D1261-90</f>
        <v/>
      </c>
      <c r="F1261" s="23" t="n">
        <v>0.00772</v>
      </c>
      <c r="G1261" s="22" t="n">
        <v>25</v>
      </c>
      <c r="H1261" s="22" t="n">
        <v>1.3</v>
      </c>
      <c r="I1261" s="24" t="n">
        <v>0.0354818552732467</v>
      </c>
      <c r="J1261" s="6" t="n">
        <v>71000</v>
      </c>
      <c r="K1261" s="25">
        <f>23*10^-6</f>
        <v/>
      </c>
      <c r="L1261" s="8">
        <f>H1261</f>
        <v/>
      </c>
      <c r="M1261" s="26">
        <f>H1261^2/6</f>
        <v/>
      </c>
      <c r="N1261" s="26">
        <f>H1261^3/12</f>
        <v/>
      </c>
      <c r="O1261" s="27">
        <f>-J1261*L1261*K1261*C1261</f>
        <v/>
      </c>
      <c r="P1261" s="28">
        <f>-(12*F1261*J1261*L1261*N1261+12*O1261*N1261*G1261*COS(RADIANS(E1261)))/(12*N1261*G1261*COS(RADIANS(E1261))^2+L1261*G1261^3*SIN(RADIANS(E1261))^2)</f>
        <v/>
      </c>
      <c r="Q1261" s="28">
        <f>-(6*F1261*J1261*L1261*N1261*SIN(RADIANS(E1261))+6*O1261*N1261*G1261*SIN(RADIANS(E1261))*COS(RADIANS(E1261)))/(12*N1261*COS(RADIANS(E1261))^2+L1261*G1261^2*SIN(RADIANS(E1261))^2)</f>
        <v/>
      </c>
      <c r="R1261" s="28">
        <f>-P1261*SIN(RADIANS(E1261))</f>
        <v/>
      </c>
      <c r="S1261" s="8">
        <f>(O1261+P1261*COS(RADIANS(E1261)))/L1261</f>
        <v/>
      </c>
      <c r="T1261" s="8">
        <f>R1261/L1261</f>
        <v/>
      </c>
      <c r="U1261" s="8">
        <f>(Q1261-P1261*G1261*SIN(RADIANS(E1261)))/M1261</f>
        <v/>
      </c>
      <c r="V1261" s="8">
        <f>SQRT((S1261+U1261)^2+3*T1261^2)</f>
        <v/>
      </c>
      <c r="W1261" s="8">
        <f>V1261/AA1261</f>
        <v/>
      </c>
      <c r="X1261" s="27">
        <f>((3*10+H1261/COS(RADIANS(E1261)))*(3+3)+3*G1261*H1261)*2</f>
        <v/>
      </c>
      <c r="Y1261" s="28">
        <f>Z1261/X1261</f>
        <v/>
      </c>
      <c r="Z1261" s="29" t="n">
        <v>581.8674215082</v>
      </c>
      <c r="AA1261" s="20" t="n">
        <v>36.4043711847531</v>
      </c>
      <c r="AB1261" t="n">
        <v>0.03776325481473322</v>
      </c>
      <c r="AC1261" t="n">
        <v>36.65077639284249</v>
      </c>
      <c r="AD1261" t="n">
        <v>6.429763956584009</v>
      </c>
    </row>
    <row r="1262">
      <c r="A1262" t="n">
        <v>1261</v>
      </c>
      <c r="B1262" t="n">
        <v>62.7</v>
      </c>
      <c r="C1262" s="21">
        <f>B1262-20</f>
        <v/>
      </c>
      <c r="D1262" t="n">
        <v>115.8</v>
      </c>
      <c r="E1262" s="22">
        <f>D1262-90</f>
        <v/>
      </c>
      <c r="F1262" s="23" t="n">
        <v>0.01173</v>
      </c>
      <c r="G1262" s="22" t="n">
        <v>20.1</v>
      </c>
      <c r="H1262" s="22" t="n">
        <v>1.9</v>
      </c>
      <c r="I1262" s="24" t="n">
        <v>0.0618373490869998</v>
      </c>
      <c r="J1262" s="6" t="n">
        <v>71000</v>
      </c>
      <c r="K1262" s="25">
        <f>23*10^-6</f>
        <v/>
      </c>
      <c r="L1262" s="8">
        <f>H1262</f>
        <v/>
      </c>
      <c r="M1262" s="26">
        <f>H1262^2/6</f>
        <v/>
      </c>
      <c r="N1262" s="26">
        <f>H1262^3/12</f>
        <v/>
      </c>
      <c r="O1262" s="27">
        <f>-J1262*L1262*K1262*C1262</f>
        <v/>
      </c>
      <c r="P1262" s="28">
        <f>-(12*F1262*J1262*L1262*N1262+12*O1262*N1262*G1262*COS(RADIANS(E1262)))/(12*N1262*G1262*COS(RADIANS(E1262))^2+L1262*G1262^3*SIN(RADIANS(E1262))^2)</f>
        <v/>
      </c>
      <c r="Q1262" s="28">
        <f>-(6*F1262*J1262*L1262*N1262*SIN(RADIANS(E1262))+6*O1262*N1262*G1262*SIN(RADIANS(E1262))*COS(RADIANS(E1262)))/(12*N1262*COS(RADIANS(E1262))^2+L1262*G1262^2*SIN(RADIANS(E1262))^2)</f>
        <v/>
      </c>
      <c r="R1262" s="28">
        <f>-P1262*SIN(RADIANS(E1262))</f>
        <v/>
      </c>
      <c r="S1262" s="8">
        <f>(O1262+P1262*COS(RADIANS(E1262)))/L1262</f>
        <v/>
      </c>
      <c r="T1262" s="8">
        <f>R1262/L1262</f>
        <v/>
      </c>
      <c r="U1262" s="8">
        <f>(Q1262-P1262*G1262*SIN(RADIANS(E1262)))/M1262</f>
        <v/>
      </c>
      <c r="V1262" s="8">
        <f>SQRT((S1262+U1262)^2+3*T1262^2)</f>
        <v/>
      </c>
      <c r="W1262" s="8">
        <f>V1262/AA1262</f>
        <v/>
      </c>
      <c r="X1262" s="27">
        <f>((3*10+H1262/COS(RADIANS(E1262)))*(3+3)+3*G1262*H1262)*2</f>
        <v/>
      </c>
      <c r="Y1262" s="28">
        <f>Z1262/X1262</f>
        <v/>
      </c>
      <c r="Z1262" s="29" t="n">
        <v>620.555218003538</v>
      </c>
      <c r="AA1262" s="20" t="n">
        <v>73.96465893170151</v>
      </c>
      <c r="AB1262" t="n">
        <v>0.06684690226366606</v>
      </c>
      <c r="AC1262" t="n">
        <v>67.65358559400416</v>
      </c>
      <c r="AD1262" t="n">
        <v>8.101177121319107</v>
      </c>
    </row>
    <row r="1263">
      <c r="A1263" t="n">
        <v>1262</v>
      </c>
      <c r="B1263" t="n">
        <v>57.9</v>
      </c>
      <c r="C1263" s="21">
        <f>B1263-20</f>
        <v/>
      </c>
      <c r="D1263" t="n">
        <v>125.2</v>
      </c>
      <c r="E1263" s="22">
        <f>D1263-90</f>
        <v/>
      </c>
      <c r="F1263" s="23" t="n">
        <v>0.01216</v>
      </c>
      <c r="G1263" s="22" t="n">
        <v>27.1</v>
      </c>
      <c r="H1263" s="22" t="n">
        <v>1.2</v>
      </c>
      <c r="I1263" s="24" t="n">
        <v>0.0543020740151405</v>
      </c>
      <c r="J1263" s="6" t="n">
        <v>71000</v>
      </c>
      <c r="K1263" s="25">
        <f>23*10^-6</f>
        <v/>
      </c>
      <c r="L1263" s="8">
        <f>H1263</f>
        <v/>
      </c>
      <c r="M1263" s="26">
        <f>H1263^2/6</f>
        <v/>
      </c>
      <c r="N1263" s="26">
        <f>H1263^3/12</f>
        <v/>
      </c>
      <c r="O1263" s="27">
        <f>-J1263*L1263*K1263*C1263</f>
        <v/>
      </c>
      <c r="P1263" s="28">
        <f>-(12*F1263*J1263*L1263*N1263+12*O1263*N1263*G1263*COS(RADIANS(E1263)))/(12*N1263*G1263*COS(RADIANS(E1263))^2+L1263*G1263^3*SIN(RADIANS(E1263))^2)</f>
        <v/>
      </c>
      <c r="Q1263" s="28">
        <f>-(6*F1263*J1263*L1263*N1263*SIN(RADIANS(E1263))+6*O1263*N1263*G1263*SIN(RADIANS(E1263))*COS(RADIANS(E1263)))/(12*N1263*COS(RADIANS(E1263))^2+L1263*G1263^2*SIN(RADIANS(E1263))^2)</f>
        <v/>
      </c>
      <c r="R1263" s="28">
        <f>-P1263*SIN(RADIANS(E1263))</f>
        <v/>
      </c>
      <c r="S1263" s="8">
        <f>(O1263+P1263*COS(RADIANS(E1263)))/L1263</f>
        <v/>
      </c>
      <c r="T1263" s="8">
        <f>R1263/L1263</f>
        <v/>
      </c>
      <c r="U1263" s="8">
        <f>(Q1263-P1263*G1263*SIN(RADIANS(E1263)))/M1263</f>
        <v/>
      </c>
      <c r="V1263" s="8">
        <f>SQRT((S1263+U1263)^2+3*T1263^2)</f>
        <v/>
      </c>
      <c r="W1263" s="8">
        <f>V1263/AA1263</f>
        <v/>
      </c>
      <c r="X1263" s="27">
        <f>((3*10+H1263/COS(RADIANS(E1263)))*(3+3)+3*G1263*H1263)*2</f>
        <v/>
      </c>
      <c r="Y1263" s="28">
        <f>Z1263/X1263</f>
        <v/>
      </c>
      <c r="Z1263" s="29" t="n">
        <v>581.546518992168</v>
      </c>
      <c r="AA1263" s="20" t="n">
        <v>52.5300074978715</v>
      </c>
      <c r="AB1263" t="n">
        <v>0.05795748423346979</v>
      </c>
      <c r="AC1263" t="n">
        <v>54.36382884533312</v>
      </c>
      <c r="AD1263" t="n">
        <v>6.731621737523485</v>
      </c>
    </row>
    <row r="1264">
      <c r="A1264" t="n">
        <v>1263</v>
      </c>
      <c r="B1264" t="n">
        <v>46.1</v>
      </c>
      <c r="C1264" s="21">
        <f>B1264-20</f>
        <v/>
      </c>
      <c r="D1264" t="n">
        <v>128.2</v>
      </c>
      <c r="E1264" s="22">
        <f>D1264-90</f>
        <v/>
      </c>
      <c r="F1264" s="23" t="n">
        <v>0.009525</v>
      </c>
      <c r="G1264" s="22" t="n">
        <v>33.1</v>
      </c>
      <c r="H1264" s="22" t="n">
        <v>1.7</v>
      </c>
      <c r="I1264" s="24" t="n">
        <v>0.040660310536623</v>
      </c>
      <c r="J1264" s="6" t="n">
        <v>71000</v>
      </c>
      <c r="K1264" s="25">
        <f>23*10^-6</f>
        <v/>
      </c>
      <c r="L1264" s="8">
        <f>H1264</f>
        <v/>
      </c>
      <c r="M1264" s="26">
        <f>H1264^2/6</f>
        <v/>
      </c>
      <c r="N1264" s="26">
        <f>H1264^3/12</f>
        <v/>
      </c>
      <c r="O1264" s="27">
        <f>-J1264*L1264*K1264*C1264</f>
        <v/>
      </c>
      <c r="P1264" s="28">
        <f>-(12*F1264*J1264*L1264*N1264+12*O1264*N1264*G1264*COS(RADIANS(E1264)))/(12*N1264*G1264*COS(RADIANS(E1264))^2+L1264*G1264^3*SIN(RADIANS(E1264))^2)</f>
        <v/>
      </c>
      <c r="Q1264" s="28">
        <f>-(6*F1264*J1264*L1264*N1264*SIN(RADIANS(E1264))+6*O1264*N1264*G1264*SIN(RADIANS(E1264))*COS(RADIANS(E1264)))/(12*N1264*COS(RADIANS(E1264))^2+L1264*G1264^2*SIN(RADIANS(E1264))^2)</f>
        <v/>
      </c>
      <c r="R1264" s="28">
        <f>-P1264*SIN(RADIANS(E1264))</f>
        <v/>
      </c>
      <c r="S1264" s="8">
        <f>(O1264+P1264*COS(RADIANS(E1264)))/L1264</f>
        <v/>
      </c>
      <c r="T1264" s="8">
        <f>R1264/L1264</f>
        <v/>
      </c>
      <c r="U1264" s="8">
        <f>(Q1264-P1264*G1264*SIN(RADIANS(E1264)))/M1264</f>
        <v/>
      </c>
      <c r="V1264" s="8">
        <f>SQRT((S1264+U1264)^2+3*T1264^2)</f>
        <v/>
      </c>
      <c r="W1264" s="8">
        <f>V1264/AA1264</f>
        <v/>
      </c>
      <c r="X1264" s="27">
        <f>((3*10+H1264/COS(RADIANS(E1264)))*(3+3)+3*G1264*H1264)*2</f>
        <v/>
      </c>
      <c r="Y1264" s="28">
        <f>Z1264/X1264</f>
        <v/>
      </c>
      <c r="Z1264" s="29" t="n">
        <v>733.552465733049</v>
      </c>
      <c r="AA1264" s="20" t="n">
        <v>38.4784448570491</v>
      </c>
      <c r="AB1264" t="n">
        <v>0.04401521260218591</v>
      </c>
      <c r="AC1264" t="n">
        <v>37.66320472235132</v>
      </c>
      <c r="AD1264" t="n">
        <v>8.251048802347752</v>
      </c>
    </row>
    <row r="1265">
      <c r="A1265" t="n">
        <v>1264</v>
      </c>
      <c r="B1265" t="n">
        <v>64.90000000000001</v>
      </c>
      <c r="C1265" s="21">
        <f>B1265-20</f>
        <v/>
      </c>
      <c r="D1265" t="n">
        <v>123.9</v>
      </c>
      <c r="E1265" s="22">
        <f>D1265-90</f>
        <v/>
      </c>
      <c r="F1265" s="23" t="n">
        <v>0.01263</v>
      </c>
      <c r="G1265" s="22" t="n">
        <v>22.5</v>
      </c>
      <c r="H1265" s="22" t="n">
        <v>1.2</v>
      </c>
      <c r="I1265" s="24" t="n">
        <v>0.0587255805730819</v>
      </c>
      <c r="J1265" s="6" t="n">
        <v>71000</v>
      </c>
      <c r="K1265" s="25">
        <f>23*10^-6</f>
        <v/>
      </c>
      <c r="L1265" s="8">
        <f>H1265</f>
        <v/>
      </c>
      <c r="M1265" s="26">
        <f>H1265^2/6</f>
        <v/>
      </c>
      <c r="N1265" s="26">
        <f>H1265^3/12</f>
        <v/>
      </c>
      <c r="O1265" s="27">
        <f>-J1265*L1265*K1265*C1265</f>
        <v/>
      </c>
      <c r="P1265" s="28">
        <f>-(12*F1265*J1265*L1265*N1265+12*O1265*N1265*G1265*COS(RADIANS(E1265)))/(12*N1265*G1265*COS(RADIANS(E1265))^2+L1265*G1265^3*SIN(RADIANS(E1265))^2)</f>
        <v/>
      </c>
      <c r="Q1265" s="28">
        <f>-(6*F1265*J1265*L1265*N1265*SIN(RADIANS(E1265))+6*O1265*N1265*G1265*SIN(RADIANS(E1265))*COS(RADIANS(E1265)))/(12*N1265*COS(RADIANS(E1265))^2+L1265*G1265^2*SIN(RADIANS(E1265))^2)</f>
        <v/>
      </c>
      <c r="R1265" s="28">
        <f>-P1265*SIN(RADIANS(E1265))</f>
        <v/>
      </c>
      <c r="S1265" s="8">
        <f>(O1265+P1265*COS(RADIANS(E1265)))/L1265</f>
        <v/>
      </c>
      <c r="T1265" s="8">
        <f>R1265/L1265</f>
        <v/>
      </c>
      <c r="U1265" s="8">
        <f>(Q1265-P1265*G1265*SIN(RADIANS(E1265)))/M1265</f>
        <v/>
      </c>
      <c r="V1265" s="8">
        <f>SQRT((S1265+U1265)^2+3*T1265^2)</f>
        <v/>
      </c>
      <c r="W1265" s="8">
        <f>V1265/AA1265</f>
        <v/>
      </c>
      <c r="X1265" s="27">
        <f>((3*10+H1265/COS(RADIANS(E1265)))*(3+3)+3*G1265*H1265)*2</f>
        <v/>
      </c>
      <c r="Y1265" s="28">
        <f>Z1265/X1265</f>
        <v/>
      </c>
      <c r="Z1265" s="29" t="n">
        <v>547.698004852791</v>
      </c>
      <c r="AA1265" s="20" t="n">
        <v>63.9778205188321</v>
      </c>
      <c r="AB1265" t="n">
        <v>0.06002443109225532</v>
      </c>
      <c r="AC1265" t="n">
        <v>65.10042007724665</v>
      </c>
      <c r="AD1265" t="n">
        <v>2.2117286989731</v>
      </c>
    </row>
    <row r="1266">
      <c r="A1266" t="n">
        <v>1265</v>
      </c>
      <c r="B1266" t="n">
        <v>50.5</v>
      </c>
      <c r="C1266" s="21">
        <f>B1266-20</f>
        <v/>
      </c>
      <c r="D1266" t="n">
        <v>126.1</v>
      </c>
      <c r="E1266" s="22">
        <f>D1266-90</f>
        <v/>
      </c>
      <c r="F1266" s="23" t="n">
        <v>0.010093</v>
      </c>
      <c r="G1266" s="22" t="n">
        <v>28.5</v>
      </c>
      <c r="H1266" s="22" t="n">
        <v>1</v>
      </c>
      <c r="I1266" s="24" t="n">
        <v>0.0443862825632095</v>
      </c>
      <c r="J1266" s="6" t="n">
        <v>71000</v>
      </c>
      <c r="K1266" s="25">
        <f>23*10^-6</f>
        <v/>
      </c>
      <c r="L1266" s="8">
        <f>H1266</f>
        <v/>
      </c>
      <c r="M1266" s="26">
        <f>H1266^2/6</f>
        <v/>
      </c>
      <c r="N1266" s="26">
        <f>H1266^3/12</f>
        <v/>
      </c>
      <c r="O1266" s="27">
        <f>-J1266*L1266*K1266*C1266</f>
        <v/>
      </c>
      <c r="P1266" s="28">
        <f>-(12*F1266*J1266*L1266*N1266+12*O1266*N1266*G1266*COS(RADIANS(E1266)))/(12*N1266*G1266*COS(RADIANS(E1266))^2+L1266*G1266^3*SIN(RADIANS(E1266))^2)</f>
        <v/>
      </c>
      <c r="Q1266" s="28">
        <f>-(6*F1266*J1266*L1266*N1266*SIN(RADIANS(E1266))+6*O1266*N1266*G1266*SIN(RADIANS(E1266))*COS(RADIANS(E1266)))/(12*N1266*COS(RADIANS(E1266))^2+L1266*G1266^2*SIN(RADIANS(E1266))^2)</f>
        <v/>
      </c>
      <c r="R1266" s="28">
        <f>-P1266*SIN(RADIANS(E1266))</f>
        <v/>
      </c>
      <c r="S1266" s="8">
        <f>(O1266+P1266*COS(RADIANS(E1266)))/L1266</f>
        <v/>
      </c>
      <c r="T1266" s="8">
        <f>R1266/L1266</f>
        <v/>
      </c>
      <c r="U1266" s="8">
        <f>(Q1266-P1266*G1266*SIN(RADIANS(E1266)))/M1266</f>
        <v/>
      </c>
      <c r="V1266" s="8">
        <f>SQRT((S1266+U1266)^2+3*T1266^2)</f>
        <v/>
      </c>
      <c r="W1266" s="8">
        <f>V1266/AA1266</f>
        <v/>
      </c>
      <c r="X1266" s="27">
        <f>((3*10+H1266/COS(RADIANS(E1266)))*(3+3)+3*G1266*H1266)*2</f>
        <v/>
      </c>
      <c r="Y1266" s="28">
        <f>Z1266/X1266</f>
        <v/>
      </c>
      <c r="Z1266" s="29" t="n">
        <v>554.988642656753</v>
      </c>
      <c r="AA1266" s="20" t="n">
        <v>39.9052756148218</v>
      </c>
      <c r="AB1266" t="n">
        <v>0.04764575233828305</v>
      </c>
      <c r="AC1266" t="n">
        <v>43.14330081516077</v>
      </c>
      <c r="AD1266" t="n">
        <v>7.343416900101553</v>
      </c>
    </row>
    <row r="1267">
      <c r="A1267" t="n">
        <v>1266</v>
      </c>
      <c r="B1267" t="n">
        <v>45.8</v>
      </c>
      <c r="C1267" s="21">
        <f>B1267-20</f>
        <v/>
      </c>
      <c r="D1267" t="n">
        <v>123</v>
      </c>
      <c r="E1267" s="22">
        <f>D1267-90</f>
        <v/>
      </c>
      <c r="F1267" s="23" t="n">
        <v>0.009115</v>
      </c>
      <c r="G1267" s="22" t="n">
        <v>29.8</v>
      </c>
      <c r="H1267" s="22" t="n">
        <v>1.5</v>
      </c>
      <c r="I1267" s="24" t="n">
        <v>0.0409986972808837</v>
      </c>
      <c r="J1267" s="6" t="n">
        <v>71000</v>
      </c>
      <c r="K1267" s="25">
        <f>23*10^-6</f>
        <v/>
      </c>
      <c r="L1267" s="8">
        <f>H1267</f>
        <v/>
      </c>
      <c r="M1267" s="26">
        <f>H1267^2/6</f>
        <v/>
      </c>
      <c r="N1267" s="26">
        <f>H1267^3/12</f>
        <v/>
      </c>
      <c r="O1267" s="27">
        <f>-J1267*L1267*K1267*C1267</f>
        <v/>
      </c>
      <c r="P1267" s="28">
        <f>-(12*F1267*J1267*L1267*N1267+12*O1267*N1267*G1267*COS(RADIANS(E1267)))/(12*N1267*G1267*COS(RADIANS(E1267))^2+L1267*G1267^3*SIN(RADIANS(E1267))^2)</f>
        <v/>
      </c>
      <c r="Q1267" s="28">
        <f>-(6*F1267*J1267*L1267*N1267*SIN(RADIANS(E1267))+6*O1267*N1267*G1267*SIN(RADIANS(E1267))*COS(RADIANS(E1267)))/(12*N1267*COS(RADIANS(E1267))^2+L1267*G1267^2*SIN(RADIANS(E1267))^2)</f>
        <v/>
      </c>
      <c r="R1267" s="28">
        <f>-P1267*SIN(RADIANS(E1267))</f>
        <v/>
      </c>
      <c r="S1267" s="8">
        <f>(O1267+P1267*COS(RADIANS(E1267)))/L1267</f>
        <v/>
      </c>
      <c r="T1267" s="8">
        <f>R1267/L1267</f>
        <v/>
      </c>
      <c r="U1267" s="8">
        <f>(Q1267-P1267*G1267*SIN(RADIANS(E1267)))/M1267</f>
        <v/>
      </c>
      <c r="V1267" s="8">
        <f>SQRT((S1267+U1267)^2+3*T1267^2)</f>
        <v/>
      </c>
      <c r="W1267" s="8">
        <f>V1267/AA1267</f>
        <v/>
      </c>
      <c r="X1267" s="27">
        <f>((3*10+H1267/COS(RADIANS(E1267)))*(3+3)+3*G1267*H1267)*2</f>
        <v/>
      </c>
      <c r="Y1267" s="28">
        <f>Z1267/X1267</f>
        <v/>
      </c>
      <c r="Z1267" s="29" t="n">
        <v>657.712887684751</v>
      </c>
      <c r="AA1267" s="20" t="n">
        <v>37.8088852172799</v>
      </c>
      <c r="AB1267" t="n">
        <v>0.04619149742065252</v>
      </c>
      <c r="AC1267" t="n">
        <v>37.65942608301722</v>
      </c>
      <c r="AD1267" t="n">
        <v>12.66576863209272</v>
      </c>
    </row>
    <row r="1268">
      <c r="A1268" t="n">
        <v>1267</v>
      </c>
      <c r="B1268" t="n">
        <v>81.40000000000001</v>
      </c>
      <c r="C1268" s="21">
        <f>B1268-20</f>
        <v/>
      </c>
      <c r="D1268" t="n">
        <v>101.9</v>
      </c>
      <c r="E1268" s="22">
        <f>D1268-90</f>
        <v/>
      </c>
      <c r="F1268" s="23" t="n">
        <v>0.018994</v>
      </c>
      <c r="G1268" s="22" t="n">
        <v>21.6</v>
      </c>
      <c r="H1268" s="22" t="n">
        <v>1.5</v>
      </c>
      <c r="I1268" s="24" t="n">
        <v>0.158654376864433</v>
      </c>
      <c r="J1268" s="6" t="n">
        <v>71000</v>
      </c>
      <c r="K1268" s="25">
        <f>23*10^-6</f>
        <v/>
      </c>
      <c r="L1268" s="8">
        <f>H1268</f>
        <v/>
      </c>
      <c r="M1268" s="26">
        <f>H1268^2/6</f>
        <v/>
      </c>
      <c r="N1268" s="26">
        <f>H1268^3/12</f>
        <v/>
      </c>
      <c r="O1268" s="27">
        <f>-J1268*L1268*K1268*C1268</f>
        <v/>
      </c>
      <c r="P1268" s="28">
        <f>-(12*F1268*J1268*L1268*N1268+12*O1268*N1268*G1268*COS(RADIANS(E1268)))/(12*N1268*G1268*COS(RADIANS(E1268))^2+L1268*G1268^3*SIN(RADIANS(E1268))^2)</f>
        <v/>
      </c>
      <c r="Q1268" s="28">
        <f>-(6*F1268*J1268*L1268*N1268*SIN(RADIANS(E1268))+6*O1268*N1268*G1268*SIN(RADIANS(E1268))*COS(RADIANS(E1268)))/(12*N1268*COS(RADIANS(E1268))^2+L1268*G1268^2*SIN(RADIANS(E1268))^2)</f>
        <v/>
      </c>
      <c r="R1268" s="28">
        <f>-P1268*SIN(RADIANS(E1268))</f>
        <v/>
      </c>
      <c r="S1268" s="8">
        <f>(O1268+P1268*COS(RADIANS(E1268)))/L1268</f>
        <v/>
      </c>
      <c r="T1268" s="8">
        <f>R1268/L1268</f>
        <v/>
      </c>
      <c r="U1268" s="8">
        <f>(Q1268-P1268*G1268*SIN(RADIANS(E1268)))/M1268</f>
        <v/>
      </c>
      <c r="V1268" s="8">
        <f>SQRT((S1268+U1268)^2+3*T1268^2)</f>
        <v/>
      </c>
      <c r="W1268" s="8">
        <f>V1268/AA1268</f>
        <v/>
      </c>
      <c r="X1268" s="27">
        <f>((3*10+H1268/COS(RADIANS(E1268)))*(3+3)+3*G1268*H1268)*2</f>
        <v/>
      </c>
      <c r="Y1268" s="28">
        <f>Z1268/X1268</f>
        <v/>
      </c>
      <c r="Z1268" s="29" t="n">
        <v>576.7560763324429</v>
      </c>
      <c r="AA1268" s="20" t="n">
        <v>114.934211448926</v>
      </c>
      <c r="AB1268" t="n">
        <v>0.2143496062743802</v>
      </c>
      <c r="AC1268" t="n">
        <v>106.2784955646991</v>
      </c>
      <c r="AD1268" t="n">
        <v>35.10475444212778</v>
      </c>
    </row>
    <row r="1269">
      <c r="A1269" t="n">
        <v>1268</v>
      </c>
      <c r="B1269" t="n">
        <v>83.90000000000001</v>
      </c>
      <c r="C1269" s="21">
        <f>B1269-20</f>
        <v/>
      </c>
      <c r="D1269" t="n">
        <v>106.9</v>
      </c>
      <c r="E1269" s="22">
        <f>D1269-90</f>
        <v/>
      </c>
      <c r="F1269" s="23" t="n">
        <v>0.024723</v>
      </c>
      <c r="G1269" s="22" t="n">
        <v>29.2</v>
      </c>
      <c r="H1269" s="22" t="n">
        <v>1.8</v>
      </c>
      <c r="I1269" s="24" t="n">
        <v>0.160315781831741</v>
      </c>
      <c r="J1269" s="6" t="n">
        <v>71000</v>
      </c>
      <c r="K1269" s="25">
        <f>23*10^-6</f>
        <v/>
      </c>
      <c r="L1269" s="8">
        <f>H1269</f>
        <v/>
      </c>
      <c r="M1269" s="26">
        <f>H1269^2/6</f>
        <v/>
      </c>
      <c r="N1269" s="26">
        <f>H1269^3/12</f>
        <v/>
      </c>
      <c r="O1269" s="27">
        <f>-J1269*L1269*K1269*C1269</f>
        <v/>
      </c>
      <c r="P1269" s="28">
        <f>-(12*F1269*J1269*L1269*N1269+12*O1269*N1269*G1269*COS(RADIANS(E1269)))/(12*N1269*G1269*COS(RADIANS(E1269))^2+L1269*G1269^3*SIN(RADIANS(E1269))^2)</f>
        <v/>
      </c>
      <c r="Q1269" s="28">
        <f>-(6*F1269*J1269*L1269*N1269*SIN(RADIANS(E1269))+6*O1269*N1269*G1269*SIN(RADIANS(E1269))*COS(RADIANS(E1269)))/(12*N1269*COS(RADIANS(E1269))^2+L1269*G1269^2*SIN(RADIANS(E1269))^2)</f>
        <v/>
      </c>
      <c r="R1269" s="28">
        <f>-P1269*SIN(RADIANS(E1269))</f>
        <v/>
      </c>
      <c r="S1269" s="8">
        <f>(O1269+P1269*COS(RADIANS(E1269)))/L1269</f>
        <v/>
      </c>
      <c r="T1269" s="8">
        <f>R1269/L1269</f>
        <v/>
      </c>
      <c r="U1269" s="8">
        <f>(Q1269-P1269*G1269*SIN(RADIANS(E1269)))/M1269</f>
        <v/>
      </c>
      <c r="V1269" s="8">
        <f>SQRT((S1269+U1269)^2+3*T1269^2)</f>
        <v/>
      </c>
      <c r="W1269" s="8">
        <f>V1269/AA1269</f>
        <v/>
      </c>
      <c r="X1269" s="27">
        <f>((3*10+H1269/COS(RADIANS(E1269)))*(3+3)+3*G1269*H1269)*2</f>
        <v/>
      </c>
      <c r="Y1269" s="28">
        <f>Z1269/X1269</f>
        <v/>
      </c>
      <c r="Z1269" s="29" t="n">
        <v>702.4518156402939</v>
      </c>
      <c r="AA1269" s="20" t="n">
        <v>106.617410533888</v>
      </c>
      <c r="AB1269" t="n">
        <v>0.2196484360648563</v>
      </c>
      <c r="AC1269" t="n">
        <v>104.4423838278046</v>
      </c>
      <c r="AD1269" t="n">
        <v>37.00986487742529</v>
      </c>
    </row>
    <row r="1270">
      <c r="A1270" t="n">
        <v>1269</v>
      </c>
      <c r="B1270" t="n">
        <v>48.3</v>
      </c>
      <c r="C1270" s="21">
        <f>B1270-20</f>
        <v/>
      </c>
      <c r="D1270" t="n">
        <v>111.7</v>
      </c>
      <c r="E1270" s="22">
        <f>D1270-90</f>
        <v/>
      </c>
      <c r="F1270" s="23" t="n">
        <v>0.008111</v>
      </c>
      <c r="G1270" s="22" t="n">
        <v>20.6</v>
      </c>
      <c r="H1270" s="22" t="n">
        <v>1.9</v>
      </c>
      <c r="I1270" s="24" t="n">
        <v>0.046494323760271</v>
      </c>
      <c r="J1270" s="6" t="n">
        <v>71000</v>
      </c>
      <c r="K1270" s="25">
        <f>23*10^-6</f>
        <v/>
      </c>
      <c r="L1270" s="8">
        <f>H1270</f>
        <v/>
      </c>
      <c r="M1270" s="26">
        <f>H1270^2/6</f>
        <v/>
      </c>
      <c r="N1270" s="26">
        <f>H1270^3/12</f>
        <v/>
      </c>
      <c r="O1270" s="27">
        <f>-J1270*L1270*K1270*C1270</f>
        <v/>
      </c>
      <c r="P1270" s="28">
        <f>-(12*F1270*J1270*L1270*N1270+12*O1270*N1270*G1270*COS(RADIANS(E1270)))/(12*N1270*G1270*COS(RADIANS(E1270))^2+L1270*G1270^3*SIN(RADIANS(E1270))^2)</f>
        <v/>
      </c>
      <c r="Q1270" s="28">
        <f>-(6*F1270*J1270*L1270*N1270*SIN(RADIANS(E1270))+6*O1270*N1270*G1270*SIN(RADIANS(E1270))*COS(RADIANS(E1270)))/(12*N1270*COS(RADIANS(E1270))^2+L1270*G1270^2*SIN(RADIANS(E1270))^2)</f>
        <v/>
      </c>
      <c r="R1270" s="28">
        <f>-P1270*SIN(RADIANS(E1270))</f>
        <v/>
      </c>
      <c r="S1270" s="8">
        <f>(O1270+P1270*COS(RADIANS(E1270)))/L1270</f>
        <v/>
      </c>
      <c r="T1270" s="8">
        <f>R1270/L1270</f>
        <v/>
      </c>
      <c r="U1270" s="8">
        <f>(Q1270-P1270*G1270*SIN(RADIANS(E1270)))/M1270</f>
        <v/>
      </c>
      <c r="V1270" s="8">
        <f>SQRT((S1270+U1270)^2+3*T1270^2)</f>
        <v/>
      </c>
      <c r="W1270" s="8">
        <f>V1270/AA1270</f>
        <v/>
      </c>
      <c r="X1270" s="27">
        <f>((3*10+H1270/COS(RADIANS(E1270)))*(3+3)+3*G1270*H1270)*2</f>
        <v/>
      </c>
      <c r="Y1270" s="28">
        <f>Z1270/X1270</f>
        <v/>
      </c>
      <c r="Z1270" s="29" t="n">
        <v>624.643190666578</v>
      </c>
      <c r="AA1270" s="20" t="n">
        <v>50.199624168892</v>
      </c>
      <c r="AB1270" t="n">
        <v>0.05359313438741831</v>
      </c>
      <c r="AC1270" t="n">
        <v>46.08928905424153</v>
      </c>
      <c r="AD1270" t="n">
        <v>15.26812318800338</v>
      </c>
    </row>
    <row r="1271">
      <c r="A1271" t="n">
        <v>1270</v>
      </c>
      <c r="B1271" t="n">
        <v>51.5</v>
      </c>
      <c r="C1271" s="21">
        <f>B1271-20</f>
        <v/>
      </c>
      <c r="D1271" t="n">
        <v>109.5</v>
      </c>
      <c r="E1271" s="22">
        <f>D1271-90</f>
        <v/>
      </c>
      <c r="F1271" s="23" t="n">
        <v>0.011565</v>
      </c>
      <c r="G1271" s="22" t="n">
        <v>27.8</v>
      </c>
      <c r="H1271" s="22" t="n">
        <v>1.3</v>
      </c>
      <c r="I1271" s="24" t="n">
        <v>0.0692122131586074</v>
      </c>
      <c r="J1271" s="6" t="n">
        <v>71000</v>
      </c>
      <c r="K1271" s="25">
        <f>23*10^-6</f>
        <v/>
      </c>
      <c r="L1271" s="8">
        <f>H1271</f>
        <v/>
      </c>
      <c r="M1271" s="26">
        <f>H1271^2/6</f>
        <v/>
      </c>
      <c r="N1271" s="26">
        <f>H1271^3/12</f>
        <v/>
      </c>
      <c r="O1271" s="27">
        <f>-J1271*L1271*K1271*C1271</f>
        <v/>
      </c>
      <c r="P1271" s="28">
        <f>-(12*F1271*J1271*L1271*N1271+12*O1271*N1271*G1271*COS(RADIANS(E1271)))/(12*N1271*G1271*COS(RADIANS(E1271))^2+L1271*G1271^3*SIN(RADIANS(E1271))^2)</f>
        <v/>
      </c>
      <c r="Q1271" s="28">
        <f>-(6*F1271*J1271*L1271*N1271*SIN(RADIANS(E1271))+6*O1271*N1271*G1271*SIN(RADIANS(E1271))*COS(RADIANS(E1271)))/(12*N1271*COS(RADIANS(E1271))^2+L1271*G1271^2*SIN(RADIANS(E1271))^2)</f>
        <v/>
      </c>
      <c r="R1271" s="28">
        <f>-P1271*SIN(RADIANS(E1271))</f>
        <v/>
      </c>
      <c r="S1271" s="8">
        <f>(O1271+P1271*COS(RADIANS(E1271)))/L1271</f>
        <v/>
      </c>
      <c r="T1271" s="8">
        <f>R1271/L1271</f>
        <v/>
      </c>
      <c r="U1271" s="8">
        <f>(Q1271-P1271*G1271*SIN(RADIANS(E1271)))/M1271</f>
        <v/>
      </c>
      <c r="V1271" s="8">
        <f>SQRT((S1271+U1271)^2+3*T1271^2)</f>
        <v/>
      </c>
      <c r="W1271" s="8">
        <f>V1271/AA1271</f>
        <v/>
      </c>
      <c r="X1271" s="27">
        <f>((3*10+H1271/COS(RADIANS(E1271)))*(3+3)+3*G1271*H1271)*2</f>
        <v/>
      </c>
      <c r="Y1271" s="28">
        <f>Z1271/X1271</f>
        <v/>
      </c>
      <c r="Z1271" s="29" t="n">
        <v>598.283237889205</v>
      </c>
      <c r="AA1271" s="20" t="n">
        <v>46.765876416503</v>
      </c>
      <c r="AB1271" t="n">
        <v>0.0913319830215151</v>
      </c>
      <c r="AC1271" t="n">
        <v>48.46411491437377</v>
      </c>
      <c r="AD1271" t="n">
        <v>31.95934482288236</v>
      </c>
    </row>
    <row r="1272">
      <c r="A1272" t="n">
        <v>1271</v>
      </c>
      <c r="B1272" t="n">
        <v>47</v>
      </c>
      <c r="C1272" s="21">
        <f>B1272-20</f>
        <v/>
      </c>
      <c r="D1272" t="n">
        <v>108.5</v>
      </c>
      <c r="E1272" s="22">
        <f>D1272-90</f>
        <v/>
      </c>
      <c r="F1272" s="23" t="n">
        <v>0.007743</v>
      </c>
      <c r="G1272" s="22" t="n">
        <v>20.2</v>
      </c>
      <c r="H1272" s="22" t="n">
        <v>1.9</v>
      </c>
      <c r="I1272" s="24" t="n">
        <v>0.0484548397362232</v>
      </c>
      <c r="J1272" s="6" t="n">
        <v>71000</v>
      </c>
      <c r="K1272" s="25">
        <f>23*10^-6</f>
        <v/>
      </c>
      <c r="L1272" s="8">
        <f>H1272</f>
        <v/>
      </c>
      <c r="M1272" s="26">
        <f>H1272^2/6</f>
        <v/>
      </c>
      <c r="N1272" s="26">
        <f>H1272^3/12</f>
        <v/>
      </c>
      <c r="O1272" s="27">
        <f>-J1272*L1272*K1272*C1272</f>
        <v/>
      </c>
      <c r="P1272" s="28">
        <f>-(12*F1272*J1272*L1272*N1272+12*O1272*N1272*G1272*COS(RADIANS(E1272)))/(12*N1272*G1272*COS(RADIANS(E1272))^2+L1272*G1272^3*SIN(RADIANS(E1272))^2)</f>
        <v/>
      </c>
      <c r="Q1272" s="28">
        <f>-(6*F1272*J1272*L1272*N1272*SIN(RADIANS(E1272))+6*O1272*N1272*G1272*SIN(RADIANS(E1272))*COS(RADIANS(E1272)))/(12*N1272*COS(RADIANS(E1272))^2+L1272*G1272^2*SIN(RADIANS(E1272))^2)</f>
        <v/>
      </c>
      <c r="R1272" s="28">
        <f>-P1272*SIN(RADIANS(E1272))</f>
        <v/>
      </c>
      <c r="S1272" s="8">
        <f>(O1272+P1272*COS(RADIANS(E1272)))/L1272</f>
        <v/>
      </c>
      <c r="T1272" s="8">
        <f>R1272/L1272</f>
        <v/>
      </c>
      <c r="U1272" s="8">
        <f>(Q1272-P1272*G1272*SIN(RADIANS(E1272)))/M1272</f>
        <v/>
      </c>
      <c r="V1272" s="8">
        <f>SQRT((S1272+U1272)^2+3*T1272^2)</f>
        <v/>
      </c>
      <c r="W1272" s="8">
        <f>V1272/AA1272</f>
        <v/>
      </c>
      <c r="X1272" s="27">
        <f>((3*10+H1272/COS(RADIANS(E1272)))*(3+3)+3*G1272*H1272)*2</f>
        <v/>
      </c>
      <c r="Y1272" s="28">
        <f>Z1272/X1272</f>
        <v/>
      </c>
      <c r="Z1272" s="29" t="n">
        <v>619.063869404512</v>
      </c>
      <c r="AA1272" s="20" t="n">
        <v>49.0354467604374</v>
      </c>
      <c r="AB1272" t="n">
        <v>0.05789526600649121</v>
      </c>
      <c r="AC1272" t="n">
        <v>45.23498165673452</v>
      </c>
      <c r="AD1272" t="n">
        <v>19.4829377656793</v>
      </c>
    </row>
    <row r="1273">
      <c r="A1273" t="n">
        <v>1272</v>
      </c>
      <c r="B1273" t="n">
        <v>55.2</v>
      </c>
      <c r="C1273" s="21">
        <f>B1273-20</f>
        <v/>
      </c>
      <c r="D1273" t="n">
        <v>123.7</v>
      </c>
      <c r="E1273" s="22">
        <f>D1273-90</f>
        <v/>
      </c>
      <c r="F1273" s="23" t="n">
        <v>0.013592</v>
      </c>
      <c r="G1273" s="22" t="n">
        <v>33.5</v>
      </c>
      <c r="H1273" s="22" t="n">
        <v>1.6</v>
      </c>
      <c r="I1273" s="24" t="n">
        <v>0.0597288459539413</v>
      </c>
      <c r="J1273" s="6" t="n">
        <v>71000</v>
      </c>
      <c r="K1273" s="25">
        <f>23*10^-6</f>
        <v/>
      </c>
      <c r="L1273" s="8">
        <f>H1273</f>
        <v/>
      </c>
      <c r="M1273" s="26">
        <f>H1273^2/6</f>
        <v/>
      </c>
      <c r="N1273" s="26">
        <f>H1273^3/12</f>
        <v/>
      </c>
      <c r="O1273" s="27">
        <f>-J1273*L1273*K1273*C1273</f>
        <v/>
      </c>
      <c r="P1273" s="28">
        <f>-(12*F1273*J1273*L1273*N1273+12*O1273*N1273*G1273*COS(RADIANS(E1273)))/(12*N1273*G1273*COS(RADIANS(E1273))^2+L1273*G1273^3*SIN(RADIANS(E1273))^2)</f>
        <v/>
      </c>
      <c r="Q1273" s="28">
        <f>-(6*F1273*J1273*L1273*N1273*SIN(RADIANS(E1273))+6*O1273*N1273*G1273*SIN(RADIANS(E1273))*COS(RADIANS(E1273)))/(12*N1273*COS(RADIANS(E1273))^2+L1273*G1273^2*SIN(RADIANS(E1273))^2)</f>
        <v/>
      </c>
      <c r="R1273" s="28">
        <f>-P1273*SIN(RADIANS(E1273))</f>
        <v/>
      </c>
      <c r="S1273" s="8">
        <f>(O1273+P1273*COS(RADIANS(E1273)))/L1273</f>
        <v/>
      </c>
      <c r="T1273" s="8">
        <f>R1273/L1273</f>
        <v/>
      </c>
      <c r="U1273" s="8">
        <f>(Q1273-P1273*G1273*SIN(RADIANS(E1273)))/M1273</f>
        <v/>
      </c>
      <c r="V1273" s="8">
        <f>SQRT((S1273+U1273)^2+3*T1273^2)</f>
        <v/>
      </c>
      <c r="W1273" s="8">
        <f>V1273/AA1273</f>
        <v/>
      </c>
      <c r="X1273" s="27">
        <f>((3*10+H1273/COS(RADIANS(E1273)))*(3+3)+3*G1273*H1273)*2</f>
        <v/>
      </c>
      <c r="Y1273" s="28">
        <f>Z1273/X1273</f>
        <v/>
      </c>
      <c r="Z1273" s="29" t="n">
        <v>712.95956959178</v>
      </c>
      <c r="AA1273" s="20" t="n">
        <v>52.2048748861604</v>
      </c>
      <c r="AB1273" t="n">
        <v>0.06886144554567722</v>
      </c>
      <c r="AC1273" t="n">
        <v>51.20045146978027</v>
      </c>
      <c r="AD1273" t="n">
        <v>15.29009885571595</v>
      </c>
    </row>
    <row r="1274">
      <c r="A1274" t="n">
        <v>1273</v>
      </c>
      <c r="B1274" t="n">
        <v>50.6</v>
      </c>
      <c r="C1274" s="21">
        <f>B1274-20</f>
        <v/>
      </c>
      <c r="D1274" t="n">
        <v>101.2</v>
      </c>
      <c r="E1274" s="22">
        <f>D1274-90</f>
        <v/>
      </c>
      <c r="F1274" s="23" t="n">
        <v>0.010032</v>
      </c>
      <c r="G1274" s="22" t="n">
        <v>23.2</v>
      </c>
      <c r="H1274" s="22" t="n">
        <v>1.7</v>
      </c>
      <c r="I1274" s="24" t="n">
        <v>0.08543979376554479</v>
      </c>
      <c r="J1274" s="6" t="n">
        <v>71000</v>
      </c>
      <c r="K1274" s="25">
        <f>23*10^-6</f>
        <v/>
      </c>
      <c r="L1274" s="8">
        <f>H1274</f>
        <v/>
      </c>
      <c r="M1274" s="26">
        <f>H1274^2/6</f>
        <v/>
      </c>
      <c r="N1274" s="26">
        <f>H1274^3/12</f>
        <v/>
      </c>
      <c r="O1274" s="27">
        <f>-J1274*L1274*K1274*C1274</f>
        <v/>
      </c>
      <c r="P1274" s="28">
        <f>-(12*F1274*J1274*L1274*N1274+12*O1274*N1274*G1274*COS(RADIANS(E1274)))/(12*N1274*G1274*COS(RADIANS(E1274))^2+L1274*G1274^3*SIN(RADIANS(E1274))^2)</f>
        <v/>
      </c>
      <c r="Q1274" s="28">
        <f>-(6*F1274*J1274*L1274*N1274*SIN(RADIANS(E1274))+6*O1274*N1274*G1274*SIN(RADIANS(E1274))*COS(RADIANS(E1274)))/(12*N1274*COS(RADIANS(E1274))^2+L1274*G1274^2*SIN(RADIANS(E1274))^2)</f>
        <v/>
      </c>
      <c r="R1274" s="28">
        <f>-P1274*SIN(RADIANS(E1274))</f>
        <v/>
      </c>
      <c r="S1274" s="8">
        <f>(O1274+P1274*COS(RADIANS(E1274)))/L1274</f>
        <v/>
      </c>
      <c r="T1274" s="8">
        <f>R1274/L1274</f>
        <v/>
      </c>
      <c r="U1274" s="8">
        <f>(Q1274-P1274*G1274*SIN(RADIANS(E1274)))/M1274</f>
        <v/>
      </c>
      <c r="V1274" s="8">
        <f>SQRT((S1274+U1274)^2+3*T1274^2)</f>
        <v/>
      </c>
      <c r="W1274" s="8">
        <f>V1274/AA1274</f>
        <v/>
      </c>
      <c r="X1274" s="27">
        <f>((3*10+H1274/COS(RADIANS(E1274)))*(3+3)+3*G1274*H1274)*2</f>
        <v/>
      </c>
      <c r="Y1274" s="28">
        <f>Z1274/X1274</f>
        <v/>
      </c>
      <c r="Z1274" s="29" t="n">
        <v>621.335637294855</v>
      </c>
      <c r="AA1274" s="20" t="n">
        <v>62.3545103075536</v>
      </c>
      <c r="AB1274" t="n">
        <v>0.1182613501808556</v>
      </c>
      <c r="AC1274" t="n">
        <v>54.24983954501425</v>
      </c>
      <c r="AD1274" t="n">
        <v>38.41483572090119</v>
      </c>
    </row>
    <row r="1275">
      <c r="A1275" t="n">
        <v>1274</v>
      </c>
      <c r="B1275" t="n">
        <v>61.5</v>
      </c>
      <c r="C1275" s="21">
        <f>B1275-20</f>
        <v/>
      </c>
      <c r="D1275" t="n">
        <v>127.1</v>
      </c>
      <c r="E1275" s="22">
        <f>D1275-90</f>
        <v/>
      </c>
      <c r="F1275" s="23" t="n">
        <v>0.014347</v>
      </c>
      <c r="G1275" s="22" t="n">
        <v>30.5</v>
      </c>
      <c r="H1275" s="22" t="n">
        <v>1</v>
      </c>
      <c r="I1275" s="24" t="n">
        <v>0.0620762221515178</v>
      </c>
      <c r="J1275" s="6" t="n">
        <v>71000</v>
      </c>
      <c r="K1275" s="25">
        <f>23*10^-6</f>
        <v/>
      </c>
      <c r="L1275" s="8">
        <f>H1275</f>
        <v/>
      </c>
      <c r="M1275" s="26">
        <f>H1275^2/6</f>
        <v/>
      </c>
      <c r="N1275" s="26">
        <f>H1275^3/12</f>
        <v/>
      </c>
      <c r="O1275" s="27">
        <f>-J1275*L1275*K1275*C1275</f>
        <v/>
      </c>
      <c r="P1275" s="28">
        <f>-(12*F1275*J1275*L1275*N1275+12*O1275*N1275*G1275*COS(RADIANS(E1275)))/(12*N1275*G1275*COS(RADIANS(E1275))^2+L1275*G1275^3*SIN(RADIANS(E1275))^2)</f>
        <v/>
      </c>
      <c r="Q1275" s="28">
        <f>-(6*F1275*J1275*L1275*N1275*SIN(RADIANS(E1275))+6*O1275*N1275*G1275*SIN(RADIANS(E1275))*COS(RADIANS(E1275)))/(12*N1275*COS(RADIANS(E1275))^2+L1275*G1275^2*SIN(RADIANS(E1275))^2)</f>
        <v/>
      </c>
      <c r="R1275" s="28">
        <f>-P1275*SIN(RADIANS(E1275))</f>
        <v/>
      </c>
      <c r="S1275" s="8">
        <f>(O1275+P1275*COS(RADIANS(E1275)))/L1275</f>
        <v/>
      </c>
      <c r="T1275" s="8">
        <f>R1275/L1275</f>
        <v/>
      </c>
      <c r="U1275" s="8">
        <f>(Q1275-P1275*G1275*SIN(RADIANS(E1275)))/M1275</f>
        <v/>
      </c>
      <c r="V1275" s="8">
        <f>SQRT((S1275+U1275)^2+3*T1275^2)</f>
        <v/>
      </c>
      <c r="W1275" s="8">
        <f>V1275/AA1275</f>
        <v/>
      </c>
      <c r="X1275" s="27">
        <f>((3*10+H1275/COS(RADIANS(E1275)))*(3+3)+3*G1275*H1275)*2</f>
        <v/>
      </c>
      <c r="Y1275" s="28">
        <f>Z1275/X1275</f>
        <v/>
      </c>
      <c r="Z1275" s="29" t="n">
        <v>567.569945074731</v>
      </c>
      <c r="AA1275" s="20" t="n">
        <v>53.4078467416143</v>
      </c>
      <c r="AB1275" t="n">
        <v>0.06708653259366389</v>
      </c>
      <c r="AC1275" t="n">
        <v>58.46430733578436</v>
      </c>
      <c r="AD1275" t="n">
        <v>8.071223197050793</v>
      </c>
    </row>
    <row r="1276">
      <c r="A1276" t="n">
        <v>1275</v>
      </c>
      <c r="B1276" t="n">
        <v>50</v>
      </c>
      <c r="C1276" s="21">
        <f>B1276-20</f>
        <v/>
      </c>
      <c r="D1276" t="n">
        <v>101.9</v>
      </c>
      <c r="E1276" s="22">
        <f>D1276-90</f>
        <v/>
      </c>
      <c r="F1276" s="23" t="n">
        <v>0.010452</v>
      </c>
      <c r="G1276" s="22" t="n">
        <v>25.1</v>
      </c>
      <c r="H1276" s="22" t="n">
        <v>1.7</v>
      </c>
      <c r="I1276" s="24" t="n">
        <v>0.0862181484699249</v>
      </c>
      <c r="J1276" s="6" t="n">
        <v>71000</v>
      </c>
      <c r="K1276" s="25">
        <f>23*10^-6</f>
        <v/>
      </c>
      <c r="L1276" s="8">
        <f>H1276</f>
        <v/>
      </c>
      <c r="M1276" s="26">
        <f>H1276^2/6</f>
        <v/>
      </c>
      <c r="N1276" s="26">
        <f>H1276^3/12</f>
        <v/>
      </c>
      <c r="O1276" s="27">
        <f>-J1276*L1276*K1276*C1276</f>
        <v/>
      </c>
      <c r="P1276" s="28">
        <f>-(12*F1276*J1276*L1276*N1276+12*O1276*N1276*G1276*COS(RADIANS(E1276)))/(12*N1276*G1276*COS(RADIANS(E1276))^2+L1276*G1276^3*SIN(RADIANS(E1276))^2)</f>
        <v/>
      </c>
      <c r="Q1276" s="28">
        <f>-(6*F1276*J1276*L1276*N1276*SIN(RADIANS(E1276))+6*O1276*N1276*G1276*SIN(RADIANS(E1276))*COS(RADIANS(E1276)))/(12*N1276*COS(RADIANS(E1276))^2+L1276*G1276^2*SIN(RADIANS(E1276))^2)</f>
        <v/>
      </c>
      <c r="R1276" s="28">
        <f>-P1276*SIN(RADIANS(E1276))</f>
        <v/>
      </c>
      <c r="S1276" s="8">
        <f>(O1276+P1276*COS(RADIANS(E1276)))/L1276</f>
        <v/>
      </c>
      <c r="T1276" s="8">
        <f>R1276/L1276</f>
        <v/>
      </c>
      <c r="U1276" s="8">
        <f>(Q1276-P1276*G1276*SIN(RADIANS(E1276)))/M1276</f>
        <v/>
      </c>
      <c r="V1276" s="8">
        <f>SQRT((S1276+U1276)^2+3*T1276^2)</f>
        <v/>
      </c>
      <c r="W1276" s="8">
        <f>V1276/AA1276</f>
        <v/>
      </c>
      <c r="X1276" s="27">
        <f>((3*10+H1276/COS(RADIANS(E1276)))*(3+3)+3*G1276*H1276)*2</f>
        <v/>
      </c>
      <c r="Y1276" s="28">
        <f>Z1276/X1276</f>
        <v/>
      </c>
      <c r="Z1276" s="29" t="n">
        <v>640.828787586546</v>
      </c>
      <c r="AA1276" s="20" t="n">
        <v>52.7490974460823</v>
      </c>
      <c r="AB1276" t="n">
        <v>0.1208732367424428</v>
      </c>
      <c r="AC1276" t="n">
        <v>52.34641494698646</v>
      </c>
      <c r="AD1276" t="n">
        <v>40.19465609912331</v>
      </c>
    </row>
    <row r="1277">
      <c r="A1277" t="n">
        <v>1276</v>
      </c>
      <c r="B1277" t="n">
        <v>60</v>
      </c>
      <c r="C1277" s="21">
        <f>B1277-20</f>
        <v/>
      </c>
      <c r="D1277" t="n">
        <v>107.3</v>
      </c>
      <c r="E1277" s="22">
        <f>D1277-90</f>
        <v/>
      </c>
      <c r="F1277" s="23" t="n">
        <v>0.013838</v>
      </c>
      <c r="G1277" s="22" t="n">
        <v>25.5</v>
      </c>
      <c r="H1277" s="22" t="n">
        <v>1.9</v>
      </c>
      <c r="I1277" s="24" t="n">
        <v>0.08889838308095931</v>
      </c>
      <c r="J1277" s="6" t="n">
        <v>71000</v>
      </c>
      <c r="K1277" s="25">
        <f>23*10^-6</f>
        <v/>
      </c>
      <c r="L1277" s="8">
        <f>H1277</f>
        <v/>
      </c>
      <c r="M1277" s="26">
        <f>H1277^2/6</f>
        <v/>
      </c>
      <c r="N1277" s="26">
        <f>H1277^3/12</f>
        <v/>
      </c>
      <c r="O1277" s="27">
        <f>-J1277*L1277*K1277*C1277</f>
        <v/>
      </c>
      <c r="P1277" s="28">
        <f>-(12*F1277*J1277*L1277*N1277+12*O1277*N1277*G1277*COS(RADIANS(E1277)))/(12*N1277*G1277*COS(RADIANS(E1277))^2+L1277*G1277^3*SIN(RADIANS(E1277))^2)</f>
        <v/>
      </c>
      <c r="Q1277" s="28">
        <f>-(6*F1277*J1277*L1277*N1277*SIN(RADIANS(E1277))+6*O1277*N1277*G1277*SIN(RADIANS(E1277))*COS(RADIANS(E1277)))/(12*N1277*COS(RADIANS(E1277))^2+L1277*G1277^2*SIN(RADIANS(E1277))^2)</f>
        <v/>
      </c>
      <c r="R1277" s="28">
        <f>-P1277*SIN(RADIANS(E1277))</f>
        <v/>
      </c>
      <c r="S1277" s="8">
        <f>(O1277+P1277*COS(RADIANS(E1277)))/L1277</f>
        <v/>
      </c>
      <c r="T1277" s="8">
        <f>R1277/L1277</f>
        <v/>
      </c>
      <c r="U1277" s="8">
        <f>(Q1277-P1277*G1277*SIN(RADIANS(E1277)))/M1277</f>
        <v/>
      </c>
      <c r="V1277" s="8">
        <f>SQRT((S1277+U1277)^2+3*T1277^2)</f>
        <v/>
      </c>
      <c r="W1277" s="8">
        <f>V1277/AA1277</f>
        <v/>
      </c>
      <c r="X1277" s="27">
        <f>((3*10+H1277/COS(RADIANS(E1277)))*(3+3)+3*G1277*H1277)*2</f>
        <v/>
      </c>
      <c r="Y1277" s="28">
        <f>Z1277/X1277</f>
        <v/>
      </c>
      <c r="Z1277" s="29" t="n">
        <v>679.151142488788</v>
      </c>
      <c r="AA1277" s="20" t="n">
        <v>69.5279143161019</v>
      </c>
      <c r="AB1277" t="n">
        <v>0.1164103257355888</v>
      </c>
      <c r="AC1277" t="n">
        <v>66.55466503501218</v>
      </c>
      <c r="AD1277" t="n">
        <v>30.94762998059759</v>
      </c>
    </row>
    <row r="1278">
      <c r="A1278" t="n">
        <v>1277</v>
      </c>
      <c r="B1278" t="n">
        <v>42.3</v>
      </c>
      <c r="C1278" s="21">
        <f>B1278-20</f>
        <v/>
      </c>
      <c r="D1278" t="n">
        <v>117.7</v>
      </c>
      <c r="E1278" s="22">
        <f>D1278-90</f>
        <v/>
      </c>
      <c r="F1278" s="23" t="n">
        <v>0.007805</v>
      </c>
      <c r="G1278" s="22" t="n">
        <v>27.9</v>
      </c>
      <c r="H1278" s="22" t="n">
        <v>1.2</v>
      </c>
      <c r="I1278" s="24" t="n">
        <v>0.0381017550826072</v>
      </c>
      <c r="J1278" s="6" t="n">
        <v>71000</v>
      </c>
      <c r="K1278" s="25">
        <f>23*10^-6</f>
        <v/>
      </c>
      <c r="L1278" s="8">
        <f>H1278</f>
        <v/>
      </c>
      <c r="M1278" s="26">
        <f>H1278^2/6</f>
        <v/>
      </c>
      <c r="N1278" s="26">
        <f>H1278^3/12</f>
        <v/>
      </c>
      <c r="O1278" s="27">
        <f>-J1278*L1278*K1278*C1278</f>
        <v/>
      </c>
      <c r="P1278" s="28">
        <f>-(12*F1278*J1278*L1278*N1278+12*O1278*N1278*G1278*COS(RADIANS(E1278)))/(12*N1278*G1278*COS(RADIANS(E1278))^2+L1278*G1278^3*SIN(RADIANS(E1278))^2)</f>
        <v/>
      </c>
      <c r="Q1278" s="28">
        <f>-(6*F1278*J1278*L1278*N1278*SIN(RADIANS(E1278))+6*O1278*N1278*G1278*SIN(RADIANS(E1278))*COS(RADIANS(E1278)))/(12*N1278*COS(RADIANS(E1278))^2+L1278*G1278^2*SIN(RADIANS(E1278))^2)</f>
        <v/>
      </c>
      <c r="R1278" s="28">
        <f>-P1278*SIN(RADIANS(E1278))</f>
        <v/>
      </c>
      <c r="S1278" s="8">
        <f>(O1278+P1278*COS(RADIANS(E1278)))/L1278</f>
        <v/>
      </c>
      <c r="T1278" s="8">
        <f>R1278/L1278</f>
        <v/>
      </c>
      <c r="U1278" s="8">
        <f>(Q1278-P1278*G1278*SIN(RADIANS(E1278)))/M1278</f>
        <v/>
      </c>
      <c r="V1278" s="8">
        <f>SQRT((S1278+U1278)^2+3*T1278^2)</f>
        <v/>
      </c>
      <c r="W1278" s="8">
        <f>V1278/AA1278</f>
        <v/>
      </c>
      <c r="X1278" s="27">
        <f>((3*10+H1278/COS(RADIANS(E1278)))*(3+3)+3*G1278*H1278)*2</f>
        <v/>
      </c>
      <c r="Y1278" s="28">
        <f>Z1278/X1278</f>
        <v/>
      </c>
      <c r="Z1278" s="29" t="n">
        <v>583.6841697679261</v>
      </c>
      <c r="AA1278" s="20" t="n">
        <v>31.6913712569395</v>
      </c>
      <c r="AB1278" t="n">
        <v>0.04531948228656481</v>
      </c>
      <c r="AC1278" t="n">
        <v>32.68255567423109</v>
      </c>
      <c r="AD1278" t="n">
        <v>18.94329326381182</v>
      </c>
    </row>
    <row r="1279">
      <c r="A1279" t="n">
        <v>1278</v>
      </c>
      <c r="B1279" t="n">
        <v>51.1</v>
      </c>
      <c r="C1279" s="21">
        <f>B1279-20</f>
        <v/>
      </c>
      <c r="D1279" t="n">
        <v>105.4</v>
      </c>
      <c r="E1279" s="22">
        <f>D1279-90</f>
        <v/>
      </c>
      <c r="F1279" s="23" t="n">
        <v>0.01392</v>
      </c>
      <c r="G1279" s="22" t="n">
        <v>34.5</v>
      </c>
      <c r="H1279" s="22" t="n">
        <v>2</v>
      </c>
      <c r="I1279" s="24" t="n">
        <v>0.0946569591760635</v>
      </c>
      <c r="J1279" s="6" t="n">
        <v>71000</v>
      </c>
      <c r="K1279" s="25">
        <f>23*10^-6</f>
        <v/>
      </c>
      <c r="L1279" s="8">
        <f>H1279</f>
        <v/>
      </c>
      <c r="M1279" s="26">
        <f>H1279^2/6</f>
        <v/>
      </c>
      <c r="N1279" s="26">
        <f>H1279^3/12</f>
        <v/>
      </c>
      <c r="O1279" s="27">
        <f>-J1279*L1279*K1279*C1279</f>
        <v/>
      </c>
      <c r="P1279" s="28">
        <f>-(12*F1279*J1279*L1279*N1279+12*O1279*N1279*G1279*COS(RADIANS(E1279)))/(12*N1279*G1279*COS(RADIANS(E1279))^2+L1279*G1279^3*SIN(RADIANS(E1279))^2)</f>
        <v/>
      </c>
      <c r="Q1279" s="28">
        <f>-(6*F1279*J1279*L1279*N1279*SIN(RADIANS(E1279))+6*O1279*N1279*G1279*SIN(RADIANS(E1279))*COS(RADIANS(E1279)))/(12*N1279*COS(RADIANS(E1279))^2+L1279*G1279^2*SIN(RADIANS(E1279))^2)</f>
        <v/>
      </c>
      <c r="R1279" s="28">
        <f>-P1279*SIN(RADIANS(E1279))</f>
        <v/>
      </c>
      <c r="S1279" s="8">
        <f>(O1279+P1279*COS(RADIANS(E1279)))/L1279</f>
        <v/>
      </c>
      <c r="T1279" s="8">
        <f>R1279/L1279</f>
        <v/>
      </c>
      <c r="U1279" s="8">
        <f>(Q1279-P1279*G1279*SIN(RADIANS(E1279)))/M1279</f>
        <v/>
      </c>
      <c r="V1279" s="8">
        <f>SQRT((S1279+U1279)^2+3*T1279^2)</f>
        <v/>
      </c>
      <c r="W1279" s="8">
        <f>V1279/AA1279</f>
        <v/>
      </c>
      <c r="X1279" s="27">
        <f>((3*10+H1279/COS(RADIANS(E1279)))*(3+3)+3*G1279*H1279)*2</f>
        <v/>
      </c>
      <c r="Y1279" s="28">
        <f>Z1279/X1279</f>
        <v/>
      </c>
      <c r="Z1279" s="29" t="n">
        <v>803.221233173807</v>
      </c>
      <c r="AA1279" s="20" t="n">
        <v>52.796746772491</v>
      </c>
      <c r="AB1279" t="n">
        <v>0.1372163403003642</v>
      </c>
      <c r="AC1279" t="n">
        <v>51.51634746277382</v>
      </c>
      <c r="AD1279" t="n">
        <v>44.96170328600941</v>
      </c>
    </row>
    <row r="1280">
      <c r="A1280" t="n">
        <v>1279</v>
      </c>
      <c r="B1280" t="n">
        <v>45.8</v>
      </c>
      <c r="C1280" s="21">
        <f>B1280-20</f>
        <v/>
      </c>
      <c r="D1280" t="n">
        <v>108.5</v>
      </c>
      <c r="E1280" s="22">
        <f>D1280-90</f>
        <v/>
      </c>
      <c r="F1280" s="23" t="n">
        <v>0.007985000000000001</v>
      </c>
      <c r="G1280" s="22" t="n">
        <v>22.3</v>
      </c>
      <c r="H1280" s="22" t="n">
        <v>1.6</v>
      </c>
      <c r="I1280" s="24" t="n">
        <v>0.0502374954521656</v>
      </c>
      <c r="J1280" s="6" t="n">
        <v>71000</v>
      </c>
      <c r="K1280" s="25">
        <f>23*10^-6</f>
        <v/>
      </c>
      <c r="L1280" s="8">
        <f>H1280</f>
        <v/>
      </c>
      <c r="M1280" s="26">
        <f>H1280^2/6</f>
        <v/>
      </c>
      <c r="N1280" s="26">
        <f>H1280^3/12</f>
        <v/>
      </c>
      <c r="O1280" s="27">
        <f>-J1280*L1280*K1280*C1280</f>
        <v/>
      </c>
      <c r="P1280" s="28">
        <f>-(12*F1280*J1280*L1280*N1280+12*O1280*N1280*G1280*COS(RADIANS(E1280)))/(12*N1280*G1280*COS(RADIANS(E1280))^2+L1280*G1280^3*SIN(RADIANS(E1280))^2)</f>
        <v/>
      </c>
      <c r="Q1280" s="28">
        <f>-(6*F1280*J1280*L1280*N1280*SIN(RADIANS(E1280))+6*O1280*N1280*G1280*SIN(RADIANS(E1280))*COS(RADIANS(E1280)))/(12*N1280*COS(RADIANS(E1280))^2+L1280*G1280^2*SIN(RADIANS(E1280))^2)</f>
        <v/>
      </c>
      <c r="R1280" s="28">
        <f>-P1280*SIN(RADIANS(E1280))</f>
        <v/>
      </c>
      <c r="S1280" s="8">
        <f>(O1280+P1280*COS(RADIANS(E1280)))/L1280</f>
        <v/>
      </c>
      <c r="T1280" s="8">
        <f>R1280/L1280</f>
        <v/>
      </c>
      <c r="U1280" s="8">
        <f>(Q1280-P1280*G1280*SIN(RADIANS(E1280)))/M1280</f>
        <v/>
      </c>
      <c r="V1280" s="8">
        <f>SQRT((S1280+U1280)^2+3*T1280^2)</f>
        <v/>
      </c>
      <c r="W1280" s="8">
        <f>V1280/AA1280</f>
        <v/>
      </c>
      <c r="X1280" s="27">
        <f>((3*10+H1280/COS(RADIANS(E1280)))*(3+3)+3*G1280*H1280)*2</f>
        <v/>
      </c>
      <c r="Y1280" s="28">
        <f>Z1280/X1280</f>
        <v/>
      </c>
      <c r="Z1280" s="29" t="n">
        <v>599.067697095368</v>
      </c>
      <c r="AA1280" s="20" t="n">
        <v>42.3810761556094</v>
      </c>
      <c r="AB1280" t="n">
        <v>0.06256760787469441</v>
      </c>
      <c r="AC1280" t="n">
        <v>41.85135055597328</v>
      </c>
      <c r="AD1280" t="n">
        <v>24.54364476483331</v>
      </c>
    </row>
    <row r="1281">
      <c r="A1281" t="n">
        <v>1280</v>
      </c>
      <c r="B1281" t="n">
        <v>65.5</v>
      </c>
      <c r="C1281" s="21">
        <f>B1281-20</f>
        <v/>
      </c>
      <c r="D1281" t="n">
        <v>107.8</v>
      </c>
      <c r="E1281" s="22">
        <f>D1281-90</f>
        <v/>
      </c>
      <c r="F1281" s="23" t="n">
        <v>0.018817</v>
      </c>
      <c r="G1281" s="22" t="n">
        <v>31.8</v>
      </c>
      <c r="H1281" s="22" t="n">
        <v>1.7</v>
      </c>
      <c r="I1281" s="24" t="n">
        <v>0.117296077311038</v>
      </c>
      <c r="J1281" s="6" t="n">
        <v>71000</v>
      </c>
      <c r="K1281" s="25">
        <f>23*10^-6</f>
        <v/>
      </c>
      <c r="L1281" s="8">
        <f>H1281</f>
        <v/>
      </c>
      <c r="M1281" s="26">
        <f>H1281^2/6</f>
        <v/>
      </c>
      <c r="N1281" s="26">
        <f>H1281^3/12</f>
        <v/>
      </c>
      <c r="O1281" s="27">
        <f>-J1281*L1281*K1281*C1281</f>
        <v/>
      </c>
      <c r="P1281" s="28">
        <f>-(12*F1281*J1281*L1281*N1281+12*O1281*N1281*G1281*COS(RADIANS(E1281)))/(12*N1281*G1281*COS(RADIANS(E1281))^2+L1281*G1281^3*SIN(RADIANS(E1281))^2)</f>
        <v/>
      </c>
      <c r="Q1281" s="28">
        <f>-(6*F1281*J1281*L1281*N1281*SIN(RADIANS(E1281))+6*O1281*N1281*G1281*SIN(RADIANS(E1281))*COS(RADIANS(E1281)))/(12*N1281*COS(RADIANS(E1281))^2+L1281*G1281^2*SIN(RADIANS(E1281))^2)</f>
        <v/>
      </c>
      <c r="R1281" s="28">
        <f>-P1281*SIN(RADIANS(E1281))</f>
        <v/>
      </c>
      <c r="S1281" s="8">
        <f>(O1281+P1281*COS(RADIANS(E1281)))/L1281</f>
        <v/>
      </c>
      <c r="T1281" s="8">
        <f>R1281/L1281</f>
        <v/>
      </c>
      <c r="U1281" s="8">
        <f>(Q1281-P1281*G1281*SIN(RADIANS(E1281)))/M1281</f>
        <v/>
      </c>
      <c r="V1281" s="8">
        <f>SQRT((S1281+U1281)^2+3*T1281^2)</f>
        <v/>
      </c>
      <c r="W1281" s="8">
        <f>V1281/AA1281</f>
        <v/>
      </c>
      <c r="X1281" s="27">
        <f>((3*10+H1281/COS(RADIANS(E1281)))*(3+3)+3*G1281*H1281)*2</f>
        <v/>
      </c>
      <c r="Y1281" s="28">
        <f>Z1281/X1281</f>
        <v/>
      </c>
      <c r="Z1281" s="29" t="n">
        <v>710.425946734996</v>
      </c>
      <c r="AA1281" s="20" t="n">
        <v>72.95211223886891</v>
      </c>
      <c r="AB1281" t="n">
        <v>0.162790470908444</v>
      </c>
      <c r="AC1281" t="n">
        <v>72.50659589242731</v>
      </c>
      <c r="AD1281" t="n">
        <v>38.78594633370987</v>
      </c>
    </row>
    <row r="1282">
      <c r="A1282" t="n">
        <v>1281</v>
      </c>
      <c r="B1282" t="n">
        <v>58.7</v>
      </c>
      <c r="C1282" s="21">
        <f>B1282-20</f>
        <v/>
      </c>
      <c r="D1282" t="n">
        <v>107.9</v>
      </c>
      <c r="E1282" s="22">
        <f>D1282-90</f>
        <v/>
      </c>
      <c r="F1282" s="23" t="n">
        <v>0.013898</v>
      </c>
      <c r="G1282" s="22" t="n">
        <v>26.8</v>
      </c>
      <c r="H1282" s="22" t="n">
        <v>1.3</v>
      </c>
      <c r="I1282" s="24" t="n">
        <v>0.0884222015738487</v>
      </c>
      <c r="J1282" s="6" t="n">
        <v>71000</v>
      </c>
      <c r="K1282" s="25">
        <f>23*10^-6</f>
        <v/>
      </c>
      <c r="L1282" s="8">
        <f>H1282</f>
        <v/>
      </c>
      <c r="M1282" s="26">
        <f>H1282^2/6</f>
        <v/>
      </c>
      <c r="N1282" s="26">
        <f>H1282^3/12</f>
        <v/>
      </c>
      <c r="O1282" s="27">
        <f>-J1282*L1282*K1282*C1282</f>
        <v/>
      </c>
      <c r="P1282" s="28">
        <f>-(12*F1282*J1282*L1282*N1282+12*O1282*N1282*G1282*COS(RADIANS(E1282)))/(12*N1282*G1282*COS(RADIANS(E1282))^2+L1282*G1282^3*SIN(RADIANS(E1282))^2)</f>
        <v/>
      </c>
      <c r="Q1282" s="28">
        <f>-(6*F1282*J1282*L1282*N1282*SIN(RADIANS(E1282))+6*O1282*N1282*G1282*SIN(RADIANS(E1282))*COS(RADIANS(E1282)))/(12*N1282*COS(RADIANS(E1282))^2+L1282*G1282^2*SIN(RADIANS(E1282))^2)</f>
        <v/>
      </c>
      <c r="R1282" s="28">
        <f>-P1282*SIN(RADIANS(E1282))</f>
        <v/>
      </c>
      <c r="S1282" s="8">
        <f>(O1282+P1282*COS(RADIANS(E1282)))/L1282</f>
        <v/>
      </c>
      <c r="T1282" s="8">
        <f>R1282/L1282</f>
        <v/>
      </c>
      <c r="U1282" s="8">
        <f>(Q1282-P1282*G1282*SIN(RADIANS(E1282)))/M1282</f>
        <v/>
      </c>
      <c r="V1282" s="8">
        <f>SQRT((S1282+U1282)^2+3*T1282^2)</f>
        <v/>
      </c>
      <c r="W1282" s="8">
        <f>V1282/AA1282</f>
        <v/>
      </c>
      <c r="X1282" s="27">
        <f>((3*10+H1282/COS(RADIANS(E1282)))*(3+3)+3*G1282*H1282)*2</f>
        <v/>
      </c>
      <c r="Y1282" s="28">
        <f>Z1282/X1282</f>
        <v/>
      </c>
      <c r="Z1282" s="29" t="n">
        <v>590.087997690624</v>
      </c>
      <c r="AA1282" s="20" t="n">
        <v>57.9751305384134</v>
      </c>
      <c r="AB1282" t="n">
        <v>0.1178825338834166</v>
      </c>
      <c r="AC1282" t="n">
        <v>60.41478637579932</v>
      </c>
      <c r="AD1282" t="n">
        <v>33.31780003799513</v>
      </c>
    </row>
    <row r="1283">
      <c r="A1283" t="n">
        <v>1282</v>
      </c>
      <c r="B1283" t="n">
        <v>54.8</v>
      </c>
      <c r="C1283" s="21">
        <f>B1283-20</f>
        <v/>
      </c>
      <c r="D1283" t="n">
        <v>109.6</v>
      </c>
      <c r="E1283" s="22">
        <f>D1283-90</f>
        <v/>
      </c>
      <c r="F1283" s="23" t="n">
        <v>0.011051</v>
      </c>
      <c r="G1283" s="22" t="n">
        <v>23.2</v>
      </c>
      <c r="H1283" s="22" t="n">
        <v>1.6</v>
      </c>
      <c r="I1283" s="24" t="n">
        <v>0.06688202917575831</v>
      </c>
      <c r="J1283" s="6" t="n">
        <v>71000</v>
      </c>
      <c r="K1283" s="25">
        <f>23*10^-6</f>
        <v/>
      </c>
      <c r="L1283" s="8">
        <f>H1283</f>
        <v/>
      </c>
      <c r="M1283" s="26">
        <f>H1283^2/6</f>
        <v/>
      </c>
      <c r="N1283" s="26">
        <f>H1283^3/12</f>
        <v/>
      </c>
      <c r="O1283" s="27">
        <f>-J1283*L1283*K1283*C1283</f>
        <v/>
      </c>
      <c r="P1283" s="28">
        <f>-(12*F1283*J1283*L1283*N1283+12*O1283*N1283*G1283*COS(RADIANS(E1283)))/(12*N1283*G1283*COS(RADIANS(E1283))^2+L1283*G1283^3*SIN(RADIANS(E1283))^2)</f>
        <v/>
      </c>
      <c r="Q1283" s="28">
        <f>-(6*F1283*J1283*L1283*N1283*SIN(RADIANS(E1283))+6*O1283*N1283*G1283*SIN(RADIANS(E1283))*COS(RADIANS(E1283)))/(12*N1283*COS(RADIANS(E1283))^2+L1283*G1283^2*SIN(RADIANS(E1283))^2)</f>
        <v/>
      </c>
      <c r="R1283" s="28">
        <f>-P1283*SIN(RADIANS(E1283))</f>
        <v/>
      </c>
      <c r="S1283" s="8">
        <f>(O1283+P1283*COS(RADIANS(E1283)))/L1283</f>
        <v/>
      </c>
      <c r="T1283" s="8">
        <f>R1283/L1283</f>
        <v/>
      </c>
      <c r="U1283" s="8">
        <f>(Q1283-P1283*G1283*SIN(RADIANS(E1283)))/M1283</f>
        <v/>
      </c>
      <c r="V1283" s="8">
        <f>SQRT((S1283+U1283)^2+3*T1283^2)</f>
        <v/>
      </c>
      <c r="W1283" s="8">
        <f>V1283/AA1283</f>
        <v/>
      </c>
      <c r="X1283" s="27">
        <f>((3*10+H1283/COS(RADIANS(E1283)))*(3+3)+3*G1283*H1283)*2</f>
        <v/>
      </c>
      <c r="Y1283" s="28">
        <f>Z1283/X1283</f>
        <v/>
      </c>
      <c r="Z1283" s="29" t="n">
        <v>608.0107051639631</v>
      </c>
      <c r="AA1283" s="20" t="n">
        <v>56.7552262862875</v>
      </c>
      <c r="AB1283" t="n">
        <v>0.0831249629659563</v>
      </c>
      <c r="AC1283" t="n">
        <v>55.7595873199196</v>
      </c>
      <c r="AD1283" t="n">
        <v>24.28594644985041</v>
      </c>
    </row>
    <row r="1284">
      <c r="A1284" t="n">
        <v>1283</v>
      </c>
      <c r="B1284" t="n">
        <v>87.2</v>
      </c>
      <c r="C1284" s="21">
        <f>B1284-20</f>
        <v/>
      </c>
      <c r="D1284" t="n">
        <v>103.2</v>
      </c>
      <c r="E1284" s="22">
        <f>D1284-90</f>
        <v/>
      </c>
      <c r="F1284" s="23" t="n">
        <v>0.020408</v>
      </c>
      <c r="G1284" s="22" t="n">
        <v>21.2</v>
      </c>
      <c r="H1284" s="22" t="n">
        <v>1</v>
      </c>
      <c r="I1284" s="24" t="n">
        <v>0.165828749537467</v>
      </c>
      <c r="J1284" s="6" t="n">
        <v>71000</v>
      </c>
      <c r="K1284" s="25">
        <f>23*10^-6</f>
        <v/>
      </c>
      <c r="L1284" s="8">
        <f>H1284</f>
        <v/>
      </c>
      <c r="M1284" s="26">
        <f>H1284^2/6</f>
        <v/>
      </c>
      <c r="N1284" s="26">
        <f>H1284^3/12</f>
        <v/>
      </c>
      <c r="O1284" s="27">
        <f>-J1284*L1284*K1284*C1284</f>
        <v/>
      </c>
      <c r="P1284" s="28">
        <f>-(12*F1284*J1284*L1284*N1284+12*O1284*N1284*G1284*COS(RADIANS(E1284)))/(12*N1284*G1284*COS(RADIANS(E1284))^2+L1284*G1284^3*SIN(RADIANS(E1284))^2)</f>
        <v/>
      </c>
      <c r="Q1284" s="28">
        <f>-(6*F1284*J1284*L1284*N1284*SIN(RADIANS(E1284))+6*O1284*N1284*G1284*SIN(RADIANS(E1284))*COS(RADIANS(E1284)))/(12*N1284*COS(RADIANS(E1284))^2+L1284*G1284^2*SIN(RADIANS(E1284))^2)</f>
        <v/>
      </c>
      <c r="R1284" s="28">
        <f>-P1284*SIN(RADIANS(E1284))</f>
        <v/>
      </c>
      <c r="S1284" s="8">
        <f>(O1284+P1284*COS(RADIANS(E1284)))/L1284</f>
        <v/>
      </c>
      <c r="T1284" s="8">
        <f>R1284/L1284</f>
        <v/>
      </c>
      <c r="U1284" s="8">
        <f>(Q1284-P1284*G1284*SIN(RADIANS(E1284)))/M1284</f>
        <v/>
      </c>
      <c r="V1284" s="8">
        <f>SQRT((S1284+U1284)^2+3*T1284^2)</f>
        <v/>
      </c>
      <c r="W1284" s="8">
        <f>V1284/AA1284</f>
        <v/>
      </c>
      <c r="X1284" s="27">
        <f>((3*10+H1284/COS(RADIANS(E1284)))*(3+3)+3*G1284*H1284)*2</f>
        <v/>
      </c>
      <c r="Y1284" s="28">
        <f>Z1284/X1284</f>
        <v/>
      </c>
      <c r="Z1284" s="29" t="n">
        <v>503.610601558887</v>
      </c>
      <c r="AA1284" s="20" t="n">
        <v>98.6255616653616</v>
      </c>
      <c r="AB1284" t="n">
        <v>0.2213575673142036</v>
      </c>
      <c r="AC1284" t="n">
        <v>107.8504079563123</v>
      </c>
      <c r="AD1284" t="n">
        <v>33.48563981313175</v>
      </c>
    </row>
    <row r="1285">
      <c r="A1285" t="n">
        <v>1284</v>
      </c>
      <c r="B1285" t="n">
        <v>75.5</v>
      </c>
      <c r="C1285" s="21">
        <f>B1285-20</f>
        <v/>
      </c>
      <c r="D1285" t="n">
        <v>128</v>
      </c>
      <c r="E1285" s="22">
        <f>D1285-90</f>
        <v/>
      </c>
      <c r="F1285" s="23" t="n">
        <v>0.01646</v>
      </c>
      <c r="G1285" s="22" t="n">
        <v>25.4</v>
      </c>
      <c r="H1285" s="22" t="n">
        <v>1.5</v>
      </c>
      <c r="I1285" s="24" t="n">
        <v>0.0729902535676956</v>
      </c>
      <c r="J1285" s="6" t="n">
        <v>71000</v>
      </c>
      <c r="K1285" s="25">
        <f>23*10^-6</f>
        <v/>
      </c>
      <c r="L1285" s="8">
        <f>H1285</f>
        <v/>
      </c>
      <c r="M1285" s="26">
        <f>H1285^2/6</f>
        <v/>
      </c>
      <c r="N1285" s="26">
        <f>H1285^3/12</f>
        <v/>
      </c>
      <c r="O1285" s="27">
        <f>-J1285*L1285*K1285*C1285</f>
        <v/>
      </c>
      <c r="P1285" s="28">
        <f>-(12*F1285*J1285*L1285*N1285+12*O1285*N1285*G1285*COS(RADIANS(E1285)))/(12*N1285*G1285*COS(RADIANS(E1285))^2+L1285*G1285^3*SIN(RADIANS(E1285))^2)</f>
        <v/>
      </c>
      <c r="Q1285" s="28">
        <f>-(6*F1285*J1285*L1285*N1285*SIN(RADIANS(E1285))+6*O1285*N1285*G1285*SIN(RADIANS(E1285))*COS(RADIANS(E1285)))/(12*N1285*COS(RADIANS(E1285))^2+L1285*G1285^2*SIN(RADIANS(E1285))^2)</f>
        <v/>
      </c>
      <c r="R1285" s="28">
        <f>-P1285*SIN(RADIANS(E1285))</f>
        <v/>
      </c>
      <c r="S1285" s="8">
        <f>(O1285+P1285*COS(RADIANS(E1285)))/L1285</f>
        <v/>
      </c>
      <c r="T1285" s="8">
        <f>R1285/L1285</f>
        <v/>
      </c>
      <c r="U1285" s="8">
        <f>(Q1285-P1285*G1285*SIN(RADIANS(E1285)))/M1285</f>
        <v/>
      </c>
      <c r="V1285" s="8">
        <f>SQRT((S1285+U1285)^2+3*T1285^2)</f>
        <v/>
      </c>
      <c r="W1285" s="8">
        <f>V1285/AA1285</f>
        <v/>
      </c>
      <c r="X1285" s="27">
        <f>((3*10+H1285/COS(RADIANS(E1285)))*(3+3)+3*G1285*H1285)*2</f>
        <v/>
      </c>
      <c r="Y1285" s="28">
        <f>Z1285/X1285</f>
        <v/>
      </c>
      <c r="Z1285" s="29" t="n">
        <v>621.33239441869</v>
      </c>
      <c r="AA1285" s="20" t="n">
        <v>81.62052606443361</v>
      </c>
      <c r="AB1285" t="n">
        <v>0.07323974753496308</v>
      </c>
      <c r="AC1285" t="n">
        <v>80.37235174031818</v>
      </c>
      <c r="AD1285" t="n">
        <v>0.3418181949951468</v>
      </c>
    </row>
    <row r="1286">
      <c r="A1286" t="n">
        <v>1285</v>
      </c>
      <c r="B1286" t="n">
        <v>60.2</v>
      </c>
      <c r="C1286" s="21">
        <f>B1286-20</f>
        <v/>
      </c>
      <c r="D1286" t="n">
        <v>127.8</v>
      </c>
      <c r="E1286" s="22">
        <f>D1286-90</f>
        <v/>
      </c>
      <c r="F1286" s="23" t="n">
        <v>0.012816</v>
      </c>
      <c r="G1286" s="22" t="n">
        <v>27.8</v>
      </c>
      <c r="H1286" s="22" t="n">
        <v>1.1</v>
      </c>
      <c r="I1286" s="24" t="n">
        <v>0.0560161359608173</v>
      </c>
      <c r="J1286" s="6" t="n">
        <v>71000</v>
      </c>
      <c r="K1286" s="25">
        <f>23*10^-6</f>
        <v/>
      </c>
      <c r="L1286" s="8">
        <f>H1286</f>
        <v/>
      </c>
      <c r="M1286" s="26">
        <f>H1286^2/6</f>
        <v/>
      </c>
      <c r="N1286" s="26">
        <f>H1286^3/12</f>
        <v/>
      </c>
      <c r="O1286" s="27">
        <f>-J1286*L1286*K1286*C1286</f>
        <v/>
      </c>
      <c r="P1286" s="28">
        <f>-(12*F1286*J1286*L1286*N1286+12*O1286*N1286*G1286*COS(RADIANS(E1286)))/(12*N1286*G1286*COS(RADIANS(E1286))^2+L1286*G1286^3*SIN(RADIANS(E1286))^2)</f>
        <v/>
      </c>
      <c r="Q1286" s="28">
        <f>-(6*F1286*J1286*L1286*N1286*SIN(RADIANS(E1286))+6*O1286*N1286*G1286*SIN(RADIANS(E1286))*COS(RADIANS(E1286)))/(12*N1286*COS(RADIANS(E1286))^2+L1286*G1286^2*SIN(RADIANS(E1286))^2)</f>
        <v/>
      </c>
      <c r="R1286" s="28">
        <f>-P1286*SIN(RADIANS(E1286))</f>
        <v/>
      </c>
      <c r="S1286" s="8">
        <f>(O1286+P1286*COS(RADIANS(E1286)))/L1286</f>
        <v/>
      </c>
      <c r="T1286" s="8">
        <f>R1286/L1286</f>
        <v/>
      </c>
      <c r="U1286" s="8">
        <f>(Q1286-P1286*G1286*SIN(RADIANS(E1286)))/M1286</f>
        <v/>
      </c>
      <c r="V1286" s="8">
        <f>SQRT((S1286+U1286)^2+3*T1286^2)</f>
        <v/>
      </c>
      <c r="W1286" s="8">
        <f>V1286/AA1286</f>
        <v/>
      </c>
      <c r="X1286" s="27">
        <f>((3*10+H1286/COS(RADIANS(E1286)))*(3+3)+3*G1286*H1286)*2</f>
        <v/>
      </c>
      <c r="Y1286" s="28">
        <f>Z1286/X1286</f>
        <v/>
      </c>
      <c r="Z1286" s="29" t="n">
        <v>569.992999151522</v>
      </c>
      <c r="AA1286" s="20" t="n">
        <v>53.3070391502859</v>
      </c>
      <c r="AB1286" t="n">
        <v>0.05828292170951152</v>
      </c>
      <c r="AC1286" t="n">
        <v>56.98254873781916</v>
      </c>
      <c r="AD1286" t="n">
        <v>4.046665679117551</v>
      </c>
    </row>
    <row r="1287">
      <c r="A1287" t="n">
        <v>1286</v>
      </c>
      <c r="B1287" t="n">
        <v>54.8</v>
      </c>
      <c r="C1287" s="21">
        <f>B1287-20</f>
        <v/>
      </c>
      <c r="D1287" t="n">
        <v>129.6</v>
      </c>
      <c r="E1287" s="22">
        <f>D1287-90</f>
        <v/>
      </c>
      <c r="F1287" s="23" t="n">
        <v>0.008800000000000001</v>
      </c>
      <c r="G1287" s="22" t="n">
        <v>21</v>
      </c>
      <c r="H1287" s="22" t="n">
        <v>1.4</v>
      </c>
      <c r="I1287" s="24" t="n">
        <v>0.0398620031774044</v>
      </c>
      <c r="J1287" s="6" t="n">
        <v>71000</v>
      </c>
      <c r="K1287" s="25">
        <f>23*10^-6</f>
        <v/>
      </c>
      <c r="L1287" s="8">
        <f>H1287</f>
        <v/>
      </c>
      <c r="M1287" s="26">
        <f>H1287^2/6</f>
        <v/>
      </c>
      <c r="N1287" s="26">
        <f>H1287^3/12</f>
        <v/>
      </c>
      <c r="O1287" s="27">
        <f>-J1287*L1287*K1287*C1287</f>
        <v/>
      </c>
      <c r="P1287" s="28">
        <f>-(12*F1287*J1287*L1287*N1287+12*O1287*N1287*G1287*COS(RADIANS(E1287)))/(12*N1287*G1287*COS(RADIANS(E1287))^2+L1287*G1287^3*SIN(RADIANS(E1287))^2)</f>
        <v/>
      </c>
      <c r="Q1287" s="28">
        <f>-(6*F1287*J1287*L1287*N1287*SIN(RADIANS(E1287))+6*O1287*N1287*G1287*SIN(RADIANS(E1287))*COS(RADIANS(E1287)))/(12*N1287*COS(RADIANS(E1287))^2+L1287*G1287^2*SIN(RADIANS(E1287))^2)</f>
        <v/>
      </c>
      <c r="R1287" s="28">
        <f>-P1287*SIN(RADIANS(E1287))</f>
        <v/>
      </c>
      <c r="S1287" s="8">
        <f>(O1287+P1287*COS(RADIANS(E1287)))/L1287</f>
        <v/>
      </c>
      <c r="T1287" s="8">
        <f>R1287/L1287</f>
        <v/>
      </c>
      <c r="U1287" s="8">
        <f>(Q1287-P1287*G1287*SIN(RADIANS(E1287)))/M1287</f>
        <v/>
      </c>
      <c r="V1287" s="8">
        <f>SQRT((S1287+U1287)^2+3*T1287^2)</f>
        <v/>
      </c>
      <c r="W1287" s="8">
        <f>V1287/AA1287</f>
        <v/>
      </c>
      <c r="X1287" s="27">
        <f>((3*10+H1287/COS(RADIANS(E1287)))*(3+3)+3*G1287*H1287)*2</f>
        <v/>
      </c>
      <c r="Y1287" s="28">
        <f>Z1287/X1287</f>
        <v/>
      </c>
      <c r="Z1287" s="29" t="n">
        <v>568.785347454778</v>
      </c>
      <c r="AA1287" s="20" t="n">
        <v>51.4004490481463</v>
      </c>
      <c r="AB1287" t="n">
        <v>0.03672035887173754</v>
      </c>
      <c r="AC1287" t="n">
        <v>50.24299756041795</v>
      </c>
      <c r="AD1287" t="n">
        <v>-7.881300625272337</v>
      </c>
    </row>
    <row r="1288">
      <c r="A1288" t="n">
        <v>1287</v>
      </c>
      <c r="B1288" t="n">
        <v>73.3</v>
      </c>
      <c r="C1288" s="21">
        <f>B1288-20</f>
        <v/>
      </c>
      <c r="D1288" t="n">
        <v>126.8</v>
      </c>
      <c r="E1288" s="22">
        <f>D1288-90</f>
        <v/>
      </c>
      <c r="F1288" s="23" t="n">
        <v>0.013474</v>
      </c>
      <c r="G1288" s="22" t="n">
        <v>20.2</v>
      </c>
      <c r="H1288" s="22" t="n">
        <v>1.2</v>
      </c>
      <c r="I1288" s="24" t="n">
        <v>0.0622865371406078</v>
      </c>
      <c r="J1288" s="6" t="n">
        <v>71000</v>
      </c>
      <c r="K1288" s="25">
        <f>23*10^-6</f>
        <v/>
      </c>
      <c r="L1288" s="8">
        <f>H1288</f>
        <v/>
      </c>
      <c r="M1288" s="26">
        <f>H1288^2/6</f>
        <v/>
      </c>
      <c r="N1288" s="26">
        <f>H1288^3/12</f>
        <v/>
      </c>
      <c r="O1288" s="27">
        <f>-J1288*L1288*K1288*C1288</f>
        <v/>
      </c>
      <c r="P1288" s="28">
        <f>-(12*F1288*J1288*L1288*N1288+12*O1288*N1288*G1288*COS(RADIANS(E1288)))/(12*N1288*G1288*COS(RADIANS(E1288))^2+L1288*G1288^3*SIN(RADIANS(E1288))^2)</f>
        <v/>
      </c>
      <c r="Q1288" s="28">
        <f>-(6*F1288*J1288*L1288*N1288*SIN(RADIANS(E1288))+6*O1288*N1288*G1288*SIN(RADIANS(E1288))*COS(RADIANS(E1288)))/(12*N1288*COS(RADIANS(E1288))^2+L1288*G1288^2*SIN(RADIANS(E1288))^2)</f>
        <v/>
      </c>
      <c r="R1288" s="28">
        <f>-P1288*SIN(RADIANS(E1288))</f>
        <v/>
      </c>
      <c r="S1288" s="8">
        <f>(O1288+P1288*COS(RADIANS(E1288)))/L1288</f>
        <v/>
      </c>
      <c r="T1288" s="8">
        <f>R1288/L1288</f>
        <v/>
      </c>
      <c r="U1288" s="8">
        <f>(Q1288-P1288*G1288*SIN(RADIANS(E1288)))/M1288</f>
        <v/>
      </c>
      <c r="V1288" s="8">
        <f>SQRT((S1288+U1288)^2+3*T1288^2)</f>
        <v/>
      </c>
      <c r="W1288" s="8">
        <f>V1288/AA1288</f>
        <v/>
      </c>
      <c r="X1288" s="27">
        <f>((3*10+H1288/COS(RADIANS(E1288)))*(3+3)+3*G1288*H1288)*2</f>
        <v/>
      </c>
      <c r="Y1288" s="28">
        <f>Z1288/X1288</f>
        <v/>
      </c>
      <c r="Z1288" s="29" t="n">
        <v>532.8297872098329</v>
      </c>
      <c r="AA1288" s="20" t="n">
        <v>76.0963404729164</v>
      </c>
      <c r="AB1288" t="n">
        <v>0.05891501541981259</v>
      </c>
      <c r="AC1288" t="n">
        <v>76.87624696190018</v>
      </c>
      <c r="AD1288" t="n">
        <v>-5.412922078464918</v>
      </c>
    </row>
    <row r="1289">
      <c r="A1289" t="n">
        <v>1288</v>
      </c>
      <c r="B1289" t="n">
        <v>50.6</v>
      </c>
      <c r="C1289" s="21">
        <f>B1289-20</f>
        <v/>
      </c>
      <c r="D1289" t="n">
        <v>106.4</v>
      </c>
      <c r="E1289" s="22">
        <f>D1289-90</f>
        <v/>
      </c>
      <c r="F1289" s="23" t="n">
        <v>0.012467</v>
      </c>
      <c r="G1289" s="22" t="n">
        <v>31</v>
      </c>
      <c r="H1289" s="22" t="n">
        <v>1.2</v>
      </c>
      <c r="I1289" s="24" t="n">
        <v>0.0832322239875793</v>
      </c>
      <c r="J1289" s="6" t="n">
        <v>71000</v>
      </c>
      <c r="K1289" s="25">
        <f>23*10^-6</f>
        <v/>
      </c>
      <c r="L1289" s="8">
        <f>H1289</f>
        <v/>
      </c>
      <c r="M1289" s="26">
        <f>H1289^2/6</f>
        <v/>
      </c>
      <c r="N1289" s="26">
        <f>H1289^3/12</f>
        <v/>
      </c>
      <c r="O1289" s="27">
        <f>-J1289*L1289*K1289*C1289</f>
        <v/>
      </c>
      <c r="P1289" s="28">
        <f>-(12*F1289*J1289*L1289*N1289+12*O1289*N1289*G1289*COS(RADIANS(E1289)))/(12*N1289*G1289*COS(RADIANS(E1289))^2+L1289*G1289^3*SIN(RADIANS(E1289))^2)</f>
        <v/>
      </c>
      <c r="Q1289" s="28">
        <f>-(6*F1289*J1289*L1289*N1289*SIN(RADIANS(E1289))+6*O1289*N1289*G1289*SIN(RADIANS(E1289))*COS(RADIANS(E1289)))/(12*N1289*COS(RADIANS(E1289))^2+L1289*G1289^2*SIN(RADIANS(E1289))^2)</f>
        <v/>
      </c>
      <c r="R1289" s="28">
        <f>-P1289*SIN(RADIANS(E1289))</f>
        <v/>
      </c>
      <c r="S1289" s="8">
        <f>(O1289+P1289*COS(RADIANS(E1289)))/L1289</f>
        <v/>
      </c>
      <c r="T1289" s="8">
        <f>R1289/L1289</f>
        <v/>
      </c>
      <c r="U1289" s="8">
        <f>(Q1289-P1289*G1289*SIN(RADIANS(E1289)))/M1289</f>
        <v/>
      </c>
      <c r="V1289" s="8">
        <f>SQRT((S1289+U1289)^2+3*T1289^2)</f>
        <v/>
      </c>
      <c r="W1289" s="8">
        <f>V1289/AA1289</f>
        <v/>
      </c>
      <c r="X1289" s="27">
        <f>((3*10+H1289/COS(RADIANS(E1289)))*(3+3)+3*G1289*H1289)*2</f>
        <v/>
      </c>
      <c r="Y1289" s="28">
        <f>Z1289/X1289</f>
        <v/>
      </c>
      <c r="Z1289" s="29" t="n">
        <v>602.6622342211029</v>
      </c>
      <c r="AA1289" s="20" t="n">
        <v>45.0160447847055</v>
      </c>
      <c r="AB1289" t="n">
        <v>0.117537381730662</v>
      </c>
      <c r="AC1289" t="n">
        <v>47.26280506133652</v>
      </c>
      <c r="AD1289" t="n">
        <v>41.21619740474804</v>
      </c>
    </row>
    <row r="1290">
      <c r="A1290" t="n">
        <v>1289</v>
      </c>
      <c r="B1290" t="n">
        <v>65.7</v>
      </c>
      <c r="C1290" s="21">
        <f>B1290-20</f>
        <v/>
      </c>
      <c r="D1290" t="n">
        <v>117</v>
      </c>
      <c r="E1290" s="22">
        <f>D1290-90</f>
        <v/>
      </c>
      <c r="F1290" s="23" t="n">
        <v>0.019187</v>
      </c>
      <c r="G1290" s="22" t="n">
        <v>34.6</v>
      </c>
      <c r="H1290" s="22" t="n">
        <v>1.3</v>
      </c>
      <c r="I1290" s="24" t="n">
        <v>0.0920518711209297</v>
      </c>
      <c r="J1290" s="6" t="n">
        <v>71000</v>
      </c>
      <c r="K1290" s="25">
        <f>23*10^-6</f>
        <v/>
      </c>
      <c r="L1290" s="8">
        <f>H1290</f>
        <v/>
      </c>
      <c r="M1290" s="26">
        <f>H1290^2/6</f>
        <v/>
      </c>
      <c r="N1290" s="26">
        <f>H1290^3/12</f>
        <v/>
      </c>
      <c r="O1290" s="27">
        <f>-J1290*L1290*K1290*C1290</f>
        <v/>
      </c>
      <c r="P1290" s="28">
        <f>-(12*F1290*J1290*L1290*N1290+12*O1290*N1290*G1290*COS(RADIANS(E1290)))/(12*N1290*G1290*COS(RADIANS(E1290))^2+L1290*G1290^3*SIN(RADIANS(E1290))^2)</f>
        <v/>
      </c>
      <c r="Q1290" s="28">
        <f>-(6*F1290*J1290*L1290*N1290*SIN(RADIANS(E1290))+6*O1290*N1290*G1290*SIN(RADIANS(E1290))*COS(RADIANS(E1290)))/(12*N1290*COS(RADIANS(E1290))^2+L1290*G1290^2*SIN(RADIANS(E1290))^2)</f>
        <v/>
      </c>
      <c r="R1290" s="28">
        <f>-P1290*SIN(RADIANS(E1290))</f>
        <v/>
      </c>
      <c r="S1290" s="8">
        <f>(O1290+P1290*COS(RADIANS(E1290)))/L1290</f>
        <v/>
      </c>
      <c r="T1290" s="8">
        <f>R1290/L1290</f>
        <v/>
      </c>
      <c r="U1290" s="8">
        <f>(Q1290-P1290*G1290*SIN(RADIANS(E1290)))/M1290</f>
        <v/>
      </c>
      <c r="V1290" s="8">
        <f>SQRT((S1290+U1290)^2+3*T1290^2)</f>
        <v/>
      </c>
      <c r="W1290" s="8">
        <f>V1290/AA1290</f>
        <v/>
      </c>
      <c r="X1290" s="27">
        <f>((3*10+H1290/COS(RADIANS(E1290)))*(3+3)+3*G1290*H1290)*2</f>
        <v/>
      </c>
      <c r="Y1290" s="28">
        <f>Z1290/X1290</f>
        <v/>
      </c>
      <c r="Z1290" s="29" t="n">
        <v>653.757748395964</v>
      </c>
      <c r="AA1290" s="20" t="n">
        <v>65.0990031198878</v>
      </c>
      <c r="AB1290" t="n">
        <v>0.1170745462862718</v>
      </c>
      <c r="AC1290" t="n">
        <v>66.75383255182884</v>
      </c>
      <c r="AD1290" t="n">
        <v>27.18323360583238</v>
      </c>
    </row>
    <row r="1291">
      <c r="A1291" t="n">
        <v>1290</v>
      </c>
      <c r="B1291" t="n">
        <v>66.90000000000001</v>
      </c>
      <c r="C1291" s="21">
        <f>B1291-20</f>
        <v/>
      </c>
      <c r="D1291" t="n">
        <v>112.8</v>
      </c>
      <c r="E1291" s="22">
        <f>D1291-90</f>
        <v/>
      </c>
      <c r="F1291" s="23" t="n">
        <v>0.015826</v>
      </c>
      <c r="G1291" s="22" t="n">
        <v>25.6</v>
      </c>
      <c r="H1291" s="22" t="n">
        <v>1.3</v>
      </c>
      <c r="I1291" s="24" t="n">
        <v>0.0868446305394172</v>
      </c>
      <c r="J1291" s="6" t="n">
        <v>71000</v>
      </c>
      <c r="K1291" s="25">
        <f>23*10^-6</f>
        <v/>
      </c>
      <c r="L1291" s="8">
        <f>H1291</f>
        <v/>
      </c>
      <c r="M1291" s="26">
        <f>H1291^2/6</f>
        <v/>
      </c>
      <c r="N1291" s="26">
        <f>H1291^3/12</f>
        <v/>
      </c>
      <c r="O1291" s="27">
        <f>-J1291*L1291*K1291*C1291</f>
        <v/>
      </c>
      <c r="P1291" s="28">
        <f>-(12*F1291*J1291*L1291*N1291+12*O1291*N1291*G1291*COS(RADIANS(E1291)))/(12*N1291*G1291*COS(RADIANS(E1291))^2+L1291*G1291^3*SIN(RADIANS(E1291))^2)</f>
        <v/>
      </c>
      <c r="Q1291" s="28">
        <f>-(6*F1291*J1291*L1291*N1291*SIN(RADIANS(E1291))+6*O1291*N1291*G1291*SIN(RADIANS(E1291))*COS(RADIANS(E1291)))/(12*N1291*COS(RADIANS(E1291))^2+L1291*G1291^2*SIN(RADIANS(E1291))^2)</f>
        <v/>
      </c>
      <c r="R1291" s="28">
        <f>-P1291*SIN(RADIANS(E1291))</f>
        <v/>
      </c>
      <c r="S1291" s="8">
        <f>(O1291+P1291*COS(RADIANS(E1291)))/L1291</f>
        <v/>
      </c>
      <c r="T1291" s="8">
        <f>R1291/L1291</f>
        <v/>
      </c>
      <c r="U1291" s="8">
        <f>(Q1291-P1291*G1291*SIN(RADIANS(E1291)))/M1291</f>
        <v/>
      </c>
      <c r="V1291" s="8">
        <f>SQRT((S1291+U1291)^2+3*T1291^2)</f>
        <v/>
      </c>
      <c r="W1291" s="8">
        <f>V1291/AA1291</f>
        <v/>
      </c>
      <c r="X1291" s="27">
        <f>((3*10+H1291/COS(RADIANS(E1291)))*(3+3)+3*G1291*H1291)*2</f>
        <v/>
      </c>
      <c r="Y1291" s="28">
        <f>Z1291/X1291</f>
        <v/>
      </c>
      <c r="Z1291" s="29" t="n">
        <v>582.070113687854</v>
      </c>
      <c r="AA1291" s="20" t="n">
        <v>69.3409710523171</v>
      </c>
      <c r="AB1291" t="n">
        <v>0.1072467588131584</v>
      </c>
      <c r="AC1291" t="n">
        <v>71.16279709421124</v>
      </c>
      <c r="AD1291" t="n">
        <v>23.49267668826236</v>
      </c>
    </row>
    <row r="1292">
      <c r="A1292" t="n">
        <v>1291</v>
      </c>
      <c r="B1292" t="n">
        <v>48.8</v>
      </c>
      <c r="C1292" s="21">
        <f>B1292-20</f>
        <v/>
      </c>
      <c r="D1292" t="n">
        <v>123.5</v>
      </c>
      <c r="E1292" s="22">
        <f>D1292-90</f>
        <v/>
      </c>
      <c r="F1292" s="23" t="n">
        <v>0.010649</v>
      </c>
      <c r="G1292" s="22" t="n">
        <v>31.7</v>
      </c>
      <c r="H1292" s="22" t="n">
        <v>1.1</v>
      </c>
      <c r="I1292" s="24" t="n">
        <v>0.0471490956842899</v>
      </c>
      <c r="J1292" s="6" t="n">
        <v>71000</v>
      </c>
      <c r="K1292" s="25">
        <f>23*10^-6</f>
        <v/>
      </c>
      <c r="L1292" s="8">
        <f>H1292</f>
        <v/>
      </c>
      <c r="M1292" s="26">
        <f>H1292^2/6</f>
        <v/>
      </c>
      <c r="N1292" s="26">
        <f>H1292^3/12</f>
        <v/>
      </c>
      <c r="O1292" s="27">
        <f>-J1292*L1292*K1292*C1292</f>
        <v/>
      </c>
      <c r="P1292" s="28">
        <f>-(12*F1292*J1292*L1292*N1292+12*O1292*N1292*G1292*COS(RADIANS(E1292)))/(12*N1292*G1292*COS(RADIANS(E1292))^2+L1292*G1292^3*SIN(RADIANS(E1292))^2)</f>
        <v/>
      </c>
      <c r="Q1292" s="28">
        <f>-(6*F1292*J1292*L1292*N1292*SIN(RADIANS(E1292))+6*O1292*N1292*G1292*SIN(RADIANS(E1292))*COS(RADIANS(E1292)))/(12*N1292*COS(RADIANS(E1292))^2+L1292*G1292^2*SIN(RADIANS(E1292))^2)</f>
        <v/>
      </c>
      <c r="R1292" s="28">
        <f>-P1292*SIN(RADIANS(E1292))</f>
        <v/>
      </c>
      <c r="S1292" s="8">
        <f>(O1292+P1292*COS(RADIANS(E1292)))/L1292</f>
        <v/>
      </c>
      <c r="T1292" s="8">
        <f>R1292/L1292</f>
        <v/>
      </c>
      <c r="U1292" s="8">
        <f>(Q1292-P1292*G1292*SIN(RADIANS(E1292)))/M1292</f>
        <v/>
      </c>
      <c r="V1292" s="8">
        <f>SQRT((S1292+U1292)^2+3*T1292^2)</f>
        <v/>
      </c>
      <c r="W1292" s="8">
        <f>V1292/AA1292</f>
        <v/>
      </c>
      <c r="X1292" s="27">
        <f>((3*10+H1292/COS(RADIANS(E1292)))*(3+3)+3*G1292*H1292)*2</f>
        <v/>
      </c>
      <c r="Y1292" s="28">
        <f>Z1292/X1292</f>
        <v/>
      </c>
      <c r="Z1292" s="29" t="n">
        <v>593.264053277707</v>
      </c>
      <c r="AA1292" s="20" t="n">
        <v>38.4564523368265</v>
      </c>
      <c r="AB1292" t="n">
        <v>0.05396521234715704</v>
      </c>
      <c r="AC1292" t="n">
        <v>41.01775675279431</v>
      </c>
      <c r="AD1292" t="n">
        <v>14.45651621508888</v>
      </c>
    </row>
    <row r="1293">
      <c r="A1293" t="n">
        <v>1292</v>
      </c>
      <c r="B1293" t="n">
        <v>78.7</v>
      </c>
      <c r="C1293" s="21">
        <f>B1293-20</f>
        <v/>
      </c>
      <c r="D1293" t="n">
        <v>106.5</v>
      </c>
      <c r="E1293" s="22">
        <f>D1293-90</f>
        <v/>
      </c>
      <c r="F1293" s="23" t="n">
        <v>0.020312</v>
      </c>
      <c r="G1293" s="22" t="n">
        <v>25.4</v>
      </c>
      <c r="H1293" s="22" t="n">
        <v>1.6</v>
      </c>
      <c r="I1293" s="24" t="n">
        <v>0.13600817322731</v>
      </c>
      <c r="J1293" s="6" t="n">
        <v>71000</v>
      </c>
      <c r="K1293" s="25">
        <f>23*10^-6</f>
        <v/>
      </c>
      <c r="L1293" s="8">
        <f>H1293</f>
        <v/>
      </c>
      <c r="M1293" s="26">
        <f>H1293^2/6</f>
        <v/>
      </c>
      <c r="N1293" s="26">
        <f>H1293^3/12</f>
        <v/>
      </c>
      <c r="O1293" s="27">
        <f>-J1293*L1293*K1293*C1293</f>
        <v/>
      </c>
      <c r="P1293" s="28">
        <f>-(12*F1293*J1293*L1293*N1293+12*O1293*N1293*G1293*COS(RADIANS(E1293)))/(12*N1293*G1293*COS(RADIANS(E1293))^2+L1293*G1293^3*SIN(RADIANS(E1293))^2)</f>
        <v/>
      </c>
      <c r="Q1293" s="28">
        <f>-(6*F1293*J1293*L1293*N1293*SIN(RADIANS(E1293))+6*O1293*N1293*G1293*SIN(RADIANS(E1293))*COS(RADIANS(E1293)))/(12*N1293*COS(RADIANS(E1293))^2+L1293*G1293^2*SIN(RADIANS(E1293))^2)</f>
        <v/>
      </c>
      <c r="R1293" s="28">
        <f>-P1293*SIN(RADIANS(E1293))</f>
        <v/>
      </c>
      <c r="S1293" s="8">
        <f>(O1293+P1293*COS(RADIANS(E1293)))/L1293</f>
        <v/>
      </c>
      <c r="T1293" s="8">
        <f>R1293/L1293</f>
        <v/>
      </c>
      <c r="U1293" s="8">
        <f>(Q1293-P1293*G1293*SIN(RADIANS(E1293)))/M1293</f>
        <v/>
      </c>
      <c r="V1293" s="8">
        <f>SQRT((S1293+U1293)^2+3*T1293^2)</f>
        <v/>
      </c>
      <c r="W1293" s="8">
        <f>V1293/AA1293</f>
        <v/>
      </c>
      <c r="X1293" s="27">
        <f>((3*10+H1293/COS(RADIANS(E1293)))*(3+3)+3*G1293*H1293)*2</f>
        <v/>
      </c>
      <c r="Y1293" s="28">
        <f>Z1293/X1293</f>
        <v/>
      </c>
      <c r="Z1293" s="29" t="n">
        <v>628.32902241626</v>
      </c>
      <c r="AA1293" s="20" t="n">
        <v>95.8147858637995</v>
      </c>
      <c r="AB1293" t="n">
        <v>0.1808636825824426</v>
      </c>
      <c r="AC1293" t="n">
        <v>95.93372955569984</v>
      </c>
      <c r="AD1293" t="n">
        <v>32.9800101646581</v>
      </c>
    </row>
    <row r="1294">
      <c r="A1294" t="n">
        <v>1293</v>
      </c>
      <c r="B1294" t="n">
        <v>57.8</v>
      </c>
      <c r="C1294" s="21">
        <f>B1294-20</f>
        <v/>
      </c>
      <c r="D1294" t="n">
        <v>108</v>
      </c>
      <c r="E1294" s="22">
        <f>D1294-90</f>
        <v/>
      </c>
      <c r="F1294" s="23" t="n">
        <v>0.015659</v>
      </c>
      <c r="G1294" s="22" t="n">
        <v>31.9</v>
      </c>
      <c r="H1294" s="22" t="n">
        <v>1.4</v>
      </c>
      <c r="I1294" s="24" t="n">
        <v>0.09730185568332669</v>
      </c>
      <c r="J1294" s="6" t="n">
        <v>71000</v>
      </c>
      <c r="K1294" s="25">
        <f>23*10^-6</f>
        <v/>
      </c>
      <c r="L1294" s="8">
        <f>H1294</f>
        <v/>
      </c>
      <c r="M1294" s="26">
        <f>H1294^2/6</f>
        <v/>
      </c>
      <c r="N1294" s="26">
        <f>H1294^3/12</f>
        <v/>
      </c>
      <c r="O1294" s="27">
        <f>-J1294*L1294*K1294*C1294</f>
        <v/>
      </c>
      <c r="P1294" s="28">
        <f>-(12*F1294*J1294*L1294*N1294+12*O1294*N1294*G1294*COS(RADIANS(E1294)))/(12*N1294*G1294*COS(RADIANS(E1294))^2+L1294*G1294^3*SIN(RADIANS(E1294))^2)</f>
        <v/>
      </c>
      <c r="Q1294" s="28">
        <f>-(6*F1294*J1294*L1294*N1294*SIN(RADIANS(E1294))+6*O1294*N1294*G1294*SIN(RADIANS(E1294))*COS(RADIANS(E1294)))/(12*N1294*COS(RADIANS(E1294))^2+L1294*G1294^2*SIN(RADIANS(E1294))^2)</f>
        <v/>
      </c>
      <c r="R1294" s="28">
        <f>-P1294*SIN(RADIANS(E1294))</f>
        <v/>
      </c>
      <c r="S1294" s="8">
        <f>(O1294+P1294*COS(RADIANS(E1294)))/L1294</f>
        <v/>
      </c>
      <c r="T1294" s="8">
        <f>R1294/L1294</f>
        <v/>
      </c>
      <c r="U1294" s="8">
        <f>(Q1294-P1294*G1294*SIN(RADIANS(E1294)))/M1294</f>
        <v/>
      </c>
      <c r="V1294" s="8">
        <f>SQRT((S1294+U1294)^2+3*T1294^2)</f>
        <v/>
      </c>
      <c r="W1294" s="8">
        <f>V1294/AA1294</f>
        <v/>
      </c>
      <c r="X1294" s="27">
        <f>((3*10+H1294/COS(RADIANS(E1294)))*(3+3)+3*G1294*H1294)*2</f>
        <v/>
      </c>
      <c r="Y1294" s="28">
        <f>Z1294/X1294</f>
        <v/>
      </c>
      <c r="Z1294" s="29" t="n">
        <v>650.293288134563</v>
      </c>
      <c r="AA1294" s="20" t="n">
        <v>57.2169313564473</v>
      </c>
      <c r="AB1294" t="n">
        <v>0.1353796245959213</v>
      </c>
      <c r="AC1294" t="n">
        <v>58.61009256524734</v>
      </c>
      <c r="AD1294" t="n">
        <v>39.13365130108144</v>
      </c>
    </row>
    <row r="1295">
      <c r="A1295" t="n">
        <v>1294</v>
      </c>
      <c r="B1295" t="n">
        <v>83.7</v>
      </c>
      <c r="C1295" s="21">
        <f>B1295-20</f>
        <v/>
      </c>
      <c r="D1295" t="n">
        <v>122.8</v>
      </c>
      <c r="E1295" s="22">
        <f>D1295-90</f>
        <v/>
      </c>
      <c r="F1295" s="23" t="n">
        <v>0.017053</v>
      </c>
      <c r="G1295" s="22" t="n">
        <v>20.8</v>
      </c>
      <c r="H1295" s="22" t="n">
        <v>1.9</v>
      </c>
      <c r="I1295" s="24" t="n">
        <v>0.0811687037348747</v>
      </c>
      <c r="J1295" s="6" t="n">
        <v>71000</v>
      </c>
      <c r="K1295" s="25">
        <f>23*10^-6</f>
        <v/>
      </c>
      <c r="L1295" s="8">
        <f>H1295</f>
        <v/>
      </c>
      <c r="M1295" s="26">
        <f>H1295^2/6</f>
        <v/>
      </c>
      <c r="N1295" s="26">
        <f>H1295^3/12</f>
        <v/>
      </c>
      <c r="O1295" s="27">
        <f>-J1295*L1295*K1295*C1295</f>
        <v/>
      </c>
      <c r="P1295" s="28">
        <f>-(12*F1295*J1295*L1295*N1295+12*O1295*N1295*G1295*COS(RADIANS(E1295)))/(12*N1295*G1295*COS(RADIANS(E1295))^2+L1295*G1295^3*SIN(RADIANS(E1295))^2)</f>
        <v/>
      </c>
      <c r="Q1295" s="28">
        <f>-(6*F1295*J1295*L1295*N1295*SIN(RADIANS(E1295))+6*O1295*N1295*G1295*SIN(RADIANS(E1295))*COS(RADIANS(E1295)))/(12*N1295*COS(RADIANS(E1295))^2+L1295*G1295^2*SIN(RADIANS(E1295))^2)</f>
        <v/>
      </c>
      <c r="R1295" s="28">
        <f>-P1295*SIN(RADIANS(E1295))</f>
        <v/>
      </c>
      <c r="S1295" s="8">
        <f>(O1295+P1295*COS(RADIANS(E1295)))/L1295</f>
        <v/>
      </c>
      <c r="T1295" s="8">
        <f>R1295/L1295</f>
        <v/>
      </c>
      <c r="U1295" s="8">
        <f>(Q1295-P1295*G1295*SIN(RADIANS(E1295)))/M1295</f>
        <v/>
      </c>
      <c r="V1295" s="8">
        <f>SQRT((S1295+U1295)^2+3*T1295^2)</f>
        <v/>
      </c>
      <c r="W1295" s="8">
        <f>V1295/AA1295</f>
        <v/>
      </c>
      <c r="X1295" s="27">
        <f>((3*10+H1295/COS(RADIANS(E1295)))*(3+3)+3*G1295*H1295)*2</f>
        <v/>
      </c>
      <c r="Y1295" s="28">
        <f>Z1295/X1295</f>
        <v/>
      </c>
      <c r="Z1295" s="29" t="n">
        <v>632.23035958807</v>
      </c>
      <c r="AA1295" s="20" t="n">
        <v>108.103689404942</v>
      </c>
      <c r="AB1295" t="n">
        <v>0.08087174210544837</v>
      </c>
      <c r="AC1295" t="n">
        <v>96.91648500855023</v>
      </c>
      <c r="AD1295" t="n">
        <v>-0.3658573018442048</v>
      </c>
    </row>
    <row r="1296">
      <c r="A1296" t="n">
        <v>1295</v>
      </c>
      <c r="B1296" t="n">
        <v>82.09999999999999</v>
      </c>
      <c r="C1296" s="21">
        <f>B1296-20</f>
        <v/>
      </c>
      <c r="D1296" t="n">
        <v>112.6</v>
      </c>
      <c r="E1296" s="22">
        <f>D1296-90</f>
        <v/>
      </c>
      <c r="F1296" s="23" t="n">
        <v>0.020195</v>
      </c>
      <c r="G1296" s="22" t="n">
        <v>24.4</v>
      </c>
      <c r="H1296" s="22" t="n">
        <v>1.9</v>
      </c>
      <c r="I1296" s="24" t="n">
        <v>0.111245661973953</v>
      </c>
      <c r="J1296" s="6" t="n">
        <v>71000</v>
      </c>
      <c r="K1296" s="25">
        <f>23*10^-6</f>
        <v/>
      </c>
      <c r="L1296" s="8">
        <f>H1296</f>
        <v/>
      </c>
      <c r="M1296" s="26">
        <f>H1296^2/6</f>
        <v/>
      </c>
      <c r="N1296" s="26">
        <f>H1296^3/12</f>
        <v/>
      </c>
      <c r="O1296" s="27">
        <f>-J1296*L1296*K1296*C1296</f>
        <v/>
      </c>
      <c r="P1296" s="28">
        <f>-(12*F1296*J1296*L1296*N1296+12*O1296*N1296*G1296*COS(RADIANS(E1296)))/(12*N1296*G1296*COS(RADIANS(E1296))^2+L1296*G1296^3*SIN(RADIANS(E1296))^2)</f>
        <v/>
      </c>
      <c r="Q1296" s="28">
        <f>-(6*F1296*J1296*L1296*N1296*SIN(RADIANS(E1296))+6*O1296*N1296*G1296*SIN(RADIANS(E1296))*COS(RADIANS(E1296)))/(12*N1296*COS(RADIANS(E1296))^2+L1296*G1296^2*SIN(RADIANS(E1296))^2)</f>
        <v/>
      </c>
      <c r="R1296" s="28">
        <f>-P1296*SIN(RADIANS(E1296))</f>
        <v/>
      </c>
      <c r="S1296" s="8">
        <f>(O1296+P1296*COS(RADIANS(E1296)))/L1296</f>
        <v/>
      </c>
      <c r="T1296" s="8">
        <f>R1296/L1296</f>
        <v/>
      </c>
      <c r="U1296" s="8">
        <f>(Q1296-P1296*G1296*SIN(RADIANS(E1296)))/M1296</f>
        <v/>
      </c>
      <c r="V1296" s="8">
        <f>SQRT((S1296+U1296)^2+3*T1296^2)</f>
        <v/>
      </c>
      <c r="W1296" s="8">
        <f>V1296/AA1296</f>
        <v/>
      </c>
      <c r="X1296" s="27">
        <f>((3*10+H1296/COS(RADIANS(E1296)))*(3+3)+3*G1296*H1296)*2</f>
        <v/>
      </c>
      <c r="Y1296" s="28">
        <f>Z1296/X1296</f>
        <v/>
      </c>
      <c r="Z1296" s="29" t="n">
        <v>668.2863092677489</v>
      </c>
      <c r="AA1296" s="20" t="n">
        <v>105.467632682472</v>
      </c>
      <c r="AB1296" t="n">
        <v>0.1342112049097383</v>
      </c>
      <c r="AC1296" t="n">
        <v>99.19964032330654</v>
      </c>
      <c r="AD1296" t="n">
        <v>20.64398964263652</v>
      </c>
    </row>
    <row r="1297">
      <c r="A1297" t="n">
        <v>1296</v>
      </c>
      <c r="B1297" t="n">
        <v>89.5</v>
      </c>
      <c r="C1297" s="21">
        <f>B1297-20</f>
        <v/>
      </c>
      <c r="D1297" t="n">
        <v>108.3</v>
      </c>
      <c r="E1297" s="22">
        <f>D1297-90</f>
        <v/>
      </c>
      <c r="F1297" s="23" t="n">
        <v>0.020024</v>
      </c>
      <c r="G1297" s="22" t="n">
        <v>20.3</v>
      </c>
      <c r="H1297" s="22" t="n">
        <v>1.3</v>
      </c>
      <c r="I1297" s="24" t="n">
        <v>0.129292085766792</v>
      </c>
      <c r="J1297" s="6" t="n">
        <v>71000</v>
      </c>
      <c r="K1297" s="25">
        <f>23*10^-6</f>
        <v/>
      </c>
      <c r="L1297" s="8">
        <f>H1297</f>
        <v/>
      </c>
      <c r="M1297" s="26">
        <f>H1297^2/6</f>
        <v/>
      </c>
      <c r="N1297" s="26">
        <f>H1297^3/12</f>
        <v/>
      </c>
      <c r="O1297" s="27">
        <f>-J1297*L1297*K1297*C1297</f>
        <v/>
      </c>
      <c r="P1297" s="28">
        <f>-(12*F1297*J1297*L1297*N1297+12*O1297*N1297*G1297*COS(RADIANS(E1297)))/(12*N1297*G1297*COS(RADIANS(E1297))^2+L1297*G1297^3*SIN(RADIANS(E1297))^2)</f>
        <v/>
      </c>
      <c r="Q1297" s="28">
        <f>-(6*F1297*J1297*L1297*N1297*SIN(RADIANS(E1297))+6*O1297*N1297*G1297*SIN(RADIANS(E1297))*COS(RADIANS(E1297)))/(12*N1297*COS(RADIANS(E1297))^2+L1297*G1297^2*SIN(RADIANS(E1297))^2)</f>
        <v/>
      </c>
      <c r="R1297" s="28">
        <f>-P1297*SIN(RADIANS(E1297))</f>
        <v/>
      </c>
      <c r="S1297" s="8">
        <f>(O1297+P1297*COS(RADIANS(E1297)))/L1297</f>
        <v/>
      </c>
      <c r="T1297" s="8">
        <f>R1297/L1297</f>
        <v/>
      </c>
      <c r="U1297" s="8">
        <f>(Q1297-P1297*G1297*SIN(RADIANS(E1297)))/M1297</f>
        <v/>
      </c>
      <c r="V1297" s="8">
        <f>SQRT((S1297+U1297)^2+3*T1297^2)</f>
        <v/>
      </c>
      <c r="W1297" s="8">
        <f>V1297/AA1297</f>
        <v/>
      </c>
      <c r="X1297" s="27">
        <f>((3*10+H1297/COS(RADIANS(E1297)))*(3+3)+3*G1297*H1297)*2</f>
        <v/>
      </c>
      <c r="Y1297" s="28">
        <f>Z1297/X1297</f>
        <v/>
      </c>
      <c r="Z1297" s="29" t="n">
        <v>539.483064125431</v>
      </c>
      <c r="AA1297" s="20" t="n">
        <v>107.133681937259</v>
      </c>
      <c r="AB1297" t="n">
        <v>0.1577297323508646</v>
      </c>
      <c r="AC1297" t="n">
        <v>110.4637482861243</v>
      </c>
      <c r="AD1297" t="n">
        <v>21.99488577774699</v>
      </c>
    </row>
    <row r="1298">
      <c r="A1298" t="n">
        <v>1297</v>
      </c>
      <c r="B1298" t="n">
        <v>45.5</v>
      </c>
      <c r="C1298" s="21">
        <f>B1298-20</f>
        <v/>
      </c>
      <c r="D1298" t="n">
        <v>127.7</v>
      </c>
      <c r="E1298" s="22">
        <f>D1298-90</f>
        <v/>
      </c>
      <c r="F1298" s="23" t="n">
        <v>0.00915</v>
      </c>
      <c r="G1298" s="22" t="n">
        <v>32.2</v>
      </c>
      <c r="H1298" s="22" t="n">
        <v>1.1</v>
      </c>
      <c r="I1298" s="24" t="n">
        <v>0.0391804873943328</v>
      </c>
      <c r="J1298" s="6" t="n">
        <v>71000</v>
      </c>
      <c r="K1298" s="25">
        <f>23*10^-6</f>
        <v/>
      </c>
      <c r="L1298" s="8">
        <f>H1298</f>
        <v/>
      </c>
      <c r="M1298" s="26">
        <f>H1298^2/6</f>
        <v/>
      </c>
      <c r="N1298" s="26">
        <f>H1298^3/12</f>
        <v/>
      </c>
      <c r="O1298" s="27">
        <f>-J1298*L1298*K1298*C1298</f>
        <v/>
      </c>
      <c r="P1298" s="28">
        <f>-(12*F1298*J1298*L1298*N1298+12*O1298*N1298*G1298*COS(RADIANS(E1298)))/(12*N1298*G1298*COS(RADIANS(E1298))^2+L1298*G1298^3*SIN(RADIANS(E1298))^2)</f>
        <v/>
      </c>
      <c r="Q1298" s="28">
        <f>-(6*F1298*J1298*L1298*N1298*SIN(RADIANS(E1298))+6*O1298*N1298*G1298*SIN(RADIANS(E1298))*COS(RADIANS(E1298)))/(12*N1298*COS(RADIANS(E1298))^2+L1298*G1298^2*SIN(RADIANS(E1298))^2)</f>
        <v/>
      </c>
      <c r="R1298" s="28">
        <f>-P1298*SIN(RADIANS(E1298))</f>
        <v/>
      </c>
      <c r="S1298" s="8">
        <f>(O1298+P1298*COS(RADIANS(E1298)))/L1298</f>
        <v/>
      </c>
      <c r="T1298" s="8">
        <f>R1298/L1298</f>
        <v/>
      </c>
      <c r="U1298" s="8">
        <f>(Q1298-P1298*G1298*SIN(RADIANS(E1298)))/M1298</f>
        <v/>
      </c>
      <c r="V1298" s="8">
        <f>SQRT((S1298+U1298)^2+3*T1298^2)</f>
        <v/>
      </c>
      <c r="W1298" s="8">
        <f>V1298/AA1298</f>
        <v/>
      </c>
      <c r="X1298" s="27">
        <f>((3*10+H1298/COS(RADIANS(E1298)))*(3+3)+3*G1298*H1298)*2</f>
        <v/>
      </c>
      <c r="Y1298" s="28">
        <f>Z1298/X1298</f>
        <v/>
      </c>
      <c r="Z1298" s="29" t="n">
        <v>598.969420056682</v>
      </c>
      <c r="AA1298" s="20" t="n">
        <v>33.1274886644447</v>
      </c>
      <c r="AB1298" t="n">
        <v>0.04262444777430673</v>
      </c>
      <c r="AC1298" t="n">
        <v>35.98064543304331</v>
      </c>
      <c r="AD1298" t="n">
        <v>8.789988611708974</v>
      </c>
    </row>
    <row r="1299">
      <c r="A1299" t="n">
        <v>1298</v>
      </c>
      <c r="B1299" t="n">
        <v>75.8</v>
      </c>
      <c r="C1299" s="21">
        <f>B1299-20</f>
        <v/>
      </c>
      <c r="D1299" t="n">
        <v>128</v>
      </c>
      <c r="E1299" s="22">
        <f>D1299-90</f>
        <v/>
      </c>
      <c r="F1299" s="23" t="n">
        <v>0.015446</v>
      </c>
      <c r="G1299" s="22" t="n">
        <v>23.2</v>
      </c>
      <c r="H1299" s="22" t="n">
        <v>1.3</v>
      </c>
      <c r="I1299" s="24" t="n">
        <v>0.0693870112299919</v>
      </c>
      <c r="J1299" s="6" t="n">
        <v>71000</v>
      </c>
      <c r="K1299" s="25">
        <f>23*10^-6</f>
        <v/>
      </c>
      <c r="L1299" s="8">
        <f>H1299</f>
        <v/>
      </c>
      <c r="M1299" s="26">
        <f>H1299^2/6</f>
        <v/>
      </c>
      <c r="N1299" s="26">
        <f>H1299^3/12</f>
        <v/>
      </c>
      <c r="O1299" s="27">
        <f>-J1299*L1299*K1299*C1299</f>
        <v/>
      </c>
      <c r="P1299" s="28">
        <f>-(12*F1299*J1299*L1299*N1299+12*O1299*N1299*G1299*COS(RADIANS(E1299)))/(12*N1299*G1299*COS(RADIANS(E1299))^2+L1299*G1299^3*SIN(RADIANS(E1299))^2)</f>
        <v/>
      </c>
      <c r="Q1299" s="28">
        <f>-(6*F1299*J1299*L1299*N1299*SIN(RADIANS(E1299))+6*O1299*N1299*G1299*SIN(RADIANS(E1299))*COS(RADIANS(E1299)))/(12*N1299*COS(RADIANS(E1299))^2+L1299*G1299^2*SIN(RADIANS(E1299))^2)</f>
        <v/>
      </c>
      <c r="R1299" s="28">
        <f>-P1299*SIN(RADIANS(E1299))</f>
        <v/>
      </c>
      <c r="S1299" s="8">
        <f>(O1299+P1299*COS(RADIANS(E1299)))/L1299</f>
        <v/>
      </c>
      <c r="T1299" s="8">
        <f>R1299/L1299</f>
        <v/>
      </c>
      <c r="U1299" s="8">
        <f>(Q1299-P1299*G1299*SIN(RADIANS(E1299)))/M1299</f>
        <v/>
      </c>
      <c r="V1299" s="8">
        <f>SQRT((S1299+U1299)^2+3*T1299^2)</f>
        <v/>
      </c>
      <c r="W1299" s="8">
        <f>V1299/AA1299</f>
        <v/>
      </c>
      <c r="X1299" s="27">
        <f>((3*10+H1299/COS(RADIANS(E1299)))*(3+3)+3*G1299*H1299)*2</f>
        <v/>
      </c>
      <c r="Y1299" s="28">
        <f>Z1299/X1299</f>
        <v/>
      </c>
      <c r="Z1299" s="29" t="n">
        <v>570.646750702515</v>
      </c>
      <c r="AA1299" s="20" t="n">
        <v>79.35906859553189</v>
      </c>
      <c r="AB1299" t="n">
        <v>0.06772218732489953</v>
      </c>
      <c r="AC1299" t="n">
        <v>80.29684716950304</v>
      </c>
      <c r="AD1299" t="n">
        <v>-2.399330761738829</v>
      </c>
    </row>
    <row r="1300">
      <c r="A1300" t="n">
        <v>1299</v>
      </c>
      <c r="B1300" t="n">
        <v>46.7</v>
      </c>
      <c r="C1300" s="21">
        <f>B1300-20</f>
        <v/>
      </c>
      <c r="D1300" t="n">
        <v>106.5</v>
      </c>
      <c r="E1300" s="22">
        <f>D1300-90</f>
        <v/>
      </c>
      <c r="F1300" s="23" t="n">
        <v>0.009063999999999999</v>
      </c>
      <c r="G1300" s="22" t="n">
        <v>24.8</v>
      </c>
      <c r="H1300" s="22" t="n">
        <v>1.5</v>
      </c>
      <c r="I1300" s="24" t="n">
        <v>0.0610162056982517</v>
      </c>
      <c r="J1300" s="6" t="n">
        <v>71000</v>
      </c>
      <c r="K1300" s="25">
        <f>23*10^-6</f>
        <v/>
      </c>
      <c r="L1300" s="8">
        <f>H1300</f>
        <v/>
      </c>
      <c r="M1300" s="26">
        <f>H1300^2/6</f>
        <v/>
      </c>
      <c r="N1300" s="26">
        <f>H1300^3/12</f>
        <v/>
      </c>
      <c r="O1300" s="27">
        <f>-J1300*L1300*K1300*C1300</f>
        <v/>
      </c>
      <c r="P1300" s="28">
        <f>-(12*F1300*J1300*L1300*N1300+12*O1300*N1300*G1300*COS(RADIANS(E1300)))/(12*N1300*G1300*COS(RADIANS(E1300))^2+L1300*G1300^3*SIN(RADIANS(E1300))^2)</f>
        <v/>
      </c>
      <c r="Q1300" s="28">
        <f>-(6*F1300*J1300*L1300*N1300*SIN(RADIANS(E1300))+6*O1300*N1300*G1300*SIN(RADIANS(E1300))*COS(RADIANS(E1300)))/(12*N1300*COS(RADIANS(E1300))^2+L1300*G1300^2*SIN(RADIANS(E1300))^2)</f>
        <v/>
      </c>
      <c r="R1300" s="28">
        <f>-P1300*SIN(RADIANS(E1300))</f>
        <v/>
      </c>
      <c r="S1300" s="8">
        <f>(O1300+P1300*COS(RADIANS(E1300)))/L1300</f>
        <v/>
      </c>
      <c r="T1300" s="8">
        <f>R1300/L1300</f>
        <v/>
      </c>
      <c r="U1300" s="8">
        <f>(Q1300-P1300*G1300*SIN(RADIANS(E1300)))/M1300</f>
        <v/>
      </c>
      <c r="V1300" s="8">
        <f>SQRT((S1300+U1300)^2+3*T1300^2)</f>
        <v/>
      </c>
      <c r="W1300" s="8">
        <f>V1300/AA1300</f>
        <v/>
      </c>
      <c r="X1300" s="27">
        <f>((3*10+H1300/COS(RADIANS(E1300)))*(3+3)+3*G1300*H1300)*2</f>
        <v/>
      </c>
      <c r="Y1300" s="28">
        <f>Z1300/X1300</f>
        <v/>
      </c>
      <c r="Z1300" s="29" t="n">
        <v>606.437483720964</v>
      </c>
      <c r="AA1300" s="20" t="n">
        <v>42.6672242380535</v>
      </c>
      <c r="AB1300" t="n">
        <v>0.08074400364838996</v>
      </c>
      <c r="AC1300" t="n">
        <v>43.31624518276329</v>
      </c>
      <c r="AD1300" t="n">
        <v>32.33206280918172</v>
      </c>
    </row>
    <row r="1301">
      <c r="A1301" t="n">
        <v>1300</v>
      </c>
      <c r="B1301" t="n">
        <v>75</v>
      </c>
      <c r="C1301" s="21">
        <f>B1301-20</f>
        <v/>
      </c>
      <c r="D1301" t="n">
        <v>103.8</v>
      </c>
      <c r="E1301" s="22">
        <f>D1301-90</f>
        <v/>
      </c>
      <c r="F1301" s="23" t="n">
        <v>0.02209</v>
      </c>
      <c r="G1301" s="22" t="n">
        <v>30.1</v>
      </c>
      <c r="H1301" s="22" t="n">
        <v>1.4</v>
      </c>
      <c r="I1301" s="24" t="n">
        <v>0.16688348352909</v>
      </c>
      <c r="J1301" s="6" t="n">
        <v>71000</v>
      </c>
      <c r="K1301" s="25">
        <f>23*10^-6</f>
        <v/>
      </c>
      <c r="L1301" s="8">
        <f>H1301</f>
        <v/>
      </c>
      <c r="M1301" s="26">
        <f>H1301^2/6</f>
        <v/>
      </c>
      <c r="N1301" s="26">
        <f>H1301^3/12</f>
        <v/>
      </c>
      <c r="O1301" s="27">
        <f>-J1301*L1301*K1301*C1301</f>
        <v/>
      </c>
      <c r="P1301" s="28">
        <f>-(12*F1301*J1301*L1301*N1301+12*O1301*N1301*G1301*COS(RADIANS(E1301)))/(12*N1301*G1301*COS(RADIANS(E1301))^2+L1301*G1301^3*SIN(RADIANS(E1301))^2)</f>
        <v/>
      </c>
      <c r="Q1301" s="28">
        <f>-(6*F1301*J1301*L1301*N1301*SIN(RADIANS(E1301))+6*O1301*N1301*G1301*SIN(RADIANS(E1301))*COS(RADIANS(E1301)))/(12*N1301*COS(RADIANS(E1301))^2+L1301*G1301^2*SIN(RADIANS(E1301))^2)</f>
        <v/>
      </c>
      <c r="R1301" s="28">
        <f>-P1301*SIN(RADIANS(E1301))</f>
        <v/>
      </c>
      <c r="S1301" s="8">
        <f>(O1301+P1301*COS(RADIANS(E1301)))/L1301</f>
        <v/>
      </c>
      <c r="T1301" s="8">
        <f>R1301/L1301</f>
        <v/>
      </c>
      <c r="U1301" s="8">
        <f>(Q1301-P1301*G1301*SIN(RADIANS(E1301)))/M1301</f>
        <v/>
      </c>
      <c r="V1301" s="8">
        <f>SQRT((S1301+U1301)^2+3*T1301^2)</f>
        <v/>
      </c>
      <c r="W1301" s="8">
        <f>V1301/AA1301</f>
        <v/>
      </c>
      <c r="X1301" s="27">
        <f>((3*10+H1301/COS(RADIANS(E1301)))*(3+3)+3*G1301*H1301)*2</f>
        <v/>
      </c>
      <c r="Y1301" s="28">
        <f>Z1301/X1301</f>
        <v/>
      </c>
      <c r="Z1301" s="29" t="n">
        <v>634.28635702182</v>
      </c>
      <c r="AA1301" s="20" t="n">
        <v>85.0104901549248</v>
      </c>
      <c r="AB1301" t="n">
        <v>0.2407348047681956</v>
      </c>
      <c r="AC1301" t="n">
        <v>89.15396027697432</v>
      </c>
      <c r="AD1301" t="n">
        <v>44.25322367281021</v>
      </c>
    </row>
    <row r="1302">
      <c r="A1302" t="n">
        <v>1301</v>
      </c>
      <c r="B1302" t="n">
        <v>61.9</v>
      </c>
      <c r="C1302" s="21">
        <f>B1302-20</f>
        <v/>
      </c>
      <c r="D1302" t="n">
        <v>123.6</v>
      </c>
      <c r="E1302" s="22">
        <f>D1302-90</f>
        <v/>
      </c>
      <c r="F1302" s="23" t="n">
        <v>0.011937</v>
      </c>
      <c r="G1302" s="22" t="n">
        <v>22.8</v>
      </c>
      <c r="H1302" s="22" t="n">
        <v>1.9</v>
      </c>
      <c r="I1302" s="24" t="n">
        <v>0.0555936731398105</v>
      </c>
      <c r="J1302" s="6" t="n">
        <v>71000</v>
      </c>
      <c r="K1302" s="25">
        <f>23*10^-6</f>
        <v/>
      </c>
      <c r="L1302" s="8">
        <f>H1302</f>
        <v/>
      </c>
      <c r="M1302" s="26">
        <f>H1302^2/6</f>
        <v/>
      </c>
      <c r="N1302" s="26">
        <f>H1302^3/12</f>
        <v/>
      </c>
      <c r="O1302" s="27">
        <f>-J1302*L1302*K1302*C1302</f>
        <v/>
      </c>
      <c r="P1302" s="28">
        <f>-(12*F1302*J1302*L1302*N1302+12*O1302*N1302*G1302*COS(RADIANS(E1302)))/(12*N1302*G1302*COS(RADIANS(E1302))^2+L1302*G1302^3*SIN(RADIANS(E1302))^2)</f>
        <v/>
      </c>
      <c r="Q1302" s="28">
        <f>-(6*F1302*J1302*L1302*N1302*SIN(RADIANS(E1302))+6*O1302*N1302*G1302*SIN(RADIANS(E1302))*COS(RADIANS(E1302)))/(12*N1302*COS(RADIANS(E1302))^2+L1302*G1302^2*SIN(RADIANS(E1302))^2)</f>
        <v/>
      </c>
      <c r="R1302" s="28">
        <f>-P1302*SIN(RADIANS(E1302))</f>
        <v/>
      </c>
      <c r="S1302" s="8">
        <f>(O1302+P1302*COS(RADIANS(E1302)))/L1302</f>
        <v/>
      </c>
      <c r="T1302" s="8">
        <f>R1302/L1302</f>
        <v/>
      </c>
      <c r="U1302" s="8">
        <f>(Q1302-P1302*G1302*SIN(RADIANS(E1302)))/M1302</f>
        <v/>
      </c>
      <c r="V1302" s="8">
        <f>SQRT((S1302+U1302)^2+3*T1302^2)</f>
        <v/>
      </c>
      <c r="W1302" s="8">
        <f>V1302/AA1302</f>
        <v/>
      </c>
      <c r="X1302" s="27">
        <f>((3*10+H1302/COS(RADIANS(E1302)))*(3+3)+3*G1302*H1302)*2</f>
        <v/>
      </c>
      <c r="Y1302" s="28">
        <f>Z1302/X1302</f>
        <v/>
      </c>
      <c r="Z1302" s="29" t="n">
        <v>655.541414871939</v>
      </c>
      <c r="AA1302" s="20" t="n">
        <v>69.20989343559491</v>
      </c>
      <c r="AB1302" t="n">
        <v>0.05665548932878542</v>
      </c>
      <c r="AC1302" t="n">
        <v>63.22442849648646</v>
      </c>
      <c r="AD1302" t="n">
        <v>1.909958685954419</v>
      </c>
    </row>
    <row r="1303">
      <c r="A1303" t="n">
        <v>1302</v>
      </c>
      <c r="B1303" t="n">
        <v>51.2</v>
      </c>
      <c r="C1303" s="21">
        <f>B1303-20</f>
        <v/>
      </c>
      <c r="D1303" t="n">
        <v>113.6</v>
      </c>
      <c r="E1303" s="22">
        <f>D1303-90</f>
        <v/>
      </c>
      <c r="F1303" s="23" t="n">
        <v>0.011814</v>
      </c>
      <c r="G1303" s="22" t="n">
        <v>29.7</v>
      </c>
      <c r="H1303" s="22" t="n">
        <v>1.7</v>
      </c>
      <c r="I1303" s="24" t="n">
        <v>0.0621621310710907</v>
      </c>
      <c r="J1303" s="6" t="n">
        <v>71000</v>
      </c>
      <c r="K1303" s="25">
        <f>23*10^-6</f>
        <v/>
      </c>
      <c r="L1303" s="8">
        <f>H1303</f>
        <v/>
      </c>
      <c r="M1303" s="26">
        <f>H1303^2/6</f>
        <v/>
      </c>
      <c r="N1303" s="26">
        <f>H1303^3/12</f>
        <v/>
      </c>
      <c r="O1303" s="27">
        <f>-J1303*L1303*K1303*C1303</f>
        <v/>
      </c>
      <c r="P1303" s="28">
        <f>-(12*F1303*J1303*L1303*N1303+12*O1303*N1303*G1303*COS(RADIANS(E1303)))/(12*N1303*G1303*COS(RADIANS(E1303))^2+L1303*G1303^3*SIN(RADIANS(E1303))^2)</f>
        <v/>
      </c>
      <c r="Q1303" s="28">
        <f>-(6*F1303*J1303*L1303*N1303*SIN(RADIANS(E1303))+6*O1303*N1303*G1303*SIN(RADIANS(E1303))*COS(RADIANS(E1303)))/(12*N1303*COS(RADIANS(E1303))^2+L1303*G1303^2*SIN(RADIANS(E1303))^2)</f>
        <v/>
      </c>
      <c r="R1303" s="28">
        <f>-P1303*SIN(RADIANS(E1303))</f>
        <v/>
      </c>
      <c r="S1303" s="8">
        <f>(O1303+P1303*COS(RADIANS(E1303)))/L1303</f>
        <v/>
      </c>
      <c r="T1303" s="8">
        <f>R1303/L1303</f>
        <v/>
      </c>
      <c r="U1303" s="8">
        <f>(Q1303-P1303*G1303*SIN(RADIANS(E1303)))/M1303</f>
        <v/>
      </c>
      <c r="V1303" s="8">
        <f>SQRT((S1303+U1303)^2+3*T1303^2)</f>
        <v/>
      </c>
      <c r="W1303" s="8">
        <f>V1303/AA1303</f>
        <v/>
      </c>
      <c r="X1303" s="27">
        <f>((3*10+H1303/COS(RADIANS(E1303)))*(3+3)+3*G1303*H1303)*2</f>
        <v/>
      </c>
      <c r="Y1303" s="28">
        <f>Z1303/X1303</f>
        <v/>
      </c>
      <c r="Z1303" s="29" t="n">
        <v>690.826058284851</v>
      </c>
      <c r="AA1303" s="20" t="n">
        <v>48.8734343393601</v>
      </c>
      <c r="AB1303" t="n">
        <v>0.07883531396117407</v>
      </c>
      <c r="AC1303" t="n">
        <v>48.023830729283</v>
      </c>
      <c r="AD1303" t="n">
        <v>26.82209023853343</v>
      </c>
    </row>
    <row r="1304">
      <c r="A1304" t="n">
        <v>1303</v>
      </c>
      <c r="B1304" t="n">
        <v>77.5</v>
      </c>
      <c r="C1304" s="21">
        <f>B1304-20</f>
        <v/>
      </c>
      <c r="D1304" t="n">
        <v>108.1</v>
      </c>
      <c r="E1304" s="22">
        <f>D1304-90</f>
        <v/>
      </c>
      <c r="F1304" s="23" t="n">
        <v>0.017329</v>
      </c>
      <c r="G1304" s="22" t="n">
        <v>21.5</v>
      </c>
      <c r="H1304" s="22" t="n">
        <v>1.6</v>
      </c>
      <c r="I1304" s="24" t="n">
        <v>0.110820986330509</v>
      </c>
      <c r="J1304" s="6" t="n">
        <v>71000</v>
      </c>
      <c r="K1304" s="25">
        <f>23*10^-6</f>
        <v/>
      </c>
      <c r="L1304" s="8">
        <f>H1304</f>
        <v/>
      </c>
      <c r="M1304" s="26">
        <f>H1304^2/6</f>
        <v/>
      </c>
      <c r="N1304" s="26">
        <f>H1304^3/12</f>
        <v/>
      </c>
      <c r="O1304" s="27">
        <f>-J1304*L1304*K1304*C1304</f>
        <v/>
      </c>
      <c r="P1304" s="28">
        <f>-(12*F1304*J1304*L1304*N1304+12*O1304*N1304*G1304*COS(RADIANS(E1304)))/(12*N1304*G1304*COS(RADIANS(E1304))^2+L1304*G1304^3*SIN(RADIANS(E1304))^2)</f>
        <v/>
      </c>
      <c r="Q1304" s="28">
        <f>-(6*F1304*J1304*L1304*N1304*SIN(RADIANS(E1304))+6*O1304*N1304*G1304*SIN(RADIANS(E1304))*COS(RADIANS(E1304)))/(12*N1304*COS(RADIANS(E1304))^2+L1304*G1304^2*SIN(RADIANS(E1304))^2)</f>
        <v/>
      </c>
      <c r="R1304" s="28">
        <f>-P1304*SIN(RADIANS(E1304))</f>
        <v/>
      </c>
      <c r="S1304" s="8">
        <f>(O1304+P1304*COS(RADIANS(E1304)))/L1304</f>
        <v/>
      </c>
      <c r="T1304" s="8">
        <f>R1304/L1304</f>
        <v/>
      </c>
      <c r="U1304" s="8">
        <f>(Q1304-P1304*G1304*SIN(RADIANS(E1304)))/M1304</f>
        <v/>
      </c>
      <c r="V1304" s="8">
        <f>SQRT((S1304+U1304)^2+3*T1304^2)</f>
        <v/>
      </c>
      <c r="W1304" s="8">
        <f>V1304/AA1304</f>
        <v/>
      </c>
      <c r="X1304" s="27">
        <f>((3*10+H1304/COS(RADIANS(E1304)))*(3+3)+3*G1304*H1304)*2</f>
        <v/>
      </c>
      <c r="Y1304" s="28">
        <f>Z1304/X1304</f>
        <v/>
      </c>
      <c r="Z1304" s="29" t="n">
        <v>591.282640446214</v>
      </c>
      <c r="AA1304" s="20" t="n">
        <v>95.812907566036</v>
      </c>
      <c r="AB1304" t="n">
        <v>0.13713697088064</v>
      </c>
      <c r="AC1304" t="n">
        <v>93.8625954955709</v>
      </c>
      <c r="AD1304" t="n">
        <v>23.74639084301872</v>
      </c>
    </row>
    <row r="1305">
      <c r="A1305" t="n">
        <v>1304</v>
      </c>
      <c r="B1305" t="n">
        <v>82.5</v>
      </c>
      <c r="C1305" s="21">
        <f>B1305-20</f>
        <v/>
      </c>
      <c r="D1305" t="n">
        <v>122.9</v>
      </c>
      <c r="E1305" s="22">
        <f>D1305-90</f>
        <v/>
      </c>
      <c r="F1305" s="23" t="n">
        <v>0.022162</v>
      </c>
      <c r="G1305" s="22" t="n">
        <v>29.9</v>
      </c>
      <c r="H1305" s="22" t="n">
        <v>1.6</v>
      </c>
      <c r="I1305" s="24" t="n">
        <v>0.0997638627886772</v>
      </c>
      <c r="J1305" s="6" t="n">
        <v>71000</v>
      </c>
      <c r="K1305" s="25">
        <f>23*10^-6</f>
        <v/>
      </c>
      <c r="L1305" s="8">
        <f>H1305</f>
        <v/>
      </c>
      <c r="M1305" s="26">
        <f>H1305^2/6</f>
        <v/>
      </c>
      <c r="N1305" s="26">
        <f>H1305^3/12</f>
        <v/>
      </c>
      <c r="O1305" s="27">
        <f>-J1305*L1305*K1305*C1305</f>
        <v/>
      </c>
      <c r="P1305" s="28">
        <f>-(12*F1305*J1305*L1305*N1305+12*O1305*N1305*G1305*COS(RADIANS(E1305)))/(12*N1305*G1305*COS(RADIANS(E1305))^2+L1305*G1305^3*SIN(RADIANS(E1305))^2)</f>
        <v/>
      </c>
      <c r="Q1305" s="28">
        <f>-(6*F1305*J1305*L1305*N1305*SIN(RADIANS(E1305))+6*O1305*N1305*G1305*SIN(RADIANS(E1305))*COS(RADIANS(E1305)))/(12*N1305*COS(RADIANS(E1305))^2+L1305*G1305^2*SIN(RADIANS(E1305))^2)</f>
        <v/>
      </c>
      <c r="R1305" s="28">
        <f>-P1305*SIN(RADIANS(E1305))</f>
        <v/>
      </c>
      <c r="S1305" s="8">
        <f>(O1305+P1305*COS(RADIANS(E1305)))/L1305</f>
        <v/>
      </c>
      <c r="T1305" s="8">
        <f>R1305/L1305</f>
        <v/>
      </c>
      <c r="U1305" s="8">
        <f>(Q1305-P1305*G1305*SIN(RADIANS(E1305)))/M1305</f>
        <v/>
      </c>
      <c r="V1305" s="8">
        <f>SQRT((S1305+U1305)^2+3*T1305^2)</f>
        <v/>
      </c>
      <c r="W1305" s="8">
        <f>V1305/AA1305</f>
        <v/>
      </c>
      <c r="X1305" s="27">
        <f>((3*10+H1305/COS(RADIANS(E1305)))*(3+3)+3*G1305*H1305)*2</f>
        <v/>
      </c>
      <c r="Y1305" s="28">
        <f>Z1305/X1305</f>
        <v/>
      </c>
      <c r="Z1305" s="29" t="n">
        <v>677.925484951202</v>
      </c>
      <c r="AA1305" s="20" t="n">
        <v>93.935617353648</v>
      </c>
      <c r="AB1305" t="n">
        <v>0.1125190967791485</v>
      </c>
      <c r="AC1305" t="n">
        <v>91.70900766066526</v>
      </c>
      <c r="AD1305" t="n">
        <v>12.78542513684516</v>
      </c>
    </row>
    <row r="1306">
      <c r="A1306" t="n">
        <v>1305</v>
      </c>
      <c r="B1306" t="n">
        <v>48.7</v>
      </c>
      <c r="C1306" s="21">
        <f>B1306-20</f>
        <v/>
      </c>
      <c r="D1306" t="n">
        <v>121.4</v>
      </c>
      <c r="E1306" s="22">
        <f>D1306-90</f>
        <v/>
      </c>
      <c r="F1306" s="23" t="n">
        <v>0.009922</v>
      </c>
      <c r="G1306" s="22" t="n">
        <v>28.5</v>
      </c>
      <c r="H1306" s="22" t="n">
        <v>1.2</v>
      </c>
      <c r="I1306" s="24" t="n">
        <v>0.0456945113837718</v>
      </c>
      <c r="J1306" s="6" t="n">
        <v>71000</v>
      </c>
      <c r="K1306" s="25">
        <f>23*10^-6</f>
        <v/>
      </c>
      <c r="L1306" s="8">
        <f>H1306</f>
        <v/>
      </c>
      <c r="M1306" s="26">
        <f>H1306^2/6</f>
        <v/>
      </c>
      <c r="N1306" s="26">
        <f>H1306^3/12</f>
        <v/>
      </c>
      <c r="O1306" s="27">
        <f>-J1306*L1306*K1306*C1306</f>
        <v/>
      </c>
      <c r="P1306" s="28">
        <f>-(12*F1306*J1306*L1306*N1306+12*O1306*N1306*G1306*COS(RADIANS(E1306)))/(12*N1306*G1306*COS(RADIANS(E1306))^2+L1306*G1306^3*SIN(RADIANS(E1306))^2)</f>
        <v/>
      </c>
      <c r="Q1306" s="28">
        <f>-(6*F1306*J1306*L1306*N1306*SIN(RADIANS(E1306))+6*O1306*N1306*G1306*SIN(RADIANS(E1306))*COS(RADIANS(E1306)))/(12*N1306*COS(RADIANS(E1306))^2+L1306*G1306^2*SIN(RADIANS(E1306))^2)</f>
        <v/>
      </c>
      <c r="R1306" s="28">
        <f>-P1306*SIN(RADIANS(E1306))</f>
        <v/>
      </c>
      <c r="S1306" s="8">
        <f>(O1306+P1306*COS(RADIANS(E1306)))/L1306</f>
        <v/>
      </c>
      <c r="T1306" s="8">
        <f>R1306/L1306</f>
        <v/>
      </c>
      <c r="U1306" s="8">
        <f>(Q1306-P1306*G1306*SIN(RADIANS(E1306)))/M1306</f>
        <v/>
      </c>
      <c r="V1306" s="8">
        <f>SQRT((S1306+U1306)^2+3*T1306^2)</f>
        <v/>
      </c>
      <c r="W1306" s="8">
        <f>V1306/AA1306</f>
        <v/>
      </c>
      <c r="X1306" s="27">
        <f>((3*10+H1306/COS(RADIANS(E1306)))*(3+3)+3*G1306*H1306)*2</f>
        <v/>
      </c>
      <c r="Y1306" s="28">
        <f>Z1306/X1306</f>
        <v/>
      </c>
      <c r="Z1306" s="29" t="n">
        <v>589.622164482297</v>
      </c>
      <c r="AA1306" s="20" t="n">
        <v>40.0405494915782</v>
      </c>
      <c r="AB1306" t="n">
        <v>0.05208684440271039</v>
      </c>
      <c r="AC1306" t="n">
        <v>41.51141910697037</v>
      </c>
      <c r="AD1306" t="n">
        <v>13.98927973045094</v>
      </c>
    </row>
    <row r="1307">
      <c r="A1307" t="n">
        <v>1306</v>
      </c>
      <c r="B1307" t="n">
        <v>86.90000000000001</v>
      </c>
      <c r="C1307" s="21">
        <f>B1307-20</f>
        <v/>
      </c>
      <c r="D1307" t="n">
        <v>103.6</v>
      </c>
      <c r="E1307" s="22">
        <f>D1307-90</f>
        <v/>
      </c>
      <c r="F1307" s="23" t="n">
        <v>0.03015</v>
      </c>
      <c r="G1307" s="22" t="n">
        <v>34.5</v>
      </c>
      <c r="H1307" s="22" t="n">
        <v>1</v>
      </c>
      <c r="I1307" s="24" t="n">
        <v>0.230519458651542</v>
      </c>
      <c r="J1307" s="6" t="n">
        <v>71000</v>
      </c>
      <c r="K1307" s="25">
        <f>23*10^-6</f>
        <v/>
      </c>
      <c r="L1307" s="8">
        <f>H1307</f>
        <v/>
      </c>
      <c r="M1307" s="26">
        <f>H1307^2/6</f>
        <v/>
      </c>
      <c r="N1307" s="26">
        <f>H1307^3/12</f>
        <v/>
      </c>
      <c r="O1307" s="27">
        <f>-J1307*L1307*K1307*C1307</f>
        <v/>
      </c>
      <c r="P1307" s="28">
        <f>-(12*F1307*J1307*L1307*N1307+12*O1307*N1307*G1307*COS(RADIANS(E1307)))/(12*N1307*G1307*COS(RADIANS(E1307))^2+L1307*G1307^3*SIN(RADIANS(E1307))^2)</f>
        <v/>
      </c>
      <c r="Q1307" s="28">
        <f>-(6*F1307*J1307*L1307*N1307*SIN(RADIANS(E1307))+6*O1307*N1307*G1307*SIN(RADIANS(E1307))*COS(RADIANS(E1307)))/(12*N1307*COS(RADIANS(E1307))^2+L1307*G1307^2*SIN(RADIANS(E1307))^2)</f>
        <v/>
      </c>
      <c r="R1307" s="28">
        <f>-P1307*SIN(RADIANS(E1307))</f>
        <v/>
      </c>
      <c r="S1307" s="8">
        <f>(O1307+P1307*COS(RADIANS(E1307)))/L1307</f>
        <v/>
      </c>
      <c r="T1307" s="8">
        <f>R1307/L1307</f>
        <v/>
      </c>
      <c r="U1307" s="8">
        <f>(Q1307-P1307*G1307*SIN(RADIANS(E1307)))/M1307</f>
        <v/>
      </c>
      <c r="V1307" s="8">
        <f>SQRT((S1307+U1307)^2+3*T1307^2)</f>
        <v/>
      </c>
      <c r="W1307" s="8">
        <f>V1307/AA1307</f>
        <v/>
      </c>
      <c r="X1307" s="27">
        <f>((3*10+H1307/COS(RADIANS(E1307)))*(3+3)+3*G1307*H1307)*2</f>
        <v/>
      </c>
      <c r="Y1307" s="28">
        <f>Z1307/X1307</f>
        <v/>
      </c>
      <c r="Z1307" s="29" t="n">
        <v>583.4721525142151</v>
      </c>
      <c r="AA1307" s="20" t="n">
        <v>95.345392325417</v>
      </c>
      <c r="AB1307" t="n">
        <v>0.3453210512851242</v>
      </c>
      <c r="AC1307" t="n">
        <v>102.5610646086412</v>
      </c>
      <c r="AD1307" t="n">
        <v>49.80125899354929</v>
      </c>
    </row>
    <row r="1308">
      <c r="A1308" t="n">
        <v>1307</v>
      </c>
      <c r="B1308" t="n">
        <v>88.8</v>
      </c>
      <c r="C1308" s="21">
        <f>B1308-20</f>
        <v/>
      </c>
      <c r="D1308" t="n">
        <v>127.4</v>
      </c>
      <c r="E1308" s="22">
        <f>D1308-90</f>
        <v/>
      </c>
      <c r="F1308" s="23" t="n">
        <v>0.020345</v>
      </c>
      <c r="G1308" s="22" t="n">
        <v>25.1</v>
      </c>
      <c r="H1308" s="22" t="n">
        <v>1.8</v>
      </c>
      <c r="I1308" s="24" t="n">
        <v>0.0907711759209632</v>
      </c>
      <c r="J1308" s="6" t="n">
        <v>71000</v>
      </c>
      <c r="K1308" s="25">
        <f>23*10^-6</f>
        <v/>
      </c>
      <c r="L1308" s="8">
        <f>H1308</f>
        <v/>
      </c>
      <c r="M1308" s="26">
        <f>H1308^2/6</f>
        <v/>
      </c>
      <c r="N1308" s="26">
        <f>H1308^3/12</f>
        <v/>
      </c>
      <c r="O1308" s="27">
        <f>-J1308*L1308*K1308*C1308</f>
        <v/>
      </c>
      <c r="P1308" s="28">
        <f>-(12*F1308*J1308*L1308*N1308+12*O1308*N1308*G1308*COS(RADIANS(E1308)))/(12*N1308*G1308*COS(RADIANS(E1308))^2+L1308*G1308^3*SIN(RADIANS(E1308))^2)</f>
        <v/>
      </c>
      <c r="Q1308" s="28">
        <f>-(6*F1308*J1308*L1308*N1308*SIN(RADIANS(E1308))+6*O1308*N1308*G1308*SIN(RADIANS(E1308))*COS(RADIANS(E1308)))/(12*N1308*COS(RADIANS(E1308))^2+L1308*G1308^2*SIN(RADIANS(E1308))^2)</f>
        <v/>
      </c>
      <c r="R1308" s="28">
        <f>-P1308*SIN(RADIANS(E1308))</f>
        <v/>
      </c>
      <c r="S1308" s="8">
        <f>(O1308+P1308*COS(RADIANS(E1308)))/L1308</f>
        <v/>
      </c>
      <c r="T1308" s="8">
        <f>R1308/L1308</f>
        <v/>
      </c>
      <c r="U1308" s="8">
        <f>(Q1308-P1308*G1308*SIN(RADIANS(E1308)))/M1308</f>
        <v/>
      </c>
      <c r="V1308" s="8">
        <f>SQRT((S1308+U1308)^2+3*T1308^2)</f>
        <v/>
      </c>
      <c r="W1308" s="8">
        <f>V1308/AA1308</f>
        <v/>
      </c>
      <c r="X1308" s="27">
        <f>((3*10+H1308/COS(RADIANS(E1308)))*(3+3)+3*G1308*H1308)*2</f>
        <v/>
      </c>
      <c r="Y1308" s="28">
        <f>Z1308/X1308</f>
        <v/>
      </c>
      <c r="Z1308" s="29" t="n">
        <v>667.914385642199</v>
      </c>
      <c r="AA1308" s="20" t="n">
        <v>107.525186982647</v>
      </c>
      <c r="AB1308" t="n">
        <v>0.09106545059381907</v>
      </c>
      <c r="AC1308" t="n">
        <v>101.2767460725388</v>
      </c>
      <c r="AD1308" t="n">
        <v>0.3241939634142207</v>
      </c>
    </row>
    <row r="1309">
      <c r="A1309" t="n">
        <v>1308</v>
      </c>
      <c r="B1309" t="n">
        <v>50.1</v>
      </c>
      <c r="C1309" s="21">
        <f>B1309-20</f>
        <v/>
      </c>
      <c r="D1309" t="n">
        <v>125.3</v>
      </c>
      <c r="E1309" s="22">
        <f>D1309-90</f>
        <v/>
      </c>
      <c r="F1309" s="23" t="n">
        <v>0.011805</v>
      </c>
      <c r="G1309" s="22" t="n">
        <v>34.8</v>
      </c>
      <c r="H1309" s="22" t="n">
        <v>1.8</v>
      </c>
      <c r="I1309" s="24" t="n">
        <v>0.0509497411549091</v>
      </c>
      <c r="J1309" s="6" t="n">
        <v>71000</v>
      </c>
      <c r="K1309" s="25">
        <f>23*10^-6</f>
        <v/>
      </c>
      <c r="L1309" s="8">
        <f>H1309</f>
        <v/>
      </c>
      <c r="M1309" s="26">
        <f>H1309^2/6</f>
        <v/>
      </c>
      <c r="N1309" s="26">
        <f>H1309^3/12</f>
        <v/>
      </c>
      <c r="O1309" s="27">
        <f>-J1309*L1309*K1309*C1309</f>
        <v/>
      </c>
      <c r="P1309" s="28">
        <f>-(12*F1309*J1309*L1309*N1309+12*O1309*N1309*G1309*COS(RADIANS(E1309)))/(12*N1309*G1309*COS(RADIANS(E1309))^2+L1309*G1309^3*SIN(RADIANS(E1309))^2)</f>
        <v/>
      </c>
      <c r="Q1309" s="28">
        <f>-(6*F1309*J1309*L1309*N1309*SIN(RADIANS(E1309))+6*O1309*N1309*G1309*SIN(RADIANS(E1309))*COS(RADIANS(E1309)))/(12*N1309*COS(RADIANS(E1309))^2+L1309*G1309^2*SIN(RADIANS(E1309))^2)</f>
        <v/>
      </c>
      <c r="R1309" s="28">
        <f>-P1309*SIN(RADIANS(E1309))</f>
        <v/>
      </c>
      <c r="S1309" s="8">
        <f>(O1309+P1309*COS(RADIANS(E1309)))/L1309</f>
        <v/>
      </c>
      <c r="T1309" s="8">
        <f>R1309/L1309</f>
        <v/>
      </c>
      <c r="U1309" s="8">
        <f>(Q1309-P1309*G1309*SIN(RADIANS(E1309)))/M1309</f>
        <v/>
      </c>
      <c r="V1309" s="8">
        <f>SQRT((S1309+U1309)^2+3*T1309^2)</f>
        <v/>
      </c>
      <c r="W1309" s="8">
        <f>V1309/AA1309</f>
        <v/>
      </c>
      <c r="X1309" s="27">
        <f>((3*10+H1309/COS(RADIANS(E1309)))*(3+3)+3*G1309*H1309)*2</f>
        <v/>
      </c>
      <c r="Y1309" s="28">
        <f>Z1309/X1309</f>
        <v/>
      </c>
      <c r="Z1309" s="29" t="n">
        <v>771.1465612959601</v>
      </c>
      <c r="AA1309" s="20" t="n">
        <v>45.4013168380934</v>
      </c>
      <c r="AB1309" t="n">
        <v>0.05800999357670236</v>
      </c>
      <c r="AC1309" t="n">
        <v>43.86433593666351</v>
      </c>
      <c r="AD1309" t="n">
        <v>13.85728810736654</v>
      </c>
    </row>
    <row r="1310">
      <c r="A1310" t="n">
        <v>1309</v>
      </c>
      <c r="B1310" t="n">
        <v>40.3</v>
      </c>
      <c r="C1310" s="21">
        <f>B1310-20</f>
        <v/>
      </c>
      <c r="D1310" t="n">
        <v>116.7</v>
      </c>
      <c r="E1310" s="22">
        <f>D1310-90</f>
        <v/>
      </c>
      <c r="F1310" s="23" t="n">
        <v>0.006206</v>
      </c>
      <c r="G1310" s="22" t="n">
        <v>23.3</v>
      </c>
      <c r="H1310" s="22" t="n">
        <v>1.7</v>
      </c>
      <c r="I1310" s="24" t="n">
        <v>0.0316198132932186</v>
      </c>
      <c r="J1310" s="6" t="n">
        <v>71000</v>
      </c>
      <c r="K1310" s="25">
        <f>23*10^-6</f>
        <v/>
      </c>
      <c r="L1310" s="8">
        <f>H1310</f>
        <v/>
      </c>
      <c r="M1310" s="26">
        <f>H1310^2/6</f>
        <v/>
      </c>
      <c r="N1310" s="26">
        <f>H1310^3/12</f>
        <v/>
      </c>
      <c r="O1310" s="27">
        <f>-J1310*L1310*K1310*C1310</f>
        <v/>
      </c>
      <c r="P1310" s="28">
        <f>-(12*F1310*J1310*L1310*N1310+12*O1310*N1310*G1310*COS(RADIANS(E1310)))/(12*N1310*G1310*COS(RADIANS(E1310))^2+L1310*G1310^3*SIN(RADIANS(E1310))^2)</f>
        <v/>
      </c>
      <c r="Q1310" s="28">
        <f>-(6*F1310*J1310*L1310*N1310*SIN(RADIANS(E1310))+6*O1310*N1310*G1310*SIN(RADIANS(E1310))*COS(RADIANS(E1310)))/(12*N1310*COS(RADIANS(E1310))^2+L1310*G1310^2*SIN(RADIANS(E1310))^2)</f>
        <v/>
      </c>
      <c r="R1310" s="28">
        <f>-P1310*SIN(RADIANS(E1310))</f>
        <v/>
      </c>
      <c r="S1310" s="8">
        <f>(O1310+P1310*COS(RADIANS(E1310)))/L1310</f>
        <v/>
      </c>
      <c r="T1310" s="8">
        <f>R1310/L1310</f>
        <v/>
      </c>
      <c r="U1310" s="8">
        <f>(Q1310-P1310*G1310*SIN(RADIANS(E1310)))/M1310</f>
        <v/>
      </c>
      <c r="V1310" s="8">
        <f>SQRT((S1310+U1310)^2+3*T1310^2)</f>
        <v/>
      </c>
      <c r="W1310" s="8">
        <f>V1310/AA1310</f>
        <v/>
      </c>
      <c r="X1310" s="27">
        <f>((3*10+H1310/COS(RADIANS(E1310)))*(3+3)+3*G1310*H1310)*2</f>
        <v/>
      </c>
      <c r="Y1310" s="28">
        <f>Z1310/X1310</f>
        <v/>
      </c>
      <c r="Z1310" s="29" t="n">
        <v>626.7930047855029</v>
      </c>
      <c r="AA1310" s="20" t="n">
        <v>32.9719267393518</v>
      </c>
      <c r="AB1310" t="n">
        <v>0.03573259653765404</v>
      </c>
      <c r="AC1310" t="n">
        <v>31.26359083646247</v>
      </c>
      <c r="AD1310" t="n">
        <v>13.00698143375026</v>
      </c>
    </row>
    <row r="1311">
      <c r="A1311" t="n">
        <v>1310</v>
      </c>
      <c r="B1311" t="n">
        <v>72.90000000000001</v>
      </c>
      <c r="C1311" s="21">
        <f>B1311-20</f>
        <v/>
      </c>
      <c r="D1311" t="n">
        <v>102</v>
      </c>
      <c r="E1311" s="22">
        <f>D1311-90</f>
        <v/>
      </c>
      <c r="F1311" s="23" t="n">
        <v>0.016242</v>
      </c>
      <c r="G1311" s="22" t="n">
        <v>21.4</v>
      </c>
      <c r="H1311" s="22" t="n">
        <v>1</v>
      </c>
      <c r="I1311" s="24" t="n">
        <v>0.141240775585174</v>
      </c>
      <c r="J1311" s="6" t="n">
        <v>71000</v>
      </c>
      <c r="K1311" s="25">
        <f>23*10^-6</f>
        <v/>
      </c>
      <c r="L1311" s="8">
        <f>H1311</f>
        <v/>
      </c>
      <c r="M1311" s="26">
        <f>H1311^2/6</f>
        <v/>
      </c>
      <c r="N1311" s="26">
        <f>H1311^3/12</f>
        <v/>
      </c>
      <c r="O1311" s="27">
        <f>-J1311*L1311*K1311*C1311</f>
        <v/>
      </c>
      <c r="P1311" s="28">
        <f>-(12*F1311*J1311*L1311*N1311+12*O1311*N1311*G1311*COS(RADIANS(E1311)))/(12*N1311*G1311*COS(RADIANS(E1311))^2+L1311*G1311^3*SIN(RADIANS(E1311))^2)</f>
        <v/>
      </c>
      <c r="Q1311" s="28">
        <f>-(6*F1311*J1311*L1311*N1311*SIN(RADIANS(E1311))+6*O1311*N1311*G1311*SIN(RADIANS(E1311))*COS(RADIANS(E1311)))/(12*N1311*COS(RADIANS(E1311))^2+L1311*G1311^2*SIN(RADIANS(E1311))^2)</f>
        <v/>
      </c>
      <c r="R1311" s="28">
        <f>-P1311*SIN(RADIANS(E1311))</f>
        <v/>
      </c>
      <c r="S1311" s="8">
        <f>(O1311+P1311*COS(RADIANS(E1311)))/L1311</f>
        <v/>
      </c>
      <c r="T1311" s="8">
        <f>R1311/L1311</f>
        <v/>
      </c>
      <c r="U1311" s="8">
        <f>(Q1311-P1311*G1311*SIN(RADIANS(E1311)))/M1311</f>
        <v/>
      </c>
      <c r="V1311" s="8">
        <f>SQRT((S1311+U1311)^2+3*T1311^2)</f>
        <v/>
      </c>
      <c r="W1311" s="8">
        <f>V1311/AA1311</f>
        <v/>
      </c>
      <c r="X1311" s="27">
        <f>((3*10+H1311/COS(RADIANS(E1311)))*(3+3)+3*G1311*H1311)*2</f>
        <v/>
      </c>
      <c r="Y1311" s="28">
        <f>Z1311/X1311</f>
        <v/>
      </c>
      <c r="Z1311" s="29" t="n">
        <v>504.637890800782</v>
      </c>
      <c r="AA1311" s="20" t="n">
        <v>78.6363711072805</v>
      </c>
      <c r="AB1311" t="n">
        <v>0.1921891776540552</v>
      </c>
      <c r="AC1311" t="n">
        <v>86.0591394400285</v>
      </c>
      <c r="AD1311" t="n">
        <v>36.07202088617621</v>
      </c>
    </row>
    <row r="1312">
      <c r="A1312" t="n">
        <v>1311</v>
      </c>
      <c r="B1312" t="n">
        <v>86</v>
      </c>
      <c r="C1312" s="21">
        <f>B1312-20</f>
        <v/>
      </c>
      <c r="D1312" t="n">
        <v>123.6</v>
      </c>
      <c r="E1312" s="22">
        <f>D1312-90</f>
        <v/>
      </c>
      <c r="F1312" s="23" t="n">
        <v>0.018803</v>
      </c>
      <c r="G1312" s="22" t="n">
        <v>22.8</v>
      </c>
      <c r="H1312" s="22" t="n">
        <v>1.6</v>
      </c>
      <c r="I1312" s="24" t="n">
        <v>0.0875696465373039</v>
      </c>
      <c r="J1312" s="6" t="n">
        <v>71000</v>
      </c>
      <c r="K1312" s="25">
        <f>23*10^-6</f>
        <v/>
      </c>
      <c r="L1312" s="8">
        <f>H1312</f>
        <v/>
      </c>
      <c r="M1312" s="26">
        <f>H1312^2/6</f>
        <v/>
      </c>
      <c r="N1312" s="26">
        <f>H1312^3/12</f>
        <v/>
      </c>
      <c r="O1312" s="27">
        <f>-J1312*L1312*K1312*C1312</f>
        <v/>
      </c>
      <c r="P1312" s="28">
        <f>-(12*F1312*J1312*L1312*N1312+12*O1312*N1312*G1312*COS(RADIANS(E1312)))/(12*N1312*G1312*COS(RADIANS(E1312))^2+L1312*G1312^3*SIN(RADIANS(E1312))^2)</f>
        <v/>
      </c>
      <c r="Q1312" s="28">
        <f>-(6*F1312*J1312*L1312*N1312*SIN(RADIANS(E1312))+6*O1312*N1312*G1312*SIN(RADIANS(E1312))*COS(RADIANS(E1312)))/(12*N1312*COS(RADIANS(E1312))^2+L1312*G1312^2*SIN(RADIANS(E1312))^2)</f>
        <v/>
      </c>
      <c r="R1312" s="28">
        <f>-P1312*SIN(RADIANS(E1312))</f>
        <v/>
      </c>
      <c r="S1312" s="8">
        <f>(O1312+P1312*COS(RADIANS(E1312)))/L1312</f>
        <v/>
      </c>
      <c r="T1312" s="8">
        <f>R1312/L1312</f>
        <v/>
      </c>
      <c r="U1312" s="8">
        <f>(Q1312-P1312*G1312*SIN(RADIANS(E1312)))/M1312</f>
        <v/>
      </c>
      <c r="V1312" s="8">
        <f>SQRT((S1312+U1312)^2+3*T1312^2)</f>
        <v/>
      </c>
      <c r="W1312" s="8">
        <f>V1312/AA1312</f>
        <v/>
      </c>
      <c r="X1312" s="27">
        <f>((3*10+H1312/COS(RADIANS(E1312)))*(3+3)+3*G1312*H1312)*2</f>
        <v/>
      </c>
      <c r="Y1312" s="28">
        <f>Z1312/X1312</f>
        <v/>
      </c>
      <c r="Z1312" s="29" t="n">
        <v>610.179277526838</v>
      </c>
      <c r="AA1312" s="20" t="n">
        <v>103.147462082784</v>
      </c>
      <c r="AB1312" t="n">
        <v>0.08970291572897854</v>
      </c>
      <c r="AC1312" t="n">
        <v>97.96679440128366</v>
      </c>
      <c r="AD1312" t="n">
        <v>2.436082907752617</v>
      </c>
    </row>
    <row r="1313">
      <c r="A1313" t="n">
        <v>1312</v>
      </c>
      <c r="B1313" t="n">
        <v>66.59999999999999</v>
      </c>
      <c r="C1313" s="21">
        <f>B1313-20</f>
        <v/>
      </c>
      <c r="D1313" t="n">
        <v>110.7</v>
      </c>
      <c r="E1313" s="22">
        <f>D1313-90</f>
        <v/>
      </c>
      <c r="F1313" s="23" t="n">
        <v>0.014418</v>
      </c>
      <c r="G1313" s="22" t="n">
        <v>22.6</v>
      </c>
      <c r="H1313" s="22" t="n">
        <v>1.4</v>
      </c>
      <c r="I1313" s="24" t="n">
        <v>0.0850649550557136</v>
      </c>
      <c r="J1313" s="6" t="n">
        <v>71000</v>
      </c>
      <c r="K1313" s="25">
        <f>23*10^-6</f>
        <v/>
      </c>
      <c r="L1313" s="8">
        <f>H1313</f>
        <v/>
      </c>
      <c r="M1313" s="26">
        <f>H1313^2/6</f>
        <v/>
      </c>
      <c r="N1313" s="26">
        <f>H1313^3/12</f>
        <v/>
      </c>
      <c r="O1313" s="27">
        <f>-J1313*L1313*K1313*C1313</f>
        <v/>
      </c>
      <c r="P1313" s="28">
        <f>-(12*F1313*J1313*L1313*N1313+12*O1313*N1313*G1313*COS(RADIANS(E1313)))/(12*N1313*G1313*COS(RADIANS(E1313))^2+L1313*G1313^3*SIN(RADIANS(E1313))^2)</f>
        <v/>
      </c>
      <c r="Q1313" s="28">
        <f>-(6*F1313*J1313*L1313*N1313*SIN(RADIANS(E1313))+6*O1313*N1313*G1313*SIN(RADIANS(E1313))*COS(RADIANS(E1313)))/(12*N1313*COS(RADIANS(E1313))^2+L1313*G1313^2*SIN(RADIANS(E1313))^2)</f>
        <v/>
      </c>
      <c r="R1313" s="28">
        <f>-P1313*SIN(RADIANS(E1313))</f>
        <v/>
      </c>
      <c r="S1313" s="8">
        <f>(O1313+P1313*COS(RADIANS(E1313)))/L1313</f>
        <v/>
      </c>
      <c r="T1313" s="8">
        <f>R1313/L1313</f>
        <v/>
      </c>
      <c r="U1313" s="8">
        <f>(Q1313-P1313*G1313*SIN(RADIANS(E1313)))/M1313</f>
        <v/>
      </c>
      <c r="V1313" s="8">
        <f>SQRT((S1313+U1313)^2+3*T1313^2)</f>
        <v/>
      </c>
      <c r="W1313" s="8">
        <f>V1313/AA1313</f>
        <v/>
      </c>
      <c r="X1313" s="27">
        <f>((3*10+H1313/COS(RADIANS(E1313)))*(3+3)+3*G1313*H1313)*2</f>
        <v/>
      </c>
      <c r="Y1313" s="28">
        <f>Z1313/X1313</f>
        <v/>
      </c>
      <c r="Z1313" s="29" t="n">
        <v>572.8892799807981</v>
      </c>
      <c r="AA1313" s="20" t="n">
        <v>72.05772023694981</v>
      </c>
      <c r="AB1313" t="n">
        <v>0.103749747668717</v>
      </c>
      <c r="AC1313" t="n">
        <v>72.89657096390295</v>
      </c>
      <c r="AD1313" t="n">
        <v>21.96532355864499</v>
      </c>
    </row>
    <row r="1314">
      <c r="A1314" t="n">
        <v>1313</v>
      </c>
      <c r="B1314" t="n">
        <v>40.4</v>
      </c>
      <c r="C1314" s="21">
        <f>B1314-20</f>
        <v/>
      </c>
      <c r="D1314" t="n">
        <v>103.1</v>
      </c>
      <c r="E1314" s="22">
        <f>D1314-90</f>
        <v/>
      </c>
      <c r="F1314" s="23" t="n">
        <v>0.006628</v>
      </c>
      <c r="G1314" s="22" t="n">
        <v>23.1</v>
      </c>
      <c r="H1314" s="22" t="n">
        <v>1.1</v>
      </c>
      <c r="I1314" s="24" t="n">
        <v>0.0535449162125587</v>
      </c>
      <c r="J1314" s="6" t="n">
        <v>71000</v>
      </c>
      <c r="K1314" s="25">
        <f>23*10^-6</f>
        <v/>
      </c>
      <c r="L1314" s="8">
        <f>H1314</f>
        <v/>
      </c>
      <c r="M1314" s="26">
        <f>H1314^2/6</f>
        <v/>
      </c>
      <c r="N1314" s="26">
        <f>H1314^3/12</f>
        <v/>
      </c>
      <c r="O1314" s="27">
        <f>-J1314*L1314*K1314*C1314</f>
        <v/>
      </c>
      <c r="P1314" s="28">
        <f>-(12*F1314*J1314*L1314*N1314+12*O1314*N1314*G1314*COS(RADIANS(E1314)))/(12*N1314*G1314*COS(RADIANS(E1314))^2+L1314*G1314^3*SIN(RADIANS(E1314))^2)</f>
        <v/>
      </c>
      <c r="Q1314" s="28">
        <f>-(6*F1314*J1314*L1314*N1314*SIN(RADIANS(E1314))+6*O1314*N1314*G1314*SIN(RADIANS(E1314))*COS(RADIANS(E1314)))/(12*N1314*COS(RADIANS(E1314))^2+L1314*G1314^2*SIN(RADIANS(E1314))^2)</f>
        <v/>
      </c>
      <c r="R1314" s="28">
        <f>-P1314*SIN(RADIANS(E1314))</f>
        <v/>
      </c>
      <c r="S1314" s="8">
        <f>(O1314+P1314*COS(RADIANS(E1314)))/L1314</f>
        <v/>
      </c>
      <c r="T1314" s="8">
        <f>R1314/L1314</f>
        <v/>
      </c>
      <c r="U1314" s="8">
        <f>(Q1314-P1314*G1314*SIN(RADIANS(E1314)))/M1314</f>
        <v/>
      </c>
      <c r="V1314" s="8">
        <f>SQRT((S1314+U1314)^2+3*T1314^2)</f>
        <v/>
      </c>
      <c r="W1314" s="8">
        <f>V1314/AA1314</f>
        <v/>
      </c>
      <c r="X1314" s="27">
        <f>((3*10+H1314/COS(RADIANS(E1314)))*(3+3)+3*G1314*H1314)*2</f>
        <v/>
      </c>
      <c r="Y1314" s="28">
        <f>Z1314/X1314</f>
        <v/>
      </c>
      <c r="Z1314" s="29" t="n">
        <v>530.087590273529</v>
      </c>
      <c r="AA1314" s="20" t="n">
        <v>30.429160759505</v>
      </c>
      <c r="AB1314" t="n">
        <v>0.07317246241424059</v>
      </c>
      <c r="AC1314" t="n">
        <v>32.99865890052331</v>
      </c>
      <c r="AD1314" t="n">
        <v>36.65622731346875</v>
      </c>
    </row>
    <row r="1315">
      <c r="A1315" t="n">
        <v>1314</v>
      </c>
      <c r="B1315" t="n">
        <v>62.6</v>
      </c>
      <c r="C1315" s="21">
        <f>B1315-20</f>
        <v/>
      </c>
      <c r="D1315" t="n">
        <v>108.3</v>
      </c>
      <c r="E1315" s="22">
        <f>D1315-90</f>
        <v/>
      </c>
      <c r="F1315" s="23" t="n">
        <v>0.016423</v>
      </c>
      <c r="G1315" s="22" t="n">
        <v>29.3</v>
      </c>
      <c r="H1315" s="22" t="n">
        <v>1.5</v>
      </c>
      <c r="I1315" s="24" t="n">
        <v>0.101623557507991</v>
      </c>
      <c r="J1315" s="6" t="n">
        <v>71000</v>
      </c>
      <c r="K1315" s="25">
        <f>23*10^-6</f>
        <v/>
      </c>
      <c r="L1315" s="8">
        <f>H1315</f>
        <v/>
      </c>
      <c r="M1315" s="26">
        <f>H1315^2/6</f>
        <v/>
      </c>
      <c r="N1315" s="26">
        <f>H1315^3/12</f>
        <v/>
      </c>
      <c r="O1315" s="27">
        <f>-J1315*L1315*K1315*C1315</f>
        <v/>
      </c>
      <c r="P1315" s="28">
        <f>-(12*F1315*J1315*L1315*N1315+12*O1315*N1315*G1315*COS(RADIANS(E1315)))/(12*N1315*G1315*COS(RADIANS(E1315))^2+L1315*G1315^3*SIN(RADIANS(E1315))^2)</f>
        <v/>
      </c>
      <c r="Q1315" s="28">
        <f>-(6*F1315*J1315*L1315*N1315*SIN(RADIANS(E1315))+6*O1315*N1315*G1315*SIN(RADIANS(E1315))*COS(RADIANS(E1315)))/(12*N1315*COS(RADIANS(E1315))^2+L1315*G1315^2*SIN(RADIANS(E1315))^2)</f>
        <v/>
      </c>
      <c r="R1315" s="28">
        <f>-P1315*SIN(RADIANS(E1315))</f>
        <v/>
      </c>
      <c r="S1315" s="8">
        <f>(O1315+P1315*COS(RADIANS(E1315)))/L1315</f>
        <v/>
      </c>
      <c r="T1315" s="8">
        <f>R1315/L1315</f>
        <v/>
      </c>
      <c r="U1315" s="8">
        <f>(Q1315-P1315*G1315*SIN(RADIANS(E1315)))/M1315</f>
        <v/>
      </c>
      <c r="V1315" s="8">
        <f>SQRT((S1315+U1315)^2+3*T1315^2)</f>
        <v/>
      </c>
      <c r="W1315" s="8">
        <f>V1315/AA1315</f>
        <v/>
      </c>
      <c r="X1315" s="27">
        <f>((3*10+H1315/COS(RADIANS(E1315)))*(3+3)+3*G1315*H1315)*2</f>
        <v/>
      </c>
      <c r="Y1315" s="28">
        <f>Z1315/X1315</f>
        <v/>
      </c>
      <c r="Z1315" s="29" t="n">
        <v>647.370908655116</v>
      </c>
      <c r="AA1315" s="20" t="n">
        <v>65.71035985725359</v>
      </c>
      <c r="AB1315" t="n">
        <v>0.1376605014211378</v>
      </c>
      <c r="AC1315" t="n">
        <v>66.99886197118984</v>
      </c>
      <c r="AD1315" t="n">
        <v>35.46121076337351</v>
      </c>
    </row>
    <row r="1316">
      <c r="A1316" t="n">
        <v>1315</v>
      </c>
      <c r="B1316" t="n">
        <v>69.7</v>
      </c>
      <c r="C1316" s="21">
        <f>B1316-20</f>
        <v/>
      </c>
      <c r="D1316" t="n">
        <v>114</v>
      </c>
      <c r="E1316" s="22">
        <f>D1316-90</f>
        <v/>
      </c>
      <c r="F1316" s="23" t="n">
        <v>0.020998</v>
      </c>
      <c r="G1316" s="22" t="n">
        <v>34</v>
      </c>
      <c r="H1316" s="22" t="n">
        <v>1.1</v>
      </c>
      <c r="I1316" s="24" t="n">
        <v>0.107694178819656</v>
      </c>
      <c r="J1316" s="6" t="n">
        <v>71000</v>
      </c>
      <c r="K1316" s="25">
        <f>23*10^-6</f>
        <v/>
      </c>
      <c r="L1316" s="8">
        <f>H1316</f>
        <v/>
      </c>
      <c r="M1316" s="26">
        <f>H1316^2/6</f>
        <v/>
      </c>
      <c r="N1316" s="26">
        <f>H1316^3/12</f>
        <v/>
      </c>
      <c r="O1316" s="27">
        <f>-J1316*L1316*K1316*C1316</f>
        <v/>
      </c>
      <c r="P1316" s="28">
        <f>-(12*F1316*J1316*L1316*N1316+12*O1316*N1316*G1316*COS(RADIANS(E1316)))/(12*N1316*G1316*COS(RADIANS(E1316))^2+L1316*G1316^3*SIN(RADIANS(E1316))^2)</f>
        <v/>
      </c>
      <c r="Q1316" s="28">
        <f>-(6*F1316*J1316*L1316*N1316*SIN(RADIANS(E1316))+6*O1316*N1316*G1316*SIN(RADIANS(E1316))*COS(RADIANS(E1316)))/(12*N1316*COS(RADIANS(E1316))^2+L1316*G1316^2*SIN(RADIANS(E1316))^2)</f>
        <v/>
      </c>
      <c r="R1316" s="28">
        <f>-P1316*SIN(RADIANS(E1316))</f>
        <v/>
      </c>
      <c r="S1316" s="8">
        <f>(O1316+P1316*COS(RADIANS(E1316)))/L1316</f>
        <v/>
      </c>
      <c r="T1316" s="8">
        <f>R1316/L1316</f>
        <v/>
      </c>
      <c r="U1316" s="8">
        <f>(Q1316-P1316*G1316*SIN(RADIANS(E1316)))/M1316</f>
        <v/>
      </c>
      <c r="V1316" s="8">
        <f>SQRT((S1316+U1316)^2+3*T1316^2)</f>
        <v/>
      </c>
      <c r="W1316" s="8">
        <f>V1316/AA1316</f>
        <v/>
      </c>
      <c r="X1316" s="27">
        <f>((3*10+H1316/COS(RADIANS(E1316)))*(3+3)+3*G1316*H1316)*2</f>
        <v/>
      </c>
      <c r="Y1316" s="28">
        <f>Z1316/X1316</f>
        <v/>
      </c>
      <c r="Z1316" s="29" t="n">
        <v>604.554098946065</v>
      </c>
      <c r="AA1316" s="20" t="n">
        <v>68.48909936860331</v>
      </c>
      <c r="AB1316" t="n">
        <v>0.141917228376284</v>
      </c>
      <c r="AC1316" t="n">
        <v>72.52467337814993</v>
      </c>
      <c r="AD1316" t="n">
        <v>31.77799388204414</v>
      </c>
    </row>
    <row r="1317">
      <c r="A1317" t="n">
        <v>1316</v>
      </c>
      <c r="B1317" t="n">
        <v>42.8</v>
      </c>
      <c r="C1317" s="21">
        <f>B1317-20</f>
        <v/>
      </c>
      <c r="D1317" t="n">
        <v>100.7</v>
      </c>
      <c r="E1317" s="22">
        <f>D1317-90</f>
        <v/>
      </c>
      <c r="F1317" s="23" t="n">
        <v>0.008966</v>
      </c>
      <c r="G1317" s="22" t="n">
        <v>29</v>
      </c>
      <c r="H1317" s="22" t="n">
        <v>1.5</v>
      </c>
      <c r="I1317" s="24" t="n">
        <v>0.0811616778373718</v>
      </c>
      <c r="J1317" s="6" t="n">
        <v>71000</v>
      </c>
      <c r="K1317" s="25">
        <f>23*10^-6</f>
        <v/>
      </c>
      <c r="L1317" s="8">
        <f>H1317</f>
        <v/>
      </c>
      <c r="M1317" s="26">
        <f>H1317^2/6</f>
        <v/>
      </c>
      <c r="N1317" s="26">
        <f>H1317^3/12</f>
        <v/>
      </c>
      <c r="O1317" s="27">
        <f>-J1317*L1317*K1317*C1317</f>
        <v/>
      </c>
      <c r="P1317" s="28">
        <f>-(12*F1317*J1317*L1317*N1317+12*O1317*N1317*G1317*COS(RADIANS(E1317)))/(12*N1317*G1317*COS(RADIANS(E1317))^2+L1317*G1317^3*SIN(RADIANS(E1317))^2)</f>
        <v/>
      </c>
      <c r="Q1317" s="28">
        <f>-(6*F1317*J1317*L1317*N1317*SIN(RADIANS(E1317))+6*O1317*N1317*G1317*SIN(RADIANS(E1317))*COS(RADIANS(E1317)))/(12*N1317*COS(RADIANS(E1317))^2+L1317*G1317^2*SIN(RADIANS(E1317))^2)</f>
        <v/>
      </c>
      <c r="R1317" s="28">
        <f>-P1317*SIN(RADIANS(E1317))</f>
        <v/>
      </c>
      <c r="S1317" s="8">
        <f>(O1317+P1317*COS(RADIANS(E1317)))/L1317</f>
        <v/>
      </c>
      <c r="T1317" s="8">
        <f>R1317/L1317</f>
        <v/>
      </c>
      <c r="U1317" s="8">
        <f>(Q1317-P1317*G1317*SIN(RADIANS(E1317)))/M1317</f>
        <v/>
      </c>
      <c r="V1317" s="8">
        <f>SQRT((S1317+U1317)^2+3*T1317^2)</f>
        <v/>
      </c>
      <c r="W1317" s="8">
        <f>V1317/AA1317</f>
        <v/>
      </c>
      <c r="X1317" s="27">
        <f>((3*10+H1317/COS(RADIANS(E1317)))*(3+3)+3*G1317*H1317)*2</f>
        <v/>
      </c>
      <c r="Y1317" s="28">
        <f>Z1317/X1317</f>
        <v/>
      </c>
      <c r="Z1317" s="29" t="n">
        <v>643.1768138299479</v>
      </c>
      <c r="AA1317" s="20" t="n">
        <v>37.4776375573725</v>
      </c>
      <c r="AB1317" t="n">
        <v>0.1202241340078915</v>
      </c>
      <c r="AC1317" t="n">
        <v>39.12808155442691</v>
      </c>
      <c r="AD1317" t="n">
        <v>48.12918758135007</v>
      </c>
    </row>
    <row r="1318">
      <c r="A1318" t="n">
        <v>1317</v>
      </c>
      <c r="B1318" t="n">
        <v>74.5</v>
      </c>
      <c r="C1318" s="21">
        <f>B1318-20</f>
        <v/>
      </c>
      <c r="D1318" t="n">
        <v>116.6</v>
      </c>
      <c r="E1318" s="22">
        <f>D1318-90</f>
        <v/>
      </c>
      <c r="F1318" s="23" t="n">
        <v>0.023005</v>
      </c>
      <c r="G1318" s="22" t="n">
        <v>34.7</v>
      </c>
      <c r="H1318" s="22" t="n">
        <v>2</v>
      </c>
      <c r="I1318" s="24" t="n">
        <v>0.111175641417503</v>
      </c>
      <c r="J1318" s="6" t="n">
        <v>71000</v>
      </c>
      <c r="K1318" s="25">
        <f>23*10^-6</f>
        <v/>
      </c>
      <c r="L1318" s="8">
        <f>H1318</f>
        <v/>
      </c>
      <c r="M1318" s="26">
        <f>H1318^2/6</f>
        <v/>
      </c>
      <c r="N1318" s="26">
        <f>H1318^3/12</f>
        <v/>
      </c>
      <c r="O1318" s="27">
        <f>-J1318*L1318*K1318*C1318</f>
        <v/>
      </c>
      <c r="P1318" s="28">
        <f>-(12*F1318*J1318*L1318*N1318+12*O1318*N1318*G1318*COS(RADIANS(E1318)))/(12*N1318*G1318*COS(RADIANS(E1318))^2+L1318*G1318^3*SIN(RADIANS(E1318))^2)</f>
        <v/>
      </c>
      <c r="Q1318" s="28">
        <f>-(6*F1318*J1318*L1318*N1318*SIN(RADIANS(E1318))+6*O1318*N1318*G1318*SIN(RADIANS(E1318))*COS(RADIANS(E1318)))/(12*N1318*COS(RADIANS(E1318))^2+L1318*G1318^2*SIN(RADIANS(E1318))^2)</f>
        <v/>
      </c>
      <c r="R1318" s="28">
        <f>-P1318*SIN(RADIANS(E1318))</f>
        <v/>
      </c>
      <c r="S1318" s="8">
        <f>(O1318+P1318*COS(RADIANS(E1318)))/L1318</f>
        <v/>
      </c>
      <c r="T1318" s="8">
        <f>R1318/L1318</f>
        <v/>
      </c>
      <c r="U1318" s="8">
        <f>(Q1318-P1318*G1318*SIN(RADIANS(E1318)))/M1318</f>
        <v/>
      </c>
      <c r="V1318" s="8">
        <f>SQRT((S1318+U1318)^2+3*T1318^2)</f>
        <v/>
      </c>
      <c r="W1318" s="8">
        <f>V1318/AA1318</f>
        <v/>
      </c>
      <c r="X1318" s="27">
        <f>((3*10+H1318/COS(RADIANS(E1318)))*(3+3)+3*G1318*H1318)*2</f>
        <v/>
      </c>
      <c r="Y1318" s="28">
        <f>Z1318/X1318</f>
        <v/>
      </c>
      <c r="Z1318" s="29" t="n">
        <v>809.515643094672</v>
      </c>
      <c r="AA1318" s="20" t="n">
        <v>88.4658274488383</v>
      </c>
      <c r="AB1318" t="n">
        <v>0.1410610585023957</v>
      </c>
      <c r="AC1318" t="n">
        <v>82.99988374727873</v>
      </c>
      <c r="AD1318" t="n">
        <v>26.88126347089163</v>
      </c>
    </row>
    <row r="1319">
      <c r="A1319" t="n">
        <v>1318</v>
      </c>
      <c r="B1319" t="n">
        <v>83.59999999999999</v>
      </c>
      <c r="C1319" s="21">
        <f>B1319-20</f>
        <v/>
      </c>
      <c r="D1319" t="n">
        <v>104.9</v>
      </c>
      <c r="E1319" s="22">
        <f>D1319-90</f>
        <v/>
      </c>
      <c r="F1319" s="23" t="n">
        <v>0.026421</v>
      </c>
      <c r="G1319" s="22" t="n">
        <v>31.5</v>
      </c>
      <c r="H1319" s="22" t="n">
        <v>1.6</v>
      </c>
      <c r="I1319" s="24" t="n">
        <v>0.187041565775871</v>
      </c>
      <c r="J1319" s="6" t="n">
        <v>71000</v>
      </c>
      <c r="K1319" s="25">
        <f>23*10^-6</f>
        <v/>
      </c>
      <c r="L1319" s="8">
        <f>H1319</f>
        <v/>
      </c>
      <c r="M1319" s="26">
        <f>H1319^2/6</f>
        <v/>
      </c>
      <c r="N1319" s="26">
        <f>H1319^3/12</f>
        <v/>
      </c>
      <c r="O1319" s="27">
        <f>-J1319*L1319*K1319*C1319</f>
        <v/>
      </c>
      <c r="P1319" s="28">
        <f>-(12*F1319*J1319*L1319*N1319+12*O1319*N1319*G1319*COS(RADIANS(E1319)))/(12*N1319*G1319*COS(RADIANS(E1319))^2+L1319*G1319^3*SIN(RADIANS(E1319))^2)</f>
        <v/>
      </c>
      <c r="Q1319" s="28">
        <f>-(6*F1319*J1319*L1319*N1319*SIN(RADIANS(E1319))+6*O1319*N1319*G1319*SIN(RADIANS(E1319))*COS(RADIANS(E1319)))/(12*N1319*COS(RADIANS(E1319))^2+L1319*G1319^2*SIN(RADIANS(E1319))^2)</f>
        <v/>
      </c>
      <c r="R1319" s="28">
        <f>-P1319*SIN(RADIANS(E1319))</f>
        <v/>
      </c>
      <c r="S1319" s="8">
        <f>(O1319+P1319*COS(RADIANS(E1319)))/L1319</f>
        <v/>
      </c>
      <c r="T1319" s="8">
        <f>R1319/L1319</f>
        <v/>
      </c>
      <c r="U1319" s="8">
        <f>(Q1319-P1319*G1319*SIN(RADIANS(E1319)))/M1319</f>
        <v/>
      </c>
      <c r="V1319" s="8">
        <f>SQRT((S1319+U1319)^2+3*T1319^2)</f>
        <v/>
      </c>
      <c r="W1319" s="8">
        <f>V1319/AA1319</f>
        <v/>
      </c>
      <c r="X1319" s="27">
        <f>((3*10+H1319/COS(RADIANS(E1319)))*(3+3)+3*G1319*H1319)*2</f>
        <v/>
      </c>
      <c r="Y1319" s="28">
        <f>Z1319/X1319</f>
        <v/>
      </c>
      <c r="Z1319" s="29" t="n">
        <v>686.536722647571</v>
      </c>
      <c r="AA1319" s="20" t="n">
        <v>102.433819576042</v>
      </c>
      <c r="AB1319" t="n">
        <v>0.2684584816672009</v>
      </c>
      <c r="AC1319" t="n">
        <v>103.3968727097751</v>
      </c>
      <c r="AD1319" t="n">
        <v>43.52878225414909</v>
      </c>
    </row>
    <row r="1320">
      <c r="A1320" t="n">
        <v>1319</v>
      </c>
      <c r="B1320" t="n">
        <v>47.6</v>
      </c>
      <c r="C1320" s="21">
        <f>B1320-20</f>
        <v/>
      </c>
      <c r="D1320" t="n">
        <v>118.5</v>
      </c>
      <c r="E1320" s="22">
        <f>D1320-90</f>
        <v/>
      </c>
      <c r="F1320" s="23" t="n">
        <v>0.007722</v>
      </c>
      <c r="G1320" s="22" t="n">
        <v>21.1</v>
      </c>
      <c r="H1320" s="22" t="n">
        <v>1.4</v>
      </c>
      <c r="I1320" s="24" t="n">
        <v>0.0388092845678329</v>
      </c>
      <c r="J1320" s="6" t="n">
        <v>71000</v>
      </c>
      <c r="K1320" s="25">
        <f>23*10^-6</f>
        <v/>
      </c>
      <c r="L1320" s="8">
        <f>H1320</f>
        <v/>
      </c>
      <c r="M1320" s="26">
        <f>H1320^2/6</f>
        <v/>
      </c>
      <c r="N1320" s="26">
        <f>H1320^3/12</f>
        <v/>
      </c>
      <c r="O1320" s="27">
        <f>-J1320*L1320*K1320*C1320</f>
        <v/>
      </c>
      <c r="P1320" s="28">
        <f>-(12*F1320*J1320*L1320*N1320+12*O1320*N1320*G1320*COS(RADIANS(E1320)))/(12*N1320*G1320*COS(RADIANS(E1320))^2+L1320*G1320^3*SIN(RADIANS(E1320))^2)</f>
        <v/>
      </c>
      <c r="Q1320" s="28">
        <f>-(6*F1320*J1320*L1320*N1320*SIN(RADIANS(E1320))+6*O1320*N1320*G1320*SIN(RADIANS(E1320))*COS(RADIANS(E1320)))/(12*N1320*COS(RADIANS(E1320))^2+L1320*G1320^2*SIN(RADIANS(E1320))^2)</f>
        <v/>
      </c>
      <c r="R1320" s="28">
        <f>-P1320*SIN(RADIANS(E1320))</f>
        <v/>
      </c>
      <c r="S1320" s="8">
        <f>(O1320+P1320*COS(RADIANS(E1320)))/L1320</f>
        <v/>
      </c>
      <c r="T1320" s="8">
        <f>R1320/L1320</f>
        <v/>
      </c>
      <c r="U1320" s="8">
        <f>(Q1320-P1320*G1320*SIN(RADIANS(E1320)))/M1320</f>
        <v/>
      </c>
      <c r="V1320" s="8">
        <f>SQRT((S1320+U1320)^2+3*T1320^2)</f>
        <v/>
      </c>
      <c r="W1320" s="8">
        <f>V1320/AA1320</f>
        <v/>
      </c>
      <c r="X1320" s="27">
        <f>((3*10+H1320/COS(RADIANS(E1320)))*(3+3)+3*G1320*H1320)*2</f>
        <v/>
      </c>
      <c r="Y1320" s="28">
        <f>Z1320/X1320</f>
        <v/>
      </c>
      <c r="Z1320" s="29" t="n">
        <v>563.099671177675</v>
      </c>
      <c r="AA1320" s="20" t="n">
        <v>42.4076596235603</v>
      </c>
      <c r="AB1320" t="n">
        <v>0.04160948322042118</v>
      </c>
      <c r="AC1320" t="n">
        <v>41.4887250479203</v>
      </c>
      <c r="AD1320" t="n">
        <v>7.215280270611392</v>
      </c>
    </row>
    <row r="1321">
      <c r="A1321" t="n">
        <v>1320</v>
      </c>
      <c r="B1321" t="n">
        <v>40.5</v>
      </c>
      <c r="C1321" s="21">
        <f>B1321-20</f>
        <v/>
      </c>
      <c r="D1321" t="n">
        <v>106.2</v>
      </c>
      <c r="E1321" s="22">
        <f>D1321-90</f>
        <v/>
      </c>
      <c r="F1321" s="23" t="n">
        <v>0.006856</v>
      </c>
      <c r="G1321" s="22" t="n">
        <v>24.3</v>
      </c>
      <c r="H1321" s="22" t="n">
        <v>1.1</v>
      </c>
      <c r="I1321" s="24" t="n">
        <v>0.0474131591618061</v>
      </c>
      <c r="J1321" s="6" t="n">
        <v>71000</v>
      </c>
      <c r="K1321" s="25">
        <f>23*10^-6</f>
        <v/>
      </c>
      <c r="L1321" s="8">
        <f>H1321</f>
        <v/>
      </c>
      <c r="M1321" s="26">
        <f>H1321^2/6</f>
        <v/>
      </c>
      <c r="N1321" s="26">
        <f>H1321^3/12</f>
        <v/>
      </c>
      <c r="O1321" s="27">
        <f>-J1321*L1321*K1321*C1321</f>
        <v/>
      </c>
      <c r="P1321" s="28">
        <f>-(12*F1321*J1321*L1321*N1321+12*O1321*N1321*G1321*COS(RADIANS(E1321)))/(12*N1321*G1321*COS(RADIANS(E1321))^2+L1321*G1321^3*SIN(RADIANS(E1321))^2)</f>
        <v/>
      </c>
      <c r="Q1321" s="28">
        <f>-(6*F1321*J1321*L1321*N1321*SIN(RADIANS(E1321))+6*O1321*N1321*G1321*SIN(RADIANS(E1321))*COS(RADIANS(E1321)))/(12*N1321*COS(RADIANS(E1321))^2+L1321*G1321^2*SIN(RADIANS(E1321))^2)</f>
        <v/>
      </c>
      <c r="R1321" s="28">
        <f>-P1321*SIN(RADIANS(E1321))</f>
        <v/>
      </c>
      <c r="S1321" s="8">
        <f>(O1321+P1321*COS(RADIANS(E1321)))/L1321</f>
        <v/>
      </c>
      <c r="T1321" s="8">
        <f>R1321/L1321</f>
        <v/>
      </c>
      <c r="U1321" s="8">
        <f>(Q1321-P1321*G1321*SIN(RADIANS(E1321)))/M1321</f>
        <v/>
      </c>
      <c r="V1321" s="8">
        <f>SQRT((S1321+U1321)^2+3*T1321^2)</f>
        <v/>
      </c>
      <c r="W1321" s="8">
        <f>V1321/AA1321</f>
        <v/>
      </c>
      <c r="X1321" s="27">
        <f>((3*10+H1321/COS(RADIANS(E1321)))*(3+3)+3*G1321*H1321)*2</f>
        <v/>
      </c>
      <c r="Y1321" s="28">
        <f>Z1321/X1321</f>
        <v/>
      </c>
      <c r="Z1321" s="29" t="n">
        <v>538.551778511109</v>
      </c>
      <c r="AA1321" s="20" t="n">
        <v>29.7310065278024</v>
      </c>
      <c r="AB1321" t="n">
        <v>0.06308476056933858</v>
      </c>
      <c r="AC1321" t="n">
        <v>32.02415799072751</v>
      </c>
      <c r="AD1321" t="n">
        <v>33.05327399520093</v>
      </c>
    </row>
    <row r="1322">
      <c r="A1322" t="n">
        <v>1321</v>
      </c>
      <c r="B1322" t="n">
        <v>45.2</v>
      </c>
      <c r="C1322" s="21">
        <f>B1322-20</f>
        <v/>
      </c>
      <c r="D1322" t="n">
        <v>108.8</v>
      </c>
      <c r="E1322" s="22">
        <f>D1322-90</f>
        <v/>
      </c>
      <c r="F1322" s="23" t="n">
        <v>0.010073</v>
      </c>
      <c r="G1322" s="22" t="n">
        <v>30.7</v>
      </c>
      <c r="H1322" s="22" t="n">
        <v>2</v>
      </c>
      <c r="I1322" s="24" t="n">
        <v>0.0604058019816875</v>
      </c>
      <c r="J1322" s="6" t="n">
        <v>71000</v>
      </c>
      <c r="K1322" s="25">
        <f>23*10^-6</f>
        <v/>
      </c>
      <c r="L1322" s="8">
        <f>H1322</f>
        <v/>
      </c>
      <c r="M1322" s="26">
        <f>H1322^2/6</f>
        <v/>
      </c>
      <c r="N1322" s="26">
        <f>H1322^3/12</f>
        <v/>
      </c>
      <c r="O1322" s="27">
        <f>-J1322*L1322*K1322*C1322</f>
        <v/>
      </c>
      <c r="P1322" s="28">
        <f>-(12*F1322*J1322*L1322*N1322+12*O1322*N1322*G1322*COS(RADIANS(E1322)))/(12*N1322*G1322*COS(RADIANS(E1322))^2+L1322*G1322^3*SIN(RADIANS(E1322))^2)</f>
        <v/>
      </c>
      <c r="Q1322" s="28">
        <f>-(6*F1322*J1322*L1322*N1322*SIN(RADIANS(E1322))+6*O1322*N1322*G1322*SIN(RADIANS(E1322))*COS(RADIANS(E1322)))/(12*N1322*COS(RADIANS(E1322))^2+L1322*G1322^2*SIN(RADIANS(E1322))^2)</f>
        <v/>
      </c>
      <c r="R1322" s="28">
        <f>-P1322*SIN(RADIANS(E1322))</f>
        <v/>
      </c>
      <c r="S1322" s="8">
        <f>(O1322+P1322*COS(RADIANS(E1322)))/L1322</f>
        <v/>
      </c>
      <c r="T1322" s="8">
        <f>R1322/L1322</f>
        <v/>
      </c>
      <c r="U1322" s="8">
        <f>(Q1322-P1322*G1322*SIN(RADIANS(E1322)))/M1322</f>
        <v/>
      </c>
      <c r="V1322" s="8">
        <f>SQRT((S1322+U1322)^2+3*T1322^2)</f>
        <v/>
      </c>
      <c r="W1322" s="8">
        <f>V1322/AA1322</f>
        <v/>
      </c>
      <c r="X1322" s="27">
        <f>((3*10+H1322/COS(RADIANS(E1322)))*(3+3)+3*G1322*H1322)*2</f>
        <v/>
      </c>
      <c r="Y1322" s="28">
        <f>Z1322/X1322</f>
        <v/>
      </c>
      <c r="Z1322" s="29" t="n">
        <v>758.538787063717</v>
      </c>
      <c r="AA1322" s="20" t="n">
        <v>42.8617737406284</v>
      </c>
      <c r="AB1322" t="n">
        <v>0.08168564744146543</v>
      </c>
      <c r="AC1322" t="n">
        <v>40.90272218678643</v>
      </c>
      <c r="AD1322" t="n">
        <v>35.22814822693537</v>
      </c>
    </row>
    <row r="1323">
      <c r="A1323" t="n">
        <v>1322</v>
      </c>
      <c r="B1323" t="n">
        <v>83.09999999999999</v>
      </c>
      <c r="C1323" s="21">
        <f>B1323-20</f>
        <v/>
      </c>
      <c r="D1323" t="n">
        <v>117.2</v>
      </c>
      <c r="E1323" s="22">
        <f>D1323-90</f>
        <v/>
      </c>
      <c r="F1323" s="23" t="n">
        <v>0.026517</v>
      </c>
      <c r="G1323" s="22" t="n">
        <v>34.7</v>
      </c>
      <c r="H1323" s="22" t="n">
        <v>1.8</v>
      </c>
      <c r="I1323" s="24" t="n">
        <v>0.12674856185913</v>
      </c>
      <c r="J1323" s="6" t="n">
        <v>71000</v>
      </c>
      <c r="K1323" s="25">
        <f>23*10^-6</f>
        <v/>
      </c>
      <c r="L1323" s="8">
        <f>H1323</f>
        <v/>
      </c>
      <c r="M1323" s="26">
        <f>H1323^2/6</f>
        <v/>
      </c>
      <c r="N1323" s="26">
        <f>H1323^3/12</f>
        <v/>
      </c>
      <c r="O1323" s="27">
        <f>-J1323*L1323*K1323*C1323</f>
        <v/>
      </c>
      <c r="P1323" s="28">
        <f>-(12*F1323*J1323*L1323*N1323+12*O1323*N1323*G1323*COS(RADIANS(E1323)))/(12*N1323*G1323*COS(RADIANS(E1323))^2+L1323*G1323^3*SIN(RADIANS(E1323))^2)</f>
        <v/>
      </c>
      <c r="Q1323" s="28">
        <f>-(6*F1323*J1323*L1323*N1323*SIN(RADIANS(E1323))+6*O1323*N1323*G1323*SIN(RADIANS(E1323))*COS(RADIANS(E1323)))/(12*N1323*COS(RADIANS(E1323))^2+L1323*G1323^2*SIN(RADIANS(E1323))^2)</f>
        <v/>
      </c>
      <c r="R1323" s="28">
        <f>-P1323*SIN(RADIANS(E1323))</f>
        <v/>
      </c>
      <c r="S1323" s="8">
        <f>(O1323+P1323*COS(RADIANS(E1323)))/L1323</f>
        <v/>
      </c>
      <c r="T1323" s="8">
        <f>R1323/L1323</f>
        <v/>
      </c>
      <c r="U1323" s="8">
        <f>(Q1323-P1323*G1323*SIN(RADIANS(E1323)))/M1323</f>
        <v/>
      </c>
      <c r="V1323" s="8">
        <f>SQRT((S1323+U1323)^2+3*T1323^2)</f>
        <v/>
      </c>
      <c r="W1323" s="8">
        <f>V1323/AA1323</f>
        <v/>
      </c>
      <c r="X1323" s="27">
        <f>((3*10+H1323/COS(RADIANS(E1323)))*(3+3)+3*G1323*H1323)*2</f>
        <v/>
      </c>
      <c r="Y1323" s="28">
        <f>Z1323/X1323</f>
        <v/>
      </c>
      <c r="Z1323" s="29" t="n">
        <v>765.463204996507</v>
      </c>
      <c r="AA1323" s="20" t="n">
        <v>98.0623134588092</v>
      </c>
      <c r="AB1323" t="n">
        <v>0.1600008935147243</v>
      </c>
      <c r="AC1323" t="n">
        <v>94.7672634016733</v>
      </c>
      <c r="AD1323" t="n">
        <v>26.23487885610203</v>
      </c>
    </row>
    <row r="1324">
      <c r="A1324" t="n">
        <v>1323</v>
      </c>
      <c r="B1324" t="n">
        <v>46.3</v>
      </c>
      <c r="C1324" s="21">
        <f>B1324-20</f>
        <v/>
      </c>
      <c r="D1324" t="n">
        <v>121.7</v>
      </c>
      <c r="E1324" s="22">
        <f>D1324-90</f>
        <v/>
      </c>
      <c r="F1324" s="23" t="n">
        <v>0.007487</v>
      </c>
      <c r="G1324" s="22" t="n">
        <v>22.3</v>
      </c>
      <c r="H1324" s="22" t="n">
        <v>1</v>
      </c>
      <c r="I1324" s="24" t="n">
        <v>0.0356772392988204</v>
      </c>
      <c r="J1324" s="6" t="n">
        <v>71000</v>
      </c>
      <c r="K1324" s="25">
        <f>23*10^-6</f>
        <v/>
      </c>
      <c r="L1324" s="8">
        <f>H1324</f>
        <v/>
      </c>
      <c r="M1324" s="26">
        <f>H1324^2/6</f>
        <v/>
      </c>
      <c r="N1324" s="26">
        <f>H1324^3/12</f>
        <v/>
      </c>
      <c r="O1324" s="27">
        <f>-J1324*L1324*K1324*C1324</f>
        <v/>
      </c>
      <c r="P1324" s="28">
        <f>-(12*F1324*J1324*L1324*N1324+12*O1324*N1324*G1324*COS(RADIANS(E1324)))/(12*N1324*G1324*COS(RADIANS(E1324))^2+L1324*G1324^3*SIN(RADIANS(E1324))^2)</f>
        <v/>
      </c>
      <c r="Q1324" s="28">
        <f>-(6*F1324*J1324*L1324*N1324*SIN(RADIANS(E1324))+6*O1324*N1324*G1324*SIN(RADIANS(E1324))*COS(RADIANS(E1324)))/(12*N1324*COS(RADIANS(E1324))^2+L1324*G1324^2*SIN(RADIANS(E1324))^2)</f>
        <v/>
      </c>
      <c r="R1324" s="28">
        <f>-P1324*SIN(RADIANS(E1324))</f>
        <v/>
      </c>
      <c r="S1324" s="8">
        <f>(O1324+P1324*COS(RADIANS(E1324)))/L1324</f>
        <v/>
      </c>
      <c r="T1324" s="8">
        <f>R1324/L1324</f>
        <v/>
      </c>
      <c r="U1324" s="8">
        <f>(Q1324-P1324*G1324*SIN(RADIANS(E1324)))/M1324</f>
        <v/>
      </c>
      <c r="V1324" s="8">
        <f>SQRT((S1324+U1324)^2+3*T1324^2)</f>
        <v/>
      </c>
      <c r="W1324" s="8">
        <f>V1324/AA1324</f>
        <v/>
      </c>
      <c r="X1324" s="27">
        <f>((3*10+H1324/COS(RADIANS(E1324)))*(3+3)+3*G1324*H1324)*2</f>
        <v/>
      </c>
      <c r="Y1324" s="28">
        <f>Z1324/X1324</f>
        <v/>
      </c>
      <c r="Z1324" s="29" t="n">
        <v>515.5461939504939</v>
      </c>
      <c r="AA1324" s="20" t="n">
        <v>35.8307521731881</v>
      </c>
      <c r="AB1324" t="n">
        <v>0.03757152199549552</v>
      </c>
      <c r="AC1324" t="n">
        <v>37.92030238256013</v>
      </c>
      <c r="AD1324" t="n">
        <v>5.309499092150183</v>
      </c>
    </row>
    <row r="1325">
      <c r="A1325" t="n">
        <v>1324</v>
      </c>
      <c r="B1325" t="n">
        <v>85.90000000000001</v>
      </c>
      <c r="C1325" s="21">
        <f>B1325-20</f>
        <v/>
      </c>
      <c r="D1325" t="n">
        <v>123.1</v>
      </c>
      <c r="E1325" s="22">
        <f>D1325-90</f>
        <v/>
      </c>
      <c r="F1325" s="23" t="n">
        <v>0.025591</v>
      </c>
      <c r="G1325" s="22" t="n">
        <v>33.5</v>
      </c>
      <c r="H1325" s="22" t="n">
        <v>1.2</v>
      </c>
      <c r="I1325" s="24" t="n">
        <v>0.112932711839675</v>
      </c>
      <c r="J1325" s="6" t="n">
        <v>71000</v>
      </c>
      <c r="K1325" s="25">
        <f>23*10^-6</f>
        <v/>
      </c>
      <c r="L1325" s="8">
        <f>H1325</f>
        <v/>
      </c>
      <c r="M1325" s="26">
        <f>H1325^2/6</f>
        <v/>
      </c>
      <c r="N1325" s="26">
        <f>H1325^3/12</f>
        <v/>
      </c>
      <c r="O1325" s="27">
        <f>-J1325*L1325*K1325*C1325</f>
        <v/>
      </c>
      <c r="P1325" s="28">
        <f>-(12*F1325*J1325*L1325*N1325+12*O1325*N1325*G1325*COS(RADIANS(E1325)))/(12*N1325*G1325*COS(RADIANS(E1325))^2+L1325*G1325^3*SIN(RADIANS(E1325))^2)</f>
        <v/>
      </c>
      <c r="Q1325" s="28">
        <f>-(6*F1325*J1325*L1325*N1325*SIN(RADIANS(E1325))+6*O1325*N1325*G1325*SIN(RADIANS(E1325))*COS(RADIANS(E1325)))/(12*N1325*COS(RADIANS(E1325))^2+L1325*G1325^2*SIN(RADIANS(E1325))^2)</f>
        <v/>
      </c>
      <c r="R1325" s="28">
        <f>-P1325*SIN(RADIANS(E1325))</f>
        <v/>
      </c>
      <c r="S1325" s="8">
        <f>(O1325+P1325*COS(RADIANS(E1325)))/L1325</f>
        <v/>
      </c>
      <c r="T1325" s="8">
        <f>R1325/L1325</f>
        <v/>
      </c>
      <c r="U1325" s="8">
        <f>(Q1325-P1325*G1325*SIN(RADIANS(E1325)))/M1325</f>
        <v/>
      </c>
      <c r="V1325" s="8">
        <f>SQRT((S1325+U1325)^2+3*T1325^2)</f>
        <v/>
      </c>
      <c r="W1325" s="8">
        <f>V1325/AA1325</f>
        <v/>
      </c>
      <c r="X1325" s="27">
        <f>((3*10+H1325/COS(RADIANS(E1325)))*(3+3)+3*G1325*H1325)*2</f>
        <v/>
      </c>
      <c r="Y1325" s="28">
        <f>Z1325/X1325</f>
        <v/>
      </c>
      <c r="Z1325" s="29" t="n">
        <v>626.472404666818</v>
      </c>
      <c r="AA1325" s="20" t="n">
        <v>89.5852172428956</v>
      </c>
      <c r="AB1325" t="n">
        <v>0.1317864999631113</v>
      </c>
      <c r="AC1325" t="n">
        <v>94.20077848678035</v>
      </c>
      <c r="AD1325" t="n">
        <v>16.6947094569039</v>
      </c>
    </row>
    <row r="1326">
      <c r="A1326" t="n">
        <v>1325</v>
      </c>
      <c r="B1326" t="n">
        <v>77.09999999999999</v>
      </c>
      <c r="C1326" s="21">
        <f>B1326-20</f>
        <v/>
      </c>
      <c r="D1326" t="n">
        <v>109.6</v>
      </c>
      <c r="E1326" s="22">
        <f>D1326-90</f>
        <v/>
      </c>
      <c r="F1326" s="23" t="n">
        <v>0.022916</v>
      </c>
      <c r="G1326" s="22" t="n">
        <v>31</v>
      </c>
      <c r="H1326" s="22" t="n">
        <v>1.4</v>
      </c>
      <c r="I1326" s="24" t="n">
        <v>0.134829804301261</v>
      </c>
      <c r="J1326" s="6" t="n">
        <v>71000</v>
      </c>
      <c r="K1326" s="25">
        <f>23*10^-6</f>
        <v/>
      </c>
      <c r="L1326" s="8">
        <f>H1326</f>
        <v/>
      </c>
      <c r="M1326" s="26">
        <f>H1326^2/6</f>
        <v/>
      </c>
      <c r="N1326" s="26">
        <f>H1326^3/12</f>
        <v/>
      </c>
      <c r="O1326" s="27">
        <f>-J1326*L1326*K1326*C1326</f>
        <v/>
      </c>
      <c r="P1326" s="28">
        <f>-(12*F1326*J1326*L1326*N1326+12*O1326*N1326*G1326*COS(RADIANS(E1326)))/(12*N1326*G1326*COS(RADIANS(E1326))^2+L1326*G1326^3*SIN(RADIANS(E1326))^2)</f>
        <v/>
      </c>
      <c r="Q1326" s="28">
        <f>-(6*F1326*J1326*L1326*N1326*SIN(RADIANS(E1326))+6*O1326*N1326*G1326*SIN(RADIANS(E1326))*COS(RADIANS(E1326)))/(12*N1326*COS(RADIANS(E1326))^2+L1326*G1326^2*SIN(RADIANS(E1326))^2)</f>
        <v/>
      </c>
      <c r="R1326" s="28">
        <f>-P1326*SIN(RADIANS(E1326))</f>
        <v/>
      </c>
      <c r="S1326" s="8">
        <f>(O1326+P1326*COS(RADIANS(E1326)))/L1326</f>
        <v/>
      </c>
      <c r="T1326" s="8">
        <f>R1326/L1326</f>
        <v/>
      </c>
      <c r="U1326" s="8">
        <f>(Q1326-P1326*G1326*SIN(RADIANS(E1326)))/M1326</f>
        <v/>
      </c>
      <c r="V1326" s="8">
        <f>SQRT((S1326+U1326)^2+3*T1326^2)</f>
        <v/>
      </c>
      <c r="W1326" s="8">
        <f>V1326/AA1326</f>
        <v/>
      </c>
      <c r="X1326" s="27">
        <f>((3*10+H1326/COS(RADIANS(E1326)))*(3+3)+3*G1326*H1326)*2</f>
        <v/>
      </c>
      <c r="Y1326" s="28">
        <f>Z1326/X1326</f>
        <v/>
      </c>
      <c r="Z1326" s="29" t="n">
        <v>643.143089842946</v>
      </c>
      <c r="AA1326" s="20" t="n">
        <v>85.54264470137009</v>
      </c>
      <c r="AB1326" t="n">
        <v>0.182650758790443</v>
      </c>
      <c r="AC1326" t="n">
        <v>87.76349439210138</v>
      </c>
      <c r="AD1326" t="n">
        <v>35.46764362449994</v>
      </c>
    </row>
    <row r="1327">
      <c r="A1327" t="n">
        <v>1326</v>
      </c>
      <c r="B1327" t="n">
        <v>68.8</v>
      </c>
      <c r="C1327" s="21">
        <f>B1327-20</f>
        <v/>
      </c>
      <c r="D1327" t="n">
        <v>114.5</v>
      </c>
      <c r="E1327" s="22">
        <f>D1327-90</f>
        <v/>
      </c>
      <c r="F1327" s="23" t="n">
        <v>0.017968</v>
      </c>
      <c r="G1327" s="22" t="n">
        <v>28.9</v>
      </c>
      <c r="H1327" s="22" t="n">
        <v>1.4</v>
      </c>
      <c r="I1327" s="24" t="n">
        <v>0.0930387675762176</v>
      </c>
      <c r="J1327" s="6" t="n">
        <v>71000</v>
      </c>
      <c r="K1327" s="25">
        <f>23*10^-6</f>
        <v/>
      </c>
      <c r="L1327" s="8">
        <f>H1327</f>
        <v/>
      </c>
      <c r="M1327" s="26">
        <f>H1327^2/6</f>
        <v/>
      </c>
      <c r="N1327" s="26">
        <f>H1327^3/12</f>
        <v/>
      </c>
      <c r="O1327" s="27">
        <f>-J1327*L1327*K1327*C1327</f>
        <v/>
      </c>
      <c r="P1327" s="28">
        <f>-(12*F1327*J1327*L1327*N1327+12*O1327*N1327*G1327*COS(RADIANS(E1327)))/(12*N1327*G1327*COS(RADIANS(E1327))^2+L1327*G1327^3*SIN(RADIANS(E1327))^2)</f>
        <v/>
      </c>
      <c r="Q1327" s="28">
        <f>-(6*F1327*J1327*L1327*N1327*SIN(RADIANS(E1327))+6*O1327*N1327*G1327*SIN(RADIANS(E1327))*COS(RADIANS(E1327)))/(12*N1327*COS(RADIANS(E1327))^2+L1327*G1327^2*SIN(RADIANS(E1327))^2)</f>
        <v/>
      </c>
      <c r="R1327" s="28">
        <f>-P1327*SIN(RADIANS(E1327))</f>
        <v/>
      </c>
      <c r="S1327" s="8">
        <f>(O1327+P1327*COS(RADIANS(E1327)))/L1327</f>
        <v/>
      </c>
      <c r="T1327" s="8">
        <f>R1327/L1327</f>
        <v/>
      </c>
      <c r="U1327" s="8">
        <f>(Q1327-P1327*G1327*SIN(RADIANS(E1327)))/M1327</f>
        <v/>
      </c>
      <c r="V1327" s="8">
        <f>SQRT((S1327+U1327)^2+3*T1327^2)</f>
        <v/>
      </c>
      <c r="W1327" s="8">
        <f>V1327/AA1327</f>
        <v/>
      </c>
      <c r="X1327" s="27">
        <f>((3*10+H1327/COS(RADIANS(E1327)))*(3+3)+3*G1327*H1327)*2</f>
        <v/>
      </c>
      <c r="Y1327" s="28">
        <f>Z1327/X1327</f>
        <v/>
      </c>
      <c r="Z1327" s="29" t="n">
        <v>627.0307024631539</v>
      </c>
      <c r="AA1327" s="20" t="n">
        <v>72.54856639477551</v>
      </c>
      <c r="AB1327" t="n">
        <v>0.1162412437180458</v>
      </c>
      <c r="AC1327" t="n">
        <v>73.34479052054638</v>
      </c>
      <c r="AD1327" t="n">
        <v>24.93850332101684</v>
      </c>
    </row>
    <row r="1328">
      <c r="A1328" t="n">
        <v>1327</v>
      </c>
      <c r="B1328" t="n">
        <v>63</v>
      </c>
      <c r="C1328" s="21">
        <f>B1328-20</f>
        <v/>
      </c>
      <c r="D1328" t="n">
        <v>125.4</v>
      </c>
      <c r="E1328" s="22">
        <f>D1328-90</f>
        <v/>
      </c>
      <c r="F1328" s="23" t="n">
        <v>0.010933</v>
      </c>
      <c r="G1328" s="22" t="n">
        <v>20</v>
      </c>
      <c r="H1328" s="22" t="n">
        <v>1.4</v>
      </c>
      <c r="I1328" s="24" t="n">
        <v>0.0511641018092632</v>
      </c>
      <c r="J1328" s="6" t="n">
        <v>71000</v>
      </c>
      <c r="K1328" s="25">
        <f>23*10^-6</f>
        <v/>
      </c>
      <c r="L1328" s="8">
        <f>H1328</f>
        <v/>
      </c>
      <c r="M1328" s="26">
        <f>H1328^2/6</f>
        <v/>
      </c>
      <c r="N1328" s="26">
        <f>H1328^3/12</f>
        <v/>
      </c>
      <c r="O1328" s="27">
        <f>-J1328*L1328*K1328*C1328</f>
        <v/>
      </c>
      <c r="P1328" s="28">
        <f>-(12*F1328*J1328*L1328*N1328+12*O1328*N1328*G1328*COS(RADIANS(E1328)))/(12*N1328*G1328*COS(RADIANS(E1328))^2+L1328*G1328^3*SIN(RADIANS(E1328))^2)</f>
        <v/>
      </c>
      <c r="Q1328" s="28">
        <f>-(6*F1328*J1328*L1328*N1328*SIN(RADIANS(E1328))+6*O1328*N1328*G1328*SIN(RADIANS(E1328))*COS(RADIANS(E1328)))/(12*N1328*COS(RADIANS(E1328))^2+L1328*G1328^2*SIN(RADIANS(E1328))^2)</f>
        <v/>
      </c>
      <c r="R1328" s="28">
        <f>-P1328*SIN(RADIANS(E1328))</f>
        <v/>
      </c>
      <c r="S1328" s="8">
        <f>(O1328+P1328*COS(RADIANS(E1328)))/L1328</f>
        <v/>
      </c>
      <c r="T1328" s="8">
        <f>R1328/L1328</f>
        <v/>
      </c>
      <c r="U1328" s="8">
        <f>(Q1328-P1328*G1328*SIN(RADIANS(E1328)))/M1328</f>
        <v/>
      </c>
      <c r="V1328" s="8">
        <f>SQRT((S1328+U1328)^2+3*T1328^2)</f>
        <v/>
      </c>
      <c r="W1328" s="8">
        <f>V1328/AA1328</f>
        <v/>
      </c>
      <c r="X1328" s="27">
        <f>((3*10+H1328/COS(RADIANS(E1328)))*(3+3)+3*G1328*H1328)*2</f>
        <v/>
      </c>
      <c r="Y1328" s="28">
        <f>Z1328/X1328</f>
        <v/>
      </c>
      <c r="Z1328" s="29" t="n">
        <v>557.487130460932</v>
      </c>
      <c r="AA1328" s="20" t="n">
        <v>64.9997939703499</v>
      </c>
      <c r="AB1328" t="n">
        <v>0.04897900552212422</v>
      </c>
      <c r="AC1328" t="n">
        <v>63.01723959570623</v>
      </c>
      <c r="AD1328" t="n">
        <v>-4.270760572099729</v>
      </c>
    </row>
    <row r="1329">
      <c r="A1329" t="n">
        <v>1328</v>
      </c>
      <c r="B1329" t="n">
        <v>51.8</v>
      </c>
      <c r="C1329" s="21">
        <f>B1329-20</f>
        <v/>
      </c>
      <c r="D1329" t="n">
        <v>121.2</v>
      </c>
      <c r="E1329" s="22">
        <f>D1329-90</f>
        <v/>
      </c>
      <c r="F1329" s="23" t="n">
        <v>0.010827</v>
      </c>
      <c r="G1329" s="22" t="n">
        <v>27.9</v>
      </c>
      <c r="H1329" s="22" t="n">
        <v>1.9</v>
      </c>
      <c r="I1329" s="24" t="n">
        <v>0.0502078495919704</v>
      </c>
      <c r="J1329" s="6" t="n">
        <v>71000</v>
      </c>
      <c r="K1329" s="25">
        <f>23*10^-6</f>
        <v/>
      </c>
      <c r="L1329" s="8">
        <f>H1329</f>
        <v/>
      </c>
      <c r="M1329" s="26">
        <f>H1329^2/6</f>
        <v/>
      </c>
      <c r="N1329" s="26">
        <f>H1329^3/12</f>
        <v/>
      </c>
      <c r="O1329" s="27">
        <f>-J1329*L1329*K1329*C1329</f>
        <v/>
      </c>
      <c r="P1329" s="28">
        <f>-(12*F1329*J1329*L1329*N1329+12*O1329*N1329*G1329*COS(RADIANS(E1329)))/(12*N1329*G1329*COS(RADIANS(E1329))^2+L1329*G1329^3*SIN(RADIANS(E1329))^2)</f>
        <v/>
      </c>
      <c r="Q1329" s="28">
        <f>-(6*F1329*J1329*L1329*N1329*SIN(RADIANS(E1329))+6*O1329*N1329*G1329*SIN(RADIANS(E1329))*COS(RADIANS(E1329)))/(12*N1329*COS(RADIANS(E1329))^2+L1329*G1329^2*SIN(RADIANS(E1329))^2)</f>
        <v/>
      </c>
      <c r="R1329" s="28">
        <f>-P1329*SIN(RADIANS(E1329))</f>
        <v/>
      </c>
      <c r="S1329" s="8">
        <f>(O1329+P1329*COS(RADIANS(E1329)))/L1329</f>
        <v/>
      </c>
      <c r="T1329" s="8">
        <f>R1329/L1329</f>
        <v/>
      </c>
      <c r="U1329" s="8">
        <f>(Q1329-P1329*G1329*SIN(RADIANS(E1329)))/M1329</f>
        <v/>
      </c>
      <c r="V1329" s="8">
        <f>SQRT((S1329+U1329)^2+3*T1329^2)</f>
        <v/>
      </c>
      <c r="W1329" s="8">
        <f>V1329/AA1329</f>
        <v/>
      </c>
      <c r="X1329" s="27">
        <f>((3*10+H1329/COS(RADIANS(E1329)))*(3+3)+3*G1329*H1329)*2</f>
        <v/>
      </c>
      <c r="Y1329" s="28">
        <f>Z1329/X1329</f>
        <v/>
      </c>
      <c r="Z1329" s="29" t="n">
        <v>712.207161596138</v>
      </c>
      <c r="AA1329" s="20" t="n">
        <v>51.2680805534179</v>
      </c>
      <c r="AB1329" t="n">
        <v>0.05647166938204932</v>
      </c>
      <c r="AC1329" t="n">
        <v>47.91215614962591</v>
      </c>
      <c r="AD1329" t="n">
        <v>12.47577787334807</v>
      </c>
    </row>
    <row r="1330">
      <c r="A1330" t="n">
        <v>1329</v>
      </c>
      <c r="B1330" t="n">
        <v>53.3</v>
      </c>
      <c r="C1330" s="21">
        <f>B1330-20</f>
        <v/>
      </c>
      <c r="D1330" t="n">
        <v>107.6</v>
      </c>
      <c r="E1330" s="22">
        <f>D1330-90</f>
        <v/>
      </c>
      <c r="F1330" s="23" t="n">
        <v>0.011939</v>
      </c>
      <c r="G1330" s="22" t="n">
        <v>26.7</v>
      </c>
      <c r="H1330" s="22" t="n">
        <v>1.3</v>
      </c>
      <c r="I1330" s="24" t="n">
        <v>0.0768623724579811</v>
      </c>
      <c r="J1330" s="6" t="n">
        <v>71000</v>
      </c>
      <c r="K1330" s="25">
        <f>23*10^-6</f>
        <v/>
      </c>
      <c r="L1330" s="8">
        <f>H1330</f>
        <v/>
      </c>
      <c r="M1330" s="26">
        <f>H1330^2/6</f>
        <v/>
      </c>
      <c r="N1330" s="26">
        <f>H1330^3/12</f>
        <v/>
      </c>
      <c r="O1330" s="27">
        <f>-J1330*L1330*K1330*C1330</f>
        <v/>
      </c>
      <c r="P1330" s="28">
        <f>-(12*F1330*J1330*L1330*N1330+12*O1330*N1330*G1330*COS(RADIANS(E1330)))/(12*N1330*G1330*COS(RADIANS(E1330))^2+L1330*G1330^3*SIN(RADIANS(E1330))^2)</f>
        <v/>
      </c>
      <c r="Q1330" s="28">
        <f>-(6*F1330*J1330*L1330*N1330*SIN(RADIANS(E1330))+6*O1330*N1330*G1330*SIN(RADIANS(E1330))*COS(RADIANS(E1330)))/(12*N1330*COS(RADIANS(E1330))^2+L1330*G1330^2*SIN(RADIANS(E1330))^2)</f>
        <v/>
      </c>
      <c r="R1330" s="28">
        <f>-P1330*SIN(RADIANS(E1330))</f>
        <v/>
      </c>
      <c r="S1330" s="8">
        <f>(O1330+P1330*COS(RADIANS(E1330)))/L1330</f>
        <v/>
      </c>
      <c r="T1330" s="8">
        <f>R1330/L1330</f>
        <v/>
      </c>
      <c r="U1330" s="8">
        <f>(Q1330-P1330*G1330*SIN(RADIANS(E1330)))/M1330</f>
        <v/>
      </c>
      <c r="V1330" s="8">
        <f>SQRT((S1330+U1330)^2+3*T1330^2)</f>
        <v/>
      </c>
      <c r="W1330" s="8">
        <f>V1330/AA1330</f>
        <v/>
      </c>
      <c r="X1330" s="27">
        <f>((3*10+H1330/COS(RADIANS(E1330)))*(3+3)+3*G1330*H1330)*2</f>
        <v/>
      </c>
      <c r="Y1330" s="28">
        <f>Z1330/X1330</f>
        <v/>
      </c>
      <c r="Z1330" s="29" t="n">
        <v>589.238308050709</v>
      </c>
      <c r="AA1330" s="20" t="n">
        <v>50.3149058201602</v>
      </c>
      <c r="AB1330" t="n">
        <v>0.1027576857782897</v>
      </c>
      <c r="AC1330" t="n">
        <v>52.12413325925583</v>
      </c>
      <c r="AD1330" t="n">
        <v>33.6904944411714</v>
      </c>
    </row>
    <row r="1331">
      <c r="A1331" t="n">
        <v>1330</v>
      </c>
      <c r="B1331" t="n">
        <v>75.2</v>
      </c>
      <c r="C1331" s="21">
        <f>B1331-20</f>
        <v/>
      </c>
      <c r="D1331" t="n">
        <v>120.3</v>
      </c>
      <c r="E1331" s="22">
        <f>D1331-90</f>
        <v/>
      </c>
      <c r="F1331" s="23" t="n">
        <v>0.020782</v>
      </c>
      <c r="G1331" s="22" t="n">
        <v>31.3</v>
      </c>
      <c r="H1331" s="22" t="n">
        <v>1</v>
      </c>
      <c r="I1331" s="24" t="n">
        <v>0.09569782018661489</v>
      </c>
      <c r="J1331" s="6" t="n">
        <v>71000</v>
      </c>
      <c r="K1331" s="25">
        <f>23*10^-6</f>
        <v/>
      </c>
      <c r="L1331" s="8">
        <f>H1331</f>
        <v/>
      </c>
      <c r="M1331" s="26">
        <f>H1331^2/6</f>
        <v/>
      </c>
      <c r="N1331" s="26">
        <f>H1331^3/12</f>
        <v/>
      </c>
      <c r="O1331" s="27">
        <f>-J1331*L1331*K1331*C1331</f>
        <v/>
      </c>
      <c r="P1331" s="28">
        <f>-(12*F1331*J1331*L1331*N1331+12*O1331*N1331*G1331*COS(RADIANS(E1331)))/(12*N1331*G1331*COS(RADIANS(E1331))^2+L1331*G1331^3*SIN(RADIANS(E1331))^2)</f>
        <v/>
      </c>
      <c r="Q1331" s="28">
        <f>-(6*F1331*J1331*L1331*N1331*SIN(RADIANS(E1331))+6*O1331*N1331*G1331*SIN(RADIANS(E1331))*COS(RADIANS(E1331)))/(12*N1331*COS(RADIANS(E1331))^2+L1331*G1331^2*SIN(RADIANS(E1331))^2)</f>
        <v/>
      </c>
      <c r="R1331" s="28">
        <f>-P1331*SIN(RADIANS(E1331))</f>
        <v/>
      </c>
      <c r="S1331" s="8">
        <f>(O1331+P1331*COS(RADIANS(E1331)))/L1331</f>
        <v/>
      </c>
      <c r="T1331" s="8">
        <f>R1331/L1331</f>
        <v/>
      </c>
      <c r="U1331" s="8">
        <f>(Q1331-P1331*G1331*SIN(RADIANS(E1331)))/M1331</f>
        <v/>
      </c>
      <c r="V1331" s="8">
        <f>SQRT((S1331+U1331)^2+3*T1331^2)</f>
        <v/>
      </c>
      <c r="W1331" s="8">
        <f>V1331/AA1331</f>
        <v/>
      </c>
      <c r="X1331" s="27">
        <f>((3*10+H1331/COS(RADIANS(E1331)))*(3+3)+3*G1331*H1331)*2</f>
        <v/>
      </c>
      <c r="Y1331" s="28">
        <f>Z1331/X1331</f>
        <v/>
      </c>
      <c r="Z1331" s="29" t="n">
        <v>568.929466218132</v>
      </c>
      <c r="AA1331" s="20" t="n">
        <v>73.57965279885531</v>
      </c>
      <c r="AB1331" t="n">
        <v>0.1139501180278544</v>
      </c>
      <c r="AC1331" t="n">
        <v>78.83385488324937</v>
      </c>
      <c r="AD1331" t="n">
        <v>19.07284597041686</v>
      </c>
    </row>
    <row r="1332">
      <c r="A1332" t="n">
        <v>1331</v>
      </c>
      <c r="B1332" t="n">
        <v>50.8</v>
      </c>
      <c r="C1332" s="21">
        <f>B1332-20</f>
        <v/>
      </c>
      <c r="D1332" t="n">
        <v>117.7</v>
      </c>
      <c r="E1332" s="22">
        <f>D1332-90</f>
        <v/>
      </c>
      <c r="F1332" s="23" t="n">
        <v>0.011215</v>
      </c>
      <c r="G1332" s="22" t="n">
        <v>29.3</v>
      </c>
      <c r="H1332" s="22" t="n">
        <v>1.4</v>
      </c>
      <c r="I1332" s="24" t="n">
        <v>0.0543700158596038</v>
      </c>
      <c r="J1332" s="6" t="n">
        <v>71000</v>
      </c>
      <c r="K1332" s="25">
        <f>23*10^-6</f>
        <v/>
      </c>
      <c r="L1332" s="8">
        <f>H1332</f>
        <v/>
      </c>
      <c r="M1332" s="26">
        <f>H1332^2/6</f>
        <v/>
      </c>
      <c r="N1332" s="26">
        <f>H1332^3/12</f>
        <v/>
      </c>
      <c r="O1332" s="27">
        <f>-J1332*L1332*K1332*C1332</f>
        <v/>
      </c>
      <c r="P1332" s="28">
        <f>-(12*F1332*J1332*L1332*N1332+12*O1332*N1332*G1332*COS(RADIANS(E1332)))/(12*N1332*G1332*COS(RADIANS(E1332))^2+L1332*G1332^3*SIN(RADIANS(E1332))^2)</f>
        <v/>
      </c>
      <c r="Q1332" s="28">
        <f>-(6*F1332*J1332*L1332*N1332*SIN(RADIANS(E1332))+6*O1332*N1332*G1332*SIN(RADIANS(E1332))*COS(RADIANS(E1332)))/(12*N1332*COS(RADIANS(E1332))^2+L1332*G1332^2*SIN(RADIANS(E1332))^2)</f>
        <v/>
      </c>
      <c r="R1332" s="28">
        <f>-P1332*SIN(RADIANS(E1332))</f>
        <v/>
      </c>
      <c r="S1332" s="8">
        <f>(O1332+P1332*COS(RADIANS(E1332)))/L1332</f>
        <v/>
      </c>
      <c r="T1332" s="8">
        <f>R1332/L1332</f>
        <v/>
      </c>
      <c r="U1332" s="8">
        <f>(Q1332-P1332*G1332*SIN(RADIANS(E1332)))/M1332</f>
        <v/>
      </c>
      <c r="V1332" s="8">
        <f>SQRT((S1332+U1332)^2+3*T1332^2)</f>
        <v/>
      </c>
      <c r="W1332" s="8">
        <f>V1332/AA1332</f>
        <v/>
      </c>
      <c r="X1332" s="27">
        <f>((3*10+H1332/COS(RADIANS(E1332)))*(3+3)+3*G1332*H1332)*2</f>
        <v/>
      </c>
      <c r="Y1332" s="28">
        <f>Z1332/X1332</f>
        <v/>
      </c>
      <c r="Z1332" s="29" t="n">
        <v>631.634828541819</v>
      </c>
      <c r="AA1332" s="20" t="n">
        <v>45.5004373539194</v>
      </c>
      <c r="AB1332" t="n">
        <v>0.06542366899584595</v>
      </c>
      <c r="AC1332" t="n">
        <v>45.60138793229898</v>
      </c>
      <c r="AD1332" t="n">
        <v>20.33042102615032</v>
      </c>
    </row>
    <row r="1333">
      <c r="A1333" t="n">
        <v>1332</v>
      </c>
      <c r="B1333" t="n">
        <v>45.1</v>
      </c>
      <c r="C1333" s="21">
        <f>B1333-20</f>
        <v/>
      </c>
      <c r="D1333" t="n">
        <v>123.8</v>
      </c>
      <c r="E1333" s="22">
        <f>D1333-90</f>
        <v/>
      </c>
      <c r="F1333" s="23" t="n">
        <v>0.009873</v>
      </c>
      <c r="G1333" s="22" t="n">
        <v>34.3</v>
      </c>
      <c r="H1333" s="22" t="n">
        <v>1.4</v>
      </c>
      <c r="I1333" s="24" t="n">
        <v>0.0431665703654289</v>
      </c>
      <c r="J1333" s="6" t="n">
        <v>71000</v>
      </c>
      <c r="K1333" s="25">
        <f>23*10^-6</f>
        <v/>
      </c>
      <c r="L1333" s="8">
        <f>H1333</f>
        <v/>
      </c>
      <c r="M1333" s="26">
        <f>H1333^2/6</f>
        <v/>
      </c>
      <c r="N1333" s="26">
        <f>H1333^3/12</f>
        <v/>
      </c>
      <c r="O1333" s="27">
        <f>-J1333*L1333*K1333*C1333</f>
        <v/>
      </c>
      <c r="P1333" s="28">
        <f>-(12*F1333*J1333*L1333*N1333+12*O1333*N1333*G1333*COS(RADIANS(E1333)))/(12*N1333*G1333*COS(RADIANS(E1333))^2+L1333*G1333^3*SIN(RADIANS(E1333))^2)</f>
        <v/>
      </c>
      <c r="Q1333" s="28">
        <f>-(6*F1333*J1333*L1333*N1333*SIN(RADIANS(E1333))+6*O1333*N1333*G1333*SIN(RADIANS(E1333))*COS(RADIANS(E1333)))/(12*N1333*COS(RADIANS(E1333))^2+L1333*G1333^2*SIN(RADIANS(E1333))^2)</f>
        <v/>
      </c>
      <c r="R1333" s="28">
        <f>-P1333*SIN(RADIANS(E1333))</f>
        <v/>
      </c>
      <c r="S1333" s="8">
        <f>(O1333+P1333*COS(RADIANS(E1333)))/L1333</f>
        <v/>
      </c>
      <c r="T1333" s="8">
        <f>R1333/L1333</f>
        <v/>
      </c>
      <c r="U1333" s="8">
        <f>(Q1333-P1333*G1333*SIN(RADIANS(E1333)))/M1333</f>
        <v/>
      </c>
      <c r="V1333" s="8">
        <f>SQRT((S1333+U1333)^2+3*T1333^2)</f>
        <v/>
      </c>
      <c r="W1333" s="8">
        <f>V1333/AA1333</f>
        <v/>
      </c>
      <c r="X1333" s="27">
        <f>((3*10+H1333/COS(RADIANS(E1333)))*(3+3)+3*G1333*H1333)*2</f>
        <v/>
      </c>
      <c r="Y1333" s="28">
        <f>Z1333/X1333</f>
        <v/>
      </c>
      <c r="Z1333" s="29" t="n">
        <v>676.652019919498</v>
      </c>
      <c r="AA1333" s="20" t="n">
        <v>35.4947423016862</v>
      </c>
      <c r="AB1333" t="n">
        <v>0.05013170201325499</v>
      </c>
      <c r="AC1333" t="n">
        <v>36.11991644438842</v>
      </c>
      <c r="AD1333" t="n">
        <v>16.13547610769723</v>
      </c>
    </row>
    <row r="1334">
      <c r="A1334" t="n">
        <v>1333</v>
      </c>
      <c r="B1334" t="n">
        <v>45.4</v>
      </c>
      <c r="C1334" s="21">
        <f>B1334-20</f>
        <v/>
      </c>
      <c r="D1334" t="n">
        <v>124</v>
      </c>
      <c r="E1334" s="22">
        <f>D1334-90</f>
        <v/>
      </c>
      <c r="F1334" s="23" t="n">
        <v>0.007763</v>
      </c>
      <c r="G1334" s="22" t="n">
        <v>25.1</v>
      </c>
      <c r="H1334" s="22" t="n">
        <v>1.5</v>
      </c>
      <c r="I1334" s="24" t="n">
        <v>0.0354779027402401</v>
      </c>
      <c r="J1334" s="6" t="n">
        <v>71000</v>
      </c>
      <c r="K1334" s="25">
        <f>23*10^-6</f>
        <v/>
      </c>
      <c r="L1334" s="8">
        <f>H1334</f>
        <v/>
      </c>
      <c r="M1334" s="26">
        <f>H1334^2/6</f>
        <v/>
      </c>
      <c r="N1334" s="26">
        <f>H1334^3/12</f>
        <v/>
      </c>
      <c r="O1334" s="27">
        <f>-J1334*L1334*K1334*C1334</f>
        <v/>
      </c>
      <c r="P1334" s="28">
        <f>-(12*F1334*J1334*L1334*N1334+12*O1334*N1334*G1334*COS(RADIANS(E1334)))/(12*N1334*G1334*COS(RADIANS(E1334))^2+L1334*G1334^3*SIN(RADIANS(E1334))^2)</f>
        <v/>
      </c>
      <c r="Q1334" s="28">
        <f>-(6*F1334*J1334*L1334*N1334*SIN(RADIANS(E1334))+6*O1334*N1334*G1334*SIN(RADIANS(E1334))*COS(RADIANS(E1334)))/(12*N1334*COS(RADIANS(E1334))^2+L1334*G1334^2*SIN(RADIANS(E1334))^2)</f>
        <v/>
      </c>
      <c r="R1334" s="28">
        <f>-P1334*SIN(RADIANS(E1334))</f>
        <v/>
      </c>
      <c r="S1334" s="8">
        <f>(O1334+P1334*COS(RADIANS(E1334)))/L1334</f>
        <v/>
      </c>
      <c r="T1334" s="8">
        <f>R1334/L1334</f>
        <v/>
      </c>
      <c r="U1334" s="8">
        <f>(Q1334-P1334*G1334*SIN(RADIANS(E1334)))/M1334</f>
        <v/>
      </c>
      <c r="V1334" s="8">
        <f>SQRT((S1334+U1334)^2+3*T1334^2)</f>
        <v/>
      </c>
      <c r="W1334" s="8">
        <f>V1334/AA1334</f>
        <v/>
      </c>
      <c r="X1334" s="27">
        <f>((3*10+H1334/COS(RADIANS(E1334)))*(3+3)+3*G1334*H1334)*2</f>
        <v/>
      </c>
      <c r="Y1334" s="28">
        <f>Z1334/X1334</f>
        <v/>
      </c>
      <c r="Z1334" s="29" t="n">
        <v>615.994783222804</v>
      </c>
      <c r="AA1334" s="20" t="n">
        <v>38.134729389226</v>
      </c>
      <c r="AB1334" t="n">
        <v>0.03739659031285598</v>
      </c>
      <c r="AC1334" t="n">
        <v>37.27125140583456</v>
      </c>
      <c r="AD1334" t="n">
        <v>5.408120053386512</v>
      </c>
    </row>
    <row r="1335">
      <c r="A1335" t="n">
        <v>1334</v>
      </c>
      <c r="B1335" t="n">
        <v>50</v>
      </c>
      <c r="C1335" s="21">
        <f>B1335-20</f>
        <v/>
      </c>
      <c r="D1335" t="n">
        <v>109.6</v>
      </c>
      <c r="E1335" s="22">
        <f>D1335-90</f>
        <v/>
      </c>
      <c r="F1335" s="23" t="n">
        <v>0.012136</v>
      </c>
      <c r="G1335" s="22" t="n">
        <v>31.3</v>
      </c>
      <c r="H1335" s="22" t="n">
        <v>1.1</v>
      </c>
      <c r="I1335" s="24" t="n">
        <v>0.0715079084038734</v>
      </c>
      <c r="J1335" s="6" t="n">
        <v>71000</v>
      </c>
      <c r="K1335" s="25">
        <f>23*10^-6</f>
        <v/>
      </c>
      <c r="L1335" s="8">
        <f>H1335</f>
        <v/>
      </c>
      <c r="M1335" s="26">
        <f>H1335^2/6</f>
        <v/>
      </c>
      <c r="N1335" s="26">
        <f>H1335^3/12</f>
        <v/>
      </c>
      <c r="O1335" s="27">
        <f>-J1335*L1335*K1335*C1335</f>
        <v/>
      </c>
      <c r="P1335" s="28">
        <f>-(12*F1335*J1335*L1335*N1335+12*O1335*N1335*G1335*COS(RADIANS(E1335)))/(12*N1335*G1335*COS(RADIANS(E1335))^2+L1335*G1335^3*SIN(RADIANS(E1335))^2)</f>
        <v/>
      </c>
      <c r="Q1335" s="28">
        <f>-(6*F1335*J1335*L1335*N1335*SIN(RADIANS(E1335))+6*O1335*N1335*G1335*SIN(RADIANS(E1335))*COS(RADIANS(E1335)))/(12*N1335*COS(RADIANS(E1335))^2+L1335*G1335^2*SIN(RADIANS(E1335))^2)</f>
        <v/>
      </c>
      <c r="R1335" s="28">
        <f>-P1335*SIN(RADIANS(E1335))</f>
        <v/>
      </c>
      <c r="S1335" s="8">
        <f>(O1335+P1335*COS(RADIANS(E1335)))/L1335</f>
        <v/>
      </c>
      <c r="T1335" s="8">
        <f>R1335/L1335</f>
        <v/>
      </c>
      <c r="U1335" s="8">
        <f>(Q1335-P1335*G1335*SIN(RADIANS(E1335)))/M1335</f>
        <v/>
      </c>
      <c r="V1335" s="8">
        <f>SQRT((S1335+U1335)^2+3*T1335^2)</f>
        <v/>
      </c>
      <c r="W1335" s="8">
        <f>V1335/AA1335</f>
        <v/>
      </c>
      <c r="X1335" s="27">
        <f>((3*10+H1335/COS(RADIANS(E1335)))*(3+3)+3*G1335*H1335)*2</f>
        <v/>
      </c>
      <c r="Y1335" s="28">
        <f>Z1335/X1335</f>
        <v/>
      </c>
      <c r="Z1335" s="29" t="n">
        <v>585.501666861419</v>
      </c>
      <c r="AA1335" s="20" t="n">
        <v>42.337664810165</v>
      </c>
      <c r="AB1335" t="n">
        <v>0.09747314190543657</v>
      </c>
      <c r="AC1335" t="n">
        <v>44.90423935568131</v>
      </c>
      <c r="AD1335" t="n">
        <v>36.31099563829041</v>
      </c>
    </row>
    <row r="1336">
      <c r="A1336" t="n">
        <v>1335</v>
      </c>
      <c r="B1336" t="n">
        <v>88</v>
      </c>
      <c r="C1336" s="21">
        <f>B1336-20</f>
        <v/>
      </c>
      <c r="D1336" t="n">
        <v>126.3</v>
      </c>
      <c r="E1336" s="22">
        <f>D1336-90</f>
        <v/>
      </c>
      <c r="F1336" s="23" t="n">
        <v>0.023519</v>
      </c>
      <c r="G1336" s="22" t="n">
        <v>30.2</v>
      </c>
      <c r="H1336" s="22" t="n">
        <v>1.1</v>
      </c>
      <c r="I1336" s="24" t="n">
        <v>0.102469839155673</v>
      </c>
      <c r="J1336" s="6" t="n">
        <v>71000</v>
      </c>
      <c r="K1336" s="25">
        <f>23*10^-6</f>
        <v/>
      </c>
      <c r="L1336" s="8">
        <f>H1336</f>
        <v/>
      </c>
      <c r="M1336" s="26">
        <f>H1336^2/6</f>
        <v/>
      </c>
      <c r="N1336" s="26">
        <f>H1336^3/12</f>
        <v/>
      </c>
      <c r="O1336" s="27">
        <f>-J1336*L1336*K1336*C1336</f>
        <v/>
      </c>
      <c r="P1336" s="28">
        <f>-(12*F1336*J1336*L1336*N1336+12*O1336*N1336*G1336*COS(RADIANS(E1336)))/(12*N1336*G1336*COS(RADIANS(E1336))^2+L1336*G1336^3*SIN(RADIANS(E1336))^2)</f>
        <v/>
      </c>
      <c r="Q1336" s="28">
        <f>-(6*F1336*J1336*L1336*N1336*SIN(RADIANS(E1336))+6*O1336*N1336*G1336*SIN(RADIANS(E1336))*COS(RADIANS(E1336)))/(12*N1336*COS(RADIANS(E1336))^2+L1336*G1336^2*SIN(RADIANS(E1336))^2)</f>
        <v/>
      </c>
      <c r="R1336" s="28">
        <f>-P1336*SIN(RADIANS(E1336))</f>
        <v/>
      </c>
      <c r="S1336" s="8">
        <f>(O1336+P1336*COS(RADIANS(E1336)))/L1336</f>
        <v/>
      </c>
      <c r="T1336" s="8">
        <f>R1336/L1336</f>
        <v/>
      </c>
      <c r="U1336" s="8">
        <f>(Q1336-P1336*G1336*SIN(RADIANS(E1336)))/M1336</f>
        <v/>
      </c>
      <c r="V1336" s="8">
        <f>SQRT((S1336+U1336)^2+3*T1336^2)</f>
        <v/>
      </c>
      <c r="W1336" s="8">
        <f>V1336/AA1336</f>
        <v/>
      </c>
      <c r="X1336" s="27">
        <f>((3*10+H1336/COS(RADIANS(E1336)))*(3+3)+3*G1336*H1336)*2</f>
        <v/>
      </c>
      <c r="Y1336" s="28">
        <f>Z1336/X1336</f>
        <v/>
      </c>
      <c r="Z1336" s="29" t="n">
        <v>584.91158266681</v>
      </c>
      <c r="AA1336" s="20" t="n">
        <v>90.0346533851405</v>
      </c>
      <c r="AB1336" t="n">
        <v>0.1114837722597359</v>
      </c>
      <c r="AC1336" t="n">
        <v>96.42602097160814</v>
      </c>
      <c r="AD1336" t="n">
        <v>8.796669515962508</v>
      </c>
    </row>
    <row r="1337">
      <c r="A1337" t="n">
        <v>1336</v>
      </c>
      <c r="B1337" t="n">
        <v>57.2</v>
      </c>
      <c r="C1337" s="21">
        <f>B1337-20</f>
        <v/>
      </c>
      <c r="D1337" t="n">
        <v>101.3</v>
      </c>
      <c r="E1337" s="22">
        <f>D1337-90</f>
        <v/>
      </c>
      <c r="F1337" s="23" t="n">
        <v>0.015187</v>
      </c>
      <c r="G1337" s="22" t="n">
        <v>30.4</v>
      </c>
      <c r="H1337" s="22" t="n">
        <v>1.4</v>
      </c>
      <c r="I1337" s="24" t="n">
        <v>0.133013352751731</v>
      </c>
      <c r="J1337" s="6" t="n">
        <v>71000</v>
      </c>
      <c r="K1337" s="25">
        <f>23*10^-6</f>
        <v/>
      </c>
      <c r="L1337" s="8">
        <f>H1337</f>
        <v/>
      </c>
      <c r="M1337" s="26">
        <f>H1337^2/6</f>
        <v/>
      </c>
      <c r="N1337" s="26">
        <f>H1337^3/12</f>
        <v/>
      </c>
      <c r="O1337" s="27">
        <f>-J1337*L1337*K1337*C1337</f>
        <v/>
      </c>
      <c r="P1337" s="28">
        <f>-(12*F1337*J1337*L1337*N1337+12*O1337*N1337*G1337*COS(RADIANS(E1337)))/(12*N1337*G1337*COS(RADIANS(E1337))^2+L1337*G1337^3*SIN(RADIANS(E1337))^2)</f>
        <v/>
      </c>
      <c r="Q1337" s="28">
        <f>-(6*F1337*J1337*L1337*N1337*SIN(RADIANS(E1337))+6*O1337*N1337*G1337*SIN(RADIANS(E1337))*COS(RADIANS(E1337)))/(12*N1337*COS(RADIANS(E1337))^2+L1337*G1337^2*SIN(RADIANS(E1337))^2)</f>
        <v/>
      </c>
      <c r="R1337" s="28">
        <f>-P1337*SIN(RADIANS(E1337))</f>
        <v/>
      </c>
      <c r="S1337" s="8">
        <f>(O1337+P1337*COS(RADIANS(E1337)))/L1337</f>
        <v/>
      </c>
      <c r="T1337" s="8">
        <f>R1337/L1337</f>
        <v/>
      </c>
      <c r="U1337" s="8">
        <f>(Q1337-P1337*G1337*SIN(RADIANS(E1337)))/M1337</f>
        <v/>
      </c>
      <c r="V1337" s="8">
        <f>SQRT((S1337+U1337)^2+3*T1337^2)</f>
        <v/>
      </c>
      <c r="W1337" s="8">
        <f>V1337/AA1337</f>
        <v/>
      </c>
      <c r="X1337" s="27">
        <f>((3*10+H1337/COS(RADIANS(E1337)))*(3+3)+3*G1337*H1337)*2</f>
        <v/>
      </c>
      <c r="Y1337" s="28">
        <f>Z1337/X1337</f>
        <v/>
      </c>
      <c r="Z1337" s="29" t="n">
        <v>636.400186705996</v>
      </c>
      <c r="AA1337" s="20" t="n">
        <v>58.7375569082634</v>
      </c>
      <c r="AB1337" t="n">
        <v>0.1980616693864467</v>
      </c>
      <c r="AC1337" t="n">
        <v>62.21735575059981</v>
      </c>
      <c r="AD1337" t="n">
        <v>48.9035989913946</v>
      </c>
    </row>
    <row r="1338">
      <c r="A1338" t="n">
        <v>1337</v>
      </c>
      <c r="B1338" t="n">
        <v>73.5</v>
      </c>
      <c r="C1338" s="21">
        <f>B1338-20</f>
        <v/>
      </c>
      <c r="D1338" t="n">
        <v>115.9</v>
      </c>
      <c r="E1338" s="22">
        <f>D1338-90</f>
        <v/>
      </c>
      <c r="F1338" s="23" t="n">
        <v>0.022697</v>
      </c>
      <c r="G1338" s="22" t="n">
        <v>34.7</v>
      </c>
      <c r="H1338" s="22" t="n">
        <v>1.2</v>
      </c>
      <c r="I1338" s="24" t="n">
        <v>0.111231505870819</v>
      </c>
      <c r="J1338" s="6" t="n">
        <v>71000</v>
      </c>
      <c r="K1338" s="25">
        <f>23*10^-6</f>
        <v/>
      </c>
      <c r="L1338" s="8">
        <f>H1338</f>
        <v/>
      </c>
      <c r="M1338" s="26">
        <f>H1338^2/6</f>
        <v/>
      </c>
      <c r="N1338" s="26">
        <f>H1338^3/12</f>
        <v/>
      </c>
      <c r="O1338" s="27">
        <f>-J1338*L1338*K1338*C1338</f>
        <v/>
      </c>
      <c r="P1338" s="28">
        <f>-(12*F1338*J1338*L1338*N1338+12*O1338*N1338*G1338*COS(RADIANS(E1338)))/(12*N1338*G1338*COS(RADIANS(E1338))^2+L1338*G1338^3*SIN(RADIANS(E1338))^2)</f>
        <v/>
      </c>
      <c r="Q1338" s="28">
        <f>-(6*F1338*J1338*L1338*N1338*SIN(RADIANS(E1338))+6*O1338*N1338*G1338*SIN(RADIANS(E1338))*COS(RADIANS(E1338)))/(12*N1338*COS(RADIANS(E1338))^2+L1338*G1338^2*SIN(RADIANS(E1338))^2)</f>
        <v/>
      </c>
      <c r="R1338" s="28">
        <f>-P1338*SIN(RADIANS(E1338))</f>
        <v/>
      </c>
      <c r="S1338" s="8">
        <f>(O1338+P1338*COS(RADIANS(E1338)))/L1338</f>
        <v/>
      </c>
      <c r="T1338" s="8">
        <f>R1338/L1338</f>
        <v/>
      </c>
      <c r="U1338" s="8">
        <f>(Q1338-P1338*G1338*SIN(RADIANS(E1338)))/M1338</f>
        <v/>
      </c>
      <c r="V1338" s="8">
        <f>SQRT((S1338+U1338)^2+3*T1338^2)</f>
        <v/>
      </c>
      <c r="W1338" s="8">
        <f>V1338/AA1338</f>
        <v/>
      </c>
      <c r="X1338" s="27">
        <f>((3*10+H1338/COS(RADIANS(E1338)))*(3+3)+3*G1338*H1338)*2</f>
        <v/>
      </c>
      <c r="Y1338" s="28">
        <f>Z1338/X1338</f>
        <v/>
      </c>
      <c r="Z1338" s="29" t="n">
        <v>631.961270911683</v>
      </c>
      <c r="AA1338" s="20" t="n">
        <v>75.16749545744609</v>
      </c>
      <c r="AB1338" t="n">
        <v>0.1437104846597851</v>
      </c>
      <c r="AC1338" t="n">
        <v>77.95745072260063</v>
      </c>
      <c r="AD1338" t="n">
        <v>29.19944177208766</v>
      </c>
    </row>
    <row r="1339">
      <c r="A1339" t="n">
        <v>1338</v>
      </c>
      <c r="B1339" t="n">
        <v>61.2</v>
      </c>
      <c r="C1339" s="21">
        <f>B1339-20</f>
        <v/>
      </c>
      <c r="D1339" t="n">
        <v>111.7</v>
      </c>
      <c r="E1339" s="22">
        <f>D1339-90</f>
        <v/>
      </c>
      <c r="F1339" s="23" t="n">
        <v>0.014644</v>
      </c>
      <c r="G1339" s="22" t="n">
        <v>27.1</v>
      </c>
      <c r="H1339" s="22" t="n">
        <v>1.6</v>
      </c>
      <c r="I1339" s="24" t="n">
        <v>0.08191169053316109</v>
      </c>
      <c r="J1339" s="6" t="n">
        <v>71000</v>
      </c>
      <c r="K1339" s="25">
        <f>23*10^-6</f>
        <v/>
      </c>
      <c r="L1339" s="8">
        <f>H1339</f>
        <v/>
      </c>
      <c r="M1339" s="26">
        <f>H1339^2/6</f>
        <v/>
      </c>
      <c r="N1339" s="26">
        <f>H1339^3/12</f>
        <v/>
      </c>
      <c r="O1339" s="27">
        <f>-J1339*L1339*K1339*C1339</f>
        <v/>
      </c>
      <c r="P1339" s="28">
        <f>-(12*F1339*J1339*L1339*N1339+12*O1339*N1339*G1339*COS(RADIANS(E1339)))/(12*N1339*G1339*COS(RADIANS(E1339))^2+L1339*G1339^3*SIN(RADIANS(E1339))^2)</f>
        <v/>
      </c>
      <c r="Q1339" s="28">
        <f>-(6*F1339*J1339*L1339*N1339*SIN(RADIANS(E1339))+6*O1339*N1339*G1339*SIN(RADIANS(E1339))*COS(RADIANS(E1339)))/(12*N1339*COS(RADIANS(E1339))^2+L1339*G1339^2*SIN(RADIANS(E1339))^2)</f>
        <v/>
      </c>
      <c r="R1339" s="28">
        <f>-P1339*SIN(RADIANS(E1339))</f>
        <v/>
      </c>
      <c r="S1339" s="8">
        <f>(O1339+P1339*COS(RADIANS(E1339)))/L1339</f>
        <v/>
      </c>
      <c r="T1339" s="8">
        <f>R1339/L1339</f>
        <v/>
      </c>
      <c r="U1339" s="8">
        <f>(Q1339-P1339*G1339*SIN(RADIANS(E1339)))/M1339</f>
        <v/>
      </c>
      <c r="V1339" s="8">
        <f>SQRT((S1339+U1339)^2+3*T1339^2)</f>
        <v/>
      </c>
      <c r="W1339" s="8">
        <f>V1339/AA1339</f>
        <v/>
      </c>
      <c r="X1339" s="27">
        <f>((3*10+H1339/COS(RADIANS(E1339)))*(3+3)+3*G1339*H1339)*2</f>
        <v/>
      </c>
      <c r="Y1339" s="28">
        <f>Z1339/X1339</f>
        <v/>
      </c>
      <c r="Z1339" s="29" t="n">
        <v>646.088609029582</v>
      </c>
      <c r="AA1339" s="20" t="n">
        <v>64.7136578002973</v>
      </c>
      <c r="AB1339" t="n">
        <v>0.1038386342353642</v>
      </c>
      <c r="AC1339" t="n">
        <v>64.18507734536496</v>
      </c>
      <c r="AD1339" t="n">
        <v>26.76900398402371</v>
      </c>
    </row>
    <row r="1340">
      <c r="A1340" t="n">
        <v>1339</v>
      </c>
      <c r="B1340" t="n">
        <v>45.4</v>
      </c>
      <c r="C1340" s="21">
        <f>B1340-20</f>
        <v/>
      </c>
      <c r="D1340" t="n">
        <v>101.4</v>
      </c>
      <c r="E1340" s="22">
        <f>D1340-90</f>
        <v/>
      </c>
      <c r="F1340" s="23" t="n">
        <v>0.008975</v>
      </c>
      <c r="G1340" s="22" t="n">
        <v>25.5</v>
      </c>
      <c r="H1340" s="22" t="n">
        <v>1.7</v>
      </c>
      <c r="I1340" s="24" t="n">
        <v>0.076151318848133</v>
      </c>
      <c r="J1340" s="6" t="n">
        <v>71000</v>
      </c>
      <c r="K1340" s="25">
        <f>23*10^-6</f>
        <v/>
      </c>
      <c r="L1340" s="8">
        <f>H1340</f>
        <v/>
      </c>
      <c r="M1340" s="26">
        <f>H1340^2/6</f>
        <v/>
      </c>
      <c r="N1340" s="26">
        <f>H1340^3/12</f>
        <v/>
      </c>
      <c r="O1340" s="27">
        <f>-J1340*L1340*K1340*C1340</f>
        <v/>
      </c>
      <c r="P1340" s="28">
        <f>-(12*F1340*J1340*L1340*N1340+12*O1340*N1340*G1340*COS(RADIANS(E1340)))/(12*N1340*G1340*COS(RADIANS(E1340))^2+L1340*G1340^3*SIN(RADIANS(E1340))^2)</f>
        <v/>
      </c>
      <c r="Q1340" s="28">
        <f>-(6*F1340*J1340*L1340*N1340*SIN(RADIANS(E1340))+6*O1340*N1340*G1340*SIN(RADIANS(E1340))*COS(RADIANS(E1340)))/(12*N1340*COS(RADIANS(E1340))^2+L1340*G1340^2*SIN(RADIANS(E1340))^2)</f>
        <v/>
      </c>
      <c r="R1340" s="28">
        <f>-P1340*SIN(RADIANS(E1340))</f>
        <v/>
      </c>
      <c r="S1340" s="8">
        <f>(O1340+P1340*COS(RADIANS(E1340)))/L1340</f>
        <v/>
      </c>
      <c r="T1340" s="8">
        <f>R1340/L1340</f>
        <v/>
      </c>
      <c r="U1340" s="8">
        <f>(Q1340-P1340*G1340*SIN(RADIANS(E1340)))/M1340</f>
        <v/>
      </c>
      <c r="V1340" s="8">
        <f>SQRT((S1340+U1340)^2+3*T1340^2)</f>
        <v/>
      </c>
      <c r="W1340" s="8">
        <f>V1340/AA1340</f>
        <v/>
      </c>
      <c r="X1340" s="27">
        <f>((3*10+H1340/COS(RADIANS(E1340)))*(3+3)+3*G1340*H1340)*2</f>
        <v/>
      </c>
      <c r="Y1340" s="28">
        <f>Z1340/X1340</f>
        <v/>
      </c>
      <c r="Z1340" s="29" t="n">
        <v>644.82721869998</v>
      </c>
      <c r="AA1340" s="20" t="n">
        <v>45.5525096596384</v>
      </c>
      <c r="AB1340" t="n">
        <v>0.107889744918655</v>
      </c>
      <c r="AC1340" t="n">
        <v>44.57751447448871</v>
      </c>
      <c r="AD1340" t="n">
        <v>41.6781042673959</v>
      </c>
    </row>
    <row r="1341">
      <c r="A1341" t="n">
        <v>1340</v>
      </c>
      <c r="B1341" t="n">
        <v>47.8</v>
      </c>
      <c r="C1341" s="21">
        <f>B1341-20</f>
        <v/>
      </c>
      <c r="D1341" t="n">
        <v>106.2</v>
      </c>
      <c r="E1341" s="22">
        <f>D1341-90</f>
        <v/>
      </c>
      <c r="F1341" s="23" t="n">
        <v>0.010484</v>
      </c>
      <c r="G1341" s="22" t="n">
        <v>28.2</v>
      </c>
      <c r="H1341" s="22" t="n">
        <v>2</v>
      </c>
      <c r="I1341" s="24" t="n">
        <v>0.06957864016294479</v>
      </c>
      <c r="J1341" s="6" t="n">
        <v>71000</v>
      </c>
      <c r="K1341" s="25">
        <f>23*10^-6</f>
        <v/>
      </c>
      <c r="L1341" s="8">
        <f>H1341</f>
        <v/>
      </c>
      <c r="M1341" s="26">
        <f>H1341^2/6</f>
        <v/>
      </c>
      <c r="N1341" s="26">
        <f>H1341^3/12</f>
        <v/>
      </c>
      <c r="O1341" s="27">
        <f>-J1341*L1341*K1341*C1341</f>
        <v/>
      </c>
      <c r="P1341" s="28">
        <f>-(12*F1341*J1341*L1341*N1341+12*O1341*N1341*G1341*COS(RADIANS(E1341)))/(12*N1341*G1341*COS(RADIANS(E1341))^2+L1341*G1341^3*SIN(RADIANS(E1341))^2)</f>
        <v/>
      </c>
      <c r="Q1341" s="28">
        <f>-(6*F1341*J1341*L1341*N1341*SIN(RADIANS(E1341))+6*O1341*N1341*G1341*SIN(RADIANS(E1341))*COS(RADIANS(E1341)))/(12*N1341*COS(RADIANS(E1341))^2+L1341*G1341^2*SIN(RADIANS(E1341))^2)</f>
        <v/>
      </c>
      <c r="R1341" s="28">
        <f>-P1341*SIN(RADIANS(E1341))</f>
        <v/>
      </c>
      <c r="S1341" s="8">
        <f>(O1341+P1341*COS(RADIANS(E1341)))/L1341</f>
        <v/>
      </c>
      <c r="T1341" s="8">
        <f>R1341/L1341</f>
        <v/>
      </c>
      <c r="U1341" s="8">
        <f>(Q1341-P1341*G1341*SIN(RADIANS(E1341)))/M1341</f>
        <v/>
      </c>
      <c r="V1341" s="8">
        <f>SQRT((S1341+U1341)^2+3*T1341^2)</f>
        <v/>
      </c>
      <c r="W1341" s="8">
        <f>V1341/AA1341</f>
        <v/>
      </c>
      <c r="X1341" s="27">
        <f>((3*10+H1341/COS(RADIANS(E1341)))*(3+3)+3*G1341*H1341)*2</f>
        <v/>
      </c>
      <c r="Y1341" s="28">
        <f>Z1341/X1341</f>
        <v/>
      </c>
      <c r="Z1341" s="29" t="n">
        <v>727.818337934633</v>
      </c>
      <c r="AA1341" s="20" t="n">
        <v>48.953438625018</v>
      </c>
      <c r="AB1341" t="n">
        <v>0.09487949136266473</v>
      </c>
      <c r="AC1341" t="n">
        <v>46.69373122615605</v>
      </c>
      <c r="AD1341" t="n">
        <v>36.36295728181578</v>
      </c>
    </row>
    <row r="1342">
      <c r="A1342" t="n">
        <v>1341</v>
      </c>
      <c r="B1342" t="n">
        <v>44.4</v>
      </c>
      <c r="C1342" s="21">
        <f>B1342-20</f>
        <v/>
      </c>
      <c r="D1342" t="n">
        <v>126</v>
      </c>
      <c r="E1342" s="22">
        <f>D1342-90</f>
        <v/>
      </c>
      <c r="F1342" s="23" t="n">
        <v>0.008218</v>
      </c>
      <c r="G1342" s="22" t="n">
        <v>29.1</v>
      </c>
      <c r="H1342" s="22" t="n">
        <v>1.4</v>
      </c>
      <c r="I1342" s="24" t="n">
        <v>0.0361273773014545</v>
      </c>
      <c r="J1342" s="6" t="n">
        <v>71000</v>
      </c>
      <c r="K1342" s="25">
        <f>23*10^-6</f>
        <v/>
      </c>
      <c r="L1342" s="8">
        <f>H1342</f>
        <v/>
      </c>
      <c r="M1342" s="26">
        <f>H1342^2/6</f>
        <v/>
      </c>
      <c r="N1342" s="26">
        <f>H1342^3/12</f>
        <v/>
      </c>
      <c r="O1342" s="27">
        <f>-J1342*L1342*K1342*C1342</f>
        <v/>
      </c>
      <c r="P1342" s="28">
        <f>-(12*F1342*J1342*L1342*N1342+12*O1342*N1342*G1342*COS(RADIANS(E1342)))/(12*N1342*G1342*COS(RADIANS(E1342))^2+L1342*G1342^3*SIN(RADIANS(E1342))^2)</f>
        <v/>
      </c>
      <c r="Q1342" s="28">
        <f>-(6*F1342*J1342*L1342*N1342*SIN(RADIANS(E1342))+6*O1342*N1342*G1342*SIN(RADIANS(E1342))*COS(RADIANS(E1342)))/(12*N1342*COS(RADIANS(E1342))^2+L1342*G1342^2*SIN(RADIANS(E1342))^2)</f>
        <v/>
      </c>
      <c r="R1342" s="28">
        <f>-P1342*SIN(RADIANS(E1342))</f>
        <v/>
      </c>
      <c r="S1342" s="8">
        <f>(O1342+P1342*COS(RADIANS(E1342)))/L1342</f>
        <v/>
      </c>
      <c r="T1342" s="8">
        <f>R1342/L1342</f>
        <v/>
      </c>
      <c r="U1342" s="8">
        <f>(Q1342-P1342*G1342*SIN(RADIANS(E1342)))/M1342</f>
        <v/>
      </c>
      <c r="V1342" s="8">
        <f>SQRT((S1342+U1342)^2+3*T1342^2)</f>
        <v/>
      </c>
      <c r="W1342" s="8">
        <f>V1342/AA1342</f>
        <v/>
      </c>
      <c r="X1342" s="27">
        <f>((3*10+H1342/COS(RADIANS(E1342)))*(3+3)+3*G1342*H1342)*2</f>
        <v/>
      </c>
      <c r="Y1342" s="28">
        <f>Z1342/X1342</f>
        <v/>
      </c>
      <c r="Z1342" s="29" t="n">
        <v>634.305202867634</v>
      </c>
      <c r="AA1342" s="20" t="n">
        <v>34.6296861651567</v>
      </c>
      <c r="AB1342" t="n">
        <v>0.0388975202551068</v>
      </c>
      <c r="AC1342" t="n">
        <v>35.16844236269345</v>
      </c>
      <c r="AD1342" t="n">
        <v>7.667711194581435</v>
      </c>
    </row>
    <row r="1343">
      <c r="A1343" t="n">
        <v>1342</v>
      </c>
      <c r="B1343" t="n">
        <v>49.6</v>
      </c>
      <c r="C1343" s="21">
        <f>B1343-20</f>
        <v/>
      </c>
      <c r="D1343" t="n">
        <v>127</v>
      </c>
      <c r="E1343" s="22">
        <f>D1343-90</f>
        <v/>
      </c>
      <c r="F1343" s="23" t="n">
        <v>0.011376</v>
      </c>
      <c r="G1343" s="22" t="n">
        <v>34.7</v>
      </c>
      <c r="H1343" s="22" t="n">
        <v>1.8</v>
      </c>
      <c r="I1343" s="24" t="n">
        <v>0.0485724061727523</v>
      </c>
      <c r="J1343" s="6" t="n">
        <v>71000</v>
      </c>
      <c r="K1343" s="25">
        <f>23*10^-6</f>
        <v/>
      </c>
      <c r="L1343" s="8">
        <f>H1343</f>
        <v/>
      </c>
      <c r="M1343" s="26">
        <f>H1343^2/6</f>
        <v/>
      </c>
      <c r="N1343" s="26">
        <f>H1343^3/12</f>
        <v/>
      </c>
      <c r="O1343" s="27">
        <f>-J1343*L1343*K1343*C1343</f>
        <v/>
      </c>
      <c r="P1343" s="28">
        <f>-(12*F1343*J1343*L1343*N1343+12*O1343*N1343*G1343*COS(RADIANS(E1343)))/(12*N1343*G1343*COS(RADIANS(E1343))^2+L1343*G1343^3*SIN(RADIANS(E1343))^2)</f>
        <v/>
      </c>
      <c r="Q1343" s="28">
        <f>-(6*F1343*J1343*L1343*N1343*SIN(RADIANS(E1343))+6*O1343*N1343*G1343*SIN(RADIANS(E1343))*COS(RADIANS(E1343)))/(12*N1343*COS(RADIANS(E1343))^2+L1343*G1343^2*SIN(RADIANS(E1343))^2)</f>
        <v/>
      </c>
      <c r="R1343" s="28">
        <f>-P1343*SIN(RADIANS(E1343))</f>
        <v/>
      </c>
      <c r="S1343" s="8">
        <f>(O1343+P1343*COS(RADIANS(E1343)))/L1343</f>
        <v/>
      </c>
      <c r="T1343" s="8">
        <f>R1343/L1343</f>
        <v/>
      </c>
      <c r="U1343" s="8">
        <f>(Q1343-P1343*G1343*SIN(RADIANS(E1343)))/M1343</f>
        <v/>
      </c>
      <c r="V1343" s="8">
        <f>SQRT((S1343+U1343)^2+3*T1343^2)</f>
        <v/>
      </c>
      <c r="W1343" s="8">
        <f>V1343/AA1343</f>
        <v/>
      </c>
      <c r="X1343" s="27">
        <f>((3*10+H1343/COS(RADIANS(E1343)))*(3+3)+3*G1343*H1343)*2</f>
        <v/>
      </c>
      <c r="Y1343" s="28">
        <f>Z1343/X1343</f>
        <v/>
      </c>
      <c r="Z1343" s="29" t="n">
        <v>771.291015397566</v>
      </c>
      <c r="AA1343" s="20" t="n">
        <v>44.5413037120033</v>
      </c>
      <c r="AB1343" t="n">
        <v>0.05405388034025454</v>
      </c>
      <c r="AC1343" t="n">
        <v>42.92642556163464</v>
      </c>
      <c r="AD1343" t="n">
        <v>11.28516085451247</v>
      </c>
    </row>
    <row r="1344">
      <c r="A1344" t="n">
        <v>1343</v>
      </c>
      <c r="B1344" t="n">
        <v>66.3</v>
      </c>
      <c r="C1344" s="21">
        <f>B1344-20</f>
        <v/>
      </c>
      <c r="D1344" t="n">
        <v>106.1</v>
      </c>
      <c r="E1344" s="22">
        <f>D1344-90</f>
        <v/>
      </c>
      <c r="F1344" s="23" t="n">
        <v>0.014679</v>
      </c>
      <c r="G1344" s="22" t="n">
        <v>22.7</v>
      </c>
      <c r="H1344" s="22" t="n">
        <v>1.9</v>
      </c>
      <c r="I1344" s="24" t="n">
        <v>0.0989954620599746</v>
      </c>
      <c r="J1344" s="6" t="n">
        <v>71000</v>
      </c>
      <c r="K1344" s="25">
        <f>23*10^-6</f>
        <v/>
      </c>
      <c r="L1344" s="8">
        <f>H1344</f>
        <v/>
      </c>
      <c r="M1344" s="26">
        <f>H1344^2/6</f>
        <v/>
      </c>
      <c r="N1344" s="26">
        <f>H1344^3/12</f>
        <v/>
      </c>
      <c r="O1344" s="27">
        <f>-J1344*L1344*K1344*C1344</f>
        <v/>
      </c>
      <c r="P1344" s="28">
        <f>-(12*F1344*J1344*L1344*N1344+12*O1344*N1344*G1344*COS(RADIANS(E1344)))/(12*N1344*G1344*COS(RADIANS(E1344))^2+L1344*G1344^3*SIN(RADIANS(E1344))^2)</f>
        <v/>
      </c>
      <c r="Q1344" s="28">
        <f>-(6*F1344*J1344*L1344*N1344*SIN(RADIANS(E1344))+6*O1344*N1344*G1344*SIN(RADIANS(E1344))*COS(RADIANS(E1344)))/(12*N1344*COS(RADIANS(E1344))^2+L1344*G1344^2*SIN(RADIANS(E1344))^2)</f>
        <v/>
      </c>
      <c r="R1344" s="28">
        <f>-P1344*SIN(RADIANS(E1344))</f>
        <v/>
      </c>
      <c r="S1344" s="8">
        <f>(O1344+P1344*COS(RADIANS(E1344)))/L1344</f>
        <v/>
      </c>
      <c r="T1344" s="8">
        <f>R1344/L1344</f>
        <v/>
      </c>
      <c r="U1344" s="8">
        <f>(Q1344-P1344*G1344*SIN(RADIANS(E1344)))/M1344</f>
        <v/>
      </c>
      <c r="V1344" s="8">
        <f>SQRT((S1344+U1344)^2+3*T1344^2)</f>
        <v/>
      </c>
      <c r="W1344" s="8">
        <f>V1344/AA1344</f>
        <v/>
      </c>
      <c r="X1344" s="27">
        <f>((3*10+H1344/COS(RADIANS(E1344)))*(3+3)+3*G1344*H1344)*2</f>
        <v/>
      </c>
      <c r="Y1344" s="28">
        <f>Z1344/X1344</f>
        <v/>
      </c>
      <c r="Z1344" s="29" t="n">
        <v>646.92409505039</v>
      </c>
      <c r="AA1344" s="20" t="n">
        <v>82.9485464761167</v>
      </c>
      <c r="AB1344" t="n">
        <v>0.1269887731644822</v>
      </c>
      <c r="AC1344" t="n">
        <v>78.78033094749246</v>
      </c>
      <c r="AD1344" t="n">
        <v>28.27736799445251</v>
      </c>
    </row>
    <row r="1345">
      <c r="A1345" t="n">
        <v>1344</v>
      </c>
      <c r="B1345" t="n">
        <v>75.09999999999999</v>
      </c>
      <c r="C1345" s="21">
        <f>B1345-20</f>
        <v/>
      </c>
      <c r="D1345" t="n">
        <v>122.1</v>
      </c>
      <c r="E1345" s="22">
        <f>D1345-90</f>
        <v/>
      </c>
      <c r="F1345" s="23" t="n">
        <v>0.016007</v>
      </c>
      <c r="G1345" s="22" t="n">
        <v>23</v>
      </c>
      <c r="H1345" s="22" t="n">
        <v>1.6</v>
      </c>
      <c r="I1345" s="24" t="n">
        <v>0.0756126269698143</v>
      </c>
      <c r="J1345" s="6" t="n">
        <v>71000</v>
      </c>
      <c r="K1345" s="25">
        <f>23*10^-6</f>
        <v/>
      </c>
      <c r="L1345" s="8">
        <f>H1345</f>
        <v/>
      </c>
      <c r="M1345" s="26">
        <f>H1345^2/6</f>
        <v/>
      </c>
      <c r="N1345" s="26">
        <f>H1345^3/12</f>
        <v/>
      </c>
      <c r="O1345" s="27">
        <f>-J1345*L1345*K1345*C1345</f>
        <v/>
      </c>
      <c r="P1345" s="28">
        <f>-(12*F1345*J1345*L1345*N1345+12*O1345*N1345*G1345*COS(RADIANS(E1345)))/(12*N1345*G1345*COS(RADIANS(E1345))^2+L1345*G1345^3*SIN(RADIANS(E1345))^2)</f>
        <v/>
      </c>
      <c r="Q1345" s="28">
        <f>-(6*F1345*J1345*L1345*N1345*SIN(RADIANS(E1345))+6*O1345*N1345*G1345*SIN(RADIANS(E1345))*COS(RADIANS(E1345)))/(12*N1345*COS(RADIANS(E1345))^2+L1345*G1345^2*SIN(RADIANS(E1345))^2)</f>
        <v/>
      </c>
      <c r="R1345" s="28">
        <f>-P1345*SIN(RADIANS(E1345))</f>
        <v/>
      </c>
      <c r="S1345" s="8">
        <f>(O1345+P1345*COS(RADIANS(E1345)))/L1345</f>
        <v/>
      </c>
      <c r="T1345" s="8">
        <f>R1345/L1345</f>
        <v/>
      </c>
      <c r="U1345" s="8">
        <f>(Q1345-P1345*G1345*SIN(RADIANS(E1345)))/M1345</f>
        <v/>
      </c>
      <c r="V1345" s="8">
        <f>SQRT((S1345+U1345)^2+3*T1345^2)</f>
        <v/>
      </c>
      <c r="W1345" s="8">
        <f>V1345/AA1345</f>
        <v/>
      </c>
      <c r="X1345" s="27">
        <f>((3*10+H1345/COS(RADIANS(E1345)))*(3+3)+3*G1345*H1345)*2</f>
        <v/>
      </c>
      <c r="Y1345" s="28">
        <f>Z1345/X1345</f>
        <v/>
      </c>
      <c r="Z1345" s="29" t="n">
        <v>611.229830652061</v>
      </c>
      <c r="AA1345" s="20" t="n">
        <v>86.0703395365568</v>
      </c>
      <c r="AB1345" t="n">
        <v>0.07927090629053254</v>
      </c>
      <c r="AC1345" t="n">
        <v>82.24477108968519</v>
      </c>
      <c r="AD1345" t="n">
        <v>4.838185720195496</v>
      </c>
    </row>
    <row r="1346">
      <c r="A1346" t="n">
        <v>1345</v>
      </c>
      <c r="B1346" t="n">
        <v>72.90000000000001</v>
      </c>
      <c r="C1346" s="21">
        <f>B1346-20</f>
        <v/>
      </c>
      <c r="D1346" t="n">
        <v>127.1</v>
      </c>
      <c r="E1346" s="22">
        <f>D1346-90</f>
        <v/>
      </c>
      <c r="F1346" s="23" t="n">
        <v>0.016365</v>
      </c>
      <c r="G1346" s="22" t="n">
        <v>26.5</v>
      </c>
      <c r="H1346" s="22" t="n">
        <v>1.1</v>
      </c>
      <c r="I1346" s="24" t="n">
        <v>0.07232145220041269</v>
      </c>
      <c r="J1346" s="6" t="n">
        <v>71000</v>
      </c>
      <c r="K1346" s="25">
        <f>23*10^-6</f>
        <v/>
      </c>
      <c r="L1346" s="8">
        <f>H1346</f>
        <v/>
      </c>
      <c r="M1346" s="26">
        <f>H1346^2/6</f>
        <v/>
      </c>
      <c r="N1346" s="26">
        <f>H1346^3/12</f>
        <v/>
      </c>
      <c r="O1346" s="27">
        <f>-J1346*L1346*K1346*C1346</f>
        <v/>
      </c>
      <c r="P1346" s="28">
        <f>-(12*F1346*J1346*L1346*N1346+12*O1346*N1346*G1346*COS(RADIANS(E1346)))/(12*N1346*G1346*COS(RADIANS(E1346))^2+L1346*G1346^3*SIN(RADIANS(E1346))^2)</f>
        <v/>
      </c>
      <c r="Q1346" s="28">
        <f>-(6*F1346*J1346*L1346*N1346*SIN(RADIANS(E1346))+6*O1346*N1346*G1346*SIN(RADIANS(E1346))*COS(RADIANS(E1346)))/(12*N1346*COS(RADIANS(E1346))^2+L1346*G1346^2*SIN(RADIANS(E1346))^2)</f>
        <v/>
      </c>
      <c r="R1346" s="28">
        <f>-P1346*SIN(RADIANS(E1346))</f>
        <v/>
      </c>
      <c r="S1346" s="8">
        <f>(O1346+P1346*COS(RADIANS(E1346)))/L1346</f>
        <v/>
      </c>
      <c r="T1346" s="8">
        <f>R1346/L1346</f>
        <v/>
      </c>
      <c r="U1346" s="8">
        <f>(Q1346-P1346*G1346*SIN(RADIANS(E1346)))/M1346</f>
        <v/>
      </c>
      <c r="V1346" s="8">
        <f>SQRT((S1346+U1346)^2+3*T1346^2)</f>
        <v/>
      </c>
      <c r="W1346" s="8">
        <f>V1346/AA1346</f>
        <v/>
      </c>
      <c r="X1346" s="27">
        <f>((3*10+H1346/COS(RADIANS(E1346)))*(3+3)+3*G1346*H1346)*2</f>
        <v/>
      </c>
      <c r="Y1346" s="28">
        <f>Z1346/X1346</f>
        <v/>
      </c>
      <c r="Z1346" s="29" t="n">
        <v>560.974488931033</v>
      </c>
      <c r="AA1346" s="20" t="n">
        <v>71.0030940561454</v>
      </c>
      <c r="AB1346" t="n">
        <v>0.074827010996841</v>
      </c>
      <c r="AC1346" t="n">
        <v>75.21504498694975</v>
      </c>
      <c r="AD1346" t="n">
        <v>3.464475228574027</v>
      </c>
    </row>
    <row r="1347">
      <c r="A1347" t="n">
        <v>1346</v>
      </c>
      <c r="B1347" t="n">
        <v>47.7</v>
      </c>
      <c r="C1347" s="21">
        <f>B1347-20</f>
        <v/>
      </c>
      <c r="D1347" t="n">
        <v>114.7</v>
      </c>
      <c r="E1347" s="22">
        <f>D1347-90</f>
        <v/>
      </c>
      <c r="F1347" s="23" t="n">
        <v>0.009037999999999999</v>
      </c>
      <c r="G1347" s="22" t="n">
        <v>24.9</v>
      </c>
      <c r="H1347" s="22" t="n">
        <v>1.6</v>
      </c>
      <c r="I1347" s="24" t="n">
        <v>0.0474995225667953</v>
      </c>
      <c r="J1347" s="6" t="n">
        <v>71000</v>
      </c>
      <c r="K1347" s="25">
        <f>23*10^-6</f>
        <v/>
      </c>
      <c r="L1347" s="8">
        <f>H1347</f>
        <v/>
      </c>
      <c r="M1347" s="26">
        <f>H1347^2/6</f>
        <v/>
      </c>
      <c r="N1347" s="26">
        <f>H1347^3/12</f>
        <v/>
      </c>
      <c r="O1347" s="27">
        <f>-J1347*L1347*K1347*C1347</f>
        <v/>
      </c>
      <c r="P1347" s="28">
        <f>-(12*F1347*J1347*L1347*N1347+12*O1347*N1347*G1347*COS(RADIANS(E1347)))/(12*N1347*G1347*COS(RADIANS(E1347))^2+L1347*G1347^3*SIN(RADIANS(E1347))^2)</f>
        <v/>
      </c>
      <c r="Q1347" s="28">
        <f>-(6*F1347*J1347*L1347*N1347*SIN(RADIANS(E1347))+6*O1347*N1347*G1347*SIN(RADIANS(E1347))*COS(RADIANS(E1347)))/(12*N1347*COS(RADIANS(E1347))^2+L1347*G1347^2*SIN(RADIANS(E1347))^2)</f>
        <v/>
      </c>
      <c r="R1347" s="28">
        <f>-P1347*SIN(RADIANS(E1347))</f>
        <v/>
      </c>
      <c r="S1347" s="8">
        <f>(O1347+P1347*COS(RADIANS(E1347)))/L1347</f>
        <v/>
      </c>
      <c r="T1347" s="8">
        <f>R1347/L1347</f>
        <v/>
      </c>
      <c r="U1347" s="8">
        <f>(Q1347-P1347*G1347*SIN(RADIANS(E1347)))/M1347</f>
        <v/>
      </c>
      <c r="V1347" s="8">
        <f>SQRT((S1347+U1347)^2+3*T1347^2)</f>
        <v/>
      </c>
      <c r="W1347" s="8">
        <f>V1347/AA1347</f>
        <v/>
      </c>
      <c r="X1347" s="27">
        <f>((3*10+H1347/COS(RADIANS(E1347)))*(3+3)+3*G1347*H1347)*2</f>
        <v/>
      </c>
      <c r="Y1347" s="28">
        <f>Z1347/X1347</f>
        <v/>
      </c>
      <c r="Z1347" s="29" t="n">
        <v>626.024109467839</v>
      </c>
      <c r="AA1347" s="20" t="n">
        <v>43.7516258056151</v>
      </c>
      <c r="AB1347" t="n">
        <v>0.056431661765901</v>
      </c>
      <c r="AC1347" t="n">
        <v>42.64245706199621</v>
      </c>
      <c r="AD1347" t="n">
        <v>18.8046925872677</v>
      </c>
    </row>
    <row r="1348">
      <c r="A1348" t="n">
        <v>1347</v>
      </c>
      <c r="B1348" t="n">
        <v>75.8</v>
      </c>
      <c r="C1348" s="21">
        <f>B1348-20</f>
        <v/>
      </c>
      <c r="D1348" t="n">
        <v>129</v>
      </c>
      <c r="E1348" s="22">
        <f>D1348-90</f>
        <v/>
      </c>
      <c r="F1348" s="23" t="n">
        <v>0.019883</v>
      </c>
      <c r="G1348" s="22" t="n">
        <v>32.5</v>
      </c>
      <c r="H1348" s="22" t="n">
        <v>1.3</v>
      </c>
      <c r="I1348" s="24" t="n">
        <v>0.0846324414014816</v>
      </c>
      <c r="J1348" s="6" t="n">
        <v>71000</v>
      </c>
      <c r="K1348" s="25">
        <f>23*10^-6</f>
        <v/>
      </c>
      <c r="L1348" s="8">
        <f>H1348</f>
        <v/>
      </c>
      <c r="M1348" s="26">
        <f>H1348^2/6</f>
        <v/>
      </c>
      <c r="N1348" s="26">
        <f>H1348^3/12</f>
        <v/>
      </c>
      <c r="O1348" s="27">
        <f>-J1348*L1348*K1348*C1348</f>
        <v/>
      </c>
      <c r="P1348" s="28">
        <f>-(12*F1348*J1348*L1348*N1348+12*O1348*N1348*G1348*COS(RADIANS(E1348)))/(12*N1348*G1348*COS(RADIANS(E1348))^2+L1348*G1348^3*SIN(RADIANS(E1348))^2)</f>
        <v/>
      </c>
      <c r="Q1348" s="28">
        <f>-(6*F1348*J1348*L1348*N1348*SIN(RADIANS(E1348))+6*O1348*N1348*G1348*SIN(RADIANS(E1348))*COS(RADIANS(E1348)))/(12*N1348*COS(RADIANS(E1348))^2+L1348*G1348^2*SIN(RADIANS(E1348))^2)</f>
        <v/>
      </c>
      <c r="R1348" s="28">
        <f>-P1348*SIN(RADIANS(E1348))</f>
        <v/>
      </c>
      <c r="S1348" s="8">
        <f>(O1348+P1348*COS(RADIANS(E1348)))/L1348</f>
        <v/>
      </c>
      <c r="T1348" s="8">
        <f>R1348/L1348</f>
        <v/>
      </c>
      <c r="U1348" s="8">
        <f>(Q1348-P1348*G1348*SIN(RADIANS(E1348)))/M1348</f>
        <v/>
      </c>
      <c r="V1348" s="8">
        <f>SQRT((S1348+U1348)^2+3*T1348^2)</f>
        <v/>
      </c>
      <c r="W1348" s="8">
        <f>V1348/AA1348</f>
        <v/>
      </c>
      <c r="X1348" s="27">
        <f>((3*10+H1348/COS(RADIANS(E1348)))*(3+3)+3*G1348*H1348)*2</f>
        <v/>
      </c>
      <c r="Y1348" s="28">
        <f>Z1348/X1348</f>
        <v/>
      </c>
      <c r="Z1348" s="29" t="n">
        <v>643.889308195011</v>
      </c>
      <c r="AA1348" s="20" t="n">
        <v>75.26234997973989</v>
      </c>
      <c r="AB1348" t="n">
        <v>0.09057226432714341</v>
      </c>
      <c r="AC1348" t="n">
        <v>79.15887156774924</v>
      </c>
      <c r="AD1348" t="n">
        <v>7.018375964701669</v>
      </c>
    </row>
    <row r="1349">
      <c r="A1349" t="n">
        <v>1348</v>
      </c>
      <c r="B1349" t="n">
        <v>44.8</v>
      </c>
      <c r="C1349" s="21">
        <f>B1349-20</f>
        <v/>
      </c>
      <c r="D1349" t="n">
        <v>120.3</v>
      </c>
      <c r="E1349" s="22">
        <f>D1349-90</f>
        <v/>
      </c>
      <c r="F1349" s="23" t="n">
        <v>0.00963</v>
      </c>
      <c r="G1349" s="22" t="n">
        <v>32.5</v>
      </c>
      <c r="H1349" s="22" t="n">
        <v>1.2</v>
      </c>
      <c r="I1349" s="24" t="n">
        <v>0.0441416092216968</v>
      </c>
      <c r="J1349" s="6" t="n">
        <v>71000</v>
      </c>
      <c r="K1349" s="25">
        <f>23*10^-6</f>
        <v/>
      </c>
      <c r="L1349" s="8">
        <f>H1349</f>
        <v/>
      </c>
      <c r="M1349" s="26">
        <f>H1349^2/6</f>
        <v/>
      </c>
      <c r="N1349" s="26">
        <f>H1349^3/12</f>
        <v/>
      </c>
      <c r="O1349" s="27">
        <f>-J1349*L1349*K1349*C1349</f>
        <v/>
      </c>
      <c r="P1349" s="28">
        <f>-(12*F1349*J1349*L1349*N1349+12*O1349*N1349*G1349*COS(RADIANS(E1349)))/(12*N1349*G1349*COS(RADIANS(E1349))^2+L1349*G1349^3*SIN(RADIANS(E1349))^2)</f>
        <v/>
      </c>
      <c r="Q1349" s="28">
        <f>-(6*F1349*J1349*L1349*N1349*SIN(RADIANS(E1349))+6*O1349*N1349*G1349*SIN(RADIANS(E1349))*COS(RADIANS(E1349)))/(12*N1349*COS(RADIANS(E1349))^2+L1349*G1349^2*SIN(RADIANS(E1349))^2)</f>
        <v/>
      </c>
      <c r="R1349" s="28">
        <f>-P1349*SIN(RADIANS(E1349))</f>
        <v/>
      </c>
      <c r="S1349" s="8">
        <f>(O1349+P1349*COS(RADIANS(E1349)))/L1349</f>
        <v/>
      </c>
      <c r="T1349" s="8">
        <f>R1349/L1349</f>
        <v/>
      </c>
      <c r="U1349" s="8">
        <f>(Q1349-P1349*G1349*SIN(RADIANS(E1349)))/M1349</f>
        <v/>
      </c>
      <c r="V1349" s="8">
        <f>SQRT((S1349+U1349)^2+3*T1349^2)</f>
        <v/>
      </c>
      <c r="W1349" s="8">
        <f>V1349/AA1349</f>
        <v/>
      </c>
      <c r="X1349" s="27">
        <f>((3*10+H1349/COS(RADIANS(E1349)))*(3+3)+3*G1349*H1349)*2</f>
        <v/>
      </c>
      <c r="Y1349" s="28">
        <f>Z1349/X1349</f>
        <v/>
      </c>
      <c r="Z1349" s="29" t="n">
        <v>617.909188673633</v>
      </c>
      <c r="AA1349" s="20" t="n">
        <v>34.2177958504465</v>
      </c>
      <c r="AB1349" t="n">
        <v>0.05298824762008791</v>
      </c>
      <c r="AC1349" t="n">
        <v>35.76197759836799</v>
      </c>
      <c r="AD1349" t="n">
        <v>20.04149498483338</v>
      </c>
    </row>
    <row r="1350">
      <c r="A1350" t="n">
        <v>1349</v>
      </c>
      <c r="B1350" t="n">
        <v>47.8</v>
      </c>
      <c r="C1350" s="21">
        <f>B1350-20</f>
        <v/>
      </c>
      <c r="D1350" t="n">
        <v>124</v>
      </c>
      <c r="E1350" s="22">
        <f>D1350-90</f>
        <v/>
      </c>
      <c r="F1350" s="23" t="n">
        <v>0.010073</v>
      </c>
      <c r="G1350" s="22" t="n">
        <v>31.1</v>
      </c>
      <c r="H1350" s="22" t="n">
        <v>1.1</v>
      </c>
      <c r="I1350" s="24" t="n">
        <v>0.0445082336664199</v>
      </c>
      <c r="J1350" s="6" t="n">
        <v>71000</v>
      </c>
      <c r="K1350" s="25">
        <f>23*10^-6</f>
        <v/>
      </c>
      <c r="L1350" s="8">
        <f>H1350</f>
        <v/>
      </c>
      <c r="M1350" s="26">
        <f>H1350^2/6</f>
        <v/>
      </c>
      <c r="N1350" s="26">
        <f>H1350^3/12</f>
        <v/>
      </c>
      <c r="O1350" s="27">
        <f>-J1350*L1350*K1350*C1350</f>
        <v/>
      </c>
      <c r="P1350" s="28">
        <f>-(12*F1350*J1350*L1350*N1350+12*O1350*N1350*G1350*COS(RADIANS(E1350)))/(12*N1350*G1350*COS(RADIANS(E1350))^2+L1350*G1350^3*SIN(RADIANS(E1350))^2)</f>
        <v/>
      </c>
      <c r="Q1350" s="28">
        <f>-(6*F1350*J1350*L1350*N1350*SIN(RADIANS(E1350))+6*O1350*N1350*G1350*SIN(RADIANS(E1350))*COS(RADIANS(E1350)))/(12*N1350*COS(RADIANS(E1350))^2+L1350*G1350^2*SIN(RADIANS(E1350))^2)</f>
        <v/>
      </c>
      <c r="R1350" s="28">
        <f>-P1350*SIN(RADIANS(E1350))</f>
        <v/>
      </c>
      <c r="S1350" s="8">
        <f>(O1350+P1350*COS(RADIANS(E1350)))/L1350</f>
        <v/>
      </c>
      <c r="T1350" s="8">
        <f>R1350/L1350</f>
        <v/>
      </c>
      <c r="U1350" s="8">
        <f>(Q1350-P1350*G1350*SIN(RADIANS(E1350)))/M1350</f>
        <v/>
      </c>
      <c r="V1350" s="8">
        <f>SQRT((S1350+U1350)^2+3*T1350^2)</f>
        <v/>
      </c>
      <c r="W1350" s="8">
        <f>V1350/AA1350</f>
        <v/>
      </c>
      <c r="X1350" s="27">
        <f>((3*10+H1350/COS(RADIANS(E1350)))*(3+3)+3*G1350*H1350)*2</f>
        <v/>
      </c>
      <c r="Y1350" s="28">
        <f>Z1350/X1350</f>
        <v/>
      </c>
      <c r="Z1350" s="29" t="n">
        <v>589.564937069988</v>
      </c>
      <c r="AA1350" s="20" t="n">
        <v>37.0373649730031</v>
      </c>
      <c r="AB1350" t="n">
        <v>0.05033706941499479</v>
      </c>
      <c r="AC1350" t="n">
        <v>39.5776566643661</v>
      </c>
      <c r="AD1350" t="n">
        <v>13.09608418132433</v>
      </c>
    </row>
    <row r="1351">
      <c r="A1351" t="n">
        <v>1350</v>
      </c>
      <c r="B1351" t="n">
        <v>69.3</v>
      </c>
      <c r="C1351" s="21">
        <f>B1351-20</f>
        <v/>
      </c>
      <c r="D1351" t="n">
        <v>124.3</v>
      </c>
      <c r="E1351" s="22">
        <f>D1351-90</f>
        <v/>
      </c>
      <c r="F1351" s="23" t="n">
        <v>0.013679</v>
      </c>
      <c r="G1351" s="22" t="n">
        <v>22.2</v>
      </c>
      <c r="H1351" s="22" t="n">
        <v>1.4</v>
      </c>
      <c r="I1351" s="24" t="n">
        <v>0.0635424107313156</v>
      </c>
      <c r="J1351" s="6" t="n">
        <v>71000</v>
      </c>
      <c r="K1351" s="25">
        <f>23*10^-6</f>
        <v/>
      </c>
      <c r="L1351" s="8">
        <f>H1351</f>
        <v/>
      </c>
      <c r="M1351" s="26">
        <f>H1351^2/6</f>
        <v/>
      </c>
      <c r="N1351" s="26">
        <f>H1351^3/12</f>
        <v/>
      </c>
      <c r="O1351" s="27">
        <f>-J1351*L1351*K1351*C1351</f>
        <v/>
      </c>
      <c r="P1351" s="28">
        <f>-(12*F1351*J1351*L1351*N1351+12*O1351*N1351*G1351*COS(RADIANS(E1351)))/(12*N1351*G1351*COS(RADIANS(E1351))^2+L1351*G1351^3*SIN(RADIANS(E1351))^2)</f>
        <v/>
      </c>
      <c r="Q1351" s="28">
        <f>-(6*F1351*J1351*L1351*N1351*SIN(RADIANS(E1351))+6*O1351*N1351*G1351*SIN(RADIANS(E1351))*COS(RADIANS(E1351)))/(12*N1351*COS(RADIANS(E1351))^2+L1351*G1351^2*SIN(RADIANS(E1351))^2)</f>
        <v/>
      </c>
      <c r="R1351" s="28">
        <f>-P1351*SIN(RADIANS(E1351))</f>
        <v/>
      </c>
      <c r="S1351" s="8">
        <f>(O1351+P1351*COS(RADIANS(E1351)))/L1351</f>
        <v/>
      </c>
      <c r="T1351" s="8">
        <f>R1351/L1351</f>
        <v/>
      </c>
      <c r="U1351" s="8">
        <f>(Q1351-P1351*G1351*SIN(RADIANS(E1351)))/M1351</f>
        <v/>
      </c>
      <c r="V1351" s="8">
        <f>SQRT((S1351+U1351)^2+3*T1351^2)</f>
        <v/>
      </c>
      <c r="W1351" s="8">
        <f>V1351/AA1351</f>
        <v/>
      </c>
      <c r="X1351" s="27">
        <f>((3*10+H1351/COS(RADIANS(E1351)))*(3+3)+3*G1351*H1351)*2</f>
        <v/>
      </c>
      <c r="Y1351" s="28">
        <f>Z1351/X1351</f>
        <v/>
      </c>
      <c r="Z1351" s="29" t="n">
        <v>575.30242521278</v>
      </c>
      <c r="AA1351" s="20" t="n">
        <v>73.78793453208969</v>
      </c>
      <c r="AB1351" t="n">
        <v>0.06409522162198818</v>
      </c>
      <c r="AC1351" t="n">
        <v>72.25501553443561</v>
      </c>
      <c r="AD1351" t="n">
        <v>0.8699872798501435</v>
      </c>
    </row>
    <row r="1352">
      <c r="A1352" t="n">
        <v>1351</v>
      </c>
      <c r="B1352" t="n">
        <v>44.5</v>
      </c>
      <c r="C1352" s="21">
        <f>B1352-20</f>
        <v/>
      </c>
      <c r="D1352" t="n">
        <v>129.1</v>
      </c>
      <c r="E1352" s="22">
        <f>D1352-90</f>
        <v/>
      </c>
      <c r="F1352" s="23" t="n">
        <v>0.009131999999999999</v>
      </c>
      <c r="G1352" s="22" t="n">
        <v>34.4</v>
      </c>
      <c r="H1352" s="22" t="n">
        <v>1</v>
      </c>
      <c r="I1352" s="24" t="n">
        <v>0.0384883359074592</v>
      </c>
      <c r="J1352" s="6" t="n">
        <v>71000</v>
      </c>
      <c r="K1352" s="25">
        <f>23*10^-6</f>
        <v/>
      </c>
      <c r="L1352" s="8">
        <f>H1352</f>
        <v/>
      </c>
      <c r="M1352" s="26">
        <f>H1352^2/6</f>
        <v/>
      </c>
      <c r="N1352" s="26">
        <f>H1352^3/12</f>
        <v/>
      </c>
      <c r="O1352" s="27">
        <f>-J1352*L1352*K1352*C1352</f>
        <v/>
      </c>
      <c r="P1352" s="28">
        <f>-(12*F1352*J1352*L1352*N1352+12*O1352*N1352*G1352*COS(RADIANS(E1352)))/(12*N1352*G1352*COS(RADIANS(E1352))^2+L1352*G1352^3*SIN(RADIANS(E1352))^2)</f>
        <v/>
      </c>
      <c r="Q1352" s="28">
        <f>-(6*F1352*J1352*L1352*N1352*SIN(RADIANS(E1352))+6*O1352*N1352*G1352*SIN(RADIANS(E1352))*COS(RADIANS(E1352)))/(12*N1352*COS(RADIANS(E1352))^2+L1352*G1352^2*SIN(RADIANS(E1352))^2)</f>
        <v/>
      </c>
      <c r="R1352" s="28">
        <f>-P1352*SIN(RADIANS(E1352))</f>
        <v/>
      </c>
      <c r="S1352" s="8">
        <f>(O1352+P1352*COS(RADIANS(E1352)))/L1352</f>
        <v/>
      </c>
      <c r="T1352" s="8">
        <f>R1352/L1352</f>
        <v/>
      </c>
      <c r="U1352" s="8">
        <f>(Q1352-P1352*G1352*SIN(RADIANS(E1352)))/M1352</f>
        <v/>
      </c>
      <c r="V1352" s="8">
        <f>SQRT((S1352+U1352)^2+3*T1352^2)</f>
        <v/>
      </c>
      <c r="W1352" s="8">
        <f>V1352/AA1352</f>
        <v/>
      </c>
      <c r="X1352" s="27">
        <f>((3*10+H1352/COS(RADIANS(E1352)))*(3+3)+3*G1352*H1352)*2</f>
        <v/>
      </c>
      <c r="Y1352" s="28">
        <f>Z1352/X1352</f>
        <v/>
      </c>
      <c r="Z1352" s="29" t="n">
        <v>592.222607766558</v>
      </c>
      <c r="AA1352" s="20" t="n">
        <v>30.7304964105611</v>
      </c>
      <c r="AB1352" t="n">
        <v>0.04190971157139221</v>
      </c>
      <c r="AC1352" t="n">
        <v>34.27575938564004</v>
      </c>
      <c r="AD1352" t="n">
        <v>8.889383194324942</v>
      </c>
    </row>
    <row r="1353">
      <c r="A1353" t="n">
        <v>1352</v>
      </c>
      <c r="B1353" t="n">
        <v>54.2</v>
      </c>
      <c r="C1353" s="21">
        <f>B1353-20</f>
        <v/>
      </c>
      <c r="D1353" t="n">
        <v>109</v>
      </c>
      <c r="E1353" s="22">
        <f>D1353-90</f>
        <v/>
      </c>
      <c r="F1353" s="23" t="n">
        <v>0.012219</v>
      </c>
      <c r="G1353" s="22" t="n">
        <v>26.8</v>
      </c>
      <c r="H1353" s="22" t="n">
        <v>1.4</v>
      </c>
      <c r="I1353" s="24" t="n">
        <v>0.0745804384350776</v>
      </c>
      <c r="J1353" s="6" t="n">
        <v>71000</v>
      </c>
      <c r="K1353" s="25">
        <f>23*10^-6</f>
        <v/>
      </c>
      <c r="L1353" s="8">
        <f>H1353</f>
        <v/>
      </c>
      <c r="M1353" s="26">
        <f>H1353^2/6</f>
        <v/>
      </c>
      <c r="N1353" s="26">
        <f>H1353^3/12</f>
        <v/>
      </c>
      <c r="O1353" s="27">
        <f>-J1353*L1353*K1353*C1353</f>
        <v/>
      </c>
      <c r="P1353" s="28">
        <f>-(12*F1353*J1353*L1353*N1353+12*O1353*N1353*G1353*COS(RADIANS(E1353)))/(12*N1353*G1353*COS(RADIANS(E1353))^2+L1353*G1353^3*SIN(RADIANS(E1353))^2)</f>
        <v/>
      </c>
      <c r="Q1353" s="28">
        <f>-(6*F1353*J1353*L1353*N1353*SIN(RADIANS(E1353))+6*O1353*N1353*G1353*SIN(RADIANS(E1353))*COS(RADIANS(E1353)))/(12*N1353*COS(RADIANS(E1353))^2+L1353*G1353^2*SIN(RADIANS(E1353))^2)</f>
        <v/>
      </c>
      <c r="R1353" s="28">
        <f>-P1353*SIN(RADIANS(E1353))</f>
        <v/>
      </c>
      <c r="S1353" s="8">
        <f>(O1353+P1353*COS(RADIANS(E1353)))/L1353</f>
        <v/>
      </c>
      <c r="T1353" s="8">
        <f>R1353/L1353</f>
        <v/>
      </c>
      <c r="U1353" s="8">
        <f>(Q1353-P1353*G1353*SIN(RADIANS(E1353)))/M1353</f>
        <v/>
      </c>
      <c r="V1353" s="8">
        <f>SQRT((S1353+U1353)^2+3*T1353^2)</f>
        <v/>
      </c>
      <c r="W1353" s="8">
        <f>V1353/AA1353</f>
        <v/>
      </c>
      <c r="X1353" s="27">
        <f>((3*10+H1353/COS(RADIANS(E1353)))*(3+3)+3*G1353*H1353)*2</f>
        <v/>
      </c>
      <c r="Y1353" s="28">
        <f>Z1353/X1353</f>
        <v/>
      </c>
      <c r="Z1353" s="29" t="n">
        <v>607.704553178055</v>
      </c>
      <c r="AA1353" s="20" t="n">
        <v>52.2045289284608</v>
      </c>
      <c r="AB1353" t="n">
        <v>0.09788714546749894</v>
      </c>
      <c r="AC1353" t="n">
        <v>53.443878718192</v>
      </c>
      <c r="AD1353" t="n">
        <v>31.25042909570701</v>
      </c>
    </row>
    <row r="1354">
      <c r="A1354" t="n">
        <v>1353</v>
      </c>
      <c r="B1354" t="n">
        <v>65.7</v>
      </c>
      <c r="C1354" s="21">
        <f>B1354-20</f>
        <v/>
      </c>
      <c r="D1354" t="n">
        <v>120.6</v>
      </c>
      <c r="E1354" s="22">
        <f>D1354-90</f>
        <v/>
      </c>
      <c r="F1354" s="23" t="n">
        <v>0.015233</v>
      </c>
      <c r="G1354" s="22" t="n">
        <v>27</v>
      </c>
      <c r="H1354" s="22" t="n">
        <v>1.8</v>
      </c>
      <c r="I1354" s="24" t="n">
        <v>0.0715200006961822</v>
      </c>
      <c r="J1354" s="6" t="n">
        <v>71000</v>
      </c>
      <c r="K1354" s="25">
        <f>23*10^-6</f>
        <v/>
      </c>
      <c r="L1354" s="8">
        <f>H1354</f>
        <v/>
      </c>
      <c r="M1354" s="26">
        <f>H1354^2/6</f>
        <v/>
      </c>
      <c r="N1354" s="26">
        <f>H1354^3/12</f>
        <v/>
      </c>
      <c r="O1354" s="27">
        <f>-J1354*L1354*K1354*C1354</f>
        <v/>
      </c>
      <c r="P1354" s="28">
        <f>-(12*F1354*J1354*L1354*N1354+12*O1354*N1354*G1354*COS(RADIANS(E1354)))/(12*N1354*G1354*COS(RADIANS(E1354))^2+L1354*G1354^3*SIN(RADIANS(E1354))^2)</f>
        <v/>
      </c>
      <c r="Q1354" s="28">
        <f>-(6*F1354*J1354*L1354*N1354*SIN(RADIANS(E1354))+6*O1354*N1354*G1354*SIN(RADIANS(E1354))*COS(RADIANS(E1354)))/(12*N1354*COS(RADIANS(E1354))^2+L1354*G1354^2*SIN(RADIANS(E1354))^2)</f>
        <v/>
      </c>
      <c r="R1354" s="28">
        <f>-P1354*SIN(RADIANS(E1354))</f>
        <v/>
      </c>
      <c r="S1354" s="8">
        <f>(O1354+P1354*COS(RADIANS(E1354)))/L1354</f>
        <v/>
      </c>
      <c r="T1354" s="8">
        <f>R1354/L1354</f>
        <v/>
      </c>
      <c r="U1354" s="8">
        <f>(Q1354-P1354*G1354*SIN(RADIANS(E1354)))/M1354</f>
        <v/>
      </c>
      <c r="V1354" s="8">
        <f>SQRT((S1354+U1354)^2+3*T1354^2)</f>
        <v/>
      </c>
      <c r="W1354" s="8">
        <f>V1354/AA1354</f>
        <v/>
      </c>
      <c r="X1354" s="27">
        <f>((3*10+H1354/COS(RADIANS(E1354)))*(3+3)+3*G1354*H1354)*2</f>
        <v/>
      </c>
      <c r="Y1354" s="28">
        <f>Z1354/X1354</f>
        <v/>
      </c>
      <c r="Z1354" s="29" t="n">
        <v>684.011175002558</v>
      </c>
      <c r="AA1354" s="20" t="n">
        <v>72.679298299812</v>
      </c>
      <c r="AB1354" t="n">
        <v>0.08037383048833369</v>
      </c>
      <c r="AC1354" t="n">
        <v>68.8062066904636</v>
      </c>
      <c r="AD1354" t="n">
        <v>12.37951580812011</v>
      </c>
    </row>
    <row r="1355">
      <c r="A1355" t="n">
        <v>1354</v>
      </c>
      <c r="B1355" t="n">
        <v>65.09999999999999</v>
      </c>
      <c r="C1355" s="21">
        <f>B1355-20</f>
        <v/>
      </c>
      <c r="D1355" t="n">
        <v>116.2</v>
      </c>
      <c r="E1355" s="22">
        <f>D1355-90</f>
        <v/>
      </c>
      <c r="F1355" s="23" t="n">
        <v>0.017755</v>
      </c>
      <c r="G1355" s="22" t="n">
        <v>31.8</v>
      </c>
      <c r="H1355" s="22" t="n">
        <v>1.1</v>
      </c>
      <c r="I1355" s="24" t="n">
        <v>0.0874868035316467</v>
      </c>
      <c r="J1355" s="6" t="n">
        <v>71000</v>
      </c>
      <c r="K1355" s="25">
        <f>23*10^-6</f>
        <v/>
      </c>
      <c r="L1355" s="8">
        <f>H1355</f>
        <v/>
      </c>
      <c r="M1355" s="26">
        <f>H1355^2/6</f>
        <v/>
      </c>
      <c r="N1355" s="26">
        <f>H1355^3/12</f>
        <v/>
      </c>
      <c r="O1355" s="27">
        <f>-J1355*L1355*K1355*C1355</f>
        <v/>
      </c>
      <c r="P1355" s="28">
        <f>-(12*F1355*J1355*L1355*N1355+12*O1355*N1355*G1355*COS(RADIANS(E1355)))/(12*N1355*G1355*COS(RADIANS(E1355))^2+L1355*G1355^3*SIN(RADIANS(E1355))^2)</f>
        <v/>
      </c>
      <c r="Q1355" s="28">
        <f>-(6*F1355*J1355*L1355*N1355*SIN(RADIANS(E1355))+6*O1355*N1355*G1355*SIN(RADIANS(E1355))*COS(RADIANS(E1355)))/(12*N1355*COS(RADIANS(E1355))^2+L1355*G1355^2*SIN(RADIANS(E1355))^2)</f>
        <v/>
      </c>
      <c r="R1355" s="28">
        <f>-P1355*SIN(RADIANS(E1355))</f>
        <v/>
      </c>
      <c r="S1355" s="8">
        <f>(O1355+P1355*COS(RADIANS(E1355)))/L1355</f>
        <v/>
      </c>
      <c r="T1355" s="8">
        <f>R1355/L1355</f>
        <v/>
      </c>
      <c r="U1355" s="8">
        <f>(Q1355-P1355*G1355*SIN(RADIANS(E1355)))/M1355</f>
        <v/>
      </c>
      <c r="V1355" s="8">
        <f>SQRT((S1355+U1355)^2+3*T1355^2)</f>
        <v/>
      </c>
      <c r="W1355" s="8">
        <f>V1355/AA1355</f>
        <v/>
      </c>
      <c r="X1355" s="27">
        <f>((3*10+H1355/COS(RADIANS(E1355)))*(3+3)+3*G1355*H1355)*2</f>
        <v/>
      </c>
      <c r="Y1355" s="28">
        <f>Z1355/X1355</f>
        <v/>
      </c>
      <c r="Z1355" s="29" t="n">
        <v>590.773259362124</v>
      </c>
      <c r="AA1355" s="20" t="n">
        <v>62.9248244433827</v>
      </c>
      <c r="AB1355" t="n">
        <v>0.1102073155716189</v>
      </c>
      <c r="AC1355" t="n">
        <v>65.54201560297005</v>
      </c>
      <c r="AD1355" t="n">
        <v>25.97021621867059</v>
      </c>
    </row>
    <row r="1356">
      <c r="A1356" t="n">
        <v>1355</v>
      </c>
      <c r="B1356" t="n">
        <v>43.7</v>
      </c>
      <c r="C1356" s="21">
        <f>B1356-20</f>
        <v/>
      </c>
      <c r="D1356" t="n">
        <v>122.6</v>
      </c>
      <c r="E1356" s="22">
        <f>D1356-90</f>
        <v/>
      </c>
      <c r="F1356" s="23" t="n">
        <v>0.008744999999999999</v>
      </c>
      <c r="G1356" s="22" t="n">
        <v>31.3</v>
      </c>
      <c r="H1356" s="22" t="n">
        <v>1.9</v>
      </c>
      <c r="I1356" s="24" t="n">
        <v>0.0392638370394706</v>
      </c>
      <c r="J1356" s="6" t="n">
        <v>71000</v>
      </c>
      <c r="K1356" s="25">
        <f>23*10^-6</f>
        <v/>
      </c>
      <c r="L1356" s="8">
        <f>H1356</f>
        <v/>
      </c>
      <c r="M1356" s="26">
        <f>H1356^2/6</f>
        <v/>
      </c>
      <c r="N1356" s="26">
        <f>H1356^3/12</f>
        <v/>
      </c>
      <c r="O1356" s="27">
        <f>-J1356*L1356*K1356*C1356</f>
        <v/>
      </c>
      <c r="P1356" s="28">
        <f>-(12*F1356*J1356*L1356*N1356+12*O1356*N1356*G1356*COS(RADIANS(E1356)))/(12*N1356*G1356*COS(RADIANS(E1356))^2+L1356*G1356^3*SIN(RADIANS(E1356))^2)</f>
        <v/>
      </c>
      <c r="Q1356" s="28">
        <f>-(6*F1356*J1356*L1356*N1356*SIN(RADIANS(E1356))+6*O1356*N1356*G1356*SIN(RADIANS(E1356))*COS(RADIANS(E1356)))/(12*N1356*COS(RADIANS(E1356))^2+L1356*G1356^2*SIN(RADIANS(E1356))^2)</f>
        <v/>
      </c>
      <c r="R1356" s="28">
        <f>-P1356*SIN(RADIANS(E1356))</f>
        <v/>
      </c>
      <c r="S1356" s="8">
        <f>(O1356+P1356*COS(RADIANS(E1356)))/L1356</f>
        <v/>
      </c>
      <c r="T1356" s="8">
        <f>R1356/L1356</f>
        <v/>
      </c>
      <c r="U1356" s="8">
        <f>(Q1356-P1356*G1356*SIN(RADIANS(E1356)))/M1356</f>
        <v/>
      </c>
      <c r="V1356" s="8">
        <f>SQRT((S1356+U1356)^2+3*T1356^2)</f>
        <v/>
      </c>
      <c r="W1356" s="8">
        <f>V1356/AA1356</f>
        <v/>
      </c>
      <c r="X1356" s="27">
        <f>((3*10+H1356/COS(RADIANS(E1356)))*(3+3)+3*G1356*H1356)*2</f>
        <v/>
      </c>
      <c r="Y1356" s="28">
        <f>Z1356/X1356</f>
        <v/>
      </c>
      <c r="Z1356" s="29" t="n">
        <v>751.805729618555</v>
      </c>
      <c r="AA1356" s="20" t="n">
        <v>37.1998232106157</v>
      </c>
      <c r="AB1356" t="n">
        <v>0.0448876793428998</v>
      </c>
      <c r="AC1356" t="n">
        <v>35.23847180614605</v>
      </c>
      <c r="AD1356" t="n">
        <v>14.32321119756008</v>
      </c>
    </row>
    <row r="1357">
      <c r="A1357" t="n">
        <v>1356</v>
      </c>
      <c r="B1357" t="n">
        <v>40.3</v>
      </c>
      <c r="C1357" s="21">
        <f>B1357-20</f>
        <v/>
      </c>
      <c r="D1357" t="n">
        <v>128.1</v>
      </c>
      <c r="E1357" s="22">
        <f>D1357-90</f>
        <v/>
      </c>
      <c r="F1357" s="23" t="n">
        <v>0.007307</v>
      </c>
      <c r="G1357" s="22" t="n">
        <v>32.5</v>
      </c>
      <c r="H1357" s="22" t="n">
        <v>1.1</v>
      </c>
      <c r="I1357" s="24" t="n">
        <v>0.0311847049742937</v>
      </c>
      <c r="J1357" s="6" t="n">
        <v>71000</v>
      </c>
      <c r="K1357" s="25">
        <f>23*10^-6</f>
        <v/>
      </c>
      <c r="L1357" s="8">
        <f>H1357</f>
        <v/>
      </c>
      <c r="M1357" s="26">
        <f>H1357^2/6</f>
        <v/>
      </c>
      <c r="N1357" s="26">
        <f>H1357^3/12</f>
        <v/>
      </c>
      <c r="O1357" s="27">
        <f>-J1357*L1357*K1357*C1357</f>
        <v/>
      </c>
      <c r="P1357" s="28">
        <f>-(12*F1357*J1357*L1357*N1357+12*O1357*N1357*G1357*COS(RADIANS(E1357)))/(12*N1357*G1357*COS(RADIANS(E1357))^2+L1357*G1357^3*SIN(RADIANS(E1357))^2)</f>
        <v/>
      </c>
      <c r="Q1357" s="28">
        <f>-(6*F1357*J1357*L1357*N1357*SIN(RADIANS(E1357))+6*O1357*N1357*G1357*SIN(RADIANS(E1357))*COS(RADIANS(E1357)))/(12*N1357*COS(RADIANS(E1357))^2+L1357*G1357^2*SIN(RADIANS(E1357))^2)</f>
        <v/>
      </c>
      <c r="R1357" s="28">
        <f>-P1357*SIN(RADIANS(E1357))</f>
        <v/>
      </c>
      <c r="S1357" s="8">
        <f>(O1357+P1357*COS(RADIANS(E1357)))/L1357</f>
        <v/>
      </c>
      <c r="T1357" s="8">
        <f>R1357/L1357</f>
        <v/>
      </c>
      <c r="U1357" s="8">
        <f>(Q1357-P1357*G1357*SIN(RADIANS(E1357)))/M1357</f>
        <v/>
      </c>
      <c r="V1357" s="8">
        <f>SQRT((S1357+U1357)^2+3*T1357^2)</f>
        <v/>
      </c>
      <c r="W1357" s="8">
        <f>V1357/AA1357</f>
        <v/>
      </c>
      <c r="X1357" s="27">
        <f>((3*10+H1357/COS(RADIANS(E1357)))*(3+3)+3*G1357*H1357)*2</f>
        <v/>
      </c>
      <c r="Y1357" s="28">
        <f>Z1357/X1357</f>
        <v/>
      </c>
      <c r="Z1357" s="29" t="n">
        <v>601.2056390965359</v>
      </c>
      <c r="AA1357" s="20" t="n">
        <v>26.1551373672433</v>
      </c>
      <c r="AB1357" t="n">
        <v>0.03383763127178366</v>
      </c>
      <c r="AC1357" t="n">
        <v>28.61331656298486</v>
      </c>
      <c r="AD1357" t="n">
        <v>8.507139316138593</v>
      </c>
    </row>
    <row r="1358">
      <c r="A1358" t="n">
        <v>1357</v>
      </c>
      <c r="B1358" t="n">
        <v>72.2</v>
      </c>
      <c r="C1358" s="21">
        <f>B1358-20</f>
        <v/>
      </c>
      <c r="D1358" t="n">
        <v>100.9</v>
      </c>
      <c r="E1358" s="22">
        <f>D1358-90</f>
        <v/>
      </c>
      <c r="F1358" s="23" t="n">
        <v>0.018822</v>
      </c>
      <c r="G1358" s="22" t="n">
        <v>26.1</v>
      </c>
      <c r="H1358" s="22" t="n">
        <v>2</v>
      </c>
      <c r="I1358" s="24" t="n">
        <v>0.159470468759536</v>
      </c>
      <c r="J1358" s="6" t="n">
        <v>71000</v>
      </c>
      <c r="K1358" s="25">
        <f>23*10^-6</f>
        <v/>
      </c>
      <c r="L1358" s="8">
        <f>H1358</f>
        <v/>
      </c>
      <c r="M1358" s="26">
        <f>H1358^2/6</f>
        <v/>
      </c>
      <c r="N1358" s="26">
        <f>H1358^3/12</f>
        <v/>
      </c>
      <c r="O1358" s="27">
        <f>-J1358*L1358*K1358*C1358</f>
        <v/>
      </c>
      <c r="P1358" s="28">
        <f>-(12*F1358*J1358*L1358*N1358+12*O1358*N1358*G1358*COS(RADIANS(E1358)))/(12*N1358*G1358*COS(RADIANS(E1358))^2+L1358*G1358^3*SIN(RADIANS(E1358))^2)</f>
        <v/>
      </c>
      <c r="Q1358" s="28">
        <f>-(6*F1358*J1358*L1358*N1358*SIN(RADIANS(E1358))+6*O1358*N1358*G1358*SIN(RADIANS(E1358))*COS(RADIANS(E1358)))/(12*N1358*COS(RADIANS(E1358))^2+L1358*G1358^2*SIN(RADIANS(E1358))^2)</f>
        <v/>
      </c>
      <c r="R1358" s="28">
        <f>-P1358*SIN(RADIANS(E1358))</f>
        <v/>
      </c>
      <c r="S1358" s="8">
        <f>(O1358+P1358*COS(RADIANS(E1358)))/L1358</f>
        <v/>
      </c>
      <c r="T1358" s="8">
        <f>R1358/L1358</f>
        <v/>
      </c>
      <c r="U1358" s="8">
        <f>(Q1358-P1358*G1358*SIN(RADIANS(E1358)))/M1358</f>
        <v/>
      </c>
      <c r="V1358" s="8">
        <f>SQRT((S1358+U1358)^2+3*T1358^2)</f>
        <v/>
      </c>
      <c r="W1358" s="8">
        <f>V1358/AA1358</f>
        <v/>
      </c>
      <c r="X1358" s="27">
        <f>((3*10+H1358/COS(RADIANS(E1358)))*(3+3)+3*G1358*H1358)*2</f>
        <v/>
      </c>
      <c r="Y1358" s="28">
        <f>Z1358/X1358</f>
        <v/>
      </c>
      <c r="Z1358" s="29" t="n">
        <v>701.515521647885</v>
      </c>
      <c r="AA1358" s="20" t="n">
        <v>111.895082105832</v>
      </c>
      <c r="AB1358" t="n">
        <v>0.2269446033850218</v>
      </c>
      <c r="AC1358" t="n">
        <v>94.45506291422542</v>
      </c>
      <c r="AD1358" t="n">
        <v>42.31136658112504</v>
      </c>
    </row>
    <row r="1359">
      <c r="A1359" t="n">
        <v>1358</v>
      </c>
      <c r="B1359" t="n">
        <v>54.9</v>
      </c>
      <c r="C1359" s="21">
        <f>B1359-20</f>
        <v/>
      </c>
      <c r="D1359" t="n">
        <v>127.7</v>
      </c>
      <c r="E1359" s="22">
        <f>D1359-90</f>
        <v/>
      </c>
      <c r="F1359" s="23" t="n">
        <v>0.011988</v>
      </c>
      <c r="G1359" s="22" t="n">
        <v>30.5</v>
      </c>
      <c r="H1359" s="22" t="n">
        <v>1.9</v>
      </c>
      <c r="I1359" s="24" t="n">
        <v>0.0519311167299747</v>
      </c>
      <c r="J1359" s="6" t="n">
        <v>71000</v>
      </c>
      <c r="K1359" s="25">
        <f>23*10^-6</f>
        <v/>
      </c>
      <c r="L1359" s="8">
        <f>H1359</f>
        <v/>
      </c>
      <c r="M1359" s="26">
        <f>H1359^2/6</f>
        <v/>
      </c>
      <c r="N1359" s="26">
        <f>H1359^3/12</f>
        <v/>
      </c>
      <c r="O1359" s="27">
        <f>-J1359*L1359*K1359*C1359</f>
        <v/>
      </c>
      <c r="P1359" s="28">
        <f>-(12*F1359*J1359*L1359*N1359+12*O1359*N1359*G1359*COS(RADIANS(E1359)))/(12*N1359*G1359*COS(RADIANS(E1359))^2+L1359*G1359^3*SIN(RADIANS(E1359))^2)</f>
        <v/>
      </c>
      <c r="Q1359" s="28">
        <f>-(6*F1359*J1359*L1359*N1359*SIN(RADIANS(E1359))+6*O1359*N1359*G1359*SIN(RADIANS(E1359))*COS(RADIANS(E1359)))/(12*N1359*COS(RADIANS(E1359))^2+L1359*G1359^2*SIN(RADIANS(E1359))^2)</f>
        <v/>
      </c>
      <c r="R1359" s="28">
        <f>-P1359*SIN(RADIANS(E1359))</f>
        <v/>
      </c>
      <c r="S1359" s="8">
        <f>(O1359+P1359*COS(RADIANS(E1359)))/L1359</f>
        <v/>
      </c>
      <c r="T1359" s="8">
        <f>R1359/L1359</f>
        <v/>
      </c>
      <c r="U1359" s="8">
        <f>(Q1359-P1359*G1359*SIN(RADIANS(E1359)))/M1359</f>
        <v/>
      </c>
      <c r="V1359" s="8">
        <f>SQRT((S1359+U1359)^2+3*T1359^2)</f>
        <v/>
      </c>
      <c r="W1359" s="8">
        <f>V1359/AA1359</f>
        <v/>
      </c>
      <c r="X1359" s="27">
        <f>((3*10+H1359/COS(RADIANS(E1359)))*(3+3)+3*G1359*H1359)*2</f>
        <v/>
      </c>
      <c r="Y1359" s="28">
        <f>Z1359/X1359</f>
        <v/>
      </c>
      <c r="Z1359" s="29" t="n">
        <v>746.282527326626</v>
      </c>
      <c r="AA1359" s="20" t="n">
        <v>53.7377969608948</v>
      </c>
      <c r="AB1359" t="n">
        <v>0.05512768597845763</v>
      </c>
      <c r="AC1359" t="n">
        <v>51.05166380421689</v>
      </c>
      <c r="AD1359" t="n">
        <v>6.155402482685046</v>
      </c>
    </row>
    <row r="1360">
      <c r="A1360" t="n">
        <v>1359</v>
      </c>
      <c r="B1360" t="n">
        <v>83.59999999999999</v>
      </c>
      <c r="C1360" s="21">
        <f>B1360-20</f>
        <v/>
      </c>
      <c r="D1360" t="n">
        <v>121.2</v>
      </c>
      <c r="E1360" s="22">
        <f>D1360-90</f>
        <v/>
      </c>
      <c r="F1360" s="23" t="n">
        <v>0.024506</v>
      </c>
      <c r="G1360" s="22" t="n">
        <v>32.5</v>
      </c>
      <c r="H1360" s="22" t="n">
        <v>1.7</v>
      </c>
      <c r="I1360" s="24" t="n">
        <v>0.111177995800971</v>
      </c>
      <c r="J1360" s="6" t="n">
        <v>71000</v>
      </c>
      <c r="K1360" s="25">
        <f>23*10^-6</f>
        <v/>
      </c>
      <c r="L1360" s="8">
        <f>H1360</f>
        <v/>
      </c>
      <c r="M1360" s="26">
        <f>H1360^2/6</f>
        <v/>
      </c>
      <c r="N1360" s="26">
        <f>H1360^3/12</f>
        <v/>
      </c>
      <c r="O1360" s="27">
        <f>-J1360*L1360*K1360*C1360</f>
        <v/>
      </c>
      <c r="P1360" s="28">
        <f>-(12*F1360*J1360*L1360*N1360+12*O1360*N1360*G1360*COS(RADIANS(E1360)))/(12*N1360*G1360*COS(RADIANS(E1360))^2+L1360*G1360^3*SIN(RADIANS(E1360))^2)</f>
        <v/>
      </c>
      <c r="Q1360" s="28">
        <f>-(6*F1360*J1360*L1360*N1360*SIN(RADIANS(E1360))+6*O1360*N1360*G1360*SIN(RADIANS(E1360))*COS(RADIANS(E1360)))/(12*N1360*COS(RADIANS(E1360))^2+L1360*G1360^2*SIN(RADIANS(E1360))^2)</f>
        <v/>
      </c>
      <c r="R1360" s="28">
        <f>-P1360*SIN(RADIANS(E1360))</f>
        <v/>
      </c>
      <c r="S1360" s="8">
        <f>(O1360+P1360*COS(RADIANS(E1360)))/L1360</f>
        <v/>
      </c>
      <c r="T1360" s="8">
        <f>R1360/L1360</f>
        <v/>
      </c>
      <c r="U1360" s="8">
        <f>(Q1360-P1360*G1360*SIN(RADIANS(E1360)))/M1360</f>
        <v/>
      </c>
      <c r="V1360" s="8">
        <f>SQRT((S1360+U1360)^2+3*T1360^2)</f>
        <v/>
      </c>
      <c r="W1360" s="8">
        <f>V1360/AA1360</f>
        <v/>
      </c>
      <c r="X1360" s="27">
        <f>((3*10+H1360/COS(RADIANS(E1360)))*(3+3)+3*G1360*H1360)*2</f>
        <v/>
      </c>
      <c r="Y1360" s="28">
        <f>Z1360/X1360</f>
        <v/>
      </c>
      <c r="Z1360" s="29" t="n">
        <v>722.841339431497</v>
      </c>
      <c r="AA1360" s="20" t="n">
        <v>97.1779114535986</v>
      </c>
      <c r="AB1360" t="n">
        <v>0.1311481564766496</v>
      </c>
      <c r="AC1360" t="n">
        <v>93.901722074069</v>
      </c>
      <c r="AD1360" t="n">
        <v>17.96233196308814</v>
      </c>
    </row>
    <row r="1361">
      <c r="A1361" t="n">
        <v>1360</v>
      </c>
      <c r="B1361" t="n">
        <v>77.09999999999999</v>
      </c>
      <c r="C1361" s="21">
        <f>B1361-20</f>
        <v/>
      </c>
      <c r="D1361" t="n">
        <v>115.1</v>
      </c>
      <c r="E1361" s="22">
        <f>D1361-90</f>
        <v/>
      </c>
      <c r="F1361" s="23" t="n">
        <v>0.016579</v>
      </c>
      <c r="G1361" s="22" t="n">
        <v>21.5</v>
      </c>
      <c r="H1361" s="22" t="n">
        <v>1.9</v>
      </c>
      <c r="I1361" s="24" t="n">
        <v>0.0878064557909965</v>
      </c>
      <c r="J1361" s="6" t="n">
        <v>71000</v>
      </c>
      <c r="K1361" s="25">
        <f>23*10^-6</f>
        <v/>
      </c>
      <c r="L1361" s="8">
        <f>H1361</f>
        <v/>
      </c>
      <c r="M1361" s="26">
        <f>H1361^2/6</f>
        <v/>
      </c>
      <c r="N1361" s="26">
        <f>H1361^3/12</f>
        <v/>
      </c>
      <c r="O1361" s="27">
        <f>-J1361*L1361*K1361*C1361</f>
        <v/>
      </c>
      <c r="P1361" s="28">
        <f>-(12*F1361*J1361*L1361*N1361+12*O1361*N1361*G1361*COS(RADIANS(E1361)))/(12*N1361*G1361*COS(RADIANS(E1361))^2+L1361*G1361^3*SIN(RADIANS(E1361))^2)</f>
        <v/>
      </c>
      <c r="Q1361" s="28">
        <f>-(6*F1361*J1361*L1361*N1361*SIN(RADIANS(E1361))+6*O1361*N1361*G1361*SIN(RADIANS(E1361))*COS(RADIANS(E1361)))/(12*N1361*COS(RADIANS(E1361))^2+L1361*G1361^2*SIN(RADIANS(E1361))^2)</f>
        <v/>
      </c>
      <c r="R1361" s="28">
        <f>-P1361*SIN(RADIANS(E1361))</f>
        <v/>
      </c>
      <c r="S1361" s="8">
        <f>(O1361+P1361*COS(RADIANS(E1361)))/L1361</f>
        <v/>
      </c>
      <c r="T1361" s="8">
        <f>R1361/L1361</f>
        <v/>
      </c>
      <c r="U1361" s="8">
        <f>(Q1361-P1361*G1361*SIN(RADIANS(E1361)))/M1361</f>
        <v/>
      </c>
      <c r="V1361" s="8">
        <f>SQRT((S1361+U1361)^2+3*T1361^2)</f>
        <v/>
      </c>
      <c r="W1361" s="8">
        <f>V1361/AA1361</f>
        <v/>
      </c>
      <c r="X1361" s="27">
        <f>((3*10+H1361/COS(RADIANS(E1361)))*(3+3)+3*G1361*H1361)*2</f>
        <v/>
      </c>
      <c r="Y1361" s="28">
        <f>Z1361/X1361</f>
        <v/>
      </c>
      <c r="Z1361" s="29" t="n">
        <v>636.213855174233</v>
      </c>
      <c r="AA1361" s="20" t="n">
        <v>98.35777575879639</v>
      </c>
      <c r="AB1361" t="n">
        <v>0.09818500604073845</v>
      </c>
      <c r="AC1361" t="n">
        <v>90.50538180553708</v>
      </c>
      <c r="AD1361" t="n">
        <v>11.81980317534482</v>
      </c>
    </row>
    <row r="1362">
      <c r="A1362" t="n">
        <v>1361</v>
      </c>
      <c r="B1362" t="n">
        <v>70.3</v>
      </c>
      <c r="C1362" s="21">
        <f>B1362-20</f>
        <v/>
      </c>
      <c r="D1362" t="n">
        <v>113.8</v>
      </c>
      <c r="E1362" s="22">
        <f>D1362-90</f>
        <v/>
      </c>
      <c r="F1362" s="23" t="n">
        <v>0.020387</v>
      </c>
      <c r="G1362" s="22" t="n">
        <v>32.3</v>
      </c>
      <c r="H1362" s="22" t="n">
        <v>1.9</v>
      </c>
      <c r="I1362" s="24" t="n">
        <v>0.105533950030803</v>
      </c>
      <c r="J1362" s="6" t="n">
        <v>71000</v>
      </c>
      <c r="K1362" s="25">
        <f>23*10^-6</f>
        <v/>
      </c>
      <c r="L1362" s="8">
        <f>H1362</f>
        <v/>
      </c>
      <c r="M1362" s="26">
        <f>H1362^2/6</f>
        <v/>
      </c>
      <c r="N1362" s="26">
        <f>H1362^3/12</f>
        <v/>
      </c>
      <c r="O1362" s="27">
        <f>-J1362*L1362*K1362*C1362</f>
        <v/>
      </c>
      <c r="P1362" s="28">
        <f>-(12*F1362*J1362*L1362*N1362+12*O1362*N1362*G1362*COS(RADIANS(E1362)))/(12*N1362*G1362*COS(RADIANS(E1362))^2+L1362*G1362^3*SIN(RADIANS(E1362))^2)</f>
        <v/>
      </c>
      <c r="Q1362" s="28">
        <f>-(6*F1362*J1362*L1362*N1362*SIN(RADIANS(E1362))+6*O1362*N1362*G1362*SIN(RADIANS(E1362))*COS(RADIANS(E1362)))/(12*N1362*COS(RADIANS(E1362))^2+L1362*G1362^2*SIN(RADIANS(E1362))^2)</f>
        <v/>
      </c>
      <c r="R1362" s="28">
        <f>-P1362*SIN(RADIANS(E1362))</f>
        <v/>
      </c>
      <c r="S1362" s="8">
        <f>(O1362+P1362*COS(RADIANS(E1362)))/L1362</f>
        <v/>
      </c>
      <c r="T1362" s="8">
        <f>R1362/L1362</f>
        <v/>
      </c>
      <c r="U1362" s="8">
        <f>(Q1362-P1362*G1362*SIN(RADIANS(E1362)))/M1362</f>
        <v/>
      </c>
      <c r="V1362" s="8">
        <f>SQRT((S1362+U1362)^2+3*T1362^2)</f>
        <v/>
      </c>
      <c r="W1362" s="8">
        <f>V1362/AA1362</f>
        <v/>
      </c>
      <c r="X1362" s="27">
        <f>((3*10+H1362/COS(RADIANS(E1362)))*(3+3)+3*G1362*H1362)*2</f>
        <v/>
      </c>
      <c r="Y1362" s="28">
        <f>Z1362/X1362</f>
        <v/>
      </c>
      <c r="Z1362" s="29" t="n">
        <v>758.80342499355</v>
      </c>
      <c r="AA1362" s="20" t="n">
        <v>81.5534912608789</v>
      </c>
      <c r="AB1362" t="n">
        <v>0.1362389416918226</v>
      </c>
      <c r="AC1362" t="n">
        <v>77.80541413589241</v>
      </c>
      <c r="AD1362" t="n">
        <v>29.09489472540119</v>
      </c>
    </row>
    <row r="1363">
      <c r="A1363" t="n">
        <v>1362</v>
      </c>
      <c r="B1363" t="n">
        <v>67.7</v>
      </c>
      <c r="C1363" s="21">
        <f>B1363-20</f>
        <v/>
      </c>
      <c r="D1363" t="n">
        <v>116.2</v>
      </c>
      <c r="E1363" s="22">
        <f>D1363-90</f>
        <v/>
      </c>
      <c r="F1363" s="23" t="n">
        <v>0.014485</v>
      </c>
      <c r="G1363" s="22" t="n">
        <v>23</v>
      </c>
      <c r="H1363" s="22" t="n">
        <v>1.8</v>
      </c>
      <c r="I1363" s="24" t="n">
        <v>0.0745548829436302</v>
      </c>
      <c r="J1363" s="6" t="n">
        <v>71000</v>
      </c>
      <c r="K1363" s="25">
        <f>23*10^-6</f>
        <v/>
      </c>
      <c r="L1363" s="8">
        <f>H1363</f>
        <v/>
      </c>
      <c r="M1363" s="26">
        <f>H1363^2/6</f>
        <v/>
      </c>
      <c r="N1363" s="26">
        <f>H1363^3/12</f>
        <v/>
      </c>
      <c r="O1363" s="27">
        <f>-J1363*L1363*K1363*C1363</f>
        <v/>
      </c>
      <c r="P1363" s="28">
        <f>-(12*F1363*J1363*L1363*N1363+12*O1363*N1363*G1363*COS(RADIANS(E1363)))/(12*N1363*G1363*COS(RADIANS(E1363))^2+L1363*G1363^3*SIN(RADIANS(E1363))^2)</f>
        <v/>
      </c>
      <c r="Q1363" s="28">
        <f>-(6*F1363*J1363*L1363*N1363*SIN(RADIANS(E1363))+6*O1363*N1363*G1363*SIN(RADIANS(E1363))*COS(RADIANS(E1363)))/(12*N1363*COS(RADIANS(E1363))^2+L1363*G1363^2*SIN(RADIANS(E1363))^2)</f>
        <v/>
      </c>
      <c r="R1363" s="28">
        <f>-P1363*SIN(RADIANS(E1363))</f>
        <v/>
      </c>
      <c r="S1363" s="8">
        <f>(O1363+P1363*COS(RADIANS(E1363)))/L1363</f>
        <v/>
      </c>
      <c r="T1363" s="8">
        <f>R1363/L1363</f>
        <v/>
      </c>
      <c r="U1363" s="8">
        <f>(Q1363-P1363*G1363*SIN(RADIANS(E1363)))/M1363</f>
        <v/>
      </c>
      <c r="V1363" s="8">
        <f>SQRT((S1363+U1363)^2+3*T1363^2)</f>
        <v/>
      </c>
      <c r="W1363" s="8">
        <f>V1363/AA1363</f>
        <v/>
      </c>
      <c r="X1363" s="27">
        <f>((3*10+H1363/COS(RADIANS(E1363)))*(3+3)+3*G1363*H1363)*2</f>
        <v/>
      </c>
      <c r="Y1363" s="28">
        <f>Z1363/X1363</f>
        <v/>
      </c>
      <c r="Z1363" s="29" t="n">
        <v>638.655111292298</v>
      </c>
      <c r="AA1363" s="20" t="n">
        <v>79.2988671029115</v>
      </c>
      <c r="AB1363" t="n">
        <v>0.08427730876413819</v>
      </c>
      <c r="AC1363" t="n">
        <v>74.23954114571879</v>
      </c>
      <c r="AD1363" t="n">
        <v>13.0406291803301</v>
      </c>
    </row>
    <row r="1364">
      <c r="A1364" t="n">
        <v>1363</v>
      </c>
      <c r="B1364" t="n">
        <v>61.3</v>
      </c>
      <c r="C1364" s="21">
        <f>B1364-20</f>
        <v/>
      </c>
      <c r="D1364" t="n">
        <v>105.8</v>
      </c>
      <c r="E1364" s="22">
        <f>D1364-90</f>
        <v/>
      </c>
      <c r="F1364" s="23" t="n">
        <v>0.015555</v>
      </c>
      <c r="G1364" s="22" t="n">
        <v>28.1</v>
      </c>
      <c r="H1364" s="22" t="n">
        <v>1.5</v>
      </c>
      <c r="I1364" s="24" t="n">
        <v>0.106820091605186</v>
      </c>
      <c r="J1364" s="6" t="n">
        <v>71000</v>
      </c>
      <c r="K1364" s="25">
        <f>23*10^-6</f>
        <v/>
      </c>
      <c r="L1364" s="8">
        <f>H1364</f>
        <v/>
      </c>
      <c r="M1364" s="26">
        <f>H1364^2/6</f>
        <v/>
      </c>
      <c r="N1364" s="26">
        <f>H1364^3/12</f>
        <v/>
      </c>
      <c r="O1364" s="27">
        <f>-J1364*L1364*K1364*C1364</f>
        <v/>
      </c>
      <c r="P1364" s="28">
        <f>-(12*F1364*J1364*L1364*N1364+12*O1364*N1364*G1364*COS(RADIANS(E1364)))/(12*N1364*G1364*COS(RADIANS(E1364))^2+L1364*G1364^3*SIN(RADIANS(E1364))^2)</f>
        <v/>
      </c>
      <c r="Q1364" s="28">
        <f>-(6*F1364*J1364*L1364*N1364*SIN(RADIANS(E1364))+6*O1364*N1364*G1364*SIN(RADIANS(E1364))*COS(RADIANS(E1364)))/(12*N1364*COS(RADIANS(E1364))^2+L1364*G1364^2*SIN(RADIANS(E1364))^2)</f>
        <v/>
      </c>
      <c r="R1364" s="28">
        <f>-P1364*SIN(RADIANS(E1364))</f>
        <v/>
      </c>
      <c r="S1364" s="8">
        <f>(O1364+P1364*COS(RADIANS(E1364)))/L1364</f>
        <v/>
      </c>
      <c r="T1364" s="8">
        <f>R1364/L1364</f>
        <v/>
      </c>
      <c r="U1364" s="8">
        <f>(Q1364-P1364*G1364*SIN(RADIANS(E1364)))/M1364</f>
        <v/>
      </c>
      <c r="V1364" s="8">
        <f>SQRT((S1364+U1364)^2+3*T1364^2)</f>
        <v/>
      </c>
      <c r="W1364" s="8">
        <f>V1364/AA1364</f>
        <v/>
      </c>
      <c r="X1364" s="27">
        <f>((3*10+H1364/COS(RADIANS(E1364)))*(3+3)+3*G1364*H1364)*2</f>
        <v/>
      </c>
      <c r="Y1364" s="28">
        <f>Z1364/X1364</f>
        <v/>
      </c>
      <c r="Z1364" s="29" t="n">
        <v>635.982781950279</v>
      </c>
      <c r="AA1364" s="20" t="n">
        <v>64.99235442766221</v>
      </c>
      <c r="AB1364" t="n">
        <v>0.1475936491253302</v>
      </c>
      <c r="AC1364" t="n">
        <v>66.67475929687511</v>
      </c>
      <c r="AD1364" t="n">
        <v>38.1703075773853</v>
      </c>
    </row>
    <row r="1365">
      <c r="A1365" t="n">
        <v>1364</v>
      </c>
      <c r="B1365" t="n">
        <v>61.2</v>
      </c>
      <c r="C1365" s="21">
        <f>B1365-20</f>
        <v/>
      </c>
      <c r="D1365" t="n">
        <v>127.3</v>
      </c>
      <c r="E1365" s="22">
        <f>D1365-90</f>
        <v/>
      </c>
      <c r="F1365" s="23" t="n">
        <v>0.012495</v>
      </c>
      <c r="G1365" s="22" t="n">
        <v>25.9</v>
      </c>
      <c r="H1365" s="22" t="n">
        <v>1.9</v>
      </c>
      <c r="I1365" s="24" t="n">
        <v>0.055537212640047</v>
      </c>
      <c r="J1365" s="6" t="n">
        <v>71000</v>
      </c>
      <c r="K1365" s="25">
        <f>23*10^-6</f>
        <v/>
      </c>
      <c r="L1365" s="8">
        <f>H1365</f>
        <v/>
      </c>
      <c r="M1365" s="26">
        <f>H1365^2/6</f>
        <v/>
      </c>
      <c r="N1365" s="26">
        <f>H1365^3/12</f>
        <v/>
      </c>
      <c r="O1365" s="27">
        <f>-J1365*L1365*K1365*C1365</f>
        <v/>
      </c>
      <c r="P1365" s="28">
        <f>-(12*F1365*J1365*L1365*N1365+12*O1365*N1365*G1365*COS(RADIANS(E1365)))/(12*N1365*G1365*COS(RADIANS(E1365))^2+L1365*G1365^3*SIN(RADIANS(E1365))^2)</f>
        <v/>
      </c>
      <c r="Q1365" s="28">
        <f>-(6*F1365*J1365*L1365*N1365*SIN(RADIANS(E1365))+6*O1365*N1365*G1365*SIN(RADIANS(E1365))*COS(RADIANS(E1365)))/(12*N1365*COS(RADIANS(E1365))^2+L1365*G1365^2*SIN(RADIANS(E1365))^2)</f>
        <v/>
      </c>
      <c r="R1365" s="28">
        <f>-P1365*SIN(RADIANS(E1365))</f>
        <v/>
      </c>
      <c r="S1365" s="8">
        <f>(O1365+P1365*COS(RADIANS(E1365)))/L1365</f>
        <v/>
      </c>
      <c r="T1365" s="8">
        <f>R1365/L1365</f>
        <v/>
      </c>
      <c r="U1365" s="8">
        <f>(Q1365-P1365*G1365*SIN(RADIANS(E1365)))/M1365</f>
        <v/>
      </c>
      <c r="V1365" s="8">
        <f>SQRT((S1365+U1365)^2+3*T1365^2)</f>
        <v/>
      </c>
      <c r="W1365" s="8">
        <f>V1365/AA1365</f>
        <v/>
      </c>
      <c r="X1365" s="27">
        <f>((3*10+H1365/COS(RADIANS(E1365)))*(3+3)+3*G1365*H1365)*2</f>
        <v/>
      </c>
      <c r="Y1365" s="28">
        <f>Z1365/X1365</f>
        <v/>
      </c>
      <c r="Z1365" s="29" t="n">
        <v>693.526514612316</v>
      </c>
      <c r="AA1365" s="20" t="n">
        <v>65.7387588786637</v>
      </c>
      <c r="AB1365" t="n">
        <v>0.05629198728603255</v>
      </c>
      <c r="AC1365" t="n">
        <v>60.85625660509935</v>
      </c>
      <c r="AD1365" t="n">
        <v>1.359043081397451</v>
      </c>
    </row>
    <row r="1366">
      <c r="A1366" t="n">
        <v>1365</v>
      </c>
      <c r="B1366" t="n">
        <v>47</v>
      </c>
      <c r="C1366" s="21">
        <f>B1366-20</f>
        <v/>
      </c>
      <c r="D1366" t="n">
        <v>105.6</v>
      </c>
      <c r="E1366" s="22">
        <f>D1366-90</f>
        <v/>
      </c>
      <c r="F1366" s="23" t="n">
        <v>0.007865</v>
      </c>
      <c r="G1366" s="22" t="n">
        <v>20.3</v>
      </c>
      <c r="H1366" s="22" t="n">
        <v>1.1</v>
      </c>
      <c r="I1366" s="24" t="n">
        <v>0.0567861869931221</v>
      </c>
      <c r="J1366" s="6" t="n">
        <v>71000</v>
      </c>
      <c r="K1366" s="25">
        <f>23*10^-6</f>
        <v/>
      </c>
      <c r="L1366" s="8">
        <f>H1366</f>
        <v/>
      </c>
      <c r="M1366" s="26">
        <f>H1366^2/6</f>
        <v/>
      </c>
      <c r="N1366" s="26">
        <f>H1366^3/12</f>
        <v/>
      </c>
      <c r="O1366" s="27">
        <f>-J1366*L1366*K1366*C1366</f>
        <v/>
      </c>
      <c r="P1366" s="28">
        <f>-(12*F1366*J1366*L1366*N1366+12*O1366*N1366*G1366*COS(RADIANS(E1366)))/(12*N1366*G1366*COS(RADIANS(E1366))^2+L1366*G1366^3*SIN(RADIANS(E1366))^2)</f>
        <v/>
      </c>
      <c r="Q1366" s="28">
        <f>-(6*F1366*J1366*L1366*N1366*SIN(RADIANS(E1366))+6*O1366*N1366*G1366*SIN(RADIANS(E1366))*COS(RADIANS(E1366)))/(12*N1366*COS(RADIANS(E1366))^2+L1366*G1366^2*SIN(RADIANS(E1366))^2)</f>
        <v/>
      </c>
      <c r="R1366" s="28">
        <f>-P1366*SIN(RADIANS(E1366))</f>
        <v/>
      </c>
      <c r="S1366" s="8">
        <f>(O1366+P1366*COS(RADIANS(E1366)))/L1366</f>
        <v/>
      </c>
      <c r="T1366" s="8">
        <f>R1366/L1366</f>
        <v/>
      </c>
      <c r="U1366" s="8">
        <f>(Q1366-P1366*G1366*SIN(RADIANS(E1366)))/M1366</f>
        <v/>
      </c>
      <c r="V1366" s="8">
        <f>SQRT((S1366+U1366)^2+3*T1366^2)</f>
        <v/>
      </c>
      <c r="W1366" s="8">
        <f>V1366/AA1366</f>
        <v/>
      </c>
      <c r="X1366" s="27">
        <f>((3*10+H1366/COS(RADIANS(E1366)))*(3+3)+3*G1366*H1366)*2</f>
        <v/>
      </c>
      <c r="Y1366" s="28">
        <f>Z1366/X1366</f>
        <v/>
      </c>
      <c r="Z1366" s="29" t="n">
        <v>512.036392855034</v>
      </c>
      <c r="AA1366" s="20" t="n">
        <v>40.0129422567238</v>
      </c>
      <c r="AB1366" t="n">
        <v>0.07224289248460349</v>
      </c>
      <c r="AC1366" t="n">
        <v>42.9685887373362</v>
      </c>
      <c r="AD1366" t="n">
        <v>27.21912899937002</v>
      </c>
    </row>
    <row r="1367">
      <c r="A1367" t="n">
        <v>1366</v>
      </c>
      <c r="B1367" t="n">
        <v>77.5</v>
      </c>
      <c r="C1367" s="21">
        <f>B1367-20</f>
        <v/>
      </c>
      <c r="D1367" t="n">
        <v>104.4</v>
      </c>
      <c r="E1367" s="22">
        <f>D1367-90</f>
        <v/>
      </c>
      <c r="F1367" s="23" t="n">
        <v>0.025964</v>
      </c>
      <c r="G1367" s="22" t="n">
        <v>34.7</v>
      </c>
      <c r="H1367" s="22" t="n">
        <v>2</v>
      </c>
      <c r="I1367" s="24" t="n">
        <v>0.185031205415725</v>
      </c>
      <c r="J1367" s="6" t="n">
        <v>71000</v>
      </c>
      <c r="K1367" s="25">
        <f>23*10^-6</f>
        <v/>
      </c>
      <c r="L1367" s="8">
        <f>H1367</f>
        <v/>
      </c>
      <c r="M1367" s="26">
        <f>H1367^2/6</f>
        <v/>
      </c>
      <c r="N1367" s="26">
        <f>H1367^3/12</f>
        <v/>
      </c>
      <c r="O1367" s="27">
        <f>-J1367*L1367*K1367*C1367</f>
        <v/>
      </c>
      <c r="P1367" s="28">
        <f>-(12*F1367*J1367*L1367*N1367+12*O1367*N1367*G1367*COS(RADIANS(E1367)))/(12*N1367*G1367*COS(RADIANS(E1367))^2+L1367*G1367^3*SIN(RADIANS(E1367))^2)</f>
        <v/>
      </c>
      <c r="Q1367" s="28">
        <f>-(6*F1367*J1367*L1367*N1367*SIN(RADIANS(E1367))+6*O1367*N1367*G1367*SIN(RADIANS(E1367))*COS(RADIANS(E1367)))/(12*N1367*COS(RADIANS(E1367))^2+L1367*G1367^2*SIN(RADIANS(E1367))^2)</f>
        <v/>
      </c>
      <c r="R1367" s="28">
        <f>-P1367*SIN(RADIANS(E1367))</f>
        <v/>
      </c>
      <c r="S1367" s="8">
        <f>(O1367+P1367*COS(RADIANS(E1367)))/L1367</f>
        <v/>
      </c>
      <c r="T1367" s="8">
        <f>R1367/L1367</f>
        <v/>
      </c>
      <c r="U1367" s="8">
        <f>(Q1367-P1367*G1367*SIN(RADIANS(E1367)))/M1367</f>
        <v/>
      </c>
      <c r="V1367" s="8">
        <f>SQRT((S1367+U1367)^2+3*T1367^2)</f>
        <v/>
      </c>
      <c r="W1367" s="8">
        <f>V1367/AA1367</f>
        <v/>
      </c>
      <c r="X1367" s="27">
        <f>((3*10+H1367/COS(RADIANS(E1367)))*(3+3)+3*G1367*H1367)*2</f>
        <v/>
      </c>
      <c r="Y1367" s="28">
        <f>Z1367/X1367</f>
        <v/>
      </c>
      <c r="Z1367" s="29" t="n">
        <v>805.390551213673</v>
      </c>
      <c r="AA1367" s="20" t="n">
        <v>99.60356902983411</v>
      </c>
      <c r="AB1367" t="n">
        <v>0.2716302539972066</v>
      </c>
      <c r="AC1367" t="n">
        <v>96.28240509075491</v>
      </c>
      <c r="AD1367" t="n">
        <v>46.80240199857769</v>
      </c>
    </row>
    <row r="1368">
      <c r="A1368" t="n">
        <v>1367</v>
      </c>
      <c r="B1368" t="n">
        <v>64.09999999999999</v>
      </c>
      <c r="C1368" s="21">
        <f>B1368-20</f>
        <v/>
      </c>
      <c r="D1368" t="n">
        <v>113.8</v>
      </c>
      <c r="E1368" s="22">
        <f>D1368-90</f>
        <v/>
      </c>
      <c r="F1368" s="23" t="n">
        <v>0.018196</v>
      </c>
      <c r="G1368" s="22" t="n">
        <v>33</v>
      </c>
      <c r="H1368" s="22" t="n">
        <v>1.8</v>
      </c>
      <c r="I1368" s="24" t="n">
        <v>0.0940008908510208</v>
      </c>
      <c r="J1368" s="6" t="n">
        <v>71000</v>
      </c>
      <c r="K1368" s="25">
        <f>23*10^-6</f>
        <v/>
      </c>
      <c r="L1368" s="8">
        <f>H1368</f>
        <v/>
      </c>
      <c r="M1368" s="26">
        <f>H1368^2/6</f>
        <v/>
      </c>
      <c r="N1368" s="26">
        <f>H1368^3/12</f>
        <v/>
      </c>
      <c r="O1368" s="27">
        <f>-J1368*L1368*K1368*C1368</f>
        <v/>
      </c>
      <c r="P1368" s="28">
        <f>-(12*F1368*J1368*L1368*N1368+12*O1368*N1368*G1368*COS(RADIANS(E1368)))/(12*N1368*G1368*COS(RADIANS(E1368))^2+L1368*G1368^3*SIN(RADIANS(E1368))^2)</f>
        <v/>
      </c>
      <c r="Q1368" s="28">
        <f>-(6*F1368*J1368*L1368*N1368*SIN(RADIANS(E1368))+6*O1368*N1368*G1368*SIN(RADIANS(E1368))*COS(RADIANS(E1368)))/(12*N1368*COS(RADIANS(E1368))^2+L1368*G1368^2*SIN(RADIANS(E1368))^2)</f>
        <v/>
      </c>
      <c r="R1368" s="28">
        <f>-P1368*SIN(RADIANS(E1368))</f>
        <v/>
      </c>
      <c r="S1368" s="8">
        <f>(O1368+P1368*COS(RADIANS(E1368)))/L1368</f>
        <v/>
      </c>
      <c r="T1368" s="8">
        <f>R1368/L1368</f>
        <v/>
      </c>
      <c r="U1368" s="8">
        <f>(Q1368-P1368*G1368*SIN(RADIANS(E1368)))/M1368</f>
        <v/>
      </c>
      <c r="V1368" s="8">
        <f>SQRT((S1368+U1368)^2+3*T1368^2)</f>
        <v/>
      </c>
      <c r="W1368" s="8">
        <f>V1368/AA1368</f>
        <v/>
      </c>
      <c r="X1368" s="27">
        <f>((3*10+H1368/COS(RADIANS(E1368)))*(3+3)+3*G1368*H1368)*2</f>
        <v/>
      </c>
      <c r="Y1368" s="28">
        <f>Z1368/X1368</f>
        <v/>
      </c>
      <c r="Z1368" s="29" t="n">
        <v>745.671891772836</v>
      </c>
      <c r="AA1368" s="20" t="n">
        <v>69.9147826924615</v>
      </c>
      <c r="AB1368" t="n">
        <v>0.1222085895139575</v>
      </c>
      <c r="AC1368" t="n">
        <v>67.65461968219253</v>
      </c>
      <c r="AD1368" t="n">
        <v>30.0079056778752</v>
      </c>
    </row>
    <row r="1369">
      <c r="A1369" t="n">
        <v>1368</v>
      </c>
      <c r="B1369" t="n">
        <v>79.90000000000001</v>
      </c>
      <c r="C1369" s="21">
        <f>B1369-20</f>
        <v/>
      </c>
      <c r="D1369" t="n">
        <v>125.4</v>
      </c>
      <c r="E1369" s="22">
        <f>D1369-90</f>
        <v/>
      </c>
      <c r="F1369" s="23" t="n">
        <v>0.022521</v>
      </c>
      <c r="G1369" s="22" t="n">
        <v>33.1</v>
      </c>
      <c r="H1369" s="22" t="n">
        <v>1.9</v>
      </c>
      <c r="I1369" s="24" t="n">
        <v>0.0978396981954574</v>
      </c>
      <c r="J1369" s="6" t="n">
        <v>71000</v>
      </c>
      <c r="K1369" s="25">
        <f>23*10^-6</f>
        <v/>
      </c>
      <c r="L1369" s="8">
        <f>H1369</f>
        <v/>
      </c>
      <c r="M1369" s="26">
        <f>H1369^2/6</f>
        <v/>
      </c>
      <c r="N1369" s="26">
        <f>H1369^3/12</f>
        <v/>
      </c>
      <c r="O1369" s="27">
        <f>-J1369*L1369*K1369*C1369</f>
        <v/>
      </c>
      <c r="P1369" s="28">
        <f>-(12*F1369*J1369*L1369*N1369+12*O1369*N1369*G1369*COS(RADIANS(E1369)))/(12*N1369*G1369*COS(RADIANS(E1369))^2+L1369*G1369^3*SIN(RADIANS(E1369))^2)</f>
        <v/>
      </c>
      <c r="Q1369" s="28">
        <f>-(6*F1369*J1369*L1369*N1369*SIN(RADIANS(E1369))+6*O1369*N1369*G1369*SIN(RADIANS(E1369))*COS(RADIANS(E1369)))/(12*N1369*COS(RADIANS(E1369))^2+L1369*G1369^2*SIN(RADIANS(E1369))^2)</f>
        <v/>
      </c>
      <c r="R1369" s="28">
        <f>-P1369*SIN(RADIANS(E1369))</f>
        <v/>
      </c>
      <c r="S1369" s="8">
        <f>(O1369+P1369*COS(RADIANS(E1369)))/L1369</f>
        <v/>
      </c>
      <c r="T1369" s="8">
        <f>R1369/L1369</f>
        <v/>
      </c>
      <c r="U1369" s="8">
        <f>(Q1369-P1369*G1369*SIN(RADIANS(E1369)))/M1369</f>
        <v/>
      </c>
      <c r="V1369" s="8">
        <f>SQRT((S1369+U1369)^2+3*T1369^2)</f>
        <v/>
      </c>
      <c r="W1369" s="8">
        <f>V1369/AA1369</f>
        <v/>
      </c>
      <c r="X1369" s="27">
        <f>((3*10+H1369/COS(RADIANS(E1369)))*(3+3)+3*G1369*H1369)*2</f>
        <v/>
      </c>
      <c r="Y1369" s="28">
        <f>Z1369/X1369</f>
        <v/>
      </c>
      <c r="Z1369" s="29" t="n">
        <v>774.187939442594</v>
      </c>
      <c r="AA1369" s="20" t="n">
        <v>92.1926528299947</v>
      </c>
      <c r="AB1369" t="n">
        <v>0.1095924982323377</v>
      </c>
      <c r="AC1369" t="n">
        <v>87.88144714869142</v>
      </c>
      <c r="AD1369" t="n">
        <v>12.01230201405712</v>
      </c>
    </row>
    <row r="1370">
      <c r="A1370" t="n">
        <v>1369</v>
      </c>
      <c r="B1370" t="n">
        <v>84.5</v>
      </c>
      <c r="C1370" s="21">
        <f>B1370-20</f>
        <v/>
      </c>
      <c r="D1370" t="n">
        <v>122.2</v>
      </c>
      <c r="E1370" s="22">
        <f>D1370-90</f>
        <v/>
      </c>
      <c r="F1370" s="23" t="n">
        <v>0.022145</v>
      </c>
      <c r="G1370" s="22" t="n">
        <v>28.5</v>
      </c>
      <c r="H1370" s="22" t="n">
        <v>1.8</v>
      </c>
      <c r="I1370" s="24" t="n">
        <v>0.101186744868755</v>
      </c>
      <c r="J1370" s="6" t="n">
        <v>71000</v>
      </c>
      <c r="K1370" s="25">
        <f>23*10^-6</f>
        <v/>
      </c>
      <c r="L1370" s="8">
        <f>H1370</f>
        <v/>
      </c>
      <c r="M1370" s="26">
        <f>H1370^2/6</f>
        <v/>
      </c>
      <c r="N1370" s="26">
        <f>H1370^3/12</f>
        <v/>
      </c>
      <c r="O1370" s="27">
        <f>-J1370*L1370*K1370*C1370</f>
        <v/>
      </c>
      <c r="P1370" s="28">
        <f>-(12*F1370*J1370*L1370*N1370+12*O1370*N1370*G1370*COS(RADIANS(E1370)))/(12*N1370*G1370*COS(RADIANS(E1370))^2+L1370*G1370^3*SIN(RADIANS(E1370))^2)</f>
        <v/>
      </c>
      <c r="Q1370" s="28">
        <f>-(6*F1370*J1370*L1370*N1370*SIN(RADIANS(E1370))+6*O1370*N1370*G1370*SIN(RADIANS(E1370))*COS(RADIANS(E1370)))/(12*N1370*COS(RADIANS(E1370))^2+L1370*G1370^2*SIN(RADIANS(E1370))^2)</f>
        <v/>
      </c>
      <c r="R1370" s="28">
        <f>-P1370*SIN(RADIANS(E1370))</f>
        <v/>
      </c>
      <c r="S1370" s="8">
        <f>(O1370+P1370*COS(RADIANS(E1370)))/L1370</f>
        <v/>
      </c>
      <c r="T1370" s="8">
        <f>R1370/L1370</f>
        <v/>
      </c>
      <c r="U1370" s="8">
        <f>(Q1370-P1370*G1370*SIN(RADIANS(E1370)))/M1370</f>
        <v/>
      </c>
      <c r="V1370" s="8">
        <f>SQRT((S1370+U1370)^2+3*T1370^2)</f>
        <v/>
      </c>
      <c r="W1370" s="8">
        <f>V1370/AA1370</f>
        <v/>
      </c>
      <c r="X1370" s="27">
        <f>((3*10+H1370/COS(RADIANS(E1370)))*(3+3)+3*G1370*H1370)*2</f>
        <v/>
      </c>
      <c r="Y1370" s="28">
        <f>Z1370/X1370</f>
        <v/>
      </c>
      <c r="Z1370" s="29" t="n">
        <v>701.122034333035</v>
      </c>
      <c r="AA1370" s="20" t="n">
        <v>100.933573946711</v>
      </c>
      <c r="AB1370" t="n">
        <v>0.113228458534671</v>
      </c>
      <c r="AC1370" t="n">
        <v>96.13616787239641</v>
      </c>
      <c r="AD1370" t="n">
        <v>11.90048526764532</v>
      </c>
    </row>
    <row r="1371">
      <c r="A1371" t="n">
        <v>1370</v>
      </c>
      <c r="B1371" t="n">
        <v>76.2</v>
      </c>
      <c r="C1371" s="21">
        <f>B1371-20</f>
        <v/>
      </c>
      <c r="D1371" t="n">
        <v>117.4</v>
      </c>
      <c r="E1371" s="22">
        <f>D1371-90</f>
        <v/>
      </c>
      <c r="F1371" s="23" t="n">
        <v>0.018349</v>
      </c>
      <c r="G1371" s="22" t="n">
        <v>25.5</v>
      </c>
      <c r="H1371" s="22" t="n">
        <v>1.2</v>
      </c>
      <c r="I1371" s="24" t="n">
        <v>0.0912630930542945</v>
      </c>
      <c r="J1371" s="6" t="n">
        <v>71000</v>
      </c>
      <c r="K1371" s="25">
        <f>23*10^-6</f>
        <v/>
      </c>
      <c r="L1371" s="8">
        <f>H1371</f>
        <v/>
      </c>
      <c r="M1371" s="26">
        <f>H1371^2/6</f>
        <v/>
      </c>
      <c r="N1371" s="26">
        <f>H1371^3/12</f>
        <v/>
      </c>
      <c r="O1371" s="27">
        <f>-J1371*L1371*K1371*C1371</f>
        <v/>
      </c>
      <c r="P1371" s="28">
        <f>-(12*F1371*J1371*L1371*N1371+12*O1371*N1371*G1371*COS(RADIANS(E1371)))/(12*N1371*G1371*COS(RADIANS(E1371))^2+L1371*G1371^3*SIN(RADIANS(E1371))^2)</f>
        <v/>
      </c>
      <c r="Q1371" s="28">
        <f>-(6*F1371*J1371*L1371*N1371*SIN(RADIANS(E1371))+6*O1371*N1371*G1371*SIN(RADIANS(E1371))*COS(RADIANS(E1371)))/(12*N1371*COS(RADIANS(E1371))^2+L1371*G1371^2*SIN(RADIANS(E1371))^2)</f>
        <v/>
      </c>
      <c r="R1371" s="28">
        <f>-P1371*SIN(RADIANS(E1371))</f>
        <v/>
      </c>
      <c r="S1371" s="8">
        <f>(O1371+P1371*COS(RADIANS(E1371)))/L1371</f>
        <v/>
      </c>
      <c r="T1371" s="8">
        <f>R1371/L1371</f>
        <v/>
      </c>
      <c r="U1371" s="8">
        <f>(Q1371-P1371*G1371*SIN(RADIANS(E1371)))/M1371</f>
        <v/>
      </c>
      <c r="V1371" s="8">
        <f>SQRT((S1371+U1371)^2+3*T1371^2)</f>
        <v/>
      </c>
      <c r="W1371" s="8">
        <f>V1371/AA1371</f>
        <v/>
      </c>
      <c r="X1371" s="27">
        <f>((3*10+H1371/COS(RADIANS(E1371)))*(3+3)+3*G1371*H1371)*2</f>
        <v/>
      </c>
      <c r="Y1371" s="28">
        <f>Z1371/X1371</f>
        <v/>
      </c>
      <c r="Z1371" s="29" t="n">
        <v>566.285864752232</v>
      </c>
      <c r="AA1371" s="20" t="n">
        <v>80.220554025947</v>
      </c>
      <c r="AB1371" t="n">
        <v>0.1060693546254535</v>
      </c>
      <c r="AC1371" t="n">
        <v>82.85883756616298</v>
      </c>
      <c r="AD1371" t="n">
        <v>16.22371221009398</v>
      </c>
    </row>
    <row r="1372">
      <c r="A1372" t="n">
        <v>1371</v>
      </c>
      <c r="B1372" t="n">
        <v>75.5</v>
      </c>
      <c r="C1372" s="21">
        <f>B1372-20</f>
        <v/>
      </c>
      <c r="D1372" t="n">
        <v>114.6</v>
      </c>
      <c r="E1372" s="22">
        <f>D1372-90</f>
        <v/>
      </c>
      <c r="F1372" s="23" t="n">
        <v>0.023471</v>
      </c>
      <c r="G1372" s="22" t="n">
        <v>34.2</v>
      </c>
      <c r="H1372" s="22" t="n">
        <v>1.1</v>
      </c>
      <c r="I1372" s="24" t="n">
        <v>0.118575796484947</v>
      </c>
      <c r="J1372" s="6" t="n">
        <v>71000</v>
      </c>
      <c r="K1372" s="25">
        <f>23*10^-6</f>
        <v/>
      </c>
      <c r="L1372" s="8">
        <f>H1372</f>
        <v/>
      </c>
      <c r="M1372" s="26">
        <f>H1372^2/6</f>
        <v/>
      </c>
      <c r="N1372" s="26">
        <f>H1372^3/12</f>
        <v/>
      </c>
      <c r="O1372" s="27">
        <f>-J1372*L1372*K1372*C1372</f>
        <v/>
      </c>
      <c r="P1372" s="28">
        <f>-(12*F1372*J1372*L1372*N1372+12*O1372*N1372*G1372*COS(RADIANS(E1372)))/(12*N1372*G1372*COS(RADIANS(E1372))^2+L1372*G1372^3*SIN(RADIANS(E1372))^2)</f>
        <v/>
      </c>
      <c r="Q1372" s="28">
        <f>-(6*F1372*J1372*L1372*N1372*SIN(RADIANS(E1372))+6*O1372*N1372*G1372*SIN(RADIANS(E1372))*COS(RADIANS(E1372)))/(12*N1372*COS(RADIANS(E1372))^2+L1372*G1372^2*SIN(RADIANS(E1372))^2)</f>
        <v/>
      </c>
      <c r="R1372" s="28">
        <f>-P1372*SIN(RADIANS(E1372))</f>
        <v/>
      </c>
      <c r="S1372" s="8">
        <f>(O1372+P1372*COS(RADIANS(E1372)))/L1372</f>
        <v/>
      </c>
      <c r="T1372" s="8">
        <f>R1372/L1372</f>
        <v/>
      </c>
      <c r="U1372" s="8">
        <f>(Q1372-P1372*G1372*SIN(RADIANS(E1372)))/M1372</f>
        <v/>
      </c>
      <c r="V1372" s="8">
        <f>SQRT((S1372+U1372)^2+3*T1372^2)</f>
        <v/>
      </c>
      <c r="W1372" s="8">
        <f>V1372/AA1372</f>
        <v/>
      </c>
      <c r="X1372" s="27">
        <f>((3*10+H1372/COS(RADIANS(E1372)))*(3+3)+3*G1372*H1372)*2</f>
        <v/>
      </c>
      <c r="Y1372" s="28">
        <f>Z1372/X1372</f>
        <v/>
      </c>
      <c r="Z1372" s="29" t="n">
        <v>606.067094688935</v>
      </c>
      <c r="AA1372" s="20" t="n">
        <v>76.6409290262676</v>
      </c>
      <c r="AB1372" t="n">
        <v>0.1553168228345686</v>
      </c>
      <c r="AC1372" t="n">
        <v>80.78312717410019</v>
      </c>
      <c r="AD1372" t="n">
        <v>30.98526633492678</v>
      </c>
    </row>
    <row r="1373">
      <c r="A1373" t="n">
        <v>1372</v>
      </c>
      <c r="B1373" t="n">
        <v>60.1</v>
      </c>
      <c r="C1373" s="21">
        <f>B1373-20</f>
        <v/>
      </c>
      <c r="D1373" t="n">
        <v>117.4</v>
      </c>
      <c r="E1373" s="22">
        <f>D1373-90</f>
        <v/>
      </c>
      <c r="F1373" s="23" t="n">
        <v>0.016623</v>
      </c>
      <c r="G1373" s="22" t="n">
        <v>34.2</v>
      </c>
      <c r="H1373" s="22" t="n">
        <v>1.7</v>
      </c>
      <c r="I1373" s="24" t="n">
        <v>0.0793203711509704</v>
      </c>
      <c r="J1373" s="6" t="n">
        <v>71000</v>
      </c>
      <c r="K1373" s="25">
        <f>23*10^-6</f>
        <v/>
      </c>
      <c r="L1373" s="8">
        <f>H1373</f>
        <v/>
      </c>
      <c r="M1373" s="26">
        <f>H1373^2/6</f>
        <v/>
      </c>
      <c r="N1373" s="26">
        <f>H1373^3/12</f>
        <v/>
      </c>
      <c r="O1373" s="27">
        <f>-J1373*L1373*K1373*C1373</f>
        <v/>
      </c>
      <c r="P1373" s="28">
        <f>-(12*F1373*J1373*L1373*N1373+12*O1373*N1373*G1373*COS(RADIANS(E1373)))/(12*N1373*G1373*COS(RADIANS(E1373))^2+L1373*G1373^3*SIN(RADIANS(E1373))^2)</f>
        <v/>
      </c>
      <c r="Q1373" s="28">
        <f>-(6*F1373*J1373*L1373*N1373*SIN(RADIANS(E1373))+6*O1373*N1373*G1373*SIN(RADIANS(E1373))*COS(RADIANS(E1373)))/(12*N1373*COS(RADIANS(E1373))^2+L1373*G1373^2*SIN(RADIANS(E1373))^2)</f>
        <v/>
      </c>
      <c r="R1373" s="28">
        <f>-P1373*SIN(RADIANS(E1373))</f>
        <v/>
      </c>
      <c r="S1373" s="8">
        <f>(O1373+P1373*COS(RADIANS(E1373)))/L1373</f>
        <v/>
      </c>
      <c r="T1373" s="8">
        <f>R1373/L1373</f>
        <v/>
      </c>
      <c r="U1373" s="8">
        <f>(Q1373-P1373*G1373*SIN(RADIANS(E1373)))/M1373</f>
        <v/>
      </c>
      <c r="V1373" s="8">
        <f>SQRT((S1373+U1373)^2+3*T1373^2)</f>
        <v/>
      </c>
      <c r="W1373" s="8">
        <f>V1373/AA1373</f>
        <v/>
      </c>
      <c r="X1373" s="27">
        <f>((3*10+H1373/COS(RADIANS(E1373)))*(3+3)+3*G1373*H1373)*2</f>
        <v/>
      </c>
      <c r="Y1373" s="28">
        <f>Z1373/X1373</f>
        <v/>
      </c>
      <c r="Z1373" s="29" t="n">
        <v>738.284026528262</v>
      </c>
      <c r="AA1373" s="20" t="n">
        <v>61.6756283134668</v>
      </c>
      <c r="AB1373" t="n">
        <v>0.09961516926463054</v>
      </c>
      <c r="AC1373" t="n">
        <v>59.89962703170777</v>
      </c>
      <c r="AD1373" t="n">
        <v>25.58585873864996</v>
      </c>
    </row>
    <row r="1374">
      <c r="A1374" t="n">
        <v>1373</v>
      </c>
      <c r="B1374" t="n">
        <v>89.7</v>
      </c>
      <c r="C1374" s="21">
        <f>B1374-20</f>
        <v/>
      </c>
      <c r="D1374" t="n">
        <v>129.3</v>
      </c>
      <c r="E1374" s="22">
        <f>D1374-90</f>
        <v/>
      </c>
      <c r="F1374" s="23" t="n">
        <v>0.026288</v>
      </c>
      <c r="G1374" s="22" t="n">
        <v>35</v>
      </c>
      <c r="H1374" s="22" t="n">
        <v>1.9</v>
      </c>
      <c r="I1374" s="24" t="n">
        <v>0.11101646721363</v>
      </c>
      <c r="J1374" s="6" t="n">
        <v>71000</v>
      </c>
      <c r="K1374" s="25">
        <f>23*10^-6</f>
        <v/>
      </c>
      <c r="L1374" s="8">
        <f>H1374</f>
        <v/>
      </c>
      <c r="M1374" s="26">
        <f>H1374^2/6</f>
        <v/>
      </c>
      <c r="N1374" s="26">
        <f>H1374^3/12</f>
        <v/>
      </c>
      <c r="O1374" s="27">
        <f>-J1374*L1374*K1374*C1374</f>
        <v/>
      </c>
      <c r="P1374" s="28">
        <f>-(12*F1374*J1374*L1374*N1374+12*O1374*N1374*G1374*COS(RADIANS(E1374)))/(12*N1374*G1374*COS(RADIANS(E1374))^2+L1374*G1374^3*SIN(RADIANS(E1374))^2)</f>
        <v/>
      </c>
      <c r="Q1374" s="28">
        <f>-(6*F1374*J1374*L1374*N1374*SIN(RADIANS(E1374))+6*O1374*N1374*G1374*SIN(RADIANS(E1374))*COS(RADIANS(E1374)))/(12*N1374*COS(RADIANS(E1374))^2+L1374*G1374^2*SIN(RADIANS(E1374))^2)</f>
        <v/>
      </c>
      <c r="R1374" s="28">
        <f>-P1374*SIN(RADIANS(E1374))</f>
        <v/>
      </c>
      <c r="S1374" s="8">
        <f>(O1374+P1374*COS(RADIANS(E1374)))/L1374</f>
        <v/>
      </c>
      <c r="T1374" s="8">
        <f>R1374/L1374</f>
        <v/>
      </c>
      <c r="U1374" s="8">
        <f>(Q1374-P1374*G1374*SIN(RADIANS(E1374)))/M1374</f>
        <v/>
      </c>
      <c r="V1374" s="8">
        <f>SQRT((S1374+U1374)^2+3*T1374^2)</f>
        <v/>
      </c>
      <c r="W1374" s="8">
        <f>V1374/AA1374</f>
        <v/>
      </c>
      <c r="X1374" s="27">
        <f>((3*10+H1374/COS(RADIANS(E1374)))*(3+3)+3*G1374*H1374)*2</f>
        <v/>
      </c>
      <c r="Y1374" s="28">
        <f>Z1374/X1374</f>
        <v/>
      </c>
      <c r="Z1374" s="29" t="n">
        <v>798.911231107243</v>
      </c>
      <c r="AA1374" s="20" t="n">
        <v>104.934821558187</v>
      </c>
      <c r="AB1374" t="n">
        <v>0.1200807610115894</v>
      </c>
      <c r="AC1374" t="n">
        <v>100.7710042403524</v>
      </c>
      <c r="AD1374" t="n">
        <v>8.164819170940602</v>
      </c>
    </row>
    <row r="1375">
      <c r="A1375" t="n">
        <v>1374</v>
      </c>
      <c r="B1375" t="n">
        <v>68.90000000000001</v>
      </c>
      <c r="C1375" s="21">
        <f>B1375-20</f>
        <v/>
      </c>
      <c r="D1375" t="n">
        <v>111.8</v>
      </c>
      <c r="E1375" s="22">
        <f>D1375-90</f>
        <v/>
      </c>
      <c r="F1375" s="23" t="n">
        <v>0.021461</v>
      </c>
      <c r="G1375" s="22" t="n">
        <v>35</v>
      </c>
      <c r="H1375" s="22" t="n">
        <v>1.4</v>
      </c>
      <c r="I1375" s="24" t="n">
        <v>0.116229332983493</v>
      </c>
      <c r="J1375" s="6" t="n">
        <v>71000</v>
      </c>
      <c r="K1375" s="25">
        <f>23*10^-6</f>
        <v/>
      </c>
      <c r="L1375" s="8">
        <f>H1375</f>
        <v/>
      </c>
      <c r="M1375" s="26">
        <f>H1375^2/6</f>
        <v/>
      </c>
      <c r="N1375" s="26">
        <f>H1375^3/12</f>
        <v/>
      </c>
      <c r="O1375" s="27">
        <f>-J1375*L1375*K1375*C1375</f>
        <v/>
      </c>
      <c r="P1375" s="28">
        <f>-(12*F1375*J1375*L1375*N1375+12*O1375*N1375*G1375*COS(RADIANS(E1375)))/(12*N1375*G1375*COS(RADIANS(E1375))^2+L1375*G1375^3*SIN(RADIANS(E1375))^2)</f>
        <v/>
      </c>
      <c r="Q1375" s="28">
        <f>-(6*F1375*J1375*L1375*N1375*SIN(RADIANS(E1375))+6*O1375*N1375*G1375*SIN(RADIANS(E1375))*COS(RADIANS(E1375)))/(12*N1375*COS(RADIANS(E1375))^2+L1375*G1375^2*SIN(RADIANS(E1375))^2)</f>
        <v/>
      </c>
      <c r="R1375" s="28">
        <f>-P1375*SIN(RADIANS(E1375))</f>
        <v/>
      </c>
      <c r="S1375" s="8">
        <f>(O1375+P1375*COS(RADIANS(E1375)))/L1375</f>
        <v/>
      </c>
      <c r="T1375" s="8">
        <f>R1375/L1375</f>
        <v/>
      </c>
      <c r="U1375" s="8">
        <f>(Q1375-P1375*G1375*SIN(RADIANS(E1375)))/M1375</f>
        <v/>
      </c>
      <c r="V1375" s="8">
        <f>SQRT((S1375+U1375)^2+3*T1375^2)</f>
        <v/>
      </c>
      <c r="W1375" s="8">
        <f>V1375/AA1375</f>
        <v/>
      </c>
      <c r="X1375" s="27">
        <f>((3*10+H1375/COS(RADIANS(E1375)))*(3+3)+3*G1375*H1375)*2</f>
        <v/>
      </c>
      <c r="Y1375" s="28">
        <f>Z1375/X1375</f>
        <v/>
      </c>
      <c r="Z1375" s="29" t="n">
        <v>677.3761418277099</v>
      </c>
      <c r="AA1375" s="20" t="n">
        <v>71.9726783439021</v>
      </c>
      <c r="AB1375" t="n">
        <v>0.1579879035556794</v>
      </c>
      <c r="AC1375" t="n">
        <v>73.46468360438455</v>
      </c>
      <c r="AD1375" t="n">
        <v>35.92773829143196</v>
      </c>
    </row>
    <row r="1376">
      <c r="A1376" t="n">
        <v>1375</v>
      </c>
      <c r="B1376" t="n">
        <v>42.8</v>
      </c>
      <c r="C1376" s="21">
        <f>B1376-20</f>
        <v/>
      </c>
      <c r="D1376" t="n">
        <v>100.5</v>
      </c>
      <c r="E1376" s="22">
        <f>D1376-90</f>
        <v/>
      </c>
      <c r="F1376" s="23" t="n">
        <v>0.010453</v>
      </c>
      <c r="G1376" s="22" t="n">
        <v>34.8</v>
      </c>
      <c r="H1376" s="22" t="n">
        <v>1.7</v>
      </c>
      <c r="I1376" s="24" t="n">
        <v>0.09495041519403449</v>
      </c>
      <c r="J1376" s="6" t="n">
        <v>71000</v>
      </c>
      <c r="K1376" s="25">
        <f>23*10^-6</f>
        <v/>
      </c>
      <c r="L1376" s="8">
        <f>H1376</f>
        <v/>
      </c>
      <c r="M1376" s="26">
        <f>H1376^2/6</f>
        <v/>
      </c>
      <c r="N1376" s="26">
        <f>H1376^3/12</f>
        <v/>
      </c>
      <c r="O1376" s="27">
        <f>-J1376*L1376*K1376*C1376</f>
        <v/>
      </c>
      <c r="P1376" s="28">
        <f>-(12*F1376*J1376*L1376*N1376+12*O1376*N1376*G1376*COS(RADIANS(E1376)))/(12*N1376*G1376*COS(RADIANS(E1376))^2+L1376*G1376^3*SIN(RADIANS(E1376))^2)</f>
        <v/>
      </c>
      <c r="Q1376" s="28">
        <f>-(6*F1376*J1376*L1376*N1376*SIN(RADIANS(E1376))+6*O1376*N1376*G1376*SIN(RADIANS(E1376))*COS(RADIANS(E1376)))/(12*N1376*COS(RADIANS(E1376))^2+L1376*G1376^2*SIN(RADIANS(E1376))^2)</f>
        <v/>
      </c>
      <c r="R1376" s="28">
        <f>-P1376*SIN(RADIANS(E1376))</f>
        <v/>
      </c>
      <c r="S1376" s="8">
        <f>(O1376+P1376*COS(RADIANS(E1376)))/L1376</f>
        <v/>
      </c>
      <c r="T1376" s="8">
        <f>R1376/L1376</f>
        <v/>
      </c>
      <c r="U1376" s="8">
        <f>(Q1376-P1376*G1376*SIN(RADIANS(E1376)))/M1376</f>
        <v/>
      </c>
      <c r="V1376" s="8">
        <f>SQRT((S1376+U1376)^2+3*T1376^2)</f>
        <v/>
      </c>
      <c r="W1376" s="8">
        <f>V1376/AA1376</f>
        <v/>
      </c>
      <c r="X1376" s="27">
        <f>((3*10+H1376/COS(RADIANS(E1376)))*(3+3)+3*G1376*H1376)*2</f>
        <v/>
      </c>
      <c r="Y1376" s="28">
        <f>Z1376/X1376</f>
        <v/>
      </c>
      <c r="Z1376" s="29" t="n">
        <v>739.549773187661</v>
      </c>
      <c r="AA1376" s="20" t="n">
        <v>38.4532233780753</v>
      </c>
      <c r="AB1376" t="n">
        <v>0.1462465774523655</v>
      </c>
      <c r="AC1376" t="n">
        <v>39.24503094925876</v>
      </c>
      <c r="AD1376" t="n">
        <v>54.02415792864679</v>
      </c>
    </row>
    <row r="1377">
      <c r="A1377" t="n">
        <v>1376</v>
      </c>
      <c r="B1377" t="n">
        <v>85.8</v>
      </c>
      <c r="C1377" s="21">
        <f>B1377-20</f>
        <v/>
      </c>
      <c r="D1377" t="n">
        <v>126.9</v>
      </c>
      <c r="E1377" s="22">
        <f>D1377-90</f>
        <v/>
      </c>
      <c r="F1377" s="23" t="n">
        <v>0.016618</v>
      </c>
      <c r="G1377" s="22" t="n">
        <v>20.2</v>
      </c>
      <c r="H1377" s="22" t="n">
        <v>1.6</v>
      </c>
      <c r="I1377" s="24" t="n">
        <v>0.07684934139251701</v>
      </c>
      <c r="J1377" s="6" t="n">
        <v>71000</v>
      </c>
      <c r="K1377" s="25">
        <f>23*10^-6</f>
        <v/>
      </c>
      <c r="L1377" s="8">
        <f>H1377</f>
        <v/>
      </c>
      <c r="M1377" s="26">
        <f>H1377^2/6</f>
        <v/>
      </c>
      <c r="N1377" s="26">
        <f>H1377^3/12</f>
        <v/>
      </c>
      <c r="O1377" s="27">
        <f>-J1377*L1377*K1377*C1377</f>
        <v/>
      </c>
      <c r="P1377" s="28">
        <f>-(12*F1377*J1377*L1377*N1377+12*O1377*N1377*G1377*COS(RADIANS(E1377)))/(12*N1377*G1377*COS(RADIANS(E1377))^2+L1377*G1377^3*SIN(RADIANS(E1377))^2)</f>
        <v/>
      </c>
      <c r="Q1377" s="28">
        <f>-(6*F1377*J1377*L1377*N1377*SIN(RADIANS(E1377))+6*O1377*N1377*G1377*SIN(RADIANS(E1377))*COS(RADIANS(E1377)))/(12*N1377*COS(RADIANS(E1377))^2+L1377*G1377^2*SIN(RADIANS(E1377))^2)</f>
        <v/>
      </c>
      <c r="R1377" s="28">
        <f>-P1377*SIN(RADIANS(E1377))</f>
        <v/>
      </c>
      <c r="S1377" s="8">
        <f>(O1377+P1377*COS(RADIANS(E1377)))/L1377</f>
        <v/>
      </c>
      <c r="T1377" s="8">
        <f>R1377/L1377</f>
        <v/>
      </c>
      <c r="U1377" s="8">
        <f>(Q1377-P1377*G1377*SIN(RADIANS(E1377)))/M1377</f>
        <v/>
      </c>
      <c r="V1377" s="8">
        <f>SQRT((S1377+U1377)^2+3*T1377^2)</f>
        <v/>
      </c>
      <c r="W1377" s="8">
        <f>V1377/AA1377</f>
        <v/>
      </c>
      <c r="X1377" s="27">
        <f>((3*10+H1377/COS(RADIANS(E1377)))*(3+3)+3*G1377*H1377)*2</f>
        <v/>
      </c>
      <c r="Y1377" s="28">
        <f>Z1377/X1377</f>
        <v/>
      </c>
      <c r="Z1377" s="29" t="n">
        <v>587.374923331343</v>
      </c>
      <c r="AA1377" s="20" t="n">
        <v>103.414289381533</v>
      </c>
      <c r="AB1377" t="n">
        <v>0.07210705889966618</v>
      </c>
      <c r="AC1377" t="n">
        <v>96.92540093591893</v>
      </c>
      <c r="AD1377" t="n">
        <v>-6.170882413460211</v>
      </c>
    </row>
    <row r="1378">
      <c r="A1378" t="n">
        <v>1377</v>
      </c>
      <c r="B1378" t="n">
        <v>81.90000000000001</v>
      </c>
      <c r="C1378" s="21">
        <f>B1378-20</f>
        <v/>
      </c>
      <c r="D1378" t="n">
        <v>124.6</v>
      </c>
      <c r="E1378" s="22">
        <f>D1378-90</f>
        <v/>
      </c>
      <c r="F1378" s="23" t="n">
        <v>0.017477</v>
      </c>
      <c r="G1378" s="22" t="n">
        <v>22.8</v>
      </c>
      <c r="H1378" s="22" t="n">
        <v>1.1</v>
      </c>
      <c r="I1378" s="24" t="n">
        <v>0.0805467814207077</v>
      </c>
      <c r="J1378" s="6" t="n">
        <v>71000</v>
      </c>
      <c r="K1378" s="25">
        <f>23*10^-6</f>
        <v/>
      </c>
      <c r="L1378" s="8">
        <f>H1378</f>
        <v/>
      </c>
      <c r="M1378" s="26">
        <f>H1378^2/6</f>
        <v/>
      </c>
      <c r="N1378" s="26">
        <f>H1378^3/12</f>
        <v/>
      </c>
      <c r="O1378" s="27">
        <f>-J1378*L1378*K1378*C1378</f>
        <v/>
      </c>
      <c r="P1378" s="28">
        <f>-(12*F1378*J1378*L1378*N1378+12*O1378*N1378*G1378*COS(RADIANS(E1378)))/(12*N1378*G1378*COS(RADIANS(E1378))^2+L1378*G1378^3*SIN(RADIANS(E1378))^2)</f>
        <v/>
      </c>
      <c r="Q1378" s="28">
        <f>-(6*F1378*J1378*L1378*N1378*SIN(RADIANS(E1378))+6*O1378*N1378*G1378*SIN(RADIANS(E1378))*COS(RADIANS(E1378)))/(12*N1378*COS(RADIANS(E1378))^2+L1378*G1378^2*SIN(RADIANS(E1378))^2)</f>
        <v/>
      </c>
      <c r="R1378" s="28">
        <f>-P1378*SIN(RADIANS(E1378))</f>
        <v/>
      </c>
      <c r="S1378" s="8">
        <f>(O1378+P1378*COS(RADIANS(E1378)))/L1378</f>
        <v/>
      </c>
      <c r="T1378" s="8">
        <f>R1378/L1378</f>
        <v/>
      </c>
      <c r="U1378" s="8">
        <f>(Q1378-P1378*G1378*SIN(RADIANS(E1378)))/M1378</f>
        <v/>
      </c>
      <c r="V1378" s="8">
        <f>SQRT((S1378+U1378)^2+3*T1378^2)</f>
        <v/>
      </c>
      <c r="W1378" s="8">
        <f>V1378/AA1378</f>
        <v/>
      </c>
      <c r="X1378" s="27">
        <f>((3*10+H1378/COS(RADIANS(E1378)))*(3+3)+3*G1378*H1378)*2</f>
        <v/>
      </c>
      <c r="Y1378" s="28">
        <f>Z1378/X1378</f>
        <v/>
      </c>
      <c r="Z1378" s="29" t="n">
        <v>535.106627073537</v>
      </c>
      <c r="AA1378" s="20" t="n">
        <v>85.53633808621881</v>
      </c>
      <c r="AB1378" t="n">
        <v>0.08203901204482469</v>
      </c>
      <c r="AC1378" t="n">
        <v>89.00339890688672</v>
      </c>
      <c r="AD1378" t="n">
        <v>1.852626011612867</v>
      </c>
    </row>
    <row r="1379">
      <c r="A1379" t="n">
        <v>1378</v>
      </c>
      <c r="B1379" t="n">
        <v>51.7</v>
      </c>
      <c r="C1379" s="21">
        <f>B1379-20</f>
        <v/>
      </c>
      <c r="D1379" t="n">
        <v>109.2</v>
      </c>
      <c r="E1379" s="22">
        <f>D1379-90</f>
        <v/>
      </c>
      <c r="F1379" s="23" t="n">
        <v>0.012509</v>
      </c>
      <c r="G1379" s="22" t="n">
        <v>30.3</v>
      </c>
      <c r="H1379" s="22" t="n">
        <v>1.8</v>
      </c>
      <c r="I1379" s="24" t="n">
        <v>0.0743725225329399</v>
      </c>
      <c r="J1379" s="6" t="n">
        <v>71000</v>
      </c>
      <c r="K1379" s="25">
        <f>23*10^-6</f>
        <v/>
      </c>
      <c r="L1379" s="8">
        <f>H1379</f>
        <v/>
      </c>
      <c r="M1379" s="26">
        <f>H1379^2/6</f>
        <v/>
      </c>
      <c r="N1379" s="26">
        <f>H1379^3/12</f>
        <v/>
      </c>
      <c r="O1379" s="27">
        <f>-J1379*L1379*K1379*C1379</f>
        <v/>
      </c>
      <c r="P1379" s="28">
        <f>-(12*F1379*J1379*L1379*N1379+12*O1379*N1379*G1379*COS(RADIANS(E1379)))/(12*N1379*G1379*COS(RADIANS(E1379))^2+L1379*G1379^3*SIN(RADIANS(E1379))^2)</f>
        <v/>
      </c>
      <c r="Q1379" s="28">
        <f>-(6*F1379*J1379*L1379*N1379*SIN(RADIANS(E1379))+6*O1379*N1379*G1379*SIN(RADIANS(E1379))*COS(RADIANS(E1379)))/(12*N1379*COS(RADIANS(E1379))^2+L1379*G1379^2*SIN(RADIANS(E1379))^2)</f>
        <v/>
      </c>
      <c r="R1379" s="28">
        <f>-P1379*SIN(RADIANS(E1379))</f>
        <v/>
      </c>
      <c r="S1379" s="8">
        <f>(O1379+P1379*COS(RADIANS(E1379)))/L1379</f>
        <v/>
      </c>
      <c r="T1379" s="8">
        <f>R1379/L1379</f>
        <v/>
      </c>
      <c r="U1379" s="8">
        <f>(Q1379-P1379*G1379*SIN(RADIANS(E1379)))/M1379</f>
        <v/>
      </c>
      <c r="V1379" s="8">
        <f>SQRT((S1379+U1379)^2+3*T1379^2)</f>
        <v/>
      </c>
      <c r="W1379" s="8">
        <f>V1379/AA1379</f>
        <v/>
      </c>
      <c r="X1379" s="27">
        <f>((3*10+H1379/COS(RADIANS(E1379)))*(3+3)+3*G1379*H1379)*2</f>
        <v/>
      </c>
      <c r="Y1379" s="28">
        <f>Z1379/X1379</f>
        <v/>
      </c>
      <c r="Z1379" s="29" t="n">
        <v>714.959462700734</v>
      </c>
      <c r="AA1379" s="20" t="n">
        <v>51.4797613138204</v>
      </c>
      <c r="AB1379" t="n">
        <v>0.1000578061198668</v>
      </c>
      <c r="AC1379" t="n">
        <v>50.57390928522128</v>
      </c>
      <c r="AD1379" t="n">
        <v>34.5359854851646</v>
      </c>
    </row>
    <row r="1380">
      <c r="A1380" t="n">
        <v>1379</v>
      </c>
      <c r="B1380" t="n">
        <v>54.6</v>
      </c>
      <c r="C1380" s="21">
        <f>B1380-20</f>
        <v/>
      </c>
      <c r="D1380" t="n">
        <v>101.5</v>
      </c>
      <c r="E1380" s="22">
        <f>D1380-90</f>
        <v/>
      </c>
      <c r="F1380" s="23" t="n">
        <v>0.012494</v>
      </c>
      <c r="G1380" s="22" t="n">
        <v>26.2</v>
      </c>
      <c r="H1380" s="22" t="n">
        <v>1.5</v>
      </c>
      <c r="I1380" s="24" t="n">
        <v>0.107331551611423</v>
      </c>
      <c r="J1380" s="6" t="n">
        <v>71000</v>
      </c>
      <c r="K1380" s="25">
        <f>23*10^-6</f>
        <v/>
      </c>
      <c r="L1380" s="8">
        <f>H1380</f>
        <v/>
      </c>
      <c r="M1380" s="26">
        <f>H1380^2/6</f>
        <v/>
      </c>
      <c r="N1380" s="26">
        <f>H1380^3/12</f>
        <v/>
      </c>
      <c r="O1380" s="27">
        <f>-J1380*L1380*K1380*C1380</f>
        <v/>
      </c>
      <c r="P1380" s="28">
        <f>-(12*F1380*J1380*L1380*N1380+12*O1380*N1380*G1380*COS(RADIANS(E1380)))/(12*N1380*G1380*COS(RADIANS(E1380))^2+L1380*G1380^3*SIN(RADIANS(E1380))^2)</f>
        <v/>
      </c>
      <c r="Q1380" s="28">
        <f>-(6*F1380*J1380*L1380*N1380*SIN(RADIANS(E1380))+6*O1380*N1380*G1380*SIN(RADIANS(E1380))*COS(RADIANS(E1380)))/(12*N1380*COS(RADIANS(E1380))^2+L1380*G1380^2*SIN(RADIANS(E1380))^2)</f>
        <v/>
      </c>
      <c r="R1380" s="28">
        <f>-P1380*SIN(RADIANS(E1380))</f>
        <v/>
      </c>
      <c r="S1380" s="8">
        <f>(O1380+P1380*COS(RADIANS(E1380)))/L1380</f>
        <v/>
      </c>
      <c r="T1380" s="8">
        <f>R1380/L1380</f>
        <v/>
      </c>
      <c r="U1380" s="8">
        <f>(Q1380-P1380*G1380*SIN(RADIANS(E1380)))/M1380</f>
        <v/>
      </c>
      <c r="V1380" s="8">
        <f>SQRT((S1380+U1380)^2+3*T1380^2)</f>
        <v/>
      </c>
      <c r="W1380" s="8">
        <f>V1380/AA1380</f>
        <v/>
      </c>
      <c r="X1380" s="27">
        <f>((3*10+H1380/COS(RADIANS(E1380)))*(3+3)+3*G1380*H1380)*2</f>
        <v/>
      </c>
      <c r="Y1380" s="28">
        <f>Z1380/X1380</f>
        <v/>
      </c>
      <c r="Z1380" s="29" t="n">
        <v>618.094065296634</v>
      </c>
      <c r="AA1380" s="20" t="n">
        <v>57.346647799137</v>
      </c>
      <c r="AB1380" t="n">
        <v>0.1536216936872606</v>
      </c>
      <c r="AC1380" t="n">
        <v>59.27274841005502</v>
      </c>
      <c r="AD1380" t="n">
        <v>43.12817748449569</v>
      </c>
    </row>
    <row r="1381">
      <c r="A1381" t="n">
        <v>1380</v>
      </c>
      <c r="B1381" t="n">
        <v>57.8</v>
      </c>
      <c r="C1381" s="21">
        <f>B1381-20</f>
        <v/>
      </c>
      <c r="D1381" t="n">
        <v>126</v>
      </c>
      <c r="E1381" s="22">
        <f>D1381-90</f>
        <v/>
      </c>
      <c r="F1381" s="23" t="n">
        <v>0.013567</v>
      </c>
      <c r="G1381" s="22" t="n">
        <v>31.5</v>
      </c>
      <c r="H1381" s="22" t="n">
        <v>1.6</v>
      </c>
      <c r="I1381" s="24" t="n">
        <v>0.0590236894786357</v>
      </c>
      <c r="J1381" s="6" t="n">
        <v>71000</v>
      </c>
      <c r="K1381" s="25">
        <f>23*10^-6</f>
        <v/>
      </c>
      <c r="L1381" s="8">
        <f>H1381</f>
        <v/>
      </c>
      <c r="M1381" s="26">
        <f>H1381^2/6</f>
        <v/>
      </c>
      <c r="N1381" s="26">
        <f>H1381^3/12</f>
        <v/>
      </c>
      <c r="O1381" s="27">
        <f>-J1381*L1381*K1381*C1381</f>
        <v/>
      </c>
      <c r="P1381" s="28">
        <f>-(12*F1381*J1381*L1381*N1381+12*O1381*N1381*G1381*COS(RADIANS(E1381)))/(12*N1381*G1381*COS(RADIANS(E1381))^2+L1381*G1381^3*SIN(RADIANS(E1381))^2)</f>
        <v/>
      </c>
      <c r="Q1381" s="28">
        <f>-(6*F1381*J1381*L1381*N1381*SIN(RADIANS(E1381))+6*O1381*N1381*G1381*SIN(RADIANS(E1381))*COS(RADIANS(E1381)))/(12*N1381*COS(RADIANS(E1381))^2+L1381*G1381^2*SIN(RADIANS(E1381))^2)</f>
        <v/>
      </c>
      <c r="R1381" s="28">
        <f>-P1381*SIN(RADIANS(E1381))</f>
        <v/>
      </c>
      <c r="S1381" s="8">
        <f>(O1381+P1381*COS(RADIANS(E1381)))/L1381</f>
        <v/>
      </c>
      <c r="T1381" s="8">
        <f>R1381/L1381</f>
        <v/>
      </c>
      <c r="U1381" s="8">
        <f>(Q1381-P1381*G1381*SIN(RADIANS(E1381)))/M1381</f>
        <v/>
      </c>
      <c r="V1381" s="8">
        <f>SQRT((S1381+U1381)^2+3*T1381^2)</f>
        <v/>
      </c>
      <c r="W1381" s="8">
        <f>V1381/AA1381</f>
        <v/>
      </c>
      <c r="X1381" s="27">
        <f>((3*10+H1381/COS(RADIANS(E1381)))*(3+3)+3*G1381*H1381)*2</f>
        <v/>
      </c>
      <c r="Y1381" s="28">
        <f>Z1381/X1381</f>
        <v/>
      </c>
      <c r="Z1381" s="29" t="n">
        <v>695.231766013634</v>
      </c>
      <c r="AA1381" s="20" t="n">
        <v>55.4530997902726</v>
      </c>
      <c r="AB1381" t="n">
        <v>0.06490014372134681</v>
      </c>
      <c r="AC1381" t="n">
        <v>54.78207957121545</v>
      </c>
      <c r="AD1381" t="n">
        <v>9.956094399754798</v>
      </c>
    </row>
    <row r="1382">
      <c r="A1382" t="n">
        <v>1381</v>
      </c>
      <c r="B1382" t="n">
        <v>82.90000000000001</v>
      </c>
      <c r="C1382" s="21">
        <f>B1382-20</f>
        <v/>
      </c>
      <c r="D1382" t="n">
        <v>126.8</v>
      </c>
      <c r="E1382" s="22">
        <f>D1382-90</f>
        <v/>
      </c>
      <c r="F1382" s="23" t="n">
        <v>0.023824</v>
      </c>
      <c r="G1382" s="22" t="n">
        <v>34</v>
      </c>
      <c r="H1382" s="22" t="n">
        <v>1.2</v>
      </c>
      <c r="I1382" s="24" t="n">
        <v>0.101816721260547</v>
      </c>
      <c r="J1382" s="6" t="n">
        <v>71000</v>
      </c>
      <c r="K1382" s="25">
        <f>23*10^-6</f>
        <v/>
      </c>
      <c r="L1382" s="8">
        <f>H1382</f>
        <v/>
      </c>
      <c r="M1382" s="26">
        <f>H1382^2/6</f>
        <v/>
      </c>
      <c r="N1382" s="26">
        <f>H1382^3/12</f>
        <v/>
      </c>
      <c r="O1382" s="27">
        <f>-J1382*L1382*K1382*C1382</f>
        <v/>
      </c>
      <c r="P1382" s="28">
        <f>-(12*F1382*J1382*L1382*N1382+12*O1382*N1382*G1382*COS(RADIANS(E1382)))/(12*N1382*G1382*COS(RADIANS(E1382))^2+L1382*G1382^3*SIN(RADIANS(E1382))^2)</f>
        <v/>
      </c>
      <c r="Q1382" s="28">
        <f>-(6*F1382*J1382*L1382*N1382*SIN(RADIANS(E1382))+6*O1382*N1382*G1382*SIN(RADIANS(E1382))*COS(RADIANS(E1382)))/(12*N1382*COS(RADIANS(E1382))^2+L1382*G1382^2*SIN(RADIANS(E1382))^2)</f>
        <v/>
      </c>
      <c r="R1382" s="28">
        <f>-P1382*SIN(RADIANS(E1382))</f>
        <v/>
      </c>
      <c r="S1382" s="8">
        <f>(O1382+P1382*COS(RADIANS(E1382)))/L1382</f>
        <v/>
      </c>
      <c r="T1382" s="8">
        <f>R1382/L1382</f>
        <v/>
      </c>
      <c r="U1382" s="8">
        <f>(Q1382-P1382*G1382*SIN(RADIANS(E1382)))/M1382</f>
        <v/>
      </c>
      <c r="V1382" s="8">
        <f>SQRT((S1382+U1382)^2+3*T1382^2)</f>
        <v/>
      </c>
      <c r="W1382" s="8">
        <f>V1382/AA1382</f>
        <v/>
      </c>
      <c r="X1382" s="27">
        <f>((3*10+H1382/COS(RADIANS(E1382)))*(3+3)+3*G1382*H1382)*2</f>
        <v/>
      </c>
      <c r="Y1382" s="28">
        <f>Z1382/X1382</f>
        <v/>
      </c>
      <c r="Z1382" s="29" t="n">
        <v>632.189787209834</v>
      </c>
      <c r="AA1382" s="20" t="n">
        <v>83.6624247247096</v>
      </c>
      <c r="AB1382" t="n">
        <v>0.1136671153845066</v>
      </c>
      <c r="AC1382" t="n">
        <v>89.12219134156443</v>
      </c>
      <c r="AD1382" t="n">
        <v>11.63894690110347</v>
      </c>
    </row>
    <row r="1383">
      <c r="A1383" t="n">
        <v>1382</v>
      </c>
      <c r="B1383" t="n">
        <v>78.90000000000001</v>
      </c>
      <c r="C1383" s="21">
        <f>B1383-20</f>
        <v/>
      </c>
      <c r="D1383" t="n">
        <v>115.9</v>
      </c>
      <c r="E1383" s="22">
        <f>D1383-90</f>
        <v/>
      </c>
      <c r="F1383" s="23" t="n">
        <v>0.018767</v>
      </c>
      <c r="G1383" s="22" t="n">
        <v>24.4</v>
      </c>
      <c r="H1383" s="22" t="n">
        <v>1.4</v>
      </c>
      <c r="I1383" s="24" t="n">
        <v>0.0966025963425636</v>
      </c>
      <c r="J1383" s="6" t="n">
        <v>71000</v>
      </c>
      <c r="K1383" s="25">
        <f>23*10^-6</f>
        <v/>
      </c>
      <c r="L1383" s="8">
        <f>H1383</f>
        <v/>
      </c>
      <c r="M1383" s="26">
        <f>H1383^2/6</f>
        <v/>
      </c>
      <c r="N1383" s="26">
        <f>H1383^3/12</f>
        <v/>
      </c>
      <c r="O1383" s="27">
        <f>-J1383*L1383*K1383*C1383</f>
        <v/>
      </c>
      <c r="P1383" s="28">
        <f>-(12*F1383*J1383*L1383*N1383+12*O1383*N1383*G1383*COS(RADIANS(E1383)))/(12*N1383*G1383*COS(RADIANS(E1383))^2+L1383*G1383^3*SIN(RADIANS(E1383))^2)</f>
        <v/>
      </c>
      <c r="Q1383" s="28">
        <f>-(6*F1383*J1383*L1383*N1383*SIN(RADIANS(E1383))+6*O1383*N1383*G1383*SIN(RADIANS(E1383))*COS(RADIANS(E1383)))/(12*N1383*COS(RADIANS(E1383))^2+L1383*G1383^2*SIN(RADIANS(E1383))^2)</f>
        <v/>
      </c>
      <c r="R1383" s="28">
        <f>-P1383*SIN(RADIANS(E1383))</f>
        <v/>
      </c>
      <c r="S1383" s="8">
        <f>(O1383+P1383*COS(RADIANS(E1383)))/L1383</f>
        <v/>
      </c>
      <c r="T1383" s="8">
        <f>R1383/L1383</f>
        <v/>
      </c>
      <c r="U1383" s="8">
        <f>(Q1383-P1383*G1383*SIN(RADIANS(E1383)))/M1383</f>
        <v/>
      </c>
      <c r="V1383" s="8">
        <f>SQRT((S1383+U1383)^2+3*T1383^2)</f>
        <v/>
      </c>
      <c r="W1383" s="8">
        <f>V1383/AA1383</f>
        <v/>
      </c>
      <c r="X1383" s="27">
        <f>((3*10+H1383/COS(RADIANS(E1383)))*(3+3)+3*G1383*H1383)*2</f>
        <v/>
      </c>
      <c r="Y1383" s="28">
        <f>Z1383/X1383</f>
        <v/>
      </c>
      <c r="Z1383" s="29" t="n">
        <v>589.749248507059</v>
      </c>
      <c r="AA1383" s="20" t="n">
        <v>88.5810943412387</v>
      </c>
      <c r="AB1383" t="n">
        <v>0.1126232272559103</v>
      </c>
      <c r="AC1383" t="n">
        <v>88.91029118703823</v>
      </c>
      <c r="AD1383" t="n">
        <v>16.58405831716544</v>
      </c>
    </row>
    <row r="1384">
      <c r="A1384" t="n">
        <v>1383</v>
      </c>
      <c r="B1384" t="n">
        <v>80.59999999999999</v>
      </c>
      <c r="C1384" s="21">
        <f>B1384-20</f>
        <v/>
      </c>
      <c r="D1384" t="n">
        <v>128.6</v>
      </c>
      <c r="E1384" s="22">
        <f>D1384-90</f>
        <v/>
      </c>
      <c r="F1384" s="23" t="n">
        <v>0.021152</v>
      </c>
      <c r="G1384" s="22" t="n">
        <v>31.5</v>
      </c>
      <c r="H1384" s="22" t="n">
        <v>1.8</v>
      </c>
      <c r="I1384" s="24" t="n">
        <v>0.09080164879560471</v>
      </c>
      <c r="J1384" s="6" t="n">
        <v>71000</v>
      </c>
      <c r="K1384" s="25">
        <f>23*10^-6</f>
        <v/>
      </c>
      <c r="L1384" s="8">
        <f>H1384</f>
        <v/>
      </c>
      <c r="M1384" s="26">
        <f>H1384^2/6</f>
        <v/>
      </c>
      <c r="N1384" s="26">
        <f>H1384^3/12</f>
        <v/>
      </c>
      <c r="O1384" s="27">
        <f>-J1384*L1384*K1384*C1384</f>
        <v/>
      </c>
      <c r="P1384" s="28">
        <f>-(12*F1384*J1384*L1384*N1384+12*O1384*N1384*G1384*COS(RADIANS(E1384)))/(12*N1384*G1384*COS(RADIANS(E1384))^2+L1384*G1384^3*SIN(RADIANS(E1384))^2)</f>
        <v/>
      </c>
      <c r="Q1384" s="28">
        <f>-(6*F1384*J1384*L1384*N1384*SIN(RADIANS(E1384))+6*O1384*N1384*G1384*SIN(RADIANS(E1384))*COS(RADIANS(E1384)))/(12*N1384*COS(RADIANS(E1384))^2+L1384*G1384^2*SIN(RADIANS(E1384))^2)</f>
        <v/>
      </c>
      <c r="R1384" s="28">
        <f>-P1384*SIN(RADIANS(E1384))</f>
        <v/>
      </c>
      <c r="S1384" s="8">
        <f>(O1384+P1384*COS(RADIANS(E1384)))/L1384</f>
        <v/>
      </c>
      <c r="T1384" s="8">
        <f>R1384/L1384</f>
        <v/>
      </c>
      <c r="U1384" s="8">
        <f>(Q1384-P1384*G1384*SIN(RADIANS(E1384)))/M1384</f>
        <v/>
      </c>
      <c r="V1384" s="8">
        <f>SQRT((S1384+U1384)^2+3*T1384^2)</f>
        <v/>
      </c>
      <c r="W1384" s="8">
        <f>V1384/AA1384</f>
        <v/>
      </c>
      <c r="X1384" s="27">
        <f>((3*10+H1384/COS(RADIANS(E1384)))*(3+3)+3*G1384*H1384)*2</f>
        <v/>
      </c>
      <c r="Y1384" s="28">
        <f>Z1384/X1384</f>
        <v/>
      </c>
      <c r="Z1384" s="29" t="n">
        <v>737.981429103372</v>
      </c>
      <c r="AA1384" s="20" t="n">
        <v>90.8012723863779</v>
      </c>
      <c r="AB1384" t="n">
        <v>0.09629050547588358</v>
      </c>
      <c r="AC1384" t="n">
        <v>87.90396160257164</v>
      </c>
      <c r="AD1384" t="n">
        <v>6.044886577593254</v>
      </c>
    </row>
    <row r="1385">
      <c r="A1385" t="n">
        <v>1384</v>
      </c>
      <c r="B1385" t="n">
        <v>54.8</v>
      </c>
      <c r="C1385" s="21">
        <f>B1385-20</f>
        <v/>
      </c>
      <c r="D1385" t="n">
        <v>128.6</v>
      </c>
      <c r="E1385" s="22">
        <f>D1385-90</f>
        <v/>
      </c>
      <c r="F1385" s="23" t="n">
        <v>0.009294</v>
      </c>
      <c r="G1385" s="22" t="n">
        <v>22.3</v>
      </c>
      <c r="H1385" s="22" t="n">
        <v>1.4</v>
      </c>
      <c r="I1385" s="24" t="n">
        <v>0.0418991185724735</v>
      </c>
      <c r="J1385" s="6" t="n">
        <v>71000</v>
      </c>
      <c r="K1385" s="25">
        <f>23*10^-6</f>
        <v/>
      </c>
      <c r="L1385" s="8">
        <f>H1385</f>
        <v/>
      </c>
      <c r="M1385" s="26">
        <f>H1385^2/6</f>
        <v/>
      </c>
      <c r="N1385" s="26">
        <f>H1385^3/12</f>
        <v/>
      </c>
      <c r="O1385" s="27">
        <f>-J1385*L1385*K1385*C1385</f>
        <v/>
      </c>
      <c r="P1385" s="28">
        <f>-(12*F1385*J1385*L1385*N1385+12*O1385*N1385*G1385*COS(RADIANS(E1385)))/(12*N1385*G1385*COS(RADIANS(E1385))^2+L1385*G1385^3*SIN(RADIANS(E1385))^2)</f>
        <v/>
      </c>
      <c r="Q1385" s="28">
        <f>-(6*F1385*J1385*L1385*N1385*SIN(RADIANS(E1385))+6*O1385*N1385*G1385*SIN(RADIANS(E1385))*COS(RADIANS(E1385)))/(12*N1385*COS(RADIANS(E1385))^2+L1385*G1385^2*SIN(RADIANS(E1385))^2)</f>
        <v/>
      </c>
      <c r="R1385" s="28">
        <f>-P1385*SIN(RADIANS(E1385))</f>
        <v/>
      </c>
      <c r="S1385" s="8">
        <f>(O1385+P1385*COS(RADIANS(E1385)))/L1385</f>
        <v/>
      </c>
      <c r="T1385" s="8">
        <f>R1385/L1385</f>
        <v/>
      </c>
      <c r="U1385" s="8">
        <f>(Q1385-P1385*G1385*SIN(RADIANS(E1385)))/M1385</f>
        <v/>
      </c>
      <c r="V1385" s="8">
        <f>SQRT((S1385+U1385)^2+3*T1385^2)</f>
        <v/>
      </c>
      <c r="W1385" s="8">
        <f>V1385/AA1385</f>
        <v/>
      </c>
      <c r="X1385" s="27">
        <f>((3*10+H1385/COS(RADIANS(E1385)))*(3+3)+3*G1385*H1385)*2</f>
        <v/>
      </c>
      <c r="Y1385" s="28">
        <f>Z1385/X1385</f>
        <v/>
      </c>
      <c r="Z1385" s="29" t="n">
        <v>578.959555448875</v>
      </c>
      <c r="AA1385" s="20" t="n">
        <v>51.2719591905363</v>
      </c>
      <c r="AB1385" t="n">
        <v>0.03995932242188655</v>
      </c>
      <c r="AC1385" t="n">
        <v>50.30224511625228</v>
      </c>
      <c r="AD1385" t="n">
        <v>-4.629682477047006</v>
      </c>
    </row>
    <row r="1386">
      <c r="A1386" t="n">
        <v>1385</v>
      </c>
      <c r="B1386" t="n">
        <v>42.9</v>
      </c>
      <c r="C1386" s="21">
        <f>B1386-20</f>
        <v/>
      </c>
      <c r="D1386" t="n">
        <v>114.9</v>
      </c>
      <c r="E1386" s="22">
        <f>D1386-90</f>
        <v/>
      </c>
      <c r="F1386" s="23" t="n">
        <v>0.007983000000000001</v>
      </c>
      <c r="G1386" s="22" t="n">
        <v>27.1</v>
      </c>
      <c r="H1386" s="22" t="n">
        <v>1.7</v>
      </c>
      <c r="I1386" s="24" t="n">
        <v>0.0412740893661975</v>
      </c>
      <c r="J1386" s="6" t="n">
        <v>71000</v>
      </c>
      <c r="K1386" s="25">
        <f>23*10^-6</f>
        <v/>
      </c>
      <c r="L1386" s="8">
        <f>H1386</f>
        <v/>
      </c>
      <c r="M1386" s="26">
        <f>H1386^2/6</f>
        <v/>
      </c>
      <c r="N1386" s="26">
        <f>H1386^3/12</f>
        <v/>
      </c>
      <c r="O1386" s="27">
        <f>-J1386*L1386*K1386*C1386</f>
        <v/>
      </c>
      <c r="P1386" s="28">
        <f>-(12*F1386*J1386*L1386*N1386+12*O1386*N1386*G1386*COS(RADIANS(E1386)))/(12*N1386*G1386*COS(RADIANS(E1386))^2+L1386*G1386^3*SIN(RADIANS(E1386))^2)</f>
        <v/>
      </c>
      <c r="Q1386" s="28">
        <f>-(6*F1386*J1386*L1386*N1386*SIN(RADIANS(E1386))+6*O1386*N1386*G1386*SIN(RADIANS(E1386))*COS(RADIANS(E1386)))/(12*N1386*COS(RADIANS(E1386))^2+L1386*G1386^2*SIN(RADIANS(E1386))^2)</f>
        <v/>
      </c>
      <c r="R1386" s="28">
        <f>-P1386*SIN(RADIANS(E1386))</f>
        <v/>
      </c>
      <c r="S1386" s="8">
        <f>(O1386+P1386*COS(RADIANS(E1386)))/L1386</f>
        <v/>
      </c>
      <c r="T1386" s="8">
        <f>R1386/L1386</f>
        <v/>
      </c>
      <c r="U1386" s="8">
        <f>(Q1386-P1386*G1386*SIN(RADIANS(E1386)))/M1386</f>
        <v/>
      </c>
      <c r="V1386" s="8">
        <f>SQRT((S1386+U1386)^2+3*T1386^2)</f>
        <v/>
      </c>
      <c r="W1386" s="8">
        <f>V1386/AA1386</f>
        <v/>
      </c>
      <c r="X1386" s="27">
        <f>((3*10+H1386/COS(RADIANS(E1386)))*(3+3)+3*G1386*H1386)*2</f>
        <v/>
      </c>
      <c r="Y1386" s="28">
        <f>Z1386/X1386</f>
        <v/>
      </c>
      <c r="Z1386" s="29" t="n">
        <v>664.803844921414</v>
      </c>
      <c r="AA1386" s="20" t="n">
        <v>36.2571097828743</v>
      </c>
      <c r="AB1386" t="n">
        <v>0.05011697079642496</v>
      </c>
      <c r="AC1386" t="n">
        <v>35.24112434427615</v>
      </c>
      <c r="AD1386" t="n">
        <v>21.42477657537266</v>
      </c>
    </row>
    <row r="1387">
      <c r="A1387" t="n">
        <v>1386</v>
      </c>
      <c r="B1387" t="n">
        <v>80.59999999999999</v>
      </c>
      <c r="C1387" s="21">
        <f>B1387-20</f>
        <v/>
      </c>
      <c r="D1387" t="n">
        <v>112.4</v>
      </c>
      <c r="E1387" s="22">
        <f>D1387-90</f>
        <v/>
      </c>
      <c r="F1387" s="23" t="n">
        <v>0.020815</v>
      </c>
      <c r="G1387" s="22" t="n">
        <v>26.1</v>
      </c>
      <c r="H1387" s="22" t="n">
        <v>1.3</v>
      </c>
      <c r="I1387" s="24" t="n">
        <v>0.115127213299274</v>
      </c>
      <c r="J1387" s="6" t="n">
        <v>71000</v>
      </c>
      <c r="K1387" s="25">
        <f>23*10^-6</f>
        <v/>
      </c>
      <c r="L1387" s="8">
        <f>H1387</f>
        <v/>
      </c>
      <c r="M1387" s="26">
        <f>H1387^2/6</f>
        <v/>
      </c>
      <c r="N1387" s="26">
        <f>H1387^3/12</f>
        <v/>
      </c>
      <c r="O1387" s="27">
        <f>-J1387*L1387*K1387*C1387</f>
        <v/>
      </c>
      <c r="P1387" s="28">
        <f>-(12*F1387*J1387*L1387*N1387+12*O1387*N1387*G1387*COS(RADIANS(E1387)))/(12*N1387*G1387*COS(RADIANS(E1387))^2+L1387*G1387^3*SIN(RADIANS(E1387))^2)</f>
        <v/>
      </c>
      <c r="Q1387" s="28">
        <f>-(6*F1387*J1387*L1387*N1387*SIN(RADIANS(E1387))+6*O1387*N1387*G1387*SIN(RADIANS(E1387))*COS(RADIANS(E1387)))/(12*N1387*COS(RADIANS(E1387))^2+L1387*G1387^2*SIN(RADIANS(E1387))^2)</f>
        <v/>
      </c>
      <c r="R1387" s="28">
        <f>-P1387*SIN(RADIANS(E1387))</f>
        <v/>
      </c>
      <c r="S1387" s="8">
        <f>(O1387+P1387*COS(RADIANS(E1387)))/L1387</f>
        <v/>
      </c>
      <c r="T1387" s="8">
        <f>R1387/L1387</f>
        <v/>
      </c>
      <c r="U1387" s="8">
        <f>(Q1387-P1387*G1387*SIN(RADIANS(E1387)))/M1387</f>
        <v/>
      </c>
      <c r="V1387" s="8">
        <f>SQRT((S1387+U1387)^2+3*T1387^2)</f>
        <v/>
      </c>
      <c r="W1387" s="8">
        <f>V1387/AA1387</f>
        <v/>
      </c>
      <c r="X1387" s="27">
        <f>((3*10+H1387/COS(RADIANS(E1387)))*(3+3)+3*G1387*H1387)*2</f>
        <v/>
      </c>
      <c r="Y1387" s="28">
        <f>Z1387/X1387</f>
        <v/>
      </c>
      <c r="Z1387" s="29" t="n">
        <v>585.84546096603</v>
      </c>
      <c r="AA1387" s="20" t="n">
        <v>89.9842963581184</v>
      </c>
      <c r="AB1387" t="n">
        <v>0.1437408564286277</v>
      </c>
      <c r="AC1387" t="n">
        <v>92.03088952284709</v>
      </c>
      <c r="AD1387" t="n">
        <v>24.85393532020296</v>
      </c>
    </row>
    <row r="1388">
      <c r="A1388" t="n">
        <v>1387</v>
      </c>
      <c r="B1388" t="n">
        <v>70.7</v>
      </c>
      <c r="C1388" s="21">
        <f>B1388-20</f>
        <v/>
      </c>
      <c r="D1388" t="n">
        <v>100.5</v>
      </c>
      <c r="E1388" s="22">
        <f>D1388-90</f>
        <v/>
      </c>
      <c r="F1388" s="23" t="n">
        <v>0.016596</v>
      </c>
      <c r="G1388" s="22" t="n">
        <v>23.1</v>
      </c>
      <c r="H1388" s="22" t="n">
        <v>1.9</v>
      </c>
      <c r="I1388" s="24" t="n">
        <v>0.142701923847198</v>
      </c>
      <c r="J1388" s="6" t="n">
        <v>71000</v>
      </c>
      <c r="K1388" s="25">
        <f>23*10^-6</f>
        <v/>
      </c>
      <c r="L1388" s="8">
        <f>H1388</f>
        <v/>
      </c>
      <c r="M1388" s="26">
        <f>H1388^2/6</f>
        <v/>
      </c>
      <c r="N1388" s="26">
        <f>H1388^3/12</f>
        <v/>
      </c>
      <c r="O1388" s="27">
        <f>-J1388*L1388*K1388*C1388</f>
        <v/>
      </c>
      <c r="P1388" s="28">
        <f>-(12*F1388*J1388*L1388*N1388+12*O1388*N1388*G1388*COS(RADIANS(E1388)))/(12*N1388*G1388*COS(RADIANS(E1388))^2+L1388*G1388^3*SIN(RADIANS(E1388))^2)</f>
        <v/>
      </c>
      <c r="Q1388" s="28">
        <f>-(6*F1388*J1388*L1388*N1388*SIN(RADIANS(E1388))+6*O1388*N1388*G1388*SIN(RADIANS(E1388))*COS(RADIANS(E1388)))/(12*N1388*COS(RADIANS(E1388))^2+L1388*G1388^2*SIN(RADIANS(E1388))^2)</f>
        <v/>
      </c>
      <c r="R1388" s="28">
        <f>-P1388*SIN(RADIANS(E1388))</f>
        <v/>
      </c>
      <c r="S1388" s="8">
        <f>(O1388+P1388*COS(RADIANS(E1388)))/L1388</f>
        <v/>
      </c>
      <c r="T1388" s="8">
        <f>R1388/L1388</f>
        <v/>
      </c>
      <c r="U1388" s="8">
        <f>(Q1388-P1388*G1388*SIN(RADIANS(E1388)))/M1388</f>
        <v/>
      </c>
      <c r="V1388" s="8">
        <f>SQRT((S1388+U1388)^2+3*T1388^2)</f>
        <v/>
      </c>
      <c r="W1388" s="8">
        <f>V1388/AA1388</f>
        <v/>
      </c>
      <c r="X1388" s="27">
        <f>((3*10+H1388/COS(RADIANS(E1388)))*(3+3)+3*G1388*H1388)*2</f>
        <v/>
      </c>
      <c r="Y1388" s="28">
        <f>Z1388/X1388</f>
        <v/>
      </c>
      <c r="Z1388" s="29" t="n">
        <v>650.370645825608</v>
      </c>
      <c r="AA1388" s="20" t="n">
        <v>122.147019046934</v>
      </c>
      <c r="AB1388" t="n">
        <v>0.1977949276667914</v>
      </c>
      <c r="AC1388" t="n">
        <v>92.20566909765186</v>
      </c>
      <c r="AD1388" t="n">
        <v>38.60705051081562</v>
      </c>
    </row>
    <row r="1389">
      <c r="A1389" t="n">
        <v>1388</v>
      </c>
      <c r="B1389" t="n">
        <v>81.40000000000001</v>
      </c>
      <c r="C1389" s="21">
        <f>B1389-20</f>
        <v/>
      </c>
      <c r="D1389" t="n">
        <v>104.9</v>
      </c>
      <c r="E1389" s="22">
        <f>D1389-90</f>
        <v/>
      </c>
      <c r="F1389" s="23" t="n">
        <v>0.019352</v>
      </c>
      <c r="G1389" s="22" t="n">
        <v>22.4</v>
      </c>
      <c r="H1389" s="22" t="n">
        <v>1.2</v>
      </c>
      <c r="I1389" s="24" t="n">
        <v>0.142358273267745</v>
      </c>
      <c r="J1389" s="6" t="n">
        <v>71000</v>
      </c>
      <c r="K1389" s="25">
        <f>23*10^-6</f>
        <v/>
      </c>
      <c r="L1389" s="8">
        <f>H1389</f>
        <v/>
      </c>
      <c r="M1389" s="26">
        <f>H1389^2/6</f>
        <v/>
      </c>
      <c r="N1389" s="26">
        <f>H1389^3/12</f>
        <v/>
      </c>
      <c r="O1389" s="27">
        <f>-J1389*L1389*K1389*C1389</f>
        <v/>
      </c>
      <c r="P1389" s="28">
        <f>-(12*F1389*J1389*L1389*N1389+12*O1389*N1389*G1389*COS(RADIANS(E1389)))/(12*N1389*G1389*COS(RADIANS(E1389))^2+L1389*G1389^3*SIN(RADIANS(E1389))^2)</f>
        <v/>
      </c>
      <c r="Q1389" s="28">
        <f>-(6*F1389*J1389*L1389*N1389*SIN(RADIANS(E1389))+6*O1389*N1389*G1389*SIN(RADIANS(E1389))*COS(RADIANS(E1389)))/(12*N1389*COS(RADIANS(E1389))^2+L1389*G1389^2*SIN(RADIANS(E1389))^2)</f>
        <v/>
      </c>
      <c r="R1389" s="28">
        <f>-P1389*SIN(RADIANS(E1389))</f>
        <v/>
      </c>
      <c r="S1389" s="8">
        <f>(O1389+P1389*COS(RADIANS(E1389)))/L1389</f>
        <v/>
      </c>
      <c r="T1389" s="8">
        <f>R1389/L1389</f>
        <v/>
      </c>
      <c r="U1389" s="8">
        <f>(Q1389-P1389*G1389*SIN(RADIANS(E1389)))/M1389</f>
        <v/>
      </c>
      <c r="V1389" s="8">
        <f>SQRT((S1389+U1389)^2+3*T1389^2)</f>
        <v/>
      </c>
      <c r="W1389" s="8">
        <f>V1389/AA1389</f>
        <v/>
      </c>
      <c r="X1389" s="27">
        <f>((3*10+H1389/COS(RADIANS(E1389)))*(3+3)+3*G1389*H1389)*2</f>
        <v/>
      </c>
      <c r="Y1389" s="28">
        <f>Z1389/X1389</f>
        <v/>
      </c>
      <c r="Z1389" s="29" t="n">
        <v>540.449712285133</v>
      </c>
      <c r="AA1389" s="20" t="n">
        <v>92.77904269061101</v>
      </c>
      <c r="AB1389" t="n">
        <v>0.1879255265265104</v>
      </c>
      <c r="AC1389" t="n">
        <v>98.85699107896409</v>
      </c>
      <c r="AD1389" t="n">
        <v>32.00885499156292</v>
      </c>
    </row>
    <row r="1390">
      <c r="A1390" t="n">
        <v>1389</v>
      </c>
      <c r="B1390" t="n">
        <v>47.6</v>
      </c>
      <c r="C1390" s="21">
        <f>B1390-20</f>
        <v/>
      </c>
      <c r="D1390" t="n">
        <v>118</v>
      </c>
      <c r="E1390" s="22">
        <f>D1390-90</f>
        <v/>
      </c>
      <c r="F1390" s="23" t="n">
        <v>0.007722</v>
      </c>
      <c r="G1390" s="22" t="n">
        <v>21</v>
      </c>
      <c r="H1390" s="22" t="n">
        <v>1.6</v>
      </c>
      <c r="I1390" s="24" t="n">
        <v>0.039102479815483</v>
      </c>
      <c r="J1390" s="6" t="n">
        <v>71000</v>
      </c>
      <c r="K1390" s="25">
        <f>23*10^-6</f>
        <v/>
      </c>
      <c r="L1390" s="8">
        <f>H1390</f>
        <v/>
      </c>
      <c r="M1390" s="26">
        <f>H1390^2/6</f>
        <v/>
      </c>
      <c r="N1390" s="26">
        <f>H1390^3/12</f>
        <v/>
      </c>
      <c r="O1390" s="27">
        <f>-J1390*L1390*K1390*C1390</f>
        <v/>
      </c>
      <c r="P1390" s="28">
        <f>-(12*F1390*J1390*L1390*N1390+12*O1390*N1390*G1390*COS(RADIANS(E1390)))/(12*N1390*G1390*COS(RADIANS(E1390))^2+L1390*G1390^3*SIN(RADIANS(E1390))^2)</f>
        <v/>
      </c>
      <c r="Q1390" s="28">
        <f>-(6*F1390*J1390*L1390*N1390*SIN(RADIANS(E1390))+6*O1390*N1390*G1390*SIN(RADIANS(E1390))*COS(RADIANS(E1390)))/(12*N1390*COS(RADIANS(E1390))^2+L1390*G1390^2*SIN(RADIANS(E1390))^2)</f>
        <v/>
      </c>
      <c r="R1390" s="28">
        <f>-P1390*SIN(RADIANS(E1390))</f>
        <v/>
      </c>
      <c r="S1390" s="8">
        <f>(O1390+P1390*COS(RADIANS(E1390)))/L1390</f>
        <v/>
      </c>
      <c r="T1390" s="8">
        <f>R1390/L1390</f>
        <v/>
      </c>
      <c r="U1390" s="8">
        <f>(Q1390-P1390*G1390*SIN(RADIANS(E1390)))/M1390</f>
        <v/>
      </c>
      <c r="V1390" s="8">
        <f>SQRT((S1390+U1390)^2+3*T1390^2)</f>
        <v/>
      </c>
      <c r="W1390" s="8">
        <f>V1390/AA1390</f>
        <v/>
      </c>
      <c r="X1390" s="27">
        <f>((3*10+H1390/COS(RADIANS(E1390)))*(3+3)+3*G1390*H1390)*2</f>
        <v/>
      </c>
      <c r="Y1390" s="28">
        <f>Z1390/X1390</f>
        <v/>
      </c>
      <c r="Z1390" s="29" t="n">
        <v>589.960655575406</v>
      </c>
      <c r="AA1390" s="20" t="n">
        <v>44.021723969419</v>
      </c>
      <c r="AB1390" t="n">
        <v>0.04197192840232105</v>
      </c>
      <c r="AC1390" t="n">
        <v>42.18520645183605</v>
      </c>
      <c r="AD1390" t="n">
        <v>7.338277777722581</v>
      </c>
    </row>
    <row r="1391">
      <c r="A1391" t="n">
        <v>1390</v>
      </c>
      <c r="B1391" t="n">
        <v>74.59999999999999</v>
      </c>
      <c r="C1391" s="21">
        <f>B1391-20</f>
        <v/>
      </c>
      <c r="D1391" t="n">
        <v>107.6</v>
      </c>
      <c r="E1391" s="22">
        <f>D1391-90</f>
        <v/>
      </c>
      <c r="F1391" s="23" t="n">
        <v>0.019576</v>
      </c>
      <c r="G1391" s="22" t="n">
        <v>26.7</v>
      </c>
      <c r="H1391" s="22" t="n">
        <v>1.5</v>
      </c>
      <c r="I1391" s="24" t="n">
        <v>0.125455856323242</v>
      </c>
      <c r="J1391" s="6" t="n">
        <v>71000</v>
      </c>
      <c r="K1391" s="25">
        <f>23*10^-6</f>
        <v/>
      </c>
      <c r="L1391" s="8">
        <f>H1391</f>
        <v/>
      </c>
      <c r="M1391" s="26">
        <f>H1391^2/6</f>
        <v/>
      </c>
      <c r="N1391" s="26">
        <f>H1391^3/12</f>
        <v/>
      </c>
      <c r="O1391" s="27">
        <f>-J1391*L1391*K1391*C1391</f>
        <v/>
      </c>
      <c r="P1391" s="28">
        <f>-(12*F1391*J1391*L1391*N1391+12*O1391*N1391*G1391*COS(RADIANS(E1391)))/(12*N1391*G1391*COS(RADIANS(E1391))^2+L1391*G1391^3*SIN(RADIANS(E1391))^2)</f>
        <v/>
      </c>
      <c r="Q1391" s="28">
        <f>-(6*F1391*J1391*L1391*N1391*SIN(RADIANS(E1391))+6*O1391*N1391*G1391*SIN(RADIANS(E1391))*COS(RADIANS(E1391)))/(12*N1391*COS(RADIANS(E1391))^2+L1391*G1391^2*SIN(RADIANS(E1391))^2)</f>
        <v/>
      </c>
      <c r="R1391" s="28">
        <f>-P1391*SIN(RADIANS(E1391))</f>
        <v/>
      </c>
      <c r="S1391" s="8">
        <f>(O1391+P1391*COS(RADIANS(E1391)))/L1391</f>
        <v/>
      </c>
      <c r="T1391" s="8">
        <f>R1391/L1391</f>
        <v/>
      </c>
      <c r="U1391" s="8">
        <f>(Q1391-P1391*G1391*SIN(RADIANS(E1391)))/M1391</f>
        <v/>
      </c>
      <c r="V1391" s="8">
        <f>SQRT((S1391+U1391)^2+3*T1391^2)</f>
        <v/>
      </c>
      <c r="W1391" s="8">
        <f>V1391/AA1391</f>
        <v/>
      </c>
      <c r="X1391" s="27">
        <f>((3*10+H1391/COS(RADIANS(E1391)))*(3+3)+3*G1391*H1391)*2</f>
        <v/>
      </c>
      <c r="Y1391" s="28">
        <f>Z1391/X1391</f>
        <v/>
      </c>
      <c r="Z1391" s="29" t="n">
        <v>623.796167363742</v>
      </c>
      <c r="AA1391" s="20" t="n">
        <v>85.3761548815459</v>
      </c>
      <c r="AB1391" t="n">
        <v>0.1671633139859613</v>
      </c>
      <c r="AC1391" t="n">
        <v>87.11027595419907</v>
      </c>
      <c r="AD1391" t="n">
        <v>33.2447275759359</v>
      </c>
    </row>
    <row r="1392">
      <c r="A1392" t="n">
        <v>1391</v>
      </c>
      <c r="B1392" t="n">
        <v>76.3</v>
      </c>
      <c r="C1392" s="21">
        <f>B1392-20</f>
        <v/>
      </c>
      <c r="D1392" t="n">
        <v>121</v>
      </c>
      <c r="E1392" s="22">
        <f>D1392-90</f>
        <v/>
      </c>
      <c r="F1392" s="23" t="n">
        <v>0.016064</v>
      </c>
      <c r="G1392" s="22" t="n">
        <v>22.2</v>
      </c>
      <c r="H1392" s="22" t="n">
        <v>1.9</v>
      </c>
      <c r="I1392" s="24" t="n">
        <v>0.0772368535399437</v>
      </c>
      <c r="J1392" s="6" t="n">
        <v>71000</v>
      </c>
      <c r="K1392" s="25">
        <f>23*10^-6</f>
        <v/>
      </c>
      <c r="L1392" s="8">
        <f>H1392</f>
        <v/>
      </c>
      <c r="M1392" s="26">
        <f>H1392^2/6</f>
        <v/>
      </c>
      <c r="N1392" s="26">
        <f>H1392^3/12</f>
        <v/>
      </c>
      <c r="O1392" s="27">
        <f>-J1392*L1392*K1392*C1392</f>
        <v/>
      </c>
      <c r="P1392" s="28">
        <f>-(12*F1392*J1392*L1392*N1392+12*O1392*N1392*G1392*COS(RADIANS(E1392)))/(12*N1392*G1392*COS(RADIANS(E1392))^2+L1392*G1392^3*SIN(RADIANS(E1392))^2)</f>
        <v/>
      </c>
      <c r="Q1392" s="28">
        <f>-(6*F1392*J1392*L1392*N1392*SIN(RADIANS(E1392))+6*O1392*N1392*G1392*SIN(RADIANS(E1392))*COS(RADIANS(E1392)))/(12*N1392*COS(RADIANS(E1392))^2+L1392*G1392^2*SIN(RADIANS(E1392))^2)</f>
        <v/>
      </c>
      <c r="R1392" s="28">
        <f>-P1392*SIN(RADIANS(E1392))</f>
        <v/>
      </c>
      <c r="S1392" s="8">
        <f>(O1392+P1392*COS(RADIANS(E1392)))/L1392</f>
        <v/>
      </c>
      <c r="T1392" s="8">
        <f>R1392/L1392</f>
        <v/>
      </c>
      <c r="U1392" s="8">
        <f>(Q1392-P1392*G1392*SIN(RADIANS(E1392)))/M1392</f>
        <v/>
      </c>
      <c r="V1392" s="8">
        <f>SQRT((S1392+U1392)^2+3*T1392^2)</f>
        <v/>
      </c>
      <c r="W1392" s="8">
        <f>V1392/AA1392</f>
        <v/>
      </c>
      <c r="X1392" s="27">
        <f>((3*10+H1392/COS(RADIANS(E1392)))*(3+3)+3*G1392*H1392)*2</f>
        <v/>
      </c>
      <c r="Y1392" s="28">
        <f>Z1392/X1392</f>
        <v/>
      </c>
      <c r="Z1392" s="29" t="n">
        <v>647.112072375318</v>
      </c>
      <c r="AA1392" s="20" t="n">
        <v>94.2886194472682</v>
      </c>
      <c r="AB1392" t="n">
        <v>0.08071669075640311</v>
      </c>
      <c r="AC1392" t="n">
        <v>86.11929060210629</v>
      </c>
      <c r="AD1392" t="n">
        <v>4.505410379851623</v>
      </c>
    </row>
    <row r="1393">
      <c r="A1393" t="n">
        <v>1392</v>
      </c>
      <c r="B1393" t="n">
        <v>42.9</v>
      </c>
      <c r="C1393" s="21">
        <f>B1393-20</f>
        <v/>
      </c>
      <c r="D1393" t="n">
        <v>119.7</v>
      </c>
      <c r="E1393" s="22">
        <f>D1393-90</f>
        <v/>
      </c>
      <c r="F1393" s="23" t="n">
        <v>0.007598</v>
      </c>
      <c r="G1393" s="22" t="n">
        <v>26.6</v>
      </c>
      <c r="H1393" s="22" t="n">
        <v>1.5</v>
      </c>
      <c r="I1393" s="24" t="n">
        <v>0.0361939147114753</v>
      </c>
      <c r="J1393" s="6" t="n">
        <v>71000</v>
      </c>
      <c r="K1393" s="25">
        <f>23*10^-6</f>
        <v/>
      </c>
      <c r="L1393" s="8">
        <f>H1393</f>
        <v/>
      </c>
      <c r="M1393" s="26">
        <f>H1393^2/6</f>
        <v/>
      </c>
      <c r="N1393" s="26">
        <f>H1393^3/12</f>
        <v/>
      </c>
      <c r="O1393" s="27">
        <f>-J1393*L1393*K1393*C1393</f>
        <v/>
      </c>
      <c r="P1393" s="28">
        <f>-(12*F1393*J1393*L1393*N1393+12*O1393*N1393*G1393*COS(RADIANS(E1393)))/(12*N1393*G1393*COS(RADIANS(E1393))^2+L1393*G1393^3*SIN(RADIANS(E1393))^2)</f>
        <v/>
      </c>
      <c r="Q1393" s="28">
        <f>-(6*F1393*J1393*L1393*N1393*SIN(RADIANS(E1393))+6*O1393*N1393*G1393*SIN(RADIANS(E1393))*COS(RADIANS(E1393)))/(12*N1393*COS(RADIANS(E1393))^2+L1393*G1393^2*SIN(RADIANS(E1393))^2)</f>
        <v/>
      </c>
      <c r="R1393" s="28">
        <f>-P1393*SIN(RADIANS(E1393))</f>
        <v/>
      </c>
      <c r="S1393" s="8">
        <f>(O1393+P1393*COS(RADIANS(E1393)))/L1393</f>
        <v/>
      </c>
      <c r="T1393" s="8">
        <f>R1393/L1393</f>
        <v/>
      </c>
      <c r="U1393" s="8">
        <f>(Q1393-P1393*G1393*SIN(RADIANS(E1393)))/M1393</f>
        <v/>
      </c>
      <c r="V1393" s="8">
        <f>SQRT((S1393+U1393)^2+3*T1393^2)</f>
        <v/>
      </c>
      <c r="W1393" s="8">
        <f>V1393/AA1393</f>
        <v/>
      </c>
      <c r="X1393" s="27">
        <f>((3*10+H1393/COS(RADIANS(E1393)))*(3+3)+3*G1393*H1393)*2</f>
        <v/>
      </c>
      <c r="Y1393" s="28">
        <f>Z1393/X1393</f>
        <v/>
      </c>
      <c r="Z1393" s="29" t="n">
        <v>627.185547663859</v>
      </c>
      <c r="AA1393" s="20" t="n">
        <v>34.5320936261152</v>
      </c>
      <c r="AB1393" t="n">
        <v>0.04115392184506627</v>
      </c>
      <c r="AC1393" t="n">
        <v>34.03936744852705</v>
      </c>
      <c r="AD1393" t="n">
        <v>13.70398082973433</v>
      </c>
    </row>
    <row r="1394">
      <c r="A1394" t="n">
        <v>1393</v>
      </c>
      <c r="B1394" t="n">
        <v>61.6</v>
      </c>
      <c r="C1394" s="21">
        <f>B1394-20</f>
        <v/>
      </c>
      <c r="D1394" t="n">
        <v>101.6</v>
      </c>
      <c r="E1394" s="22">
        <f>D1394-90</f>
        <v/>
      </c>
      <c r="F1394" s="23" t="n">
        <v>0.017154</v>
      </c>
      <c r="G1394" s="22" t="n">
        <v>30.8</v>
      </c>
      <c r="H1394" s="22" t="n">
        <v>1.8</v>
      </c>
      <c r="I1394" s="24" t="n">
        <v>0.143788844347</v>
      </c>
      <c r="J1394" s="6" t="n">
        <v>71000</v>
      </c>
      <c r="K1394" s="25">
        <f>23*10^-6</f>
        <v/>
      </c>
      <c r="L1394" s="8">
        <f>H1394</f>
        <v/>
      </c>
      <c r="M1394" s="26">
        <f>H1394^2/6</f>
        <v/>
      </c>
      <c r="N1394" s="26">
        <f>H1394^3/12</f>
        <v/>
      </c>
      <c r="O1394" s="27">
        <f>-J1394*L1394*K1394*C1394</f>
        <v/>
      </c>
      <c r="P1394" s="28">
        <f>-(12*F1394*J1394*L1394*N1394+12*O1394*N1394*G1394*COS(RADIANS(E1394)))/(12*N1394*G1394*COS(RADIANS(E1394))^2+L1394*G1394^3*SIN(RADIANS(E1394))^2)</f>
        <v/>
      </c>
      <c r="Q1394" s="28">
        <f>-(6*F1394*J1394*L1394*N1394*SIN(RADIANS(E1394))+6*O1394*N1394*G1394*SIN(RADIANS(E1394))*COS(RADIANS(E1394)))/(12*N1394*COS(RADIANS(E1394))^2+L1394*G1394^2*SIN(RADIANS(E1394))^2)</f>
        <v/>
      </c>
      <c r="R1394" s="28">
        <f>-P1394*SIN(RADIANS(E1394))</f>
        <v/>
      </c>
      <c r="S1394" s="8">
        <f>(O1394+P1394*COS(RADIANS(E1394)))/L1394</f>
        <v/>
      </c>
      <c r="T1394" s="8">
        <f>R1394/L1394</f>
        <v/>
      </c>
      <c r="U1394" s="8">
        <f>(Q1394-P1394*G1394*SIN(RADIANS(E1394)))/M1394</f>
        <v/>
      </c>
      <c r="V1394" s="8">
        <f>SQRT((S1394+U1394)^2+3*T1394^2)</f>
        <v/>
      </c>
      <c r="W1394" s="8">
        <f>V1394/AA1394</f>
        <v/>
      </c>
      <c r="X1394" s="27">
        <f>((3*10+H1394/COS(RADIANS(E1394)))*(3+3)+3*G1394*H1394)*2</f>
        <v/>
      </c>
      <c r="Y1394" s="28">
        <f>Z1394/X1394</f>
        <v/>
      </c>
      <c r="Z1394" s="29" t="n">
        <v>718.624417616204</v>
      </c>
      <c r="AA1394" s="20" t="n">
        <v>72.0510113178928</v>
      </c>
      <c r="AB1394" t="n">
        <v>0.2126050667667695</v>
      </c>
      <c r="AC1394" t="n">
        <v>72.08928792999556</v>
      </c>
      <c r="AD1394" t="n">
        <v>47.85922213387988</v>
      </c>
    </row>
    <row r="1395">
      <c r="A1395" t="n">
        <v>1394</v>
      </c>
      <c r="B1395" t="n">
        <v>67.09999999999999</v>
      </c>
      <c r="C1395" s="21">
        <f>B1395-20</f>
        <v/>
      </c>
      <c r="D1395" t="n">
        <v>118.7</v>
      </c>
      <c r="E1395" s="22">
        <f>D1395-90</f>
        <v/>
      </c>
      <c r="F1395" s="23" t="n">
        <v>0.01801</v>
      </c>
      <c r="G1395" s="22" t="n">
        <v>31.4</v>
      </c>
      <c r="H1395" s="22" t="n">
        <v>1.8</v>
      </c>
      <c r="I1395" s="24" t="n">
        <v>0.0850524976849556</v>
      </c>
      <c r="J1395" s="6" t="n">
        <v>71000</v>
      </c>
      <c r="K1395" s="25">
        <f>23*10^-6</f>
        <v/>
      </c>
      <c r="L1395" s="8">
        <f>H1395</f>
        <v/>
      </c>
      <c r="M1395" s="26">
        <f>H1395^2/6</f>
        <v/>
      </c>
      <c r="N1395" s="26">
        <f>H1395^3/12</f>
        <v/>
      </c>
      <c r="O1395" s="27">
        <f>-J1395*L1395*K1395*C1395</f>
        <v/>
      </c>
      <c r="P1395" s="28">
        <f>-(12*F1395*J1395*L1395*N1395+12*O1395*N1395*G1395*COS(RADIANS(E1395)))/(12*N1395*G1395*COS(RADIANS(E1395))^2+L1395*G1395^3*SIN(RADIANS(E1395))^2)</f>
        <v/>
      </c>
      <c r="Q1395" s="28">
        <f>-(6*F1395*J1395*L1395*N1395*SIN(RADIANS(E1395))+6*O1395*N1395*G1395*SIN(RADIANS(E1395))*COS(RADIANS(E1395)))/(12*N1395*COS(RADIANS(E1395))^2+L1395*G1395^2*SIN(RADIANS(E1395))^2)</f>
        <v/>
      </c>
      <c r="R1395" s="28">
        <f>-P1395*SIN(RADIANS(E1395))</f>
        <v/>
      </c>
      <c r="S1395" s="8">
        <f>(O1395+P1395*COS(RADIANS(E1395)))/L1395</f>
        <v/>
      </c>
      <c r="T1395" s="8">
        <f>R1395/L1395</f>
        <v/>
      </c>
      <c r="U1395" s="8">
        <f>(Q1395-P1395*G1395*SIN(RADIANS(E1395)))/M1395</f>
        <v/>
      </c>
      <c r="V1395" s="8">
        <f>SQRT((S1395+U1395)^2+3*T1395^2)</f>
        <v/>
      </c>
      <c r="W1395" s="8">
        <f>V1395/AA1395</f>
        <v/>
      </c>
      <c r="X1395" s="27">
        <f>((3*10+H1395/COS(RADIANS(E1395)))*(3+3)+3*G1395*H1395)*2</f>
        <v/>
      </c>
      <c r="Y1395" s="28">
        <f>Z1395/X1395</f>
        <v/>
      </c>
      <c r="Z1395" s="29" t="n">
        <v>730.540404095295</v>
      </c>
      <c r="AA1395" s="20" t="n">
        <v>73.68338243447</v>
      </c>
      <c r="AB1395" t="n">
        <v>0.1024974730302877</v>
      </c>
      <c r="AC1395" t="n">
        <v>70.78058651473624</v>
      </c>
      <c r="AD1395" t="n">
        <v>20.5108325095288</v>
      </c>
    </row>
    <row r="1396">
      <c r="A1396" t="n">
        <v>1395</v>
      </c>
      <c r="B1396" t="n">
        <v>82.90000000000001</v>
      </c>
      <c r="C1396" s="21">
        <f>B1396-20</f>
        <v/>
      </c>
      <c r="D1396" t="n">
        <v>113.7</v>
      </c>
      <c r="E1396" s="22">
        <f>D1396-90</f>
        <v/>
      </c>
      <c r="F1396" s="23" t="n">
        <v>0.017565</v>
      </c>
      <c r="G1396" s="22" t="n">
        <v>20.2</v>
      </c>
      <c r="H1396" s="22" t="n">
        <v>2</v>
      </c>
      <c r="I1396" s="24" t="n">
        <v>0.09620696306228629</v>
      </c>
      <c r="J1396" s="6" t="n">
        <v>71000</v>
      </c>
      <c r="K1396" s="25">
        <f>23*10^-6</f>
        <v/>
      </c>
      <c r="L1396" s="8">
        <f>H1396</f>
        <v/>
      </c>
      <c r="M1396" s="26">
        <f>H1396^2/6</f>
        <v/>
      </c>
      <c r="N1396" s="26">
        <f>H1396^3/12</f>
        <v/>
      </c>
      <c r="O1396" s="27">
        <f>-J1396*L1396*K1396*C1396</f>
        <v/>
      </c>
      <c r="P1396" s="28">
        <f>-(12*F1396*J1396*L1396*N1396+12*O1396*N1396*G1396*COS(RADIANS(E1396)))/(12*N1396*G1396*COS(RADIANS(E1396))^2+L1396*G1396^3*SIN(RADIANS(E1396))^2)</f>
        <v/>
      </c>
      <c r="Q1396" s="28">
        <f>-(6*F1396*J1396*L1396*N1396*SIN(RADIANS(E1396))+6*O1396*N1396*G1396*SIN(RADIANS(E1396))*COS(RADIANS(E1396)))/(12*N1396*COS(RADIANS(E1396))^2+L1396*G1396^2*SIN(RADIANS(E1396))^2)</f>
        <v/>
      </c>
      <c r="R1396" s="28">
        <f>-P1396*SIN(RADIANS(E1396))</f>
        <v/>
      </c>
      <c r="S1396" s="8">
        <f>(O1396+P1396*COS(RADIANS(E1396)))/L1396</f>
        <v/>
      </c>
      <c r="T1396" s="8">
        <f>R1396/L1396</f>
        <v/>
      </c>
      <c r="U1396" s="8">
        <f>(Q1396-P1396*G1396*SIN(RADIANS(E1396)))/M1396</f>
        <v/>
      </c>
      <c r="V1396" s="8">
        <f>SQRT((S1396+U1396)^2+3*T1396^2)</f>
        <v/>
      </c>
      <c r="W1396" s="8">
        <f>V1396/AA1396</f>
        <v/>
      </c>
      <c r="X1396" s="27">
        <f>((3*10+H1396/COS(RADIANS(E1396)))*(3+3)+3*G1396*H1396)*2</f>
        <v/>
      </c>
      <c r="Y1396" s="28">
        <f>Z1396/X1396</f>
        <v/>
      </c>
      <c r="Z1396" s="29" t="n">
        <v>634.254685295478</v>
      </c>
      <c r="AA1396" s="20" t="n">
        <v>112.27140880809</v>
      </c>
      <c r="AB1396" t="n">
        <v>0.1068893018949439</v>
      </c>
      <c r="AC1396" t="n">
        <v>101.7719203859437</v>
      </c>
      <c r="AD1396" t="n">
        <v>11.10349863735091</v>
      </c>
    </row>
    <row r="1397">
      <c r="A1397" t="n">
        <v>1396</v>
      </c>
      <c r="B1397" t="n">
        <v>84</v>
      </c>
      <c r="C1397" s="21">
        <f>B1397-20</f>
        <v/>
      </c>
      <c r="D1397" t="n">
        <v>102.5</v>
      </c>
      <c r="E1397" s="22">
        <f>D1397-90</f>
        <v/>
      </c>
      <c r="F1397" s="23" t="n">
        <v>0.028952</v>
      </c>
      <c r="G1397" s="22" t="n">
        <v>34.5</v>
      </c>
      <c r="H1397" s="22" t="n">
        <v>1.7</v>
      </c>
      <c r="I1397" s="24" t="n">
        <v>0.231197968125343</v>
      </c>
      <c r="J1397" s="6" t="n">
        <v>71000</v>
      </c>
      <c r="K1397" s="25">
        <f>23*10^-6</f>
        <v/>
      </c>
      <c r="L1397" s="8">
        <f>H1397</f>
        <v/>
      </c>
      <c r="M1397" s="26">
        <f>H1397^2/6</f>
        <v/>
      </c>
      <c r="N1397" s="26">
        <f>H1397^3/12</f>
        <v/>
      </c>
      <c r="O1397" s="27">
        <f>-J1397*L1397*K1397*C1397</f>
        <v/>
      </c>
      <c r="P1397" s="28">
        <f>-(12*F1397*J1397*L1397*N1397+12*O1397*N1397*G1397*COS(RADIANS(E1397)))/(12*N1397*G1397*COS(RADIANS(E1397))^2+L1397*G1397^3*SIN(RADIANS(E1397))^2)</f>
        <v/>
      </c>
      <c r="Q1397" s="28">
        <f>-(6*F1397*J1397*L1397*N1397*SIN(RADIANS(E1397))+6*O1397*N1397*G1397*SIN(RADIANS(E1397))*COS(RADIANS(E1397)))/(12*N1397*COS(RADIANS(E1397))^2+L1397*G1397^2*SIN(RADIANS(E1397))^2)</f>
        <v/>
      </c>
      <c r="R1397" s="28">
        <f>-P1397*SIN(RADIANS(E1397))</f>
        <v/>
      </c>
      <c r="S1397" s="8">
        <f>(O1397+P1397*COS(RADIANS(E1397)))/L1397</f>
        <v/>
      </c>
      <c r="T1397" s="8">
        <f>R1397/L1397</f>
        <v/>
      </c>
      <c r="U1397" s="8">
        <f>(Q1397-P1397*G1397*SIN(RADIANS(E1397)))/M1397</f>
        <v/>
      </c>
      <c r="V1397" s="8">
        <f>SQRT((S1397+U1397)^2+3*T1397^2)</f>
        <v/>
      </c>
      <c r="W1397" s="8">
        <f>V1397/AA1397</f>
        <v/>
      </c>
      <c r="X1397" s="27">
        <f>((3*10+H1397/COS(RADIANS(E1397)))*(3+3)+3*G1397*H1397)*2</f>
        <v/>
      </c>
      <c r="Y1397" s="28">
        <f>Z1397/X1397</f>
        <v/>
      </c>
      <c r="Z1397" s="29" t="n">
        <v>736.811639821204</v>
      </c>
      <c r="AA1397" s="20" t="n">
        <v>105.826510116238</v>
      </c>
      <c r="AB1397" t="n">
        <v>0.3477322998233505</v>
      </c>
      <c r="AC1397" t="n">
        <v>107.0027743328032</v>
      </c>
      <c r="AD1397" t="n">
        <v>50.40456568148944</v>
      </c>
    </row>
    <row r="1398">
      <c r="A1398" t="n">
        <v>1397</v>
      </c>
      <c r="B1398" t="n">
        <v>65.5</v>
      </c>
      <c r="C1398" s="21">
        <f>B1398-20</f>
        <v/>
      </c>
      <c r="D1398" t="n">
        <v>109.8</v>
      </c>
      <c r="E1398" s="22">
        <f>D1398-90</f>
        <v/>
      </c>
      <c r="F1398" s="23" t="n">
        <v>0.019608</v>
      </c>
      <c r="G1398" s="22" t="n">
        <v>33.8</v>
      </c>
      <c r="H1398" s="22" t="n">
        <v>1.6</v>
      </c>
      <c r="I1398" s="24" t="n">
        <v>0.113296493887901</v>
      </c>
      <c r="J1398" s="6" t="n">
        <v>71000</v>
      </c>
      <c r="K1398" s="25">
        <f>23*10^-6</f>
        <v/>
      </c>
      <c r="L1398" s="8">
        <f>H1398</f>
        <v/>
      </c>
      <c r="M1398" s="26">
        <f>H1398^2/6</f>
        <v/>
      </c>
      <c r="N1398" s="26">
        <f>H1398^3/12</f>
        <v/>
      </c>
      <c r="O1398" s="27">
        <f>-J1398*L1398*K1398*C1398</f>
        <v/>
      </c>
      <c r="P1398" s="28">
        <f>-(12*F1398*J1398*L1398*N1398+12*O1398*N1398*G1398*COS(RADIANS(E1398)))/(12*N1398*G1398*COS(RADIANS(E1398))^2+L1398*G1398^3*SIN(RADIANS(E1398))^2)</f>
        <v/>
      </c>
      <c r="Q1398" s="28">
        <f>-(6*F1398*J1398*L1398*N1398*SIN(RADIANS(E1398))+6*O1398*N1398*G1398*SIN(RADIANS(E1398))*COS(RADIANS(E1398)))/(12*N1398*COS(RADIANS(E1398))^2+L1398*G1398^2*SIN(RADIANS(E1398))^2)</f>
        <v/>
      </c>
      <c r="R1398" s="28">
        <f>-P1398*SIN(RADIANS(E1398))</f>
        <v/>
      </c>
      <c r="S1398" s="8">
        <f>(O1398+P1398*COS(RADIANS(E1398)))/L1398</f>
        <v/>
      </c>
      <c r="T1398" s="8">
        <f>R1398/L1398</f>
        <v/>
      </c>
      <c r="U1398" s="8">
        <f>(Q1398-P1398*G1398*SIN(RADIANS(E1398)))/M1398</f>
        <v/>
      </c>
      <c r="V1398" s="8">
        <f>SQRT((S1398+U1398)^2+3*T1398^2)</f>
        <v/>
      </c>
      <c r="W1398" s="8">
        <f>V1398/AA1398</f>
        <v/>
      </c>
      <c r="X1398" s="27">
        <f>((3*10+H1398/COS(RADIANS(E1398)))*(3+3)+3*G1398*H1398)*2</f>
        <v/>
      </c>
      <c r="Y1398" s="28">
        <f>Z1398/X1398</f>
        <v/>
      </c>
      <c r="Z1398" s="29" t="n">
        <v>709.828054916961</v>
      </c>
      <c r="AA1398" s="20" t="n">
        <v>70.1223181720981</v>
      </c>
      <c r="AB1398" t="n">
        <v>0.1560646180860762</v>
      </c>
      <c r="AC1398" t="n">
        <v>70.42099997966635</v>
      </c>
      <c r="AD1398" t="n">
        <v>37.7488505871076</v>
      </c>
    </row>
    <row r="1399">
      <c r="A1399" t="n">
        <v>1398</v>
      </c>
      <c r="B1399" t="n">
        <v>83.90000000000001</v>
      </c>
      <c r="C1399" s="21">
        <f>B1399-20</f>
        <v/>
      </c>
      <c r="D1399" t="n">
        <v>112.1</v>
      </c>
      <c r="E1399" s="22">
        <f>D1399-90</f>
        <v/>
      </c>
      <c r="F1399" s="23" t="n">
        <v>0.025496</v>
      </c>
      <c r="G1399" s="22" t="n">
        <v>31.3</v>
      </c>
      <c r="H1399" s="22" t="n">
        <v>1.5</v>
      </c>
      <c r="I1399" s="24" t="n">
        <v>0.138713672757148</v>
      </c>
      <c r="J1399" s="6" t="n">
        <v>71000</v>
      </c>
      <c r="K1399" s="25">
        <f>23*10^-6</f>
        <v/>
      </c>
      <c r="L1399" s="8">
        <f>H1399</f>
        <v/>
      </c>
      <c r="M1399" s="26">
        <f>H1399^2/6</f>
        <v/>
      </c>
      <c r="N1399" s="26">
        <f>H1399^3/12</f>
        <v/>
      </c>
      <c r="O1399" s="27">
        <f>-J1399*L1399*K1399*C1399</f>
        <v/>
      </c>
      <c r="P1399" s="28">
        <f>-(12*F1399*J1399*L1399*N1399+12*O1399*N1399*G1399*COS(RADIANS(E1399)))/(12*N1399*G1399*COS(RADIANS(E1399))^2+L1399*G1399^3*SIN(RADIANS(E1399))^2)</f>
        <v/>
      </c>
      <c r="Q1399" s="28">
        <f>-(6*F1399*J1399*L1399*N1399*SIN(RADIANS(E1399))+6*O1399*N1399*G1399*SIN(RADIANS(E1399))*COS(RADIANS(E1399)))/(12*N1399*COS(RADIANS(E1399))^2+L1399*G1399^2*SIN(RADIANS(E1399))^2)</f>
        <v/>
      </c>
      <c r="R1399" s="28">
        <f>-P1399*SIN(RADIANS(E1399))</f>
        <v/>
      </c>
      <c r="S1399" s="8">
        <f>(O1399+P1399*COS(RADIANS(E1399)))/L1399</f>
        <v/>
      </c>
      <c r="T1399" s="8">
        <f>R1399/L1399</f>
        <v/>
      </c>
      <c r="U1399" s="8">
        <f>(Q1399-P1399*G1399*SIN(RADIANS(E1399)))/M1399</f>
        <v/>
      </c>
      <c r="V1399" s="8">
        <f>SQRT((S1399+U1399)^2+3*T1399^2)</f>
        <v/>
      </c>
      <c r="W1399" s="8">
        <f>V1399/AA1399</f>
        <v/>
      </c>
      <c r="X1399" s="27">
        <f>((3*10+H1399/COS(RADIANS(E1399)))*(3+3)+3*G1399*H1399)*2</f>
        <v/>
      </c>
      <c r="Y1399" s="28">
        <f>Z1399/X1399</f>
        <v/>
      </c>
      <c r="Z1399" s="29" t="n">
        <v>666.464122800053</v>
      </c>
      <c r="AA1399" s="20" t="n">
        <v>96.870032558898</v>
      </c>
      <c r="AB1399" t="n">
        <v>0.1823771962630784</v>
      </c>
      <c r="AC1399" t="n">
        <v>97.39425672991072</v>
      </c>
      <c r="AD1399" t="n">
        <v>31.47744749169324</v>
      </c>
    </row>
    <row r="1400">
      <c r="A1400" t="n">
        <v>1399</v>
      </c>
      <c r="B1400" t="n">
        <v>57.5</v>
      </c>
      <c r="C1400" s="21">
        <f>B1400-20</f>
        <v/>
      </c>
      <c r="D1400" t="n">
        <v>106.7</v>
      </c>
      <c r="E1400" s="22">
        <f>D1400-90</f>
        <v/>
      </c>
      <c r="F1400" s="23" t="n">
        <v>0.011983</v>
      </c>
      <c r="G1400" s="22" t="n">
        <v>23</v>
      </c>
      <c r="H1400" s="22" t="n">
        <v>1.7</v>
      </c>
      <c r="I1400" s="24" t="n">
        <v>0.07980348914861669</v>
      </c>
      <c r="J1400" s="6" t="n">
        <v>71000</v>
      </c>
      <c r="K1400" s="25">
        <f>23*10^-6</f>
        <v/>
      </c>
      <c r="L1400" s="8">
        <f>H1400</f>
        <v/>
      </c>
      <c r="M1400" s="26">
        <f>H1400^2/6</f>
        <v/>
      </c>
      <c r="N1400" s="26">
        <f>H1400^3/12</f>
        <v/>
      </c>
      <c r="O1400" s="27">
        <f>-J1400*L1400*K1400*C1400</f>
        <v/>
      </c>
      <c r="P1400" s="28">
        <f>-(12*F1400*J1400*L1400*N1400+12*O1400*N1400*G1400*COS(RADIANS(E1400)))/(12*N1400*G1400*COS(RADIANS(E1400))^2+L1400*G1400^3*SIN(RADIANS(E1400))^2)</f>
        <v/>
      </c>
      <c r="Q1400" s="28">
        <f>-(6*F1400*J1400*L1400*N1400*SIN(RADIANS(E1400))+6*O1400*N1400*G1400*SIN(RADIANS(E1400))*COS(RADIANS(E1400)))/(12*N1400*COS(RADIANS(E1400))^2+L1400*G1400^2*SIN(RADIANS(E1400))^2)</f>
        <v/>
      </c>
      <c r="R1400" s="28">
        <f>-P1400*SIN(RADIANS(E1400))</f>
        <v/>
      </c>
      <c r="S1400" s="8">
        <f>(O1400+P1400*COS(RADIANS(E1400)))/L1400</f>
        <v/>
      </c>
      <c r="T1400" s="8">
        <f>R1400/L1400</f>
        <v/>
      </c>
      <c r="U1400" s="8">
        <f>(Q1400-P1400*G1400*SIN(RADIANS(E1400)))/M1400</f>
        <v/>
      </c>
      <c r="V1400" s="8">
        <f>SQRT((S1400+U1400)^2+3*T1400^2)</f>
        <v/>
      </c>
      <c r="W1400" s="8">
        <f>V1400/AA1400</f>
        <v/>
      </c>
      <c r="X1400" s="27">
        <f>((3*10+H1400/COS(RADIANS(E1400)))*(3+3)+3*G1400*H1400)*2</f>
        <v/>
      </c>
      <c r="Y1400" s="28">
        <f>Z1400/X1400</f>
        <v/>
      </c>
      <c r="Z1400" s="29" t="n">
        <v>620.388773724958</v>
      </c>
      <c r="AA1400" s="20" t="n">
        <v>63.5441981350593</v>
      </c>
      <c r="AB1400" t="n">
        <v>0.1025327116199612</v>
      </c>
      <c r="AC1400" t="n">
        <v>62.2677368901702</v>
      </c>
      <c r="AD1400" t="n">
        <v>28.48148961133302</v>
      </c>
    </row>
    <row r="1401">
      <c r="A1401" t="n">
        <v>1400</v>
      </c>
      <c r="B1401" t="n">
        <v>79</v>
      </c>
      <c r="C1401" s="21">
        <f>B1401-20</f>
        <v/>
      </c>
      <c r="D1401" t="n">
        <v>125.7</v>
      </c>
      <c r="E1401" s="22">
        <f>D1401-90</f>
        <v/>
      </c>
      <c r="F1401" s="23" t="n">
        <v>0.016052</v>
      </c>
      <c r="G1401" s="22" t="n">
        <v>22</v>
      </c>
      <c r="H1401" s="22" t="n">
        <v>1.4</v>
      </c>
      <c r="I1401" s="24" t="n">
        <v>0.0738191828131675</v>
      </c>
      <c r="J1401" s="6" t="n">
        <v>71000</v>
      </c>
      <c r="K1401" s="25">
        <f>23*10^-6</f>
        <v/>
      </c>
      <c r="L1401" s="8">
        <f>H1401</f>
        <v/>
      </c>
      <c r="M1401" s="26">
        <f>H1401^2/6</f>
        <v/>
      </c>
      <c r="N1401" s="26">
        <f>H1401^3/12</f>
        <v/>
      </c>
      <c r="O1401" s="27">
        <f>-J1401*L1401*K1401*C1401</f>
        <v/>
      </c>
      <c r="P1401" s="28">
        <f>-(12*F1401*J1401*L1401*N1401+12*O1401*N1401*G1401*COS(RADIANS(E1401)))/(12*N1401*G1401*COS(RADIANS(E1401))^2+L1401*G1401^3*SIN(RADIANS(E1401))^2)</f>
        <v/>
      </c>
      <c r="Q1401" s="28">
        <f>-(6*F1401*J1401*L1401*N1401*SIN(RADIANS(E1401))+6*O1401*N1401*G1401*SIN(RADIANS(E1401))*COS(RADIANS(E1401)))/(12*N1401*COS(RADIANS(E1401))^2+L1401*G1401^2*SIN(RADIANS(E1401))^2)</f>
        <v/>
      </c>
      <c r="R1401" s="28">
        <f>-P1401*SIN(RADIANS(E1401))</f>
        <v/>
      </c>
      <c r="S1401" s="8">
        <f>(O1401+P1401*COS(RADIANS(E1401)))/L1401</f>
        <v/>
      </c>
      <c r="T1401" s="8">
        <f>R1401/L1401</f>
        <v/>
      </c>
      <c r="U1401" s="8">
        <f>(Q1401-P1401*G1401*SIN(RADIANS(E1401)))/M1401</f>
        <v/>
      </c>
      <c r="V1401" s="8">
        <f>SQRT((S1401+U1401)^2+3*T1401^2)</f>
        <v/>
      </c>
      <c r="W1401" s="8">
        <f>V1401/AA1401</f>
        <v/>
      </c>
      <c r="X1401" s="27">
        <f>((3*10+H1401/COS(RADIANS(E1401)))*(3+3)+3*G1401*H1401)*2</f>
        <v/>
      </c>
      <c r="Y1401" s="28">
        <f>Z1401/X1401</f>
        <v/>
      </c>
      <c r="Z1401" s="29" t="n">
        <v>574.474766718102</v>
      </c>
      <c r="AA1401" s="20" t="n">
        <v>86.7020459515244</v>
      </c>
      <c r="AB1401" t="n">
        <v>0.07283729286849294</v>
      </c>
      <c r="AC1401" t="n">
        <v>86.09453303403652</v>
      </c>
      <c r="AD1401" t="n">
        <v>-1.330128439865926</v>
      </c>
    </row>
    <row r="1402">
      <c r="A1402" t="n">
        <v>1401</v>
      </c>
      <c r="B1402" t="n">
        <v>58.8</v>
      </c>
      <c r="C1402" s="21">
        <f>B1402-20</f>
        <v/>
      </c>
      <c r="D1402" t="n">
        <v>107.6</v>
      </c>
      <c r="E1402" s="22">
        <f>D1402-90</f>
        <v/>
      </c>
      <c r="F1402" s="23" t="n">
        <v>0.012941</v>
      </c>
      <c r="G1402" s="22" t="n">
        <v>24.4</v>
      </c>
      <c r="H1402" s="22" t="n">
        <v>2</v>
      </c>
      <c r="I1402" s="24" t="n">
        <v>0.08216441422700881</v>
      </c>
      <c r="J1402" s="6" t="n">
        <v>71000</v>
      </c>
      <c r="K1402" s="25">
        <f>23*10^-6</f>
        <v/>
      </c>
      <c r="L1402" s="8">
        <f>H1402</f>
        <v/>
      </c>
      <c r="M1402" s="26">
        <f>H1402^2/6</f>
        <v/>
      </c>
      <c r="N1402" s="26">
        <f>H1402^3/12</f>
        <v/>
      </c>
      <c r="O1402" s="27">
        <f>-J1402*L1402*K1402*C1402</f>
        <v/>
      </c>
      <c r="P1402" s="28">
        <f>-(12*F1402*J1402*L1402*N1402+12*O1402*N1402*G1402*COS(RADIANS(E1402)))/(12*N1402*G1402*COS(RADIANS(E1402))^2+L1402*G1402^3*SIN(RADIANS(E1402))^2)</f>
        <v/>
      </c>
      <c r="Q1402" s="28">
        <f>-(6*F1402*J1402*L1402*N1402*SIN(RADIANS(E1402))+6*O1402*N1402*G1402*SIN(RADIANS(E1402))*COS(RADIANS(E1402)))/(12*N1402*COS(RADIANS(E1402))^2+L1402*G1402^2*SIN(RADIANS(E1402))^2)</f>
        <v/>
      </c>
      <c r="R1402" s="28">
        <f>-P1402*SIN(RADIANS(E1402))</f>
        <v/>
      </c>
      <c r="S1402" s="8">
        <f>(O1402+P1402*COS(RADIANS(E1402)))/L1402</f>
        <v/>
      </c>
      <c r="T1402" s="8">
        <f>R1402/L1402</f>
        <v/>
      </c>
      <c r="U1402" s="8">
        <f>(Q1402-P1402*G1402*SIN(RADIANS(E1402)))/M1402</f>
        <v/>
      </c>
      <c r="V1402" s="8">
        <f>SQRT((S1402+U1402)^2+3*T1402^2)</f>
        <v/>
      </c>
      <c r="W1402" s="8">
        <f>V1402/AA1402</f>
        <v/>
      </c>
      <c r="X1402" s="27">
        <f>((3*10+H1402/COS(RADIANS(E1402)))*(3+3)+3*G1402*H1402)*2</f>
        <v/>
      </c>
      <c r="Y1402" s="28">
        <f>Z1402/X1402</f>
        <v/>
      </c>
      <c r="Z1402" s="29" t="n">
        <v>682.59081564633</v>
      </c>
      <c r="AA1402" s="20" t="n">
        <v>69.57095556731829</v>
      </c>
      <c r="AB1402" t="n">
        <v>0.1054917629362427</v>
      </c>
      <c r="AC1402" t="n">
        <v>65.14544095703705</v>
      </c>
      <c r="AD1402" t="n">
        <v>28.39106069056088</v>
      </c>
    </row>
    <row r="1403">
      <c r="A1403" t="n">
        <v>1402</v>
      </c>
      <c r="B1403" t="n">
        <v>89.3</v>
      </c>
      <c r="C1403" s="21">
        <f>B1403-20</f>
        <v/>
      </c>
      <c r="D1403" t="n">
        <v>117.5</v>
      </c>
      <c r="E1403" s="22">
        <f>D1403-90</f>
        <v/>
      </c>
      <c r="F1403" s="23" t="n">
        <v>0.026043</v>
      </c>
      <c r="G1403" s="22" t="n">
        <v>30.4</v>
      </c>
      <c r="H1403" s="22" t="n">
        <v>1.2</v>
      </c>
      <c r="I1403" s="24" t="n">
        <v>0.126008674502372</v>
      </c>
      <c r="J1403" s="6" t="n">
        <v>71000</v>
      </c>
      <c r="K1403" s="25">
        <f>23*10^-6</f>
        <v/>
      </c>
      <c r="L1403" s="8">
        <f>H1403</f>
        <v/>
      </c>
      <c r="M1403" s="26">
        <f>H1403^2/6</f>
        <v/>
      </c>
      <c r="N1403" s="26">
        <f>H1403^3/12</f>
        <v/>
      </c>
      <c r="O1403" s="27">
        <f>-J1403*L1403*K1403*C1403</f>
        <v/>
      </c>
      <c r="P1403" s="28">
        <f>-(12*F1403*J1403*L1403*N1403+12*O1403*N1403*G1403*COS(RADIANS(E1403)))/(12*N1403*G1403*COS(RADIANS(E1403))^2+L1403*G1403^3*SIN(RADIANS(E1403))^2)</f>
        <v/>
      </c>
      <c r="Q1403" s="28">
        <f>-(6*F1403*J1403*L1403*N1403*SIN(RADIANS(E1403))+6*O1403*N1403*G1403*SIN(RADIANS(E1403))*COS(RADIANS(E1403)))/(12*N1403*COS(RADIANS(E1403))^2+L1403*G1403^2*SIN(RADIANS(E1403))^2)</f>
        <v/>
      </c>
      <c r="R1403" s="28">
        <f>-P1403*SIN(RADIANS(E1403))</f>
        <v/>
      </c>
      <c r="S1403" s="8">
        <f>(O1403+P1403*COS(RADIANS(E1403)))/L1403</f>
        <v/>
      </c>
      <c r="T1403" s="8">
        <f>R1403/L1403</f>
        <v/>
      </c>
      <c r="U1403" s="8">
        <f>(Q1403-P1403*G1403*SIN(RADIANS(E1403)))/M1403</f>
        <v/>
      </c>
      <c r="V1403" s="8">
        <f>SQRT((S1403+U1403)^2+3*T1403^2)</f>
        <v/>
      </c>
      <c r="W1403" s="8">
        <f>V1403/AA1403</f>
        <v/>
      </c>
      <c r="X1403" s="27">
        <f>((3*10+H1403/COS(RADIANS(E1403)))*(3+3)+3*G1403*H1403)*2</f>
        <v/>
      </c>
      <c r="Y1403" s="28">
        <f>Z1403/X1403</f>
        <v/>
      </c>
      <c r="Z1403" s="29" t="n">
        <v>601.6050961453089</v>
      </c>
      <c r="AA1403" s="20" t="n">
        <v>97.9563872953162</v>
      </c>
      <c r="AB1403" t="n">
        <v>0.1540019985146191</v>
      </c>
      <c r="AC1403" t="n">
        <v>101.1648401342678</v>
      </c>
      <c r="AD1403" t="n">
        <v>22.21539439470906</v>
      </c>
    </row>
    <row r="1404">
      <c r="A1404" t="n">
        <v>1403</v>
      </c>
      <c r="B1404" t="n">
        <v>71.90000000000001</v>
      </c>
      <c r="C1404" s="21">
        <f>B1404-20</f>
        <v/>
      </c>
      <c r="D1404" t="n">
        <v>122.1</v>
      </c>
      <c r="E1404" s="22">
        <f>D1404-90</f>
        <v/>
      </c>
      <c r="F1404" s="23" t="n">
        <v>0.020691</v>
      </c>
      <c r="G1404" s="22" t="n">
        <v>34.2</v>
      </c>
      <c r="H1404" s="22" t="n">
        <v>1.6</v>
      </c>
      <c r="I1404" s="24" t="n">
        <v>0.09218797832727429</v>
      </c>
      <c r="J1404" s="6" t="n">
        <v>71000</v>
      </c>
      <c r="K1404" s="25">
        <f>23*10^-6</f>
        <v/>
      </c>
      <c r="L1404" s="8">
        <f>H1404</f>
        <v/>
      </c>
      <c r="M1404" s="26">
        <f>H1404^2/6</f>
        <v/>
      </c>
      <c r="N1404" s="26">
        <f>H1404^3/12</f>
        <v/>
      </c>
      <c r="O1404" s="27">
        <f>-J1404*L1404*K1404*C1404</f>
        <v/>
      </c>
      <c r="P1404" s="28">
        <f>-(12*F1404*J1404*L1404*N1404+12*O1404*N1404*G1404*COS(RADIANS(E1404)))/(12*N1404*G1404*COS(RADIANS(E1404))^2+L1404*G1404^3*SIN(RADIANS(E1404))^2)</f>
        <v/>
      </c>
      <c r="Q1404" s="28">
        <f>-(6*F1404*J1404*L1404*N1404*SIN(RADIANS(E1404))+6*O1404*N1404*G1404*SIN(RADIANS(E1404))*COS(RADIANS(E1404)))/(12*N1404*COS(RADIANS(E1404))^2+L1404*G1404^2*SIN(RADIANS(E1404))^2)</f>
        <v/>
      </c>
      <c r="R1404" s="28">
        <f>-P1404*SIN(RADIANS(E1404))</f>
        <v/>
      </c>
      <c r="S1404" s="8">
        <f>(O1404+P1404*COS(RADIANS(E1404)))/L1404</f>
        <v/>
      </c>
      <c r="T1404" s="8">
        <f>R1404/L1404</f>
        <v/>
      </c>
      <c r="U1404" s="8">
        <f>(Q1404-P1404*G1404*SIN(RADIANS(E1404)))/M1404</f>
        <v/>
      </c>
      <c r="V1404" s="8">
        <f>SQRT((S1404+U1404)^2+3*T1404^2)</f>
        <v/>
      </c>
      <c r="W1404" s="8">
        <f>V1404/AA1404</f>
        <v/>
      </c>
      <c r="X1404" s="27">
        <f>((3*10+H1404/COS(RADIANS(E1404)))*(3+3)+3*G1404*H1404)*2</f>
        <v/>
      </c>
      <c r="Y1404" s="28">
        <f>Z1404/X1404</f>
        <v/>
      </c>
      <c r="Z1404" s="29" t="n">
        <v>718.74983065206</v>
      </c>
      <c r="AA1404" s="20" t="n">
        <v>76.8866607214776</v>
      </c>
      <c r="AB1404" t="n">
        <v>0.109130244312456</v>
      </c>
      <c r="AC1404" t="n">
        <v>75.7836446096774</v>
      </c>
      <c r="AD1404" t="n">
        <v>18.37795588166107</v>
      </c>
    </row>
    <row r="1405">
      <c r="A1405" t="n">
        <v>1404</v>
      </c>
      <c r="B1405" t="n">
        <v>77.40000000000001</v>
      </c>
      <c r="C1405" s="21">
        <f>B1405-20</f>
        <v/>
      </c>
      <c r="D1405" t="n">
        <v>105.2</v>
      </c>
      <c r="E1405" s="22">
        <f>D1405-90</f>
        <v/>
      </c>
      <c r="F1405" s="23" t="n">
        <v>0.01946</v>
      </c>
      <c r="G1405" s="22" t="n">
        <v>24.6</v>
      </c>
      <c r="H1405" s="22" t="n">
        <v>1.1</v>
      </c>
      <c r="I1405" s="24" t="n">
        <v>0.140627637505531</v>
      </c>
      <c r="J1405" s="6" t="n">
        <v>71000</v>
      </c>
      <c r="K1405" s="25">
        <f>23*10^-6</f>
        <v/>
      </c>
      <c r="L1405" s="8">
        <f>H1405</f>
        <v/>
      </c>
      <c r="M1405" s="26">
        <f>H1405^2/6</f>
        <v/>
      </c>
      <c r="N1405" s="26">
        <f>H1405^3/12</f>
        <v/>
      </c>
      <c r="O1405" s="27">
        <f>-J1405*L1405*K1405*C1405</f>
        <v/>
      </c>
      <c r="P1405" s="28">
        <f>-(12*F1405*J1405*L1405*N1405+12*O1405*N1405*G1405*COS(RADIANS(E1405)))/(12*N1405*G1405*COS(RADIANS(E1405))^2+L1405*G1405^3*SIN(RADIANS(E1405))^2)</f>
        <v/>
      </c>
      <c r="Q1405" s="28">
        <f>-(6*F1405*J1405*L1405*N1405*SIN(RADIANS(E1405))+6*O1405*N1405*G1405*SIN(RADIANS(E1405))*COS(RADIANS(E1405)))/(12*N1405*COS(RADIANS(E1405))^2+L1405*G1405^2*SIN(RADIANS(E1405))^2)</f>
        <v/>
      </c>
      <c r="R1405" s="28">
        <f>-P1405*SIN(RADIANS(E1405))</f>
        <v/>
      </c>
      <c r="S1405" s="8">
        <f>(O1405+P1405*COS(RADIANS(E1405)))/L1405</f>
        <v/>
      </c>
      <c r="T1405" s="8">
        <f>R1405/L1405</f>
        <v/>
      </c>
      <c r="U1405" s="8">
        <f>(Q1405-P1405*G1405*SIN(RADIANS(E1405)))/M1405</f>
        <v/>
      </c>
      <c r="V1405" s="8">
        <f>SQRT((S1405+U1405)^2+3*T1405^2)</f>
        <v/>
      </c>
      <c r="W1405" s="8">
        <f>V1405/AA1405</f>
        <v/>
      </c>
      <c r="X1405" s="27">
        <f>((3*10+H1405/COS(RADIANS(E1405)))*(3+3)+3*G1405*H1405)*2</f>
        <v/>
      </c>
      <c r="Y1405" s="28">
        <f>Z1405/X1405</f>
        <v/>
      </c>
      <c r="Z1405" s="29" t="n">
        <v>540.342193283858</v>
      </c>
      <c r="AA1405" s="20" t="n">
        <v>84.1010684340316</v>
      </c>
      <c r="AB1405" t="n">
        <v>0.190198927555111</v>
      </c>
      <c r="AC1405" t="n">
        <v>90.37406498031764</v>
      </c>
      <c r="AD1405" t="n">
        <v>35.25003401101031</v>
      </c>
    </row>
    <row r="1406">
      <c r="A1406" t="n">
        <v>1405</v>
      </c>
      <c r="B1406" t="n">
        <v>47</v>
      </c>
      <c r="C1406" s="21">
        <f>B1406-20</f>
        <v/>
      </c>
      <c r="D1406" t="n">
        <v>110.5</v>
      </c>
      <c r="E1406" s="22">
        <f>D1406-90</f>
        <v/>
      </c>
      <c r="F1406" s="23" t="n">
        <v>0.009631000000000001</v>
      </c>
      <c r="G1406" s="22" t="n">
        <v>27</v>
      </c>
      <c r="H1406" s="22" t="n">
        <v>1.3</v>
      </c>
      <c r="I1406" s="24" t="n">
        <v>0.0560085996985435</v>
      </c>
      <c r="J1406" s="6" t="n">
        <v>71000</v>
      </c>
      <c r="K1406" s="25">
        <f>23*10^-6</f>
        <v/>
      </c>
      <c r="L1406" s="8">
        <f>H1406</f>
        <v/>
      </c>
      <c r="M1406" s="26">
        <f>H1406^2/6</f>
        <v/>
      </c>
      <c r="N1406" s="26">
        <f>H1406^3/12</f>
        <v/>
      </c>
      <c r="O1406" s="27">
        <f>-J1406*L1406*K1406*C1406</f>
        <v/>
      </c>
      <c r="P1406" s="28">
        <f>-(12*F1406*J1406*L1406*N1406+12*O1406*N1406*G1406*COS(RADIANS(E1406)))/(12*N1406*G1406*COS(RADIANS(E1406))^2+L1406*G1406^3*SIN(RADIANS(E1406))^2)</f>
        <v/>
      </c>
      <c r="Q1406" s="28">
        <f>-(6*F1406*J1406*L1406*N1406*SIN(RADIANS(E1406))+6*O1406*N1406*G1406*SIN(RADIANS(E1406))*COS(RADIANS(E1406)))/(12*N1406*COS(RADIANS(E1406))^2+L1406*G1406^2*SIN(RADIANS(E1406))^2)</f>
        <v/>
      </c>
      <c r="R1406" s="28">
        <f>-P1406*SIN(RADIANS(E1406))</f>
        <v/>
      </c>
      <c r="S1406" s="8">
        <f>(O1406+P1406*COS(RADIANS(E1406)))/L1406</f>
        <v/>
      </c>
      <c r="T1406" s="8">
        <f>R1406/L1406</f>
        <v/>
      </c>
      <c r="U1406" s="8">
        <f>(Q1406-P1406*G1406*SIN(RADIANS(E1406)))/M1406</f>
        <v/>
      </c>
      <c r="V1406" s="8">
        <f>SQRT((S1406+U1406)^2+3*T1406^2)</f>
        <v/>
      </c>
      <c r="W1406" s="8">
        <f>V1406/AA1406</f>
        <v/>
      </c>
      <c r="X1406" s="27">
        <f>((3*10+H1406/COS(RADIANS(E1406)))*(3+3)+3*G1406*H1406)*2</f>
        <v/>
      </c>
      <c r="Y1406" s="28">
        <f>Z1406/X1406</f>
        <v/>
      </c>
      <c r="Z1406" s="29" t="n">
        <v>592.310960189895</v>
      </c>
      <c r="AA1406" s="20" t="n">
        <v>40.2185725299309</v>
      </c>
      <c r="AB1406" t="n">
        <v>0.0723769136541195</v>
      </c>
      <c r="AC1406" t="n">
        <v>41.36583235314193</v>
      </c>
      <c r="AD1406" t="n">
        <v>29.22464415049757</v>
      </c>
    </row>
    <row r="1407">
      <c r="A1407" t="n">
        <v>1406</v>
      </c>
      <c r="B1407" t="n">
        <v>65</v>
      </c>
      <c r="C1407" s="21">
        <f>B1407-20</f>
        <v/>
      </c>
      <c r="D1407" t="n">
        <v>120.3</v>
      </c>
      <c r="E1407" s="22">
        <f>D1407-90</f>
        <v/>
      </c>
      <c r="F1407" s="23" t="n">
        <v>0.013841</v>
      </c>
      <c r="G1407" s="22" t="n">
        <v>24.3</v>
      </c>
      <c r="H1407" s="22" t="n">
        <v>1.8</v>
      </c>
      <c r="I1407" s="24" t="n">
        <v>0.0662587508559227</v>
      </c>
      <c r="J1407" s="6" t="n">
        <v>71000</v>
      </c>
      <c r="K1407" s="25">
        <f>23*10^-6</f>
        <v/>
      </c>
      <c r="L1407" s="8">
        <f>H1407</f>
        <v/>
      </c>
      <c r="M1407" s="26">
        <f>H1407^2/6</f>
        <v/>
      </c>
      <c r="N1407" s="26">
        <f>H1407^3/12</f>
        <v/>
      </c>
      <c r="O1407" s="27">
        <f>-J1407*L1407*K1407*C1407</f>
        <v/>
      </c>
      <c r="P1407" s="28">
        <f>-(12*F1407*J1407*L1407*N1407+12*O1407*N1407*G1407*COS(RADIANS(E1407)))/(12*N1407*G1407*COS(RADIANS(E1407))^2+L1407*G1407^3*SIN(RADIANS(E1407))^2)</f>
        <v/>
      </c>
      <c r="Q1407" s="28">
        <f>-(6*F1407*J1407*L1407*N1407*SIN(RADIANS(E1407))+6*O1407*N1407*G1407*SIN(RADIANS(E1407))*COS(RADIANS(E1407)))/(12*N1407*COS(RADIANS(E1407))^2+L1407*G1407^2*SIN(RADIANS(E1407))^2)</f>
        <v/>
      </c>
      <c r="R1407" s="28">
        <f>-P1407*SIN(RADIANS(E1407))</f>
        <v/>
      </c>
      <c r="S1407" s="8">
        <f>(O1407+P1407*COS(RADIANS(E1407)))/L1407</f>
        <v/>
      </c>
      <c r="T1407" s="8">
        <f>R1407/L1407</f>
        <v/>
      </c>
      <c r="U1407" s="8">
        <f>(Q1407-P1407*G1407*SIN(RADIANS(E1407)))/M1407</f>
        <v/>
      </c>
      <c r="V1407" s="8">
        <f>SQRT((S1407+U1407)^2+3*T1407^2)</f>
        <v/>
      </c>
      <c r="W1407" s="8">
        <f>V1407/AA1407</f>
        <v/>
      </c>
      <c r="X1407" s="27">
        <f>((3*10+H1407/COS(RADIANS(E1407)))*(3+3)+3*G1407*H1407)*2</f>
        <v/>
      </c>
      <c r="Y1407" s="28">
        <f>Z1407/X1407</f>
        <v/>
      </c>
      <c r="Z1407" s="29" t="n">
        <v>654.688356040132</v>
      </c>
      <c r="AA1407" s="20" t="n">
        <v>72.989822818619</v>
      </c>
      <c r="AB1407" t="n">
        <v>0.07224478850782808</v>
      </c>
      <c r="AC1407" t="n">
        <v>68.29724471815524</v>
      </c>
      <c r="AD1407" t="n">
        <v>9.03433520037497</v>
      </c>
    </row>
    <row r="1408">
      <c r="A1408" t="n">
        <v>1407</v>
      </c>
      <c r="B1408" t="n">
        <v>54</v>
      </c>
      <c r="C1408" s="21">
        <f>B1408-20</f>
        <v/>
      </c>
      <c r="D1408" t="n">
        <v>122.8</v>
      </c>
      <c r="E1408" s="22">
        <f>D1408-90</f>
        <v/>
      </c>
      <c r="F1408" s="23" t="n">
        <v>0.01324</v>
      </c>
      <c r="G1408" s="22" t="n">
        <v>33.5</v>
      </c>
      <c r="H1408" s="22" t="n">
        <v>1.9</v>
      </c>
      <c r="I1408" s="24" t="n">
        <v>0.0587613657116889</v>
      </c>
      <c r="J1408" s="6" t="n">
        <v>71000</v>
      </c>
      <c r="K1408" s="25">
        <f>23*10^-6</f>
        <v/>
      </c>
      <c r="L1408" s="8">
        <f>H1408</f>
        <v/>
      </c>
      <c r="M1408" s="26">
        <f>H1408^2/6</f>
        <v/>
      </c>
      <c r="N1408" s="26">
        <f>H1408^3/12</f>
        <v/>
      </c>
      <c r="O1408" s="27">
        <f>-J1408*L1408*K1408*C1408</f>
        <v/>
      </c>
      <c r="P1408" s="28">
        <f>-(12*F1408*J1408*L1408*N1408+12*O1408*N1408*G1408*COS(RADIANS(E1408)))/(12*N1408*G1408*COS(RADIANS(E1408))^2+L1408*G1408^3*SIN(RADIANS(E1408))^2)</f>
        <v/>
      </c>
      <c r="Q1408" s="28">
        <f>-(6*F1408*J1408*L1408*N1408*SIN(RADIANS(E1408))+6*O1408*N1408*G1408*SIN(RADIANS(E1408))*COS(RADIANS(E1408)))/(12*N1408*COS(RADIANS(E1408))^2+L1408*G1408^2*SIN(RADIANS(E1408))^2)</f>
        <v/>
      </c>
      <c r="R1408" s="28">
        <f>-P1408*SIN(RADIANS(E1408))</f>
        <v/>
      </c>
      <c r="S1408" s="8">
        <f>(O1408+P1408*COS(RADIANS(E1408)))/L1408</f>
        <v/>
      </c>
      <c r="T1408" s="8">
        <f>R1408/L1408</f>
        <v/>
      </c>
      <c r="U1408" s="8">
        <f>(Q1408-P1408*G1408*SIN(RADIANS(E1408)))/M1408</f>
        <v/>
      </c>
      <c r="V1408" s="8">
        <f>SQRT((S1408+U1408)^2+3*T1408^2)</f>
        <v/>
      </c>
      <c r="W1408" s="8">
        <f>V1408/AA1408</f>
        <v/>
      </c>
      <c r="X1408" s="27">
        <f>((3*10+H1408/COS(RADIANS(E1408)))*(3+3)+3*G1408*H1408)*2</f>
        <v/>
      </c>
      <c r="Y1408" s="28">
        <f>Z1408/X1408</f>
        <v/>
      </c>
      <c r="Z1408" s="29" t="n">
        <v>777.0103595880699</v>
      </c>
      <c r="AA1408" s="20" t="n">
        <v>53.0956675623116</v>
      </c>
      <c r="AB1408" t="n">
        <v>0.06830932063076553</v>
      </c>
      <c r="AC1408" t="n">
        <v>50.29692259605771</v>
      </c>
      <c r="AD1408" t="n">
        <v>16.24869470516295</v>
      </c>
    </row>
    <row r="1409">
      <c r="A1409" t="n">
        <v>1408</v>
      </c>
      <c r="B1409" t="n">
        <v>76.3</v>
      </c>
      <c r="C1409" s="21">
        <f>B1409-20</f>
        <v/>
      </c>
      <c r="D1409" t="n">
        <v>109.8</v>
      </c>
      <c r="E1409" s="22">
        <f>D1409-90</f>
        <v/>
      </c>
      <c r="F1409" s="23" t="n">
        <v>0.019491</v>
      </c>
      <c r="G1409" s="22" t="n">
        <v>25.9</v>
      </c>
      <c r="H1409" s="22" t="n">
        <v>1.2</v>
      </c>
      <c r="I1409" s="24" t="n">
        <v>0.116634726524353</v>
      </c>
      <c r="J1409" s="6" t="n">
        <v>71000</v>
      </c>
      <c r="K1409" s="25">
        <f>23*10^-6</f>
        <v/>
      </c>
      <c r="L1409" s="8">
        <f>H1409</f>
        <v/>
      </c>
      <c r="M1409" s="26">
        <f>H1409^2/6</f>
        <v/>
      </c>
      <c r="N1409" s="26">
        <f>H1409^3/12</f>
        <v/>
      </c>
      <c r="O1409" s="27">
        <f>-J1409*L1409*K1409*C1409</f>
        <v/>
      </c>
      <c r="P1409" s="28">
        <f>-(12*F1409*J1409*L1409*N1409+12*O1409*N1409*G1409*COS(RADIANS(E1409)))/(12*N1409*G1409*COS(RADIANS(E1409))^2+L1409*G1409^3*SIN(RADIANS(E1409))^2)</f>
        <v/>
      </c>
      <c r="Q1409" s="28">
        <f>-(6*F1409*J1409*L1409*N1409*SIN(RADIANS(E1409))+6*O1409*N1409*G1409*SIN(RADIANS(E1409))*COS(RADIANS(E1409)))/(12*N1409*COS(RADIANS(E1409))^2+L1409*G1409^2*SIN(RADIANS(E1409))^2)</f>
        <v/>
      </c>
      <c r="R1409" s="28">
        <f>-P1409*SIN(RADIANS(E1409))</f>
        <v/>
      </c>
      <c r="S1409" s="8">
        <f>(O1409+P1409*COS(RADIANS(E1409)))/L1409</f>
        <v/>
      </c>
      <c r="T1409" s="8">
        <f>R1409/L1409</f>
        <v/>
      </c>
      <c r="U1409" s="8">
        <f>(Q1409-P1409*G1409*SIN(RADIANS(E1409)))/M1409</f>
        <v/>
      </c>
      <c r="V1409" s="8">
        <f>SQRT((S1409+U1409)^2+3*T1409^2)</f>
        <v/>
      </c>
      <c r="W1409" s="8">
        <f>V1409/AA1409</f>
        <v/>
      </c>
      <c r="X1409" s="27">
        <f>((3*10+H1409/COS(RADIANS(E1409)))*(3+3)+3*G1409*H1409)*2</f>
        <v/>
      </c>
      <c r="Y1409" s="28">
        <f>Z1409/X1409</f>
        <v/>
      </c>
      <c r="Z1409" s="29" t="n">
        <v>566.7264520801471</v>
      </c>
      <c r="AA1409" s="20" t="n">
        <v>82.09592276586299</v>
      </c>
      <c r="AB1409" t="n">
        <v>0.1505382443159162</v>
      </c>
      <c r="AC1409" t="n">
        <v>86.12662171252722</v>
      </c>
      <c r="AD1409" t="n">
        <v>29.06811616219997</v>
      </c>
    </row>
    <row r="1410">
      <c r="A1410" t="n">
        <v>1409</v>
      </c>
      <c r="B1410" t="n">
        <v>49.6</v>
      </c>
      <c r="C1410" s="21">
        <f>B1410-20</f>
        <v/>
      </c>
      <c r="D1410" t="n">
        <v>120.8</v>
      </c>
      <c r="E1410" s="22">
        <f>D1410-90</f>
        <v/>
      </c>
      <c r="F1410" s="23" t="n">
        <v>0.008517</v>
      </c>
      <c r="G1410" s="22" t="n">
        <v>22.4</v>
      </c>
      <c r="H1410" s="22" t="n">
        <v>1.3</v>
      </c>
      <c r="I1410" s="24" t="n">
        <v>0.0410364381968975</v>
      </c>
      <c r="J1410" s="6" t="n">
        <v>71000</v>
      </c>
      <c r="K1410" s="25">
        <f>23*10^-6</f>
        <v/>
      </c>
      <c r="L1410" s="8">
        <f>H1410</f>
        <v/>
      </c>
      <c r="M1410" s="26">
        <f>H1410^2/6</f>
        <v/>
      </c>
      <c r="N1410" s="26">
        <f>H1410^3/12</f>
        <v/>
      </c>
      <c r="O1410" s="27">
        <f>-J1410*L1410*K1410*C1410</f>
        <v/>
      </c>
      <c r="P1410" s="28">
        <f>-(12*F1410*J1410*L1410*N1410+12*O1410*N1410*G1410*COS(RADIANS(E1410)))/(12*N1410*G1410*COS(RADIANS(E1410))^2+L1410*G1410^3*SIN(RADIANS(E1410))^2)</f>
        <v/>
      </c>
      <c r="Q1410" s="28">
        <f>-(6*F1410*J1410*L1410*N1410*SIN(RADIANS(E1410))+6*O1410*N1410*G1410*SIN(RADIANS(E1410))*COS(RADIANS(E1410)))/(12*N1410*COS(RADIANS(E1410))^2+L1410*G1410^2*SIN(RADIANS(E1410))^2)</f>
        <v/>
      </c>
      <c r="R1410" s="28">
        <f>-P1410*SIN(RADIANS(E1410))</f>
        <v/>
      </c>
      <c r="S1410" s="8">
        <f>(O1410+P1410*COS(RADIANS(E1410)))/L1410</f>
        <v/>
      </c>
      <c r="T1410" s="8">
        <f>R1410/L1410</f>
        <v/>
      </c>
      <c r="U1410" s="8">
        <f>(Q1410-P1410*G1410*SIN(RADIANS(E1410)))/M1410</f>
        <v/>
      </c>
      <c r="V1410" s="8">
        <f>SQRT((S1410+U1410)^2+3*T1410^2)</f>
        <v/>
      </c>
      <c r="W1410" s="8">
        <f>V1410/AA1410</f>
        <v/>
      </c>
      <c r="X1410" s="27">
        <f>((3*10+H1410/COS(RADIANS(E1410)))*(3+3)+3*G1410*H1410)*2</f>
        <v/>
      </c>
      <c r="Y1410" s="28">
        <f>Z1410/X1410</f>
        <v/>
      </c>
      <c r="Z1410" s="29" t="n">
        <v>560.25589811961</v>
      </c>
      <c r="AA1410" s="20" t="n">
        <v>43.6026726611018</v>
      </c>
      <c r="AB1410" t="n">
        <v>0.04360882556975004</v>
      </c>
      <c r="AC1410" t="n">
        <v>43.64941454129229</v>
      </c>
      <c r="AD1410" t="n">
        <v>6.268544459219215</v>
      </c>
    </row>
    <row r="1411">
      <c r="A1411" t="n">
        <v>1410</v>
      </c>
      <c r="B1411" t="n">
        <v>53.6</v>
      </c>
      <c r="C1411" s="21">
        <f>B1411-20</f>
        <v/>
      </c>
      <c r="D1411" t="n">
        <v>120.1</v>
      </c>
      <c r="E1411" s="22">
        <f>D1411-90</f>
        <v/>
      </c>
      <c r="F1411" s="23" t="n">
        <v>0.011279</v>
      </c>
      <c r="G1411" s="22" t="n">
        <v>27.1</v>
      </c>
      <c r="H1411" s="22" t="n">
        <v>1.3</v>
      </c>
      <c r="I1411" s="24" t="n">
        <v>0.0532575659453868</v>
      </c>
      <c r="J1411" s="6" t="n">
        <v>71000</v>
      </c>
      <c r="K1411" s="25">
        <f>23*10^-6</f>
        <v/>
      </c>
      <c r="L1411" s="8">
        <f>H1411</f>
        <v/>
      </c>
      <c r="M1411" s="26">
        <f>H1411^2/6</f>
        <v/>
      </c>
      <c r="N1411" s="26">
        <f>H1411^3/12</f>
        <v/>
      </c>
      <c r="O1411" s="27">
        <f>-J1411*L1411*K1411*C1411</f>
        <v/>
      </c>
      <c r="P1411" s="28">
        <f>-(12*F1411*J1411*L1411*N1411+12*O1411*N1411*G1411*COS(RADIANS(E1411)))/(12*N1411*G1411*COS(RADIANS(E1411))^2+L1411*G1411^3*SIN(RADIANS(E1411))^2)</f>
        <v/>
      </c>
      <c r="Q1411" s="28">
        <f>-(6*F1411*J1411*L1411*N1411*SIN(RADIANS(E1411))+6*O1411*N1411*G1411*SIN(RADIANS(E1411))*COS(RADIANS(E1411)))/(12*N1411*COS(RADIANS(E1411))^2+L1411*G1411^2*SIN(RADIANS(E1411))^2)</f>
        <v/>
      </c>
      <c r="R1411" s="28">
        <f>-P1411*SIN(RADIANS(E1411))</f>
        <v/>
      </c>
      <c r="S1411" s="8">
        <f>(O1411+P1411*COS(RADIANS(E1411)))/L1411</f>
        <v/>
      </c>
      <c r="T1411" s="8">
        <f>R1411/L1411</f>
        <v/>
      </c>
      <c r="U1411" s="8">
        <f>(Q1411-P1411*G1411*SIN(RADIANS(E1411)))/M1411</f>
        <v/>
      </c>
      <c r="V1411" s="8">
        <f>SQRT((S1411+U1411)^2+3*T1411^2)</f>
        <v/>
      </c>
      <c r="W1411" s="8">
        <f>V1411/AA1411</f>
        <v/>
      </c>
      <c r="X1411" s="27">
        <f>((3*10+H1411/COS(RADIANS(E1411)))*(3+3)+3*G1411*H1411)*2</f>
        <v/>
      </c>
      <c r="Y1411" s="28">
        <f>Z1411/X1411</f>
        <v/>
      </c>
      <c r="Z1411" s="29" t="n">
        <v>596.58596363659</v>
      </c>
      <c r="AA1411" s="20" t="n">
        <v>48.4408482323349</v>
      </c>
      <c r="AB1411" t="n">
        <v>0.06075577411992434</v>
      </c>
      <c r="AC1411" t="n">
        <v>49.21380431558558</v>
      </c>
      <c r="AD1411" t="n">
        <v>14.07914169833936</v>
      </c>
    </row>
    <row r="1412">
      <c r="A1412" t="n">
        <v>1411</v>
      </c>
      <c r="B1412" t="n">
        <v>76.5</v>
      </c>
      <c r="C1412" s="21">
        <f>B1412-20</f>
        <v/>
      </c>
      <c r="D1412" t="n">
        <v>118.3</v>
      </c>
      <c r="E1412" s="22">
        <f>D1412-90</f>
        <v/>
      </c>
      <c r="F1412" s="23" t="n">
        <v>0.016114</v>
      </c>
      <c r="G1412" s="22" t="n">
        <v>21.6</v>
      </c>
      <c r="H1412" s="22" t="n">
        <v>1.2</v>
      </c>
      <c r="I1412" s="24" t="n">
        <v>0.0809887051582336</v>
      </c>
      <c r="J1412" s="6" t="n">
        <v>71000</v>
      </c>
      <c r="K1412" s="25">
        <f>23*10^-6</f>
        <v/>
      </c>
      <c r="L1412" s="8">
        <f>H1412</f>
        <v/>
      </c>
      <c r="M1412" s="26">
        <f>H1412^2/6</f>
        <v/>
      </c>
      <c r="N1412" s="26">
        <f>H1412^3/12</f>
        <v/>
      </c>
      <c r="O1412" s="27">
        <f>-J1412*L1412*K1412*C1412</f>
        <v/>
      </c>
      <c r="P1412" s="28">
        <f>-(12*F1412*J1412*L1412*N1412+12*O1412*N1412*G1412*COS(RADIANS(E1412)))/(12*N1412*G1412*COS(RADIANS(E1412))^2+L1412*G1412^3*SIN(RADIANS(E1412))^2)</f>
        <v/>
      </c>
      <c r="Q1412" s="28">
        <f>-(6*F1412*J1412*L1412*N1412*SIN(RADIANS(E1412))+6*O1412*N1412*G1412*SIN(RADIANS(E1412))*COS(RADIANS(E1412)))/(12*N1412*COS(RADIANS(E1412))^2+L1412*G1412^2*SIN(RADIANS(E1412))^2)</f>
        <v/>
      </c>
      <c r="R1412" s="28">
        <f>-P1412*SIN(RADIANS(E1412))</f>
        <v/>
      </c>
      <c r="S1412" s="8">
        <f>(O1412+P1412*COS(RADIANS(E1412)))/L1412</f>
        <v/>
      </c>
      <c r="T1412" s="8">
        <f>R1412/L1412</f>
        <v/>
      </c>
      <c r="U1412" s="8">
        <f>(Q1412-P1412*G1412*SIN(RADIANS(E1412)))/M1412</f>
        <v/>
      </c>
      <c r="V1412" s="8">
        <f>SQRT((S1412+U1412)^2+3*T1412^2)</f>
        <v/>
      </c>
      <c r="W1412" s="8">
        <f>V1412/AA1412</f>
        <v/>
      </c>
      <c r="X1412" s="27">
        <f>((3*10+H1412/COS(RADIANS(E1412)))*(3+3)+3*G1412*H1412)*2</f>
        <v/>
      </c>
      <c r="Y1412" s="28">
        <f>Z1412/X1412</f>
        <v/>
      </c>
      <c r="Z1412" s="29" t="n">
        <v>538.566335433053</v>
      </c>
      <c r="AA1412" s="20" t="n">
        <v>82.4250910833922</v>
      </c>
      <c r="AB1412" t="n">
        <v>0.08810390115603116</v>
      </c>
      <c r="AC1412" t="n">
        <v>83.69622369279101</v>
      </c>
      <c r="AD1412" t="n">
        <v>8.785417650394676</v>
      </c>
    </row>
    <row r="1413">
      <c r="A1413" t="n">
        <v>1412</v>
      </c>
      <c r="B1413" t="n">
        <v>80.7</v>
      </c>
      <c r="C1413" s="21">
        <f>B1413-20</f>
        <v/>
      </c>
      <c r="D1413" t="n">
        <v>107.6</v>
      </c>
      <c r="E1413" s="22">
        <f>D1413-90</f>
        <v/>
      </c>
      <c r="F1413" s="23" t="n">
        <v>0.022093</v>
      </c>
      <c r="G1413" s="22" t="n">
        <v>27.2</v>
      </c>
      <c r="H1413" s="22" t="n">
        <v>1.4</v>
      </c>
      <c r="I1413" s="24" t="n">
        <v>0.141658976674079</v>
      </c>
      <c r="J1413" s="6" t="n">
        <v>71000</v>
      </c>
      <c r="K1413" s="25">
        <f>23*10^-6</f>
        <v/>
      </c>
      <c r="L1413" s="8">
        <f>H1413</f>
        <v/>
      </c>
      <c r="M1413" s="26">
        <f>H1413^2/6</f>
        <v/>
      </c>
      <c r="N1413" s="26">
        <f>H1413^3/12</f>
        <v/>
      </c>
      <c r="O1413" s="27">
        <f>-J1413*L1413*K1413*C1413</f>
        <v/>
      </c>
      <c r="P1413" s="28">
        <f>-(12*F1413*J1413*L1413*N1413+12*O1413*N1413*G1413*COS(RADIANS(E1413)))/(12*N1413*G1413*COS(RADIANS(E1413))^2+L1413*G1413^3*SIN(RADIANS(E1413))^2)</f>
        <v/>
      </c>
      <c r="Q1413" s="28">
        <f>-(6*F1413*J1413*L1413*N1413*SIN(RADIANS(E1413))+6*O1413*N1413*G1413*SIN(RADIANS(E1413))*COS(RADIANS(E1413)))/(12*N1413*COS(RADIANS(E1413))^2+L1413*G1413^2*SIN(RADIANS(E1413))^2)</f>
        <v/>
      </c>
      <c r="R1413" s="28">
        <f>-P1413*SIN(RADIANS(E1413))</f>
        <v/>
      </c>
      <c r="S1413" s="8">
        <f>(O1413+P1413*COS(RADIANS(E1413)))/L1413</f>
        <v/>
      </c>
      <c r="T1413" s="8">
        <f>R1413/L1413</f>
        <v/>
      </c>
      <c r="U1413" s="8">
        <f>(Q1413-P1413*G1413*SIN(RADIANS(E1413)))/M1413</f>
        <v/>
      </c>
      <c r="V1413" s="8">
        <f>SQRT((S1413+U1413)^2+3*T1413^2)</f>
        <v/>
      </c>
      <c r="W1413" s="8">
        <f>V1413/AA1413</f>
        <v/>
      </c>
      <c r="X1413" s="27">
        <f>((3*10+H1413/COS(RADIANS(E1413)))*(3+3)+3*G1413*H1413)*2</f>
        <v/>
      </c>
      <c r="Y1413" s="28">
        <f>Z1413/X1413</f>
        <v/>
      </c>
      <c r="Z1413" s="29" t="n">
        <v>610.717237707226</v>
      </c>
      <c r="AA1413" s="20" t="n">
        <v>92.8093540160839</v>
      </c>
      <c r="AB1413" t="n">
        <v>0.1900448353223542</v>
      </c>
      <c r="AC1413" t="n">
        <v>95.7799274775942</v>
      </c>
      <c r="AD1413" t="n">
        <v>34.15657784935059</v>
      </c>
    </row>
    <row r="1414">
      <c r="A1414" t="n">
        <v>1413</v>
      </c>
      <c r="B1414" t="n">
        <v>73.2</v>
      </c>
      <c r="C1414" s="21">
        <f>B1414-20</f>
        <v/>
      </c>
      <c r="D1414" t="n">
        <v>112.7</v>
      </c>
      <c r="E1414" s="22">
        <f>D1414-90</f>
        <v/>
      </c>
      <c r="F1414" s="23" t="n">
        <v>0.016451</v>
      </c>
      <c r="G1414" s="22" t="n">
        <v>22.9</v>
      </c>
      <c r="H1414" s="22" t="n">
        <v>1.3</v>
      </c>
      <c r="I1414" s="24" t="n">
        <v>0.0918997675180435</v>
      </c>
      <c r="J1414" s="6" t="n">
        <v>71000</v>
      </c>
      <c r="K1414" s="25">
        <f>23*10^-6</f>
        <v/>
      </c>
      <c r="L1414" s="8">
        <f>H1414</f>
        <v/>
      </c>
      <c r="M1414" s="26">
        <f>H1414^2/6</f>
        <v/>
      </c>
      <c r="N1414" s="26">
        <f>H1414^3/12</f>
        <v/>
      </c>
      <c r="O1414" s="27">
        <f>-J1414*L1414*K1414*C1414</f>
        <v/>
      </c>
      <c r="P1414" s="28">
        <f>-(12*F1414*J1414*L1414*N1414+12*O1414*N1414*G1414*COS(RADIANS(E1414)))/(12*N1414*G1414*COS(RADIANS(E1414))^2+L1414*G1414^3*SIN(RADIANS(E1414))^2)</f>
        <v/>
      </c>
      <c r="Q1414" s="28">
        <f>-(6*F1414*J1414*L1414*N1414*SIN(RADIANS(E1414))+6*O1414*N1414*G1414*SIN(RADIANS(E1414))*COS(RADIANS(E1414)))/(12*N1414*COS(RADIANS(E1414))^2+L1414*G1414^2*SIN(RADIANS(E1414))^2)</f>
        <v/>
      </c>
      <c r="R1414" s="28">
        <f>-P1414*SIN(RADIANS(E1414))</f>
        <v/>
      </c>
      <c r="S1414" s="8">
        <f>(O1414+P1414*COS(RADIANS(E1414)))/L1414</f>
        <v/>
      </c>
      <c r="T1414" s="8">
        <f>R1414/L1414</f>
        <v/>
      </c>
      <c r="U1414" s="8">
        <f>(Q1414-P1414*G1414*SIN(RADIANS(E1414)))/M1414</f>
        <v/>
      </c>
      <c r="V1414" s="8">
        <f>SQRT((S1414+U1414)^2+3*T1414^2)</f>
        <v/>
      </c>
      <c r="W1414" s="8">
        <f>V1414/AA1414</f>
        <v/>
      </c>
      <c r="X1414" s="27">
        <f>((3*10+H1414/COS(RADIANS(E1414)))*(3+3)+3*G1414*H1414)*2</f>
        <v/>
      </c>
      <c r="Y1414" s="28">
        <f>Z1414/X1414</f>
        <v/>
      </c>
      <c r="Z1414" s="29" t="n">
        <v>560.978686304798</v>
      </c>
      <c r="AA1414" s="20" t="n">
        <v>79.7551423672605</v>
      </c>
      <c r="AB1414" t="n">
        <v>0.1097892051069484</v>
      </c>
      <c r="AC1414" t="n">
        <v>81.37051057928292</v>
      </c>
      <c r="AD1414" t="n">
        <v>19.46624901460444</v>
      </c>
    </row>
    <row r="1415">
      <c r="A1415" t="n">
        <v>1414</v>
      </c>
      <c r="B1415" t="n">
        <v>45.4</v>
      </c>
      <c r="C1415" s="21">
        <f>B1415-20</f>
        <v/>
      </c>
      <c r="D1415" t="n">
        <v>128.6</v>
      </c>
      <c r="E1415" s="22">
        <f>D1415-90</f>
        <v/>
      </c>
      <c r="F1415" s="23" t="n">
        <v>0.006761</v>
      </c>
      <c r="G1415" s="22" t="n">
        <v>22.2</v>
      </c>
      <c r="H1415" s="22" t="n">
        <v>1.1</v>
      </c>
      <c r="I1415" s="24" t="n">
        <v>0.0304580386728048</v>
      </c>
      <c r="J1415" s="6" t="n">
        <v>71000</v>
      </c>
      <c r="K1415" s="25">
        <f>23*10^-6</f>
        <v/>
      </c>
      <c r="L1415" s="8">
        <f>H1415</f>
        <v/>
      </c>
      <c r="M1415" s="26">
        <f>H1415^2/6</f>
        <v/>
      </c>
      <c r="N1415" s="26">
        <f>H1415^3/12</f>
        <v/>
      </c>
      <c r="O1415" s="27">
        <f>-J1415*L1415*K1415*C1415</f>
        <v/>
      </c>
      <c r="P1415" s="28">
        <f>-(12*F1415*J1415*L1415*N1415+12*O1415*N1415*G1415*COS(RADIANS(E1415)))/(12*N1415*G1415*COS(RADIANS(E1415))^2+L1415*G1415^3*SIN(RADIANS(E1415))^2)</f>
        <v/>
      </c>
      <c r="Q1415" s="28">
        <f>-(6*F1415*J1415*L1415*N1415*SIN(RADIANS(E1415))+6*O1415*N1415*G1415*SIN(RADIANS(E1415))*COS(RADIANS(E1415)))/(12*N1415*COS(RADIANS(E1415))^2+L1415*G1415^2*SIN(RADIANS(E1415))^2)</f>
        <v/>
      </c>
      <c r="R1415" s="28">
        <f>-P1415*SIN(RADIANS(E1415))</f>
        <v/>
      </c>
      <c r="S1415" s="8">
        <f>(O1415+P1415*COS(RADIANS(E1415)))/L1415</f>
        <v/>
      </c>
      <c r="T1415" s="8">
        <f>R1415/L1415</f>
        <v/>
      </c>
      <c r="U1415" s="8">
        <f>(Q1415-P1415*G1415*SIN(RADIANS(E1415)))/M1415</f>
        <v/>
      </c>
      <c r="V1415" s="8">
        <f>SQRT((S1415+U1415)^2+3*T1415^2)</f>
        <v/>
      </c>
      <c r="W1415" s="8">
        <f>V1415/AA1415</f>
        <v/>
      </c>
      <c r="X1415" s="27">
        <f>((3*10+H1415/COS(RADIANS(E1415)))*(3+3)+3*G1415*H1415)*2</f>
        <v/>
      </c>
      <c r="Y1415" s="28">
        <f>Z1415/X1415</f>
        <v/>
      </c>
      <c r="Z1415" s="29" t="n">
        <v>533.5531502080009</v>
      </c>
      <c r="AA1415" s="20" t="n">
        <v>34.6970256319629</v>
      </c>
      <c r="AB1415" t="n">
        <v>0.02912460133828124</v>
      </c>
      <c r="AC1415" t="n">
        <v>36.17862169545246</v>
      </c>
      <c r="AD1415" t="n">
        <v>-4.377948786683201</v>
      </c>
    </row>
    <row r="1416">
      <c r="A1416" t="n">
        <v>1415</v>
      </c>
      <c r="B1416" t="n">
        <v>61.7</v>
      </c>
      <c r="C1416" s="21">
        <f>B1416-20</f>
        <v/>
      </c>
      <c r="D1416" t="n">
        <v>102.7</v>
      </c>
      <c r="E1416" s="22">
        <f>D1416-90</f>
        <v/>
      </c>
      <c r="F1416" s="23" t="n">
        <v>0.016023</v>
      </c>
      <c r="G1416" s="22" t="n">
        <v>28.4</v>
      </c>
      <c r="H1416" s="22" t="n">
        <v>1.6</v>
      </c>
      <c r="I1416" s="24" t="n">
        <v>0.127616003155708</v>
      </c>
      <c r="J1416" s="6" t="n">
        <v>71000</v>
      </c>
      <c r="K1416" s="25">
        <f>23*10^-6</f>
        <v/>
      </c>
      <c r="L1416" s="8">
        <f>H1416</f>
        <v/>
      </c>
      <c r="M1416" s="26">
        <f>H1416^2/6</f>
        <v/>
      </c>
      <c r="N1416" s="26">
        <f>H1416^3/12</f>
        <v/>
      </c>
      <c r="O1416" s="27">
        <f>-J1416*L1416*K1416*C1416</f>
        <v/>
      </c>
      <c r="P1416" s="28">
        <f>-(12*F1416*J1416*L1416*N1416+12*O1416*N1416*G1416*COS(RADIANS(E1416)))/(12*N1416*G1416*COS(RADIANS(E1416))^2+L1416*G1416^3*SIN(RADIANS(E1416))^2)</f>
        <v/>
      </c>
      <c r="Q1416" s="28">
        <f>-(6*F1416*J1416*L1416*N1416*SIN(RADIANS(E1416))+6*O1416*N1416*G1416*SIN(RADIANS(E1416))*COS(RADIANS(E1416)))/(12*N1416*COS(RADIANS(E1416))^2+L1416*G1416^2*SIN(RADIANS(E1416))^2)</f>
        <v/>
      </c>
      <c r="R1416" s="28">
        <f>-P1416*SIN(RADIANS(E1416))</f>
        <v/>
      </c>
      <c r="S1416" s="8">
        <f>(O1416+P1416*COS(RADIANS(E1416)))/L1416</f>
        <v/>
      </c>
      <c r="T1416" s="8">
        <f>R1416/L1416</f>
        <v/>
      </c>
      <c r="U1416" s="8">
        <f>(Q1416-P1416*G1416*SIN(RADIANS(E1416)))/M1416</f>
        <v/>
      </c>
      <c r="V1416" s="8">
        <f>SQRT((S1416+U1416)^2+3*T1416^2)</f>
        <v/>
      </c>
      <c r="W1416" s="8">
        <f>V1416/AA1416</f>
        <v/>
      </c>
      <c r="X1416" s="27">
        <f>((3*10+H1416/COS(RADIANS(E1416)))*(3+3)+3*G1416*H1416)*2</f>
        <v/>
      </c>
      <c r="Y1416" s="28">
        <f>Z1416/X1416</f>
        <v/>
      </c>
      <c r="Z1416" s="29" t="n">
        <v>656.357043302758</v>
      </c>
      <c r="AA1416" s="20" t="n">
        <v>69.06278569165561</v>
      </c>
      <c r="AB1416" t="n">
        <v>0.1833143029958114</v>
      </c>
      <c r="AC1416" t="n">
        <v>70.39733520772674</v>
      </c>
      <c r="AD1416" t="n">
        <v>43.64523136815711</v>
      </c>
    </row>
    <row r="1417">
      <c r="A1417" t="n">
        <v>1416</v>
      </c>
      <c r="B1417" t="n">
        <v>73.8</v>
      </c>
      <c r="C1417" s="21">
        <f>B1417-20</f>
        <v/>
      </c>
      <c r="D1417" t="n">
        <v>117.3</v>
      </c>
      <c r="E1417" s="22">
        <f>D1417-90</f>
        <v/>
      </c>
      <c r="F1417" s="23" t="n">
        <v>0.017687</v>
      </c>
      <c r="G1417" s="22" t="n">
        <v>25.7</v>
      </c>
      <c r="H1417" s="22" t="n">
        <v>1.1</v>
      </c>
      <c r="I1417" s="24" t="n">
        <v>0.0880143195390701</v>
      </c>
      <c r="J1417" s="6" t="n">
        <v>71000</v>
      </c>
      <c r="K1417" s="25">
        <f>23*10^-6</f>
        <v/>
      </c>
      <c r="L1417" s="8">
        <f>H1417</f>
        <v/>
      </c>
      <c r="M1417" s="26">
        <f>H1417^2/6</f>
        <v/>
      </c>
      <c r="N1417" s="26">
        <f>H1417^3/12</f>
        <v/>
      </c>
      <c r="O1417" s="27">
        <f>-J1417*L1417*K1417*C1417</f>
        <v/>
      </c>
      <c r="P1417" s="28">
        <f>-(12*F1417*J1417*L1417*N1417+12*O1417*N1417*G1417*COS(RADIANS(E1417)))/(12*N1417*G1417*COS(RADIANS(E1417))^2+L1417*G1417^3*SIN(RADIANS(E1417))^2)</f>
        <v/>
      </c>
      <c r="Q1417" s="28">
        <f>-(6*F1417*J1417*L1417*N1417*SIN(RADIANS(E1417))+6*O1417*N1417*G1417*SIN(RADIANS(E1417))*COS(RADIANS(E1417)))/(12*N1417*COS(RADIANS(E1417))^2+L1417*G1417^2*SIN(RADIANS(E1417))^2)</f>
        <v/>
      </c>
      <c r="R1417" s="28">
        <f>-P1417*SIN(RADIANS(E1417))</f>
        <v/>
      </c>
      <c r="S1417" s="8">
        <f>(O1417+P1417*COS(RADIANS(E1417)))/L1417</f>
        <v/>
      </c>
      <c r="T1417" s="8">
        <f>R1417/L1417</f>
        <v/>
      </c>
      <c r="U1417" s="8">
        <f>(Q1417-P1417*G1417*SIN(RADIANS(E1417)))/M1417</f>
        <v/>
      </c>
      <c r="V1417" s="8">
        <f>SQRT((S1417+U1417)^2+3*T1417^2)</f>
        <v/>
      </c>
      <c r="W1417" s="8">
        <f>V1417/AA1417</f>
        <v/>
      </c>
      <c r="X1417" s="27">
        <f>((3*10+H1417/COS(RADIANS(E1417)))*(3+3)+3*G1417*H1417)*2</f>
        <v/>
      </c>
      <c r="Y1417" s="28">
        <f>Z1417/X1417</f>
        <v/>
      </c>
      <c r="Z1417" s="29" t="n">
        <v>550.9164232106669</v>
      </c>
      <c r="AA1417" s="20" t="n">
        <v>75.2465775154193</v>
      </c>
      <c r="AB1417" t="n">
        <v>0.1028337564658666</v>
      </c>
      <c r="AC1417" t="n">
        <v>78.75509269767052</v>
      </c>
      <c r="AD1417" t="n">
        <v>16.83752939794987</v>
      </c>
    </row>
    <row r="1418">
      <c r="A1418" t="n">
        <v>1417</v>
      </c>
      <c r="B1418" t="n">
        <v>51.4</v>
      </c>
      <c r="C1418" s="21">
        <f>B1418-20</f>
        <v/>
      </c>
      <c r="D1418" t="n">
        <v>110.7</v>
      </c>
      <c r="E1418" s="22">
        <f>D1418-90</f>
        <v/>
      </c>
      <c r="F1418" s="23" t="n">
        <v>0.013064</v>
      </c>
      <c r="G1418" s="22" t="n">
        <v>32.6</v>
      </c>
      <c r="H1418" s="22" t="n">
        <v>1.5</v>
      </c>
      <c r="I1418" s="24" t="n">
        <v>0.07369045168161389</v>
      </c>
      <c r="J1418" s="6" t="n">
        <v>71000</v>
      </c>
      <c r="K1418" s="25">
        <f>23*10^-6</f>
        <v/>
      </c>
      <c r="L1418" s="8">
        <f>H1418</f>
        <v/>
      </c>
      <c r="M1418" s="26">
        <f>H1418^2/6</f>
        <v/>
      </c>
      <c r="N1418" s="26">
        <f>H1418^3/12</f>
        <v/>
      </c>
      <c r="O1418" s="27">
        <f>-J1418*L1418*K1418*C1418</f>
        <v/>
      </c>
      <c r="P1418" s="28">
        <f>-(12*F1418*J1418*L1418*N1418+12*O1418*N1418*G1418*COS(RADIANS(E1418)))/(12*N1418*G1418*COS(RADIANS(E1418))^2+L1418*G1418^3*SIN(RADIANS(E1418))^2)</f>
        <v/>
      </c>
      <c r="Q1418" s="28">
        <f>-(6*F1418*J1418*L1418*N1418*SIN(RADIANS(E1418))+6*O1418*N1418*G1418*SIN(RADIANS(E1418))*COS(RADIANS(E1418)))/(12*N1418*COS(RADIANS(E1418))^2+L1418*G1418^2*SIN(RADIANS(E1418))^2)</f>
        <v/>
      </c>
      <c r="R1418" s="28">
        <f>-P1418*SIN(RADIANS(E1418))</f>
        <v/>
      </c>
      <c r="S1418" s="8">
        <f>(O1418+P1418*COS(RADIANS(E1418)))/L1418</f>
        <v/>
      </c>
      <c r="T1418" s="8">
        <f>R1418/L1418</f>
        <v/>
      </c>
      <c r="U1418" s="8">
        <f>(Q1418-P1418*G1418*SIN(RADIANS(E1418)))/M1418</f>
        <v/>
      </c>
      <c r="V1418" s="8">
        <f>SQRT((S1418+U1418)^2+3*T1418^2)</f>
        <v/>
      </c>
      <c r="W1418" s="8">
        <f>V1418/AA1418</f>
        <v/>
      </c>
      <c r="X1418" s="27">
        <f>((3*10+H1418/COS(RADIANS(E1418)))*(3+3)+3*G1418*H1418)*2</f>
        <v/>
      </c>
      <c r="Y1418" s="28">
        <f>Z1418/X1418</f>
        <v/>
      </c>
      <c r="Z1418" s="29" t="n">
        <v>677.732093233597</v>
      </c>
      <c r="AA1418" s="20" t="n">
        <v>47.7507663189155</v>
      </c>
      <c r="AB1418" t="n">
        <v>0.09962872312424415</v>
      </c>
      <c r="AC1418" t="n">
        <v>48.09973176057451</v>
      </c>
      <c r="AD1418" t="n">
        <v>35.1989584141767</v>
      </c>
    </row>
    <row r="1419">
      <c r="A1419" t="n">
        <v>1418</v>
      </c>
      <c r="B1419" t="n">
        <v>68.8</v>
      </c>
      <c r="C1419" s="21">
        <f>B1419-20</f>
        <v/>
      </c>
      <c r="D1419" t="n">
        <v>101.4</v>
      </c>
      <c r="E1419" s="22">
        <f>D1419-90</f>
        <v/>
      </c>
      <c r="F1419" s="23" t="n">
        <v>0.021171</v>
      </c>
      <c r="G1419" s="22" t="n">
        <v>32.7</v>
      </c>
      <c r="H1419" s="22" t="n">
        <v>1.3</v>
      </c>
      <c r="I1419" s="24" t="n">
        <v>0.184799596667289</v>
      </c>
      <c r="J1419" s="6" t="n">
        <v>71000</v>
      </c>
      <c r="K1419" s="25">
        <f>23*10^-6</f>
        <v/>
      </c>
      <c r="L1419" s="8">
        <f>H1419</f>
        <v/>
      </c>
      <c r="M1419" s="26">
        <f>H1419^2/6</f>
        <v/>
      </c>
      <c r="N1419" s="26">
        <f>H1419^3/12</f>
        <v/>
      </c>
      <c r="O1419" s="27">
        <f>-J1419*L1419*K1419*C1419</f>
        <v/>
      </c>
      <c r="P1419" s="28">
        <f>-(12*F1419*J1419*L1419*N1419+12*O1419*N1419*G1419*COS(RADIANS(E1419)))/(12*N1419*G1419*COS(RADIANS(E1419))^2+L1419*G1419^3*SIN(RADIANS(E1419))^2)</f>
        <v/>
      </c>
      <c r="Q1419" s="28">
        <f>-(6*F1419*J1419*L1419*N1419*SIN(RADIANS(E1419))+6*O1419*N1419*G1419*SIN(RADIANS(E1419))*COS(RADIANS(E1419)))/(12*N1419*COS(RADIANS(E1419))^2+L1419*G1419^2*SIN(RADIANS(E1419))^2)</f>
        <v/>
      </c>
      <c r="R1419" s="28">
        <f>-P1419*SIN(RADIANS(E1419))</f>
        <v/>
      </c>
      <c r="S1419" s="8">
        <f>(O1419+P1419*COS(RADIANS(E1419)))/L1419</f>
        <v/>
      </c>
      <c r="T1419" s="8">
        <f>R1419/L1419</f>
        <v/>
      </c>
      <c r="U1419" s="8">
        <f>(Q1419-P1419*G1419*SIN(RADIANS(E1419)))/M1419</f>
        <v/>
      </c>
      <c r="V1419" s="8">
        <f>SQRT((S1419+U1419)^2+3*T1419^2)</f>
        <v/>
      </c>
      <c r="W1419" s="8">
        <f>V1419/AA1419</f>
        <v/>
      </c>
      <c r="X1419" s="27">
        <f>((3*10+H1419/COS(RADIANS(E1419)))*(3+3)+3*G1419*H1419)*2</f>
        <v/>
      </c>
      <c r="Y1419" s="28">
        <f>Z1419/X1419</f>
        <v/>
      </c>
      <c r="Z1419" s="29" t="n">
        <v>634.8906144497799</v>
      </c>
      <c r="AA1419" s="20" t="n">
        <v>74.5068091110936</v>
      </c>
      <c r="AB1419" t="n">
        <v>0.2796454598533208</v>
      </c>
      <c r="AC1419" t="n">
        <v>79.8948248539217</v>
      </c>
      <c r="AD1419" t="n">
        <v>51.32363105574911</v>
      </c>
    </row>
    <row r="1420">
      <c r="A1420" t="n">
        <v>1419</v>
      </c>
      <c r="B1420" t="n">
        <v>69.40000000000001</v>
      </c>
      <c r="C1420" s="21">
        <f>B1420-20</f>
        <v/>
      </c>
      <c r="D1420" t="n">
        <v>116.7</v>
      </c>
      <c r="E1420" s="22">
        <f>D1420-90</f>
        <v/>
      </c>
      <c r="F1420" s="23" t="n">
        <v>0.016862</v>
      </c>
      <c r="G1420" s="22" t="n">
        <v>26.8</v>
      </c>
      <c r="H1420" s="22" t="n">
        <v>2</v>
      </c>
      <c r="I1420" s="24" t="n">
        <v>0.0841177925467491</v>
      </c>
      <c r="J1420" s="6" t="n">
        <v>71000</v>
      </c>
      <c r="K1420" s="25">
        <f>23*10^-6</f>
        <v/>
      </c>
      <c r="L1420" s="8">
        <f>H1420</f>
        <v/>
      </c>
      <c r="M1420" s="26">
        <f>H1420^2/6</f>
        <v/>
      </c>
      <c r="N1420" s="26">
        <f>H1420^3/12</f>
        <v/>
      </c>
      <c r="O1420" s="27">
        <f>-J1420*L1420*K1420*C1420</f>
        <v/>
      </c>
      <c r="P1420" s="28">
        <f>-(12*F1420*J1420*L1420*N1420+12*O1420*N1420*G1420*COS(RADIANS(E1420)))/(12*N1420*G1420*COS(RADIANS(E1420))^2+L1420*G1420^3*SIN(RADIANS(E1420))^2)</f>
        <v/>
      </c>
      <c r="Q1420" s="28">
        <f>-(6*F1420*J1420*L1420*N1420*SIN(RADIANS(E1420))+6*O1420*N1420*G1420*SIN(RADIANS(E1420))*COS(RADIANS(E1420)))/(12*N1420*COS(RADIANS(E1420))^2+L1420*G1420^2*SIN(RADIANS(E1420))^2)</f>
        <v/>
      </c>
      <c r="R1420" s="28">
        <f>-P1420*SIN(RADIANS(E1420))</f>
        <v/>
      </c>
      <c r="S1420" s="8">
        <f>(O1420+P1420*COS(RADIANS(E1420)))/L1420</f>
        <v/>
      </c>
      <c r="T1420" s="8">
        <f>R1420/L1420</f>
        <v/>
      </c>
      <c r="U1420" s="8">
        <f>(Q1420-P1420*G1420*SIN(RADIANS(E1420)))/M1420</f>
        <v/>
      </c>
      <c r="V1420" s="8">
        <f>SQRT((S1420+U1420)^2+3*T1420^2)</f>
        <v/>
      </c>
      <c r="W1420" s="8">
        <f>V1420/AA1420</f>
        <v/>
      </c>
      <c r="X1420" s="27">
        <f>((3*10+H1420/COS(RADIANS(E1420)))*(3+3)+3*G1420*H1420)*2</f>
        <v/>
      </c>
      <c r="Y1420" s="28">
        <f>Z1420/X1420</f>
        <v/>
      </c>
      <c r="Z1420" s="29" t="n">
        <v>714.762683871976</v>
      </c>
      <c r="AA1420" s="20" t="n">
        <v>82.8315861782459</v>
      </c>
      <c r="AB1420" t="n">
        <v>0.09893177080872918</v>
      </c>
      <c r="AC1420" t="n">
        <v>76.79372518329541</v>
      </c>
      <c r="AD1420" t="n">
        <v>17.61099264908444</v>
      </c>
    </row>
    <row r="1421">
      <c r="A1421" t="n">
        <v>1420</v>
      </c>
      <c r="B1421" t="n">
        <v>47</v>
      </c>
      <c r="C1421" s="21">
        <f>B1421-20</f>
        <v/>
      </c>
      <c r="D1421" t="n">
        <v>128.6</v>
      </c>
      <c r="E1421" s="22">
        <f>D1421-90</f>
        <v/>
      </c>
      <c r="F1421" s="23" t="n">
        <v>0.008318000000000001</v>
      </c>
      <c r="G1421" s="22" t="n">
        <v>26.9</v>
      </c>
      <c r="H1421" s="22" t="n">
        <v>1.6</v>
      </c>
      <c r="I1421" s="24" t="n">
        <v>0.0364841446280479</v>
      </c>
      <c r="J1421" s="6" t="n">
        <v>71000</v>
      </c>
      <c r="K1421" s="25">
        <f>23*10^-6</f>
        <v/>
      </c>
      <c r="L1421" s="8">
        <f>H1421</f>
        <v/>
      </c>
      <c r="M1421" s="26">
        <f>H1421^2/6</f>
        <v/>
      </c>
      <c r="N1421" s="26">
        <f>H1421^3/12</f>
        <v/>
      </c>
      <c r="O1421" s="27">
        <f>-J1421*L1421*K1421*C1421</f>
        <v/>
      </c>
      <c r="P1421" s="28">
        <f>-(12*F1421*J1421*L1421*N1421+12*O1421*N1421*G1421*COS(RADIANS(E1421)))/(12*N1421*G1421*COS(RADIANS(E1421))^2+L1421*G1421^3*SIN(RADIANS(E1421))^2)</f>
        <v/>
      </c>
      <c r="Q1421" s="28">
        <f>-(6*F1421*J1421*L1421*N1421*SIN(RADIANS(E1421))+6*O1421*N1421*G1421*SIN(RADIANS(E1421))*COS(RADIANS(E1421)))/(12*N1421*COS(RADIANS(E1421))^2+L1421*G1421^2*SIN(RADIANS(E1421))^2)</f>
        <v/>
      </c>
      <c r="R1421" s="28">
        <f>-P1421*SIN(RADIANS(E1421))</f>
        <v/>
      </c>
      <c r="S1421" s="8">
        <f>(O1421+P1421*COS(RADIANS(E1421)))/L1421</f>
        <v/>
      </c>
      <c r="T1421" s="8">
        <f>R1421/L1421</f>
        <v/>
      </c>
      <c r="U1421" s="8">
        <f>(Q1421-P1421*G1421*SIN(RADIANS(E1421)))/M1421</f>
        <v/>
      </c>
      <c r="V1421" s="8">
        <f>SQRT((S1421+U1421)^2+3*T1421^2)</f>
        <v/>
      </c>
      <c r="W1421" s="8">
        <f>V1421/AA1421</f>
        <v/>
      </c>
      <c r="X1421" s="27">
        <f>((3*10+H1421/COS(RADIANS(E1421)))*(3+3)+3*G1421*H1421)*2</f>
        <v/>
      </c>
      <c r="Y1421" s="28">
        <f>Z1421/X1421</f>
        <v/>
      </c>
      <c r="Z1421" s="29" t="n">
        <v>652.950492276123</v>
      </c>
      <c r="AA1421" s="20" t="n">
        <v>39.8051277774773</v>
      </c>
      <c r="AB1421" t="n">
        <v>0.03695316909317037</v>
      </c>
      <c r="AC1421" t="n">
        <v>39.11706332098395</v>
      </c>
      <c r="AD1421" t="n">
        <v>1.285556972498939</v>
      </c>
    </row>
    <row r="1422">
      <c r="A1422" t="n">
        <v>1421</v>
      </c>
      <c r="B1422" t="n">
        <v>65.3</v>
      </c>
      <c r="C1422" s="21">
        <f>B1422-20</f>
        <v/>
      </c>
      <c r="D1422" t="n">
        <v>124</v>
      </c>
      <c r="E1422" s="22">
        <f>D1422-90</f>
        <v/>
      </c>
      <c r="F1422" s="23" t="n">
        <v>0.014144</v>
      </c>
      <c r="G1422" s="22" t="n">
        <v>25.8</v>
      </c>
      <c r="H1422" s="22" t="n">
        <v>1.1</v>
      </c>
      <c r="I1422" s="24" t="n">
        <v>0.06427374482154841</v>
      </c>
      <c r="J1422" s="6" t="n">
        <v>71000</v>
      </c>
      <c r="K1422" s="25">
        <f>23*10^-6</f>
        <v/>
      </c>
      <c r="L1422" s="8">
        <f>H1422</f>
        <v/>
      </c>
      <c r="M1422" s="26">
        <f>H1422^2/6</f>
        <v/>
      </c>
      <c r="N1422" s="26">
        <f>H1422^3/12</f>
        <v/>
      </c>
      <c r="O1422" s="27">
        <f>-J1422*L1422*K1422*C1422</f>
        <v/>
      </c>
      <c r="P1422" s="28">
        <f>-(12*F1422*J1422*L1422*N1422+12*O1422*N1422*G1422*COS(RADIANS(E1422)))/(12*N1422*G1422*COS(RADIANS(E1422))^2+L1422*G1422^3*SIN(RADIANS(E1422))^2)</f>
        <v/>
      </c>
      <c r="Q1422" s="28">
        <f>-(6*F1422*J1422*L1422*N1422*SIN(RADIANS(E1422))+6*O1422*N1422*G1422*SIN(RADIANS(E1422))*COS(RADIANS(E1422)))/(12*N1422*COS(RADIANS(E1422))^2+L1422*G1422^2*SIN(RADIANS(E1422))^2)</f>
        <v/>
      </c>
      <c r="R1422" s="28">
        <f>-P1422*SIN(RADIANS(E1422))</f>
        <v/>
      </c>
      <c r="S1422" s="8">
        <f>(O1422+P1422*COS(RADIANS(E1422)))/L1422</f>
        <v/>
      </c>
      <c r="T1422" s="8">
        <f>R1422/L1422</f>
        <v/>
      </c>
      <c r="U1422" s="8">
        <f>(Q1422-P1422*G1422*SIN(RADIANS(E1422)))/M1422</f>
        <v/>
      </c>
      <c r="V1422" s="8">
        <f>SQRT((S1422+U1422)^2+3*T1422^2)</f>
        <v/>
      </c>
      <c r="W1422" s="8">
        <f>V1422/AA1422</f>
        <v/>
      </c>
      <c r="X1422" s="27">
        <f>((3*10+H1422/COS(RADIANS(E1422)))*(3+3)+3*G1422*H1422)*2</f>
        <v/>
      </c>
      <c r="Y1422" s="28">
        <f>Z1422/X1422</f>
        <v/>
      </c>
      <c r="Z1422" s="29" t="n">
        <v>554.5849370699869</v>
      </c>
      <c r="AA1422" s="20" t="n">
        <v>62.3519316654564</v>
      </c>
      <c r="AB1422" t="n">
        <v>0.06872819036898546</v>
      </c>
      <c r="AC1422" t="n">
        <v>64.95306517983944</v>
      </c>
      <c r="AD1422" t="n">
        <v>6.930427906145059</v>
      </c>
    </row>
    <row r="1423">
      <c r="A1423" t="n">
        <v>1422</v>
      </c>
      <c r="B1423" t="n">
        <v>42.4</v>
      </c>
      <c r="C1423" s="21">
        <f>B1423-20</f>
        <v/>
      </c>
      <c r="D1423" t="n">
        <v>127.2</v>
      </c>
      <c r="E1423" s="22">
        <f>D1423-90</f>
        <v/>
      </c>
      <c r="F1423" s="23" t="n">
        <v>0.008122000000000001</v>
      </c>
      <c r="G1423" s="22" t="n">
        <v>32.4</v>
      </c>
      <c r="H1423" s="22" t="n">
        <v>1.7</v>
      </c>
      <c r="I1423" s="24" t="n">
        <v>0.0349520295858383</v>
      </c>
      <c r="J1423" s="6" t="n">
        <v>71000</v>
      </c>
      <c r="K1423" s="25">
        <f>23*10^-6</f>
        <v/>
      </c>
      <c r="L1423" s="8">
        <f>H1423</f>
        <v/>
      </c>
      <c r="M1423" s="26">
        <f>H1423^2/6</f>
        <v/>
      </c>
      <c r="N1423" s="26">
        <f>H1423^3/12</f>
        <v/>
      </c>
      <c r="O1423" s="27">
        <f>-J1423*L1423*K1423*C1423</f>
        <v/>
      </c>
      <c r="P1423" s="28">
        <f>-(12*F1423*J1423*L1423*N1423+12*O1423*N1423*G1423*COS(RADIANS(E1423)))/(12*N1423*G1423*COS(RADIANS(E1423))^2+L1423*G1423^3*SIN(RADIANS(E1423))^2)</f>
        <v/>
      </c>
      <c r="Q1423" s="28">
        <f>-(6*F1423*J1423*L1423*N1423*SIN(RADIANS(E1423))+6*O1423*N1423*G1423*SIN(RADIANS(E1423))*COS(RADIANS(E1423)))/(12*N1423*COS(RADIANS(E1423))^2+L1423*G1423^2*SIN(RADIANS(E1423))^2)</f>
        <v/>
      </c>
      <c r="R1423" s="28">
        <f>-P1423*SIN(RADIANS(E1423))</f>
        <v/>
      </c>
      <c r="S1423" s="8">
        <f>(O1423+P1423*COS(RADIANS(E1423)))/L1423</f>
        <v/>
      </c>
      <c r="T1423" s="8">
        <f>R1423/L1423</f>
        <v/>
      </c>
      <c r="U1423" s="8">
        <f>(Q1423-P1423*G1423*SIN(RADIANS(E1423)))/M1423</f>
        <v/>
      </c>
      <c r="V1423" s="8">
        <f>SQRT((S1423+U1423)^2+3*T1423^2)</f>
        <v/>
      </c>
      <c r="W1423" s="8">
        <f>V1423/AA1423</f>
        <v/>
      </c>
      <c r="X1423" s="27">
        <f>((3*10+H1423/COS(RADIANS(E1423)))*(3+3)+3*G1423*H1423)*2</f>
        <v/>
      </c>
      <c r="Y1423" s="28">
        <f>Z1423/X1423</f>
        <v/>
      </c>
      <c r="Z1423" s="29" t="n">
        <v>725.655415092994</v>
      </c>
      <c r="AA1423" s="20" t="n">
        <v>33.310350448803</v>
      </c>
      <c r="AB1423" t="n">
        <v>0.03809850497394652</v>
      </c>
      <c r="AC1423" t="n">
        <v>32.44649274213242</v>
      </c>
      <c r="AD1423" t="n">
        <v>9.002268038200265</v>
      </c>
    </row>
    <row r="1424">
      <c r="A1424" t="n">
        <v>1423</v>
      </c>
      <c r="B1424" t="n">
        <v>49.2</v>
      </c>
      <c r="C1424" s="21">
        <f>B1424-20</f>
        <v/>
      </c>
      <c r="D1424" t="n">
        <v>111.1</v>
      </c>
      <c r="E1424" s="22">
        <f>D1424-90</f>
        <v/>
      </c>
      <c r="F1424" s="23" t="n">
        <v>0.012463</v>
      </c>
      <c r="G1424" s="22" t="n">
        <v>33.7</v>
      </c>
      <c r="H1424" s="22" t="n">
        <v>1.2</v>
      </c>
      <c r="I1424" s="24" t="n">
        <v>0.0692854672670364</v>
      </c>
      <c r="J1424" s="6" t="n">
        <v>71000</v>
      </c>
      <c r="K1424" s="25">
        <f>23*10^-6</f>
        <v/>
      </c>
      <c r="L1424" s="8">
        <f>H1424</f>
        <v/>
      </c>
      <c r="M1424" s="26">
        <f>H1424^2/6</f>
        <v/>
      </c>
      <c r="N1424" s="26">
        <f>H1424^3/12</f>
        <v/>
      </c>
      <c r="O1424" s="27">
        <f>-J1424*L1424*K1424*C1424</f>
        <v/>
      </c>
      <c r="P1424" s="28">
        <f>-(12*F1424*J1424*L1424*N1424+12*O1424*N1424*G1424*COS(RADIANS(E1424)))/(12*N1424*G1424*COS(RADIANS(E1424))^2+L1424*G1424^3*SIN(RADIANS(E1424))^2)</f>
        <v/>
      </c>
      <c r="Q1424" s="28">
        <f>-(6*F1424*J1424*L1424*N1424*SIN(RADIANS(E1424))+6*O1424*N1424*G1424*SIN(RADIANS(E1424))*COS(RADIANS(E1424)))/(12*N1424*COS(RADIANS(E1424))^2+L1424*G1424^2*SIN(RADIANS(E1424))^2)</f>
        <v/>
      </c>
      <c r="R1424" s="28">
        <f>-P1424*SIN(RADIANS(E1424))</f>
        <v/>
      </c>
      <c r="S1424" s="8">
        <f>(O1424+P1424*COS(RADIANS(E1424)))/L1424</f>
        <v/>
      </c>
      <c r="T1424" s="8">
        <f>R1424/L1424</f>
        <v/>
      </c>
      <c r="U1424" s="8">
        <f>(Q1424-P1424*G1424*SIN(RADIANS(E1424)))/M1424</f>
        <v/>
      </c>
      <c r="V1424" s="8">
        <f>SQRT((S1424+U1424)^2+3*T1424^2)</f>
        <v/>
      </c>
      <c r="W1424" s="8">
        <f>V1424/AA1424</f>
        <v/>
      </c>
      <c r="X1424" s="27">
        <f>((3*10+H1424/COS(RADIANS(E1424)))*(3+3)+3*G1424*H1424)*2</f>
        <v/>
      </c>
      <c r="Y1424" s="28">
        <f>Z1424/X1424</f>
        <v/>
      </c>
      <c r="Z1424" s="29" t="n">
        <v>623.233235482406</v>
      </c>
      <c r="AA1424" s="20" t="n">
        <v>41.6174762008022</v>
      </c>
      <c r="AB1424" t="n">
        <v>0.09432472615148918</v>
      </c>
      <c r="AC1424" t="n">
        <v>43.49493939825305</v>
      </c>
      <c r="AD1424" t="n">
        <v>36.13926537862232</v>
      </c>
    </row>
    <row r="1425">
      <c r="A1425" t="n">
        <v>1424</v>
      </c>
      <c r="B1425" t="n">
        <v>51.7</v>
      </c>
      <c r="C1425" s="21">
        <f>B1425-20</f>
        <v/>
      </c>
      <c r="D1425" t="n">
        <v>115.3</v>
      </c>
      <c r="E1425" s="22">
        <f>D1425-90</f>
        <v/>
      </c>
      <c r="F1425" s="23" t="n">
        <v>0.010206</v>
      </c>
      <c r="G1425" s="22" t="n">
        <v>24.6</v>
      </c>
      <c r="H1425" s="22" t="n">
        <v>1.3</v>
      </c>
      <c r="I1425" s="24" t="n">
        <v>0.0531365275382995</v>
      </c>
      <c r="J1425" s="6" t="n">
        <v>71000</v>
      </c>
      <c r="K1425" s="25">
        <f>23*10^-6</f>
        <v/>
      </c>
      <c r="L1425" s="8">
        <f>H1425</f>
        <v/>
      </c>
      <c r="M1425" s="26">
        <f>H1425^2/6</f>
        <v/>
      </c>
      <c r="N1425" s="26">
        <f>H1425^3/12</f>
        <v/>
      </c>
      <c r="O1425" s="27">
        <f>-J1425*L1425*K1425*C1425</f>
        <v/>
      </c>
      <c r="P1425" s="28">
        <f>-(12*F1425*J1425*L1425*N1425+12*O1425*N1425*G1425*COS(RADIANS(E1425)))/(12*N1425*G1425*COS(RADIANS(E1425))^2+L1425*G1425^3*SIN(RADIANS(E1425))^2)</f>
        <v/>
      </c>
      <c r="Q1425" s="28">
        <f>-(6*F1425*J1425*L1425*N1425*SIN(RADIANS(E1425))+6*O1425*N1425*G1425*SIN(RADIANS(E1425))*COS(RADIANS(E1425)))/(12*N1425*COS(RADIANS(E1425))^2+L1425*G1425^2*SIN(RADIANS(E1425))^2)</f>
        <v/>
      </c>
      <c r="R1425" s="28">
        <f>-P1425*SIN(RADIANS(E1425))</f>
        <v/>
      </c>
      <c r="S1425" s="8">
        <f>(O1425+P1425*COS(RADIANS(E1425)))/L1425</f>
        <v/>
      </c>
      <c r="T1425" s="8">
        <f>R1425/L1425</f>
        <v/>
      </c>
      <c r="U1425" s="8">
        <f>(Q1425-P1425*G1425*SIN(RADIANS(E1425)))/M1425</f>
        <v/>
      </c>
      <c r="V1425" s="8">
        <f>SQRT((S1425+U1425)^2+3*T1425^2)</f>
        <v/>
      </c>
      <c r="W1425" s="8">
        <f>V1425/AA1425</f>
        <v/>
      </c>
      <c r="X1425" s="27">
        <f>((3*10+H1425/COS(RADIANS(E1425)))*(3+3)+3*G1425*H1425)*2</f>
        <v/>
      </c>
      <c r="Y1425" s="28">
        <f>Z1425/X1425</f>
        <v/>
      </c>
      <c r="Z1425" s="29" t="n">
        <v>575.114939359888</v>
      </c>
      <c r="AA1425" s="20" t="n">
        <v>46.8680794274008</v>
      </c>
      <c r="AB1425" t="n">
        <v>0.06271501980308287</v>
      </c>
      <c r="AC1425" t="n">
        <v>47.60958930430326</v>
      </c>
      <c r="AD1425" t="n">
        <v>18.02619160215059</v>
      </c>
    </row>
    <row r="1426">
      <c r="A1426" t="n">
        <v>1425</v>
      </c>
      <c r="B1426" t="n">
        <v>74.90000000000001</v>
      </c>
      <c r="C1426" s="21">
        <f>B1426-20</f>
        <v/>
      </c>
      <c r="D1426" t="n">
        <v>111.1</v>
      </c>
      <c r="E1426" s="22">
        <f>D1426-90</f>
        <v/>
      </c>
      <c r="F1426" s="23" t="n">
        <v>0.017652</v>
      </c>
      <c r="G1426" s="22" t="n">
        <v>23.8</v>
      </c>
      <c r="H1426" s="22" t="n">
        <v>1.2</v>
      </c>
      <c r="I1426" s="24" t="n">
        <v>0.102577470242977</v>
      </c>
      <c r="J1426" s="6" t="n">
        <v>71000</v>
      </c>
      <c r="K1426" s="25">
        <f>23*10^-6</f>
        <v/>
      </c>
      <c r="L1426" s="8">
        <f>H1426</f>
        <v/>
      </c>
      <c r="M1426" s="26">
        <f>H1426^2/6</f>
        <v/>
      </c>
      <c r="N1426" s="26">
        <f>H1426^3/12</f>
        <v/>
      </c>
      <c r="O1426" s="27">
        <f>-J1426*L1426*K1426*C1426</f>
        <v/>
      </c>
      <c r="P1426" s="28">
        <f>-(12*F1426*J1426*L1426*N1426+12*O1426*N1426*G1426*COS(RADIANS(E1426)))/(12*N1426*G1426*COS(RADIANS(E1426))^2+L1426*G1426^3*SIN(RADIANS(E1426))^2)</f>
        <v/>
      </c>
      <c r="Q1426" s="28">
        <f>-(6*F1426*J1426*L1426*N1426*SIN(RADIANS(E1426))+6*O1426*N1426*G1426*SIN(RADIANS(E1426))*COS(RADIANS(E1426)))/(12*N1426*COS(RADIANS(E1426))^2+L1426*G1426^2*SIN(RADIANS(E1426))^2)</f>
        <v/>
      </c>
      <c r="R1426" s="28">
        <f>-P1426*SIN(RADIANS(E1426))</f>
        <v/>
      </c>
      <c r="S1426" s="8">
        <f>(O1426+P1426*COS(RADIANS(E1426)))/L1426</f>
        <v/>
      </c>
      <c r="T1426" s="8">
        <f>R1426/L1426</f>
        <v/>
      </c>
      <c r="U1426" s="8">
        <f>(Q1426-P1426*G1426*SIN(RADIANS(E1426)))/M1426</f>
        <v/>
      </c>
      <c r="V1426" s="8">
        <f>SQRT((S1426+U1426)^2+3*T1426^2)</f>
        <v/>
      </c>
      <c r="W1426" s="8">
        <f>V1426/AA1426</f>
        <v/>
      </c>
      <c r="X1426" s="27">
        <f>((3*10+H1426/COS(RADIANS(E1426)))*(3+3)+3*G1426*H1426)*2</f>
        <v/>
      </c>
      <c r="Y1426" s="28">
        <f>Z1426/X1426</f>
        <v/>
      </c>
      <c r="Z1426" s="29" t="n">
        <v>551.953235482404</v>
      </c>
      <c r="AA1426" s="20" t="n">
        <v>80.2343724522734</v>
      </c>
      <c r="AB1426" t="n">
        <v>0.1269416336898283</v>
      </c>
      <c r="AC1426" t="n">
        <v>83.80647668419358</v>
      </c>
      <c r="AD1426" t="n">
        <v>23.75196365160838</v>
      </c>
    </row>
    <row r="1427">
      <c r="A1427" t="n">
        <v>1426</v>
      </c>
      <c r="B1427" t="n">
        <v>40.1</v>
      </c>
      <c r="C1427" s="21">
        <f>B1427-20</f>
        <v/>
      </c>
      <c r="D1427" t="n">
        <v>102.6</v>
      </c>
      <c r="E1427" s="22">
        <f>D1427-90</f>
        <v/>
      </c>
      <c r="F1427" s="23" t="n">
        <v>0.006362</v>
      </c>
      <c r="G1427" s="22" t="n">
        <v>22.3</v>
      </c>
      <c r="H1427" s="22" t="n">
        <v>1.1</v>
      </c>
      <c r="I1427" s="24" t="n">
        <v>0.0529442876577377</v>
      </c>
      <c r="J1427" s="6" t="n">
        <v>71000</v>
      </c>
      <c r="K1427" s="25">
        <f>23*10^-6</f>
        <v/>
      </c>
      <c r="L1427" s="8">
        <f>H1427</f>
        <v/>
      </c>
      <c r="M1427" s="26">
        <f>H1427^2/6</f>
        <v/>
      </c>
      <c r="N1427" s="26">
        <f>H1427^3/12</f>
        <v/>
      </c>
      <c r="O1427" s="27">
        <f>-J1427*L1427*K1427*C1427</f>
        <v/>
      </c>
      <c r="P1427" s="28">
        <f>-(12*F1427*J1427*L1427*N1427+12*O1427*N1427*G1427*COS(RADIANS(E1427)))/(12*N1427*G1427*COS(RADIANS(E1427))^2+L1427*G1427^3*SIN(RADIANS(E1427))^2)</f>
        <v/>
      </c>
      <c r="Q1427" s="28">
        <f>-(6*F1427*J1427*L1427*N1427*SIN(RADIANS(E1427))+6*O1427*N1427*G1427*SIN(RADIANS(E1427))*COS(RADIANS(E1427)))/(12*N1427*COS(RADIANS(E1427))^2+L1427*G1427^2*SIN(RADIANS(E1427))^2)</f>
        <v/>
      </c>
      <c r="R1427" s="28">
        <f>-P1427*SIN(RADIANS(E1427))</f>
        <v/>
      </c>
      <c r="S1427" s="8">
        <f>(O1427+P1427*COS(RADIANS(E1427)))/L1427</f>
        <v/>
      </c>
      <c r="T1427" s="8">
        <f>R1427/L1427</f>
        <v/>
      </c>
      <c r="U1427" s="8">
        <f>(Q1427-P1427*G1427*SIN(RADIANS(E1427)))/M1427</f>
        <v/>
      </c>
      <c r="V1427" s="8">
        <f>SQRT((S1427+U1427)^2+3*T1427^2)</f>
        <v/>
      </c>
      <c r="W1427" s="8">
        <f>V1427/AA1427</f>
        <v/>
      </c>
      <c r="X1427" s="27">
        <f>((3*10+H1427/COS(RADIANS(E1427)))*(3+3)+3*G1427*H1427)*2</f>
        <v/>
      </c>
      <c r="Y1427" s="28">
        <f>Z1427/X1427</f>
        <v/>
      </c>
      <c r="Z1427" s="29" t="n">
        <v>524.731634374201</v>
      </c>
      <c r="AA1427" s="20" t="n">
        <v>30.0842500910877</v>
      </c>
      <c r="AB1427" t="n">
        <v>0.07213719593510291</v>
      </c>
      <c r="AC1427" t="n">
        <v>32.80283474699649</v>
      </c>
      <c r="AD1427" t="n">
        <v>36.25114082455733</v>
      </c>
    </row>
    <row r="1428">
      <c r="A1428" t="n">
        <v>1427</v>
      </c>
      <c r="B1428" t="n">
        <v>42</v>
      </c>
      <c r="C1428" s="21">
        <f>B1428-20</f>
        <v/>
      </c>
      <c r="D1428" t="n">
        <v>115.1</v>
      </c>
      <c r="E1428" s="22">
        <f>D1428-90</f>
        <v/>
      </c>
      <c r="F1428" s="23" t="n">
        <v>0.006592</v>
      </c>
      <c r="G1428" s="22" t="n">
        <v>22.4</v>
      </c>
      <c r="H1428" s="22" t="n">
        <v>1.4</v>
      </c>
      <c r="I1428" s="24" t="n">
        <v>0.0349222309887409</v>
      </c>
      <c r="J1428" s="6" t="n">
        <v>71000</v>
      </c>
      <c r="K1428" s="25">
        <f>23*10^-6</f>
        <v/>
      </c>
      <c r="L1428" s="8">
        <f>H1428</f>
        <v/>
      </c>
      <c r="M1428" s="26">
        <f>H1428^2/6</f>
        <v/>
      </c>
      <c r="N1428" s="26">
        <f>H1428^3/12</f>
        <v/>
      </c>
      <c r="O1428" s="27">
        <f>-J1428*L1428*K1428*C1428</f>
        <v/>
      </c>
      <c r="P1428" s="28">
        <f>-(12*F1428*J1428*L1428*N1428+12*O1428*N1428*G1428*COS(RADIANS(E1428)))/(12*N1428*G1428*COS(RADIANS(E1428))^2+L1428*G1428^3*SIN(RADIANS(E1428))^2)</f>
        <v/>
      </c>
      <c r="Q1428" s="28">
        <f>-(6*F1428*J1428*L1428*N1428*SIN(RADIANS(E1428))+6*O1428*N1428*G1428*SIN(RADIANS(E1428))*COS(RADIANS(E1428)))/(12*N1428*COS(RADIANS(E1428))^2+L1428*G1428^2*SIN(RADIANS(E1428))^2)</f>
        <v/>
      </c>
      <c r="R1428" s="28">
        <f>-P1428*SIN(RADIANS(E1428))</f>
        <v/>
      </c>
      <c r="S1428" s="8">
        <f>(O1428+P1428*COS(RADIANS(E1428)))/L1428</f>
        <v/>
      </c>
      <c r="T1428" s="8">
        <f>R1428/L1428</f>
        <v/>
      </c>
      <c r="U1428" s="8">
        <f>(Q1428-P1428*G1428*SIN(RADIANS(E1428)))/M1428</f>
        <v/>
      </c>
      <c r="V1428" s="8">
        <f>SQRT((S1428+U1428)^2+3*T1428^2)</f>
        <v/>
      </c>
      <c r="W1428" s="8">
        <f>V1428/AA1428</f>
        <v/>
      </c>
      <c r="X1428" s="27">
        <f>((3*10+H1428/COS(RADIANS(E1428)))*(3+3)+3*G1428*H1428)*2</f>
        <v/>
      </c>
      <c r="Y1428" s="28">
        <f>Z1428/X1428</f>
        <v/>
      </c>
      <c r="Z1428" s="29" t="n">
        <v>572.648185201337</v>
      </c>
      <c r="AA1428" s="20" t="n">
        <v>33.6533912783206</v>
      </c>
      <c r="AB1428" t="n">
        <v>0.04002489088688035</v>
      </c>
      <c r="AC1428" t="n">
        <v>33.52123987012526</v>
      </c>
      <c r="AD1428" t="n">
        <v>14.61149460864793</v>
      </c>
    </row>
    <row r="1429">
      <c r="A1429" t="n">
        <v>1428</v>
      </c>
      <c r="B1429" t="n">
        <v>68.40000000000001</v>
      </c>
      <c r="C1429" s="21">
        <f>B1429-20</f>
        <v/>
      </c>
      <c r="D1429" t="n">
        <v>102.6</v>
      </c>
      <c r="E1429" s="22">
        <f>D1429-90</f>
        <v/>
      </c>
      <c r="F1429" s="23" t="n">
        <v>0.021834</v>
      </c>
      <c r="G1429" s="22" t="n">
        <v>34.4</v>
      </c>
      <c r="H1429" s="22" t="n">
        <v>1.3</v>
      </c>
      <c r="I1429" s="24" t="n">
        <v>0.175938785076141</v>
      </c>
      <c r="J1429" s="6" t="n">
        <v>71000</v>
      </c>
      <c r="K1429" s="25">
        <f>23*10^-6</f>
        <v/>
      </c>
      <c r="L1429" s="8">
        <f>H1429</f>
        <v/>
      </c>
      <c r="M1429" s="26">
        <f>H1429^2/6</f>
        <v/>
      </c>
      <c r="N1429" s="26">
        <f>H1429^3/12</f>
        <v/>
      </c>
      <c r="O1429" s="27">
        <f>-J1429*L1429*K1429*C1429</f>
        <v/>
      </c>
      <c r="P1429" s="28">
        <f>-(12*F1429*J1429*L1429*N1429+12*O1429*N1429*G1429*COS(RADIANS(E1429)))/(12*N1429*G1429*COS(RADIANS(E1429))^2+L1429*G1429^3*SIN(RADIANS(E1429))^2)</f>
        <v/>
      </c>
      <c r="Q1429" s="28">
        <f>-(6*F1429*J1429*L1429*N1429*SIN(RADIANS(E1429))+6*O1429*N1429*G1429*SIN(RADIANS(E1429))*COS(RADIANS(E1429)))/(12*N1429*COS(RADIANS(E1429))^2+L1429*G1429^2*SIN(RADIANS(E1429))^2)</f>
        <v/>
      </c>
      <c r="R1429" s="28">
        <f>-P1429*SIN(RADIANS(E1429))</f>
        <v/>
      </c>
      <c r="S1429" s="8">
        <f>(O1429+P1429*COS(RADIANS(E1429)))/L1429</f>
        <v/>
      </c>
      <c r="T1429" s="8">
        <f>R1429/L1429</f>
        <v/>
      </c>
      <c r="U1429" s="8">
        <f>(Q1429-P1429*G1429*SIN(RADIANS(E1429)))/M1429</f>
        <v/>
      </c>
      <c r="V1429" s="8">
        <f>SQRT((S1429+U1429)^2+3*T1429^2)</f>
        <v/>
      </c>
      <c r="W1429" s="8">
        <f>V1429/AA1429</f>
        <v/>
      </c>
      <c r="X1429" s="27">
        <f>((3*10+H1429/COS(RADIANS(E1429)))*(3+3)+3*G1429*H1429)*2</f>
        <v/>
      </c>
      <c r="Y1429" s="28">
        <f>Z1429/X1429</f>
        <v/>
      </c>
      <c r="Z1429" s="29" t="n">
        <v>648.3308605024951</v>
      </c>
      <c r="AA1429" s="20" t="n">
        <v>73.1322087446508</v>
      </c>
      <c r="AB1429" t="n">
        <v>0.2654969622425509</v>
      </c>
      <c r="AC1429" t="n">
        <v>77.58389143062956</v>
      </c>
      <c r="AD1429" t="n">
        <v>50.90303262447325</v>
      </c>
    </row>
    <row r="1430">
      <c r="A1430" t="n">
        <v>1429</v>
      </c>
      <c r="B1430" t="n">
        <v>51.4</v>
      </c>
      <c r="C1430" s="21">
        <f>B1430-20</f>
        <v/>
      </c>
      <c r="D1430" t="n">
        <v>125.1</v>
      </c>
      <c r="E1430" s="22">
        <f>D1430-90</f>
        <v/>
      </c>
      <c r="F1430" s="23" t="n">
        <v>0.011666</v>
      </c>
      <c r="G1430" s="22" t="n">
        <v>32.5</v>
      </c>
      <c r="H1430" s="22" t="n">
        <v>1.6</v>
      </c>
      <c r="I1430" s="24" t="n">
        <v>0.0508654899895191</v>
      </c>
      <c r="J1430" s="6" t="n">
        <v>71000</v>
      </c>
      <c r="K1430" s="25">
        <f>23*10^-6</f>
        <v/>
      </c>
      <c r="L1430" s="8">
        <f>H1430</f>
        <v/>
      </c>
      <c r="M1430" s="26">
        <f>H1430^2/6</f>
        <v/>
      </c>
      <c r="N1430" s="26">
        <f>H1430^3/12</f>
        <v/>
      </c>
      <c r="O1430" s="27">
        <f>-J1430*L1430*K1430*C1430</f>
        <v/>
      </c>
      <c r="P1430" s="28">
        <f>-(12*F1430*J1430*L1430*N1430+12*O1430*N1430*G1430*COS(RADIANS(E1430)))/(12*N1430*G1430*COS(RADIANS(E1430))^2+L1430*G1430^3*SIN(RADIANS(E1430))^2)</f>
        <v/>
      </c>
      <c r="Q1430" s="28">
        <f>-(6*F1430*J1430*L1430*N1430*SIN(RADIANS(E1430))+6*O1430*N1430*G1430*SIN(RADIANS(E1430))*COS(RADIANS(E1430)))/(12*N1430*COS(RADIANS(E1430))^2+L1430*G1430^2*SIN(RADIANS(E1430))^2)</f>
        <v/>
      </c>
      <c r="R1430" s="28">
        <f>-P1430*SIN(RADIANS(E1430))</f>
        <v/>
      </c>
      <c r="S1430" s="8">
        <f>(O1430+P1430*COS(RADIANS(E1430)))/L1430</f>
        <v/>
      </c>
      <c r="T1430" s="8">
        <f>R1430/L1430</f>
        <v/>
      </c>
      <c r="U1430" s="8">
        <f>(Q1430-P1430*G1430*SIN(RADIANS(E1430)))/M1430</f>
        <v/>
      </c>
      <c r="V1430" s="8">
        <f>SQRT((S1430+U1430)^2+3*T1430^2)</f>
        <v/>
      </c>
      <c r="W1430" s="8">
        <f>V1430/AA1430</f>
        <v/>
      </c>
      <c r="X1430" s="27">
        <f>((3*10+H1430/COS(RADIANS(E1430)))*(3+3)+3*G1430*H1430)*2</f>
        <v/>
      </c>
      <c r="Y1430" s="28">
        <f>Z1430/X1430</f>
        <v/>
      </c>
      <c r="Z1430" s="29" t="n">
        <v>704.235701035759</v>
      </c>
      <c r="AA1430" s="20" t="n">
        <v>46.3076376073506</v>
      </c>
      <c r="AB1430" t="n">
        <v>0.05709808191764696</v>
      </c>
      <c r="AC1430" t="n">
        <v>45.55490974140345</v>
      </c>
      <c r="AD1430" t="n">
        <v>12.25308540114741</v>
      </c>
    </row>
    <row r="1431">
      <c r="A1431" t="n">
        <v>1430</v>
      </c>
      <c r="B1431" t="n">
        <v>65</v>
      </c>
      <c r="C1431" s="21">
        <f>B1431-20</f>
        <v/>
      </c>
      <c r="D1431" t="n">
        <v>127.9</v>
      </c>
      <c r="E1431" s="22">
        <f>D1431-90</f>
        <v/>
      </c>
      <c r="F1431" s="23" t="n">
        <v>0.01255</v>
      </c>
      <c r="G1431" s="22" t="n">
        <v>23.4</v>
      </c>
      <c r="H1431" s="22" t="n">
        <v>1.1</v>
      </c>
      <c r="I1431" s="24" t="n">
        <v>0.0562737397849559</v>
      </c>
      <c r="J1431" s="6" t="n">
        <v>71000</v>
      </c>
      <c r="K1431" s="25">
        <f>23*10^-6</f>
        <v/>
      </c>
      <c r="L1431" s="8">
        <f>H1431</f>
        <v/>
      </c>
      <c r="M1431" s="26">
        <f>H1431^2/6</f>
        <v/>
      </c>
      <c r="N1431" s="26">
        <f>H1431^3/12</f>
        <v/>
      </c>
      <c r="O1431" s="27">
        <f>-J1431*L1431*K1431*C1431</f>
        <v/>
      </c>
      <c r="P1431" s="28">
        <f>-(12*F1431*J1431*L1431*N1431+12*O1431*N1431*G1431*COS(RADIANS(E1431)))/(12*N1431*G1431*COS(RADIANS(E1431))^2+L1431*G1431^3*SIN(RADIANS(E1431))^2)</f>
        <v/>
      </c>
      <c r="Q1431" s="28">
        <f>-(6*F1431*J1431*L1431*N1431*SIN(RADIANS(E1431))+6*O1431*N1431*G1431*SIN(RADIANS(E1431))*COS(RADIANS(E1431)))/(12*N1431*COS(RADIANS(E1431))^2+L1431*G1431^2*SIN(RADIANS(E1431))^2)</f>
        <v/>
      </c>
      <c r="R1431" s="28">
        <f>-P1431*SIN(RADIANS(E1431))</f>
        <v/>
      </c>
      <c r="S1431" s="8">
        <f>(O1431+P1431*COS(RADIANS(E1431)))/L1431</f>
        <v/>
      </c>
      <c r="T1431" s="8">
        <f>R1431/L1431</f>
        <v/>
      </c>
      <c r="U1431" s="8">
        <f>(Q1431-P1431*G1431*SIN(RADIANS(E1431)))/M1431</f>
        <v/>
      </c>
      <c r="V1431" s="8">
        <f>SQRT((S1431+U1431)^2+3*T1431^2)</f>
        <v/>
      </c>
      <c r="W1431" s="8">
        <f>V1431/AA1431</f>
        <v/>
      </c>
      <c r="X1431" s="27">
        <f>((3*10+H1431/COS(RADIANS(E1431)))*(3+3)+3*G1431*H1431)*2</f>
        <v/>
      </c>
      <c r="Y1431" s="28">
        <f>Z1431/X1431</f>
        <v/>
      </c>
      <c r="Z1431" s="29" t="n">
        <v>541.016894235283</v>
      </c>
      <c r="AA1431" s="20" t="n">
        <v>61.4952869147161</v>
      </c>
      <c r="AB1431" t="n">
        <v>0.05531060384959818</v>
      </c>
      <c r="AC1431" t="n">
        <v>64.11016761306013</v>
      </c>
      <c r="AD1431" t="n">
        <v>-1.711519332175611</v>
      </c>
    </row>
    <row r="1432">
      <c r="A1432" t="n">
        <v>1431</v>
      </c>
      <c r="B1432" t="n">
        <v>89.7</v>
      </c>
      <c r="C1432" s="21">
        <f>B1432-20</f>
        <v/>
      </c>
      <c r="D1432" t="n">
        <v>107.8</v>
      </c>
      <c r="E1432" s="22">
        <f>D1432-90</f>
        <v/>
      </c>
      <c r="F1432" s="23" t="n">
        <v>0.029809</v>
      </c>
      <c r="G1432" s="22" t="n">
        <v>33.1</v>
      </c>
      <c r="H1432" s="22" t="n">
        <v>1.8</v>
      </c>
      <c r="I1432" s="24" t="n">
        <v>0.184828907251358</v>
      </c>
      <c r="J1432" s="6" t="n">
        <v>71000</v>
      </c>
      <c r="K1432" s="25">
        <f>23*10^-6</f>
        <v/>
      </c>
      <c r="L1432" s="8">
        <f>H1432</f>
        <v/>
      </c>
      <c r="M1432" s="26">
        <f>H1432^2/6</f>
        <v/>
      </c>
      <c r="N1432" s="26">
        <f>H1432^3/12</f>
        <v/>
      </c>
      <c r="O1432" s="27">
        <f>-J1432*L1432*K1432*C1432</f>
        <v/>
      </c>
      <c r="P1432" s="28">
        <f>-(12*F1432*J1432*L1432*N1432+12*O1432*N1432*G1432*COS(RADIANS(E1432)))/(12*N1432*G1432*COS(RADIANS(E1432))^2+L1432*G1432^3*SIN(RADIANS(E1432))^2)</f>
        <v/>
      </c>
      <c r="Q1432" s="28">
        <f>-(6*F1432*J1432*L1432*N1432*SIN(RADIANS(E1432))+6*O1432*N1432*G1432*SIN(RADIANS(E1432))*COS(RADIANS(E1432)))/(12*N1432*COS(RADIANS(E1432))^2+L1432*G1432^2*SIN(RADIANS(E1432))^2)</f>
        <v/>
      </c>
      <c r="R1432" s="28">
        <f>-P1432*SIN(RADIANS(E1432))</f>
        <v/>
      </c>
      <c r="S1432" s="8">
        <f>(O1432+P1432*COS(RADIANS(E1432)))/L1432</f>
        <v/>
      </c>
      <c r="T1432" s="8">
        <f>R1432/L1432</f>
        <v/>
      </c>
      <c r="U1432" s="8">
        <f>(Q1432-P1432*G1432*SIN(RADIANS(E1432)))/M1432</f>
        <v/>
      </c>
      <c r="V1432" s="8">
        <f>SQRT((S1432+U1432)^2+3*T1432^2)</f>
        <v/>
      </c>
      <c r="W1432" s="8">
        <f>V1432/AA1432</f>
        <v/>
      </c>
      <c r="X1432" s="27">
        <f>((3*10+H1432/COS(RADIANS(E1432)))*(3+3)+3*G1432*H1432)*2</f>
        <v/>
      </c>
      <c r="Y1432" s="28">
        <f>Z1432/X1432</f>
        <v/>
      </c>
      <c r="Z1432" s="29" t="n">
        <v>744.80627963633</v>
      </c>
      <c r="AA1432" s="20" t="n">
        <v>113.285689242806</v>
      </c>
      <c r="AB1432" t="n">
        <v>0.2587273992780263</v>
      </c>
      <c r="AC1432" t="n">
        <v>111.505244013113</v>
      </c>
      <c r="AD1432" t="n">
        <v>39.98210730433532</v>
      </c>
    </row>
    <row r="1433">
      <c r="A1433" t="n">
        <v>1432</v>
      </c>
      <c r="B1433" t="n">
        <v>55.2</v>
      </c>
      <c r="C1433" s="21">
        <f>B1433-20</f>
        <v/>
      </c>
      <c r="D1433" t="n">
        <v>120</v>
      </c>
      <c r="E1433" s="22">
        <f>D1433-90</f>
        <v/>
      </c>
      <c r="F1433" s="23" t="n">
        <v>0.010505</v>
      </c>
      <c r="G1433" s="22" t="n">
        <v>23.3</v>
      </c>
      <c r="H1433" s="22" t="n">
        <v>1.2</v>
      </c>
      <c r="I1433" s="24" t="n">
        <v>0.0508381687104702</v>
      </c>
      <c r="J1433" s="6" t="n">
        <v>71000</v>
      </c>
      <c r="K1433" s="25">
        <f>23*10^-6</f>
        <v/>
      </c>
      <c r="L1433" s="8">
        <f>H1433</f>
        <v/>
      </c>
      <c r="M1433" s="26">
        <f>H1433^2/6</f>
        <v/>
      </c>
      <c r="N1433" s="26">
        <f>H1433^3/12</f>
        <v/>
      </c>
      <c r="O1433" s="27">
        <f>-J1433*L1433*K1433*C1433</f>
        <v/>
      </c>
      <c r="P1433" s="28">
        <f>-(12*F1433*J1433*L1433*N1433+12*O1433*N1433*G1433*COS(RADIANS(E1433)))/(12*N1433*G1433*COS(RADIANS(E1433))^2+L1433*G1433^3*SIN(RADIANS(E1433))^2)</f>
        <v/>
      </c>
      <c r="Q1433" s="28">
        <f>-(6*F1433*J1433*L1433*N1433*SIN(RADIANS(E1433))+6*O1433*N1433*G1433*SIN(RADIANS(E1433))*COS(RADIANS(E1433)))/(12*N1433*COS(RADIANS(E1433))^2+L1433*G1433^2*SIN(RADIANS(E1433))^2)</f>
        <v/>
      </c>
      <c r="R1433" s="28">
        <f>-P1433*SIN(RADIANS(E1433))</f>
        <v/>
      </c>
      <c r="S1433" s="8">
        <f>(O1433+P1433*COS(RADIANS(E1433)))/L1433</f>
        <v/>
      </c>
      <c r="T1433" s="8">
        <f>R1433/L1433</f>
        <v/>
      </c>
      <c r="U1433" s="8">
        <f>(Q1433-P1433*G1433*SIN(RADIANS(E1433)))/M1433</f>
        <v/>
      </c>
      <c r="V1433" s="8">
        <f>SQRT((S1433+U1433)^2+3*T1433^2)</f>
        <v/>
      </c>
      <c r="W1433" s="8">
        <f>V1433/AA1433</f>
        <v/>
      </c>
      <c r="X1433" s="27">
        <f>((3*10+H1433/COS(RADIANS(E1433)))*(3+3)+3*G1433*H1433)*2</f>
        <v/>
      </c>
      <c r="Y1433" s="28">
        <f>Z1433/X1433</f>
        <v/>
      </c>
      <c r="Z1433" s="29" t="n">
        <v>551.534130059403</v>
      </c>
      <c r="AA1433" s="20" t="n">
        <v>50.5084366909714</v>
      </c>
      <c r="AB1433" t="n">
        <v>0.05543295555681832</v>
      </c>
      <c r="AC1433" t="n">
        <v>51.62553590475503</v>
      </c>
      <c r="AD1433" t="n">
        <v>9.03806522323023</v>
      </c>
    </row>
    <row r="1434">
      <c r="A1434" t="n">
        <v>1433</v>
      </c>
      <c r="B1434" t="n">
        <v>75.8</v>
      </c>
      <c r="C1434" s="21">
        <f>B1434-20</f>
        <v/>
      </c>
      <c r="D1434" t="n">
        <v>114.4</v>
      </c>
      <c r="E1434" s="22">
        <f>D1434-90</f>
        <v/>
      </c>
      <c r="F1434" s="23" t="n">
        <v>0.016851</v>
      </c>
      <c r="G1434" s="22" t="n">
        <v>22.5</v>
      </c>
      <c r="H1434" s="22" t="n">
        <v>1.1</v>
      </c>
      <c r="I1434" s="24" t="n">
        <v>0.0907548442482948</v>
      </c>
      <c r="J1434" s="6" t="n">
        <v>71000</v>
      </c>
      <c r="K1434" s="25">
        <f>23*10^-6</f>
        <v/>
      </c>
      <c r="L1434" s="8">
        <f>H1434</f>
        <v/>
      </c>
      <c r="M1434" s="26">
        <f>H1434^2/6</f>
        <v/>
      </c>
      <c r="N1434" s="26">
        <f>H1434^3/12</f>
        <v/>
      </c>
      <c r="O1434" s="27">
        <f>-J1434*L1434*K1434*C1434</f>
        <v/>
      </c>
      <c r="P1434" s="28">
        <f>-(12*F1434*J1434*L1434*N1434+12*O1434*N1434*G1434*COS(RADIANS(E1434)))/(12*N1434*G1434*COS(RADIANS(E1434))^2+L1434*G1434^3*SIN(RADIANS(E1434))^2)</f>
        <v/>
      </c>
      <c r="Q1434" s="28">
        <f>-(6*F1434*J1434*L1434*N1434*SIN(RADIANS(E1434))+6*O1434*N1434*G1434*SIN(RADIANS(E1434))*COS(RADIANS(E1434)))/(12*N1434*COS(RADIANS(E1434))^2+L1434*G1434^2*SIN(RADIANS(E1434))^2)</f>
        <v/>
      </c>
      <c r="R1434" s="28">
        <f>-P1434*SIN(RADIANS(E1434))</f>
        <v/>
      </c>
      <c r="S1434" s="8">
        <f>(O1434+P1434*COS(RADIANS(E1434)))/L1434</f>
        <v/>
      </c>
      <c r="T1434" s="8">
        <f>R1434/L1434</f>
        <v/>
      </c>
      <c r="U1434" s="8">
        <f>(Q1434-P1434*G1434*SIN(RADIANS(E1434)))/M1434</f>
        <v/>
      </c>
      <c r="V1434" s="8">
        <f>SQRT((S1434+U1434)^2+3*T1434^2)</f>
        <v/>
      </c>
      <c r="W1434" s="8">
        <f>V1434/AA1434</f>
        <v/>
      </c>
      <c r="X1434" s="27">
        <f>((3*10+H1434/COS(RADIANS(E1434)))*(3+3)+3*G1434*H1434)*2</f>
        <v/>
      </c>
      <c r="Y1434" s="28">
        <f>Z1434/X1434</f>
        <v/>
      </c>
      <c r="Z1434" s="29" t="n">
        <v>528.782061833707</v>
      </c>
      <c r="AA1434" s="20" t="n">
        <v>79.9524660449153</v>
      </c>
      <c r="AB1434" t="n">
        <v>0.1057322562274357</v>
      </c>
      <c r="AC1434" t="n">
        <v>83.24181158191494</v>
      </c>
      <c r="AD1434" t="n">
        <v>16.50315429792859</v>
      </c>
    </row>
    <row r="1435">
      <c r="A1435" t="n">
        <v>1434</v>
      </c>
      <c r="B1435" t="n">
        <v>48.9</v>
      </c>
      <c r="C1435" s="21">
        <f>B1435-20</f>
        <v/>
      </c>
      <c r="D1435" t="n">
        <v>103.2</v>
      </c>
      <c r="E1435" s="22">
        <f>D1435-90</f>
        <v/>
      </c>
      <c r="F1435" s="23" t="n">
        <v>0.010509</v>
      </c>
      <c r="G1435" s="22" t="n">
        <v>26.6</v>
      </c>
      <c r="H1435" s="22" t="n">
        <v>1.1</v>
      </c>
      <c r="I1435" s="24" t="n">
        <v>0.0836689919233322</v>
      </c>
      <c r="J1435" s="6" t="n">
        <v>71000</v>
      </c>
      <c r="K1435" s="25">
        <f>23*10^-6</f>
        <v/>
      </c>
      <c r="L1435" s="8">
        <f>H1435</f>
        <v/>
      </c>
      <c r="M1435" s="26">
        <f>H1435^2/6</f>
        <v/>
      </c>
      <c r="N1435" s="26">
        <f>H1435^3/12</f>
        <v/>
      </c>
      <c r="O1435" s="27">
        <f>-J1435*L1435*K1435*C1435</f>
        <v/>
      </c>
      <c r="P1435" s="28">
        <f>-(12*F1435*J1435*L1435*N1435+12*O1435*N1435*G1435*COS(RADIANS(E1435)))/(12*N1435*G1435*COS(RADIANS(E1435))^2+L1435*G1435^3*SIN(RADIANS(E1435))^2)</f>
        <v/>
      </c>
      <c r="Q1435" s="28">
        <f>-(6*F1435*J1435*L1435*N1435*SIN(RADIANS(E1435))+6*O1435*N1435*G1435*SIN(RADIANS(E1435))*COS(RADIANS(E1435)))/(12*N1435*COS(RADIANS(E1435))^2+L1435*G1435^2*SIN(RADIANS(E1435))^2)</f>
        <v/>
      </c>
      <c r="R1435" s="28">
        <f>-P1435*SIN(RADIANS(E1435))</f>
        <v/>
      </c>
      <c r="S1435" s="8">
        <f>(O1435+P1435*COS(RADIANS(E1435)))/L1435</f>
        <v/>
      </c>
      <c r="T1435" s="8">
        <f>R1435/L1435</f>
        <v/>
      </c>
      <c r="U1435" s="8">
        <f>(Q1435-P1435*G1435*SIN(RADIANS(E1435)))/M1435</f>
        <v/>
      </c>
      <c r="V1435" s="8">
        <f>SQRT((S1435+U1435)^2+3*T1435^2)</f>
        <v/>
      </c>
      <c r="W1435" s="8">
        <f>V1435/AA1435</f>
        <v/>
      </c>
      <c r="X1435" s="27">
        <f>((3*10+H1435/COS(RADIANS(E1435)))*(3+3)+3*G1435*H1435)*2</f>
        <v/>
      </c>
      <c r="Y1435" s="28">
        <f>Z1435/X1435</f>
        <v/>
      </c>
      <c r="Z1435" s="29" t="n">
        <v>553.203167297995</v>
      </c>
      <c r="AA1435" s="20" t="n">
        <v>42.2474499132861</v>
      </c>
      <c r="AB1435" t="n">
        <v>0.1184744250381498</v>
      </c>
      <c r="AC1435" t="n">
        <v>46.11678171691572</v>
      </c>
      <c r="AD1435" t="n">
        <v>41.59896314600107</v>
      </c>
    </row>
    <row r="1436">
      <c r="A1436" t="n">
        <v>1435</v>
      </c>
      <c r="B1436" t="n">
        <v>86.8</v>
      </c>
      <c r="C1436" s="21">
        <f>B1436-20</f>
        <v/>
      </c>
      <c r="D1436" t="n">
        <v>127</v>
      </c>
      <c r="E1436" s="22">
        <f>D1436-90</f>
        <v/>
      </c>
      <c r="F1436" s="23" t="n">
        <v>0.020382</v>
      </c>
      <c r="G1436" s="22" t="n">
        <v>26</v>
      </c>
      <c r="H1436" s="22" t="n">
        <v>1.5</v>
      </c>
      <c r="I1436" s="24" t="n">
        <v>0.0905644446611404</v>
      </c>
      <c r="J1436" s="6" t="n">
        <v>71000</v>
      </c>
      <c r="K1436" s="25">
        <f>23*10^-6</f>
        <v/>
      </c>
      <c r="L1436" s="8">
        <f>H1436</f>
        <v/>
      </c>
      <c r="M1436" s="26">
        <f>H1436^2/6</f>
        <v/>
      </c>
      <c r="N1436" s="26">
        <f>H1436^3/12</f>
        <v/>
      </c>
      <c r="O1436" s="27">
        <f>-J1436*L1436*K1436*C1436</f>
        <v/>
      </c>
      <c r="P1436" s="28">
        <f>-(12*F1436*J1436*L1436*N1436+12*O1436*N1436*G1436*COS(RADIANS(E1436)))/(12*N1436*G1436*COS(RADIANS(E1436))^2+L1436*G1436^3*SIN(RADIANS(E1436))^2)</f>
        <v/>
      </c>
      <c r="Q1436" s="28">
        <f>-(6*F1436*J1436*L1436*N1436*SIN(RADIANS(E1436))+6*O1436*N1436*G1436*SIN(RADIANS(E1436))*COS(RADIANS(E1436)))/(12*N1436*COS(RADIANS(E1436))^2+L1436*G1436^2*SIN(RADIANS(E1436))^2)</f>
        <v/>
      </c>
      <c r="R1436" s="28">
        <f>-P1436*SIN(RADIANS(E1436))</f>
        <v/>
      </c>
      <c r="S1436" s="8">
        <f>(O1436+P1436*COS(RADIANS(E1436)))/L1436</f>
        <v/>
      </c>
      <c r="T1436" s="8">
        <f>R1436/L1436</f>
        <v/>
      </c>
      <c r="U1436" s="8">
        <f>(Q1436-P1436*G1436*SIN(RADIANS(E1436)))/M1436</f>
        <v/>
      </c>
      <c r="V1436" s="8">
        <f>SQRT((S1436+U1436)^2+3*T1436^2)</f>
        <v/>
      </c>
      <c r="W1436" s="8">
        <f>V1436/AA1436</f>
        <v/>
      </c>
      <c r="X1436" s="27">
        <f>((3*10+H1436/COS(RADIANS(E1436)))*(3+3)+3*G1436*H1436)*2</f>
        <v/>
      </c>
      <c r="Y1436" s="28">
        <f>Z1436/X1436</f>
        <v/>
      </c>
      <c r="Z1436" s="29" t="n">
        <v>626.023327028203</v>
      </c>
      <c r="AA1436" s="20" t="n">
        <v>98.4699239560743</v>
      </c>
      <c r="AB1436" t="n">
        <v>0.09279008569473987</v>
      </c>
      <c r="AC1436" t="n">
        <v>96.93037428484098</v>
      </c>
      <c r="AD1436" t="n">
        <v>2.457521869567047</v>
      </c>
    </row>
    <row r="1437">
      <c r="A1437" t="n">
        <v>1436</v>
      </c>
      <c r="B1437" t="n">
        <v>73.7</v>
      </c>
      <c r="C1437" s="21">
        <f>B1437-20</f>
        <v/>
      </c>
      <c r="D1437" t="n">
        <v>107.5</v>
      </c>
      <c r="E1437" s="22">
        <f>D1437-90</f>
        <v/>
      </c>
      <c r="F1437" s="23" t="n">
        <v>0.019612</v>
      </c>
      <c r="G1437" s="22" t="n">
        <v>27.3</v>
      </c>
      <c r="H1437" s="22" t="n">
        <v>1.6</v>
      </c>
      <c r="I1437" s="24" t="n">
        <v>0.125603064894676</v>
      </c>
      <c r="J1437" s="6" t="n">
        <v>71000</v>
      </c>
      <c r="K1437" s="25">
        <f>23*10^-6</f>
        <v/>
      </c>
      <c r="L1437" s="8">
        <f>H1437</f>
        <v/>
      </c>
      <c r="M1437" s="26">
        <f>H1437^2/6</f>
        <v/>
      </c>
      <c r="N1437" s="26">
        <f>H1437^3/12</f>
        <v/>
      </c>
      <c r="O1437" s="27">
        <f>-J1437*L1437*K1437*C1437</f>
        <v/>
      </c>
      <c r="P1437" s="28">
        <f>-(12*F1437*J1437*L1437*N1437+12*O1437*N1437*G1437*COS(RADIANS(E1437)))/(12*N1437*G1437*COS(RADIANS(E1437))^2+L1437*G1437^3*SIN(RADIANS(E1437))^2)</f>
        <v/>
      </c>
      <c r="Q1437" s="28">
        <f>-(6*F1437*J1437*L1437*N1437*SIN(RADIANS(E1437))+6*O1437*N1437*G1437*SIN(RADIANS(E1437))*COS(RADIANS(E1437)))/(12*N1437*COS(RADIANS(E1437))^2+L1437*G1437^2*SIN(RADIANS(E1437))^2)</f>
        <v/>
      </c>
      <c r="R1437" s="28">
        <f>-P1437*SIN(RADIANS(E1437))</f>
        <v/>
      </c>
      <c r="S1437" s="8">
        <f>(O1437+P1437*COS(RADIANS(E1437)))/L1437</f>
        <v/>
      </c>
      <c r="T1437" s="8">
        <f>R1437/L1437</f>
        <v/>
      </c>
      <c r="U1437" s="8">
        <f>(Q1437-P1437*G1437*SIN(RADIANS(E1437)))/M1437</f>
        <v/>
      </c>
      <c r="V1437" s="8">
        <f>SQRT((S1437+U1437)^2+3*T1437^2)</f>
        <v/>
      </c>
      <c r="W1437" s="8">
        <f>V1437/AA1437</f>
        <v/>
      </c>
      <c r="X1437" s="27">
        <f>((3*10+H1437/COS(RADIANS(E1437)))*(3+3)+3*G1437*H1437)*2</f>
        <v/>
      </c>
      <c r="Y1437" s="28">
        <f>Z1437/X1437</f>
        <v/>
      </c>
      <c r="Z1437" s="29" t="n">
        <v>646.810087591724</v>
      </c>
      <c r="AA1437" s="20" t="n">
        <v>86.076267891678</v>
      </c>
      <c r="AB1437" t="n">
        <v>0.1683030686673998</v>
      </c>
      <c r="AC1437" t="n">
        <v>86.35433970773124</v>
      </c>
      <c r="AD1437" t="n">
        <v>33.99598871932766</v>
      </c>
    </row>
    <row r="1438">
      <c r="A1438" t="n">
        <v>1437</v>
      </c>
      <c r="B1438" t="n">
        <v>70.40000000000001</v>
      </c>
      <c r="C1438" s="21">
        <f>B1438-20</f>
        <v/>
      </c>
      <c r="D1438" t="n">
        <v>129.4</v>
      </c>
      <c r="E1438" s="22">
        <f>D1438-90</f>
        <v/>
      </c>
      <c r="F1438" s="23" t="n">
        <v>0.015524</v>
      </c>
      <c r="G1438" s="22" t="n">
        <v>27.2</v>
      </c>
      <c r="H1438" s="22" t="n">
        <v>2</v>
      </c>
      <c r="I1438" s="24" t="n">
        <v>0.06788148730993269</v>
      </c>
      <c r="J1438" s="6" t="n">
        <v>71000</v>
      </c>
      <c r="K1438" s="25">
        <f>23*10^-6</f>
        <v/>
      </c>
      <c r="L1438" s="8">
        <f>H1438</f>
        <v/>
      </c>
      <c r="M1438" s="26">
        <f>H1438^2/6</f>
        <v/>
      </c>
      <c r="N1438" s="26">
        <f>H1438^3/12</f>
        <v/>
      </c>
      <c r="O1438" s="27">
        <f>-J1438*L1438*K1438*C1438</f>
        <v/>
      </c>
      <c r="P1438" s="28">
        <f>-(12*F1438*J1438*L1438*N1438+12*O1438*N1438*G1438*COS(RADIANS(E1438)))/(12*N1438*G1438*COS(RADIANS(E1438))^2+L1438*G1438^3*SIN(RADIANS(E1438))^2)</f>
        <v/>
      </c>
      <c r="Q1438" s="28">
        <f>-(6*F1438*J1438*L1438*N1438*SIN(RADIANS(E1438))+6*O1438*N1438*G1438*SIN(RADIANS(E1438))*COS(RADIANS(E1438)))/(12*N1438*COS(RADIANS(E1438))^2+L1438*G1438^2*SIN(RADIANS(E1438))^2)</f>
        <v/>
      </c>
      <c r="R1438" s="28">
        <f>-P1438*SIN(RADIANS(E1438))</f>
        <v/>
      </c>
      <c r="S1438" s="8">
        <f>(O1438+P1438*COS(RADIANS(E1438)))/L1438</f>
        <v/>
      </c>
      <c r="T1438" s="8">
        <f>R1438/L1438</f>
        <v/>
      </c>
      <c r="U1438" s="8">
        <f>(Q1438-P1438*G1438*SIN(RADIANS(E1438)))/M1438</f>
        <v/>
      </c>
      <c r="V1438" s="8">
        <f>SQRT((S1438+U1438)^2+3*T1438^2)</f>
        <v/>
      </c>
      <c r="W1438" s="8">
        <f>V1438/AA1438</f>
        <v/>
      </c>
      <c r="X1438" s="27">
        <f>((3*10+H1438/COS(RADIANS(E1438)))*(3+3)+3*G1438*H1438)*2</f>
        <v/>
      </c>
      <c r="Y1438" s="28">
        <f>Z1438/X1438</f>
        <v/>
      </c>
      <c r="Z1438" s="29" t="n">
        <v>727.950769945168</v>
      </c>
      <c r="AA1438" s="20" t="n">
        <v>80.6694649861582</v>
      </c>
      <c r="AB1438" t="n">
        <v>0.06792733243202148</v>
      </c>
      <c r="AC1438" t="n">
        <v>74.04245211630023</v>
      </c>
      <c r="AD1438" t="n">
        <v>0.06753700295261204</v>
      </c>
    </row>
    <row r="1439">
      <c r="A1439" t="n">
        <v>1438</v>
      </c>
      <c r="B1439" t="n">
        <v>55.4</v>
      </c>
      <c r="C1439" s="21">
        <f>B1439-20</f>
        <v/>
      </c>
      <c r="D1439" t="n">
        <v>109.7</v>
      </c>
      <c r="E1439" s="22">
        <f>D1439-90</f>
        <v/>
      </c>
      <c r="F1439" s="23" t="n">
        <v>0.010438</v>
      </c>
      <c r="G1439" s="22" t="n">
        <v>21.1</v>
      </c>
      <c r="H1439" s="22" t="n">
        <v>1.8</v>
      </c>
      <c r="I1439" s="24" t="n">
        <v>0.06315552443265909</v>
      </c>
      <c r="J1439" s="6" t="n">
        <v>71000</v>
      </c>
      <c r="K1439" s="25">
        <f>23*10^-6</f>
        <v/>
      </c>
      <c r="L1439" s="8">
        <f>H1439</f>
        <v/>
      </c>
      <c r="M1439" s="26">
        <f>H1439^2/6</f>
        <v/>
      </c>
      <c r="N1439" s="26">
        <f>H1439^3/12</f>
        <v/>
      </c>
      <c r="O1439" s="27">
        <f>-J1439*L1439*K1439*C1439</f>
        <v/>
      </c>
      <c r="P1439" s="28">
        <f>-(12*F1439*J1439*L1439*N1439+12*O1439*N1439*G1439*COS(RADIANS(E1439)))/(12*N1439*G1439*COS(RADIANS(E1439))^2+L1439*G1439^3*SIN(RADIANS(E1439))^2)</f>
        <v/>
      </c>
      <c r="Q1439" s="28">
        <f>-(6*F1439*J1439*L1439*N1439*SIN(RADIANS(E1439))+6*O1439*N1439*G1439*SIN(RADIANS(E1439))*COS(RADIANS(E1439)))/(12*N1439*COS(RADIANS(E1439))^2+L1439*G1439^2*SIN(RADIANS(E1439))^2)</f>
        <v/>
      </c>
      <c r="R1439" s="28">
        <f>-P1439*SIN(RADIANS(E1439))</f>
        <v/>
      </c>
      <c r="S1439" s="8">
        <f>(O1439+P1439*COS(RADIANS(E1439)))/L1439</f>
        <v/>
      </c>
      <c r="T1439" s="8">
        <f>R1439/L1439</f>
        <v/>
      </c>
      <c r="U1439" s="8">
        <f>(Q1439-P1439*G1439*SIN(RADIANS(E1439)))/M1439</f>
        <v/>
      </c>
      <c r="V1439" s="8">
        <f>SQRT((S1439+U1439)^2+3*T1439^2)</f>
        <v/>
      </c>
      <c r="W1439" s="8">
        <f>V1439/AA1439</f>
        <v/>
      </c>
      <c r="X1439" s="27">
        <f>((3*10+H1439/COS(RADIANS(E1439)))*(3+3)+3*G1439*H1439)*2</f>
        <v/>
      </c>
      <c r="Y1439" s="28">
        <f>Z1439/X1439</f>
        <v/>
      </c>
      <c r="Z1439" s="29" t="n">
        <v>615.748495724559</v>
      </c>
      <c r="AA1439" s="20" t="n">
        <v>61.238930705703</v>
      </c>
      <c r="AB1439" t="n">
        <v>0.07561181621751095</v>
      </c>
      <c r="AC1439" t="n">
        <v>58.04841211971012</v>
      </c>
      <c r="AD1439" t="n">
        <v>19.72320220083619</v>
      </c>
    </row>
    <row r="1440">
      <c r="A1440" t="n">
        <v>1439</v>
      </c>
      <c r="B1440" t="n">
        <v>44</v>
      </c>
      <c r="C1440" s="21">
        <f>B1440-20</f>
        <v/>
      </c>
      <c r="D1440" t="n">
        <v>101.1</v>
      </c>
      <c r="E1440" s="22">
        <f>D1440-90</f>
        <v/>
      </c>
      <c r="F1440" s="23" t="n">
        <v>0.009401</v>
      </c>
      <c r="G1440" s="22" t="n">
        <v>28.9</v>
      </c>
      <c r="H1440" s="22" t="n">
        <v>1.3</v>
      </c>
      <c r="I1440" s="24" t="n">
        <v>0.084015853703022</v>
      </c>
      <c r="J1440" s="6" t="n">
        <v>71000</v>
      </c>
      <c r="K1440" s="25">
        <f>23*10^-6</f>
        <v/>
      </c>
      <c r="L1440" s="8">
        <f>H1440</f>
        <v/>
      </c>
      <c r="M1440" s="26">
        <f>H1440^2/6</f>
        <v/>
      </c>
      <c r="N1440" s="26">
        <f>H1440^3/12</f>
        <v/>
      </c>
      <c r="O1440" s="27">
        <f>-J1440*L1440*K1440*C1440</f>
        <v/>
      </c>
      <c r="P1440" s="28">
        <f>-(12*F1440*J1440*L1440*N1440+12*O1440*N1440*G1440*COS(RADIANS(E1440)))/(12*N1440*G1440*COS(RADIANS(E1440))^2+L1440*G1440^3*SIN(RADIANS(E1440))^2)</f>
        <v/>
      </c>
      <c r="Q1440" s="28">
        <f>-(6*F1440*J1440*L1440*N1440*SIN(RADIANS(E1440))+6*O1440*N1440*G1440*SIN(RADIANS(E1440))*COS(RADIANS(E1440)))/(12*N1440*COS(RADIANS(E1440))^2+L1440*G1440^2*SIN(RADIANS(E1440))^2)</f>
        <v/>
      </c>
      <c r="R1440" s="28">
        <f>-P1440*SIN(RADIANS(E1440))</f>
        <v/>
      </c>
      <c r="S1440" s="8">
        <f>(O1440+P1440*COS(RADIANS(E1440)))/L1440</f>
        <v/>
      </c>
      <c r="T1440" s="8">
        <f>R1440/L1440</f>
        <v/>
      </c>
      <c r="U1440" s="8">
        <f>(Q1440-P1440*G1440*SIN(RADIANS(E1440)))/M1440</f>
        <v/>
      </c>
      <c r="V1440" s="8">
        <f>SQRT((S1440+U1440)^2+3*T1440^2)</f>
        <v/>
      </c>
      <c r="W1440" s="8">
        <f>V1440/AA1440</f>
        <v/>
      </c>
      <c r="X1440" s="27">
        <f>((3*10+H1440/COS(RADIANS(E1440)))*(3+3)+3*G1440*H1440)*2</f>
        <v/>
      </c>
      <c r="Y1440" s="28">
        <f>Z1440/X1440</f>
        <v/>
      </c>
      <c r="Z1440" s="29" t="n">
        <v>605.208562682394</v>
      </c>
      <c r="AA1440" s="20" t="n">
        <v>37.3939844594532</v>
      </c>
      <c r="AB1440" t="n">
        <v>0.1241545042267079</v>
      </c>
      <c r="AC1440" t="n">
        <v>40.00744853764121</v>
      </c>
      <c r="AD1440" t="n">
        <v>47.77509095553252</v>
      </c>
    </row>
    <row r="1441">
      <c r="A1441" t="n">
        <v>1440</v>
      </c>
      <c r="B1441" t="n">
        <v>80.5</v>
      </c>
      <c r="C1441" s="21">
        <f>B1441-20</f>
        <v/>
      </c>
      <c r="D1441" t="n">
        <v>126.9</v>
      </c>
      <c r="E1441" s="22">
        <f>D1441-90</f>
        <v/>
      </c>
      <c r="F1441" s="23" t="n">
        <v>0.017596</v>
      </c>
      <c r="G1441" s="22" t="n">
        <v>24.4</v>
      </c>
      <c r="H1441" s="22" t="n">
        <v>1.6</v>
      </c>
      <c r="I1441" s="24" t="n">
        <v>0.07902137935161591</v>
      </c>
      <c r="J1441" s="6" t="n">
        <v>71000</v>
      </c>
      <c r="K1441" s="25">
        <f>23*10^-6</f>
        <v/>
      </c>
      <c r="L1441" s="8">
        <f>H1441</f>
        <v/>
      </c>
      <c r="M1441" s="26">
        <f>H1441^2/6</f>
        <v/>
      </c>
      <c r="N1441" s="26">
        <f>H1441^3/12</f>
        <v/>
      </c>
      <c r="O1441" s="27">
        <f>-J1441*L1441*K1441*C1441</f>
        <v/>
      </c>
      <c r="P1441" s="28">
        <f>-(12*F1441*J1441*L1441*N1441+12*O1441*N1441*G1441*COS(RADIANS(E1441)))/(12*N1441*G1441*COS(RADIANS(E1441))^2+L1441*G1441^3*SIN(RADIANS(E1441))^2)</f>
        <v/>
      </c>
      <c r="Q1441" s="28">
        <f>-(6*F1441*J1441*L1441*N1441*SIN(RADIANS(E1441))+6*O1441*N1441*G1441*SIN(RADIANS(E1441))*COS(RADIANS(E1441)))/(12*N1441*COS(RADIANS(E1441))^2+L1441*G1441^2*SIN(RADIANS(E1441))^2)</f>
        <v/>
      </c>
      <c r="R1441" s="28">
        <f>-P1441*SIN(RADIANS(E1441))</f>
        <v/>
      </c>
      <c r="S1441" s="8">
        <f>(O1441+P1441*COS(RADIANS(E1441)))/L1441</f>
        <v/>
      </c>
      <c r="T1441" s="8">
        <f>R1441/L1441</f>
        <v/>
      </c>
      <c r="U1441" s="8">
        <f>(Q1441-P1441*G1441*SIN(RADIANS(E1441)))/M1441</f>
        <v/>
      </c>
      <c r="V1441" s="8">
        <f>SQRT((S1441+U1441)^2+3*T1441^2)</f>
        <v/>
      </c>
      <c r="W1441" s="8">
        <f>V1441/AA1441</f>
        <v/>
      </c>
      <c r="X1441" s="27">
        <f>((3*10+H1441/COS(RADIANS(E1441)))*(3+3)+3*G1441*H1441)*2</f>
        <v/>
      </c>
      <c r="Y1441" s="28">
        <f>Z1441/X1441</f>
        <v/>
      </c>
      <c r="Z1441" s="29" t="n">
        <v>627.6949233313439</v>
      </c>
      <c r="AA1441" s="20" t="n">
        <v>92.30028111256711</v>
      </c>
      <c r="AB1441" t="n">
        <v>0.07927804580838736</v>
      </c>
      <c r="AC1441" t="n">
        <v>88.47892734710335</v>
      </c>
      <c r="AD1441" t="n">
        <v>0.3248063484558854</v>
      </c>
    </row>
    <row r="1442">
      <c r="A1442" t="n">
        <v>1441</v>
      </c>
      <c r="B1442" t="n">
        <v>53.2</v>
      </c>
      <c r="C1442" s="21">
        <f>B1442-20</f>
        <v/>
      </c>
      <c r="D1442" t="n">
        <v>124.4</v>
      </c>
      <c r="E1442" s="22">
        <f>D1442-90</f>
        <v/>
      </c>
      <c r="F1442" s="23" t="n">
        <v>0.010859</v>
      </c>
      <c r="G1442" s="22" t="n">
        <v>27.5</v>
      </c>
      <c r="H1442" s="22" t="n">
        <v>1.4</v>
      </c>
      <c r="I1442" s="24" t="n">
        <v>0.0487516336143016</v>
      </c>
      <c r="J1442" s="6" t="n">
        <v>71000</v>
      </c>
      <c r="K1442" s="25">
        <f>23*10^-6</f>
        <v/>
      </c>
      <c r="L1442" s="8">
        <f>H1442</f>
        <v/>
      </c>
      <c r="M1442" s="26">
        <f>H1442^2/6</f>
        <v/>
      </c>
      <c r="N1442" s="26">
        <f>H1442^3/12</f>
        <v/>
      </c>
      <c r="O1442" s="27">
        <f>-J1442*L1442*K1442*C1442</f>
        <v/>
      </c>
      <c r="P1442" s="28">
        <f>-(12*F1442*J1442*L1442*N1442+12*O1442*N1442*G1442*COS(RADIANS(E1442)))/(12*N1442*G1442*COS(RADIANS(E1442))^2+L1442*G1442^3*SIN(RADIANS(E1442))^2)</f>
        <v/>
      </c>
      <c r="Q1442" s="28">
        <f>-(6*F1442*J1442*L1442*N1442*SIN(RADIANS(E1442))+6*O1442*N1442*G1442*SIN(RADIANS(E1442))*COS(RADIANS(E1442)))/(12*N1442*COS(RADIANS(E1442))^2+L1442*G1442^2*SIN(RADIANS(E1442))^2)</f>
        <v/>
      </c>
      <c r="R1442" s="28">
        <f>-P1442*SIN(RADIANS(E1442))</f>
        <v/>
      </c>
      <c r="S1442" s="8">
        <f>(O1442+P1442*COS(RADIANS(E1442)))/L1442</f>
        <v/>
      </c>
      <c r="T1442" s="8">
        <f>R1442/L1442</f>
        <v/>
      </c>
      <c r="U1442" s="8">
        <f>(Q1442-P1442*G1442*SIN(RADIANS(E1442)))/M1442</f>
        <v/>
      </c>
      <c r="V1442" s="8">
        <f>SQRT((S1442+U1442)^2+3*T1442^2)</f>
        <v/>
      </c>
      <c r="W1442" s="8">
        <f>V1442/AA1442</f>
        <v/>
      </c>
      <c r="X1442" s="27">
        <f>((3*10+H1442/COS(RADIANS(E1442)))*(3+3)+3*G1442*H1442)*2</f>
        <v/>
      </c>
      <c r="Y1442" s="28">
        <f>Z1442/X1442</f>
        <v/>
      </c>
      <c r="Z1442" s="29" t="n">
        <v>619.88137213271</v>
      </c>
      <c r="AA1442" s="20" t="n">
        <v>48.1321512302831</v>
      </c>
      <c r="AB1442" t="n">
        <v>0.05269505523960721</v>
      </c>
      <c r="AC1442" t="n">
        <v>48.1925959496547</v>
      </c>
      <c r="AD1442" t="n">
        <v>8.088798944675339</v>
      </c>
    </row>
    <row r="1443">
      <c r="A1443" t="n">
        <v>1442</v>
      </c>
      <c r="B1443" t="n">
        <v>59.8</v>
      </c>
      <c r="C1443" s="21">
        <f>B1443-20</f>
        <v/>
      </c>
      <c r="D1443" t="n">
        <v>119.4</v>
      </c>
      <c r="E1443" s="22">
        <f>D1443-90</f>
        <v/>
      </c>
      <c r="F1443" s="23" t="n">
        <v>0.011023</v>
      </c>
      <c r="G1443" s="22" t="n">
        <v>21</v>
      </c>
      <c r="H1443" s="22" t="n">
        <v>1.6</v>
      </c>
      <c r="I1443" s="24" t="n">
        <v>0.0546526387333869</v>
      </c>
      <c r="J1443" s="6" t="n">
        <v>71000</v>
      </c>
      <c r="K1443" s="25">
        <f>23*10^-6</f>
        <v/>
      </c>
      <c r="L1443" s="8">
        <f>H1443</f>
        <v/>
      </c>
      <c r="M1443" s="26">
        <f>H1443^2/6</f>
        <v/>
      </c>
      <c r="N1443" s="26">
        <f>H1443^3/12</f>
        <v/>
      </c>
      <c r="O1443" s="27">
        <f>-J1443*L1443*K1443*C1443</f>
        <v/>
      </c>
      <c r="P1443" s="28">
        <f>-(12*F1443*J1443*L1443*N1443+12*O1443*N1443*G1443*COS(RADIANS(E1443)))/(12*N1443*G1443*COS(RADIANS(E1443))^2+L1443*G1443^3*SIN(RADIANS(E1443))^2)</f>
        <v/>
      </c>
      <c r="Q1443" s="28">
        <f>-(6*F1443*J1443*L1443*N1443*SIN(RADIANS(E1443))+6*O1443*N1443*G1443*SIN(RADIANS(E1443))*COS(RADIANS(E1443)))/(12*N1443*COS(RADIANS(E1443))^2+L1443*G1443^2*SIN(RADIANS(E1443))^2)</f>
        <v/>
      </c>
      <c r="R1443" s="28">
        <f>-P1443*SIN(RADIANS(E1443))</f>
        <v/>
      </c>
      <c r="S1443" s="8">
        <f>(O1443+P1443*COS(RADIANS(E1443)))/L1443</f>
        <v/>
      </c>
      <c r="T1443" s="8">
        <f>R1443/L1443</f>
        <v/>
      </c>
      <c r="U1443" s="8">
        <f>(Q1443-P1443*G1443*SIN(RADIANS(E1443)))/M1443</f>
        <v/>
      </c>
      <c r="V1443" s="8">
        <f>SQRT((S1443+U1443)^2+3*T1443^2)</f>
        <v/>
      </c>
      <c r="W1443" s="8">
        <f>V1443/AA1443</f>
        <v/>
      </c>
      <c r="X1443" s="27">
        <f>((3*10+H1443/COS(RADIANS(E1443)))*(3+3)+3*G1443*H1443)*2</f>
        <v/>
      </c>
      <c r="Y1443" s="28">
        <f>Z1443/X1443</f>
        <v/>
      </c>
      <c r="Z1443" s="29" t="n">
        <v>590.619620159196</v>
      </c>
      <c r="AA1443" s="20" t="n">
        <v>63.521678261949</v>
      </c>
      <c r="AB1443" t="n">
        <v>0.05755659971385742</v>
      </c>
      <c r="AC1443" t="n">
        <v>60.40763280585961</v>
      </c>
      <c r="AD1443" t="n">
        <v>5.313487230940439</v>
      </c>
    </row>
    <row r="1444">
      <c r="A1444" t="n">
        <v>1443</v>
      </c>
      <c r="B1444" t="n">
        <v>69.7</v>
      </c>
      <c r="C1444" s="21">
        <f>B1444-20</f>
        <v/>
      </c>
      <c r="D1444" t="n">
        <v>108</v>
      </c>
      <c r="E1444" s="22">
        <f>D1444-90</f>
        <v/>
      </c>
      <c r="F1444" s="23" t="n">
        <v>0.015308</v>
      </c>
      <c r="G1444" s="22" t="n">
        <v>22.1</v>
      </c>
      <c r="H1444" s="22" t="n">
        <v>2</v>
      </c>
      <c r="I1444" s="24" t="n">
        <v>0.0963874235749244</v>
      </c>
      <c r="J1444" s="6" t="n">
        <v>71000</v>
      </c>
      <c r="K1444" s="25">
        <f>23*10^-6</f>
        <v/>
      </c>
      <c r="L1444" s="8">
        <f>H1444</f>
        <v/>
      </c>
      <c r="M1444" s="26">
        <f>H1444^2/6</f>
        <v/>
      </c>
      <c r="N1444" s="26">
        <f>H1444^3/12</f>
        <v/>
      </c>
      <c r="O1444" s="27">
        <f>-J1444*L1444*K1444*C1444</f>
        <v/>
      </c>
      <c r="P1444" s="28">
        <f>-(12*F1444*J1444*L1444*N1444+12*O1444*N1444*G1444*COS(RADIANS(E1444)))/(12*N1444*G1444*COS(RADIANS(E1444))^2+L1444*G1444^3*SIN(RADIANS(E1444))^2)</f>
        <v/>
      </c>
      <c r="Q1444" s="28">
        <f>-(6*F1444*J1444*L1444*N1444*SIN(RADIANS(E1444))+6*O1444*N1444*G1444*SIN(RADIANS(E1444))*COS(RADIANS(E1444)))/(12*N1444*COS(RADIANS(E1444))^2+L1444*G1444^2*SIN(RADIANS(E1444))^2)</f>
        <v/>
      </c>
      <c r="R1444" s="28">
        <f>-P1444*SIN(RADIANS(E1444))</f>
        <v/>
      </c>
      <c r="S1444" s="8">
        <f>(O1444+P1444*COS(RADIANS(E1444)))/L1444</f>
        <v/>
      </c>
      <c r="T1444" s="8">
        <f>R1444/L1444</f>
        <v/>
      </c>
      <c r="U1444" s="8">
        <f>(Q1444-P1444*G1444*SIN(RADIANS(E1444)))/M1444</f>
        <v/>
      </c>
      <c r="V1444" s="8">
        <f>SQRT((S1444+U1444)^2+3*T1444^2)</f>
        <v/>
      </c>
      <c r="W1444" s="8">
        <f>V1444/AA1444</f>
        <v/>
      </c>
      <c r="X1444" s="27">
        <f>((3*10+H1444/COS(RADIANS(E1444)))*(3+3)+3*G1444*H1444)*2</f>
        <v/>
      </c>
      <c r="Y1444" s="28">
        <f>Z1444/X1444</f>
        <v/>
      </c>
      <c r="Z1444" s="29" t="n">
        <v>655.1038161490781</v>
      </c>
      <c r="AA1444" s="20" t="n">
        <v>90.32184632859649</v>
      </c>
      <c r="AB1444" t="n">
        <v>0.1192294435119796</v>
      </c>
      <c r="AC1444" t="n">
        <v>83.79710080594299</v>
      </c>
      <c r="AD1444" t="n">
        <v>23.69813310685657</v>
      </c>
    </row>
    <row r="1445">
      <c r="A1445" t="n">
        <v>1444</v>
      </c>
      <c r="B1445" t="n">
        <v>61.2</v>
      </c>
      <c r="C1445" s="21">
        <f>B1445-20</f>
        <v/>
      </c>
      <c r="D1445" t="n">
        <v>109.2</v>
      </c>
      <c r="E1445" s="22">
        <f>D1445-90</f>
        <v/>
      </c>
      <c r="F1445" s="23" t="n">
        <v>0.013863</v>
      </c>
      <c r="G1445" s="22" t="n">
        <v>24.9</v>
      </c>
      <c r="H1445" s="22" t="n">
        <v>2</v>
      </c>
      <c r="I1445" s="24" t="n">
        <v>0.0834691449999809</v>
      </c>
      <c r="J1445" s="6" t="n">
        <v>71000</v>
      </c>
      <c r="K1445" s="25">
        <f>23*10^-6</f>
        <v/>
      </c>
      <c r="L1445" s="8">
        <f>H1445</f>
        <v/>
      </c>
      <c r="M1445" s="26">
        <f>H1445^2/6</f>
        <v/>
      </c>
      <c r="N1445" s="26">
        <f>H1445^3/12</f>
        <v/>
      </c>
      <c r="O1445" s="27">
        <f>-J1445*L1445*K1445*C1445</f>
        <v/>
      </c>
      <c r="P1445" s="28">
        <f>-(12*F1445*J1445*L1445*N1445+12*O1445*N1445*G1445*COS(RADIANS(E1445)))/(12*N1445*G1445*COS(RADIANS(E1445))^2+L1445*G1445^3*SIN(RADIANS(E1445))^2)</f>
        <v/>
      </c>
      <c r="Q1445" s="28">
        <f>-(6*F1445*J1445*L1445*N1445*SIN(RADIANS(E1445))+6*O1445*N1445*G1445*SIN(RADIANS(E1445))*COS(RADIANS(E1445)))/(12*N1445*COS(RADIANS(E1445))^2+L1445*G1445^2*SIN(RADIANS(E1445))^2)</f>
        <v/>
      </c>
      <c r="R1445" s="28">
        <f>-P1445*SIN(RADIANS(E1445))</f>
        <v/>
      </c>
      <c r="S1445" s="8">
        <f>(O1445+P1445*COS(RADIANS(E1445)))/L1445</f>
        <v/>
      </c>
      <c r="T1445" s="8">
        <f>R1445/L1445</f>
        <v/>
      </c>
      <c r="U1445" s="8">
        <f>(Q1445-P1445*G1445*SIN(RADIANS(E1445)))/M1445</f>
        <v/>
      </c>
      <c r="V1445" s="8">
        <f>SQRT((S1445+U1445)^2+3*T1445^2)</f>
        <v/>
      </c>
      <c r="W1445" s="8">
        <f>V1445/AA1445</f>
        <v/>
      </c>
      <c r="X1445" s="27">
        <f>((3*10+H1445/COS(RADIANS(E1445)))*(3+3)+3*G1445*H1445)*2</f>
        <v/>
      </c>
      <c r="Y1445" s="28">
        <f>Z1445/X1445</f>
        <v/>
      </c>
      <c r="Z1445" s="29" t="n">
        <v>689.060822348896</v>
      </c>
      <c r="AA1445" s="20" t="n">
        <v>72.8195958563882</v>
      </c>
      <c r="AB1445" t="n">
        <v>0.1056762751996077</v>
      </c>
      <c r="AC1445" t="n">
        <v>68.02155468963595</v>
      </c>
      <c r="AD1445" t="n">
        <v>26.60519668631068</v>
      </c>
    </row>
    <row r="1446">
      <c r="A1446" t="n">
        <v>1445</v>
      </c>
      <c r="B1446" t="n">
        <v>51.9</v>
      </c>
      <c r="C1446" s="21">
        <f>B1446-20</f>
        <v/>
      </c>
      <c r="D1446" t="n">
        <v>119.8</v>
      </c>
      <c r="E1446" s="22">
        <f>D1446-90</f>
        <v/>
      </c>
      <c r="F1446" s="23" t="n">
        <v>0.012533</v>
      </c>
      <c r="G1446" s="22" t="n">
        <v>32.8</v>
      </c>
      <c r="H1446" s="22" t="n">
        <v>1.4</v>
      </c>
      <c r="I1446" s="24" t="n">
        <v>0.0578243657946586</v>
      </c>
      <c r="J1446" s="6" t="n">
        <v>71000</v>
      </c>
      <c r="K1446" s="25">
        <f>23*10^-6</f>
        <v/>
      </c>
      <c r="L1446" s="8">
        <f>H1446</f>
        <v/>
      </c>
      <c r="M1446" s="26">
        <f>H1446^2/6</f>
        <v/>
      </c>
      <c r="N1446" s="26">
        <f>H1446^3/12</f>
        <v/>
      </c>
      <c r="O1446" s="27">
        <f>-J1446*L1446*K1446*C1446</f>
        <v/>
      </c>
      <c r="P1446" s="28">
        <f>-(12*F1446*J1446*L1446*N1446+12*O1446*N1446*G1446*COS(RADIANS(E1446)))/(12*N1446*G1446*COS(RADIANS(E1446))^2+L1446*G1446^3*SIN(RADIANS(E1446))^2)</f>
        <v/>
      </c>
      <c r="Q1446" s="28">
        <f>-(6*F1446*J1446*L1446*N1446*SIN(RADIANS(E1446))+6*O1446*N1446*G1446*SIN(RADIANS(E1446))*COS(RADIANS(E1446)))/(12*N1446*COS(RADIANS(E1446))^2+L1446*G1446^2*SIN(RADIANS(E1446))^2)</f>
        <v/>
      </c>
      <c r="R1446" s="28">
        <f>-P1446*SIN(RADIANS(E1446))</f>
        <v/>
      </c>
      <c r="S1446" s="8">
        <f>(O1446+P1446*COS(RADIANS(E1446)))/L1446</f>
        <v/>
      </c>
      <c r="T1446" s="8">
        <f>R1446/L1446</f>
        <v/>
      </c>
      <c r="U1446" s="8">
        <f>(Q1446-P1446*G1446*SIN(RADIANS(E1446)))/M1446</f>
        <v/>
      </c>
      <c r="V1446" s="8">
        <f>SQRT((S1446+U1446)^2+3*T1446^2)</f>
        <v/>
      </c>
      <c r="W1446" s="8">
        <f>V1446/AA1446</f>
        <v/>
      </c>
      <c r="X1446" s="27">
        <f>((3*10+H1446/COS(RADIANS(E1446)))*(3+3)+3*G1446*H1446)*2</f>
        <v/>
      </c>
      <c r="Y1446" s="28">
        <f>Z1446/X1446</f>
        <v/>
      </c>
      <c r="Z1446" s="29" t="n">
        <v>661.970942464427</v>
      </c>
      <c r="AA1446" s="20" t="n">
        <v>45.9975008729743</v>
      </c>
      <c r="AB1446" t="n">
        <v>0.0698791141705412</v>
      </c>
      <c r="AC1446" t="n">
        <v>46.56040333014543</v>
      </c>
      <c r="AD1446" t="n">
        <v>20.84717784660274</v>
      </c>
    </row>
    <row r="1447">
      <c r="A1447" t="n">
        <v>1446</v>
      </c>
      <c r="B1447" t="n">
        <v>77.2</v>
      </c>
      <c r="C1447" s="21">
        <f>B1447-20</f>
        <v/>
      </c>
      <c r="D1447" t="n">
        <v>116.7</v>
      </c>
      <c r="E1447" s="22">
        <f>D1447-90</f>
        <v/>
      </c>
      <c r="F1447" s="23" t="n">
        <v>0.017835</v>
      </c>
      <c r="G1447" s="22" t="n">
        <v>23.9</v>
      </c>
      <c r="H1447" s="22" t="n">
        <v>1.9</v>
      </c>
      <c r="I1447" s="24" t="n">
        <v>0.0904230028390884</v>
      </c>
      <c r="J1447" s="6" t="n">
        <v>71000</v>
      </c>
      <c r="K1447" s="25">
        <f>23*10^-6</f>
        <v/>
      </c>
      <c r="L1447" s="8">
        <f>H1447</f>
        <v/>
      </c>
      <c r="M1447" s="26">
        <f>H1447^2/6</f>
        <v/>
      </c>
      <c r="N1447" s="26">
        <f>H1447^3/12</f>
        <v/>
      </c>
      <c r="O1447" s="27">
        <f>-J1447*L1447*K1447*C1447</f>
        <v/>
      </c>
      <c r="P1447" s="28">
        <f>-(12*F1447*J1447*L1447*N1447+12*O1447*N1447*G1447*COS(RADIANS(E1447)))/(12*N1447*G1447*COS(RADIANS(E1447))^2+L1447*G1447^3*SIN(RADIANS(E1447))^2)</f>
        <v/>
      </c>
      <c r="Q1447" s="28">
        <f>-(6*F1447*J1447*L1447*N1447*SIN(RADIANS(E1447))+6*O1447*N1447*G1447*SIN(RADIANS(E1447))*COS(RADIANS(E1447)))/(12*N1447*COS(RADIANS(E1447))^2+L1447*G1447^2*SIN(RADIANS(E1447))^2)</f>
        <v/>
      </c>
      <c r="R1447" s="28">
        <f>-P1447*SIN(RADIANS(E1447))</f>
        <v/>
      </c>
      <c r="S1447" s="8">
        <f>(O1447+P1447*COS(RADIANS(E1447)))/L1447</f>
        <v/>
      </c>
      <c r="T1447" s="8">
        <f>R1447/L1447</f>
        <v/>
      </c>
      <c r="U1447" s="8">
        <f>(Q1447-P1447*G1447*SIN(RADIANS(E1447)))/M1447</f>
        <v/>
      </c>
      <c r="V1447" s="8">
        <f>SQRT((S1447+U1447)^2+3*T1447^2)</f>
        <v/>
      </c>
      <c r="W1447" s="8">
        <f>V1447/AA1447</f>
        <v/>
      </c>
      <c r="X1447" s="27">
        <f>((3*10+H1447/COS(RADIANS(E1447)))*(3+3)+3*G1447*H1447)*2</f>
        <v/>
      </c>
      <c r="Y1447" s="28">
        <f>Z1447/X1447</f>
        <v/>
      </c>
      <c r="Z1447" s="29" t="n">
        <v>664.2794575098191</v>
      </c>
      <c r="AA1447" s="20" t="n">
        <v>95.6870706946037</v>
      </c>
      <c r="AB1447" t="n">
        <v>0.102651863510572</v>
      </c>
      <c r="AC1447" t="n">
        <v>89.12017112030571</v>
      </c>
      <c r="AD1447" t="n">
        <v>13.52405946222043</v>
      </c>
    </row>
    <row r="1448">
      <c r="A1448" t="n">
        <v>1447</v>
      </c>
      <c r="B1448" t="n">
        <v>85.59999999999999</v>
      </c>
      <c r="C1448" s="21">
        <f>B1448-20</f>
        <v/>
      </c>
      <c r="D1448" t="n">
        <v>102.4</v>
      </c>
      <c r="E1448" s="22">
        <f>D1448-90</f>
        <v/>
      </c>
      <c r="F1448" s="23" t="n">
        <v>0.023842</v>
      </c>
      <c r="G1448" s="22" t="n">
        <v>26.5</v>
      </c>
      <c r="H1448" s="22" t="n">
        <v>1.8</v>
      </c>
      <c r="I1448" s="24" t="n">
        <v>0.19038763642311</v>
      </c>
      <c r="J1448" s="6" t="n">
        <v>71000</v>
      </c>
      <c r="K1448" s="25">
        <f>23*10^-6</f>
        <v/>
      </c>
      <c r="L1448" s="8">
        <f>H1448</f>
        <v/>
      </c>
      <c r="M1448" s="26">
        <f>H1448^2/6</f>
        <v/>
      </c>
      <c r="N1448" s="26">
        <f>H1448^3/12</f>
        <v/>
      </c>
      <c r="O1448" s="27">
        <f>-J1448*L1448*K1448*C1448</f>
        <v/>
      </c>
      <c r="P1448" s="28">
        <f>-(12*F1448*J1448*L1448*N1448+12*O1448*N1448*G1448*COS(RADIANS(E1448)))/(12*N1448*G1448*COS(RADIANS(E1448))^2+L1448*G1448^3*SIN(RADIANS(E1448))^2)</f>
        <v/>
      </c>
      <c r="Q1448" s="28">
        <f>-(6*F1448*J1448*L1448*N1448*SIN(RADIANS(E1448))+6*O1448*N1448*G1448*SIN(RADIANS(E1448))*COS(RADIANS(E1448)))/(12*N1448*COS(RADIANS(E1448))^2+L1448*G1448^2*SIN(RADIANS(E1448))^2)</f>
        <v/>
      </c>
      <c r="R1448" s="28">
        <f>-P1448*SIN(RADIANS(E1448))</f>
        <v/>
      </c>
      <c r="S1448" s="8">
        <f>(O1448+P1448*COS(RADIANS(E1448)))/L1448</f>
        <v/>
      </c>
      <c r="T1448" s="8">
        <f>R1448/L1448</f>
        <v/>
      </c>
      <c r="U1448" s="8">
        <f>(Q1448-P1448*G1448*SIN(RADIANS(E1448)))/M1448</f>
        <v/>
      </c>
      <c r="V1448" s="8">
        <f>SQRT((S1448+U1448)^2+3*T1448^2)</f>
        <v/>
      </c>
      <c r="W1448" s="8">
        <f>V1448/AA1448</f>
        <v/>
      </c>
      <c r="X1448" s="27">
        <f>((3*10+H1448/COS(RADIANS(E1448)))*(3+3)+3*G1448*H1448)*2</f>
        <v/>
      </c>
      <c r="Y1448" s="28">
        <f>Z1448/X1448</f>
        <v/>
      </c>
      <c r="Z1448" s="29" t="n">
        <v>672.322780917386</v>
      </c>
      <c r="AA1448" s="20" t="n">
        <v>116.284260750592</v>
      </c>
      <c r="AB1448" t="n">
        <v>0.2685116114857948</v>
      </c>
      <c r="AC1448" t="n">
        <v>114.1561405465528</v>
      </c>
      <c r="AD1448" t="n">
        <v>41.03416405100234</v>
      </c>
    </row>
    <row r="1449">
      <c r="A1449" t="n">
        <v>1448</v>
      </c>
      <c r="B1449" t="n">
        <v>49.2</v>
      </c>
      <c r="C1449" s="21">
        <f>B1449-20</f>
        <v/>
      </c>
      <c r="D1449" t="n">
        <v>126.7</v>
      </c>
      <c r="E1449" s="22">
        <f>D1449-90</f>
        <v/>
      </c>
      <c r="F1449" s="23" t="n">
        <v>0.009764</v>
      </c>
      <c r="G1449" s="22" t="n">
        <v>29.1</v>
      </c>
      <c r="H1449" s="22" t="n">
        <v>1.2</v>
      </c>
      <c r="I1449" s="24" t="n">
        <v>0.0426826551556587</v>
      </c>
      <c r="J1449" s="6" t="n">
        <v>71000</v>
      </c>
      <c r="K1449" s="25">
        <f>23*10^-6</f>
        <v/>
      </c>
      <c r="L1449" s="8">
        <f>H1449</f>
        <v/>
      </c>
      <c r="M1449" s="26">
        <f>H1449^2/6</f>
        <v/>
      </c>
      <c r="N1449" s="26">
        <f>H1449^3/12</f>
        <v/>
      </c>
      <c r="O1449" s="27">
        <f>-J1449*L1449*K1449*C1449</f>
        <v/>
      </c>
      <c r="P1449" s="28">
        <f>-(12*F1449*J1449*L1449*N1449+12*O1449*N1449*G1449*COS(RADIANS(E1449)))/(12*N1449*G1449*COS(RADIANS(E1449))^2+L1449*G1449^3*SIN(RADIANS(E1449))^2)</f>
        <v/>
      </c>
      <c r="Q1449" s="28">
        <f>-(6*F1449*J1449*L1449*N1449*SIN(RADIANS(E1449))+6*O1449*N1449*G1449*SIN(RADIANS(E1449))*COS(RADIANS(E1449)))/(12*N1449*COS(RADIANS(E1449))^2+L1449*G1449^2*SIN(RADIANS(E1449))^2)</f>
        <v/>
      </c>
      <c r="R1449" s="28">
        <f>-P1449*SIN(RADIANS(E1449))</f>
        <v/>
      </c>
      <c r="S1449" s="8">
        <f>(O1449+P1449*COS(RADIANS(E1449)))/L1449</f>
        <v/>
      </c>
      <c r="T1449" s="8">
        <f>R1449/L1449</f>
        <v/>
      </c>
      <c r="U1449" s="8">
        <f>(Q1449-P1449*G1449*SIN(RADIANS(E1449)))/M1449</f>
        <v/>
      </c>
      <c r="V1449" s="8">
        <f>SQRT((S1449+U1449)^2+3*T1449^2)</f>
        <v/>
      </c>
      <c r="W1449" s="8">
        <f>V1449/AA1449</f>
        <v/>
      </c>
      <c r="X1449" s="27">
        <f>((3*10+H1449/COS(RADIANS(E1449)))*(3+3)+3*G1449*H1449)*2</f>
        <v/>
      </c>
      <c r="Y1449" s="28">
        <f>Z1449/X1449</f>
        <v/>
      </c>
      <c r="Z1449" s="29" t="n">
        <v>596.8473266757589</v>
      </c>
      <c r="AA1449" s="20" t="n">
        <v>39.4920569146502</v>
      </c>
      <c r="AB1449" t="n">
        <v>0.04563938514727586</v>
      </c>
      <c r="AC1449" t="n">
        <v>41.61982114644818</v>
      </c>
      <c r="AD1449" t="n">
        <v>6.927240071720725</v>
      </c>
    </row>
    <row r="1450">
      <c r="A1450" t="n">
        <v>1449</v>
      </c>
      <c r="B1450" t="n">
        <v>89.2</v>
      </c>
      <c r="C1450" s="21">
        <f>B1450-20</f>
        <v/>
      </c>
      <c r="D1450" t="n">
        <v>117.3</v>
      </c>
      <c r="E1450" s="22">
        <f>D1450-90</f>
        <v/>
      </c>
      <c r="F1450" s="23" t="n">
        <v>0.027516</v>
      </c>
      <c r="G1450" s="22" t="n">
        <v>32.5</v>
      </c>
      <c r="H1450" s="22" t="n">
        <v>1.8</v>
      </c>
      <c r="I1450" s="24" t="n">
        <v>0.132421135902404</v>
      </c>
      <c r="J1450" s="6" t="n">
        <v>71000</v>
      </c>
      <c r="K1450" s="25">
        <f>23*10^-6</f>
        <v/>
      </c>
      <c r="L1450" s="8">
        <f>H1450</f>
        <v/>
      </c>
      <c r="M1450" s="26">
        <f>H1450^2/6</f>
        <v/>
      </c>
      <c r="N1450" s="26">
        <f>H1450^3/12</f>
        <v/>
      </c>
      <c r="O1450" s="27">
        <f>-J1450*L1450*K1450*C1450</f>
        <v/>
      </c>
      <c r="P1450" s="28">
        <f>-(12*F1450*J1450*L1450*N1450+12*O1450*N1450*G1450*COS(RADIANS(E1450)))/(12*N1450*G1450*COS(RADIANS(E1450))^2+L1450*G1450^3*SIN(RADIANS(E1450))^2)</f>
        <v/>
      </c>
      <c r="Q1450" s="28">
        <f>-(6*F1450*J1450*L1450*N1450*SIN(RADIANS(E1450))+6*O1450*N1450*G1450*SIN(RADIANS(E1450))*COS(RADIANS(E1450)))/(12*N1450*COS(RADIANS(E1450))^2+L1450*G1450^2*SIN(RADIANS(E1450))^2)</f>
        <v/>
      </c>
      <c r="R1450" s="28">
        <f>-P1450*SIN(RADIANS(E1450))</f>
        <v/>
      </c>
      <c r="S1450" s="8">
        <f>(O1450+P1450*COS(RADIANS(E1450)))/L1450</f>
        <v/>
      </c>
      <c r="T1450" s="8">
        <f>R1450/L1450</f>
        <v/>
      </c>
      <c r="U1450" s="8">
        <f>(Q1450-P1450*G1450*SIN(RADIANS(E1450)))/M1450</f>
        <v/>
      </c>
      <c r="V1450" s="8">
        <f>SQRT((S1450+U1450)^2+3*T1450^2)</f>
        <v/>
      </c>
      <c r="W1450" s="8">
        <f>V1450/AA1450</f>
        <v/>
      </c>
      <c r="X1450" s="27">
        <f>((3*10+H1450/COS(RADIANS(E1450)))*(3+3)+3*G1450*H1450)*2</f>
        <v/>
      </c>
      <c r="Y1450" s="28">
        <f>Z1450/X1450</f>
        <v/>
      </c>
      <c r="Z1450" s="29" t="n">
        <v>741.7493121389</v>
      </c>
      <c r="AA1450" s="20" t="n">
        <v>107.947343469837</v>
      </c>
      <c r="AB1450" t="n">
        <v>0.1640403460659117</v>
      </c>
      <c r="AC1450" t="n">
        <v>104.3924670915758</v>
      </c>
      <c r="AD1450" t="n">
        <v>23.87776690483265</v>
      </c>
    </row>
    <row r="1451">
      <c r="A1451" t="n">
        <v>1450</v>
      </c>
      <c r="B1451" t="n">
        <v>61.8</v>
      </c>
      <c r="C1451" s="21">
        <f>B1451-20</f>
        <v/>
      </c>
      <c r="D1451" t="n">
        <v>101</v>
      </c>
      <c r="E1451" s="22">
        <f>D1451-90</f>
        <v/>
      </c>
      <c r="F1451" s="23" t="n">
        <v>0.017126</v>
      </c>
      <c r="G1451" s="22" t="n">
        <v>30.5</v>
      </c>
      <c r="H1451" s="22" t="n">
        <v>1.1</v>
      </c>
      <c r="I1451" s="24" t="n">
        <v>0.155620977282524</v>
      </c>
      <c r="J1451" s="6" t="n">
        <v>71000</v>
      </c>
      <c r="K1451" s="25">
        <f>23*10^-6</f>
        <v/>
      </c>
      <c r="L1451" s="8">
        <f>H1451</f>
        <v/>
      </c>
      <c r="M1451" s="26">
        <f>H1451^2/6</f>
        <v/>
      </c>
      <c r="N1451" s="26">
        <f>H1451^3/12</f>
        <v/>
      </c>
      <c r="O1451" s="27">
        <f>-J1451*L1451*K1451*C1451</f>
        <v/>
      </c>
      <c r="P1451" s="28">
        <f>-(12*F1451*J1451*L1451*N1451+12*O1451*N1451*G1451*COS(RADIANS(E1451)))/(12*N1451*G1451*COS(RADIANS(E1451))^2+L1451*G1451^3*SIN(RADIANS(E1451))^2)</f>
        <v/>
      </c>
      <c r="Q1451" s="28">
        <f>-(6*F1451*J1451*L1451*N1451*SIN(RADIANS(E1451))+6*O1451*N1451*G1451*SIN(RADIANS(E1451))*COS(RADIANS(E1451)))/(12*N1451*COS(RADIANS(E1451))^2+L1451*G1451^2*SIN(RADIANS(E1451))^2)</f>
        <v/>
      </c>
      <c r="R1451" s="28">
        <f>-P1451*SIN(RADIANS(E1451))</f>
        <v/>
      </c>
      <c r="S1451" s="8">
        <f>(O1451+P1451*COS(RADIANS(E1451)))/L1451</f>
        <v/>
      </c>
      <c r="T1451" s="8">
        <f>R1451/L1451</f>
        <v/>
      </c>
      <c r="U1451" s="8">
        <f>(Q1451-P1451*G1451*SIN(RADIANS(E1451)))/M1451</f>
        <v/>
      </c>
      <c r="V1451" s="8">
        <f>SQRT((S1451+U1451)^2+3*T1451^2)</f>
        <v/>
      </c>
      <c r="W1451" s="8">
        <f>V1451/AA1451</f>
        <v/>
      </c>
      <c r="X1451" s="27">
        <f>((3*10+H1451/COS(RADIANS(E1451)))*(3+3)+3*G1451*H1451)*2</f>
        <v/>
      </c>
      <c r="Y1451" s="28">
        <f>Z1451/X1451</f>
        <v/>
      </c>
      <c r="Z1451" s="29" t="n">
        <v>578.629890437974</v>
      </c>
      <c r="AA1451" s="20" t="n">
        <v>61.5544120167972</v>
      </c>
      <c r="AB1451" t="n">
        <v>0.2336238199722531</v>
      </c>
      <c r="AC1451" t="n">
        <v>67.62185515946034</v>
      </c>
      <c r="AD1451" t="n">
        <v>50.1236041900173</v>
      </c>
    </row>
    <row r="1452">
      <c r="A1452" t="n">
        <v>1451</v>
      </c>
      <c r="B1452" t="n">
        <v>51.9</v>
      </c>
      <c r="C1452" s="21">
        <f>B1452-20</f>
        <v/>
      </c>
      <c r="D1452" t="n">
        <v>110.1</v>
      </c>
      <c r="E1452" s="22">
        <f>D1452-90</f>
        <v/>
      </c>
      <c r="F1452" s="23" t="n">
        <v>0.012769</v>
      </c>
      <c r="G1452" s="22" t="n">
        <v>31</v>
      </c>
      <c r="H1452" s="22" t="n">
        <v>1.5</v>
      </c>
      <c r="I1452" s="24" t="n">
        <v>0.0738253146409988</v>
      </c>
      <c r="J1452" s="6" t="n">
        <v>71000</v>
      </c>
      <c r="K1452" s="25">
        <f>23*10^-6</f>
        <v/>
      </c>
      <c r="L1452" s="8">
        <f>H1452</f>
        <v/>
      </c>
      <c r="M1452" s="26">
        <f>H1452^2/6</f>
        <v/>
      </c>
      <c r="N1452" s="26">
        <f>H1452^3/12</f>
        <v/>
      </c>
      <c r="O1452" s="27">
        <f>-J1452*L1452*K1452*C1452</f>
        <v/>
      </c>
      <c r="P1452" s="28">
        <f>-(12*F1452*J1452*L1452*N1452+12*O1452*N1452*G1452*COS(RADIANS(E1452)))/(12*N1452*G1452*COS(RADIANS(E1452))^2+L1452*G1452^3*SIN(RADIANS(E1452))^2)</f>
        <v/>
      </c>
      <c r="Q1452" s="28">
        <f>-(6*F1452*J1452*L1452*N1452*SIN(RADIANS(E1452))+6*O1452*N1452*G1452*SIN(RADIANS(E1452))*COS(RADIANS(E1452)))/(12*N1452*COS(RADIANS(E1452))^2+L1452*G1452^2*SIN(RADIANS(E1452))^2)</f>
        <v/>
      </c>
      <c r="R1452" s="28">
        <f>-P1452*SIN(RADIANS(E1452))</f>
        <v/>
      </c>
      <c r="S1452" s="8">
        <f>(O1452+P1452*COS(RADIANS(E1452)))/L1452</f>
        <v/>
      </c>
      <c r="T1452" s="8">
        <f>R1452/L1452</f>
        <v/>
      </c>
      <c r="U1452" s="8">
        <f>(Q1452-P1452*G1452*SIN(RADIANS(E1452)))/M1452</f>
        <v/>
      </c>
      <c r="V1452" s="8">
        <f>SQRT((S1452+U1452)^2+3*T1452^2)</f>
        <v/>
      </c>
      <c r="W1452" s="8">
        <f>V1452/AA1452</f>
        <v/>
      </c>
      <c r="X1452" s="27">
        <f>((3*10+H1452/COS(RADIANS(E1452)))*(3+3)+3*G1452*H1452)*2</f>
        <v/>
      </c>
      <c r="Y1452" s="28">
        <f>Z1452/X1452</f>
        <v/>
      </c>
      <c r="Z1452" s="29" t="n">
        <v>663.157574725861</v>
      </c>
      <c r="AA1452" s="20" t="n">
        <v>48.8298032645954</v>
      </c>
      <c r="AB1452" t="n">
        <v>0.09925911845538668</v>
      </c>
      <c r="AC1452" t="n">
        <v>49.26788649281603</v>
      </c>
      <c r="AD1452" t="n">
        <v>34.45133141398527</v>
      </c>
    </row>
    <row r="1453">
      <c r="A1453" t="n">
        <v>1452</v>
      </c>
      <c r="B1453" t="n">
        <v>61.1</v>
      </c>
      <c r="C1453" s="21">
        <f>B1453-20</f>
        <v/>
      </c>
      <c r="D1453" t="n">
        <v>120.4</v>
      </c>
      <c r="E1453" s="22">
        <f>D1453-90</f>
        <v/>
      </c>
      <c r="F1453" s="23" t="n">
        <v>0.012308</v>
      </c>
      <c r="G1453" s="22" t="n">
        <v>23.5</v>
      </c>
      <c r="H1453" s="22" t="n">
        <v>1.8</v>
      </c>
      <c r="I1453" s="24" t="n">
        <v>0.0591399855911731</v>
      </c>
      <c r="J1453" s="6" t="n">
        <v>71000</v>
      </c>
      <c r="K1453" s="25">
        <f>23*10^-6</f>
        <v/>
      </c>
      <c r="L1453" s="8">
        <f>H1453</f>
        <v/>
      </c>
      <c r="M1453" s="26">
        <f>H1453^2/6</f>
        <v/>
      </c>
      <c r="N1453" s="26">
        <f>H1453^3/12</f>
        <v/>
      </c>
      <c r="O1453" s="27">
        <f>-J1453*L1453*K1453*C1453</f>
        <v/>
      </c>
      <c r="P1453" s="28">
        <f>-(12*F1453*J1453*L1453*N1453+12*O1453*N1453*G1453*COS(RADIANS(E1453)))/(12*N1453*G1453*COS(RADIANS(E1453))^2+L1453*G1453^3*SIN(RADIANS(E1453))^2)</f>
        <v/>
      </c>
      <c r="Q1453" s="28">
        <f>-(6*F1453*J1453*L1453*N1453*SIN(RADIANS(E1453))+6*O1453*N1453*G1453*SIN(RADIANS(E1453))*COS(RADIANS(E1453)))/(12*N1453*COS(RADIANS(E1453))^2+L1453*G1453^2*SIN(RADIANS(E1453))^2)</f>
        <v/>
      </c>
      <c r="R1453" s="28">
        <f>-P1453*SIN(RADIANS(E1453))</f>
        <v/>
      </c>
      <c r="S1453" s="8">
        <f>(O1453+P1453*COS(RADIANS(E1453)))/L1453</f>
        <v/>
      </c>
      <c r="T1453" s="8">
        <f>R1453/L1453</f>
        <v/>
      </c>
      <c r="U1453" s="8">
        <f>(Q1453-P1453*G1453*SIN(RADIANS(E1453)))/M1453</f>
        <v/>
      </c>
      <c r="V1453" s="8">
        <f>SQRT((S1453+U1453)^2+3*T1453^2)</f>
        <v/>
      </c>
      <c r="W1453" s="8">
        <f>V1453/AA1453</f>
        <v/>
      </c>
      <c r="X1453" s="27">
        <f>((3*10+H1453/COS(RADIANS(E1453)))*(3+3)+3*G1453*H1453)*2</f>
        <v/>
      </c>
      <c r="Y1453" s="28">
        <f>Z1453/X1453</f>
        <v/>
      </c>
      <c r="Z1453" s="29" t="n">
        <v>646.102356720607</v>
      </c>
      <c r="AA1453" s="20" t="n">
        <v>67.14857702047649</v>
      </c>
      <c r="AB1453" t="n">
        <v>0.06366971670143227</v>
      </c>
      <c r="AC1453" t="n">
        <v>62.47485639376558</v>
      </c>
      <c r="AD1453" t="n">
        <v>7.659337527696749</v>
      </c>
    </row>
    <row r="1454">
      <c r="A1454" t="n">
        <v>1453</v>
      </c>
      <c r="B1454" t="n">
        <v>43</v>
      </c>
      <c r="C1454" s="21">
        <f>B1454-20</f>
        <v/>
      </c>
      <c r="D1454" t="n">
        <v>101.9</v>
      </c>
      <c r="E1454" s="22">
        <f>D1454-90</f>
        <v/>
      </c>
      <c r="F1454" s="23" t="n">
        <v>0.007141</v>
      </c>
      <c r="G1454" s="22" t="n">
        <v>21.7</v>
      </c>
      <c r="H1454" s="22" t="n">
        <v>1.9</v>
      </c>
      <c r="I1454" s="24" t="n">
        <v>0.0570134408771991</v>
      </c>
      <c r="J1454" s="6" t="n">
        <v>71000</v>
      </c>
      <c r="K1454" s="25">
        <f>23*10^-6</f>
        <v/>
      </c>
      <c r="L1454" s="8">
        <f>H1454</f>
        <v/>
      </c>
      <c r="M1454" s="26">
        <f>H1454^2/6</f>
        <v/>
      </c>
      <c r="N1454" s="26">
        <f>H1454^3/12</f>
        <v/>
      </c>
      <c r="O1454" s="27">
        <f>-J1454*L1454*K1454*C1454</f>
        <v/>
      </c>
      <c r="P1454" s="28">
        <f>-(12*F1454*J1454*L1454*N1454+12*O1454*N1454*G1454*COS(RADIANS(E1454)))/(12*N1454*G1454*COS(RADIANS(E1454))^2+L1454*G1454^3*SIN(RADIANS(E1454))^2)</f>
        <v/>
      </c>
      <c r="Q1454" s="28">
        <f>-(6*F1454*J1454*L1454*N1454*SIN(RADIANS(E1454))+6*O1454*N1454*G1454*SIN(RADIANS(E1454))*COS(RADIANS(E1454)))/(12*N1454*COS(RADIANS(E1454))^2+L1454*G1454^2*SIN(RADIANS(E1454))^2)</f>
        <v/>
      </c>
      <c r="R1454" s="28">
        <f>-P1454*SIN(RADIANS(E1454))</f>
        <v/>
      </c>
      <c r="S1454" s="8">
        <f>(O1454+P1454*COS(RADIANS(E1454)))/L1454</f>
        <v/>
      </c>
      <c r="T1454" s="8">
        <f>R1454/L1454</f>
        <v/>
      </c>
      <c r="U1454" s="8">
        <f>(Q1454-P1454*G1454*SIN(RADIANS(E1454)))/M1454</f>
        <v/>
      </c>
      <c r="V1454" s="8">
        <f>SQRT((S1454+U1454)^2+3*T1454^2)</f>
        <v/>
      </c>
      <c r="W1454" s="8">
        <f>V1454/AA1454</f>
        <v/>
      </c>
      <c r="X1454" s="27">
        <f>((3*10+H1454/COS(RADIANS(E1454)))*(3+3)+3*G1454*H1454)*2</f>
        <v/>
      </c>
      <c r="Y1454" s="28">
        <f>Z1454/X1454</f>
        <v/>
      </c>
      <c r="Z1454" s="29" t="n">
        <v>634.641498840649</v>
      </c>
      <c r="AA1454" s="20" t="n">
        <v>52.8145653927861</v>
      </c>
      <c r="AB1454" t="n">
        <v>0.07614890246592107</v>
      </c>
      <c r="AC1454" t="n">
        <v>41.20171254059231</v>
      </c>
      <c r="AD1454" t="n">
        <v>33.56307090802979</v>
      </c>
    </row>
    <row r="1455">
      <c r="A1455" t="n">
        <v>1454</v>
      </c>
      <c r="B1455" t="n">
        <v>68</v>
      </c>
      <c r="C1455" s="21">
        <f>B1455-20</f>
        <v/>
      </c>
      <c r="D1455" t="n">
        <v>115.8</v>
      </c>
      <c r="E1455" s="22">
        <f>D1455-90</f>
        <v/>
      </c>
      <c r="F1455" s="23" t="n">
        <v>0.017422</v>
      </c>
      <c r="G1455" s="22" t="n">
        <v>28.7</v>
      </c>
      <c r="H1455" s="22" t="n">
        <v>1</v>
      </c>
      <c r="I1455" s="24" t="n">
        <v>0.0878090411424636</v>
      </c>
      <c r="J1455" s="6" t="n">
        <v>71000</v>
      </c>
      <c r="K1455" s="25">
        <f>23*10^-6</f>
        <v/>
      </c>
      <c r="L1455" s="8">
        <f>H1455</f>
        <v/>
      </c>
      <c r="M1455" s="26">
        <f>H1455^2/6</f>
        <v/>
      </c>
      <c r="N1455" s="26">
        <f>H1455^3/12</f>
        <v/>
      </c>
      <c r="O1455" s="27">
        <f>-J1455*L1455*K1455*C1455</f>
        <v/>
      </c>
      <c r="P1455" s="28">
        <f>-(12*F1455*J1455*L1455*N1455+12*O1455*N1455*G1455*COS(RADIANS(E1455)))/(12*N1455*G1455*COS(RADIANS(E1455))^2+L1455*G1455^3*SIN(RADIANS(E1455))^2)</f>
        <v/>
      </c>
      <c r="Q1455" s="28">
        <f>-(6*F1455*J1455*L1455*N1455*SIN(RADIANS(E1455))+6*O1455*N1455*G1455*SIN(RADIANS(E1455))*COS(RADIANS(E1455)))/(12*N1455*COS(RADIANS(E1455))^2+L1455*G1455^2*SIN(RADIANS(E1455))^2)</f>
        <v/>
      </c>
      <c r="R1455" s="28">
        <f>-P1455*SIN(RADIANS(E1455))</f>
        <v/>
      </c>
      <c r="S1455" s="8">
        <f>(O1455+P1455*COS(RADIANS(E1455)))/L1455</f>
        <v/>
      </c>
      <c r="T1455" s="8">
        <f>R1455/L1455</f>
        <v/>
      </c>
      <c r="U1455" s="8">
        <f>(Q1455-P1455*G1455*SIN(RADIANS(E1455)))/M1455</f>
        <v/>
      </c>
      <c r="V1455" s="8">
        <f>SQRT((S1455+U1455)^2+3*T1455^2)</f>
        <v/>
      </c>
      <c r="W1455" s="8">
        <f>V1455/AA1455</f>
        <v/>
      </c>
      <c r="X1455" s="27">
        <f>((3*10+H1455/COS(RADIANS(E1455)))*(3+3)+3*G1455*H1455)*2</f>
        <v/>
      </c>
      <c r="Y1455" s="28">
        <f>Z1455/X1455</f>
        <v/>
      </c>
      <c r="Z1455" s="29" t="n">
        <v>551.6194667840221</v>
      </c>
      <c r="AA1455" s="20" t="n">
        <v>65.5392771811856</v>
      </c>
      <c r="AB1455" t="n">
        <v>0.1082338398676191</v>
      </c>
      <c r="AC1455" t="n">
        <v>69.73846299725601</v>
      </c>
      <c r="AD1455" t="n">
        <v>23.26047347677764</v>
      </c>
    </row>
    <row r="1456">
      <c r="A1456" t="n">
        <v>1455</v>
      </c>
      <c r="B1456" t="n">
        <v>68.59999999999999</v>
      </c>
      <c r="C1456" s="21">
        <f>B1456-20</f>
        <v/>
      </c>
      <c r="D1456" t="n">
        <v>125.8</v>
      </c>
      <c r="E1456" s="22">
        <f>D1456-90</f>
        <v/>
      </c>
      <c r="F1456" s="23" t="n">
        <v>0.013075</v>
      </c>
      <c r="G1456" s="22" t="n">
        <v>21.7</v>
      </c>
      <c r="H1456" s="22" t="n">
        <v>1.6</v>
      </c>
      <c r="I1456" s="24" t="n">
        <v>0.0602429918944835</v>
      </c>
      <c r="J1456" s="6" t="n">
        <v>71000</v>
      </c>
      <c r="K1456" s="25">
        <f>23*10^-6</f>
        <v/>
      </c>
      <c r="L1456" s="8">
        <f>H1456</f>
        <v/>
      </c>
      <c r="M1456" s="26">
        <f>H1456^2/6</f>
        <v/>
      </c>
      <c r="N1456" s="26">
        <f>H1456^3/12</f>
        <v/>
      </c>
      <c r="O1456" s="27">
        <f>-J1456*L1456*K1456*C1456</f>
        <v/>
      </c>
      <c r="P1456" s="28">
        <f>-(12*F1456*J1456*L1456*N1456+12*O1456*N1456*G1456*COS(RADIANS(E1456)))/(12*N1456*G1456*COS(RADIANS(E1456))^2+L1456*G1456^3*SIN(RADIANS(E1456))^2)</f>
        <v/>
      </c>
      <c r="Q1456" s="28">
        <f>-(6*F1456*J1456*L1456*N1456*SIN(RADIANS(E1456))+6*O1456*N1456*G1456*SIN(RADIANS(E1456))*COS(RADIANS(E1456)))/(12*N1456*COS(RADIANS(E1456))^2+L1456*G1456^2*SIN(RADIANS(E1456))^2)</f>
        <v/>
      </c>
      <c r="R1456" s="28">
        <f>-P1456*SIN(RADIANS(E1456))</f>
        <v/>
      </c>
      <c r="S1456" s="8">
        <f>(O1456+P1456*COS(RADIANS(E1456)))/L1456</f>
        <v/>
      </c>
      <c r="T1456" s="8">
        <f>R1456/L1456</f>
        <v/>
      </c>
      <c r="U1456" s="8">
        <f>(Q1456-P1456*G1456*SIN(RADIANS(E1456)))/M1456</f>
        <v/>
      </c>
      <c r="V1456" s="8">
        <f>SQRT((S1456+U1456)^2+3*T1456^2)</f>
        <v/>
      </c>
      <c r="W1456" s="8">
        <f>V1456/AA1456</f>
        <v/>
      </c>
      <c r="X1456" s="27">
        <f>((3*10+H1456/COS(RADIANS(E1456)))*(3+3)+3*G1456*H1456)*2</f>
        <v/>
      </c>
      <c r="Y1456" s="28">
        <f>Z1456/X1456</f>
        <v/>
      </c>
      <c r="Z1456" s="29" t="n">
        <v>601.017008898529</v>
      </c>
      <c r="AA1456" s="20" t="n">
        <v>75.902093029486</v>
      </c>
      <c r="AB1456" t="n">
        <v>0.05888219646860308</v>
      </c>
      <c r="AC1456" t="n">
        <v>71.69456290471337</v>
      </c>
      <c r="AD1456" t="n">
        <v>-2.258844361953114</v>
      </c>
    </row>
    <row r="1457">
      <c r="A1457" t="n">
        <v>1456</v>
      </c>
      <c r="B1457" t="n">
        <v>50.1</v>
      </c>
      <c r="C1457" s="21">
        <f>B1457-20</f>
        <v/>
      </c>
      <c r="D1457" t="n">
        <v>129.8</v>
      </c>
      <c r="E1457" s="22">
        <f>D1457-90</f>
        <v/>
      </c>
      <c r="F1457" s="23" t="n">
        <v>0.009467</v>
      </c>
      <c r="G1457" s="22" t="n">
        <v>28.1</v>
      </c>
      <c r="H1457" s="22" t="n">
        <v>1.1</v>
      </c>
      <c r="I1457" s="24" t="n">
        <v>0.0409609638154506</v>
      </c>
      <c r="J1457" s="6" t="n">
        <v>71000</v>
      </c>
      <c r="K1457" s="25">
        <f>23*10^-6</f>
        <v/>
      </c>
      <c r="L1457" s="8">
        <f>H1457</f>
        <v/>
      </c>
      <c r="M1457" s="26">
        <f>H1457^2/6</f>
        <v/>
      </c>
      <c r="N1457" s="26">
        <f>H1457^3/12</f>
        <v/>
      </c>
      <c r="O1457" s="27">
        <f>-J1457*L1457*K1457*C1457</f>
        <v/>
      </c>
      <c r="P1457" s="28">
        <f>-(12*F1457*J1457*L1457*N1457+12*O1457*N1457*G1457*COS(RADIANS(E1457)))/(12*N1457*G1457*COS(RADIANS(E1457))^2+L1457*G1457^3*SIN(RADIANS(E1457))^2)</f>
        <v/>
      </c>
      <c r="Q1457" s="28">
        <f>-(6*F1457*J1457*L1457*N1457*SIN(RADIANS(E1457))+6*O1457*N1457*G1457*SIN(RADIANS(E1457))*COS(RADIANS(E1457)))/(12*N1457*COS(RADIANS(E1457))^2+L1457*G1457^2*SIN(RADIANS(E1457))^2)</f>
        <v/>
      </c>
      <c r="R1457" s="28">
        <f>-P1457*SIN(RADIANS(E1457))</f>
        <v/>
      </c>
      <c r="S1457" s="8">
        <f>(O1457+P1457*COS(RADIANS(E1457)))/L1457</f>
        <v/>
      </c>
      <c r="T1457" s="8">
        <f>R1457/L1457</f>
        <v/>
      </c>
      <c r="U1457" s="8">
        <f>(Q1457-P1457*G1457*SIN(RADIANS(E1457)))/M1457</f>
        <v/>
      </c>
      <c r="V1457" s="8">
        <f>SQRT((S1457+U1457)^2+3*T1457^2)</f>
        <v/>
      </c>
      <c r="W1457" s="8">
        <f>V1457/AA1457</f>
        <v/>
      </c>
      <c r="X1457" s="27">
        <f>((3*10+H1457/COS(RADIANS(E1457)))*(3+3)+3*G1457*H1457)*2</f>
        <v/>
      </c>
      <c r="Y1457" s="28">
        <f>Z1457/X1457</f>
        <v/>
      </c>
      <c r="Z1457" s="29" t="n">
        <v>573.313254247572</v>
      </c>
      <c r="AA1457" s="20" t="n">
        <v>39.2637085964604</v>
      </c>
      <c r="AB1457" t="n">
        <v>0.0416441627591775</v>
      </c>
      <c r="AC1457" t="n">
        <v>42.47973519391325</v>
      </c>
      <c r="AD1457" t="n">
        <v>1.667926923802495</v>
      </c>
    </row>
    <row r="1458">
      <c r="A1458" t="n">
        <v>1457</v>
      </c>
      <c r="B1458" t="n">
        <v>64.5</v>
      </c>
      <c r="C1458" s="21">
        <f>B1458-20</f>
        <v/>
      </c>
      <c r="D1458" t="n">
        <v>102.8</v>
      </c>
      <c r="E1458" s="22">
        <f>D1458-90</f>
        <v/>
      </c>
      <c r="F1458" s="23" t="n">
        <v>0.014224</v>
      </c>
      <c r="G1458" s="22" t="n">
        <v>22.6</v>
      </c>
      <c r="H1458" s="22" t="n">
        <v>2</v>
      </c>
      <c r="I1458" s="24" t="n">
        <v>0.10851527750492</v>
      </c>
      <c r="J1458" s="6" t="n">
        <v>71000</v>
      </c>
      <c r="K1458" s="25">
        <f>23*10^-6</f>
        <v/>
      </c>
      <c r="L1458" s="8">
        <f>H1458</f>
        <v/>
      </c>
      <c r="M1458" s="26">
        <f>H1458^2/6</f>
        <v/>
      </c>
      <c r="N1458" s="26">
        <f>H1458^3/12</f>
        <v/>
      </c>
      <c r="O1458" s="27">
        <f>-J1458*L1458*K1458*C1458</f>
        <v/>
      </c>
      <c r="P1458" s="28">
        <f>-(12*F1458*J1458*L1458*N1458+12*O1458*N1458*G1458*COS(RADIANS(E1458)))/(12*N1458*G1458*COS(RADIANS(E1458))^2+L1458*G1458^3*SIN(RADIANS(E1458))^2)</f>
        <v/>
      </c>
      <c r="Q1458" s="28">
        <f>-(6*F1458*J1458*L1458*N1458*SIN(RADIANS(E1458))+6*O1458*N1458*G1458*SIN(RADIANS(E1458))*COS(RADIANS(E1458)))/(12*N1458*COS(RADIANS(E1458))^2+L1458*G1458^2*SIN(RADIANS(E1458))^2)</f>
        <v/>
      </c>
      <c r="R1458" s="28">
        <f>-P1458*SIN(RADIANS(E1458))</f>
        <v/>
      </c>
      <c r="S1458" s="8">
        <f>(O1458+P1458*COS(RADIANS(E1458)))/L1458</f>
        <v/>
      </c>
      <c r="T1458" s="8">
        <f>R1458/L1458</f>
        <v/>
      </c>
      <c r="U1458" s="8">
        <f>(Q1458-P1458*G1458*SIN(RADIANS(E1458)))/M1458</f>
        <v/>
      </c>
      <c r="V1458" s="8">
        <f>SQRT((S1458+U1458)^2+3*T1458^2)</f>
        <v/>
      </c>
      <c r="W1458" s="8">
        <f>V1458/AA1458</f>
        <v/>
      </c>
      <c r="X1458" s="27">
        <f>((3*10+H1458/COS(RADIANS(E1458)))*(3+3)+3*G1458*H1458)*2</f>
        <v/>
      </c>
      <c r="Y1458" s="28">
        <f>Z1458/X1458</f>
        <v/>
      </c>
      <c r="Z1458" s="29" t="n">
        <v>659.856858410062</v>
      </c>
      <c r="AA1458" s="20" t="n">
        <v>96.70800704861961</v>
      </c>
      <c r="AB1458" t="n">
        <v>0.1445859435535568</v>
      </c>
      <c r="AC1458" t="n">
        <v>79.27000767595709</v>
      </c>
      <c r="AD1458" t="n">
        <v>33.24017306871959</v>
      </c>
    </row>
    <row r="1459">
      <c r="A1459" t="n">
        <v>1458</v>
      </c>
      <c r="B1459" t="n">
        <v>58</v>
      </c>
      <c r="C1459" s="21">
        <f>B1459-20</f>
        <v/>
      </c>
      <c r="D1459" t="n">
        <v>119.1</v>
      </c>
      <c r="E1459" s="22">
        <f>D1459-90</f>
        <v/>
      </c>
      <c r="F1459" s="23" t="n">
        <v>0.014106</v>
      </c>
      <c r="G1459" s="22" t="n">
        <v>30.4</v>
      </c>
      <c r="H1459" s="22" t="n">
        <v>1.7</v>
      </c>
      <c r="I1459" s="24" t="n">
        <v>0.066500000655651</v>
      </c>
      <c r="J1459" s="6" t="n">
        <v>71000</v>
      </c>
      <c r="K1459" s="25">
        <f>23*10^-6</f>
        <v/>
      </c>
      <c r="L1459" s="8">
        <f>H1459</f>
        <v/>
      </c>
      <c r="M1459" s="26">
        <f>H1459^2/6</f>
        <v/>
      </c>
      <c r="N1459" s="26">
        <f>H1459^3/12</f>
        <v/>
      </c>
      <c r="O1459" s="27">
        <f>-J1459*L1459*K1459*C1459</f>
        <v/>
      </c>
      <c r="P1459" s="28">
        <f>-(12*F1459*J1459*L1459*N1459+12*O1459*N1459*G1459*COS(RADIANS(E1459)))/(12*N1459*G1459*COS(RADIANS(E1459))^2+L1459*G1459^3*SIN(RADIANS(E1459))^2)</f>
        <v/>
      </c>
      <c r="Q1459" s="28">
        <f>-(6*F1459*J1459*L1459*N1459*SIN(RADIANS(E1459))+6*O1459*N1459*G1459*SIN(RADIANS(E1459))*COS(RADIANS(E1459)))/(12*N1459*COS(RADIANS(E1459))^2+L1459*G1459^2*SIN(RADIANS(E1459))^2)</f>
        <v/>
      </c>
      <c r="R1459" s="28">
        <f>-P1459*SIN(RADIANS(E1459))</f>
        <v/>
      </c>
      <c r="S1459" s="8">
        <f>(O1459+P1459*COS(RADIANS(E1459)))/L1459</f>
        <v/>
      </c>
      <c r="T1459" s="8">
        <f>R1459/L1459</f>
        <v/>
      </c>
      <c r="U1459" s="8">
        <f>(Q1459-P1459*G1459*SIN(RADIANS(E1459)))/M1459</f>
        <v/>
      </c>
      <c r="V1459" s="8">
        <f>SQRT((S1459+U1459)^2+3*T1459^2)</f>
        <v/>
      </c>
      <c r="W1459" s="8">
        <f>V1459/AA1459</f>
        <v/>
      </c>
      <c r="X1459" s="27">
        <f>((3*10+H1459/COS(RADIANS(E1459)))*(3+3)+3*G1459*H1459)*2</f>
        <v/>
      </c>
      <c r="Y1459" s="28">
        <f>Z1459/X1459</f>
        <v/>
      </c>
      <c r="Z1459" s="29" t="n">
        <v>700.327787617583</v>
      </c>
      <c r="AA1459" s="20" t="n">
        <v>58.7958838651915</v>
      </c>
      <c r="AB1459" t="n">
        <v>0.07909831470174086</v>
      </c>
      <c r="AC1459" t="n">
        <v>56.81481187670288</v>
      </c>
      <c r="AD1459" t="n">
        <v>18.9448329652299</v>
      </c>
    </row>
    <row r="1460">
      <c r="A1460" t="n">
        <v>1459</v>
      </c>
      <c r="B1460" t="n">
        <v>45.8</v>
      </c>
      <c r="C1460" s="21">
        <f>B1460-20</f>
        <v/>
      </c>
      <c r="D1460" t="n">
        <v>126.1</v>
      </c>
      <c r="E1460" s="22">
        <f>D1460-90</f>
        <v/>
      </c>
      <c r="F1460" s="23" t="n">
        <v>0.009583</v>
      </c>
      <c r="G1460" s="22" t="n">
        <v>32.9</v>
      </c>
      <c r="H1460" s="22" t="n">
        <v>1.9</v>
      </c>
      <c r="I1460" s="24" t="n">
        <v>0.0414621792733669</v>
      </c>
      <c r="J1460" s="6" t="n">
        <v>71000</v>
      </c>
      <c r="K1460" s="25">
        <f>23*10^-6</f>
        <v/>
      </c>
      <c r="L1460" s="8">
        <f>H1460</f>
        <v/>
      </c>
      <c r="M1460" s="26">
        <f>H1460^2/6</f>
        <v/>
      </c>
      <c r="N1460" s="26">
        <f>H1460^3/12</f>
        <v/>
      </c>
      <c r="O1460" s="27">
        <f>-J1460*L1460*K1460*C1460</f>
        <v/>
      </c>
      <c r="P1460" s="28">
        <f>-(12*F1460*J1460*L1460*N1460+12*O1460*N1460*G1460*COS(RADIANS(E1460)))/(12*N1460*G1460*COS(RADIANS(E1460))^2+L1460*G1460^3*SIN(RADIANS(E1460))^2)</f>
        <v/>
      </c>
      <c r="Q1460" s="28">
        <f>-(6*F1460*J1460*L1460*N1460*SIN(RADIANS(E1460))+6*O1460*N1460*G1460*SIN(RADIANS(E1460))*COS(RADIANS(E1460)))/(12*N1460*COS(RADIANS(E1460))^2+L1460*G1460^2*SIN(RADIANS(E1460))^2)</f>
        <v/>
      </c>
      <c r="R1460" s="28">
        <f>-P1460*SIN(RADIANS(E1460))</f>
        <v/>
      </c>
      <c r="S1460" s="8">
        <f>(O1460+P1460*COS(RADIANS(E1460)))/L1460</f>
        <v/>
      </c>
      <c r="T1460" s="8">
        <f>R1460/L1460</f>
        <v/>
      </c>
      <c r="U1460" s="8">
        <f>(Q1460-P1460*G1460*SIN(RADIANS(E1460)))/M1460</f>
        <v/>
      </c>
      <c r="V1460" s="8">
        <f>SQRT((S1460+U1460)^2+3*T1460^2)</f>
        <v/>
      </c>
      <c r="W1460" s="8">
        <f>V1460/AA1460</f>
        <v/>
      </c>
      <c r="X1460" s="27">
        <f>((3*10+H1460/COS(RADIANS(E1460)))*(3+3)+3*G1460*H1460)*2</f>
        <v/>
      </c>
      <c r="Y1460" s="28">
        <f>Z1460/X1460</f>
        <v/>
      </c>
      <c r="Z1460" s="29" t="n">
        <v>772.415146638086</v>
      </c>
      <c r="AA1460" s="20" t="n">
        <v>39.7689617711437</v>
      </c>
      <c r="AB1460" t="n">
        <v>0.04594467755019963</v>
      </c>
      <c r="AC1460" t="n">
        <v>37.77901125789847</v>
      </c>
      <c r="AD1460" t="n">
        <v>10.81105324271279</v>
      </c>
    </row>
    <row r="1461">
      <c r="A1461" t="n">
        <v>1460</v>
      </c>
      <c r="B1461" t="n">
        <v>44.1</v>
      </c>
      <c r="C1461" s="21">
        <f>B1461-20</f>
        <v/>
      </c>
      <c r="D1461" t="n">
        <v>119.6</v>
      </c>
      <c r="E1461" s="22">
        <f>D1461-90</f>
        <v/>
      </c>
      <c r="F1461" s="23" t="n">
        <v>0.008266000000000001</v>
      </c>
      <c r="G1461" s="22" t="n">
        <v>27.7</v>
      </c>
      <c r="H1461" s="22" t="n">
        <v>1.8</v>
      </c>
      <c r="I1461" s="24" t="n">
        <v>0.0391913168132305</v>
      </c>
      <c r="J1461" s="6" t="n">
        <v>71000</v>
      </c>
      <c r="K1461" s="25">
        <f>23*10^-6</f>
        <v/>
      </c>
      <c r="L1461" s="8">
        <f>H1461</f>
        <v/>
      </c>
      <c r="M1461" s="26">
        <f>H1461^2/6</f>
        <v/>
      </c>
      <c r="N1461" s="26">
        <f>H1461^3/12</f>
        <v/>
      </c>
      <c r="O1461" s="27">
        <f>-J1461*L1461*K1461*C1461</f>
        <v/>
      </c>
      <c r="P1461" s="28">
        <f>-(12*F1461*J1461*L1461*N1461+12*O1461*N1461*G1461*COS(RADIANS(E1461)))/(12*N1461*G1461*COS(RADIANS(E1461))^2+L1461*G1461^3*SIN(RADIANS(E1461))^2)</f>
        <v/>
      </c>
      <c r="Q1461" s="28">
        <f>-(6*F1461*J1461*L1461*N1461*SIN(RADIANS(E1461))+6*O1461*N1461*G1461*SIN(RADIANS(E1461))*COS(RADIANS(E1461)))/(12*N1461*COS(RADIANS(E1461))^2+L1461*G1461^2*SIN(RADIANS(E1461))^2)</f>
        <v/>
      </c>
      <c r="R1461" s="28">
        <f>-P1461*SIN(RADIANS(E1461))</f>
        <v/>
      </c>
      <c r="S1461" s="8">
        <f>(O1461+P1461*COS(RADIANS(E1461)))/L1461</f>
        <v/>
      </c>
      <c r="T1461" s="8">
        <f>R1461/L1461</f>
        <v/>
      </c>
      <c r="U1461" s="8">
        <f>(Q1461-P1461*G1461*SIN(RADIANS(E1461)))/M1461</f>
        <v/>
      </c>
      <c r="V1461" s="8">
        <f>SQRT((S1461+U1461)^2+3*T1461^2)</f>
        <v/>
      </c>
      <c r="W1461" s="8">
        <f>V1461/AA1461</f>
        <v/>
      </c>
      <c r="X1461" s="27">
        <f>((3*10+H1461/COS(RADIANS(E1461)))*(3+3)+3*G1461*H1461)*2</f>
        <v/>
      </c>
      <c r="Y1461" s="28">
        <f>Z1461/X1461</f>
        <v/>
      </c>
      <c r="Z1461" s="29" t="n">
        <v>691.037868509553</v>
      </c>
      <c r="AA1461" s="20" t="n">
        <v>38.4595907370611</v>
      </c>
      <c r="AB1461" t="n">
        <v>0.04498480348162121</v>
      </c>
      <c r="AC1461" t="n">
        <v>36.3864122643234</v>
      </c>
      <c r="AD1461" t="n">
        <v>14.78257721219232</v>
      </c>
    </row>
    <row r="1462">
      <c r="A1462" t="n">
        <v>1461</v>
      </c>
      <c r="B1462" t="n">
        <v>75</v>
      </c>
      <c r="C1462" s="21">
        <f>B1462-20</f>
        <v/>
      </c>
      <c r="D1462" t="n">
        <v>122.7</v>
      </c>
      <c r="E1462" s="22">
        <f>D1462-90</f>
        <v/>
      </c>
      <c r="F1462" s="23" t="n">
        <v>0.017955</v>
      </c>
      <c r="G1462" s="22" t="n">
        <v>26.9</v>
      </c>
      <c r="H1462" s="22" t="n">
        <v>1.4</v>
      </c>
      <c r="I1462" s="24" t="n">
        <v>0.08222551643848409</v>
      </c>
      <c r="J1462" s="6" t="n">
        <v>71000</v>
      </c>
      <c r="K1462" s="25">
        <f>23*10^-6</f>
        <v/>
      </c>
      <c r="L1462" s="8">
        <f>H1462</f>
        <v/>
      </c>
      <c r="M1462" s="26">
        <f>H1462^2/6</f>
        <v/>
      </c>
      <c r="N1462" s="26">
        <f>H1462^3/12</f>
        <v/>
      </c>
      <c r="O1462" s="27">
        <f>-J1462*L1462*K1462*C1462</f>
        <v/>
      </c>
      <c r="P1462" s="28">
        <f>-(12*F1462*J1462*L1462*N1462+12*O1462*N1462*G1462*COS(RADIANS(E1462)))/(12*N1462*G1462*COS(RADIANS(E1462))^2+L1462*G1462^3*SIN(RADIANS(E1462))^2)</f>
        <v/>
      </c>
      <c r="Q1462" s="28">
        <f>-(6*F1462*J1462*L1462*N1462*SIN(RADIANS(E1462))+6*O1462*N1462*G1462*SIN(RADIANS(E1462))*COS(RADIANS(E1462)))/(12*N1462*COS(RADIANS(E1462))^2+L1462*G1462^2*SIN(RADIANS(E1462))^2)</f>
        <v/>
      </c>
      <c r="R1462" s="28">
        <f>-P1462*SIN(RADIANS(E1462))</f>
        <v/>
      </c>
      <c r="S1462" s="8">
        <f>(O1462+P1462*COS(RADIANS(E1462)))/L1462</f>
        <v/>
      </c>
      <c r="T1462" s="8">
        <f>R1462/L1462</f>
        <v/>
      </c>
      <c r="U1462" s="8">
        <f>(Q1462-P1462*G1462*SIN(RADIANS(E1462)))/M1462</f>
        <v/>
      </c>
      <c r="V1462" s="8">
        <f>SQRT((S1462+U1462)^2+3*T1462^2)</f>
        <v/>
      </c>
      <c r="W1462" s="8">
        <f>V1462/AA1462</f>
        <v/>
      </c>
      <c r="X1462" s="27">
        <f>((3*10+H1462/COS(RADIANS(E1462)))*(3+3)+3*G1462*H1462)*2</f>
        <v/>
      </c>
      <c r="Y1462" s="28">
        <f>Z1462/X1462</f>
        <v/>
      </c>
      <c r="Z1462" s="29" t="n">
        <v>613.877856653274</v>
      </c>
      <c r="AA1462" s="20" t="n">
        <v>80.9718421911482</v>
      </c>
      <c r="AB1462" t="n">
        <v>0.09028664716440457</v>
      </c>
      <c r="AC1462" t="n">
        <v>80.34900001321266</v>
      </c>
      <c r="AD1462" t="n">
        <v>9.803685127294155</v>
      </c>
    </row>
    <row r="1463">
      <c r="A1463" t="n">
        <v>1462</v>
      </c>
      <c r="B1463" t="n">
        <v>40.1</v>
      </c>
      <c r="C1463" s="21">
        <f>B1463-20</f>
        <v/>
      </c>
      <c r="D1463" t="n">
        <v>100.6</v>
      </c>
      <c r="E1463" s="22">
        <f>D1463-90</f>
        <v/>
      </c>
      <c r="F1463" s="23" t="n">
        <v>0.006803</v>
      </c>
      <c r="G1463" s="22" t="n">
        <v>24.1</v>
      </c>
      <c r="H1463" s="22" t="n">
        <v>1.1</v>
      </c>
      <c r="I1463" s="24" t="n">
        <v>0.0640025287866592</v>
      </c>
      <c r="J1463" s="6" t="n">
        <v>71000</v>
      </c>
      <c r="K1463" s="25">
        <f>23*10^-6</f>
        <v/>
      </c>
      <c r="L1463" s="8">
        <f>H1463</f>
        <v/>
      </c>
      <c r="M1463" s="26">
        <f>H1463^2/6</f>
        <v/>
      </c>
      <c r="N1463" s="26">
        <f>H1463^3/12</f>
        <v/>
      </c>
      <c r="O1463" s="27">
        <f>-J1463*L1463*K1463*C1463</f>
        <v/>
      </c>
      <c r="P1463" s="28">
        <f>-(12*F1463*J1463*L1463*N1463+12*O1463*N1463*G1463*COS(RADIANS(E1463)))/(12*N1463*G1463*COS(RADIANS(E1463))^2+L1463*G1463^3*SIN(RADIANS(E1463))^2)</f>
        <v/>
      </c>
      <c r="Q1463" s="28">
        <f>-(6*F1463*J1463*L1463*N1463*SIN(RADIANS(E1463))+6*O1463*N1463*G1463*SIN(RADIANS(E1463))*COS(RADIANS(E1463)))/(12*N1463*COS(RADIANS(E1463))^2+L1463*G1463^2*SIN(RADIANS(E1463))^2)</f>
        <v/>
      </c>
      <c r="R1463" s="28">
        <f>-P1463*SIN(RADIANS(E1463))</f>
        <v/>
      </c>
      <c r="S1463" s="8">
        <f>(O1463+P1463*COS(RADIANS(E1463)))/L1463</f>
        <v/>
      </c>
      <c r="T1463" s="8">
        <f>R1463/L1463</f>
        <v/>
      </c>
      <c r="U1463" s="8">
        <f>(Q1463-P1463*G1463*SIN(RADIANS(E1463)))/M1463</f>
        <v/>
      </c>
      <c r="V1463" s="8">
        <f>SQRT((S1463+U1463)^2+3*T1463^2)</f>
        <v/>
      </c>
      <c r="W1463" s="8">
        <f>V1463/AA1463</f>
        <v/>
      </c>
      <c r="X1463" s="27">
        <f>((3*10+H1463/COS(RADIANS(E1463)))*(3+3)+3*G1463*H1463)*2</f>
        <v/>
      </c>
      <c r="Y1463" s="28">
        <f>Z1463/X1463</f>
        <v/>
      </c>
      <c r="Z1463" s="29" t="n">
        <v>536.339455189124</v>
      </c>
      <c r="AA1463" s="20" t="n">
        <v>30.6122783883733</v>
      </c>
      <c r="AB1463" t="n">
        <v>0.09140530189112978</v>
      </c>
      <c r="AC1463" t="n">
        <v>33.48550639698513</v>
      </c>
      <c r="AD1463" t="n">
        <v>42.8151412513914</v>
      </c>
    </row>
    <row r="1464">
      <c r="A1464" t="n">
        <v>1463</v>
      </c>
      <c r="B1464" t="n">
        <v>86.5</v>
      </c>
      <c r="C1464" s="21">
        <f>B1464-20</f>
        <v/>
      </c>
      <c r="D1464" t="n">
        <v>102.6</v>
      </c>
      <c r="E1464" s="22">
        <f>D1464-90</f>
        <v/>
      </c>
      <c r="F1464" s="23" t="n">
        <v>0.026152</v>
      </c>
      <c r="G1464" s="22" t="n">
        <v>29.2</v>
      </c>
      <c r="H1464" s="22" t="n">
        <v>1.2</v>
      </c>
      <c r="I1464" s="24" t="n">
        <v>0.213480442762374</v>
      </c>
      <c r="J1464" s="6" t="n">
        <v>71000</v>
      </c>
      <c r="K1464" s="25">
        <f>23*10^-6</f>
        <v/>
      </c>
      <c r="L1464" s="8">
        <f>H1464</f>
        <v/>
      </c>
      <c r="M1464" s="26">
        <f>H1464^2/6</f>
        <v/>
      </c>
      <c r="N1464" s="26">
        <f>H1464^3/12</f>
        <v/>
      </c>
      <c r="O1464" s="27">
        <f>-J1464*L1464*K1464*C1464</f>
        <v/>
      </c>
      <c r="P1464" s="28">
        <f>-(12*F1464*J1464*L1464*N1464+12*O1464*N1464*G1464*COS(RADIANS(E1464)))/(12*N1464*G1464*COS(RADIANS(E1464))^2+L1464*G1464^3*SIN(RADIANS(E1464))^2)</f>
        <v/>
      </c>
      <c r="Q1464" s="28">
        <f>-(6*F1464*J1464*L1464*N1464*SIN(RADIANS(E1464))+6*O1464*N1464*G1464*SIN(RADIANS(E1464))*COS(RADIANS(E1464)))/(12*N1464*COS(RADIANS(E1464))^2+L1464*G1464^2*SIN(RADIANS(E1464))^2)</f>
        <v/>
      </c>
      <c r="R1464" s="28">
        <f>-P1464*SIN(RADIANS(E1464))</f>
        <v/>
      </c>
      <c r="S1464" s="8">
        <f>(O1464+P1464*COS(RADIANS(E1464)))/L1464</f>
        <v/>
      </c>
      <c r="T1464" s="8">
        <f>R1464/L1464</f>
        <v/>
      </c>
      <c r="U1464" s="8">
        <f>(Q1464-P1464*G1464*SIN(RADIANS(E1464)))/M1464</f>
        <v/>
      </c>
      <c r="V1464" s="8">
        <f>SQRT((S1464+U1464)^2+3*T1464^2)</f>
        <v/>
      </c>
      <c r="W1464" s="8">
        <f>V1464/AA1464</f>
        <v/>
      </c>
      <c r="X1464" s="27">
        <f>((3*10+H1464/COS(RADIANS(E1464)))*(3+3)+3*G1464*H1464)*2</f>
        <v/>
      </c>
      <c r="Y1464" s="28">
        <f>Z1464/X1464</f>
        <v/>
      </c>
      <c r="Z1464" s="29" t="n">
        <v>589.021247438348</v>
      </c>
      <c r="AA1464" s="20" t="n">
        <v>99.582886742319</v>
      </c>
      <c r="AB1464" t="n">
        <v>0.3110209712390564</v>
      </c>
      <c r="AC1464" t="n">
        <v>107.2109991415796</v>
      </c>
      <c r="AD1464" t="n">
        <v>45.69061559669667</v>
      </c>
    </row>
    <row r="1465">
      <c r="A1465" t="n">
        <v>1464</v>
      </c>
      <c r="B1465" t="n">
        <v>57.8</v>
      </c>
      <c r="C1465" s="21">
        <f>B1465-20</f>
        <v/>
      </c>
      <c r="D1465" t="n">
        <v>127.9</v>
      </c>
      <c r="E1465" s="22">
        <f>D1465-90</f>
        <v/>
      </c>
      <c r="F1465" s="23" t="n">
        <v>0.013535</v>
      </c>
      <c r="G1465" s="22" t="n">
        <v>32.2</v>
      </c>
      <c r="H1465" s="22" t="n">
        <v>1.6</v>
      </c>
      <c r="I1465" s="24" t="n">
        <v>0.0580505654215812</v>
      </c>
      <c r="J1465" s="6" t="n">
        <v>71000</v>
      </c>
      <c r="K1465" s="25">
        <f>23*10^-6</f>
        <v/>
      </c>
      <c r="L1465" s="8">
        <f>H1465</f>
        <v/>
      </c>
      <c r="M1465" s="26">
        <f>H1465^2/6</f>
        <v/>
      </c>
      <c r="N1465" s="26">
        <f>H1465^3/12</f>
        <v/>
      </c>
      <c r="O1465" s="27">
        <f>-J1465*L1465*K1465*C1465</f>
        <v/>
      </c>
      <c r="P1465" s="28">
        <f>-(12*F1465*J1465*L1465*N1465+12*O1465*N1465*G1465*COS(RADIANS(E1465)))/(12*N1465*G1465*COS(RADIANS(E1465))^2+L1465*G1465^3*SIN(RADIANS(E1465))^2)</f>
        <v/>
      </c>
      <c r="Q1465" s="28">
        <f>-(6*F1465*J1465*L1465*N1465*SIN(RADIANS(E1465))+6*O1465*N1465*G1465*SIN(RADIANS(E1465))*COS(RADIANS(E1465)))/(12*N1465*COS(RADIANS(E1465))^2+L1465*G1465^2*SIN(RADIANS(E1465))^2)</f>
        <v/>
      </c>
      <c r="R1465" s="28">
        <f>-P1465*SIN(RADIANS(E1465))</f>
        <v/>
      </c>
      <c r="S1465" s="8">
        <f>(O1465+P1465*COS(RADIANS(E1465)))/L1465</f>
        <v/>
      </c>
      <c r="T1465" s="8">
        <f>R1465/L1465</f>
        <v/>
      </c>
      <c r="U1465" s="8">
        <f>(Q1465-P1465*G1465*SIN(RADIANS(E1465)))/M1465</f>
        <v/>
      </c>
      <c r="V1465" s="8">
        <f>SQRT((S1465+U1465)^2+3*T1465^2)</f>
        <v/>
      </c>
      <c r="W1465" s="8">
        <f>V1465/AA1465</f>
        <v/>
      </c>
      <c r="X1465" s="27">
        <f>((3*10+H1465/COS(RADIANS(E1465)))*(3+3)+3*G1465*H1465)*2</f>
        <v/>
      </c>
      <c r="Y1465" s="28">
        <f>Z1465/X1465</f>
        <v/>
      </c>
      <c r="Z1465" s="29" t="n">
        <v>703.300646630387</v>
      </c>
      <c r="AA1465" s="20" t="n">
        <v>54.7489521170608</v>
      </c>
      <c r="AB1465" t="n">
        <v>0.06266046003423686</v>
      </c>
      <c r="AC1465" t="n">
        <v>54.44028597413413</v>
      </c>
      <c r="AD1465" t="n">
        <v>7.941170907082785</v>
      </c>
    </row>
    <row r="1466">
      <c r="A1466" t="n">
        <v>1465</v>
      </c>
      <c r="B1466" t="n">
        <v>64.59999999999999</v>
      </c>
      <c r="C1466" s="21">
        <f>B1466-20</f>
        <v/>
      </c>
      <c r="D1466" t="n">
        <v>108.7</v>
      </c>
      <c r="E1466" s="22">
        <f>D1466-90</f>
        <v/>
      </c>
      <c r="F1466" s="23" t="n">
        <v>0.015187</v>
      </c>
      <c r="G1466" s="22" t="n">
        <v>25.2</v>
      </c>
      <c r="H1466" s="22" t="n">
        <v>1.5</v>
      </c>
      <c r="I1466" s="24" t="n">
        <v>0.0940823405981063</v>
      </c>
      <c r="J1466" s="6" t="n">
        <v>71000</v>
      </c>
      <c r="K1466" s="25">
        <f>23*10^-6</f>
        <v/>
      </c>
      <c r="L1466" s="8">
        <f>H1466</f>
        <v/>
      </c>
      <c r="M1466" s="26">
        <f>H1466^2/6</f>
        <v/>
      </c>
      <c r="N1466" s="26">
        <f>H1466^3/12</f>
        <v/>
      </c>
      <c r="O1466" s="27">
        <f>-J1466*L1466*K1466*C1466</f>
        <v/>
      </c>
      <c r="P1466" s="28">
        <f>-(12*F1466*J1466*L1466*N1466+12*O1466*N1466*G1466*COS(RADIANS(E1466)))/(12*N1466*G1466*COS(RADIANS(E1466))^2+L1466*G1466^3*SIN(RADIANS(E1466))^2)</f>
        <v/>
      </c>
      <c r="Q1466" s="28">
        <f>-(6*F1466*J1466*L1466*N1466*SIN(RADIANS(E1466))+6*O1466*N1466*G1466*SIN(RADIANS(E1466))*COS(RADIANS(E1466)))/(12*N1466*COS(RADIANS(E1466))^2+L1466*G1466^2*SIN(RADIANS(E1466))^2)</f>
        <v/>
      </c>
      <c r="R1466" s="28">
        <f>-P1466*SIN(RADIANS(E1466))</f>
        <v/>
      </c>
      <c r="S1466" s="8">
        <f>(O1466+P1466*COS(RADIANS(E1466)))/L1466</f>
        <v/>
      </c>
      <c r="T1466" s="8">
        <f>R1466/L1466</f>
        <v/>
      </c>
      <c r="U1466" s="8">
        <f>(Q1466-P1466*G1466*SIN(RADIANS(E1466)))/M1466</f>
        <v/>
      </c>
      <c r="V1466" s="8">
        <f>SQRT((S1466+U1466)^2+3*T1466^2)</f>
        <v/>
      </c>
      <c r="W1466" s="8">
        <f>V1466/AA1466</f>
        <v/>
      </c>
      <c r="X1466" s="27">
        <f>((3*10+H1466/COS(RADIANS(E1466)))*(3+3)+3*G1466*H1466)*2</f>
        <v/>
      </c>
      <c r="Y1466" s="28">
        <f>Z1466/X1466</f>
        <v/>
      </c>
      <c r="Z1466" s="29" t="n">
        <v>610.574364475576</v>
      </c>
      <c r="AA1466" s="20" t="n">
        <v>70.2864055287706</v>
      </c>
      <c r="AB1466" t="n">
        <v>0.1215764680206574</v>
      </c>
      <c r="AC1466" t="n">
        <v>70.86336757272829</v>
      </c>
      <c r="AD1466" t="n">
        <v>29.2234730213594</v>
      </c>
    </row>
    <row r="1467">
      <c r="A1467" t="n">
        <v>1466</v>
      </c>
      <c r="B1467" t="n">
        <v>84.59999999999999</v>
      </c>
      <c r="C1467" s="21">
        <f>B1467-20</f>
        <v/>
      </c>
      <c r="D1467" t="n">
        <v>100.6</v>
      </c>
      <c r="E1467" s="22">
        <f>D1467-90</f>
        <v/>
      </c>
      <c r="F1467" s="23" t="n">
        <v>0.027945</v>
      </c>
      <c r="G1467" s="22" t="n">
        <v>32.5</v>
      </c>
      <c r="H1467" s="22" t="n">
        <v>1.5</v>
      </c>
      <c r="I1467" s="24" t="n">
        <v>0.255041629076004</v>
      </c>
      <c r="J1467" s="6" t="n">
        <v>71000</v>
      </c>
      <c r="K1467" s="25">
        <f>23*10^-6</f>
        <v/>
      </c>
      <c r="L1467" s="8">
        <f>H1467</f>
        <v/>
      </c>
      <c r="M1467" s="26">
        <f>H1467^2/6</f>
        <v/>
      </c>
      <c r="N1467" s="26">
        <f>H1467^3/12</f>
        <v/>
      </c>
      <c r="O1467" s="27">
        <f>-J1467*L1467*K1467*C1467</f>
        <v/>
      </c>
      <c r="P1467" s="28">
        <f>-(12*F1467*J1467*L1467*N1467+12*O1467*N1467*G1467*COS(RADIANS(E1467)))/(12*N1467*G1467*COS(RADIANS(E1467))^2+L1467*G1467^3*SIN(RADIANS(E1467))^2)</f>
        <v/>
      </c>
      <c r="Q1467" s="28">
        <f>-(6*F1467*J1467*L1467*N1467*SIN(RADIANS(E1467))+6*O1467*N1467*G1467*SIN(RADIANS(E1467))*COS(RADIANS(E1467)))/(12*N1467*COS(RADIANS(E1467))^2+L1467*G1467^2*SIN(RADIANS(E1467))^2)</f>
        <v/>
      </c>
      <c r="R1467" s="28">
        <f>-P1467*SIN(RADIANS(E1467))</f>
        <v/>
      </c>
      <c r="S1467" s="8">
        <f>(O1467+P1467*COS(RADIANS(E1467)))/L1467</f>
        <v/>
      </c>
      <c r="T1467" s="8">
        <f>R1467/L1467</f>
        <v/>
      </c>
      <c r="U1467" s="8">
        <f>(Q1467-P1467*G1467*SIN(RADIANS(E1467)))/M1467</f>
        <v/>
      </c>
      <c r="V1467" s="8">
        <f>SQRT((S1467+U1467)^2+3*T1467^2)</f>
        <v/>
      </c>
      <c r="W1467" s="8">
        <f>V1467/AA1467</f>
        <v/>
      </c>
      <c r="X1467" s="27">
        <f>((3*10+H1467/COS(RADIANS(E1467)))*(3+3)+3*G1467*H1467)*2</f>
        <v/>
      </c>
      <c r="Y1467" s="28">
        <f>Z1467/X1467</f>
        <v/>
      </c>
      <c r="Z1467" s="29" t="n">
        <v>674.662787550864</v>
      </c>
      <c r="AA1467" s="20" t="n">
        <v>104.982383949811</v>
      </c>
      <c r="AB1467" t="n">
        <v>0.3879152638623956</v>
      </c>
      <c r="AC1467" t="n">
        <v>109.6084075046482</v>
      </c>
      <c r="AD1467" t="n">
        <v>52.09880256324526</v>
      </c>
    </row>
    <row r="1468">
      <c r="A1468" t="n">
        <v>1467</v>
      </c>
      <c r="B1468" t="n">
        <v>44.8</v>
      </c>
      <c r="C1468" s="21">
        <f>B1468-20</f>
        <v/>
      </c>
      <c r="D1468" t="n">
        <v>129.9</v>
      </c>
      <c r="E1468" s="22">
        <f>D1468-90</f>
        <v/>
      </c>
      <c r="F1468" s="23" t="n">
        <v>0.006533</v>
      </c>
      <c r="G1468" s="22" t="n">
        <v>22.3</v>
      </c>
      <c r="H1468" s="22" t="n">
        <v>1.9</v>
      </c>
      <c r="I1468" s="24" t="n">
        <v>0.0293454602360725</v>
      </c>
      <c r="J1468" s="6" t="n">
        <v>71000</v>
      </c>
      <c r="K1468" s="25">
        <f>23*10^-6</f>
        <v/>
      </c>
      <c r="L1468" s="8">
        <f>H1468</f>
        <v/>
      </c>
      <c r="M1468" s="26">
        <f>H1468^2/6</f>
        <v/>
      </c>
      <c r="N1468" s="26">
        <f>H1468^3/12</f>
        <v/>
      </c>
      <c r="O1468" s="27">
        <f>-J1468*L1468*K1468*C1468</f>
        <v/>
      </c>
      <c r="P1468" s="28">
        <f>-(12*F1468*J1468*L1468*N1468+12*O1468*N1468*G1468*COS(RADIANS(E1468)))/(12*N1468*G1468*COS(RADIANS(E1468))^2+L1468*G1468^3*SIN(RADIANS(E1468))^2)</f>
        <v/>
      </c>
      <c r="Q1468" s="28">
        <f>-(6*F1468*J1468*L1468*N1468*SIN(RADIANS(E1468))+6*O1468*N1468*G1468*SIN(RADIANS(E1468))*COS(RADIANS(E1468)))/(12*N1468*COS(RADIANS(E1468))^2+L1468*G1468^2*SIN(RADIANS(E1468))^2)</f>
        <v/>
      </c>
      <c r="R1468" s="28">
        <f>-P1468*SIN(RADIANS(E1468))</f>
        <v/>
      </c>
      <c r="S1468" s="8">
        <f>(O1468+P1468*COS(RADIANS(E1468)))/L1468</f>
        <v/>
      </c>
      <c r="T1468" s="8">
        <f>R1468/L1468</f>
        <v/>
      </c>
      <c r="U1468" s="8">
        <f>(Q1468-P1468*G1468*SIN(RADIANS(E1468)))/M1468</f>
        <v/>
      </c>
      <c r="V1468" s="8">
        <f>SQRT((S1468+U1468)^2+3*T1468^2)</f>
        <v/>
      </c>
      <c r="W1468" s="8">
        <f>V1468/AA1468</f>
        <v/>
      </c>
      <c r="X1468" s="27">
        <f>((3*10+H1468/COS(RADIANS(E1468)))*(3+3)+3*G1468*H1468)*2</f>
        <v/>
      </c>
      <c r="Y1468" s="28">
        <f>Z1468/X1468</f>
        <v/>
      </c>
      <c r="Z1468" s="29" t="n">
        <v>654.657443087631</v>
      </c>
      <c r="AA1468" s="20" t="n">
        <v>40.2761711691938</v>
      </c>
      <c r="AB1468" t="n">
        <v>0.02730315151104005</v>
      </c>
      <c r="AC1468" t="n">
        <v>36.52755811725193</v>
      </c>
      <c r="AD1468" t="n">
        <v>-6.959538915399155</v>
      </c>
    </row>
    <row r="1469">
      <c r="A1469" t="n">
        <v>1468</v>
      </c>
      <c r="B1469" t="n">
        <v>45.6</v>
      </c>
      <c r="C1469" s="21">
        <f>B1469-20</f>
        <v/>
      </c>
      <c r="D1469" t="n">
        <v>124.7</v>
      </c>
      <c r="E1469" s="22">
        <f>D1469-90</f>
        <v/>
      </c>
      <c r="F1469" s="23" t="n">
        <v>0.008156999999999999</v>
      </c>
      <c r="G1469" s="22" t="n">
        <v>26.7</v>
      </c>
      <c r="H1469" s="22" t="n">
        <v>1.4</v>
      </c>
      <c r="I1469" s="24" t="n">
        <v>0.0366924330592155</v>
      </c>
      <c r="J1469" s="6" t="n">
        <v>71000</v>
      </c>
      <c r="K1469" s="25">
        <f>23*10^-6</f>
        <v/>
      </c>
      <c r="L1469" s="8">
        <f>H1469</f>
        <v/>
      </c>
      <c r="M1469" s="26">
        <f>H1469^2/6</f>
        <v/>
      </c>
      <c r="N1469" s="26">
        <f>H1469^3/12</f>
        <v/>
      </c>
      <c r="O1469" s="27">
        <f>-J1469*L1469*K1469*C1469</f>
        <v/>
      </c>
      <c r="P1469" s="28">
        <f>-(12*F1469*J1469*L1469*N1469+12*O1469*N1469*G1469*COS(RADIANS(E1469)))/(12*N1469*G1469*COS(RADIANS(E1469))^2+L1469*G1469^3*SIN(RADIANS(E1469))^2)</f>
        <v/>
      </c>
      <c r="Q1469" s="28">
        <f>-(6*F1469*J1469*L1469*N1469*SIN(RADIANS(E1469))+6*O1469*N1469*G1469*SIN(RADIANS(E1469))*COS(RADIANS(E1469)))/(12*N1469*COS(RADIANS(E1469))^2+L1469*G1469^2*SIN(RADIANS(E1469))^2)</f>
        <v/>
      </c>
      <c r="R1469" s="28">
        <f>-P1469*SIN(RADIANS(E1469))</f>
        <v/>
      </c>
      <c r="S1469" s="8">
        <f>(O1469+P1469*COS(RADIANS(E1469)))/L1469</f>
        <v/>
      </c>
      <c r="T1469" s="8">
        <f>R1469/L1469</f>
        <v/>
      </c>
      <c r="U1469" s="8">
        <f>(Q1469-P1469*G1469*SIN(RADIANS(E1469)))/M1469</f>
        <v/>
      </c>
      <c r="V1469" s="8">
        <f>SQRT((S1469+U1469)^2+3*T1469^2)</f>
        <v/>
      </c>
      <c r="W1469" s="8">
        <f>V1469/AA1469</f>
        <v/>
      </c>
      <c r="X1469" s="27">
        <f>((3*10+H1469/COS(RADIANS(E1469)))*(3+3)+3*G1469*H1469)*2</f>
        <v/>
      </c>
      <c r="Y1469" s="28">
        <f>Z1469/X1469</f>
        <v/>
      </c>
      <c r="Z1469" s="29" t="n">
        <v>613.339969739392</v>
      </c>
      <c r="AA1469" s="20" t="n">
        <v>37.1686880783993</v>
      </c>
      <c r="AB1469" t="n">
        <v>0.03913933770866</v>
      </c>
      <c r="AC1469" t="n">
        <v>37.17654966510495</v>
      </c>
      <c r="AD1469" t="n">
        <v>6.668690096117638</v>
      </c>
    </row>
    <row r="1470">
      <c r="A1470" t="n">
        <v>1469</v>
      </c>
      <c r="B1470" t="n">
        <v>54.5</v>
      </c>
      <c r="C1470" s="21">
        <f>B1470-20</f>
        <v/>
      </c>
      <c r="D1470" t="n">
        <v>122</v>
      </c>
      <c r="E1470" s="22">
        <f>D1470-90</f>
        <v/>
      </c>
      <c r="F1470" s="23" t="n">
        <v>0.011465</v>
      </c>
      <c r="G1470" s="22" t="n">
        <v>27.3</v>
      </c>
      <c r="H1470" s="22" t="n">
        <v>1.7</v>
      </c>
      <c r="I1470" s="24" t="n">
        <v>0.0528312288224697</v>
      </c>
      <c r="J1470" s="6" t="n">
        <v>71000</v>
      </c>
      <c r="K1470" s="25">
        <f>23*10^-6</f>
        <v/>
      </c>
      <c r="L1470" s="8">
        <f>H1470</f>
        <v/>
      </c>
      <c r="M1470" s="26">
        <f>H1470^2/6</f>
        <v/>
      </c>
      <c r="N1470" s="26">
        <f>H1470^3/12</f>
        <v/>
      </c>
      <c r="O1470" s="27">
        <f>-J1470*L1470*K1470*C1470</f>
        <v/>
      </c>
      <c r="P1470" s="28">
        <f>-(12*F1470*J1470*L1470*N1470+12*O1470*N1470*G1470*COS(RADIANS(E1470)))/(12*N1470*G1470*COS(RADIANS(E1470))^2+L1470*G1470^3*SIN(RADIANS(E1470))^2)</f>
        <v/>
      </c>
      <c r="Q1470" s="28">
        <f>-(6*F1470*J1470*L1470*N1470*SIN(RADIANS(E1470))+6*O1470*N1470*G1470*SIN(RADIANS(E1470))*COS(RADIANS(E1470)))/(12*N1470*COS(RADIANS(E1470))^2+L1470*G1470^2*SIN(RADIANS(E1470))^2)</f>
        <v/>
      </c>
      <c r="R1470" s="28">
        <f>-P1470*SIN(RADIANS(E1470))</f>
        <v/>
      </c>
      <c r="S1470" s="8">
        <f>(O1470+P1470*COS(RADIANS(E1470)))/L1470</f>
        <v/>
      </c>
      <c r="T1470" s="8">
        <f>R1470/L1470</f>
        <v/>
      </c>
      <c r="U1470" s="8">
        <f>(Q1470-P1470*G1470*SIN(RADIANS(E1470)))/M1470</f>
        <v/>
      </c>
      <c r="V1470" s="8">
        <f>SQRT((S1470+U1470)^2+3*T1470^2)</f>
        <v/>
      </c>
      <c r="W1470" s="8">
        <f>V1470/AA1470</f>
        <v/>
      </c>
      <c r="X1470" s="27">
        <f>((3*10+H1470/COS(RADIANS(E1470)))*(3+3)+3*G1470*H1470)*2</f>
        <v/>
      </c>
      <c r="Y1470" s="28">
        <f>Z1470/X1470</f>
        <v/>
      </c>
      <c r="Z1470" s="29" t="n">
        <v>670.249150494917</v>
      </c>
      <c r="AA1470" s="20" t="n">
        <v>53.8012423679719</v>
      </c>
      <c r="AB1470" t="n">
        <v>0.05857453386807763</v>
      </c>
      <c r="AC1470" t="n">
        <v>51.3228867437549</v>
      </c>
      <c r="AD1470" t="n">
        <v>10.87104194548895</v>
      </c>
    </row>
    <row r="1471">
      <c r="A1471" t="n">
        <v>1470</v>
      </c>
      <c r="B1471" t="n">
        <v>46.3</v>
      </c>
      <c r="C1471" s="21">
        <f>B1471-20</f>
        <v/>
      </c>
      <c r="D1471" t="n">
        <v>105.4</v>
      </c>
      <c r="E1471" s="22">
        <f>D1471-90</f>
        <v/>
      </c>
      <c r="F1471" s="23" t="n">
        <v>0.011078</v>
      </c>
      <c r="G1471" s="22" t="n">
        <v>32.1</v>
      </c>
      <c r="H1471" s="22" t="n">
        <v>1.5</v>
      </c>
      <c r="I1471" s="24" t="n">
        <v>0.0766927152872085</v>
      </c>
      <c r="J1471" s="6" t="n">
        <v>71000</v>
      </c>
      <c r="K1471" s="25">
        <f>23*10^-6</f>
        <v/>
      </c>
      <c r="L1471" s="8">
        <f>H1471</f>
        <v/>
      </c>
      <c r="M1471" s="26">
        <f>H1471^2/6</f>
        <v/>
      </c>
      <c r="N1471" s="26">
        <f>H1471^3/12</f>
        <v/>
      </c>
      <c r="O1471" s="27">
        <f>-J1471*L1471*K1471*C1471</f>
        <v/>
      </c>
      <c r="P1471" s="28">
        <f>-(12*F1471*J1471*L1471*N1471+12*O1471*N1471*G1471*COS(RADIANS(E1471)))/(12*N1471*G1471*COS(RADIANS(E1471))^2+L1471*G1471^3*SIN(RADIANS(E1471))^2)</f>
        <v/>
      </c>
      <c r="Q1471" s="28">
        <f>-(6*F1471*J1471*L1471*N1471*SIN(RADIANS(E1471))+6*O1471*N1471*G1471*SIN(RADIANS(E1471))*COS(RADIANS(E1471)))/(12*N1471*COS(RADIANS(E1471))^2+L1471*G1471^2*SIN(RADIANS(E1471))^2)</f>
        <v/>
      </c>
      <c r="R1471" s="28">
        <f>-P1471*SIN(RADIANS(E1471))</f>
        <v/>
      </c>
      <c r="S1471" s="8">
        <f>(O1471+P1471*COS(RADIANS(E1471)))/L1471</f>
        <v/>
      </c>
      <c r="T1471" s="8">
        <f>R1471/L1471</f>
        <v/>
      </c>
      <c r="U1471" s="8">
        <f>(Q1471-P1471*G1471*SIN(RADIANS(E1471)))/M1471</f>
        <v/>
      </c>
      <c r="V1471" s="8">
        <f>SQRT((S1471+U1471)^2+3*T1471^2)</f>
        <v/>
      </c>
      <c r="W1471" s="8">
        <f>V1471/AA1471</f>
        <v/>
      </c>
      <c r="X1471" s="27">
        <f>((3*10+H1471/COS(RADIANS(E1471)))*(3+3)+3*G1471*H1471)*2</f>
        <v/>
      </c>
      <c r="Y1471" s="28">
        <f>Z1471/X1471</f>
        <v/>
      </c>
      <c r="Z1471" s="29" t="n">
        <v>671.897782700286</v>
      </c>
      <c r="AA1471" s="20" t="n">
        <v>40.9575818895319</v>
      </c>
      <c r="AB1471" t="n">
        <v>0.1100802834198519</v>
      </c>
      <c r="AC1471" t="n">
        <v>42.05532041249625</v>
      </c>
      <c r="AD1471" t="n">
        <v>43.53421052783103</v>
      </c>
    </row>
    <row r="1472">
      <c r="A1472" t="n">
        <v>1471</v>
      </c>
      <c r="B1472" t="n">
        <v>86.90000000000001</v>
      </c>
      <c r="C1472" s="21">
        <f>B1472-20</f>
        <v/>
      </c>
      <c r="D1472" t="n">
        <v>129</v>
      </c>
      <c r="E1472" s="22">
        <f>D1472-90</f>
        <v/>
      </c>
      <c r="F1472" s="23" t="n">
        <v>0.017793</v>
      </c>
      <c r="G1472" s="22" t="n">
        <v>22.3</v>
      </c>
      <c r="H1472" s="22" t="n">
        <v>1</v>
      </c>
      <c r="I1472" s="24" t="n">
        <v>0.0799077898263931</v>
      </c>
      <c r="J1472" s="6" t="n">
        <v>71000</v>
      </c>
      <c r="K1472" s="25">
        <f>23*10^-6</f>
        <v/>
      </c>
      <c r="L1472" s="8">
        <f>H1472</f>
        <v/>
      </c>
      <c r="M1472" s="26">
        <f>H1472^2/6</f>
        <v/>
      </c>
      <c r="N1472" s="26">
        <f>H1472^3/12</f>
        <v/>
      </c>
      <c r="O1472" s="27">
        <f>-J1472*L1472*K1472*C1472</f>
        <v/>
      </c>
      <c r="P1472" s="28">
        <f>-(12*F1472*J1472*L1472*N1472+12*O1472*N1472*G1472*COS(RADIANS(E1472)))/(12*N1472*G1472*COS(RADIANS(E1472))^2+L1472*G1472^3*SIN(RADIANS(E1472))^2)</f>
        <v/>
      </c>
      <c r="Q1472" s="28">
        <f>-(6*F1472*J1472*L1472*N1472*SIN(RADIANS(E1472))+6*O1472*N1472*G1472*SIN(RADIANS(E1472))*COS(RADIANS(E1472)))/(12*N1472*COS(RADIANS(E1472))^2+L1472*G1472^2*SIN(RADIANS(E1472))^2)</f>
        <v/>
      </c>
      <c r="R1472" s="28">
        <f>-P1472*SIN(RADIANS(E1472))</f>
        <v/>
      </c>
      <c r="S1472" s="8">
        <f>(O1472+P1472*COS(RADIANS(E1472)))/L1472</f>
        <v/>
      </c>
      <c r="T1472" s="8">
        <f>R1472/L1472</f>
        <v/>
      </c>
      <c r="U1472" s="8">
        <f>(Q1472-P1472*G1472*SIN(RADIANS(E1472)))/M1472</f>
        <v/>
      </c>
      <c r="V1472" s="8">
        <f>SQRT((S1472+U1472)^2+3*T1472^2)</f>
        <v/>
      </c>
      <c r="W1472" s="8">
        <f>V1472/AA1472</f>
        <v/>
      </c>
      <c r="X1472" s="27">
        <f>((3*10+H1472/COS(RADIANS(E1472)))*(3+3)+3*G1472*H1472)*2</f>
        <v/>
      </c>
      <c r="Y1472" s="28">
        <f>Z1472/X1472</f>
        <v/>
      </c>
      <c r="Z1472" s="29" t="n">
        <v>519.556973757794</v>
      </c>
      <c r="AA1472" s="20" t="n">
        <v>88.63260068805729</v>
      </c>
      <c r="AB1472" t="n">
        <v>0.0762186821701215</v>
      </c>
      <c r="AC1472" t="n">
        <v>94.71535961327673</v>
      </c>
      <c r="AD1472" t="n">
        <v>-4.616705911008831</v>
      </c>
    </row>
    <row r="1473">
      <c r="A1473" t="n">
        <v>1472</v>
      </c>
      <c r="B1473" t="n">
        <v>46.6</v>
      </c>
      <c r="C1473" s="21">
        <f>B1473-20</f>
        <v/>
      </c>
      <c r="D1473" t="n">
        <v>129.3</v>
      </c>
      <c r="E1473" s="22">
        <f>D1473-90</f>
        <v/>
      </c>
      <c r="F1473" s="23" t="n">
        <v>0.007357</v>
      </c>
      <c r="G1473" s="22" t="n">
        <v>23.6</v>
      </c>
      <c r="H1473" s="22" t="n">
        <v>1.2</v>
      </c>
      <c r="I1473" s="24" t="n">
        <v>0.0327473878860473</v>
      </c>
      <c r="J1473" s="6" t="n">
        <v>71000</v>
      </c>
      <c r="K1473" s="25">
        <f>23*10^-6</f>
        <v/>
      </c>
      <c r="L1473" s="8">
        <f>H1473</f>
        <v/>
      </c>
      <c r="M1473" s="26">
        <f>H1473^2/6</f>
        <v/>
      </c>
      <c r="N1473" s="26">
        <f>H1473^3/12</f>
        <v/>
      </c>
      <c r="O1473" s="27">
        <f>-J1473*L1473*K1473*C1473</f>
        <v/>
      </c>
      <c r="P1473" s="28">
        <f>-(12*F1473*J1473*L1473*N1473+12*O1473*N1473*G1473*COS(RADIANS(E1473)))/(12*N1473*G1473*COS(RADIANS(E1473))^2+L1473*G1473^3*SIN(RADIANS(E1473))^2)</f>
        <v/>
      </c>
      <c r="Q1473" s="28">
        <f>-(6*F1473*J1473*L1473*N1473*SIN(RADIANS(E1473))+6*O1473*N1473*G1473*SIN(RADIANS(E1473))*COS(RADIANS(E1473)))/(12*N1473*COS(RADIANS(E1473))^2+L1473*G1473^2*SIN(RADIANS(E1473))^2)</f>
        <v/>
      </c>
      <c r="R1473" s="28">
        <f>-P1473*SIN(RADIANS(E1473))</f>
        <v/>
      </c>
      <c r="S1473" s="8">
        <f>(O1473+P1473*COS(RADIANS(E1473)))/L1473</f>
        <v/>
      </c>
      <c r="T1473" s="8">
        <f>R1473/L1473</f>
        <v/>
      </c>
      <c r="U1473" s="8">
        <f>(Q1473-P1473*G1473*SIN(RADIANS(E1473)))/M1473</f>
        <v/>
      </c>
      <c r="V1473" s="8">
        <f>SQRT((S1473+U1473)^2+3*T1473^2)</f>
        <v/>
      </c>
      <c r="W1473" s="8">
        <f>V1473/AA1473</f>
        <v/>
      </c>
      <c r="X1473" s="27">
        <f>((3*10+H1473/COS(RADIANS(E1473)))*(3+3)+3*G1473*H1473)*2</f>
        <v/>
      </c>
      <c r="Y1473" s="28">
        <f>Z1473/X1473</f>
        <v/>
      </c>
      <c r="Z1473" s="29" t="n">
        <v>558.976276952082</v>
      </c>
      <c r="AA1473" s="20" t="n">
        <v>36.3955509488733</v>
      </c>
      <c r="AB1473" t="n">
        <v>0.03163952679716224</v>
      </c>
      <c r="AC1473" t="n">
        <v>37.94532658368534</v>
      </c>
      <c r="AD1473" t="n">
        <v>-3.383051780313409</v>
      </c>
    </row>
    <row r="1474">
      <c r="A1474" t="n">
        <v>1473</v>
      </c>
      <c r="B1474" t="n">
        <v>80.7</v>
      </c>
      <c r="C1474" s="21">
        <f>B1474-20</f>
        <v/>
      </c>
      <c r="D1474" t="n">
        <v>117.3</v>
      </c>
      <c r="E1474" s="22">
        <f>D1474-90</f>
        <v/>
      </c>
      <c r="F1474" s="23" t="n">
        <v>0.022661</v>
      </c>
      <c r="G1474" s="22" t="n">
        <v>30.1</v>
      </c>
      <c r="H1474" s="22" t="n">
        <v>1.2</v>
      </c>
      <c r="I1474" s="24" t="n">
        <v>0.110192984342575</v>
      </c>
      <c r="J1474" s="6" t="n">
        <v>71000</v>
      </c>
      <c r="K1474" s="25">
        <f>23*10^-6</f>
        <v/>
      </c>
      <c r="L1474" s="8">
        <f>H1474</f>
        <v/>
      </c>
      <c r="M1474" s="26">
        <f>H1474^2/6</f>
        <v/>
      </c>
      <c r="N1474" s="26">
        <f>H1474^3/12</f>
        <v/>
      </c>
      <c r="O1474" s="27">
        <f>-J1474*L1474*K1474*C1474</f>
        <v/>
      </c>
      <c r="P1474" s="28">
        <f>-(12*F1474*J1474*L1474*N1474+12*O1474*N1474*G1474*COS(RADIANS(E1474)))/(12*N1474*G1474*COS(RADIANS(E1474))^2+L1474*G1474^3*SIN(RADIANS(E1474))^2)</f>
        <v/>
      </c>
      <c r="Q1474" s="28">
        <f>-(6*F1474*J1474*L1474*N1474*SIN(RADIANS(E1474))+6*O1474*N1474*G1474*SIN(RADIANS(E1474))*COS(RADIANS(E1474)))/(12*N1474*COS(RADIANS(E1474))^2+L1474*G1474^2*SIN(RADIANS(E1474))^2)</f>
        <v/>
      </c>
      <c r="R1474" s="28">
        <f>-P1474*SIN(RADIANS(E1474))</f>
        <v/>
      </c>
      <c r="S1474" s="8">
        <f>(O1474+P1474*COS(RADIANS(E1474)))/L1474</f>
        <v/>
      </c>
      <c r="T1474" s="8">
        <f>R1474/L1474</f>
        <v/>
      </c>
      <c r="U1474" s="8">
        <f>(Q1474-P1474*G1474*SIN(RADIANS(E1474)))/M1474</f>
        <v/>
      </c>
      <c r="V1474" s="8">
        <f>SQRT((S1474+U1474)^2+3*T1474^2)</f>
        <v/>
      </c>
      <c r="W1474" s="8">
        <f>V1474/AA1474</f>
        <v/>
      </c>
      <c r="X1474" s="27">
        <f>((3*10+H1474/COS(RADIANS(E1474)))*(3+3)+3*G1474*H1474)*2</f>
        <v/>
      </c>
      <c r="Y1474" s="28">
        <f>Z1474/X1474</f>
        <v/>
      </c>
      <c r="Z1474" s="29" t="n">
        <v>599.366835914699</v>
      </c>
      <c r="AA1474" s="20" t="n">
        <v>85.09553611897709</v>
      </c>
      <c r="AB1474" t="n">
        <v>0.1346533080555644</v>
      </c>
      <c r="AC1474" t="n">
        <v>88.72098943743674</v>
      </c>
      <c r="AD1474" t="n">
        <v>22.19771418200775</v>
      </c>
    </row>
    <row r="1475">
      <c r="A1475" t="n">
        <v>1474</v>
      </c>
      <c r="B1475" t="n">
        <v>45.3</v>
      </c>
      <c r="C1475" s="21">
        <f>B1475-20</f>
        <v/>
      </c>
      <c r="D1475" t="n">
        <v>122.5</v>
      </c>
      <c r="E1475" s="22">
        <f>D1475-90</f>
        <v/>
      </c>
      <c r="F1475" s="23" t="n">
        <v>0.008493000000000001</v>
      </c>
      <c r="G1475" s="22" t="n">
        <v>27.8</v>
      </c>
      <c r="H1475" s="22" t="n">
        <v>1.2</v>
      </c>
      <c r="I1475" s="24" t="n">
        <v>0.0387561023235321</v>
      </c>
      <c r="J1475" s="6" t="n">
        <v>71000</v>
      </c>
      <c r="K1475" s="25">
        <f>23*10^-6</f>
        <v/>
      </c>
      <c r="L1475" s="8">
        <f>H1475</f>
        <v/>
      </c>
      <c r="M1475" s="26">
        <f>H1475^2/6</f>
        <v/>
      </c>
      <c r="N1475" s="26">
        <f>H1475^3/12</f>
        <v/>
      </c>
      <c r="O1475" s="27">
        <f>-J1475*L1475*K1475*C1475</f>
        <v/>
      </c>
      <c r="P1475" s="28">
        <f>-(12*F1475*J1475*L1475*N1475+12*O1475*N1475*G1475*COS(RADIANS(E1475)))/(12*N1475*G1475*COS(RADIANS(E1475))^2+L1475*G1475^3*SIN(RADIANS(E1475))^2)</f>
        <v/>
      </c>
      <c r="Q1475" s="28">
        <f>-(6*F1475*J1475*L1475*N1475*SIN(RADIANS(E1475))+6*O1475*N1475*G1475*SIN(RADIANS(E1475))*COS(RADIANS(E1475)))/(12*N1475*COS(RADIANS(E1475))^2+L1475*G1475^2*SIN(RADIANS(E1475))^2)</f>
        <v/>
      </c>
      <c r="R1475" s="28">
        <f>-P1475*SIN(RADIANS(E1475))</f>
        <v/>
      </c>
      <c r="S1475" s="8">
        <f>(O1475+P1475*COS(RADIANS(E1475)))/L1475</f>
        <v/>
      </c>
      <c r="T1475" s="8">
        <f>R1475/L1475</f>
        <v/>
      </c>
      <c r="U1475" s="8">
        <f>(Q1475-P1475*G1475*SIN(RADIANS(E1475)))/M1475</f>
        <v/>
      </c>
      <c r="V1475" s="8">
        <f>SQRT((S1475+U1475)^2+3*T1475^2)</f>
        <v/>
      </c>
      <c r="W1475" s="8">
        <f>V1475/AA1475</f>
        <v/>
      </c>
      <c r="X1475" s="27">
        <f>((3*10+H1475/COS(RADIANS(E1475)))*(3+3)+3*G1475*H1475)*2</f>
        <v/>
      </c>
      <c r="Y1475" s="28">
        <f>Z1475/X1475</f>
        <v/>
      </c>
      <c r="Z1475" s="29" t="n">
        <v>585.124088807114</v>
      </c>
      <c r="AA1475" s="20" t="n">
        <v>35.3181818189352</v>
      </c>
      <c r="AB1475" t="n">
        <v>0.04321557357663548</v>
      </c>
      <c r="AC1475" t="n">
        <v>36.51802184899323</v>
      </c>
      <c r="AD1475" t="n">
        <v>11.50650087533611</v>
      </c>
    </row>
    <row r="1476">
      <c r="A1476" t="n">
        <v>1475</v>
      </c>
      <c r="B1476" t="n">
        <v>68.5</v>
      </c>
      <c r="C1476" s="21">
        <f>B1476-20</f>
        <v/>
      </c>
      <c r="D1476" t="n">
        <v>113</v>
      </c>
      <c r="E1476" s="22">
        <f>D1476-90</f>
        <v/>
      </c>
      <c r="F1476" s="23" t="n">
        <v>0.017212</v>
      </c>
      <c r="G1476" s="22" t="n">
        <v>27.3</v>
      </c>
      <c r="H1476" s="22" t="n">
        <v>1</v>
      </c>
      <c r="I1476" s="24" t="n">
        <v>0.0932609960436821</v>
      </c>
      <c r="J1476" s="6" t="n">
        <v>71000</v>
      </c>
      <c r="K1476" s="25">
        <f>23*10^-6</f>
        <v/>
      </c>
      <c r="L1476" s="8">
        <f>H1476</f>
        <v/>
      </c>
      <c r="M1476" s="26">
        <f>H1476^2/6</f>
        <v/>
      </c>
      <c r="N1476" s="26">
        <f>H1476^3/12</f>
        <v/>
      </c>
      <c r="O1476" s="27">
        <f>-J1476*L1476*K1476*C1476</f>
        <v/>
      </c>
      <c r="P1476" s="28">
        <f>-(12*F1476*J1476*L1476*N1476+12*O1476*N1476*G1476*COS(RADIANS(E1476)))/(12*N1476*G1476*COS(RADIANS(E1476))^2+L1476*G1476^3*SIN(RADIANS(E1476))^2)</f>
        <v/>
      </c>
      <c r="Q1476" s="28">
        <f>-(6*F1476*J1476*L1476*N1476*SIN(RADIANS(E1476))+6*O1476*N1476*G1476*SIN(RADIANS(E1476))*COS(RADIANS(E1476)))/(12*N1476*COS(RADIANS(E1476))^2+L1476*G1476^2*SIN(RADIANS(E1476))^2)</f>
        <v/>
      </c>
      <c r="R1476" s="28">
        <f>-P1476*SIN(RADIANS(E1476))</f>
        <v/>
      </c>
      <c r="S1476" s="8">
        <f>(O1476+P1476*COS(RADIANS(E1476)))/L1476</f>
        <v/>
      </c>
      <c r="T1476" s="8">
        <f>R1476/L1476</f>
        <v/>
      </c>
      <c r="U1476" s="8">
        <f>(Q1476-P1476*G1476*SIN(RADIANS(E1476)))/M1476</f>
        <v/>
      </c>
      <c r="V1476" s="8">
        <f>SQRT((S1476+U1476)^2+3*T1476^2)</f>
        <v/>
      </c>
      <c r="W1476" s="8">
        <f>V1476/AA1476</f>
        <v/>
      </c>
      <c r="X1476" s="27">
        <f>((3*10+H1476/COS(RADIANS(E1476)))*(3+3)+3*G1476*H1476)*2</f>
        <v/>
      </c>
      <c r="Y1476" s="28">
        <f>Z1476/X1476</f>
        <v/>
      </c>
      <c r="Z1476" s="29" t="n">
        <v>542.34260297223</v>
      </c>
      <c r="AA1476" s="20" t="n">
        <v>67.1261613687867</v>
      </c>
      <c r="AB1476" t="n">
        <v>0.1175571781661202</v>
      </c>
      <c r="AC1476" t="n">
        <v>71.41714572632634</v>
      </c>
      <c r="AD1476" t="n">
        <v>26.0518149635225</v>
      </c>
    </row>
    <row r="1477">
      <c r="A1477" t="n">
        <v>1476</v>
      </c>
      <c r="B1477" t="n">
        <v>71.40000000000001</v>
      </c>
      <c r="C1477" s="21">
        <f>B1477-20</f>
        <v/>
      </c>
      <c r="D1477" t="n">
        <v>101.5</v>
      </c>
      <c r="E1477" s="22">
        <f>D1477-90</f>
        <v/>
      </c>
      <c r="F1477" s="23" t="n">
        <v>0.020684</v>
      </c>
      <c r="G1477" s="22" t="n">
        <v>29.9</v>
      </c>
      <c r="H1477" s="22" t="n">
        <v>1.9</v>
      </c>
      <c r="I1477" s="24" t="n">
        <v>0.172994554042816</v>
      </c>
      <c r="J1477" s="6" t="n">
        <v>71000</v>
      </c>
      <c r="K1477" s="25">
        <f>23*10^-6</f>
        <v/>
      </c>
      <c r="L1477" s="8">
        <f>H1477</f>
        <v/>
      </c>
      <c r="M1477" s="26">
        <f>H1477^2/6</f>
        <v/>
      </c>
      <c r="N1477" s="26">
        <f>H1477^3/12</f>
        <v/>
      </c>
      <c r="O1477" s="27">
        <f>-J1477*L1477*K1477*C1477</f>
        <v/>
      </c>
      <c r="P1477" s="28">
        <f>-(12*F1477*J1477*L1477*N1477+12*O1477*N1477*G1477*COS(RADIANS(E1477)))/(12*N1477*G1477*COS(RADIANS(E1477))^2+L1477*G1477^3*SIN(RADIANS(E1477))^2)</f>
        <v/>
      </c>
      <c r="Q1477" s="28">
        <f>-(6*F1477*J1477*L1477*N1477*SIN(RADIANS(E1477))+6*O1477*N1477*G1477*SIN(RADIANS(E1477))*COS(RADIANS(E1477)))/(12*N1477*COS(RADIANS(E1477))^2+L1477*G1477^2*SIN(RADIANS(E1477))^2)</f>
        <v/>
      </c>
      <c r="R1477" s="28">
        <f>-P1477*SIN(RADIANS(E1477))</f>
        <v/>
      </c>
      <c r="S1477" s="8">
        <f>(O1477+P1477*COS(RADIANS(E1477)))/L1477</f>
        <v/>
      </c>
      <c r="T1477" s="8">
        <f>R1477/L1477</f>
        <v/>
      </c>
      <c r="U1477" s="8">
        <f>(Q1477-P1477*G1477*SIN(RADIANS(E1477)))/M1477</f>
        <v/>
      </c>
      <c r="V1477" s="8">
        <f>SQRT((S1477+U1477)^2+3*T1477^2)</f>
        <v/>
      </c>
      <c r="W1477" s="8">
        <f>V1477/AA1477</f>
        <v/>
      </c>
      <c r="X1477" s="27">
        <f>((3*10+H1477/COS(RADIANS(E1477)))*(3+3)+3*G1477*H1477)*2</f>
        <v/>
      </c>
      <c r="Y1477" s="28">
        <f>Z1477/X1477</f>
        <v/>
      </c>
      <c r="Z1477" s="29" t="n">
        <v>728.052400829319</v>
      </c>
      <c r="AA1477" s="20" t="n">
        <v>92.0360402993028</v>
      </c>
      <c r="AB1477" t="n">
        <v>0.2537964411911665</v>
      </c>
      <c r="AC1477" t="n">
        <v>90.31167296793842</v>
      </c>
      <c r="AD1477" t="n">
        <v>46.70776348737089</v>
      </c>
    </row>
    <row r="1478">
      <c r="A1478" t="n">
        <v>1477</v>
      </c>
      <c r="B1478" t="n">
        <v>86.5</v>
      </c>
      <c r="C1478" s="21">
        <f>B1478-20</f>
        <v/>
      </c>
      <c r="D1478" t="n">
        <v>119.2</v>
      </c>
      <c r="E1478" s="22">
        <f>D1478-90</f>
        <v/>
      </c>
      <c r="F1478" s="23" t="n">
        <v>0.026982</v>
      </c>
      <c r="G1478" s="22" t="n">
        <v>33.9</v>
      </c>
      <c r="H1478" s="22" t="n">
        <v>1.8</v>
      </c>
      <c r="I1478" s="24" t="n">
        <v>0.125132650136947</v>
      </c>
      <c r="J1478" s="6" t="n">
        <v>71000</v>
      </c>
      <c r="K1478" s="25">
        <f>23*10^-6</f>
        <v/>
      </c>
      <c r="L1478" s="8">
        <f>H1478</f>
        <v/>
      </c>
      <c r="M1478" s="26">
        <f>H1478^2/6</f>
        <v/>
      </c>
      <c r="N1478" s="26">
        <f>H1478^3/12</f>
        <v/>
      </c>
      <c r="O1478" s="27">
        <f>-J1478*L1478*K1478*C1478</f>
        <v/>
      </c>
      <c r="P1478" s="28">
        <f>-(12*F1478*J1478*L1478*N1478+12*O1478*N1478*G1478*COS(RADIANS(E1478)))/(12*N1478*G1478*COS(RADIANS(E1478))^2+L1478*G1478^3*SIN(RADIANS(E1478))^2)</f>
        <v/>
      </c>
      <c r="Q1478" s="28">
        <f>-(6*F1478*J1478*L1478*N1478*SIN(RADIANS(E1478))+6*O1478*N1478*G1478*SIN(RADIANS(E1478))*COS(RADIANS(E1478)))/(12*N1478*COS(RADIANS(E1478))^2+L1478*G1478^2*SIN(RADIANS(E1478))^2)</f>
        <v/>
      </c>
      <c r="R1478" s="28">
        <f>-P1478*SIN(RADIANS(E1478))</f>
        <v/>
      </c>
      <c r="S1478" s="8">
        <f>(O1478+P1478*COS(RADIANS(E1478)))/L1478</f>
        <v/>
      </c>
      <c r="T1478" s="8">
        <f>R1478/L1478</f>
        <v/>
      </c>
      <c r="U1478" s="8">
        <f>(Q1478-P1478*G1478*SIN(RADIANS(E1478)))/M1478</f>
        <v/>
      </c>
      <c r="V1478" s="8">
        <f>SQRT((S1478+U1478)^2+3*T1478^2)</f>
        <v/>
      </c>
      <c r="W1478" s="8">
        <f>V1478/AA1478</f>
        <v/>
      </c>
      <c r="X1478" s="27">
        <f>((3*10+H1478/COS(RADIANS(E1478)))*(3+3)+3*G1478*H1478)*2</f>
        <v/>
      </c>
      <c r="Y1478" s="28">
        <f>Z1478/X1478</f>
        <v/>
      </c>
      <c r="Z1478" s="29" t="n">
        <v>757.791969081001</v>
      </c>
      <c r="AA1478" s="20" t="n">
        <v>102.658064256279</v>
      </c>
      <c r="AB1478" t="n">
        <v>0.1530423672186104</v>
      </c>
      <c r="AC1478" t="n">
        <v>99.18430845595009</v>
      </c>
      <c r="AD1478" t="n">
        <v>22.30410452517276</v>
      </c>
    </row>
    <row r="1479">
      <c r="A1479" t="n">
        <v>1478</v>
      </c>
      <c r="B1479" t="n">
        <v>63.7</v>
      </c>
      <c r="C1479" s="21">
        <f>B1479-20</f>
        <v/>
      </c>
      <c r="D1479" t="n">
        <v>101.3</v>
      </c>
      <c r="E1479" s="22">
        <f>D1479-90</f>
        <v/>
      </c>
      <c r="F1479" s="23" t="n">
        <v>0.015691</v>
      </c>
      <c r="G1479" s="22" t="n">
        <v>26</v>
      </c>
      <c r="H1479" s="22" t="n">
        <v>1.9</v>
      </c>
      <c r="I1479" s="24" t="n">
        <v>0.131474137306213</v>
      </c>
      <c r="J1479" s="6" t="n">
        <v>71000</v>
      </c>
      <c r="K1479" s="25">
        <f>23*10^-6</f>
        <v/>
      </c>
      <c r="L1479" s="8">
        <f>H1479</f>
        <v/>
      </c>
      <c r="M1479" s="26">
        <f>H1479^2/6</f>
        <v/>
      </c>
      <c r="N1479" s="26">
        <f>H1479^3/12</f>
        <v/>
      </c>
      <c r="O1479" s="27">
        <f>-J1479*L1479*K1479*C1479</f>
        <v/>
      </c>
      <c r="P1479" s="28">
        <f>-(12*F1479*J1479*L1479*N1479+12*O1479*N1479*G1479*COS(RADIANS(E1479)))/(12*N1479*G1479*COS(RADIANS(E1479))^2+L1479*G1479^3*SIN(RADIANS(E1479))^2)</f>
        <v/>
      </c>
      <c r="Q1479" s="28">
        <f>-(6*F1479*J1479*L1479*N1479*SIN(RADIANS(E1479))+6*O1479*N1479*G1479*SIN(RADIANS(E1479))*COS(RADIANS(E1479)))/(12*N1479*COS(RADIANS(E1479))^2+L1479*G1479^2*SIN(RADIANS(E1479))^2)</f>
        <v/>
      </c>
      <c r="R1479" s="28">
        <f>-P1479*SIN(RADIANS(E1479))</f>
        <v/>
      </c>
      <c r="S1479" s="8">
        <f>(O1479+P1479*COS(RADIANS(E1479)))/L1479</f>
        <v/>
      </c>
      <c r="T1479" s="8">
        <f>R1479/L1479</f>
        <v/>
      </c>
      <c r="U1479" s="8">
        <f>(Q1479-P1479*G1479*SIN(RADIANS(E1479)))/M1479</f>
        <v/>
      </c>
      <c r="V1479" s="8">
        <f>SQRT((S1479+U1479)^2+3*T1479^2)</f>
        <v/>
      </c>
      <c r="W1479" s="8">
        <f>V1479/AA1479</f>
        <v/>
      </c>
      <c r="X1479" s="27">
        <f>((3*10+H1479/COS(RADIANS(E1479)))*(3+3)+3*G1479*H1479)*2</f>
        <v/>
      </c>
      <c r="Y1479" s="28">
        <f>Z1479/X1479</f>
        <v/>
      </c>
      <c r="Z1479" s="29" t="n">
        <v>683.558798076635</v>
      </c>
      <c r="AA1479" s="20" t="n">
        <v>86.1543173358821</v>
      </c>
      <c r="AB1479" t="n">
        <v>0.1865240083839599</v>
      </c>
      <c r="AC1479" t="n">
        <v>78.03681467206604</v>
      </c>
      <c r="AD1479" t="n">
        <v>41.87125483815248</v>
      </c>
    </row>
    <row r="1480">
      <c r="A1480" t="n">
        <v>1479</v>
      </c>
      <c r="B1480" t="n">
        <v>47.7</v>
      </c>
      <c r="C1480" s="21">
        <f>B1480-20</f>
        <v/>
      </c>
      <c r="D1480" t="n">
        <v>108.7</v>
      </c>
      <c r="E1480" s="22">
        <f>D1480-90</f>
        <v/>
      </c>
      <c r="F1480" s="23" t="n">
        <v>0.011735</v>
      </c>
      <c r="G1480" s="22" t="n">
        <v>32.9</v>
      </c>
      <c r="H1480" s="22" t="n">
        <v>1.3</v>
      </c>
      <c r="I1480" s="24" t="n">
        <v>0.0708767548203468</v>
      </c>
      <c r="J1480" s="6" t="n">
        <v>71000</v>
      </c>
      <c r="K1480" s="25">
        <f>23*10^-6</f>
        <v/>
      </c>
      <c r="L1480" s="8">
        <f>H1480</f>
        <v/>
      </c>
      <c r="M1480" s="26">
        <f>H1480^2/6</f>
        <v/>
      </c>
      <c r="N1480" s="26">
        <f>H1480^3/12</f>
        <v/>
      </c>
      <c r="O1480" s="27">
        <f>-J1480*L1480*K1480*C1480</f>
        <v/>
      </c>
      <c r="P1480" s="28">
        <f>-(12*F1480*J1480*L1480*N1480+12*O1480*N1480*G1480*COS(RADIANS(E1480)))/(12*N1480*G1480*COS(RADIANS(E1480))^2+L1480*G1480^3*SIN(RADIANS(E1480))^2)</f>
        <v/>
      </c>
      <c r="Q1480" s="28">
        <f>-(6*F1480*J1480*L1480*N1480*SIN(RADIANS(E1480))+6*O1480*N1480*G1480*SIN(RADIANS(E1480))*COS(RADIANS(E1480)))/(12*N1480*COS(RADIANS(E1480))^2+L1480*G1480^2*SIN(RADIANS(E1480))^2)</f>
        <v/>
      </c>
      <c r="R1480" s="28">
        <f>-P1480*SIN(RADIANS(E1480))</f>
        <v/>
      </c>
      <c r="S1480" s="8">
        <f>(O1480+P1480*COS(RADIANS(E1480)))/L1480</f>
        <v/>
      </c>
      <c r="T1480" s="8">
        <f>R1480/L1480</f>
        <v/>
      </c>
      <c r="U1480" s="8">
        <f>(Q1480-P1480*G1480*SIN(RADIANS(E1480)))/M1480</f>
        <v/>
      </c>
      <c r="V1480" s="8">
        <f>SQRT((S1480+U1480)^2+3*T1480^2)</f>
        <v/>
      </c>
      <c r="W1480" s="8">
        <f>V1480/AA1480</f>
        <v/>
      </c>
      <c r="X1480" s="27">
        <f>((3*10+H1480/COS(RADIANS(E1480)))*(3+3)+3*G1480*H1480)*2</f>
        <v/>
      </c>
      <c r="Y1480" s="28">
        <f>Z1480/X1480</f>
        <v/>
      </c>
      <c r="Z1480" s="29" t="n">
        <v>637.860608184722</v>
      </c>
      <c r="AA1480" s="20" t="n">
        <v>40.8867093375948</v>
      </c>
      <c r="AB1480" t="n">
        <v>0.09864885883074606</v>
      </c>
      <c r="AC1480" t="n">
        <v>42.25644720961494</v>
      </c>
      <c r="AD1480" t="n">
        <v>39.18365630705574</v>
      </c>
    </row>
    <row r="1481">
      <c r="A1481" t="n">
        <v>1480</v>
      </c>
      <c r="B1481" t="n">
        <v>64.5</v>
      </c>
      <c r="C1481" s="21">
        <f>B1481-20</f>
        <v/>
      </c>
      <c r="D1481" t="n">
        <v>103.2</v>
      </c>
      <c r="E1481" s="22">
        <f>D1481-90</f>
        <v/>
      </c>
      <c r="F1481" s="23" t="n">
        <v>0.01954</v>
      </c>
      <c r="G1481" s="22" t="n">
        <v>33.4</v>
      </c>
      <c r="H1481" s="22" t="n">
        <v>1.5</v>
      </c>
      <c r="I1481" s="24" t="n">
        <v>0.151183038949966</v>
      </c>
      <c r="J1481" s="6" t="n">
        <v>71000</v>
      </c>
      <c r="K1481" s="25">
        <f>23*10^-6</f>
        <v/>
      </c>
      <c r="L1481" s="8">
        <f>H1481</f>
        <v/>
      </c>
      <c r="M1481" s="26">
        <f>H1481^2/6</f>
        <v/>
      </c>
      <c r="N1481" s="26">
        <f>H1481^3/12</f>
        <v/>
      </c>
      <c r="O1481" s="27">
        <f>-J1481*L1481*K1481*C1481</f>
        <v/>
      </c>
      <c r="P1481" s="28">
        <f>-(12*F1481*J1481*L1481*N1481+12*O1481*N1481*G1481*COS(RADIANS(E1481)))/(12*N1481*G1481*COS(RADIANS(E1481))^2+L1481*G1481^3*SIN(RADIANS(E1481))^2)</f>
        <v/>
      </c>
      <c r="Q1481" s="28">
        <f>-(6*F1481*J1481*L1481*N1481*SIN(RADIANS(E1481))+6*O1481*N1481*G1481*SIN(RADIANS(E1481))*COS(RADIANS(E1481)))/(12*N1481*COS(RADIANS(E1481))^2+L1481*G1481^2*SIN(RADIANS(E1481))^2)</f>
        <v/>
      </c>
      <c r="R1481" s="28">
        <f>-P1481*SIN(RADIANS(E1481))</f>
        <v/>
      </c>
      <c r="S1481" s="8">
        <f>(O1481+P1481*COS(RADIANS(E1481)))/L1481</f>
        <v/>
      </c>
      <c r="T1481" s="8">
        <f>R1481/L1481</f>
        <v/>
      </c>
      <c r="U1481" s="8">
        <f>(Q1481-P1481*G1481*SIN(RADIANS(E1481)))/M1481</f>
        <v/>
      </c>
      <c r="V1481" s="8">
        <f>SQRT((S1481+U1481)^2+3*T1481^2)</f>
        <v/>
      </c>
      <c r="W1481" s="8">
        <f>V1481/AA1481</f>
        <v/>
      </c>
      <c r="X1481" s="27">
        <f>((3*10+H1481/COS(RADIANS(E1481)))*(3+3)+3*G1481*H1481)*2</f>
        <v/>
      </c>
      <c r="Y1481" s="28">
        <f>Z1481/X1481</f>
        <v/>
      </c>
      <c r="Z1481" s="29" t="n">
        <v>683.173430254428</v>
      </c>
      <c r="AA1481" s="20" t="n">
        <v>69.8015326748435</v>
      </c>
      <c r="AB1481" t="n">
        <v>0.2246095171452162</v>
      </c>
      <c r="AC1481" t="n">
        <v>72.57137997938314</v>
      </c>
      <c r="AD1481" t="n">
        <v>48.56793374787944</v>
      </c>
    </row>
    <row r="1482">
      <c r="A1482" t="n">
        <v>1481</v>
      </c>
      <c r="B1482" t="n">
        <v>73.5</v>
      </c>
      <c r="C1482" s="21">
        <f>B1482-20</f>
        <v/>
      </c>
      <c r="D1482" t="n">
        <v>129</v>
      </c>
      <c r="E1482" s="22">
        <f>D1482-90</f>
        <v/>
      </c>
      <c r="F1482" s="23" t="n">
        <v>0.01385</v>
      </c>
      <c r="G1482" s="22" t="n">
        <v>21.5</v>
      </c>
      <c r="H1482" s="22" t="n">
        <v>1.2</v>
      </c>
      <c r="I1482" s="24" t="n">
        <v>0.0626203790307045</v>
      </c>
      <c r="J1482" s="6" t="n">
        <v>71000</v>
      </c>
      <c r="K1482" s="25">
        <f>23*10^-6</f>
        <v/>
      </c>
      <c r="L1482" s="8">
        <f>H1482</f>
        <v/>
      </c>
      <c r="M1482" s="26">
        <f>H1482^2/6</f>
        <v/>
      </c>
      <c r="N1482" s="26">
        <f>H1482^3/12</f>
        <v/>
      </c>
      <c r="O1482" s="27">
        <f>-J1482*L1482*K1482*C1482</f>
        <v/>
      </c>
      <c r="P1482" s="28">
        <f>-(12*F1482*J1482*L1482*N1482+12*O1482*N1482*G1482*COS(RADIANS(E1482)))/(12*N1482*G1482*COS(RADIANS(E1482))^2+L1482*G1482^3*SIN(RADIANS(E1482))^2)</f>
        <v/>
      </c>
      <c r="Q1482" s="28">
        <f>-(6*F1482*J1482*L1482*N1482*SIN(RADIANS(E1482))+6*O1482*N1482*G1482*SIN(RADIANS(E1482))*COS(RADIANS(E1482)))/(12*N1482*COS(RADIANS(E1482))^2+L1482*G1482^2*SIN(RADIANS(E1482))^2)</f>
        <v/>
      </c>
      <c r="R1482" s="28">
        <f>-P1482*SIN(RADIANS(E1482))</f>
        <v/>
      </c>
      <c r="S1482" s="8">
        <f>(O1482+P1482*COS(RADIANS(E1482)))/L1482</f>
        <v/>
      </c>
      <c r="T1482" s="8">
        <f>R1482/L1482</f>
        <v/>
      </c>
      <c r="U1482" s="8">
        <f>(Q1482-P1482*G1482*SIN(RADIANS(E1482)))/M1482</f>
        <v/>
      </c>
      <c r="V1482" s="8">
        <f>SQRT((S1482+U1482)^2+3*T1482^2)</f>
        <v/>
      </c>
      <c r="W1482" s="8">
        <f>V1482/AA1482</f>
        <v/>
      </c>
      <c r="X1482" s="27">
        <f>((3*10+H1482/COS(RADIANS(E1482)))*(3+3)+3*G1482*H1482)*2</f>
        <v/>
      </c>
      <c r="Y1482" s="28">
        <f>Z1482/X1482</f>
        <v/>
      </c>
      <c r="Z1482" s="29" t="n">
        <v>543.645196715938</v>
      </c>
      <c r="AA1482" s="20" t="n">
        <v>75.16550155175651</v>
      </c>
      <c r="AB1482" t="n">
        <v>0.05880926784792158</v>
      </c>
      <c r="AC1482" t="n">
        <v>76.57242229119007</v>
      </c>
      <c r="AD1482" t="n">
        <v>-6.086055756568045</v>
      </c>
    </row>
    <row r="1483">
      <c r="A1483" t="n">
        <v>1482</v>
      </c>
      <c r="B1483" t="n">
        <v>68.59999999999999</v>
      </c>
      <c r="C1483" s="21">
        <f>B1483-20</f>
        <v/>
      </c>
      <c r="D1483" t="n">
        <v>124.8</v>
      </c>
      <c r="E1483" s="22">
        <f>D1483-90</f>
        <v/>
      </c>
      <c r="F1483" s="23" t="n">
        <v>0.014243</v>
      </c>
      <c r="G1483" s="22" t="n">
        <v>24</v>
      </c>
      <c r="H1483" s="22" t="n">
        <v>1.2</v>
      </c>
      <c r="I1483" s="24" t="n">
        <v>0.06502190977334971</v>
      </c>
      <c r="J1483" s="6" t="n">
        <v>71000</v>
      </c>
      <c r="K1483" s="25">
        <f>23*10^-6</f>
        <v/>
      </c>
      <c r="L1483" s="8">
        <f>H1483</f>
        <v/>
      </c>
      <c r="M1483" s="26">
        <f>H1483^2/6</f>
        <v/>
      </c>
      <c r="N1483" s="26">
        <f>H1483^3/12</f>
        <v/>
      </c>
      <c r="O1483" s="27">
        <f>-J1483*L1483*K1483*C1483</f>
        <v/>
      </c>
      <c r="P1483" s="28">
        <f>-(12*F1483*J1483*L1483*N1483+12*O1483*N1483*G1483*COS(RADIANS(E1483)))/(12*N1483*G1483*COS(RADIANS(E1483))^2+L1483*G1483^3*SIN(RADIANS(E1483))^2)</f>
        <v/>
      </c>
      <c r="Q1483" s="28">
        <f>-(6*F1483*J1483*L1483*N1483*SIN(RADIANS(E1483))+6*O1483*N1483*G1483*SIN(RADIANS(E1483))*COS(RADIANS(E1483)))/(12*N1483*COS(RADIANS(E1483))^2+L1483*G1483^2*SIN(RADIANS(E1483))^2)</f>
        <v/>
      </c>
      <c r="R1483" s="28">
        <f>-P1483*SIN(RADIANS(E1483))</f>
        <v/>
      </c>
      <c r="S1483" s="8">
        <f>(O1483+P1483*COS(RADIANS(E1483)))/L1483</f>
        <v/>
      </c>
      <c r="T1483" s="8">
        <f>R1483/L1483</f>
        <v/>
      </c>
      <c r="U1483" s="8">
        <f>(Q1483-P1483*G1483*SIN(RADIANS(E1483)))/M1483</f>
        <v/>
      </c>
      <c r="V1483" s="8">
        <f>SQRT((S1483+U1483)^2+3*T1483^2)</f>
        <v/>
      </c>
      <c r="W1483" s="8">
        <f>V1483/AA1483</f>
        <v/>
      </c>
      <c r="X1483" s="27">
        <f>((3*10+H1483/COS(RADIANS(E1483)))*(3+3)+3*G1483*H1483)*2</f>
        <v/>
      </c>
      <c r="Y1483" s="28">
        <f>Z1483/X1483</f>
        <v/>
      </c>
      <c r="Z1483" s="29" t="n">
        <v>558.997359500549</v>
      </c>
      <c r="AA1483" s="20" t="n">
        <v>68.768949757939</v>
      </c>
      <c r="AB1483" t="n">
        <v>0.06710093910009092</v>
      </c>
      <c r="AC1483" t="n">
        <v>70.11069839008547</v>
      </c>
      <c r="AD1483" t="n">
        <v>3.197428888182761</v>
      </c>
    </row>
    <row r="1484">
      <c r="A1484" t="n">
        <v>1483</v>
      </c>
      <c r="B1484" t="n">
        <v>55.7</v>
      </c>
      <c r="C1484" s="21">
        <f>B1484-20</f>
        <v/>
      </c>
      <c r="D1484" t="n">
        <v>113.8</v>
      </c>
      <c r="E1484" s="22">
        <f>D1484-90</f>
        <v/>
      </c>
      <c r="F1484" s="23" t="n">
        <v>0.015326</v>
      </c>
      <c r="G1484" s="22" t="n">
        <v>34.6</v>
      </c>
      <c r="H1484" s="22" t="n">
        <v>1.2</v>
      </c>
      <c r="I1484" s="24" t="n">
        <v>0.0788138881325721</v>
      </c>
      <c r="J1484" s="6" t="n">
        <v>71000</v>
      </c>
      <c r="K1484" s="25">
        <f>23*10^-6</f>
        <v/>
      </c>
      <c r="L1484" s="8">
        <f>H1484</f>
        <v/>
      </c>
      <c r="M1484" s="26">
        <f>H1484^2/6</f>
        <v/>
      </c>
      <c r="N1484" s="26">
        <f>H1484^3/12</f>
        <v/>
      </c>
      <c r="O1484" s="27">
        <f>-J1484*L1484*K1484*C1484</f>
        <v/>
      </c>
      <c r="P1484" s="28">
        <f>-(12*F1484*J1484*L1484*N1484+12*O1484*N1484*G1484*COS(RADIANS(E1484)))/(12*N1484*G1484*COS(RADIANS(E1484))^2+L1484*G1484^3*SIN(RADIANS(E1484))^2)</f>
        <v/>
      </c>
      <c r="Q1484" s="28">
        <f>-(6*F1484*J1484*L1484*N1484*SIN(RADIANS(E1484))+6*O1484*N1484*G1484*SIN(RADIANS(E1484))*COS(RADIANS(E1484)))/(12*N1484*COS(RADIANS(E1484))^2+L1484*G1484^2*SIN(RADIANS(E1484))^2)</f>
        <v/>
      </c>
      <c r="R1484" s="28">
        <f>-P1484*SIN(RADIANS(E1484))</f>
        <v/>
      </c>
      <c r="S1484" s="8">
        <f>(O1484+P1484*COS(RADIANS(E1484)))/L1484</f>
        <v/>
      </c>
      <c r="T1484" s="8">
        <f>R1484/L1484</f>
        <v/>
      </c>
      <c r="U1484" s="8">
        <f>(Q1484-P1484*G1484*SIN(RADIANS(E1484)))/M1484</f>
        <v/>
      </c>
      <c r="V1484" s="8">
        <f>SQRT((S1484+U1484)^2+3*T1484^2)</f>
        <v/>
      </c>
      <c r="W1484" s="8">
        <f>V1484/AA1484</f>
        <v/>
      </c>
      <c r="X1484" s="27">
        <f>((3*10+H1484/COS(RADIANS(E1484)))*(3+3)+3*G1484*H1484)*2</f>
        <v/>
      </c>
      <c r="Y1484" s="28">
        <f>Z1484/X1484</f>
        <v/>
      </c>
      <c r="Z1484" s="29" t="n">
        <v>630.522692448539</v>
      </c>
      <c r="AA1484" s="20" t="n">
        <v>50.2447332343916</v>
      </c>
      <c r="AB1484" t="n">
        <v>0.1044618859244733</v>
      </c>
      <c r="AC1484" t="n">
        <v>52.44234764774752</v>
      </c>
      <c r="AD1484" t="n">
        <v>32.54248508684019</v>
      </c>
    </row>
    <row r="1485">
      <c r="A1485" t="n">
        <v>1484</v>
      </c>
      <c r="B1485" t="n">
        <v>52.1</v>
      </c>
      <c r="C1485" s="21">
        <f>B1485-20</f>
        <v/>
      </c>
      <c r="D1485" t="n">
        <v>117.4</v>
      </c>
      <c r="E1485" s="22">
        <f>D1485-90</f>
        <v/>
      </c>
      <c r="F1485" s="23" t="n">
        <v>0.010968</v>
      </c>
      <c r="G1485" s="22" t="n">
        <v>27</v>
      </c>
      <c r="H1485" s="22" t="n">
        <v>1.2</v>
      </c>
      <c r="I1485" s="24" t="n">
        <v>0.0540861375629901</v>
      </c>
      <c r="J1485" s="6" t="n">
        <v>71000</v>
      </c>
      <c r="K1485" s="25">
        <f>23*10^-6</f>
        <v/>
      </c>
      <c r="L1485" s="8">
        <f>H1485</f>
        <v/>
      </c>
      <c r="M1485" s="26">
        <f>H1485^2/6</f>
        <v/>
      </c>
      <c r="N1485" s="26">
        <f>H1485^3/12</f>
        <v/>
      </c>
      <c r="O1485" s="27">
        <f>-J1485*L1485*K1485*C1485</f>
        <v/>
      </c>
      <c r="P1485" s="28">
        <f>-(12*F1485*J1485*L1485*N1485+12*O1485*N1485*G1485*COS(RADIANS(E1485)))/(12*N1485*G1485*COS(RADIANS(E1485))^2+L1485*G1485^3*SIN(RADIANS(E1485))^2)</f>
        <v/>
      </c>
      <c r="Q1485" s="28">
        <f>-(6*F1485*J1485*L1485*N1485*SIN(RADIANS(E1485))+6*O1485*N1485*G1485*SIN(RADIANS(E1485))*COS(RADIANS(E1485)))/(12*N1485*COS(RADIANS(E1485))^2+L1485*G1485^2*SIN(RADIANS(E1485))^2)</f>
        <v/>
      </c>
      <c r="R1485" s="28">
        <f>-P1485*SIN(RADIANS(E1485))</f>
        <v/>
      </c>
      <c r="S1485" s="8">
        <f>(O1485+P1485*COS(RADIANS(E1485)))/L1485</f>
        <v/>
      </c>
      <c r="T1485" s="8">
        <f>R1485/L1485</f>
        <v/>
      </c>
      <c r="U1485" s="8">
        <f>(Q1485-P1485*G1485*SIN(RADIANS(E1485)))/M1485</f>
        <v/>
      </c>
      <c r="V1485" s="8">
        <f>SQRT((S1485+U1485)^2+3*T1485^2)</f>
        <v/>
      </c>
      <c r="W1485" s="8">
        <f>V1485/AA1485</f>
        <v/>
      </c>
      <c r="X1485" s="27">
        <f>((3*10+H1485/COS(RADIANS(E1485)))*(3+3)+3*G1485*H1485)*2</f>
        <v/>
      </c>
      <c r="Y1485" s="28">
        <f>Z1485/X1485</f>
        <v/>
      </c>
      <c r="Z1485" s="29" t="n">
        <v>577.085864752231</v>
      </c>
      <c r="AA1485" s="20" t="n">
        <v>45.8354999136797</v>
      </c>
      <c r="AB1485" t="n">
        <v>0.0639627899246259</v>
      </c>
      <c r="AC1485" t="n">
        <v>47.18125752565009</v>
      </c>
      <c r="AD1485" t="n">
        <v>18.26096816422359</v>
      </c>
    </row>
    <row r="1486">
      <c r="A1486" t="n">
        <v>1485</v>
      </c>
      <c r="B1486" t="n">
        <v>47.3</v>
      </c>
      <c r="C1486" s="21">
        <f>B1486-20</f>
        <v/>
      </c>
      <c r="D1486" t="n">
        <v>114.9</v>
      </c>
      <c r="E1486" s="22">
        <f>D1486-90</f>
        <v/>
      </c>
      <c r="F1486" s="23" t="n">
        <v>0.011042</v>
      </c>
      <c r="G1486" s="22" t="n">
        <v>32.5</v>
      </c>
      <c r="H1486" s="22" t="n">
        <v>1.4</v>
      </c>
      <c r="I1486" s="24" t="n">
        <v>0.0557774156332016</v>
      </c>
      <c r="J1486" s="6" t="n">
        <v>71000</v>
      </c>
      <c r="K1486" s="25">
        <f>23*10^-6</f>
        <v/>
      </c>
      <c r="L1486" s="8">
        <f>H1486</f>
        <v/>
      </c>
      <c r="M1486" s="26">
        <f>H1486^2/6</f>
        <v/>
      </c>
      <c r="N1486" s="26">
        <f>H1486^3/12</f>
        <v/>
      </c>
      <c r="O1486" s="27">
        <f>-J1486*L1486*K1486*C1486</f>
        <v/>
      </c>
      <c r="P1486" s="28">
        <f>-(12*F1486*J1486*L1486*N1486+12*O1486*N1486*G1486*COS(RADIANS(E1486)))/(12*N1486*G1486*COS(RADIANS(E1486))^2+L1486*G1486^3*SIN(RADIANS(E1486))^2)</f>
        <v/>
      </c>
      <c r="Q1486" s="28">
        <f>-(6*F1486*J1486*L1486*N1486*SIN(RADIANS(E1486))+6*O1486*N1486*G1486*SIN(RADIANS(E1486))*COS(RADIANS(E1486)))/(12*N1486*COS(RADIANS(E1486))^2+L1486*G1486^2*SIN(RADIANS(E1486))^2)</f>
        <v/>
      </c>
      <c r="R1486" s="28">
        <f>-P1486*SIN(RADIANS(E1486))</f>
        <v/>
      </c>
      <c r="S1486" s="8">
        <f>(O1486+P1486*COS(RADIANS(E1486)))/L1486</f>
        <v/>
      </c>
      <c r="T1486" s="8">
        <f>R1486/L1486</f>
        <v/>
      </c>
      <c r="U1486" s="8">
        <f>(Q1486-P1486*G1486*SIN(RADIANS(E1486)))/M1486</f>
        <v/>
      </c>
      <c r="V1486" s="8">
        <f>SQRT((S1486+U1486)^2+3*T1486^2)</f>
        <v/>
      </c>
      <c r="W1486" s="8">
        <f>V1486/AA1486</f>
        <v/>
      </c>
      <c r="X1486" s="27">
        <f>((3*10+H1486/COS(RADIANS(E1486)))*(3+3)+3*G1486*H1486)*2</f>
        <v/>
      </c>
      <c r="Y1486" s="28">
        <f>Z1486/X1486</f>
        <v/>
      </c>
      <c r="Z1486" s="29" t="n">
        <v>657.414908526623</v>
      </c>
      <c r="AA1486" s="20" t="n">
        <v>40.0933748146545</v>
      </c>
      <c r="AB1486" t="n">
        <v>0.07159466785674937</v>
      </c>
      <c r="AC1486" t="n">
        <v>40.62452586314465</v>
      </c>
      <c r="AD1486" t="n">
        <v>28.35780762515738</v>
      </c>
    </row>
    <row r="1487">
      <c r="A1487" t="n">
        <v>1486</v>
      </c>
      <c r="B1487" t="n">
        <v>60.2</v>
      </c>
      <c r="C1487" s="21">
        <f>B1487-20</f>
        <v/>
      </c>
      <c r="D1487" t="n">
        <v>103.3</v>
      </c>
      <c r="E1487" s="22">
        <f>D1487-90</f>
        <v/>
      </c>
      <c r="F1487" s="23" t="n">
        <v>0.013944</v>
      </c>
      <c r="G1487" s="22" t="n">
        <v>25.1</v>
      </c>
      <c r="H1487" s="22" t="n">
        <v>1.7</v>
      </c>
      <c r="I1487" s="24" t="n">
        <v>0.107083037495613</v>
      </c>
      <c r="J1487" s="6" t="n">
        <v>71000</v>
      </c>
      <c r="K1487" s="25">
        <f>23*10^-6</f>
        <v/>
      </c>
      <c r="L1487" s="8">
        <f>H1487</f>
        <v/>
      </c>
      <c r="M1487" s="26">
        <f>H1487^2/6</f>
        <v/>
      </c>
      <c r="N1487" s="26">
        <f>H1487^3/12</f>
        <v/>
      </c>
      <c r="O1487" s="27">
        <f>-J1487*L1487*K1487*C1487</f>
        <v/>
      </c>
      <c r="P1487" s="28">
        <f>-(12*F1487*J1487*L1487*N1487+12*O1487*N1487*G1487*COS(RADIANS(E1487)))/(12*N1487*G1487*COS(RADIANS(E1487))^2+L1487*G1487^3*SIN(RADIANS(E1487))^2)</f>
        <v/>
      </c>
      <c r="Q1487" s="28">
        <f>-(6*F1487*J1487*L1487*N1487*SIN(RADIANS(E1487))+6*O1487*N1487*G1487*SIN(RADIANS(E1487))*COS(RADIANS(E1487)))/(12*N1487*COS(RADIANS(E1487))^2+L1487*G1487^2*SIN(RADIANS(E1487))^2)</f>
        <v/>
      </c>
      <c r="R1487" s="28">
        <f>-P1487*SIN(RADIANS(E1487))</f>
        <v/>
      </c>
      <c r="S1487" s="8">
        <f>(O1487+P1487*COS(RADIANS(E1487)))/L1487</f>
        <v/>
      </c>
      <c r="T1487" s="8">
        <f>R1487/L1487</f>
        <v/>
      </c>
      <c r="U1487" s="8">
        <f>(Q1487-P1487*G1487*SIN(RADIANS(E1487)))/M1487</f>
        <v/>
      </c>
      <c r="V1487" s="8">
        <f>SQRT((S1487+U1487)^2+3*T1487^2)</f>
        <v/>
      </c>
      <c r="W1487" s="8">
        <f>V1487/AA1487</f>
        <v/>
      </c>
      <c r="X1487" s="27">
        <f>((3*10+H1487/COS(RADIANS(E1487)))*(3+3)+3*G1487*H1487)*2</f>
        <v/>
      </c>
      <c r="Y1487" s="28">
        <f>Z1487/X1487</f>
        <v/>
      </c>
      <c r="Z1487" s="29" t="n">
        <v>641.077307870665</v>
      </c>
      <c r="AA1487" s="20" t="n">
        <v>69.1174778481636</v>
      </c>
      <c r="AB1487" t="n">
        <v>0.1474893643778524</v>
      </c>
      <c r="AC1487" t="n">
        <v>68.83856702579598</v>
      </c>
      <c r="AD1487" t="n">
        <v>37.73363907789299</v>
      </c>
    </row>
    <row r="1488">
      <c r="A1488" t="n">
        <v>1487</v>
      </c>
      <c r="B1488" t="n">
        <v>87.8</v>
      </c>
      <c r="C1488" s="21">
        <f>B1488-20</f>
        <v/>
      </c>
      <c r="D1488" t="n">
        <v>104.1</v>
      </c>
      <c r="E1488" s="22">
        <f>D1488-90</f>
        <v/>
      </c>
      <c r="F1488" s="23" t="n">
        <v>0.01978</v>
      </c>
      <c r="G1488" s="22" t="n">
        <v>20.2</v>
      </c>
      <c r="H1488" s="22" t="n">
        <v>1.3</v>
      </c>
      <c r="I1488" s="24" t="n">
        <v>0.150968268513679</v>
      </c>
      <c r="J1488" s="6" t="n">
        <v>71000</v>
      </c>
      <c r="K1488" s="25">
        <f>23*10^-6</f>
        <v/>
      </c>
      <c r="L1488" s="8">
        <f>H1488</f>
        <v/>
      </c>
      <c r="M1488" s="26">
        <f>H1488^2/6</f>
        <v/>
      </c>
      <c r="N1488" s="26">
        <f>H1488^3/12</f>
        <v/>
      </c>
      <c r="O1488" s="27">
        <f>-J1488*L1488*K1488*C1488</f>
        <v/>
      </c>
      <c r="P1488" s="28">
        <f>-(12*F1488*J1488*L1488*N1488+12*O1488*N1488*G1488*COS(RADIANS(E1488)))/(12*N1488*G1488*COS(RADIANS(E1488))^2+L1488*G1488^3*SIN(RADIANS(E1488))^2)</f>
        <v/>
      </c>
      <c r="Q1488" s="28">
        <f>-(6*F1488*J1488*L1488*N1488*SIN(RADIANS(E1488))+6*O1488*N1488*G1488*SIN(RADIANS(E1488))*COS(RADIANS(E1488)))/(12*N1488*COS(RADIANS(E1488))^2+L1488*G1488^2*SIN(RADIANS(E1488))^2)</f>
        <v/>
      </c>
      <c r="R1488" s="28">
        <f>-P1488*SIN(RADIANS(E1488))</f>
        <v/>
      </c>
      <c r="S1488" s="8">
        <f>(O1488+P1488*COS(RADIANS(E1488)))/L1488</f>
        <v/>
      </c>
      <c r="T1488" s="8">
        <f>R1488/L1488</f>
        <v/>
      </c>
      <c r="U1488" s="8">
        <f>(Q1488-P1488*G1488*SIN(RADIANS(E1488)))/M1488</f>
        <v/>
      </c>
      <c r="V1488" s="8">
        <f>SQRT((S1488+U1488)^2+3*T1488^2)</f>
        <v/>
      </c>
      <c r="W1488" s="8">
        <f>V1488/AA1488</f>
        <v/>
      </c>
      <c r="X1488" s="27">
        <f>((3*10+H1488/COS(RADIANS(E1488)))*(3+3)+3*G1488*H1488)*2</f>
        <v/>
      </c>
      <c r="Y1488" s="28">
        <f>Z1488/X1488</f>
        <v/>
      </c>
      <c r="Z1488" s="29" t="n">
        <v>537.823758903681</v>
      </c>
      <c r="AA1488" s="20" t="n">
        <v>107.689736411572</v>
      </c>
      <c r="AB1488" t="n">
        <v>0.1949275627785688</v>
      </c>
      <c r="AC1488" t="n">
        <v>112.2459451047597</v>
      </c>
      <c r="AD1488" t="n">
        <v>29.11823437976753</v>
      </c>
    </row>
    <row r="1489">
      <c r="A1489" t="n">
        <v>1488</v>
      </c>
      <c r="B1489" t="n">
        <v>56.7</v>
      </c>
      <c r="C1489" s="21">
        <f>B1489-20</f>
        <v/>
      </c>
      <c r="D1489" t="n">
        <v>102.9</v>
      </c>
      <c r="E1489" s="22">
        <f>D1489-90</f>
        <v/>
      </c>
      <c r="F1489" s="23" t="n">
        <v>0.013521</v>
      </c>
      <c r="G1489" s="22" t="n">
        <v>27</v>
      </c>
      <c r="H1489" s="22" t="n">
        <v>1.2</v>
      </c>
      <c r="I1489" s="24" t="n">
        <v>0.108931794762611</v>
      </c>
      <c r="J1489" s="6" t="n">
        <v>71000</v>
      </c>
      <c r="K1489" s="25">
        <f>23*10^-6</f>
        <v/>
      </c>
      <c r="L1489" s="8">
        <f>H1489</f>
        <v/>
      </c>
      <c r="M1489" s="26">
        <f>H1489^2/6</f>
        <v/>
      </c>
      <c r="N1489" s="26">
        <f>H1489^3/12</f>
        <v/>
      </c>
      <c r="O1489" s="27">
        <f>-J1489*L1489*K1489*C1489</f>
        <v/>
      </c>
      <c r="P1489" s="28">
        <f>-(12*F1489*J1489*L1489*N1489+12*O1489*N1489*G1489*COS(RADIANS(E1489)))/(12*N1489*G1489*COS(RADIANS(E1489))^2+L1489*G1489^3*SIN(RADIANS(E1489))^2)</f>
        <v/>
      </c>
      <c r="Q1489" s="28">
        <f>-(6*F1489*J1489*L1489*N1489*SIN(RADIANS(E1489))+6*O1489*N1489*G1489*SIN(RADIANS(E1489))*COS(RADIANS(E1489)))/(12*N1489*COS(RADIANS(E1489))^2+L1489*G1489^2*SIN(RADIANS(E1489))^2)</f>
        <v/>
      </c>
      <c r="R1489" s="28">
        <f>-P1489*SIN(RADIANS(E1489))</f>
        <v/>
      </c>
      <c r="S1489" s="8">
        <f>(O1489+P1489*COS(RADIANS(E1489)))/L1489</f>
        <v/>
      </c>
      <c r="T1489" s="8">
        <f>R1489/L1489</f>
        <v/>
      </c>
      <c r="U1489" s="8">
        <f>(Q1489-P1489*G1489*SIN(RADIANS(E1489)))/M1489</f>
        <v/>
      </c>
      <c r="V1489" s="8">
        <f>SQRT((S1489+U1489)^2+3*T1489^2)</f>
        <v/>
      </c>
      <c r="W1489" s="8">
        <f>V1489/AA1489</f>
        <v/>
      </c>
      <c r="X1489" s="27">
        <f>((3*10+H1489/COS(RADIANS(E1489)))*(3+3)+3*G1489*H1489)*2</f>
        <v/>
      </c>
      <c r="Y1489" s="28">
        <f>Z1489/X1489</f>
        <v/>
      </c>
      <c r="Z1489" s="29" t="n">
        <v>573.227893569353</v>
      </c>
      <c r="AA1489" s="20" t="n">
        <v>54.9698470192488</v>
      </c>
      <c r="AB1489" t="n">
        <v>0.1551639796503206</v>
      </c>
      <c r="AC1489" t="n">
        <v>59.41589237136303</v>
      </c>
      <c r="AD1489" t="n">
        <v>42.44140564144819</v>
      </c>
    </row>
    <row r="1490">
      <c r="A1490" t="n">
        <v>1489</v>
      </c>
      <c r="B1490" t="n">
        <v>66.3</v>
      </c>
      <c r="C1490" s="21">
        <f>B1490-20</f>
        <v/>
      </c>
      <c r="D1490" t="n">
        <v>128.3</v>
      </c>
      <c r="E1490" s="22">
        <f>D1490-90</f>
        <v/>
      </c>
      <c r="F1490" s="23" t="n">
        <v>0.013978</v>
      </c>
      <c r="G1490" s="22" t="n">
        <v>26.1</v>
      </c>
      <c r="H1490" s="22" t="n">
        <v>1.8</v>
      </c>
      <c r="I1490" s="24" t="n">
        <v>0.0617196001112461</v>
      </c>
      <c r="J1490" s="6" t="n">
        <v>71000</v>
      </c>
      <c r="K1490" s="25">
        <f>23*10^-6</f>
        <v/>
      </c>
      <c r="L1490" s="8">
        <f>H1490</f>
        <v/>
      </c>
      <c r="M1490" s="26">
        <f>H1490^2/6</f>
        <v/>
      </c>
      <c r="N1490" s="26">
        <f>H1490^3/12</f>
        <v/>
      </c>
      <c r="O1490" s="27">
        <f>-J1490*L1490*K1490*C1490</f>
        <v/>
      </c>
      <c r="P1490" s="28">
        <f>-(12*F1490*J1490*L1490*N1490+12*O1490*N1490*G1490*COS(RADIANS(E1490)))/(12*N1490*G1490*COS(RADIANS(E1490))^2+L1490*G1490^3*SIN(RADIANS(E1490))^2)</f>
        <v/>
      </c>
      <c r="Q1490" s="28">
        <f>-(6*F1490*J1490*L1490*N1490*SIN(RADIANS(E1490))+6*O1490*N1490*G1490*SIN(RADIANS(E1490))*COS(RADIANS(E1490)))/(12*N1490*COS(RADIANS(E1490))^2+L1490*G1490^2*SIN(RADIANS(E1490))^2)</f>
        <v/>
      </c>
      <c r="R1490" s="28">
        <f>-P1490*SIN(RADIANS(E1490))</f>
        <v/>
      </c>
      <c r="S1490" s="8">
        <f>(O1490+P1490*COS(RADIANS(E1490)))/L1490</f>
        <v/>
      </c>
      <c r="T1490" s="8">
        <f>R1490/L1490</f>
        <v/>
      </c>
      <c r="U1490" s="8">
        <f>(Q1490-P1490*G1490*SIN(RADIANS(E1490)))/M1490</f>
        <v/>
      </c>
      <c r="V1490" s="8">
        <f>SQRT((S1490+U1490)^2+3*T1490^2)</f>
        <v/>
      </c>
      <c r="W1490" s="8">
        <f>V1490/AA1490</f>
        <v/>
      </c>
      <c r="X1490" s="27">
        <f>((3*10+H1490/COS(RADIANS(E1490)))*(3+3)+3*G1490*H1490)*2</f>
        <v/>
      </c>
      <c r="Y1490" s="28">
        <f>Z1490/X1490</f>
        <v/>
      </c>
      <c r="Z1490" s="29" t="n">
        <v>679.419354420437</v>
      </c>
      <c r="AA1490" s="20" t="n">
        <v>71.92080404009199</v>
      </c>
      <c r="AB1490" t="n">
        <v>0.06198727467998242</v>
      </c>
      <c r="AC1490" t="n">
        <v>67.8247282790625</v>
      </c>
      <c r="AD1490" t="n">
        <v>0.4336945933768999</v>
      </c>
    </row>
    <row r="1491">
      <c r="A1491" t="n">
        <v>1490</v>
      </c>
      <c r="B1491" t="n">
        <v>57.2</v>
      </c>
      <c r="C1491" s="21">
        <f>B1491-20</f>
        <v/>
      </c>
      <c r="D1491" t="n">
        <v>120.1</v>
      </c>
      <c r="E1491" s="22">
        <f>D1491-90</f>
        <v/>
      </c>
      <c r="F1491" s="23" t="n">
        <v>0.010359</v>
      </c>
      <c r="G1491" s="22" t="n">
        <v>21.3</v>
      </c>
      <c r="H1491" s="22" t="n">
        <v>1.1</v>
      </c>
      <c r="I1491" s="24" t="n">
        <v>0.0507867112755775</v>
      </c>
      <c r="J1491" s="6" t="n">
        <v>71000</v>
      </c>
      <c r="K1491" s="25">
        <f>23*10^-6</f>
        <v/>
      </c>
      <c r="L1491" s="8">
        <f>H1491</f>
        <v/>
      </c>
      <c r="M1491" s="26">
        <f>H1491^2/6</f>
        <v/>
      </c>
      <c r="N1491" s="26">
        <f>H1491^3/12</f>
        <v/>
      </c>
      <c r="O1491" s="27">
        <f>-J1491*L1491*K1491*C1491</f>
        <v/>
      </c>
      <c r="P1491" s="28">
        <f>-(12*F1491*J1491*L1491*N1491+12*O1491*N1491*G1491*COS(RADIANS(E1491)))/(12*N1491*G1491*COS(RADIANS(E1491))^2+L1491*G1491^3*SIN(RADIANS(E1491))^2)</f>
        <v/>
      </c>
      <c r="Q1491" s="28">
        <f>-(6*F1491*J1491*L1491*N1491*SIN(RADIANS(E1491))+6*O1491*N1491*G1491*SIN(RADIANS(E1491))*COS(RADIANS(E1491)))/(12*N1491*COS(RADIANS(E1491))^2+L1491*G1491^2*SIN(RADIANS(E1491))^2)</f>
        <v/>
      </c>
      <c r="R1491" s="28">
        <f>-P1491*SIN(RADIANS(E1491))</f>
        <v/>
      </c>
      <c r="S1491" s="8">
        <f>(O1491+P1491*COS(RADIANS(E1491)))/L1491</f>
        <v/>
      </c>
      <c r="T1491" s="8">
        <f>R1491/L1491</f>
        <v/>
      </c>
      <c r="U1491" s="8">
        <f>(Q1491-P1491*G1491*SIN(RADIANS(E1491)))/M1491</f>
        <v/>
      </c>
      <c r="V1491" s="8">
        <f>SQRT((S1491+U1491)^2+3*T1491^2)</f>
        <v/>
      </c>
      <c r="W1491" s="8">
        <f>V1491/AA1491</f>
        <v/>
      </c>
      <c r="X1491" s="27">
        <f>((3*10+H1491/COS(RADIANS(E1491)))*(3+3)+3*G1491*H1491)*2</f>
        <v/>
      </c>
      <c r="Y1491" s="28">
        <f>Z1491/X1491</f>
        <v/>
      </c>
      <c r="Z1491" s="29" t="n">
        <v>523.011882772895</v>
      </c>
      <c r="AA1491" s="20" t="n">
        <v>52.8288541062105</v>
      </c>
      <c r="AB1491" t="n">
        <v>0.05373535757114167</v>
      </c>
      <c r="AC1491" t="n">
        <v>54.37314463230506</v>
      </c>
      <c r="AD1491" t="n">
        <v>5.805940612228864</v>
      </c>
    </row>
    <row r="1492">
      <c r="A1492" t="n">
        <v>1491</v>
      </c>
      <c r="B1492" t="n">
        <v>67.40000000000001</v>
      </c>
      <c r="C1492" s="21">
        <f>B1492-20</f>
        <v/>
      </c>
      <c r="D1492" t="n">
        <v>126.4</v>
      </c>
      <c r="E1492" s="22">
        <f>D1492-90</f>
        <v/>
      </c>
      <c r="F1492" s="23" t="n">
        <v>0.01542</v>
      </c>
      <c r="G1492" s="22" t="n">
        <v>28</v>
      </c>
      <c r="H1492" s="22" t="n">
        <v>1.8</v>
      </c>
      <c r="I1492" s="24" t="n">
        <v>0.0681055188179016</v>
      </c>
      <c r="J1492" s="6" t="n">
        <v>71000</v>
      </c>
      <c r="K1492" s="25">
        <f>23*10^-6</f>
        <v/>
      </c>
      <c r="L1492" s="8">
        <f>H1492</f>
        <v/>
      </c>
      <c r="M1492" s="26">
        <f>H1492^2/6</f>
        <v/>
      </c>
      <c r="N1492" s="26">
        <f>H1492^3/12</f>
        <v/>
      </c>
      <c r="O1492" s="27">
        <f>-J1492*L1492*K1492*C1492</f>
        <v/>
      </c>
      <c r="P1492" s="28">
        <f>-(12*F1492*J1492*L1492*N1492+12*O1492*N1492*G1492*COS(RADIANS(E1492)))/(12*N1492*G1492*COS(RADIANS(E1492))^2+L1492*G1492^3*SIN(RADIANS(E1492))^2)</f>
        <v/>
      </c>
      <c r="Q1492" s="28">
        <f>-(6*F1492*J1492*L1492*N1492*SIN(RADIANS(E1492))+6*O1492*N1492*G1492*SIN(RADIANS(E1492))*COS(RADIANS(E1492)))/(12*N1492*COS(RADIANS(E1492))^2+L1492*G1492^2*SIN(RADIANS(E1492))^2)</f>
        <v/>
      </c>
      <c r="R1492" s="28">
        <f>-P1492*SIN(RADIANS(E1492))</f>
        <v/>
      </c>
      <c r="S1492" s="8">
        <f>(O1492+P1492*COS(RADIANS(E1492)))/L1492</f>
        <v/>
      </c>
      <c r="T1492" s="8">
        <f>R1492/L1492</f>
        <v/>
      </c>
      <c r="U1492" s="8">
        <f>(Q1492-P1492*G1492*SIN(RADIANS(E1492)))/M1492</f>
        <v/>
      </c>
      <c r="V1492" s="8">
        <f>SQRT((S1492+U1492)^2+3*T1492^2)</f>
        <v/>
      </c>
      <c r="W1492" s="8">
        <f>V1492/AA1492</f>
        <v/>
      </c>
      <c r="X1492" s="27">
        <f>((3*10+H1492/COS(RADIANS(E1492)))*(3+3)+3*G1492*H1492)*2</f>
        <v/>
      </c>
      <c r="Y1492" s="28">
        <f>Z1492/X1492</f>
        <v/>
      </c>
      <c r="Z1492" s="29" t="n">
        <v>698.487066335703</v>
      </c>
      <c r="AA1492" s="20" t="n">
        <v>73.84260583362401</v>
      </c>
      <c r="AB1492" t="n">
        <v>0.07172401300128586</v>
      </c>
      <c r="AC1492" t="n">
        <v>69.64023887932625</v>
      </c>
      <c r="AD1492" t="n">
        <v>5.313070432749043</v>
      </c>
    </row>
    <row r="1493">
      <c r="A1493" t="n">
        <v>1492</v>
      </c>
      <c r="B1493" t="n">
        <v>86</v>
      </c>
      <c r="C1493" s="21">
        <f>B1493-20</f>
        <v/>
      </c>
      <c r="D1493" t="n">
        <v>126.6</v>
      </c>
      <c r="E1493" s="22">
        <f>D1493-90</f>
        <v/>
      </c>
      <c r="F1493" s="23" t="n">
        <v>0.025233</v>
      </c>
      <c r="G1493" s="22" t="n">
        <v>34.3</v>
      </c>
      <c r="H1493" s="22" t="n">
        <v>1.2</v>
      </c>
      <c r="I1493" s="24" t="n">
        <v>0.107837036252021</v>
      </c>
      <c r="J1493" s="6" t="n">
        <v>71000</v>
      </c>
      <c r="K1493" s="25">
        <f>23*10^-6</f>
        <v/>
      </c>
      <c r="L1493" s="8">
        <f>H1493</f>
        <v/>
      </c>
      <c r="M1493" s="26">
        <f>H1493^2/6</f>
        <v/>
      </c>
      <c r="N1493" s="26">
        <f>H1493^3/12</f>
        <v/>
      </c>
      <c r="O1493" s="27">
        <f>-J1493*L1493*K1493*C1493</f>
        <v/>
      </c>
      <c r="P1493" s="28">
        <f>-(12*F1493*J1493*L1493*N1493+12*O1493*N1493*G1493*COS(RADIANS(E1493)))/(12*N1493*G1493*COS(RADIANS(E1493))^2+L1493*G1493^3*SIN(RADIANS(E1493))^2)</f>
        <v/>
      </c>
      <c r="Q1493" s="28">
        <f>-(6*F1493*J1493*L1493*N1493*SIN(RADIANS(E1493))+6*O1493*N1493*G1493*SIN(RADIANS(E1493))*COS(RADIANS(E1493)))/(12*N1493*COS(RADIANS(E1493))^2+L1493*G1493^2*SIN(RADIANS(E1493))^2)</f>
        <v/>
      </c>
      <c r="R1493" s="28">
        <f>-P1493*SIN(RADIANS(E1493))</f>
        <v/>
      </c>
      <c r="S1493" s="8">
        <f>(O1493+P1493*COS(RADIANS(E1493)))/L1493</f>
        <v/>
      </c>
      <c r="T1493" s="8">
        <f>R1493/L1493</f>
        <v/>
      </c>
      <c r="U1493" s="8">
        <f>(Q1493-P1493*G1493*SIN(RADIANS(E1493)))/M1493</f>
        <v/>
      </c>
      <c r="V1493" s="8">
        <f>SQRT((S1493+U1493)^2+3*T1493^2)</f>
        <v/>
      </c>
      <c r="W1493" s="8">
        <f>V1493/AA1493</f>
        <v/>
      </c>
      <c r="X1493" s="27">
        <f>((3*10+H1493/COS(RADIANS(E1493)))*(3+3)+3*G1493*H1493)*2</f>
        <v/>
      </c>
      <c r="Y1493" s="28">
        <f>Z1493/X1493</f>
        <v/>
      </c>
      <c r="Z1493" s="29" t="n">
        <v>634.225174147243</v>
      </c>
      <c r="AA1493" s="20" t="n">
        <v>88.2443443609226</v>
      </c>
      <c r="AB1493" t="n">
        <v>0.1209945873061585</v>
      </c>
      <c r="AC1493" t="n">
        <v>93.52260920227776</v>
      </c>
      <c r="AD1493" t="n">
        <v>12.20132851517508</v>
      </c>
    </row>
    <row r="1494">
      <c r="A1494" t="n">
        <v>1493</v>
      </c>
      <c r="B1494" t="n">
        <v>51.3</v>
      </c>
      <c r="C1494" s="21">
        <f>B1494-20</f>
        <v/>
      </c>
      <c r="D1494" t="n">
        <v>113.7</v>
      </c>
      <c r="E1494" s="22">
        <f>D1494-90</f>
        <v/>
      </c>
      <c r="F1494" s="23" t="n">
        <v>0.009884</v>
      </c>
      <c r="G1494" s="22" t="n">
        <v>23.7</v>
      </c>
      <c r="H1494" s="22" t="n">
        <v>1.7</v>
      </c>
      <c r="I1494" s="24" t="n">
        <v>0.0534017980098724</v>
      </c>
      <c r="J1494" s="6" t="n">
        <v>71000</v>
      </c>
      <c r="K1494" s="25">
        <f>23*10^-6</f>
        <v/>
      </c>
      <c r="L1494" s="8">
        <f>H1494</f>
        <v/>
      </c>
      <c r="M1494" s="26">
        <f>H1494^2/6</f>
        <v/>
      </c>
      <c r="N1494" s="26">
        <f>H1494^3/12</f>
        <v/>
      </c>
      <c r="O1494" s="27">
        <f>-J1494*L1494*K1494*C1494</f>
        <v/>
      </c>
      <c r="P1494" s="28">
        <f>-(12*F1494*J1494*L1494*N1494+12*O1494*N1494*G1494*COS(RADIANS(E1494)))/(12*N1494*G1494*COS(RADIANS(E1494))^2+L1494*G1494^3*SIN(RADIANS(E1494))^2)</f>
        <v/>
      </c>
      <c r="Q1494" s="28">
        <f>-(6*F1494*J1494*L1494*N1494*SIN(RADIANS(E1494))+6*O1494*N1494*G1494*SIN(RADIANS(E1494))*COS(RADIANS(E1494)))/(12*N1494*COS(RADIANS(E1494))^2+L1494*G1494^2*SIN(RADIANS(E1494))^2)</f>
        <v/>
      </c>
      <c r="R1494" s="28">
        <f>-P1494*SIN(RADIANS(E1494))</f>
        <v/>
      </c>
      <c r="S1494" s="8">
        <f>(O1494+P1494*COS(RADIANS(E1494)))/L1494</f>
        <v/>
      </c>
      <c r="T1494" s="8">
        <f>R1494/L1494</f>
        <v/>
      </c>
      <c r="U1494" s="8">
        <f>(Q1494-P1494*G1494*SIN(RADIANS(E1494)))/M1494</f>
        <v/>
      </c>
      <c r="V1494" s="8">
        <f>SQRT((S1494+U1494)^2+3*T1494^2)</f>
        <v/>
      </c>
      <c r="W1494" s="8">
        <f>V1494/AA1494</f>
        <v/>
      </c>
      <c r="X1494" s="27">
        <f>((3*10+H1494/COS(RADIANS(E1494)))*(3+3)+3*G1494*H1494)*2</f>
        <v/>
      </c>
      <c r="Y1494" s="28">
        <f>Z1494/X1494</f>
        <v/>
      </c>
      <c r="Z1494" s="29" t="n">
        <v>629.66310610224</v>
      </c>
      <c r="AA1494" s="20" t="n">
        <v>50.834121122848</v>
      </c>
      <c r="AB1494" t="n">
        <v>0.06316217394342265</v>
      </c>
      <c r="AC1494" t="n">
        <v>49.01187333031469</v>
      </c>
      <c r="AD1494" t="n">
        <v>18.27724214781278</v>
      </c>
    </row>
    <row r="1495">
      <c r="A1495" t="n">
        <v>1494</v>
      </c>
      <c r="B1495" t="n">
        <v>69</v>
      </c>
      <c r="C1495" s="21">
        <f>B1495-20</f>
        <v/>
      </c>
      <c r="D1495" t="n">
        <v>124</v>
      </c>
      <c r="E1495" s="22">
        <f>D1495-90</f>
        <v/>
      </c>
      <c r="F1495" s="23" t="n">
        <v>0.016087</v>
      </c>
      <c r="G1495" s="22" t="n">
        <v>27.5</v>
      </c>
      <c r="H1495" s="22" t="n">
        <v>1.3</v>
      </c>
      <c r="I1495" s="24" t="n">
        <v>0.0724541097879409</v>
      </c>
      <c r="J1495" s="6" t="n">
        <v>71000</v>
      </c>
      <c r="K1495" s="25">
        <f>23*10^-6</f>
        <v/>
      </c>
      <c r="L1495" s="8">
        <f>H1495</f>
        <v/>
      </c>
      <c r="M1495" s="26">
        <f>H1495^2/6</f>
        <v/>
      </c>
      <c r="N1495" s="26">
        <f>H1495^3/12</f>
        <v/>
      </c>
      <c r="O1495" s="27">
        <f>-J1495*L1495*K1495*C1495</f>
        <v/>
      </c>
      <c r="P1495" s="28">
        <f>-(12*F1495*J1495*L1495*N1495+12*O1495*N1495*G1495*COS(RADIANS(E1495)))/(12*N1495*G1495*COS(RADIANS(E1495))^2+L1495*G1495^3*SIN(RADIANS(E1495))^2)</f>
        <v/>
      </c>
      <c r="Q1495" s="28">
        <f>-(6*F1495*J1495*L1495*N1495*SIN(RADIANS(E1495))+6*O1495*N1495*G1495*SIN(RADIANS(E1495))*COS(RADIANS(E1495)))/(12*N1495*COS(RADIANS(E1495))^2+L1495*G1495^2*SIN(RADIANS(E1495))^2)</f>
        <v/>
      </c>
      <c r="R1495" s="28">
        <f>-P1495*SIN(RADIANS(E1495))</f>
        <v/>
      </c>
      <c r="S1495" s="8">
        <f>(O1495+P1495*COS(RADIANS(E1495)))/L1495</f>
        <v/>
      </c>
      <c r="T1495" s="8">
        <f>R1495/L1495</f>
        <v/>
      </c>
      <c r="U1495" s="8">
        <f>(Q1495-P1495*G1495*SIN(RADIANS(E1495)))/M1495</f>
        <v/>
      </c>
      <c r="V1495" s="8">
        <f>SQRT((S1495+U1495)^2+3*T1495^2)</f>
        <v/>
      </c>
      <c r="W1495" s="8">
        <f>V1495/AA1495</f>
        <v/>
      </c>
      <c r="X1495" s="27">
        <f>((3*10+H1495/COS(RADIANS(E1495)))*(3+3)+3*G1495*H1495)*2</f>
        <v/>
      </c>
      <c r="Y1495" s="28">
        <f>Z1495/X1495</f>
        <v/>
      </c>
      <c r="Z1495" s="29" t="n">
        <v>601.699860146396</v>
      </c>
      <c r="AA1495" s="20" t="n">
        <v>69.8142342155349</v>
      </c>
      <c r="AB1495" t="n">
        <v>0.07883286698417696</v>
      </c>
      <c r="AC1495" t="n">
        <v>70.8413688453</v>
      </c>
      <c r="AD1495" t="n">
        <v>8.80385835241845</v>
      </c>
    </row>
    <row r="1496">
      <c r="A1496" t="n">
        <v>1495</v>
      </c>
      <c r="B1496" t="n">
        <v>72.09999999999999</v>
      </c>
      <c r="C1496" s="21">
        <f>B1496-20</f>
        <v/>
      </c>
      <c r="D1496" t="n">
        <v>106.2</v>
      </c>
      <c r="E1496" s="22">
        <f>D1496-90</f>
        <v/>
      </c>
      <c r="F1496" s="23" t="n">
        <v>0.017034</v>
      </c>
      <c r="G1496" s="22" t="n">
        <v>26.6</v>
      </c>
      <c r="H1496" s="22" t="n">
        <v>1.8</v>
      </c>
      <c r="I1496" s="24" t="n">
        <v>0.0792583674192428</v>
      </c>
      <c r="J1496" s="6" t="n">
        <v>71000</v>
      </c>
      <c r="K1496" s="25">
        <f>23*10^-6</f>
        <v/>
      </c>
      <c r="L1496" s="8">
        <f>H1496</f>
        <v/>
      </c>
      <c r="M1496" s="26">
        <f>H1496^2/6</f>
        <v/>
      </c>
      <c r="N1496" s="26">
        <f>H1496^3/12</f>
        <v/>
      </c>
      <c r="O1496" s="27">
        <f>-J1496*L1496*K1496*C1496</f>
        <v/>
      </c>
      <c r="P1496" s="28">
        <f>-(12*F1496*J1496*L1496*N1496+12*O1496*N1496*G1496*COS(RADIANS(E1496)))/(12*N1496*G1496*COS(RADIANS(E1496))^2+L1496*G1496^3*SIN(RADIANS(E1496))^2)</f>
        <v/>
      </c>
      <c r="Q1496" s="28">
        <f>-(6*F1496*J1496*L1496*N1496*SIN(RADIANS(E1496))+6*O1496*N1496*G1496*SIN(RADIANS(E1496))*COS(RADIANS(E1496)))/(12*N1496*COS(RADIANS(E1496))^2+L1496*G1496^2*SIN(RADIANS(E1496))^2)</f>
        <v/>
      </c>
      <c r="R1496" s="28">
        <f>-P1496*SIN(RADIANS(E1496))</f>
        <v/>
      </c>
      <c r="S1496" s="8">
        <f>(O1496+P1496*COS(RADIANS(E1496)))/L1496</f>
        <v/>
      </c>
      <c r="T1496" s="8">
        <f>R1496/L1496</f>
        <v/>
      </c>
      <c r="U1496" s="8">
        <f>(Q1496-P1496*G1496*SIN(RADIANS(E1496)))/M1496</f>
        <v/>
      </c>
      <c r="V1496" s="8">
        <f>SQRT((S1496+U1496)^2+3*T1496^2)</f>
        <v/>
      </c>
      <c r="W1496" s="8">
        <f>V1496/AA1496</f>
        <v/>
      </c>
      <c r="X1496" s="27">
        <f>((3*10+H1496/COS(RADIANS(E1496)))*(3+3)+3*G1496*H1496)*2</f>
        <v/>
      </c>
      <c r="Y1496" s="28">
        <f>Z1496/X1496</f>
        <v/>
      </c>
      <c r="Z1496" s="29" t="n">
        <v>680.19457235124</v>
      </c>
      <c r="AA1496" s="20" t="n">
        <v>82.6317902700571</v>
      </c>
      <c r="AB1496" t="n">
        <v>0.1692591132359184</v>
      </c>
      <c r="AC1496" t="n">
        <v>86.57461070300025</v>
      </c>
      <c r="AD1496" t="n">
        <v>113.5536205794023</v>
      </c>
    </row>
    <row r="1497">
      <c r="A1497" t="n">
        <v>1496</v>
      </c>
      <c r="B1497" t="n">
        <v>75.5</v>
      </c>
      <c r="C1497" s="21">
        <f>B1497-20</f>
        <v/>
      </c>
      <c r="D1497" t="n">
        <v>114.2</v>
      </c>
      <c r="E1497" s="22">
        <f>D1497-90</f>
        <v/>
      </c>
      <c r="F1497" s="23" t="n">
        <v>0.020391</v>
      </c>
      <c r="G1497" s="22" t="n">
        <v>28.6</v>
      </c>
      <c r="H1497" s="22" t="n">
        <v>1.2</v>
      </c>
      <c r="I1497" s="24" t="n">
        <v>0.108329519629478</v>
      </c>
      <c r="J1497" s="6" t="n">
        <v>71000</v>
      </c>
      <c r="K1497" s="25">
        <f>23*10^-6</f>
        <v/>
      </c>
      <c r="L1497" s="8">
        <f>H1497</f>
        <v/>
      </c>
      <c r="M1497" s="26">
        <f>H1497^2/6</f>
        <v/>
      </c>
      <c r="N1497" s="26">
        <f>H1497^3/12</f>
        <v/>
      </c>
      <c r="O1497" s="27">
        <f>-J1497*L1497*K1497*C1497</f>
        <v/>
      </c>
      <c r="P1497" s="28">
        <f>-(12*F1497*J1497*L1497*N1497+12*O1497*N1497*G1497*COS(RADIANS(E1497)))/(12*N1497*G1497*COS(RADIANS(E1497))^2+L1497*G1497^3*SIN(RADIANS(E1497))^2)</f>
        <v/>
      </c>
      <c r="Q1497" s="28">
        <f>-(6*F1497*J1497*L1497*N1497*SIN(RADIANS(E1497))+6*O1497*N1497*G1497*SIN(RADIANS(E1497))*COS(RADIANS(E1497)))/(12*N1497*COS(RADIANS(E1497))^2+L1497*G1497^2*SIN(RADIANS(E1497))^2)</f>
        <v/>
      </c>
      <c r="R1497" s="28">
        <f>-P1497*SIN(RADIANS(E1497))</f>
        <v/>
      </c>
      <c r="S1497" s="8">
        <f>(O1497+P1497*COS(RADIANS(E1497)))/L1497</f>
        <v/>
      </c>
      <c r="T1497" s="8">
        <f>R1497/L1497</f>
        <v/>
      </c>
      <c r="U1497" s="8">
        <f>(Q1497-P1497*G1497*SIN(RADIANS(E1497)))/M1497</f>
        <v/>
      </c>
      <c r="V1497" s="8">
        <f>SQRT((S1497+U1497)^2+3*T1497^2)</f>
        <v/>
      </c>
      <c r="W1497" s="8">
        <f>V1497/AA1497</f>
        <v/>
      </c>
      <c r="X1497" s="27">
        <f>((3*10+H1497/COS(RADIANS(E1497)))*(3+3)+3*G1497*H1497)*2</f>
        <v/>
      </c>
      <c r="Y1497" s="28">
        <f>Z1497/X1497</f>
        <v/>
      </c>
      <c r="Z1497" s="29" t="n">
        <v>587.226567781466</v>
      </c>
      <c r="AA1497" s="20" t="n">
        <v>79.4817829652979</v>
      </c>
      <c r="AB1497" t="n">
        <v>0.1329938941004413</v>
      </c>
      <c r="AC1497" t="n">
        <v>82.37133355511754</v>
      </c>
      <c r="AD1497" t="n">
        <v>22.76791640480214</v>
      </c>
    </row>
    <row r="1498">
      <c r="A1498" t="n">
        <v>1497</v>
      </c>
      <c r="B1498" t="n">
        <v>40.9</v>
      </c>
      <c r="C1498" s="21">
        <f>B1498-20</f>
        <v/>
      </c>
      <c r="D1498" t="n">
        <v>112.9</v>
      </c>
      <c r="E1498" s="22">
        <f>D1498-90</f>
        <v/>
      </c>
      <c r="F1498" s="23" t="n">
        <v>0.008205</v>
      </c>
      <c r="G1498" s="22" t="n">
        <v>30.4</v>
      </c>
      <c r="H1498" s="22" t="n">
        <v>1.5</v>
      </c>
      <c r="I1498" s="24" t="n">
        <v>0.0466594956815242</v>
      </c>
      <c r="J1498" s="6" t="n">
        <v>71000</v>
      </c>
      <c r="K1498" s="25">
        <f>23*10^-6</f>
        <v/>
      </c>
      <c r="L1498" s="8">
        <f>H1498</f>
        <v/>
      </c>
      <c r="M1498" s="26">
        <f>H1498^2/6</f>
        <v/>
      </c>
      <c r="N1498" s="26">
        <f>H1498^3/12</f>
        <v/>
      </c>
      <c r="O1498" s="27">
        <f>-J1498*L1498*K1498*C1498</f>
        <v/>
      </c>
      <c r="P1498" s="28">
        <f>-(12*F1498*J1498*L1498*N1498+12*O1498*N1498*G1498*COS(RADIANS(E1498)))/(12*N1498*G1498*COS(RADIANS(E1498))^2+L1498*G1498^3*SIN(RADIANS(E1498))^2)</f>
        <v/>
      </c>
      <c r="Q1498" s="28">
        <f>-(6*F1498*J1498*L1498*N1498*SIN(RADIANS(E1498))+6*O1498*N1498*G1498*SIN(RADIANS(E1498))*COS(RADIANS(E1498)))/(12*N1498*COS(RADIANS(E1498))^2+L1498*G1498^2*SIN(RADIANS(E1498))^2)</f>
        <v/>
      </c>
      <c r="R1498" s="28">
        <f>-P1498*SIN(RADIANS(E1498))</f>
        <v/>
      </c>
      <c r="S1498" s="8">
        <f>(O1498+P1498*COS(RADIANS(E1498)))/L1498</f>
        <v/>
      </c>
      <c r="T1498" s="8">
        <f>R1498/L1498</f>
        <v/>
      </c>
      <c r="U1498" s="8">
        <f>(Q1498-P1498*G1498*SIN(RADIANS(E1498)))/M1498</f>
        <v/>
      </c>
      <c r="V1498" s="8">
        <f>SQRT((S1498+U1498)^2+3*T1498^2)</f>
        <v/>
      </c>
      <c r="W1498" s="8">
        <f>V1498/AA1498</f>
        <v/>
      </c>
      <c r="X1498" s="27">
        <f>((3*10+H1498/COS(RADIANS(E1498)))*(3+3)+3*G1498*H1498)*2</f>
        <v/>
      </c>
      <c r="Y1498" s="28">
        <f>Z1498/X1498</f>
        <v/>
      </c>
      <c r="Z1498" s="29" t="n">
        <v>657.932093233596</v>
      </c>
      <c r="AA1498" s="20" t="n">
        <v>31.7787850235676</v>
      </c>
      <c r="AB1498" t="n">
        <v>0.05592421076943824</v>
      </c>
      <c r="AC1498" t="n">
        <v>31.78483978658341</v>
      </c>
      <c r="AD1498" t="n">
        <v>19.85601205626103</v>
      </c>
    </row>
    <row r="1499">
      <c r="A1499" t="n">
        <v>1498</v>
      </c>
      <c r="B1499" t="n">
        <v>79</v>
      </c>
      <c r="C1499" s="21">
        <f>B1499-20</f>
        <v/>
      </c>
      <c r="D1499" t="n">
        <v>101.7</v>
      </c>
      <c r="E1499" s="22">
        <f>D1499-90</f>
        <v/>
      </c>
      <c r="F1499" s="23" t="n">
        <v>0.018868</v>
      </c>
      <c r="G1499" s="22" t="n">
        <v>23</v>
      </c>
      <c r="H1499" s="22" t="n">
        <v>1.8</v>
      </c>
      <c r="I1499" s="24" t="n">
        <v>0.125997826457023</v>
      </c>
      <c r="J1499" s="6" t="n">
        <v>71000</v>
      </c>
      <c r="K1499" s="25">
        <f>23*10^-6</f>
        <v/>
      </c>
      <c r="L1499" s="8">
        <f>H1499</f>
        <v/>
      </c>
      <c r="M1499" s="26">
        <f>H1499^2/6</f>
        <v/>
      </c>
      <c r="N1499" s="26">
        <f>H1499^3/12</f>
        <v/>
      </c>
      <c r="O1499" s="27">
        <f>-J1499*L1499*K1499*C1499</f>
        <v/>
      </c>
      <c r="P1499" s="28">
        <f>-(12*F1499*J1499*L1499*N1499+12*O1499*N1499*G1499*COS(RADIANS(E1499)))/(12*N1499*G1499*COS(RADIANS(E1499))^2+L1499*G1499^3*SIN(RADIANS(E1499))^2)</f>
        <v/>
      </c>
      <c r="Q1499" s="28">
        <f>-(6*F1499*J1499*L1499*N1499*SIN(RADIANS(E1499))+6*O1499*N1499*G1499*SIN(RADIANS(E1499))*COS(RADIANS(E1499)))/(12*N1499*COS(RADIANS(E1499))^2+L1499*G1499^2*SIN(RADIANS(E1499))^2)</f>
        <v/>
      </c>
      <c r="R1499" s="28">
        <f>-P1499*SIN(RADIANS(E1499))</f>
        <v/>
      </c>
      <c r="S1499" s="8">
        <f>(O1499+P1499*COS(RADIANS(E1499)))/L1499</f>
        <v/>
      </c>
      <c r="T1499" s="8">
        <f>R1499/L1499</f>
        <v/>
      </c>
      <c r="U1499" s="8">
        <f>(Q1499-P1499*G1499*SIN(RADIANS(E1499)))/M1499</f>
        <v/>
      </c>
      <c r="V1499" s="8">
        <f>SQRT((S1499+U1499)^2+3*T1499^2)</f>
        <v/>
      </c>
      <c r="W1499" s="8">
        <f>V1499/AA1499</f>
        <v/>
      </c>
      <c r="X1499" s="27">
        <f>((3*10+H1499/COS(RADIANS(E1499)))*(3+3)+3*G1499*H1499)*2</f>
        <v/>
      </c>
      <c r="Y1499" s="28">
        <f>Z1499/X1499</f>
        <v/>
      </c>
      <c r="Z1499" s="29" t="n">
        <v>635.392099806849</v>
      </c>
      <c r="AA1499" s="20" t="n">
        <v>103.351430274816</v>
      </c>
      <c r="AB1499" t="n">
        <v>0.2152393964911777</v>
      </c>
      <c r="AC1499" t="n">
        <v>104.8337518033771</v>
      </c>
      <c r="AD1499" t="n">
        <v>70.82786468907413</v>
      </c>
    </row>
    <row r="1500">
      <c r="A1500" t="n">
        <v>1499</v>
      </c>
      <c r="B1500" t="n">
        <v>72.7</v>
      </c>
      <c r="C1500" s="21">
        <f>B1500-20</f>
        <v/>
      </c>
      <c r="D1500" t="n">
        <v>126.5</v>
      </c>
      <c r="E1500" s="22">
        <f>D1500-90</f>
        <v/>
      </c>
      <c r="F1500" s="23" t="n">
        <v>0.020342</v>
      </c>
      <c r="G1500" s="22" t="n">
        <v>31.7</v>
      </c>
      <c r="H1500" s="22" t="n">
        <v>1.7</v>
      </c>
      <c r="I1500" s="24" t="n">
        <v>0.0962411984801292</v>
      </c>
      <c r="J1500" s="6" t="n">
        <v>71000</v>
      </c>
      <c r="K1500" s="25">
        <f>23*10^-6</f>
        <v/>
      </c>
      <c r="L1500" s="8">
        <f>H1500</f>
        <v/>
      </c>
      <c r="M1500" s="26">
        <f>H1500^2/6</f>
        <v/>
      </c>
      <c r="N1500" s="26">
        <f>H1500^3/12</f>
        <v/>
      </c>
      <c r="O1500" s="27">
        <f>-J1500*L1500*K1500*C1500</f>
        <v/>
      </c>
      <c r="P1500" s="28">
        <f>-(12*F1500*J1500*L1500*N1500+12*O1500*N1500*G1500*COS(RADIANS(E1500)))/(12*N1500*G1500*COS(RADIANS(E1500))^2+L1500*G1500^3*SIN(RADIANS(E1500))^2)</f>
        <v/>
      </c>
      <c r="Q1500" s="28">
        <f>-(6*F1500*J1500*L1500*N1500*SIN(RADIANS(E1500))+6*O1500*N1500*G1500*SIN(RADIANS(E1500))*COS(RADIANS(E1500)))/(12*N1500*COS(RADIANS(E1500))^2+L1500*G1500^2*SIN(RADIANS(E1500))^2)</f>
        <v/>
      </c>
      <c r="R1500" s="28">
        <f>-P1500*SIN(RADIANS(E1500))</f>
        <v/>
      </c>
      <c r="S1500" s="8">
        <f>(O1500+P1500*COS(RADIANS(E1500)))/L1500</f>
        <v/>
      </c>
      <c r="T1500" s="8">
        <f>R1500/L1500</f>
        <v/>
      </c>
      <c r="U1500" s="8">
        <f>(Q1500-P1500*G1500*SIN(RADIANS(E1500)))/M1500</f>
        <v/>
      </c>
      <c r="V1500" s="8">
        <f>SQRT((S1500+U1500)^2+3*T1500^2)</f>
        <v/>
      </c>
      <c r="W1500" s="8">
        <f>V1500/AA1500</f>
        <v/>
      </c>
      <c r="X1500" s="27">
        <f>((3*10+H1500/COS(RADIANS(E1500)))*(3+3)+3*G1500*H1500)*2</f>
        <v/>
      </c>
      <c r="Y1500" s="28">
        <f>Z1500/X1500</f>
        <v/>
      </c>
      <c r="Z1500" s="29" t="n">
        <v>713.296086629915</v>
      </c>
      <c r="AA1500" s="20" t="n">
        <v>81.0940952572373</v>
      </c>
      <c r="AB1500" t="n">
        <v>0.08961315602414283</v>
      </c>
      <c r="AC1500" t="n">
        <v>76.57381758614261</v>
      </c>
      <c r="AD1500" t="n">
        <v>-6.886907645227275</v>
      </c>
    </row>
    <row r="1501">
      <c r="A1501" t="n">
        <v>1500</v>
      </c>
      <c r="B1501" t="n">
        <v>49.1</v>
      </c>
      <c r="C1501" s="21">
        <f>B1501-20</f>
        <v/>
      </c>
      <c r="D1501" t="n">
        <v>105.4</v>
      </c>
      <c r="E1501" s="22">
        <f>D1501-90</f>
        <v/>
      </c>
      <c r="F1501" s="23" t="n">
        <v>0.00903</v>
      </c>
      <c r="G1501" s="22" t="n">
        <v>22</v>
      </c>
      <c r="H1501" s="22" t="n">
        <v>1.4</v>
      </c>
      <c r="I1501" s="24" t="n">
        <v>0.06469161063432689</v>
      </c>
      <c r="J1501" s="6" t="n">
        <v>71000</v>
      </c>
      <c r="K1501" s="25">
        <f>23*10^-6</f>
        <v/>
      </c>
      <c r="L1501" s="8">
        <f>H1501</f>
        <v/>
      </c>
      <c r="M1501" s="26">
        <f>H1501^2/6</f>
        <v/>
      </c>
      <c r="N1501" s="26">
        <f>H1501^3/12</f>
        <v/>
      </c>
      <c r="O1501" s="27">
        <f>-J1501*L1501*K1501*C1501</f>
        <v/>
      </c>
      <c r="P1501" s="28">
        <f>-(12*F1501*J1501*L1501*N1501+12*O1501*N1501*G1501*COS(RADIANS(E1501)))/(12*N1501*G1501*COS(RADIANS(E1501))^2+L1501*G1501^3*SIN(RADIANS(E1501))^2)</f>
        <v/>
      </c>
      <c r="Q1501" s="28">
        <f>-(6*F1501*J1501*L1501*N1501*SIN(RADIANS(E1501))+6*O1501*N1501*G1501*SIN(RADIANS(E1501))*COS(RADIANS(E1501)))/(12*N1501*COS(RADIANS(E1501))^2+L1501*G1501^2*SIN(RADIANS(E1501))^2)</f>
        <v/>
      </c>
      <c r="R1501" s="28">
        <f>-P1501*SIN(RADIANS(E1501))</f>
        <v/>
      </c>
      <c r="S1501" s="8">
        <f>(O1501+P1501*COS(RADIANS(E1501)))/L1501</f>
        <v/>
      </c>
      <c r="T1501" s="8">
        <f>R1501/L1501</f>
        <v/>
      </c>
      <c r="U1501" s="8">
        <f>(Q1501-P1501*G1501*SIN(RADIANS(E1501)))/M1501</f>
        <v/>
      </c>
      <c r="V1501" s="8">
        <f>SQRT((S1501+U1501)^2+3*T1501^2)</f>
        <v/>
      </c>
      <c r="W1501" s="8">
        <f>V1501/AA1501</f>
        <v/>
      </c>
      <c r="X1501" s="27">
        <f>((3*10+H1501/COS(RADIANS(E1501)))*(3+3)+3*G1501*H1501)*2</f>
        <v/>
      </c>
      <c r="Y1501" s="28">
        <f>Z1501/X1501</f>
        <v/>
      </c>
      <c r="Z1501" s="29" t="n">
        <v>566.532821967907</v>
      </c>
      <c r="AA1501" s="20" t="n">
        <v>46.5257827629372</v>
      </c>
      <c r="AB1501" t="n">
        <v>0.08362321472051119</v>
      </c>
      <c r="AC1501" t="n">
        <v>47.72927302598181</v>
      </c>
      <c r="AD1501" t="n">
        <v>29.26438822677688</v>
      </c>
    </row>
    <row r="1502">
      <c r="A1502" t="n">
        <v>1501</v>
      </c>
      <c r="B1502" t="n">
        <v>87.7</v>
      </c>
      <c r="C1502" s="21">
        <f>B1502-20</f>
        <v/>
      </c>
      <c r="D1502" t="n">
        <v>111.8</v>
      </c>
      <c r="E1502" s="22">
        <f>D1502-90</f>
        <v/>
      </c>
      <c r="F1502" s="23" t="n">
        <v>0.029978</v>
      </c>
      <c r="G1502" s="22" t="n">
        <v>34.2</v>
      </c>
      <c r="H1502" s="22" t="n">
        <v>1.2</v>
      </c>
      <c r="I1502" s="24" t="n">
        <v>0.200028344988822</v>
      </c>
      <c r="J1502" s="6" t="n">
        <v>71000</v>
      </c>
      <c r="K1502" s="25">
        <f>23*10^-6</f>
        <v/>
      </c>
      <c r="L1502" s="8">
        <f>H1502</f>
        <v/>
      </c>
      <c r="M1502" s="26">
        <f>H1502^2/6</f>
        <v/>
      </c>
      <c r="N1502" s="26">
        <f>H1502^3/12</f>
        <v/>
      </c>
      <c r="O1502" s="27">
        <f>-J1502*L1502*K1502*C1502</f>
        <v/>
      </c>
      <c r="P1502" s="28">
        <f>-(12*F1502*J1502*L1502*N1502+12*O1502*N1502*G1502*COS(RADIANS(E1502)))/(12*N1502*G1502*COS(RADIANS(E1502))^2+L1502*G1502^3*SIN(RADIANS(E1502))^2)</f>
        <v/>
      </c>
      <c r="Q1502" s="28">
        <f>-(6*F1502*J1502*L1502*N1502*SIN(RADIANS(E1502))+6*O1502*N1502*G1502*SIN(RADIANS(E1502))*COS(RADIANS(E1502)))/(12*N1502*COS(RADIANS(E1502))^2+L1502*G1502^2*SIN(RADIANS(E1502))^2)</f>
        <v/>
      </c>
      <c r="R1502" s="28">
        <f>-P1502*SIN(RADIANS(E1502))</f>
        <v/>
      </c>
      <c r="S1502" s="8">
        <f>(O1502+P1502*COS(RADIANS(E1502)))/L1502</f>
        <v/>
      </c>
      <c r="T1502" s="8">
        <f>R1502/L1502</f>
        <v/>
      </c>
      <c r="U1502" s="8">
        <f>(Q1502-P1502*G1502*SIN(RADIANS(E1502)))/M1502</f>
        <v/>
      </c>
      <c r="V1502" s="8">
        <f>SQRT((S1502+U1502)^2+3*T1502^2)</f>
        <v/>
      </c>
      <c r="W1502" s="8">
        <f>V1502/AA1502</f>
        <v/>
      </c>
      <c r="X1502" s="27">
        <f>((3*10+H1502/COS(RADIANS(E1502)))*(3+3)+3*G1502*H1502)*2</f>
        <v/>
      </c>
      <c r="Y1502" s="28">
        <f>Z1502/X1502</f>
        <v/>
      </c>
      <c r="Z1502" s="29" t="n">
        <v>625.661396224833</v>
      </c>
      <c r="AA1502" s="20" t="n">
        <v>99.8741236628976</v>
      </c>
      <c r="AB1502" t="n">
        <v>0.2145060139721012</v>
      </c>
      <c r="AC1502" t="n">
        <v>100.3973054994136</v>
      </c>
      <c r="AD1502" t="n">
        <v>7.237808713604204</v>
      </c>
    </row>
    <row r="1503">
      <c r="A1503" t="n">
        <v>1502</v>
      </c>
      <c r="B1503" t="n">
        <v>40.2</v>
      </c>
      <c r="C1503" s="21">
        <f>B1503-20</f>
        <v/>
      </c>
      <c r="D1503" t="n">
        <v>118.3</v>
      </c>
      <c r="E1503" s="22">
        <f>D1503-90</f>
        <v/>
      </c>
      <c r="F1503" s="23" t="n">
        <v>0.007326</v>
      </c>
      <c r="G1503" s="22" t="n">
        <v>28.3</v>
      </c>
      <c r="H1503" s="22" t="n">
        <v>1.1</v>
      </c>
      <c r="I1503" s="24" t="n">
        <v>0.0383331030607223</v>
      </c>
      <c r="J1503" s="6" t="n">
        <v>71000</v>
      </c>
      <c r="K1503" s="25">
        <f>23*10^-6</f>
        <v/>
      </c>
      <c r="L1503" s="8">
        <f>H1503</f>
        <v/>
      </c>
      <c r="M1503" s="26">
        <f>H1503^2/6</f>
        <v/>
      </c>
      <c r="N1503" s="26">
        <f>H1503^3/12</f>
        <v/>
      </c>
      <c r="O1503" s="27">
        <f>-J1503*L1503*K1503*C1503</f>
        <v/>
      </c>
      <c r="P1503" s="28">
        <f>-(12*F1503*J1503*L1503*N1503+12*O1503*N1503*G1503*COS(RADIANS(E1503)))/(12*N1503*G1503*COS(RADIANS(E1503))^2+L1503*G1503^3*SIN(RADIANS(E1503))^2)</f>
        <v/>
      </c>
      <c r="Q1503" s="28">
        <f>-(6*F1503*J1503*L1503*N1503*SIN(RADIANS(E1503))+6*O1503*N1503*G1503*SIN(RADIANS(E1503))*COS(RADIANS(E1503)))/(12*N1503*COS(RADIANS(E1503))^2+L1503*G1503^2*SIN(RADIANS(E1503))^2)</f>
        <v/>
      </c>
      <c r="R1503" s="28">
        <f>-P1503*SIN(RADIANS(E1503))</f>
        <v/>
      </c>
      <c r="S1503" s="8">
        <f>(O1503+P1503*COS(RADIANS(E1503)))/L1503</f>
        <v/>
      </c>
      <c r="T1503" s="8">
        <f>R1503/L1503</f>
        <v/>
      </c>
      <c r="U1503" s="8">
        <f>(Q1503-P1503*G1503*SIN(RADIANS(E1503)))/M1503</f>
        <v/>
      </c>
      <c r="V1503" s="8">
        <f>SQRT((S1503+U1503)^2+3*T1503^2)</f>
        <v/>
      </c>
      <c r="W1503" s="8">
        <f>V1503/AA1503</f>
        <v/>
      </c>
      <c r="X1503" s="27">
        <f>((3*10+H1503/COS(RADIANS(E1503)))*(3+3)+3*G1503*H1503)*2</f>
        <v/>
      </c>
      <c r="Y1503" s="28">
        <f>Z1503/X1503</f>
        <v/>
      </c>
      <c r="Z1503" s="29" t="n">
        <v>566.997731545464</v>
      </c>
      <c r="AA1503" s="20" t="n">
        <v>28.2177034218387</v>
      </c>
      <c r="AB1503" t="n">
        <v>0.04072410832861788</v>
      </c>
      <c r="AC1503" t="n">
        <v>29.32730077150834</v>
      </c>
      <c r="AD1503" t="n">
        <v>6.237442515697369</v>
      </c>
    </row>
    <row r="1504">
      <c r="A1504" t="n">
        <v>1503</v>
      </c>
      <c r="B1504" t="n">
        <v>71.3</v>
      </c>
      <c r="C1504" s="21">
        <f>B1504-20</f>
        <v/>
      </c>
      <c r="D1504" t="n">
        <v>126.2</v>
      </c>
      <c r="E1504" s="22">
        <f>D1504-90</f>
        <v/>
      </c>
      <c r="F1504" s="23" t="n">
        <v>0.019401</v>
      </c>
      <c r="G1504" s="22" t="n">
        <v>29.5</v>
      </c>
      <c r="H1504" s="22" t="n">
        <v>1.4</v>
      </c>
      <c r="I1504" s="24" t="n">
        <v>0.104144848883152</v>
      </c>
      <c r="J1504" s="6" t="n">
        <v>71000</v>
      </c>
      <c r="K1504" s="25">
        <f>23*10^-6</f>
        <v/>
      </c>
      <c r="L1504" s="8">
        <f>H1504</f>
        <v/>
      </c>
      <c r="M1504" s="26">
        <f>H1504^2/6</f>
        <v/>
      </c>
      <c r="N1504" s="26">
        <f>H1504^3/12</f>
        <v/>
      </c>
      <c r="O1504" s="27">
        <f>-J1504*L1504*K1504*C1504</f>
        <v/>
      </c>
      <c r="P1504" s="28">
        <f>-(12*F1504*J1504*L1504*N1504+12*O1504*N1504*G1504*COS(RADIANS(E1504)))/(12*N1504*G1504*COS(RADIANS(E1504))^2+L1504*G1504^3*SIN(RADIANS(E1504))^2)</f>
        <v/>
      </c>
      <c r="Q1504" s="28">
        <f>-(6*F1504*J1504*L1504*N1504*SIN(RADIANS(E1504))+6*O1504*N1504*G1504*SIN(RADIANS(E1504))*COS(RADIANS(E1504)))/(12*N1504*COS(RADIANS(E1504))^2+L1504*G1504^2*SIN(RADIANS(E1504))^2)</f>
        <v/>
      </c>
      <c r="R1504" s="28">
        <f>-P1504*SIN(RADIANS(E1504))</f>
        <v/>
      </c>
      <c r="S1504" s="8">
        <f>(O1504+P1504*COS(RADIANS(E1504)))/L1504</f>
        <v/>
      </c>
      <c r="T1504" s="8">
        <f>R1504/L1504</f>
        <v/>
      </c>
      <c r="U1504" s="8">
        <f>(Q1504-P1504*G1504*SIN(RADIANS(E1504)))/M1504</f>
        <v/>
      </c>
      <c r="V1504" s="8">
        <f>SQRT((S1504+U1504)^2+3*T1504^2)</f>
        <v/>
      </c>
      <c r="W1504" s="8">
        <f>V1504/AA1504</f>
        <v/>
      </c>
      <c r="X1504" s="27">
        <f>((3*10+H1504/COS(RADIANS(E1504)))*(3+3)+3*G1504*H1504)*2</f>
        <v/>
      </c>
      <c r="Y1504" s="28">
        <f>Z1504/X1504</f>
        <v/>
      </c>
      <c r="Z1504" s="29" t="n">
        <v>631.524387525631</v>
      </c>
      <c r="AA1504" s="20" t="n">
        <v>76.48311175845249</v>
      </c>
      <c r="AB1504" t="n">
        <v>0.08235071549127007</v>
      </c>
      <c r="AC1504" t="n">
        <v>73.8570013260077</v>
      </c>
      <c r="AD1504" t="n">
        <v>-20.92675117934485</v>
      </c>
    </row>
    <row r="1505">
      <c r="A1505" t="n">
        <v>1504</v>
      </c>
      <c r="B1505" t="n">
        <v>82.90000000000001</v>
      </c>
      <c r="C1505" s="21">
        <f>B1505-20</f>
        <v/>
      </c>
      <c r="D1505" t="n">
        <v>112.3</v>
      </c>
      <c r="E1505" s="22">
        <f>D1505-90</f>
        <v/>
      </c>
      <c r="F1505" s="23" t="n">
        <v>0.025999</v>
      </c>
      <c r="G1505" s="22" t="n">
        <v>30.9</v>
      </c>
      <c r="H1505" s="22" t="n">
        <v>1.6</v>
      </c>
      <c r="I1505" s="24" t="n">
        <v>0.219342499971389</v>
      </c>
      <c r="J1505" s="6" t="n">
        <v>71000</v>
      </c>
      <c r="K1505" s="25">
        <f>23*10^-6</f>
        <v/>
      </c>
      <c r="L1505" s="8">
        <f>H1505</f>
        <v/>
      </c>
      <c r="M1505" s="26">
        <f>H1505^2/6</f>
        <v/>
      </c>
      <c r="N1505" s="26">
        <f>H1505^3/12</f>
        <v/>
      </c>
      <c r="O1505" s="27">
        <f>-J1505*L1505*K1505*C1505</f>
        <v/>
      </c>
      <c r="P1505" s="28">
        <f>-(12*F1505*J1505*L1505*N1505+12*O1505*N1505*G1505*COS(RADIANS(E1505)))/(12*N1505*G1505*COS(RADIANS(E1505))^2+L1505*G1505^3*SIN(RADIANS(E1505))^2)</f>
        <v/>
      </c>
      <c r="Q1505" s="28">
        <f>-(6*F1505*J1505*L1505*N1505*SIN(RADIANS(E1505))+6*O1505*N1505*G1505*SIN(RADIANS(E1505))*COS(RADIANS(E1505)))/(12*N1505*COS(RADIANS(E1505))^2+L1505*G1505^2*SIN(RADIANS(E1505))^2)</f>
        <v/>
      </c>
      <c r="R1505" s="28">
        <f>-P1505*SIN(RADIANS(E1505))</f>
        <v/>
      </c>
      <c r="S1505" s="8">
        <f>(O1505+P1505*COS(RADIANS(E1505)))/L1505</f>
        <v/>
      </c>
      <c r="T1505" s="8">
        <f>R1505/L1505</f>
        <v/>
      </c>
      <c r="U1505" s="8">
        <f>(Q1505-P1505*G1505*SIN(RADIANS(E1505)))/M1505</f>
        <v/>
      </c>
      <c r="V1505" s="8">
        <f>SQRT((S1505+U1505)^2+3*T1505^2)</f>
        <v/>
      </c>
      <c r="W1505" s="8">
        <f>V1505/AA1505</f>
        <v/>
      </c>
      <c r="X1505" s="27">
        <f>((3*10+H1505/COS(RADIANS(E1505)))*(3+3)+3*G1505*H1505)*2</f>
        <v/>
      </c>
      <c r="Y1505" s="28">
        <f>Z1505/X1505</f>
        <v/>
      </c>
      <c r="Z1505" s="29" t="n">
        <v>680.19024874071</v>
      </c>
      <c r="AA1505" s="20" t="n">
        <v>104.070576262501</v>
      </c>
      <c r="AB1505" t="n">
        <v>0.1753258092885462</v>
      </c>
      <c r="AC1505" t="n">
        <v>96.5611386393069</v>
      </c>
      <c r="AD1505" t="n">
        <v>-20.06756132012005</v>
      </c>
    </row>
    <row r="1506">
      <c r="A1506" t="n">
        <v>1505</v>
      </c>
      <c r="B1506" t="n">
        <v>67.09999999999999</v>
      </c>
      <c r="C1506" s="21">
        <f>B1506-20</f>
        <v/>
      </c>
      <c r="D1506" t="n">
        <v>122.2</v>
      </c>
      <c r="E1506" s="22">
        <f>D1506-90</f>
        <v/>
      </c>
      <c r="F1506" s="23" t="n">
        <v>0.015221</v>
      </c>
      <c r="G1506" s="22" t="n">
        <v>27.8</v>
      </c>
      <c r="H1506" s="22" t="n">
        <v>1.6</v>
      </c>
      <c r="I1506" s="24" t="n">
        <v>0.06719986349344249</v>
      </c>
      <c r="J1506" s="6" t="n">
        <v>71000</v>
      </c>
      <c r="K1506" s="25">
        <f>23*10^-6</f>
        <v/>
      </c>
      <c r="L1506" s="8">
        <f>H1506</f>
        <v/>
      </c>
      <c r="M1506" s="26">
        <f>H1506^2/6</f>
        <v/>
      </c>
      <c r="N1506" s="26">
        <f>H1506^3/12</f>
        <v/>
      </c>
      <c r="O1506" s="27">
        <f>-J1506*L1506*K1506*C1506</f>
        <v/>
      </c>
      <c r="P1506" s="28">
        <f>-(12*F1506*J1506*L1506*N1506+12*O1506*N1506*G1506*COS(RADIANS(E1506)))/(12*N1506*G1506*COS(RADIANS(E1506))^2+L1506*G1506^3*SIN(RADIANS(E1506))^2)</f>
        <v/>
      </c>
      <c r="Q1506" s="28">
        <f>-(6*F1506*J1506*L1506*N1506*SIN(RADIANS(E1506))+6*O1506*N1506*G1506*SIN(RADIANS(E1506))*COS(RADIANS(E1506)))/(12*N1506*COS(RADIANS(E1506))^2+L1506*G1506^2*SIN(RADIANS(E1506))^2)</f>
        <v/>
      </c>
      <c r="R1506" s="28">
        <f>-P1506*SIN(RADIANS(E1506))</f>
        <v/>
      </c>
      <c r="S1506" s="8">
        <f>(O1506+P1506*COS(RADIANS(E1506)))/L1506</f>
        <v/>
      </c>
      <c r="T1506" s="8">
        <f>R1506/L1506</f>
        <v/>
      </c>
      <c r="U1506" s="8">
        <f>(Q1506-P1506*G1506*SIN(RADIANS(E1506)))/M1506</f>
        <v/>
      </c>
      <c r="V1506" s="8">
        <f>SQRT((S1506+U1506)^2+3*T1506^2)</f>
        <v/>
      </c>
      <c r="W1506" s="8">
        <f>V1506/AA1506</f>
        <v/>
      </c>
      <c r="X1506" s="27">
        <f>((3*10+H1506/COS(RADIANS(E1506)))*(3+3)+3*G1506*H1506)*2</f>
        <v/>
      </c>
      <c r="Y1506" s="28">
        <f>Z1506/X1506</f>
        <v/>
      </c>
      <c r="Z1506" s="29" t="n">
        <v>660.054540381698</v>
      </c>
      <c r="AA1506" s="20" t="n">
        <v>70.5540011560512</v>
      </c>
      <c r="AB1506" t="n">
        <v>0.08092973440162804</v>
      </c>
      <c r="AC1506" t="n">
        <v>69.56415950515277</v>
      </c>
      <c r="AD1506" t="n">
        <v>20.43139702140219</v>
      </c>
    </row>
    <row r="1507">
      <c r="A1507" t="n">
        <v>1506</v>
      </c>
      <c r="B1507" t="n">
        <v>42.9</v>
      </c>
      <c r="C1507" s="21">
        <f>B1507-20</f>
        <v/>
      </c>
      <c r="D1507" t="n">
        <v>124.5</v>
      </c>
      <c r="E1507" s="22">
        <f>D1507-90</f>
        <v/>
      </c>
      <c r="F1507" s="23" t="n">
        <v>0.009594999999999999</v>
      </c>
      <c r="G1507" s="22" t="n">
        <v>31.9</v>
      </c>
      <c r="H1507" s="22" t="n">
        <v>1.8</v>
      </c>
      <c r="I1507" s="24" t="n">
        <v>0.0659080892801284</v>
      </c>
      <c r="J1507" s="6" t="n">
        <v>71000</v>
      </c>
      <c r="K1507" s="25">
        <f>23*10^-6</f>
        <v/>
      </c>
      <c r="L1507" s="8">
        <f>H1507</f>
        <v/>
      </c>
      <c r="M1507" s="26">
        <f>H1507^2/6</f>
        <v/>
      </c>
      <c r="N1507" s="26">
        <f>H1507^3/12</f>
        <v/>
      </c>
      <c r="O1507" s="27">
        <f>-J1507*L1507*K1507*C1507</f>
        <v/>
      </c>
      <c r="P1507" s="28">
        <f>-(12*F1507*J1507*L1507*N1507+12*O1507*N1507*G1507*COS(RADIANS(E1507)))/(12*N1507*G1507*COS(RADIANS(E1507))^2+L1507*G1507^3*SIN(RADIANS(E1507))^2)</f>
        <v/>
      </c>
      <c r="Q1507" s="28">
        <f>-(6*F1507*J1507*L1507*N1507*SIN(RADIANS(E1507))+6*O1507*N1507*G1507*SIN(RADIANS(E1507))*COS(RADIANS(E1507)))/(12*N1507*COS(RADIANS(E1507))^2+L1507*G1507^2*SIN(RADIANS(E1507))^2)</f>
        <v/>
      </c>
      <c r="R1507" s="28">
        <f>-P1507*SIN(RADIANS(E1507))</f>
        <v/>
      </c>
      <c r="S1507" s="8">
        <f>(O1507+P1507*COS(RADIANS(E1507)))/L1507</f>
        <v/>
      </c>
      <c r="T1507" s="8">
        <f>R1507/L1507</f>
        <v/>
      </c>
      <c r="U1507" s="8">
        <f>(Q1507-P1507*G1507*SIN(RADIANS(E1507)))/M1507</f>
        <v/>
      </c>
      <c r="V1507" s="8">
        <f>SQRT((S1507+U1507)^2+3*T1507^2)</f>
        <v/>
      </c>
      <c r="W1507" s="8">
        <f>V1507/AA1507</f>
        <v/>
      </c>
      <c r="X1507" s="27">
        <f>((3*10+H1507/COS(RADIANS(E1507)))*(3+3)+3*G1507*H1507)*2</f>
        <v/>
      </c>
      <c r="Y1507" s="28">
        <f>Z1507/X1507</f>
        <v/>
      </c>
      <c r="Z1507" s="29" t="n">
        <v>731.251852984399</v>
      </c>
      <c r="AA1507" s="20" t="n">
        <v>38.0063513094834</v>
      </c>
      <c r="AB1507" t="n">
        <v>0.04160926619415785</v>
      </c>
      <c r="AC1507" t="n">
        <v>33.62098326637032</v>
      </c>
      <c r="AD1507" t="n">
        <v>-36.86774013838201</v>
      </c>
    </row>
    <row r="1508">
      <c r="A1508" t="n">
        <v>1507</v>
      </c>
      <c r="B1508" t="n">
        <v>60.1</v>
      </c>
      <c r="C1508" s="21">
        <f>B1508-20</f>
        <v/>
      </c>
      <c r="D1508" t="n">
        <v>105</v>
      </c>
      <c r="E1508" s="22">
        <f>D1508-90</f>
        <v/>
      </c>
      <c r="F1508" s="23" t="n">
        <v>0.013821</v>
      </c>
      <c r="G1508" s="22" t="n">
        <v>26.1</v>
      </c>
      <c r="H1508" s="22" t="n">
        <v>1.4</v>
      </c>
      <c r="I1508" s="24" t="n">
        <v>0.0776205956935882</v>
      </c>
      <c r="J1508" s="6" t="n">
        <v>71000</v>
      </c>
      <c r="K1508" s="25">
        <f>23*10^-6</f>
        <v/>
      </c>
      <c r="L1508" s="8">
        <f>H1508</f>
        <v/>
      </c>
      <c r="M1508" s="26">
        <f>H1508^2/6</f>
        <v/>
      </c>
      <c r="N1508" s="26">
        <f>H1508^3/12</f>
        <v/>
      </c>
      <c r="O1508" s="27">
        <f>-J1508*L1508*K1508*C1508</f>
        <v/>
      </c>
      <c r="P1508" s="28">
        <f>-(12*F1508*J1508*L1508*N1508+12*O1508*N1508*G1508*COS(RADIANS(E1508)))/(12*N1508*G1508*COS(RADIANS(E1508))^2+L1508*G1508^3*SIN(RADIANS(E1508))^2)</f>
        <v/>
      </c>
      <c r="Q1508" s="28">
        <f>-(6*F1508*J1508*L1508*N1508*SIN(RADIANS(E1508))+6*O1508*N1508*G1508*SIN(RADIANS(E1508))*COS(RADIANS(E1508)))/(12*N1508*COS(RADIANS(E1508))^2+L1508*G1508^2*SIN(RADIANS(E1508))^2)</f>
        <v/>
      </c>
      <c r="R1508" s="28">
        <f>-P1508*SIN(RADIANS(E1508))</f>
        <v/>
      </c>
      <c r="S1508" s="8">
        <f>(O1508+P1508*COS(RADIANS(E1508)))/L1508</f>
        <v/>
      </c>
      <c r="T1508" s="8">
        <f>R1508/L1508</f>
        <v/>
      </c>
      <c r="U1508" s="8">
        <f>(Q1508-P1508*G1508*SIN(RADIANS(E1508)))/M1508</f>
        <v/>
      </c>
      <c r="V1508" s="8">
        <f>SQRT((S1508+U1508)^2+3*T1508^2)</f>
        <v/>
      </c>
      <c r="W1508" s="8">
        <f>V1508/AA1508</f>
        <v/>
      </c>
      <c r="X1508" s="27">
        <f>((3*10+H1508/COS(RADIANS(E1508)))*(3+3)+3*G1508*H1508)*2</f>
        <v/>
      </c>
      <c r="Y1508" s="28">
        <f>Z1508/X1508</f>
        <v/>
      </c>
      <c r="Z1508" s="29" t="n">
        <v>602.61614182771</v>
      </c>
      <c r="AA1508" s="20" t="n">
        <v>60.6793493686763</v>
      </c>
      <c r="AB1508" t="n">
        <v>0.1404721664098853</v>
      </c>
      <c r="AC1508" t="n">
        <v>65.07469971207293</v>
      </c>
      <c r="AD1508" t="n">
        <v>80.97280129671681</v>
      </c>
    </row>
    <row r="1509">
      <c r="A1509" t="n">
        <v>1508</v>
      </c>
      <c r="B1509" t="n">
        <v>84.8</v>
      </c>
      <c r="C1509" s="21">
        <f>B1509-20</f>
        <v/>
      </c>
      <c r="D1509" t="n">
        <v>116.7</v>
      </c>
      <c r="E1509" s="22">
        <f>D1509-90</f>
        <v/>
      </c>
      <c r="F1509" s="23" t="n">
        <v>0.026026</v>
      </c>
      <c r="G1509" s="22" t="n">
        <v>33.2</v>
      </c>
      <c r="H1509" s="22" t="n">
        <v>1.1</v>
      </c>
      <c r="I1509" s="24" t="n">
        <v>0.122625723481178</v>
      </c>
      <c r="J1509" s="6" t="n">
        <v>71000</v>
      </c>
      <c r="K1509" s="25">
        <f>23*10^-6</f>
        <v/>
      </c>
      <c r="L1509" s="8">
        <f>H1509</f>
        <v/>
      </c>
      <c r="M1509" s="26">
        <f>H1509^2/6</f>
        <v/>
      </c>
      <c r="N1509" s="26">
        <f>H1509^3/12</f>
        <v/>
      </c>
      <c r="O1509" s="27">
        <f>-J1509*L1509*K1509*C1509</f>
        <v/>
      </c>
      <c r="P1509" s="28">
        <f>-(12*F1509*J1509*L1509*N1509+12*O1509*N1509*G1509*COS(RADIANS(E1509)))/(12*N1509*G1509*COS(RADIANS(E1509))^2+L1509*G1509^3*SIN(RADIANS(E1509))^2)</f>
        <v/>
      </c>
      <c r="Q1509" s="28">
        <f>-(6*F1509*J1509*L1509*N1509*SIN(RADIANS(E1509))+6*O1509*N1509*G1509*SIN(RADIANS(E1509))*COS(RADIANS(E1509)))/(12*N1509*COS(RADIANS(E1509))^2+L1509*G1509^2*SIN(RADIANS(E1509))^2)</f>
        <v/>
      </c>
      <c r="R1509" s="28">
        <f>-P1509*SIN(RADIANS(E1509))</f>
        <v/>
      </c>
      <c r="S1509" s="8">
        <f>(O1509+P1509*COS(RADIANS(E1509)))/L1509</f>
        <v/>
      </c>
      <c r="T1509" s="8">
        <f>R1509/L1509</f>
        <v/>
      </c>
      <c r="U1509" s="8">
        <f>(Q1509-P1509*G1509*SIN(RADIANS(E1509)))/M1509</f>
        <v/>
      </c>
      <c r="V1509" s="8">
        <f>SQRT((S1509+U1509)^2+3*T1509^2)</f>
        <v/>
      </c>
      <c r="W1509" s="8">
        <f>V1509/AA1509</f>
        <v/>
      </c>
      <c r="X1509" s="27">
        <f>((3*10+H1509/COS(RADIANS(E1509)))*(3+3)+3*G1509*H1509)*2</f>
        <v/>
      </c>
      <c r="Y1509" s="28">
        <f>Z1509/X1509</f>
        <v/>
      </c>
      <c r="Z1509" s="29" t="n">
        <v>600.803438369072</v>
      </c>
      <c r="AA1509" s="20" t="n">
        <v>88.3654431451193</v>
      </c>
      <c r="AB1509" t="n">
        <v>0.1617422756354459</v>
      </c>
      <c r="AC1509" t="n">
        <v>93.80274595797883</v>
      </c>
      <c r="AD1509" t="n">
        <v>31.89914077063281</v>
      </c>
    </row>
    <row r="1510">
      <c r="A1510" t="n">
        <v>1509</v>
      </c>
      <c r="B1510" t="n">
        <v>75.59999999999999</v>
      </c>
      <c r="C1510" s="21">
        <f>B1510-20</f>
        <v/>
      </c>
      <c r="D1510" t="n">
        <v>129.8</v>
      </c>
      <c r="E1510" s="22">
        <f>D1510-90</f>
        <v/>
      </c>
      <c r="F1510" s="23" t="n">
        <v>0.014698</v>
      </c>
      <c r="G1510" s="22" t="n">
        <v>21.3</v>
      </c>
      <c r="H1510" s="22" t="n">
        <v>1.3</v>
      </c>
      <c r="I1510" s="24" t="n">
        <v>0.0676668211817741</v>
      </c>
      <c r="J1510" s="6" t="n">
        <v>71000</v>
      </c>
      <c r="K1510" s="25">
        <f>23*10^-6</f>
        <v/>
      </c>
      <c r="L1510" s="8">
        <f>H1510</f>
        <v/>
      </c>
      <c r="M1510" s="26">
        <f>H1510^2/6</f>
        <v/>
      </c>
      <c r="N1510" s="26">
        <f>H1510^3/12</f>
        <v/>
      </c>
      <c r="O1510" s="27">
        <f>-J1510*L1510*K1510*C1510</f>
        <v/>
      </c>
      <c r="P1510" s="28">
        <f>-(12*F1510*J1510*L1510*N1510+12*O1510*N1510*G1510*COS(RADIANS(E1510)))/(12*N1510*G1510*COS(RADIANS(E1510))^2+L1510*G1510^3*SIN(RADIANS(E1510))^2)</f>
        <v/>
      </c>
      <c r="Q1510" s="28">
        <f>-(6*F1510*J1510*L1510*N1510*SIN(RADIANS(E1510))+6*O1510*N1510*G1510*SIN(RADIANS(E1510))*COS(RADIANS(E1510)))/(12*N1510*COS(RADIANS(E1510))^2+L1510*G1510^2*SIN(RADIANS(E1510))^2)</f>
        <v/>
      </c>
      <c r="R1510" s="28">
        <f>-P1510*SIN(RADIANS(E1510))</f>
        <v/>
      </c>
      <c r="S1510" s="8">
        <f>(O1510+P1510*COS(RADIANS(E1510)))/L1510</f>
        <v/>
      </c>
      <c r="T1510" s="8">
        <f>R1510/L1510</f>
        <v/>
      </c>
      <c r="U1510" s="8">
        <f>(Q1510-P1510*G1510*SIN(RADIANS(E1510)))/M1510</f>
        <v/>
      </c>
      <c r="V1510" s="8">
        <f>SQRT((S1510+U1510)^2+3*T1510^2)</f>
        <v/>
      </c>
      <c r="W1510" s="8">
        <f>V1510/AA1510</f>
        <v/>
      </c>
      <c r="X1510" s="27">
        <f>((3*10+H1510/COS(RADIANS(E1510)))*(3+3)+3*G1510*H1510)*2</f>
        <v/>
      </c>
      <c r="Y1510" s="28">
        <f>Z1510/X1510</f>
        <v/>
      </c>
      <c r="Z1510" s="29" t="n">
        <v>554.646674743718</v>
      </c>
      <c r="AA1510" s="20" t="n">
        <v>81.2132410327594</v>
      </c>
      <c r="AB1510" t="n">
        <v>0.0591857277342985</v>
      </c>
      <c r="AC1510" t="n">
        <v>79.81543875095502</v>
      </c>
      <c r="AD1510" t="n">
        <v>-12.5336070164915</v>
      </c>
    </row>
    <row r="1511">
      <c r="A1511" t="n">
        <v>1510</v>
      </c>
      <c r="B1511" t="n">
        <v>59.1</v>
      </c>
      <c r="C1511" s="21">
        <f>B1511-20</f>
        <v/>
      </c>
      <c r="D1511" t="n">
        <v>108.6</v>
      </c>
      <c r="E1511" s="22">
        <f>D1511-90</f>
        <v/>
      </c>
      <c r="F1511" s="23" t="n">
        <v>0.011417</v>
      </c>
      <c r="G1511" s="22" t="n">
        <v>21.2</v>
      </c>
      <c r="H1511" s="22" t="n">
        <v>1.9</v>
      </c>
      <c r="I1511" s="24" t="n">
        <v>0.064331978559494</v>
      </c>
      <c r="J1511" s="6" t="n">
        <v>71000</v>
      </c>
      <c r="K1511" s="25">
        <f>23*10^-6</f>
        <v/>
      </c>
      <c r="L1511" s="8">
        <f>H1511</f>
        <v/>
      </c>
      <c r="M1511" s="26">
        <f>H1511^2/6</f>
        <v/>
      </c>
      <c r="N1511" s="26">
        <f>H1511^3/12</f>
        <v/>
      </c>
      <c r="O1511" s="27">
        <f>-J1511*L1511*K1511*C1511</f>
        <v/>
      </c>
      <c r="P1511" s="28">
        <f>-(12*F1511*J1511*L1511*N1511+12*O1511*N1511*G1511*COS(RADIANS(E1511)))/(12*N1511*G1511*COS(RADIANS(E1511))^2+L1511*G1511^3*SIN(RADIANS(E1511))^2)</f>
        <v/>
      </c>
      <c r="Q1511" s="28">
        <f>-(6*F1511*J1511*L1511*N1511*SIN(RADIANS(E1511))+6*O1511*N1511*G1511*SIN(RADIANS(E1511))*COS(RADIANS(E1511)))/(12*N1511*COS(RADIANS(E1511))^2+L1511*G1511^2*SIN(RADIANS(E1511))^2)</f>
        <v/>
      </c>
      <c r="R1511" s="28">
        <f>-P1511*SIN(RADIANS(E1511))</f>
        <v/>
      </c>
      <c r="S1511" s="8">
        <f>(O1511+P1511*COS(RADIANS(E1511)))/L1511</f>
        <v/>
      </c>
      <c r="T1511" s="8">
        <f>R1511/L1511</f>
        <v/>
      </c>
      <c r="U1511" s="8">
        <f>(Q1511-P1511*G1511*SIN(RADIANS(E1511)))/M1511</f>
        <v/>
      </c>
      <c r="V1511" s="8">
        <f>SQRT((S1511+U1511)^2+3*T1511^2)</f>
        <v/>
      </c>
      <c r="W1511" s="8">
        <f>V1511/AA1511</f>
        <v/>
      </c>
      <c r="X1511" s="27">
        <f>((3*10+H1511/COS(RADIANS(E1511)))*(3+3)+3*G1511*H1511)*2</f>
        <v/>
      </c>
      <c r="Y1511" s="28">
        <f>Z1511/X1511</f>
        <v/>
      </c>
      <c r="Z1511" s="29" t="n">
        <v>631.696755643384</v>
      </c>
      <c r="AA1511" s="20" t="n">
        <v>68.4730062638104</v>
      </c>
      <c r="AB1511" t="n">
        <v>0.08782627536077726</v>
      </c>
      <c r="AC1511" t="n">
        <v>65.24131329282741</v>
      </c>
      <c r="AD1511" t="n">
        <v>36.52040140434327</v>
      </c>
    </row>
    <row r="1512">
      <c r="A1512" t="n">
        <v>1511</v>
      </c>
      <c r="B1512" t="n">
        <v>51</v>
      </c>
      <c r="C1512" s="21">
        <f>B1512-20</f>
        <v/>
      </c>
      <c r="D1512" t="n">
        <v>110.5</v>
      </c>
      <c r="E1512" s="22">
        <f>D1512-90</f>
        <v/>
      </c>
      <c r="F1512" s="23" t="n">
        <v>0.01175</v>
      </c>
      <c r="G1512" s="22" t="n">
        <v>32.2</v>
      </c>
      <c r="H1512" s="22" t="n">
        <v>1.9</v>
      </c>
      <c r="I1512" s="24" t="n">
        <v>0.0527723841369152</v>
      </c>
      <c r="J1512" s="6" t="n">
        <v>71000</v>
      </c>
      <c r="K1512" s="25">
        <f>23*10^-6</f>
        <v/>
      </c>
      <c r="L1512" s="8">
        <f>H1512</f>
        <v/>
      </c>
      <c r="M1512" s="26">
        <f>H1512^2/6</f>
        <v/>
      </c>
      <c r="N1512" s="26">
        <f>H1512^3/12</f>
        <v/>
      </c>
      <c r="O1512" s="27">
        <f>-J1512*L1512*K1512*C1512</f>
        <v/>
      </c>
      <c r="P1512" s="28">
        <f>-(12*F1512*J1512*L1512*N1512+12*O1512*N1512*G1512*COS(RADIANS(E1512)))/(12*N1512*G1512*COS(RADIANS(E1512))^2+L1512*G1512^3*SIN(RADIANS(E1512))^2)</f>
        <v/>
      </c>
      <c r="Q1512" s="28">
        <f>-(6*F1512*J1512*L1512*N1512*SIN(RADIANS(E1512))+6*O1512*N1512*G1512*SIN(RADIANS(E1512))*COS(RADIANS(E1512)))/(12*N1512*COS(RADIANS(E1512))^2+L1512*G1512^2*SIN(RADIANS(E1512))^2)</f>
        <v/>
      </c>
      <c r="R1512" s="28">
        <f>-P1512*SIN(RADIANS(E1512))</f>
        <v/>
      </c>
      <c r="S1512" s="8">
        <f>(O1512+P1512*COS(RADIANS(E1512)))/L1512</f>
        <v/>
      </c>
      <c r="T1512" s="8">
        <f>R1512/L1512</f>
        <v/>
      </c>
      <c r="U1512" s="8">
        <f>(Q1512-P1512*G1512*SIN(RADIANS(E1512)))/M1512</f>
        <v/>
      </c>
      <c r="V1512" s="8">
        <f>SQRT((S1512+U1512)^2+3*T1512^2)</f>
        <v/>
      </c>
      <c r="W1512" s="8">
        <f>V1512/AA1512</f>
        <v/>
      </c>
      <c r="X1512" s="27">
        <f>((3*10+H1512/COS(RADIANS(E1512)))*(3+3)+3*G1512*H1512)*2</f>
        <v/>
      </c>
      <c r="Y1512" s="28">
        <f>Z1512/X1512</f>
        <v/>
      </c>
      <c r="Z1512" s="29" t="n">
        <v>761.820150252703</v>
      </c>
      <c r="AA1512" s="20" t="n">
        <v>48.7484007460379</v>
      </c>
      <c r="AB1512" t="n">
        <v>0.09719691212711126</v>
      </c>
      <c r="AC1512" t="n">
        <v>49.03110488467412</v>
      </c>
      <c r="AD1512" t="n">
        <v>84.18139281890114</v>
      </c>
    </row>
    <row r="1513">
      <c r="A1513" t="n">
        <v>1512</v>
      </c>
      <c r="B1513" t="n">
        <v>58.8</v>
      </c>
      <c r="C1513" s="21">
        <f>B1513-20</f>
        <v/>
      </c>
      <c r="D1513" t="n">
        <v>121.4</v>
      </c>
      <c r="E1513" s="22">
        <f>D1513-90</f>
        <v/>
      </c>
      <c r="F1513" s="23" t="n">
        <v>0.015084</v>
      </c>
      <c r="G1513" s="22" t="n">
        <v>34.1</v>
      </c>
      <c r="H1513" s="22" t="n">
        <v>1.9</v>
      </c>
      <c r="I1513" s="24" t="n">
        <v>0.0657277107238769</v>
      </c>
      <c r="J1513" s="6" t="n">
        <v>71000</v>
      </c>
      <c r="K1513" s="25">
        <f>23*10^-6</f>
        <v/>
      </c>
      <c r="L1513" s="8">
        <f>H1513</f>
        <v/>
      </c>
      <c r="M1513" s="26">
        <f>H1513^2/6</f>
        <v/>
      </c>
      <c r="N1513" s="26">
        <f>H1513^3/12</f>
        <v/>
      </c>
      <c r="O1513" s="27">
        <f>-J1513*L1513*K1513*C1513</f>
        <v/>
      </c>
      <c r="P1513" s="28">
        <f>-(12*F1513*J1513*L1513*N1513+12*O1513*N1513*G1513*COS(RADIANS(E1513)))/(12*N1513*G1513*COS(RADIANS(E1513))^2+L1513*G1513^3*SIN(RADIANS(E1513))^2)</f>
        <v/>
      </c>
      <c r="Q1513" s="28">
        <f>-(6*F1513*J1513*L1513*N1513*SIN(RADIANS(E1513))+6*O1513*N1513*G1513*SIN(RADIANS(E1513))*COS(RADIANS(E1513)))/(12*N1513*COS(RADIANS(E1513))^2+L1513*G1513^2*SIN(RADIANS(E1513))^2)</f>
        <v/>
      </c>
      <c r="R1513" s="28">
        <f>-P1513*SIN(RADIANS(E1513))</f>
        <v/>
      </c>
      <c r="S1513" s="8">
        <f>(O1513+P1513*COS(RADIANS(E1513)))/L1513</f>
        <v/>
      </c>
      <c r="T1513" s="8">
        <f>R1513/L1513</f>
        <v/>
      </c>
      <c r="U1513" s="8">
        <f>(Q1513-P1513*G1513*SIN(RADIANS(E1513)))/M1513</f>
        <v/>
      </c>
      <c r="V1513" s="8">
        <f>SQRT((S1513+U1513)^2+3*T1513^2)</f>
        <v/>
      </c>
      <c r="W1513" s="8">
        <f>V1513/AA1513</f>
        <v/>
      </c>
      <c r="X1513" s="27">
        <f>((3*10+H1513/COS(RADIANS(E1513)))*(3+3)+3*G1513*H1513)*2</f>
        <v/>
      </c>
      <c r="Y1513" s="28">
        <f>Z1513/X1513</f>
        <v/>
      </c>
      <c r="Z1513" s="29" t="n">
        <v>784.9610493780229</v>
      </c>
      <c r="AA1513" s="20" t="n">
        <v>60.5282337928376</v>
      </c>
      <c r="AB1513" t="n">
        <v>0.0830754028058488</v>
      </c>
      <c r="AC1513" t="n">
        <v>57.63212137313816</v>
      </c>
      <c r="AD1513" t="n">
        <v>26.39326988711019</v>
      </c>
    </row>
    <row r="1514">
      <c r="A1514" t="n">
        <v>1513</v>
      </c>
      <c r="B1514" t="n">
        <v>89.7</v>
      </c>
      <c r="C1514" s="21">
        <f>B1514-20</f>
        <v/>
      </c>
      <c r="D1514" t="n">
        <v>119.3</v>
      </c>
      <c r="E1514" s="22">
        <f>D1514-90</f>
        <v/>
      </c>
      <c r="F1514" s="23" t="n">
        <v>0.020501</v>
      </c>
      <c r="G1514" s="22" t="n">
        <v>20.5</v>
      </c>
      <c r="H1514" s="22" t="n">
        <v>1.2</v>
      </c>
      <c r="I1514" s="24" t="n">
        <v>0.151078924536705</v>
      </c>
      <c r="J1514" s="6" t="n">
        <v>71000</v>
      </c>
      <c r="K1514" s="25">
        <f>23*10^-6</f>
        <v/>
      </c>
      <c r="L1514" s="8">
        <f>H1514</f>
        <v/>
      </c>
      <c r="M1514" s="26">
        <f>H1514^2/6</f>
        <v/>
      </c>
      <c r="N1514" s="26">
        <f>H1514^3/12</f>
        <v/>
      </c>
      <c r="O1514" s="27">
        <f>-J1514*L1514*K1514*C1514</f>
        <v/>
      </c>
      <c r="P1514" s="28">
        <f>-(12*F1514*J1514*L1514*N1514+12*O1514*N1514*G1514*COS(RADIANS(E1514)))/(12*N1514*G1514*COS(RADIANS(E1514))^2+L1514*G1514^3*SIN(RADIANS(E1514))^2)</f>
        <v/>
      </c>
      <c r="Q1514" s="28">
        <f>-(6*F1514*J1514*L1514*N1514*SIN(RADIANS(E1514))+6*O1514*N1514*G1514*SIN(RADIANS(E1514))*COS(RADIANS(E1514)))/(12*N1514*COS(RADIANS(E1514))^2+L1514*G1514^2*SIN(RADIANS(E1514))^2)</f>
        <v/>
      </c>
      <c r="R1514" s="28">
        <f>-P1514*SIN(RADIANS(E1514))</f>
        <v/>
      </c>
      <c r="S1514" s="8">
        <f>(O1514+P1514*COS(RADIANS(E1514)))/L1514</f>
        <v/>
      </c>
      <c r="T1514" s="8">
        <f>R1514/L1514</f>
        <v/>
      </c>
      <c r="U1514" s="8">
        <f>(Q1514-P1514*G1514*SIN(RADIANS(E1514)))/M1514</f>
        <v/>
      </c>
      <c r="V1514" s="8">
        <f>SQRT((S1514+U1514)^2+3*T1514^2)</f>
        <v/>
      </c>
      <c r="W1514" s="8">
        <f>V1514/AA1514</f>
        <v/>
      </c>
      <c r="X1514" s="27">
        <f>((3*10+H1514/COS(RADIANS(E1514)))*(3+3)+3*G1514*H1514)*2</f>
        <v/>
      </c>
      <c r="Y1514" s="28">
        <f>Z1514/X1514</f>
        <v/>
      </c>
      <c r="Z1514" s="29" t="n">
        <v>526.788234713388</v>
      </c>
      <c r="AA1514" s="20" t="n">
        <v>106.59198894951</v>
      </c>
      <c r="AB1514" t="n">
        <v>0.09976041908421107</v>
      </c>
      <c r="AC1514" t="n">
        <v>103.0706524692669</v>
      </c>
      <c r="AD1514" t="n">
        <v>-33.96801083265983</v>
      </c>
    </row>
    <row r="1515">
      <c r="A1515" t="n">
        <v>1514</v>
      </c>
      <c r="B1515" t="n">
        <v>54.1</v>
      </c>
      <c r="C1515" s="21">
        <f>B1515-20</f>
        <v/>
      </c>
      <c r="D1515" t="n">
        <v>115.6</v>
      </c>
      <c r="E1515" s="22">
        <f>D1515-90</f>
        <v/>
      </c>
      <c r="F1515" s="23" t="n">
        <v>0.014071</v>
      </c>
      <c r="G1515" s="22" t="n">
        <v>33.8</v>
      </c>
      <c r="H1515" s="22" t="n">
        <v>1.8</v>
      </c>
      <c r="I1515" s="24" t="n">
        <v>0.0681153461337089</v>
      </c>
      <c r="J1515" s="6" t="n">
        <v>71000</v>
      </c>
      <c r="K1515" s="25">
        <f>23*10^-6</f>
        <v/>
      </c>
      <c r="L1515" s="8">
        <f>H1515</f>
        <v/>
      </c>
      <c r="M1515" s="26">
        <f>H1515^2/6</f>
        <v/>
      </c>
      <c r="N1515" s="26">
        <f>H1515^3/12</f>
        <v/>
      </c>
      <c r="O1515" s="27">
        <f>-J1515*L1515*K1515*C1515</f>
        <v/>
      </c>
      <c r="P1515" s="28">
        <f>-(12*F1515*J1515*L1515*N1515+12*O1515*N1515*G1515*COS(RADIANS(E1515)))/(12*N1515*G1515*COS(RADIANS(E1515))^2+L1515*G1515^3*SIN(RADIANS(E1515))^2)</f>
        <v/>
      </c>
      <c r="Q1515" s="28">
        <f>-(6*F1515*J1515*L1515*N1515*SIN(RADIANS(E1515))+6*O1515*N1515*G1515*SIN(RADIANS(E1515))*COS(RADIANS(E1515)))/(12*N1515*COS(RADIANS(E1515))^2+L1515*G1515^2*SIN(RADIANS(E1515))^2)</f>
        <v/>
      </c>
      <c r="R1515" s="28">
        <f>-P1515*SIN(RADIANS(E1515))</f>
        <v/>
      </c>
      <c r="S1515" s="8">
        <f>(O1515+P1515*COS(RADIANS(E1515)))/L1515</f>
        <v/>
      </c>
      <c r="T1515" s="8">
        <f>R1515/L1515</f>
        <v/>
      </c>
      <c r="U1515" s="8">
        <f>(Q1515-P1515*G1515*SIN(RADIANS(E1515)))/M1515</f>
        <v/>
      </c>
      <c r="V1515" s="8">
        <f>SQRT((S1515+U1515)^2+3*T1515^2)</f>
        <v/>
      </c>
      <c r="W1515" s="8">
        <f>V1515/AA1515</f>
        <v/>
      </c>
      <c r="X1515" s="27">
        <f>((3*10+H1515/COS(RADIANS(E1515)))*(3+3)+3*G1515*H1515)*2</f>
        <v/>
      </c>
      <c r="Y1515" s="28">
        <f>Z1515/X1515</f>
        <v/>
      </c>
      <c r="Z1515" s="29" t="n">
        <v>755.516231147661</v>
      </c>
      <c r="AA1515" s="20" t="n">
        <v>53.1683632890655</v>
      </c>
      <c r="AB1515" t="n">
        <v>0.08975925631948413</v>
      </c>
      <c r="AC1515" t="n">
        <v>51.7100898045658</v>
      </c>
      <c r="AD1515" t="n">
        <v>31.77538016659083</v>
      </c>
    </row>
    <row r="1516">
      <c r="A1516" t="n">
        <v>1515</v>
      </c>
      <c r="B1516" t="n">
        <v>71.5</v>
      </c>
      <c r="C1516" s="21">
        <f>B1516-20</f>
        <v/>
      </c>
      <c r="D1516" t="n">
        <v>123.3</v>
      </c>
      <c r="E1516" s="22">
        <f>D1516-90</f>
        <v/>
      </c>
      <c r="F1516" s="23" t="n">
        <v>0.017099</v>
      </c>
      <c r="G1516" s="22" t="n">
        <v>30.1</v>
      </c>
      <c r="H1516" s="22" t="n">
        <v>1.8</v>
      </c>
      <c r="I1516" s="24" t="n">
        <v>0.0735504329204559</v>
      </c>
      <c r="J1516" s="6" t="n">
        <v>71000</v>
      </c>
      <c r="K1516" s="25">
        <f>23*10^-6</f>
        <v/>
      </c>
      <c r="L1516" s="8">
        <f>H1516</f>
        <v/>
      </c>
      <c r="M1516" s="26">
        <f>H1516^2/6</f>
        <v/>
      </c>
      <c r="N1516" s="26">
        <f>H1516^3/12</f>
        <v/>
      </c>
      <c r="O1516" s="27">
        <f>-J1516*L1516*K1516*C1516</f>
        <v/>
      </c>
      <c r="P1516" s="28">
        <f>-(12*F1516*J1516*L1516*N1516+12*O1516*N1516*G1516*COS(RADIANS(E1516)))/(12*N1516*G1516*COS(RADIANS(E1516))^2+L1516*G1516^3*SIN(RADIANS(E1516))^2)</f>
        <v/>
      </c>
      <c r="Q1516" s="28">
        <f>-(6*F1516*J1516*L1516*N1516*SIN(RADIANS(E1516))+6*O1516*N1516*G1516*SIN(RADIANS(E1516))*COS(RADIANS(E1516)))/(12*N1516*COS(RADIANS(E1516))^2+L1516*G1516^2*SIN(RADIANS(E1516))^2)</f>
        <v/>
      </c>
      <c r="R1516" s="28">
        <f>-P1516*SIN(RADIANS(E1516))</f>
        <v/>
      </c>
      <c r="S1516" s="8">
        <f>(O1516+P1516*COS(RADIANS(E1516)))/L1516</f>
        <v/>
      </c>
      <c r="T1516" s="8">
        <f>R1516/L1516</f>
        <v/>
      </c>
      <c r="U1516" s="8">
        <f>(Q1516-P1516*G1516*SIN(RADIANS(E1516)))/M1516</f>
        <v/>
      </c>
      <c r="V1516" s="8">
        <f>SQRT((S1516+U1516)^2+3*T1516^2)</f>
        <v/>
      </c>
      <c r="W1516" s="8">
        <f>V1516/AA1516</f>
        <v/>
      </c>
      <c r="X1516" s="27">
        <f>((3*10+H1516/COS(RADIANS(E1516)))*(3+3)+3*G1516*H1516)*2</f>
        <v/>
      </c>
      <c r="Y1516" s="28">
        <f>Z1516/X1516</f>
        <v/>
      </c>
      <c r="Z1516" s="29" t="n">
        <v>723.86671792607</v>
      </c>
      <c r="AA1516" s="20" t="n">
        <v>77.6401285650382</v>
      </c>
      <c r="AB1516" t="n">
        <v>0.09192641276549521</v>
      </c>
      <c r="AC1516" t="n">
        <v>76.18631947557751</v>
      </c>
      <c r="AD1516" t="n">
        <v>24.98418991620722</v>
      </c>
    </row>
    <row r="1517">
      <c r="A1517" t="n">
        <v>1516</v>
      </c>
      <c r="B1517" t="n">
        <v>65.40000000000001</v>
      </c>
      <c r="C1517" s="21">
        <f>B1517-20</f>
        <v/>
      </c>
      <c r="D1517" t="n">
        <v>125.7</v>
      </c>
      <c r="E1517" s="22">
        <f>D1517-90</f>
        <v/>
      </c>
      <c r="F1517" s="23" t="n">
        <v>0.01527</v>
      </c>
      <c r="G1517" s="22" t="n">
        <v>24.8</v>
      </c>
      <c r="H1517" s="22" t="n">
        <v>2</v>
      </c>
      <c r="I1517" s="24" t="n">
        <v>0.0937211737036705</v>
      </c>
      <c r="J1517" s="6" t="n">
        <v>71000</v>
      </c>
      <c r="K1517" s="25">
        <f>23*10^-6</f>
        <v/>
      </c>
      <c r="L1517" s="8">
        <f>H1517</f>
        <v/>
      </c>
      <c r="M1517" s="26">
        <f>H1517^2/6</f>
        <v/>
      </c>
      <c r="N1517" s="26">
        <f>H1517^3/12</f>
        <v/>
      </c>
      <c r="O1517" s="27">
        <f>-J1517*L1517*K1517*C1517</f>
        <v/>
      </c>
      <c r="P1517" s="28">
        <f>-(12*F1517*J1517*L1517*N1517+12*O1517*N1517*G1517*COS(RADIANS(E1517)))/(12*N1517*G1517*COS(RADIANS(E1517))^2+L1517*G1517^3*SIN(RADIANS(E1517))^2)</f>
        <v/>
      </c>
      <c r="Q1517" s="28">
        <f>-(6*F1517*J1517*L1517*N1517*SIN(RADIANS(E1517))+6*O1517*N1517*G1517*SIN(RADIANS(E1517))*COS(RADIANS(E1517)))/(12*N1517*COS(RADIANS(E1517))^2+L1517*G1517^2*SIN(RADIANS(E1517))^2)</f>
        <v/>
      </c>
      <c r="R1517" s="28">
        <f>-P1517*SIN(RADIANS(E1517))</f>
        <v/>
      </c>
      <c r="S1517" s="8">
        <f>(O1517+P1517*COS(RADIANS(E1517)))/L1517</f>
        <v/>
      </c>
      <c r="T1517" s="8">
        <f>R1517/L1517</f>
        <v/>
      </c>
      <c r="U1517" s="8">
        <f>(Q1517-P1517*G1517*SIN(RADIANS(E1517)))/M1517</f>
        <v/>
      </c>
      <c r="V1517" s="8">
        <f>SQRT((S1517+U1517)^2+3*T1517^2)</f>
        <v/>
      </c>
      <c r="W1517" s="8">
        <f>V1517/AA1517</f>
        <v/>
      </c>
      <c r="X1517" s="27">
        <f>((3*10+H1517/COS(RADIANS(E1517)))*(3+3)+3*G1517*H1517)*2</f>
        <v/>
      </c>
      <c r="Y1517" s="28">
        <f>Z1517/X1517</f>
        <v/>
      </c>
      <c r="Z1517" s="29" t="n">
        <v>687.67891307843</v>
      </c>
      <c r="AA1517" s="20" t="n">
        <v>80.4430418833151</v>
      </c>
      <c r="AB1517" t="n">
        <v>0.06229786879990602</v>
      </c>
      <c r="AC1517" t="n">
        <v>67.93977773768295</v>
      </c>
      <c r="AD1517" t="n">
        <v>-33.52850125748459</v>
      </c>
    </row>
    <row r="1518">
      <c r="A1518" t="n">
        <v>1517</v>
      </c>
      <c r="B1518" t="n">
        <v>75</v>
      </c>
      <c r="C1518" s="21">
        <f>B1518-20</f>
        <v/>
      </c>
      <c r="D1518" t="n">
        <v>128.3</v>
      </c>
      <c r="E1518" s="22">
        <f>D1518-90</f>
        <v/>
      </c>
      <c r="F1518" s="23" t="n">
        <v>0.020911</v>
      </c>
      <c r="G1518" s="22" t="n">
        <v>29.2</v>
      </c>
      <c r="H1518" s="22" t="n">
        <v>1.7</v>
      </c>
      <c r="I1518" s="24" t="n">
        <v>0.11990837752819</v>
      </c>
      <c r="J1518" s="6" t="n">
        <v>71000</v>
      </c>
      <c r="K1518" s="25">
        <f>23*10^-6</f>
        <v/>
      </c>
      <c r="L1518" s="8">
        <f>H1518</f>
        <v/>
      </c>
      <c r="M1518" s="26">
        <f>H1518^2/6</f>
        <v/>
      </c>
      <c r="N1518" s="26">
        <f>H1518^3/12</f>
        <v/>
      </c>
      <c r="O1518" s="27">
        <f>-J1518*L1518*K1518*C1518</f>
        <v/>
      </c>
      <c r="P1518" s="28">
        <f>-(12*F1518*J1518*L1518*N1518+12*O1518*N1518*G1518*COS(RADIANS(E1518)))/(12*N1518*G1518*COS(RADIANS(E1518))^2+L1518*G1518^3*SIN(RADIANS(E1518))^2)</f>
        <v/>
      </c>
      <c r="Q1518" s="28">
        <f>-(6*F1518*J1518*L1518*N1518*SIN(RADIANS(E1518))+6*O1518*N1518*G1518*SIN(RADIANS(E1518))*COS(RADIANS(E1518)))/(12*N1518*COS(RADIANS(E1518))^2+L1518*G1518^2*SIN(RADIANS(E1518))^2)</f>
        <v/>
      </c>
      <c r="R1518" s="28">
        <f>-P1518*SIN(RADIANS(E1518))</f>
        <v/>
      </c>
      <c r="S1518" s="8">
        <f>(O1518+P1518*COS(RADIANS(E1518)))/L1518</f>
        <v/>
      </c>
      <c r="T1518" s="8">
        <f>R1518/L1518</f>
        <v/>
      </c>
      <c r="U1518" s="8">
        <f>(Q1518-P1518*G1518*SIN(RADIANS(E1518)))/M1518</f>
        <v/>
      </c>
      <c r="V1518" s="8">
        <f>SQRT((S1518+U1518)^2+3*T1518^2)</f>
        <v/>
      </c>
      <c r="W1518" s="8">
        <f>V1518/AA1518</f>
        <v/>
      </c>
      <c r="X1518" s="27">
        <f>((3*10+H1518/COS(RADIANS(E1518)))*(3+3)+3*G1518*H1518)*2</f>
        <v/>
      </c>
      <c r="Y1518" s="28">
        <f>Z1518/X1518</f>
        <v/>
      </c>
      <c r="Z1518" s="29" t="n">
        <v>684.675485135865</v>
      </c>
      <c r="AA1518" s="20" t="n">
        <v>87.5682695284105</v>
      </c>
      <c r="AB1518" t="n">
        <v>0.08203161983066352</v>
      </c>
      <c r="AC1518" t="n">
        <v>79.80865071238232</v>
      </c>
      <c r="AD1518" t="n">
        <v>-31.58808289989729</v>
      </c>
    </row>
    <row r="1519">
      <c r="A1519" t="n">
        <v>1518</v>
      </c>
      <c r="B1519" t="n">
        <v>43.2</v>
      </c>
      <c r="C1519" s="21">
        <f>B1519-20</f>
        <v/>
      </c>
      <c r="D1519" t="n">
        <v>104.1</v>
      </c>
      <c r="E1519" s="22">
        <f>D1519-90</f>
        <v/>
      </c>
      <c r="F1519" s="23" t="n">
        <v>0.008088</v>
      </c>
      <c r="G1519" s="22" t="n">
        <v>28.8</v>
      </c>
      <c r="H1519" s="22" t="n">
        <v>1.8</v>
      </c>
      <c r="I1519" s="24" t="n">
        <v>0.037246249616146</v>
      </c>
      <c r="J1519" s="6" t="n">
        <v>71000</v>
      </c>
      <c r="K1519" s="25">
        <f>23*10^-6</f>
        <v/>
      </c>
      <c r="L1519" s="8">
        <f>H1519</f>
        <v/>
      </c>
      <c r="M1519" s="26">
        <f>H1519^2/6</f>
        <v/>
      </c>
      <c r="N1519" s="26">
        <f>H1519^3/12</f>
        <v/>
      </c>
      <c r="O1519" s="27">
        <f>-J1519*L1519*K1519*C1519</f>
        <v/>
      </c>
      <c r="P1519" s="28">
        <f>-(12*F1519*J1519*L1519*N1519+12*O1519*N1519*G1519*COS(RADIANS(E1519)))/(12*N1519*G1519*COS(RADIANS(E1519))^2+L1519*G1519^3*SIN(RADIANS(E1519))^2)</f>
        <v/>
      </c>
      <c r="Q1519" s="28">
        <f>-(6*F1519*J1519*L1519*N1519*SIN(RADIANS(E1519))+6*O1519*N1519*G1519*SIN(RADIANS(E1519))*COS(RADIANS(E1519)))/(12*N1519*COS(RADIANS(E1519))^2+L1519*G1519^2*SIN(RADIANS(E1519))^2)</f>
        <v/>
      </c>
      <c r="R1519" s="28">
        <f>-P1519*SIN(RADIANS(E1519))</f>
        <v/>
      </c>
      <c r="S1519" s="8">
        <f>(O1519+P1519*COS(RADIANS(E1519)))/L1519</f>
        <v/>
      </c>
      <c r="T1519" s="8">
        <f>R1519/L1519</f>
        <v/>
      </c>
      <c r="U1519" s="8">
        <f>(Q1519-P1519*G1519*SIN(RADIANS(E1519)))/M1519</f>
        <v/>
      </c>
      <c r="V1519" s="8">
        <f>SQRT((S1519+U1519)^2+3*T1519^2)</f>
        <v/>
      </c>
      <c r="W1519" s="8">
        <f>V1519/AA1519</f>
        <v/>
      </c>
      <c r="X1519" s="27">
        <f>((3*10+H1519/COS(RADIANS(E1519)))*(3+3)+3*G1519*H1519)*2</f>
        <v/>
      </c>
      <c r="Y1519" s="28">
        <f>Z1519/X1519</f>
        <v/>
      </c>
      <c r="Z1519" s="29" t="n">
        <v>703.89751481292</v>
      </c>
      <c r="AA1519" s="20" t="n">
        <v>36.4651214117484</v>
      </c>
      <c r="AB1519" t="n">
        <v>0.09291809503375198</v>
      </c>
      <c r="AC1519" t="n">
        <v>39.15401286792803</v>
      </c>
      <c r="AD1519" t="n">
        <v>149.4696673929625</v>
      </c>
    </row>
    <row r="1520">
      <c r="A1520" t="n">
        <v>1519</v>
      </c>
      <c r="B1520" t="n">
        <v>72.59999999999999</v>
      </c>
      <c r="C1520" s="21">
        <f>B1520-20</f>
        <v/>
      </c>
      <c r="D1520" t="n">
        <v>122.7</v>
      </c>
      <c r="E1520" s="22">
        <f>D1520-90</f>
        <v/>
      </c>
      <c r="F1520" s="23" t="n">
        <v>0.017717</v>
      </c>
      <c r="G1520" s="22" t="n">
        <v>27</v>
      </c>
      <c r="H1520" s="22" t="n">
        <v>1.8</v>
      </c>
      <c r="I1520" s="24" t="n">
        <v>0.0846842005848884</v>
      </c>
      <c r="J1520" s="6" t="n">
        <v>71000</v>
      </c>
      <c r="K1520" s="25">
        <f>23*10^-6</f>
        <v/>
      </c>
      <c r="L1520" s="8">
        <f>H1520</f>
        <v/>
      </c>
      <c r="M1520" s="26">
        <f>H1520^2/6</f>
        <v/>
      </c>
      <c r="N1520" s="26">
        <f>H1520^3/12</f>
        <v/>
      </c>
      <c r="O1520" s="27">
        <f>-J1520*L1520*K1520*C1520</f>
        <v/>
      </c>
      <c r="P1520" s="28">
        <f>-(12*F1520*J1520*L1520*N1520+12*O1520*N1520*G1520*COS(RADIANS(E1520)))/(12*N1520*G1520*COS(RADIANS(E1520))^2+L1520*G1520^3*SIN(RADIANS(E1520))^2)</f>
        <v/>
      </c>
      <c r="Q1520" s="28">
        <f>-(6*F1520*J1520*L1520*N1520*SIN(RADIANS(E1520))+6*O1520*N1520*G1520*SIN(RADIANS(E1520))*COS(RADIANS(E1520)))/(12*N1520*COS(RADIANS(E1520))^2+L1520*G1520^2*SIN(RADIANS(E1520))^2)</f>
        <v/>
      </c>
      <c r="R1520" s="28">
        <f>-P1520*SIN(RADIANS(E1520))</f>
        <v/>
      </c>
      <c r="S1520" s="8">
        <f>(O1520+P1520*COS(RADIANS(E1520)))/L1520</f>
        <v/>
      </c>
      <c r="T1520" s="8">
        <f>R1520/L1520</f>
        <v/>
      </c>
      <c r="U1520" s="8">
        <f>(Q1520-P1520*G1520*SIN(RADIANS(E1520)))/M1520</f>
        <v/>
      </c>
      <c r="V1520" s="8">
        <f>SQRT((S1520+U1520)^2+3*T1520^2)</f>
        <v/>
      </c>
      <c r="W1520" s="8">
        <f>V1520/AA1520</f>
        <v/>
      </c>
      <c r="X1520" s="27">
        <f>((3*10+H1520/COS(RADIANS(E1520)))*(3+3)+3*G1520*H1520)*2</f>
        <v/>
      </c>
      <c r="Y1520" s="28">
        <f>Z1520/X1520</f>
        <v/>
      </c>
      <c r="Z1520" s="29" t="n">
        <v>683.323053450343</v>
      </c>
      <c r="AA1520" s="20" t="n">
        <v>83.9352014784011</v>
      </c>
      <c r="AB1520" t="n">
        <v>0.0862401194248148</v>
      </c>
      <c r="AC1520" t="n">
        <v>78.49910923120252</v>
      </c>
      <c r="AD1520" t="n">
        <v>1.837318920389081</v>
      </c>
    </row>
    <row r="1521">
      <c r="A1521" t="n">
        <v>1520</v>
      </c>
      <c r="B1521" t="n">
        <v>45.5</v>
      </c>
      <c r="C1521" s="21">
        <f>B1521-20</f>
        <v/>
      </c>
      <c r="D1521" t="n">
        <v>100.4</v>
      </c>
      <c r="E1521" s="22">
        <f>D1521-90</f>
        <v/>
      </c>
      <c r="F1521" s="23" t="n">
        <v>0.010291</v>
      </c>
      <c r="G1521" s="22" t="n">
        <v>32.6</v>
      </c>
      <c r="H1521" s="22" t="n">
        <v>1.1</v>
      </c>
      <c r="I1521" s="24" t="n">
        <v>0.0511689223349094</v>
      </c>
      <c r="J1521" s="6" t="n">
        <v>71000</v>
      </c>
      <c r="K1521" s="25">
        <f>23*10^-6</f>
        <v/>
      </c>
      <c r="L1521" s="8">
        <f>H1521</f>
        <v/>
      </c>
      <c r="M1521" s="26">
        <f>H1521^2/6</f>
        <v/>
      </c>
      <c r="N1521" s="26">
        <f>H1521^3/12</f>
        <v/>
      </c>
      <c r="O1521" s="27">
        <f>-J1521*L1521*K1521*C1521</f>
        <v/>
      </c>
      <c r="P1521" s="28">
        <f>-(12*F1521*J1521*L1521*N1521+12*O1521*N1521*G1521*COS(RADIANS(E1521)))/(12*N1521*G1521*COS(RADIANS(E1521))^2+L1521*G1521^3*SIN(RADIANS(E1521))^2)</f>
        <v/>
      </c>
      <c r="Q1521" s="28">
        <f>-(6*F1521*J1521*L1521*N1521*SIN(RADIANS(E1521))+6*O1521*N1521*G1521*SIN(RADIANS(E1521))*COS(RADIANS(E1521)))/(12*N1521*COS(RADIANS(E1521))^2+L1521*G1521^2*SIN(RADIANS(E1521))^2)</f>
        <v/>
      </c>
      <c r="R1521" s="28">
        <f>-P1521*SIN(RADIANS(E1521))</f>
        <v/>
      </c>
      <c r="S1521" s="8">
        <f>(O1521+P1521*COS(RADIANS(E1521)))/L1521</f>
        <v/>
      </c>
      <c r="T1521" s="8">
        <f>R1521/L1521</f>
        <v/>
      </c>
      <c r="U1521" s="8">
        <f>(Q1521-P1521*G1521*SIN(RADIANS(E1521)))/M1521</f>
        <v/>
      </c>
      <c r="V1521" s="8">
        <f>SQRT((S1521+U1521)^2+3*T1521^2)</f>
        <v/>
      </c>
      <c r="W1521" s="8">
        <f>V1521/AA1521</f>
        <v/>
      </c>
      <c r="X1521" s="27">
        <f>((3*10+H1521/COS(RADIANS(E1521)))*(3+3)+3*G1521*H1521)*2</f>
        <v/>
      </c>
      <c r="Y1521" s="28">
        <f>Z1521/X1521</f>
        <v/>
      </c>
      <c r="Z1521" s="29" t="n">
        <v>595.842973261366</v>
      </c>
      <c r="AA1521" s="20" t="n">
        <v>35.15897612697</v>
      </c>
      <c r="AB1521" t="n">
        <v>0.1607059413780716</v>
      </c>
      <c r="AC1521" t="n">
        <v>41.30988905632367</v>
      </c>
      <c r="AD1521" t="n">
        <v>214.0694273884127</v>
      </c>
    </row>
    <row r="1522">
      <c r="A1522" t="n">
        <v>1521</v>
      </c>
      <c r="B1522" t="n">
        <v>45.8</v>
      </c>
      <c r="C1522" s="21">
        <f>B1522-20</f>
        <v/>
      </c>
      <c r="D1522" t="n">
        <v>101.4</v>
      </c>
      <c r="E1522" s="22">
        <f>D1522-90</f>
        <v/>
      </c>
      <c r="F1522" s="23" t="n">
        <v>0.007861</v>
      </c>
      <c r="G1522" s="22" t="n">
        <v>24.8</v>
      </c>
      <c r="H1522" s="22" t="n">
        <v>1.1</v>
      </c>
      <c r="I1522" s="24" t="n">
        <v>0.036190316081047</v>
      </c>
      <c r="J1522" s="6" t="n">
        <v>71000</v>
      </c>
      <c r="K1522" s="25">
        <f>23*10^-6</f>
        <v/>
      </c>
      <c r="L1522" s="8">
        <f>H1522</f>
        <v/>
      </c>
      <c r="M1522" s="26">
        <f>H1522^2/6</f>
        <v/>
      </c>
      <c r="N1522" s="26">
        <f>H1522^3/12</f>
        <v/>
      </c>
      <c r="O1522" s="27">
        <f>-J1522*L1522*K1522*C1522</f>
        <v/>
      </c>
      <c r="P1522" s="28">
        <f>-(12*F1522*J1522*L1522*N1522+12*O1522*N1522*G1522*COS(RADIANS(E1522)))/(12*N1522*G1522*COS(RADIANS(E1522))^2+L1522*G1522^3*SIN(RADIANS(E1522))^2)</f>
        <v/>
      </c>
      <c r="Q1522" s="28">
        <f>-(6*F1522*J1522*L1522*N1522*SIN(RADIANS(E1522))+6*O1522*N1522*G1522*SIN(RADIANS(E1522))*COS(RADIANS(E1522)))/(12*N1522*COS(RADIANS(E1522))^2+L1522*G1522^2*SIN(RADIANS(E1522))^2)</f>
        <v/>
      </c>
      <c r="R1522" s="28">
        <f>-P1522*SIN(RADIANS(E1522))</f>
        <v/>
      </c>
      <c r="S1522" s="8">
        <f>(O1522+P1522*COS(RADIANS(E1522)))/L1522</f>
        <v/>
      </c>
      <c r="T1522" s="8">
        <f>R1522/L1522</f>
        <v/>
      </c>
      <c r="U1522" s="8">
        <f>(Q1522-P1522*G1522*SIN(RADIANS(E1522)))/M1522</f>
        <v/>
      </c>
      <c r="V1522" s="8">
        <f>SQRT((S1522+U1522)^2+3*T1522^2)</f>
        <v/>
      </c>
      <c r="W1522" s="8">
        <f>V1522/AA1522</f>
        <v/>
      </c>
      <c r="X1522" s="27">
        <f>((3*10+H1522/COS(RADIANS(E1522)))*(3+3)+3*G1522*H1522)*2</f>
        <v/>
      </c>
      <c r="Y1522" s="28">
        <f>Z1522/X1522</f>
        <v/>
      </c>
      <c r="Z1522" s="29" t="n">
        <v>547.621492942981</v>
      </c>
      <c r="AA1522" s="20" t="n">
        <v>35.4429368063053</v>
      </c>
      <c r="AB1522" t="n">
        <v>0.113106982837785</v>
      </c>
      <c r="AC1522" t="n">
        <v>42.37487111352714</v>
      </c>
      <c r="AD1522" t="n">
        <v>212.5338352516338</v>
      </c>
    </row>
    <row r="1523">
      <c r="A1523" t="n">
        <v>1522</v>
      </c>
      <c r="B1523" t="n">
        <v>68.90000000000001</v>
      </c>
      <c r="C1523" s="21">
        <f>B1523-20</f>
        <v/>
      </c>
      <c r="D1523" t="n">
        <v>105.7</v>
      </c>
      <c r="E1523" s="22">
        <f>D1523-90</f>
        <v/>
      </c>
      <c r="F1523" s="23" t="n">
        <v>0.013757</v>
      </c>
      <c r="G1523" s="22" t="n">
        <v>23</v>
      </c>
      <c r="H1523" s="22" t="n">
        <v>1.4</v>
      </c>
      <c r="I1523" s="24" t="n">
        <v>0.0628218650817871</v>
      </c>
      <c r="J1523" s="6" t="n">
        <v>71000</v>
      </c>
      <c r="K1523" s="25">
        <f>23*10^-6</f>
        <v/>
      </c>
      <c r="L1523" s="8">
        <f>H1523</f>
        <v/>
      </c>
      <c r="M1523" s="26">
        <f>H1523^2/6</f>
        <v/>
      </c>
      <c r="N1523" s="26">
        <f>H1523^3/12</f>
        <v/>
      </c>
      <c r="O1523" s="27">
        <f>-J1523*L1523*K1523*C1523</f>
        <v/>
      </c>
      <c r="P1523" s="28">
        <f>-(12*F1523*J1523*L1523*N1523+12*O1523*N1523*G1523*COS(RADIANS(E1523)))/(12*N1523*G1523*COS(RADIANS(E1523))^2+L1523*G1523^3*SIN(RADIANS(E1523))^2)</f>
        <v/>
      </c>
      <c r="Q1523" s="28">
        <f>-(6*F1523*J1523*L1523*N1523*SIN(RADIANS(E1523))+6*O1523*N1523*G1523*SIN(RADIANS(E1523))*COS(RADIANS(E1523)))/(12*N1523*COS(RADIANS(E1523))^2+L1523*G1523^2*SIN(RADIANS(E1523))^2)</f>
        <v/>
      </c>
      <c r="R1523" s="28">
        <f>-P1523*SIN(RADIANS(E1523))</f>
        <v/>
      </c>
      <c r="S1523" s="8">
        <f>(O1523+P1523*COS(RADIANS(E1523)))/L1523</f>
        <v/>
      </c>
      <c r="T1523" s="8">
        <f>R1523/L1523</f>
        <v/>
      </c>
      <c r="U1523" s="8">
        <f>(Q1523-P1523*G1523*SIN(RADIANS(E1523)))/M1523</f>
        <v/>
      </c>
      <c r="V1523" s="8">
        <f>SQRT((S1523+U1523)^2+3*T1523^2)</f>
        <v/>
      </c>
      <c r="W1523" s="8">
        <f>V1523/AA1523</f>
        <v/>
      </c>
      <c r="X1523" s="27">
        <f>((3*10+H1523/COS(RADIANS(E1523)))*(3+3)+3*G1523*H1523)*2</f>
        <v/>
      </c>
      <c r="Y1523" s="28">
        <f>Z1523/X1523</f>
        <v/>
      </c>
      <c r="Z1523" s="29" t="n">
        <v>582.874766718101</v>
      </c>
      <c r="AA1523" s="20" t="n">
        <v>72.3937957000299</v>
      </c>
      <c r="AB1523" t="n">
        <v>0.1444274085673431</v>
      </c>
      <c r="AC1523" t="n">
        <v>79.67327103156977</v>
      </c>
      <c r="AD1523" t="n">
        <v>129.8999056766535</v>
      </c>
    </row>
    <row r="1524">
      <c r="A1524" t="n">
        <v>1523</v>
      </c>
      <c r="B1524" t="n">
        <v>76.90000000000001</v>
      </c>
      <c r="C1524" s="21">
        <f>B1524-20</f>
        <v/>
      </c>
      <c r="D1524" t="n">
        <v>127.2</v>
      </c>
      <c r="E1524" s="22">
        <f>D1524-90</f>
        <v/>
      </c>
      <c r="F1524" s="23" t="n">
        <v>0.014582</v>
      </c>
      <c r="G1524" s="22" t="n">
        <v>21</v>
      </c>
      <c r="H1524" s="22" t="n">
        <v>1</v>
      </c>
      <c r="I1524" s="24" t="n">
        <v>0.0663383677601814</v>
      </c>
      <c r="J1524" s="6" t="n">
        <v>71000</v>
      </c>
      <c r="K1524" s="25">
        <f>23*10^-6</f>
        <v/>
      </c>
      <c r="L1524" s="8">
        <f>H1524</f>
        <v/>
      </c>
      <c r="M1524" s="26">
        <f>H1524^2/6</f>
        <v/>
      </c>
      <c r="N1524" s="26">
        <f>H1524^3/12</f>
        <v/>
      </c>
      <c r="O1524" s="27">
        <f>-J1524*L1524*K1524*C1524</f>
        <v/>
      </c>
      <c r="P1524" s="28">
        <f>-(12*F1524*J1524*L1524*N1524+12*O1524*N1524*G1524*COS(RADIANS(E1524)))/(12*N1524*G1524*COS(RADIANS(E1524))^2+L1524*G1524^3*SIN(RADIANS(E1524))^2)</f>
        <v/>
      </c>
      <c r="Q1524" s="28">
        <f>-(6*F1524*J1524*L1524*N1524*SIN(RADIANS(E1524))+6*O1524*N1524*G1524*SIN(RADIANS(E1524))*COS(RADIANS(E1524)))/(12*N1524*COS(RADIANS(E1524))^2+L1524*G1524^2*SIN(RADIANS(E1524))^2)</f>
        <v/>
      </c>
      <c r="R1524" s="28">
        <f>-P1524*SIN(RADIANS(E1524))</f>
        <v/>
      </c>
      <c r="S1524" s="8">
        <f>(O1524+P1524*COS(RADIANS(E1524)))/L1524</f>
        <v/>
      </c>
      <c r="T1524" s="8">
        <f>R1524/L1524</f>
        <v/>
      </c>
      <c r="U1524" s="8">
        <f>(Q1524-P1524*G1524*SIN(RADIANS(E1524)))/M1524</f>
        <v/>
      </c>
      <c r="V1524" s="8">
        <f>SQRT((S1524+U1524)^2+3*T1524^2)</f>
        <v/>
      </c>
      <c r="W1524" s="8">
        <f>V1524/AA1524</f>
        <v/>
      </c>
      <c r="X1524" s="27">
        <f>((3*10+H1524/COS(RADIANS(E1524)))*(3+3)+3*G1524*H1524)*2</f>
        <v/>
      </c>
      <c r="Y1524" s="28">
        <f>Z1524/X1524</f>
        <v/>
      </c>
      <c r="Z1524" s="29" t="n">
        <v>511.306570202584</v>
      </c>
      <c r="AA1524" s="20" t="n">
        <v>76.2834141625233</v>
      </c>
      <c r="AB1524" t="n">
        <v>0.06457996069824425</v>
      </c>
      <c r="AC1524" t="n">
        <v>81.00445868674049</v>
      </c>
      <c r="AD1524" t="n">
        <v>-2.650663743030184</v>
      </c>
    </row>
    <row r="1525">
      <c r="A1525" t="n">
        <v>1524</v>
      </c>
      <c r="B1525" t="n">
        <v>43.6</v>
      </c>
      <c r="C1525" s="21">
        <f>B1525-20</f>
        <v/>
      </c>
      <c r="D1525" t="n">
        <v>120.2</v>
      </c>
      <c r="E1525" s="22">
        <f>D1525-90</f>
        <v/>
      </c>
      <c r="F1525" s="23" t="n">
        <v>0.008607</v>
      </c>
      <c r="G1525" s="22" t="n">
        <v>26.8</v>
      </c>
      <c r="H1525" s="22" t="n">
        <v>1.8</v>
      </c>
      <c r="I1525" s="24" t="n">
        <v>0.0632081106305122</v>
      </c>
      <c r="J1525" s="6" t="n">
        <v>71000</v>
      </c>
      <c r="K1525" s="25">
        <f>23*10^-6</f>
        <v/>
      </c>
      <c r="L1525" s="8">
        <f>H1525</f>
        <v/>
      </c>
      <c r="M1525" s="26">
        <f>H1525^2/6</f>
        <v/>
      </c>
      <c r="N1525" s="26">
        <f>H1525^3/12</f>
        <v/>
      </c>
      <c r="O1525" s="27">
        <f>-J1525*L1525*K1525*C1525</f>
        <v/>
      </c>
      <c r="P1525" s="28">
        <f>-(12*F1525*J1525*L1525*N1525+12*O1525*N1525*G1525*COS(RADIANS(E1525)))/(12*N1525*G1525*COS(RADIANS(E1525))^2+L1525*G1525^3*SIN(RADIANS(E1525))^2)</f>
        <v/>
      </c>
      <c r="Q1525" s="28">
        <f>-(6*F1525*J1525*L1525*N1525*SIN(RADIANS(E1525))+6*O1525*N1525*G1525*SIN(RADIANS(E1525))*COS(RADIANS(E1525)))/(12*N1525*COS(RADIANS(E1525))^2+L1525*G1525^2*SIN(RADIANS(E1525))^2)</f>
        <v/>
      </c>
      <c r="R1525" s="28">
        <f>-P1525*SIN(RADIANS(E1525))</f>
        <v/>
      </c>
      <c r="S1525" s="8">
        <f>(O1525+P1525*COS(RADIANS(E1525)))/L1525</f>
        <v/>
      </c>
      <c r="T1525" s="8">
        <f>R1525/L1525</f>
        <v/>
      </c>
      <c r="U1525" s="8">
        <f>(Q1525-P1525*G1525*SIN(RADIANS(E1525)))/M1525</f>
        <v/>
      </c>
      <c r="V1525" s="8">
        <f>SQRT((S1525+U1525)^2+3*T1525^2)</f>
        <v/>
      </c>
      <c r="W1525" s="8">
        <f>V1525/AA1525</f>
        <v/>
      </c>
      <c r="X1525" s="27">
        <f>((3*10+H1525/COS(RADIANS(E1525)))*(3+3)+3*G1525*H1525)*2</f>
        <v/>
      </c>
      <c r="Y1525" s="28">
        <f>Z1525/X1525</f>
        <v/>
      </c>
      <c r="Z1525" s="29" t="n">
        <v>675.89014216399</v>
      </c>
      <c r="AA1525" s="20" t="n">
        <v>41.0081698824499</v>
      </c>
      <c r="AB1525" t="n">
        <v>0.04178277407820057</v>
      </c>
      <c r="AC1525" t="n">
        <v>35.61277874733317</v>
      </c>
      <c r="AD1525" t="n">
        <v>-33.8964989438698</v>
      </c>
    </row>
    <row r="1526">
      <c r="A1526" t="n">
        <v>1525</v>
      </c>
      <c r="B1526" t="n">
        <v>87.59999999999999</v>
      </c>
      <c r="C1526" s="21">
        <f>B1526-20</f>
        <v/>
      </c>
      <c r="D1526" t="n">
        <v>128.1</v>
      </c>
      <c r="E1526" s="22">
        <f>D1526-90</f>
        <v/>
      </c>
      <c r="F1526" s="23" t="n">
        <v>0.026089</v>
      </c>
      <c r="G1526" s="22" t="n">
        <v>33.1</v>
      </c>
      <c r="H1526" s="22" t="n">
        <v>1.6</v>
      </c>
      <c r="I1526" s="24" t="n">
        <v>0.116001024842262</v>
      </c>
      <c r="J1526" s="6" t="n">
        <v>71000</v>
      </c>
      <c r="K1526" s="25">
        <f>23*10^-6</f>
        <v/>
      </c>
      <c r="L1526" s="8">
        <f>H1526</f>
        <v/>
      </c>
      <c r="M1526" s="26">
        <f>H1526^2/6</f>
        <v/>
      </c>
      <c r="N1526" s="26">
        <f>H1526^3/12</f>
        <v/>
      </c>
      <c r="O1526" s="27">
        <f>-J1526*L1526*K1526*C1526</f>
        <v/>
      </c>
      <c r="P1526" s="28">
        <f>-(12*F1526*J1526*L1526*N1526+12*O1526*N1526*G1526*COS(RADIANS(E1526)))/(12*N1526*G1526*COS(RADIANS(E1526))^2+L1526*G1526^3*SIN(RADIANS(E1526))^2)</f>
        <v/>
      </c>
      <c r="Q1526" s="28">
        <f>-(6*F1526*J1526*L1526*N1526*SIN(RADIANS(E1526))+6*O1526*N1526*G1526*SIN(RADIANS(E1526))*COS(RADIANS(E1526)))/(12*N1526*COS(RADIANS(E1526))^2+L1526*G1526^2*SIN(RADIANS(E1526))^2)</f>
        <v/>
      </c>
      <c r="R1526" s="28">
        <f>-P1526*SIN(RADIANS(E1526))</f>
        <v/>
      </c>
      <c r="S1526" s="8">
        <f>(O1526+P1526*COS(RADIANS(E1526)))/L1526</f>
        <v/>
      </c>
      <c r="T1526" s="8">
        <f>R1526/L1526</f>
        <v/>
      </c>
      <c r="U1526" s="8">
        <f>(Q1526-P1526*G1526*SIN(RADIANS(E1526)))/M1526</f>
        <v/>
      </c>
      <c r="V1526" s="8">
        <f>SQRT((S1526+U1526)^2+3*T1526^2)</f>
        <v/>
      </c>
      <c r="W1526" s="8">
        <f>V1526/AA1526</f>
        <v/>
      </c>
      <c r="X1526" s="27">
        <f>((3*10+H1526/COS(RADIANS(E1526)))*(3+3)+3*G1526*H1526)*2</f>
        <v/>
      </c>
      <c r="Y1526" s="28">
        <f>Z1526/X1526</f>
        <v/>
      </c>
      <c r="Z1526" s="29" t="n">
        <v>708.529870021961</v>
      </c>
      <c r="AA1526" s="20" t="n">
        <v>100.717658703196</v>
      </c>
      <c r="AB1526" t="n">
        <v>0.1143940619712772</v>
      </c>
      <c r="AC1526" t="n">
        <v>97.18804026176959</v>
      </c>
      <c r="AD1526" t="n">
        <v>-1.385300580895672</v>
      </c>
    </row>
    <row r="1527">
      <c r="A1527" t="n">
        <v>1526</v>
      </c>
      <c r="B1527" t="n">
        <v>78.5</v>
      </c>
      <c r="C1527" s="21">
        <f>B1527-20</f>
        <v/>
      </c>
      <c r="D1527" t="n">
        <v>111.5</v>
      </c>
      <c r="E1527" s="22">
        <f>D1527-90</f>
        <v/>
      </c>
      <c r="F1527" s="23" t="n">
        <v>0.019744</v>
      </c>
      <c r="G1527" s="22" t="n">
        <v>24</v>
      </c>
      <c r="H1527" s="22" t="n">
        <v>1.8</v>
      </c>
      <c r="I1527" s="24" t="n">
        <v>0.174008205533027</v>
      </c>
      <c r="J1527" s="6" t="n">
        <v>71000</v>
      </c>
      <c r="K1527" s="25">
        <f>23*10^-6</f>
        <v/>
      </c>
      <c r="L1527" s="8">
        <f>H1527</f>
        <v/>
      </c>
      <c r="M1527" s="26">
        <f>H1527^2/6</f>
        <v/>
      </c>
      <c r="N1527" s="26">
        <f>H1527^3/12</f>
        <v/>
      </c>
      <c r="O1527" s="27">
        <f>-J1527*L1527*K1527*C1527</f>
        <v/>
      </c>
      <c r="P1527" s="28">
        <f>-(12*F1527*J1527*L1527*N1527+12*O1527*N1527*G1527*COS(RADIANS(E1527)))/(12*N1527*G1527*COS(RADIANS(E1527))^2+L1527*G1527^3*SIN(RADIANS(E1527))^2)</f>
        <v/>
      </c>
      <c r="Q1527" s="28">
        <f>-(6*F1527*J1527*L1527*N1527*SIN(RADIANS(E1527))+6*O1527*N1527*G1527*SIN(RADIANS(E1527))*COS(RADIANS(E1527)))/(12*N1527*COS(RADIANS(E1527))^2+L1527*G1527^2*SIN(RADIANS(E1527))^2)</f>
        <v/>
      </c>
      <c r="R1527" s="28">
        <f>-P1527*SIN(RADIANS(E1527))</f>
        <v/>
      </c>
      <c r="S1527" s="8">
        <f>(O1527+P1527*COS(RADIANS(E1527)))/L1527</f>
        <v/>
      </c>
      <c r="T1527" s="8">
        <f>R1527/L1527</f>
        <v/>
      </c>
      <c r="U1527" s="8">
        <f>(Q1527-P1527*G1527*SIN(RADIANS(E1527)))/M1527</f>
        <v/>
      </c>
      <c r="V1527" s="8">
        <f>SQRT((S1527+U1527)^2+3*T1527^2)</f>
        <v/>
      </c>
      <c r="W1527" s="8">
        <f>V1527/AA1527</f>
        <v/>
      </c>
      <c r="X1527" s="27">
        <f>((3*10+H1527/COS(RADIANS(E1527)))*(3+3)+3*G1527*H1527)*2</f>
        <v/>
      </c>
      <c r="Y1527" s="28">
        <f>Z1527/X1527</f>
        <v/>
      </c>
      <c r="Z1527" s="29" t="n">
        <v>644.9952831679429</v>
      </c>
      <c r="AA1527" s="20" t="n">
        <v>130.767720739311</v>
      </c>
      <c r="AB1527" t="n">
        <v>0.1310516314650869</v>
      </c>
      <c r="AC1527" t="n">
        <v>93.63027796809595</v>
      </c>
      <c r="AD1527" t="n">
        <v>-24.68652207311387</v>
      </c>
    </row>
    <row r="1528">
      <c r="A1528" t="n">
        <v>1527</v>
      </c>
      <c r="B1528" t="n">
        <v>71.2</v>
      </c>
      <c r="C1528" s="21">
        <f>B1528-20</f>
        <v/>
      </c>
      <c r="D1528" t="n">
        <v>107.2</v>
      </c>
      <c r="E1528" s="22">
        <f>D1528-90</f>
        <v/>
      </c>
      <c r="F1528" s="23" t="n">
        <v>0.01712</v>
      </c>
      <c r="G1528" s="22" t="n">
        <v>23.8</v>
      </c>
      <c r="H1528" s="22" t="n">
        <v>1.8</v>
      </c>
      <c r="I1528" s="24" t="n">
        <v>0.143028154969215</v>
      </c>
      <c r="J1528" s="6" t="n">
        <v>71000</v>
      </c>
      <c r="K1528" s="25">
        <f>23*10^-6</f>
        <v/>
      </c>
      <c r="L1528" s="8">
        <f>H1528</f>
        <v/>
      </c>
      <c r="M1528" s="26">
        <f>H1528^2/6</f>
        <v/>
      </c>
      <c r="N1528" s="26">
        <f>H1528^3/12</f>
        <v/>
      </c>
      <c r="O1528" s="27">
        <f>-J1528*L1528*K1528*C1528</f>
        <v/>
      </c>
      <c r="P1528" s="28">
        <f>-(12*F1528*J1528*L1528*N1528+12*O1528*N1528*G1528*COS(RADIANS(E1528)))/(12*N1528*G1528*COS(RADIANS(E1528))^2+L1528*G1528^3*SIN(RADIANS(E1528))^2)</f>
        <v/>
      </c>
      <c r="Q1528" s="28">
        <f>-(6*F1528*J1528*L1528*N1528*SIN(RADIANS(E1528))+6*O1528*N1528*G1528*SIN(RADIANS(E1528))*COS(RADIANS(E1528)))/(12*N1528*COS(RADIANS(E1528))^2+L1528*G1528^2*SIN(RADIANS(E1528))^2)</f>
        <v/>
      </c>
      <c r="R1528" s="28">
        <f>-P1528*SIN(RADIANS(E1528))</f>
        <v/>
      </c>
      <c r="S1528" s="8">
        <f>(O1528+P1528*COS(RADIANS(E1528)))/L1528</f>
        <v/>
      </c>
      <c r="T1528" s="8">
        <f>R1528/L1528</f>
        <v/>
      </c>
      <c r="U1528" s="8">
        <f>(Q1528-P1528*G1528*SIN(RADIANS(E1528)))/M1528</f>
        <v/>
      </c>
      <c r="V1528" s="8">
        <f>SQRT((S1528+U1528)^2+3*T1528^2)</f>
        <v/>
      </c>
      <c r="W1528" s="8">
        <f>V1528/AA1528</f>
        <v/>
      </c>
      <c r="X1528" s="27">
        <f>((3*10+H1528/COS(RADIANS(E1528)))*(3+3)+3*G1528*H1528)*2</f>
        <v/>
      </c>
      <c r="Y1528" s="28">
        <f>Z1528/X1528</f>
        <v/>
      </c>
      <c r="Z1528" s="29" t="n">
        <v>642.991369762529</v>
      </c>
      <c r="AA1528" s="20" t="n">
        <v>105.745089204438</v>
      </c>
      <c r="AB1528" t="n">
        <v>0.1402782137089223</v>
      </c>
      <c r="AC1528" t="n">
        <v>85.09195763119372</v>
      </c>
      <c r="AD1528" t="n">
        <v>-1.922657298407175</v>
      </c>
    </row>
    <row r="1529">
      <c r="A1529" t="n">
        <v>1528</v>
      </c>
      <c r="B1529" t="n">
        <v>51.5</v>
      </c>
      <c r="C1529" s="21">
        <f>B1529-20</f>
        <v/>
      </c>
      <c r="D1529" t="n">
        <v>115.1</v>
      </c>
      <c r="E1529" s="22">
        <f>D1529-90</f>
        <v/>
      </c>
      <c r="F1529" s="23" t="n">
        <v>0.010451</v>
      </c>
      <c r="G1529" s="22" t="n">
        <v>24</v>
      </c>
      <c r="H1529" s="22" t="n">
        <v>1.4</v>
      </c>
      <c r="I1529" s="24" t="n">
        <v>0.0731855854392051</v>
      </c>
      <c r="J1529" s="6" t="n">
        <v>71000</v>
      </c>
      <c r="K1529" s="25">
        <f>23*10^-6</f>
        <v/>
      </c>
      <c r="L1529" s="8">
        <f>H1529</f>
        <v/>
      </c>
      <c r="M1529" s="26">
        <f>H1529^2/6</f>
        <v/>
      </c>
      <c r="N1529" s="26">
        <f>H1529^3/12</f>
        <v/>
      </c>
      <c r="O1529" s="27">
        <f>-J1529*L1529*K1529*C1529</f>
        <v/>
      </c>
      <c r="P1529" s="28">
        <f>-(12*F1529*J1529*L1529*N1529+12*O1529*N1529*G1529*COS(RADIANS(E1529)))/(12*N1529*G1529*COS(RADIANS(E1529))^2+L1529*G1529^3*SIN(RADIANS(E1529))^2)</f>
        <v/>
      </c>
      <c r="Q1529" s="28">
        <f>-(6*F1529*J1529*L1529*N1529*SIN(RADIANS(E1529))+6*O1529*N1529*G1529*SIN(RADIANS(E1529))*COS(RADIANS(E1529)))/(12*N1529*COS(RADIANS(E1529))^2+L1529*G1529^2*SIN(RADIANS(E1529))^2)</f>
        <v/>
      </c>
      <c r="R1529" s="28">
        <f>-P1529*SIN(RADIANS(E1529))</f>
        <v/>
      </c>
      <c r="S1529" s="8">
        <f>(O1529+P1529*COS(RADIANS(E1529)))/L1529</f>
        <v/>
      </c>
      <c r="T1529" s="8">
        <f>R1529/L1529</f>
        <v/>
      </c>
      <c r="U1529" s="8">
        <f>(Q1529-P1529*G1529*SIN(RADIANS(E1529)))/M1529</f>
        <v/>
      </c>
      <c r="V1529" s="8">
        <f>SQRT((S1529+U1529)^2+3*T1529^2)</f>
        <v/>
      </c>
      <c r="W1529" s="8">
        <f>V1529/AA1529</f>
        <v/>
      </c>
      <c r="X1529" s="27">
        <f>((3*10+H1529/COS(RADIANS(E1529)))*(3+3)+3*G1529*H1529)*2</f>
        <v/>
      </c>
      <c r="Y1529" s="28">
        <f>Z1529/X1529</f>
        <v/>
      </c>
      <c r="Z1529" s="29" t="n">
        <v>583.41479672342</v>
      </c>
      <c r="AA1529" s="20" t="n">
        <v>49.536710092642</v>
      </c>
      <c r="AB1529" t="n">
        <v>0.06122883325156563</v>
      </c>
      <c r="AC1529" t="n">
        <v>47.79137198602611</v>
      </c>
      <c r="AD1529" t="n">
        <v>-16.33757811170601</v>
      </c>
    </row>
    <row r="1530">
      <c r="A1530" t="n">
        <v>1529</v>
      </c>
      <c r="B1530" t="n">
        <v>60.1</v>
      </c>
      <c r="C1530" s="21">
        <f>B1530-20</f>
        <v/>
      </c>
      <c r="D1530" t="n">
        <v>106.9</v>
      </c>
      <c r="E1530" s="22">
        <f>D1530-90</f>
        <v/>
      </c>
      <c r="F1530" s="23" t="n">
        <v>0.014905</v>
      </c>
      <c r="G1530" s="22" t="n">
        <v>33.4</v>
      </c>
      <c r="H1530" s="22" t="n">
        <v>1.1</v>
      </c>
      <c r="I1530" s="24" t="n">
        <v>0.06366754323244091</v>
      </c>
      <c r="J1530" s="6" t="n">
        <v>71000</v>
      </c>
      <c r="K1530" s="25">
        <f>23*10^-6</f>
        <v/>
      </c>
      <c r="L1530" s="8">
        <f>H1530</f>
        <v/>
      </c>
      <c r="M1530" s="26">
        <f>H1530^2/6</f>
        <v/>
      </c>
      <c r="N1530" s="26">
        <f>H1530^3/12</f>
        <v/>
      </c>
      <c r="O1530" s="27">
        <f>-J1530*L1530*K1530*C1530</f>
        <v/>
      </c>
      <c r="P1530" s="28">
        <f>-(12*F1530*J1530*L1530*N1530+12*O1530*N1530*G1530*COS(RADIANS(E1530)))/(12*N1530*G1530*COS(RADIANS(E1530))^2+L1530*G1530^3*SIN(RADIANS(E1530))^2)</f>
        <v/>
      </c>
      <c r="Q1530" s="28">
        <f>-(6*F1530*J1530*L1530*N1530*SIN(RADIANS(E1530))+6*O1530*N1530*G1530*SIN(RADIANS(E1530))*COS(RADIANS(E1530)))/(12*N1530*COS(RADIANS(E1530))^2+L1530*G1530^2*SIN(RADIANS(E1530))^2)</f>
        <v/>
      </c>
      <c r="R1530" s="28">
        <f>-P1530*SIN(RADIANS(E1530))</f>
        <v/>
      </c>
      <c r="S1530" s="8">
        <f>(O1530+P1530*COS(RADIANS(E1530)))/L1530</f>
        <v/>
      </c>
      <c r="T1530" s="8">
        <f>R1530/L1530</f>
        <v/>
      </c>
      <c r="U1530" s="8">
        <f>(Q1530-P1530*G1530*SIN(RADIANS(E1530)))/M1530</f>
        <v/>
      </c>
      <c r="V1530" s="8">
        <f>SQRT((S1530+U1530)^2+3*T1530^2)</f>
        <v/>
      </c>
      <c r="W1530" s="8">
        <f>V1530/AA1530</f>
        <v/>
      </c>
      <c r="X1530" s="27">
        <f>((3*10+H1530/COS(RADIANS(E1530)))*(3+3)+3*G1530*H1530)*2</f>
        <v/>
      </c>
      <c r="Y1530" s="28">
        <f>Z1530/X1530</f>
        <v/>
      </c>
      <c r="Z1530" s="29" t="n">
        <v>606.576206599911</v>
      </c>
      <c r="AA1530" s="20" t="n">
        <v>52.4139786870756</v>
      </c>
      <c r="AB1530" t="n">
        <v>0.1611236397503837</v>
      </c>
      <c r="AC1530" t="n">
        <v>60.72203153414602</v>
      </c>
      <c r="AD1530" t="n">
        <v>153.0702954284647</v>
      </c>
    </row>
    <row r="1531">
      <c r="A1531" t="n">
        <v>1530</v>
      </c>
      <c r="B1531" t="n">
        <v>65.09999999999999</v>
      </c>
      <c r="C1531" s="21">
        <f>B1531-20</f>
        <v/>
      </c>
      <c r="D1531" t="n">
        <v>104.5</v>
      </c>
      <c r="E1531" s="22">
        <f>D1531-90</f>
        <v/>
      </c>
      <c r="F1531" s="23" t="n">
        <v>0.014816</v>
      </c>
      <c r="G1531" s="22" t="n">
        <v>26.4</v>
      </c>
      <c r="H1531" s="22" t="n">
        <v>1</v>
      </c>
      <c r="I1531" s="24" t="n">
        <v>0.070082277059555</v>
      </c>
      <c r="J1531" s="6" t="n">
        <v>71000</v>
      </c>
      <c r="K1531" s="25">
        <f>23*10^-6</f>
        <v/>
      </c>
      <c r="L1531" s="8">
        <f>H1531</f>
        <v/>
      </c>
      <c r="M1531" s="26">
        <f>H1531^2/6</f>
        <v/>
      </c>
      <c r="N1531" s="26">
        <f>H1531^3/12</f>
        <v/>
      </c>
      <c r="O1531" s="27">
        <f>-J1531*L1531*K1531*C1531</f>
        <v/>
      </c>
      <c r="P1531" s="28">
        <f>-(12*F1531*J1531*L1531*N1531+12*O1531*N1531*G1531*COS(RADIANS(E1531)))/(12*N1531*G1531*COS(RADIANS(E1531))^2+L1531*G1531^3*SIN(RADIANS(E1531))^2)</f>
        <v/>
      </c>
      <c r="Q1531" s="28">
        <f>-(6*F1531*J1531*L1531*N1531*SIN(RADIANS(E1531))+6*O1531*N1531*G1531*SIN(RADIANS(E1531))*COS(RADIANS(E1531)))/(12*N1531*COS(RADIANS(E1531))^2+L1531*G1531^2*SIN(RADIANS(E1531))^2)</f>
        <v/>
      </c>
      <c r="R1531" s="28">
        <f>-P1531*SIN(RADIANS(E1531))</f>
        <v/>
      </c>
      <c r="S1531" s="8">
        <f>(O1531+P1531*COS(RADIANS(E1531)))/L1531</f>
        <v/>
      </c>
      <c r="T1531" s="8">
        <f>R1531/L1531</f>
        <v/>
      </c>
      <c r="U1531" s="8">
        <f>(Q1531-P1531*G1531*SIN(RADIANS(E1531)))/M1531</f>
        <v/>
      </c>
      <c r="V1531" s="8">
        <f>SQRT((S1531+U1531)^2+3*T1531^2)</f>
        <v/>
      </c>
      <c r="W1531" s="8">
        <f>V1531/AA1531</f>
        <v/>
      </c>
      <c r="X1531" s="27">
        <f>((3*10+H1531/COS(RADIANS(E1531)))*(3+3)+3*G1531*H1531)*2</f>
        <v/>
      </c>
      <c r="Y1531" s="28">
        <f>Z1531/X1531</f>
        <v/>
      </c>
      <c r="Z1531" s="29" t="n">
        <v>539.487047856966</v>
      </c>
      <c r="AA1531" s="20" t="n">
        <v>60.9035994639451</v>
      </c>
      <c r="AB1531" t="n">
        <v>0.1684102972745693</v>
      </c>
      <c r="AC1531" t="n">
        <v>70.19163405402691</v>
      </c>
      <c r="AD1531" t="n">
        <v>140.3036892358056</v>
      </c>
    </row>
    <row r="1532">
      <c r="A1532" t="n">
        <v>1531</v>
      </c>
      <c r="B1532" t="n">
        <v>73.40000000000001</v>
      </c>
      <c r="C1532" s="21">
        <f>B1532-20</f>
        <v/>
      </c>
      <c r="D1532" t="n">
        <v>115.8</v>
      </c>
      <c r="E1532" s="22">
        <f>D1532-90</f>
        <v/>
      </c>
      <c r="F1532" s="23" t="n">
        <v>0.017497</v>
      </c>
      <c r="G1532" s="22" t="n">
        <v>28.9</v>
      </c>
      <c r="H1532" s="22" t="n">
        <v>1.1</v>
      </c>
      <c r="I1532" s="24" t="n">
        <v>0.0759254842996597</v>
      </c>
      <c r="J1532" s="6" t="n">
        <v>71000</v>
      </c>
      <c r="K1532" s="25">
        <f>23*10^-6</f>
        <v/>
      </c>
      <c r="L1532" s="8">
        <f>H1532</f>
        <v/>
      </c>
      <c r="M1532" s="26">
        <f>H1532^2/6</f>
        <v/>
      </c>
      <c r="N1532" s="26">
        <f>H1532^3/12</f>
        <v/>
      </c>
      <c r="O1532" s="27">
        <f>-J1532*L1532*K1532*C1532</f>
        <v/>
      </c>
      <c r="P1532" s="28">
        <f>-(12*F1532*J1532*L1532*N1532+12*O1532*N1532*G1532*COS(RADIANS(E1532)))/(12*N1532*G1532*COS(RADIANS(E1532))^2+L1532*G1532^3*SIN(RADIANS(E1532))^2)</f>
        <v/>
      </c>
      <c r="Q1532" s="28">
        <f>-(6*F1532*J1532*L1532*N1532*SIN(RADIANS(E1532))+6*O1532*N1532*G1532*SIN(RADIANS(E1532))*COS(RADIANS(E1532)))/(12*N1532*COS(RADIANS(E1532))^2+L1532*G1532^2*SIN(RADIANS(E1532))^2)</f>
        <v/>
      </c>
      <c r="R1532" s="28">
        <f>-P1532*SIN(RADIANS(E1532))</f>
        <v/>
      </c>
      <c r="S1532" s="8">
        <f>(O1532+P1532*COS(RADIANS(E1532)))/L1532</f>
        <v/>
      </c>
      <c r="T1532" s="8">
        <f>R1532/L1532</f>
        <v/>
      </c>
      <c r="U1532" s="8">
        <f>(Q1532-P1532*G1532*SIN(RADIANS(E1532)))/M1532</f>
        <v/>
      </c>
      <c r="V1532" s="8">
        <f>SQRT((S1532+U1532)^2+3*T1532^2)</f>
        <v/>
      </c>
      <c r="W1532" s="8">
        <f>V1532/AA1532</f>
        <v/>
      </c>
      <c r="X1532" s="27">
        <f>((3*10+H1532/COS(RADIANS(E1532)))*(3+3)+3*G1532*H1532)*2</f>
        <v/>
      </c>
      <c r="Y1532" s="28">
        <f>Z1532/X1532</f>
        <v/>
      </c>
      <c r="Z1532" s="29" t="n">
        <v>577.445639096538</v>
      </c>
      <c r="AA1532" s="20" t="n">
        <v>70.51634548620309</v>
      </c>
      <c r="AB1532" t="n">
        <v>0.1210665573304284</v>
      </c>
      <c r="AC1532" t="n">
        <v>78.11771105661497</v>
      </c>
      <c r="AD1532" t="n">
        <v>59.45444200606962</v>
      </c>
    </row>
    <row r="1533">
      <c r="A1533" t="n">
        <v>1532</v>
      </c>
      <c r="B1533" t="n">
        <v>61.9</v>
      </c>
      <c r="C1533" s="21">
        <f>B1533-20</f>
        <v/>
      </c>
      <c r="D1533" t="n">
        <v>129.3</v>
      </c>
      <c r="E1533" s="22">
        <f>D1533-90</f>
        <v/>
      </c>
      <c r="F1533" s="23" t="n">
        <v>0.016776</v>
      </c>
      <c r="G1533" s="22" t="n">
        <v>31.3</v>
      </c>
      <c r="H1533" s="22" t="n">
        <v>1.3</v>
      </c>
      <c r="I1533" s="24" t="n">
        <v>0.0929473787546157</v>
      </c>
      <c r="J1533" s="6" t="n">
        <v>71000</v>
      </c>
      <c r="K1533" s="25">
        <f>23*10^-6</f>
        <v/>
      </c>
      <c r="L1533" s="8">
        <f>H1533</f>
        <v/>
      </c>
      <c r="M1533" s="26">
        <f>H1533^2/6</f>
        <v/>
      </c>
      <c r="N1533" s="26">
        <f>H1533^3/12</f>
        <v/>
      </c>
      <c r="O1533" s="27">
        <f>-J1533*L1533*K1533*C1533</f>
        <v/>
      </c>
      <c r="P1533" s="28">
        <f>-(12*F1533*J1533*L1533*N1533+12*O1533*N1533*G1533*COS(RADIANS(E1533)))/(12*N1533*G1533*COS(RADIANS(E1533))^2+L1533*G1533^3*SIN(RADIANS(E1533))^2)</f>
        <v/>
      </c>
      <c r="Q1533" s="28">
        <f>-(6*F1533*J1533*L1533*N1533*SIN(RADIANS(E1533))+6*O1533*N1533*G1533*SIN(RADIANS(E1533))*COS(RADIANS(E1533)))/(12*N1533*COS(RADIANS(E1533))^2+L1533*G1533^2*SIN(RADIANS(E1533))^2)</f>
        <v/>
      </c>
      <c r="R1533" s="28">
        <f>-P1533*SIN(RADIANS(E1533))</f>
        <v/>
      </c>
      <c r="S1533" s="8">
        <f>(O1533+P1533*COS(RADIANS(E1533)))/L1533</f>
        <v/>
      </c>
      <c r="T1533" s="8">
        <f>R1533/L1533</f>
        <v/>
      </c>
      <c r="U1533" s="8">
        <f>(Q1533-P1533*G1533*SIN(RADIANS(E1533)))/M1533</f>
        <v/>
      </c>
      <c r="V1533" s="8">
        <f>SQRT((S1533+U1533)^2+3*T1533^2)</f>
        <v/>
      </c>
      <c r="W1533" s="8">
        <f>V1533/AA1533</f>
        <v/>
      </c>
      <c r="X1533" s="27">
        <f>((3*10+H1533/COS(RADIANS(E1533)))*(3+3)+3*G1533*H1533)*2</f>
        <v/>
      </c>
      <c r="Y1533" s="28">
        <f>Z1533/X1533</f>
        <v/>
      </c>
      <c r="Z1533" s="29" t="n">
        <v>626.1351645100131</v>
      </c>
      <c r="AA1533" s="20" t="n">
        <v>60.8965309889088</v>
      </c>
      <c r="AB1533" t="n">
        <v>0.06506222001556301</v>
      </c>
      <c r="AC1533" t="n">
        <v>59.48219533457375</v>
      </c>
      <c r="AD1533" t="n">
        <v>-30.00101682552068</v>
      </c>
    </row>
    <row r="1534">
      <c r="A1534" t="n">
        <v>1533</v>
      </c>
      <c r="B1534" t="n">
        <v>43.5</v>
      </c>
      <c r="C1534" s="21">
        <f>B1534-20</f>
        <v/>
      </c>
      <c r="D1534" t="n">
        <v>129.1</v>
      </c>
      <c r="E1534" s="22">
        <f>D1534-90</f>
        <v/>
      </c>
      <c r="F1534" s="23" t="n">
        <v>0.008286999999999999</v>
      </c>
      <c r="G1534" s="22" t="n">
        <v>26.1</v>
      </c>
      <c r="H1534" s="22" t="n">
        <v>1.5</v>
      </c>
      <c r="I1534" s="24" t="n">
        <v>0.0540400594472885</v>
      </c>
      <c r="J1534" s="6" t="n">
        <v>71000</v>
      </c>
      <c r="K1534" s="25">
        <f>23*10^-6</f>
        <v/>
      </c>
      <c r="L1534" s="8">
        <f>H1534</f>
        <v/>
      </c>
      <c r="M1534" s="26">
        <f>H1534^2/6</f>
        <v/>
      </c>
      <c r="N1534" s="26">
        <f>H1534^3/12</f>
        <v/>
      </c>
      <c r="O1534" s="27">
        <f>-J1534*L1534*K1534*C1534</f>
        <v/>
      </c>
      <c r="P1534" s="28">
        <f>-(12*F1534*J1534*L1534*N1534+12*O1534*N1534*G1534*COS(RADIANS(E1534)))/(12*N1534*G1534*COS(RADIANS(E1534))^2+L1534*G1534^3*SIN(RADIANS(E1534))^2)</f>
        <v/>
      </c>
      <c r="Q1534" s="28">
        <f>-(6*F1534*J1534*L1534*N1534*SIN(RADIANS(E1534))+6*O1534*N1534*G1534*SIN(RADIANS(E1534))*COS(RADIANS(E1534)))/(12*N1534*COS(RADIANS(E1534))^2+L1534*G1534^2*SIN(RADIANS(E1534))^2)</f>
        <v/>
      </c>
      <c r="R1534" s="28">
        <f>-P1534*SIN(RADIANS(E1534))</f>
        <v/>
      </c>
      <c r="S1534" s="8">
        <f>(O1534+P1534*COS(RADIANS(E1534)))/L1534</f>
        <v/>
      </c>
      <c r="T1534" s="8">
        <f>R1534/L1534</f>
        <v/>
      </c>
      <c r="U1534" s="8">
        <f>(Q1534-P1534*G1534*SIN(RADIANS(E1534)))/M1534</f>
        <v/>
      </c>
      <c r="V1534" s="8">
        <f>SQRT((S1534+U1534)^2+3*T1534^2)</f>
        <v/>
      </c>
      <c r="W1534" s="8">
        <f>V1534/AA1534</f>
        <v/>
      </c>
      <c r="X1534" s="27">
        <f>((3*10+H1534/COS(RADIANS(E1534)))*(3+3)+3*G1534*H1534)*2</f>
        <v/>
      </c>
      <c r="Y1534" s="28">
        <f>Z1534/X1534</f>
        <v/>
      </c>
      <c r="Z1534" s="29" t="n">
        <v>618.299871755758</v>
      </c>
      <c r="AA1534" s="20" t="n">
        <v>37.0479867173256</v>
      </c>
      <c r="AB1534" t="n">
        <v>0.03084024828486177</v>
      </c>
      <c r="AC1534" t="n">
        <v>33.88945009783568</v>
      </c>
      <c r="AD1534" t="n">
        <v>-42.93076543532707</v>
      </c>
    </row>
    <row r="1535">
      <c r="A1535" t="n">
        <v>1534</v>
      </c>
      <c r="B1535" t="n">
        <v>50.1</v>
      </c>
      <c r="C1535" s="21">
        <f>B1535-20</f>
        <v/>
      </c>
      <c r="D1535" t="n">
        <v>109.1</v>
      </c>
      <c r="E1535" s="22">
        <f>D1535-90</f>
        <v/>
      </c>
      <c r="F1535" s="23" t="n">
        <v>0.012717</v>
      </c>
      <c r="G1535" s="22" t="n">
        <v>34.3</v>
      </c>
      <c r="H1535" s="22" t="n">
        <v>1.3</v>
      </c>
      <c r="I1535" s="24" t="n">
        <v>0.06350582093000411</v>
      </c>
      <c r="J1535" s="6" t="n">
        <v>71000</v>
      </c>
      <c r="K1535" s="25">
        <f>23*10^-6</f>
        <v/>
      </c>
      <c r="L1535" s="8">
        <f>H1535</f>
        <v/>
      </c>
      <c r="M1535" s="26">
        <f>H1535^2/6</f>
        <v/>
      </c>
      <c r="N1535" s="26">
        <f>H1535^3/12</f>
        <v/>
      </c>
      <c r="O1535" s="27">
        <f>-J1535*L1535*K1535*C1535</f>
        <v/>
      </c>
      <c r="P1535" s="28">
        <f>-(12*F1535*J1535*L1535*N1535+12*O1535*N1535*G1535*COS(RADIANS(E1535)))/(12*N1535*G1535*COS(RADIANS(E1535))^2+L1535*G1535^3*SIN(RADIANS(E1535))^2)</f>
        <v/>
      </c>
      <c r="Q1535" s="28">
        <f>-(6*F1535*J1535*L1535*N1535*SIN(RADIANS(E1535))+6*O1535*N1535*G1535*SIN(RADIANS(E1535))*COS(RADIANS(E1535)))/(12*N1535*COS(RADIANS(E1535))^2+L1535*G1535^2*SIN(RADIANS(E1535))^2)</f>
        <v/>
      </c>
      <c r="R1535" s="28">
        <f>-P1535*SIN(RADIANS(E1535))</f>
        <v/>
      </c>
      <c r="S1535" s="8">
        <f>(O1535+P1535*COS(RADIANS(E1535)))/L1535</f>
        <v/>
      </c>
      <c r="T1535" s="8">
        <f>R1535/L1535</f>
        <v/>
      </c>
      <c r="U1535" s="8">
        <f>(Q1535-P1535*G1535*SIN(RADIANS(E1535)))/M1535</f>
        <v/>
      </c>
      <c r="V1535" s="8">
        <f>SQRT((S1535+U1535)^2+3*T1535^2)</f>
        <v/>
      </c>
      <c r="W1535" s="8">
        <f>V1535/AA1535</f>
        <v/>
      </c>
      <c r="X1535" s="27">
        <f>((3*10+H1535/COS(RADIANS(E1535)))*(3+3)+3*G1535*H1535)*2</f>
        <v/>
      </c>
      <c r="Y1535" s="28">
        <f>Z1535/X1535</f>
        <v/>
      </c>
      <c r="Z1535" s="29" t="n">
        <v>650.703051206757</v>
      </c>
      <c r="AA1535" s="20" t="n">
        <v>43.3206377235424</v>
      </c>
      <c r="AB1535" t="n">
        <v>0.1092686975015439</v>
      </c>
      <c r="AC1535" t="n">
        <v>45.64283408964673</v>
      </c>
      <c r="AD1535" t="n">
        <v>72.06091646619203</v>
      </c>
    </row>
    <row r="1536">
      <c r="A1536" t="n">
        <v>1535</v>
      </c>
      <c r="B1536" t="n">
        <v>83</v>
      </c>
      <c r="C1536" s="21">
        <f>B1536-20</f>
        <v/>
      </c>
      <c r="D1536" t="n">
        <v>109.5</v>
      </c>
      <c r="E1536" s="22">
        <f>D1536-90</f>
        <v/>
      </c>
      <c r="F1536" s="23" t="n">
        <v>0.023825</v>
      </c>
      <c r="G1536" s="22" t="n">
        <v>28.4</v>
      </c>
      <c r="H1536" s="22" t="n">
        <v>1.5</v>
      </c>
      <c r="I1536" s="24" t="n">
        <v>0.156053870916366</v>
      </c>
      <c r="J1536" s="6" t="n">
        <v>71000</v>
      </c>
      <c r="K1536" s="25">
        <f>23*10^-6</f>
        <v/>
      </c>
      <c r="L1536" s="8">
        <f>H1536</f>
        <v/>
      </c>
      <c r="M1536" s="26">
        <f>H1536^2/6</f>
        <v/>
      </c>
      <c r="N1536" s="26">
        <f>H1536^3/12</f>
        <v/>
      </c>
      <c r="O1536" s="27">
        <f>-J1536*L1536*K1536*C1536</f>
        <v/>
      </c>
      <c r="P1536" s="28">
        <f>-(12*F1536*J1536*L1536*N1536+12*O1536*N1536*G1536*COS(RADIANS(E1536)))/(12*N1536*G1536*COS(RADIANS(E1536))^2+L1536*G1536^3*SIN(RADIANS(E1536))^2)</f>
        <v/>
      </c>
      <c r="Q1536" s="28">
        <f>-(6*F1536*J1536*L1536*N1536*SIN(RADIANS(E1536))+6*O1536*N1536*G1536*SIN(RADIANS(E1536))*COS(RADIANS(E1536)))/(12*N1536*COS(RADIANS(E1536))^2+L1536*G1536^2*SIN(RADIANS(E1536))^2)</f>
        <v/>
      </c>
      <c r="R1536" s="28">
        <f>-P1536*SIN(RADIANS(E1536))</f>
        <v/>
      </c>
      <c r="S1536" s="8">
        <f>(O1536+P1536*COS(RADIANS(E1536)))/L1536</f>
        <v/>
      </c>
      <c r="T1536" s="8">
        <f>R1536/L1536</f>
        <v/>
      </c>
      <c r="U1536" s="8">
        <f>(Q1536-P1536*G1536*SIN(RADIANS(E1536)))/M1536</f>
        <v/>
      </c>
      <c r="V1536" s="8">
        <f>SQRT((S1536+U1536)^2+3*T1536^2)</f>
        <v/>
      </c>
      <c r="W1536" s="8">
        <f>V1536/AA1536</f>
        <v/>
      </c>
      <c r="X1536" s="27">
        <f>((3*10+H1536/COS(RADIANS(E1536)))*(3+3)+3*G1536*H1536)*2</f>
        <v/>
      </c>
      <c r="Y1536" s="28">
        <f>Z1536/X1536</f>
        <v/>
      </c>
      <c r="Z1536" s="29" t="n">
        <v>638.92932725177</v>
      </c>
      <c r="AA1536" s="20" t="n">
        <v>98.4635665912831</v>
      </c>
      <c r="AB1536" t="n">
        <v>0.1854331730666646</v>
      </c>
      <c r="AC1536" t="n">
        <v>98.45899012809956</v>
      </c>
      <c r="AD1536" t="n">
        <v>18.82638474635715</v>
      </c>
    </row>
    <row r="1537">
      <c r="A1537" t="n">
        <v>1536</v>
      </c>
      <c r="B1537" t="n">
        <v>67.09999999999999</v>
      </c>
      <c r="C1537" s="21">
        <f>B1537-20</f>
        <v/>
      </c>
      <c r="D1537" t="n">
        <v>122.6</v>
      </c>
      <c r="E1537" s="22">
        <f>D1537-90</f>
        <v/>
      </c>
      <c r="F1537" s="23" t="n">
        <v>0.015646</v>
      </c>
      <c r="G1537" s="22" t="n">
        <v>23.9</v>
      </c>
      <c r="H1537" s="22" t="n">
        <v>1.2</v>
      </c>
      <c r="I1537" s="24" t="n">
        <v>0.116743005812168</v>
      </c>
      <c r="J1537" s="6" t="n">
        <v>71000</v>
      </c>
      <c r="K1537" s="25">
        <f>23*10^-6</f>
        <v/>
      </c>
      <c r="L1537" s="8">
        <f>H1537</f>
        <v/>
      </c>
      <c r="M1537" s="26">
        <f>H1537^2/6</f>
        <v/>
      </c>
      <c r="N1537" s="26">
        <f>H1537^3/12</f>
        <v/>
      </c>
      <c r="O1537" s="27">
        <f>-J1537*L1537*K1537*C1537</f>
        <v/>
      </c>
      <c r="P1537" s="28">
        <f>-(12*F1537*J1537*L1537*N1537+12*O1537*N1537*G1537*COS(RADIANS(E1537)))/(12*N1537*G1537*COS(RADIANS(E1537))^2+L1537*G1537^3*SIN(RADIANS(E1537))^2)</f>
        <v/>
      </c>
      <c r="Q1537" s="28">
        <f>-(6*F1537*J1537*L1537*N1537*SIN(RADIANS(E1537))+6*O1537*N1537*G1537*SIN(RADIANS(E1537))*COS(RADIANS(E1537)))/(12*N1537*COS(RADIANS(E1537))^2+L1537*G1537^2*SIN(RADIANS(E1537))^2)</f>
        <v/>
      </c>
      <c r="R1537" s="28">
        <f>-P1537*SIN(RADIANS(E1537))</f>
        <v/>
      </c>
      <c r="S1537" s="8">
        <f>(O1537+P1537*COS(RADIANS(E1537)))/L1537</f>
        <v/>
      </c>
      <c r="T1537" s="8">
        <f>R1537/L1537</f>
        <v/>
      </c>
      <c r="U1537" s="8">
        <f>(Q1537-P1537*G1537*SIN(RADIANS(E1537)))/M1537</f>
        <v/>
      </c>
      <c r="V1537" s="8">
        <f>SQRT((S1537+U1537)^2+3*T1537^2)</f>
        <v/>
      </c>
      <c r="W1537" s="8">
        <f>V1537/AA1537</f>
        <v/>
      </c>
      <c r="X1537" s="27">
        <f>((3*10+H1537/COS(RADIANS(E1537)))*(3+3)+3*G1537*H1537)*2</f>
        <v/>
      </c>
      <c r="Y1537" s="28">
        <f>Z1537/X1537</f>
        <v/>
      </c>
      <c r="Z1537" s="29" t="n">
        <v>551.177001374032</v>
      </c>
      <c r="AA1537" s="20" t="n">
        <v>71.1117604293961</v>
      </c>
      <c r="AB1537" t="n">
        <v>0.06951400890945686</v>
      </c>
      <c r="AC1537" t="n">
        <v>68.40436612091838</v>
      </c>
      <c r="AD1537" t="n">
        <v>-40.45552585711179</v>
      </c>
    </row>
    <row r="1538">
      <c r="A1538" t="n">
        <v>1537</v>
      </c>
      <c r="B1538" t="n">
        <v>63.8</v>
      </c>
      <c r="C1538" s="21">
        <f>B1538-20</f>
        <v/>
      </c>
      <c r="D1538" t="n">
        <v>123.1</v>
      </c>
      <c r="E1538" s="22">
        <f>D1538-90</f>
        <v/>
      </c>
      <c r="F1538" s="23" t="n">
        <v>0.01846</v>
      </c>
      <c r="G1538" s="22" t="n">
        <v>34.4</v>
      </c>
      <c r="H1538" s="22" t="n">
        <v>1.2</v>
      </c>
      <c r="I1538" s="24" t="n">
        <v>0.0907609462738037</v>
      </c>
      <c r="J1538" s="6" t="n">
        <v>71000</v>
      </c>
      <c r="K1538" s="25">
        <f>23*10^-6</f>
        <v/>
      </c>
      <c r="L1538" s="8">
        <f>H1538</f>
        <v/>
      </c>
      <c r="M1538" s="26">
        <f>H1538^2/6</f>
        <v/>
      </c>
      <c r="N1538" s="26">
        <f>H1538^3/12</f>
        <v/>
      </c>
      <c r="O1538" s="27">
        <f>-J1538*L1538*K1538*C1538</f>
        <v/>
      </c>
      <c r="P1538" s="28">
        <f>-(12*F1538*J1538*L1538*N1538+12*O1538*N1538*G1538*COS(RADIANS(E1538)))/(12*N1538*G1538*COS(RADIANS(E1538))^2+L1538*G1538^3*SIN(RADIANS(E1538))^2)</f>
        <v/>
      </c>
      <c r="Q1538" s="28">
        <f>-(6*F1538*J1538*L1538*N1538*SIN(RADIANS(E1538))+6*O1538*N1538*G1538*SIN(RADIANS(E1538))*COS(RADIANS(E1538)))/(12*N1538*COS(RADIANS(E1538))^2+L1538*G1538^2*SIN(RADIANS(E1538))^2)</f>
        <v/>
      </c>
      <c r="R1538" s="28">
        <f>-P1538*SIN(RADIANS(E1538))</f>
        <v/>
      </c>
      <c r="S1538" s="8">
        <f>(O1538+P1538*COS(RADIANS(E1538)))/L1538</f>
        <v/>
      </c>
      <c r="T1538" s="8">
        <f>R1538/L1538</f>
        <v/>
      </c>
      <c r="U1538" s="8">
        <f>(Q1538-P1538*G1538*SIN(RADIANS(E1538)))/M1538</f>
        <v/>
      </c>
      <c r="V1538" s="8">
        <f>SQRT((S1538+U1538)^2+3*T1538^2)</f>
        <v/>
      </c>
      <c r="W1538" s="8">
        <f>V1538/AA1538</f>
        <v/>
      </c>
      <c r="X1538" s="27">
        <f>((3*10+H1538/COS(RADIANS(E1538)))*(3+3)+3*G1538*H1538)*2</f>
        <v/>
      </c>
      <c r="Y1538" s="28">
        <f>Z1538/X1538</f>
        <v/>
      </c>
      <c r="Z1538" s="29" t="n">
        <v>629.765189277249</v>
      </c>
      <c r="AA1538" s="20" t="n">
        <v>61.5477001777366</v>
      </c>
      <c r="AB1538" t="n">
        <v>0.08983700879592765</v>
      </c>
      <c r="AC1538" t="n">
        <v>62.53900810571279</v>
      </c>
      <c r="AD1538" t="n">
        <v>-1.017990133210764</v>
      </c>
    </row>
    <row r="1539">
      <c r="A1539" t="n">
        <v>1538</v>
      </c>
      <c r="B1539" t="n">
        <v>63.8</v>
      </c>
      <c r="C1539" s="21">
        <f>B1539-20</f>
        <v/>
      </c>
      <c r="D1539" t="n">
        <v>109.6</v>
      </c>
      <c r="E1539" s="22">
        <f>D1539-90</f>
        <v/>
      </c>
      <c r="F1539" s="23" t="n">
        <v>0.016133</v>
      </c>
      <c r="G1539" s="22" t="n">
        <v>34</v>
      </c>
      <c r="H1539" s="22" t="n">
        <v>1.1</v>
      </c>
      <c r="I1539" s="24" t="n">
        <v>0.0680971443653106</v>
      </c>
      <c r="J1539" s="6" t="n">
        <v>71000</v>
      </c>
      <c r="K1539" s="25">
        <f>23*10^-6</f>
        <v/>
      </c>
      <c r="L1539" s="8">
        <f>H1539</f>
        <v/>
      </c>
      <c r="M1539" s="26">
        <f>H1539^2/6</f>
        <v/>
      </c>
      <c r="N1539" s="26">
        <f>H1539^3/12</f>
        <v/>
      </c>
      <c r="O1539" s="27">
        <f>-J1539*L1539*K1539*C1539</f>
        <v/>
      </c>
      <c r="P1539" s="28">
        <f>-(12*F1539*J1539*L1539*N1539+12*O1539*N1539*G1539*COS(RADIANS(E1539)))/(12*N1539*G1539*COS(RADIANS(E1539))^2+L1539*G1539^3*SIN(RADIANS(E1539))^2)</f>
        <v/>
      </c>
      <c r="Q1539" s="28">
        <f>-(6*F1539*J1539*L1539*N1539*SIN(RADIANS(E1539))+6*O1539*N1539*G1539*SIN(RADIANS(E1539))*COS(RADIANS(E1539)))/(12*N1539*COS(RADIANS(E1539))^2+L1539*G1539^2*SIN(RADIANS(E1539))^2)</f>
        <v/>
      </c>
      <c r="R1539" s="28">
        <f>-P1539*SIN(RADIANS(E1539))</f>
        <v/>
      </c>
      <c r="S1539" s="8">
        <f>(O1539+P1539*COS(RADIANS(E1539)))/L1539</f>
        <v/>
      </c>
      <c r="T1539" s="8">
        <f>R1539/L1539</f>
        <v/>
      </c>
      <c r="U1539" s="8">
        <f>(Q1539-P1539*G1539*SIN(RADIANS(E1539)))/M1539</f>
        <v/>
      </c>
      <c r="V1539" s="8">
        <f>SQRT((S1539+U1539)^2+3*T1539^2)</f>
        <v/>
      </c>
      <c r="W1539" s="8">
        <f>V1539/AA1539</f>
        <v/>
      </c>
      <c r="X1539" s="27">
        <f>((3*10+H1539/COS(RADIANS(E1539)))*(3+3)+3*G1539*H1539)*2</f>
        <v/>
      </c>
      <c r="Y1539" s="28">
        <f>Z1539/X1539</f>
        <v/>
      </c>
      <c r="Z1539" s="29" t="n">
        <v>611.905569215633</v>
      </c>
      <c r="AA1539" s="20" t="n">
        <v>55.8724090174472</v>
      </c>
      <c r="AB1539" t="n">
        <v>0.1541056036437416</v>
      </c>
      <c r="AC1539" t="n">
        <v>65.17501887920542</v>
      </c>
      <c r="AD1539" t="n">
        <v>126.3025932732719</v>
      </c>
    </row>
    <row r="1540">
      <c r="A1540" t="n">
        <v>1539</v>
      </c>
      <c r="B1540" t="n">
        <v>72.40000000000001</v>
      </c>
      <c r="C1540" s="21">
        <f>B1540-20</f>
        <v/>
      </c>
      <c r="D1540" t="n">
        <v>115.3</v>
      </c>
      <c r="E1540" s="22">
        <f>D1540-90</f>
        <v/>
      </c>
      <c r="F1540" s="23" t="n">
        <v>0.013551</v>
      </c>
      <c r="G1540" s="22" t="n">
        <v>21.5</v>
      </c>
      <c r="H1540" s="22" t="n">
        <v>1.1</v>
      </c>
      <c r="I1540" s="24" t="n">
        <v>0.0612108670175075</v>
      </c>
      <c r="J1540" s="6" t="n">
        <v>71000</v>
      </c>
      <c r="K1540" s="25">
        <f>23*10^-6</f>
        <v/>
      </c>
      <c r="L1540" s="8">
        <f>H1540</f>
        <v/>
      </c>
      <c r="M1540" s="26">
        <f>H1540^2/6</f>
        <v/>
      </c>
      <c r="N1540" s="26">
        <f>H1540^3/12</f>
        <v/>
      </c>
      <c r="O1540" s="27">
        <f>-J1540*L1540*K1540*C1540</f>
        <v/>
      </c>
      <c r="P1540" s="28">
        <f>-(12*F1540*J1540*L1540*N1540+12*O1540*N1540*G1540*COS(RADIANS(E1540)))/(12*N1540*G1540*COS(RADIANS(E1540))^2+L1540*G1540^3*SIN(RADIANS(E1540))^2)</f>
        <v/>
      </c>
      <c r="Q1540" s="28">
        <f>-(6*F1540*J1540*L1540*N1540*SIN(RADIANS(E1540))+6*O1540*N1540*G1540*SIN(RADIANS(E1540))*COS(RADIANS(E1540)))/(12*N1540*COS(RADIANS(E1540))^2+L1540*G1540^2*SIN(RADIANS(E1540))^2)</f>
        <v/>
      </c>
      <c r="R1540" s="28">
        <f>-P1540*SIN(RADIANS(E1540))</f>
        <v/>
      </c>
      <c r="S1540" s="8">
        <f>(O1540+P1540*COS(RADIANS(E1540)))/L1540</f>
        <v/>
      </c>
      <c r="T1540" s="8">
        <f>R1540/L1540</f>
        <v/>
      </c>
      <c r="U1540" s="8">
        <f>(Q1540-P1540*G1540*SIN(RADIANS(E1540)))/M1540</f>
        <v/>
      </c>
      <c r="V1540" s="8">
        <f>SQRT((S1540+U1540)^2+3*T1540^2)</f>
        <v/>
      </c>
      <c r="W1540" s="8">
        <f>V1540/AA1540</f>
        <v/>
      </c>
      <c r="X1540" s="27">
        <f>((3*10+H1540/COS(RADIANS(E1540)))*(3+3)+3*G1540*H1540)*2</f>
        <v/>
      </c>
      <c r="Y1540" s="28">
        <f>Z1540/X1540</f>
        <v/>
      </c>
      <c r="Z1540" s="29" t="n">
        <v>529.2689070459249</v>
      </c>
      <c r="AA1540" s="20" t="n">
        <v>71.2733908309831</v>
      </c>
      <c r="AB1540" t="n">
        <v>0.09162141561593136</v>
      </c>
      <c r="AC1540" t="n">
        <v>78.02990952106109</v>
      </c>
      <c r="AD1540" t="n">
        <v>49.68161713789458</v>
      </c>
    </row>
    <row r="1541">
      <c r="A1541" t="n">
        <v>1540</v>
      </c>
      <c r="B1541" t="n">
        <v>72.2</v>
      </c>
      <c r="C1541" s="21">
        <f>B1541-20</f>
        <v/>
      </c>
      <c r="D1541" t="n">
        <v>113.1</v>
      </c>
      <c r="E1541" s="22">
        <f>D1541-90</f>
        <v/>
      </c>
      <c r="F1541" s="23" t="n">
        <v>0.022408</v>
      </c>
      <c r="G1541" s="22" t="n">
        <v>33.5</v>
      </c>
      <c r="H1541" s="22" t="n">
        <v>1.4</v>
      </c>
      <c r="I1541" s="24" t="n">
        <v>0.133006438612937</v>
      </c>
      <c r="J1541" s="6" t="n">
        <v>71000</v>
      </c>
      <c r="K1541" s="25">
        <f>23*10^-6</f>
        <v/>
      </c>
      <c r="L1541" s="8">
        <f>H1541</f>
        <v/>
      </c>
      <c r="M1541" s="26">
        <f>H1541^2/6</f>
        <v/>
      </c>
      <c r="N1541" s="26">
        <f>H1541^3/12</f>
        <v/>
      </c>
      <c r="O1541" s="27">
        <f>-J1541*L1541*K1541*C1541</f>
        <v/>
      </c>
      <c r="P1541" s="28">
        <f>-(12*F1541*J1541*L1541*N1541+12*O1541*N1541*G1541*COS(RADIANS(E1541)))/(12*N1541*G1541*COS(RADIANS(E1541))^2+L1541*G1541^3*SIN(RADIANS(E1541))^2)</f>
        <v/>
      </c>
      <c r="Q1541" s="28">
        <f>-(6*F1541*J1541*L1541*N1541*SIN(RADIANS(E1541))+6*O1541*N1541*G1541*SIN(RADIANS(E1541))*COS(RADIANS(E1541)))/(12*N1541*COS(RADIANS(E1541))^2+L1541*G1541^2*SIN(RADIANS(E1541))^2)</f>
        <v/>
      </c>
      <c r="R1541" s="28">
        <f>-P1541*SIN(RADIANS(E1541))</f>
        <v/>
      </c>
      <c r="S1541" s="8">
        <f>(O1541+P1541*COS(RADIANS(E1541)))/L1541</f>
        <v/>
      </c>
      <c r="T1541" s="8">
        <f>R1541/L1541</f>
        <v/>
      </c>
      <c r="U1541" s="8">
        <f>(Q1541-P1541*G1541*SIN(RADIANS(E1541)))/M1541</f>
        <v/>
      </c>
      <c r="V1541" s="8">
        <f>SQRT((S1541+U1541)^2+3*T1541^2)</f>
        <v/>
      </c>
      <c r="W1541" s="8">
        <f>V1541/AA1541</f>
        <v/>
      </c>
      <c r="X1541" s="27">
        <f>((3*10+H1541/COS(RADIANS(E1541)))*(3+3)+3*G1541*H1541)*2</f>
        <v/>
      </c>
      <c r="Y1541" s="28">
        <f>Z1541/X1541</f>
        <v/>
      </c>
      <c r="Z1541" s="29" t="n">
        <v>664.010566757676</v>
      </c>
      <c r="AA1541" s="20" t="n">
        <v>79.6576951823622</v>
      </c>
      <c r="AB1541" t="n">
        <v>0.1523231027456715</v>
      </c>
      <c r="AC1541" t="n">
        <v>78.16402190068379</v>
      </c>
      <c r="AD1541" t="n">
        <v>14.52310454604984</v>
      </c>
    </row>
    <row r="1542">
      <c r="A1542" t="n">
        <v>1541</v>
      </c>
      <c r="B1542" t="n">
        <v>80.7</v>
      </c>
      <c r="C1542" s="21">
        <f>B1542-20</f>
        <v/>
      </c>
      <c r="D1542" t="n">
        <v>106.8</v>
      </c>
      <c r="E1542" s="22">
        <f>D1542-90</f>
        <v/>
      </c>
      <c r="F1542" s="23" t="n">
        <v>0.018046</v>
      </c>
      <c r="G1542" s="22" t="n">
        <v>21.3</v>
      </c>
      <c r="H1542" s="22" t="n">
        <v>2</v>
      </c>
      <c r="I1542" s="24" t="n">
        <v>0.108908303081989</v>
      </c>
      <c r="J1542" s="6" t="n">
        <v>71000</v>
      </c>
      <c r="K1542" s="25">
        <f>23*10^-6</f>
        <v/>
      </c>
      <c r="L1542" s="8">
        <f>H1542</f>
        <v/>
      </c>
      <c r="M1542" s="26">
        <f>H1542^2/6</f>
        <v/>
      </c>
      <c r="N1542" s="26">
        <f>H1542^3/12</f>
        <v/>
      </c>
      <c r="O1542" s="27">
        <f>-J1542*L1542*K1542*C1542</f>
        <v/>
      </c>
      <c r="P1542" s="28">
        <f>-(12*F1542*J1542*L1542*N1542+12*O1542*N1542*G1542*COS(RADIANS(E1542)))/(12*N1542*G1542*COS(RADIANS(E1542))^2+L1542*G1542^3*SIN(RADIANS(E1542))^2)</f>
        <v/>
      </c>
      <c r="Q1542" s="28">
        <f>-(6*F1542*J1542*L1542*N1542*SIN(RADIANS(E1542))+6*O1542*N1542*G1542*SIN(RADIANS(E1542))*COS(RADIANS(E1542)))/(12*N1542*COS(RADIANS(E1542))^2+L1542*G1542^2*SIN(RADIANS(E1542))^2)</f>
        <v/>
      </c>
      <c r="R1542" s="28">
        <f>-P1542*SIN(RADIANS(E1542))</f>
        <v/>
      </c>
      <c r="S1542" s="8">
        <f>(O1542+P1542*COS(RADIANS(E1542)))/L1542</f>
        <v/>
      </c>
      <c r="T1542" s="8">
        <f>R1542/L1542</f>
        <v/>
      </c>
      <c r="U1542" s="8">
        <f>(Q1542-P1542*G1542*SIN(RADIANS(E1542)))/M1542</f>
        <v/>
      </c>
      <c r="V1542" s="8">
        <f>SQRT((S1542+U1542)^2+3*T1542^2)</f>
        <v/>
      </c>
      <c r="W1542" s="8">
        <f>V1542/AA1542</f>
        <v/>
      </c>
      <c r="X1542" s="27">
        <f>((3*10+H1542/COS(RADIANS(E1542)))*(3+3)+3*G1542*H1542)*2</f>
        <v/>
      </c>
      <c r="Y1542" s="28">
        <f>Z1542/X1542</f>
        <v/>
      </c>
      <c r="Z1542" s="29" t="n">
        <v>645.9543669657201</v>
      </c>
      <c r="AA1542" s="20" t="n">
        <v>109.642094728863</v>
      </c>
      <c r="AB1542" t="n">
        <v>0.1484770079624044</v>
      </c>
      <c r="AC1542" t="n">
        <v>103.8232089698582</v>
      </c>
      <c r="AD1542" t="n">
        <v>36.33212873643533</v>
      </c>
    </row>
    <row r="1543">
      <c r="A1543" t="n">
        <v>1542</v>
      </c>
      <c r="B1543" t="n">
        <v>44.4</v>
      </c>
      <c r="C1543" s="21">
        <f>B1543-20</f>
        <v/>
      </c>
      <c r="D1543" t="n">
        <v>103.4</v>
      </c>
      <c r="E1543" s="22">
        <f>D1543-90</f>
        <v/>
      </c>
      <c r="F1543" s="23" t="n">
        <v>0.007972999999999999</v>
      </c>
      <c r="G1543" s="22" t="n">
        <v>26.9</v>
      </c>
      <c r="H1543" s="22" t="n">
        <v>1.5</v>
      </c>
      <c r="I1543" s="24" t="n">
        <v>0.0365608595311641</v>
      </c>
      <c r="J1543" s="6" t="n">
        <v>71000</v>
      </c>
      <c r="K1543" s="25">
        <f>23*10^-6</f>
        <v/>
      </c>
      <c r="L1543" s="8">
        <f>H1543</f>
        <v/>
      </c>
      <c r="M1543" s="26">
        <f>H1543^2/6</f>
        <v/>
      </c>
      <c r="N1543" s="26">
        <f>H1543^3/12</f>
        <v/>
      </c>
      <c r="O1543" s="27">
        <f>-J1543*L1543*K1543*C1543</f>
        <v/>
      </c>
      <c r="P1543" s="28">
        <f>-(12*F1543*J1543*L1543*N1543+12*O1543*N1543*G1543*COS(RADIANS(E1543)))/(12*N1543*G1543*COS(RADIANS(E1543))^2+L1543*G1543^3*SIN(RADIANS(E1543))^2)</f>
        <v/>
      </c>
      <c r="Q1543" s="28">
        <f>-(6*F1543*J1543*L1543*N1543*SIN(RADIANS(E1543))+6*O1543*N1543*G1543*SIN(RADIANS(E1543))*COS(RADIANS(E1543)))/(12*N1543*COS(RADIANS(E1543))^2+L1543*G1543^2*SIN(RADIANS(E1543))^2)</f>
        <v/>
      </c>
      <c r="R1543" s="28">
        <f>-P1543*SIN(RADIANS(E1543))</f>
        <v/>
      </c>
      <c r="S1543" s="8">
        <f>(O1543+P1543*COS(RADIANS(E1543)))/L1543</f>
        <v/>
      </c>
      <c r="T1543" s="8">
        <f>R1543/L1543</f>
        <v/>
      </c>
      <c r="U1543" s="8">
        <f>(Q1543-P1543*G1543*SIN(RADIANS(E1543)))/M1543</f>
        <v/>
      </c>
      <c r="V1543" s="8">
        <f>SQRT((S1543+U1543)^2+3*T1543^2)</f>
        <v/>
      </c>
      <c r="W1543" s="8">
        <f>V1543/AA1543</f>
        <v/>
      </c>
      <c r="X1543" s="27">
        <f>((3*10+H1543/COS(RADIANS(E1543)))*(3+3)+3*G1543*H1543)*2</f>
        <v/>
      </c>
      <c r="Y1543" s="28">
        <f>Z1543/X1543</f>
        <v/>
      </c>
      <c r="Z1543" s="29" t="n">
        <v>631.388078312615</v>
      </c>
      <c r="AA1543" s="20" t="n">
        <v>36.4031646048328</v>
      </c>
      <c r="AB1543" t="n">
        <v>0.09725470821761703</v>
      </c>
      <c r="AC1543" t="n">
        <v>40.63196241311406</v>
      </c>
      <c r="AD1543" t="n">
        <v>166.0077182669027</v>
      </c>
    </row>
    <row r="1544">
      <c r="A1544" t="n">
        <v>1543</v>
      </c>
      <c r="B1544" t="n">
        <v>44.1</v>
      </c>
      <c r="C1544" s="21">
        <f>B1544-20</f>
        <v/>
      </c>
      <c r="D1544" t="n">
        <v>113.5</v>
      </c>
      <c r="E1544" s="22">
        <f>D1544-90</f>
        <v/>
      </c>
      <c r="F1544" s="23" t="n">
        <v>0.007494</v>
      </c>
      <c r="G1544" s="22" t="n">
        <v>25.4</v>
      </c>
      <c r="H1544" s="22" t="n">
        <v>1.6</v>
      </c>
      <c r="I1544" s="24" t="n">
        <v>0.0344950072467327</v>
      </c>
      <c r="J1544" s="6" t="n">
        <v>71000</v>
      </c>
      <c r="K1544" s="25">
        <f>23*10^-6</f>
        <v/>
      </c>
      <c r="L1544" s="8">
        <f>H1544</f>
        <v/>
      </c>
      <c r="M1544" s="26">
        <f>H1544^2/6</f>
        <v/>
      </c>
      <c r="N1544" s="26">
        <f>H1544^3/12</f>
        <v/>
      </c>
      <c r="O1544" s="27">
        <f>-J1544*L1544*K1544*C1544</f>
        <v/>
      </c>
      <c r="P1544" s="28">
        <f>-(12*F1544*J1544*L1544*N1544+12*O1544*N1544*G1544*COS(RADIANS(E1544)))/(12*N1544*G1544*COS(RADIANS(E1544))^2+L1544*G1544^3*SIN(RADIANS(E1544))^2)</f>
        <v/>
      </c>
      <c r="Q1544" s="28">
        <f>-(6*F1544*J1544*L1544*N1544*SIN(RADIANS(E1544))+6*O1544*N1544*G1544*SIN(RADIANS(E1544))*COS(RADIANS(E1544)))/(12*N1544*COS(RADIANS(E1544))^2+L1544*G1544^2*SIN(RADIANS(E1544))^2)</f>
        <v/>
      </c>
      <c r="R1544" s="28">
        <f>-P1544*SIN(RADIANS(E1544))</f>
        <v/>
      </c>
      <c r="S1544" s="8">
        <f>(O1544+P1544*COS(RADIANS(E1544)))/L1544</f>
        <v/>
      </c>
      <c r="T1544" s="8">
        <f>R1544/L1544</f>
        <v/>
      </c>
      <c r="U1544" s="8">
        <f>(Q1544-P1544*G1544*SIN(RADIANS(E1544)))/M1544</f>
        <v/>
      </c>
      <c r="V1544" s="8">
        <f>SQRT((S1544+U1544)^2+3*T1544^2)</f>
        <v/>
      </c>
      <c r="W1544" s="8">
        <f>V1544/AA1544</f>
        <v/>
      </c>
      <c r="X1544" s="27">
        <f>((3*10+H1544/COS(RADIANS(E1544)))*(3+3)+3*G1544*H1544)*2</f>
        <v/>
      </c>
      <c r="Y1544" s="28">
        <f>Z1544/X1544</f>
        <v/>
      </c>
      <c r="Z1544" s="29" t="n">
        <v>634.8422515769651</v>
      </c>
      <c r="AA1544" s="20" t="n">
        <v>36.9044899653117</v>
      </c>
      <c r="AB1544" t="n">
        <v>0.05263947886774965</v>
      </c>
      <c r="AC1544" t="n">
        <v>37.30925393429797</v>
      </c>
      <c r="AD1544" t="n">
        <v>52.60028354606465</v>
      </c>
    </row>
    <row r="1545">
      <c r="A1545" t="n">
        <v>1544</v>
      </c>
      <c r="B1545" t="n">
        <v>76.3</v>
      </c>
      <c r="C1545" s="21">
        <f>B1545-20</f>
        <v/>
      </c>
      <c r="D1545" t="n">
        <v>124.1</v>
      </c>
      <c r="E1545" s="22">
        <f>D1545-90</f>
        <v/>
      </c>
      <c r="F1545" s="23" t="n">
        <v>0.021808</v>
      </c>
      <c r="G1545" s="22" t="n">
        <v>29.7</v>
      </c>
      <c r="H1545" s="22" t="n">
        <v>1.9</v>
      </c>
      <c r="I1545" s="24" t="n">
        <v>0.12800332903862</v>
      </c>
      <c r="J1545" s="6" t="n">
        <v>71000</v>
      </c>
      <c r="K1545" s="25">
        <f>23*10^-6</f>
        <v/>
      </c>
      <c r="L1545" s="8">
        <f>H1545</f>
        <v/>
      </c>
      <c r="M1545" s="26">
        <f>H1545^2/6</f>
        <v/>
      </c>
      <c r="N1545" s="26">
        <f>H1545^3/12</f>
        <v/>
      </c>
      <c r="O1545" s="27">
        <f>-J1545*L1545*K1545*C1545</f>
        <v/>
      </c>
      <c r="P1545" s="28">
        <f>-(12*F1545*J1545*L1545*N1545+12*O1545*N1545*G1545*COS(RADIANS(E1545)))/(12*N1545*G1545*COS(RADIANS(E1545))^2+L1545*G1545^3*SIN(RADIANS(E1545))^2)</f>
        <v/>
      </c>
      <c r="Q1545" s="28">
        <f>-(6*F1545*J1545*L1545*N1545*SIN(RADIANS(E1545))+6*O1545*N1545*G1545*SIN(RADIANS(E1545))*COS(RADIANS(E1545)))/(12*N1545*COS(RADIANS(E1545))^2+L1545*G1545^2*SIN(RADIANS(E1545))^2)</f>
        <v/>
      </c>
      <c r="R1545" s="28">
        <f>-P1545*SIN(RADIANS(E1545))</f>
        <v/>
      </c>
      <c r="S1545" s="8">
        <f>(O1545+P1545*COS(RADIANS(E1545)))/L1545</f>
        <v/>
      </c>
      <c r="T1545" s="8">
        <f>R1545/L1545</f>
        <v/>
      </c>
      <c r="U1545" s="8">
        <f>(Q1545-P1545*G1545*SIN(RADIANS(E1545)))/M1545</f>
        <v/>
      </c>
      <c r="V1545" s="8">
        <f>SQRT((S1545+U1545)^2+3*T1545^2)</f>
        <v/>
      </c>
      <c r="W1545" s="8">
        <f>V1545/AA1545</f>
        <v/>
      </c>
      <c r="X1545" s="27">
        <f>((3*10+H1545/COS(RADIANS(E1545)))*(3+3)+3*G1545*H1545)*2</f>
        <v/>
      </c>
      <c r="Y1545" s="28">
        <f>Z1545/X1545</f>
        <v/>
      </c>
      <c r="Z1545" s="29" t="n">
        <v>727.6921281454891</v>
      </c>
      <c r="AA1545" s="20" t="n">
        <v>94.3573005285854</v>
      </c>
      <c r="AB1545" t="n">
        <v>0.09661782305921529</v>
      </c>
      <c r="AC1545" t="n">
        <v>83.50759965480925</v>
      </c>
      <c r="AD1545" t="n">
        <v>-24.51928884594506</v>
      </c>
    </row>
    <row r="1546">
      <c r="A1546" t="n">
        <v>1545</v>
      </c>
      <c r="B1546" t="n">
        <v>46.9</v>
      </c>
      <c r="C1546" s="21">
        <f>B1546-20</f>
        <v/>
      </c>
      <c r="D1546" t="n">
        <v>103.1</v>
      </c>
      <c r="E1546" s="22">
        <f>D1546-90</f>
        <v/>
      </c>
      <c r="F1546" s="23" t="n">
        <v>0.010102</v>
      </c>
      <c r="G1546" s="22" t="n">
        <v>29.8</v>
      </c>
      <c r="H1546" s="22" t="n">
        <v>1.2</v>
      </c>
      <c r="I1546" s="24" t="n">
        <v>0.0511846914887428</v>
      </c>
      <c r="J1546" s="6" t="n">
        <v>71000</v>
      </c>
      <c r="K1546" s="25">
        <f>23*10^-6</f>
        <v/>
      </c>
      <c r="L1546" s="8">
        <f>H1546</f>
        <v/>
      </c>
      <c r="M1546" s="26">
        <f>H1546^2/6</f>
        <v/>
      </c>
      <c r="N1546" s="26">
        <f>H1546^3/12</f>
        <v/>
      </c>
      <c r="O1546" s="27">
        <f>-J1546*L1546*K1546*C1546</f>
        <v/>
      </c>
      <c r="P1546" s="28">
        <f>-(12*F1546*J1546*L1546*N1546+12*O1546*N1546*G1546*COS(RADIANS(E1546)))/(12*N1546*G1546*COS(RADIANS(E1546))^2+L1546*G1546^3*SIN(RADIANS(E1546))^2)</f>
        <v/>
      </c>
      <c r="Q1546" s="28">
        <f>-(6*F1546*J1546*L1546*N1546*SIN(RADIANS(E1546))+6*O1546*N1546*G1546*SIN(RADIANS(E1546))*COS(RADIANS(E1546)))/(12*N1546*COS(RADIANS(E1546))^2+L1546*G1546^2*SIN(RADIANS(E1546))^2)</f>
        <v/>
      </c>
      <c r="R1546" s="28">
        <f>-P1546*SIN(RADIANS(E1546))</f>
        <v/>
      </c>
      <c r="S1546" s="8">
        <f>(O1546+P1546*COS(RADIANS(E1546)))/L1546</f>
        <v/>
      </c>
      <c r="T1546" s="8">
        <f>R1546/L1546</f>
        <v/>
      </c>
      <c r="U1546" s="8">
        <f>(Q1546-P1546*G1546*SIN(RADIANS(E1546)))/M1546</f>
        <v/>
      </c>
      <c r="V1546" s="8">
        <f>SQRT((S1546+U1546)^2+3*T1546^2)</f>
        <v/>
      </c>
      <c r="W1546" s="8">
        <f>V1546/AA1546</f>
        <v/>
      </c>
      <c r="X1546" s="27">
        <f>((3*10+H1546/COS(RADIANS(E1546)))*(3+3)+3*G1546*H1546)*2</f>
        <v/>
      </c>
      <c r="Y1546" s="28">
        <f>Z1546/X1546</f>
        <v/>
      </c>
      <c r="Z1546" s="29" t="n">
        <v>596.467626936427</v>
      </c>
      <c r="AA1546" s="20" t="n">
        <v>38.3188149121672</v>
      </c>
      <c r="AB1546" t="n">
        <v>0.1237218091504472</v>
      </c>
      <c r="AC1546" t="n">
        <v>43.02680928787062</v>
      </c>
      <c r="AD1546" t="n">
        <v>141.7164303464791</v>
      </c>
    </row>
    <row r="1547">
      <c r="A1547" t="n">
        <v>1546</v>
      </c>
      <c r="B1547" t="n">
        <v>53.9</v>
      </c>
      <c r="C1547" s="21">
        <f>B1547-20</f>
        <v/>
      </c>
      <c r="D1547" t="n">
        <v>102</v>
      </c>
      <c r="E1547" s="22">
        <f>D1547-90</f>
        <v/>
      </c>
      <c r="F1547" s="23" t="n">
        <v>0.010459</v>
      </c>
      <c r="G1547" s="22" t="n">
        <v>22.9</v>
      </c>
      <c r="H1547" s="22" t="n">
        <v>1.7</v>
      </c>
      <c r="I1547" s="24" t="n">
        <v>0.0575459152460098</v>
      </c>
      <c r="J1547" s="6" t="n">
        <v>71000</v>
      </c>
      <c r="K1547" s="25">
        <f>23*10^-6</f>
        <v/>
      </c>
      <c r="L1547" s="8">
        <f>H1547</f>
        <v/>
      </c>
      <c r="M1547" s="26">
        <f>H1547^2/6</f>
        <v/>
      </c>
      <c r="N1547" s="26">
        <f>H1547^3/12</f>
        <v/>
      </c>
      <c r="O1547" s="27">
        <f>-J1547*L1547*K1547*C1547</f>
        <v/>
      </c>
      <c r="P1547" s="28">
        <f>-(12*F1547*J1547*L1547*N1547+12*O1547*N1547*G1547*COS(RADIANS(E1547)))/(12*N1547*G1547*COS(RADIANS(E1547))^2+L1547*G1547^3*SIN(RADIANS(E1547))^2)</f>
        <v/>
      </c>
      <c r="Q1547" s="28">
        <f>-(6*F1547*J1547*L1547*N1547*SIN(RADIANS(E1547))+6*O1547*N1547*G1547*SIN(RADIANS(E1547))*COS(RADIANS(E1547)))/(12*N1547*COS(RADIANS(E1547))^2+L1547*G1547^2*SIN(RADIANS(E1547))^2)</f>
        <v/>
      </c>
      <c r="R1547" s="28">
        <f>-P1547*SIN(RADIANS(E1547))</f>
        <v/>
      </c>
      <c r="S1547" s="8">
        <f>(O1547+P1547*COS(RADIANS(E1547)))/L1547</f>
        <v/>
      </c>
      <c r="T1547" s="8">
        <f>R1547/L1547</f>
        <v/>
      </c>
      <c r="U1547" s="8">
        <f>(Q1547-P1547*G1547*SIN(RADIANS(E1547)))/M1547</f>
        <v/>
      </c>
      <c r="V1547" s="8">
        <f>SQRT((S1547+U1547)^2+3*T1547^2)</f>
        <v/>
      </c>
      <c r="W1547" s="8">
        <f>V1547/AA1547</f>
        <v/>
      </c>
      <c r="X1547" s="27">
        <f>((3*10+H1547/COS(RADIANS(E1547)))*(3+3)+3*G1547*H1547)*2</f>
        <v/>
      </c>
      <c r="Y1547" s="28">
        <f>Z1547/X1547</f>
        <v/>
      </c>
      <c r="Z1547" s="29" t="n">
        <v>621.283864566358</v>
      </c>
      <c r="AA1547" s="20" t="n">
        <v>55.3055529614628</v>
      </c>
      <c r="AB1547" t="n">
        <v>0.1223096495507279</v>
      </c>
      <c r="AC1547" t="n">
        <v>59.49586160029824</v>
      </c>
      <c r="AD1547" t="n">
        <v>112.5427131150004</v>
      </c>
    </row>
    <row r="1548">
      <c r="A1548" t="n">
        <v>1547</v>
      </c>
      <c r="B1548" t="n">
        <v>50.6</v>
      </c>
      <c r="C1548" s="21">
        <f>B1548-20</f>
        <v/>
      </c>
      <c r="D1548" t="n">
        <v>101.2</v>
      </c>
      <c r="E1548" s="22">
        <f>D1548-90</f>
        <v/>
      </c>
      <c r="F1548" s="23" t="n">
        <v>0.012078</v>
      </c>
      <c r="G1548" s="22" t="n">
        <v>29.9</v>
      </c>
      <c r="H1548" s="22" t="n">
        <v>1.1</v>
      </c>
      <c r="I1548" s="24" t="n">
        <v>0.07966162264347069</v>
      </c>
      <c r="J1548" s="6" t="n">
        <v>71000</v>
      </c>
      <c r="K1548" s="25">
        <f>23*10^-6</f>
        <v/>
      </c>
      <c r="L1548" s="8">
        <f>H1548</f>
        <v/>
      </c>
      <c r="M1548" s="26">
        <f>H1548^2/6</f>
        <v/>
      </c>
      <c r="N1548" s="26">
        <f>H1548^3/12</f>
        <v/>
      </c>
      <c r="O1548" s="27">
        <f>-J1548*L1548*K1548*C1548</f>
        <v/>
      </c>
      <c r="P1548" s="28">
        <f>-(12*F1548*J1548*L1548*N1548+12*O1548*N1548*G1548*COS(RADIANS(E1548)))/(12*N1548*G1548*COS(RADIANS(E1548))^2+L1548*G1548^3*SIN(RADIANS(E1548))^2)</f>
        <v/>
      </c>
      <c r="Q1548" s="28">
        <f>-(6*F1548*J1548*L1548*N1548*SIN(RADIANS(E1548))+6*O1548*N1548*G1548*SIN(RADIANS(E1548))*COS(RADIANS(E1548)))/(12*N1548*COS(RADIANS(E1548))^2+L1548*G1548^2*SIN(RADIANS(E1548))^2)</f>
        <v/>
      </c>
      <c r="R1548" s="28">
        <f>-P1548*SIN(RADIANS(E1548))</f>
        <v/>
      </c>
      <c r="S1548" s="8">
        <f>(O1548+P1548*COS(RADIANS(E1548)))/L1548</f>
        <v/>
      </c>
      <c r="T1548" s="8">
        <f>R1548/L1548</f>
        <v/>
      </c>
      <c r="U1548" s="8">
        <f>(Q1548-P1548*G1548*SIN(RADIANS(E1548)))/M1548</f>
        <v/>
      </c>
      <c r="V1548" s="8">
        <f>SQRT((S1548+U1548)^2+3*T1548^2)</f>
        <v/>
      </c>
      <c r="W1548" s="8">
        <f>V1548/AA1548</f>
        <v/>
      </c>
      <c r="X1548" s="27">
        <f>((3*10+H1548/COS(RADIANS(E1548)))*(3+3)+3*G1548*H1548)*2</f>
        <v/>
      </c>
      <c r="Y1548" s="28">
        <f>Z1548/X1548</f>
        <v/>
      </c>
      <c r="Z1548" s="29" t="n">
        <v>575.632129704395</v>
      </c>
      <c r="AA1548" s="20" t="n">
        <v>43.7225839607022</v>
      </c>
      <c r="AB1548" t="n">
        <v>0.1648119428087051</v>
      </c>
      <c r="AC1548" t="n">
        <v>49.4703884373361</v>
      </c>
      <c r="AD1548" t="n">
        <v>106.890014714273</v>
      </c>
    </row>
    <row r="1549">
      <c r="A1549" t="n">
        <v>1548</v>
      </c>
      <c r="B1549" t="n">
        <v>44.3</v>
      </c>
      <c r="C1549" s="21">
        <f>B1549-20</f>
        <v/>
      </c>
      <c r="D1549" t="n">
        <v>126.8</v>
      </c>
      <c r="E1549" s="22">
        <f>D1549-90</f>
        <v/>
      </c>
      <c r="F1549" s="23" t="n">
        <v>0.008076</v>
      </c>
      <c r="G1549" s="22" t="n">
        <v>23.8</v>
      </c>
      <c r="H1549" s="22" t="n">
        <v>2</v>
      </c>
      <c r="I1549" s="24" t="n">
        <v>0.0602690055966377</v>
      </c>
      <c r="J1549" s="6" t="n">
        <v>71000</v>
      </c>
      <c r="K1549" s="25">
        <f>23*10^-6</f>
        <v/>
      </c>
      <c r="L1549" s="8">
        <f>H1549</f>
        <v/>
      </c>
      <c r="M1549" s="26">
        <f>H1549^2/6</f>
        <v/>
      </c>
      <c r="N1549" s="26">
        <f>H1549^3/12</f>
        <v/>
      </c>
      <c r="O1549" s="27">
        <f>-J1549*L1549*K1549*C1549</f>
        <v/>
      </c>
      <c r="P1549" s="28">
        <f>-(12*F1549*J1549*L1549*N1549+12*O1549*N1549*G1549*COS(RADIANS(E1549)))/(12*N1549*G1549*COS(RADIANS(E1549))^2+L1549*G1549^3*SIN(RADIANS(E1549))^2)</f>
        <v/>
      </c>
      <c r="Q1549" s="28">
        <f>-(6*F1549*J1549*L1549*N1549*SIN(RADIANS(E1549))+6*O1549*N1549*G1549*SIN(RADIANS(E1549))*COS(RADIANS(E1549)))/(12*N1549*COS(RADIANS(E1549))^2+L1549*G1549^2*SIN(RADIANS(E1549))^2)</f>
        <v/>
      </c>
      <c r="R1549" s="28">
        <f>-P1549*SIN(RADIANS(E1549))</f>
        <v/>
      </c>
      <c r="S1549" s="8">
        <f>(O1549+P1549*COS(RADIANS(E1549)))/L1549</f>
        <v/>
      </c>
      <c r="T1549" s="8">
        <f>R1549/L1549</f>
        <v/>
      </c>
      <c r="U1549" s="8">
        <f>(Q1549-P1549*G1549*SIN(RADIANS(E1549)))/M1549</f>
        <v/>
      </c>
      <c r="V1549" s="8">
        <f>SQRT((S1549+U1549)^2+3*T1549^2)</f>
        <v/>
      </c>
      <c r="W1549" s="8">
        <f>V1549/AA1549</f>
        <v/>
      </c>
      <c r="X1549" s="27">
        <f>((3*10+H1549/COS(RADIANS(E1549)))*(3+3)+3*G1549*H1549)*2</f>
        <v/>
      </c>
      <c r="Y1549" s="28">
        <f>Z1549/X1549</f>
        <v/>
      </c>
      <c r="Z1549" s="29" t="n">
        <v>674.376958178244</v>
      </c>
      <c r="AA1549" s="20" t="n">
        <v>47.1020376161302</v>
      </c>
      <c r="AB1549" t="n">
        <v>0.03102757046723219</v>
      </c>
      <c r="AC1549" t="n">
        <v>36.27970868588472</v>
      </c>
      <c r="AD1549" t="n">
        <v>-48.51819743818177</v>
      </c>
    </row>
    <row r="1550">
      <c r="A1550" t="n">
        <v>1549</v>
      </c>
      <c r="B1550" t="n">
        <v>82.40000000000001</v>
      </c>
      <c r="C1550" s="21">
        <f>B1550-20</f>
        <v/>
      </c>
      <c r="D1550" t="n">
        <v>129.1</v>
      </c>
      <c r="E1550" s="22">
        <f>D1550-90</f>
        <v/>
      </c>
      <c r="F1550" s="23" t="n">
        <v>0.02684</v>
      </c>
      <c r="G1550" s="22" t="n">
        <v>34.6</v>
      </c>
      <c r="H1550" s="22" t="n">
        <v>1.2</v>
      </c>
      <c r="I1550" s="24" t="n">
        <v>0.139064043760299</v>
      </c>
      <c r="J1550" s="6" t="n">
        <v>71000</v>
      </c>
      <c r="K1550" s="25">
        <f>23*10^-6</f>
        <v/>
      </c>
      <c r="L1550" s="8">
        <f>H1550</f>
        <v/>
      </c>
      <c r="M1550" s="26">
        <f>H1550^2/6</f>
        <v/>
      </c>
      <c r="N1550" s="26">
        <f>H1550^3/12</f>
        <v/>
      </c>
      <c r="O1550" s="27">
        <f>-J1550*L1550*K1550*C1550</f>
        <v/>
      </c>
      <c r="P1550" s="28">
        <f>-(12*F1550*J1550*L1550*N1550+12*O1550*N1550*G1550*COS(RADIANS(E1550)))/(12*N1550*G1550*COS(RADIANS(E1550))^2+L1550*G1550^3*SIN(RADIANS(E1550))^2)</f>
        <v/>
      </c>
      <c r="Q1550" s="28">
        <f>-(6*F1550*J1550*L1550*N1550*SIN(RADIANS(E1550))+6*O1550*N1550*G1550*SIN(RADIANS(E1550))*COS(RADIANS(E1550)))/(12*N1550*COS(RADIANS(E1550))^2+L1550*G1550^2*SIN(RADIANS(E1550))^2)</f>
        <v/>
      </c>
      <c r="R1550" s="28">
        <f>-P1550*SIN(RADIANS(E1550))</f>
        <v/>
      </c>
      <c r="S1550" s="8">
        <f>(O1550+P1550*COS(RADIANS(E1550)))/L1550</f>
        <v/>
      </c>
      <c r="T1550" s="8">
        <f>R1550/L1550</f>
        <v/>
      </c>
      <c r="U1550" s="8">
        <f>(Q1550-P1550*G1550*SIN(RADIANS(E1550)))/M1550</f>
        <v/>
      </c>
      <c r="V1550" s="8">
        <f>SQRT((S1550+U1550)^2+3*T1550^2)</f>
        <v/>
      </c>
      <c r="W1550" s="8">
        <f>V1550/AA1550</f>
        <v/>
      </c>
      <c r="X1550" s="27">
        <f>((3*10+H1550/COS(RADIANS(E1550)))*(3+3)+3*G1550*H1550)*2</f>
        <v/>
      </c>
      <c r="Y1550" s="28">
        <f>Z1550/X1550</f>
        <v/>
      </c>
      <c r="Z1550" s="29" t="n">
        <v>630.426567781468</v>
      </c>
      <c r="AA1550" s="20" t="n">
        <v>88.0944357037674</v>
      </c>
      <c r="AB1550" t="n">
        <v>0.1072632785578902</v>
      </c>
      <c r="AC1550" t="n">
        <v>87.96645179170868</v>
      </c>
      <c r="AD1550" t="n">
        <v>-22.86771212925677</v>
      </c>
    </row>
    <row r="1551">
      <c r="A1551" t="n">
        <v>1550</v>
      </c>
      <c r="B1551" t="n">
        <v>89.2</v>
      </c>
      <c r="C1551" s="21">
        <f>B1551-20</f>
        <v/>
      </c>
      <c r="D1551" t="n">
        <v>106.5</v>
      </c>
      <c r="E1551" s="22">
        <f>D1551-90</f>
        <v/>
      </c>
      <c r="F1551" s="23" t="n">
        <v>0.018451</v>
      </c>
      <c r="G1551" s="22" t="n">
        <v>21</v>
      </c>
      <c r="H1551" s="22" t="n">
        <v>2</v>
      </c>
      <c r="I1551" s="24" t="n">
        <v>0.086608812212944</v>
      </c>
      <c r="J1551" s="6" t="n">
        <v>71000</v>
      </c>
      <c r="K1551" s="25">
        <f>23*10^-6</f>
        <v/>
      </c>
      <c r="L1551" s="8">
        <f>H1551</f>
        <v/>
      </c>
      <c r="M1551" s="26">
        <f>H1551^2/6</f>
        <v/>
      </c>
      <c r="N1551" s="26">
        <f>H1551^3/12</f>
        <v/>
      </c>
      <c r="O1551" s="27">
        <f>-J1551*L1551*K1551*C1551</f>
        <v/>
      </c>
      <c r="P1551" s="28">
        <f>-(12*F1551*J1551*L1551*N1551+12*O1551*N1551*G1551*COS(RADIANS(E1551)))/(12*N1551*G1551*COS(RADIANS(E1551))^2+L1551*G1551^3*SIN(RADIANS(E1551))^2)</f>
        <v/>
      </c>
      <c r="Q1551" s="28">
        <f>-(6*F1551*J1551*L1551*N1551*SIN(RADIANS(E1551))+6*O1551*N1551*G1551*SIN(RADIANS(E1551))*COS(RADIANS(E1551)))/(12*N1551*COS(RADIANS(E1551))^2+L1551*G1551^2*SIN(RADIANS(E1551))^2)</f>
        <v/>
      </c>
      <c r="R1551" s="28">
        <f>-P1551*SIN(RADIANS(E1551))</f>
        <v/>
      </c>
      <c r="S1551" s="8">
        <f>(O1551+P1551*COS(RADIANS(E1551)))/L1551</f>
        <v/>
      </c>
      <c r="T1551" s="8">
        <f>R1551/L1551</f>
        <v/>
      </c>
      <c r="U1551" s="8">
        <f>(Q1551-P1551*G1551*SIN(RADIANS(E1551)))/M1551</f>
        <v/>
      </c>
      <c r="V1551" s="8">
        <f>SQRT((S1551+U1551)^2+3*T1551^2)</f>
        <v/>
      </c>
      <c r="W1551" s="8">
        <f>V1551/AA1551</f>
        <v/>
      </c>
      <c r="X1551" s="27">
        <f>((3*10+H1551/COS(RADIANS(E1551)))*(3+3)+3*G1551*H1551)*2</f>
        <v/>
      </c>
      <c r="Y1551" s="28">
        <f>Z1551/X1551</f>
        <v/>
      </c>
      <c r="Z1551" s="29" t="n">
        <v>649.400419960006</v>
      </c>
      <c r="AA1551" s="20" t="n">
        <v>118.594272584503</v>
      </c>
      <c r="AB1551" t="n">
        <v>0.1691672156634516</v>
      </c>
      <c r="AC1551" t="n">
        <v>118.8269953215149</v>
      </c>
      <c r="AD1551" t="n">
        <v>95.32332951007602</v>
      </c>
    </row>
    <row r="1552">
      <c r="A1552" t="n">
        <v>1551</v>
      </c>
      <c r="B1552" t="n">
        <v>78.59999999999999</v>
      </c>
      <c r="C1552" s="21">
        <f>B1552-20</f>
        <v/>
      </c>
      <c r="D1552" t="n">
        <v>126.6</v>
      </c>
      <c r="E1552" s="22">
        <f>D1552-90</f>
        <v/>
      </c>
      <c r="F1552" s="23" t="n">
        <v>0.018258</v>
      </c>
      <c r="G1552" s="22" t="n">
        <v>21.9</v>
      </c>
      <c r="H1552" s="22" t="n">
        <v>1.4</v>
      </c>
      <c r="I1552" s="24" t="n">
        <v>0.144817039370536</v>
      </c>
      <c r="J1552" s="6" t="n">
        <v>71000</v>
      </c>
      <c r="K1552" s="25">
        <f>23*10^-6</f>
        <v/>
      </c>
      <c r="L1552" s="8">
        <f>H1552</f>
        <v/>
      </c>
      <c r="M1552" s="26">
        <f>H1552^2/6</f>
        <v/>
      </c>
      <c r="N1552" s="26">
        <f>H1552^3/12</f>
        <v/>
      </c>
      <c r="O1552" s="27">
        <f>-J1552*L1552*K1552*C1552</f>
        <v/>
      </c>
      <c r="P1552" s="28">
        <f>-(12*F1552*J1552*L1552*N1552+12*O1552*N1552*G1552*COS(RADIANS(E1552)))/(12*N1552*G1552*COS(RADIANS(E1552))^2+L1552*G1552^3*SIN(RADIANS(E1552))^2)</f>
        <v/>
      </c>
      <c r="Q1552" s="28">
        <f>-(6*F1552*J1552*L1552*N1552*SIN(RADIANS(E1552))+6*O1552*N1552*G1552*SIN(RADIANS(E1552))*COS(RADIANS(E1552)))/(12*N1552*COS(RADIANS(E1552))^2+L1552*G1552^2*SIN(RADIANS(E1552))^2)</f>
        <v/>
      </c>
      <c r="R1552" s="28">
        <f>-P1552*SIN(RADIANS(E1552))</f>
        <v/>
      </c>
      <c r="S1552" s="8">
        <f>(O1552+P1552*COS(RADIANS(E1552)))/L1552</f>
        <v/>
      </c>
      <c r="T1552" s="8">
        <f>R1552/L1552</f>
        <v/>
      </c>
      <c r="U1552" s="8">
        <f>(Q1552-P1552*G1552*SIN(RADIANS(E1552)))/M1552</f>
        <v/>
      </c>
      <c r="V1552" s="8">
        <f>SQRT((S1552+U1552)^2+3*T1552^2)</f>
        <v/>
      </c>
      <c r="W1552" s="8">
        <f>V1552/AA1552</f>
        <v/>
      </c>
      <c r="X1552" s="27">
        <f>((3*10+H1552/COS(RADIANS(E1552)))*(3+3)+3*G1552*H1552)*2</f>
        <v/>
      </c>
      <c r="Y1552" s="28">
        <f>Z1552/X1552</f>
        <v/>
      </c>
      <c r="Z1552" s="29" t="n">
        <v>565.2837800368731</v>
      </c>
      <c r="AA1552" s="20" t="n">
        <v>95.38085145873499</v>
      </c>
      <c r="AB1552" t="n">
        <v>0.07011214683071341</v>
      </c>
      <c r="AC1552" t="n">
        <v>85.27593198838032</v>
      </c>
      <c r="AD1552" t="n">
        <v>-51.58570625703718</v>
      </c>
    </row>
    <row r="1553">
      <c r="A1553" t="n">
        <v>1552</v>
      </c>
      <c r="B1553" t="n">
        <v>68.5</v>
      </c>
      <c r="C1553" s="21">
        <f>B1553-20</f>
        <v/>
      </c>
      <c r="D1553" t="n">
        <v>105.3</v>
      </c>
      <c r="E1553" s="22">
        <f>D1553-90</f>
        <v/>
      </c>
      <c r="F1553" s="23" t="n">
        <v>0.016784</v>
      </c>
      <c r="G1553" s="22" t="n">
        <v>24.9</v>
      </c>
      <c r="H1553" s="22" t="n">
        <v>1.1</v>
      </c>
      <c r="I1553" s="24" t="n">
        <v>0.143999099731445</v>
      </c>
      <c r="J1553" s="6" t="n">
        <v>71000</v>
      </c>
      <c r="K1553" s="25">
        <f>23*10^-6</f>
        <v/>
      </c>
      <c r="L1553" s="8">
        <f>H1553</f>
        <v/>
      </c>
      <c r="M1553" s="26">
        <f>H1553^2/6</f>
        <v/>
      </c>
      <c r="N1553" s="26">
        <f>H1553^3/12</f>
        <v/>
      </c>
      <c r="O1553" s="27">
        <f>-J1553*L1553*K1553*C1553</f>
        <v/>
      </c>
      <c r="P1553" s="28">
        <f>-(12*F1553*J1553*L1553*N1553+12*O1553*N1553*G1553*COS(RADIANS(E1553)))/(12*N1553*G1553*COS(RADIANS(E1553))^2+L1553*G1553^3*SIN(RADIANS(E1553))^2)</f>
        <v/>
      </c>
      <c r="Q1553" s="28">
        <f>-(6*F1553*J1553*L1553*N1553*SIN(RADIANS(E1553))+6*O1553*N1553*G1553*SIN(RADIANS(E1553))*COS(RADIANS(E1553)))/(12*N1553*COS(RADIANS(E1553))^2+L1553*G1553^2*SIN(RADIANS(E1553))^2)</f>
        <v/>
      </c>
      <c r="R1553" s="28">
        <f>-P1553*SIN(RADIANS(E1553))</f>
        <v/>
      </c>
      <c r="S1553" s="8">
        <f>(O1553+P1553*COS(RADIANS(E1553)))/L1553</f>
        <v/>
      </c>
      <c r="T1553" s="8">
        <f>R1553/L1553</f>
        <v/>
      </c>
      <c r="U1553" s="8">
        <f>(Q1553-P1553*G1553*SIN(RADIANS(E1553)))/M1553</f>
        <v/>
      </c>
      <c r="V1553" s="8">
        <f>SQRT((S1553+U1553)^2+3*T1553^2)</f>
        <v/>
      </c>
      <c r="W1553" s="8">
        <f>V1553/AA1553</f>
        <v/>
      </c>
      <c r="X1553" s="27">
        <f>((3*10+H1553/COS(RADIANS(E1553)))*(3+3)+3*G1553*H1553)*2</f>
        <v/>
      </c>
      <c r="Y1553" s="28">
        <f>Z1553/X1553</f>
        <v/>
      </c>
      <c r="Z1553" s="29" t="n">
        <v>541.80469951462</v>
      </c>
      <c r="AA1553" s="20" t="n">
        <v>72.5408933563415</v>
      </c>
      <c r="AB1553" t="n">
        <v>0.1615974118764629</v>
      </c>
      <c r="AC1553" t="n">
        <v>76.21526508505069</v>
      </c>
      <c r="AD1553" t="n">
        <v>12.22112650553949</v>
      </c>
    </row>
    <row r="1554">
      <c r="A1554" t="n">
        <v>1553</v>
      </c>
      <c r="B1554" t="n">
        <v>72.8</v>
      </c>
      <c r="C1554" s="21">
        <f>B1554-20</f>
        <v/>
      </c>
      <c r="D1554" t="n">
        <v>101.6</v>
      </c>
      <c r="E1554" s="22">
        <f>D1554-90</f>
        <v/>
      </c>
      <c r="F1554" s="23" t="n">
        <v>0.018432</v>
      </c>
      <c r="G1554" s="22" t="n">
        <v>25.1</v>
      </c>
      <c r="H1554" s="22" t="n">
        <v>1.5</v>
      </c>
      <c r="I1554" s="24" t="n">
        <v>0.161037474870681</v>
      </c>
      <c r="J1554" s="6" t="n">
        <v>71000</v>
      </c>
      <c r="K1554" s="25">
        <f>23*10^-6</f>
        <v/>
      </c>
      <c r="L1554" s="8">
        <f>H1554</f>
        <v/>
      </c>
      <c r="M1554" s="26">
        <f>H1554^2/6</f>
        <v/>
      </c>
      <c r="N1554" s="26">
        <f>H1554^3/12</f>
        <v/>
      </c>
      <c r="O1554" s="27">
        <f>-J1554*L1554*K1554*C1554</f>
        <v/>
      </c>
      <c r="P1554" s="28">
        <f>-(12*F1554*J1554*L1554*N1554+12*O1554*N1554*G1554*COS(RADIANS(E1554)))/(12*N1554*G1554*COS(RADIANS(E1554))^2+L1554*G1554^3*SIN(RADIANS(E1554))^2)</f>
        <v/>
      </c>
      <c r="Q1554" s="28">
        <f>-(6*F1554*J1554*L1554*N1554*SIN(RADIANS(E1554))+6*O1554*N1554*G1554*SIN(RADIANS(E1554))*COS(RADIANS(E1554)))/(12*N1554*COS(RADIANS(E1554))^2+L1554*G1554^2*SIN(RADIANS(E1554))^2)</f>
        <v/>
      </c>
      <c r="R1554" s="28">
        <f>-P1554*SIN(RADIANS(E1554))</f>
        <v/>
      </c>
      <c r="S1554" s="8">
        <f>(O1554+P1554*COS(RADIANS(E1554)))/L1554</f>
        <v/>
      </c>
      <c r="T1554" s="8">
        <f>R1554/L1554</f>
        <v/>
      </c>
      <c r="U1554" s="8">
        <f>(Q1554-P1554*G1554*SIN(RADIANS(E1554)))/M1554</f>
        <v/>
      </c>
      <c r="V1554" s="8">
        <f>SQRT((S1554+U1554)^2+3*T1554^2)</f>
        <v/>
      </c>
      <c r="W1554" s="8">
        <f>V1554/AA1554</f>
        <v/>
      </c>
      <c r="X1554" s="27">
        <f>((3*10+H1554/COS(RADIANS(E1554)))*(3+3)+3*G1554*H1554)*2</f>
        <v/>
      </c>
      <c r="Y1554" s="28">
        <f>Z1554/X1554</f>
        <v/>
      </c>
      <c r="Z1554" s="29" t="n">
        <v>608.149042272735</v>
      </c>
      <c r="AA1554" s="20" t="n">
        <v>88.61996176269319</v>
      </c>
      <c r="AB1554" t="n">
        <v>0.2221341985024048</v>
      </c>
      <c r="AC1554" t="n">
        <v>90.68692825195512</v>
      </c>
      <c r="AD1554" t="n">
        <v>37.93944464217826</v>
      </c>
    </row>
    <row r="1555">
      <c r="A1555" t="n">
        <v>1554</v>
      </c>
      <c r="B1555" t="n">
        <v>75.09999999999999</v>
      </c>
      <c r="C1555" s="21">
        <f>B1555-20</f>
        <v/>
      </c>
      <c r="D1555" t="n">
        <v>110.5</v>
      </c>
      <c r="E1555" s="22">
        <f>D1555-90</f>
        <v/>
      </c>
      <c r="F1555" s="23" t="n">
        <v>0.020065</v>
      </c>
      <c r="G1555" s="22" t="n">
        <v>32.4</v>
      </c>
      <c r="H1555" s="22" t="n">
        <v>1.6</v>
      </c>
      <c r="I1555" s="24" t="n">
        <v>0.0865031629800796</v>
      </c>
      <c r="J1555" s="6" t="n">
        <v>71000</v>
      </c>
      <c r="K1555" s="25">
        <f>23*10^-6</f>
        <v/>
      </c>
      <c r="L1555" s="8">
        <f>H1555</f>
        <v/>
      </c>
      <c r="M1555" s="26">
        <f>H1555^2/6</f>
        <v/>
      </c>
      <c r="N1555" s="26">
        <f>H1555^3/12</f>
        <v/>
      </c>
      <c r="O1555" s="27">
        <f>-J1555*L1555*K1555*C1555</f>
        <v/>
      </c>
      <c r="P1555" s="28">
        <f>-(12*F1555*J1555*L1555*N1555+12*O1555*N1555*G1555*COS(RADIANS(E1555)))/(12*N1555*G1555*COS(RADIANS(E1555))^2+L1555*G1555^3*SIN(RADIANS(E1555))^2)</f>
        <v/>
      </c>
      <c r="Q1555" s="28">
        <f>-(6*F1555*J1555*L1555*N1555*SIN(RADIANS(E1555))+6*O1555*N1555*G1555*SIN(RADIANS(E1555))*COS(RADIANS(E1555)))/(12*N1555*COS(RADIANS(E1555))^2+L1555*G1555^2*SIN(RADIANS(E1555))^2)</f>
        <v/>
      </c>
      <c r="R1555" s="28">
        <f>-P1555*SIN(RADIANS(E1555))</f>
        <v/>
      </c>
      <c r="S1555" s="8">
        <f>(O1555+P1555*COS(RADIANS(E1555)))/L1555</f>
        <v/>
      </c>
      <c r="T1555" s="8">
        <f>R1555/L1555</f>
        <v/>
      </c>
      <c r="U1555" s="8">
        <f>(Q1555-P1555*G1555*SIN(RADIANS(E1555)))/M1555</f>
        <v/>
      </c>
      <c r="V1555" s="8">
        <f>SQRT((S1555+U1555)^2+3*T1555^2)</f>
        <v/>
      </c>
      <c r="W1555" s="8">
        <f>V1555/AA1555</f>
        <v/>
      </c>
      <c r="X1555" s="27">
        <f>((3*10+H1555/COS(RADIANS(E1555)))*(3+3)+3*G1555*H1555)*2</f>
        <v/>
      </c>
      <c r="Y1555" s="28">
        <f>Z1555/X1555</f>
        <v/>
      </c>
      <c r="Z1555" s="29" t="n">
        <v>704.424306937859</v>
      </c>
      <c r="AA1555" s="20" t="n">
        <v>80.42300494491219</v>
      </c>
      <c r="AB1555" t="n">
        <v>0.1751088581124433</v>
      </c>
      <c r="AC1555" t="n">
        <v>85.20266821411509</v>
      </c>
      <c r="AD1555" t="n">
        <v>102.4305841310893</v>
      </c>
    </row>
    <row r="1556">
      <c r="A1556" t="n">
        <v>1555</v>
      </c>
      <c r="B1556" t="n">
        <v>86.90000000000001</v>
      </c>
      <c r="C1556" s="21">
        <f>B1556-20</f>
        <v/>
      </c>
      <c r="D1556" t="n">
        <v>126.4</v>
      </c>
      <c r="E1556" s="22">
        <f>D1556-90</f>
        <v/>
      </c>
      <c r="F1556" s="23" t="n">
        <v>0.024995</v>
      </c>
      <c r="G1556" s="22" t="n">
        <v>34.5</v>
      </c>
      <c r="H1556" s="22" t="n">
        <v>1.8</v>
      </c>
      <c r="I1556" s="24" t="n">
        <v>0.105776473879814</v>
      </c>
      <c r="J1556" s="6" t="n">
        <v>71000</v>
      </c>
      <c r="K1556" s="25">
        <f>23*10^-6</f>
        <v/>
      </c>
      <c r="L1556" s="8">
        <f>H1556</f>
        <v/>
      </c>
      <c r="M1556" s="26">
        <f>H1556^2/6</f>
        <v/>
      </c>
      <c r="N1556" s="26">
        <f>H1556^3/12</f>
        <v/>
      </c>
      <c r="O1556" s="27">
        <f>-J1556*L1556*K1556*C1556</f>
        <v/>
      </c>
      <c r="P1556" s="28">
        <f>-(12*F1556*J1556*L1556*N1556+12*O1556*N1556*G1556*COS(RADIANS(E1556)))/(12*N1556*G1556*COS(RADIANS(E1556))^2+L1556*G1556^3*SIN(RADIANS(E1556))^2)</f>
        <v/>
      </c>
      <c r="Q1556" s="28">
        <f>-(6*F1556*J1556*L1556*N1556*SIN(RADIANS(E1556))+6*O1556*N1556*G1556*SIN(RADIANS(E1556))*COS(RADIANS(E1556)))/(12*N1556*COS(RADIANS(E1556))^2+L1556*G1556^2*SIN(RADIANS(E1556))^2)</f>
        <v/>
      </c>
      <c r="R1556" s="28">
        <f>-P1556*SIN(RADIANS(E1556))</f>
        <v/>
      </c>
      <c r="S1556" s="8">
        <f>(O1556+P1556*COS(RADIANS(E1556)))/L1556</f>
        <v/>
      </c>
      <c r="T1556" s="8">
        <f>R1556/L1556</f>
        <v/>
      </c>
      <c r="U1556" s="8">
        <f>(Q1556-P1556*G1556*SIN(RADIANS(E1556)))/M1556</f>
        <v/>
      </c>
      <c r="V1556" s="8">
        <f>SQRT((S1556+U1556)^2+3*T1556^2)</f>
        <v/>
      </c>
      <c r="W1556" s="8">
        <f>V1556/AA1556</f>
        <v/>
      </c>
      <c r="X1556" s="27">
        <f>((3*10+H1556/COS(RADIANS(E1556)))*(3+3)+3*G1556*H1556)*2</f>
        <v/>
      </c>
      <c r="Y1556" s="28">
        <f>Z1556/X1556</f>
        <v/>
      </c>
      <c r="Z1556" s="29" t="n">
        <v>770.793002001471</v>
      </c>
      <c r="AA1556" s="20" t="n">
        <v>98.76405129463009</v>
      </c>
      <c r="AB1556" t="n">
        <v>0.1236740768955235</v>
      </c>
      <c r="AC1556" t="n">
        <v>97.2175010603876</v>
      </c>
      <c r="AD1556" t="n">
        <v>16.92021142248062</v>
      </c>
    </row>
    <row r="1557">
      <c r="A1557" t="n">
        <v>1556</v>
      </c>
      <c r="B1557" t="n">
        <v>69.3</v>
      </c>
      <c r="C1557" s="21">
        <f>B1557-20</f>
        <v/>
      </c>
      <c r="D1557" t="n">
        <v>101.8</v>
      </c>
      <c r="E1557" s="22">
        <f>D1557-90</f>
        <v/>
      </c>
      <c r="F1557" s="23" t="n">
        <v>0.014311</v>
      </c>
      <c r="G1557" s="22" t="n">
        <v>20.3</v>
      </c>
      <c r="H1557" s="22" t="n">
        <v>1.5</v>
      </c>
      <c r="I1557" s="24" t="n">
        <v>0.0976690873503685</v>
      </c>
      <c r="J1557" s="6" t="n">
        <v>71000</v>
      </c>
      <c r="K1557" s="25">
        <f>23*10^-6</f>
        <v/>
      </c>
      <c r="L1557" s="8">
        <f>H1557</f>
        <v/>
      </c>
      <c r="M1557" s="26">
        <f>H1557^2/6</f>
        <v/>
      </c>
      <c r="N1557" s="26">
        <f>H1557^3/12</f>
        <v/>
      </c>
      <c r="O1557" s="27">
        <f>-J1557*L1557*K1557*C1557</f>
        <v/>
      </c>
      <c r="P1557" s="28">
        <f>-(12*F1557*J1557*L1557*N1557+12*O1557*N1557*G1557*COS(RADIANS(E1557)))/(12*N1557*G1557*COS(RADIANS(E1557))^2+L1557*G1557^3*SIN(RADIANS(E1557))^2)</f>
        <v/>
      </c>
      <c r="Q1557" s="28">
        <f>-(6*F1557*J1557*L1557*N1557*SIN(RADIANS(E1557))+6*O1557*N1557*G1557*SIN(RADIANS(E1557))*COS(RADIANS(E1557)))/(12*N1557*COS(RADIANS(E1557))^2+L1557*G1557^2*SIN(RADIANS(E1557))^2)</f>
        <v/>
      </c>
      <c r="R1557" s="28">
        <f>-P1557*SIN(RADIANS(E1557))</f>
        <v/>
      </c>
      <c r="S1557" s="8">
        <f>(O1557+P1557*COS(RADIANS(E1557)))/L1557</f>
        <v/>
      </c>
      <c r="T1557" s="8">
        <f>R1557/L1557</f>
        <v/>
      </c>
      <c r="U1557" s="8">
        <f>(Q1557-P1557*G1557*SIN(RADIANS(E1557)))/M1557</f>
        <v/>
      </c>
      <c r="V1557" s="8">
        <f>SQRT((S1557+U1557)^2+3*T1557^2)</f>
        <v/>
      </c>
      <c r="W1557" s="8">
        <f>V1557/AA1557</f>
        <v/>
      </c>
      <c r="X1557" s="27">
        <f>((3*10+H1557/COS(RADIANS(E1557)))*(3+3)+3*G1557*H1557)*2</f>
        <v/>
      </c>
      <c r="Y1557" s="28">
        <f>Z1557/X1557</f>
        <v/>
      </c>
      <c r="Z1557" s="29" t="n">
        <v>565.937483720965</v>
      </c>
      <c r="AA1557" s="20" t="n">
        <v>81.37692157907129</v>
      </c>
      <c r="AB1557" t="n">
        <v>0.1615670688052481</v>
      </c>
      <c r="AC1557" t="n">
        <v>85.75942069787023</v>
      </c>
      <c r="AD1557" t="n">
        <v>65.42293287297575</v>
      </c>
    </row>
    <row r="1558">
      <c r="A1558" t="n">
        <v>1557</v>
      </c>
      <c r="B1558" t="n">
        <v>79.8</v>
      </c>
      <c r="C1558" s="21">
        <f>B1558-20</f>
        <v/>
      </c>
      <c r="D1558" t="n">
        <v>120.4</v>
      </c>
      <c r="E1558" s="22">
        <f>D1558-90</f>
        <v/>
      </c>
      <c r="F1558" s="23" t="n">
        <v>0.021111</v>
      </c>
      <c r="G1558" s="22" t="n">
        <v>31.1</v>
      </c>
      <c r="H1558" s="22" t="n">
        <v>1.9</v>
      </c>
      <c r="I1558" s="24" t="n">
        <v>0.0917643308639526</v>
      </c>
      <c r="J1558" s="6" t="n">
        <v>71000</v>
      </c>
      <c r="K1558" s="25">
        <f>23*10^-6</f>
        <v/>
      </c>
      <c r="L1558" s="8">
        <f>H1558</f>
        <v/>
      </c>
      <c r="M1558" s="26">
        <f>H1558^2/6</f>
        <v/>
      </c>
      <c r="N1558" s="26">
        <f>H1558^3/12</f>
        <v/>
      </c>
      <c r="O1558" s="27">
        <f>-J1558*L1558*K1558*C1558</f>
        <v/>
      </c>
      <c r="P1558" s="28">
        <f>-(12*F1558*J1558*L1558*N1558+12*O1558*N1558*G1558*COS(RADIANS(E1558)))/(12*N1558*G1558*COS(RADIANS(E1558))^2+L1558*G1558^3*SIN(RADIANS(E1558))^2)</f>
        <v/>
      </c>
      <c r="Q1558" s="28">
        <f>-(6*F1558*J1558*L1558*N1558*SIN(RADIANS(E1558))+6*O1558*N1558*G1558*SIN(RADIANS(E1558))*COS(RADIANS(E1558)))/(12*N1558*COS(RADIANS(E1558))^2+L1558*G1558^2*SIN(RADIANS(E1558))^2)</f>
        <v/>
      </c>
      <c r="R1558" s="28">
        <f>-P1558*SIN(RADIANS(E1558))</f>
        <v/>
      </c>
      <c r="S1558" s="8">
        <f>(O1558+P1558*COS(RADIANS(E1558)))/L1558</f>
        <v/>
      </c>
      <c r="T1558" s="8">
        <f>R1558/L1558</f>
        <v/>
      </c>
      <c r="U1558" s="8">
        <f>(Q1558-P1558*G1558*SIN(RADIANS(E1558)))/M1558</f>
        <v/>
      </c>
      <c r="V1558" s="8">
        <f>SQRT((S1558+U1558)^2+3*T1558^2)</f>
        <v/>
      </c>
      <c r="W1558" s="8">
        <f>V1558/AA1558</f>
        <v/>
      </c>
      <c r="X1558" s="27">
        <f>((3*10+H1558/COS(RADIANS(E1558)))*(3+3)+3*G1558*H1558)*2</f>
        <v/>
      </c>
      <c r="Y1558" s="28">
        <f>Z1558/X1558</f>
        <v/>
      </c>
      <c r="Z1558" s="29" t="n">
        <v>752.268324563844</v>
      </c>
      <c r="AA1558" s="20" t="n">
        <v>93.14701735850819</v>
      </c>
      <c r="AB1558" t="n">
        <v>0.1212136067787471</v>
      </c>
      <c r="AC1558" t="n">
        <v>89.74717661857714</v>
      </c>
      <c r="AD1558" t="n">
        <v>32.09229080355332</v>
      </c>
    </row>
    <row r="1559">
      <c r="A1559" t="n">
        <v>1558</v>
      </c>
      <c r="B1559" t="n">
        <v>63.4</v>
      </c>
      <c r="C1559" s="21">
        <f>B1559-20</f>
        <v/>
      </c>
      <c r="D1559" t="n">
        <v>115</v>
      </c>
      <c r="E1559" s="22">
        <f>D1559-90</f>
        <v/>
      </c>
      <c r="F1559" s="23" t="n">
        <v>0.014613</v>
      </c>
      <c r="G1559" s="22" t="n">
        <v>24.4</v>
      </c>
      <c r="H1559" s="22" t="n">
        <v>1.9</v>
      </c>
      <c r="I1559" s="24" t="n">
        <v>0.101469866931438</v>
      </c>
      <c r="J1559" s="6" t="n">
        <v>71000</v>
      </c>
      <c r="K1559" s="25">
        <f>23*10^-6</f>
        <v/>
      </c>
      <c r="L1559" s="8">
        <f>H1559</f>
        <v/>
      </c>
      <c r="M1559" s="26">
        <f>H1559^2/6</f>
        <v/>
      </c>
      <c r="N1559" s="26">
        <f>H1559^3/12</f>
        <v/>
      </c>
      <c r="O1559" s="27">
        <f>-J1559*L1559*K1559*C1559</f>
        <v/>
      </c>
      <c r="P1559" s="28">
        <f>-(12*F1559*J1559*L1559*N1559+12*O1559*N1559*G1559*COS(RADIANS(E1559)))/(12*N1559*G1559*COS(RADIANS(E1559))^2+L1559*G1559^3*SIN(RADIANS(E1559))^2)</f>
        <v/>
      </c>
      <c r="Q1559" s="28">
        <f>-(6*F1559*J1559*L1559*N1559*SIN(RADIANS(E1559))+6*O1559*N1559*G1559*SIN(RADIANS(E1559))*COS(RADIANS(E1559)))/(12*N1559*COS(RADIANS(E1559))^2+L1559*G1559^2*SIN(RADIANS(E1559))^2)</f>
        <v/>
      </c>
      <c r="R1559" s="28">
        <f>-P1559*SIN(RADIANS(E1559))</f>
        <v/>
      </c>
      <c r="S1559" s="8">
        <f>(O1559+P1559*COS(RADIANS(E1559)))/L1559</f>
        <v/>
      </c>
      <c r="T1559" s="8">
        <f>R1559/L1559</f>
        <v/>
      </c>
      <c r="U1559" s="8">
        <f>(Q1559-P1559*G1559*SIN(RADIANS(E1559)))/M1559</f>
        <v/>
      </c>
      <c r="V1559" s="8">
        <f>SQRT((S1559+U1559)^2+3*T1559^2)</f>
        <v/>
      </c>
      <c r="W1559" s="8">
        <f>V1559/AA1559</f>
        <v/>
      </c>
      <c r="X1559" s="27">
        <f>((3*10+H1559/COS(RADIANS(E1559)))*(3+3)+3*G1559*H1559)*2</f>
        <v/>
      </c>
      <c r="Y1559" s="28">
        <f>Z1559/X1559</f>
        <v/>
      </c>
      <c r="Z1559" s="29" t="n">
        <v>666.1132914652979</v>
      </c>
      <c r="AA1559" s="20" t="n">
        <v>77.9812085605659</v>
      </c>
      <c r="AB1559" t="n">
        <v>0.08491200290290044</v>
      </c>
      <c r="AC1559" t="n">
        <v>68.21609793851701</v>
      </c>
      <c r="AD1559" t="n">
        <v>-16.31801098125567</v>
      </c>
    </row>
    <row r="1560">
      <c r="A1560" t="n">
        <v>1559</v>
      </c>
      <c r="B1560" t="n">
        <v>69.8</v>
      </c>
      <c r="C1560" s="21">
        <f>B1560-20</f>
        <v/>
      </c>
      <c r="D1560" t="n">
        <v>124.2</v>
      </c>
      <c r="E1560" s="22">
        <f>D1560-90</f>
        <v/>
      </c>
      <c r="F1560" s="23" t="n">
        <v>0.017643</v>
      </c>
      <c r="G1560" s="22" t="n">
        <v>25.6</v>
      </c>
      <c r="H1560" s="22" t="n">
        <v>1.6</v>
      </c>
      <c r="I1560" s="24" t="n">
        <v>0.149367213249206</v>
      </c>
      <c r="J1560" s="6" t="n">
        <v>71000</v>
      </c>
      <c r="K1560" s="25">
        <f>23*10^-6</f>
        <v/>
      </c>
      <c r="L1560" s="8">
        <f>H1560</f>
        <v/>
      </c>
      <c r="M1560" s="26">
        <f>H1560^2/6</f>
        <v/>
      </c>
      <c r="N1560" s="26">
        <f>H1560^3/12</f>
        <v/>
      </c>
      <c r="O1560" s="27">
        <f>-J1560*L1560*K1560*C1560</f>
        <v/>
      </c>
      <c r="P1560" s="28">
        <f>-(12*F1560*J1560*L1560*N1560+12*O1560*N1560*G1560*COS(RADIANS(E1560)))/(12*N1560*G1560*COS(RADIANS(E1560))^2+L1560*G1560^3*SIN(RADIANS(E1560))^2)</f>
        <v/>
      </c>
      <c r="Q1560" s="28">
        <f>-(6*F1560*J1560*L1560*N1560*SIN(RADIANS(E1560))+6*O1560*N1560*G1560*SIN(RADIANS(E1560))*COS(RADIANS(E1560)))/(12*N1560*COS(RADIANS(E1560))^2+L1560*G1560^2*SIN(RADIANS(E1560))^2)</f>
        <v/>
      </c>
      <c r="R1560" s="28">
        <f>-P1560*SIN(RADIANS(E1560))</f>
        <v/>
      </c>
      <c r="S1560" s="8">
        <f>(O1560+P1560*COS(RADIANS(E1560)))/L1560</f>
        <v/>
      </c>
      <c r="T1560" s="8">
        <f>R1560/L1560</f>
        <v/>
      </c>
      <c r="U1560" s="8">
        <f>(Q1560-P1560*G1560*SIN(RADIANS(E1560)))/M1560</f>
        <v/>
      </c>
      <c r="V1560" s="8">
        <f>SQRT((S1560+U1560)^2+3*T1560^2)</f>
        <v/>
      </c>
      <c r="W1560" s="8">
        <f>V1560/AA1560</f>
        <v/>
      </c>
      <c r="X1560" s="27">
        <f>((3*10+H1560/COS(RADIANS(E1560)))*(3+3)+3*G1560*H1560)*2</f>
        <v/>
      </c>
      <c r="Y1560" s="28">
        <f>Z1560/X1560</f>
        <v/>
      </c>
      <c r="Z1560" s="29" t="n">
        <v>629.294376130385</v>
      </c>
      <c r="AA1560" s="20" t="n">
        <v>84.981970175063</v>
      </c>
      <c r="AB1560" t="n">
        <v>0.07415109679102036</v>
      </c>
      <c r="AC1560" t="n">
        <v>73.3426469187489</v>
      </c>
      <c r="AD1560" t="n">
        <v>-50.3565105232928</v>
      </c>
    </row>
    <row r="1561">
      <c r="A1561" t="n">
        <v>1560</v>
      </c>
      <c r="B1561" t="n">
        <v>58</v>
      </c>
      <c r="C1561" s="21">
        <f>B1561-20</f>
        <v/>
      </c>
      <c r="D1561" t="n">
        <v>124.2</v>
      </c>
      <c r="E1561" s="22">
        <f>D1561-90</f>
        <v/>
      </c>
      <c r="F1561" s="23" t="n">
        <v>0.013109</v>
      </c>
      <c r="G1561" s="22" t="n">
        <v>25.9</v>
      </c>
      <c r="H1561" s="22" t="n">
        <v>1.9</v>
      </c>
      <c r="I1561" s="24" t="n">
        <v>0.0758583918213844</v>
      </c>
      <c r="J1561" s="6" t="n">
        <v>71000</v>
      </c>
      <c r="K1561" s="25">
        <f>23*10^-6</f>
        <v/>
      </c>
      <c r="L1561" s="8">
        <f>H1561</f>
        <v/>
      </c>
      <c r="M1561" s="26">
        <f>H1561^2/6</f>
        <v/>
      </c>
      <c r="N1561" s="26">
        <f>H1561^3/12</f>
        <v/>
      </c>
      <c r="O1561" s="27">
        <f>-J1561*L1561*K1561*C1561</f>
        <v/>
      </c>
      <c r="P1561" s="28">
        <f>-(12*F1561*J1561*L1561*N1561+12*O1561*N1561*G1561*COS(RADIANS(E1561)))/(12*N1561*G1561*COS(RADIANS(E1561))^2+L1561*G1561^3*SIN(RADIANS(E1561))^2)</f>
        <v/>
      </c>
      <c r="Q1561" s="28">
        <f>-(6*F1561*J1561*L1561*N1561*SIN(RADIANS(E1561))+6*O1561*N1561*G1561*SIN(RADIANS(E1561))*COS(RADIANS(E1561)))/(12*N1561*COS(RADIANS(E1561))^2+L1561*G1561^2*SIN(RADIANS(E1561))^2)</f>
        <v/>
      </c>
      <c r="R1561" s="28">
        <f>-P1561*SIN(RADIANS(E1561))</f>
        <v/>
      </c>
      <c r="S1561" s="8">
        <f>(O1561+P1561*COS(RADIANS(E1561)))/L1561</f>
        <v/>
      </c>
      <c r="T1561" s="8">
        <f>R1561/L1561</f>
        <v/>
      </c>
      <c r="U1561" s="8">
        <f>(Q1561-P1561*G1561*SIN(RADIANS(E1561)))/M1561</f>
        <v/>
      </c>
      <c r="V1561" s="8">
        <f>SQRT((S1561+U1561)^2+3*T1561^2)</f>
        <v/>
      </c>
      <c r="W1561" s="8">
        <f>V1561/AA1561</f>
        <v/>
      </c>
      <c r="X1561" s="27">
        <f>((3*10+H1561/COS(RADIANS(E1561)))*(3+3)+3*G1561*H1561)*2</f>
        <v/>
      </c>
      <c r="Y1561" s="28">
        <f>Z1561/X1561</f>
        <v/>
      </c>
      <c r="Z1561" s="29" t="n">
        <v>684.657747608851</v>
      </c>
      <c r="AA1561" s="20" t="n">
        <v>64.8137105563335</v>
      </c>
      <c r="AB1561" t="n">
        <v>0.05699384894394802</v>
      </c>
      <c r="AC1561" t="n">
        <v>56.7959969413281</v>
      </c>
      <c r="AD1561" t="n">
        <v>-24.86810282223579</v>
      </c>
    </row>
    <row r="1562">
      <c r="A1562" t="n">
        <v>1561</v>
      </c>
      <c r="B1562" t="n">
        <v>55.3</v>
      </c>
      <c r="C1562" s="21">
        <f>B1562-20</f>
        <v/>
      </c>
      <c r="D1562" t="n">
        <v>117.7</v>
      </c>
      <c r="E1562" s="22">
        <f>D1562-90</f>
        <v/>
      </c>
      <c r="F1562" s="23" t="n">
        <v>0.010674</v>
      </c>
      <c r="G1562" s="22" t="n">
        <v>25.5</v>
      </c>
      <c r="H1562" s="22" t="n">
        <v>1.5</v>
      </c>
      <c r="I1562" s="24" t="n">
        <v>0.0477506890892982</v>
      </c>
      <c r="J1562" s="6" t="n">
        <v>71000</v>
      </c>
      <c r="K1562" s="25">
        <f>23*10^-6</f>
        <v/>
      </c>
      <c r="L1562" s="8">
        <f>H1562</f>
        <v/>
      </c>
      <c r="M1562" s="26">
        <f>H1562^2/6</f>
        <v/>
      </c>
      <c r="N1562" s="26">
        <f>H1562^3/12</f>
        <v/>
      </c>
      <c r="O1562" s="27">
        <f>-J1562*L1562*K1562*C1562</f>
        <v/>
      </c>
      <c r="P1562" s="28">
        <f>-(12*F1562*J1562*L1562*N1562+12*O1562*N1562*G1562*COS(RADIANS(E1562)))/(12*N1562*G1562*COS(RADIANS(E1562))^2+L1562*G1562^3*SIN(RADIANS(E1562))^2)</f>
        <v/>
      </c>
      <c r="Q1562" s="28">
        <f>-(6*F1562*J1562*L1562*N1562*SIN(RADIANS(E1562))+6*O1562*N1562*G1562*SIN(RADIANS(E1562))*COS(RADIANS(E1562)))/(12*N1562*COS(RADIANS(E1562))^2+L1562*G1562^2*SIN(RADIANS(E1562))^2)</f>
        <v/>
      </c>
      <c r="R1562" s="28">
        <f>-P1562*SIN(RADIANS(E1562))</f>
        <v/>
      </c>
      <c r="S1562" s="8">
        <f>(O1562+P1562*COS(RADIANS(E1562)))/L1562</f>
        <v/>
      </c>
      <c r="T1562" s="8">
        <f>R1562/L1562</f>
        <v/>
      </c>
      <c r="U1562" s="8">
        <f>(Q1562-P1562*G1562*SIN(RADIANS(E1562)))/M1562</f>
        <v/>
      </c>
      <c r="V1562" s="8">
        <f>SQRT((S1562+U1562)^2+3*T1562^2)</f>
        <v/>
      </c>
      <c r="W1562" s="8">
        <f>V1562/AA1562</f>
        <v/>
      </c>
      <c r="X1562" s="27">
        <f>((3*10+H1562/COS(RADIANS(E1562)))*(3+3)+3*G1562*H1562)*2</f>
        <v/>
      </c>
      <c r="Y1562" s="28">
        <f>Z1562/X1562</f>
        <v/>
      </c>
      <c r="Z1562" s="29" t="n">
        <v>621.114426576489</v>
      </c>
      <c r="AA1562" s="20" t="n">
        <v>51.7972697642072</v>
      </c>
      <c r="AB1562" t="n">
        <v>0.06554467040161431</v>
      </c>
      <c r="AC1562" t="n">
        <v>53.05826433773368</v>
      </c>
      <c r="AD1562" t="n">
        <v>37.2643445606402</v>
      </c>
    </row>
    <row r="1563">
      <c r="A1563" t="n">
        <v>1562</v>
      </c>
      <c r="B1563" t="n">
        <v>76.90000000000001</v>
      </c>
      <c r="C1563" s="21">
        <f>B1563-20</f>
        <v/>
      </c>
      <c r="D1563" t="n">
        <v>120.9</v>
      </c>
      <c r="E1563" s="22">
        <f>D1563-90</f>
        <v/>
      </c>
      <c r="F1563" s="23" t="n">
        <v>0.023639</v>
      </c>
      <c r="G1563" s="22" t="n">
        <v>31.1</v>
      </c>
      <c r="H1563" s="22" t="n">
        <v>1.8</v>
      </c>
      <c r="I1563" s="24" t="n">
        <v>0.195840895175933</v>
      </c>
      <c r="J1563" s="6" t="n">
        <v>71000</v>
      </c>
      <c r="K1563" s="25">
        <f>23*10^-6</f>
        <v/>
      </c>
      <c r="L1563" s="8">
        <f>H1563</f>
        <v/>
      </c>
      <c r="M1563" s="26">
        <f>H1563^2/6</f>
        <v/>
      </c>
      <c r="N1563" s="26">
        <f>H1563^3/12</f>
        <v/>
      </c>
      <c r="O1563" s="27">
        <f>-J1563*L1563*K1563*C1563</f>
        <v/>
      </c>
      <c r="P1563" s="28">
        <f>-(12*F1563*J1563*L1563*N1563+12*O1563*N1563*G1563*COS(RADIANS(E1563)))/(12*N1563*G1563*COS(RADIANS(E1563))^2+L1563*G1563^3*SIN(RADIANS(E1563))^2)</f>
        <v/>
      </c>
      <c r="Q1563" s="28">
        <f>-(6*F1563*J1563*L1563*N1563*SIN(RADIANS(E1563))+6*O1563*N1563*G1563*SIN(RADIANS(E1563))*COS(RADIANS(E1563)))/(12*N1563*COS(RADIANS(E1563))^2+L1563*G1563^2*SIN(RADIANS(E1563))^2)</f>
        <v/>
      </c>
      <c r="R1563" s="28">
        <f>-P1563*SIN(RADIANS(E1563))</f>
        <v/>
      </c>
      <c r="S1563" s="8">
        <f>(O1563+P1563*COS(RADIANS(E1563)))/L1563</f>
        <v/>
      </c>
      <c r="T1563" s="8">
        <f>R1563/L1563</f>
        <v/>
      </c>
      <c r="U1563" s="8">
        <f>(Q1563-P1563*G1563*SIN(RADIANS(E1563)))/M1563</f>
        <v/>
      </c>
      <c r="V1563" s="8">
        <f>SQRT((S1563+U1563)^2+3*T1563^2)</f>
        <v/>
      </c>
      <c r="W1563" s="8">
        <f>V1563/AA1563</f>
        <v/>
      </c>
      <c r="X1563" s="27">
        <f>((3*10+H1563/COS(RADIANS(E1563)))*(3+3)+3*G1563*H1563)*2</f>
        <v/>
      </c>
      <c r="Y1563" s="28">
        <f>Z1563/X1563</f>
        <v/>
      </c>
      <c r="Z1563" s="29" t="n">
        <v>721.8980804803761</v>
      </c>
      <c r="AA1563" s="20" t="n">
        <v>98.6802113139092</v>
      </c>
      <c r="AB1563" t="n">
        <v>0.1135005050683253</v>
      </c>
      <c r="AC1563" t="n">
        <v>84.77665156798943</v>
      </c>
      <c r="AD1563" t="n">
        <v>-42.04453315720267</v>
      </c>
    </row>
    <row r="1564">
      <c r="A1564" t="n">
        <v>1563</v>
      </c>
      <c r="B1564" t="n">
        <v>63.4</v>
      </c>
      <c r="C1564" s="21">
        <f>B1564-20</f>
        <v/>
      </c>
      <c r="D1564" t="n">
        <v>109.6</v>
      </c>
      <c r="E1564" s="22">
        <f>D1564-90</f>
        <v/>
      </c>
      <c r="F1564" s="23" t="n">
        <v>0.011973</v>
      </c>
      <c r="G1564" s="22" t="n">
        <v>21.1</v>
      </c>
      <c r="H1564" s="22" t="n">
        <v>1.6</v>
      </c>
      <c r="I1564" s="24" t="n">
        <v>0.0585109777748584</v>
      </c>
      <c r="J1564" s="6" t="n">
        <v>71000</v>
      </c>
      <c r="K1564" s="25">
        <f>23*10^-6</f>
        <v/>
      </c>
      <c r="L1564" s="8">
        <f>H1564</f>
        <v/>
      </c>
      <c r="M1564" s="26">
        <f>H1564^2/6</f>
        <v/>
      </c>
      <c r="N1564" s="26">
        <f>H1564^3/12</f>
        <v/>
      </c>
      <c r="O1564" s="27">
        <f>-J1564*L1564*K1564*C1564</f>
        <v/>
      </c>
      <c r="P1564" s="28">
        <f>-(12*F1564*J1564*L1564*N1564+12*O1564*N1564*G1564*COS(RADIANS(E1564)))/(12*N1564*G1564*COS(RADIANS(E1564))^2+L1564*G1564^3*SIN(RADIANS(E1564))^2)</f>
        <v/>
      </c>
      <c r="Q1564" s="28">
        <f>-(6*F1564*J1564*L1564*N1564*SIN(RADIANS(E1564))+6*O1564*N1564*G1564*SIN(RADIANS(E1564))*COS(RADIANS(E1564)))/(12*N1564*COS(RADIANS(E1564))^2+L1564*G1564^2*SIN(RADIANS(E1564))^2)</f>
        <v/>
      </c>
      <c r="R1564" s="28">
        <f>-P1564*SIN(RADIANS(E1564))</f>
        <v/>
      </c>
      <c r="S1564" s="8">
        <f>(O1564+P1564*COS(RADIANS(E1564)))/L1564</f>
        <v/>
      </c>
      <c r="T1564" s="8">
        <f>R1564/L1564</f>
        <v/>
      </c>
      <c r="U1564" s="8">
        <f>(Q1564-P1564*G1564*SIN(RADIANS(E1564)))/M1564</f>
        <v/>
      </c>
      <c r="V1564" s="8">
        <f>SQRT((S1564+U1564)^2+3*T1564^2)</f>
        <v/>
      </c>
      <c r="W1564" s="8">
        <f>V1564/AA1564</f>
        <v/>
      </c>
      <c r="X1564" s="27">
        <f>((3*10+H1564/COS(RADIANS(E1564)))*(3+3)+3*G1564*H1564)*2</f>
        <v/>
      </c>
      <c r="Y1564" s="28">
        <f>Z1564/X1564</f>
        <v/>
      </c>
      <c r="Z1564" s="29" t="n">
        <v>592.07979212403</v>
      </c>
      <c r="AA1564" s="20" t="n">
        <v>69.0621583211997</v>
      </c>
      <c r="AB1564" t="n">
        <v>0.09426096123229576</v>
      </c>
      <c r="AC1564" t="n">
        <v>70.03386251041451</v>
      </c>
      <c r="AD1564" t="n">
        <v>61.09961722909163</v>
      </c>
    </row>
    <row r="1565">
      <c r="A1565" t="n">
        <v>1564</v>
      </c>
      <c r="B1565" t="n">
        <v>57.4</v>
      </c>
      <c r="C1565" s="21">
        <f>B1565-20</f>
        <v/>
      </c>
      <c r="D1565" t="n">
        <v>106.3</v>
      </c>
      <c r="E1565" s="22">
        <f>D1565-90</f>
        <v/>
      </c>
      <c r="F1565" s="23" t="n">
        <v>0.014344</v>
      </c>
      <c r="G1565" s="22" t="n">
        <v>30.5</v>
      </c>
      <c r="H1565" s="22" t="n">
        <v>1.6</v>
      </c>
      <c r="I1565" s="24" t="n">
        <v>0.0728777423501014</v>
      </c>
      <c r="J1565" s="6" t="n">
        <v>71000</v>
      </c>
      <c r="K1565" s="25">
        <f>23*10^-6</f>
        <v/>
      </c>
      <c r="L1565" s="8">
        <f>H1565</f>
        <v/>
      </c>
      <c r="M1565" s="26">
        <f>H1565^2/6</f>
        <v/>
      </c>
      <c r="N1565" s="26">
        <f>H1565^3/12</f>
        <v/>
      </c>
      <c r="O1565" s="27">
        <f>-J1565*L1565*K1565*C1565</f>
        <v/>
      </c>
      <c r="P1565" s="28">
        <f>-(12*F1565*J1565*L1565*N1565+12*O1565*N1565*G1565*COS(RADIANS(E1565)))/(12*N1565*G1565*COS(RADIANS(E1565))^2+L1565*G1565^3*SIN(RADIANS(E1565))^2)</f>
        <v/>
      </c>
      <c r="Q1565" s="28">
        <f>-(6*F1565*J1565*L1565*N1565*SIN(RADIANS(E1565))+6*O1565*N1565*G1565*SIN(RADIANS(E1565))*COS(RADIANS(E1565)))/(12*N1565*COS(RADIANS(E1565))^2+L1565*G1565^2*SIN(RADIANS(E1565))^2)</f>
        <v/>
      </c>
      <c r="R1565" s="28">
        <f>-P1565*SIN(RADIANS(E1565))</f>
        <v/>
      </c>
      <c r="S1565" s="8">
        <f>(O1565+P1565*COS(RADIANS(E1565)))/L1565</f>
        <v/>
      </c>
      <c r="T1565" s="8">
        <f>R1565/L1565</f>
        <v/>
      </c>
      <c r="U1565" s="8">
        <f>(Q1565-P1565*G1565*SIN(RADIANS(E1565)))/M1565</f>
        <v/>
      </c>
      <c r="V1565" s="8">
        <f>SQRT((S1565+U1565)^2+3*T1565^2)</f>
        <v/>
      </c>
      <c r="W1565" s="8">
        <f>V1565/AA1565</f>
        <v/>
      </c>
      <c r="X1565" s="27">
        <f>((3*10+H1565/COS(RADIANS(E1565)))*(3+3)+3*G1565*H1565)*2</f>
        <v/>
      </c>
      <c r="Y1565" s="28">
        <f>Z1565/X1565</f>
        <v/>
      </c>
      <c r="Z1565" s="29" t="n">
        <v>679.89955548482</v>
      </c>
      <c r="AA1565" s="20" t="n">
        <v>57.6148855207176</v>
      </c>
      <c r="AB1565" t="n">
        <v>0.1402533892163349</v>
      </c>
      <c r="AC1565" t="n">
        <v>60.15169781974131</v>
      </c>
      <c r="AD1565" t="n">
        <v>92.45023884324502</v>
      </c>
    </row>
    <row r="1566">
      <c r="A1566" t="n">
        <v>1565</v>
      </c>
      <c r="B1566" t="n">
        <v>83.8</v>
      </c>
      <c r="C1566" s="21">
        <f>B1566-20</f>
        <v/>
      </c>
      <c r="D1566" t="n">
        <v>108.8</v>
      </c>
      <c r="E1566" s="22">
        <f>D1566-90</f>
        <v/>
      </c>
      <c r="F1566" s="23" t="n">
        <v>0.017959</v>
      </c>
      <c r="G1566" s="22" t="n">
        <v>22.6</v>
      </c>
      <c r="H1566" s="22" t="n">
        <v>1.7</v>
      </c>
      <c r="I1566" s="24" t="n">
        <v>0.083300769329071</v>
      </c>
      <c r="J1566" s="6" t="n">
        <v>71000</v>
      </c>
      <c r="K1566" s="25">
        <f>23*10^-6</f>
        <v/>
      </c>
      <c r="L1566" s="8">
        <f>H1566</f>
        <v/>
      </c>
      <c r="M1566" s="26">
        <f>H1566^2/6</f>
        <v/>
      </c>
      <c r="N1566" s="26">
        <f>H1566^3/12</f>
        <v/>
      </c>
      <c r="O1566" s="27">
        <f>-J1566*L1566*K1566*C1566</f>
        <v/>
      </c>
      <c r="P1566" s="28">
        <f>-(12*F1566*J1566*L1566*N1566+12*O1566*N1566*G1566*COS(RADIANS(E1566)))/(12*N1566*G1566*COS(RADIANS(E1566))^2+L1566*G1566^3*SIN(RADIANS(E1566))^2)</f>
        <v/>
      </c>
      <c r="Q1566" s="28">
        <f>-(6*F1566*J1566*L1566*N1566*SIN(RADIANS(E1566))+6*O1566*N1566*G1566*SIN(RADIANS(E1566))*COS(RADIANS(E1566)))/(12*N1566*COS(RADIANS(E1566))^2+L1566*G1566^2*SIN(RADIANS(E1566))^2)</f>
        <v/>
      </c>
      <c r="R1566" s="28">
        <f>-P1566*SIN(RADIANS(E1566))</f>
        <v/>
      </c>
      <c r="S1566" s="8">
        <f>(O1566+P1566*COS(RADIANS(E1566)))/L1566</f>
        <v/>
      </c>
      <c r="T1566" s="8">
        <f>R1566/L1566</f>
        <v/>
      </c>
      <c r="U1566" s="8">
        <f>(Q1566-P1566*G1566*SIN(RADIANS(E1566)))/M1566</f>
        <v/>
      </c>
      <c r="V1566" s="8">
        <f>SQRT((S1566+U1566)^2+3*T1566^2)</f>
        <v/>
      </c>
      <c r="W1566" s="8">
        <f>V1566/AA1566</f>
        <v/>
      </c>
      <c r="X1566" s="27">
        <f>((3*10+H1566/COS(RADIANS(E1566)))*(3+3)+3*G1566*H1566)*2</f>
        <v/>
      </c>
      <c r="Y1566" s="28">
        <f>Z1566/X1566</f>
        <v/>
      </c>
      <c r="Z1566" s="29" t="n">
        <v>623.6364281128911</v>
      </c>
      <c r="AA1566" s="20" t="n">
        <v>101.469997539935</v>
      </c>
      <c r="AB1566" t="n">
        <v>0.1536034101012964</v>
      </c>
      <c r="AC1566" t="n">
        <v>104.0238669942192</v>
      </c>
      <c r="AD1566" t="n">
        <v>84.3961482450446</v>
      </c>
    </row>
    <row r="1567">
      <c r="A1567" t="n">
        <v>1566</v>
      </c>
      <c r="B1567" t="n">
        <v>53.5</v>
      </c>
      <c r="C1567" s="21">
        <f>B1567-20</f>
        <v/>
      </c>
      <c r="D1567" t="n">
        <v>123.5</v>
      </c>
      <c r="E1567" s="22">
        <f>D1567-90</f>
        <v/>
      </c>
      <c r="F1567" s="23" t="n">
        <v>0.013031</v>
      </c>
      <c r="G1567" s="22" t="n">
        <v>34</v>
      </c>
      <c r="H1567" s="22" t="n">
        <v>1.4</v>
      </c>
      <c r="I1567" s="24" t="n">
        <v>0.0568360574543476</v>
      </c>
      <c r="J1567" s="6" t="n">
        <v>71000</v>
      </c>
      <c r="K1567" s="25">
        <f>23*10^-6</f>
        <v/>
      </c>
      <c r="L1567" s="8">
        <f>H1567</f>
        <v/>
      </c>
      <c r="M1567" s="26">
        <f>H1567^2/6</f>
        <v/>
      </c>
      <c r="N1567" s="26">
        <f>H1567^3/12</f>
        <v/>
      </c>
      <c r="O1567" s="27">
        <f>-J1567*L1567*K1567*C1567</f>
        <v/>
      </c>
      <c r="P1567" s="28">
        <f>-(12*F1567*J1567*L1567*N1567+12*O1567*N1567*G1567*COS(RADIANS(E1567)))/(12*N1567*G1567*COS(RADIANS(E1567))^2+L1567*G1567^3*SIN(RADIANS(E1567))^2)</f>
        <v/>
      </c>
      <c r="Q1567" s="28">
        <f>-(6*F1567*J1567*L1567*N1567*SIN(RADIANS(E1567))+6*O1567*N1567*G1567*SIN(RADIANS(E1567))*COS(RADIANS(E1567)))/(12*N1567*COS(RADIANS(E1567))^2+L1567*G1567^2*SIN(RADIANS(E1567))^2)</f>
        <v/>
      </c>
      <c r="R1567" s="28">
        <f>-P1567*SIN(RADIANS(E1567))</f>
        <v/>
      </c>
      <c r="S1567" s="8">
        <f>(O1567+P1567*COS(RADIANS(E1567)))/L1567</f>
        <v/>
      </c>
      <c r="T1567" s="8">
        <f>R1567/L1567</f>
        <v/>
      </c>
      <c r="U1567" s="8">
        <f>(Q1567-P1567*G1567*SIN(RADIANS(E1567)))/M1567</f>
        <v/>
      </c>
      <c r="V1567" s="8">
        <f>SQRT((S1567+U1567)^2+3*T1567^2)</f>
        <v/>
      </c>
      <c r="W1567" s="8">
        <f>V1567/AA1567</f>
        <v/>
      </c>
      <c r="X1567" s="27">
        <f>((3*10+H1567/COS(RADIANS(E1567)))*(3+3)+3*G1567*H1567)*2</f>
        <v/>
      </c>
      <c r="Y1567" s="28">
        <f>Z1567/X1567</f>
        <v/>
      </c>
      <c r="Z1567" s="29" t="n">
        <v>674.363768756629</v>
      </c>
      <c r="AA1567" s="20" t="n">
        <v>47.5586617691203</v>
      </c>
      <c r="AB1567" t="n">
        <v>0.06699163356584226</v>
      </c>
      <c r="AC1567" t="n">
        <v>48.26679478387321</v>
      </c>
      <c r="AD1567" t="n">
        <v>17.86819242283284</v>
      </c>
    </row>
    <row r="1568">
      <c r="A1568" t="n">
        <v>1567</v>
      </c>
      <c r="B1568" t="n">
        <v>86.90000000000001</v>
      </c>
      <c r="C1568" s="21">
        <f>B1568-20</f>
        <v/>
      </c>
      <c r="D1568" t="n">
        <v>112.6</v>
      </c>
      <c r="E1568" s="22">
        <f>D1568-90</f>
        <v/>
      </c>
      <c r="F1568" s="23" t="n">
        <v>0.02112</v>
      </c>
      <c r="G1568" s="22" t="n">
        <v>24.5</v>
      </c>
      <c r="H1568" s="22" t="n">
        <v>1.6</v>
      </c>
      <c r="I1568" s="24" t="n">
        <v>0.10504662245512</v>
      </c>
      <c r="J1568" s="6" t="n">
        <v>71000</v>
      </c>
      <c r="K1568" s="25">
        <f>23*10^-6</f>
        <v/>
      </c>
      <c r="L1568" s="8">
        <f>H1568</f>
        <v/>
      </c>
      <c r="M1568" s="26">
        <f>H1568^2/6</f>
        <v/>
      </c>
      <c r="N1568" s="26">
        <f>H1568^3/12</f>
        <v/>
      </c>
      <c r="O1568" s="27">
        <f>-J1568*L1568*K1568*C1568</f>
        <v/>
      </c>
      <c r="P1568" s="28">
        <f>-(12*F1568*J1568*L1568*N1568+12*O1568*N1568*G1568*COS(RADIANS(E1568)))/(12*N1568*G1568*COS(RADIANS(E1568))^2+L1568*G1568^3*SIN(RADIANS(E1568))^2)</f>
        <v/>
      </c>
      <c r="Q1568" s="28">
        <f>-(6*F1568*J1568*L1568*N1568*SIN(RADIANS(E1568))+6*O1568*N1568*G1568*SIN(RADIANS(E1568))*COS(RADIANS(E1568)))/(12*N1568*COS(RADIANS(E1568))^2+L1568*G1568^2*SIN(RADIANS(E1568))^2)</f>
        <v/>
      </c>
      <c r="R1568" s="28">
        <f>-P1568*SIN(RADIANS(E1568))</f>
        <v/>
      </c>
      <c r="S1568" s="8">
        <f>(O1568+P1568*COS(RADIANS(E1568)))/L1568</f>
        <v/>
      </c>
      <c r="T1568" s="8">
        <f>R1568/L1568</f>
        <v/>
      </c>
      <c r="U1568" s="8">
        <f>(Q1568-P1568*G1568*SIN(RADIANS(E1568)))/M1568</f>
        <v/>
      </c>
      <c r="V1568" s="8">
        <f>SQRT((S1568+U1568)^2+3*T1568^2)</f>
        <v/>
      </c>
      <c r="W1568" s="8">
        <f>V1568/AA1568</f>
        <v/>
      </c>
      <c r="X1568" s="27">
        <f>((3*10+H1568/COS(RADIANS(E1568)))*(3+3)+3*G1568*H1568)*2</f>
        <v/>
      </c>
      <c r="Y1568" s="28">
        <f>Z1568/X1568</f>
        <v/>
      </c>
      <c r="Z1568" s="29" t="n">
        <v>623.425487315712</v>
      </c>
      <c r="AA1568" s="20" t="n">
        <v>104.449773937751</v>
      </c>
      <c r="AB1568" t="n">
        <v>0.146696747899287</v>
      </c>
      <c r="AC1568" t="n">
        <v>104.4417983782142</v>
      </c>
      <c r="AD1568" t="n">
        <v>39.64918097386862</v>
      </c>
    </row>
    <row r="1569">
      <c r="A1569" t="n">
        <v>1568</v>
      </c>
      <c r="B1569" t="n">
        <v>50.4</v>
      </c>
      <c r="C1569" s="21">
        <f>B1569-20</f>
        <v/>
      </c>
      <c r="D1569" t="n">
        <v>106.7</v>
      </c>
      <c r="E1569" s="22">
        <f>D1569-90</f>
        <v/>
      </c>
      <c r="F1569" s="23" t="n">
        <v>0.008829999999999999</v>
      </c>
      <c r="G1569" s="22" t="n">
        <v>22.7</v>
      </c>
      <c r="H1569" s="22" t="n">
        <v>1.4</v>
      </c>
      <c r="I1569" s="24" t="n">
        <v>0.042397454380989</v>
      </c>
      <c r="J1569" s="6" t="n">
        <v>71000</v>
      </c>
      <c r="K1569" s="25">
        <f>23*10^-6</f>
        <v/>
      </c>
      <c r="L1569" s="8">
        <f>H1569</f>
        <v/>
      </c>
      <c r="M1569" s="26">
        <f>H1569^2/6</f>
        <v/>
      </c>
      <c r="N1569" s="26">
        <f>H1569^3/12</f>
        <v/>
      </c>
      <c r="O1569" s="27">
        <f>-J1569*L1569*K1569*C1569</f>
        <v/>
      </c>
      <c r="P1569" s="28">
        <f>-(12*F1569*J1569*L1569*N1569+12*O1569*N1569*G1569*COS(RADIANS(E1569)))/(12*N1569*G1569*COS(RADIANS(E1569))^2+L1569*G1569^3*SIN(RADIANS(E1569))^2)</f>
        <v/>
      </c>
      <c r="Q1569" s="28">
        <f>-(6*F1569*J1569*L1569*N1569*SIN(RADIANS(E1569))+6*O1569*N1569*G1569*SIN(RADIANS(E1569))*COS(RADIANS(E1569)))/(12*N1569*COS(RADIANS(E1569))^2+L1569*G1569^2*SIN(RADIANS(E1569))^2)</f>
        <v/>
      </c>
      <c r="R1569" s="28">
        <f>-P1569*SIN(RADIANS(E1569))</f>
        <v/>
      </c>
      <c r="S1569" s="8">
        <f>(O1569+P1569*COS(RADIANS(E1569)))/L1569</f>
        <v/>
      </c>
      <c r="T1569" s="8">
        <f>R1569/L1569</f>
        <v/>
      </c>
      <c r="U1569" s="8">
        <f>(Q1569-P1569*G1569*SIN(RADIANS(E1569)))/M1569</f>
        <v/>
      </c>
      <c r="V1569" s="8">
        <f>SQRT((S1569+U1569)^2+3*T1569^2)</f>
        <v/>
      </c>
      <c r="W1569" s="8">
        <f>V1569/AA1569</f>
        <v/>
      </c>
      <c r="X1569" s="27">
        <f>((3*10+H1569/COS(RADIANS(E1569)))*(3+3)+3*G1569*H1569)*2</f>
        <v/>
      </c>
      <c r="Y1569" s="28">
        <f>Z1569/X1569</f>
        <v/>
      </c>
      <c r="Z1569" s="29" t="n">
        <v>577.662479977066</v>
      </c>
      <c r="AA1569" s="20" t="n">
        <v>45.7521593550078</v>
      </c>
      <c r="AB1569" t="n">
        <v>0.08362410342673271</v>
      </c>
      <c r="AC1569" t="n">
        <v>49.10379669181184</v>
      </c>
      <c r="AD1569" t="n">
        <v>97.23850086676366</v>
      </c>
    </row>
    <row r="1570">
      <c r="A1570" t="n">
        <v>1569</v>
      </c>
      <c r="B1570" t="n">
        <v>44.6</v>
      </c>
      <c r="C1570" s="21">
        <f>B1570-20</f>
        <v/>
      </c>
      <c r="D1570" t="n">
        <v>123.1</v>
      </c>
      <c r="E1570" s="22">
        <f>D1570-90</f>
        <v/>
      </c>
      <c r="F1570" s="23" t="n">
        <v>0.008789</v>
      </c>
      <c r="G1570" s="22" t="n">
        <v>26.9</v>
      </c>
      <c r="H1570" s="22" t="n">
        <v>1.9</v>
      </c>
      <c r="I1570" s="24" t="n">
        <v>0.0520674139261245</v>
      </c>
      <c r="J1570" s="6" t="n">
        <v>71000</v>
      </c>
      <c r="K1570" s="25">
        <f>23*10^-6</f>
        <v/>
      </c>
      <c r="L1570" s="8">
        <f>H1570</f>
        <v/>
      </c>
      <c r="M1570" s="26">
        <f>H1570^2/6</f>
        <v/>
      </c>
      <c r="N1570" s="26">
        <f>H1570^3/12</f>
        <v/>
      </c>
      <c r="O1570" s="27">
        <f>-J1570*L1570*K1570*C1570</f>
        <v/>
      </c>
      <c r="P1570" s="28">
        <f>-(12*F1570*J1570*L1570*N1570+12*O1570*N1570*G1570*COS(RADIANS(E1570)))/(12*N1570*G1570*COS(RADIANS(E1570))^2+L1570*G1570^3*SIN(RADIANS(E1570))^2)</f>
        <v/>
      </c>
      <c r="Q1570" s="28">
        <f>-(6*F1570*J1570*L1570*N1570*SIN(RADIANS(E1570))+6*O1570*N1570*G1570*SIN(RADIANS(E1570))*COS(RADIANS(E1570)))/(12*N1570*COS(RADIANS(E1570))^2+L1570*G1570^2*SIN(RADIANS(E1570))^2)</f>
        <v/>
      </c>
      <c r="R1570" s="28">
        <f>-P1570*SIN(RADIANS(E1570))</f>
        <v/>
      </c>
      <c r="S1570" s="8">
        <f>(O1570+P1570*COS(RADIANS(E1570)))/L1570</f>
        <v/>
      </c>
      <c r="T1570" s="8">
        <f>R1570/L1570</f>
        <v/>
      </c>
      <c r="U1570" s="8">
        <f>(Q1570-P1570*G1570*SIN(RADIANS(E1570)))/M1570</f>
        <v/>
      </c>
      <c r="V1570" s="8">
        <f>SQRT((S1570+U1570)^2+3*T1570^2)</f>
        <v/>
      </c>
      <c r="W1570" s="8">
        <f>V1570/AA1570</f>
        <v/>
      </c>
      <c r="X1570" s="27">
        <f>((3*10+H1570/COS(RADIANS(E1570)))*(3+3)+3*G1570*H1570)*2</f>
        <v/>
      </c>
      <c r="Y1570" s="28">
        <f>Z1570/X1570</f>
        <v/>
      </c>
      <c r="Z1570" s="29" t="n">
        <v>695.772128145489</v>
      </c>
      <c r="AA1570" s="20" t="n">
        <v>41.7877513518938</v>
      </c>
      <c r="AB1570" t="n">
        <v>0.039619366384438</v>
      </c>
      <c r="AC1570" t="n">
        <v>36.85121940176978</v>
      </c>
      <c r="AD1570" t="n">
        <v>-23.90755868795084</v>
      </c>
    </row>
    <row r="1571">
      <c r="A1571" t="n">
        <v>1570</v>
      </c>
      <c r="B1571" t="n">
        <v>54.8</v>
      </c>
      <c r="C1571" s="21">
        <f>B1571-20</f>
        <v/>
      </c>
      <c r="D1571" t="n">
        <v>129</v>
      </c>
      <c r="E1571" s="22">
        <f>D1571-90</f>
        <v/>
      </c>
      <c r="F1571" s="23" t="n">
        <v>0.014184</v>
      </c>
      <c r="G1571" s="22" t="n">
        <v>31</v>
      </c>
      <c r="H1571" s="22" t="n">
        <v>1.1</v>
      </c>
      <c r="I1571" s="24" t="n">
        <v>0.095268577337265</v>
      </c>
      <c r="J1571" s="6" t="n">
        <v>71000</v>
      </c>
      <c r="K1571" s="25">
        <f>23*10^-6</f>
        <v/>
      </c>
      <c r="L1571" s="8">
        <f>H1571</f>
        <v/>
      </c>
      <c r="M1571" s="26">
        <f>H1571^2/6</f>
        <v/>
      </c>
      <c r="N1571" s="26">
        <f>H1571^3/12</f>
        <v/>
      </c>
      <c r="O1571" s="27">
        <f>-J1571*L1571*K1571*C1571</f>
        <v/>
      </c>
      <c r="P1571" s="28">
        <f>-(12*F1571*J1571*L1571*N1571+12*O1571*N1571*G1571*COS(RADIANS(E1571)))/(12*N1571*G1571*COS(RADIANS(E1571))^2+L1571*G1571^3*SIN(RADIANS(E1571))^2)</f>
        <v/>
      </c>
      <c r="Q1571" s="28">
        <f>-(6*F1571*J1571*L1571*N1571*SIN(RADIANS(E1571))+6*O1571*N1571*G1571*SIN(RADIANS(E1571))*COS(RADIANS(E1571)))/(12*N1571*COS(RADIANS(E1571))^2+L1571*G1571^2*SIN(RADIANS(E1571))^2)</f>
        <v/>
      </c>
      <c r="R1571" s="28">
        <f>-P1571*SIN(RADIANS(E1571))</f>
        <v/>
      </c>
      <c r="S1571" s="8">
        <f>(O1571+P1571*COS(RADIANS(E1571)))/L1571</f>
        <v/>
      </c>
      <c r="T1571" s="8">
        <f>R1571/L1571</f>
        <v/>
      </c>
      <c r="U1571" s="8">
        <f>(Q1571-P1571*G1571*SIN(RADIANS(E1571)))/M1571</f>
        <v/>
      </c>
      <c r="V1571" s="8">
        <f>SQRT((S1571+U1571)^2+3*T1571^2)</f>
        <v/>
      </c>
      <c r="W1571" s="8">
        <f>V1571/AA1571</f>
        <v/>
      </c>
      <c r="X1571" s="27">
        <f>((3*10+H1571/COS(RADIANS(E1571)))*(3+3)+3*G1571*H1571)*2</f>
        <v/>
      </c>
      <c r="Y1571" s="28">
        <f>Z1571/X1571</f>
        <v/>
      </c>
      <c r="Z1571" s="29" t="n">
        <v>582.791490288289</v>
      </c>
      <c r="AA1571" s="20" t="n">
        <v>50.3095184900034</v>
      </c>
      <c r="AB1571" t="n">
        <v>0.05404704713587756</v>
      </c>
      <c r="AC1571" t="n">
        <v>49.042444871093</v>
      </c>
      <c r="AD1571" t="n">
        <v>-43.26875802443976</v>
      </c>
    </row>
    <row r="1572">
      <c r="A1572" t="n">
        <v>1571</v>
      </c>
      <c r="B1572" t="n">
        <v>62.2</v>
      </c>
      <c r="C1572" s="21">
        <f>B1572-20</f>
        <v/>
      </c>
      <c r="D1572" t="n">
        <v>107.5</v>
      </c>
      <c r="E1572" s="22">
        <f>D1572-90</f>
        <v/>
      </c>
      <c r="F1572" s="23" t="n">
        <v>0.015319</v>
      </c>
      <c r="G1572" s="22" t="n">
        <v>27.3</v>
      </c>
      <c r="H1572" s="22" t="n">
        <v>2</v>
      </c>
      <c r="I1572" s="24" t="n">
        <v>0.0927509814500808</v>
      </c>
      <c r="J1572" s="6" t="n">
        <v>71000</v>
      </c>
      <c r="K1572" s="25">
        <f>23*10^-6</f>
        <v/>
      </c>
      <c r="L1572" s="8">
        <f>H1572</f>
        <v/>
      </c>
      <c r="M1572" s="26">
        <f>H1572^2/6</f>
        <v/>
      </c>
      <c r="N1572" s="26">
        <f>H1572^3/12</f>
        <v/>
      </c>
      <c r="O1572" s="27">
        <f>-J1572*L1572*K1572*C1572</f>
        <v/>
      </c>
      <c r="P1572" s="28">
        <f>-(12*F1572*J1572*L1572*N1572+12*O1572*N1572*G1572*COS(RADIANS(E1572)))/(12*N1572*G1572*COS(RADIANS(E1572))^2+L1572*G1572^3*SIN(RADIANS(E1572))^2)</f>
        <v/>
      </c>
      <c r="Q1572" s="28">
        <f>-(6*F1572*J1572*L1572*N1572*SIN(RADIANS(E1572))+6*O1572*N1572*G1572*SIN(RADIANS(E1572))*COS(RADIANS(E1572)))/(12*N1572*COS(RADIANS(E1572))^2+L1572*G1572^2*SIN(RADIANS(E1572))^2)</f>
        <v/>
      </c>
      <c r="R1572" s="28">
        <f>-P1572*SIN(RADIANS(E1572))</f>
        <v/>
      </c>
      <c r="S1572" s="8">
        <f>(O1572+P1572*COS(RADIANS(E1572)))/L1572</f>
        <v/>
      </c>
      <c r="T1572" s="8">
        <f>R1572/L1572</f>
        <v/>
      </c>
      <c r="U1572" s="8">
        <f>(Q1572-P1572*G1572*SIN(RADIANS(E1572)))/M1572</f>
        <v/>
      </c>
      <c r="V1572" s="8">
        <f>SQRT((S1572+U1572)^2+3*T1572^2)</f>
        <v/>
      </c>
      <c r="W1572" s="8">
        <f>V1572/AA1572</f>
        <v/>
      </c>
      <c r="X1572" s="27">
        <f>((3*10+H1572/COS(RADIANS(E1572)))*(3+3)+3*G1572*H1572)*2</f>
        <v/>
      </c>
      <c r="Y1572" s="28">
        <f>Z1572/X1572</f>
        <v/>
      </c>
      <c r="Z1572" s="29" t="n">
        <v>717.738787063716</v>
      </c>
      <c r="AA1572" s="20" t="n">
        <v>72.9439309826309</v>
      </c>
      <c r="AB1572" t="n">
        <v>0.1297320416431462</v>
      </c>
      <c r="AC1572" t="n">
        <v>70.17372731464752</v>
      </c>
      <c r="AD1572" t="n">
        <v>39.8713411059363</v>
      </c>
    </row>
    <row r="1573">
      <c r="A1573" t="n">
        <v>1572</v>
      </c>
      <c r="B1573" t="n">
        <v>60.8</v>
      </c>
      <c r="C1573" s="21">
        <f>B1573-20</f>
        <v/>
      </c>
      <c r="D1573" t="n">
        <v>102.3</v>
      </c>
      <c r="E1573" s="22">
        <f>D1573-90</f>
        <v/>
      </c>
      <c r="F1573" s="23" t="n">
        <v>0.015512</v>
      </c>
      <c r="G1573" s="22" t="n">
        <v>32.8</v>
      </c>
      <c r="H1573" s="22" t="n">
        <v>1.4</v>
      </c>
      <c r="I1573" s="24" t="n">
        <v>0.06844852864742269</v>
      </c>
      <c r="J1573" s="6" t="n">
        <v>71000</v>
      </c>
      <c r="K1573" s="25">
        <f>23*10^-6</f>
        <v/>
      </c>
      <c r="L1573" s="8">
        <f>H1573</f>
        <v/>
      </c>
      <c r="M1573" s="26">
        <f>H1573^2/6</f>
        <v/>
      </c>
      <c r="N1573" s="26">
        <f>H1573^3/12</f>
        <v/>
      </c>
      <c r="O1573" s="27">
        <f>-J1573*L1573*K1573*C1573</f>
        <v/>
      </c>
      <c r="P1573" s="28">
        <f>-(12*F1573*J1573*L1573*N1573+12*O1573*N1573*G1573*COS(RADIANS(E1573)))/(12*N1573*G1573*COS(RADIANS(E1573))^2+L1573*G1573^3*SIN(RADIANS(E1573))^2)</f>
        <v/>
      </c>
      <c r="Q1573" s="28">
        <f>-(6*F1573*J1573*L1573*N1573*SIN(RADIANS(E1573))+6*O1573*N1573*G1573*SIN(RADIANS(E1573))*COS(RADIANS(E1573)))/(12*N1573*COS(RADIANS(E1573))^2+L1573*G1573^2*SIN(RADIANS(E1573))^2)</f>
        <v/>
      </c>
      <c r="R1573" s="28">
        <f>-P1573*SIN(RADIANS(E1573))</f>
        <v/>
      </c>
      <c r="S1573" s="8">
        <f>(O1573+P1573*COS(RADIANS(E1573)))/L1573</f>
        <v/>
      </c>
      <c r="T1573" s="8">
        <f>R1573/L1573</f>
        <v/>
      </c>
      <c r="U1573" s="8">
        <f>(Q1573-P1573*G1573*SIN(RADIANS(E1573)))/M1573</f>
        <v/>
      </c>
      <c r="V1573" s="8">
        <f>SQRT((S1573+U1573)^2+3*T1573^2)</f>
        <v/>
      </c>
      <c r="W1573" s="8">
        <f>V1573/AA1573</f>
        <v/>
      </c>
      <c r="X1573" s="27">
        <f>((3*10+H1573/COS(RADIANS(E1573)))*(3+3)+3*G1573*H1573)*2</f>
        <v/>
      </c>
      <c r="Y1573" s="28">
        <f>Z1573/X1573</f>
        <v/>
      </c>
      <c r="Z1573" s="29" t="n">
        <v>663.881191073712</v>
      </c>
      <c r="AA1573" s="20" t="n">
        <v>57.9832760529899</v>
      </c>
      <c r="AB1573" t="n">
        <v>0.2171768464376888</v>
      </c>
      <c r="AC1573" t="n">
        <v>66.72366975140145</v>
      </c>
      <c r="AD1573" t="n">
        <v>217.284901120904</v>
      </c>
    </row>
    <row r="1574">
      <c r="A1574" t="n">
        <v>1573</v>
      </c>
      <c r="B1574" t="n">
        <v>48.2</v>
      </c>
      <c r="C1574" s="21">
        <f>B1574-20</f>
        <v/>
      </c>
      <c r="D1574" t="n">
        <v>123.2</v>
      </c>
      <c r="E1574" s="22">
        <f>D1574-90</f>
        <v/>
      </c>
      <c r="F1574" s="23" t="n">
        <v>0.009497</v>
      </c>
      <c r="G1574" s="22" t="n">
        <v>25.5</v>
      </c>
      <c r="H1574" s="22" t="n">
        <v>1.6</v>
      </c>
      <c r="I1574" s="24" t="n">
        <v>0.0522627308964729</v>
      </c>
      <c r="J1574" s="6" t="n">
        <v>71000</v>
      </c>
      <c r="K1574" s="25">
        <f>23*10^-6</f>
        <v/>
      </c>
      <c r="L1574" s="8">
        <f>H1574</f>
        <v/>
      </c>
      <c r="M1574" s="26">
        <f>H1574^2/6</f>
        <v/>
      </c>
      <c r="N1574" s="26">
        <f>H1574^3/12</f>
        <v/>
      </c>
      <c r="O1574" s="27">
        <f>-J1574*L1574*K1574*C1574</f>
        <v/>
      </c>
      <c r="P1574" s="28">
        <f>-(12*F1574*J1574*L1574*N1574+12*O1574*N1574*G1574*COS(RADIANS(E1574)))/(12*N1574*G1574*COS(RADIANS(E1574))^2+L1574*G1574^3*SIN(RADIANS(E1574))^2)</f>
        <v/>
      </c>
      <c r="Q1574" s="28">
        <f>-(6*F1574*J1574*L1574*N1574*SIN(RADIANS(E1574))+6*O1574*N1574*G1574*SIN(RADIANS(E1574))*COS(RADIANS(E1574)))/(12*N1574*COS(RADIANS(E1574))^2+L1574*G1574^2*SIN(RADIANS(E1574))^2)</f>
        <v/>
      </c>
      <c r="R1574" s="28">
        <f>-P1574*SIN(RADIANS(E1574))</f>
        <v/>
      </c>
      <c r="S1574" s="8">
        <f>(O1574+P1574*COS(RADIANS(E1574)))/L1574</f>
        <v/>
      </c>
      <c r="T1574" s="8">
        <f>R1574/L1574</f>
        <v/>
      </c>
      <c r="U1574" s="8">
        <f>(Q1574-P1574*G1574*SIN(RADIANS(E1574)))/M1574</f>
        <v/>
      </c>
      <c r="V1574" s="8">
        <f>SQRT((S1574+U1574)^2+3*T1574^2)</f>
        <v/>
      </c>
      <c r="W1574" s="8">
        <f>V1574/AA1574</f>
        <v/>
      </c>
      <c r="X1574" s="27">
        <f>((3*10+H1574/COS(RADIANS(E1574)))*(3+3)+3*G1574*H1574)*2</f>
        <v/>
      </c>
      <c r="Y1574" s="28">
        <f>Z1574/X1574</f>
        <v/>
      </c>
      <c r="Z1574" s="29" t="n">
        <v>631.02687235374</v>
      </c>
      <c r="AA1574" s="20" t="n">
        <v>44.2987656210557</v>
      </c>
      <c r="AB1574" t="n">
        <v>0.04318553290977103</v>
      </c>
      <c r="AC1574" t="n">
        <v>41.69052982470404</v>
      </c>
      <c r="AD1574" t="n">
        <v>-17.36839585494082</v>
      </c>
    </row>
    <row r="1575">
      <c r="A1575" t="n">
        <v>1574</v>
      </c>
      <c r="B1575" t="n">
        <v>58.5</v>
      </c>
      <c r="C1575" s="21">
        <f>B1575-20</f>
        <v/>
      </c>
      <c r="D1575" t="n">
        <v>106.6</v>
      </c>
      <c r="E1575" s="22">
        <f>D1575-90</f>
        <v/>
      </c>
      <c r="F1575" s="23" t="n">
        <v>0.011251</v>
      </c>
      <c r="G1575" s="22" t="n">
        <v>20.5</v>
      </c>
      <c r="H1575" s="22" t="n">
        <v>1.4</v>
      </c>
      <c r="I1575" s="24" t="n">
        <v>0.07655114680528639</v>
      </c>
      <c r="J1575" s="6" t="n">
        <v>71000</v>
      </c>
      <c r="K1575" s="25">
        <f>23*10^-6</f>
        <v/>
      </c>
      <c r="L1575" s="8">
        <f>H1575</f>
        <v/>
      </c>
      <c r="M1575" s="26">
        <f>H1575^2/6</f>
        <v/>
      </c>
      <c r="N1575" s="26">
        <f>H1575^3/12</f>
        <v/>
      </c>
      <c r="O1575" s="27">
        <f>-J1575*L1575*K1575*C1575</f>
        <v/>
      </c>
      <c r="P1575" s="28">
        <f>-(12*F1575*J1575*L1575*N1575+12*O1575*N1575*G1575*COS(RADIANS(E1575)))/(12*N1575*G1575*COS(RADIANS(E1575))^2+L1575*G1575^3*SIN(RADIANS(E1575))^2)</f>
        <v/>
      </c>
      <c r="Q1575" s="28">
        <f>-(6*F1575*J1575*L1575*N1575*SIN(RADIANS(E1575))+6*O1575*N1575*G1575*SIN(RADIANS(E1575))*COS(RADIANS(E1575)))/(12*N1575*COS(RADIANS(E1575))^2+L1575*G1575^2*SIN(RADIANS(E1575))^2)</f>
        <v/>
      </c>
      <c r="R1575" s="28">
        <f>-P1575*SIN(RADIANS(E1575))</f>
        <v/>
      </c>
      <c r="S1575" s="8">
        <f>(O1575+P1575*COS(RADIANS(E1575)))/L1575</f>
        <v/>
      </c>
      <c r="T1575" s="8">
        <f>R1575/L1575</f>
        <v/>
      </c>
      <c r="U1575" s="8">
        <f>(Q1575-P1575*G1575*SIN(RADIANS(E1575)))/M1575</f>
        <v/>
      </c>
      <c r="V1575" s="8">
        <f>SQRT((S1575+U1575)^2+3*T1575^2)</f>
        <v/>
      </c>
      <c r="W1575" s="8">
        <f>V1575/AA1575</f>
        <v/>
      </c>
      <c r="X1575" s="27">
        <f>((3*10+H1575/COS(RADIANS(E1575)))*(3+3)+3*G1575*H1575)*2</f>
        <v/>
      </c>
      <c r="Y1575" s="28">
        <f>Z1575/X1575</f>
        <v/>
      </c>
      <c r="Z1575" s="29" t="n">
        <v>554.230248508256</v>
      </c>
      <c r="AA1575" s="20" t="n">
        <v>61.8690570202536</v>
      </c>
      <c r="AB1575" t="n">
        <v>0.0960791722635732</v>
      </c>
      <c r="AC1575" t="n">
        <v>62.72011931278833</v>
      </c>
      <c r="AD1575" t="n">
        <v>25.50977519377705</v>
      </c>
    </row>
    <row r="1576">
      <c r="A1576" t="n">
        <v>1575</v>
      </c>
      <c r="B1576" t="n">
        <v>44.1</v>
      </c>
      <c r="C1576" s="21">
        <f>B1576-20</f>
        <v/>
      </c>
      <c r="D1576" t="n">
        <v>128.5</v>
      </c>
      <c r="E1576" s="22">
        <f>D1576-90</f>
        <v/>
      </c>
      <c r="F1576" s="23" t="n">
        <v>0.008874999999999999</v>
      </c>
      <c r="G1576" s="22" t="n">
        <v>31.4</v>
      </c>
      <c r="H1576" s="22" t="n">
        <v>1</v>
      </c>
      <c r="I1576" s="24" t="n">
        <v>0.0394908897578716</v>
      </c>
      <c r="J1576" s="6" t="n">
        <v>71000</v>
      </c>
      <c r="K1576" s="25">
        <f>23*10^-6</f>
        <v/>
      </c>
      <c r="L1576" s="8">
        <f>H1576</f>
        <v/>
      </c>
      <c r="M1576" s="26">
        <f>H1576^2/6</f>
        <v/>
      </c>
      <c r="N1576" s="26">
        <f>H1576^3/12</f>
        <v/>
      </c>
      <c r="O1576" s="27">
        <f>-J1576*L1576*K1576*C1576</f>
        <v/>
      </c>
      <c r="P1576" s="28">
        <f>-(12*F1576*J1576*L1576*N1576+12*O1576*N1576*G1576*COS(RADIANS(E1576)))/(12*N1576*G1576*COS(RADIANS(E1576))^2+L1576*G1576^3*SIN(RADIANS(E1576))^2)</f>
        <v/>
      </c>
      <c r="Q1576" s="28">
        <f>-(6*F1576*J1576*L1576*N1576*SIN(RADIANS(E1576))+6*O1576*N1576*G1576*SIN(RADIANS(E1576))*COS(RADIANS(E1576)))/(12*N1576*COS(RADIANS(E1576))^2+L1576*G1576^2*SIN(RADIANS(E1576))^2)</f>
        <v/>
      </c>
      <c r="R1576" s="28">
        <f>-P1576*SIN(RADIANS(E1576))</f>
        <v/>
      </c>
      <c r="S1576" s="8">
        <f>(O1576+P1576*COS(RADIANS(E1576)))/L1576</f>
        <v/>
      </c>
      <c r="T1576" s="8">
        <f>R1576/L1576</f>
        <v/>
      </c>
      <c r="U1576" s="8">
        <f>(Q1576-P1576*G1576*SIN(RADIANS(E1576)))/M1576</f>
        <v/>
      </c>
      <c r="V1576" s="8">
        <f>SQRT((S1576+U1576)^2+3*T1576^2)</f>
        <v/>
      </c>
      <c r="W1576" s="8">
        <f>V1576/AA1576</f>
        <v/>
      </c>
      <c r="X1576" s="27">
        <f>((3*10+H1576/COS(RADIANS(E1576)))*(3+3)+3*G1576*H1576)*2</f>
        <v/>
      </c>
      <c r="Y1576" s="28">
        <f>Z1576/X1576</f>
        <v/>
      </c>
      <c r="Z1576" s="29" t="n">
        <v>570.807481211743</v>
      </c>
      <c r="AA1576" s="20" t="n">
        <v>31.5766992736263</v>
      </c>
      <c r="AB1576" t="n">
        <v>0.03844696027838288</v>
      </c>
      <c r="AC1576" t="n">
        <v>33.83733275497824</v>
      </c>
      <c r="AD1576" t="n">
        <v>-2.643469128928996</v>
      </c>
    </row>
    <row r="1577">
      <c r="A1577" t="n">
        <v>1576</v>
      </c>
      <c r="B1577" t="n">
        <v>84.3</v>
      </c>
      <c r="C1577" s="21">
        <f>B1577-20</f>
        <v/>
      </c>
      <c r="D1577" t="n">
        <v>117.7</v>
      </c>
      <c r="E1577" s="22">
        <f>D1577-90</f>
        <v/>
      </c>
      <c r="F1577" s="23" t="n">
        <v>0.018184</v>
      </c>
      <c r="G1577" s="22" t="n">
        <v>24.2</v>
      </c>
      <c r="H1577" s="22" t="n">
        <v>1.9</v>
      </c>
      <c r="I1577" s="24" t="n">
        <v>0.080970861017704</v>
      </c>
      <c r="J1577" s="6" t="n">
        <v>71000</v>
      </c>
      <c r="K1577" s="25">
        <f>23*10^-6</f>
        <v/>
      </c>
      <c r="L1577" s="8">
        <f>H1577</f>
        <v/>
      </c>
      <c r="M1577" s="26">
        <f>H1577^2/6</f>
        <v/>
      </c>
      <c r="N1577" s="26">
        <f>H1577^3/12</f>
        <v/>
      </c>
      <c r="O1577" s="27">
        <f>-J1577*L1577*K1577*C1577</f>
        <v/>
      </c>
      <c r="P1577" s="28">
        <f>-(12*F1577*J1577*L1577*N1577+12*O1577*N1577*G1577*COS(RADIANS(E1577)))/(12*N1577*G1577*COS(RADIANS(E1577))^2+L1577*G1577^3*SIN(RADIANS(E1577))^2)</f>
        <v/>
      </c>
      <c r="Q1577" s="28">
        <f>-(6*F1577*J1577*L1577*N1577*SIN(RADIANS(E1577))+6*O1577*N1577*G1577*SIN(RADIANS(E1577))*COS(RADIANS(E1577)))/(12*N1577*COS(RADIANS(E1577))^2+L1577*G1577^2*SIN(RADIANS(E1577))^2)</f>
        <v/>
      </c>
      <c r="R1577" s="28">
        <f>-P1577*SIN(RADIANS(E1577))</f>
        <v/>
      </c>
      <c r="S1577" s="8">
        <f>(O1577+P1577*COS(RADIANS(E1577)))/L1577</f>
        <v/>
      </c>
      <c r="T1577" s="8">
        <f>R1577/L1577</f>
        <v/>
      </c>
      <c r="U1577" s="8">
        <f>(Q1577-P1577*G1577*SIN(RADIANS(E1577)))/M1577</f>
        <v/>
      </c>
      <c r="V1577" s="8">
        <f>SQRT((S1577+U1577)^2+3*T1577^2)</f>
        <v/>
      </c>
      <c r="W1577" s="8">
        <f>V1577/AA1577</f>
        <v/>
      </c>
      <c r="X1577" s="27">
        <f>((3*10+H1577/COS(RADIANS(E1577)))*(3+3)+3*G1577*H1577)*2</f>
        <v/>
      </c>
      <c r="Y1577" s="28">
        <f>Z1577/X1577</f>
        <v/>
      </c>
      <c r="Z1577" s="29" t="n">
        <v>675.53397706944</v>
      </c>
      <c r="AA1577" s="20" t="n">
        <v>103.837885181659</v>
      </c>
      <c r="AB1577" t="n">
        <v>0.112532741819808</v>
      </c>
      <c r="AC1577" t="n">
        <v>99.52759984220135</v>
      </c>
      <c r="AD1577" t="n">
        <v>38.97930737725896</v>
      </c>
    </row>
    <row r="1578">
      <c r="A1578" t="n">
        <v>1577</v>
      </c>
      <c r="B1578" t="n">
        <v>70.40000000000001</v>
      </c>
      <c r="C1578" s="21">
        <f>B1578-20</f>
        <v/>
      </c>
      <c r="D1578" t="n">
        <v>106.2</v>
      </c>
      <c r="E1578" s="22">
        <f>D1578-90</f>
        <v/>
      </c>
      <c r="F1578" s="23" t="n">
        <v>0.017969</v>
      </c>
      <c r="G1578" s="22" t="n">
        <v>26.5</v>
      </c>
      <c r="H1578" s="22" t="n">
        <v>2</v>
      </c>
      <c r="I1578" s="24" t="n">
        <v>0.113948792219161</v>
      </c>
      <c r="J1578" s="6" t="n">
        <v>71000</v>
      </c>
      <c r="K1578" s="25">
        <f>23*10^-6</f>
        <v/>
      </c>
      <c r="L1578" s="8">
        <f>H1578</f>
        <v/>
      </c>
      <c r="M1578" s="26">
        <f>H1578^2/6</f>
        <v/>
      </c>
      <c r="N1578" s="26">
        <f>H1578^3/12</f>
        <v/>
      </c>
      <c r="O1578" s="27">
        <f>-J1578*L1578*K1578*C1578</f>
        <v/>
      </c>
      <c r="P1578" s="28">
        <f>-(12*F1578*J1578*L1578*N1578+12*O1578*N1578*G1578*COS(RADIANS(E1578)))/(12*N1578*G1578*COS(RADIANS(E1578))^2+L1578*G1578^3*SIN(RADIANS(E1578))^2)</f>
        <v/>
      </c>
      <c r="Q1578" s="28">
        <f>-(6*F1578*J1578*L1578*N1578*SIN(RADIANS(E1578))+6*O1578*N1578*G1578*SIN(RADIANS(E1578))*COS(RADIANS(E1578)))/(12*N1578*COS(RADIANS(E1578))^2+L1578*G1578^2*SIN(RADIANS(E1578))^2)</f>
        <v/>
      </c>
      <c r="R1578" s="28">
        <f>-P1578*SIN(RADIANS(E1578))</f>
        <v/>
      </c>
      <c r="S1578" s="8">
        <f>(O1578+P1578*COS(RADIANS(E1578)))/L1578</f>
        <v/>
      </c>
      <c r="T1578" s="8">
        <f>R1578/L1578</f>
        <v/>
      </c>
      <c r="U1578" s="8">
        <f>(Q1578-P1578*G1578*SIN(RADIANS(E1578)))/M1578</f>
        <v/>
      </c>
      <c r="V1578" s="8">
        <f>SQRT((S1578+U1578)^2+3*T1578^2)</f>
        <v/>
      </c>
      <c r="W1578" s="8">
        <f>V1578/AA1578</f>
        <v/>
      </c>
      <c r="X1578" s="27">
        <f>((3*10+H1578/COS(RADIANS(E1578)))*(3+3)+3*G1578*H1578)*2</f>
        <v/>
      </c>
      <c r="Y1578" s="28">
        <f>Z1578/X1578</f>
        <v/>
      </c>
      <c r="Z1578" s="29" t="n">
        <v>707.763027392399</v>
      </c>
      <c r="AA1578" s="20" t="n">
        <v>88.59958816050001</v>
      </c>
      <c r="AB1578" t="n">
        <v>0.1610752728190502</v>
      </c>
      <c r="AC1578" t="n">
        <v>85.18870342106001</v>
      </c>
      <c r="AD1578" t="n">
        <v>41.35759553225407</v>
      </c>
    </row>
    <row r="1579">
      <c r="A1579" t="n">
        <v>1578</v>
      </c>
      <c r="B1579" t="n">
        <v>88.09999999999999</v>
      </c>
      <c r="C1579" s="21">
        <f>B1579-20</f>
        <v/>
      </c>
      <c r="D1579" t="n">
        <v>121.3</v>
      </c>
      <c r="E1579" s="22">
        <f>D1579-90</f>
        <v/>
      </c>
      <c r="F1579" s="23" t="n">
        <v>0.022028</v>
      </c>
      <c r="G1579" s="22" t="n">
        <v>22.9</v>
      </c>
      <c r="H1579" s="22" t="n">
        <v>1.6</v>
      </c>
      <c r="I1579" s="24" t="n">
        <v>0.178928419947624</v>
      </c>
      <c r="J1579" s="6" t="n">
        <v>71000</v>
      </c>
      <c r="K1579" s="25">
        <f>23*10^-6</f>
        <v/>
      </c>
      <c r="L1579" s="8">
        <f>H1579</f>
        <v/>
      </c>
      <c r="M1579" s="26">
        <f>H1579^2/6</f>
        <v/>
      </c>
      <c r="N1579" s="26">
        <f>H1579^3/12</f>
        <v/>
      </c>
      <c r="O1579" s="27">
        <f>-J1579*L1579*K1579*C1579</f>
        <v/>
      </c>
      <c r="P1579" s="28">
        <f>-(12*F1579*J1579*L1579*N1579+12*O1579*N1579*G1579*COS(RADIANS(E1579)))/(12*N1579*G1579*COS(RADIANS(E1579))^2+L1579*G1579^3*SIN(RADIANS(E1579))^2)</f>
        <v/>
      </c>
      <c r="Q1579" s="28">
        <f>-(6*F1579*J1579*L1579*N1579*SIN(RADIANS(E1579))+6*O1579*N1579*G1579*SIN(RADIANS(E1579))*COS(RADIANS(E1579)))/(12*N1579*COS(RADIANS(E1579))^2+L1579*G1579^2*SIN(RADIANS(E1579))^2)</f>
        <v/>
      </c>
      <c r="R1579" s="28">
        <f>-P1579*SIN(RADIANS(E1579))</f>
        <v/>
      </c>
      <c r="S1579" s="8">
        <f>(O1579+P1579*COS(RADIANS(E1579)))/L1579</f>
        <v/>
      </c>
      <c r="T1579" s="8">
        <f>R1579/L1579</f>
        <v/>
      </c>
      <c r="U1579" s="8">
        <f>(Q1579-P1579*G1579*SIN(RADIANS(E1579)))/M1579</f>
        <v/>
      </c>
      <c r="V1579" s="8">
        <f>SQRT((S1579+U1579)^2+3*T1579^2)</f>
        <v/>
      </c>
      <c r="W1579" s="8">
        <f>V1579/AA1579</f>
        <v/>
      </c>
      <c r="X1579" s="27">
        <f>((3*10+H1579/COS(RADIANS(E1579)))*(3+3)+3*G1579*H1579)*2</f>
        <v/>
      </c>
      <c r="Y1579" s="28">
        <f>Z1579/X1579</f>
        <v/>
      </c>
      <c r="Z1579" s="29" t="n">
        <v>603.488557665696</v>
      </c>
      <c r="AA1579" s="20" t="n">
        <v>122.086865295738</v>
      </c>
      <c r="AB1579" t="n">
        <v>0.1002041880162414</v>
      </c>
      <c r="AC1579" t="n">
        <v>102.013468699946</v>
      </c>
      <c r="AD1579" t="n">
        <v>-43.99761198049299</v>
      </c>
    </row>
    <row r="1580">
      <c r="A1580" t="n">
        <v>1579</v>
      </c>
      <c r="B1580" t="n">
        <v>63.5</v>
      </c>
      <c r="C1580" s="21">
        <f>B1580-20</f>
        <v/>
      </c>
      <c r="D1580" t="n">
        <v>112.6</v>
      </c>
      <c r="E1580" s="22">
        <f>D1580-90</f>
        <v/>
      </c>
      <c r="F1580" s="23" t="n">
        <v>0.013432</v>
      </c>
      <c r="G1580" s="22" t="n">
        <v>25.2</v>
      </c>
      <c r="H1580" s="22" t="n">
        <v>1.2</v>
      </c>
      <c r="I1580" s="24" t="n">
        <v>0.0617678351700305</v>
      </c>
      <c r="J1580" s="6" t="n">
        <v>71000</v>
      </c>
      <c r="K1580" s="25">
        <f>23*10^-6</f>
        <v/>
      </c>
      <c r="L1580" s="8">
        <f>H1580</f>
        <v/>
      </c>
      <c r="M1580" s="26">
        <f>H1580^2/6</f>
        <v/>
      </c>
      <c r="N1580" s="26">
        <f>H1580^3/12</f>
        <v/>
      </c>
      <c r="O1580" s="27">
        <f>-J1580*L1580*K1580*C1580</f>
        <v/>
      </c>
      <c r="P1580" s="28">
        <f>-(12*F1580*J1580*L1580*N1580+12*O1580*N1580*G1580*COS(RADIANS(E1580)))/(12*N1580*G1580*COS(RADIANS(E1580))^2+L1580*G1580^3*SIN(RADIANS(E1580))^2)</f>
        <v/>
      </c>
      <c r="Q1580" s="28">
        <f>-(6*F1580*J1580*L1580*N1580*SIN(RADIANS(E1580))+6*O1580*N1580*G1580*SIN(RADIANS(E1580))*COS(RADIANS(E1580)))/(12*N1580*COS(RADIANS(E1580))^2+L1580*G1580^2*SIN(RADIANS(E1580))^2)</f>
        <v/>
      </c>
      <c r="R1580" s="28">
        <f>-P1580*SIN(RADIANS(E1580))</f>
        <v/>
      </c>
      <c r="S1580" s="8">
        <f>(O1580+P1580*COS(RADIANS(E1580)))/L1580</f>
        <v/>
      </c>
      <c r="T1580" s="8">
        <f>R1580/L1580</f>
        <v/>
      </c>
      <c r="U1580" s="8">
        <f>(Q1580-P1580*G1580*SIN(RADIANS(E1580)))/M1580</f>
        <v/>
      </c>
      <c r="V1580" s="8">
        <f>SQRT((S1580+U1580)^2+3*T1580^2)</f>
        <v/>
      </c>
      <c r="W1580" s="8">
        <f>V1580/AA1580</f>
        <v/>
      </c>
      <c r="X1580" s="27">
        <f>((3*10+H1580/COS(RADIANS(E1580)))*(3+3)+3*G1580*H1580)*2</f>
        <v/>
      </c>
      <c r="Y1580" s="28">
        <f>Z1580/X1580</f>
        <v/>
      </c>
      <c r="Z1580" s="29" t="n">
        <v>566.764687814346</v>
      </c>
      <c r="AA1580" s="20" t="n">
        <v>61.7526618745496</v>
      </c>
      <c r="AB1580" t="n">
        <v>0.09909541288939165</v>
      </c>
      <c r="AC1580" t="n">
        <v>65.59407001712437</v>
      </c>
      <c r="AD1580" t="n">
        <v>60.43206406151068</v>
      </c>
    </row>
    <row r="1581">
      <c r="A1581" t="n">
        <v>1580</v>
      </c>
      <c r="B1581" t="n">
        <v>50.3</v>
      </c>
      <c r="C1581" s="21">
        <f>B1581-20</f>
        <v/>
      </c>
      <c r="D1581" t="n">
        <v>107.6</v>
      </c>
      <c r="E1581" s="22">
        <f>D1581-90</f>
        <v/>
      </c>
      <c r="F1581" s="23" t="n">
        <v>0.011871</v>
      </c>
      <c r="G1581" s="22" t="n">
        <v>29.6</v>
      </c>
      <c r="H1581" s="22" t="n">
        <v>1.1</v>
      </c>
      <c r="I1581" s="24" t="n">
        <v>0.07905299961566919</v>
      </c>
      <c r="J1581" s="6" t="n">
        <v>71000</v>
      </c>
      <c r="K1581" s="25">
        <f>23*10^-6</f>
        <v/>
      </c>
      <c r="L1581" s="8">
        <f>H1581</f>
        <v/>
      </c>
      <c r="M1581" s="26">
        <f>H1581^2/6</f>
        <v/>
      </c>
      <c r="N1581" s="26">
        <f>H1581^3/12</f>
        <v/>
      </c>
      <c r="O1581" s="27">
        <f>-J1581*L1581*K1581*C1581</f>
        <v/>
      </c>
      <c r="P1581" s="28">
        <f>-(12*F1581*J1581*L1581*N1581+12*O1581*N1581*G1581*COS(RADIANS(E1581)))/(12*N1581*G1581*COS(RADIANS(E1581))^2+L1581*G1581^3*SIN(RADIANS(E1581))^2)</f>
        <v/>
      </c>
      <c r="Q1581" s="28">
        <f>-(6*F1581*J1581*L1581*N1581*SIN(RADIANS(E1581))+6*O1581*N1581*G1581*SIN(RADIANS(E1581))*COS(RADIANS(E1581)))/(12*N1581*COS(RADIANS(E1581))^2+L1581*G1581^2*SIN(RADIANS(E1581))^2)</f>
        <v/>
      </c>
      <c r="R1581" s="28">
        <f>-P1581*SIN(RADIANS(E1581))</f>
        <v/>
      </c>
      <c r="S1581" s="8">
        <f>(O1581+P1581*COS(RADIANS(E1581)))/L1581</f>
        <v/>
      </c>
      <c r="T1581" s="8">
        <f>R1581/L1581</f>
        <v/>
      </c>
      <c r="U1581" s="8">
        <f>(Q1581-P1581*G1581*SIN(RADIANS(E1581)))/M1581</f>
        <v/>
      </c>
      <c r="V1581" s="8">
        <f>SQRT((S1581+U1581)^2+3*T1581^2)</f>
        <v/>
      </c>
      <c r="W1581" s="8">
        <f>V1581/AA1581</f>
        <v/>
      </c>
      <c r="X1581" s="27">
        <f>((3*10+H1581/COS(RADIANS(E1581)))*(3+3)+3*G1581*H1581)*2</f>
        <v/>
      </c>
      <c r="Y1581" s="28">
        <f>Z1581/X1581</f>
        <v/>
      </c>
      <c r="Z1581" s="29" t="n">
        <v>573.611456483956</v>
      </c>
      <c r="AA1581" s="20" t="n">
        <v>43.7362600062261</v>
      </c>
      <c r="AB1581" t="n">
        <v>0.1039992914638641</v>
      </c>
      <c r="AC1581" t="n">
        <v>46.1056795042977</v>
      </c>
      <c r="AD1581" t="n">
        <v>31.55641401272048</v>
      </c>
    </row>
    <row r="1582">
      <c r="A1582" t="n">
        <v>1581</v>
      </c>
      <c r="B1582" t="n">
        <v>60.7</v>
      </c>
      <c r="C1582" s="21">
        <f>B1582-20</f>
        <v/>
      </c>
      <c r="D1582" t="n">
        <v>118.7</v>
      </c>
      <c r="E1582" s="22">
        <f>D1582-90</f>
        <v/>
      </c>
      <c r="F1582" s="23" t="n">
        <v>0.01444</v>
      </c>
      <c r="G1582" s="22" t="n">
        <v>32.1</v>
      </c>
      <c r="H1582" s="22" t="n">
        <v>1.8</v>
      </c>
      <c r="I1582" s="24" t="n">
        <v>0.0618498437106609</v>
      </c>
      <c r="J1582" s="6" t="n">
        <v>71000</v>
      </c>
      <c r="K1582" s="25">
        <f>23*10^-6</f>
        <v/>
      </c>
      <c r="L1582" s="8">
        <f>H1582</f>
        <v/>
      </c>
      <c r="M1582" s="26">
        <f>H1582^2/6</f>
        <v/>
      </c>
      <c r="N1582" s="26">
        <f>H1582^3/12</f>
        <v/>
      </c>
      <c r="O1582" s="27">
        <f>-J1582*L1582*K1582*C1582</f>
        <v/>
      </c>
      <c r="P1582" s="28">
        <f>-(12*F1582*J1582*L1582*N1582+12*O1582*N1582*G1582*COS(RADIANS(E1582)))/(12*N1582*G1582*COS(RADIANS(E1582))^2+L1582*G1582^3*SIN(RADIANS(E1582))^2)</f>
        <v/>
      </c>
      <c r="Q1582" s="28">
        <f>-(6*F1582*J1582*L1582*N1582*SIN(RADIANS(E1582))+6*O1582*N1582*G1582*SIN(RADIANS(E1582))*COS(RADIANS(E1582)))/(12*N1582*COS(RADIANS(E1582))^2+L1582*G1582^2*SIN(RADIANS(E1582))^2)</f>
        <v/>
      </c>
      <c r="R1582" s="28">
        <f>-P1582*SIN(RADIANS(E1582))</f>
        <v/>
      </c>
      <c r="S1582" s="8">
        <f>(O1582+P1582*COS(RADIANS(E1582)))/L1582</f>
        <v/>
      </c>
      <c r="T1582" s="8">
        <f>R1582/L1582</f>
        <v/>
      </c>
      <c r="U1582" s="8">
        <f>(Q1582-P1582*G1582*SIN(RADIANS(E1582)))/M1582</f>
        <v/>
      </c>
      <c r="V1582" s="8">
        <f>SQRT((S1582+U1582)^2+3*T1582^2)</f>
        <v/>
      </c>
      <c r="W1582" s="8">
        <f>V1582/AA1582</f>
        <v/>
      </c>
      <c r="X1582" s="27">
        <f>((3*10+H1582/COS(RADIANS(E1582)))*(3+3)+3*G1582*H1582)*2</f>
        <v/>
      </c>
      <c r="Y1582" s="28">
        <f>Z1582/X1582</f>
        <v/>
      </c>
      <c r="Z1582" s="29" t="n">
        <v>744.380336166975</v>
      </c>
      <c r="AA1582" s="20" t="n">
        <v>61.3348956295089</v>
      </c>
      <c r="AB1582" t="n">
        <v>0.09047912067328545</v>
      </c>
      <c r="AC1582" t="n">
        <v>61.06691751583062</v>
      </c>
      <c r="AD1582" t="n">
        <v>46.28835781146815</v>
      </c>
    </row>
    <row r="1583">
      <c r="A1583" t="n">
        <v>1582</v>
      </c>
      <c r="B1583" t="n">
        <v>89.59999999999999</v>
      </c>
      <c r="C1583" s="21">
        <f>B1583-20</f>
        <v/>
      </c>
      <c r="D1583" t="n">
        <v>109</v>
      </c>
      <c r="E1583" s="22">
        <f>D1583-90</f>
        <v/>
      </c>
      <c r="F1583" s="23" t="n">
        <v>0.027803</v>
      </c>
      <c r="G1583" s="22" t="n">
        <v>32.8</v>
      </c>
      <c r="H1583" s="22" t="n">
        <v>1.8</v>
      </c>
      <c r="I1583" s="24" t="n">
        <v>0.132699102163314</v>
      </c>
      <c r="J1583" s="6" t="n">
        <v>71000</v>
      </c>
      <c r="K1583" s="25">
        <f>23*10^-6</f>
        <v/>
      </c>
      <c r="L1583" s="8">
        <f>H1583</f>
        <v/>
      </c>
      <c r="M1583" s="26">
        <f>H1583^2/6</f>
        <v/>
      </c>
      <c r="N1583" s="26">
        <f>H1583^3/12</f>
        <v/>
      </c>
      <c r="O1583" s="27">
        <f>-J1583*L1583*K1583*C1583</f>
        <v/>
      </c>
      <c r="P1583" s="28">
        <f>-(12*F1583*J1583*L1583*N1583+12*O1583*N1583*G1583*COS(RADIANS(E1583)))/(12*N1583*G1583*COS(RADIANS(E1583))^2+L1583*G1583^3*SIN(RADIANS(E1583))^2)</f>
        <v/>
      </c>
      <c r="Q1583" s="28">
        <f>-(6*F1583*J1583*L1583*N1583*SIN(RADIANS(E1583))+6*O1583*N1583*G1583*SIN(RADIANS(E1583))*COS(RADIANS(E1583)))/(12*N1583*COS(RADIANS(E1583))^2+L1583*G1583^2*SIN(RADIANS(E1583))^2)</f>
        <v/>
      </c>
      <c r="R1583" s="28">
        <f>-P1583*SIN(RADIANS(E1583))</f>
        <v/>
      </c>
      <c r="S1583" s="8">
        <f>(O1583+P1583*COS(RADIANS(E1583)))/L1583</f>
        <v/>
      </c>
      <c r="T1583" s="8">
        <f>R1583/L1583</f>
        <v/>
      </c>
      <c r="U1583" s="8">
        <f>(Q1583-P1583*G1583*SIN(RADIANS(E1583)))/M1583</f>
        <v/>
      </c>
      <c r="V1583" s="8">
        <f>SQRT((S1583+U1583)^2+3*T1583^2)</f>
        <v/>
      </c>
      <c r="W1583" s="8">
        <f>V1583/AA1583</f>
        <v/>
      </c>
      <c r="X1583" s="27">
        <f>((3*10+H1583/COS(RADIANS(E1583)))*(3+3)+3*G1583*H1583)*2</f>
        <v/>
      </c>
      <c r="Y1583" s="28">
        <f>Z1583/X1583</f>
        <v/>
      </c>
      <c r="Z1583" s="29" t="n">
        <v>745.176146089603</v>
      </c>
      <c r="AA1583" s="20" t="n">
        <v>109.102991187901</v>
      </c>
      <c r="AB1583" t="n">
        <v>0.2402070371190113</v>
      </c>
      <c r="AC1583" t="n">
        <v>110.3410109744388</v>
      </c>
      <c r="AD1583" t="n">
        <v>81.01632430292277</v>
      </c>
    </row>
    <row r="1584">
      <c r="A1584" t="n">
        <v>1583</v>
      </c>
      <c r="B1584" t="n">
        <v>61.7</v>
      </c>
      <c r="C1584" s="21">
        <f>B1584-20</f>
        <v/>
      </c>
      <c r="D1584" t="n">
        <v>124.7</v>
      </c>
      <c r="E1584" s="22">
        <f>D1584-90</f>
        <v/>
      </c>
      <c r="F1584" s="23" t="n">
        <v>0.018647</v>
      </c>
      <c r="G1584" s="22" t="n">
        <v>34.6</v>
      </c>
      <c r="H1584" s="22" t="n">
        <v>1.7</v>
      </c>
      <c r="I1584" s="24" t="n">
        <v>0.123240210115909</v>
      </c>
      <c r="J1584" s="6" t="n">
        <v>71000</v>
      </c>
      <c r="K1584" s="25">
        <f>23*10^-6</f>
        <v/>
      </c>
      <c r="L1584" s="8">
        <f>H1584</f>
        <v/>
      </c>
      <c r="M1584" s="26">
        <f>H1584^2/6</f>
        <v/>
      </c>
      <c r="N1584" s="26">
        <f>H1584^3/12</f>
        <v/>
      </c>
      <c r="O1584" s="27">
        <f>-J1584*L1584*K1584*C1584</f>
        <v/>
      </c>
      <c r="P1584" s="28">
        <f>-(12*F1584*J1584*L1584*N1584+12*O1584*N1584*G1584*COS(RADIANS(E1584)))/(12*N1584*G1584*COS(RADIANS(E1584))^2+L1584*G1584^3*SIN(RADIANS(E1584))^2)</f>
        <v/>
      </c>
      <c r="Q1584" s="28">
        <f>-(6*F1584*J1584*L1584*N1584*SIN(RADIANS(E1584))+6*O1584*N1584*G1584*SIN(RADIANS(E1584))*COS(RADIANS(E1584)))/(12*N1584*COS(RADIANS(E1584))^2+L1584*G1584^2*SIN(RADIANS(E1584))^2)</f>
        <v/>
      </c>
      <c r="R1584" s="28">
        <f>-P1584*SIN(RADIANS(E1584))</f>
        <v/>
      </c>
      <c r="S1584" s="8">
        <f>(O1584+P1584*COS(RADIANS(E1584)))/L1584</f>
        <v/>
      </c>
      <c r="T1584" s="8">
        <f>R1584/L1584</f>
        <v/>
      </c>
      <c r="U1584" s="8">
        <f>(Q1584-P1584*G1584*SIN(RADIANS(E1584)))/M1584</f>
        <v/>
      </c>
      <c r="V1584" s="8">
        <f>SQRT((S1584+U1584)^2+3*T1584^2)</f>
        <v/>
      </c>
      <c r="W1584" s="8">
        <f>V1584/AA1584</f>
        <v/>
      </c>
      <c r="X1584" s="27">
        <f>((3*10+H1584/COS(RADIANS(E1584)))*(3+3)+3*G1584*H1584)*2</f>
        <v/>
      </c>
      <c r="Y1584" s="28">
        <f>Z1584/X1584</f>
        <v/>
      </c>
      <c r="Z1584" s="29" t="n">
        <v>738.58948479346</v>
      </c>
      <c r="AA1584" s="20" t="n">
        <v>67.0833074406891</v>
      </c>
      <c r="AB1584" t="n">
        <v>0.08147397484179462</v>
      </c>
      <c r="AC1584" t="n">
        <v>60.638875920891</v>
      </c>
      <c r="AD1584" t="n">
        <v>-33.89010391562356</v>
      </c>
    </row>
    <row r="1585">
      <c r="A1585" t="n">
        <v>1584</v>
      </c>
      <c r="B1585" t="n">
        <v>59.2</v>
      </c>
      <c r="C1585" s="21">
        <f>B1585-20</f>
        <v/>
      </c>
      <c r="D1585" t="n">
        <v>111.2</v>
      </c>
      <c r="E1585" s="22">
        <f>D1585-90</f>
        <v/>
      </c>
      <c r="F1585" s="23" t="n">
        <v>0.014289</v>
      </c>
      <c r="G1585" s="22" t="n">
        <v>30.4</v>
      </c>
      <c r="H1585" s="22" t="n">
        <v>1.4</v>
      </c>
      <c r="I1585" s="24" t="n">
        <v>0.065311349928379</v>
      </c>
      <c r="J1585" s="6" t="n">
        <v>71000</v>
      </c>
      <c r="K1585" s="25">
        <f>23*10^-6</f>
        <v/>
      </c>
      <c r="L1585" s="8">
        <f>H1585</f>
        <v/>
      </c>
      <c r="M1585" s="26">
        <f>H1585^2/6</f>
        <v/>
      </c>
      <c r="N1585" s="26">
        <f>H1585^3/12</f>
        <v/>
      </c>
      <c r="O1585" s="27">
        <f>-J1585*L1585*K1585*C1585</f>
        <v/>
      </c>
      <c r="P1585" s="28">
        <f>-(12*F1585*J1585*L1585*N1585+12*O1585*N1585*G1585*COS(RADIANS(E1585)))/(12*N1585*G1585*COS(RADIANS(E1585))^2+L1585*G1585^3*SIN(RADIANS(E1585))^2)</f>
        <v/>
      </c>
      <c r="Q1585" s="28">
        <f>-(6*F1585*J1585*L1585*N1585*SIN(RADIANS(E1585))+6*O1585*N1585*G1585*SIN(RADIANS(E1585))*COS(RADIANS(E1585)))/(12*N1585*COS(RADIANS(E1585))^2+L1585*G1585^2*SIN(RADIANS(E1585))^2)</f>
        <v/>
      </c>
      <c r="R1585" s="28">
        <f>-P1585*SIN(RADIANS(E1585))</f>
        <v/>
      </c>
      <c r="S1585" s="8">
        <f>(O1585+P1585*COS(RADIANS(E1585)))/L1585</f>
        <v/>
      </c>
      <c r="T1585" s="8">
        <f>R1585/L1585</f>
        <v/>
      </c>
      <c r="U1585" s="8">
        <f>(Q1585-P1585*G1585*SIN(RADIANS(E1585)))/M1585</f>
        <v/>
      </c>
      <c r="V1585" s="8">
        <f>SQRT((S1585+U1585)^2+3*T1585^2)</f>
        <v/>
      </c>
      <c r="W1585" s="8">
        <f>V1585/AA1585</f>
        <v/>
      </c>
      <c r="X1585" s="27">
        <f>((3*10+H1585/COS(RADIANS(E1585)))*(3+3)+3*G1585*H1585)*2</f>
        <v/>
      </c>
      <c r="Y1585" s="28">
        <f>Z1585/X1585</f>
        <v/>
      </c>
      <c r="Z1585" s="29" t="n">
        <v>642.543150557607</v>
      </c>
      <c r="AA1585" s="20" t="n">
        <v>56.9115407675686</v>
      </c>
      <c r="AB1585" t="n">
        <v>0.1136737389532784</v>
      </c>
      <c r="AC1585" t="n">
        <v>59.74478833611798</v>
      </c>
      <c r="AD1585" t="n">
        <v>74.04898088606966</v>
      </c>
    </row>
    <row r="1586">
      <c r="A1586" t="n">
        <v>1585</v>
      </c>
      <c r="B1586" t="n">
        <v>53.8</v>
      </c>
      <c r="C1586" s="21">
        <f>B1586-20</f>
        <v/>
      </c>
      <c r="D1586" t="n">
        <v>129.3</v>
      </c>
      <c r="E1586" s="22">
        <f>D1586-90</f>
        <v/>
      </c>
      <c r="F1586" s="23" t="n">
        <v>0.011952</v>
      </c>
      <c r="G1586" s="22" t="n">
        <v>27.1</v>
      </c>
      <c r="H1586" s="22" t="n">
        <v>1.8</v>
      </c>
      <c r="I1586" s="24" t="n">
        <v>0.06513310968875879</v>
      </c>
      <c r="J1586" s="6" t="n">
        <v>71000</v>
      </c>
      <c r="K1586" s="25">
        <f>23*10^-6</f>
        <v/>
      </c>
      <c r="L1586" s="8">
        <f>H1586</f>
        <v/>
      </c>
      <c r="M1586" s="26">
        <f>H1586^2/6</f>
        <v/>
      </c>
      <c r="N1586" s="26">
        <f>H1586^3/12</f>
        <v/>
      </c>
      <c r="O1586" s="27">
        <f>-J1586*L1586*K1586*C1586</f>
        <v/>
      </c>
      <c r="P1586" s="28">
        <f>-(12*F1586*J1586*L1586*N1586+12*O1586*N1586*G1586*COS(RADIANS(E1586)))/(12*N1586*G1586*COS(RADIANS(E1586))^2+L1586*G1586^3*SIN(RADIANS(E1586))^2)</f>
        <v/>
      </c>
      <c r="Q1586" s="28">
        <f>-(6*F1586*J1586*L1586*N1586*SIN(RADIANS(E1586))+6*O1586*N1586*G1586*SIN(RADIANS(E1586))*COS(RADIANS(E1586)))/(12*N1586*COS(RADIANS(E1586))^2+L1586*G1586^2*SIN(RADIANS(E1586))^2)</f>
        <v/>
      </c>
      <c r="R1586" s="28">
        <f>-P1586*SIN(RADIANS(E1586))</f>
        <v/>
      </c>
      <c r="S1586" s="8">
        <f>(O1586+P1586*COS(RADIANS(E1586)))/L1586</f>
        <v/>
      </c>
      <c r="T1586" s="8">
        <f>R1586/L1586</f>
        <v/>
      </c>
      <c r="U1586" s="8">
        <f>(Q1586-P1586*G1586*SIN(RADIANS(E1586)))/M1586</f>
        <v/>
      </c>
      <c r="V1586" s="8">
        <f>SQRT((S1586+U1586)^2+3*T1586^2)</f>
        <v/>
      </c>
      <c r="W1586" s="8">
        <f>V1586/AA1586</f>
        <v/>
      </c>
      <c r="X1586" s="27">
        <f>((3*10+H1586/COS(RADIANS(E1586)))*(3+3)+3*G1586*H1586)*2</f>
        <v/>
      </c>
      <c r="Y1586" s="28">
        <f>Z1586/X1586</f>
        <v/>
      </c>
      <c r="Z1586" s="29" t="n">
        <v>681.5064969630801</v>
      </c>
      <c r="AA1586" s="20" t="n">
        <v>55.1323613791239</v>
      </c>
      <c r="AB1586" t="n">
        <v>0.0456028578744907</v>
      </c>
      <c r="AC1586" t="n">
        <v>49.27061020631574</v>
      </c>
      <c r="AD1586" t="n">
        <v>-29.98513644994719</v>
      </c>
    </row>
    <row r="1587">
      <c r="A1587" t="n">
        <v>1586</v>
      </c>
      <c r="B1587" t="n">
        <v>75.5</v>
      </c>
      <c r="C1587" s="21">
        <f>B1587-20</f>
        <v/>
      </c>
      <c r="D1587" t="n">
        <v>128.1</v>
      </c>
      <c r="E1587" s="22">
        <f>D1587-90</f>
        <v/>
      </c>
      <c r="F1587" s="23" t="n">
        <v>0.019657</v>
      </c>
      <c r="G1587" s="22" t="n">
        <v>26.3</v>
      </c>
      <c r="H1587" s="22" t="n">
        <v>1</v>
      </c>
      <c r="I1587" s="24" t="n">
        <v>0.127446860074996</v>
      </c>
      <c r="J1587" s="6" t="n">
        <v>71000</v>
      </c>
      <c r="K1587" s="25">
        <f>23*10^-6</f>
        <v/>
      </c>
      <c r="L1587" s="8">
        <f>H1587</f>
        <v/>
      </c>
      <c r="M1587" s="26">
        <f>H1587^2/6</f>
        <v/>
      </c>
      <c r="N1587" s="26">
        <f>H1587^3/12</f>
        <v/>
      </c>
      <c r="O1587" s="27">
        <f>-J1587*L1587*K1587*C1587</f>
        <v/>
      </c>
      <c r="P1587" s="28">
        <f>-(12*F1587*J1587*L1587*N1587+12*O1587*N1587*G1587*COS(RADIANS(E1587)))/(12*N1587*G1587*COS(RADIANS(E1587))^2+L1587*G1587^3*SIN(RADIANS(E1587))^2)</f>
        <v/>
      </c>
      <c r="Q1587" s="28">
        <f>-(6*F1587*J1587*L1587*N1587*SIN(RADIANS(E1587))+6*O1587*N1587*G1587*SIN(RADIANS(E1587))*COS(RADIANS(E1587)))/(12*N1587*COS(RADIANS(E1587))^2+L1587*G1587^2*SIN(RADIANS(E1587))^2)</f>
        <v/>
      </c>
      <c r="R1587" s="28">
        <f>-P1587*SIN(RADIANS(E1587))</f>
        <v/>
      </c>
      <c r="S1587" s="8">
        <f>(O1587+P1587*COS(RADIANS(E1587)))/L1587</f>
        <v/>
      </c>
      <c r="T1587" s="8">
        <f>R1587/L1587</f>
        <v/>
      </c>
      <c r="U1587" s="8">
        <f>(Q1587-P1587*G1587*SIN(RADIANS(E1587)))/M1587</f>
        <v/>
      </c>
      <c r="V1587" s="8">
        <f>SQRT((S1587+U1587)^2+3*T1587^2)</f>
        <v/>
      </c>
      <c r="W1587" s="8">
        <f>V1587/AA1587</f>
        <v/>
      </c>
      <c r="X1587" s="27">
        <f>((3*10+H1587/COS(RADIANS(E1587)))*(3+3)+3*G1587*H1587)*2</f>
        <v/>
      </c>
      <c r="Y1587" s="28">
        <f>Z1587/X1587</f>
        <v/>
      </c>
      <c r="Z1587" s="29" t="n">
        <v>535.0015190811559</v>
      </c>
      <c r="AA1587" s="20" t="n">
        <v>78.3370853425872</v>
      </c>
      <c r="AB1587" t="n">
        <v>0.07574082078168828</v>
      </c>
      <c r="AC1587" t="n">
        <v>78.3820627237435</v>
      </c>
      <c r="AD1587" t="n">
        <v>-40.57066550159129</v>
      </c>
    </row>
    <row r="1588">
      <c r="A1588" t="n">
        <v>1587</v>
      </c>
      <c r="B1588" t="n">
        <v>53.8</v>
      </c>
      <c r="C1588" s="21">
        <f>B1588-20</f>
        <v/>
      </c>
      <c r="D1588" t="n">
        <v>118.9</v>
      </c>
      <c r="E1588" s="22">
        <f>D1588-90</f>
        <v/>
      </c>
      <c r="F1588" s="23" t="n">
        <v>0.009273999999999999</v>
      </c>
      <c r="G1588" s="22" t="n">
        <v>20.6</v>
      </c>
      <c r="H1588" s="22" t="n">
        <v>1.1</v>
      </c>
      <c r="I1588" s="24" t="n">
        <v>0.0466769337654113</v>
      </c>
      <c r="J1588" s="6" t="n">
        <v>71000</v>
      </c>
      <c r="K1588" s="25">
        <f>23*10^-6</f>
        <v/>
      </c>
      <c r="L1588" s="8">
        <f>H1588</f>
        <v/>
      </c>
      <c r="M1588" s="26">
        <f>H1588^2/6</f>
        <v/>
      </c>
      <c r="N1588" s="26">
        <f>H1588^3/12</f>
        <v/>
      </c>
      <c r="O1588" s="27">
        <f>-J1588*L1588*K1588*C1588</f>
        <v/>
      </c>
      <c r="P1588" s="28">
        <f>-(12*F1588*J1588*L1588*N1588+12*O1588*N1588*G1588*COS(RADIANS(E1588)))/(12*N1588*G1588*COS(RADIANS(E1588))^2+L1588*G1588^3*SIN(RADIANS(E1588))^2)</f>
        <v/>
      </c>
      <c r="Q1588" s="28">
        <f>-(6*F1588*J1588*L1588*N1588*SIN(RADIANS(E1588))+6*O1588*N1588*G1588*SIN(RADIANS(E1588))*COS(RADIANS(E1588)))/(12*N1588*COS(RADIANS(E1588))^2+L1588*G1588^2*SIN(RADIANS(E1588))^2)</f>
        <v/>
      </c>
      <c r="R1588" s="28">
        <f>-P1588*SIN(RADIANS(E1588))</f>
        <v/>
      </c>
      <c r="S1588" s="8">
        <f>(O1588+P1588*COS(RADIANS(E1588)))/L1588</f>
        <v/>
      </c>
      <c r="T1588" s="8">
        <f>R1588/L1588</f>
        <v/>
      </c>
      <c r="U1588" s="8">
        <f>(Q1588-P1588*G1588*SIN(RADIANS(E1588)))/M1588</f>
        <v/>
      </c>
      <c r="V1588" s="8">
        <f>SQRT((S1588+U1588)^2+3*T1588^2)</f>
        <v/>
      </c>
      <c r="W1588" s="8">
        <f>V1588/AA1588</f>
        <v/>
      </c>
      <c r="X1588" s="27">
        <f>((3*10+H1588/COS(RADIANS(E1588)))*(3+3)+3*G1588*H1588)*2</f>
        <v/>
      </c>
      <c r="Y1588" s="28">
        <f>Z1588/X1588</f>
        <v/>
      </c>
      <c r="Z1588" s="29" t="n">
        <v>517.8038929645689</v>
      </c>
      <c r="AA1588" s="20" t="n">
        <v>48.340791778604</v>
      </c>
      <c r="AB1588" t="n">
        <v>0.04940300242451445</v>
      </c>
      <c r="AC1588" t="n">
        <v>49.68522289486695</v>
      </c>
      <c r="AD1588" t="n">
        <v>5.840290780032397</v>
      </c>
    </row>
    <row r="1589">
      <c r="A1589" t="n">
        <v>1588</v>
      </c>
      <c r="B1589" t="n">
        <v>49.3</v>
      </c>
      <c r="C1589" s="21">
        <f>B1589-20</f>
        <v/>
      </c>
      <c r="D1589" t="n">
        <v>127.4</v>
      </c>
      <c r="E1589" s="22">
        <f>D1589-90</f>
        <v/>
      </c>
      <c r="F1589" s="23" t="n">
        <v>0.009268</v>
      </c>
      <c r="G1589" s="22" t="n">
        <v>23</v>
      </c>
      <c r="H1589" s="22" t="n">
        <v>1.9</v>
      </c>
      <c r="I1589" s="24" t="n">
        <v>0.0566694848239421</v>
      </c>
      <c r="J1589" s="6" t="n">
        <v>71000</v>
      </c>
      <c r="K1589" s="25">
        <f>23*10^-6</f>
        <v/>
      </c>
      <c r="L1589" s="8">
        <f>H1589</f>
        <v/>
      </c>
      <c r="M1589" s="26">
        <f>H1589^2/6</f>
        <v/>
      </c>
      <c r="N1589" s="26">
        <f>H1589^3/12</f>
        <v/>
      </c>
      <c r="O1589" s="27">
        <f>-J1589*L1589*K1589*C1589</f>
        <v/>
      </c>
      <c r="P1589" s="28">
        <f>-(12*F1589*J1589*L1589*N1589+12*O1589*N1589*G1589*COS(RADIANS(E1589)))/(12*N1589*G1589*COS(RADIANS(E1589))^2+L1589*G1589^3*SIN(RADIANS(E1589))^2)</f>
        <v/>
      </c>
      <c r="Q1589" s="28">
        <f>-(6*F1589*J1589*L1589*N1589*SIN(RADIANS(E1589))+6*O1589*N1589*G1589*SIN(RADIANS(E1589))*COS(RADIANS(E1589)))/(12*N1589*COS(RADIANS(E1589))^2+L1589*G1589^2*SIN(RADIANS(E1589))^2)</f>
        <v/>
      </c>
      <c r="R1589" s="28">
        <f>-P1589*SIN(RADIANS(E1589))</f>
        <v/>
      </c>
      <c r="S1589" s="8">
        <f>(O1589+P1589*COS(RADIANS(E1589)))/L1589</f>
        <v/>
      </c>
      <c r="T1589" s="8">
        <f>R1589/L1589</f>
        <v/>
      </c>
      <c r="U1589" s="8">
        <f>(Q1589-P1589*G1589*SIN(RADIANS(E1589)))/M1589</f>
        <v/>
      </c>
      <c r="V1589" s="8">
        <f>SQRT((S1589+U1589)^2+3*T1589^2)</f>
        <v/>
      </c>
      <c r="W1589" s="8">
        <f>V1589/AA1589</f>
        <v/>
      </c>
      <c r="X1589" s="27">
        <f>((3*10+H1589/COS(RADIANS(E1589)))*(3+3)+3*G1589*H1589)*2</f>
        <v/>
      </c>
      <c r="Y1589" s="28">
        <f>Z1589/X1589</f>
        <v/>
      </c>
      <c r="Z1589" s="29" t="n">
        <v>651.130277265176</v>
      </c>
      <c r="AA1589" s="20" t="n">
        <v>51.3653642450235</v>
      </c>
      <c r="AB1589" t="n">
        <v>0.03563450432192188</v>
      </c>
      <c r="AC1589" t="n">
        <v>43.50583640454754</v>
      </c>
      <c r="AD1589" t="n">
        <v>-37.11870783256746</v>
      </c>
    </row>
    <row r="1590">
      <c r="A1590" t="n">
        <v>1589</v>
      </c>
      <c r="B1590" t="n">
        <v>66.09999999999999</v>
      </c>
      <c r="C1590" s="21">
        <f>B1590-20</f>
        <v/>
      </c>
      <c r="D1590" t="n">
        <v>110.9</v>
      </c>
      <c r="E1590" s="22">
        <f>D1590-90</f>
        <v/>
      </c>
      <c r="F1590" s="23" t="n">
        <v>0.016936</v>
      </c>
      <c r="G1590" s="22" t="n">
        <v>31.9</v>
      </c>
      <c r="H1590" s="22" t="n">
        <v>1.8</v>
      </c>
      <c r="I1590" s="24" t="n">
        <v>0.0743366777896881</v>
      </c>
      <c r="J1590" s="6" t="n">
        <v>71000</v>
      </c>
      <c r="K1590" s="25">
        <f>23*10^-6</f>
        <v/>
      </c>
      <c r="L1590" s="8">
        <f>H1590</f>
        <v/>
      </c>
      <c r="M1590" s="26">
        <f>H1590^2/6</f>
        <v/>
      </c>
      <c r="N1590" s="26">
        <f>H1590^3/12</f>
        <v/>
      </c>
      <c r="O1590" s="27">
        <f>-J1590*L1590*K1590*C1590</f>
        <v/>
      </c>
      <c r="P1590" s="28">
        <f>-(12*F1590*J1590*L1590*N1590+12*O1590*N1590*G1590*COS(RADIANS(E1590)))/(12*N1590*G1590*COS(RADIANS(E1590))^2+L1590*G1590^3*SIN(RADIANS(E1590))^2)</f>
        <v/>
      </c>
      <c r="Q1590" s="28">
        <f>-(6*F1590*J1590*L1590*N1590*SIN(RADIANS(E1590))+6*O1590*N1590*G1590*SIN(RADIANS(E1590))*COS(RADIANS(E1590)))/(12*N1590*COS(RADIANS(E1590))^2+L1590*G1590^2*SIN(RADIANS(E1590))^2)</f>
        <v/>
      </c>
      <c r="R1590" s="28">
        <f>-P1590*SIN(RADIANS(E1590))</f>
        <v/>
      </c>
      <c r="S1590" s="8">
        <f>(O1590+P1590*COS(RADIANS(E1590)))/L1590</f>
        <v/>
      </c>
      <c r="T1590" s="8">
        <f>R1590/L1590</f>
        <v/>
      </c>
      <c r="U1590" s="8">
        <f>(Q1590-P1590*G1590*SIN(RADIANS(E1590)))/M1590</f>
        <v/>
      </c>
      <c r="V1590" s="8">
        <f>SQRT((S1590+U1590)^2+3*T1590^2)</f>
        <v/>
      </c>
      <c r="W1590" s="8">
        <f>V1590/AA1590</f>
        <v/>
      </c>
      <c r="X1590" s="27">
        <f>((3*10+H1590/COS(RADIANS(E1590)))*(3+3)+3*G1590*H1590)*2</f>
        <v/>
      </c>
      <c r="Y1590" s="28">
        <f>Z1590/X1590</f>
        <v/>
      </c>
      <c r="Z1590" s="29" t="n">
        <v>739.418362722188</v>
      </c>
      <c r="AA1590" s="20" t="n">
        <v>70.3428929103757</v>
      </c>
      <c r="AB1590" t="n">
        <v>0.1408525266402904</v>
      </c>
      <c r="AC1590" t="n">
        <v>72.25047033649896</v>
      </c>
      <c r="AD1590" t="n">
        <v>89.479178823121</v>
      </c>
    </row>
    <row r="1591">
      <c r="A1591" t="n">
        <v>1590</v>
      </c>
      <c r="B1591" t="n">
        <v>67.90000000000001</v>
      </c>
      <c r="C1591" s="21">
        <f>B1591-20</f>
        <v/>
      </c>
      <c r="D1591" t="n">
        <v>121.9</v>
      </c>
      <c r="E1591" s="22">
        <f>D1591-90</f>
        <v/>
      </c>
      <c r="F1591" s="23" t="n">
        <v>0.020535</v>
      </c>
      <c r="G1591" s="22" t="n">
        <v>33.9</v>
      </c>
      <c r="H1591" s="22" t="n">
        <v>1.8</v>
      </c>
      <c r="I1591" s="24" t="n">
        <v>0.113331995904445</v>
      </c>
      <c r="J1591" s="6" t="n">
        <v>71000</v>
      </c>
      <c r="K1591" s="25">
        <f>23*10^-6</f>
        <v/>
      </c>
      <c r="L1591" s="8">
        <f>H1591</f>
        <v/>
      </c>
      <c r="M1591" s="26">
        <f>H1591^2/6</f>
        <v/>
      </c>
      <c r="N1591" s="26">
        <f>H1591^3/12</f>
        <v/>
      </c>
      <c r="O1591" s="27">
        <f>-J1591*L1591*K1591*C1591</f>
        <v/>
      </c>
      <c r="P1591" s="28">
        <f>-(12*F1591*J1591*L1591*N1591+12*O1591*N1591*G1591*COS(RADIANS(E1591)))/(12*N1591*G1591*COS(RADIANS(E1591))^2+L1591*G1591^3*SIN(RADIANS(E1591))^2)</f>
        <v/>
      </c>
      <c r="Q1591" s="28">
        <f>-(6*F1591*J1591*L1591*N1591*SIN(RADIANS(E1591))+6*O1591*N1591*G1591*SIN(RADIANS(E1591))*COS(RADIANS(E1591)))/(12*N1591*COS(RADIANS(E1591))^2+L1591*G1591^2*SIN(RADIANS(E1591))^2)</f>
        <v/>
      </c>
      <c r="R1591" s="28">
        <f>-P1591*SIN(RADIANS(E1591))</f>
        <v/>
      </c>
      <c r="S1591" s="8">
        <f>(O1591+P1591*COS(RADIANS(E1591)))/L1591</f>
        <v/>
      </c>
      <c r="T1591" s="8">
        <f>R1591/L1591</f>
        <v/>
      </c>
      <c r="U1591" s="8">
        <f>(Q1591-P1591*G1591*SIN(RADIANS(E1591)))/M1591</f>
        <v/>
      </c>
      <c r="V1591" s="8">
        <f>SQRT((S1591+U1591)^2+3*T1591^2)</f>
        <v/>
      </c>
      <c r="W1591" s="8">
        <f>V1591/AA1591</f>
        <v/>
      </c>
      <c r="X1591" s="27">
        <f>((3*10+H1591/COS(RADIANS(E1591)))*(3+3)+3*G1591*H1591)*2</f>
        <v/>
      </c>
      <c r="Y1591" s="28">
        <f>Z1591/X1591</f>
        <v/>
      </c>
      <c r="Z1591" s="29" t="n">
        <v>754.46367538098</v>
      </c>
      <c r="AA1591" s="20" t="n">
        <v>76.41138534091741</v>
      </c>
      <c r="AB1591" t="n">
        <v>0.1003710596171953</v>
      </c>
      <c r="AC1591" t="n">
        <v>70.70413468477379</v>
      </c>
      <c r="AD1591" t="n">
        <v>-11.4362552109094</v>
      </c>
    </row>
    <row r="1592">
      <c r="A1592" t="n">
        <v>1591</v>
      </c>
      <c r="B1592" t="n">
        <v>58.3</v>
      </c>
      <c r="C1592" s="21">
        <f>B1592-20</f>
        <v/>
      </c>
      <c r="D1592" t="n">
        <v>101.9</v>
      </c>
      <c r="E1592" s="22">
        <f>D1592-90</f>
        <v/>
      </c>
      <c r="F1592" s="23" t="n">
        <v>0.01431</v>
      </c>
      <c r="G1592" s="22" t="n">
        <v>34.6</v>
      </c>
      <c r="H1592" s="22" t="n">
        <v>1.9</v>
      </c>
      <c r="I1592" s="24" t="n">
        <v>0.0605266168713569</v>
      </c>
      <c r="J1592" s="6" t="n">
        <v>71000</v>
      </c>
      <c r="K1592" s="25">
        <f>23*10^-6</f>
        <v/>
      </c>
      <c r="L1592" s="8">
        <f>H1592</f>
        <v/>
      </c>
      <c r="M1592" s="26">
        <f>H1592^2/6</f>
        <v/>
      </c>
      <c r="N1592" s="26">
        <f>H1592^3/12</f>
        <v/>
      </c>
      <c r="O1592" s="27">
        <f>-J1592*L1592*K1592*C1592</f>
        <v/>
      </c>
      <c r="P1592" s="28">
        <f>-(12*F1592*J1592*L1592*N1592+12*O1592*N1592*G1592*COS(RADIANS(E1592)))/(12*N1592*G1592*COS(RADIANS(E1592))^2+L1592*G1592^3*SIN(RADIANS(E1592))^2)</f>
        <v/>
      </c>
      <c r="Q1592" s="28">
        <f>-(6*F1592*J1592*L1592*N1592*SIN(RADIANS(E1592))+6*O1592*N1592*G1592*SIN(RADIANS(E1592))*COS(RADIANS(E1592)))/(12*N1592*COS(RADIANS(E1592))^2+L1592*G1592^2*SIN(RADIANS(E1592))^2)</f>
        <v/>
      </c>
      <c r="R1592" s="28">
        <f>-P1592*SIN(RADIANS(E1592))</f>
        <v/>
      </c>
      <c r="S1592" s="8">
        <f>(O1592+P1592*COS(RADIANS(E1592)))/L1592</f>
        <v/>
      </c>
      <c r="T1592" s="8">
        <f>R1592/L1592</f>
        <v/>
      </c>
      <c r="U1592" s="8">
        <f>(Q1592-P1592*G1592*SIN(RADIANS(E1592)))/M1592</f>
        <v/>
      </c>
      <c r="V1592" s="8">
        <f>SQRT((S1592+U1592)^2+3*T1592^2)</f>
        <v/>
      </c>
      <c r="W1592" s="8">
        <f>V1592/AA1592</f>
        <v/>
      </c>
      <c r="X1592" s="27">
        <f>((3*10+H1592/COS(RADIANS(E1592)))*(3+3)+3*G1592*H1592)*2</f>
        <v/>
      </c>
      <c r="Y1592" s="28">
        <f>Z1592/X1592</f>
        <v/>
      </c>
      <c r="Z1592" s="29" t="n">
        <v>794.351231107242</v>
      </c>
      <c r="AA1592" s="20" t="n">
        <v>57.4546124549707</v>
      </c>
      <c r="AB1592" t="n">
        <v>0.2155067967378242</v>
      </c>
      <c r="AC1592" t="n">
        <v>65.76559010949353</v>
      </c>
      <c r="AD1592" t="n">
        <v>256.0529365053753</v>
      </c>
    </row>
    <row r="1593">
      <c r="A1593" t="n">
        <v>1592</v>
      </c>
      <c r="B1593" t="n">
        <v>75.2</v>
      </c>
      <c r="C1593" s="21">
        <f>B1593-20</f>
        <v/>
      </c>
      <c r="D1593" t="n">
        <v>128.1</v>
      </c>
      <c r="E1593" s="22">
        <f>D1593-90</f>
        <v/>
      </c>
      <c r="F1593" s="23" t="n">
        <v>0.017394</v>
      </c>
      <c r="G1593" s="22" t="n">
        <v>27.5</v>
      </c>
      <c r="H1593" s="22" t="n">
        <v>1.6</v>
      </c>
      <c r="I1593" s="24" t="n">
        <v>0.0762247815728187</v>
      </c>
      <c r="J1593" s="6" t="n">
        <v>71000</v>
      </c>
      <c r="K1593" s="25">
        <f>23*10^-6</f>
        <v/>
      </c>
      <c r="L1593" s="8">
        <f>H1593</f>
        <v/>
      </c>
      <c r="M1593" s="26">
        <f>H1593^2/6</f>
        <v/>
      </c>
      <c r="N1593" s="26">
        <f>H1593^3/12</f>
        <v/>
      </c>
      <c r="O1593" s="27">
        <f>-J1593*L1593*K1593*C1593</f>
        <v/>
      </c>
      <c r="P1593" s="28">
        <f>-(12*F1593*J1593*L1593*N1593+12*O1593*N1593*G1593*COS(RADIANS(E1593)))/(12*N1593*G1593*COS(RADIANS(E1593))^2+L1593*G1593^3*SIN(RADIANS(E1593))^2)</f>
        <v/>
      </c>
      <c r="Q1593" s="28">
        <f>-(6*F1593*J1593*L1593*N1593*SIN(RADIANS(E1593))+6*O1593*N1593*G1593*SIN(RADIANS(E1593))*COS(RADIANS(E1593)))/(12*N1593*COS(RADIANS(E1593))^2+L1593*G1593^2*SIN(RADIANS(E1593))^2)</f>
        <v/>
      </c>
      <c r="R1593" s="28">
        <f>-P1593*SIN(RADIANS(E1593))</f>
        <v/>
      </c>
      <c r="S1593" s="8">
        <f>(O1593+P1593*COS(RADIANS(E1593)))/L1593</f>
        <v/>
      </c>
      <c r="T1593" s="8">
        <f>R1593/L1593</f>
        <v/>
      </c>
      <c r="U1593" s="8">
        <f>(Q1593-P1593*G1593*SIN(RADIANS(E1593)))/M1593</f>
        <v/>
      </c>
      <c r="V1593" s="8">
        <f>SQRT((S1593+U1593)^2+3*T1593^2)</f>
        <v/>
      </c>
      <c r="W1593" s="8">
        <f>V1593/AA1593</f>
        <v/>
      </c>
      <c r="X1593" s="27">
        <f>((3*10+H1593/COS(RADIANS(E1593)))*(3+3)+3*G1593*H1593)*2</f>
        <v/>
      </c>
      <c r="Y1593" s="28">
        <f>Z1593/X1593</f>
        <v/>
      </c>
      <c r="Z1593" s="29" t="n">
        <v>658.330156791845</v>
      </c>
      <c r="AA1593" s="20" t="n">
        <v>81.6553261206123</v>
      </c>
      <c r="AB1593" t="n">
        <v>0.07826049884404444</v>
      </c>
      <c r="AC1593" t="n">
        <v>80.01416567470064</v>
      </c>
      <c r="AD1593" t="n">
        <v>2.670676424675603</v>
      </c>
    </row>
    <row r="1594">
      <c r="A1594" t="n">
        <v>1593</v>
      </c>
      <c r="B1594" t="n">
        <v>56.8</v>
      </c>
      <c r="C1594" s="21">
        <f>B1594-20</f>
        <v/>
      </c>
      <c r="D1594" t="n">
        <v>116.5</v>
      </c>
      <c r="E1594" s="22">
        <f>D1594-90</f>
        <v/>
      </c>
      <c r="F1594" s="23" t="n">
        <v>0.013425</v>
      </c>
      <c r="G1594" s="22" t="n">
        <v>29.7</v>
      </c>
      <c r="H1594" s="22" t="n">
        <v>1</v>
      </c>
      <c r="I1594" s="24" t="n">
        <v>0.06361249834299081</v>
      </c>
      <c r="J1594" s="6" t="n">
        <v>71000</v>
      </c>
      <c r="K1594" s="25">
        <f>23*10^-6</f>
        <v/>
      </c>
      <c r="L1594" s="8">
        <f>H1594</f>
        <v/>
      </c>
      <c r="M1594" s="26">
        <f>H1594^2/6</f>
        <v/>
      </c>
      <c r="N1594" s="26">
        <f>H1594^3/12</f>
        <v/>
      </c>
      <c r="O1594" s="27">
        <f>-J1594*L1594*K1594*C1594</f>
        <v/>
      </c>
      <c r="P1594" s="28">
        <f>-(12*F1594*J1594*L1594*N1594+12*O1594*N1594*G1594*COS(RADIANS(E1594)))/(12*N1594*G1594*COS(RADIANS(E1594))^2+L1594*G1594^3*SIN(RADIANS(E1594))^2)</f>
        <v/>
      </c>
      <c r="Q1594" s="28">
        <f>-(6*F1594*J1594*L1594*N1594*SIN(RADIANS(E1594))+6*O1594*N1594*G1594*SIN(RADIANS(E1594))*COS(RADIANS(E1594)))/(12*N1594*COS(RADIANS(E1594))^2+L1594*G1594^2*SIN(RADIANS(E1594))^2)</f>
        <v/>
      </c>
      <c r="R1594" s="28">
        <f>-P1594*SIN(RADIANS(E1594))</f>
        <v/>
      </c>
      <c r="S1594" s="8">
        <f>(O1594+P1594*COS(RADIANS(E1594)))/L1594</f>
        <v/>
      </c>
      <c r="T1594" s="8">
        <f>R1594/L1594</f>
        <v/>
      </c>
      <c r="U1594" s="8">
        <f>(Q1594-P1594*G1594*SIN(RADIANS(E1594)))/M1594</f>
        <v/>
      </c>
      <c r="V1594" s="8">
        <f>SQRT((S1594+U1594)^2+3*T1594^2)</f>
        <v/>
      </c>
      <c r="W1594" s="8">
        <f>V1594/AA1594</f>
        <v/>
      </c>
      <c r="X1594" s="27">
        <f>((3*10+H1594/COS(RADIANS(E1594)))*(3+3)+3*G1594*H1594)*2</f>
        <v/>
      </c>
      <c r="Y1594" s="28">
        <f>Z1594/X1594</f>
        <v/>
      </c>
      <c r="Z1594" s="29" t="n">
        <v>558.75465586899</v>
      </c>
      <c r="AA1594" s="20" t="n">
        <v>49.4267239608858</v>
      </c>
      <c r="AB1594" t="n">
        <v>0.08334057792471755</v>
      </c>
      <c r="AC1594" t="n">
        <v>53.25094639466872</v>
      </c>
      <c r="AD1594" t="n">
        <v>31.01289855863757</v>
      </c>
    </row>
    <row r="1595">
      <c r="A1595" t="n">
        <v>1594</v>
      </c>
      <c r="B1595" t="n">
        <v>40.9</v>
      </c>
      <c r="C1595" s="21">
        <f>B1595-20</f>
        <v/>
      </c>
      <c r="D1595" t="n">
        <v>118.7</v>
      </c>
      <c r="E1595" s="22">
        <f>D1595-90</f>
        <v/>
      </c>
      <c r="F1595" s="23" t="n">
        <v>0.006938</v>
      </c>
      <c r="G1595" s="22" t="n">
        <v>29.1</v>
      </c>
      <c r="H1595" s="22" t="n">
        <v>1.1</v>
      </c>
      <c r="I1595" s="24" t="n">
        <v>0.0301842186599969</v>
      </c>
      <c r="J1595" s="6" t="n">
        <v>71000</v>
      </c>
      <c r="K1595" s="25">
        <f>23*10^-6</f>
        <v/>
      </c>
      <c r="L1595" s="8">
        <f>H1595</f>
        <v/>
      </c>
      <c r="M1595" s="26">
        <f>H1595^2/6</f>
        <v/>
      </c>
      <c r="N1595" s="26">
        <f>H1595^3/12</f>
        <v/>
      </c>
      <c r="O1595" s="27">
        <f>-J1595*L1595*K1595*C1595</f>
        <v/>
      </c>
      <c r="P1595" s="28">
        <f>-(12*F1595*J1595*L1595*N1595+12*O1595*N1595*G1595*COS(RADIANS(E1595)))/(12*N1595*G1595*COS(RADIANS(E1595))^2+L1595*G1595^3*SIN(RADIANS(E1595))^2)</f>
        <v/>
      </c>
      <c r="Q1595" s="28">
        <f>-(6*F1595*J1595*L1595*N1595*SIN(RADIANS(E1595))+6*O1595*N1595*G1595*SIN(RADIANS(E1595))*COS(RADIANS(E1595)))/(12*N1595*COS(RADIANS(E1595))^2+L1595*G1595^2*SIN(RADIANS(E1595))^2)</f>
        <v/>
      </c>
      <c r="R1595" s="28">
        <f>-P1595*SIN(RADIANS(E1595))</f>
        <v/>
      </c>
      <c r="S1595" s="8">
        <f>(O1595+P1595*COS(RADIANS(E1595)))/L1595</f>
        <v/>
      </c>
      <c r="T1595" s="8">
        <f>R1595/L1595</f>
        <v/>
      </c>
      <c r="U1595" s="8">
        <f>(Q1595-P1595*G1595*SIN(RADIANS(E1595)))/M1595</f>
        <v/>
      </c>
      <c r="V1595" s="8">
        <f>SQRT((S1595+U1595)^2+3*T1595^2)</f>
        <v/>
      </c>
      <c r="W1595" s="8">
        <f>V1595/AA1595</f>
        <v/>
      </c>
      <c r="X1595" s="27">
        <f>((3*10+H1595/COS(RADIANS(E1595)))*(3+3)+3*G1595*H1595)*2</f>
        <v/>
      </c>
      <c r="Y1595" s="28">
        <f>Z1595/X1595</f>
        <v/>
      </c>
      <c r="Z1595" s="29" t="n">
        <v>578.320562121255</v>
      </c>
      <c r="AA1595" s="20" t="n">
        <v>27.7314147759417</v>
      </c>
      <c r="AB1595" t="n">
        <v>0.0426254397110739</v>
      </c>
      <c r="AC1595" t="n">
        <v>30.26398505991506</v>
      </c>
      <c r="AD1595" t="n">
        <v>41.21763492114285</v>
      </c>
    </row>
    <row r="1596">
      <c r="A1596" t="n">
        <v>1595</v>
      </c>
      <c r="B1596" t="n">
        <v>68.90000000000001</v>
      </c>
      <c r="C1596" s="21">
        <f>B1596-20</f>
        <v/>
      </c>
      <c r="D1596" t="n">
        <v>119.8</v>
      </c>
      <c r="E1596" s="22">
        <f>D1596-90</f>
        <v/>
      </c>
      <c r="F1596" s="23" t="n">
        <v>0.021416</v>
      </c>
      <c r="G1596" s="22" t="n">
        <v>34.7</v>
      </c>
      <c r="H1596" s="22" t="n">
        <v>1.3</v>
      </c>
      <c r="I1596" s="24" t="n">
        <v>0.119331650435924</v>
      </c>
      <c r="J1596" s="6" t="n">
        <v>71000</v>
      </c>
      <c r="K1596" s="25">
        <f>23*10^-6</f>
        <v/>
      </c>
      <c r="L1596" s="8">
        <f>H1596</f>
        <v/>
      </c>
      <c r="M1596" s="26">
        <f>H1596^2/6</f>
        <v/>
      </c>
      <c r="N1596" s="26">
        <f>H1596^3/12</f>
        <v/>
      </c>
      <c r="O1596" s="27">
        <f>-J1596*L1596*K1596*C1596</f>
        <v/>
      </c>
      <c r="P1596" s="28">
        <f>-(12*F1596*J1596*L1596*N1596+12*O1596*N1596*G1596*COS(RADIANS(E1596)))/(12*N1596*G1596*COS(RADIANS(E1596))^2+L1596*G1596^3*SIN(RADIANS(E1596))^2)</f>
        <v/>
      </c>
      <c r="Q1596" s="28">
        <f>-(6*F1596*J1596*L1596*N1596*SIN(RADIANS(E1596))+6*O1596*N1596*G1596*SIN(RADIANS(E1596))*COS(RADIANS(E1596)))/(12*N1596*COS(RADIANS(E1596))^2+L1596*G1596^2*SIN(RADIANS(E1596))^2)</f>
        <v/>
      </c>
      <c r="R1596" s="28">
        <f>-P1596*SIN(RADIANS(E1596))</f>
        <v/>
      </c>
      <c r="S1596" s="8">
        <f>(O1596+P1596*COS(RADIANS(E1596)))/L1596</f>
        <v/>
      </c>
      <c r="T1596" s="8">
        <f>R1596/L1596</f>
        <v/>
      </c>
      <c r="U1596" s="8">
        <f>(Q1596-P1596*G1596*SIN(RADIANS(E1596)))/M1596</f>
        <v/>
      </c>
      <c r="V1596" s="8">
        <f>SQRT((S1596+U1596)^2+3*T1596^2)</f>
        <v/>
      </c>
      <c r="W1596" s="8">
        <f>V1596/AA1596</f>
        <v/>
      </c>
      <c r="X1596" s="27">
        <f>((3*10+H1596/COS(RADIANS(E1596)))*(3+3)+3*G1596*H1596)*2</f>
        <v/>
      </c>
      <c r="Y1596" s="28">
        <f>Z1596/X1596</f>
        <v/>
      </c>
      <c r="Z1596" s="29" t="n">
        <v>652.482636384114</v>
      </c>
      <c r="AA1596" s="20" t="n">
        <v>70.26316539629499</v>
      </c>
      <c r="AB1596" t="n">
        <v>0.1131461088301375</v>
      </c>
      <c r="AC1596" t="n">
        <v>70.77059285733795</v>
      </c>
      <c r="AD1596" t="n">
        <v>-5.183487853549687</v>
      </c>
    </row>
    <row r="1597">
      <c r="A1597" t="n">
        <v>1596</v>
      </c>
      <c r="B1597" t="n">
        <v>43.8</v>
      </c>
      <c r="C1597" s="21">
        <f>B1597-20</f>
        <v/>
      </c>
      <c r="D1597" t="n">
        <v>110.7</v>
      </c>
      <c r="E1597" s="22">
        <f>D1597-90</f>
        <v/>
      </c>
      <c r="F1597" s="23" t="n">
        <v>0.006304</v>
      </c>
      <c r="G1597" s="22" t="n">
        <v>20.3</v>
      </c>
      <c r="H1597" s="22" t="n">
        <v>1.3</v>
      </c>
      <c r="I1597" s="24" t="n">
        <v>0.0304439533501863</v>
      </c>
      <c r="J1597" s="6" t="n">
        <v>71000</v>
      </c>
      <c r="K1597" s="25">
        <f>23*10^-6</f>
        <v/>
      </c>
      <c r="L1597" s="8">
        <f>H1597</f>
        <v/>
      </c>
      <c r="M1597" s="26">
        <f>H1597^2/6</f>
        <v/>
      </c>
      <c r="N1597" s="26">
        <f>H1597^3/12</f>
        <v/>
      </c>
      <c r="O1597" s="27">
        <f>-J1597*L1597*K1597*C1597</f>
        <v/>
      </c>
      <c r="P1597" s="28">
        <f>-(12*F1597*J1597*L1597*N1597+12*O1597*N1597*G1597*COS(RADIANS(E1597)))/(12*N1597*G1597*COS(RADIANS(E1597))^2+L1597*G1597^3*SIN(RADIANS(E1597))^2)</f>
        <v/>
      </c>
      <c r="Q1597" s="28">
        <f>-(6*F1597*J1597*L1597*N1597*SIN(RADIANS(E1597))+6*O1597*N1597*G1597*SIN(RADIANS(E1597))*COS(RADIANS(E1597)))/(12*N1597*COS(RADIANS(E1597))^2+L1597*G1597^2*SIN(RADIANS(E1597))^2)</f>
        <v/>
      </c>
      <c r="R1597" s="28">
        <f>-P1597*SIN(RADIANS(E1597))</f>
        <v/>
      </c>
      <c r="S1597" s="8">
        <f>(O1597+P1597*COS(RADIANS(E1597)))/L1597</f>
        <v/>
      </c>
      <c r="T1597" s="8">
        <f>R1597/L1597</f>
        <v/>
      </c>
      <c r="U1597" s="8">
        <f>(Q1597-P1597*G1597*SIN(RADIANS(E1597)))/M1597</f>
        <v/>
      </c>
      <c r="V1597" s="8">
        <f>SQRT((S1597+U1597)^2+3*T1597^2)</f>
        <v/>
      </c>
      <c r="W1597" s="8">
        <f>V1597/AA1597</f>
        <v/>
      </c>
      <c r="X1597" s="27">
        <f>((3*10+H1597/COS(RADIANS(E1597)))*(3+3)+3*G1597*H1597)*2</f>
        <v/>
      </c>
      <c r="Y1597" s="28">
        <f>Z1597/X1597</f>
        <v/>
      </c>
      <c r="Z1597" s="29" t="n">
        <v>544.418294428109</v>
      </c>
      <c r="AA1597" s="20" t="n">
        <v>35.8038011505034</v>
      </c>
      <c r="AB1597" t="n">
        <v>0.04793002076256025</v>
      </c>
      <c r="AC1597" t="n">
        <v>37.15031331290843</v>
      </c>
      <c r="AD1597" t="n">
        <v>57.43691435615391</v>
      </c>
    </row>
    <row r="1598">
      <c r="A1598" t="n">
        <v>1597</v>
      </c>
      <c r="B1598" t="n">
        <v>85.40000000000001</v>
      </c>
      <c r="C1598" s="21">
        <f>B1598-20</f>
        <v/>
      </c>
      <c r="D1598" t="n">
        <v>115.1</v>
      </c>
      <c r="E1598" s="22">
        <f>D1598-90</f>
        <v/>
      </c>
      <c r="F1598" s="23" t="n">
        <v>0.026797</v>
      </c>
      <c r="G1598" s="22" t="n">
        <v>30.6</v>
      </c>
      <c r="H1598" s="22" t="n">
        <v>1.9</v>
      </c>
      <c r="I1598" s="24" t="n">
        <v>0.21922680735588</v>
      </c>
      <c r="J1598" s="6" t="n">
        <v>71000</v>
      </c>
      <c r="K1598" s="25">
        <f>23*10^-6</f>
        <v/>
      </c>
      <c r="L1598" s="8">
        <f>H1598</f>
        <v/>
      </c>
      <c r="M1598" s="26">
        <f>H1598^2/6</f>
        <v/>
      </c>
      <c r="N1598" s="26">
        <f>H1598^3/12</f>
        <v/>
      </c>
      <c r="O1598" s="27">
        <f>-J1598*L1598*K1598*C1598</f>
        <v/>
      </c>
      <c r="P1598" s="28">
        <f>-(12*F1598*J1598*L1598*N1598+12*O1598*N1598*G1598*COS(RADIANS(E1598)))/(12*N1598*G1598*COS(RADIANS(E1598))^2+L1598*G1598^3*SIN(RADIANS(E1598))^2)</f>
        <v/>
      </c>
      <c r="Q1598" s="28">
        <f>-(6*F1598*J1598*L1598*N1598*SIN(RADIANS(E1598))+6*O1598*N1598*G1598*SIN(RADIANS(E1598))*COS(RADIANS(E1598)))/(12*N1598*COS(RADIANS(E1598))^2+L1598*G1598^2*SIN(RADIANS(E1598))^2)</f>
        <v/>
      </c>
      <c r="R1598" s="28">
        <f>-P1598*SIN(RADIANS(E1598))</f>
        <v/>
      </c>
      <c r="S1598" s="8">
        <f>(O1598+P1598*COS(RADIANS(E1598)))/L1598</f>
        <v/>
      </c>
      <c r="T1598" s="8">
        <f>R1598/L1598</f>
        <v/>
      </c>
      <c r="U1598" s="8">
        <f>(Q1598-P1598*G1598*SIN(RADIANS(E1598)))/M1598</f>
        <v/>
      </c>
      <c r="V1598" s="8">
        <f>SQRT((S1598+U1598)^2+3*T1598^2)</f>
        <v/>
      </c>
      <c r="W1598" s="8">
        <f>V1598/AA1598</f>
        <v/>
      </c>
      <c r="X1598" s="27">
        <f>((3*10+H1598/COS(RADIANS(E1598)))*(3+3)+3*G1598*H1598)*2</f>
        <v/>
      </c>
      <c r="Y1598" s="28">
        <f>Z1598/X1598</f>
        <v/>
      </c>
      <c r="Z1598" s="29" t="n">
        <v>736.101498840649</v>
      </c>
      <c r="AA1598" s="20" t="n">
        <v>116.424168204276</v>
      </c>
      <c r="AB1598" t="n">
        <v>0.1591570692812673</v>
      </c>
      <c r="AC1598" t="n">
        <v>100.8677720398029</v>
      </c>
      <c r="AD1598" t="n">
        <v>-27.40072658044003</v>
      </c>
    </row>
    <row r="1599">
      <c r="A1599" t="n">
        <v>1598</v>
      </c>
      <c r="B1599" t="n">
        <v>83.8</v>
      </c>
      <c r="C1599" s="21">
        <f>B1599-20</f>
        <v/>
      </c>
      <c r="D1599" t="n">
        <v>107.9</v>
      </c>
      <c r="E1599" s="22">
        <f>D1599-90</f>
        <v/>
      </c>
      <c r="F1599" s="23" t="n">
        <v>0.020046</v>
      </c>
      <c r="G1599" s="22" t="n">
        <v>27.4</v>
      </c>
      <c r="H1599" s="22" t="n">
        <v>1.1</v>
      </c>
      <c r="I1599" s="24" t="n">
        <v>0.0876681730151176</v>
      </c>
      <c r="J1599" s="6" t="n">
        <v>71000</v>
      </c>
      <c r="K1599" s="25">
        <f>23*10^-6</f>
        <v/>
      </c>
      <c r="L1599" s="8">
        <f>H1599</f>
        <v/>
      </c>
      <c r="M1599" s="26">
        <f>H1599^2/6</f>
        <v/>
      </c>
      <c r="N1599" s="26">
        <f>H1599^3/12</f>
        <v/>
      </c>
      <c r="O1599" s="27">
        <f>-J1599*L1599*K1599*C1599</f>
        <v/>
      </c>
      <c r="P1599" s="28">
        <f>-(12*F1599*J1599*L1599*N1599+12*O1599*N1599*G1599*COS(RADIANS(E1599)))/(12*N1599*G1599*COS(RADIANS(E1599))^2+L1599*G1599^3*SIN(RADIANS(E1599))^2)</f>
        <v/>
      </c>
      <c r="Q1599" s="28">
        <f>-(6*F1599*J1599*L1599*N1599*SIN(RADIANS(E1599))+6*O1599*N1599*G1599*SIN(RADIANS(E1599))*COS(RADIANS(E1599)))/(12*N1599*COS(RADIANS(E1599))^2+L1599*G1599^2*SIN(RADIANS(E1599))^2)</f>
        <v/>
      </c>
      <c r="R1599" s="28">
        <f>-P1599*SIN(RADIANS(E1599))</f>
        <v/>
      </c>
      <c r="S1599" s="8">
        <f>(O1599+P1599*COS(RADIANS(E1599)))/L1599</f>
        <v/>
      </c>
      <c r="T1599" s="8">
        <f>R1599/L1599</f>
        <v/>
      </c>
      <c r="U1599" s="8">
        <f>(Q1599-P1599*G1599*SIN(RADIANS(E1599)))/M1599</f>
        <v/>
      </c>
      <c r="V1599" s="8">
        <f>SQRT((S1599+U1599)^2+3*T1599^2)</f>
        <v/>
      </c>
      <c r="W1599" s="8">
        <f>V1599/AA1599</f>
        <v/>
      </c>
      <c r="X1599" s="27">
        <f>((3*10+H1599/COS(RADIANS(E1599)))*(3+3)+3*G1599*H1599)*2</f>
        <v/>
      </c>
      <c r="Y1599" s="28">
        <f>Z1599/X1599</f>
        <v/>
      </c>
      <c r="Z1599" s="29" t="n">
        <v>567.545639096539</v>
      </c>
      <c r="AA1599" s="20" t="n">
        <v>84.6424367726212</v>
      </c>
      <c r="AB1599" t="n">
        <v>0.1998353728727666</v>
      </c>
      <c r="AC1599" t="n">
        <v>97.46380085042493</v>
      </c>
      <c r="AD1599" t="n">
        <v>127.9451778221804</v>
      </c>
    </row>
    <row r="1600">
      <c r="A1600" t="n">
        <v>1599</v>
      </c>
      <c r="B1600" t="n">
        <v>73.09999999999999</v>
      </c>
      <c r="C1600" s="21">
        <f>B1600-20</f>
        <v/>
      </c>
      <c r="D1600" t="n">
        <v>124.6</v>
      </c>
      <c r="E1600" s="22">
        <f>D1600-90</f>
        <v/>
      </c>
      <c r="F1600" s="23" t="n">
        <v>0.015225</v>
      </c>
      <c r="G1600" s="22" t="n">
        <v>21.4</v>
      </c>
      <c r="H1600" s="22" t="n">
        <v>1.8</v>
      </c>
      <c r="I1600" s="24" t="n">
        <v>0.0787184312939643</v>
      </c>
      <c r="J1600" s="6" t="n">
        <v>71000</v>
      </c>
      <c r="K1600" s="25">
        <f>23*10^-6</f>
        <v/>
      </c>
      <c r="L1600" s="8">
        <f>H1600</f>
        <v/>
      </c>
      <c r="M1600" s="26">
        <f>H1600^2/6</f>
        <v/>
      </c>
      <c r="N1600" s="26">
        <f>H1600^3/12</f>
        <v/>
      </c>
      <c r="O1600" s="27">
        <f>-J1600*L1600*K1600*C1600</f>
        <v/>
      </c>
      <c r="P1600" s="28">
        <f>-(12*F1600*J1600*L1600*N1600+12*O1600*N1600*G1600*COS(RADIANS(E1600)))/(12*N1600*G1600*COS(RADIANS(E1600))^2+L1600*G1600^3*SIN(RADIANS(E1600))^2)</f>
        <v/>
      </c>
      <c r="Q1600" s="28">
        <f>-(6*F1600*J1600*L1600*N1600*SIN(RADIANS(E1600))+6*O1600*N1600*G1600*SIN(RADIANS(E1600))*COS(RADIANS(E1600)))/(12*N1600*COS(RADIANS(E1600))^2+L1600*G1600^2*SIN(RADIANS(E1600))^2)</f>
        <v/>
      </c>
      <c r="R1600" s="28">
        <f>-P1600*SIN(RADIANS(E1600))</f>
        <v/>
      </c>
      <c r="S1600" s="8">
        <f>(O1600+P1600*COS(RADIANS(E1600)))/L1600</f>
        <v/>
      </c>
      <c r="T1600" s="8">
        <f>R1600/L1600</f>
        <v/>
      </c>
      <c r="U1600" s="8">
        <f>(Q1600-P1600*G1600*SIN(RADIANS(E1600)))/M1600</f>
        <v/>
      </c>
      <c r="V1600" s="8">
        <f>SQRT((S1600+U1600)^2+3*T1600^2)</f>
        <v/>
      </c>
      <c r="W1600" s="8">
        <f>V1600/AA1600</f>
        <v/>
      </c>
      <c r="X1600" s="27">
        <f>((3*10+H1600/COS(RADIANS(E1600)))*(3+3)+3*G1600*H1600)*2</f>
        <v/>
      </c>
      <c r="Y1600" s="28">
        <f>Z1600/X1600</f>
        <v/>
      </c>
      <c r="Z1600" s="29" t="n">
        <v>621.507086931255</v>
      </c>
      <c r="AA1600" s="20" t="n">
        <v>88.65683077161739</v>
      </c>
      <c r="AB1600" t="n">
        <v>0.06562624039840036</v>
      </c>
      <c r="AC1600" t="n">
        <v>79.59496019290832</v>
      </c>
      <c r="AD1600" t="n">
        <v>-16.6316714908517</v>
      </c>
    </row>
    <row r="1601">
      <c r="A1601" t="n">
        <v>1600</v>
      </c>
      <c r="B1601" t="n">
        <v>64.8</v>
      </c>
      <c r="C1601" s="21">
        <f>B1601-20</f>
        <v/>
      </c>
      <c r="D1601" t="n">
        <v>120.8</v>
      </c>
      <c r="E1601" s="22">
        <f>D1601-90</f>
        <v/>
      </c>
      <c r="F1601" s="23" t="n">
        <v>0.016728</v>
      </c>
      <c r="G1601" s="22" t="n">
        <v>30.5</v>
      </c>
      <c r="H1601" s="22" t="n">
        <v>1.4</v>
      </c>
      <c r="I1601" s="24" t="n">
        <v>0.07929185032844541</v>
      </c>
      <c r="J1601" s="6" t="n">
        <v>71000</v>
      </c>
      <c r="K1601" s="25">
        <f>23*10^-6</f>
        <v/>
      </c>
      <c r="L1601" s="8">
        <f>H1601</f>
        <v/>
      </c>
      <c r="M1601" s="26">
        <f>H1601^2/6</f>
        <v/>
      </c>
      <c r="N1601" s="26">
        <f>H1601^3/12</f>
        <v/>
      </c>
      <c r="O1601" s="27">
        <f>-J1601*L1601*K1601*C1601</f>
        <v/>
      </c>
      <c r="P1601" s="28">
        <f>-(12*F1601*J1601*L1601*N1601+12*O1601*N1601*G1601*COS(RADIANS(E1601)))/(12*N1601*G1601*COS(RADIANS(E1601))^2+L1601*G1601^3*SIN(RADIANS(E1601))^2)</f>
        <v/>
      </c>
      <c r="Q1601" s="28">
        <f>-(6*F1601*J1601*L1601*N1601*SIN(RADIANS(E1601))+6*O1601*N1601*G1601*SIN(RADIANS(E1601))*COS(RADIANS(E1601)))/(12*N1601*COS(RADIANS(E1601))^2+L1601*G1601^2*SIN(RADIANS(E1601))^2)</f>
        <v/>
      </c>
      <c r="R1601" s="28">
        <f>-P1601*SIN(RADIANS(E1601))</f>
        <v/>
      </c>
      <c r="S1601" s="8">
        <f>(O1601+P1601*COS(RADIANS(E1601)))/L1601</f>
        <v/>
      </c>
      <c r="T1601" s="8">
        <f>R1601/L1601</f>
        <v/>
      </c>
      <c r="U1601" s="8">
        <f>(Q1601-P1601*G1601*SIN(RADIANS(E1601)))/M1601</f>
        <v/>
      </c>
      <c r="V1601" s="8">
        <f>SQRT((S1601+U1601)^2+3*T1601^2)</f>
        <v/>
      </c>
      <c r="W1601" s="8">
        <f>V1601/AA1601</f>
        <v/>
      </c>
      <c r="X1601" s="27">
        <f>((3*10+H1601/COS(RADIANS(E1601)))*(3+3)+3*G1601*H1601)*2</f>
        <v/>
      </c>
      <c r="Y1601" s="28">
        <f>Z1601/X1601</f>
        <v/>
      </c>
      <c r="Z1601" s="29" t="n">
        <v>642.148112020595</v>
      </c>
      <c r="AA1601" s="20" t="n">
        <v>65.49337655364469</v>
      </c>
      <c r="AB1601" t="n">
        <v>0.08837955423888465</v>
      </c>
      <c r="AC1601" t="n">
        <v>65.43382874570376</v>
      </c>
      <c r="AD1601" t="n">
        <v>11.46108190538604</v>
      </c>
    </row>
    <row r="1602">
      <c r="A1602" t="n">
        <v>1601</v>
      </c>
      <c r="B1602" t="n">
        <v>46.2</v>
      </c>
      <c r="C1602" s="21">
        <f>B1602-20</f>
        <v/>
      </c>
      <c r="D1602" t="n">
        <v>113.5</v>
      </c>
      <c r="E1602" s="22">
        <f>D1602-90</f>
        <v/>
      </c>
      <c r="F1602" s="23" t="n">
        <v>0.010449</v>
      </c>
      <c r="G1602" s="22" t="n">
        <v>33.4</v>
      </c>
      <c r="H1602" s="22" t="n">
        <v>1.9</v>
      </c>
      <c r="I1602" s="24" t="n">
        <v>0.0481333881616592</v>
      </c>
      <c r="J1602" s="6" t="n">
        <v>71000</v>
      </c>
      <c r="K1602" s="25">
        <f>23*10^-6</f>
        <v/>
      </c>
      <c r="L1602" s="8">
        <f>H1602</f>
        <v/>
      </c>
      <c r="M1602" s="26">
        <f>H1602^2/6</f>
        <v/>
      </c>
      <c r="N1602" s="26">
        <f>H1602^3/12</f>
        <v/>
      </c>
      <c r="O1602" s="27">
        <f>-J1602*L1602*K1602*C1602</f>
        <v/>
      </c>
      <c r="P1602" s="28">
        <f>-(12*F1602*J1602*L1602*N1602+12*O1602*N1602*G1602*COS(RADIANS(E1602)))/(12*N1602*G1602*COS(RADIANS(E1602))^2+L1602*G1602^3*SIN(RADIANS(E1602))^2)</f>
        <v/>
      </c>
      <c r="Q1602" s="28">
        <f>-(6*F1602*J1602*L1602*N1602*SIN(RADIANS(E1602))+6*O1602*N1602*G1602*SIN(RADIANS(E1602))*COS(RADIANS(E1602)))/(12*N1602*COS(RADIANS(E1602))^2+L1602*G1602^2*SIN(RADIANS(E1602))^2)</f>
        <v/>
      </c>
      <c r="R1602" s="28">
        <f>-P1602*SIN(RADIANS(E1602))</f>
        <v/>
      </c>
      <c r="S1602" s="8">
        <f>(O1602+P1602*COS(RADIANS(E1602)))/L1602</f>
        <v/>
      </c>
      <c r="T1602" s="8">
        <f>R1602/L1602</f>
        <v/>
      </c>
      <c r="U1602" s="8">
        <f>(Q1602-P1602*G1602*SIN(RADIANS(E1602)))/M1602</f>
        <v/>
      </c>
      <c r="V1602" s="8">
        <f>SQRT((S1602+U1602)^2+3*T1602^2)</f>
        <v/>
      </c>
      <c r="W1602" s="8">
        <f>V1602/AA1602</f>
        <v/>
      </c>
      <c r="X1602" s="27">
        <f>((3*10+H1602/COS(RADIANS(E1602)))*(3+3)+3*G1602*H1602)*2</f>
        <v/>
      </c>
      <c r="Y1602" s="28">
        <f>Z1602/X1602</f>
        <v/>
      </c>
      <c r="Z1602" s="29" t="n">
        <v>774.125253211306</v>
      </c>
      <c r="AA1602" s="20" t="n">
        <v>41.4793600317215</v>
      </c>
      <c r="AB1602" t="n">
        <v>0.07428369953284823</v>
      </c>
      <c r="AC1602" t="n">
        <v>40.47918238906603</v>
      </c>
      <c r="AD1602" t="n">
        <v>54.32883985511567</v>
      </c>
    </row>
    <row r="1603">
      <c r="A1603" t="n">
        <v>1602</v>
      </c>
      <c r="B1603" t="n">
        <v>76.90000000000001</v>
      </c>
      <c r="C1603" s="21">
        <f>B1603-20</f>
        <v/>
      </c>
      <c r="D1603" t="n">
        <v>124.6</v>
      </c>
      <c r="E1603" s="22">
        <f>D1603-90</f>
        <v/>
      </c>
      <c r="F1603" s="23" t="n">
        <v>0.016574</v>
      </c>
      <c r="G1603" s="22" t="n">
        <v>20.9</v>
      </c>
      <c r="H1603" s="22" t="n">
        <v>1.8</v>
      </c>
      <c r="I1603" s="24" t="n">
        <v>0.0976264923810958</v>
      </c>
      <c r="J1603" s="6" t="n">
        <v>71000</v>
      </c>
      <c r="K1603" s="25">
        <f>23*10^-6</f>
        <v/>
      </c>
      <c r="L1603" s="8">
        <f>H1603</f>
        <v/>
      </c>
      <c r="M1603" s="26">
        <f>H1603^2/6</f>
        <v/>
      </c>
      <c r="N1603" s="26">
        <f>H1603^3/12</f>
        <v/>
      </c>
      <c r="O1603" s="27">
        <f>-J1603*L1603*K1603*C1603</f>
        <v/>
      </c>
      <c r="P1603" s="28">
        <f>-(12*F1603*J1603*L1603*N1603+12*O1603*N1603*G1603*COS(RADIANS(E1603)))/(12*N1603*G1603*COS(RADIANS(E1603))^2+L1603*G1603^3*SIN(RADIANS(E1603))^2)</f>
        <v/>
      </c>
      <c r="Q1603" s="28">
        <f>-(6*F1603*J1603*L1603*N1603*SIN(RADIANS(E1603))+6*O1603*N1603*G1603*SIN(RADIANS(E1603))*COS(RADIANS(E1603)))/(12*N1603*COS(RADIANS(E1603))^2+L1603*G1603^2*SIN(RADIANS(E1603))^2)</f>
        <v/>
      </c>
      <c r="R1603" s="28">
        <f>-P1603*SIN(RADIANS(E1603))</f>
        <v/>
      </c>
      <c r="S1603" s="8">
        <f>(O1603+P1603*COS(RADIANS(E1603)))/L1603</f>
        <v/>
      </c>
      <c r="T1603" s="8">
        <f>R1603/L1603</f>
        <v/>
      </c>
      <c r="U1603" s="8">
        <f>(Q1603-P1603*G1603*SIN(RADIANS(E1603)))/M1603</f>
        <v/>
      </c>
      <c r="V1603" s="8">
        <f>SQRT((S1603+U1603)^2+3*T1603^2)</f>
        <v/>
      </c>
      <c r="W1603" s="8">
        <f>V1603/AA1603</f>
        <v/>
      </c>
      <c r="X1603" s="27">
        <f>((3*10+H1603/COS(RADIANS(E1603)))*(3+3)+3*G1603*H1603)*2</f>
        <v/>
      </c>
      <c r="Y1603" s="28">
        <f>Z1603/X1603</f>
        <v/>
      </c>
      <c r="Z1603" s="29" t="n">
        <v>613.900532991991</v>
      </c>
      <c r="AA1603" s="20" t="n">
        <v>98.7649661179564</v>
      </c>
      <c r="AB1603" t="n">
        <v>0.06875244152853023</v>
      </c>
      <c r="AC1603" t="n">
        <v>85.37849151911919</v>
      </c>
      <c r="AD1603" t="n">
        <v>-29.57604042543342</v>
      </c>
    </row>
    <row r="1604">
      <c r="A1604" t="n">
        <v>1603</v>
      </c>
      <c r="B1604" t="n">
        <v>54.1</v>
      </c>
      <c r="C1604" s="21">
        <f>B1604-20</f>
        <v/>
      </c>
      <c r="D1604" t="n">
        <v>125.1</v>
      </c>
      <c r="E1604" s="22">
        <f>D1604-90</f>
        <v/>
      </c>
      <c r="F1604" s="23" t="n">
        <v>0.013914</v>
      </c>
      <c r="G1604" s="22" t="n">
        <v>32.9</v>
      </c>
      <c r="H1604" s="22" t="n">
        <v>1</v>
      </c>
      <c r="I1604" s="24" t="n">
        <v>0.06984773278236379</v>
      </c>
      <c r="J1604" s="6" t="n">
        <v>71000</v>
      </c>
      <c r="K1604" s="25">
        <f>23*10^-6</f>
        <v/>
      </c>
      <c r="L1604" s="8">
        <f>H1604</f>
        <v/>
      </c>
      <c r="M1604" s="26">
        <f>H1604^2/6</f>
        <v/>
      </c>
      <c r="N1604" s="26">
        <f>H1604^3/12</f>
        <v/>
      </c>
      <c r="O1604" s="27">
        <f>-J1604*L1604*K1604*C1604</f>
        <v/>
      </c>
      <c r="P1604" s="28">
        <f>-(12*F1604*J1604*L1604*N1604+12*O1604*N1604*G1604*COS(RADIANS(E1604)))/(12*N1604*G1604*COS(RADIANS(E1604))^2+L1604*G1604^3*SIN(RADIANS(E1604))^2)</f>
        <v/>
      </c>
      <c r="Q1604" s="28">
        <f>-(6*F1604*J1604*L1604*N1604*SIN(RADIANS(E1604))+6*O1604*N1604*G1604*SIN(RADIANS(E1604))*COS(RADIANS(E1604)))/(12*N1604*COS(RADIANS(E1604))^2+L1604*G1604^2*SIN(RADIANS(E1604))^2)</f>
        <v/>
      </c>
      <c r="R1604" s="28">
        <f>-P1604*SIN(RADIANS(E1604))</f>
        <v/>
      </c>
      <c r="S1604" s="8">
        <f>(O1604+P1604*COS(RADIANS(E1604)))/L1604</f>
        <v/>
      </c>
      <c r="T1604" s="8">
        <f>R1604/L1604</f>
        <v/>
      </c>
      <c r="U1604" s="8">
        <f>(Q1604-P1604*G1604*SIN(RADIANS(E1604)))/M1604</f>
        <v/>
      </c>
      <c r="V1604" s="8">
        <f>SQRT((S1604+U1604)^2+3*T1604^2)</f>
        <v/>
      </c>
      <c r="W1604" s="8">
        <f>V1604/AA1604</f>
        <v/>
      </c>
      <c r="X1604" s="27">
        <f>((3*10+H1604/COS(RADIANS(E1604)))*(3+3)+3*G1604*H1604)*2</f>
        <v/>
      </c>
      <c r="Y1604" s="28">
        <f>Z1604/X1604</f>
        <v/>
      </c>
      <c r="Z1604" s="29" t="n">
        <v>576.587649223019</v>
      </c>
      <c r="AA1604" s="20" t="n">
        <v>46.0993391737589</v>
      </c>
      <c r="AB1604" t="n">
        <v>0.06294778864315909</v>
      </c>
      <c r="AC1604" t="n">
        <v>48.10285145127609</v>
      </c>
      <c r="AD1604" t="n">
        <v>-9.878551334950288</v>
      </c>
    </row>
    <row r="1605">
      <c r="A1605" t="n">
        <v>1604</v>
      </c>
      <c r="B1605" t="n">
        <v>61.7</v>
      </c>
      <c r="C1605" s="21">
        <f>B1605-20</f>
        <v/>
      </c>
      <c r="D1605" t="n">
        <v>103.5</v>
      </c>
      <c r="E1605" s="22">
        <f>D1605-90</f>
        <v/>
      </c>
      <c r="F1605" s="23" t="n">
        <v>0.014252</v>
      </c>
      <c r="G1605" s="22" t="n">
        <v>25.2</v>
      </c>
      <c r="H1605" s="22" t="n">
        <v>1.7</v>
      </c>
      <c r="I1605" s="24" t="n">
        <v>0.09029610455036161</v>
      </c>
      <c r="J1605" s="6" t="n">
        <v>71000</v>
      </c>
      <c r="K1605" s="25">
        <f>23*10^-6</f>
        <v/>
      </c>
      <c r="L1605" s="8">
        <f>H1605</f>
        <v/>
      </c>
      <c r="M1605" s="26">
        <f>H1605^2/6</f>
        <v/>
      </c>
      <c r="N1605" s="26">
        <f>H1605^3/12</f>
        <v/>
      </c>
      <c r="O1605" s="27">
        <f>-J1605*L1605*K1605*C1605</f>
        <v/>
      </c>
      <c r="P1605" s="28">
        <f>-(12*F1605*J1605*L1605*N1605+12*O1605*N1605*G1605*COS(RADIANS(E1605)))/(12*N1605*G1605*COS(RADIANS(E1605))^2+L1605*G1605^3*SIN(RADIANS(E1605))^2)</f>
        <v/>
      </c>
      <c r="Q1605" s="28">
        <f>-(6*F1605*J1605*L1605*N1605*SIN(RADIANS(E1605))+6*O1605*N1605*G1605*SIN(RADIANS(E1605))*COS(RADIANS(E1605)))/(12*N1605*COS(RADIANS(E1605))^2+L1605*G1605^2*SIN(RADIANS(E1605))^2)</f>
        <v/>
      </c>
      <c r="R1605" s="28">
        <f>-P1605*SIN(RADIANS(E1605))</f>
        <v/>
      </c>
      <c r="S1605" s="8">
        <f>(O1605+P1605*COS(RADIANS(E1605)))/L1605</f>
        <v/>
      </c>
      <c r="T1605" s="8">
        <f>R1605/L1605</f>
        <v/>
      </c>
      <c r="U1605" s="8">
        <f>(Q1605-P1605*G1605*SIN(RADIANS(E1605)))/M1605</f>
        <v/>
      </c>
      <c r="V1605" s="8">
        <f>SQRT((S1605+U1605)^2+3*T1605^2)</f>
        <v/>
      </c>
      <c r="W1605" s="8">
        <f>V1605/AA1605</f>
        <v/>
      </c>
      <c r="X1605" s="27">
        <f>((3*10+H1605/COS(RADIANS(E1605)))*(3+3)+3*G1605*H1605)*2</f>
        <v/>
      </c>
      <c r="Y1605" s="28">
        <f>Z1605/X1605</f>
        <v/>
      </c>
      <c r="Z1605" s="29" t="n">
        <v>643.132163545772</v>
      </c>
      <c r="AA1605" s="20" t="n">
        <v>69.1201340604062</v>
      </c>
      <c r="AB1605" t="n">
        <v>0.1516822988151662</v>
      </c>
      <c r="AC1605" t="n">
        <v>71.2001750212473</v>
      </c>
      <c r="AD1605" t="n">
        <v>67.9832143041865</v>
      </c>
    </row>
    <row r="1606">
      <c r="A1606" t="n">
        <v>1605</v>
      </c>
      <c r="B1606" t="n">
        <v>76.90000000000001</v>
      </c>
      <c r="C1606" s="21">
        <f>B1606-20</f>
        <v/>
      </c>
      <c r="D1606" t="n">
        <v>110.2</v>
      </c>
      <c r="E1606" s="22">
        <f>D1606-90</f>
        <v/>
      </c>
      <c r="F1606" s="23" t="n">
        <v>0.019163</v>
      </c>
      <c r="G1606" s="22" t="n">
        <v>28.6</v>
      </c>
      <c r="H1606" s="22" t="n">
        <v>1.6</v>
      </c>
      <c r="I1606" s="24" t="n">
        <v>0.08544782549142831</v>
      </c>
      <c r="J1606" s="6" t="n">
        <v>71000</v>
      </c>
      <c r="K1606" s="25">
        <f>23*10^-6</f>
        <v/>
      </c>
      <c r="L1606" s="8">
        <f>H1606</f>
        <v/>
      </c>
      <c r="M1606" s="26">
        <f>H1606^2/6</f>
        <v/>
      </c>
      <c r="N1606" s="26">
        <f>H1606^3/12</f>
        <v/>
      </c>
      <c r="O1606" s="27">
        <f>-J1606*L1606*K1606*C1606</f>
        <v/>
      </c>
      <c r="P1606" s="28">
        <f>-(12*F1606*J1606*L1606*N1606+12*O1606*N1606*G1606*COS(RADIANS(E1606)))/(12*N1606*G1606*COS(RADIANS(E1606))^2+L1606*G1606^3*SIN(RADIANS(E1606))^2)</f>
        <v/>
      </c>
      <c r="Q1606" s="28">
        <f>-(6*F1606*J1606*L1606*N1606*SIN(RADIANS(E1606))+6*O1606*N1606*G1606*SIN(RADIANS(E1606))*COS(RADIANS(E1606)))/(12*N1606*COS(RADIANS(E1606))^2+L1606*G1606^2*SIN(RADIANS(E1606))^2)</f>
        <v/>
      </c>
      <c r="R1606" s="28">
        <f>-P1606*SIN(RADIANS(E1606))</f>
        <v/>
      </c>
      <c r="S1606" s="8">
        <f>(O1606+P1606*COS(RADIANS(E1606)))/L1606</f>
        <v/>
      </c>
      <c r="T1606" s="8">
        <f>R1606/L1606</f>
        <v/>
      </c>
      <c r="U1606" s="8">
        <f>(Q1606-P1606*G1606*SIN(RADIANS(E1606)))/M1606</f>
        <v/>
      </c>
      <c r="V1606" s="8">
        <f>SQRT((S1606+U1606)^2+3*T1606^2)</f>
        <v/>
      </c>
      <c r="W1606" s="8">
        <f>V1606/AA1606</f>
        <v/>
      </c>
      <c r="X1606" s="27">
        <f>((3*10+H1606/COS(RADIANS(E1606)))*(3+3)+3*G1606*H1606)*2</f>
        <v/>
      </c>
      <c r="Y1606" s="28">
        <f>Z1606/X1606</f>
        <v/>
      </c>
      <c r="Z1606" s="29" t="n">
        <v>666.475820249003</v>
      </c>
      <c r="AA1606" s="20" t="n">
        <v>85.4722693753377</v>
      </c>
      <c r="AB1606" t="n">
        <v>0.1623594525068206</v>
      </c>
      <c r="AC1606" t="n">
        <v>89.15448272100008</v>
      </c>
      <c r="AD1606" t="n">
        <v>90.01004598192813</v>
      </c>
    </row>
    <row r="1607">
      <c r="A1607" t="n">
        <v>1606</v>
      </c>
      <c r="B1607" t="n">
        <v>55.9</v>
      </c>
      <c r="C1607" s="21">
        <f>B1607-20</f>
        <v/>
      </c>
      <c r="D1607" t="n">
        <v>127.7</v>
      </c>
      <c r="E1607" s="22">
        <f>D1607-90</f>
        <v/>
      </c>
      <c r="F1607" s="23" t="n">
        <v>0.011279</v>
      </c>
      <c r="G1607" s="22" t="n">
        <v>25.1</v>
      </c>
      <c r="H1607" s="22" t="n">
        <v>1.9</v>
      </c>
      <c r="I1607" s="24" t="n">
        <v>0.0533836930990219</v>
      </c>
      <c r="J1607" s="6" t="n">
        <v>71000</v>
      </c>
      <c r="K1607" s="25">
        <f>23*10^-6</f>
        <v/>
      </c>
      <c r="L1607" s="8">
        <f>H1607</f>
        <v/>
      </c>
      <c r="M1607" s="26">
        <f>H1607^2/6</f>
        <v/>
      </c>
      <c r="N1607" s="26">
        <f>H1607^3/12</f>
        <v/>
      </c>
      <c r="O1607" s="27">
        <f>-J1607*L1607*K1607*C1607</f>
        <v/>
      </c>
      <c r="P1607" s="28">
        <f>-(12*F1607*J1607*L1607*N1607+12*O1607*N1607*G1607*COS(RADIANS(E1607)))/(12*N1607*G1607*COS(RADIANS(E1607))^2+L1607*G1607^3*SIN(RADIANS(E1607))^2)</f>
        <v/>
      </c>
      <c r="Q1607" s="28">
        <f>-(6*F1607*J1607*L1607*N1607*SIN(RADIANS(E1607))+6*O1607*N1607*G1607*SIN(RADIANS(E1607))*COS(RADIANS(E1607)))/(12*N1607*COS(RADIANS(E1607))^2+L1607*G1607^2*SIN(RADIANS(E1607))^2)</f>
        <v/>
      </c>
      <c r="R1607" s="28">
        <f>-P1607*SIN(RADIANS(E1607))</f>
        <v/>
      </c>
      <c r="S1607" s="8">
        <f>(O1607+P1607*COS(RADIANS(E1607)))/L1607</f>
        <v/>
      </c>
      <c r="T1607" s="8">
        <f>R1607/L1607</f>
        <v/>
      </c>
      <c r="U1607" s="8">
        <f>(Q1607-P1607*G1607*SIN(RADIANS(E1607)))/M1607</f>
        <v/>
      </c>
      <c r="V1607" s="8">
        <f>SQRT((S1607+U1607)^2+3*T1607^2)</f>
        <v/>
      </c>
      <c r="W1607" s="8">
        <f>V1607/AA1607</f>
        <v/>
      </c>
      <c r="X1607" s="27">
        <f>((3*10+H1607/COS(RADIANS(E1607)))*(3+3)+3*G1607*H1607)*2</f>
        <v/>
      </c>
      <c r="Y1607" s="28">
        <f>Z1607/X1607</f>
        <v/>
      </c>
      <c r="Z1607" s="29" t="n">
        <v>680.058128798514</v>
      </c>
      <c r="AA1607" s="20" t="n">
        <v>59.1241383987333</v>
      </c>
      <c r="AB1607" t="n">
        <v>0.04705410851246342</v>
      </c>
      <c r="AC1607" t="n">
        <v>53.03212531924365</v>
      </c>
      <c r="AD1607" t="n">
        <v>-11.85677539172436</v>
      </c>
    </row>
    <row r="1608">
      <c r="A1608" t="n">
        <v>1607</v>
      </c>
      <c r="B1608" t="n">
        <v>84.59999999999999</v>
      </c>
      <c r="C1608" s="21">
        <f>B1608-20</f>
        <v/>
      </c>
      <c r="D1608" t="n">
        <v>118.4</v>
      </c>
      <c r="E1608" s="22">
        <f>D1608-90</f>
        <v/>
      </c>
      <c r="F1608" s="23" t="n">
        <v>0.022856</v>
      </c>
      <c r="G1608" s="22" t="n">
        <v>27.3</v>
      </c>
      <c r="H1608" s="22" t="n">
        <v>1.7</v>
      </c>
      <c r="I1608" s="24" t="n">
        <v>0.121837690472602</v>
      </c>
      <c r="J1608" s="6" t="n">
        <v>71000</v>
      </c>
      <c r="K1608" s="25">
        <f>23*10^-6</f>
        <v/>
      </c>
      <c r="L1608" s="8">
        <f>H1608</f>
        <v/>
      </c>
      <c r="M1608" s="26">
        <f>H1608^2/6</f>
        <v/>
      </c>
      <c r="N1608" s="26">
        <f>H1608^3/12</f>
        <v/>
      </c>
      <c r="O1608" s="27">
        <f>-J1608*L1608*K1608*C1608</f>
        <v/>
      </c>
      <c r="P1608" s="28">
        <f>-(12*F1608*J1608*L1608*N1608+12*O1608*N1608*G1608*COS(RADIANS(E1608)))/(12*N1608*G1608*COS(RADIANS(E1608))^2+L1608*G1608^3*SIN(RADIANS(E1608))^2)</f>
        <v/>
      </c>
      <c r="Q1608" s="28">
        <f>-(6*F1608*J1608*L1608*N1608*SIN(RADIANS(E1608))+6*O1608*N1608*G1608*SIN(RADIANS(E1608))*COS(RADIANS(E1608)))/(12*N1608*COS(RADIANS(E1608))^2+L1608*G1608^2*SIN(RADIANS(E1608))^2)</f>
        <v/>
      </c>
      <c r="R1608" s="28">
        <f>-P1608*SIN(RADIANS(E1608))</f>
        <v/>
      </c>
      <c r="S1608" s="8">
        <f>(O1608+P1608*COS(RADIANS(E1608)))/L1608</f>
        <v/>
      </c>
      <c r="T1608" s="8">
        <f>R1608/L1608</f>
        <v/>
      </c>
      <c r="U1608" s="8">
        <f>(Q1608-P1608*G1608*SIN(RADIANS(E1608)))/M1608</f>
        <v/>
      </c>
      <c r="V1608" s="8">
        <f>SQRT((S1608+U1608)^2+3*T1608^2)</f>
        <v/>
      </c>
      <c r="W1608" s="8">
        <f>V1608/AA1608</f>
        <v/>
      </c>
      <c r="X1608" s="27">
        <f>((3*10+H1608/COS(RADIANS(E1608)))*(3+3)+3*G1608*H1608)*2</f>
        <v/>
      </c>
      <c r="Y1608" s="28">
        <f>Z1608/X1608</f>
        <v/>
      </c>
      <c r="Z1608" s="29" t="n">
        <v>666.309214405816</v>
      </c>
      <c r="AA1608" s="20" t="n">
        <v>102.612409693254</v>
      </c>
      <c r="AB1608" t="n">
        <v>0.1243545527442977</v>
      </c>
      <c r="AC1608" t="n">
        <v>97.59179650197322</v>
      </c>
      <c r="AD1608" t="n">
        <v>2.065750148359648</v>
      </c>
    </row>
    <row r="1609">
      <c r="A1609" t="n">
        <v>1608</v>
      </c>
      <c r="B1609" t="n">
        <v>59.1</v>
      </c>
      <c r="C1609" s="21">
        <f>B1609-20</f>
        <v/>
      </c>
      <c r="D1609" t="n">
        <v>126.7</v>
      </c>
      <c r="E1609" s="22">
        <f>D1609-90</f>
        <v/>
      </c>
      <c r="F1609" s="23" t="n">
        <v>0.013461</v>
      </c>
      <c r="G1609" s="22" t="n">
        <v>29.4</v>
      </c>
      <c r="H1609" s="22" t="n">
        <v>1.4</v>
      </c>
      <c r="I1609" s="24" t="n">
        <v>0.0597364753484725</v>
      </c>
      <c r="J1609" s="6" t="n">
        <v>71000</v>
      </c>
      <c r="K1609" s="25">
        <f>23*10^-6</f>
        <v/>
      </c>
      <c r="L1609" s="8">
        <f>H1609</f>
        <v/>
      </c>
      <c r="M1609" s="26">
        <f>H1609^2/6</f>
        <v/>
      </c>
      <c r="N1609" s="26">
        <f>H1609^3/12</f>
        <v/>
      </c>
      <c r="O1609" s="27">
        <f>-J1609*L1609*K1609*C1609</f>
        <v/>
      </c>
      <c r="P1609" s="28">
        <f>-(12*F1609*J1609*L1609*N1609+12*O1609*N1609*G1609*COS(RADIANS(E1609)))/(12*N1609*G1609*COS(RADIANS(E1609))^2+L1609*G1609^3*SIN(RADIANS(E1609))^2)</f>
        <v/>
      </c>
      <c r="Q1609" s="28">
        <f>-(6*F1609*J1609*L1609*N1609*SIN(RADIANS(E1609))+6*O1609*N1609*G1609*SIN(RADIANS(E1609))*COS(RADIANS(E1609)))/(12*N1609*COS(RADIANS(E1609))^2+L1609*G1609^2*SIN(RADIANS(E1609))^2)</f>
        <v/>
      </c>
      <c r="R1609" s="28">
        <f>-P1609*SIN(RADIANS(E1609))</f>
        <v/>
      </c>
      <c r="S1609" s="8">
        <f>(O1609+P1609*COS(RADIANS(E1609)))/L1609</f>
        <v/>
      </c>
      <c r="T1609" s="8">
        <f>R1609/L1609</f>
        <v/>
      </c>
      <c r="U1609" s="8">
        <f>(Q1609-P1609*G1609*SIN(RADIANS(E1609)))/M1609</f>
        <v/>
      </c>
      <c r="V1609" s="8">
        <f>SQRT((S1609+U1609)^2+3*T1609^2)</f>
        <v/>
      </c>
      <c r="W1609" s="8">
        <f>V1609/AA1609</f>
        <v/>
      </c>
      <c r="X1609" s="27">
        <f>((3*10+H1609/COS(RADIANS(E1609)))*(3+3)+3*G1609*H1609)*2</f>
        <v/>
      </c>
      <c r="Y1609" s="28">
        <f>Z1609/X1609</f>
        <v/>
      </c>
      <c r="Z1609" s="29" t="n">
        <v>635.960142978816</v>
      </c>
      <c r="AA1609" s="20" t="n">
        <v>55.9127777916211</v>
      </c>
      <c r="AB1609" t="n">
        <v>0.06163351524157366</v>
      </c>
      <c r="AC1609" t="n">
        <v>56.22639120518355</v>
      </c>
      <c r="AD1609" t="n">
        <v>3.175680992282828</v>
      </c>
    </row>
    <row r="1610">
      <c r="A1610" t="n">
        <v>1609</v>
      </c>
      <c r="B1610" t="n">
        <v>56.4</v>
      </c>
      <c r="C1610" s="21">
        <f>B1610-20</f>
        <v/>
      </c>
      <c r="D1610" t="n">
        <v>125.8</v>
      </c>
      <c r="E1610" s="22">
        <f>D1610-90</f>
        <v/>
      </c>
      <c r="F1610" s="23" t="n">
        <v>0.009959000000000001</v>
      </c>
      <c r="G1610" s="22" t="n">
        <v>22</v>
      </c>
      <c r="H1610" s="22" t="n">
        <v>1.8</v>
      </c>
      <c r="I1610" s="24" t="n">
        <v>0.0460392013192176</v>
      </c>
      <c r="J1610" s="6" t="n">
        <v>71000</v>
      </c>
      <c r="K1610" s="25">
        <f>23*10^-6</f>
        <v/>
      </c>
      <c r="L1610" s="8">
        <f>H1610</f>
        <v/>
      </c>
      <c r="M1610" s="26">
        <f>H1610^2/6</f>
        <v/>
      </c>
      <c r="N1610" s="26">
        <f>H1610^3/12</f>
        <v/>
      </c>
      <c r="O1610" s="27">
        <f>-J1610*L1610*K1610*C1610</f>
        <v/>
      </c>
      <c r="P1610" s="28">
        <f>-(12*F1610*J1610*L1610*N1610+12*O1610*N1610*G1610*COS(RADIANS(E1610)))/(12*N1610*G1610*COS(RADIANS(E1610))^2+L1610*G1610^3*SIN(RADIANS(E1610))^2)</f>
        <v/>
      </c>
      <c r="Q1610" s="28">
        <f>-(6*F1610*J1610*L1610*N1610*SIN(RADIANS(E1610))+6*O1610*N1610*G1610*SIN(RADIANS(E1610))*COS(RADIANS(E1610)))/(12*N1610*COS(RADIANS(E1610))^2+L1610*G1610^2*SIN(RADIANS(E1610))^2)</f>
        <v/>
      </c>
      <c r="R1610" s="28">
        <f>-P1610*SIN(RADIANS(E1610))</f>
        <v/>
      </c>
      <c r="S1610" s="8">
        <f>(O1610+P1610*COS(RADIANS(E1610)))/L1610</f>
        <v/>
      </c>
      <c r="T1610" s="8">
        <f>R1610/L1610</f>
        <v/>
      </c>
      <c r="U1610" s="8">
        <f>(Q1610-P1610*G1610*SIN(RADIANS(E1610)))/M1610</f>
        <v/>
      </c>
      <c r="V1610" s="8">
        <f>SQRT((S1610+U1610)^2+3*T1610^2)</f>
        <v/>
      </c>
      <c r="W1610" s="8">
        <f>V1610/AA1610</f>
        <v/>
      </c>
      <c r="X1610" s="27">
        <f>((3*10+H1610/COS(RADIANS(E1610)))*(3+3)+3*G1610*H1610)*2</f>
        <v/>
      </c>
      <c r="Y1610" s="28">
        <f>Z1610/X1610</f>
        <v/>
      </c>
      <c r="Z1610" s="29" t="n">
        <v>632.769149460765</v>
      </c>
      <c r="AA1610" s="20" t="n">
        <v>59.4167443879343</v>
      </c>
      <c r="AB1610" t="n">
        <v>0.04454013121081112</v>
      </c>
      <c r="AC1610" t="n">
        <v>54.22762297648168</v>
      </c>
      <c r="AD1610" t="n">
        <v>-3.256073227709848</v>
      </c>
    </row>
    <row r="1611">
      <c r="A1611" t="n">
        <v>1610</v>
      </c>
      <c r="B1611" t="n">
        <v>81.5</v>
      </c>
      <c r="C1611" s="21">
        <f>B1611-20</f>
        <v/>
      </c>
      <c r="D1611" t="n">
        <v>121.9</v>
      </c>
      <c r="E1611" s="22">
        <f>D1611-90</f>
        <v/>
      </c>
      <c r="F1611" s="23" t="n">
        <v>0.02534</v>
      </c>
      <c r="G1611" s="22" t="n">
        <v>31</v>
      </c>
      <c r="H1611" s="22" t="n">
        <v>1.5</v>
      </c>
      <c r="I1611" s="24" t="n">
        <v>0.193525090813636</v>
      </c>
      <c r="J1611" s="6" t="n">
        <v>71000</v>
      </c>
      <c r="K1611" s="25">
        <f>23*10^-6</f>
        <v/>
      </c>
      <c r="L1611" s="8">
        <f>H1611</f>
        <v/>
      </c>
      <c r="M1611" s="26">
        <f>H1611^2/6</f>
        <v/>
      </c>
      <c r="N1611" s="26">
        <f>H1611^3/12</f>
        <v/>
      </c>
      <c r="O1611" s="27">
        <f>-J1611*L1611*K1611*C1611</f>
        <v/>
      </c>
      <c r="P1611" s="28">
        <f>-(12*F1611*J1611*L1611*N1611+12*O1611*N1611*G1611*COS(RADIANS(E1611)))/(12*N1611*G1611*COS(RADIANS(E1611))^2+L1611*G1611^3*SIN(RADIANS(E1611))^2)</f>
        <v/>
      </c>
      <c r="Q1611" s="28">
        <f>-(6*F1611*J1611*L1611*N1611*SIN(RADIANS(E1611))+6*O1611*N1611*G1611*SIN(RADIANS(E1611))*COS(RADIANS(E1611)))/(12*N1611*COS(RADIANS(E1611))^2+L1611*G1611^2*SIN(RADIANS(E1611))^2)</f>
        <v/>
      </c>
      <c r="R1611" s="28">
        <f>-P1611*SIN(RADIANS(E1611))</f>
        <v/>
      </c>
      <c r="S1611" s="8">
        <f>(O1611+P1611*COS(RADIANS(E1611)))/L1611</f>
        <v/>
      </c>
      <c r="T1611" s="8">
        <f>R1611/L1611</f>
        <v/>
      </c>
      <c r="U1611" s="8">
        <f>(Q1611-P1611*G1611*SIN(RADIANS(E1611)))/M1611</f>
        <v/>
      </c>
      <c r="V1611" s="8">
        <f>SQRT((S1611+U1611)^2+3*T1611^2)</f>
        <v/>
      </c>
      <c r="W1611" s="8">
        <f>V1611/AA1611</f>
        <v/>
      </c>
      <c r="X1611" s="27">
        <f>((3*10+H1611/COS(RADIANS(E1611)))*(3+3)+3*G1611*H1611)*2</f>
        <v/>
      </c>
      <c r="Y1611" s="28">
        <f>Z1611/X1611</f>
        <v/>
      </c>
      <c r="Z1611" s="29" t="n">
        <v>661.62706751958</v>
      </c>
      <c r="AA1611" s="20" t="n">
        <v>97.6979930070019</v>
      </c>
      <c r="AB1611" t="n">
        <v>0.1185795735178972</v>
      </c>
      <c r="AC1611" t="n">
        <v>89.90154528436923</v>
      </c>
      <c r="AD1611" t="n">
        <v>-38.72651188569191</v>
      </c>
    </row>
    <row r="1612">
      <c r="A1612" t="n">
        <v>1611</v>
      </c>
      <c r="B1612" t="n">
        <v>63.9</v>
      </c>
      <c r="C1612" s="21">
        <f>B1612-20</f>
        <v/>
      </c>
      <c r="D1612" t="n">
        <v>100.8</v>
      </c>
      <c r="E1612" s="22">
        <f>D1612-90</f>
        <v/>
      </c>
      <c r="F1612" s="23" t="n">
        <v>0.019066</v>
      </c>
      <c r="G1612" s="22" t="n">
        <v>34.2</v>
      </c>
      <c r="H1612" s="22" t="n">
        <v>2</v>
      </c>
      <c r="I1612" s="24" t="n">
        <v>0.108155898749828</v>
      </c>
      <c r="J1612" s="6" t="n">
        <v>71000</v>
      </c>
      <c r="K1612" s="25">
        <f>23*10^-6</f>
        <v/>
      </c>
      <c r="L1612" s="8">
        <f>H1612</f>
        <v/>
      </c>
      <c r="M1612" s="26">
        <f>H1612^2/6</f>
        <v/>
      </c>
      <c r="N1612" s="26">
        <f>H1612^3/12</f>
        <v/>
      </c>
      <c r="O1612" s="27">
        <f>-J1612*L1612*K1612*C1612</f>
        <v/>
      </c>
      <c r="P1612" s="28">
        <f>-(12*F1612*J1612*L1612*N1612+12*O1612*N1612*G1612*COS(RADIANS(E1612)))/(12*N1612*G1612*COS(RADIANS(E1612))^2+L1612*G1612^3*SIN(RADIANS(E1612))^2)</f>
        <v/>
      </c>
      <c r="Q1612" s="28">
        <f>-(6*F1612*J1612*L1612*N1612*SIN(RADIANS(E1612))+6*O1612*N1612*G1612*SIN(RADIANS(E1612))*COS(RADIANS(E1612)))/(12*N1612*COS(RADIANS(E1612))^2+L1612*G1612^2*SIN(RADIANS(E1612))^2)</f>
        <v/>
      </c>
      <c r="R1612" s="28">
        <f>-P1612*SIN(RADIANS(E1612))</f>
        <v/>
      </c>
      <c r="S1612" s="8">
        <f>(O1612+P1612*COS(RADIANS(E1612)))/L1612</f>
        <v/>
      </c>
      <c r="T1612" s="8">
        <f>R1612/L1612</f>
        <v/>
      </c>
      <c r="U1612" s="8">
        <f>(Q1612-P1612*G1612*SIN(RADIANS(E1612)))/M1612</f>
        <v/>
      </c>
      <c r="V1612" s="8">
        <f>SQRT((S1612+U1612)^2+3*T1612^2)</f>
        <v/>
      </c>
      <c r="W1612" s="8">
        <f>V1612/AA1612</f>
        <v/>
      </c>
      <c r="X1612" s="27">
        <f>((3*10+H1612/COS(RADIANS(E1612)))*(3+3)+3*G1612*H1612)*2</f>
        <v/>
      </c>
      <c r="Y1612" s="28">
        <f>Z1612/X1612</f>
        <v/>
      </c>
      <c r="Z1612" s="29" t="n">
        <v>800.979454486034</v>
      </c>
      <c r="AA1612" s="20" t="n">
        <v>72.917186581658</v>
      </c>
      <c r="AB1612" t="n">
        <v>0.2630820008671161</v>
      </c>
      <c r="AC1612" t="n">
        <v>77.47170329972063</v>
      </c>
      <c r="AD1612" t="n">
        <v>143.2433218234752</v>
      </c>
    </row>
    <row r="1613">
      <c r="A1613" t="n">
        <v>1612</v>
      </c>
      <c r="B1613" t="n">
        <v>61.6</v>
      </c>
      <c r="C1613" s="21">
        <f>B1613-20</f>
        <v/>
      </c>
      <c r="D1613" t="n">
        <v>111.3</v>
      </c>
      <c r="E1613" s="22">
        <f>D1613-90</f>
        <v/>
      </c>
      <c r="F1613" s="23" t="n">
        <v>0.012489</v>
      </c>
      <c r="G1613" s="22" t="n">
        <v>25.7</v>
      </c>
      <c r="H1613" s="22" t="n">
        <v>1.9</v>
      </c>
      <c r="I1613" s="24" t="n">
        <v>0.0554544888436794</v>
      </c>
      <c r="J1613" s="6" t="n">
        <v>71000</v>
      </c>
      <c r="K1613" s="25">
        <f>23*10^-6</f>
        <v/>
      </c>
      <c r="L1613" s="8">
        <f>H1613</f>
        <v/>
      </c>
      <c r="M1613" s="26">
        <f>H1613^2/6</f>
        <v/>
      </c>
      <c r="N1613" s="26">
        <f>H1613^3/12</f>
        <v/>
      </c>
      <c r="O1613" s="27">
        <f>-J1613*L1613*K1613*C1613</f>
        <v/>
      </c>
      <c r="P1613" s="28">
        <f>-(12*F1613*J1613*L1613*N1613+12*O1613*N1613*G1613*COS(RADIANS(E1613)))/(12*N1613*G1613*COS(RADIANS(E1613))^2+L1613*G1613^3*SIN(RADIANS(E1613))^2)</f>
        <v/>
      </c>
      <c r="Q1613" s="28">
        <f>-(6*F1613*J1613*L1613*N1613*SIN(RADIANS(E1613))+6*O1613*N1613*G1613*SIN(RADIANS(E1613))*COS(RADIANS(E1613)))/(12*N1613*COS(RADIANS(E1613))^2+L1613*G1613^2*SIN(RADIANS(E1613))^2)</f>
        <v/>
      </c>
      <c r="R1613" s="28">
        <f>-P1613*SIN(RADIANS(E1613))</f>
        <v/>
      </c>
      <c r="S1613" s="8">
        <f>(O1613+P1613*COS(RADIANS(E1613)))/L1613</f>
        <v/>
      </c>
      <c r="T1613" s="8">
        <f>R1613/L1613</f>
        <v/>
      </c>
      <c r="U1613" s="8">
        <f>(Q1613-P1613*G1613*SIN(RADIANS(E1613)))/M1613</f>
        <v/>
      </c>
      <c r="V1613" s="8">
        <f>SQRT((S1613+U1613)^2+3*T1613^2)</f>
        <v/>
      </c>
      <c r="W1613" s="8">
        <f>V1613/AA1613</f>
        <v/>
      </c>
      <c r="X1613" s="27">
        <f>((3*10+H1613/COS(RADIANS(E1613)))*(3+3)+3*G1613*H1613)*2</f>
        <v/>
      </c>
      <c r="Y1613" s="28">
        <f>Z1613/X1613</f>
        <v/>
      </c>
      <c r="Z1613" s="29" t="n">
        <v>691.562527326627</v>
      </c>
      <c r="AA1613" s="20" t="n">
        <v>66.1599125027885</v>
      </c>
      <c r="AB1613" t="n">
        <v>0.1003110105371138</v>
      </c>
      <c r="AC1613" t="n">
        <v>66.80188572944675</v>
      </c>
      <c r="AD1613" t="n">
        <v>80.88889218667286</v>
      </c>
    </row>
    <row r="1614">
      <c r="A1614" t="n">
        <v>1613</v>
      </c>
      <c r="B1614" t="n">
        <v>57</v>
      </c>
      <c r="C1614" s="21">
        <f>B1614-20</f>
        <v/>
      </c>
      <c r="D1614" t="n">
        <v>117.8</v>
      </c>
      <c r="E1614" s="22">
        <f>D1614-90</f>
        <v/>
      </c>
      <c r="F1614" s="23" t="n">
        <v>0.010174</v>
      </c>
      <c r="G1614" s="22" t="n">
        <v>20.6</v>
      </c>
      <c r="H1614" s="22" t="n">
        <v>1.2</v>
      </c>
      <c r="I1614" s="24" t="n">
        <v>0.0514407902956008</v>
      </c>
      <c r="J1614" s="6" t="n">
        <v>71000</v>
      </c>
      <c r="K1614" s="25">
        <f>23*10^-6</f>
        <v/>
      </c>
      <c r="L1614" s="8">
        <f>H1614</f>
        <v/>
      </c>
      <c r="M1614" s="26">
        <f>H1614^2/6</f>
        <v/>
      </c>
      <c r="N1614" s="26">
        <f>H1614^3/12</f>
        <v/>
      </c>
      <c r="O1614" s="27">
        <f>-J1614*L1614*K1614*C1614</f>
        <v/>
      </c>
      <c r="P1614" s="28">
        <f>-(12*F1614*J1614*L1614*N1614+12*O1614*N1614*G1614*COS(RADIANS(E1614)))/(12*N1614*G1614*COS(RADIANS(E1614))^2+L1614*G1614^3*SIN(RADIANS(E1614))^2)</f>
        <v/>
      </c>
      <c r="Q1614" s="28">
        <f>-(6*F1614*J1614*L1614*N1614*SIN(RADIANS(E1614))+6*O1614*N1614*G1614*SIN(RADIANS(E1614))*COS(RADIANS(E1614)))/(12*N1614*COS(RADIANS(E1614))^2+L1614*G1614^2*SIN(RADIANS(E1614))^2)</f>
        <v/>
      </c>
      <c r="R1614" s="28">
        <f>-P1614*SIN(RADIANS(E1614))</f>
        <v/>
      </c>
      <c r="S1614" s="8">
        <f>(O1614+P1614*COS(RADIANS(E1614)))/L1614</f>
        <v/>
      </c>
      <c r="T1614" s="8">
        <f>R1614/L1614</f>
        <v/>
      </c>
      <c r="U1614" s="8">
        <f>(Q1614-P1614*G1614*SIN(RADIANS(E1614)))/M1614</f>
        <v/>
      </c>
      <c r="V1614" s="8">
        <f>SQRT((S1614+U1614)^2+3*T1614^2)</f>
        <v/>
      </c>
      <c r="W1614" s="8">
        <f>V1614/AA1614</f>
        <v/>
      </c>
      <c r="X1614" s="27">
        <f>((3*10+H1614/COS(RADIANS(E1614)))*(3+3)+3*G1614*H1614)*2</f>
        <v/>
      </c>
      <c r="Y1614" s="28">
        <f>Z1614/X1614</f>
        <v/>
      </c>
      <c r="Z1614" s="29" t="n">
        <v>531.407426122741</v>
      </c>
      <c r="AA1614" s="20" t="n">
        <v>54.5603607793641</v>
      </c>
      <c r="AB1614" t="n">
        <v>0.05621441175190278</v>
      </c>
      <c r="AC1614" t="n">
        <v>55.0428906447593</v>
      </c>
      <c r="AD1614" t="n">
        <v>9.27983693265735</v>
      </c>
    </row>
    <row r="1615">
      <c r="A1615" t="n">
        <v>1614</v>
      </c>
      <c r="B1615" t="n">
        <v>49.4</v>
      </c>
      <c r="C1615" s="21">
        <f>B1615-20</f>
        <v/>
      </c>
      <c r="D1615" t="n">
        <v>128.6</v>
      </c>
      <c r="E1615" s="22">
        <f>D1615-90</f>
        <v/>
      </c>
      <c r="F1615" s="23" t="n">
        <v>0.009266</v>
      </c>
      <c r="G1615" s="22" t="n">
        <v>27</v>
      </c>
      <c r="H1615" s="22" t="n">
        <v>1.7</v>
      </c>
      <c r="I1615" s="24" t="n">
        <v>0.0410547032952308</v>
      </c>
      <c r="J1615" s="6" t="n">
        <v>71000</v>
      </c>
      <c r="K1615" s="25">
        <f>23*10^-6</f>
        <v/>
      </c>
      <c r="L1615" s="8">
        <f>H1615</f>
        <v/>
      </c>
      <c r="M1615" s="26">
        <f>H1615^2/6</f>
        <v/>
      </c>
      <c r="N1615" s="26">
        <f>H1615^3/12</f>
        <v/>
      </c>
      <c r="O1615" s="27">
        <f>-J1615*L1615*K1615*C1615</f>
        <v/>
      </c>
      <c r="P1615" s="28">
        <f>-(12*F1615*J1615*L1615*N1615+12*O1615*N1615*G1615*COS(RADIANS(E1615)))/(12*N1615*G1615*COS(RADIANS(E1615))^2+L1615*G1615^3*SIN(RADIANS(E1615))^2)</f>
        <v/>
      </c>
      <c r="Q1615" s="28">
        <f>-(6*F1615*J1615*L1615*N1615*SIN(RADIANS(E1615))+6*O1615*N1615*G1615*SIN(RADIANS(E1615))*COS(RADIANS(E1615)))/(12*N1615*COS(RADIANS(E1615))^2+L1615*G1615^2*SIN(RADIANS(E1615))^2)</f>
        <v/>
      </c>
      <c r="R1615" s="28">
        <f>-P1615*SIN(RADIANS(E1615))</f>
        <v/>
      </c>
      <c r="S1615" s="8">
        <f>(O1615+P1615*COS(RADIANS(E1615)))/L1615</f>
        <v/>
      </c>
      <c r="T1615" s="8">
        <f>R1615/L1615</f>
        <v/>
      </c>
      <c r="U1615" s="8">
        <f>(Q1615-P1615*G1615*SIN(RADIANS(E1615)))/M1615</f>
        <v/>
      </c>
      <c r="V1615" s="8">
        <f>SQRT((S1615+U1615)^2+3*T1615^2)</f>
        <v/>
      </c>
      <c r="W1615" s="8">
        <f>V1615/AA1615</f>
        <v/>
      </c>
      <c r="X1615" s="27">
        <f>((3*10+H1615/COS(RADIANS(E1615)))*(3+3)+3*G1615*H1615)*2</f>
        <v/>
      </c>
      <c r="Y1615" s="28">
        <f>Z1615/X1615</f>
        <v/>
      </c>
      <c r="Z1615" s="29" t="n">
        <v>670.21071687734</v>
      </c>
      <c r="AA1615" s="20" t="n">
        <v>44.8270467070264</v>
      </c>
      <c r="AB1615" t="n">
        <v>0.04034651771710107</v>
      </c>
      <c r="AC1615" t="n">
        <v>42.77373646637201</v>
      </c>
      <c r="AD1615" t="n">
        <v>-1.724980382971126</v>
      </c>
    </row>
    <row r="1616">
      <c r="A1616" t="n">
        <v>1615</v>
      </c>
      <c r="B1616" t="n">
        <v>88.09999999999999</v>
      </c>
      <c r="C1616" s="21">
        <f>B1616-20</f>
        <v/>
      </c>
      <c r="D1616" t="n">
        <v>123.4</v>
      </c>
      <c r="E1616" s="22">
        <f>D1616-90</f>
        <v/>
      </c>
      <c r="F1616" s="23" t="n">
        <v>0.022855</v>
      </c>
      <c r="G1616" s="22" t="n">
        <v>28.9</v>
      </c>
      <c r="H1616" s="22" t="n">
        <v>1.9</v>
      </c>
      <c r="I1616" s="24" t="n">
        <v>0.100921832025051</v>
      </c>
      <c r="J1616" s="6" t="n">
        <v>71000</v>
      </c>
      <c r="K1616" s="25">
        <f>23*10^-6</f>
        <v/>
      </c>
      <c r="L1616" s="8">
        <f>H1616</f>
        <v/>
      </c>
      <c r="M1616" s="26">
        <f>H1616^2/6</f>
        <v/>
      </c>
      <c r="N1616" s="26">
        <f>H1616^3/12</f>
        <v/>
      </c>
      <c r="O1616" s="27">
        <f>-J1616*L1616*K1616*C1616</f>
        <v/>
      </c>
      <c r="P1616" s="28">
        <f>-(12*F1616*J1616*L1616*N1616+12*O1616*N1616*G1616*COS(RADIANS(E1616)))/(12*N1616*G1616*COS(RADIANS(E1616))^2+L1616*G1616^3*SIN(RADIANS(E1616))^2)</f>
        <v/>
      </c>
      <c r="Q1616" s="28">
        <f>-(6*F1616*J1616*L1616*N1616*SIN(RADIANS(E1616))+6*O1616*N1616*G1616*SIN(RADIANS(E1616))*COS(RADIANS(E1616)))/(12*N1616*COS(RADIANS(E1616))^2+L1616*G1616^2*SIN(RADIANS(E1616))^2)</f>
        <v/>
      </c>
      <c r="R1616" s="28">
        <f>-P1616*SIN(RADIANS(E1616))</f>
        <v/>
      </c>
      <c r="S1616" s="8">
        <f>(O1616+P1616*COS(RADIANS(E1616)))/L1616</f>
        <v/>
      </c>
      <c r="T1616" s="8">
        <f>R1616/L1616</f>
        <v/>
      </c>
      <c r="U1616" s="8">
        <f>(Q1616-P1616*G1616*SIN(RADIANS(E1616)))/M1616</f>
        <v/>
      </c>
      <c r="V1616" s="8">
        <f>SQRT((S1616+U1616)^2+3*T1616^2)</f>
        <v/>
      </c>
      <c r="W1616" s="8">
        <f>V1616/AA1616</f>
        <v/>
      </c>
      <c r="X1616" s="27">
        <f>((3*10+H1616/COS(RADIANS(E1616)))*(3+3)+3*G1616*H1616)*2</f>
        <v/>
      </c>
      <c r="Y1616" s="28">
        <f>Z1616/X1616</f>
        <v/>
      </c>
      <c r="Z1616" s="29" t="n">
        <v>726.5956238579359</v>
      </c>
      <c r="AA1616" s="20" t="n">
        <v>107.534516868839</v>
      </c>
      <c r="AB1616" t="n">
        <v>0.1163907738985238</v>
      </c>
      <c r="AC1616" t="n">
        <v>101.4478144868204</v>
      </c>
      <c r="AD1616" t="n">
        <v>15.32764671734559</v>
      </c>
    </row>
    <row r="1617">
      <c r="A1617" t="n">
        <v>1616</v>
      </c>
      <c r="B1617" t="n">
        <v>72.09999999999999</v>
      </c>
      <c r="C1617" s="21">
        <f>B1617-20</f>
        <v/>
      </c>
      <c r="D1617" t="n">
        <v>118.5</v>
      </c>
      <c r="E1617" s="22">
        <f>D1617-90</f>
        <v/>
      </c>
      <c r="F1617" s="23" t="n">
        <v>0.020405</v>
      </c>
      <c r="G1617" s="22" t="n">
        <v>33.4</v>
      </c>
      <c r="H1617" s="22" t="n">
        <v>1.6</v>
      </c>
      <c r="I1617" s="24" t="n">
        <v>0.09142421185970299</v>
      </c>
      <c r="J1617" s="6" t="n">
        <v>71000</v>
      </c>
      <c r="K1617" s="25">
        <f>23*10^-6</f>
        <v/>
      </c>
      <c r="L1617" s="8">
        <f>H1617</f>
        <v/>
      </c>
      <c r="M1617" s="26">
        <f>H1617^2/6</f>
        <v/>
      </c>
      <c r="N1617" s="26">
        <f>H1617^3/12</f>
        <v/>
      </c>
      <c r="O1617" s="27">
        <f>-J1617*L1617*K1617*C1617</f>
        <v/>
      </c>
      <c r="P1617" s="28">
        <f>-(12*F1617*J1617*L1617*N1617+12*O1617*N1617*G1617*COS(RADIANS(E1617)))/(12*N1617*G1617*COS(RADIANS(E1617))^2+L1617*G1617^3*SIN(RADIANS(E1617))^2)</f>
        <v/>
      </c>
      <c r="Q1617" s="28">
        <f>-(6*F1617*J1617*L1617*N1617*SIN(RADIANS(E1617))+6*O1617*N1617*G1617*SIN(RADIANS(E1617))*COS(RADIANS(E1617)))/(12*N1617*COS(RADIANS(E1617))^2+L1617*G1617^2*SIN(RADIANS(E1617))^2)</f>
        <v/>
      </c>
      <c r="R1617" s="28">
        <f>-P1617*SIN(RADIANS(E1617))</f>
        <v/>
      </c>
      <c r="S1617" s="8">
        <f>(O1617+P1617*COS(RADIANS(E1617)))/L1617</f>
        <v/>
      </c>
      <c r="T1617" s="8">
        <f>R1617/L1617</f>
        <v/>
      </c>
      <c r="U1617" s="8">
        <f>(Q1617-P1617*G1617*SIN(RADIANS(E1617)))/M1617</f>
        <v/>
      </c>
      <c r="V1617" s="8">
        <f>SQRT((S1617+U1617)^2+3*T1617^2)</f>
        <v/>
      </c>
      <c r="W1617" s="8">
        <f>V1617/AA1617</f>
        <v/>
      </c>
      <c r="X1617" s="27">
        <f>((3*10+H1617/COS(RADIANS(E1617)))*(3+3)+3*G1617*H1617)*2</f>
        <v/>
      </c>
      <c r="Y1617" s="28">
        <f>Z1617/X1617</f>
        <v/>
      </c>
      <c r="Z1617" s="29" t="n">
        <v>710.9587185228791</v>
      </c>
      <c r="AA1617" s="20" t="n">
        <v>77.5316174916876</v>
      </c>
      <c r="AB1617" t="n">
        <v>0.1215156874133588</v>
      </c>
      <c r="AC1617" t="n">
        <v>77.16621253615907</v>
      </c>
      <c r="AD1617" t="n">
        <v>32.91412082374125</v>
      </c>
    </row>
    <row r="1618">
      <c r="A1618" t="n">
        <v>1617</v>
      </c>
      <c r="B1618" t="n">
        <v>83.2</v>
      </c>
      <c r="C1618" s="21">
        <f>B1618-20</f>
        <v/>
      </c>
      <c r="D1618" t="n">
        <v>120.3</v>
      </c>
      <c r="E1618" s="22">
        <f>D1618-90</f>
        <v/>
      </c>
      <c r="F1618" s="23" t="n">
        <v>0.023785</v>
      </c>
      <c r="G1618" s="22" t="n">
        <v>27.5</v>
      </c>
      <c r="H1618" s="22" t="n">
        <v>1.4</v>
      </c>
      <c r="I1618" s="24" t="n">
        <v>0.215375170111656</v>
      </c>
      <c r="J1618" s="6" t="n">
        <v>71000</v>
      </c>
      <c r="K1618" s="25">
        <f>23*10^-6</f>
        <v/>
      </c>
      <c r="L1618" s="8">
        <f>H1618</f>
        <v/>
      </c>
      <c r="M1618" s="26">
        <f>H1618^2/6</f>
        <v/>
      </c>
      <c r="N1618" s="26">
        <f>H1618^3/12</f>
        <v/>
      </c>
      <c r="O1618" s="27">
        <f>-J1618*L1618*K1618*C1618</f>
        <v/>
      </c>
      <c r="P1618" s="28">
        <f>-(12*F1618*J1618*L1618*N1618+12*O1618*N1618*G1618*COS(RADIANS(E1618)))/(12*N1618*G1618*COS(RADIANS(E1618))^2+L1618*G1618^3*SIN(RADIANS(E1618))^2)</f>
        <v/>
      </c>
      <c r="Q1618" s="28">
        <f>-(6*F1618*J1618*L1618*N1618*SIN(RADIANS(E1618))+6*O1618*N1618*G1618*SIN(RADIANS(E1618))*COS(RADIANS(E1618)))/(12*N1618*COS(RADIANS(E1618))^2+L1618*G1618^2*SIN(RADIANS(E1618))^2)</f>
        <v/>
      </c>
      <c r="R1618" s="28">
        <f>-P1618*SIN(RADIANS(E1618))</f>
        <v/>
      </c>
      <c r="S1618" s="8">
        <f>(O1618+P1618*COS(RADIANS(E1618)))/L1618</f>
        <v/>
      </c>
      <c r="T1618" s="8">
        <f>R1618/L1618</f>
        <v/>
      </c>
      <c r="U1618" s="8">
        <f>(Q1618-P1618*G1618*SIN(RADIANS(E1618)))/M1618</f>
        <v/>
      </c>
      <c r="V1618" s="8">
        <f>SQRT((S1618+U1618)^2+3*T1618^2)</f>
        <v/>
      </c>
      <c r="W1618" s="8">
        <f>V1618/AA1618</f>
        <v/>
      </c>
      <c r="X1618" s="27">
        <f>((3*10+H1618/COS(RADIANS(E1618)))*(3+3)+3*G1618*H1618)*2</f>
        <v/>
      </c>
      <c r="Y1618" s="28">
        <f>Z1618/X1618</f>
        <v/>
      </c>
      <c r="Z1618" s="29" t="n">
        <v>611.9693410318361</v>
      </c>
      <c r="AA1618" s="20" t="n">
        <v>101.727422439972</v>
      </c>
      <c r="AB1618" t="n">
        <v>0.1149353555567909</v>
      </c>
      <c r="AC1618" t="n">
        <v>92.99030517602772</v>
      </c>
      <c r="AD1618" t="n">
        <v>-46.63481612239449</v>
      </c>
    </row>
    <row r="1619">
      <c r="A1619" t="n">
        <v>1618</v>
      </c>
      <c r="B1619" t="n">
        <v>69</v>
      </c>
      <c r="C1619" s="21">
        <f>B1619-20</f>
        <v/>
      </c>
      <c r="D1619" t="n">
        <v>114.5</v>
      </c>
      <c r="E1619" s="22">
        <f>D1619-90</f>
        <v/>
      </c>
      <c r="F1619" s="23" t="n">
        <v>0.016675</v>
      </c>
      <c r="G1619" s="22" t="n">
        <v>25.6</v>
      </c>
      <c r="H1619" s="22" t="n">
        <v>1</v>
      </c>
      <c r="I1619" s="24" t="n">
        <v>0.09556017071008679</v>
      </c>
      <c r="J1619" s="6" t="n">
        <v>71000</v>
      </c>
      <c r="K1619" s="25">
        <f>23*10^-6</f>
        <v/>
      </c>
      <c r="L1619" s="8">
        <f>H1619</f>
        <v/>
      </c>
      <c r="M1619" s="26">
        <f>H1619^2/6</f>
        <v/>
      </c>
      <c r="N1619" s="26">
        <f>H1619^3/12</f>
        <v/>
      </c>
      <c r="O1619" s="27">
        <f>-J1619*L1619*K1619*C1619</f>
        <v/>
      </c>
      <c r="P1619" s="28">
        <f>-(12*F1619*J1619*L1619*N1619+12*O1619*N1619*G1619*COS(RADIANS(E1619)))/(12*N1619*G1619*COS(RADIANS(E1619))^2+L1619*G1619^3*SIN(RADIANS(E1619))^2)</f>
        <v/>
      </c>
      <c r="Q1619" s="28">
        <f>-(6*F1619*J1619*L1619*N1619*SIN(RADIANS(E1619))+6*O1619*N1619*G1619*SIN(RADIANS(E1619))*COS(RADIANS(E1619)))/(12*N1619*COS(RADIANS(E1619))^2+L1619*G1619^2*SIN(RADIANS(E1619))^2)</f>
        <v/>
      </c>
      <c r="R1619" s="28">
        <f>-P1619*SIN(RADIANS(E1619))</f>
        <v/>
      </c>
      <c r="S1619" s="8">
        <f>(O1619+P1619*COS(RADIANS(E1619)))/L1619</f>
        <v/>
      </c>
      <c r="T1619" s="8">
        <f>R1619/L1619</f>
        <v/>
      </c>
      <c r="U1619" s="8">
        <f>(Q1619-P1619*G1619*SIN(RADIANS(E1619)))/M1619</f>
        <v/>
      </c>
      <c r="V1619" s="8">
        <f>SQRT((S1619+U1619)^2+3*T1619^2)</f>
        <v/>
      </c>
      <c r="W1619" s="8">
        <f>V1619/AA1619</f>
        <v/>
      </c>
      <c r="X1619" s="27">
        <f>((3*10+H1619/COS(RADIANS(E1619)))*(3+3)+3*G1619*H1619)*2</f>
        <v/>
      </c>
      <c r="Y1619" s="28">
        <f>Z1619/X1619</f>
        <v/>
      </c>
      <c r="Z1619" s="29" t="n">
        <v>531.673040098236</v>
      </c>
      <c r="AA1619" s="20" t="n">
        <v>68.20793395973929</v>
      </c>
      <c r="AB1619" t="n">
        <v>0.1046566247667592</v>
      </c>
      <c r="AC1619" t="n">
        <v>71.96055115090719</v>
      </c>
      <c r="AD1619" t="n">
        <v>9.519085189026644</v>
      </c>
    </row>
    <row r="1620">
      <c r="A1620" t="n">
        <v>1619</v>
      </c>
      <c r="B1620" t="n">
        <v>67.5</v>
      </c>
      <c r="C1620" s="21">
        <f>B1620-20</f>
        <v/>
      </c>
      <c r="D1620" t="n">
        <v>103.2</v>
      </c>
      <c r="E1620" s="22">
        <f>D1620-90</f>
        <v/>
      </c>
      <c r="F1620" s="23" t="n">
        <v>0.017044</v>
      </c>
      <c r="G1620" s="22" t="n">
        <v>28.8</v>
      </c>
      <c r="H1620" s="22" t="n">
        <v>1.7</v>
      </c>
      <c r="I1620" s="24" t="n">
        <v>0.08267379552125929</v>
      </c>
      <c r="J1620" s="6" t="n">
        <v>71000</v>
      </c>
      <c r="K1620" s="25">
        <f>23*10^-6</f>
        <v/>
      </c>
      <c r="L1620" s="8">
        <f>H1620</f>
        <v/>
      </c>
      <c r="M1620" s="26">
        <f>H1620^2/6</f>
        <v/>
      </c>
      <c r="N1620" s="26">
        <f>H1620^3/12</f>
        <v/>
      </c>
      <c r="O1620" s="27">
        <f>-J1620*L1620*K1620*C1620</f>
        <v/>
      </c>
      <c r="P1620" s="28">
        <f>-(12*F1620*J1620*L1620*N1620+12*O1620*N1620*G1620*COS(RADIANS(E1620)))/(12*N1620*G1620*COS(RADIANS(E1620))^2+L1620*G1620^3*SIN(RADIANS(E1620))^2)</f>
        <v/>
      </c>
      <c r="Q1620" s="28">
        <f>-(6*F1620*J1620*L1620*N1620*SIN(RADIANS(E1620))+6*O1620*N1620*G1620*SIN(RADIANS(E1620))*COS(RADIANS(E1620)))/(12*N1620*COS(RADIANS(E1620))^2+L1620*G1620^2*SIN(RADIANS(E1620))^2)</f>
        <v/>
      </c>
      <c r="R1620" s="28">
        <f>-P1620*SIN(RADIANS(E1620))</f>
        <v/>
      </c>
      <c r="S1620" s="8">
        <f>(O1620+P1620*COS(RADIANS(E1620)))/L1620</f>
        <v/>
      </c>
      <c r="T1620" s="8">
        <f>R1620/L1620</f>
        <v/>
      </c>
      <c r="U1620" s="8">
        <f>(Q1620-P1620*G1620*SIN(RADIANS(E1620)))/M1620</f>
        <v/>
      </c>
      <c r="V1620" s="8">
        <f>SQRT((S1620+U1620)^2+3*T1620^2)</f>
        <v/>
      </c>
      <c r="W1620" s="8">
        <f>V1620/AA1620</f>
        <v/>
      </c>
      <c r="X1620" s="27">
        <f>((3*10+H1620/COS(RADIANS(E1620)))*(3+3)+3*G1620*H1620)*2</f>
        <v/>
      </c>
      <c r="Y1620" s="28">
        <f>Z1620/X1620</f>
        <v/>
      </c>
      <c r="Z1620" s="29" t="n">
        <v>683.386886129835</v>
      </c>
      <c r="AA1620" s="20" t="n">
        <v>74.19005169709649</v>
      </c>
      <c r="AB1620" t="n">
        <v>0.2032283976283308</v>
      </c>
      <c r="AC1620" t="n">
        <v>80.32881121558758</v>
      </c>
      <c r="AD1620" t="n">
        <v>145.8196050477341</v>
      </c>
    </row>
    <row r="1621">
      <c r="A1621" t="n">
        <v>1620</v>
      </c>
      <c r="B1621" t="n">
        <v>60</v>
      </c>
      <c r="C1621" s="21">
        <f>B1621-20</f>
        <v/>
      </c>
      <c r="D1621" t="n">
        <v>111.8</v>
      </c>
      <c r="E1621" s="22">
        <f>D1621-90</f>
        <v/>
      </c>
      <c r="F1621" s="23" t="n">
        <v>0.013142</v>
      </c>
      <c r="G1621" s="22" t="n">
        <v>29.2</v>
      </c>
      <c r="H1621" s="22" t="n">
        <v>1.6</v>
      </c>
      <c r="I1621" s="24" t="n">
        <v>0.0569647140800952</v>
      </c>
      <c r="J1621" s="6" t="n">
        <v>71000</v>
      </c>
      <c r="K1621" s="25">
        <f>23*10^-6</f>
        <v/>
      </c>
      <c r="L1621" s="8">
        <f>H1621</f>
        <v/>
      </c>
      <c r="M1621" s="26">
        <f>H1621^2/6</f>
        <v/>
      </c>
      <c r="N1621" s="26">
        <f>H1621^3/12</f>
        <v/>
      </c>
      <c r="O1621" s="27">
        <f>-J1621*L1621*K1621*C1621</f>
        <v/>
      </c>
      <c r="P1621" s="28">
        <f>-(12*F1621*J1621*L1621*N1621+12*O1621*N1621*G1621*COS(RADIANS(E1621)))/(12*N1621*G1621*COS(RADIANS(E1621))^2+L1621*G1621^3*SIN(RADIANS(E1621))^2)</f>
        <v/>
      </c>
      <c r="Q1621" s="28">
        <f>-(6*F1621*J1621*L1621*N1621*SIN(RADIANS(E1621))+6*O1621*N1621*G1621*SIN(RADIANS(E1621))*COS(RADIANS(E1621)))/(12*N1621*COS(RADIANS(E1621))^2+L1621*G1621^2*SIN(RADIANS(E1621))^2)</f>
        <v/>
      </c>
      <c r="R1621" s="28">
        <f>-P1621*SIN(RADIANS(E1621))</f>
        <v/>
      </c>
      <c r="S1621" s="8">
        <f>(O1621+P1621*COS(RADIANS(E1621)))/L1621</f>
        <v/>
      </c>
      <c r="T1621" s="8">
        <f>R1621/L1621</f>
        <v/>
      </c>
      <c r="U1621" s="8">
        <f>(Q1621-P1621*G1621*SIN(RADIANS(E1621)))/M1621</f>
        <v/>
      </c>
      <c r="V1621" s="8">
        <f>SQRT((S1621+U1621)^2+3*T1621^2)</f>
        <v/>
      </c>
      <c r="W1621" s="8">
        <f>V1621/AA1621</f>
        <v/>
      </c>
      <c r="X1621" s="27">
        <f>((3*10+H1621/COS(RADIANS(E1621)))*(3+3)+3*G1621*H1621)*2</f>
        <v/>
      </c>
      <c r="Y1621" s="28">
        <f>Z1621/X1621</f>
        <v/>
      </c>
      <c r="Z1621" s="29" t="n">
        <v>675.0304922761241</v>
      </c>
      <c r="AA1621" s="20" t="n">
        <v>58.1400716773876</v>
      </c>
      <c r="AB1621" t="n">
        <v>0.1079487945211243</v>
      </c>
      <c r="AC1621" t="n">
        <v>61.88841959469215</v>
      </c>
      <c r="AD1621" t="n">
        <v>89.50116096315857</v>
      </c>
    </row>
    <row r="1622">
      <c r="A1622" t="n">
        <v>1621</v>
      </c>
      <c r="B1622" t="n">
        <v>61.1</v>
      </c>
      <c r="C1622" s="21">
        <f>B1622-20</f>
        <v/>
      </c>
      <c r="D1622" t="n">
        <v>129.4</v>
      </c>
      <c r="E1622" s="22">
        <f>D1622-90</f>
        <v/>
      </c>
      <c r="F1622" s="23" t="n">
        <v>0.013607</v>
      </c>
      <c r="G1622" s="22" t="n">
        <v>27.6</v>
      </c>
      <c r="H1622" s="22" t="n">
        <v>1.9</v>
      </c>
      <c r="I1622" s="24" t="n">
        <v>0.061707466840744</v>
      </c>
      <c r="J1622" s="6" t="n">
        <v>71000</v>
      </c>
      <c r="K1622" s="25">
        <f>23*10^-6</f>
        <v/>
      </c>
      <c r="L1622" s="8">
        <f>H1622</f>
        <v/>
      </c>
      <c r="M1622" s="26">
        <f>H1622^2/6</f>
        <v/>
      </c>
      <c r="N1622" s="26">
        <f>H1622^3/12</f>
        <v/>
      </c>
      <c r="O1622" s="27">
        <f>-J1622*L1622*K1622*C1622</f>
        <v/>
      </c>
      <c r="P1622" s="28">
        <f>-(12*F1622*J1622*L1622*N1622+12*O1622*N1622*G1622*COS(RADIANS(E1622)))/(12*N1622*G1622*COS(RADIANS(E1622))^2+L1622*G1622^3*SIN(RADIANS(E1622))^2)</f>
        <v/>
      </c>
      <c r="Q1622" s="28">
        <f>-(6*F1622*J1622*L1622*N1622*SIN(RADIANS(E1622))+6*O1622*N1622*G1622*SIN(RADIANS(E1622))*COS(RADIANS(E1622)))/(12*N1622*COS(RADIANS(E1622))^2+L1622*G1622^2*SIN(RADIANS(E1622))^2)</f>
        <v/>
      </c>
      <c r="R1622" s="28">
        <f>-P1622*SIN(RADIANS(E1622))</f>
        <v/>
      </c>
      <c r="S1622" s="8">
        <f>(O1622+P1622*COS(RADIANS(E1622)))/L1622</f>
        <v/>
      </c>
      <c r="T1622" s="8">
        <f>R1622/L1622</f>
        <v/>
      </c>
      <c r="U1622" s="8">
        <f>(Q1622-P1622*G1622*SIN(RADIANS(E1622)))/M1622</f>
        <v/>
      </c>
      <c r="V1622" s="8">
        <f>SQRT((S1622+U1622)^2+3*T1622^2)</f>
        <v/>
      </c>
      <c r="W1622" s="8">
        <f>V1622/AA1622</f>
        <v/>
      </c>
      <c r="X1622" s="27">
        <f>((3*10+H1622/COS(RADIANS(E1622)))*(3+3)+3*G1622*H1622)*2</f>
        <v/>
      </c>
      <c r="Y1622" s="28">
        <f>Z1622/X1622</f>
        <v/>
      </c>
      <c r="Z1622" s="29" t="n">
        <v>710.131747348666</v>
      </c>
      <c r="AA1622" s="20" t="n">
        <v>65.7647830092838</v>
      </c>
      <c r="AB1622" t="n">
        <v>0.05622357409783594</v>
      </c>
      <c r="AC1622" t="n">
        <v>60.09137630283463</v>
      </c>
      <c r="AD1622" t="n">
        <v>-8.886919239548451</v>
      </c>
    </row>
    <row r="1623">
      <c r="A1623" t="n">
        <v>1622</v>
      </c>
      <c r="B1623" t="n">
        <v>73.8</v>
      </c>
      <c r="C1623" s="21">
        <f>B1623-20</f>
        <v/>
      </c>
      <c r="D1623" t="n">
        <v>109.4</v>
      </c>
      <c r="E1623" s="22">
        <f>D1623-90</f>
        <v/>
      </c>
      <c r="F1623" s="23" t="n">
        <v>0.019742</v>
      </c>
      <c r="G1623" s="22" t="n">
        <v>29.8</v>
      </c>
      <c r="H1623" s="22" t="n">
        <v>1.6</v>
      </c>
      <c r="I1623" s="24" t="n">
        <v>0.09420851618051521</v>
      </c>
      <c r="J1623" s="6" t="n">
        <v>71000</v>
      </c>
      <c r="K1623" s="25">
        <f>23*10^-6</f>
        <v/>
      </c>
      <c r="L1623" s="8">
        <f>H1623</f>
        <v/>
      </c>
      <c r="M1623" s="26">
        <f>H1623^2/6</f>
        <v/>
      </c>
      <c r="N1623" s="26">
        <f>H1623^3/12</f>
        <v/>
      </c>
      <c r="O1623" s="27">
        <f>-J1623*L1623*K1623*C1623</f>
        <v/>
      </c>
      <c r="P1623" s="28">
        <f>-(12*F1623*J1623*L1623*N1623+12*O1623*N1623*G1623*COS(RADIANS(E1623)))/(12*N1623*G1623*COS(RADIANS(E1623))^2+L1623*G1623^3*SIN(RADIANS(E1623))^2)</f>
        <v/>
      </c>
      <c r="Q1623" s="28">
        <f>-(6*F1623*J1623*L1623*N1623*SIN(RADIANS(E1623))+6*O1623*N1623*G1623*SIN(RADIANS(E1623))*COS(RADIANS(E1623)))/(12*N1623*COS(RADIANS(E1623))^2+L1623*G1623^2*SIN(RADIANS(E1623))^2)</f>
        <v/>
      </c>
      <c r="R1623" s="28">
        <f>-P1623*SIN(RADIANS(E1623))</f>
        <v/>
      </c>
      <c r="S1623" s="8">
        <f>(O1623+P1623*COS(RADIANS(E1623)))/L1623</f>
        <v/>
      </c>
      <c r="T1623" s="8">
        <f>R1623/L1623</f>
        <v/>
      </c>
      <c r="U1623" s="8">
        <f>(Q1623-P1623*G1623*SIN(RADIANS(E1623)))/M1623</f>
        <v/>
      </c>
      <c r="V1623" s="8">
        <f>SQRT((S1623+U1623)^2+3*T1623^2)</f>
        <v/>
      </c>
      <c r="W1623" s="8">
        <f>V1623/AA1623</f>
        <v/>
      </c>
      <c r="X1623" s="27">
        <f>((3*10+H1623/COS(RADIANS(E1623)))*(3+3)+3*G1623*H1623)*2</f>
        <v/>
      </c>
      <c r="Y1623" s="28">
        <f>Z1623/X1623</f>
        <v/>
      </c>
      <c r="Z1623" s="29" t="n">
        <v>674.670614812502</v>
      </c>
      <c r="AA1623" s="20" t="n">
        <v>81.73543194532751</v>
      </c>
      <c r="AB1623" t="n">
        <v>0.1663782849998604</v>
      </c>
      <c r="AC1623" t="n">
        <v>84.47976311324956</v>
      </c>
      <c r="AD1623" t="n">
        <v>76.60641706855773</v>
      </c>
    </row>
    <row r="1624">
      <c r="A1624" t="n">
        <v>1623</v>
      </c>
      <c r="B1624" t="n">
        <v>85.09999999999999</v>
      </c>
      <c r="C1624" s="21">
        <f>B1624-20</f>
        <v/>
      </c>
      <c r="D1624" t="n">
        <v>112.7</v>
      </c>
      <c r="E1624" s="22">
        <f>D1624-90</f>
        <v/>
      </c>
      <c r="F1624" s="23" t="n">
        <v>0.025149</v>
      </c>
      <c r="G1624" s="22" t="n">
        <v>32.3</v>
      </c>
      <c r="H1624" s="22" t="n">
        <v>1.6</v>
      </c>
      <c r="I1624" s="24" t="n">
        <v>0.115525633096694</v>
      </c>
      <c r="J1624" s="6" t="n">
        <v>71000</v>
      </c>
      <c r="K1624" s="25">
        <f>23*10^-6</f>
        <v/>
      </c>
      <c r="L1624" s="8">
        <f>H1624</f>
        <v/>
      </c>
      <c r="M1624" s="26">
        <f>H1624^2/6</f>
        <v/>
      </c>
      <c r="N1624" s="26">
        <f>H1624^3/12</f>
        <v/>
      </c>
      <c r="O1624" s="27">
        <f>-J1624*L1624*K1624*C1624</f>
        <v/>
      </c>
      <c r="P1624" s="28">
        <f>-(12*F1624*J1624*L1624*N1624+12*O1624*N1624*G1624*COS(RADIANS(E1624)))/(12*N1624*G1624*COS(RADIANS(E1624))^2+L1624*G1624^3*SIN(RADIANS(E1624))^2)</f>
        <v/>
      </c>
      <c r="Q1624" s="28">
        <f>-(6*F1624*J1624*L1624*N1624*SIN(RADIANS(E1624))+6*O1624*N1624*G1624*SIN(RADIANS(E1624))*COS(RADIANS(E1624)))/(12*N1624*COS(RADIANS(E1624))^2+L1624*G1624^2*SIN(RADIANS(E1624))^2)</f>
        <v/>
      </c>
      <c r="R1624" s="28">
        <f>-P1624*SIN(RADIANS(E1624))</f>
        <v/>
      </c>
      <c r="S1624" s="8">
        <f>(O1624+P1624*COS(RADIANS(E1624)))/L1624</f>
        <v/>
      </c>
      <c r="T1624" s="8">
        <f>R1624/L1624</f>
        <v/>
      </c>
      <c r="U1624" s="8">
        <f>(Q1624-P1624*G1624*SIN(RADIANS(E1624)))/M1624</f>
        <v/>
      </c>
      <c r="V1624" s="8">
        <f>SQRT((S1624+U1624)^2+3*T1624^2)</f>
        <v/>
      </c>
      <c r="W1624" s="8">
        <f>V1624/AA1624</f>
        <v/>
      </c>
      <c r="X1624" s="27">
        <f>((3*10+H1624/COS(RADIANS(E1624)))*(3+3)+3*G1624*H1624)*2</f>
        <v/>
      </c>
      <c r="Y1624" s="28">
        <f>Z1624/X1624</f>
        <v/>
      </c>
      <c r="Z1624" s="29" t="n">
        <v>699.5486335846319</v>
      </c>
      <c r="AA1624" s="20" t="n">
        <v>97.21126321904499</v>
      </c>
      <c r="AB1624" t="n">
        <v>0.1860683611275051</v>
      </c>
      <c r="AC1624" t="n">
        <v>99.34106836993665</v>
      </c>
      <c r="AD1624" t="n">
        <v>61.06240332980253</v>
      </c>
    </row>
    <row r="1625">
      <c r="A1625" t="n">
        <v>1624</v>
      </c>
      <c r="B1625" t="n">
        <v>82.40000000000001</v>
      </c>
      <c r="C1625" s="21">
        <f>B1625-20</f>
        <v/>
      </c>
      <c r="D1625" t="n">
        <v>112.8</v>
      </c>
      <c r="E1625" s="22">
        <f>D1625-90</f>
        <v/>
      </c>
      <c r="F1625" s="23" t="n">
        <v>0.019609</v>
      </c>
      <c r="G1625" s="22" t="n">
        <v>23.7</v>
      </c>
      <c r="H1625" s="22" t="n">
        <v>1.2</v>
      </c>
      <c r="I1625" s="24" t="n">
        <v>0.104502089321613</v>
      </c>
      <c r="J1625" s="6" t="n">
        <v>71000</v>
      </c>
      <c r="K1625" s="25">
        <f>23*10^-6</f>
        <v/>
      </c>
      <c r="L1625" s="8">
        <f>H1625</f>
        <v/>
      </c>
      <c r="M1625" s="26">
        <f>H1625^2/6</f>
        <v/>
      </c>
      <c r="N1625" s="26">
        <f>H1625^3/12</f>
        <v/>
      </c>
      <c r="O1625" s="27">
        <f>-J1625*L1625*K1625*C1625</f>
        <v/>
      </c>
      <c r="P1625" s="28">
        <f>-(12*F1625*J1625*L1625*N1625+12*O1625*N1625*G1625*COS(RADIANS(E1625)))/(12*N1625*G1625*COS(RADIANS(E1625))^2+L1625*G1625^3*SIN(RADIANS(E1625))^2)</f>
        <v/>
      </c>
      <c r="Q1625" s="28">
        <f>-(6*F1625*J1625*L1625*N1625*SIN(RADIANS(E1625))+6*O1625*N1625*G1625*SIN(RADIANS(E1625))*COS(RADIANS(E1625)))/(12*N1625*COS(RADIANS(E1625))^2+L1625*G1625^2*SIN(RADIANS(E1625))^2)</f>
        <v/>
      </c>
      <c r="R1625" s="28">
        <f>-P1625*SIN(RADIANS(E1625))</f>
        <v/>
      </c>
      <c r="S1625" s="8">
        <f>(O1625+P1625*COS(RADIANS(E1625)))/L1625</f>
        <v/>
      </c>
      <c r="T1625" s="8">
        <f>R1625/L1625</f>
        <v/>
      </c>
      <c r="U1625" s="8">
        <f>(Q1625-P1625*G1625*SIN(RADIANS(E1625)))/M1625</f>
        <v/>
      </c>
      <c r="V1625" s="8">
        <f>SQRT((S1625+U1625)^2+3*T1625^2)</f>
        <v/>
      </c>
      <c r="W1625" s="8">
        <f>V1625/AA1625</f>
        <v/>
      </c>
      <c r="X1625" s="27">
        <f>((3*10+H1625/COS(RADIANS(E1625)))*(3+3)+3*G1625*H1625)*2</f>
        <v/>
      </c>
      <c r="Y1625" s="28">
        <f>Z1625/X1625</f>
        <v/>
      </c>
      <c r="Z1625" s="29" t="n">
        <v>552.273227576243</v>
      </c>
      <c r="AA1625" s="20" t="n">
        <v>91.1677511593105</v>
      </c>
      <c r="AB1625" t="n">
        <v>0.1328531277475174</v>
      </c>
      <c r="AC1625" t="n">
        <v>94.36239715484507</v>
      </c>
      <c r="AD1625" t="n">
        <v>27.1296378952309</v>
      </c>
    </row>
    <row r="1626">
      <c r="A1626" t="n">
        <v>1625</v>
      </c>
      <c r="B1626" t="n">
        <v>83.3</v>
      </c>
      <c r="C1626" s="21">
        <f>B1626-20</f>
        <v/>
      </c>
      <c r="D1626" t="n">
        <v>127</v>
      </c>
      <c r="E1626" s="22">
        <f>D1626-90</f>
        <v/>
      </c>
      <c r="F1626" s="23" t="n">
        <v>0.024142</v>
      </c>
      <c r="G1626" s="22" t="n">
        <v>28.2</v>
      </c>
      <c r="H1626" s="22" t="n">
        <v>1.9</v>
      </c>
      <c r="I1626" s="24" t="n">
        <v>0.184031352400779</v>
      </c>
      <c r="J1626" s="6" t="n">
        <v>71000</v>
      </c>
      <c r="K1626" s="25">
        <f>23*10^-6</f>
        <v/>
      </c>
      <c r="L1626" s="8">
        <f>H1626</f>
        <v/>
      </c>
      <c r="M1626" s="26">
        <f>H1626^2/6</f>
        <v/>
      </c>
      <c r="N1626" s="26">
        <f>H1626^3/12</f>
        <v/>
      </c>
      <c r="O1626" s="27">
        <f>-J1626*L1626*K1626*C1626</f>
        <v/>
      </c>
      <c r="P1626" s="28">
        <f>-(12*F1626*J1626*L1626*N1626+12*O1626*N1626*G1626*COS(RADIANS(E1626)))/(12*N1626*G1626*COS(RADIANS(E1626))^2+L1626*G1626^3*SIN(RADIANS(E1626))^2)</f>
        <v/>
      </c>
      <c r="Q1626" s="28">
        <f>-(6*F1626*J1626*L1626*N1626*SIN(RADIANS(E1626))+6*O1626*N1626*G1626*SIN(RADIANS(E1626))*COS(RADIANS(E1626)))/(12*N1626*COS(RADIANS(E1626))^2+L1626*G1626^2*SIN(RADIANS(E1626))^2)</f>
        <v/>
      </c>
      <c r="R1626" s="28">
        <f>-P1626*SIN(RADIANS(E1626))</f>
        <v/>
      </c>
      <c r="S1626" s="8">
        <f>(O1626+P1626*COS(RADIANS(E1626)))/L1626</f>
        <v/>
      </c>
      <c r="T1626" s="8">
        <f>R1626/L1626</f>
        <v/>
      </c>
      <c r="U1626" s="8">
        <f>(Q1626-P1626*G1626*SIN(RADIANS(E1626)))/M1626</f>
        <v/>
      </c>
      <c r="V1626" s="8">
        <f>SQRT((S1626+U1626)^2+3*T1626^2)</f>
        <v/>
      </c>
      <c r="W1626" s="8">
        <f>V1626/AA1626</f>
        <v/>
      </c>
      <c r="X1626" s="27">
        <f>((3*10+H1626/COS(RADIANS(E1626)))*(3+3)+3*G1626*H1626)*2</f>
        <v/>
      </c>
      <c r="Y1626" s="28">
        <f>Z1626/X1626</f>
        <v/>
      </c>
      <c r="Z1626" s="29" t="n">
        <v>708.983693210861</v>
      </c>
      <c r="AA1626" s="20" t="n">
        <v>112.321160828543</v>
      </c>
      <c r="AB1626" t="n">
        <v>0.09465309613112005</v>
      </c>
      <c r="AC1626" t="n">
        <v>93.1920552804625</v>
      </c>
      <c r="AD1626" t="n">
        <v>-48.56686379993184</v>
      </c>
    </row>
    <row r="1627">
      <c r="A1627" t="n">
        <v>1626</v>
      </c>
      <c r="B1627" t="n">
        <v>82.7</v>
      </c>
      <c r="C1627" s="21">
        <f>B1627-20</f>
        <v/>
      </c>
      <c r="D1627" t="n">
        <v>126.9</v>
      </c>
      <c r="E1627" s="22">
        <f>D1627-90</f>
        <v/>
      </c>
      <c r="F1627" s="23" t="n">
        <v>0.022871</v>
      </c>
      <c r="G1627" s="22" t="n">
        <v>28</v>
      </c>
      <c r="H1627" s="22" t="n">
        <v>1.6</v>
      </c>
      <c r="I1627" s="24" t="n">
        <v>0.127075240015983</v>
      </c>
      <c r="J1627" s="6" t="n">
        <v>71000</v>
      </c>
      <c r="K1627" s="25">
        <f>23*10^-6</f>
        <v/>
      </c>
      <c r="L1627" s="8">
        <f>H1627</f>
        <v/>
      </c>
      <c r="M1627" s="26">
        <f>H1627^2/6</f>
        <v/>
      </c>
      <c r="N1627" s="26">
        <f>H1627^3/12</f>
        <v/>
      </c>
      <c r="O1627" s="27">
        <f>-J1627*L1627*K1627*C1627</f>
        <v/>
      </c>
      <c r="P1627" s="28">
        <f>-(12*F1627*J1627*L1627*N1627+12*O1627*N1627*G1627*COS(RADIANS(E1627)))/(12*N1627*G1627*COS(RADIANS(E1627))^2+L1627*G1627^3*SIN(RADIANS(E1627))^2)</f>
        <v/>
      </c>
      <c r="Q1627" s="28">
        <f>-(6*F1627*J1627*L1627*N1627*SIN(RADIANS(E1627))+6*O1627*N1627*G1627*SIN(RADIANS(E1627))*COS(RADIANS(E1627)))/(12*N1627*COS(RADIANS(E1627))^2+L1627*G1627^2*SIN(RADIANS(E1627))^2)</f>
        <v/>
      </c>
      <c r="R1627" s="28">
        <f>-P1627*SIN(RADIANS(E1627))</f>
        <v/>
      </c>
      <c r="S1627" s="8">
        <f>(O1627+P1627*COS(RADIANS(E1627)))/L1627</f>
        <v/>
      </c>
      <c r="T1627" s="8">
        <f>R1627/L1627</f>
        <v/>
      </c>
      <c r="U1627" s="8">
        <f>(Q1627-P1627*G1627*SIN(RADIANS(E1627)))/M1627</f>
        <v/>
      </c>
      <c r="V1627" s="8">
        <f>SQRT((S1627+U1627)^2+3*T1627^2)</f>
        <v/>
      </c>
      <c r="W1627" s="8">
        <f>V1627/AA1627</f>
        <v/>
      </c>
      <c r="X1627" s="27">
        <f>((3*10+H1627/COS(RADIANS(E1627)))*(3+3)+3*G1627*H1627)*2</f>
        <v/>
      </c>
      <c r="Y1627" s="28">
        <f>Z1627/X1627</f>
        <v/>
      </c>
      <c r="Z1627" s="29" t="n">
        <v>654.760995500774</v>
      </c>
      <c r="AA1627" s="20" t="n">
        <v>98.0145122350617</v>
      </c>
      <c r="AB1627" t="n">
        <v>0.09364852877590586</v>
      </c>
      <c r="AC1627" t="n">
        <v>91.13637326640514</v>
      </c>
      <c r="AD1627" t="n">
        <v>-26.30466110933402</v>
      </c>
    </row>
    <row r="1628">
      <c r="A1628" t="n">
        <v>1627</v>
      </c>
      <c r="B1628" t="n">
        <v>46.8</v>
      </c>
      <c r="C1628" s="21">
        <f>B1628-20</f>
        <v/>
      </c>
      <c r="D1628" t="n">
        <v>129.5</v>
      </c>
      <c r="E1628" s="22">
        <f>D1628-90</f>
        <v/>
      </c>
      <c r="F1628" s="23" t="n">
        <v>0.008562</v>
      </c>
      <c r="G1628" s="22" t="n">
        <v>28.5</v>
      </c>
      <c r="H1628" s="22" t="n">
        <v>1.8</v>
      </c>
      <c r="I1628" s="24" t="n">
        <v>0.0371581353247165</v>
      </c>
      <c r="J1628" s="6" t="n">
        <v>71000</v>
      </c>
      <c r="K1628" s="25">
        <f>23*10^-6</f>
        <v/>
      </c>
      <c r="L1628" s="8">
        <f>H1628</f>
        <v/>
      </c>
      <c r="M1628" s="26">
        <f>H1628^2/6</f>
        <v/>
      </c>
      <c r="N1628" s="26">
        <f>H1628^3/12</f>
        <v/>
      </c>
      <c r="O1628" s="27">
        <f>-J1628*L1628*K1628*C1628</f>
        <v/>
      </c>
      <c r="P1628" s="28">
        <f>-(12*F1628*J1628*L1628*N1628+12*O1628*N1628*G1628*COS(RADIANS(E1628)))/(12*N1628*G1628*COS(RADIANS(E1628))^2+L1628*G1628^3*SIN(RADIANS(E1628))^2)</f>
        <v/>
      </c>
      <c r="Q1628" s="28">
        <f>-(6*F1628*J1628*L1628*N1628*SIN(RADIANS(E1628))+6*O1628*N1628*G1628*SIN(RADIANS(E1628))*COS(RADIANS(E1628)))/(12*N1628*COS(RADIANS(E1628))^2+L1628*G1628^2*SIN(RADIANS(E1628))^2)</f>
        <v/>
      </c>
      <c r="R1628" s="28">
        <f>-P1628*SIN(RADIANS(E1628))</f>
        <v/>
      </c>
      <c r="S1628" s="8">
        <f>(O1628+P1628*COS(RADIANS(E1628)))/L1628</f>
        <v/>
      </c>
      <c r="T1628" s="8">
        <f>R1628/L1628</f>
        <v/>
      </c>
      <c r="U1628" s="8">
        <f>(Q1628-P1628*G1628*SIN(RADIANS(E1628)))/M1628</f>
        <v/>
      </c>
      <c r="V1628" s="8">
        <f>SQRT((S1628+U1628)^2+3*T1628^2)</f>
        <v/>
      </c>
      <c r="W1628" s="8">
        <f>V1628/AA1628</f>
        <v/>
      </c>
      <c r="X1628" s="27">
        <f>((3*10+H1628/COS(RADIANS(E1628)))*(3+3)+3*G1628*H1628)*2</f>
        <v/>
      </c>
      <c r="Y1628" s="28">
        <f>Z1628/X1628</f>
        <v/>
      </c>
      <c r="Z1628" s="29" t="n">
        <v>706.244912917191</v>
      </c>
      <c r="AA1628" s="20" t="n">
        <v>40.7369711002049</v>
      </c>
      <c r="AB1628" t="n">
        <v>0.0377297283865275</v>
      </c>
      <c r="AC1628" t="n">
        <v>38.95435286240735</v>
      </c>
      <c r="AD1628" t="n">
        <v>1.538271651190193</v>
      </c>
    </row>
    <row r="1629">
      <c r="A1629" t="n">
        <v>1628</v>
      </c>
      <c r="B1629" t="n">
        <v>68</v>
      </c>
      <c r="C1629" s="21">
        <f>B1629-20</f>
        <v/>
      </c>
      <c r="D1629" t="n">
        <v>129.5</v>
      </c>
      <c r="E1629" s="22">
        <f>D1629-90</f>
        <v/>
      </c>
      <c r="F1629" s="23" t="n">
        <v>0.019645</v>
      </c>
      <c r="G1629" s="22" t="n">
        <v>31.7</v>
      </c>
      <c r="H1629" s="22" t="n">
        <v>1.6</v>
      </c>
      <c r="I1629" s="24" t="n">
        <v>0.115822479128837</v>
      </c>
      <c r="J1629" s="6" t="n">
        <v>71000</v>
      </c>
      <c r="K1629" s="25">
        <f>23*10^-6</f>
        <v/>
      </c>
      <c r="L1629" s="8">
        <f>H1629</f>
        <v/>
      </c>
      <c r="M1629" s="26">
        <f>H1629^2/6</f>
        <v/>
      </c>
      <c r="N1629" s="26">
        <f>H1629^3/12</f>
        <v/>
      </c>
      <c r="O1629" s="27">
        <f>-J1629*L1629*K1629*C1629</f>
        <v/>
      </c>
      <c r="P1629" s="28">
        <f>-(12*F1629*J1629*L1629*N1629+12*O1629*N1629*G1629*COS(RADIANS(E1629)))/(12*N1629*G1629*COS(RADIANS(E1629))^2+L1629*G1629^3*SIN(RADIANS(E1629))^2)</f>
        <v/>
      </c>
      <c r="Q1629" s="28">
        <f>-(6*F1629*J1629*L1629*N1629*SIN(RADIANS(E1629))+6*O1629*N1629*G1629*SIN(RADIANS(E1629))*COS(RADIANS(E1629)))/(12*N1629*COS(RADIANS(E1629))^2+L1629*G1629^2*SIN(RADIANS(E1629))^2)</f>
        <v/>
      </c>
      <c r="R1629" s="28">
        <f>-P1629*SIN(RADIANS(E1629))</f>
        <v/>
      </c>
      <c r="S1629" s="8">
        <f>(O1629+P1629*COS(RADIANS(E1629)))/L1629</f>
        <v/>
      </c>
      <c r="T1629" s="8">
        <f>R1629/L1629</f>
        <v/>
      </c>
      <c r="U1629" s="8">
        <f>(Q1629-P1629*G1629*SIN(RADIANS(E1629)))/M1629</f>
        <v/>
      </c>
      <c r="V1629" s="8">
        <f>SQRT((S1629+U1629)^2+3*T1629^2)</f>
        <v/>
      </c>
      <c r="W1629" s="8">
        <f>V1629/AA1629</f>
        <v/>
      </c>
      <c r="X1629" s="27">
        <f>((3*10+H1629/COS(RADIANS(E1629)))*(3+3)+3*G1629*H1629)*2</f>
        <v/>
      </c>
      <c r="Y1629" s="28">
        <f>Z1629/X1629</f>
        <v/>
      </c>
      <c r="Z1629" s="29" t="n">
        <v>689.554055866065</v>
      </c>
      <c r="AA1629" s="20" t="n">
        <v>75.13464866022061</v>
      </c>
      <c r="AB1629" t="n">
        <v>0.0749071950869333</v>
      </c>
      <c r="AC1629" t="n">
        <v>68.89364872748455</v>
      </c>
      <c r="AD1629" t="n">
        <v>-35.32585759659912</v>
      </c>
    </row>
    <row r="1630">
      <c r="A1630" t="n">
        <v>1629</v>
      </c>
      <c r="B1630" t="n">
        <v>71.59999999999999</v>
      </c>
      <c r="C1630" s="21">
        <f>B1630-20</f>
        <v/>
      </c>
      <c r="D1630" t="n">
        <v>104.5</v>
      </c>
      <c r="E1630" s="22">
        <f>D1630-90</f>
        <v/>
      </c>
      <c r="F1630" s="23" t="n">
        <v>0.015902</v>
      </c>
      <c r="G1630" s="22" t="n">
        <v>22.8</v>
      </c>
      <c r="H1630" s="22" t="n">
        <v>1.3</v>
      </c>
      <c r="I1630" s="24" t="n">
        <v>0.0888847336173057</v>
      </c>
      <c r="J1630" s="6" t="n">
        <v>71000</v>
      </c>
      <c r="K1630" s="25">
        <f>23*10^-6</f>
        <v/>
      </c>
      <c r="L1630" s="8">
        <f>H1630</f>
        <v/>
      </c>
      <c r="M1630" s="26">
        <f>H1630^2/6</f>
        <v/>
      </c>
      <c r="N1630" s="26">
        <f>H1630^3/12</f>
        <v/>
      </c>
      <c r="O1630" s="27">
        <f>-J1630*L1630*K1630*C1630</f>
        <v/>
      </c>
      <c r="P1630" s="28">
        <f>-(12*F1630*J1630*L1630*N1630+12*O1630*N1630*G1630*COS(RADIANS(E1630)))/(12*N1630*G1630*COS(RADIANS(E1630))^2+L1630*G1630^3*SIN(RADIANS(E1630))^2)</f>
        <v/>
      </c>
      <c r="Q1630" s="28">
        <f>-(6*F1630*J1630*L1630*N1630*SIN(RADIANS(E1630))+6*O1630*N1630*G1630*SIN(RADIANS(E1630))*COS(RADIANS(E1630)))/(12*N1630*COS(RADIANS(E1630))^2+L1630*G1630^2*SIN(RADIANS(E1630))^2)</f>
        <v/>
      </c>
      <c r="R1630" s="28">
        <f>-P1630*SIN(RADIANS(E1630))</f>
        <v/>
      </c>
      <c r="S1630" s="8">
        <f>(O1630+P1630*COS(RADIANS(E1630)))/L1630</f>
        <v/>
      </c>
      <c r="T1630" s="8">
        <f>R1630/L1630</f>
        <v/>
      </c>
      <c r="U1630" s="8">
        <f>(Q1630-P1630*G1630*SIN(RADIANS(E1630)))/M1630</f>
        <v/>
      </c>
      <c r="V1630" s="8">
        <f>SQRT((S1630+U1630)^2+3*T1630^2)</f>
        <v/>
      </c>
      <c r="W1630" s="8">
        <f>V1630/AA1630</f>
        <v/>
      </c>
      <c r="X1630" s="27">
        <f>((3*10+H1630/COS(RADIANS(E1630)))*(3+3)+3*G1630*H1630)*2</f>
        <v/>
      </c>
      <c r="Y1630" s="28">
        <f>Z1630/X1630</f>
        <v/>
      </c>
      <c r="Z1630" s="29" t="n">
        <v>560.198686304797</v>
      </c>
      <c r="AA1630" s="20" t="n">
        <v>77.4383501135087</v>
      </c>
      <c r="AB1630" t="n">
        <v>0.1637597221279593</v>
      </c>
      <c r="AC1630" t="n">
        <v>84.27702970258329</v>
      </c>
      <c r="AD1630" t="n">
        <v>84.23829994589254</v>
      </c>
    </row>
    <row r="1631">
      <c r="A1631" t="n">
        <v>1630</v>
      </c>
      <c r="B1631" t="n">
        <v>70.90000000000001</v>
      </c>
      <c r="C1631" s="21">
        <f>B1631-20</f>
        <v/>
      </c>
      <c r="D1631" t="n">
        <v>103.9</v>
      </c>
      <c r="E1631" s="22">
        <f>D1631-90</f>
        <v/>
      </c>
      <c r="F1631" s="23" t="n">
        <v>0.016801</v>
      </c>
      <c r="G1631" s="22" t="n">
        <v>24.9</v>
      </c>
      <c r="H1631" s="22" t="n">
        <v>1.4</v>
      </c>
      <c r="I1631" s="24" t="n">
        <v>0.0924617201089859</v>
      </c>
      <c r="J1631" s="6" t="n">
        <v>71000</v>
      </c>
      <c r="K1631" s="25">
        <f>23*10^-6</f>
        <v/>
      </c>
      <c r="L1631" s="8">
        <f>H1631</f>
        <v/>
      </c>
      <c r="M1631" s="26">
        <f>H1631^2/6</f>
        <v/>
      </c>
      <c r="N1631" s="26">
        <f>H1631^3/12</f>
        <v/>
      </c>
      <c r="O1631" s="27">
        <f>-J1631*L1631*K1631*C1631</f>
        <v/>
      </c>
      <c r="P1631" s="28">
        <f>-(12*F1631*J1631*L1631*N1631+12*O1631*N1631*G1631*COS(RADIANS(E1631)))/(12*N1631*G1631*COS(RADIANS(E1631))^2+L1631*G1631^3*SIN(RADIANS(E1631))^2)</f>
        <v/>
      </c>
      <c r="Q1631" s="28">
        <f>-(6*F1631*J1631*L1631*N1631*SIN(RADIANS(E1631))+6*O1631*N1631*G1631*SIN(RADIANS(E1631))*COS(RADIANS(E1631)))/(12*N1631*COS(RADIANS(E1631))^2+L1631*G1631^2*SIN(RADIANS(E1631))^2)</f>
        <v/>
      </c>
      <c r="R1631" s="28">
        <f>-P1631*SIN(RADIANS(E1631))</f>
        <v/>
      </c>
      <c r="S1631" s="8">
        <f>(O1631+P1631*COS(RADIANS(E1631)))/L1631</f>
        <v/>
      </c>
      <c r="T1631" s="8">
        <f>R1631/L1631</f>
        <v/>
      </c>
      <c r="U1631" s="8">
        <f>(Q1631-P1631*G1631*SIN(RADIANS(E1631)))/M1631</f>
        <v/>
      </c>
      <c r="V1631" s="8">
        <f>SQRT((S1631+U1631)^2+3*T1631^2)</f>
        <v/>
      </c>
      <c r="W1631" s="8">
        <f>V1631/AA1631</f>
        <v/>
      </c>
      <c r="X1631" s="27">
        <f>((3*10+H1631/COS(RADIANS(E1631)))*(3+3)+3*G1631*H1631)*2</f>
        <v/>
      </c>
      <c r="Y1631" s="28">
        <f>Z1631/X1631</f>
        <v/>
      </c>
      <c r="Z1631" s="29" t="n">
        <v>592.851825333375</v>
      </c>
      <c r="AA1631" s="20" t="n">
        <v>77.534208941068</v>
      </c>
      <c r="AB1631" t="n">
        <v>0.1824460601186218</v>
      </c>
      <c r="AC1631" t="n">
        <v>83.98267456384808</v>
      </c>
      <c r="AD1631" t="n">
        <v>97.32064242755828</v>
      </c>
    </row>
    <row r="1632">
      <c r="A1632" t="n">
        <v>1631</v>
      </c>
      <c r="B1632" t="n">
        <v>77.59999999999999</v>
      </c>
      <c r="C1632" s="21">
        <f>B1632-20</f>
        <v/>
      </c>
      <c r="D1632" t="n">
        <v>102.4</v>
      </c>
      <c r="E1632" s="22">
        <f>D1632-90</f>
        <v/>
      </c>
      <c r="F1632" s="23" t="n">
        <v>0.021508</v>
      </c>
      <c r="G1632" s="22" t="n">
        <v>33.5</v>
      </c>
      <c r="H1632" s="22" t="n">
        <v>1.6</v>
      </c>
      <c r="I1632" s="24" t="n">
        <v>0.09218732267618179</v>
      </c>
      <c r="J1632" s="6" t="n">
        <v>71000</v>
      </c>
      <c r="K1632" s="25">
        <f>23*10^-6</f>
        <v/>
      </c>
      <c r="L1632" s="8">
        <f>H1632</f>
        <v/>
      </c>
      <c r="M1632" s="26">
        <f>H1632^2/6</f>
        <v/>
      </c>
      <c r="N1632" s="26">
        <f>H1632^3/12</f>
        <v/>
      </c>
      <c r="O1632" s="27">
        <f>-J1632*L1632*K1632*C1632</f>
        <v/>
      </c>
      <c r="P1632" s="28">
        <f>-(12*F1632*J1632*L1632*N1632+12*O1632*N1632*G1632*COS(RADIANS(E1632)))/(12*N1632*G1632*COS(RADIANS(E1632))^2+L1632*G1632^3*SIN(RADIANS(E1632))^2)</f>
        <v/>
      </c>
      <c r="Q1632" s="28">
        <f>-(6*F1632*J1632*L1632*N1632*SIN(RADIANS(E1632))+6*O1632*N1632*G1632*SIN(RADIANS(E1632))*COS(RADIANS(E1632)))/(12*N1632*COS(RADIANS(E1632))^2+L1632*G1632^2*SIN(RADIANS(E1632))^2)</f>
        <v/>
      </c>
      <c r="R1632" s="28">
        <f>-P1632*SIN(RADIANS(E1632))</f>
        <v/>
      </c>
      <c r="S1632" s="8">
        <f>(O1632+P1632*COS(RADIANS(E1632)))/L1632</f>
        <v/>
      </c>
      <c r="T1632" s="8">
        <f>R1632/L1632</f>
        <v/>
      </c>
      <c r="U1632" s="8">
        <f>(Q1632-P1632*G1632*SIN(RADIANS(E1632)))/M1632</f>
        <v/>
      </c>
      <c r="V1632" s="8">
        <f>SQRT((S1632+U1632)^2+3*T1632^2)</f>
        <v/>
      </c>
      <c r="W1632" s="8">
        <f>V1632/AA1632</f>
        <v/>
      </c>
      <c r="X1632" s="27">
        <f>((3*10+H1632/COS(RADIANS(E1632)))*(3+3)+3*G1632*H1632)*2</f>
        <v/>
      </c>
      <c r="Y1632" s="28">
        <f>Z1632/X1632</f>
        <v/>
      </c>
      <c r="Z1632" s="29" t="n">
        <v>715.125889817991</v>
      </c>
      <c r="AA1632" s="20" t="n">
        <v>83.68730752465081</v>
      </c>
      <c r="AB1632" t="n">
        <v>0.3075362099174867</v>
      </c>
      <c r="AC1632" t="n">
        <v>95.82982024003243</v>
      </c>
      <c r="AD1632" t="n">
        <v>233.5992422708075</v>
      </c>
    </row>
    <row r="1633">
      <c r="A1633" t="n">
        <v>1632</v>
      </c>
      <c r="B1633" t="n">
        <v>64</v>
      </c>
      <c r="C1633" s="21">
        <f>B1633-20</f>
        <v/>
      </c>
      <c r="D1633" t="n">
        <v>103.2</v>
      </c>
      <c r="E1633" s="22">
        <f>D1633-90</f>
        <v/>
      </c>
      <c r="F1633" s="23" t="n">
        <v>0.015845</v>
      </c>
      <c r="G1633" s="22" t="n">
        <v>32</v>
      </c>
      <c r="H1633" s="22" t="n">
        <v>1.8</v>
      </c>
      <c r="I1633" s="24" t="n">
        <v>0.0684535577893257</v>
      </c>
      <c r="J1633" s="6" t="n">
        <v>71000</v>
      </c>
      <c r="K1633" s="25">
        <f>23*10^-6</f>
        <v/>
      </c>
      <c r="L1633" s="8">
        <f>H1633</f>
        <v/>
      </c>
      <c r="M1633" s="26">
        <f>H1633^2/6</f>
        <v/>
      </c>
      <c r="N1633" s="26">
        <f>H1633^3/12</f>
        <v/>
      </c>
      <c r="O1633" s="27">
        <f>-J1633*L1633*K1633*C1633</f>
        <v/>
      </c>
      <c r="P1633" s="28">
        <f>-(12*F1633*J1633*L1633*N1633+12*O1633*N1633*G1633*COS(RADIANS(E1633)))/(12*N1633*G1633*COS(RADIANS(E1633))^2+L1633*G1633^3*SIN(RADIANS(E1633))^2)</f>
        <v/>
      </c>
      <c r="Q1633" s="28">
        <f>-(6*F1633*J1633*L1633*N1633*SIN(RADIANS(E1633))+6*O1633*N1633*G1633*SIN(RADIANS(E1633))*COS(RADIANS(E1633)))/(12*N1633*COS(RADIANS(E1633))^2+L1633*G1633^2*SIN(RADIANS(E1633))^2)</f>
        <v/>
      </c>
      <c r="R1633" s="28">
        <f>-P1633*SIN(RADIANS(E1633))</f>
        <v/>
      </c>
      <c r="S1633" s="8">
        <f>(O1633+P1633*COS(RADIANS(E1633)))/L1633</f>
        <v/>
      </c>
      <c r="T1633" s="8">
        <f>R1633/L1633</f>
        <v/>
      </c>
      <c r="U1633" s="8">
        <f>(Q1633-P1633*G1633*SIN(RADIANS(E1633)))/M1633</f>
        <v/>
      </c>
      <c r="V1633" s="8">
        <f>SQRT((S1633+U1633)^2+3*T1633^2)</f>
        <v/>
      </c>
      <c r="W1633" s="8">
        <f>V1633/AA1633</f>
        <v/>
      </c>
      <c r="X1633" s="27">
        <f>((3*10+H1633/COS(RADIANS(E1633)))*(3+3)+3*G1633*H1633)*2</f>
        <v/>
      </c>
      <c r="Y1633" s="28">
        <f>Z1633/X1633</f>
        <v/>
      </c>
      <c r="Z1633" s="29" t="n">
        <v>742.056106328327</v>
      </c>
      <c r="AA1633" s="20" t="n">
        <v>67.30152137350009</v>
      </c>
      <c r="AB1633" t="n">
        <v>0.2090026406072356</v>
      </c>
      <c r="AC1633" t="n">
        <v>74.22497151840381</v>
      </c>
      <c r="AD1633" t="n">
        <v>205.3203476296544</v>
      </c>
    </row>
    <row r="1634">
      <c r="A1634" t="n">
        <v>1633</v>
      </c>
      <c r="B1634" t="n">
        <v>57.8</v>
      </c>
      <c r="C1634" s="21">
        <f>B1634-20</f>
        <v/>
      </c>
      <c r="D1634" t="n">
        <v>114.9</v>
      </c>
      <c r="E1634" s="22">
        <f>D1634-90</f>
        <v/>
      </c>
      <c r="F1634" s="23" t="n">
        <v>0.011696</v>
      </c>
      <c r="G1634" s="22" t="n">
        <v>27.4</v>
      </c>
      <c r="H1634" s="22" t="n">
        <v>1.2</v>
      </c>
      <c r="I1634" s="24" t="n">
        <v>0.0508765876293182</v>
      </c>
      <c r="J1634" s="6" t="n">
        <v>71000</v>
      </c>
      <c r="K1634" s="25">
        <f>23*10^-6</f>
        <v/>
      </c>
      <c r="L1634" s="8">
        <f>H1634</f>
        <v/>
      </c>
      <c r="M1634" s="26">
        <f>H1634^2/6</f>
        <v/>
      </c>
      <c r="N1634" s="26">
        <f>H1634^3/12</f>
        <v/>
      </c>
      <c r="O1634" s="27">
        <f>-J1634*L1634*K1634*C1634</f>
        <v/>
      </c>
      <c r="P1634" s="28">
        <f>-(12*F1634*J1634*L1634*N1634+12*O1634*N1634*G1634*COS(RADIANS(E1634)))/(12*N1634*G1634*COS(RADIANS(E1634))^2+L1634*G1634^3*SIN(RADIANS(E1634))^2)</f>
        <v/>
      </c>
      <c r="Q1634" s="28">
        <f>-(6*F1634*J1634*L1634*N1634*SIN(RADIANS(E1634))+6*O1634*N1634*G1634*SIN(RADIANS(E1634))*COS(RADIANS(E1634)))/(12*N1634*COS(RADIANS(E1634))^2+L1634*G1634^2*SIN(RADIANS(E1634))^2)</f>
        <v/>
      </c>
      <c r="R1634" s="28">
        <f>-P1634*SIN(RADIANS(E1634))</f>
        <v/>
      </c>
      <c r="S1634" s="8">
        <f>(O1634+P1634*COS(RADIANS(E1634)))/L1634</f>
        <v/>
      </c>
      <c r="T1634" s="8">
        <f>R1634/L1634</f>
        <v/>
      </c>
      <c r="U1634" s="8">
        <f>(Q1634-P1634*G1634*SIN(RADIANS(E1634)))/M1634</f>
        <v/>
      </c>
      <c r="V1634" s="8">
        <f>SQRT((S1634+U1634)^2+3*T1634^2)</f>
        <v/>
      </c>
      <c r="W1634" s="8">
        <f>V1634/AA1634</f>
        <v/>
      </c>
      <c r="X1634" s="27">
        <f>((3*10+H1634/COS(RADIANS(E1634)))*(3+3)+3*G1634*H1634)*2</f>
        <v/>
      </c>
      <c r="Y1634" s="28">
        <f>Z1634/X1634</f>
        <v/>
      </c>
      <c r="Z1634" s="29" t="n">
        <v>586.478762361846</v>
      </c>
      <c r="AA1634" s="20" t="n">
        <v>50.9068721748382</v>
      </c>
      <c r="AB1634" t="n">
        <v>0.08441409452749682</v>
      </c>
      <c r="AC1634" t="n">
        <v>56.07714197375948</v>
      </c>
      <c r="AD1634" t="n">
        <v>65.91933237057796</v>
      </c>
    </row>
    <row r="1635">
      <c r="A1635" t="n">
        <v>1634</v>
      </c>
      <c r="B1635" t="n">
        <v>73.2</v>
      </c>
      <c r="C1635" s="21">
        <f>B1635-20</f>
        <v/>
      </c>
      <c r="D1635" t="n">
        <v>114.9</v>
      </c>
      <c r="E1635" s="22">
        <f>D1635-90</f>
        <v/>
      </c>
      <c r="F1635" s="23" t="n">
        <v>0.018099</v>
      </c>
      <c r="G1635" s="22" t="n">
        <v>30.9</v>
      </c>
      <c r="H1635" s="22" t="n">
        <v>1.8</v>
      </c>
      <c r="I1635" s="24" t="n">
        <v>0.07764255255460729</v>
      </c>
      <c r="J1635" s="6" t="n">
        <v>71000</v>
      </c>
      <c r="K1635" s="25">
        <f>23*10^-6</f>
        <v/>
      </c>
      <c r="L1635" s="8">
        <f>H1635</f>
        <v/>
      </c>
      <c r="M1635" s="26">
        <f>H1635^2/6</f>
        <v/>
      </c>
      <c r="N1635" s="26">
        <f>H1635^3/12</f>
        <v/>
      </c>
      <c r="O1635" s="27">
        <f>-J1635*L1635*K1635*C1635</f>
        <v/>
      </c>
      <c r="P1635" s="28">
        <f>-(12*F1635*J1635*L1635*N1635+12*O1635*N1635*G1635*COS(RADIANS(E1635)))/(12*N1635*G1635*COS(RADIANS(E1635))^2+L1635*G1635^3*SIN(RADIANS(E1635))^2)</f>
        <v/>
      </c>
      <c r="Q1635" s="28">
        <f>-(6*F1635*J1635*L1635*N1635*SIN(RADIANS(E1635))+6*O1635*N1635*G1635*SIN(RADIANS(E1635))*COS(RADIANS(E1635)))/(12*N1635*COS(RADIANS(E1635))^2+L1635*G1635^2*SIN(RADIANS(E1635))^2)</f>
        <v/>
      </c>
      <c r="R1635" s="28">
        <f>-P1635*SIN(RADIANS(E1635))</f>
        <v/>
      </c>
      <c r="S1635" s="8">
        <f>(O1635+P1635*COS(RADIANS(E1635)))/L1635</f>
        <v/>
      </c>
      <c r="T1635" s="8">
        <f>R1635/L1635</f>
        <v/>
      </c>
      <c r="U1635" s="8">
        <f>(Q1635-P1635*G1635*SIN(RADIANS(E1635)))/M1635</f>
        <v/>
      </c>
      <c r="V1635" s="8">
        <f>SQRT((S1635+U1635)^2+3*T1635^2)</f>
        <v/>
      </c>
      <c r="W1635" s="8">
        <f>V1635/AA1635</f>
        <v/>
      </c>
      <c r="X1635" s="27">
        <f>((3*10+H1635/COS(RADIANS(E1635)))*(3+3)+3*G1635*H1635)*2</f>
        <v/>
      </c>
      <c r="Y1635" s="28">
        <f>Z1635/X1635</f>
        <v/>
      </c>
      <c r="Z1635" s="29" t="n">
        <v>732.249724794886</v>
      </c>
      <c r="AA1635" s="20" t="n">
        <v>80.10133167776461</v>
      </c>
      <c r="AB1635" t="n">
        <v>0.132029186190018</v>
      </c>
      <c r="AC1635" t="n">
        <v>81.56065787928196</v>
      </c>
      <c r="AD1635" t="n">
        <v>70.04745702707254</v>
      </c>
    </row>
    <row r="1636">
      <c r="A1636" t="n">
        <v>1635</v>
      </c>
      <c r="B1636" t="n">
        <v>90</v>
      </c>
      <c r="C1636" s="21">
        <f>B1636-20</f>
        <v/>
      </c>
      <c r="D1636" t="n">
        <v>101.4</v>
      </c>
      <c r="E1636" s="22">
        <f>D1636-90</f>
        <v/>
      </c>
      <c r="F1636" s="23" t="n">
        <v>0.027811</v>
      </c>
      <c r="G1636" s="22" t="n">
        <v>29.8</v>
      </c>
      <c r="H1636" s="22" t="n">
        <v>1.8</v>
      </c>
      <c r="I1636" s="24" t="n">
        <v>0.199814975261688</v>
      </c>
      <c r="J1636" s="6" t="n">
        <v>71000</v>
      </c>
      <c r="K1636" s="25">
        <f>23*10^-6</f>
        <v/>
      </c>
      <c r="L1636" s="8">
        <f>H1636</f>
        <v/>
      </c>
      <c r="M1636" s="26">
        <f>H1636^2/6</f>
        <v/>
      </c>
      <c r="N1636" s="26">
        <f>H1636^3/12</f>
        <v/>
      </c>
      <c r="O1636" s="27">
        <f>-J1636*L1636*K1636*C1636</f>
        <v/>
      </c>
      <c r="P1636" s="28">
        <f>-(12*F1636*J1636*L1636*N1636+12*O1636*N1636*G1636*COS(RADIANS(E1636)))/(12*N1636*G1636*COS(RADIANS(E1636))^2+L1636*G1636^3*SIN(RADIANS(E1636))^2)</f>
        <v/>
      </c>
      <c r="Q1636" s="28">
        <f>-(6*F1636*J1636*L1636*N1636*SIN(RADIANS(E1636))+6*O1636*N1636*G1636*SIN(RADIANS(E1636))*COS(RADIANS(E1636)))/(12*N1636*COS(RADIANS(E1636))^2+L1636*G1636^2*SIN(RADIANS(E1636))^2)</f>
        <v/>
      </c>
      <c r="R1636" s="28">
        <f>-P1636*SIN(RADIANS(E1636))</f>
        <v/>
      </c>
      <c r="S1636" s="8">
        <f>(O1636+P1636*COS(RADIANS(E1636)))/L1636</f>
        <v/>
      </c>
      <c r="T1636" s="8">
        <f>R1636/L1636</f>
        <v/>
      </c>
      <c r="U1636" s="8">
        <f>(Q1636-P1636*G1636*SIN(RADIANS(E1636)))/M1636</f>
        <v/>
      </c>
      <c r="V1636" s="8">
        <f>SQRT((S1636+U1636)^2+3*T1636^2)</f>
        <v/>
      </c>
      <c r="W1636" s="8">
        <f>V1636/AA1636</f>
        <v/>
      </c>
      <c r="X1636" s="27">
        <f>((3*10+H1636/COS(RADIANS(E1636)))*(3+3)+3*G1636*H1636)*2</f>
        <v/>
      </c>
      <c r="Y1636" s="28">
        <f>Z1636/X1636</f>
        <v/>
      </c>
      <c r="Z1636" s="29" t="n">
        <v>708.373883621856</v>
      </c>
      <c r="AA1636" s="20" t="n">
        <v>118.019636690676</v>
      </c>
      <c r="AB1636" t="n">
        <v>0.350158733165516</v>
      </c>
      <c r="AC1636" t="n">
        <v>122.1181802092594</v>
      </c>
      <c r="AD1636" t="n">
        <v>75.2414866337871</v>
      </c>
    </row>
    <row r="1637">
      <c r="A1637" t="n">
        <v>1636</v>
      </c>
      <c r="B1637" t="n">
        <v>76.5</v>
      </c>
      <c r="C1637" s="21">
        <f>B1637-20</f>
        <v/>
      </c>
      <c r="D1637" t="n">
        <v>100.7</v>
      </c>
      <c r="E1637" s="22">
        <f>D1637-90</f>
        <v/>
      </c>
      <c r="F1637" s="23" t="n">
        <v>0.021746</v>
      </c>
      <c r="G1637" s="22" t="n">
        <v>28.6</v>
      </c>
      <c r="H1637" s="22" t="n">
        <v>1.5</v>
      </c>
      <c r="I1637" s="24" t="n">
        <v>0.163260832428932</v>
      </c>
      <c r="J1637" s="6" t="n">
        <v>71000</v>
      </c>
      <c r="K1637" s="25">
        <f>23*10^-6</f>
        <v/>
      </c>
      <c r="L1637" s="8">
        <f>H1637</f>
        <v/>
      </c>
      <c r="M1637" s="26">
        <f>H1637^2/6</f>
        <v/>
      </c>
      <c r="N1637" s="26">
        <f>H1637^3/12</f>
        <v/>
      </c>
      <c r="O1637" s="27">
        <f>-J1637*L1637*K1637*C1637</f>
        <v/>
      </c>
      <c r="P1637" s="28">
        <f>-(12*F1637*J1637*L1637*N1637+12*O1637*N1637*G1637*COS(RADIANS(E1637)))/(12*N1637*G1637*COS(RADIANS(E1637))^2+L1637*G1637^3*SIN(RADIANS(E1637))^2)</f>
        <v/>
      </c>
      <c r="Q1637" s="28">
        <f>-(6*F1637*J1637*L1637*N1637*SIN(RADIANS(E1637))+6*O1637*N1637*G1637*SIN(RADIANS(E1637))*COS(RADIANS(E1637)))/(12*N1637*COS(RADIANS(E1637))^2+L1637*G1637^2*SIN(RADIANS(E1637))^2)</f>
        <v/>
      </c>
      <c r="R1637" s="28">
        <f>-P1637*SIN(RADIANS(E1637))</f>
        <v/>
      </c>
      <c r="S1637" s="8">
        <f>(O1637+P1637*COS(RADIANS(E1637)))/L1637</f>
        <v/>
      </c>
      <c r="T1637" s="8">
        <f>R1637/L1637</f>
        <v/>
      </c>
      <c r="U1637" s="8">
        <f>(Q1637-P1637*G1637*SIN(RADIANS(E1637)))/M1637</f>
        <v/>
      </c>
      <c r="V1637" s="8">
        <f>SQRT((S1637+U1637)^2+3*T1637^2)</f>
        <v/>
      </c>
      <c r="W1637" s="8">
        <f>V1637/AA1637</f>
        <v/>
      </c>
      <c r="X1637" s="27">
        <f>((3*10+H1637/COS(RADIANS(E1637)))*(3+3)+3*G1637*H1637)*2</f>
        <v/>
      </c>
      <c r="Y1637" s="28">
        <f>Z1637/X1637</f>
        <v/>
      </c>
      <c r="Z1637" s="29" t="n">
        <v>640.100639678612</v>
      </c>
      <c r="AA1637" s="20" t="n">
        <v>89.7864265407777</v>
      </c>
      <c r="AB1637" t="n">
        <v>0.2934918371865183</v>
      </c>
      <c r="AC1637" t="n">
        <v>97.10743267853077</v>
      </c>
      <c r="AD1637" t="n">
        <v>79.76867618525488</v>
      </c>
    </row>
    <row r="1638">
      <c r="A1638" t="n">
        <v>1637</v>
      </c>
      <c r="B1638" t="n">
        <v>66.59999999999999</v>
      </c>
      <c r="C1638" s="21">
        <f>B1638-20</f>
        <v/>
      </c>
      <c r="D1638" t="n">
        <v>109.5</v>
      </c>
      <c r="E1638" s="22">
        <f>D1638-90</f>
        <v/>
      </c>
      <c r="F1638" s="23" t="n">
        <v>0.016574</v>
      </c>
      <c r="G1638" s="22" t="n">
        <v>25.8</v>
      </c>
      <c r="H1638" s="22" t="n">
        <v>2</v>
      </c>
      <c r="I1638" s="24" t="n">
        <v>0.130066350102424</v>
      </c>
      <c r="J1638" s="6" t="n">
        <v>71000</v>
      </c>
      <c r="K1638" s="25">
        <f>23*10^-6</f>
        <v/>
      </c>
      <c r="L1638" s="8">
        <f>H1638</f>
        <v/>
      </c>
      <c r="M1638" s="26">
        <f>H1638^2/6</f>
        <v/>
      </c>
      <c r="N1638" s="26">
        <f>H1638^3/12</f>
        <v/>
      </c>
      <c r="O1638" s="27">
        <f>-J1638*L1638*K1638*C1638</f>
        <v/>
      </c>
      <c r="P1638" s="28">
        <f>-(12*F1638*J1638*L1638*N1638+12*O1638*N1638*G1638*COS(RADIANS(E1638)))/(12*N1638*G1638*COS(RADIANS(E1638))^2+L1638*G1638^3*SIN(RADIANS(E1638))^2)</f>
        <v/>
      </c>
      <c r="Q1638" s="28">
        <f>-(6*F1638*J1638*L1638*N1638*SIN(RADIANS(E1638))+6*O1638*N1638*G1638*SIN(RADIANS(E1638))*COS(RADIANS(E1638)))/(12*N1638*COS(RADIANS(E1638))^2+L1638*G1638^2*SIN(RADIANS(E1638))^2)</f>
        <v/>
      </c>
      <c r="R1638" s="28">
        <f>-P1638*SIN(RADIANS(E1638))</f>
        <v/>
      </c>
      <c r="S1638" s="8">
        <f>(O1638+P1638*COS(RADIANS(E1638)))/L1638</f>
        <v/>
      </c>
      <c r="T1638" s="8">
        <f>R1638/L1638</f>
        <v/>
      </c>
      <c r="U1638" s="8">
        <f>(Q1638-P1638*G1638*SIN(RADIANS(E1638)))/M1638</f>
        <v/>
      </c>
      <c r="V1638" s="8">
        <f>SQRT((S1638+U1638)^2+3*T1638^2)</f>
        <v/>
      </c>
      <c r="W1638" s="8">
        <f>V1638/AA1638</f>
        <v/>
      </c>
      <c r="X1638" s="27">
        <f>((3*10+H1638/COS(RADIANS(E1638)))*(3+3)+3*G1638*H1638)*2</f>
        <v/>
      </c>
      <c r="Y1638" s="28">
        <f>Z1638/X1638</f>
        <v/>
      </c>
      <c r="Z1638" s="29" t="n">
        <v>698.180104682216</v>
      </c>
      <c r="AA1638" s="20" t="n">
        <v>89.0423262408458</v>
      </c>
      <c r="AB1638" t="n">
        <v>0.1221961277691435</v>
      </c>
      <c r="AC1638" t="n">
        <v>76.48510593334571</v>
      </c>
      <c r="AD1638" t="n">
        <v>-6.05092887367327</v>
      </c>
    </row>
    <row r="1639">
      <c r="A1639" t="n">
        <v>1638</v>
      </c>
      <c r="B1639" t="n">
        <v>58.6</v>
      </c>
      <c r="C1639" s="21">
        <f>B1639-20</f>
        <v/>
      </c>
      <c r="D1639" t="n">
        <v>101.1</v>
      </c>
      <c r="E1639" s="22">
        <f>D1639-90</f>
        <v/>
      </c>
      <c r="F1639" s="23" t="n">
        <v>0.01168</v>
      </c>
      <c r="G1639" s="22" t="n">
        <v>21.1</v>
      </c>
      <c r="H1639" s="22" t="n">
        <v>1.2</v>
      </c>
      <c r="I1639" s="24" t="n">
        <v>0.0936643704771995</v>
      </c>
      <c r="J1639" s="6" t="n">
        <v>71000</v>
      </c>
      <c r="K1639" s="25">
        <f>23*10^-6</f>
        <v/>
      </c>
      <c r="L1639" s="8">
        <f>H1639</f>
        <v/>
      </c>
      <c r="M1639" s="26">
        <f>H1639^2/6</f>
        <v/>
      </c>
      <c r="N1639" s="26">
        <f>H1639^3/12</f>
        <v/>
      </c>
      <c r="O1639" s="27">
        <f>-J1639*L1639*K1639*C1639</f>
        <v/>
      </c>
      <c r="P1639" s="28">
        <f>-(12*F1639*J1639*L1639*N1639+12*O1639*N1639*G1639*COS(RADIANS(E1639)))/(12*N1639*G1639*COS(RADIANS(E1639))^2+L1639*G1639^3*SIN(RADIANS(E1639))^2)</f>
        <v/>
      </c>
      <c r="Q1639" s="28">
        <f>-(6*F1639*J1639*L1639*N1639*SIN(RADIANS(E1639))+6*O1639*N1639*G1639*SIN(RADIANS(E1639))*COS(RADIANS(E1639)))/(12*N1639*COS(RADIANS(E1639))^2+L1639*G1639^2*SIN(RADIANS(E1639))^2)</f>
        <v/>
      </c>
      <c r="R1639" s="28">
        <f>-P1639*SIN(RADIANS(E1639))</f>
        <v/>
      </c>
      <c r="S1639" s="8">
        <f>(O1639+P1639*COS(RADIANS(E1639)))/L1639</f>
        <v/>
      </c>
      <c r="T1639" s="8">
        <f>R1639/L1639</f>
        <v/>
      </c>
      <c r="U1639" s="8">
        <f>(Q1639-P1639*G1639*SIN(RADIANS(E1639)))/M1639</f>
        <v/>
      </c>
      <c r="V1639" s="8">
        <f>SQRT((S1639+U1639)^2+3*T1639^2)</f>
        <v/>
      </c>
      <c r="W1639" s="8">
        <f>V1639/AA1639</f>
        <v/>
      </c>
      <c r="X1639" s="27">
        <f>((3*10+H1639/COS(RADIANS(E1639)))*(3+3)+3*G1639*H1639)*2</f>
        <v/>
      </c>
      <c r="Y1639" s="28">
        <f>Z1639/X1639</f>
        <v/>
      </c>
      <c r="Z1639" s="29" t="n">
        <v>530.795733037103</v>
      </c>
      <c r="AA1639" s="20" t="n">
        <v>59.5546252651046</v>
      </c>
      <c r="AB1639" t="n">
        <v>0.1448341891531846</v>
      </c>
      <c r="AC1639" t="n">
        <v>65.39925704057367</v>
      </c>
      <c r="AD1639" t="n">
        <v>54.6310389054942</v>
      </c>
    </row>
    <row r="1640">
      <c r="A1640" t="n">
        <v>1639</v>
      </c>
      <c r="B1640" t="n">
        <v>47.2</v>
      </c>
      <c r="C1640" s="21">
        <f>B1640-20</f>
        <v/>
      </c>
      <c r="D1640" t="n">
        <v>129.7</v>
      </c>
      <c r="E1640" s="22">
        <f>D1640-90</f>
        <v/>
      </c>
      <c r="F1640" s="23" t="n">
        <v>0.008104</v>
      </c>
      <c r="G1640" s="22" t="n">
        <v>22.2</v>
      </c>
      <c r="H1640" s="22" t="n">
        <v>1.3</v>
      </c>
      <c r="I1640" s="24" t="n">
        <v>0.0432016439735889</v>
      </c>
      <c r="J1640" s="6" t="n">
        <v>71000</v>
      </c>
      <c r="K1640" s="25">
        <f>23*10^-6</f>
        <v/>
      </c>
      <c r="L1640" s="8">
        <f>H1640</f>
        <v/>
      </c>
      <c r="M1640" s="26">
        <f>H1640^2/6</f>
        <v/>
      </c>
      <c r="N1640" s="26">
        <f>H1640^3/12</f>
        <v/>
      </c>
      <c r="O1640" s="27">
        <f>-J1640*L1640*K1640*C1640</f>
        <v/>
      </c>
      <c r="P1640" s="28">
        <f>-(12*F1640*J1640*L1640*N1640+12*O1640*N1640*G1640*COS(RADIANS(E1640)))/(12*N1640*G1640*COS(RADIANS(E1640))^2+L1640*G1640^3*SIN(RADIANS(E1640))^2)</f>
        <v/>
      </c>
      <c r="Q1640" s="28">
        <f>-(6*F1640*J1640*L1640*N1640*SIN(RADIANS(E1640))+6*O1640*N1640*G1640*SIN(RADIANS(E1640))*COS(RADIANS(E1640)))/(12*N1640*COS(RADIANS(E1640))^2+L1640*G1640^2*SIN(RADIANS(E1640))^2)</f>
        <v/>
      </c>
      <c r="R1640" s="28">
        <f>-P1640*SIN(RADIANS(E1640))</f>
        <v/>
      </c>
      <c r="S1640" s="8">
        <f>(O1640+P1640*COS(RADIANS(E1640)))/L1640</f>
        <v/>
      </c>
      <c r="T1640" s="8">
        <f>R1640/L1640</f>
        <v/>
      </c>
      <c r="U1640" s="8">
        <f>(Q1640-P1640*G1640*SIN(RADIANS(E1640)))/M1640</f>
        <v/>
      </c>
      <c r="V1640" s="8">
        <f>SQRT((S1640+U1640)^2+3*T1640^2)</f>
        <v/>
      </c>
      <c r="W1640" s="8">
        <f>V1640/AA1640</f>
        <v/>
      </c>
      <c r="X1640" s="27">
        <f>((3*10+H1640/COS(RADIANS(E1640)))*(3+3)+3*G1640*H1640)*2</f>
        <v/>
      </c>
      <c r="Y1640" s="28">
        <f>Z1640/X1640</f>
        <v/>
      </c>
      <c r="Z1640" s="29" t="n">
        <v>556.251929728357</v>
      </c>
      <c r="AA1640" s="20" t="n">
        <v>40.7049042786466</v>
      </c>
      <c r="AB1640" t="n">
        <v>0.03018310941619204</v>
      </c>
      <c r="AC1640" t="n">
        <v>39.01350252281301</v>
      </c>
      <c r="AD1640" t="n">
        <v>-30.13434989963732</v>
      </c>
    </row>
    <row r="1641">
      <c r="A1641" t="n">
        <v>1640</v>
      </c>
      <c r="B1641" t="n">
        <v>67.3</v>
      </c>
      <c r="C1641" s="21">
        <f>B1641-20</f>
        <v/>
      </c>
      <c r="D1641" t="n">
        <v>116.9</v>
      </c>
      <c r="E1641" s="22">
        <f>D1641-90</f>
        <v/>
      </c>
      <c r="F1641" s="23" t="n">
        <v>0.019375</v>
      </c>
      <c r="G1641" s="22" t="n">
        <v>33</v>
      </c>
      <c r="H1641" s="22" t="n">
        <v>1.9</v>
      </c>
      <c r="I1641" s="24" t="n">
        <v>0.0975680649280548</v>
      </c>
      <c r="J1641" s="6" t="n">
        <v>71000</v>
      </c>
      <c r="K1641" s="25">
        <f>23*10^-6</f>
        <v/>
      </c>
      <c r="L1641" s="8">
        <f>H1641</f>
        <v/>
      </c>
      <c r="M1641" s="26">
        <f>H1641^2/6</f>
        <v/>
      </c>
      <c r="N1641" s="26">
        <f>H1641^3/12</f>
        <v/>
      </c>
      <c r="O1641" s="27">
        <f>-J1641*L1641*K1641*C1641</f>
        <v/>
      </c>
      <c r="P1641" s="28">
        <f>-(12*F1641*J1641*L1641*N1641+12*O1641*N1641*G1641*COS(RADIANS(E1641)))/(12*N1641*G1641*COS(RADIANS(E1641))^2+L1641*G1641^3*SIN(RADIANS(E1641))^2)</f>
        <v/>
      </c>
      <c r="Q1641" s="28">
        <f>-(6*F1641*J1641*L1641*N1641*SIN(RADIANS(E1641))+6*O1641*N1641*G1641*SIN(RADIANS(E1641))*COS(RADIANS(E1641)))/(12*N1641*COS(RADIANS(E1641))^2+L1641*G1641^2*SIN(RADIANS(E1641))^2)</f>
        <v/>
      </c>
      <c r="R1641" s="28">
        <f>-P1641*SIN(RADIANS(E1641))</f>
        <v/>
      </c>
      <c r="S1641" s="8">
        <f>(O1641+P1641*COS(RADIANS(E1641)))/L1641</f>
        <v/>
      </c>
      <c r="T1641" s="8">
        <f>R1641/L1641</f>
        <v/>
      </c>
      <c r="U1641" s="8">
        <f>(Q1641-P1641*G1641*SIN(RADIANS(E1641)))/M1641</f>
        <v/>
      </c>
      <c r="V1641" s="8">
        <f>SQRT((S1641+U1641)^2+3*T1641^2)</f>
        <v/>
      </c>
      <c r="W1641" s="8">
        <f>V1641/AA1641</f>
        <v/>
      </c>
      <c r="X1641" s="27">
        <f>((3*10+H1641/COS(RADIANS(E1641)))*(3+3)+3*G1641*H1641)*2</f>
        <v/>
      </c>
      <c r="Y1641" s="28">
        <f>Z1641/X1641</f>
        <v/>
      </c>
      <c r="Z1641" s="29" t="n">
        <v>767.229802517943</v>
      </c>
      <c r="AA1641" s="20" t="n">
        <v>76.19387264819569</v>
      </c>
      <c r="AB1641" t="n">
        <v>0.1153953744078279</v>
      </c>
      <c r="AC1641" t="n">
        <v>71.81655920313391</v>
      </c>
      <c r="AD1641" t="n">
        <v>18.27166449690144</v>
      </c>
    </row>
    <row r="1642">
      <c r="A1642" t="n">
        <v>1641</v>
      </c>
      <c r="B1642" t="n">
        <v>58.9</v>
      </c>
      <c r="C1642" s="21">
        <f>B1642-20</f>
        <v/>
      </c>
      <c r="D1642" t="n">
        <v>100.4</v>
      </c>
      <c r="E1642" s="22">
        <f>D1642-90</f>
        <v/>
      </c>
      <c r="F1642" s="23" t="n">
        <v>0.016963</v>
      </c>
      <c r="G1642" s="22" t="n">
        <v>32.9</v>
      </c>
      <c r="H1642" s="22" t="n">
        <v>1.1</v>
      </c>
      <c r="I1642" s="24" t="n">
        <v>0.149297684431076</v>
      </c>
      <c r="J1642" s="6" t="n">
        <v>71000</v>
      </c>
      <c r="K1642" s="25">
        <f>23*10^-6</f>
        <v/>
      </c>
      <c r="L1642" s="8">
        <f>H1642</f>
        <v/>
      </c>
      <c r="M1642" s="26">
        <f>H1642^2/6</f>
        <v/>
      </c>
      <c r="N1642" s="26">
        <f>H1642^3/12</f>
        <v/>
      </c>
      <c r="O1642" s="27">
        <f>-J1642*L1642*K1642*C1642</f>
        <v/>
      </c>
      <c r="P1642" s="28">
        <f>-(12*F1642*J1642*L1642*N1642+12*O1642*N1642*G1642*COS(RADIANS(E1642)))/(12*N1642*G1642*COS(RADIANS(E1642))^2+L1642*G1642^3*SIN(RADIANS(E1642))^2)</f>
        <v/>
      </c>
      <c r="Q1642" s="28">
        <f>-(6*F1642*J1642*L1642*N1642*SIN(RADIANS(E1642))+6*O1642*N1642*G1642*SIN(RADIANS(E1642))*COS(RADIANS(E1642)))/(12*N1642*COS(RADIANS(E1642))^2+L1642*G1642^2*SIN(RADIANS(E1642))^2)</f>
        <v/>
      </c>
      <c r="R1642" s="28">
        <f>-P1642*SIN(RADIANS(E1642))</f>
        <v/>
      </c>
      <c r="S1642" s="8">
        <f>(O1642+P1642*COS(RADIANS(E1642)))/L1642</f>
        <v/>
      </c>
      <c r="T1642" s="8">
        <f>R1642/L1642</f>
        <v/>
      </c>
      <c r="U1642" s="8">
        <f>(Q1642-P1642*G1642*SIN(RADIANS(E1642)))/M1642</f>
        <v/>
      </c>
      <c r="V1642" s="8">
        <f>SQRT((S1642+U1642)^2+3*T1642^2)</f>
        <v/>
      </c>
      <c r="W1642" s="8">
        <f>V1642/AA1642</f>
        <v/>
      </c>
      <c r="X1642" s="27">
        <f>((3*10+H1642/COS(RADIANS(E1642)))*(3+3)+3*G1642*H1642)*2</f>
        <v/>
      </c>
      <c r="Y1642" s="28">
        <f>Z1642/X1642</f>
        <v/>
      </c>
      <c r="Z1642" s="29" t="n">
        <v>594.522312324681</v>
      </c>
      <c r="AA1642" s="20" t="n">
        <v>56.8551152016728</v>
      </c>
      <c r="AB1642" t="n">
        <v>0.2474311797104747</v>
      </c>
      <c r="AC1642" t="n">
        <v>62.95426020531618</v>
      </c>
      <c r="AD1642" t="n">
        <v>65.730085267801</v>
      </c>
    </row>
    <row r="1643">
      <c r="A1643" t="n">
        <v>1642</v>
      </c>
      <c r="B1643" t="n">
        <v>68</v>
      </c>
      <c r="C1643" s="21">
        <f>B1643-20</f>
        <v/>
      </c>
      <c r="D1643" t="n">
        <v>114.5</v>
      </c>
      <c r="E1643" s="22">
        <f>D1643-90</f>
        <v/>
      </c>
      <c r="F1643" s="23" t="n">
        <v>0.020758</v>
      </c>
      <c r="G1643" s="22" t="n">
        <v>32.5</v>
      </c>
      <c r="H1643" s="22" t="n">
        <v>1.2</v>
      </c>
      <c r="I1643" s="24" t="n">
        <v>0.191350683569908</v>
      </c>
      <c r="J1643" s="6" t="n">
        <v>71000</v>
      </c>
      <c r="K1643" s="25">
        <f>23*10^-6</f>
        <v/>
      </c>
      <c r="L1643" s="8">
        <f>H1643</f>
        <v/>
      </c>
      <c r="M1643" s="26">
        <f>H1643^2/6</f>
        <v/>
      </c>
      <c r="N1643" s="26">
        <f>H1643^3/12</f>
        <v/>
      </c>
      <c r="O1643" s="27">
        <f>-J1643*L1643*K1643*C1643</f>
        <v/>
      </c>
      <c r="P1643" s="28">
        <f>-(12*F1643*J1643*L1643*N1643+12*O1643*N1643*G1643*COS(RADIANS(E1643)))/(12*N1643*G1643*COS(RADIANS(E1643))^2+L1643*G1643^3*SIN(RADIANS(E1643))^2)</f>
        <v/>
      </c>
      <c r="Q1643" s="28">
        <f>-(6*F1643*J1643*L1643*N1643*SIN(RADIANS(E1643))+6*O1643*N1643*G1643*SIN(RADIANS(E1643))*COS(RADIANS(E1643)))/(12*N1643*COS(RADIANS(E1643))^2+L1643*G1643^2*SIN(RADIANS(E1643))^2)</f>
        <v/>
      </c>
      <c r="R1643" s="28">
        <f>-P1643*SIN(RADIANS(E1643))</f>
        <v/>
      </c>
      <c r="S1643" s="8">
        <f>(O1643+P1643*COS(RADIANS(E1643)))/L1643</f>
        <v/>
      </c>
      <c r="T1643" s="8">
        <f>R1643/L1643</f>
        <v/>
      </c>
      <c r="U1643" s="8">
        <f>(Q1643-P1643*G1643*SIN(RADIANS(E1643)))/M1643</f>
        <v/>
      </c>
      <c r="V1643" s="8">
        <f>SQRT((S1643+U1643)^2+3*T1643^2)</f>
        <v/>
      </c>
      <c r="W1643" s="8">
        <f>V1643/AA1643</f>
        <v/>
      </c>
      <c r="X1643" s="27">
        <f>((3*10+H1643/COS(RADIANS(E1643)))*(3+3)+3*G1643*H1643)*2</f>
        <v/>
      </c>
      <c r="Y1643" s="28">
        <f>Z1643/X1643</f>
        <v/>
      </c>
      <c r="Z1643" s="29" t="n">
        <v>612.51311230615</v>
      </c>
      <c r="AA1643" s="20" t="n">
        <v>72.46020105259851</v>
      </c>
      <c r="AB1643" t="n">
        <v>0.1283352551676272</v>
      </c>
      <c r="AC1643" t="n">
        <v>70.58629237512093</v>
      </c>
      <c r="AD1643" t="n">
        <v>-32.93190660552763</v>
      </c>
    </row>
    <row r="1644">
      <c r="A1644" t="n">
        <v>1643</v>
      </c>
      <c r="B1644" t="n">
        <v>89.59999999999999</v>
      </c>
      <c r="C1644" s="21">
        <f>B1644-20</f>
        <v/>
      </c>
      <c r="D1644" t="n">
        <v>111.2</v>
      </c>
      <c r="E1644" s="22">
        <f>D1644-90</f>
        <v/>
      </c>
      <c r="F1644" s="23" t="n">
        <v>0.020617</v>
      </c>
      <c r="G1644" s="22" t="n">
        <v>21.2</v>
      </c>
      <c r="H1644" s="22" t="n">
        <v>1.8</v>
      </c>
      <c r="I1644" s="24" t="n">
        <v>0.125406324863433</v>
      </c>
      <c r="J1644" s="6" t="n">
        <v>71000</v>
      </c>
      <c r="K1644" s="25">
        <f>23*10^-6</f>
        <v/>
      </c>
      <c r="L1644" s="8">
        <f>H1644</f>
        <v/>
      </c>
      <c r="M1644" s="26">
        <f>H1644^2/6</f>
        <v/>
      </c>
      <c r="N1644" s="26">
        <f>H1644^3/12</f>
        <v/>
      </c>
      <c r="O1644" s="27">
        <f>-J1644*L1644*K1644*C1644</f>
        <v/>
      </c>
      <c r="P1644" s="28">
        <f>-(12*F1644*J1644*L1644*N1644+12*O1644*N1644*G1644*COS(RADIANS(E1644)))/(12*N1644*G1644*COS(RADIANS(E1644))^2+L1644*G1644^3*SIN(RADIANS(E1644))^2)</f>
        <v/>
      </c>
      <c r="Q1644" s="28">
        <f>-(6*F1644*J1644*L1644*N1644*SIN(RADIANS(E1644))+6*O1644*N1644*G1644*SIN(RADIANS(E1644))*COS(RADIANS(E1644)))/(12*N1644*COS(RADIANS(E1644))^2+L1644*G1644^2*SIN(RADIANS(E1644))^2)</f>
        <v/>
      </c>
      <c r="R1644" s="28">
        <f>-P1644*SIN(RADIANS(E1644))</f>
        <v/>
      </c>
      <c r="S1644" s="8">
        <f>(O1644+P1644*COS(RADIANS(E1644)))/L1644</f>
        <v/>
      </c>
      <c r="T1644" s="8">
        <f>R1644/L1644</f>
        <v/>
      </c>
      <c r="U1644" s="8">
        <f>(Q1644-P1644*G1644*SIN(RADIANS(E1644)))/M1644</f>
        <v/>
      </c>
      <c r="V1644" s="8">
        <f>SQRT((S1644+U1644)^2+3*T1644^2)</f>
        <v/>
      </c>
      <c r="W1644" s="8">
        <f>V1644/AA1644</f>
        <v/>
      </c>
      <c r="X1644" s="27">
        <f>((3*10+H1644/COS(RADIANS(E1644)))*(3+3)+3*G1644*H1644)*2</f>
        <v/>
      </c>
      <c r="Y1644" s="28">
        <f>Z1644/X1644</f>
        <v/>
      </c>
      <c r="Z1644" s="29" t="n">
        <v>616.768330086716</v>
      </c>
      <c r="AA1644" s="20" t="n">
        <v>120.402148613457</v>
      </c>
      <c r="AB1644" t="n">
        <v>0.1394877222182517</v>
      </c>
      <c r="AC1644" t="n">
        <v>112.704446990036</v>
      </c>
      <c r="AD1644" t="n">
        <v>11.22861814996435</v>
      </c>
    </row>
    <row r="1645">
      <c r="A1645" t="n">
        <v>1644</v>
      </c>
      <c r="B1645" t="n">
        <v>62.7</v>
      </c>
      <c r="C1645" s="21">
        <f>B1645-20</f>
        <v/>
      </c>
      <c r="D1645" t="n">
        <v>121.8</v>
      </c>
      <c r="E1645" s="22">
        <f>D1645-90</f>
        <v/>
      </c>
      <c r="F1645" s="23" t="n">
        <v>0.012761</v>
      </c>
      <c r="G1645" s="22" t="n">
        <v>20.6</v>
      </c>
      <c r="H1645" s="22" t="n">
        <v>1.2</v>
      </c>
      <c r="I1645" s="24" t="n">
        <v>0.114959336817264</v>
      </c>
      <c r="J1645" s="6" t="n">
        <v>71000</v>
      </c>
      <c r="K1645" s="25">
        <f>23*10^-6</f>
        <v/>
      </c>
      <c r="L1645" s="8">
        <f>H1645</f>
        <v/>
      </c>
      <c r="M1645" s="26">
        <f>H1645^2/6</f>
        <v/>
      </c>
      <c r="N1645" s="26">
        <f>H1645^3/12</f>
        <v/>
      </c>
      <c r="O1645" s="27">
        <f>-J1645*L1645*K1645*C1645</f>
        <v/>
      </c>
      <c r="P1645" s="28">
        <f>-(12*F1645*J1645*L1645*N1645+12*O1645*N1645*G1645*COS(RADIANS(E1645)))/(12*N1645*G1645*COS(RADIANS(E1645))^2+L1645*G1645^3*SIN(RADIANS(E1645))^2)</f>
        <v/>
      </c>
      <c r="Q1645" s="28">
        <f>-(6*F1645*J1645*L1645*N1645*SIN(RADIANS(E1645))+6*O1645*N1645*G1645*SIN(RADIANS(E1645))*COS(RADIANS(E1645)))/(12*N1645*COS(RADIANS(E1645))^2+L1645*G1645^2*SIN(RADIANS(E1645))^2)</f>
        <v/>
      </c>
      <c r="R1645" s="28">
        <f>-P1645*SIN(RADIANS(E1645))</f>
        <v/>
      </c>
      <c r="S1645" s="8">
        <f>(O1645+P1645*COS(RADIANS(E1645)))/L1645</f>
        <v/>
      </c>
      <c r="T1645" s="8">
        <f>R1645/L1645</f>
        <v/>
      </c>
      <c r="U1645" s="8">
        <f>(Q1645-P1645*G1645*SIN(RADIANS(E1645)))/M1645</f>
        <v/>
      </c>
      <c r="V1645" s="8">
        <f>SQRT((S1645+U1645)^2+3*T1645^2)</f>
        <v/>
      </c>
      <c r="W1645" s="8">
        <f>V1645/AA1645</f>
        <v/>
      </c>
      <c r="X1645" s="27">
        <f>((3*10+H1645/COS(RADIANS(E1645)))*(3+3)+3*G1645*H1645)*2</f>
        <v/>
      </c>
      <c r="Y1645" s="28">
        <f>Z1645/X1645</f>
        <v/>
      </c>
      <c r="Z1645" s="29" t="n">
        <v>526.885685915825</v>
      </c>
      <c r="AA1645" s="20" t="n">
        <v>73.4525718669925</v>
      </c>
      <c r="AB1645" t="n">
        <v>0.05628908916179438</v>
      </c>
      <c r="AC1645" t="n">
        <v>62.54322536337219</v>
      </c>
      <c r="AD1645" t="n">
        <v>-51.03565250096226</v>
      </c>
    </row>
    <row r="1646">
      <c r="A1646" t="n">
        <v>1645</v>
      </c>
      <c r="B1646" t="n">
        <v>86</v>
      </c>
      <c r="C1646" s="21">
        <f>B1646-20</f>
        <v/>
      </c>
      <c r="D1646" t="n">
        <v>117.9</v>
      </c>
      <c r="E1646" s="22">
        <f>D1646-90</f>
        <v/>
      </c>
      <c r="F1646" s="23" t="n">
        <v>0.022981</v>
      </c>
      <c r="G1646" s="22" t="n">
        <v>31.9</v>
      </c>
      <c r="H1646" s="22" t="n">
        <v>1.2</v>
      </c>
      <c r="I1646" s="24" t="n">
        <v>0.0977718457579612</v>
      </c>
      <c r="J1646" s="6" t="n">
        <v>71000</v>
      </c>
      <c r="K1646" s="25">
        <f>23*10^-6</f>
        <v/>
      </c>
      <c r="L1646" s="8">
        <f>H1646</f>
        <v/>
      </c>
      <c r="M1646" s="26">
        <f>H1646^2/6</f>
        <v/>
      </c>
      <c r="N1646" s="26">
        <f>H1646^3/12</f>
        <v/>
      </c>
      <c r="O1646" s="27">
        <f>-J1646*L1646*K1646*C1646</f>
        <v/>
      </c>
      <c r="P1646" s="28">
        <f>-(12*F1646*J1646*L1646*N1646+12*O1646*N1646*G1646*COS(RADIANS(E1646)))/(12*N1646*G1646*COS(RADIANS(E1646))^2+L1646*G1646^3*SIN(RADIANS(E1646))^2)</f>
        <v/>
      </c>
      <c r="Q1646" s="28">
        <f>-(6*F1646*J1646*L1646*N1646*SIN(RADIANS(E1646))+6*O1646*N1646*G1646*SIN(RADIANS(E1646))*COS(RADIANS(E1646)))/(12*N1646*COS(RADIANS(E1646))^2+L1646*G1646^2*SIN(RADIANS(E1646))^2)</f>
        <v/>
      </c>
      <c r="R1646" s="28">
        <f>-P1646*SIN(RADIANS(E1646))</f>
        <v/>
      </c>
      <c r="S1646" s="8">
        <f>(O1646+P1646*COS(RADIANS(E1646)))/L1646</f>
        <v/>
      </c>
      <c r="T1646" s="8">
        <f>R1646/L1646</f>
        <v/>
      </c>
      <c r="U1646" s="8">
        <f>(Q1646-P1646*G1646*SIN(RADIANS(E1646)))/M1646</f>
        <v/>
      </c>
      <c r="V1646" s="8">
        <f>SQRT((S1646+U1646)^2+3*T1646^2)</f>
        <v/>
      </c>
      <c r="W1646" s="8">
        <f>V1646/AA1646</f>
        <v/>
      </c>
      <c r="X1646" s="27">
        <f>((3*10+H1646/COS(RADIANS(E1646)))*(3+3)+3*G1646*H1646)*2</f>
        <v/>
      </c>
      <c r="Y1646" s="28">
        <f>Z1646/X1646</f>
        <v/>
      </c>
      <c r="Z1646" s="29" t="n">
        <v>619.022678264231</v>
      </c>
      <c r="AA1646" s="20" t="n">
        <v>86.8177121146105</v>
      </c>
      <c r="AB1646" t="n">
        <v>0.1512421002944791</v>
      </c>
      <c r="AC1646" t="n">
        <v>95.96680729658779</v>
      </c>
      <c r="AD1646" t="n">
        <v>54.6888054756438</v>
      </c>
    </row>
    <row r="1647">
      <c r="A1647" t="n">
        <v>1646</v>
      </c>
      <c r="B1647" t="n">
        <v>74</v>
      </c>
      <c r="C1647" s="21">
        <f>B1647-20</f>
        <v/>
      </c>
      <c r="D1647" t="n">
        <v>105</v>
      </c>
      <c r="E1647" s="22">
        <f>D1647-90</f>
        <v/>
      </c>
      <c r="F1647" s="23" t="n">
        <v>0.022744</v>
      </c>
      <c r="G1647" s="22" t="n">
        <v>34.7</v>
      </c>
      <c r="H1647" s="22" t="n">
        <v>1.1</v>
      </c>
      <c r="I1647" s="24" t="n">
        <v>0.109228827059268</v>
      </c>
      <c r="J1647" s="6" t="n">
        <v>71000</v>
      </c>
      <c r="K1647" s="25">
        <f>23*10^-6</f>
        <v/>
      </c>
      <c r="L1647" s="8">
        <f>H1647</f>
        <v/>
      </c>
      <c r="M1647" s="26">
        <f>H1647^2/6</f>
        <v/>
      </c>
      <c r="N1647" s="26">
        <f>H1647^3/12</f>
        <v/>
      </c>
      <c r="O1647" s="27">
        <f>-J1647*L1647*K1647*C1647</f>
        <v/>
      </c>
      <c r="P1647" s="28">
        <f>-(12*F1647*J1647*L1647*N1647+12*O1647*N1647*G1647*COS(RADIANS(E1647)))/(12*N1647*G1647*COS(RADIANS(E1647))^2+L1647*G1647^3*SIN(RADIANS(E1647))^2)</f>
        <v/>
      </c>
      <c r="Q1647" s="28">
        <f>-(6*F1647*J1647*L1647*N1647*SIN(RADIANS(E1647))+6*O1647*N1647*G1647*SIN(RADIANS(E1647))*COS(RADIANS(E1647)))/(12*N1647*COS(RADIANS(E1647))^2+L1647*G1647^2*SIN(RADIANS(E1647))^2)</f>
        <v/>
      </c>
      <c r="R1647" s="28">
        <f>-P1647*SIN(RADIANS(E1647))</f>
        <v/>
      </c>
      <c r="S1647" s="8">
        <f>(O1647+P1647*COS(RADIANS(E1647)))/L1647</f>
        <v/>
      </c>
      <c r="T1647" s="8">
        <f>R1647/L1647</f>
        <v/>
      </c>
      <c r="U1647" s="8">
        <f>(Q1647-P1647*G1647*SIN(RADIANS(E1647)))/M1647</f>
        <v/>
      </c>
      <c r="V1647" s="8">
        <f>SQRT((S1647+U1647)^2+3*T1647^2)</f>
        <v/>
      </c>
      <c r="W1647" s="8">
        <f>V1647/AA1647</f>
        <v/>
      </c>
      <c r="X1647" s="27">
        <f>((3*10+H1647/COS(RADIANS(E1647)))*(3+3)+3*G1647*H1647)*2</f>
        <v/>
      </c>
      <c r="Y1647" s="28">
        <f>Z1647/X1647</f>
        <v/>
      </c>
      <c r="Z1647" s="29" t="n">
        <v>610.1671335893</v>
      </c>
      <c r="AA1647" s="20" t="n">
        <v>73.7656062577646</v>
      </c>
      <c r="AB1647" t="n">
        <v>0.2536636996457824</v>
      </c>
      <c r="AC1647" t="n">
        <v>82.66385069089283</v>
      </c>
      <c r="AD1647" t="n">
        <v>132.2314598399409</v>
      </c>
    </row>
    <row r="1648">
      <c r="A1648" t="n">
        <v>1647</v>
      </c>
      <c r="B1648" t="n">
        <v>81.5</v>
      </c>
      <c r="C1648" s="21">
        <f>B1648-20</f>
        <v/>
      </c>
      <c r="D1648" t="n">
        <v>101</v>
      </c>
      <c r="E1648" s="22">
        <f>D1648-90</f>
        <v/>
      </c>
      <c r="F1648" s="23" t="n">
        <v>0.020963</v>
      </c>
      <c r="G1648" s="22" t="n">
        <v>24.3</v>
      </c>
      <c r="H1648" s="22" t="n">
        <v>1.8</v>
      </c>
      <c r="I1648" s="24" t="n">
        <v>0.185068219900131</v>
      </c>
      <c r="J1648" s="6" t="n">
        <v>71000</v>
      </c>
      <c r="K1648" s="25">
        <f>23*10^-6</f>
        <v/>
      </c>
      <c r="L1648" s="8">
        <f>H1648</f>
        <v/>
      </c>
      <c r="M1648" s="26">
        <f>H1648^2/6</f>
        <v/>
      </c>
      <c r="N1648" s="26">
        <f>H1648^3/12</f>
        <v/>
      </c>
      <c r="O1648" s="27">
        <f>-J1648*L1648*K1648*C1648</f>
        <v/>
      </c>
      <c r="P1648" s="28">
        <f>-(12*F1648*J1648*L1648*N1648+12*O1648*N1648*G1648*COS(RADIANS(E1648)))/(12*N1648*G1648*COS(RADIANS(E1648))^2+L1648*G1648^3*SIN(RADIANS(E1648))^2)</f>
        <v/>
      </c>
      <c r="Q1648" s="28">
        <f>-(6*F1648*J1648*L1648*N1648*SIN(RADIANS(E1648))+6*O1648*N1648*G1648*SIN(RADIANS(E1648))*COS(RADIANS(E1648)))/(12*N1648*COS(RADIANS(E1648))^2+L1648*G1648^2*SIN(RADIANS(E1648))^2)</f>
        <v/>
      </c>
      <c r="R1648" s="28">
        <f>-P1648*SIN(RADIANS(E1648))</f>
        <v/>
      </c>
      <c r="S1648" s="8">
        <f>(O1648+P1648*COS(RADIANS(E1648)))/L1648</f>
        <v/>
      </c>
      <c r="T1648" s="8">
        <f>R1648/L1648</f>
        <v/>
      </c>
      <c r="U1648" s="8">
        <f>(Q1648-P1648*G1648*SIN(RADIANS(E1648)))/M1648</f>
        <v/>
      </c>
      <c r="V1648" s="8">
        <f>SQRT((S1648+U1648)^2+3*T1648^2)</f>
        <v/>
      </c>
      <c r="W1648" s="8">
        <f>V1648/AA1648</f>
        <v/>
      </c>
      <c r="X1648" s="27">
        <f>((3*10+H1648/COS(RADIANS(E1648)))*(3+3)+3*G1648*H1648)*2</f>
        <v/>
      </c>
      <c r="Y1648" s="28">
        <f>Z1648/X1648</f>
        <v/>
      </c>
      <c r="Z1648" s="29" t="n">
        <v>648.235283167942</v>
      </c>
      <c r="AA1648" s="20" t="n">
        <v>135.381603645209</v>
      </c>
      <c r="AB1648" t="n">
        <v>0.2508044686312125</v>
      </c>
      <c r="AC1648" t="n">
        <v>109.9406299624723</v>
      </c>
      <c r="AD1648" t="n">
        <v>35.52000919798926</v>
      </c>
    </row>
    <row r="1649">
      <c r="A1649" t="n">
        <v>1648</v>
      </c>
      <c r="B1649" t="n">
        <v>51</v>
      </c>
      <c r="C1649" s="21">
        <f>B1649-20</f>
        <v/>
      </c>
      <c r="D1649" t="n">
        <v>123.1</v>
      </c>
      <c r="E1649" s="22">
        <f>D1649-90</f>
        <v/>
      </c>
      <c r="F1649" s="23" t="n">
        <v>0.008809000000000001</v>
      </c>
      <c r="G1649" s="22" t="n">
        <v>20.8</v>
      </c>
      <c r="H1649" s="22" t="n">
        <v>1.9</v>
      </c>
      <c r="I1649" s="24" t="n">
        <v>0.0474065095186233</v>
      </c>
      <c r="J1649" s="6" t="n">
        <v>71000</v>
      </c>
      <c r="K1649" s="25">
        <f>23*10^-6</f>
        <v/>
      </c>
      <c r="L1649" s="8">
        <f>H1649</f>
        <v/>
      </c>
      <c r="M1649" s="26">
        <f>H1649^2/6</f>
        <v/>
      </c>
      <c r="N1649" s="26">
        <f>H1649^3/12</f>
        <v/>
      </c>
      <c r="O1649" s="27">
        <f>-J1649*L1649*K1649*C1649</f>
        <v/>
      </c>
      <c r="P1649" s="28">
        <f>-(12*F1649*J1649*L1649*N1649+12*O1649*N1649*G1649*COS(RADIANS(E1649)))/(12*N1649*G1649*COS(RADIANS(E1649))^2+L1649*G1649^3*SIN(RADIANS(E1649))^2)</f>
        <v/>
      </c>
      <c r="Q1649" s="28">
        <f>-(6*F1649*J1649*L1649*N1649*SIN(RADIANS(E1649))+6*O1649*N1649*G1649*SIN(RADIANS(E1649))*COS(RADIANS(E1649)))/(12*N1649*COS(RADIANS(E1649))^2+L1649*G1649^2*SIN(RADIANS(E1649))^2)</f>
        <v/>
      </c>
      <c r="R1649" s="28">
        <f>-P1649*SIN(RADIANS(E1649))</f>
        <v/>
      </c>
      <c r="S1649" s="8">
        <f>(O1649+P1649*COS(RADIANS(E1649)))/L1649</f>
        <v/>
      </c>
      <c r="T1649" s="8">
        <f>R1649/L1649</f>
        <v/>
      </c>
      <c r="U1649" s="8">
        <f>(Q1649-P1649*G1649*SIN(RADIANS(E1649)))/M1649</f>
        <v/>
      </c>
      <c r="V1649" s="8">
        <f>SQRT((S1649+U1649)^2+3*T1649^2)</f>
        <v/>
      </c>
      <c r="W1649" s="8">
        <f>V1649/AA1649</f>
        <v/>
      </c>
      <c r="X1649" s="27">
        <f>((3*10+H1649/COS(RADIANS(E1649)))*(3+3)+3*G1649*H1649)*2</f>
        <v/>
      </c>
      <c r="Y1649" s="28">
        <f>Z1649/X1649</f>
        <v/>
      </c>
      <c r="Z1649" s="29" t="n">
        <v>627.9843896804369</v>
      </c>
      <c r="AA1649" s="20" t="n">
        <v>53.8700412308562</v>
      </c>
      <c r="AB1649" t="n">
        <v>0.03898420874095559</v>
      </c>
      <c r="AC1649" t="n">
        <v>47.09800993545705</v>
      </c>
      <c r="AD1649" t="n">
        <v>-17.76612719052657</v>
      </c>
    </row>
    <row r="1650">
      <c r="A1650" t="n">
        <v>1649</v>
      </c>
      <c r="B1650" t="n">
        <v>61.8</v>
      </c>
      <c r="C1650" s="21">
        <f>B1650-20</f>
        <v/>
      </c>
      <c r="D1650" t="n">
        <v>104.9</v>
      </c>
      <c r="E1650" s="22">
        <f>D1650-90</f>
        <v/>
      </c>
      <c r="F1650" s="23" t="n">
        <v>0.017431</v>
      </c>
      <c r="G1650" s="22" t="n">
        <v>32.8</v>
      </c>
      <c r="H1650" s="22" t="n">
        <v>1.5</v>
      </c>
      <c r="I1650" s="24" t="n">
        <v>0.09677609801292419</v>
      </c>
      <c r="J1650" s="6" t="n">
        <v>71000</v>
      </c>
      <c r="K1650" s="25">
        <f>23*10^-6</f>
        <v/>
      </c>
      <c r="L1650" s="8">
        <f>H1650</f>
        <v/>
      </c>
      <c r="M1650" s="26">
        <f>H1650^2/6</f>
        <v/>
      </c>
      <c r="N1650" s="26">
        <f>H1650^3/12</f>
        <v/>
      </c>
      <c r="O1650" s="27">
        <f>-J1650*L1650*K1650*C1650</f>
        <v/>
      </c>
      <c r="P1650" s="28">
        <f>-(12*F1650*J1650*L1650*N1650+12*O1650*N1650*G1650*COS(RADIANS(E1650)))/(12*N1650*G1650*COS(RADIANS(E1650))^2+L1650*G1650^3*SIN(RADIANS(E1650))^2)</f>
        <v/>
      </c>
      <c r="Q1650" s="28">
        <f>-(6*F1650*J1650*L1650*N1650*SIN(RADIANS(E1650))+6*O1650*N1650*G1650*SIN(RADIANS(E1650))*COS(RADIANS(E1650)))/(12*N1650*COS(RADIANS(E1650))^2+L1650*G1650^2*SIN(RADIANS(E1650))^2)</f>
        <v/>
      </c>
      <c r="R1650" s="28">
        <f>-P1650*SIN(RADIANS(E1650))</f>
        <v/>
      </c>
      <c r="S1650" s="8">
        <f>(O1650+P1650*COS(RADIANS(E1650)))/L1650</f>
        <v/>
      </c>
      <c r="T1650" s="8">
        <f>R1650/L1650</f>
        <v/>
      </c>
      <c r="U1650" s="8">
        <f>(Q1650-P1650*G1650*SIN(RADIANS(E1650)))/M1650</f>
        <v/>
      </c>
      <c r="V1650" s="8">
        <f>SQRT((S1650+U1650)^2+3*T1650^2)</f>
        <v/>
      </c>
      <c r="W1650" s="8">
        <f>V1650/AA1650</f>
        <v/>
      </c>
      <c r="X1650" s="27">
        <f>((3*10+H1650/COS(RADIANS(E1650)))*(3+3)+3*G1650*H1650)*2</f>
        <v/>
      </c>
      <c r="Y1650" s="28">
        <f>Z1650/X1650</f>
        <v/>
      </c>
      <c r="Z1650" s="29" t="n">
        <v>679.682355960295</v>
      </c>
      <c r="AA1650" s="20" t="n">
        <v>63.3584583611968</v>
      </c>
      <c r="AB1650" t="n">
        <v>0.1845552991066715</v>
      </c>
      <c r="AC1650" t="n">
        <v>67.02474229213556</v>
      </c>
      <c r="AD1650" t="n">
        <v>90.7033894691896</v>
      </c>
    </row>
    <row r="1651">
      <c r="A1651" t="n">
        <v>1650</v>
      </c>
      <c r="B1651" t="n">
        <v>45.6</v>
      </c>
      <c r="C1651" s="21">
        <f>B1651-20</f>
        <v/>
      </c>
      <c r="D1651" t="n">
        <v>108.9</v>
      </c>
      <c r="E1651" s="22">
        <f>D1651-90</f>
        <v/>
      </c>
      <c r="F1651" s="23" t="n">
        <v>0.008274</v>
      </c>
      <c r="G1651" s="22" t="n">
        <v>26.3</v>
      </c>
      <c r="H1651" s="22" t="n">
        <v>1.7</v>
      </c>
      <c r="I1651" s="24" t="n">
        <v>0.0384276024997234</v>
      </c>
      <c r="J1651" s="6" t="n">
        <v>71000</v>
      </c>
      <c r="K1651" s="25">
        <f>23*10^-6</f>
        <v/>
      </c>
      <c r="L1651" s="8">
        <f>H1651</f>
        <v/>
      </c>
      <c r="M1651" s="26">
        <f>H1651^2/6</f>
        <v/>
      </c>
      <c r="N1651" s="26">
        <f>H1651^3/12</f>
        <v/>
      </c>
      <c r="O1651" s="27">
        <f>-J1651*L1651*K1651*C1651</f>
        <v/>
      </c>
      <c r="P1651" s="28">
        <f>-(12*F1651*J1651*L1651*N1651+12*O1651*N1651*G1651*COS(RADIANS(E1651)))/(12*N1651*G1651*COS(RADIANS(E1651))^2+L1651*G1651^3*SIN(RADIANS(E1651))^2)</f>
        <v/>
      </c>
      <c r="Q1651" s="28">
        <f>-(6*F1651*J1651*L1651*N1651*SIN(RADIANS(E1651))+6*O1651*N1651*G1651*SIN(RADIANS(E1651))*COS(RADIANS(E1651)))/(12*N1651*COS(RADIANS(E1651))^2+L1651*G1651^2*SIN(RADIANS(E1651))^2)</f>
        <v/>
      </c>
      <c r="R1651" s="28">
        <f>-P1651*SIN(RADIANS(E1651))</f>
        <v/>
      </c>
      <c r="S1651" s="8">
        <f>(O1651+P1651*COS(RADIANS(E1651)))/L1651</f>
        <v/>
      </c>
      <c r="T1651" s="8">
        <f>R1651/L1651</f>
        <v/>
      </c>
      <c r="U1651" s="8">
        <f>(Q1651-P1651*G1651*SIN(RADIANS(E1651)))/M1651</f>
        <v/>
      </c>
      <c r="V1651" s="8">
        <f>SQRT((S1651+U1651)^2+3*T1651^2)</f>
        <v/>
      </c>
      <c r="W1651" s="8">
        <f>V1651/AA1651</f>
        <v/>
      </c>
      <c r="X1651" s="27">
        <f>((3*10+H1651/COS(RADIANS(E1651)))*(3+3)+3*G1651*H1651)*2</f>
        <v/>
      </c>
      <c r="Y1651" s="28">
        <f>Z1651/X1651</f>
        <v/>
      </c>
      <c r="Z1651" s="29" t="n">
        <v>659.935518704585</v>
      </c>
      <c r="AA1651" s="20" t="n">
        <v>39.9407859198902</v>
      </c>
      <c r="AB1651" t="n">
        <v>0.07147293131251181</v>
      </c>
      <c r="AC1651" t="n">
        <v>41.16575842890479</v>
      </c>
      <c r="AD1651" t="n">
        <v>85.99373019179708</v>
      </c>
    </row>
    <row r="1652">
      <c r="A1652" t="n">
        <v>1651</v>
      </c>
      <c r="B1652" t="n">
        <v>57.3</v>
      </c>
      <c r="C1652" s="21">
        <f>B1652-20</f>
        <v/>
      </c>
      <c r="D1652" t="n">
        <v>106.6</v>
      </c>
      <c r="E1652" s="22">
        <f>D1652-90</f>
        <v/>
      </c>
      <c r="F1652" s="23" t="n">
        <v>0.015554</v>
      </c>
      <c r="G1652" s="22" t="n">
        <v>34.6</v>
      </c>
      <c r="H1652" s="22" t="n">
        <v>1.6</v>
      </c>
      <c r="I1652" s="24" t="n">
        <v>0.0734501332044601</v>
      </c>
      <c r="J1652" s="6" t="n">
        <v>71000</v>
      </c>
      <c r="K1652" s="25">
        <f>23*10^-6</f>
        <v/>
      </c>
      <c r="L1652" s="8">
        <f>H1652</f>
        <v/>
      </c>
      <c r="M1652" s="26">
        <f>H1652^2/6</f>
        <v/>
      </c>
      <c r="N1652" s="26">
        <f>H1652^3/12</f>
        <v/>
      </c>
      <c r="O1652" s="27">
        <f>-J1652*L1652*K1652*C1652</f>
        <v/>
      </c>
      <c r="P1652" s="28">
        <f>-(12*F1652*J1652*L1652*N1652+12*O1652*N1652*G1652*COS(RADIANS(E1652)))/(12*N1652*G1652*COS(RADIANS(E1652))^2+L1652*G1652^3*SIN(RADIANS(E1652))^2)</f>
        <v/>
      </c>
      <c r="Q1652" s="28">
        <f>-(6*F1652*J1652*L1652*N1652*SIN(RADIANS(E1652))+6*O1652*N1652*G1652*SIN(RADIANS(E1652))*COS(RADIANS(E1652)))/(12*N1652*COS(RADIANS(E1652))^2+L1652*G1652^2*SIN(RADIANS(E1652))^2)</f>
        <v/>
      </c>
      <c r="R1652" s="28">
        <f>-P1652*SIN(RADIANS(E1652))</f>
        <v/>
      </c>
      <c r="S1652" s="8">
        <f>(O1652+P1652*COS(RADIANS(E1652)))/L1652</f>
        <v/>
      </c>
      <c r="T1652" s="8">
        <f>R1652/L1652</f>
        <v/>
      </c>
      <c r="U1652" s="8">
        <f>(Q1652-P1652*G1652*SIN(RADIANS(E1652)))/M1652</f>
        <v/>
      </c>
      <c r="V1652" s="8">
        <f>SQRT((S1652+U1652)^2+3*T1652^2)</f>
        <v/>
      </c>
      <c r="W1652" s="8">
        <f>V1652/AA1652</f>
        <v/>
      </c>
      <c r="X1652" s="27">
        <f>((3*10+H1652/COS(RADIANS(E1652)))*(3+3)+3*G1652*H1652)*2</f>
        <v/>
      </c>
      <c r="Y1652" s="28">
        <f>Z1652/X1652</f>
        <v/>
      </c>
      <c r="Z1652" s="29" t="n">
        <v>720.475367404423</v>
      </c>
      <c r="AA1652" s="20" t="n">
        <v>56.2172930842576</v>
      </c>
      <c r="AB1652" t="n">
        <v>0.1558846542366434</v>
      </c>
      <c r="AC1652" t="n">
        <v>59.05085063434962</v>
      </c>
      <c r="AD1652" t="n">
        <v>112.2319557987917</v>
      </c>
    </row>
    <row r="1653">
      <c r="A1653" t="n">
        <v>1652</v>
      </c>
      <c r="B1653" t="n">
        <v>67.09999999999999</v>
      </c>
      <c r="C1653" s="21">
        <f>B1653-20</f>
        <v/>
      </c>
      <c r="D1653" t="n">
        <v>114.9</v>
      </c>
      <c r="E1653" s="22">
        <f>D1653-90</f>
        <v/>
      </c>
      <c r="F1653" s="23" t="n">
        <v>0.017847</v>
      </c>
      <c r="G1653" s="22" t="n">
        <v>28.2</v>
      </c>
      <c r="H1653" s="22" t="n">
        <v>1.1</v>
      </c>
      <c r="I1653" s="24" t="n">
        <v>0.128598108887672</v>
      </c>
      <c r="J1653" s="6" t="n">
        <v>71000</v>
      </c>
      <c r="K1653" s="25">
        <f>23*10^-6</f>
        <v/>
      </c>
      <c r="L1653" s="8">
        <f>H1653</f>
        <v/>
      </c>
      <c r="M1653" s="26">
        <f>H1653^2/6</f>
        <v/>
      </c>
      <c r="N1653" s="26">
        <f>H1653^3/12</f>
        <v/>
      </c>
      <c r="O1653" s="27">
        <f>-J1653*L1653*K1653*C1653</f>
        <v/>
      </c>
      <c r="P1653" s="28">
        <f>-(12*F1653*J1653*L1653*N1653+12*O1653*N1653*G1653*COS(RADIANS(E1653)))/(12*N1653*G1653*COS(RADIANS(E1653))^2+L1653*G1653^3*SIN(RADIANS(E1653))^2)</f>
        <v/>
      </c>
      <c r="Q1653" s="28">
        <f>-(6*F1653*J1653*L1653*N1653*SIN(RADIANS(E1653))+6*O1653*N1653*G1653*SIN(RADIANS(E1653))*COS(RADIANS(E1653)))/(12*N1653*COS(RADIANS(E1653))^2+L1653*G1653^2*SIN(RADIANS(E1653))^2)</f>
        <v/>
      </c>
      <c r="R1653" s="28">
        <f>-P1653*SIN(RADIANS(E1653))</f>
        <v/>
      </c>
      <c r="S1653" s="8">
        <f>(O1653+P1653*COS(RADIANS(E1653)))/L1653</f>
        <v/>
      </c>
      <c r="T1653" s="8">
        <f>R1653/L1653</f>
        <v/>
      </c>
      <c r="U1653" s="8">
        <f>(Q1653-P1653*G1653*SIN(RADIANS(E1653)))/M1653</f>
        <v/>
      </c>
      <c r="V1653" s="8">
        <f>SQRT((S1653+U1653)^2+3*T1653^2)</f>
        <v/>
      </c>
      <c r="W1653" s="8">
        <f>V1653/AA1653</f>
        <v/>
      </c>
      <c r="X1653" s="27">
        <f>((3*10+H1653/COS(RADIANS(E1653)))*(3+3)+3*G1653*H1653)*2</f>
        <v/>
      </c>
      <c r="Y1653" s="28">
        <f>Z1653/X1653</f>
        <v/>
      </c>
      <c r="Z1653" s="29" t="n">
        <v>564.065903296896</v>
      </c>
      <c r="AA1653" s="20" t="n">
        <v>68.0914133233827</v>
      </c>
      <c r="AB1653" t="n">
        <v>0.1082650278707632</v>
      </c>
      <c r="AC1653" t="n">
        <v>69.23476751993164</v>
      </c>
      <c r="AD1653" t="n">
        <v>-15.81133750160302</v>
      </c>
    </row>
    <row r="1654">
      <c r="A1654" t="n">
        <v>1653</v>
      </c>
      <c r="B1654" t="n">
        <v>54.2</v>
      </c>
      <c r="C1654" s="21">
        <f>B1654-20</f>
        <v/>
      </c>
      <c r="D1654" t="n">
        <v>120.1</v>
      </c>
      <c r="E1654" s="22">
        <f>D1654-90</f>
        <v/>
      </c>
      <c r="F1654" s="23" t="n">
        <v>0.015543</v>
      </c>
      <c r="G1654" s="22" t="n">
        <v>34.5</v>
      </c>
      <c r="H1654" s="22" t="n">
        <v>1.7</v>
      </c>
      <c r="I1654" s="24" t="n">
        <v>0.136416688561439</v>
      </c>
      <c r="J1654" s="6" t="n">
        <v>71000</v>
      </c>
      <c r="K1654" s="25">
        <f>23*10^-6</f>
        <v/>
      </c>
      <c r="L1654" s="8">
        <f>H1654</f>
        <v/>
      </c>
      <c r="M1654" s="26">
        <f>H1654^2/6</f>
        <v/>
      </c>
      <c r="N1654" s="26">
        <f>H1654^3/12</f>
        <v/>
      </c>
      <c r="O1654" s="27">
        <f>-J1654*L1654*K1654*C1654</f>
        <v/>
      </c>
      <c r="P1654" s="28">
        <f>-(12*F1654*J1654*L1654*N1654+12*O1654*N1654*G1654*COS(RADIANS(E1654)))/(12*N1654*G1654*COS(RADIANS(E1654))^2+L1654*G1654^3*SIN(RADIANS(E1654))^2)</f>
        <v/>
      </c>
      <c r="Q1654" s="28">
        <f>-(6*F1654*J1654*L1654*N1654*SIN(RADIANS(E1654))+6*O1654*N1654*G1654*SIN(RADIANS(E1654))*COS(RADIANS(E1654)))/(12*N1654*COS(RADIANS(E1654))^2+L1654*G1654^2*SIN(RADIANS(E1654))^2)</f>
        <v/>
      </c>
      <c r="R1654" s="28">
        <f>-P1654*SIN(RADIANS(E1654))</f>
        <v/>
      </c>
      <c r="S1654" s="8">
        <f>(O1654+P1654*COS(RADIANS(E1654)))/L1654</f>
        <v/>
      </c>
      <c r="T1654" s="8">
        <f>R1654/L1654</f>
        <v/>
      </c>
      <c r="U1654" s="8">
        <f>(Q1654-P1654*G1654*SIN(RADIANS(E1654)))/M1654</f>
        <v/>
      </c>
      <c r="V1654" s="8">
        <f>SQRT((S1654+U1654)^2+3*T1654^2)</f>
        <v/>
      </c>
      <c r="W1654" s="8">
        <f>V1654/AA1654</f>
        <v/>
      </c>
      <c r="X1654" s="27">
        <f>((3*10+H1654/COS(RADIANS(E1654)))*(3+3)+3*G1654*H1654)*2</f>
        <v/>
      </c>
      <c r="Y1654" s="28">
        <f>Z1654/X1654</f>
        <v/>
      </c>
      <c r="Z1654" s="29" t="n">
        <v>736.564650641654</v>
      </c>
      <c r="AA1654" s="20" t="n">
        <v>57.4552901057438</v>
      </c>
      <c r="AB1654" t="n">
        <v>0.07760302111458466</v>
      </c>
      <c r="AC1654" t="n">
        <v>50.50831179151565</v>
      </c>
      <c r="AD1654" t="n">
        <v>-43.1132496082882</v>
      </c>
    </row>
    <row r="1655">
      <c r="A1655" t="n">
        <v>1654</v>
      </c>
      <c r="B1655" t="n">
        <v>80.90000000000001</v>
      </c>
      <c r="C1655" s="21">
        <f>B1655-20</f>
        <v/>
      </c>
      <c r="D1655" t="n">
        <v>124.9</v>
      </c>
      <c r="E1655" s="22">
        <f>D1655-90</f>
        <v/>
      </c>
      <c r="F1655" s="23" t="n">
        <v>0.020043</v>
      </c>
      <c r="G1655" s="22" t="n">
        <v>27.3</v>
      </c>
      <c r="H1655" s="22" t="n">
        <v>1.8</v>
      </c>
      <c r="I1655" s="24" t="n">
        <v>0.09129176288843149</v>
      </c>
      <c r="J1655" s="6" t="n">
        <v>71000</v>
      </c>
      <c r="K1655" s="25">
        <f>23*10^-6</f>
        <v/>
      </c>
      <c r="L1655" s="8">
        <f>H1655</f>
        <v/>
      </c>
      <c r="M1655" s="26">
        <f>H1655^2/6</f>
        <v/>
      </c>
      <c r="N1655" s="26">
        <f>H1655^3/12</f>
        <v/>
      </c>
      <c r="O1655" s="27">
        <f>-J1655*L1655*K1655*C1655</f>
        <v/>
      </c>
      <c r="P1655" s="28">
        <f>-(12*F1655*J1655*L1655*N1655+12*O1655*N1655*G1655*COS(RADIANS(E1655)))/(12*N1655*G1655*COS(RADIANS(E1655))^2+L1655*G1655^3*SIN(RADIANS(E1655))^2)</f>
        <v/>
      </c>
      <c r="Q1655" s="28">
        <f>-(6*F1655*J1655*L1655*N1655*SIN(RADIANS(E1655))+6*O1655*N1655*G1655*SIN(RADIANS(E1655))*COS(RADIANS(E1655)))/(12*N1655*COS(RADIANS(E1655))^2+L1655*G1655^2*SIN(RADIANS(E1655))^2)</f>
        <v/>
      </c>
      <c r="R1655" s="28">
        <f>-P1655*SIN(RADIANS(E1655))</f>
        <v/>
      </c>
      <c r="S1655" s="8">
        <f>(O1655+P1655*COS(RADIANS(E1655)))/L1655</f>
        <v/>
      </c>
      <c r="T1655" s="8">
        <f>R1655/L1655</f>
        <v/>
      </c>
      <c r="U1655" s="8">
        <f>(Q1655-P1655*G1655*SIN(RADIANS(E1655)))/M1655</f>
        <v/>
      </c>
      <c r="V1655" s="8">
        <f>SQRT((S1655+U1655)^2+3*T1655^2)</f>
        <v/>
      </c>
      <c r="W1655" s="8">
        <f>V1655/AA1655</f>
        <v/>
      </c>
      <c r="X1655" s="27">
        <f>((3*10+H1655/COS(RADIANS(E1655)))*(3+3)+3*G1655*H1655)*2</f>
        <v/>
      </c>
      <c r="Y1655" s="28">
        <f>Z1655/X1655</f>
        <v/>
      </c>
      <c r="Z1655" s="29" t="n">
        <v>688.707175032038</v>
      </c>
      <c r="AA1655" s="20" t="n">
        <v>96.2993341394255</v>
      </c>
      <c r="AB1655" t="n">
        <v>0.09412473466829335</v>
      </c>
      <c r="AC1655" t="n">
        <v>90.06795753098012</v>
      </c>
      <c r="AD1655" t="n">
        <v>3.103206346583602</v>
      </c>
    </row>
    <row r="1656">
      <c r="A1656" t="n">
        <v>1655</v>
      </c>
      <c r="B1656" t="n">
        <v>55.2</v>
      </c>
      <c r="C1656" s="21">
        <f>B1656-20</f>
        <v/>
      </c>
      <c r="D1656" t="n">
        <v>111.5</v>
      </c>
      <c r="E1656" s="22">
        <f>D1656-90</f>
        <v/>
      </c>
      <c r="F1656" s="23" t="n">
        <v>0.012296</v>
      </c>
      <c r="G1656" s="22" t="n">
        <v>25.5</v>
      </c>
      <c r="H1656" s="22" t="n">
        <v>1.1</v>
      </c>
      <c r="I1656" s="24" t="n">
        <v>0.08984678238630291</v>
      </c>
      <c r="J1656" s="6" t="n">
        <v>71000</v>
      </c>
      <c r="K1656" s="25">
        <f>23*10^-6</f>
        <v/>
      </c>
      <c r="L1656" s="8">
        <f>H1656</f>
        <v/>
      </c>
      <c r="M1656" s="26">
        <f>H1656^2/6</f>
        <v/>
      </c>
      <c r="N1656" s="26">
        <f>H1656^3/12</f>
        <v/>
      </c>
      <c r="O1656" s="27">
        <f>-J1656*L1656*K1656*C1656</f>
        <v/>
      </c>
      <c r="P1656" s="28">
        <f>-(12*F1656*J1656*L1656*N1656+12*O1656*N1656*G1656*COS(RADIANS(E1656)))/(12*N1656*G1656*COS(RADIANS(E1656))^2+L1656*G1656^3*SIN(RADIANS(E1656))^2)</f>
        <v/>
      </c>
      <c r="Q1656" s="28">
        <f>-(6*F1656*J1656*L1656*N1656*SIN(RADIANS(E1656))+6*O1656*N1656*G1656*SIN(RADIANS(E1656))*COS(RADIANS(E1656)))/(12*N1656*COS(RADIANS(E1656))^2+L1656*G1656^2*SIN(RADIANS(E1656))^2)</f>
        <v/>
      </c>
      <c r="R1656" s="28">
        <f>-P1656*SIN(RADIANS(E1656))</f>
        <v/>
      </c>
      <c r="S1656" s="8">
        <f>(O1656+P1656*COS(RADIANS(E1656)))/L1656</f>
        <v/>
      </c>
      <c r="T1656" s="8">
        <f>R1656/L1656</f>
        <v/>
      </c>
      <c r="U1656" s="8">
        <f>(Q1656-P1656*G1656*SIN(RADIANS(E1656)))/M1656</f>
        <v/>
      </c>
      <c r="V1656" s="8">
        <f>SQRT((S1656+U1656)^2+3*T1656^2)</f>
        <v/>
      </c>
      <c r="W1656" s="8">
        <f>V1656/AA1656</f>
        <v/>
      </c>
      <c r="X1656" s="27">
        <f>((3*10+H1656/COS(RADIANS(E1656)))*(3+3)+3*G1656*H1656)*2</f>
        <v/>
      </c>
      <c r="Y1656" s="28">
        <f>Z1656/X1656</f>
        <v/>
      </c>
      <c r="Z1656" s="29" t="n">
        <v>546.227959694525</v>
      </c>
      <c r="AA1656" s="20" t="n">
        <v>51.6365197570156</v>
      </c>
      <c r="AB1656" t="n">
        <v>0.08552913222944057</v>
      </c>
      <c r="AC1656" t="n">
        <v>52.88269501069493</v>
      </c>
      <c r="AD1656" t="n">
        <v>-4.805570151970804</v>
      </c>
    </row>
    <row r="1657">
      <c r="A1657" t="n">
        <v>1656</v>
      </c>
      <c r="B1657" t="n">
        <v>80.8</v>
      </c>
      <c r="C1657" s="21">
        <f>B1657-20</f>
        <v/>
      </c>
      <c r="D1657" t="n">
        <v>121.3</v>
      </c>
      <c r="E1657" s="22">
        <f>D1657-90</f>
        <v/>
      </c>
      <c r="F1657" s="23" t="n">
        <v>0.023569</v>
      </c>
      <c r="G1657" s="22" t="n">
        <v>29.6</v>
      </c>
      <c r="H1657" s="22" t="n">
        <v>1.6</v>
      </c>
      <c r="I1657" s="24" t="n">
        <v>0.142363369464874</v>
      </c>
      <c r="J1657" s="6" t="n">
        <v>71000</v>
      </c>
      <c r="K1657" s="25">
        <f>23*10^-6</f>
        <v/>
      </c>
      <c r="L1657" s="8">
        <f>H1657</f>
        <v/>
      </c>
      <c r="M1657" s="26">
        <f>H1657^2/6</f>
        <v/>
      </c>
      <c r="N1657" s="26">
        <f>H1657^3/12</f>
        <v/>
      </c>
      <c r="O1657" s="27">
        <f>-J1657*L1657*K1657*C1657</f>
        <v/>
      </c>
      <c r="P1657" s="28">
        <f>-(12*F1657*J1657*L1657*N1657+12*O1657*N1657*G1657*COS(RADIANS(E1657)))/(12*N1657*G1657*COS(RADIANS(E1657))^2+L1657*G1657^3*SIN(RADIANS(E1657))^2)</f>
        <v/>
      </c>
      <c r="Q1657" s="28">
        <f>-(6*F1657*J1657*L1657*N1657*SIN(RADIANS(E1657))+6*O1657*N1657*G1657*SIN(RADIANS(E1657))*COS(RADIANS(E1657)))/(12*N1657*COS(RADIANS(E1657))^2+L1657*G1657^2*SIN(RADIANS(E1657))^2)</f>
        <v/>
      </c>
      <c r="R1657" s="28">
        <f>-P1657*SIN(RADIANS(E1657))</f>
        <v/>
      </c>
      <c r="S1657" s="8">
        <f>(O1657+P1657*COS(RADIANS(E1657)))/L1657</f>
        <v/>
      </c>
      <c r="T1657" s="8">
        <f>R1657/L1657</f>
        <v/>
      </c>
      <c r="U1657" s="8">
        <f>(Q1657-P1657*G1657*SIN(RADIANS(E1657)))/M1657</f>
        <v/>
      </c>
      <c r="V1657" s="8">
        <f>SQRT((S1657+U1657)^2+3*T1657^2)</f>
        <v/>
      </c>
      <c r="W1657" s="8">
        <f>V1657/AA1657</f>
        <v/>
      </c>
      <c r="X1657" s="27">
        <f>((3*10+H1657/COS(RADIANS(E1657)))*(3+3)+3*G1657*H1657)*2</f>
        <v/>
      </c>
      <c r="Y1657" s="28">
        <f>Z1657/X1657</f>
        <v/>
      </c>
      <c r="Z1657" s="29" t="n">
        <v>669.255471202469</v>
      </c>
      <c r="AA1657" s="20" t="n">
        <v>95.87069772053979</v>
      </c>
      <c r="AB1657" t="n">
        <v>0.1143392693962243</v>
      </c>
      <c r="AC1657" t="n">
        <v>89.77211851047467</v>
      </c>
      <c r="AD1657" t="n">
        <v>-19.68490923893466</v>
      </c>
    </row>
    <row r="1658">
      <c r="A1658" t="n">
        <v>1657</v>
      </c>
      <c r="B1658" t="n">
        <v>69.2</v>
      </c>
      <c r="C1658" s="21">
        <f>B1658-20</f>
        <v/>
      </c>
      <c r="D1658" t="n">
        <v>123.8</v>
      </c>
      <c r="E1658" s="22">
        <f>D1658-90</f>
        <v/>
      </c>
      <c r="F1658" s="23" t="n">
        <v>0.019114</v>
      </c>
      <c r="G1658" s="22" t="n">
        <v>29.3</v>
      </c>
      <c r="H1658" s="22" t="n">
        <v>1.1</v>
      </c>
      <c r="I1658" s="24" t="n">
        <v>0.12742705643177</v>
      </c>
      <c r="J1658" s="6" t="n">
        <v>71000</v>
      </c>
      <c r="K1658" s="25">
        <f>23*10^-6</f>
        <v/>
      </c>
      <c r="L1658" s="8">
        <f>H1658</f>
        <v/>
      </c>
      <c r="M1658" s="26">
        <f>H1658^2/6</f>
        <v/>
      </c>
      <c r="N1658" s="26">
        <f>H1658^3/12</f>
        <v/>
      </c>
      <c r="O1658" s="27">
        <f>-J1658*L1658*K1658*C1658</f>
        <v/>
      </c>
      <c r="P1658" s="28">
        <f>-(12*F1658*J1658*L1658*N1658+12*O1658*N1658*G1658*COS(RADIANS(E1658)))/(12*N1658*G1658*COS(RADIANS(E1658))^2+L1658*G1658^3*SIN(RADIANS(E1658))^2)</f>
        <v/>
      </c>
      <c r="Q1658" s="28">
        <f>-(6*F1658*J1658*L1658*N1658*SIN(RADIANS(E1658))+6*O1658*N1658*G1658*SIN(RADIANS(E1658))*COS(RADIANS(E1658)))/(12*N1658*COS(RADIANS(E1658))^2+L1658*G1658^2*SIN(RADIANS(E1658))^2)</f>
        <v/>
      </c>
      <c r="R1658" s="28">
        <f>-P1658*SIN(RADIANS(E1658))</f>
        <v/>
      </c>
      <c r="S1658" s="8">
        <f>(O1658+P1658*COS(RADIANS(E1658)))/L1658</f>
        <v/>
      </c>
      <c r="T1658" s="8">
        <f>R1658/L1658</f>
        <v/>
      </c>
      <c r="U1658" s="8">
        <f>(Q1658-P1658*G1658*SIN(RADIANS(E1658)))/M1658</f>
        <v/>
      </c>
      <c r="V1658" s="8">
        <f>SQRT((S1658+U1658)^2+3*T1658^2)</f>
        <v/>
      </c>
      <c r="W1658" s="8">
        <f>V1658/AA1658</f>
        <v/>
      </c>
      <c r="X1658" s="27">
        <f>((3*10+H1658/COS(RADIANS(E1658)))*(3+3)+3*G1658*H1658)*2</f>
        <v/>
      </c>
      <c r="Y1658" s="28">
        <f>Z1658/X1658</f>
        <v/>
      </c>
      <c r="Z1658" s="29" t="n">
        <v>571.631456483956</v>
      </c>
      <c r="AA1658" s="20" t="n">
        <v>70.4647795798204</v>
      </c>
      <c r="AB1658" t="n">
        <v>0.08472530000704484</v>
      </c>
      <c r="AC1658" t="n">
        <v>70.23832388331253</v>
      </c>
      <c r="AD1658" t="n">
        <v>-33.51074537893727</v>
      </c>
    </row>
    <row r="1659">
      <c r="A1659" t="n">
        <v>1658</v>
      </c>
      <c r="B1659" t="n">
        <v>44.8</v>
      </c>
      <c r="C1659" s="21">
        <f>B1659-20</f>
        <v/>
      </c>
      <c r="D1659" t="n">
        <v>113.9</v>
      </c>
      <c r="E1659" s="22">
        <f>D1659-90</f>
        <v/>
      </c>
      <c r="F1659" s="23" t="n">
        <v>0.008466</v>
      </c>
      <c r="G1659" s="22" t="n">
        <v>26.4</v>
      </c>
      <c r="H1659" s="22" t="n">
        <v>1.1</v>
      </c>
      <c r="I1659" s="24" t="n">
        <v>0.0440339520573616</v>
      </c>
      <c r="J1659" s="6" t="n">
        <v>71000</v>
      </c>
      <c r="K1659" s="25">
        <f>23*10^-6</f>
        <v/>
      </c>
      <c r="L1659" s="8">
        <f>H1659</f>
        <v/>
      </c>
      <c r="M1659" s="26">
        <f>H1659^2/6</f>
        <v/>
      </c>
      <c r="N1659" s="26">
        <f>H1659^3/12</f>
        <v/>
      </c>
      <c r="O1659" s="27">
        <f>-J1659*L1659*K1659*C1659</f>
        <v/>
      </c>
      <c r="P1659" s="28">
        <f>-(12*F1659*J1659*L1659*N1659+12*O1659*N1659*G1659*COS(RADIANS(E1659)))/(12*N1659*G1659*COS(RADIANS(E1659))^2+L1659*G1659^3*SIN(RADIANS(E1659))^2)</f>
        <v/>
      </c>
      <c r="Q1659" s="28">
        <f>-(6*F1659*J1659*L1659*N1659*SIN(RADIANS(E1659))+6*O1659*N1659*G1659*SIN(RADIANS(E1659))*COS(RADIANS(E1659)))/(12*N1659*COS(RADIANS(E1659))^2+L1659*G1659^2*SIN(RADIANS(E1659))^2)</f>
        <v/>
      </c>
      <c r="R1659" s="28">
        <f>-P1659*SIN(RADIANS(E1659))</f>
        <v/>
      </c>
      <c r="S1659" s="8">
        <f>(O1659+P1659*COS(RADIANS(E1659)))/L1659</f>
        <v/>
      </c>
      <c r="T1659" s="8">
        <f>R1659/L1659</f>
        <v/>
      </c>
      <c r="U1659" s="8">
        <f>(Q1659-P1659*G1659*SIN(RADIANS(E1659)))/M1659</f>
        <v/>
      </c>
      <c r="V1659" s="8">
        <f>SQRT((S1659+U1659)^2+3*T1659^2)</f>
        <v/>
      </c>
      <c r="W1659" s="8">
        <f>V1659/AA1659</f>
        <v/>
      </c>
      <c r="X1659" s="27">
        <f>((3*10+H1659/COS(RADIANS(E1659)))*(3+3)+3*G1659*H1659)*2</f>
        <v/>
      </c>
      <c r="Y1659" s="28">
        <f>Z1659/X1659</f>
        <v/>
      </c>
      <c r="Z1659" s="29" t="n">
        <v>554.685972131828</v>
      </c>
      <c r="AA1659" s="20" t="n">
        <v>34.7122111472217</v>
      </c>
      <c r="AB1659" t="n">
        <v>0.05586810982355891</v>
      </c>
      <c r="AC1659" t="n">
        <v>36.74794467919018</v>
      </c>
      <c r="AD1659" t="n">
        <v>26.87507528459252</v>
      </c>
    </row>
    <row r="1660">
      <c r="A1660" t="n">
        <v>1659</v>
      </c>
      <c r="B1660" t="n">
        <v>86</v>
      </c>
      <c r="C1660" s="21">
        <f>B1660-20</f>
        <v/>
      </c>
      <c r="D1660" t="n">
        <v>111.7</v>
      </c>
      <c r="E1660" s="22">
        <f>D1660-90</f>
        <v/>
      </c>
      <c r="F1660" s="23" t="n">
        <v>0.017924</v>
      </c>
      <c r="G1660" s="22" t="n">
        <v>20.6</v>
      </c>
      <c r="H1660" s="22" t="n">
        <v>1.4</v>
      </c>
      <c r="I1660" s="24" t="n">
        <v>0.0883257538080215</v>
      </c>
      <c r="J1660" s="6" t="n">
        <v>71000</v>
      </c>
      <c r="K1660" s="25">
        <f>23*10^-6</f>
        <v/>
      </c>
      <c r="L1660" s="8">
        <f>H1660</f>
        <v/>
      </c>
      <c r="M1660" s="26">
        <f>H1660^2/6</f>
        <v/>
      </c>
      <c r="N1660" s="26">
        <f>H1660^3/12</f>
        <v/>
      </c>
      <c r="O1660" s="27">
        <f>-J1660*L1660*K1660*C1660</f>
        <v/>
      </c>
      <c r="P1660" s="28">
        <f>-(12*F1660*J1660*L1660*N1660+12*O1660*N1660*G1660*COS(RADIANS(E1660)))/(12*N1660*G1660*COS(RADIANS(E1660))^2+L1660*G1660^3*SIN(RADIANS(E1660))^2)</f>
        <v/>
      </c>
      <c r="Q1660" s="28">
        <f>-(6*F1660*J1660*L1660*N1660*SIN(RADIANS(E1660))+6*O1660*N1660*G1660*SIN(RADIANS(E1660))*COS(RADIANS(E1660)))/(12*N1660*COS(RADIANS(E1660))^2+L1660*G1660^2*SIN(RADIANS(E1660))^2)</f>
        <v/>
      </c>
      <c r="R1660" s="28">
        <f>-P1660*SIN(RADIANS(E1660))</f>
        <v/>
      </c>
      <c r="S1660" s="8">
        <f>(O1660+P1660*COS(RADIANS(E1660)))/L1660</f>
        <v/>
      </c>
      <c r="T1660" s="8">
        <f>R1660/L1660</f>
        <v/>
      </c>
      <c r="U1660" s="8">
        <f>(Q1660-P1660*G1660*SIN(RADIANS(E1660)))/M1660</f>
        <v/>
      </c>
      <c r="V1660" s="8">
        <f>SQRT((S1660+U1660)^2+3*T1660^2)</f>
        <v/>
      </c>
      <c r="W1660" s="8">
        <f>V1660/AA1660</f>
        <v/>
      </c>
      <c r="X1660" s="27">
        <f>((3*10+H1660/COS(RADIANS(E1660)))*(3+3)+3*G1660*H1660)*2</f>
        <v/>
      </c>
      <c r="Y1660" s="28">
        <f>Z1660/X1660</f>
        <v/>
      </c>
      <c r="Z1660" s="29" t="n">
        <v>559.633004068436</v>
      </c>
      <c r="AA1660" s="20" t="n">
        <v>100.612941170101</v>
      </c>
      <c r="AB1660" t="n">
        <v>0.1281488939613076</v>
      </c>
      <c r="AC1660" t="n">
        <v>103.1710431171731</v>
      </c>
      <c r="AD1660" t="n">
        <v>45.08666887784825</v>
      </c>
    </row>
    <row r="1661">
      <c r="A1661" t="n">
        <v>1660</v>
      </c>
      <c r="B1661" t="n">
        <v>76.2</v>
      </c>
      <c r="C1661" s="21">
        <f>B1661-20</f>
        <v/>
      </c>
      <c r="D1661" t="n">
        <v>128.2</v>
      </c>
      <c r="E1661" s="22">
        <f>D1661-90</f>
        <v/>
      </c>
      <c r="F1661" s="23" t="n">
        <v>0.021132</v>
      </c>
      <c r="G1661" s="22" t="n">
        <v>32.9</v>
      </c>
      <c r="H1661" s="22" t="n">
        <v>1.5</v>
      </c>
      <c r="I1661" s="24" t="n">
        <v>0.0920881032943725</v>
      </c>
      <c r="J1661" s="6" t="n">
        <v>71000</v>
      </c>
      <c r="K1661" s="25">
        <f>23*10^-6</f>
        <v/>
      </c>
      <c r="L1661" s="8">
        <f>H1661</f>
        <v/>
      </c>
      <c r="M1661" s="26">
        <f>H1661^2/6</f>
        <v/>
      </c>
      <c r="N1661" s="26">
        <f>H1661^3/12</f>
        <v/>
      </c>
      <c r="O1661" s="27">
        <f>-J1661*L1661*K1661*C1661</f>
        <v/>
      </c>
      <c r="P1661" s="28">
        <f>-(12*F1661*J1661*L1661*N1661+12*O1661*N1661*G1661*COS(RADIANS(E1661)))/(12*N1661*G1661*COS(RADIANS(E1661))^2+L1661*G1661^3*SIN(RADIANS(E1661))^2)</f>
        <v/>
      </c>
      <c r="Q1661" s="28">
        <f>-(6*F1661*J1661*L1661*N1661*SIN(RADIANS(E1661))+6*O1661*N1661*G1661*SIN(RADIANS(E1661))*COS(RADIANS(E1661)))/(12*N1661*COS(RADIANS(E1661))^2+L1661*G1661^2*SIN(RADIANS(E1661))^2)</f>
        <v/>
      </c>
      <c r="R1661" s="28">
        <f>-P1661*SIN(RADIANS(E1661))</f>
        <v/>
      </c>
      <c r="S1661" s="8">
        <f>(O1661+P1661*COS(RADIANS(E1661)))/L1661</f>
        <v/>
      </c>
      <c r="T1661" s="8">
        <f>R1661/L1661</f>
        <v/>
      </c>
      <c r="U1661" s="8">
        <f>(Q1661-P1661*G1661*SIN(RADIANS(E1661)))/M1661</f>
        <v/>
      </c>
      <c r="V1661" s="8">
        <f>SQRT((S1661+U1661)^2+3*T1661^2)</f>
        <v/>
      </c>
      <c r="W1661" s="8">
        <f>V1661/AA1661</f>
        <v/>
      </c>
      <c r="X1661" s="27">
        <f>((3*10+H1661/COS(RADIANS(E1661)))*(3+3)+3*G1661*H1661)*2</f>
        <v/>
      </c>
      <c r="Y1661" s="28">
        <f>Z1661/X1661</f>
        <v/>
      </c>
      <c r="Z1661" s="29" t="n">
        <v>686.743656742164</v>
      </c>
      <c r="AA1661" s="20" t="n">
        <v>80.7130919558803</v>
      </c>
      <c r="AB1661" t="n">
        <v>0.09433194817896931</v>
      </c>
      <c r="AC1661" t="n">
        <v>80.4760434739467</v>
      </c>
      <c r="AD1661" t="n">
        <v>2.436628407280844</v>
      </c>
    </row>
    <row r="1662">
      <c r="A1662" t="n">
        <v>1661</v>
      </c>
      <c r="B1662" t="n">
        <v>52.1</v>
      </c>
      <c r="C1662" s="21">
        <f>B1662-20</f>
        <v/>
      </c>
      <c r="D1662" t="n">
        <v>127.8</v>
      </c>
      <c r="E1662" s="22">
        <f>D1662-90</f>
        <v/>
      </c>
      <c r="F1662" s="23" t="n">
        <v>0.011763</v>
      </c>
      <c r="G1662" s="22" t="n">
        <v>28.1</v>
      </c>
      <c r="H1662" s="22" t="n">
        <v>1.3</v>
      </c>
      <c r="I1662" s="24" t="n">
        <v>0.06605818867683411</v>
      </c>
      <c r="J1662" s="6" t="n">
        <v>71000</v>
      </c>
      <c r="K1662" s="25">
        <f>23*10^-6</f>
        <v/>
      </c>
      <c r="L1662" s="8">
        <f>H1662</f>
        <v/>
      </c>
      <c r="M1662" s="26">
        <f>H1662^2/6</f>
        <v/>
      </c>
      <c r="N1662" s="26">
        <f>H1662^3/12</f>
        <v/>
      </c>
      <c r="O1662" s="27">
        <f>-J1662*L1662*K1662*C1662</f>
        <v/>
      </c>
      <c r="P1662" s="28">
        <f>-(12*F1662*J1662*L1662*N1662+12*O1662*N1662*G1662*COS(RADIANS(E1662)))/(12*N1662*G1662*COS(RADIANS(E1662))^2+L1662*G1662^3*SIN(RADIANS(E1662))^2)</f>
        <v/>
      </c>
      <c r="Q1662" s="28">
        <f>-(6*F1662*J1662*L1662*N1662*SIN(RADIANS(E1662))+6*O1662*N1662*G1662*SIN(RADIANS(E1662))*COS(RADIANS(E1662)))/(12*N1662*COS(RADIANS(E1662))^2+L1662*G1662^2*SIN(RADIANS(E1662))^2)</f>
        <v/>
      </c>
      <c r="R1662" s="28">
        <f>-P1662*SIN(RADIANS(E1662))</f>
        <v/>
      </c>
      <c r="S1662" s="8">
        <f>(O1662+P1662*COS(RADIANS(E1662)))/L1662</f>
        <v/>
      </c>
      <c r="T1662" s="8">
        <f>R1662/L1662</f>
        <v/>
      </c>
      <c r="U1662" s="8">
        <f>(Q1662-P1662*G1662*SIN(RADIANS(E1662)))/M1662</f>
        <v/>
      </c>
      <c r="V1662" s="8">
        <f>SQRT((S1662+U1662)^2+3*T1662^2)</f>
        <v/>
      </c>
      <c r="W1662" s="8">
        <f>V1662/AA1662</f>
        <v/>
      </c>
      <c r="X1662" s="27">
        <f>((3*10+H1662/COS(RADIANS(E1662)))*(3+3)+3*G1662*H1662)*2</f>
        <v/>
      </c>
      <c r="Y1662" s="28">
        <f>Z1662/X1662</f>
        <v/>
      </c>
      <c r="Z1662" s="29" t="n">
        <v>601.175164510013</v>
      </c>
      <c r="AA1662" s="20" t="n">
        <v>47.2542076774103</v>
      </c>
      <c r="AB1662" t="n">
        <v>0.04695879363589278</v>
      </c>
      <c r="AC1662" t="n">
        <v>45.90493919049</v>
      </c>
      <c r="AD1662" t="n">
        <v>-28.91298629815334</v>
      </c>
    </row>
    <row r="1663">
      <c r="A1663" t="n">
        <v>1662</v>
      </c>
      <c r="B1663" t="n">
        <v>89.3</v>
      </c>
      <c r="C1663" s="21">
        <f>B1663-20</f>
        <v/>
      </c>
      <c r="D1663" t="n">
        <v>105.9</v>
      </c>
      <c r="E1663" s="22">
        <f>D1663-90</f>
        <v/>
      </c>
      <c r="F1663" s="23" t="n">
        <v>0.020401</v>
      </c>
      <c r="G1663" s="22" t="n">
        <v>23.2</v>
      </c>
      <c r="H1663" s="22" t="n">
        <v>1.2</v>
      </c>
      <c r="I1663" s="24" t="n">
        <v>0.09710996598005291</v>
      </c>
      <c r="J1663" s="6" t="n">
        <v>71000</v>
      </c>
      <c r="K1663" s="25">
        <f>23*10^-6</f>
        <v/>
      </c>
      <c r="L1663" s="8">
        <f>H1663</f>
        <v/>
      </c>
      <c r="M1663" s="26">
        <f>H1663^2/6</f>
        <v/>
      </c>
      <c r="N1663" s="26">
        <f>H1663^3/12</f>
        <v/>
      </c>
      <c r="O1663" s="27">
        <f>-J1663*L1663*K1663*C1663</f>
        <v/>
      </c>
      <c r="P1663" s="28">
        <f>-(12*F1663*J1663*L1663*N1663+12*O1663*N1663*G1663*COS(RADIANS(E1663)))/(12*N1663*G1663*COS(RADIANS(E1663))^2+L1663*G1663^3*SIN(RADIANS(E1663))^2)</f>
        <v/>
      </c>
      <c r="Q1663" s="28">
        <f>-(6*F1663*J1663*L1663*N1663*SIN(RADIANS(E1663))+6*O1663*N1663*G1663*SIN(RADIANS(E1663))*COS(RADIANS(E1663)))/(12*N1663*COS(RADIANS(E1663))^2+L1663*G1663^2*SIN(RADIANS(E1663))^2)</f>
        <v/>
      </c>
      <c r="R1663" s="28">
        <f>-P1663*SIN(RADIANS(E1663))</f>
        <v/>
      </c>
      <c r="S1663" s="8">
        <f>(O1663+P1663*COS(RADIANS(E1663)))/L1663</f>
        <v/>
      </c>
      <c r="T1663" s="8">
        <f>R1663/L1663</f>
        <v/>
      </c>
      <c r="U1663" s="8">
        <f>(Q1663-P1663*G1663*SIN(RADIANS(E1663)))/M1663</f>
        <v/>
      </c>
      <c r="V1663" s="8">
        <f>SQRT((S1663+U1663)^2+3*T1663^2)</f>
        <v/>
      </c>
      <c r="W1663" s="8">
        <f>V1663/AA1663</f>
        <v/>
      </c>
      <c r="X1663" s="27">
        <f>((3*10+H1663/COS(RADIANS(E1663)))*(3+3)+3*G1663*H1663)*2</f>
        <v/>
      </c>
      <c r="Y1663" s="28">
        <f>Z1663/X1663</f>
        <v/>
      </c>
      <c r="Z1663" s="29" t="n">
        <v>551.41435519455</v>
      </c>
      <c r="AA1663" s="20" t="n">
        <v>99.813790860059</v>
      </c>
      <c r="AB1663" t="n">
        <v>0.2064813204341022</v>
      </c>
      <c r="AC1663" t="n">
        <v>110.190746188314</v>
      </c>
      <c r="AD1663" t="n">
        <v>112.6262926263561</v>
      </c>
    </row>
    <row r="1664">
      <c r="A1664" t="n">
        <v>1663</v>
      </c>
      <c r="B1664" t="n">
        <v>63.5</v>
      </c>
      <c r="C1664" s="21">
        <f>B1664-20</f>
        <v/>
      </c>
      <c r="D1664" t="n">
        <v>117</v>
      </c>
      <c r="E1664" s="22">
        <f>D1664-90</f>
        <v/>
      </c>
      <c r="F1664" s="23" t="n">
        <v>0.015832</v>
      </c>
      <c r="G1664" s="22" t="n">
        <v>31.2</v>
      </c>
      <c r="H1664" s="22" t="n">
        <v>1.3</v>
      </c>
      <c r="I1664" s="24" t="n">
        <v>0.0701242312788963</v>
      </c>
      <c r="J1664" s="6" t="n">
        <v>71000</v>
      </c>
      <c r="K1664" s="25">
        <f>23*10^-6</f>
        <v/>
      </c>
      <c r="L1664" s="8">
        <f>H1664</f>
        <v/>
      </c>
      <c r="M1664" s="26">
        <f>H1664^2/6</f>
        <v/>
      </c>
      <c r="N1664" s="26">
        <f>H1664^3/12</f>
        <v/>
      </c>
      <c r="O1664" s="27">
        <f>-J1664*L1664*K1664*C1664</f>
        <v/>
      </c>
      <c r="P1664" s="28">
        <f>-(12*F1664*J1664*L1664*N1664+12*O1664*N1664*G1664*COS(RADIANS(E1664)))/(12*N1664*G1664*COS(RADIANS(E1664))^2+L1664*G1664^3*SIN(RADIANS(E1664))^2)</f>
        <v/>
      </c>
      <c r="Q1664" s="28">
        <f>-(6*F1664*J1664*L1664*N1664*SIN(RADIANS(E1664))+6*O1664*N1664*G1664*SIN(RADIANS(E1664))*COS(RADIANS(E1664)))/(12*N1664*COS(RADIANS(E1664))^2+L1664*G1664^2*SIN(RADIANS(E1664))^2)</f>
        <v/>
      </c>
      <c r="R1664" s="28">
        <f>-P1664*SIN(RADIANS(E1664))</f>
        <v/>
      </c>
      <c r="S1664" s="8">
        <f>(O1664+P1664*COS(RADIANS(E1664)))/L1664</f>
        <v/>
      </c>
      <c r="T1664" s="8">
        <f>R1664/L1664</f>
        <v/>
      </c>
      <c r="U1664" s="8">
        <f>(Q1664-P1664*G1664*SIN(RADIANS(E1664)))/M1664</f>
        <v/>
      </c>
      <c r="V1664" s="8">
        <f>SQRT((S1664+U1664)^2+3*T1664^2)</f>
        <v/>
      </c>
      <c r="W1664" s="8">
        <f>V1664/AA1664</f>
        <v/>
      </c>
      <c r="X1664" s="27">
        <f>((3*10+H1664/COS(RADIANS(E1664)))*(3+3)+3*G1664*H1664)*2</f>
        <v/>
      </c>
      <c r="Y1664" s="28">
        <f>Z1664/X1664</f>
        <v/>
      </c>
      <c r="Z1664" s="29" t="n">
        <v>630.4479496096779</v>
      </c>
      <c r="AA1664" s="20" t="n">
        <v>60.5122714723593</v>
      </c>
      <c r="AB1664" t="n">
        <v>0.1009218284533765</v>
      </c>
      <c r="AC1664" t="n">
        <v>63.92949486779654</v>
      </c>
      <c r="AD1664" t="n">
        <v>43.91862358104552</v>
      </c>
    </row>
    <row r="1665">
      <c r="A1665" t="n">
        <v>1664</v>
      </c>
      <c r="B1665" t="n">
        <v>65.8</v>
      </c>
      <c r="C1665" s="21">
        <f>B1665-20</f>
        <v/>
      </c>
      <c r="D1665" t="n">
        <v>100.1</v>
      </c>
      <c r="E1665" s="22">
        <f>D1665-90</f>
        <v/>
      </c>
      <c r="F1665" s="23" t="n">
        <v>0.019649</v>
      </c>
      <c r="G1665" s="22" t="n">
        <v>34.6</v>
      </c>
      <c r="H1665" s="22" t="n">
        <v>1.7</v>
      </c>
      <c r="I1665" s="24" t="n">
        <v>0.100721269845962</v>
      </c>
      <c r="J1665" s="6" t="n">
        <v>71000</v>
      </c>
      <c r="K1665" s="25">
        <f>23*10^-6</f>
        <v/>
      </c>
      <c r="L1665" s="8">
        <f>H1665</f>
        <v/>
      </c>
      <c r="M1665" s="26">
        <f>H1665^2/6</f>
        <v/>
      </c>
      <c r="N1665" s="26">
        <f>H1665^3/12</f>
        <v/>
      </c>
      <c r="O1665" s="27">
        <f>-J1665*L1665*K1665*C1665</f>
        <v/>
      </c>
      <c r="P1665" s="28">
        <f>-(12*F1665*J1665*L1665*N1665+12*O1665*N1665*G1665*COS(RADIANS(E1665)))/(12*N1665*G1665*COS(RADIANS(E1665))^2+L1665*G1665^3*SIN(RADIANS(E1665))^2)</f>
        <v/>
      </c>
      <c r="Q1665" s="28">
        <f>-(6*F1665*J1665*L1665*N1665*SIN(RADIANS(E1665))+6*O1665*N1665*G1665*SIN(RADIANS(E1665))*COS(RADIANS(E1665)))/(12*N1665*COS(RADIANS(E1665))^2+L1665*G1665^2*SIN(RADIANS(E1665))^2)</f>
        <v/>
      </c>
      <c r="R1665" s="28">
        <f>-P1665*SIN(RADIANS(E1665))</f>
        <v/>
      </c>
      <c r="S1665" s="8">
        <f>(O1665+P1665*COS(RADIANS(E1665)))/L1665</f>
        <v/>
      </c>
      <c r="T1665" s="8">
        <f>R1665/L1665</f>
        <v/>
      </c>
      <c r="U1665" s="8">
        <f>(Q1665-P1665*G1665*SIN(RADIANS(E1665)))/M1665</f>
        <v/>
      </c>
      <c r="V1665" s="8">
        <f>SQRT((S1665+U1665)^2+3*T1665^2)</f>
        <v/>
      </c>
      <c r="W1665" s="8">
        <f>V1665/AA1665</f>
        <v/>
      </c>
      <c r="X1665" s="27">
        <f>((3*10+H1665/COS(RADIANS(E1665)))*(3+3)+3*G1665*H1665)*2</f>
        <v/>
      </c>
      <c r="Y1665" s="28">
        <f>Z1665/X1665</f>
        <v/>
      </c>
      <c r="Z1665" s="29" t="n">
        <v>740.9178163337</v>
      </c>
      <c r="AA1665" s="20" t="n">
        <v>70.9441308880595</v>
      </c>
      <c r="AB1665" t="n">
        <v>0.302009183694834</v>
      </c>
      <c r="AC1665" t="n">
        <v>79.43092947574699</v>
      </c>
      <c r="AD1665" t="n">
        <v>199.8464814400291</v>
      </c>
    </row>
    <row r="1666">
      <c r="A1666" t="n">
        <v>1665</v>
      </c>
      <c r="B1666" t="n">
        <v>65.40000000000001</v>
      </c>
      <c r="C1666" s="21">
        <f>B1666-20</f>
        <v/>
      </c>
      <c r="D1666" t="n">
        <v>101.1</v>
      </c>
      <c r="E1666" s="22">
        <f>D1666-90</f>
        <v/>
      </c>
      <c r="F1666" s="23" t="n">
        <v>0.019503</v>
      </c>
      <c r="G1666" s="22" t="n">
        <v>34.1</v>
      </c>
      <c r="H1666" s="22" t="n">
        <v>1.5</v>
      </c>
      <c r="I1666" s="24" t="n">
        <v>0.106220796704292</v>
      </c>
      <c r="J1666" s="6" t="n">
        <v>71000</v>
      </c>
      <c r="K1666" s="25">
        <f>23*10^-6</f>
        <v/>
      </c>
      <c r="L1666" s="8">
        <f>H1666</f>
        <v/>
      </c>
      <c r="M1666" s="26">
        <f>H1666^2/6</f>
        <v/>
      </c>
      <c r="N1666" s="26">
        <f>H1666^3/12</f>
        <v/>
      </c>
      <c r="O1666" s="27">
        <f>-J1666*L1666*K1666*C1666</f>
        <v/>
      </c>
      <c r="P1666" s="28">
        <f>-(12*F1666*J1666*L1666*N1666+12*O1666*N1666*G1666*COS(RADIANS(E1666)))/(12*N1666*G1666*COS(RADIANS(E1666))^2+L1666*G1666^3*SIN(RADIANS(E1666))^2)</f>
        <v/>
      </c>
      <c r="Q1666" s="28">
        <f>-(6*F1666*J1666*L1666*N1666*SIN(RADIANS(E1666))+6*O1666*N1666*G1666*SIN(RADIANS(E1666))*COS(RADIANS(E1666)))/(12*N1666*COS(RADIANS(E1666))^2+L1666*G1666^2*SIN(RADIANS(E1666))^2)</f>
        <v/>
      </c>
      <c r="R1666" s="28">
        <f>-P1666*SIN(RADIANS(E1666))</f>
        <v/>
      </c>
      <c r="S1666" s="8">
        <f>(O1666+P1666*COS(RADIANS(E1666)))/L1666</f>
        <v/>
      </c>
      <c r="T1666" s="8">
        <f>R1666/L1666</f>
        <v/>
      </c>
      <c r="U1666" s="8">
        <f>(Q1666-P1666*G1666*SIN(RADIANS(E1666)))/M1666</f>
        <v/>
      </c>
      <c r="V1666" s="8">
        <f>SQRT((S1666+U1666)^2+3*T1666^2)</f>
        <v/>
      </c>
      <c r="W1666" s="8">
        <f>V1666/AA1666</f>
        <v/>
      </c>
      <c r="X1666" s="27">
        <f>((3*10+H1666/COS(RADIANS(E1666)))*(3+3)+3*G1666*H1666)*2</f>
        <v/>
      </c>
      <c r="Y1666" s="28">
        <f>Z1666/X1666</f>
        <v/>
      </c>
      <c r="Z1666" s="29" t="n">
        <v>691.537081817251</v>
      </c>
      <c r="AA1666" s="20" t="n">
        <v>67.9985728375993</v>
      </c>
      <c r="AB1666" t="n">
        <v>0.2750263792477216</v>
      </c>
      <c r="AC1666" t="n">
        <v>75.99137275240606</v>
      </c>
      <c r="AD1666" t="n">
        <v>158.9195221472188</v>
      </c>
    </row>
    <row r="1667">
      <c r="A1667" t="n">
        <v>1666</v>
      </c>
      <c r="B1667" t="n">
        <v>69.7</v>
      </c>
      <c r="C1667" s="21">
        <f>B1667-20</f>
        <v/>
      </c>
      <c r="D1667" t="n">
        <v>121.7</v>
      </c>
      <c r="E1667" s="22">
        <f>D1667-90</f>
        <v/>
      </c>
      <c r="F1667" s="23" t="n">
        <v>0.012928</v>
      </c>
      <c r="G1667" s="22" t="n">
        <v>21.4</v>
      </c>
      <c r="H1667" s="22" t="n">
        <v>1</v>
      </c>
      <c r="I1667" s="24" t="n">
        <v>0.0586655400693416</v>
      </c>
      <c r="J1667" s="6" t="n">
        <v>71000</v>
      </c>
      <c r="K1667" s="25">
        <f>23*10^-6</f>
        <v/>
      </c>
      <c r="L1667" s="8">
        <f>H1667</f>
        <v/>
      </c>
      <c r="M1667" s="26">
        <f>H1667^2/6</f>
        <v/>
      </c>
      <c r="N1667" s="26">
        <f>H1667^3/12</f>
        <v/>
      </c>
      <c r="O1667" s="27">
        <f>-J1667*L1667*K1667*C1667</f>
        <v/>
      </c>
      <c r="P1667" s="28">
        <f>-(12*F1667*J1667*L1667*N1667+12*O1667*N1667*G1667*COS(RADIANS(E1667)))/(12*N1667*G1667*COS(RADIANS(E1667))^2+L1667*G1667^3*SIN(RADIANS(E1667))^2)</f>
        <v/>
      </c>
      <c r="Q1667" s="28">
        <f>-(6*F1667*J1667*L1667*N1667*SIN(RADIANS(E1667))+6*O1667*N1667*G1667*SIN(RADIANS(E1667))*COS(RADIANS(E1667)))/(12*N1667*COS(RADIANS(E1667))^2+L1667*G1667^2*SIN(RADIANS(E1667))^2)</f>
        <v/>
      </c>
      <c r="R1667" s="28">
        <f>-P1667*SIN(RADIANS(E1667))</f>
        <v/>
      </c>
      <c r="S1667" s="8">
        <f>(O1667+P1667*COS(RADIANS(E1667)))/L1667</f>
        <v/>
      </c>
      <c r="T1667" s="8">
        <f>R1667/L1667</f>
        <v/>
      </c>
      <c r="U1667" s="8">
        <f>(Q1667-P1667*G1667*SIN(RADIANS(E1667)))/M1667</f>
        <v/>
      </c>
      <c r="V1667" s="8">
        <f>SQRT((S1667+U1667)^2+3*T1667^2)</f>
        <v/>
      </c>
      <c r="W1667" s="8">
        <f>V1667/AA1667</f>
        <v/>
      </c>
      <c r="X1667" s="27">
        <f>((3*10+H1667/COS(RADIANS(E1667)))*(3+3)+3*G1667*H1667)*2</f>
        <v/>
      </c>
      <c r="Y1667" s="28">
        <f>Z1667/X1667</f>
        <v/>
      </c>
      <c r="Z1667" s="29" t="n">
        <v>513.64349669435</v>
      </c>
      <c r="AA1667" s="20" t="n">
        <v>66.9033179788314</v>
      </c>
      <c r="AB1667" t="n">
        <v>0.06832064826574077</v>
      </c>
      <c r="AC1667" t="n">
        <v>71.76118455273733</v>
      </c>
      <c r="AD1667" t="n">
        <v>16.45788683610006</v>
      </c>
    </row>
    <row r="1668">
      <c r="A1668" t="n">
        <v>1667</v>
      </c>
      <c r="B1668" t="n">
        <v>54.3</v>
      </c>
      <c r="C1668" s="21">
        <f>B1668-20</f>
        <v/>
      </c>
      <c r="D1668" t="n">
        <v>105.7</v>
      </c>
      <c r="E1668" s="22">
        <f>D1668-90</f>
        <v/>
      </c>
      <c r="F1668" s="23" t="n">
        <v>0.00868</v>
      </c>
      <c r="G1668" s="22" t="n">
        <v>20.5</v>
      </c>
      <c r="H1668" s="22" t="n">
        <v>1</v>
      </c>
      <c r="I1668" s="24" t="n">
        <v>0.0397503636777401</v>
      </c>
      <c r="J1668" s="6" t="n">
        <v>71000</v>
      </c>
      <c r="K1668" s="25">
        <f>23*10^-6</f>
        <v/>
      </c>
      <c r="L1668" s="8">
        <f>H1668</f>
        <v/>
      </c>
      <c r="M1668" s="26">
        <f>H1668^2/6</f>
        <v/>
      </c>
      <c r="N1668" s="26">
        <f>H1668^3/12</f>
        <v/>
      </c>
      <c r="O1668" s="27">
        <f>-J1668*L1668*K1668*C1668</f>
        <v/>
      </c>
      <c r="P1668" s="28">
        <f>-(12*F1668*J1668*L1668*N1668+12*O1668*N1668*G1668*COS(RADIANS(E1668)))/(12*N1668*G1668*COS(RADIANS(E1668))^2+L1668*G1668^3*SIN(RADIANS(E1668))^2)</f>
        <v/>
      </c>
      <c r="Q1668" s="28">
        <f>-(6*F1668*J1668*L1668*N1668*SIN(RADIANS(E1668))+6*O1668*N1668*G1668*SIN(RADIANS(E1668))*COS(RADIANS(E1668)))/(12*N1668*COS(RADIANS(E1668))^2+L1668*G1668^2*SIN(RADIANS(E1668))^2)</f>
        <v/>
      </c>
      <c r="R1668" s="28">
        <f>-P1668*SIN(RADIANS(E1668))</f>
        <v/>
      </c>
      <c r="S1668" s="8">
        <f>(O1668+P1668*COS(RADIANS(E1668)))/L1668</f>
        <v/>
      </c>
      <c r="T1668" s="8">
        <f>R1668/L1668</f>
        <v/>
      </c>
      <c r="U1668" s="8">
        <f>(Q1668-P1668*G1668*SIN(RADIANS(E1668)))/M1668</f>
        <v/>
      </c>
      <c r="V1668" s="8">
        <f>SQRT((S1668+U1668)^2+3*T1668^2)</f>
        <v/>
      </c>
      <c r="W1668" s="8">
        <f>V1668/AA1668</f>
        <v/>
      </c>
      <c r="X1668" s="27">
        <f>((3*10+H1668/COS(RADIANS(E1668)))*(3+3)+3*G1668*H1668)*2</f>
        <v/>
      </c>
      <c r="Y1668" s="28">
        <f>Z1668/X1668</f>
        <v/>
      </c>
      <c r="Z1668" s="29" t="n">
        <v>507.994309804236</v>
      </c>
      <c r="AA1668" s="20" t="n">
        <v>46.5044932306554</v>
      </c>
      <c r="AB1668" t="n">
        <v>0.09268853454728727</v>
      </c>
      <c r="AC1668" t="n">
        <v>53.8275841334703</v>
      </c>
      <c r="AD1668" t="n">
        <v>133.1765699019055</v>
      </c>
    </row>
    <row r="1669">
      <c r="A1669" t="n">
        <v>1668</v>
      </c>
      <c r="B1669" t="n">
        <v>85.2</v>
      </c>
      <c r="C1669" s="21">
        <f>B1669-20</f>
        <v/>
      </c>
      <c r="D1669" t="n">
        <v>120.5</v>
      </c>
      <c r="E1669" s="22">
        <f>D1669-90</f>
        <v/>
      </c>
      <c r="F1669" s="23" t="n">
        <v>0.019757</v>
      </c>
      <c r="G1669" s="22" t="n">
        <v>21.4</v>
      </c>
      <c r="H1669" s="22" t="n">
        <v>1.1</v>
      </c>
      <c r="I1669" s="24" t="n">
        <v>0.140152379870414</v>
      </c>
      <c r="J1669" s="6" t="n">
        <v>71000</v>
      </c>
      <c r="K1669" s="25">
        <f>23*10^-6</f>
        <v/>
      </c>
      <c r="L1669" s="8">
        <f>H1669</f>
        <v/>
      </c>
      <c r="M1669" s="26">
        <f>H1669^2/6</f>
        <v/>
      </c>
      <c r="N1669" s="26">
        <f>H1669^3/12</f>
        <v/>
      </c>
      <c r="O1669" s="27">
        <f>-J1669*L1669*K1669*C1669</f>
        <v/>
      </c>
      <c r="P1669" s="28">
        <f>-(12*F1669*J1669*L1669*N1669+12*O1669*N1669*G1669*COS(RADIANS(E1669)))/(12*N1669*G1669*COS(RADIANS(E1669))^2+L1669*G1669^3*SIN(RADIANS(E1669))^2)</f>
        <v/>
      </c>
      <c r="Q1669" s="28">
        <f>-(6*F1669*J1669*L1669*N1669*SIN(RADIANS(E1669))+6*O1669*N1669*G1669*SIN(RADIANS(E1669))*COS(RADIANS(E1669)))/(12*N1669*COS(RADIANS(E1669))^2+L1669*G1669^2*SIN(RADIANS(E1669))^2)</f>
        <v/>
      </c>
      <c r="R1669" s="28">
        <f>-P1669*SIN(RADIANS(E1669))</f>
        <v/>
      </c>
      <c r="S1669" s="8">
        <f>(O1669+P1669*COS(RADIANS(E1669)))/L1669</f>
        <v/>
      </c>
      <c r="T1669" s="8">
        <f>R1669/L1669</f>
        <v/>
      </c>
      <c r="U1669" s="8">
        <f>(Q1669-P1669*G1669*SIN(RADIANS(E1669)))/M1669</f>
        <v/>
      </c>
      <c r="V1669" s="8">
        <f>SQRT((S1669+U1669)^2+3*T1669^2)</f>
        <v/>
      </c>
      <c r="W1669" s="8">
        <f>V1669/AA1669</f>
        <v/>
      </c>
      <c r="X1669" s="27">
        <f>((3*10+H1669/COS(RADIANS(E1669)))*(3+3)+3*G1669*H1669)*2</f>
        <v/>
      </c>
      <c r="Y1669" s="28">
        <f>Z1669/X1669</f>
        <v/>
      </c>
      <c r="Z1669" s="29" t="n">
        <v>519.353469411891</v>
      </c>
      <c r="AA1669" s="20" t="n">
        <v>96.0277180511743</v>
      </c>
      <c r="AB1669" t="n">
        <v>0.09327573928955739</v>
      </c>
      <c r="AC1669" t="n">
        <v>95.1500821163672</v>
      </c>
      <c r="AD1669" t="n">
        <v>-33.44691015892783</v>
      </c>
    </row>
    <row r="1670">
      <c r="A1670" t="n">
        <v>1669</v>
      </c>
      <c r="B1670" t="n">
        <v>81.8</v>
      </c>
      <c r="C1670" s="21">
        <f>B1670-20</f>
        <v/>
      </c>
      <c r="D1670" t="n">
        <v>127.9</v>
      </c>
      <c r="E1670" s="22">
        <f>D1670-90</f>
        <v/>
      </c>
      <c r="F1670" s="23" t="n">
        <v>0.017535</v>
      </c>
      <c r="G1670" s="22" t="n">
        <v>21.2</v>
      </c>
      <c r="H1670" s="22" t="n">
        <v>1.3</v>
      </c>
      <c r="I1670" s="24" t="n">
        <v>0.0903404653072357</v>
      </c>
      <c r="J1670" s="6" t="n">
        <v>71000</v>
      </c>
      <c r="K1670" s="25">
        <f>23*10^-6</f>
        <v/>
      </c>
      <c r="L1670" s="8">
        <f>H1670</f>
        <v/>
      </c>
      <c r="M1670" s="26">
        <f>H1670^2/6</f>
        <v/>
      </c>
      <c r="N1670" s="26">
        <f>H1670^3/12</f>
        <v/>
      </c>
      <c r="O1670" s="27">
        <f>-J1670*L1670*K1670*C1670</f>
        <v/>
      </c>
      <c r="P1670" s="28">
        <f>-(12*F1670*J1670*L1670*N1670+12*O1670*N1670*G1670*COS(RADIANS(E1670)))/(12*N1670*G1670*COS(RADIANS(E1670))^2+L1670*G1670^3*SIN(RADIANS(E1670))^2)</f>
        <v/>
      </c>
      <c r="Q1670" s="28">
        <f>-(6*F1670*J1670*L1670*N1670*SIN(RADIANS(E1670))+6*O1670*N1670*G1670*SIN(RADIANS(E1670))*COS(RADIANS(E1670)))/(12*N1670*COS(RADIANS(E1670))^2+L1670*G1670^2*SIN(RADIANS(E1670))^2)</f>
        <v/>
      </c>
      <c r="R1670" s="28">
        <f>-P1670*SIN(RADIANS(E1670))</f>
        <v/>
      </c>
      <c r="S1670" s="8">
        <f>(O1670+P1670*COS(RADIANS(E1670)))/L1670</f>
        <v/>
      </c>
      <c r="T1670" s="8">
        <f>R1670/L1670</f>
        <v/>
      </c>
      <c r="U1670" s="8">
        <f>(Q1670-P1670*G1670*SIN(RADIANS(E1670)))/M1670</f>
        <v/>
      </c>
      <c r="V1670" s="8">
        <f>SQRT((S1670+U1670)^2+3*T1670^2)</f>
        <v/>
      </c>
      <c r="W1670" s="8">
        <f>V1670/AA1670</f>
        <v/>
      </c>
      <c r="X1670" s="27">
        <f>((3*10+H1670/COS(RADIANS(E1670)))*(3+3)+3*G1670*H1670)*2</f>
        <v/>
      </c>
      <c r="Y1670" s="28">
        <f>Z1670/X1670</f>
        <v/>
      </c>
      <c r="Z1670" s="29" t="n">
        <v>549.23774839596</v>
      </c>
      <c r="AA1670" s="20" t="n">
        <v>92.3636872986861</v>
      </c>
      <c r="AB1670" t="n">
        <v>0.06911793849645112</v>
      </c>
      <c r="AC1670" t="n">
        <v>89.20418830430268</v>
      </c>
      <c r="AD1670" t="n">
        <v>-23.49171740328062</v>
      </c>
    </row>
    <row r="1671">
      <c r="A1671" t="n">
        <v>1670</v>
      </c>
      <c r="B1671" t="n">
        <v>82</v>
      </c>
      <c r="C1671" s="21">
        <f>B1671-20</f>
        <v/>
      </c>
      <c r="D1671" t="n">
        <v>121.1</v>
      </c>
      <c r="E1671" s="22">
        <f>D1671-90</f>
        <v/>
      </c>
      <c r="F1671" s="23" t="n">
        <v>0.023168</v>
      </c>
      <c r="G1671" s="22" t="n">
        <v>27.2</v>
      </c>
      <c r="H1671" s="22" t="n">
        <v>1.4</v>
      </c>
      <c r="I1671" s="24" t="n">
        <v>0.219920188188552</v>
      </c>
      <c r="J1671" s="6" t="n">
        <v>71000</v>
      </c>
      <c r="K1671" s="25">
        <f>23*10^-6</f>
        <v/>
      </c>
      <c r="L1671" s="8">
        <f>H1671</f>
        <v/>
      </c>
      <c r="M1671" s="26">
        <f>H1671^2/6</f>
        <v/>
      </c>
      <c r="N1671" s="26">
        <f>H1671^3/12</f>
        <v/>
      </c>
      <c r="O1671" s="27">
        <f>-J1671*L1671*K1671*C1671</f>
        <v/>
      </c>
      <c r="P1671" s="28">
        <f>-(12*F1671*J1671*L1671*N1671+12*O1671*N1671*G1671*COS(RADIANS(E1671)))/(12*N1671*G1671*COS(RADIANS(E1671))^2+L1671*G1671^3*SIN(RADIANS(E1671))^2)</f>
        <v/>
      </c>
      <c r="Q1671" s="28">
        <f>-(6*F1671*J1671*L1671*N1671*SIN(RADIANS(E1671))+6*O1671*N1671*G1671*SIN(RADIANS(E1671))*COS(RADIANS(E1671)))/(12*N1671*COS(RADIANS(E1671))^2+L1671*G1671^2*SIN(RADIANS(E1671))^2)</f>
        <v/>
      </c>
      <c r="R1671" s="28">
        <f>-P1671*SIN(RADIANS(E1671))</f>
        <v/>
      </c>
      <c r="S1671" s="8">
        <f>(O1671+P1671*COS(RADIANS(E1671)))/L1671</f>
        <v/>
      </c>
      <c r="T1671" s="8">
        <f>R1671/L1671</f>
        <v/>
      </c>
      <c r="U1671" s="8">
        <f>(Q1671-P1671*G1671*SIN(RADIANS(E1671)))/M1671</f>
        <v/>
      </c>
      <c r="V1671" s="8">
        <f>SQRT((S1671+U1671)^2+3*T1671^2)</f>
        <v/>
      </c>
      <c r="W1671" s="8">
        <f>V1671/AA1671</f>
        <v/>
      </c>
      <c r="X1671" s="27">
        <f>((3*10+H1671/COS(RADIANS(E1671)))*(3+3)+3*G1671*H1671)*2</f>
        <v/>
      </c>
      <c r="Y1671" s="28">
        <f>Z1671/X1671</f>
        <v/>
      </c>
      <c r="Z1671" s="29" t="n">
        <v>609.355852051758</v>
      </c>
      <c r="AA1671" s="20" t="n">
        <v>101.057582613743</v>
      </c>
      <c r="AB1671" t="n">
        <v>0.1085292788712281</v>
      </c>
      <c r="AC1671" t="n">
        <v>91.0178079195924</v>
      </c>
      <c r="AD1671" t="n">
        <v>-50.65060658361258</v>
      </c>
    </row>
    <row r="1672">
      <c r="A1672" t="n">
        <v>1671</v>
      </c>
      <c r="B1672" t="n">
        <v>51.9</v>
      </c>
      <c r="C1672" s="21">
        <f>B1672-20</f>
        <v/>
      </c>
      <c r="D1672" t="n">
        <v>125.2</v>
      </c>
      <c r="E1672" s="22">
        <f>D1672-90</f>
        <v/>
      </c>
      <c r="F1672" s="23" t="n">
        <v>0.014065</v>
      </c>
      <c r="G1672" s="22" t="n">
        <v>33.3</v>
      </c>
      <c r="H1672" s="22" t="n">
        <v>1.9</v>
      </c>
      <c r="I1672" s="24" t="n">
        <v>0.121037267148494</v>
      </c>
      <c r="J1672" s="6" t="n">
        <v>71000</v>
      </c>
      <c r="K1672" s="25">
        <f>23*10^-6</f>
        <v/>
      </c>
      <c r="L1672" s="8">
        <f>H1672</f>
        <v/>
      </c>
      <c r="M1672" s="26">
        <f>H1672^2/6</f>
        <v/>
      </c>
      <c r="N1672" s="26">
        <f>H1672^3/12</f>
        <v/>
      </c>
      <c r="O1672" s="27">
        <f>-J1672*L1672*K1672*C1672</f>
        <v/>
      </c>
      <c r="P1672" s="28">
        <f>-(12*F1672*J1672*L1672*N1672+12*O1672*N1672*G1672*COS(RADIANS(E1672)))/(12*N1672*G1672*COS(RADIANS(E1672))^2+L1672*G1672^3*SIN(RADIANS(E1672))^2)</f>
        <v/>
      </c>
      <c r="Q1672" s="28">
        <f>-(6*F1672*J1672*L1672*N1672*SIN(RADIANS(E1672))+6*O1672*N1672*G1672*SIN(RADIANS(E1672))*COS(RADIANS(E1672)))/(12*N1672*COS(RADIANS(E1672))^2+L1672*G1672^2*SIN(RADIANS(E1672))^2)</f>
        <v/>
      </c>
      <c r="R1672" s="28">
        <f>-P1672*SIN(RADIANS(E1672))</f>
        <v/>
      </c>
      <c r="S1672" s="8">
        <f>(O1672+P1672*COS(RADIANS(E1672)))/L1672</f>
        <v/>
      </c>
      <c r="T1672" s="8">
        <f>R1672/L1672</f>
        <v/>
      </c>
      <c r="U1672" s="8">
        <f>(Q1672-P1672*G1672*SIN(RADIANS(E1672)))/M1672</f>
        <v/>
      </c>
      <c r="V1672" s="8">
        <f>SQRT((S1672+U1672)^2+3*T1672^2)</f>
        <v/>
      </c>
      <c r="W1672" s="8">
        <f>V1672/AA1672</f>
        <v/>
      </c>
      <c r="X1672" s="27">
        <f>((3*10+H1672/COS(RADIANS(E1672)))*(3+3)+3*G1672*H1672)*2</f>
        <v/>
      </c>
      <c r="Y1672" s="28">
        <f>Z1672/X1672</f>
        <v/>
      </c>
      <c r="Z1672" s="29" t="n">
        <v>766.745823281803</v>
      </c>
      <c r="AA1672" s="20" t="n">
        <v>56.2271472244034</v>
      </c>
      <c r="AB1672" t="n">
        <v>0.05906400284897037</v>
      </c>
      <c r="AC1672" t="n">
        <v>46.81624035612764</v>
      </c>
      <c r="AD1672" t="n">
        <v>-51.20180400594473</v>
      </c>
    </row>
    <row r="1673">
      <c r="A1673" t="n">
        <v>1672</v>
      </c>
      <c r="B1673" t="n">
        <v>79.2</v>
      </c>
      <c r="C1673" s="21">
        <f>B1673-20</f>
        <v/>
      </c>
      <c r="D1673" t="n">
        <v>101.2</v>
      </c>
      <c r="E1673" s="22">
        <f>D1673-90</f>
        <v/>
      </c>
      <c r="F1673" s="23" t="n">
        <v>0.017198</v>
      </c>
      <c r="G1673" s="22" t="n">
        <v>22.9</v>
      </c>
      <c r="H1673" s="22" t="n">
        <v>1.9</v>
      </c>
      <c r="I1673" s="24" t="n">
        <v>0.0816322192549705</v>
      </c>
      <c r="J1673" s="6" t="n">
        <v>71000</v>
      </c>
      <c r="K1673" s="25">
        <f>23*10^-6</f>
        <v/>
      </c>
      <c r="L1673" s="8">
        <f>H1673</f>
        <v/>
      </c>
      <c r="M1673" s="26">
        <f>H1673^2/6</f>
        <v/>
      </c>
      <c r="N1673" s="26">
        <f>H1673^3/12</f>
        <v/>
      </c>
      <c r="O1673" s="27">
        <f>-J1673*L1673*K1673*C1673</f>
        <v/>
      </c>
      <c r="P1673" s="28">
        <f>-(12*F1673*J1673*L1673*N1673+12*O1673*N1673*G1673*COS(RADIANS(E1673)))/(12*N1673*G1673*COS(RADIANS(E1673))^2+L1673*G1673^3*SIN(RADIANS(E1673))^2)</f>
        <v/>
      </c>
      <c r="Q1673" s="28">
        <f>-(6*F1673*J1673*L1673*N1673*SIN(RADIANS(E1673))+6*O1673*N1673*G1673*SIN(RADIANS(E1673))*COS(RADIANS(E1673)))/(12*N1673*COS(RADIANS(E1673))^2+L1673*G1673^2*SIN(RADIANS(E1673))^2)</f>
        <v/>
      </c>
      <c r="R1673" s="28">
        <f>-P1673*SIN(RADIANS(E1673))</f>
        <v/>
      </c>
      <c r="S1673" s="8">
        <f>(O1673+P1673*COS(RADIANS(E1673)))/L1673</f>
        <v/>
      </c>
      <c r="T1673" s="8">
        <f>R1673/L1673</f>
        <v/>
      </c>
      <c r="U1673" s="8">
        <f>(Q1673-P1673*G1673*SIN(RADIANS(E1673)))/M1673</f>
        <v/>
      </c>
      <c r="V1673" s="8">
        <f>SQRT((S1673+U1673)^2+3*T1673^2)</f>
        <v/>
      </c>
      <c r="W1673" s="8">
        <f>V1673/AA1673</f>
        <v/>
      </c>
      <c r="X1673" s="27">
        <f>((3*10+H1673/COS(RADIANS(E1673)))*(3+3)+3*G1673*H1673)*2</f>
        <v/>
      </c>
      <c r="Y1673" s="28">
        <f>Z1673/X1673</f>
        <v/>
      </c>
      <c r="Z1673" s="29" t="n">
        <v>655.49996331995</v>
      </c>
      <c r="AA1673" s="20" t="n">
        <v>98.6141686013423</v>
      </c>
      <c r="AB1673" t="n">
        <v>0.2185122134832267</v>
      </c>
      <c r="AC1673" t="n">
        <v>106.7320940102452</v>
      </c>
      <c r="AD1673" t="n">
        <v>167.6788839964335</v>
      </c>
    </row>
    <row r="1674">
      <c r="A1674" t="n">
        <v>1673</v>
      </c>
      <c r="B1674" t="n">
        <v>63.5</v>
      </c>
      <c r="C1674" s="21">
        <f>B1674-20</f>
        <v/>
      </c>
      <c r="D1674" t="n">
        <v>117.7</v>
      </c>
      <c r="E1674" s="22">
        <f>D1674-90</f>
        <v/>
      </c>
      <c r="F1674" s="23" t="n">
        <v>0.019684</v>
      </c>
      <c r="G1674" s="22" t="n">
        <v>35</v>
      </c>
      <c r="H1674" s="22" t="n">
        <v>1.5</v>
      </c>
      <c r="I1674" s="24" t="n">
        <v>0.133485287427902</v>
      </c>
      <c r="J1674" s="6" t="n">
        <v>71000</v>
      </c>
      <c r="K1674" s="25">
        <f>23*10^-6</f>
        <v/>
      </c>
      <c r="L1674" s="8">
        <f>H1674</f>
        <v/>
      </c>
      <c r="M1674" s="26">
        <f>H1674^2/6</f>
        <v/>
      </c>
      <c r="N1674" s="26">
        <f>H1674^3/12</f>
        <v/>
      </c>
      <c r="O1674" s="27">
        <f>-J1674*L1674*K1674*C1674</f>
        <v/>
      </c>
      <c r="P1674" s="28">
        <f>-(12*F1674*J1674*L1674*N1674+12*O1674*N1674*G1674*COS(RADIANS(E1674)))/(12*N1674*G1674*COS(RADIANS(E1674))^2+L1674*G1674^3*SIN(RADIANS(E1674))^2)</f>
        <v/>
      </c>
      <c r="Q1674" s="28">
        <f>-(6*F1674*J1674*L1674*N1674*SIN(RADIANS(E1674))+6*O1674*N1674*G1674*SIN(RADIANS(E1674))*COS(RADIANS(E1674)))/(12*N1674*COS(RADIANS(E1674))^2+L1674*G1674^2*SIN(RADIANS(E1674))^2)</f>
        <v/>
      </c>
      <c r="R1674" s="28">
        <f>-P1674*SIN(RADIANS(E1674))</f>
        <v/>
      </c>
      <c r="S1674" s="8">
        <f>(O1674+P1674*COS(RADIANS(E1674)))/L1674</f>
        <v/>
      </c>
      <c r="T1674" s="8">
        <f>R1674/L1674</f>
        <v/>
      </c>
      <c r="U1674" s="8">
        <f>(Q1674-P1674*G1674*SIN(RADIANS(E1674)))/M1674</f>
        <v/>
      </c>
      <c r="V1674" s="8">
        <f>SQRT((S1674+U1674)^2+3*T1674^2)</f>
        <v/>
      </c>
      <c r="W1674" s="8">
        <f>V1674/AA1674</f>
        <v/>
      </c>
      <c r="X1674" s="27">
        <f>((3*10+H1674/COS(RADIANS(E1674)))*(3+3)+3*G1674*H1674)*2</f>
        <v/>
      </c>
      <c r="Y1674" s="28">
        <f>Z1674/X1674</f>
        <v/>
      </c>
      <c r="Z1674" s="29" t="n">
        <v>698.06130164512</v>
      </c>
      <c r="AA1674" s="20" t="n">
        <v>67.1615206006896</v>
      </c>
      <c r="AB1674" t="n">
        <v>0.1094761259927368</v>
      </c>
      <c r="AC1674" t="n">
        <v>64.07241248670179</v>
      </c>
      <c r="AD1674" t="n">
        <v>-17.98637280391898</v>
      </c>
    </row>
    <row r="1675">
      <c r="A1675" t="n">
        <v>1674</v>
      </c>
      <c r="B1675" t="n">
        <v>54.9</v>
      </c>
      <c r="C1675" s="21">
        <f>B1675-20</f>
        <v/>
      </c>
      <c r="D1675" t="n">
        <v>114.9</v>
      </c>
      <c r="E1675" s="22">
        <f>D1675-90</f>
        <v/>
      </c>
      <c r="F1675" s="23" t="n">
        <v>0.014385</v>
      </c>
      <c r="G1675" s="22" t="n">
        <v>35</v>
      </c>
      <c r="H1675" s="22" t="n">
        <v>1.6</v>
      </c>
      <c r="I1675" s="24" t="n">
        <v>0.06517691910266871</v>
      </c>
      <c r="J1675" s="6" t="n">
        <v>71000</v>
      </c>
      <c r="K1675" s="25">
        <f>23*10^-6</f>
        <v/>
      </c>
      <c r="L1675" s="8">
        <f>H1675</f>
        <v/>
      </c>
      <c r="M1675" s="26">
        <f>H1675^2/6</f>
        <v/>
      </c>
      <c r="N1675" s="26">
        <f>H1675^3/12</f>
        <v/>
      </c>
      <c r="O1675" s="27">
        <f>-J1675*L1675*K1675*C1675</f>
        <v/>
      </c>
      <c r="P1675" s="28">
        <f>-(12*F1675*J1675*L1675*N1675+12*O1675*N1675*G1675*COS(RADIANS(E1675)))/(12*N1675*G1675*COS(RADIANS(E1675))^2+L1675*G1675^3*SIN(RADIANS(E1675))^2)</f>
        <v/>
      </c>
      <c r="Q1675" s="28">
        <f>-(6*F1675*J1675*L1675*N1675*SIN(RADIANS(E1675))+6*O1675*N1675*G1675*SIN(RADIANS(E1675))*COS(RADIANS(E1675)))/(12*N1675*COS(RADIANS(E1675))^2+L1675*G1675^2*SIN(RADIANS(E1675))^2)</f>
        <v/>
      </c>
      <c r="R1675" s="28">
        <f>-P1675*SIN(RADIANS(E1675))</f>
        <v/>
      </c>
      <c r="S1675" s="8">
        <f>(O1675+P1675*COS(RADIANS(E1675)))/L1675</f>
        <v/>
      </c>
      <c r="T1675" s="8">
        <f>R1675/L1675</f>
        <v/>
      </c>
      <c r="U1675" s="8">
        <f>(Q1675-P1675*G1675*SIN(RADIANS(E1675)))/M1675</f>
        <v/>
      </c>
      <c r="V1675" s="8">
        <f>SQRT((S1675+U1675)^2+3*T1675^2)</f>
        <v/>
      </c>
      <c r="W1675" s="8">
        <f>V1675/AA1675</f>
        <v/>
      </c>
      <c r="X1675" s="27">
        <f>((3*10+H1675/COS(RADIANS(E1675)))*(3+3)+3*G1675*H1675)*2</f>
        <v/>
      </c>
      <c r="Y1675" s="28">
        <f>Z1675/X1675</f>
        <v/>
      </c>
      <c r="Z1675" s="29" t="n">
        <v>725.571208269187</v>
      </c>
      <c r="AA1675" s="20" t="n">
        <v>51.6357975936081</v>
      </c>
      <c r="AB1675" t="n">
        <v>0.09806156562466312</v>
      </c>
      <c r="AC1675" t="n">
        <v>52.32302457211039</v>
      </c>
      <c r="AD1675" t="n">
        <v>50.45443536567522</v>
      </c>
    </row>
    <row r="1676">
      <c r="A1676" t="n">
        <v>1675</v>
      </c>
      <c r="B1676" t="n">
        <v>80.59999999999999</v>
      </c>
      <c r="C1676" s="21">
        <f>B1676-20</f>
        <v/>
      </c>
      <c r="D1676" t="n">
        <v>123.1</v>
      </c>
      <c r="E1676" s="22">
        <f>D1676-90</f>
        <v/>
      </c>
      <c r="F1676" s="23" t="n">
        <v>0.02317</v>
      </c>
      <c r="G1676" s="22" t="n">
        <v>34.9</v>
      </c>
      <c r="H1676" s="22" t="n">
        <v>1</v>
      </c>
      <c r="I1676" s="24" t="n">
        <v>0.09796757251024241</v>
      </c>
      <c r="J1676" s="6" t="n">
        <v>71000</v>
      </c>
      <c r="K1676" s="25">
        <f>23*10^-6</f>
        <v/>
      </c>
      <c r="L1676" s="8">
        <f>H1676</f>
        <v/>
      </c>
      <c r="M1676" s="26">
        <f>H1676^2/6</f>
        <v/>
      </c>
      <c r="N1676" s="26">
        <f>H1676^3/12</f>
        <v/>
      </c>
      <c r="O1676" s="27">
        <f>-J1676*L1676*K1676*C1676</f>
        <v/>
      </c>
      <c r="P1676" s="28">
        <f>-(12*F1676*J1676*L1676*N1676+12*O1676*N1676*G1676*COS(RADIANS(E1676)))/(12*N1676*G1676*COS(RADIANS(E1676))^2+L1676*G1676^3*SIN(RADIANS(E1676))^2)</f>
        <v/>
      </c>
      <c r="Q1676" s="28">
        <f>-(6*F1676*J1676*L1676*N1676*SIN(RADIANS(E1676))+6*O1676*N1676*G1676*SIN(RADIANS(E1676))*COS(RADIANS(E1676)))/(12*N1676*COS(RADIANS(E1676))^2+L1676*G1676^2*SIN(RADIANS(E1676))^2)</f>
        <v/>
      </c>
      <c r="R1676" s="28">
        <f>-P1676*SIN(RADIANS(E1676))</f>
        <v/>
      </c>
      <c r="S1676" s="8">
        <f>(O1676+P1676*COS(RADIANS(E1676)))/L1676</f>
        <v/>
      </c>
      <c r="T1676" s="8">
        <f>R1676/L1676</f>
        <v/>
      </c>
      <c r="U1676" s="8">
        <f>(Q1676-P1676*G1676*SIN(RADIANS(E1676)))/M1676</f>
        <v/>
      </c>
      <c r="V1676" s="8">
        <f>SQRT((S1676+U1676)^2+3*T1676^2)</f>
        <v/>
      </c>
      <c r="W1676" s="8">
        <f>V1676/AA1676</f>
        <v/>
      </c>
      <c r="X1676" s="27">
        <f>((3*10+H1676/COS(RADIANS(E1676)))*(3+3)+3*G1676*H1676)*2</f>
        <v/>
      </c>
      <c r="Y1676" s="28">
        <f>Z1676/X1676</f>
        <v/>
      </c>
      <c r="Z1676" s="29" t="n">
        <v>594.4561437562641</v>
      </c>
      <c r="AA1676" s="20" t="n">
        <v>76.6112115021602</v>
      </c>
      <c r="AB1676" t="n">
        <v>0.1261415179430402</v>
      </c>
      <c r="AC1676" t="n">
        <v>85.64290178631471</v>
      </c>
      <c r="AD1676" t="n">
        <v>28.75843987034811</v>
      </c>
    </row>
    <row r="1677">
      <c r="A1677" t="n">
        <v>1676</v>
      </c>
      <c r="B1677" t="n">
        <v>59.8</v>
      </c>
      <c r="C1677" s="21">
        <f>B1677-20</f>
        <v/>
      </c>
      <c r="D1677" t="n">
        <v>106.6</v>
      </c>
      <c r="E1677" s="22">
        <f>D1677-90</f>
        <v/>
      </c>
      <c r="F1677" s="23" t="n">
        <v>0.014921</v>
      </c>
      <c r="G1677" s="22" t="n">
        <v>31.4</v>
      </c>
      <c r="H1677" s="22" t="n">
        <v>1.5</v>
      </c>
      <c r="I1677" s="24" t="n">
        <v>0.0680749863386154</v>
      </c>
      <c r="J1677" s="6" t="n">
        <v>71000</v>
      </c>
      <c r="K1677" s="25">
        <f>23*10^-6</f>
        <v/>
      </c>
      <c r="L1677" s="8">
        <f>H1677</f>
        <v/>
      </c>
      <c r="M1677" s="26">
        <f>H1677^2/6</f>
        <v/>
      </c>
      <c r="N1677" s="26">
        <f>H1677^3/12</f>
        <v/>
      </c>
      <c r="O1677" s="27">
        <f>-J1677*L1677*K1677*C1677</f>
        <v/>
      </c>
      <c r="P1677" s="28">
        <f>-(12*F1677*J1677*L1677*N1677+12*O1677*N1677*G1677*COS(RADIANS(E1677)))/(12*N1677*G1677*COS(RADIANS(E1677))^2+L1677*G1677^3*SIN(RADIANS(E1677))^2)</f>
        <v/>
      </c>
      <c r="Q1677" s="28">
        <f>-(6*F1677*J1677*L1677*N1677*SIN(RADIANS(E1677))+6*O1677*N1677*G1677*SIN(RADIANS(E1677))*COS(RADIANS(E1677)))/(12*N1677*COS(RADIANS(E1677))^2+L1677*G1677^2*SIN(RADIANS(E1677))^2)</f>
        <v/>
      </c>
      <c r="R1677" s="28">
        <f>-P1677*SIN(RADIANS(E1677))</f>
        <v/>
      </c>
      <c r="S1677" s="8">
        <f>(O1677+P1677*COS(RADIANS(E1677)))/L1677</f>
        <v/>
      </c>
      <c r="T1677" s="8">
        <f>R1677/L1677</f>
        <v/>
      </c>
      <c r="U1677" s="8">
        <f>(Q1677-P1677*G1677*SIN(RADIANS(E1677)))/M1677</f>
        <v/>
      </c>
      <c r="V1677" s="8">
        <f>SQRT((S1677+U1677)^2+3*T1677^2)</f>
        <v/>
      </c>
      <c r="W1677" s="8">
        <f>V1677/AA1677</f>
        <v/>
      </c>
      <c r="X1677" s="27">
        <f>((3*10+H1677/COS(RADIANS(E1677)))*(3+3)+3*G1677*H1677)*2</f>
        <v/>
      </c>
      <c r="Y1677" s="28">
        <f>Z1677/X1677</f>
        <v/>
      </c>
      <c r="Z1677" s="29" t="n">
        <v>671.0837455881129</v>
      </c>
      <c r="AA1677" s="20" t="n">
        <v>58.629572200863</v>
      </c>
      <c r="AB1677" t="n">
        <v>0.1515254071131298</v>
      </c>
      <c r="AC1677" t="n">
        <v>63.07426488805201</v>
      </c>
      <c r="AD1677" t="n">
        <v>122.5860264729533</v>
      </c>
    </row>
    <row r="1678">
      <c r="A1678" t="n">
        <v>1677</v>
      </c>
      <c r="B1678" t="n">
        <v>79.90000000000001</v>
      </c>
      <c r="C1678" s="21">
        <f>B1678-20</f>
        <v/>
      </c>
      <c r="D1678" t="n">
        <v>116</v>
      </c>
      <c r="E1678" s="22">
        <f>D1678-90</f>
        <v/>
      </c>
      <c r="F1678" s="23" t="n">
        <v>0.019219</v>
      </c>
      <c r="G1678" s="22" t="n">
        <v>27.1</v>
      </c>
      <c r="H1678" s="22" t="n">
        <v>2</v>
      </c>
      <c r="I1678" s="24" t="n">
        <v>0.0860601663589477</v>
      </c>
      <c r="J1678" s="6" t="n">
        <v>71000</v>
      </c>
      <c r="K1678" s="25">
        <f>23*10^-6</f>
        <v/>
      </c>
      <c r="L1678" s="8">
        <f>H1678</f>
        <v/>
      </c>
      <c r="M1678" s="26">
        <f>H1678^2/6</f>
        <v/>
      </c>
      <c r="N1678" s="26">
        <f>H1678^3/12</f>
        <v/>
      </c>
      <c r="O1678" s="27">
        <f>-J1678*L1678*K1678*C1678</f>
        <v/>
      </c>
      <c r="P1678" s="28">
        <f>-(12*F1678*J1678*L1678*N1678+12*O1678*N1678*G1678*COS(RADIANS(E1678)))/(12*N1678*G1678*COS(RADIANS(E1678))^2+L1678*G1678^3*SIN(RADIANS(E1678))^2)</f>
        <v/>
      </c>
      <c r="Q1678" s="28">
        <f>-(6*F1678*J1678*L1678*N1678*SIN(RADIANS(E1678))+6*O1678*N1678*G1678*SIN(RADIANS(E1678))*COS(RADIANS(E1678)))/(12*N1678*COS(RADIANS(E1678))^2+L1678*G1678^2*SIN(RADIANS(E1678))^2)</f>
        <v/>
      </c>
      <c r="R1678" s="28">
        <f>-P1678*SIN(RADIANS(E1678))</f>
        <v/>
      </c>
      <c r="S1678" s="8">
        <f>(O1678+P1678*COS(RADIANS(E1678)))/L1678</f>
        <v/>
      </c>
      <c r="T1678" s="8">
        <f>R1678/L1678</f>
        <v/>
      </c>
      <c r="U1678" s="8">
        <f>(Q1678-P1678*G1678*SIN(RADIANS(E1678)))/M1678</f>
        <v/>
      </c>
      <c r="V1678" s="8">
        <f>SQRT((S1678+U1678)^2+3*T1678^2)</f>
        <v/>
      </c>
      <c r="W1678" s="8">
        <f>V1678/AA1678</f>
        <v/>
      </c>
      <c r="X1678" s="27">
        <f>((3*10+H1678/COS(RADIANS(E1678)))*(3+3)+3*G1678*H1678)*2</f>
        <v/>
      </c>
      <c r="Y1678" s="28">
        <f>Z1678/X1678</f>
        <v/>
      </c>
      <c r="Z1678" s="29" t="n">
        <v>723.3747413938</v>
      </c>
      <c r="AA1678" s="20" t="n">
        <v>98.2950428309957</v>
      </c>
      <c r="AB1678" t="n">
        <v>0.1245874381904095</v>
      </c>
      <c r="AC1678" t="n">
        <v>93.41412685997338</v>
      </c>
      <c r="AD1678" t="n">
        <v>44.76783332113109</v>
      </c>
    </row>
    <row r="1679">
      <c r="A1679" t="n">
        <v>1678</v>
      </c>
      <c r="B1679" t="n">
        <v>42.6</v>
      </c>
      <c r="C1679" s="21">
        <f>B1679-20</f>
        <v/>
      </c>
      <c r="D1679" t="n">
        <v>113.8</v>
      </c>
      <c r="E1679" s="22">
        <f>D1679-90</f>
        <v/>
      </c>
      <c r="F1679" s="23" t="n">
        <v>0.007384</v>
      </c>
      <c r="G1679" s="22" t="n">
        <v>23.1</v>
      </c>
      <c r="H1679" s="22" t="n">
        <v>1.8</v>
      </c>
      <c r="I1679" s="24" t="n">
        <v>0.0621243230998516</v>
      </c>
      <c r="J1679" s="6" t="n">
        <v>71000</v>
      </c>
      <c r="K1679" s="25">
        <f>23*10^-6</f>
        <v/>
      </c>
      <c r="L1679" s="8">
        <f>H1679</f>
        <v/>
      </c>
      <c r="M1679" s="26">
        <f>H1679^2/6</f>
        <v/>
      </c>
      <c r="N1679" s="26">
        <f>H1679^3/12</f>
        <v/>
      </c>
      <c r="O1679" s="27">
        <f>-J1679*L1679*K1679*C1679</f>
        <v/>
      </c>
      <c r="P1679" s="28">
        <f>-(12*F1679*J1679*L1679*N1679+12*O1679*N1679*G1679*COS(RADIANS(E1679)))/(12*N1679*G1679*COS(RADIANS(E1679))^2+L1679*G1679^3*SIN(RADIANS(E1679))^2)</f>
        <v/>
      </c>
      <c r="Q1679" s="28">
        <f>-(6*F1679*J1679*L1679*N1679*SIN(RADIANS(E1679))+6*O1679*N1679*G1679*SIN(RADIANS(E1679))*COS(RADIANS(E1679)))/(12*N1679*COS(RADIANS(E1679))^2+L1679*G1679^2*SIN(RADIANS(E1679))^2)</f>
        <v/>
      </c>
      <c r="R1679" s="28">
        <f>-P1679*SIN(RADIANS(E1679))</f>
        <v/>
      </c>
      <c r="S1679" s="8">
        <f>(O1679+P1679*COS(RADIANS(E1679)))/L1679</f>
        <v/>
      </c>
      <c r="T1679" s="8">
        <f>R1679/L1679</f>
        <v/>
      </c>
      <c r="U1679" s="8">
        <f>(Q1679-P1679*G1679*SIN(RADIANS(E1679)))/M1679</f>
        <v/>
      </c>
      <c r="V1679" s="8">
        <f>SQRT((S1679+U1679)^2+3*T1679^2)</f>
        <v/>
      </c>
      <c r="W1679" s="8">
        <f>V1679/AA1679</f>
        <v/>
      </c>
      <c r="X1679" s="27">
        <f>((3*10+H1679/COS(RADIANS(E1679)))*(3+3)+3*G1679*H1679)*2</f>
        <v/>
      </c>
      <c r="Y1679" s="28">
        <f>Z1679/X1679</f>
        <v/>
      </c>
      <c r="Z1679" s="29" t="n">
        <v>635.398934805915</v>
      </c>
      <c r="AA1679" s="20" t="n">
        <v>48.950753755041</v>
      </c>
      <c r="AB1679" t="n">
        <v>0.04413215822452619</v>
      </c>
      <c r="AC1679" t="n">
        <v>35.69468200697028</v>
      </c>
      <c r="AD1679" t="n">
        <v>-28.96154674620251</v>
      </c>
    </row>
    <row r="1680">
      <c r="A1680" t="n">
        <v>1679</v>
      </c>
      <c r="B1680" t="n">
        <v>71.3</v>
      </c>
      <c r="C1680" s="21">
        <f>B1680-20</f>
        <v/>
      </c>
      <c r="D1680" t="n">
        <v>111.7</v>
      </c>
      <c r="E1680" s="22">
        <f>D1680-90</f>
        <v/>
      </c>
      <c r="F1680" s="23" t="n">
        <v>0.018939</v>
      </c>
      <c r="G1680" s="22" t="n">
        <v>29.8</v>
      </c>
      <c r="H1680" s="22" t="n">
        <v>1.1</v>
      </c>
      <c r="I1680" s="24" t="n">
        <v>0.0915460363030433</v>
      </c>
      <c r="J1680" s="6" t="n">
        <v>71000</v>
      </c>
      <c r="K1680" s="25">
        <f>23*10^-6</f>
        <v/>
      </c>
      <c r="L1680" s="8">
        <f>H1680</f>
        <v/>
      </c>
      <c r="M1680" s="26">
        <f>H1680^2/6</f>
        <v/>
      </c>
      <c r="N1680" s="26">
        <f>H1680^3/12</f>
        <v/>
      </c>
      <c r="O1680" s="27">
        <f>-J1680*L1680*K1680*C1680</f>
        <v/>
      </c>
      <c r="P1680" s="28">
        <f>-(12*F1680*J1680*L1680*N1680+12*O1680*N1680*G1680*COS(RADIANS(E1680)))/(12*N1680*G1680*COS(RADIANS(E1680))^2+L1680*G1680^3*SIN(RADIANS(E1680))^2)</f>
        <v/>
      </c>
      <c r="Q1680" s="28">
        <f>-(6*F1680*J1680*L1680*N1680*SIN(RADIANS(E1680))+6*O1680*N1680*G1680*SIN(RADIANS(E1680))*COS(RADIANS(E1680)))/(12*N1680*COS(RADIANS(E1680))^2+L1680*G1680^2*SIN(RADIANS(E1680))^2)</f>
        <v/>
      </c>
      <c r="R1680" s="28">
        <f>-P1680*SIN(RADIANS(E1680))</f>
        <v/>
      </c>
      <c r="S1680" s="8">
        <f>(O1680+P1680*COS(RADIANS(E1680)))/L1680</f>
        <v/>
      </c>
      <c r="T1680" s="8">
        <f>R1680/L1680</f>
        <v/>
      </c>
      <c r="U1680" s="8">
        <f>(Q1680-P1680*G1680*SIN(RADIANS(E1680)))/M1680</f>
        <v/>
      </c>
      <c r="V1680" s="8">
        <f>SQRT((S1680+U1680)^2+3*T1680^2)</f>
        <v/>
      </c>
      <c r="W1680" s="8">
        <f>V1680/AA1680</f>
        <v/>
      </c>
      <c r="X1680" s="27">
        <f>((3*10+H1680/COS(RADIANS(E1680)))*(3+3)+3*G1680*H1680)*2</f>
        <v/>
      </c>
      <c r="Y1680" s="28">
        <f>Z1680/X1680</f>
        <v/>
      </c>
      <c r="Z1680" s="29" t="n">
        <v>578.128840380979</v>
      </c>
      <c r="AA1680" s="20" t="n">
        <v>71.2882725579945</v>
      </c>
      <c r="AB1680" t="n">
        <v>0.1433021387677357</v>
      </c>
      <c r="AC1680" t="n">
        <v>76.21479961413876</v>
      </c>
      <c r="AD1680" t="n">
        <v>56.53560170902985</v>
      </c>
    </row>
    <row r="1681">
      <c r="A1681" t="n">
        <v>1680</v>
      </c>
      <c r="B1681" t="n">
        <v>50.3</v>
      </c>
      <c r="C1681" s="21">
        <f>B1681-20</f>
        <v/>
      </c>
      <c r="D1681" t="n">
        <v>114.5</v>
      </c>
      <c r="E1681" s="22">
        <f>D1681-90</f>
        <v/>
      </c>
      <c r="F1681" s="23" t="n">
        <v>0.011065</v>
      </c>
      <c r="G1681" s="22" t="n">
        <v>28.7</v>
      </c>
      <c r="H1681" s="22" t="n">
        <v>1.2</v>
      </c>
      <c r="I1681" s="24" t="n">
        <v>0.0568541474640369</v>
      </c>
      <c r="J1681" s="6" t="n">
        <v>71000</v>
      </c>
      <c r="K1681" s="25">
        <f>23*10^-6</f>
        <v/>
      </c>
      <c r="L1681" s="8">
        <f>H1681</f>
        <v/>
      </c>
      <c r="M1681" s="26">
        <f>H1681^2/6</f>
        <v/>
      </c>
      <c r="N1681" s="26">
        <f>H1681^3/12</f>
        <v/>
      </c>
      <c r="O1681" s="27">
        <f>-J1681*L1681*K1681*C1681</f>
        <v/>
      </c>
      <c r="P1681" s="28">
        <f>-(12*F1681*J1681*L1681*N1681+12*O1681*N1681*G1681*COS(RADIANS(E1681)))/(12*N1681*G1681*COS(RADIANS(E1681))^2+L1681*G1681^3*SIN(RADIANS(E1681))^2)</f>
        <v/>
      </c>
      <c r="Q1681" s="28">
        <f>-(6*F1681*J1681*L1681*N1681*SIN(RADIANS(E1681))+6*O1681*N1681*G1681*SIN(RADIANS(E1681))*COS(RADIANS(E1681)))/(12*N1681*COS(RADIANS(E1681))^2+L1681*G1681^2*SIN(RADIANS(E1681))^2)</f>
        <v/>
      </c>
      <c r="R1681" s="28">
        <f>-P1681*SIN(RADIANS(E1681))</f>
        <v/>
      </c>
      <c r="S1681" s="8">
        <f>(O1681+P1681*COS(RADIANS(E1681)))/L1681</f>
        <v/>
      </c>
      <c r="T1681" s="8">
        <f>R1681/L1681</f>
        <v/>
      </c>
      <c r="U1681" s="8">
        <f>(Q1681-P1681*G1681*SIN(RADIANS(E1681)))/M1681</f>
        <v/>
      </c>
      <c r="V1681" s="8">
        <f>SQRT((S1681+U1681)^2+3*T1681^2)</f>
        <v/>
      </c>
      <c r="W1681" s="8">
        <f>V1681/AA1681</f>
        <v/>
      </c>
      <c r="X1681" s="27">
        <f>((3*10+H1681/COS(RADIANS(E1681)))*(3+3)+3*G1681*H1681)*2</f>
        <v/>
      </c>
      <c r="Y1681" s="28">
        <f>Z1681/X1681</f>
        <v/>
      </c>
      <c r="Z1681" s="29" t="n">
        <v>588.4089509300931</v>
      </c>
      <c r="AA1681" s="20" t="n">
        <v>43.4740377017058</v>
      </c>
      <c r="AB1681" t="n">
        <v>0.07192530493124244</v>
      </c>
      <c r="AC1681" t="n">
        <v>44.90139857521562</v>
      </c>
      <c r="AD1681" t="n">
        <v>26.50845741155261</v>
      </c>
    </row>
    <row r="1682">
      <c r="A1682" t="n">
        <v>1681</v>
      </c>
      <c r="B1682" t="n">
        <v>44.4</v>
      </c>
      <c r="C1682" s="21">
        <f>B1682-20</f>
        <v/>
      </c>
      <c r="D1682" t="n">
        <v>124.5</v>
      </c>
      <c r="E1682" s="22">
        <f>D1682-90</f>
        <v/>
      </c>
      <c r="F1682" s="23" t="n">
        <v>0.007098</v>
      </c>
      <c r="G1682" s="22" t="n">
        <v>23.3</v>
      </c>
      <c r="H1682" s="22" t="n">
        <v>1.9</v>
      </c>
      <c r="I1682" s="24" t="n">
        <v>0.0331097319722175</v>
      </c>
      <c r="J1682" s="6" t="n">
        <v>71000</v>
      </c>
      <c r="K1682" s="25">
        <f>23*10^-6</f>
        <v/>
      </c>
      <c r="L1682" s="8">
        <f>H1682</f>
        <v/>
      </c>
      <c r="M1682" s="26">
        <f>H1682^2/6</f>
        <v/>
      </c>
      <c r="N1682" s="26">
        <f>H1682^3/12</f>
        <v/>
      </c>
      <c r="O1682" s="27">
        <f>-J1682*L1682*K1682*C1682</f>
        <v/>
      </c>
      <c r="P1682" s="28">
        <f>-(12*F1682*J1682*L1682*N1682+12*O1682*N1682*G1682*COS(RADIANS(E1682)))/(12*N1682*G1682*COS(RADIANS(E1682))^2+L1682*G1682^3*SIN(RADIANS(E1682))^2)</f>
        <v/>
      </c>
      <c r="Q1682" s="28">
        <f>-(6*F1682*J1682*L1682*N1682*SIN(RADIANS(E1682))+6*O1682*N1682*G1682*SIN(RADIANS(E1682))*COS(RADIANS(E1682)))/(12*N1682*COS(RADIANS(E1682))^2+L1682*G1682^2*SIN(RADIANS(E1682))^2)</f>
        <v/>
      </c>
      <c r="R1682" s="28">
        <f>-P1682*SIN(RADIANS(E1682))</f>
        <v/>
      </c>
      <c r="S1682" s="8">
        <f>(O1682+P1682*COS(RADIANS(E1682)))/L1682</f>
        <v/>
      </c>
      <c r="T1682" s="8">
        <f>R1682/L1682</f>
        <v/>
      </c>
      <c r="U1682" s="8">
        <f>(Q1682-P1682*G1682*SIN(RADIANS(E1682)))/M1682</f>
        <v/>
      </c>
      <c r="V1682" s="8">
        <f>SQRT((S1682+U1682)^2+3*T1682^2)</f>
        <v/>
      </c>
      <c r="W1682" s="8">
        <f>V1682/AA1682</f>
        <v/>
      </c>
      <c r="X1682" s="27">
        <f>((3*10+H1682/COS(RADIANS(E1682)))*(3+3)+3*G1682*H1682)*2</f>
        <v/>
      </c>
      <c r="Y1682" s="28">
        <f>Z1682/X1682</f>
        <v/>
      </c>
      <c r="Z1682" s="29" t="n">
        <v>660.919636759575</v>
      </c>
      <c r="AA1682" s="20" t="n">
        <v>40.3685767746922</v>
      </c>
      <c r="AB1682" t="n">
        <v>0.03275681651759026</v>
      </c>
      <c r="AC1682" t="n">
        <v>36.63370688206804</v>
      </c>
      <c r="AD1682" t="n">
        <v>-1.065896440730377</v>
      </c>
    </row>
    <row r="1683">
      <c r="A1683" t="n">
        <v>1682</v>
      </c>
      <c r="B1683" t="n">
        <v>62.9</v>
      </c>
      <c r="C1683" s="21">
        <f>B1683-20</f>
        <v/>
      </c>
      <c r="D1683" t="n">
        <v>128.1</v>
      </c>
      <c r="E1683" s="22">
        <f>D1683-90</f>
        <v/>
      </c>
      <c r="F1683" s="23" t="n">
        <v>0.014511</v>
      </c>
      <c r="G1683" s="22" t="n">
        <v>24.7</v>
      </c>
      <c r="H1683" s="22" t="n">
        <v>1.4</v>
      </c>
      <c r="I1683" s="24" t="n">
        <v>0.0976520702242851</v>
      </c>
      <c r="J1683" s="6" t="n">
        <v>71000</v>
      </c>
      <c r="K1683" s="25">
        <f>23*10^-6</f>
        <v/>
      </c>
      <c r="L1683" s="8">
        <f>H1683</f>
        <v/>
      </c>
      <c r="M1683" s="26">
        <f>H1683^2/6</f>
        <v/>
      </c>
      <c r="N1683" s="26">
        <f>H1683^3/12</f>
        <v/>
      </c>
      <c r="O1683" s="27">
        <f>-J1683*L1683*K1683*C1683</f>
        <v/>
      </c>
      <c r="P1683" s="28">
        <f>-(12*F1683*J1683*L1683*N1683+12*O1683*N1683*G1683*COS(RADIANS(E1683)))/(12*N1683*G1683*COS(RADIANS(E1683))^2+L1683*G1683^3*SIN(RADIANS(E1683))^2)</f>
        <v/>
      </c>
      <c r="Q1683" s="28">
        <f>-(6*F1683*J1683*L1683*N1683*SIN(RADIANS(E1683))+6*O1683*N1683*G1683*SIN(RADIANS(E1683))*COS(RADIANS(E1683)))/(12*N1683*COS(RADIANS(E1683))^2+L1683*G1683^2*SIN(RADIANS(E1683))^2)</f>
        <v/>
      </c>
      <c r="R1683" s="28">
        <f>-P1683*SIN(RADIANS(E1683))</f>
        <v/>
      </c>
      <c r="S1683" s="8">
        <f>(O1683+P1683*COS(RADIANS(E1683)))/L1683</f>
        <v/>
      </c>
      <c r="T1683" s="8">
        <f>R1683/L1683</f>
        <v/>
      </c>
      <c r="U1683" s="8">
        <f>(Q1683-P1683*G1683*SIN(RADIANS(E1683)))/M1683</f>
        <v/>
      </c>
      <c r="V1683" s="8">
        <f>SQRT((S1683+U1683)^2+3*T1683^2)</f>
        <v/>
      </c>
      <c r="W1683" s="8">
        <f>V1683/AA1683</f>
        <v/>
      </c>
      <c r="X1683" s="27">
        <f>((3*10+H1683/COS(RADIANS(E1683)))*(3+3)+3*G1683*H1683)*2</f>
        <v/>
      </c>
      <c r="Y1683" s="28">
        <f>Z1683/X1683</f>
        <v/>
      </c>
      <c r="Z1683" s="29" t="n">
        <v>589.488020396697</v>
      </c>
      <c r="AA1683" s="20" t="n">
        <v>66.7766426093408</v>
      </c>
      <c r="AB1683" t="n">
        <v>0.05502497267588606</v>
      </c>
      <c r="AC1683" t="n">
        <v>61.88224447780734</v>
      </c>
      <c r="AD1683" t="n">
        <v>-43.65201623528725</v>
      </c>
    </row>
    <row r="1684">
      <c r="A1684" t="n">
        <v>1683</v>
      </c>
      <c r="B1684" t="n">
        <v>72.90000000000001</v>
      </c>
      <c r="C1684" s="21">
        <f>B1684-20</f>
        <v/>
      </c>
      <c r="D1684" t="n">
        <v>102.3</v>
      </c>
      <c r="E1684" s="22">
        <f>D1684-90</f>
        <v/>
      </c>
      <c r="F1684" s="23" t="n">
        <v>0.018741</v>
      </c>
      <c r="G1684" s="22" t="n">
        <v>27.9</v>
      </c>
      <c r="H1684" s="22" t="n">
        <v>1.8</v>
      </c>
      <c r="I1684" s="24" t="n">
        <v>0.0943153724074363</v>
      </c>
      <c r="J1684" s="6" t="n">
        <v>71000</v>
      </c>
      <c r="K1684" s="25">
        <f>23*10^-6</f>
        <v/>
      </c>
      <c r="L1684" s="8">
        <f>H1684</f>
        <v/>
      </c>
      <c r="M1684" s="26">
        <f>H1684^2/6</f>
        <v/>
      </c>
      <c r="N1684" s="26">
        <f>H1684^3/12</f>
        <v/>
      </c>
      <c r="O1684" s="27">
        <f>-J1684*L1684*K1684*C1684</f>
        <v/>
      </c>
      <c r="P1684" s="28">
        <f>-(12*F1684*J1684*L1684*N1684+12*O1684*N1684*G1684*COS(RADIANS(E1684)))/(12*N1684*G1684*COS(RADIANS(E1684))^2+L1684*G1684^3*SIN(RADIANS(E1684))^2)</f>
        <v/>
      </c>
      <c r="Q1684" s="28">
        <f>-(6*F1684*J1684*L1684*N1684*SIN(RADIANS(E1684))+6*O1684*N1684*G1684*SIN(RADIANS(E1684))*COS(RADIANS(E1684)))/(12*N1684*COS(RADIANS(E1684))^2+L1684*G1684^2*SIN(RADIANS(E1684))^2)</f>
        <v/>
      </c>
      <c r="R1684" s="28">
        <f>-P1684*SIN(RADIANS(E1684))</f>
        <v/>
      </c>
      <c r="S1684" s="8">
        <f>(O1684+P1684*COS(RADIANS(E1684)))/L1684</f>
        <v/>
      </c>
      <c r="T1684" s="8">
        <f>R1684/L1684</f>
        <v/>
      </c>
      <c r="U1684" s="8">
        <f>(Q1684-P1684*G1684*SIN(RADIANS(E1684)))/M1684</f>
        <v/>
      </c>
      <c r="V1684" s="8">
        <f>SQRT((S1684+U1684)^2+3*T1684^2)</f>
        <v/>
      </c>
      <c r="W1684" s="8">
        <f>V1684/AA1684</f>
        <v/>
      </c>
      <c r="X1684" s="27">
        <f>((3*10+H1684/COS(RADIANS(E1684)))*(3+3)+3*G1684*H1684)*2</f>
        <v/>
      </c>
      <c r="Y1684" s="28">
        <f>Z1684/X1684</f>
        <v/>
      </c>
      <c r="Z1684" s="29" t="n">
        <v>691.4882778713099</v>
      </c>
      <c r="AA1684" s="20" t="n">
        <v>85.126326787496</v>
      </c>
      <c r="AB1684" t="n">
        <v>0.2307533028557656</v>
      </c>
      <c r="AC1684" t="n">
        <v>91.71636810793088</v>
      </c>
      <c r="AD1684" t="n">
        <v>144.6613918449331</v>
      </c>
    </row>
    <row r="1685">
      <c r="A1685" t="n">
        <v>1684</v>
      </c>
      <c r="B1685" t="n">
        <v>56.1</v>
      </c>
      <c r="C1685" s="21">
        <f>B1685-20</f>
        <v/>
      </c>
      <c r="D1685" t="n">
        <v>127.1</v>
      </c>
      <c r="E1685" s="22">
        <f>D1685-90</f>
        <v/>
      </c>
      <c r="F1685" s="23" t="n">
        <v>0.014142</v>
      </c>
      <c r="G1685" s="22" t="n">
        <v>31</v>
      </c>
      <c r="H1685" s="22" t="n">
        <v>1.9</v>
      </c>
      <c r="I1685" s="24" t="n">
        <v>0.07356955856084819</v>
      </c>
      <c r="J1685" s="6" t="n">
        <v>71000</v>
      </c>
      <c r="K1685" s="25">
        <f>23*10^-6</f>
        <v/>
      </c>
      <c r="L1685" s="8">
        <f>H1685</f>
        <v/>
      </c>
      <c r="M1685" s="26">
        <f>H1685^2/6</f>
        <v/>
      </c>
      <c r="N1685" s="26">
        <f>H1685^3/12</f>
        <v/>
      </c>
      <c r="O1685" s="27">
        <f>-J1685*L1685*K1685*C1685</f>
        <v/>
      </c>
      <c r="P1685" s="28">
        <f>-(12*F1685*J1685*L1685*N1685+12*O1685*N1685*G1685*COS(RADIANS(E1685)))/(12*N1685*G1685*COS(RADIANS(E1685))^2+L1685*G1685^3*SIN(RADIANS(E1685))^2)</f>
        <v/>
      </c>
      <c r="Q1685" s="28">
        <f>-(6*F1685*J1685*L1685*N1685*SIN(RADIANS(E1685))+6*O1685*N1685*G1685*SIN(RADIANS(E1685))*COS(RADIANS(E1685)))/(12*N1685*COS(RADIANS(E1685))^2+L1685*G1685^2*SIN(RADIANS(E1685))^2)</f>
        <v/>
      </c>
      <c r="R1685" s="28">
        <f>-P1685*SIN(RADIANS(E1685))</f>
        <v/>
      </c>
      <c r="S1685" s="8">
        <f>(O1685+P1685*COS(RADIANS(E1685)))/L1685</f>
        <v/>
      </c>
      <c r="T1685" s="8">
        <f>R1685/L1685</f>
        <v/>
      </c>
      <c r="U1685" s="8">
        <f>(Q1685-P1685*G1685*SIN(RADIANS(E1685)))/M1685</f>
        <v/>
      </c>
      <c r="V1685" s="8">
        <f>SQRT((S1685+U1685)^2+3*T1685^2)</f>
        <v/>
      </c>
      <c r="W1685" s="8">
        <f>V1685/AA1685</f>
        <v/>
      </c>
      <c r="X1685" s="27">
        <f>((3*10+H1685/COS(RADIANS(E1685)))*(3+3)+3*G1685*H1685)*2</f>
        <v/>
      </c>
      <c r="Y1685" s="28">
        <f>Z1685/X1685</f>
        <v/>
      </c>
      <c r="Z1685" s="29" t="n">
        <v>743.98342499355</v>
      </c>
      <c r="AA1685" s="20" t="n">
        <v>59.0747326677553</v>
      </c>
      <c r="AB1685" t="n">
        <v>0.05893996159197529</v>
      </c>
      <c r="AC1685" t="n">
        <v>52.86330425227954</v>
      </c>
      <c r="AD1685" t="n">
        <v>-19.8853945232973</v>
      </c>
    </row>
    <row r="1686">
      <c r="A1686" t="n">
        <v>1685</v>
      </c>
      <c r="B1686" t="n">
        <v>87.2</v>
      </c>
      <c r="C1686" s="21">
        <f>B1686-20</f>
        <v/>
      </c>
      <c r="D1686" t="n">
        <v>115.6</v>
      </c>
      <c r="E1686" s="22">
        <f>D1686-90</f>
        <v/>
      </c>
      <c r="F1686" s="23" t="n">
        <v>0.026306</v>
      </c>
      <c r="G1686" s="22" t="n">
        <v>30.5</v>
      </c>
      <c r="H1686" s="22" t="n">
        <v>1.4</v>
      </c>
      <c r="I1686" s="24" t="n">
        <v>0.145283505320549</v>
      </c>
      <c r="J1686" s="6" t="n">
        <v>71000</v>
      </c>
      <c r="K1686" s="25">
        <f>23*10^-6</f>
        <v/>
      </c>
      <c r="L1686" s="8">
        <f>H1686</f>
        <v/>
      </c>
      <c r="M1686" s="26">
        <f>H1686^2/6</f>
        <v/>
      </c>
      <c r="N1686" s="26">
        <f>H1686^3/12</f>
        <v/>
      </c>
      <c r="O1686" s="27">
        <f>-J1686*L1686*K1686*C1686</f>
        <v/>
      </c>
      <c r="P1686" s="28">
        <f>-(12*F1686*J1686*L1686*N1686+12*O1686*N1686*G1686*COS(RADIANS(E1686)))/(12*N1686*G1686*COS(RADIANS(E1686))^2+L1686*G1686^3*SIN(RADIANS(E1686))^2)</f>
        <v/>
      </c>
      <c r="Q1686" s="28">
        <f>-(6*F1686*J1686*L1686*N1686*SIN(RADIANS(E1686))+6*O1686*N1686*G1686*SIN(RADIANS(E1686))*COS(RADIANS(E1686)))/(12*N1686*COS(RADIANS(E1686))^2+L1686*G1686^2*SIN(RADIANS(E1686))^2)</f>
        <v/>
      </c>
      <c r="R1686" s="28">
        <f>-P1686*SIN(RADIANS(E1686))</f>
        <v/>
      </c>
      <c r="S1686" s="8">
        <f>(O1686+P1686*COS(RADIANS(E1686)))/L1686</f>
        <v/>
      </c>
      <c r="T1686" s="8">
        <f>R1686/L1686</f>
        <v/>
      </c>
      <c r="U1686" s="8">
        <f>(Q1686-P1686*G1686*SIN(RADIANS(E1686)))/M1686</f>
        <v/>
      </c>
      <c r="V1686" s="8">
        <f>SQRT((S1686+U1686)^2+3*T1686^2)</f>
        <v/>
      </c>
      <c r="W1686" s="8">
        <f>V1686/AA1686</f>
        <v/>
      </c>
      <c r="X1686" s="27">
        <f>((3*10+H1686/COS(RADIANS(E1686)))*(3+3)+3*G1686*H1686)*2</f>
        <v/>
      </c>
      <c r="Y1686" s="28">
        <f>Z1686/X1686</f>
        <v/>
      </c>
      <c r="Z1686" s="29" t="n">
        <v>639.5455546049189</v>
      </c>
      <c r="AA1686" s="20" t="n">
        <v>100.172292700234</v>
      </c>
      <c r="AB1686" t="n">
        <v>0.1610828548178299</v>
      </c>
      <c r="AC1686" t="n">
        <v>100.1179741218206</v>
      </c>
      <c r="AD1686" t="n">
        <v>10.8748405143596</v>
      </c>
    </row>
    <row r="1687">
      <c r="A1687" t="n">
        <v>1686</v>
      </c>
      <c r="B1687" t="n">
        <v>67.3</v>
      </c>
      <c r="C1687" s="21">
        <f>B1687-20</f>
        <v/>
      </c>
      <c r="D1687" t="n">
        <v>118.5</v>
      </c>
      <c r="E1687" s="22">
        <f>D1687-90</f>
        <v/>
      </c>
      <c r="F1687" s="23" t="n">
        <v>0.017857</v>
      </c>
      <c r="G1687" s="22" t="n">
        <v>29.8</v>
      </c>
      <c r="H1687" s="22" t="n">
        <v>1.3</v>
      </c>
      <c r="I1687" s="24" t="n">
        <v>0.0920968279242515</v>
      </c>
      <c r="J1687" s="6" t="n">
        <v>71000</v>
      </c>
      <c r="K1687" s="25">
        <f>23*10^-6</f>
        <v/>
      </c>
      <c r="L1687" s="8">
        <f>H1687</f>
        <v/>
      </c>
      <c r="M1687" s="26">
        <f>H1687^2/6</f>
        <v/>
      </c>
      <c r="N1687" s="26">
        <f>H1687^3/12</f>
        <v/>
      </c>
      <c r="O1687" s="27">
        <f>-J1687*L1687*K1687*C1687</f>
        <v/>
      </c>
      <c r="P1687" s="28">
        <f>-(12*F1687*J1687*L1687*N1687+12*O1687*N1687*G1687*COS(RADIANS(E1687)))/(12*N1687*G1687*COS(RADIANS(E1687))^2+L1687*G1687^3*SIN(RADIANS(E1687))^2)</f>
        <v/>
      </c>
      <c r="Q1687" s="28">
        <f>-(6*F1687*J1687*L1687*N1687*SIN(RADIANS(E1687))+6*O1687*N1687*G1687*SIN(RADIANS(E1687))*COS(RADIANS(E1687)))/(12*N1687*COS(RADIANS(E1687))^2+L1687*G1687^2*SIN(RADIANS(E1687))^2)</f>
        <v/>
      </c>
      <c r="R1687" s="28">
        <f>-P1687*SIN(RADIANS(E1687))</f>
        <v/>
      </c>
      <c r="S1687" s="8">
        <f>(O1687+P1687*COS(RADIANS(E1687)))/L1687</f>
        <v/>
      </c>
      <c r="T1687" s="8">
        <f>R1687/L1687</f>
        <v/>
      </c>
      <c r="U1687" s="8">
        <f>(Q1687-P1687*G1687*SIN(RADIANS(E1687)))/M1687</f>
        <v/>
      </c>
      <c r="V1687" s="8">
        <f>SQRT((S1687+U1687)^2+3*T1687^2)</f>
        <v/>
      </c>
      <c r="W1687" s="8">
        <f>V1687/AA1687</f>
        <v/>
      </c>
      <c r="X1687" s="27">
        <f>((3*10+H1687/COS(RADIANS(E1687)))*(3+3)+3*G1687*H1687)*2</f>
        <v/>
      </c>
      <c r="Y1687" s="28">
        <f>Z1687/X1687</f>
        <v/>
      </c>
      <c r="Z1687" s="29" t="n">
        <v>615.3919650197</v>
      </c>
      <c r="AA1687" s="20" t="n">
        <v>68.8234190943399</v>
      </c>
      <c r="AB1687" t="n">
        <v>0.09920863868473272</v>
      </c>
      <c r="AC1687" t="n">
        <v>69.31633003713368</v>
      </c>
      <c r="AD1687" t="n">
        <v>7.722101749617904</v>
      </c>
    </row>
    <row r="1688">
      <c r="A1688" t="n">
        <v>1687</v>
      </c>
      <c r="B1688" t="n">
        <v>42.6</v>
      </c>
      <c r="C1688" s="21">
        <f>B1688-20</f>
        <v/>
      </c>
      <c r="D1688" t="n">
        <v>123.6</v>
      </c>
      <c r="E1688" s="22">
        <f>D1688-90</f>
        <v/>
      </c>
      <c r="F1688" s="23" t="n">
        <v>0.006408</v>
      </c>
      <c r="G1688" s="22" t="n">
        <v>22.9</v>
      </c>
      <c r="H1688" s="22" t="n">
        <v>1.1</v>
      </c>
      <c r="I1688" s="24" t="n">
        <v>0.0295373611152172</v>
      </c>
      <c r="J1688" s="6" t="n">
        <v>71000</v>
      </c>
      <c r="K1688" s="25">
        <f>23*10^-6</f>
        <v/>
      </c>
      <c r="L1688" s="8">
        <f>H1688</f>
        <v/>
      </c>
      <c r="M1688" s="26">
        <f>H1688^2/6</f>
        <v/>
      </c>
      <c r="N1688" s="26">
        <f>H1688^3/12</f>
        <v/>
      </c>
      <c r="O1688" s="27">
        <f>-J1688*L1688*K1688*C1688</f>
        <v/>
      </c>
      <c r="P1688" s="28">
        <f>-(12*F1688*J1688*L1688*N1688+12*O1688*N1688*G1688*COS(RADIANS(E1688)))/(12*N1688*G1688*COS(RADIANS(E1688))^2+L1688*G1688^3*SIN(RADIANS(E1688))^2)</f>
        <v/>
      </c>
      <c r="Q1688" s="28">
        <f>-(6*F1688*J1688*L1688*N1688*SIN(RADIANS(E1688))+6*O1688*N1688*G1688*SIN(RADIANS(E1688))*COS(RADIANS(E1688)))/(12*N1688*COS(RADIANS(E1688))^2+L1688*G1688^2*SIN(RADIANS(E1688))^2)</f>
        <v/>
      </c>
      <c r="R1688" s="28">
        <f>-P1688*SIN(RADIANS(E1688))</f>
        <v/>
      </c>
      <c r="S1688" s="8">
        <f>(O1688+P1688*COS(RADIANS(E1688)))/L1688</f>
        <v/>
      </c>
      <c r="T1688" s="8">
        <f>R1688/L1688</f>
        <v/>
      </c>
      <c r="U1688" s="8">
        <f>(Q1688-P1688*G1688*SIN(RADIANS(E1688)))/M1688</f>
        <v/>
      </c>
      <c r="V1688" s="8">
        <f>SQRT((S1688+U1688)^2+3*T1688^2)</f>
        <v/>
      </c>
      <c r="W1688" s="8">
        <f>V1688/AA1688</f>
        <v/>
      </c>
      <c r="X1688" s="27">
        <f>((3*10+H1688/COS(RADIANS(E1688)))*(3+3)+3*G1688*H1688)*2</f>
        <v/>
      </c>
      <c r="Y1688" s="28">
        <f>Z1688/X1688</f>
        <v/>
      </c>
      <c r="Z1688" s="29" t="n">
        <v>535.712347841124</v>
      </c>
      <c r="AA1688" s="20" t="n">
        <v>31.3219351187791</v>
      </c>
      <c r="AB1688" t="n">
        <v>0.03104835536271463</v>
      </c>
      <c r="AC1688" t="n">
        <v>32.58165779458269</v>
      </c>
      <c r="AD1688" t="n">
        <v>5.115535682430997</v>
      </c>
    </row>
    <row r="1689">
      <c r="A1689" t="n">
        <v>1688</v>
      </c>
      <c r="B1689" t="n">
        <v>87.8</v>
      </c>
      <c r="C1689" s="21">
        <f>B1689-20</f>
        <v/>
      </c>
      <c r="D1689" t="n">
        <v>122.7</v>
      </c>
      <c r="E1689" s="22">
        <f>D1689-90</f>
        <v/>
      </c>
      <c r="F1689" s="23" t="n">
        <v>0.023554</v>
      </c>
      <c r="G1689" s="22" t="n">
        <v>31.1</v>
      </c>
      <c r="H1689" s="22" t="n">
        <v>1.2</v>
      </c>
      <c r="I1689" s="24" t="n">
        <v>0.101202197372913</v>
      </c>
      <c r="J1689" s="6" t="n">
        <v>71000</v>
      </c>
      <c r="K1689" s="25">
        <f>23*10^-6</f>
        <v/>
      </c>
      <c r="L1689" s="8">
        <f>H1689</f>
        <v/>
      </c>
      <c r="M1689" s="26">
        <f>H1689^2/6</f>
        <v/>
      </c>
      <c r="N1689" s="26">
        <f>H1689^3/12</f>
        <v/>
      </c>
      <c r="O1689" s="27">
        <f>-J1689*L1689*K1689*C1689</f>
        <v/>
      </c>
      <c r="P1689" s="28">
        <f>-(12*F1689*J1689*L1689*N1689+12*O1689*N1689*G1689*COS(RADIANS(E1689)))/(12*N1689*G1689*COS(RADIANS(E1689))^2+L1689*G1689^3*SIN(RADIANS(E1689))^2)</f>
        <v/>
      </c>
      <c r="Q1689" s="28">
        <f>-(6*F1689*J1689*L1689*N1689*SIN(RADIANS(E1689))+6*O1689*N1689*G1689*SIN(RADIANS(E1689))*COS(RADIANS(E1689)))/(12*N1689*COS(RADIANS(E1689))^2+L1689*G1689^2*SIN(RADIANS(E1689))^2)</f>
        <v/>
      </c>
      <c r="R1689" s="28">
        <f>-P1689*SIN(RADIANS(E1689))</f>
        <v/>
      </c>
      <c r="S1689" s="8">
        <f>(O1689+P1689*COS(RADIANS(E1689)))/L1689</f>
        <v/>
      </c>
      <c r="T1689" s="8">
        <f>R1689/L1689</f>
        <v/>
      </c>
      <c r="U1689" s="8">
        <f>(Q1689-P1689*G1689*SIN(RADIANS(E1689)))/M1689</f>
        <v/>
      </c>
      <c r="V1689" s="8">
        <f>SQRT((S1689+U1689)^2+3*T1689^2)</f>
        <v/>
      </c>
      <c r="W1689" s="8">
        <f>V1689/AA1689</f>
        <v/>
      </c>
      <c r="X1689" s="27">
        <f>((3*10+H1689/COS(RADIANS(E1689)))*(3+3)+3*G1689*H1689)*2</f>
        <v/>
      </c>
      <c r="Y1689" s="28">
        <f>Z1689/X1689</f>
        <v/>
      </c>
      <c r="Z1689" s="29" t="n">
        <v>612.150542635599</v>
      </c>
      <c r="AA1689" s="20" t="n">
        <v>90.5068201176267</v>
      </c>
      <c r="AB1689" t="n">
        <v>0.1279821088389586</v>
      </c>
      <c r="AC1689" t="n">
        <v>97.32785687278856</v>
      </c>
      <c r="AD1689" t="n">
        <v>26.46178853939911</v>
      </c>
    </row>
    <row r="1690">
      <c r="A1690" t="n">
        <v>1689</v>
      </c>
      <c r="B1690" t="n">
        <v>49.6</v>
      </c>
      <c r="C1690" s="21">
        <f>B1690-20</f>
        <v/>
      </c>
      <c r="D1690" t="n">
        <v>101.1</v>
      </c>
      <c r="E1690" s="22">
        <f>D1690-90</f>
        <v/>
      </c>
      <c r="F1690" s="23" t="n">
        <v>0.010003</v>
      </c>
      <c r="G1690" s="22" t="n">
        <v>24.2</v>
      </c>
      <c r="H1690" s="22" t="n">
        <v>1.8</v>
      </c>
      <c r="I1690" s="24" t="n">
        <v>0.0799769982695579</v>
      </c>
      <c r="J1690" s="6" t="n">
        <v>71000</v>
      </c>
      <c r="K1690" s="25">
        <f>23*10^-6</f>
        <v/>
      </c>
      <c r="L1690" s="8">
        <f>H1690</f>
        <v/>
      </c>
      <c r="M1690" s="26">
        <f>H1690^2/6</f>
        <v/>
      </c>
      <c r="N1690" s="26">
        <f>H1690^3/12</f>
        <v/>
      </c>
      <c r="O1690" s="27">
        <f>-J1690*L1690*K1690*C1690</f>
        <v/>
      </c>
      <c r="P1690" s="28">
        <f>-(12*F1690*J1690*L1690*N1690+12*O1690*N1690*G1690*COS(RADIANS(E1690)))/(12*N1690*G1690*COS(RADIANS(E1690))^2+L1690*G1690^3*SIN(RADIANS(E1690))^2)</f>
        <v/>
      </c>
      <c r="Q1690" s="28">
        <f>-(6*F1690*J1690*L1690*N1690*SIN(RADIANS(E1690))+6*O1690*N1690*G1690*SIN(RADIANS(E1690))*COS(RADIANS(E1690)))/(12*N1690*COS(RADIANS(E1690))^2+L1690*G1690^2*SIN(RADIANS(E1690))^2)</f>
        <v/>
      </c>
      <c r="R1690" s="28">
        <f>-P1690*SIN(RADIANS(E1690))</f>
        <v/>
      </c>
      <c r="S1690" s="8">
        <f>(O1690+P1690*COS(RADIANS(E1690)))/L1690</f>
        <v/>
      </c>
      <c r="T1690" s="8">
        <f>R1690/L1690</f>
        <v/>
      </c>
      <c r="U1690" s="8">
        <f>(Q1690-P1690*G1690*SIN(RADIANS(E1690)))/M1690</f>
        <v/>
      </c>
      <c r="V1690" s="8">
        <f>SQRT((S1690+U1690)^2+3*T1690^2)</f>
        <v/>
      </c>
      <c r="W1690" s="8">
        <f>V1690/AA1690</f>
        <v/>
      </c>
      <c r="X1690" s="27">
        <f>((3*10+H1690/COS(RADIANS(E1690)))*(3+3)+3*G1690*H1690)*2</f>
        <v/>
      </c>
      <c r="Y1690" s="28">
        <f>Z1690/X1690</f>
        <v/>
      </c>
      <c r="Z1690" s="29" t="n">
        <v>647.464942570143</v>
      </c>
      <c r="AA1690" s="20" t="n">
        <v>55.3619437928753</v>
      </c>
      <c r="AB1690" t="n">
        <v>0.1193087961919424</v>
      </c>
      <c r="AC1690" t="n">
        <v>52.85445759381579</v>
      </c>
      <c r="AD1690" t="n">
        <v>49.17888739687245</v>
      </c>
    </row>
    <row r="1691">
      <c r="A1691" t="n">
        <v>1690</v>
      </c>
      <c r="B1691" t="n">
        <v>50.7</v>
      </c>
      <c r="C1691" s="21">
        <f>B1691-20</f>
        <v/>
      </c>
      <c r="D1691" t="n">
        <v>115.2</v>
      </c>
      <c r="E1691" s="22">
        <f>D1691-90</f>
        <v/>
      </c>
      <c r="F1691" s="23" t="n">
        <v>0.011758</v>
      </c>
      <c r="G1691" s="22" t="n">
        <v>34.6</v>
      </c>
      <c r="H1691" s="22" t="n">
        <v>1.1</v>
      </c>
      <c r="I1691" s="24" t="n">
        <v>0.0500128418207168</v>
      </c>
      <c r="J1691" s="6" t="n">
        <v>71000</v>
      </c>
      <c r="K1691" s="25">
        <f>23*10^-6</f>
        <v/>
      </c>
      <c r="L1691" s="8">
        <f>H1691</f>
        <v/>
      </c>
      <c r="M1691" s="26">
        <f>H1691^2/6</f>
        <v/>
      </c>
      <c r="N1691" s="26">
        <f>H1691^3/12</f>
        <v/>
      </c>
      <c r="O1691" s="27">
        <f>-J1691*L1691*K1691*C1691</f>
        <v/>
      </c>
      <c r="P1691" s="28">
        <f>-(12*F1691*J1691*L1691*N1691+12*O1691*N1691*G1691*COS(RADIANS(E1691)))/(12*N1691*G1691*COS(RADIANS(E1691))^2+L1691*G1691^3*SIN(RADIANS(E1691))^2)</f>
        <v/>
      </c>
      <c r="Q1691" s="28">
        <f>-(6*F1691*J1691*L1691*N1691*SIN(RADIANS(E1691))+6*O1691*N1691*G1691*SIN(RADIANS(E1691))*COS(RADIANS(E1691)))/(12*N1691*COS(RADIANS(E1691))^2+L1691*G1691^2*SIN(RADIANS(E1691))^2)</f>
        <v/>
      </c>
      <c r="R1691" s="28">
        <f>-P1691*SIN(RADIANS(E1691))</f>
        <v/>
      </c>
      <c r="S1691" s="8">
        <f>(O1691+P1691*COS(RADIANS(E1691)))/L1691</f>
        <v/>
      </c>
      <c r="T1691" s="8">
        <f>R1691/L1691</f>
        <v/>
      </c>
      <c r="U1691" s="8">
        <f>(Q1691-P1691*G1691*SIN(RADIANS(E1691)))/M1691</f>
        <v/>
      </c>
      <c r="V1691" s="8">
        <f>SQRT((S1691+U1691)^2+3*T1691^2)</f>
        <v/>
      </c>
      <c r="W1691" s="8">
        <f>V1691/AA1691</f>
        <v/>
      </c>
      <c r="X1691" s="27">
        <f>((3*10+H1691/COS(RADIANS(E1691)))*(3+3)+3*G1691*H1691)*2</f>
        <v/>
      </c>
      <c r="Y1691" s="28">
        <f>Z1691/X1691</f>
        <v/>
      </c>
      <c r="Z1691" s="29" t="n">
        <v>614.434488931035</v>
      </c>
      <c r="AA1691" s="20" t="n">
        <v>39.8131681090439</v>
      </c>
      <c r="AB1691" t="n">
        <v>0.0847118406654826</v>
      </c>
      <c r="AC1691" t="n">
        <v>44.56276979111365</v>
      </c>
      <c r="AD1691" t="n">
        <v>69.38017833330247</v>
      </c>
    </row>
    <row r="1692">
      <c r="A1692" t="n">
        <v>1691</v>
      </c>
      <c r="B1692" t="n">
        <v>71</v>
      </c>
      <c r="C1692" s="21">
        <f>B1692-20</f>
        <v/>
      </c>
      <c r="D1692" t="n">
        <v>126.1</v>
      </c>
      <c r="E1692" s="22">
        <f>D1692-90</f>
        <v/>
      </c>
      <c r="F1692" s="23" t="n">
        <v>0.015967</v>
      </c>
      <c r="G1692" s="22" t="n">
        <v>23.8</v>
      </c>
      <c r="H1692" s="22" t="n">
        <v>1.4</v>
      </c>
      <c r="I1692" s="24" t="n">
        <v>0.0829899683594703</v>
      </c>
      <c r="J1692" s="6" t="n">
        <v>71000</v>
      </c>
      <c r="K1692" s="25">
        <f>23*10^-6</f>
        <v/>
      </c>
      <c r="L1692" s="8">
        <f>H1692</f>
        <v/>
      </c>
      <c r="M1692" s="26">
        <f>H1692^2/6</f>
        <v/>
      </c>
      <c r="N1692" s="26">
        <f>H1692^3/12</f>
        <v/>
      </c>
      <c r="O1692" s="27">
        <f>-J1692*L1692*K1692*C1692</f>
        <v/>
      </c>
      <c r="P1692" s="28">
        <f>-(12*F1692*J1692*L1692*N1692+12*O1692*N1692*G1692*COS(RADIANS(E1692)))/(12*N1692*G1692*COS(RADIANS(E1692))^2+L1692*G1692^3*SIN(RADIANS(E1692))^2)</f>
        <v/>
      </c>
      <c r="Q1692" s="28">
        <f>-(6*F1692*J1692*L1692*N1692*SIN(RADIANS(E1692))+6*O1692*N1692*G1692*SIN(RADIANS(E1692))*COS(RADIANS(E1692)))/(12*N1692*COS(RADIANS(E1692))^2+L1692*G1692^2*SIN(RADIANS(E1692))^2)</f>
        <v/>
      </c>
      <c r="R1692" s="28">
        <f>-P1692*SIN(RADIANS(E1692))</f>
        <v/>
      </c>
      <c r="S1692" s="8">
        <f>(O1692+P1692*COS(RADIANS(E1692)))/L1692</f>
        <v/>
      </c>
      <c r="T1692" s="8">
        <f>R1692/L1692</f>
        <v/>
      </c>
      <c r="U1692" s="8">
        <f>(Q1692-P1692*G1692*SIN(RADIANS(E1692)))/M1692</f>
        <v/>
      </c>
      <c r="V1692" s="8">
        <f>SQRT((S1692+U1692)^2+3*T1692^2)</f>
        <v/>
      </c>
      <c r="W1692" s="8">
        <f>V1692/AA1692</f>
        <v/>
      </c>
      <c r="X1692" s="27">
        <f>((3*10+H1692/COS(RADIANS(E1692)))*(3+3)+3*G1692*H1692)*2</f>
        <v/>
      </c>
      <c r="Y1692" s="28">
        <f>Z1692/X1692</f>
        <v/>
      </c>
      <c r="Z1692" s="29" t="n">
        <v>584.594845249341</v>
      </c>
      <c r="AA1692" s="20" t="n">
        <v>77.475281437722</v>
      </c>
      <c r="AB1692" t="n">
        <v>0.06699259312552711</v>
      </c>
      <c r="AC1692" t="n">
        <v>74.10400591665135</v>
      </c>
      <c r="AD1692" t="n">
        <v>-19.27627585619831</v>
      </c>
    </row>
    <row r="1693">
      <c r="A1693" t="n">
        <v>1692</v>
      </c>
      <c r="B1693" t="n">
        <v>89.59999999999999</v>
      </c>
      <c r="C1693" s="21">
        <f>B1693-20</f>
        <v/>
      </c>
      <c r="D1693" t="n">
        <v>116.8</v>
      </c>
      <c r="E1693" s="22">
        <f>D1693-90</f>
        <v/>
      </c>
      <c r="F1693" s="23" t="n">
        <v>0.024703</v>
      </c>
      <c r="G1693" s="22" t="n">
        <v>28.6</v>
      </c>
      <c r="H1693" s="22" t="n">
        <v>1.7</v>
      </c>
      <c r="I1693" s="24" t="n">
        <v>0.118567176163196</v>
      </c>
      <c r="J1693" s="6" t="n">
        <v>71000</v>
      </c>
      <c r="K1693" s="25">
        <f>23*10^-6</f>
        <v/>
      </c>
      <c r="L1693" s="8">
        <f>H1693</f>
        <v/>
      </c>
      <c r="M1693" s="26">
        <f>H1693^2/6</f>
        <v/>
      </c>
      <c r="N1693" s="26">
        <f>H1693^3/12</f>
        <v/>
      </c>
      <c r="O1693" s="27">
        <f>-J1693*L1693*K1693*C1693</f>
        <v/>
      </c>
      <c r="P1693" s="28">
        <f>-(12*F1693*J1693*L1693*N1693+12*O1693*N1693*G1693*COS(RADIANS(E1693)))/(12*N1693*G1693*COS(RADIANS(E1693))^2+L1693*G1693^3*SIN(RADIANS(E1693))^2)</f>
        <v/>
      </c>
      <c r="Q1693" s="28">
        <f>-(6*F1693*J1693*L1693*N1693*SIN(RADIANS(E1693))+6*O1693*N1693*G1693*SIN(RADIANS(E1693))*COS(RADIANS(E1693)))/(12*N1693*COS(RADIANS(E1693))^2+L1693*G1693^2*SIN(RADIANS(E1693))^2)</f>
        <v/>
      </c>
      <c r="R1693" s="28">
        <f>-P1693*SIN(RADIANS(E1693))</f>
        <v/>
      </c>
      <c r="S1693" s="8">
        <f>(O1693+P1693*COS(RADIANS(E1693)))/L1693</f>
        <v/>
      </c>
      <c r="T1693" s="8">
        <f>R1693/L1693</f>
        <v/>
      </c>
      <c r="U1693" s="8">
        <f>(Q1693-P1693*G1693*SIN(RADIANS(E1693)))/M1693</f>
        <v/>
      </c>
      <c r="V1693" s="8">
        <f>SQRT((S1693+U1693)^2+3*T1693^2)</f>
        <v/>
      </c>
      <c r="W1693" s="8">
        <f>V1693/AA1693</f>
        <v/>
      </c>
      <c r="X1693" s="27">
        <f>((3*10+H1693/COS(RADIANS(E1693)))*(3+3)+3*G1693*H1693)*2</f>
        <v/>
      </c>
      <c r="Y1693" s="28">
        <f>Z1693/X1693</f>
        <v/>
      </c>
      <c r="Z1693" s="29" t="n">
        <v>681.676086629914</v>
      </c>
      <c r="AA1693" s="20" t="n">
        <v>108.311215154859</v>
      </c>
      <c r="AB1693" t="n">
        <v>0.1488283070140877</v>
      </c>
      <c r="AC1693" t="n">
        <v>105.6113734458348</v>
      </c>
      <c r="AD1693" t="n">
        <v>25.52235098290631</v>
      </c>
    </row>
    <row r="1694">
      <c r="A1694" t="n">
        <v>1693</v>
      </c>
      <c r="B1694" t="n">
        <v>87.40000000000001</v>
      </c>
      <c r="C1694" s="21">
        <f>B1694-20</f>
        <v/>
      </c>
      <c r="D1694" t="n">
        <v>120.3</v>
      </c>
      <c r="E1694" s="22">
        <f>D1694-90</f>
        <v/>
      </c>
      <c r="F1694" s="23" t="n">
        <v>0.024514</v>
      </c>
      <c r="G1694" s="22" t="n">
        <v>31.1</v>
      </c>
      <c r="H1694" s="22" t="n">
        <v>1.2</v>
      </c>
      <c r="I1694" s="24" t="n">
        <v>0.108780525624752</v>
      </c>
      <c r="J1694" s="6" t="n">
        <v>71000</v>
      </c>
      <c r="K1694" s="25">
        <f>23*10^-6</f>
        <v/>
      </c>
      <c r="L1694" s="8">
        <f>H1694</f>
        <v/>
      </c>
      <c r="M1694" s="26">
        <f>H1694^2/6</f>
        <v/>
      </c>
      <c r="N1694" s="26">
        <f>H1694^3/12</f>
        <v/>
      </c>
      <c r="O1694" s="27">
        <f>-J1694*L1694*K1694*C1694</f>
        <v/>
      </c>
      <c r="P1694" s="28">
        <f>-(12*F1694*J1694*L1694*N1694+12*O1694*N1694*G1694*COS(RADIANS(E1694)))/(12*N1694*G1694*COS(RADIANS(E1694))^2+L1694*G1694^3*SIN(RADIANS(E1694))^2)</f>
        <v/>
      </c>
      <c r="Q1694" s="28">
        <f>-(6*F1694*J1694*L1694*N1694*SIN(RADIANS(E1694))+6*O1694*N1694*G1694*SIN(RADIANS(E1694))*COS(RADIANS(E1694)))/(12*N1694*COS(RADIANS(E1694))^2+L1694*G1694^2*SIN(RADIANS(E1694))^2)</f>
        <v/>
      </c>
      <c r="R1694" s="28">
        <f>-P1694*SIN(RADIANS(E1694))</f>
        <v/>
      </c>
      <c r="S1694" s="8">
        <f>(O1694+P1694*COS(RADIANS(E1694)))/L1694</f>
        <v/>
      </c>
      <c r="T1694" s="8">
        <f>R1694/L1694</f>
        <v/>
      </c>
      <c r="U1694" s="8">
        <f>(Q1694-P1694*G1694*SIN(RADIANS(E1694)))/M1694</f>
        <v/>
      </c>
      <c r="V1694" s="8">
        <f>SQRT((S1694+U1694)^2+3*T1694^2)</f>
        <v/>
      </c>
      <c r="W1694" s="8">
        <f>V1694/AA1694</f>
        <v/>
      </c>
      <c r="X1694" s="27">
        <f>((3*10+H1694/COS(RADIANS(E1694)))*(3+3)+3*G1694*H1694)*2</f>
        <v/>
      </c>
      <c r="Y1694" s="28">
        <f>Z1694/X1694</f>
        <v/>
      </c>
      <c r="Z1694" s="29" t="n">
        <v>609.456427733372</v>
      </c>
      <c r="AA1694" s="20" t="n">
        <v>92.39046202223039</v>
      </c>
      <c r="AB1694" t="n">
        <v>0.1380870292579943</v>
      </c>
      <c r="AC1694" t="n">
        <v>97.39929159552904</v>
      </c>
      <c r="AD1694" t="n">
        <v>26.94094688817521</v>
      </c>
    </row>
    <row r="1695">
      <c r="A1695" t="n">
        <v>1694</v>
      </c>
      <c r="B1695" t="n">
        <v>87.5</v>
      </c>
      <c r="C1695" s="21">
        <f>B1695-20</f>
        <v/>
      </c>
      <c r="D1695" t="n">
        <v>127.8</v>
      </c>
      <c r="E1695" s="22">
        <f>D1695-90</f>
        <v/>
      </c>
      <c r="F1695" s="23" t="n">
        <v>0.026569</v>
      </c>
      <c r="G1695" s="22" t="n">
        <v>33.9</v>
      </c>
      <c r="H1695" s="22" t="n">
        <v>1.6</v>
      </c>
      <c r="I1695" s="24" t="n">
        <v>0.117738261818885</v>
      </c>
      <c r="J1695" s="6" t="n">
        <v>71000</v>
      </c>
      <c r="K1695" s="25">
        <f>23*10^-6</f>
        <v/>
      </c>
      <c r="L1695" s="8">
        <f>H1695</f>
        <v/>
      </c>
      <c r="M1695" s="26">
        <f>H1695^2/6</f>
        <v/>
      </c>
      <c r="N1695" s="26">
        <f>H1695^3/12</f>
        <v/>
      </c>
      <c r="O1695" s="27">
        <f>-J1695*L1695*K1695*C1695</f>
        <v/>
      </c>
      <c r="P1695" s="28">
        <f>-(12*F1695*J1695*L1695*N1695+12*O1695*N1695*G1695*COS(RADIANS(E1695)))/(12*N1695*G1695*COS(RADIANS(E1695))^2+L1695*G1695^3*SIN(RADIANS(E1695))^2)</f>
        <v/>
      </c>
      <c r="Q1695" s="28">
        <f>-(6*F1695*J1695*L1695*N1695*SIN(RADIANS(E1695))+6*O1695*N1695*G1695*SIN(RADIANS(E1695))*COS(RADIANS(E1695)))/(12*N1695*COS(RADIANS(E1695))^2+L1695*G1695^2*SIN(RADIANS(E1695))^2)</f>
        <v/>
      </c>
      <c r="R1695" s="28">
        <f>-P1695*SIN(RADIANS(E1695))</f>
        <v/>
      </c>
      <c r="S1695" s="8">
        <f>(O1695+P1695*COS(RADIANS(E1695)))/L1695</f>
        <v/>
      </c>
      <c r="T1695" s="8">
        <f>R1695/L1695</f>
        <v/>
      </c>
      <c r="U1695" s="8">
        <f>(Q1695-P1695*G1695*SIN(RADIANS(E1695)))/M1695</f>
        <v/>
      </c>
      <c r="V1695" s="8">
        <f>SQRT((S1695+U1695)^2+3*T1695^2)</f>
        <v/>
      </c>
      <c r="W1695" s="8">
        <f>V1695/AA1695</f>
        <v/>
      </c>
      <c r="X1695" s="27">
        <f>((3*10+H1695/COS(RADIANS(E1695)))*(3+3)+3*G1695*H1695)*2</f>
        <v/>
      </c>
      <c r="Y1695" s="28">
        <f>Z1695/X1695</f>
        <v/>
      </c>
      <c r="Z1695" s="29" t="n">
        <v>716.209870021961</v>
      </c>
      <c r="AA1695" s="20" t="n">
        <v>100.164200731709</v>
      </c>
      <c r="AB1695" t="n">
        <v>0.1178852123394155</v>
      </c>
      <c r="AC1695" t="n">
        <v>97.01447876783052</v>
      </c>
      <c r="AD1695" t="n">
        <v>0.1248111856420459</v>
      </c>
    </row>
    <row r="1696">
      <c r="A1696" t="n">
        <v>1695</v>
      </c>
      <c r="B1696" t="n">
        <v>49.9</v>
      </c>
      <c r="C1696" s="21">
        <f>B1696-20</f>
        <v/>
      </c>
      <c r="D1696" t="n">
        <v>128.1</v>
      </c>
      <c r="E1696" s="22">
        <f>D1696-90</f>
        <v/>
      </c>
      <c r="F1696" s="23" t="n">
        <v>0.013183</v>
      </c>
      <c r="G1696" s="22" t="n">
        <v>33.3</v>
      </c>
      <c r="H1696" s="22" t="n">
        <v>1.7</v>
      </c>
      <c r="I1696" s="24" t="n">
        <v>0.114895686507225</v>
      </c>
      <c r="J1696" s="6" t="n">
        <v>71000</v>
      </c>
      <c r="K1696" s="25">
        <f>23*10^-6</f>
        <v/>
      </c>
      <c r="L1696" s="8">
        <f>H1696</f>
        <v/>
      </c>
      <c r="M1696" s="26">
        <f>H1696^2/6</f>
        <v/>
      </c>
      <c r="N1696" s="26">
        <f>H1696^3/12</f>
        <v/>
      </c>
      <c r="O1696" s="27">
        <f>-J1696*L1696*K1696*C1696</f>
        <v/>
      </c>
      <c r="P1696" s="28">
        <f>-(12*F1696*J1696*L1696*N1696+12*O1696*N1696*G1696*COS(RADIANS(E1696)))/(12*N1696*G1696*COS(RADIANS(E1696))^2+L1696*G1696^3*SIN(RADIANS(E1696))^2)</f>
        <v/>
      </c>
      <c r="Q1696" s="28">
        <f>-(6*F1696*J1696*L1696*N1696*SIN(RADIANS(E1696))+6*O1696*N1696*G1696*SIN(RADIANS(E1696))*COS(RADIANS(E1696)))/(12*N1696*COS(RADIANS(E1696))^2+L1696*G1696^2*SIN(RADIANS(E1696))^2)</f>
        <v/>
      </c>
      <c r="R1696" s="28">
        <f>-P1696*SIN(RADIANS(E1696))</f>
        <v/>
      </c>
      <c r="S1696" s="8">
        <f>(O1696+P1696*COS(RADIANS(E1696)))/L1696</f>
        <v/>
      </c>
      <c r="T1696" s="8">
        <f>R1696/L1696</f>
        <v/>
      </c>
      <c r="U1696" s="8">
        <f>(Q1696-P1696*G1696*SIN(RADIANS(E1696)))/M1696</f>
        <v/>
      </c>
      <c r="V1696" s="8">
        <f>SQRT((S1696+U1696)^2+3*T1696^2)</f>
        <v/>
      </c>
      <c r="W1696" s="8">
        <f>V1696/AA1696</f>
        <v/>
      </c>
      <c r="X1696" s="27">
        <f>((3*10+H1696/COS(RADIANS(E1696)))*(3+3)+3*G1696*H1696)*2</f>
        <v/>
      </c>
      <c r="Y1696" s="28">
        <f>Z1696/X1696</f>
        <v/>
      </c>
      <c r="Z1696" s="29" t="n">
        <v>724.340069748668</v>
      </c>
      <c r="AA1696" s="20" t="n">
        <v>50.5179730165504</v>
      </c>
      <c r="AB1696" t="n">
        <v>0.05086145424869219</v>
      </c>
      <c r="AC1696" t="n">
        <v>43.14614023186402</v>
      </c>
      <c r="AD1696" t="n">
        <v>-55.73249458281981</v>
      </c>
    </row>
    <row r="1697">
      <c r="A1697" t="n">
        <v>1696</v>
      </c>
      <c r="B1697" t="n">
        <v>79.40000000000001</v>
      </c>
      <c r="C1697" s="21">
        <f>B1697-20</f>
        <v/>
      </c>
      <c r="D1697" t="n">
        <v>119.3</v>
      </c>
      <c r="E1697" s="22">
        <f>D1697-90</f>
        <v/>
      </c>
      <c r="F1697" s="23" t="n">
        <v>0.020974</v>
      </c>
      <c r="G1697" s="22" t="n">
        <v>27.6</v>
      </c>
      <c r="H1697" s="22" t="n">
        <v>1.3</v>
      </c>
      <c r="I1697" s="24" t="n">
        <v>0.107638850808143</v>
      </c>
      <c r="J1697" s="6" t="n">
        <v>71000</v>
      </c>
      <c r="K1697" s="25">
        <f>23*10^-6</f>
        <v/>
      </c>
      <c r="L1697" s="8">
        <f>H1697</f>
        <v/>
      </c>
      <c r="M1697" s="26">
        <f>H1697^2/6</f>
        <v/>
      </c>
      <c r="N1697" s="26">
        <f>H1697^3/12</f>
        <v/>
      </c>
      <c r="O1697" s="27">
        <f>-J1697*L1697*K1697*C1697</f>
        <v/>
      </c>
      <c r="P1697" s="28">
        <f>-(12*F1697*J1697*L1697*N1697+12*O1697*N1697*G1697*COS(RADIANS(E1697)))/(12*N1697*G1697*COS(RADIANS(E1697))^2+L1697*G1697^3*SIN(RADIANS(E1697))^2)</f>
        <v/>
      </c>
      <c r="Q1697" s="28">
        <f>-(6*F1697*J1697*L1697*N1697*SIN(RADIANS(E1697))+6*O1697*N1697*G1697*SIN(RADIANS(E1697))*COS(RADIANS(E1697)))/(12*N1697*COS(RADIANS(E1697))^2+L1697*G1697^2*SIN(RADIANS(E1697))^2)</f>
        <v/>
      </c>
      <c r="R1697" s="28">
        <f>-P1697*SIN(RADIANS(E1697))</f>
        <v/>
      </c>
      <c r="S1697" s="8">
        <f>(O1697+P1697*COS(RADIANS(E1697)))/L1697</f>
        <v/>
      </c>
      <c r="T1697" s="8">
        <f>R1697/L1697</f>
        <v/>
      </c>
      <c r="U1697" s="8">
        <f>(Q1697-P1697*G1697*SIN(RADIANS(E1697)))/M1697</f>
        <v/>
      </c>
      <c r="V1697" s="8">
        <f>SQRT((S1697+U1697)^2+3*T1697^2)</f>
        <v/>
      </c>
      <c r="W1697" s="8">
        <f>V1697/AA1697</f>
        <v/>
      </c>
      <c r="X1697" s="27">
        <f>((3*10+H1697/COS(RADIANS(E1697)))*(3+3)+3*G1697*H1697)*2</f>
        <v/>
      </c>
      <c r="Y1697" s="28">
        <f>Z1697/X1697</f>
        <v/>
      </c>
      <c r="Z1697" s="29" t="n">
        <v>598.478899104394</v>
      </c>
      <c r="AA1697" s="20" t="n">
        <v>86.44737346090859</v>
      </c>
      <c r="AB1697" t="n">
        <v>0.1124615809164901</v>
      </c>
      <c r="AC1697" t="n">
        <v>87.16530110538375</v>
      </c>
      <c r="AD1697" t="n">
        <v>4.480473427706118</v>
      </c>
    </row>
    <row r="1698">
      <c r="A1698" t="n">
        <v>1697</v>
      </c>
      <c r="B1698" t="n">
        <v>46.3</v>
      </c>
      <c r="C1698" s="21">
        <f>B1698-20</f>
        <v/>
      </c>
      <c r="D1698" t="n">
        <v>125.9</v>
      </c>
      <c r="E1698" s="22">
        <f>D1698-90</f>
        <v/>
      </c>
      <c r="F1698" s="23" t="n">
        <v>0.006692</v>
      </c>
      <c r="G1698" s="22" t="n">
        <v>20.2</v>
      </c>
      <c r="H1698" s="22" t="n">
        <v>1.6</v>
      </c>
      <c r="I1698" s="24" t="n">
        <v>0.0311173666268587</v>
      </c>
      <c r="J1698" s="6" t="n">
        <v>71000</v>
      </c>
      <c r="K1698" s="25">
        <f>23*10^-6</f>
        <v/>
      </c>
      <c r="L1698" s="8">
        <f>H1698</f>
        <v/>
      </c>
      <c r="M1698" s="26">
        <f>H1698^2/6</f>
        <v/>
      </c>
      <c r="N1698" s="26">
        <f>H1698^3/12</f>
        <v/>
      </c>
      <c r="O1698" s="27">
        <f>-J1698*L1698*K1698*C1698</f>
        <v/>
      </c>
      <c r="P1698" s="28">
        <f>-(12*F1698*J1698*L1698*N1698+12*O1698*N1698*G1698*COS(RADIANS(E1698)))/(12*N1698*G1698*COS(RADIANS(E1698))^2+L1698*G1698^3*SIN(RADIANS(E1698))^2)</f>
        <v/>
      </c>
      <c r="Q1698" s="28">
        <f>-(6*F1698*J1698*L1698*N1698*SIN(RADIANS(E1698))+6*O1698*N1698*G1698*SIN(RADIANS(E1698))*COS(RADIANS(E1698)))/(12*N1698*COS(RADIANS(E1698))^2+L1698*G1698^2*SIN(RADIANS(E1698))^2)</f>
        <v/>
      </c>
      <c r="R1698" s="28">
        <f>-P1698*SIN(RADIANS(E1698))</f>
        <v/>
      </c>
      <c r="S1698" s="8">
        <f>(O1698+P1698*COS(RADIANS(E1698)))/L1698</f>
        <v/>
      </c>
      <c r="T1698" s="8">
        <f>R1698/L1698</f>
        <v/>
      </c>
      <c r="U1698" s="8">
        <f>(Q1698-P1698*G1698*SIN(RADIANS(E1698)))/M1698</f>
        <v/>
      </c>
      <c r="V1698" s="8">
        <f>SQRT((S1698+U1698)^2+3*T1698^2)</f>
        <v/>
      </c>
      <c r="W1698" s="8">
        <f>V1698/AA1698</f>
        <v/>
      </c>
      <c r="X1698" s="27">
        <f>((3*10+H1698/COS(RADIANS(E1698)))*(3+3)+3*G1698*H1698)*2</f>
        <v/>
      </c>
      <c r="Y1698" s="28">
        <f>Z1698/X1698</f>
        <v/>
      </c>
      <c r="Z1698" s="29" t="n">
        <v>586.819645310974</v>
      </c>
      <c r="AA1698" s="20" t="n">
        <v>41.5818579715857</v>
      </c>
      <c r="AB1698" t="n">
        <v>0.02968706008922339</v>
      </c>
      <c r="AC1698" t="n">
        <v>38.88610965798947</v>
      </c>
      <c r="AD1698" t="n">
        <v>-4.596489654110886</v>
      </c>
    </row>
    <row r="1699">
      <c r="A1699" t="n">
        <v>1698</v>
      </c>
      <c r="B1699" t="n">
        <v>87.8</v>
      </c>
      <c r="C1699" s="21">
        <f>B1699-20</f>
        <v/>
      </c>
      <c r="D1699" t="n">
        <v>115.6</v>
      </c>
      <c r="E1699" s="22">
        <f>D1699-90</f>
        <v/>
      </c>
      <c r="F1699" s="23" t="n">
        <v>0.018504</v>
      </c>
      <c r="G1699" s="22" t="n">
        <v>20.1</v>
      </c>
      <c r="H1699" s="22" t="n">
        <v>1.4</v>
      </c>
      <c r="I1699" s="24" t="n">
        <v>0.09639971703290939</v>
      </c>
      <c r="J1699" s="6" t="n">
        <v>71000</v>
      </c>
      <c r="K1699" s="25">
        <f>23*10^-6</f>
        <v/>
      </c>
      <c r="L1699" s="8">
        <f>H1699</f>
        <v/>
      </c>
      <c r="M1699" s="26">
        <f>H1699^2/6</f>
        <v/>
      </c>
      <c r="N1699" s="26">
        <f>H1699^3/12</f>
        <v/>
      </c>
      <c r="O1699" s="27">
        <f>-J1699*L1699*K1699*C1699</f>
        <v/>
      </c>
      <c r="P1699" s="28">
        <f>-(12*F1699*J1699*L1699*N1699+12*O1699*N1699*G1699*COS(RADIANS(E1699)))/(12*N1699*G1699*COS(RADIANS(E1699))^2+L1699*G1699^3*SIN(RADIANS(E1699))^2)</f>
        <v/>
      </c>
      <c r="Q1699" s="28">
        <f>-(6*F1699*J1699*L1699*N1699*SIN(RADIANS(E1699))+6*O1699*N1699*G1699*SIN(RADIANS(E1699))*COS(RADIANS(E1699)))/(12*N1699*COS(RADIANS(E1699))^2+L1699*G1699^2*SIN(RADIANS(E1699))^2)</f>
        <v/>
      </c>
      <c r="R1699" s="28">
        <f>-P1699*SIN(RADIANS(E1699))</f>
        <v/>
      </c>
      <c r="S1699" s="8">
        <f>(O1699+P1699*COS(RADIANS(E1699)))/L1699</f>
        <v/>
      </c>
      <c r="T1699" s="8">
        <f>R1699/L1699</f>
        <v/>
      </c>
      <c r="U1699" s="8">
        <f>(Q1699-P1699*G1699*SIN(RADIANS(E1699)))/M1699</f>
        <v/>
      </c>
      <c r="V1699" s="8">
        <f>SQRT((S1699+U1699)^2+3*T1699^2)</f>
        <v/>
      </c>
      <c r="W1699" s="8">
        <f>V1699/AA1699</f>
        <v/>
      </c>
      <c r="X1699" s="27">
        <f>((3*10+H1699/COS(RADIANS(E1699)))*(3+3)+3*G1699*H1699)*2</f>
        <v/>
      </c>
      <c r="Y1699" s="28">
        <f>Z1699/X1699</f>
        <v/>
      </c>
      <c r="Z1699" s="29" t="n">
        <v>553.983519859536</v>
      </c>
      <c r="AA1699" s="20" t="n">
        <v>105.075120011259</v>
      </c>
      <c r="AB1699" t="n">
        <v>0.1089708488913348</v>
      </c>
      <c r="AC1699" t="n">
        <v>103.6583785599551</v>
      </c>
      <c r="AD1699" t="n">
        <v>13.04063149286405</v>
      </c>
    </row>
    <row r="1700">
      <c r="A1700" t="n">
        <v>1699</v>
      </c>
      <c r="B1700" t="n">
        <v>44.3</v>
      </c>
      <c r="C1700" s="21">
        <f>B1700-20</f>
        <v/>
      </c>
      <c r="D1700" t="n">
        <v>116.6</v>
      </c>
      <c r="E1700" s="22">
        <f>D1700-90</f>
        <v/>
      </c>
      <c r="F1700" s="23" t="n">
        <v>0.009531</v>
      </c>
      <c r="G1700" s="22" t="n">
        <v>32.9</v>
      </c>
      <c r="H1700" s="22" t="n">
        <v>1.8</v>
      </c>
      <c r="I1700" s="24" t="n">
        <v>0.0436852425336837</v>
      </c>
      <c r="J1700" s="6" t="n">
        <v>71000</v>
      </c>
      <c r="K1700" s="25">
        <f>23*10^-6</f>
        <v/>
      </c>
      <c r="L1700" s="8">
        <f>H1700</f>
        <v/>
      </c>
      <c r="M1700" s="26">
        <f>H1700^2/6</f>
        <v/>
      </c>
      <c r="N1700" s="26">
        <f>H1700^3/12</f>
        <v/>
      </c>
      <c r="O1700" s="27">
        <f>-J1700*L1700*K1700*C1700</f>
        <v/>
      </c>
      <c r="P1700" s="28">
        <f>-(12*F1700*J1700*L1700*N1700+12*O1700*N1700*G1700*COS(RADIANS(E1700)))/(12*N1700*G1700*COS(RADIANS(E1700))^2+L1700*G1700^3*SIN(RADIANS(E1700))^2)</f>
        <v/>
      </c>
      <c r="Q1700" s="28">
        <f>-(6*F1700*J1700*L1700*N1700*SIN(RADIANS(E1700))+6*O1700*N1700*G1700*SIN(RADIANS(E1700))*COS(RADIANS(E1700)))/(12*N1700*COS(RADIANS(E1700))^2+L1700*G1700^2*SIN(RADIANS(E1700))^2)</f>
        <v/>
      </c>
      <c r="R1700" s="28">
        <f>-P1700*SIN(RADIANS(E1700))</f>
        <v/>
      </c>
      <c r="S1700" s="8">
        <f>(O1700+P1700*COS(RADIANS(E1700)))/L1700</f>
        <v/>
      </c>
      <c r="T1700" s="8">
        <f>R1700/L1700</f>
        <v/>
      </c>
      <c r="U1700" s="8">
        <f>(Q1700-P1700*G1700*SIN(RADIANS(E1700)))/M1700</f>
        <v/>
      </c>
      <c r="V1700" s="8">
        <f>SQRT((S1700+U1700)^2+3*T1700^2)</f>
        <v/>
      </c>
      <c r="W1700" s="8">
        <f>V1700/AA1700</f>
        <v/>
      </c>
      <c r="X1700" s="27">
        <f>((3*10+H1700/COS(RADIANS(E1700)))*(3+3)+3*G1700*H1700)*2</f>
        <v/>
      </c>
      <c r="Y1700" s="28">
        <f>Z1700/X1700</f>
        <v/>
      </c>
      <c r="Z1700" s="29" t="n">
        <v>747.568356040131</v>
      </c>
      <c r="AA1700" s="20" t="n">
        <v>37.5891027887492</v>
      </c>
      <c r="AB1700" t="n">
        <v>0.05988572943542959</v>
      </c>
      <c r="AC1700" t="n">
        <v>36.74581256123832</v>
      </c>
      <c r="AD1700" t="n">
        <v>37.08457584790661</v>
      </c>
    </row>
    <row r="1701">
      <c r="A1701" t="n">
        <v>1700</v>
      </c>
      <c r="B1701" t="n">
        <v>72.09999999999999</v>
      </c>
      <c r="C1701" s="21">
        <f>B1701-20</f>
        <v/>
      </c>
      <c r="D1701" t="n">
        <v>119.7</v>
      </c>
      <c r="E1701" s="22">
        <f>D1701-90</f>
        <v/>
      </c>
      <c r="F1701" s="23" t="n">
        <v>0.016657</v>
      </c>
      <c r="G1701" s="22" t="n">
        <v>27.9</v>
      </c>
      <c r="H1701" s="22" t="n">
        <v>1.1</v>
      </c>
      <c r="I1701" s="24" t="n">
        <v>0.0727634504437446</v>
      </c>
      <c r="J1701" s="6" t="n">
        <v>71000</v>
      </c>
      <c r="K1701" s="25">
        <f>23*10^-6</f>
        <v/>
      </c>
      <c r="L1701" s="8">
        <f>H1701</f>
        <v/>
      </c>
      <c r="M1701" s="26">
        <f>H1701^2/6</f>
        <v/>
      </c>
      <c r="N1701" s="26">
        <f>H1701^3/12</f>
        <v/>
      </c>
      <c r="O1701" s="27">
        <f>-J1701*L1701*K1701*C1701</f>
        <v/>
      </c>
      <c r="P1701" s="28">
        <f>-(12*F1701*J1701*L1701*N1701+12*O1701*N1701*G1701*COS(RADIANS(E1701)))/(12*N1701*G1701*COS(RADIANS(E1701))^2+L1701*G1701^3*SIN(RADIANS(E1701))^2)</f>
        <v/>
      </c>
      <c r="Q1701" s="28">
        <f>-(6*F1701*J1701*L1701*N1701*SIN(RADIANS(E1701))+6*O1701*N1701*G1701*SIN(RADIANS(E1701))*COS(RADIANS(E1701)))/(12*N1701*COS(RADIANS(E1701))^2+L1701*G1701^2*SIN(RADIANS(E1701))^2)</f>
        <v/>
      </c>
      <c r="R1701" s="28">
        <f>-P1701*SIN(RADIANS(E1701))</f>
        <v/>
      </c>
      <c r="S1701" s="8">
        <f>(O1701+P1701*COS(RADIANS(E1701)))/L1701</f>
        <v/>
      </c>
      <c r="T1701" s="8">
        <f>R1701/L1701</f>
        <v/>
      </c>
      <c r="U1701" s="8">
        <f>(Q1701-P1701*G1701*SIN(RADIANS(E1701)))/M1701</f>
        <v/>
      </c>
      <c r="V1701" s="8">
        <f>SQRT((S1701+U1701)^2+3*T1701^2)</f>
        <v/>
      </c>
      <c r="W1701" s="8">
        <f>V1701/AA1701</f>
        <v/>
      </c>
      <c r="X1701" s="27">
        <f>((3*10+H1701/COS(RADIANS(E1701)))*(3+3)+3*G1701*H1701)*2</f>
        <v/>
      </c>
      <c r="Y1701" s="28">
        <f>Z1701/X1701</f>
        <v/>
      </c>
      <c r="Z1701" s="29" t="n">
        <v>570.652999151521</v>
      </c>
      <c r="AA1701" s="20" t="n">
        <v>68.986064929419</v>
      </c>
      <c r="AB1701" t="n">
        <v>0.09844188420263913</v>
      </c>
      <c r="AC1701" t="n">
        <v>75.36119976029487</v>
      </c>
      <c r="AD1701" t="n">
        <v>35.29029148878423</v>
      </c>
    </row>
    <row r="1702">
      <c r="A1702" t="n">
        <v>1701</v>
      </c>
      <c r="B1702" t="n">
        <v>81.59999999999999</v>
      </c>
      <c r="C1702" s="21">
        <f>B1702-20</f>
        <v/>
      </c>
      <c r="D1702" t="n">
        <v>116.6</v>
      </c>
      <c r="E1702" s="22">
        <f>D1702-90</f>
        <v/>
      </c>
      <c r="F1702" s="23" t="n">
        <v>0.018084</v>
      </c>
      <c r="G1702" s="22" t="n">
        <v>25.1</v>
      </c>
      <c r="H1702" s="22" t="n">
        <v>1.5</v>
      </c>
      <c r="I1702" s="24" t="n">
        <v>0.08029384166002269</v>
      </c>
      <c r="J1702" s="6" t="n">
        <v>71000</v>
      </c>
      <c r="K1702" s="25">
        <f>23*10^-6</f>
        <v/>
      </c>
      <c r="L1702" s="8">
        <f>H1702</f>
        <v/>
      </c>
      <c r="M1702" s="26">
        <f>H1702^2/6</f>
        <v/>
      </c>
      <c r="N1702" s="26">
        <f>H1702^3/12</f>
        <v/>
      </c>
      <c r="O1702" s="27">
        <f>-J1702*L1702*K1702*C1702</f>
        <v/>
      </c>
      <c r="P1702" s="28">
        <f>-(12*F1702*J1702*L1702*N1702+12*O1702*N1702*G1702*COS(RADIANS(E1702)))/(12*N1702*G1702*COS(RADIANS(E1702))^2+L1702*G1702^3*SIN(RADIANS(E1702))^2)</f>
        <v/>
      </c>
      <c r="Q1702" s="28">
        <f>-(6*F1702*J1702*L1702*N1702*SIN(RADIANS(E1702))+6*O1702*N1702*G1702*SIN(RADIANS(E1702))*COS(RADIANS(E1702)))/(12*N1702*COS(RADIANS(E1702))^2+L1702*G1702^2*SIN(RADIANS(E1702))^2)</f>
        <v/>
      </c>
      <c r="R1702" s="28">
        <f>-P1702*SIN(RADIANS(E1702))</f>
        <v/>
      </c>
      <c r="S1702" s="8">
        <f>(O1702+P1702*COS(RADIANS(E1702)))/L1702</f>
        <v/>
      </c>
      <c r="T1702" s="8">
        <f>R1702/L1702</f>
        <v/>
      </c>
      <c r="U1702" s="8">
        <f>(Q1702-P1702*G1702*SIN(RADIANS(E1702)))/M1702</f>
        <v/>
      </c>
      <c r="V1702" s="8">
        <f>SQRT((S1702+U1702)^2+3*T1702^2)</f>
        <v/>
      </c>
      <c r="W1702" s="8">
        <f>V1702/AA1702</f>
        <v/>
      </c>
      <c r="X1702" s="27">
        <f>((3*10+H1702/COS(RADIANS(E1702)))*(3+3)+3*G1702*H1702)*2</f>
        <v/>
      </c>
      <c r="Y1702" s="28">
        <f>Z1702/X1702</f>
        <v/>
      </c>
      <c r="Z1702" s="29" t="n">
        <v>618.7052532527809</v>
      </c>
      <c r="AA1702" s="20" t="n">
        <v>90.28091775744031</v>
      </c>
      <c r="AB1702" t="n">
        <v>0.117492835517858</v>
      </c>
      <c r="AC1702" t="n">
        <v>93.16467040830032</v>
      </c>
      <c r="AD1702" t="n">
        <v>46.32857649948038</v>
      </c>
    </row>
    <row r="1703">
      <c r="A1703" t="n">
        <v>1702</v>
      </c>
      <c r="B1703" t="n">
        <v>73.7</v>
      </c>
      <c r="C1703" s="21">
        <f>B1703-20</f>
        <v/>
      </c>
      <c r="D1703" t="n">
        <v>107.6</v>
      </c>
      <c r="E1703" s="22">
        <f>D1703-90</f>
        <v/>
      </c>
      <c r="F1703" s="23" t="n">
        <v>0.015151</v>
      </c>
      <c r="G1703" s="22" t="n">
        <v>21.5</v>
      </c>
      <c r="H1703" s="22" t="n">
        <v>1</v>
      </c>
      <c r="I1703" s="24" t="n">
        <v>0.07502239942550649</v>
      </c>
      <c r="J1703" s="6" t="n">
        <v>71000</v>
      </c>
      <c r="K1703" s="25">
        <f>23*10^-6</f>
        <v/>
      </c>
      <c r="L1703" s="8">
        <f>H1703</f>
        <v/>
      </c>
      <c r="M1703" s="26">
        <f>H1703^2/6</f>
        <v/>
      </c>
      <c r="N1703" s="26">
        <f>H1703^3/12</f>
        <v/>
      </c>
      <c r="O1703" s="27">
        <f>-J1703*L1703*K1703*C1703</f>
        <v/>
      </c>
      <c r="P1703" s="28">
        <f>-(12*F1703*J1703*L1703*N1703+12*O1703*N1703*G1703*COS(RADIANS(E1703)))/(12*N1703*G1703*COS(RADIANS(E1703))^2+L1703*G1703^3*SIN(RADIANS(E1703))^2)</f>
        <v/>
      </c>
      <c r="Q1703" s="28">
        <f>-(6*F1703*J1703*L1703*N1703*SIN(RADIANS(E1703))+6*O1703*N1703*G1703*SIN(RADIANS(E1703))*COS(RADIANS(E1703)))/(12*N1703*COS(RADIANS(E1703))^2+L1703*G1703^2*SIN(RADIANS(E1703))^2)</f>
        <v/>
      </c>
      <c r="R1703" s="28">
        <f>-P1703*SIN(RADIANS(E1703))</f>
        <v/>
      </c>
      <c r="S1703" s="8">
        <f>(O1703+P1703*COS(RADIANS(E1703)))/L1703</f>
        <v/>
      </c>
      <c r="T1703" s="8">
        <f>R1703/L1703</f>
        <v/>
      </c>
      <c r="U1703" s="8">
        <f>(Q1703-P1703*G1703*SIN(RADIANS(E1703)))/M1703</f>
        <v/>
      </c>
      <c r="V1703" s="8">
        <f>SQRT((S1703+U1703)^2+3*T1703^2)</f>
        <v/>
      </c>
      <c r="W1703" s="8">
        <f>V1703/AA1703</f>
        <v/>
      </c>
      <c r="X1703" s="27">
        <f>((3*10+H1703/COS(RADIANS(E1703)))*(3+3)+3*G1703*H1703)*2</f>
        <v/>
      </c>
      <c r="Y1703" s="28">
        <f>Z1703/X1703</f>
        <v/>
      </c>
      <c r="Z1703" s="29" t="n">
        <v>509.714753647248</v>
      </c>
      <c r="AA1703" s="20" t="n">
        <v>74.35312386433949</v>
      </c>
      <c r="AB1703" t="n">
        <v>0.135917427978259</v>
      </c>
      <c r="AC1703" t="n">
        <v>82.73796155922412</v>
      </c>
      <c r="AD1703" t="n">
        <v>81.16912951207095</v>
      </c>
    </row>
    <row r="1704">
      <c r="A1704" t="n">
        <v>1703</v>
      </c>
      <c r="B1704" t="n">
        <v>50</v>
      </c>
      <c r="C1704" s="21">
        <f>B1704-20</f>
        <v/>
      </c>
      <c r="D1704" t="n">
        <v>114.2</v>
      </c>
      <c r="E1704" s="22">
        <f>D1704-90</f>
        <v/>
      </c>
      <c r="F1704" s="23" t="n">
        <v>0.009143999999999999</v>
      </c>
      <c r="G1704" s="22" t="n">
        <v>25.6</v>
      </c>
      <c r="H1704" s="22" t="n">
        <v>1.9</v>
      </c>
      <c r="I1704" s="24" t="n">
        <v>0.0410736612975597</v>
      </c>
      <c r="J1704" s="6" t="n">
        <v>71000</v>
      </c>
      <c r="K1704" s="25">
        <f>23*10^-6</f>
        <v/>
      </c>
      <c r="L1704" s="8">
        <f>H1704</f>
        <v/>
      </c>
      <c r="M1704" s="26">
        <f>H1704^2/6</f>
        <v/>
      </c>
      <c r="N1704" s="26">
        <f>H1704^3/12</f>
        <v/>
      </c>
      <c r="O1704" s="27">
        <f>-J1704*L1704*K1704*C1704</f>
        <v/>
      </c>
      <c r="P1704" s="28">
        <f>-(12*F1704*J1704*L1704*N1704+12*O1704*N1704*G1704*COS(RADIANS(E1704)))/(12*N1704*G1704*COS(RADIANS(E1704))^2+L1704*G1704^3*SIN(RADIANS(E1704))^2)</f>
        <v/>
      </c>
      <c r="Q1704" s="28">
        <f>-(6*F1704*J1704*L1704*N1704*SIN(RADIANS(E1704))+6*O1704*N1704*G1704*SIN(RADIANS(E1704))*COS(RADIANS(E1704)))/(12*N1704*COS(RADIANS(E1704))^2+L1704*G1704^2*SIN(RADIANS(E1704))^2)</f>
        <v/>
      </c>
      <c r="R1704" s="28">
        <f>-P1704*SIN(RADIANS(E1704))</f>
        <v/>
      </c>
      <c r="S1704" s="8">
        <f>(O1704+P1704*COS(RADIANS(E1704)))/L1704</f>
        <v/>
      </c>
      <c r="T1704" s="8">
        <f>R1704/L1704</f>
        <v/>
      </c>
      <c r="U1704" s="8">
        <f>(Q1704-P1704*G1704*SIN(RADIANS(E1704)))/M1704</f>
        <v/>
      </c>
      <c r="V1704" s="8">
        <f>SQRT((S1704+U1704)^2+3*T1704^2)</f>
        <v/>
      </c>
      <c r="W1704" s="8">
        <f>V1704/AA1704</f>
        <v/>
      </c>
      <c r="X1704" s="27">
        <f>((3*10+H1704/COS(RADIANS(E1704)))*(3+3)+3*G1704*H1704)*2</f>
        <v/>
      </c>
      <c r="Y1704" s="28">
        <f>Z1704/X1704</f>
        <v/>
      </c>
      <c r="Z1704" s="29" t="n">
        <v>689.048437078544</v>
      </c>
      <c r="AA1704" s="20" t="n">
        <v>48.4161995534157</v>
      </c>
      <c r="AB1704" t="n">
        <v>0.06356938639048407</v>
      </c>
      <c r="AC1704" t="n">
        <v>47.21729640273647</v>
      </c>
      <c r="AD1704" t="n">
        <v>54.76922286024912</v>
      </c>
    </row>
    <row r="1705">
      <c r="A1705" t="n">
        <v>1704</v>
      </c>
      <c r="B1705" t="n">
        <v>71.90000000000001</v>
      </c>
      <c r="C1705" s="21">
        <f>B1705-20</f>
        <v/>
      </c>
      <c r="D1705" t="n">
        <v>112.6</v>
      </c>
      <c r="E1705" s="22">
        <f>D1705-90</f>
        <v/>
      </c>
      <c r="F1705" s="23" t="n">
        <v>0.022118</v>
      </c>
      <c r="G1705" s="22" t="n">
        <v>34.8</v>
      </c>
      <c r="H1705" s="22" t="n">
        <v>1.8</v>
      </c>
      <c r="I1705" s="24" t="n">
        <v>0.109037138521671</v>
      </c>
      <c r="J1705" s="6" t="n">
        <v>71000</v>
      </c>
      <c r="K1705" s="25">
        <f>23*10^-6</f>
        <v/>
      </c>
      <c r="L1705" s="8">
        <f>H1705</f>
        <v/>
      </c>
      <c r="M1705" s="26">
        <f>H1705^2/6</f>
        <v/>
      </c>
      <c r="N1705" s="26">
        <f>H1705^3/12</f>
        <v/>
      </c>
      <c r="O1705" s="27">
        <f>-J1705*L1705*K1705*C1705</f>
        <v/>
      </c>
      <c r="P1705" s="28">
        <f>-(12*F1705*J1705*L1705*N1705+12*O1705*N1705*G1705*COS(RADIANS(E1705)))/(12*N1705*G1705*COS(RADIANS(E1705))^2+L1705*G1705^3*SIN(RADIANS(E1705))^2)</f>
        <v/>
      </c>
      <c r="Q1705" s="28">
        <f>-(6*F1705*J1705*L1705*N1705*SIN(RADIANS(E1705))+6*O1705*N1705*G1705*SIN(RADIANS(E1705))*COS(RADIANS(E1705)))/(12*N1705*COS(RADIANS(E1705))^2+L1705*G1705^2*SIN(RADIANS(E1705))^2)</f>
        <v/>
      </c>
      <c r="R1705" s="28">
        <f>-P1705*SIN(RADIANS(E1705))</f>
        <v/>
      </c>
      <c r="S1705" s="8">
        <f>(O1705+P1705*COS(RADIANS(E1705)))/L1705</f>
        <v/>
      </c>
      <c r="T1705" s="8">
        <f>R1705/L1705</f>
        <v/>
      </c>
      <c r="U1705" s="8">
        <f>(Q1705-P1705*G1705*SIN(RADIANS(E1705)))/M1705</f>
        <v/>
      </c>
      <c r="V1705" s="8">
        <f>SQRT((S1705+U1705)^2+3*T1705^2)</f>
        <v/>
      </c>
      <c r="W1705" s="8">
        <f>V1705/AA1705</f>
        <v/>
      </c>
      <c r="X1705" s="27">
        <f>((3*10+H1705/COS(RADIANS(E1705)))*(3+3)+3*G1705*H1705)*2</f>
        <v/>
      </c>
      <c r="Y1705" s="28">
        <f>Z1705/X1705</f>
        <v/>
      </c>
      <c r="Z1705" s="29" t="n">
        <v>765.837341233305</v>
      </c>
      <c r="AA1705" s="20" t="n">
        <v>81.68067126021811</v>
      </c>
      <c r="AB1705" t="n">
        <v>0.1596790987842935</v>
      </c>
      <c r="AC1705" t="n">
        <v>79.80981903826518</v>
      </c>
      <c r="AD1705" t="n">
        <v>46.44468935009467</v>
      </c>
    </row>
    <row r="1706">
      <c r="A1706" t="n">
        <v>1705</v>
      </c>
      <c r="B1706" t="n">
        <v>43</v>
      </c>
      <c r="C1706" s="21">
        <f>B1706-20</f>
        <v/>
      </c>
      <c r="D1706" t="n">
        <v>114.3</v>
      </c>
      <c r="E1706" s="22">
        <f>D1706-90</f>
        <v/>
      </c>
      <c r="F1706" s="23" t="n">
        <v>0.006661</v>
      </c>
      <c r="G1706" s="22" t="n">
        <v>21.7</v>
      </c>
      <c r="H1706" s="22" t="n">
        <v>1.3</v>
      </c>
      <c r="I1706" s="24" t="n">
        <v>0.0344445779919624</v>
      </c>
      <c r="J1706" s="6" t="n">
        <v>71000</v>
      </c>
      <c r="K1706" s="25">
        <f>23*10^-6</f>
        <v/>
      </c>
      <c r="L1706" s="8">
        <f>H1706</f>
        <v/>
      </c>
      <c r="M1706" s="26">
        <f>H1706^2/6</f>
        <v/>
      </c>
      <c r="N1706" s="26">
        <f>H1706^3/12</f>
        <v/>
      </c>
      <c r="O1706" s="27">
        <f>-J1706*L1706*K1706*C1706</f>
        <v/>
      </c>
      <c r="P1706" s="28">
        <f>-(12*F1706*J1706*L1706*N1706+12*O1706*N1706*G1706*COS(RADIANS(E1706)))/(12*N1706*G1706*COS(RADIANS(E1706))^2+L1706*G1706^3*SIN(RADIANS(E1706))^2)</f>
        <v/>
      </c>
      <c r="Q1706" s="28">
        <f>-(6*F1706*J1706*L1706*N1706*SIN(RADIANS(E1706))+6*O1706*N1706*G1706*SIN(RADIANS(E1706))*COS(RADIANS(E1706)))/(12*N1706*COS(RADIANS(E1706))^2+L1706*G1706^2*SIN(RADIANS(E1706))^2)</f>
        <v/>
      </c>
      <c r="R1706" s="28">
        <f>-P1706*SIN(RADIANS(E1706))</f>
        <v/>
      </c>
      <c r="S1706" s="8">
        <f>(O1706+P1706*COS(RADIANS(E1706)))/L1706</f>
        <v/>
      </c>
      <c r="T1706" s="8">
        <f>R1706/L1706</f>
        <v/>
      </c>
      <c r="U1706" s="8">
        <f>(Q1706-P1706*G1706*SIN(RADIANS(E1706)))/M1706</f>
        <v/>
      </c>
      <c r="V1706" s="8">
        <f>SQRT((S1706+U1706)^2+3*T1706^2)</f>
        <v/>
      </c>
      <c r="W1706" s="8">
        <f>V1706/AA1706</f>
        <v/>
      </c>
      <c r="X1706" s="27">
        <f>((3*10+H1706/COS(RADIANS(E1706)))*(3+3)+3*G1706*H1706)*2</f>
        <v/>
      </c>
      <c r="Y1706" s="28">
        <f>Z1706/X1706</f>
        <v/>
      </c>
      <c r="Z1706" s="29" t="n">
        <v>552.981290695592</v>
      </c>
      <c r="AA1706" s="20" t="n">
        <v>34.4833549597041</v>
      </c>
      <c r="AB1706" t="n">
        <v>0.04207011032019978</v>
      </c>
      <c r="AC1706" t="n">
        <v>34.98023786284465</v>
      </c>
      <c r="AD1706" t="n">
        <v>22.13855640796875</v>
      </c>
    </row>
    <row r="1707">
      <c r="A1707" t="n">
        <v>1706</v>
      </c>
      <c r="B1707" t="n">
        <v>81.40000000000001</v>
      </c>
      <c r="C1707" s="21">
        <f>B1707-20</f>
        <v/>
      </c>
      <c r="D1707" t="n">
        <v>117.7</v>
      </c>
      <c r="E1707" s="22">
        <f>D1707-90</f>
        <v/>
      </c>
      <c r="F1707" s="23" t="n">
        <v>0.019643</v>
      </c>
      <c r="G1707" s="22" t="n">
        <v>25.4</v>
      </c>
      <c r="H1707" s="22" t="n">
        <v>1.2</v>
      </c>
      <c r="I1707" s="24" t="n">
        <v>0.0941912233829498</v>
      </c>
      <c r="J1707" s="6" t="n">
        <v>71000</v>
      </c>
      <c r="K1707" s="25">
        <f>23*10^-6</f>
        <v/>
      </c>
      <c r="L1707" s="8">
        <f>H1707</f>
        <v/>
      </c>
      <c r="M1707" s="26">
        <f>H1707^2/6</f>
        <v/>
      </c>
      <c r="N1707" s="26">
        <f>H1707^3/12</f>
        <v/>
      </c>
      <c r="O1707" s="27">
        <f>-J1707*L1707*K1707*C1707</f>
        <v/>
      </c>
      <c r="P1707" s="28">
        <f>-(12*F1707*J1707*L1707*N1707+12*O1707*N1707*G1707*COS(RADIANS(E1707)))/(12*N1707*G1707*COS(RADIANS(E1707))^2+L1707*G1707^3*SIN(RADIANS(E1707))^2)</f>
        <v/>
      </c>
      <c r="Q1707" s="28">
        <f>-(6*F1707*J1707*L1707*N1707*SIN(RADIANS(E1707))+6*O1707*N1707*G1707*SIN(RADIANS(E1707))*COS(RADIANS(E1707)))/(12*N1707*COS(RADIANS(E1707))^2+L1707*G1707^2*SIN(RADIANS(E1707))^2)</f>
        <v/>
      </c>
      <c r="R1707" s="28">
        <f>-P1707*SIN(RADIANS(E1707))</f>
        <v/>
      </c>
      <c r="S1707" s="8">
        <f>(O1707+P1707*COS(RADIANS(E1707)))/L1707</f>
        <v/>
      </c>
      <c r="T1707" s="8">
        <f>R1707/L1707</f>
        <v/>
      </c>
      <c r="U1707" s="8">
        <f>(Q1707-P1707*G1707*SIN(RADIANS(E1707)))/M1707</f>
        <v/>
      </c>
      <c r="V1707" s="8">
        <f>SQRT((S1707+U1707)^2+3*T1707^2)</f>
        <v/>
      </c>
      <c r="W1707" s="8">
        <f>V1707/AA1707</f>
        <v/>
      </c>
      <c r="X1707" s="27">
        <f>((3*10+H1707/COS(RADIANS(E1707)))*(3+3)+3*G1707*H1707)*2</f>
        <v/>
      </c>
      <c r="Y1707" s="28">
        <f>Z1707/X1707</f>
        <v/>
      </c>
      <c r="Z1707" s="29" t="n">
        <v>566.5210975257251</v>
      </c>
      <c r="AA1707" s="20" t="n">
        <v>87.8486221927165</v>
      </c>
      <c r="AB1707" t="n">
        <v>0.1141390197525504</v>
      </c>
      <c r="AC1707" t="n">
        <v>90.43911125326223</v>
      </c>
      <c r="AD1707" t="n">
        <v>21.17797779151841</v>
      </c>
    </row>
    <row r="1708">
      <c r="A1708" t="n">
        <v>1707</v>
      </c>
      <c r="B1708" t="n">
        <v>83.5</v>
      </c>
      <c r="C1708" s="21">
        <f>B1708-20</f>
        <v/>
      </c>
      <c r="D1708" t="n">
        <v>128</v>
      </c>
      <c r="E1708" s="22">
        <f>D1708-90</f>
        <v/>
      </c>
      <c r="F1708" s="23" t="n">
        <v>0.02305</v>
      </c>
      <c r="G1708" s="22" t="n">
        <v>28.9</v>
      </c>
      <c r="H1708" s="22" t="n">
        <v>1.1</v>
      </c>
      <c r="I1708" s="24" t="n">
        <v>0.114213690161705</v>
      </c>
      <c r="J1708" s="6" t="n">
        <v>71000</v>
      </c>
      <c r="K1708" s="25">
        <f>23*10^-6</f>
        <v/>
      </c>
      <c r="L1708" s="8">
        <f>H1708</f>
        <v/>
      </c>
      <c r="M1708" s="26">
        <f>H1708^2/6</f>
        <v/>
      </c>
      <c r="N1708" s="26">
        <f>H1708^3/12</f>
        <v/>
      </c>
      <c r="O1708" s="27">
        <f>-J1708*L1708*K1708*C1708</f>
        <v/>
      </c>
      <c r="P1708" s="28">
        <f>-(12*F1708*J1708*L1708*N1708+12*O1708*N1708*G1708*COS(RADIANS(E1708)))/(12*N1708*G1708*COS(RADIANS(E1708))^2+L1708*G1708^3*SIN(RADIANS(E1708))^2)</f>
        <v/>
      </c>
      <c r="Q1708" s="28">
        <f>-(6*F1708*J1708*L1708*N1708*SIN(RADIANS(E1708))+6*O1708*N1708*G1708*SIN(RADIANS(E1708))*COS(RADIANS(E1708)))/(12*N1708*COS(RADIANS(E1708))^2+L1708*G1708^2*SIN(RADIANS(E1708))^2)</f>
        <v/>
      </c>
      <c r="R1708" s="28">
        <f>-P1708*SIN(RADIANS(E1708))</f>
        <v/>
      </c>
      <c r="S1708" s="8">
        <f>(O1708+P1708*COS(RADIANS(E1708)))/L1708</f>
        <v/>
      </c>
      <c r="T1708" s="8">
        <f>R1708/L1708</f>
        <v/>
      </c>
      <c r="U1708" s="8">
        <f>(Q1708-P1708*G1708*SIN(RADIANS(E1708)))/M1708</f>
        <v/>
      </c>
      <c r="V1708" s="8">
        <f>SQRT((S1708+U1708)^2+3*T1708^2)</f>
        <v/>
      </c>
      <c r="W1708" s="8">
        <f>V1708/AA1708</f>
        <v/>
      </c>
      <c r="X1708" s="27">
        <f>((3*10+H1708/COS(RADIANS(E1708)))*(3+3)+3*G1708*H1708)*2</f>
        <v/>
      </c>
      <c r="Y1708" s="28">
        <f>Z1708/X1708</f>
        <v/>
      </c>
      <c r="Z1708" s="29" t="n">
        <v>571.777190010141</v>
      </c>
      <c r="AA1708" s="20" t="n">
        <v>88.3398474688653</v>
      </c>
      <c r="AB1708" t="n">
        <v>0.09495398959330463</v>
      </c>
      <c r="AC1708" t="n">
        <v>89.86067974084798</v>
      </c>
      <c r="AD1708" t="n">
        <v>-16.86286516190158</v>
      </c>
    </row>
    <row r="1709">
      <c r="A1709" t="n">
        <v>1708</v>
      </c>
      <c r="B1709" t="n">
        <v>43.2</v>
      </c>
      <c r="C1709" s="21">
        <f>B1709-20</f>
        <v/>
      </c>
      <c r="D1709" t="n">
        <v>109.4</v>
      </c>
      <c r="E1709" s="22">
        <f>D1709-90</f>
        <v/>
      </c>
      <c r="F1709" s="23" t="n">
        <v>0.007461</v>
      </c>
      <c r="G1709" s="22" t="n">
        <v>23.3</v>
      </c>
      <c r="H1709" s="22" t="n">
        <v>1.1</v>
      </c>
      <c r="I1709" s="24" t="n">
        <v>0.0489616617560386</v>
      </c>
      <c r="J1709" s="6" t="n">
        <v>71000</v>
      </c>
      <c r="K1709" s="25">
        <f>23*10^-6</f>
        <v/>
      </c>
      <c r="L1709" s="8">
        <f>H1709</f>
        <v/>
      </c>
      <c r="M1709" s="26">
        <f>H1709^2/6</f>
        <v/>
      </c>
      <c r="N1709" s="26">
        <f>H1709^3/12</f>
        <v/>
      </c>
      <c r="O1709" s="27">
        <f>-J1709*L1709*K1709*C1709</f>
        <v/>
      </c>
      <c r="P1709" s="28">
        <f>-(12*F1709*J1709*L1709*N1709+12*O1709*N1709*G1709*COS(RADIANS(E1709)))/(12*N1709*G1709*COS(RADIANS(E1709))^2+L1709*G1709^3*SIN(RADIANS(E1709))^2)</f>
        <v/>
      </c>
      <c r="Q1709" s="28">
        <f>-(6*F1709*J1709*L1709*N1709*SIN(RADIANS(E1709))+6*O1709*N1709*G1709*SIN(RADIANS(E1709))*COS(RADIANS(E1709)))/(12*N1709*COS(RADIANS(E1709))^2+L1709*G1709^2*SIN(RADIANS(E1709))^2)</f>
        <v/>
      </c>
      <c r="R1709" s="28">
        <f>-P1709*SIN(RADIANS(E1709))</f>
        <v/>
      </c>
      <c r="S1709" s="8">
        <f>(O1709+P1709*COS(RADIANS(E1709)))/L1709</f>
        <v/>
      </c>
      <c r="T1709" s="8">
        <f>R1709/L1709</f>
        <v/>
      </c>
      <c r="U1709" s="8">
        <f>(Q1709-P1709*G1709*SIN(RADIANS(E1709)))/M1709</f>
        <v/>
      </c>
      <c r="V1709" s="8">
        <f>SQRT((S1709+U1709)^2+3*T1709^2)</f>
        <v/>
      </c>
      <c r="W1709" s="8">
        <f>V1709/AA1709</f>
        <v/>
      </c>
      <c r="X1709" s="27">
        <f>((3*10+H1709/COS(RADIANS(E1709)))*(3+3)+3*G1709*H1709)*2</f>
        <v/>
      </c>
      <c r="Y1709" s="28">
        <f>Z1709/X1709</f>
        <v/>
      </c>
      <c r="Z1709" s="29" t="n">
        <v>532.240448737675</v>
      </c>
      <c r="AA1709" s="20" t="n">
        <v>33.7387936138665</v>
      </c>
      <c r="AB1709" t="n">
        <v>0.05736414800687885</v>
      </c>
      <c r="AC1709" t="n">
        <v>35.50068716668932</v>
      </c>
      <c r="AD1709" t="n">
        <v>17.16135839650896</v>
      </c>
    </row>
    <row r="1710">
      <c r="A1710" t="n">
        <v>1709</v>
      </c>
      <c r="B1710" t="n">
        <v>82.2</v>
      </c>
      <c r="C1710" s="21">
        <f>B1710-20</f>
        <v/>
      </c>
      <c r="D1710" t="n">
        <v>107.6</v>
      </c>
      <c r="E1710" s="22">
        <f>D1710-90</f>
        <v/>
      </c>
      <c r="F1710" s="23" t="n">
        <v>0.024822</v>
      </c>
      <c r="G1710" s="22" t="n">
        <v>31.8</v>
      </c>
      <c r="H1710" s="22" t="n">
        <v>1.5</v>
      </c>
      <c r="I1710" s="24" t="n">
        <v>0.127750322222709</v>
      </c>
      <c r="J1710" s="6" t="n">
        <v>71000</v>
      </c>
      <c r="K1710" s="25">
        <f>23*10^-6</f>
        <v/>
      </c>
      <c r="L1710" s="8">
        <f>H1710</f>
        <v/>
      </c>
      <c r="M1710" s="26">
        <f>H1710^2/6</f>
        <v/>
      </c>
      <c r="N1710" s="26">
        <f>H1710^3/12</f>
        <v/>
      </c>
      <c r="O1710" s="27">
        <f>-J1710*L1710*K1710*C1710</f>
        <v/>
      </c>
      <c r="P1710" s="28">
        <f>-(12*F1710*J1710*L1710*N1710+12*O1710*N1710*G1710*COS(RADIANS(E1710)))/(12*N1710*G1710*COS(RADIANS(E1710))^2+L1710*G1710^3*SIN(RADIANS(E1710))^2)</f>
        <v/>
      </c>
      <c r="Q1710" s="28">
        <f>-(6*F1710*J1710*L1710*N1710*SIN(RADIANS(E1710))+6*O1710*N1710*G1710*SIN(RADIANS(E1710))*COS(RADIANS(E1710)))/(12*N1710*COS(RADIANS(E1710))^2+L1710*G1710^2*SIN(RADIANS(E1710))^2)</f>
        <v/>
      </c>
      <c r="R1710" s="28">
        <f>-P1710*SIN(RADIANS(E1710))</f>
        <v/>
      </c>
      <c r="S1710" s="8">
        <f>(O1710+P1710*COS(RADIANS(E1710)))/L1710</f>
        <v/>
      </c>
      <c r="T1710" s="8">
        <f>R1710/L1710</f>
        <v/>
      </c>
      <c r="U1710" s="8">
        <f>(Q1710-P1710*G1710*SIN(RADIANS(E1710)))/M1710</f>
        <v/>
      </c>
      <c r="V1710" s="8">
        <f>SQRT((S1710+U1710)^2+3*T1710^2)</f>
        <v/>
      </c>
      <c r="W1710" s="8">
        <f>V1710/AA1710</f>
        <v/>
      </c>
      <c r="X1710" s="27">
        <f>((3*10+H1710/COS(RADIANS(E1710)))*(3+3)+3*G1710*H1710)*2</f>
        <v/>
      </c>
      <c r="Y1710" s="28">
        <f>Z1710/X1710</f>
        <v/>
      </c>
      <c r="Z1710" s="29" t="n">
        <v>671.68019634028</v>
      </c>
      <c r="AA1710" s="20" t="n">
        <v>93.4568776000514</v>
      </c>
      <c r="AB1710" t="n">
        <v>0.2264348713798752</v>
      </c>
      <c r="AC1710" t="n">
        <v>97.6207281510807</v>
      </c>
      <c r="AD1710" t="n">
        <v>77.24798453746989</v>
      </c>
    </row>
    <row r="1711">
      <c r="A1711" t="n">
        <v>1710</v>
      </c>
      <c r="B1711" t="n">
        <v>49.8</v>
      </c>
      <c r="C1711" s="21">
        <f>B1711-20</f>
        <v/>
      </c>
      <c r="D1711" t="n">
        <v>112.4</v>
      </c>
      <c r="E1711" s="22">
        <f>D1711-90</f>
        <v/>
      </c>
      <c r="F1711" s="23" t="n">
        <v>0.008970000000000001</v>
      </c>
      <c r="G1711" s="22" t="n">
        <v>22.1</v>
      </c>
      <c r="H1711" s="22" t="n">
        <v>1.7</v>
      </c>
      <c r="I1711" s="24" t="n">
        <v>0.0501623898744583</v>
      </c>
      <c r="J1711" s="6" t="n">
        <v>71000</v>
      </c>
      <c r="K1711" s="25">
        <f>23*10^-6</f>
        <v/>
      </c>
      <c r="L1711" s="8">
        <f>H1711</f>
        <v/>
      </c>
      <c r="M1711" s="26">
        <f>H1711^2/6</f>
        <v/>
      </c>
      <c r="N1711" s="26">
        <f>H1711^3/12</f>
        <v/>
      </c>
      <c r="O1711" s="27">
        <f>-J1711*L1711*K1711*C1711</f>
        <v/>
      </c>
      <c r="P1711" s="28">
        <f>-(12*F1711*J1711*L1711*N1711+12*O1711*N1711*G1711*COS(RADIANS(E1711)))/(12*N1711*G1711*COS(RADIANS(E1711))^2+L1711*G1711^3*SIN(RADIANS(E1711))^2)</f>
        <v/>
      </c>
      <c r="Q1711" s="28">
        <f>-(6*F1711*J1711*L1711*N1711*SIN(RADIANS(E1711))+6*O1711*N1711*G1711*SIN(RADIANS(E1711))*COS(RADIANS(E1711)))/(12*N1711*COS(RADIANS(E1711))^2+L1711*G1711^2*SIN(RADIANS(E1711))^2)</f>
        <v/>
      </c>
      <c r="R1711" s="28">
        <f>-P1711*SIN(RADIANS(E1711))</f>
        <v/>
      </c>
      <c r="S1711" s="8">
        <f>(O1711+P1711*COS(RADIANS(E1711)))/L1711</f>
        <v/>
      </c>
      <c r="T1711" s="8">
        <f>R1711/L1711</f>
        <v/>
      </c>
      <c r="U1711" s="8">
        <f>(Q1711-P1711*G1711*SIN(RADIANS(E1711)))/M1711</f>
        <v/>
      </c>
      <c r="V1711" s="8">
        <f>SQRT((S1711+U1711)^2+3*T1711^2)</f>
        <v/>
      </c>
      <c r="W1711" s="8">
        <f>V1711/AA1711</f>
        <v/>
      </c>
      <c r="X1711" s="27">
        <f>((3*10+H1711/COS(RADIANS(E1711)))*(3+3)+3*G1711*H1711)*2</f>
        <v/>
      </c>
      <c r="Y1711" s="28">
        <f>Z1711/X1711</f>
        <v/>
      </c>
      <c r="Z1711" s="29" t="n">
        <v>612.94668465841</v>
      </c>
      <c r="AA1711" s="20" t="n">
        <v>49.0038023301626</v>
      </c>
      <c r="AB1711" t="n">
        <v>0.05933993626824072</v>
      </c>
      <c r="AC1711" t="n">
        <v>47.31278671129368</v>
      </c>
      <c r="AD1711" t="n">
        <v>18.2956721494951</v>
      </c>
    </row>
    <row r="1712">
      <c r="A1712" t="n">
        <v>1711</v>
      </c>
      <c r="B1712" t="n">
        <v>74.5</v>
      </c>
      <c r="C1712" s="21">
        <f>B1712-20</f>
        <v/>
      </c>
      <c r="D1712" t="n">
        <v>122.1</v>
      </c>
      <c r="E1712" s="22">
        <f>D1712-90</f>
        <v/>
      </c>
      <c r="F1712" s="23" t="n">
        <v>0.017771</v>
      </c>
      <c r="G1712" s="22" t="n">
        <v>24.8</v>
      </c>
      <c r="H1712" s="22" t="n">
        <v>1.7</v>
      </c>
      <c r="I1712" s="24" t="n">
        <v>0.09417698532342909</v>
      </c>
      <c r="J1712" s="6" t="n">
        <v>71000</v>
      </c>
      <c r="K1712" s="25">
        <f>23*10^-6</f>
        <v/>
      </c>
      <c r="L1712" s="8">
        <f>H1712</f>
        <v/>
      </c>
      <c r="M1712" s="26">
        <f>H1712^2/6</f>
        <v/>
      </c>
      <c r="N1712" s="26">
        <f>H1712^3/12</f>
        <v/>
      </c>
      <c r="O1712" s="27">
        <f>-J1712*L1712*K1712*C1712</f>
        <v/>
      </c>
      <c r="P1712" s="28">
        <f>-(12*F1712*J1712*L1712*N1712+12*O1712*N1712*G1712*COS(RADIANS(E1712)))/(12*N1712*G1712*COS(RADIANS(E1712))^2+L1712*G1712^3*SIN(RADIANS(E1712))^2)</f>
        <v/>
      </c>
      <c r="Q1712" s="28">
        <f>-(6*F1712*J1712*L1712*N1712*SIN(RADIANS(E1712))+6*O1712*N1712*G1712*SIN(RADIANS(E1712))*COS(RADIANS(E1712)))/(12*N1712*COS(RADIANS(E1712))^2+L1712*G1712^2*SIN(RADIANS(E1712))^2)</f>
        <v/>
      </c>
      <c r="R1712" s="28">
        <f>-P1712*SIN(RADIANS(E1712))</f>
        <v/>
      </c>
      <c r="S1712" s="8">
        <f>(O1712+P1712*COS(RADIANS(E1712)))/L1712</f>
        <v/>
      </c>
      <c r="T1712" s="8">
        <f>R1712/L1712</f>
        <v/>
      </c>
      <c r="U1712" s="8">
        <f>(Q1712-P1712*G1712*SIN(RADIANS(E1712)))/M1712</f>
        <v/>
      </c>
      <c r="V1712" s="8">
        <f>SQRT((S1712+U1712)^2+3*T1712^2)</f>
        <v/>
      </c>
      <c r="W1712" s="8">
        <f>V1712/AA1712</f>
        <v/>
      </c>
      <c r="X1712" s="27">
        <f>((3*10+H1712/COS(RADIANS(E1712)))*(3+3)+3*G1712*H1712)*2</f>
        <v/>
      </c>
      <c r="Y1712" s="28">
        <f>Z1712/X1712</f>
        <v/>
      </c>
      <c r="Z1712" s="29" t="n">
        <v>641.109714940992</v>
      </c>
      <c r="AA1712" s="20" t="n">
        <v>87.85866070370361</v>
      </c>
      <c r="AB1712" t="n">
        <v>0.08412012385861038</v>
      </c>
      <c r="AC1712" t="n">
        <v>81.49055917846817</v>
      </c>
      <c r="AD1712" t="n">
        <v>-10.67868272729345</v>
      </c>
    </row>
    <row r="1713">
      <c r="A1713" t="n">
        <v>1712</v>
      </c>
      <c r="B1713" t="n">
        <v>61</v>
      </c>
      <c r="C1713" s="21">
        <f>B1713-20</f>
        <v/>
      </c>
      <c r="D1713" t="n">
        <v>116.1</v>
      </c>
      <c r="E1713" s="22">
        <f>D1713-90</f>
        <v/>
      </c>
      <c r="F1713" s="23" t="n">
        <v>0.012778</v>
      </c>
      <c r="G1713" s="22" t="n">
        <v>24.1</v>
      </c>
      <c r="H1713" s="22" t="n">
        <v>1.3</v>
      </c>
      <c r="I1713" s="24" t="n">
        <v>0.0637583881616592</v>
      </c>
      <c r="J1713" s="6" t="n">
        <v>71000</v>
      </c>
      <c r="K1713" s="25">
        <f>23*10^-6</f>
        <v/>
      </c>
      <c r="L1713" s="8">
        <f>H1713</f>
        <v/>
      </c>
      <c r="M1713" s="26">
        <f>H1713^2/6</f>
        <v/>
      </c>
      <c r="N1713" s="26">
        <f>H1713^3/12</f>
        <v/>
      </c>
      <c r="O1713" s="27">
        <f>-J1713*L1713*K1713*C1713</f>
        <v/>
      </c>
      <c r="P1713" s="28">
        <f>-(12*F1713*J1713*L1713*N1713+12*O1713*N1713*G1713*COS(RADIANS(E1713)))/(12*N1713*G1713*COS(RADIANS(E1713))^2+L1713*G1713^3*SIN(RADIANS(E1713))^2)</f>
        <v/>
      </c>
      <c r="Q1713" s="28">
        <f>-(6*F1713*J1713*L1713*N1713*SIN(RADIANS(E1713))+6*O1713*N1713*G1713*SIN(RADIANS(E1713))*COS(RADIANS(E1713)))/(12*N1713*COS(RADIANS(E1713))^2+L1713*G1713^2*SIN(RADIANS(E1713))^2)</f>
        <v/>
      </c>
      <c r="R1713" s="28">
        <f>-P1713*SIN(RADIANS(E1713))</f>
        <v/>
      </c>
      <c r="S1713" s="8">
        <f>(O1713+P1713*COS(RADIANS(E1713)))/L1713</f>
        <v/>
      </c>
      <c r="T1713" s="8">
        <f>R1713/L1713</f>
        <v/>
      </c>
      <c r="U1713" s="8">
        <f>(Q1713-P1713*G1713*SIN(RADIANS(E1713)))/M1713</f>
        <v/>
      </c>
      <c r="V1713" s="8">
        <f>SQRT((S1713+U1713)^2+3*T1713^2)</f>
        <v/>
      </c>
      <c r="W1713" s="8">
        <f>V1713/AA1713</f>
        <v/>
      </c>
      <c r="X1713" s="27">
        <f>((3*10+H1713/COS(RADIANS(E1713)))*(3+3)+3*G1713*H1713)*2</f>
        <v/>
      </c>
      <c r="Y1713" s="28">
        <f>Z1713/X1713</f>
        <v/>
      </c>
      <c r="Z1713" s="29" t="n">
        <v>572.1394991548721</v>
      </c>
      <c r="AA1713" s="20" t="n">
        <v>60.3681323319714</v>
      </c>
      <c r="AB1713" t="n">
        <v>0.07702046765839986</v>
      </c>
      <c r="AC1713" t="n">
        <v>61.42103633015625</v>
      </c>
      <c r="AD1713" t="n">
        <v>20.80052504325344</v>
      </c>
    </row>
    <row r="1714">
      <c r="A1714" t="n">
        <v>1713</v>
      </c>
      <c r="B1714" t="n">
        <v>61.1</v>
      </c>
      <c r="C1714" s="21">
        <f>B1714-20</f>
        <v/>
      </c>
      <c r="D1714" t="n">
        <v>123.6</v>
      </c>
      <c r="E1714" s="22">
        <f>D1714-90</f>
        <v/>
      </c>
      <c r="F1714" s="23" t="n">
        <v>0.013925</v>
      </c>
      <c r="G1714" s="22" t="n">
        <v>30.1</v>
      </c>
      <c r="H1714" s="22" t="n">
        <v>1.7</v>
      </c>
      <c r="I1714" s="24" t="n">
        <v>0.0602903179824352</v>
      </c>
      <c r="J1714" s="6" t="n">
        <v>71000</v>
      </c>
      <c r="K1714" s="25">
        <f>23*10^-6</f>
        <v/>
      </c>
      <c r="L1714" s="8">
        <f>H1714</f>
        <v/>
      </c>
      <c r="M1714" s="26">
        <f>H1714^2/6</f>
        <v/>
      </c>
      <c r="N1714" s="26">
        <f>H1714^3/12</f>
        <v/>
      </c>
      <c r="O1714" s="27">
        <f>-J1714*L1714*K1714*C1714</f>
        <v/>
      </c>
      <c r="P1714" s="28">
        <f>-(12*F1714*J1714*L1714*N1714+12*O1714*N1714*G1714*COS(RADIANS(E1714)))/(12*N1714*G1714*COS(RADIANS(E1714))^2+L1714*G1714^3*SIN(RADIANS(E1714))^2)</f>
        <v/>
      </c>
      <c r="Q1714" s="28">
        <f>-(6*F1714*J1714*L1714*N1714*SIN(RADIANS(E1714))+6*O1714*N1714*G1714*SIN(RADIANS(E1714))*COS(RADIANS(E1714)))/(12*N1714*COS(RADIANS(E1714))^2+L1714*G1714^2*SIN(RADIANS(E1714))^2)</f>
        <v/>
      </c>
      <c r="R1714" s="28">
        <f>-P1714*SIN(RADIANS(E1714))</f>
        <v/>
      </c>
      <c r="S1714" s="8">
        <f>(O1714+P1714*COS(RADIANS(E1714)))/L1714</f>
        <v/>
      </c>
      <c r="T1714" s="8">
        <f>R1714/L1714</f>
        <v/>
      </c>
      <c r="U1714" s="8">
        <f>(Q1714-P1714*G1714*SIN(RADIANS(E1714)))/M1714</f>
        <v/>
      </c>
      <c r="V1714" s="8">
        <f>SQRT((S1714+U1714)^2+3*T1714^2)</f>
        <v/>
      </c>
      <c r="W1714" s="8">
        <f>V1714/AA1714</f>
        <v/>
      </c>
      <c r="X1714" s="27">
        <f>((3*10+H1714/COS(RADIANS(E1714)))*(3+3)+3*G1714*H1714)*2</f>
        <v/>
      </c>
      <c r="Y1714" s="28">
        <f>Z1714/X1714</f>
        <v/>
      </c>
      <c r="Z1714" s="29" t="n">
        <v>702.798038134864</v>
      </c>
      <c r="AA1714" s="20" t="n">
        <v>60.8304564969632</v>
      </c>
      <c r="AB1714" t="n">
        <v>0.07273267223220428</v>
      </c>
      <c r="AC1714" t="n">
        <v>60.44096155001679</v>
      </c>
      <c r="AD1714" t="n">
        <v>20.63740027610072</v>
      </c>
    </row>
    <row r="1715">
      <c r="A1715" t="n">
        <v>1714</v>
      </c>
      <c r="B1715" t="n">
        <v>42.4</v>
      </c>
      <c r="C1715" s="21">
        <f>B1715-20</f>
        <v/>
      </c>
      <c r="D1715" t="n">
        <v>122.4</v>
      </c>
      <c r="E1715" s="22">
        <f>D1715-90</f>
        <v/>
      </c>
      <c r="F1715" s="23" t="n">
        <v>0.008227999999999999</v>
      </c>
      <c r="G1715" s="22" t="n">
        <v>27.8</v>
      </c>
      <c r="H1715" s="22" t="n">
        <v>1.1</v>
      </c>
      <c r="I1715" s="24" t="n">
        <v>0.0495222024619579</v>
      </c>
      <c r="J1715" s="6" t="n">
        <v>71000</v>
      </c>
      <c r="K1715" s="25">
        <f>23*10^-6</f>
        <v/>
      </c>
      <c r="L1715" s="8">
        <f>H1715</f>
        <v/>
      </c>
      <c r="M1715" s="26">
        <f>H1715^2/6</f>
        <v/>
      </c>
      <c r="N1715" s="26">
        <f>H1715^3/12</f>
        <v/>
      </c>
      <c r="O1715" s="27">
        <f>-J1715*L1715*K1715*C1715</f>
        <v/>
      </c>
      <c r="P1715" s="28">
        <f>-(12*F1715*J1715*L1715*N1715+12*O1715*N1715*G1715*COS(RADIANS(E1715)))/(12*N1715*G1715*COS(RADIANS(E1715))^2+L1715*G1715^3*SIN(RADIANS(E1715))^2)</f>
        <v/>
      </c>
      <c r="Q1715" s="28">
        <f>-(6*F1715*J1715*L1715*N1715*SIN(RADIANS(E1715))+6*O1715*N1715*G1715*SIN(RADIANS(E1715))*COS(RADIANS(E1715)))/(12*N1715*COS(RADIANS(E1715))^2+L1715*G1715^2*SIN(RADIANS(E1715))^2)</f>
        <v/>
      </c>
      <c r="R1715" s="28">
        <f>-P1715*SIN(RADIANS(E1715))</f>
        <v/>
      </c>
      <c r="S1715" s="8">
        <f>(O1715+P1715*COS(RADIANS(E1715)))/L1715</f>
        <v/>
      </c>
      <c r="T1715" s="8">
        <f>R1715/L1715</f>
        <v/>
      </c>
      <c r="U1715" s="8">
        <f>(Q1715-P1715*G1715*SIN(RADIANS(E1715)))/M1715</f>
        <v/>
      </c>
      <c r="V1715" s="8">
        <f>SQRT((S1715+U1715)^2+3*T1715^2)</f>
        <v/>
      </c>
      <c r="W1715" s="8">
        <f>V1715/AA1715</f>
        <v/>
      </c>
      <c r="X1715" s="27">
        <f>((3*10+H1715/COS(RADIANS(E1715)))*(3+3)+3*G1715*H1715)*2</f>
        <v/>
      </c>
      <c r="Y1715" s="28">
        <f>Z1715/X1715</f>
        <v/>
      </c>
      <c r="Z1715" s="29" t="n">
        <v>562.352885521562</v>
      </c>
      <c r="AA1715" s="20" t="n">
        <v>31.8573471603139</v>
      </c>
      <c r="AB1715" t="n">
        <v>0.0384210610774089</v>
      </c>
      <c r="AC1715" t="n">
        <v>32.15894988427738</v>
      </c>
      <c r="AD1715" t="n">
        <v>-22.41649367892452</v>
      </c>
    </row>
    <row r="1716">
      <c r="A1716" t="n">
        <v>1715</v>
      </c>
      <c r="B1716" t="n">
        <v>62.2</v>
      </c>
      <c r="C1716" s="21">
        <f>B1716-20</f>
        <v/>
      </c>
      <c r="D1716" t="n">
        <v>101.3</v>
      </c>
      <c r="E1716" s="22">
        <f>D1716-90</f>
        <v/>
      </c>
      <c r="F1716" s="23" t="n">
        <v>0.018065</v>
      </c>
      <c r="G1716" s="22" t="n">
        <v>33.1</v>
      </c>
      <c r="H1716" s="22" t="n">
        <v>1.3</v>
      </c>
      <c r="I1716" s="24" t="n">
        <v>0.113745398819446</v>
      </c>
      <c r="J1716" s="6" t="n">
        <v>71000</v>
      </c>
      <c r="K1716" s="25">
        <f>23*10^-6</f>
        <v/>
      </c>
      <c r="L1716" s="8">
        <f>H1716</f>
        <v/>
      </c>
      <c r="M1716" s="26">
        <f>H1716^2/6</f>
        <v/>
      </c>
      <c r="N1716" s="26">
        <f>H1716^3/12</f>
        <v/>
      </c>
      <c r="O1716" s="27">
        <f>-J1716*L1716*K1716*C1716</f>
        <v/>
      </c>
      <c r="P1716" s="28">
        <f>-(12*F1716*J1716*L1716*N1716+12*O1716*N1716*G1716*COS(RADIANS(E1716)))/(12*N1716*G1716*COS(RADIANS(E1716))^2+L1716*G1716^3*SIN(RADIANS(E1716))^2)</f>
        <v/>
      </c>
      <c r="Q1716" s="28">
        <f>-(6*F1716*J1716*L1716*N1716*SIN(RADIANS(E1716))+6*O1716*N1716*G1716*SIN(RADIANS(E1716))*COS(RADIANS(E1716)))/(12*N1716*COS(RADIANS(E1716))^2+L1716*G1716^2*SIN(RADIANS(E1716))^2)</f>
        <v/>
      </c>
      <c r="R1716" s="28">
        <f>-P1716*SIN(RADIANS(E1716))</f>
        <v/>
      </c>
      <c r="S1716" s="8">
        <f>(O1716+P1716*COS(RADIANS(E1716)))/L1716</f>
        <v/>
      </c>
      <c r="T1716" s="8">
        <f>R1716/L1716</f>
        <v/>
      </c>
      <c r="U1716" s="8">
        <f>(Q1716-P1716*G1716*SIN(RADIANS(E1716)))/M1716</f>
        <v/>
      </c>
      <c r="V1716" s="8">
        <f>SQRT((S1716+U1716)^2+3*T1716^2)</f>
        <v/>
      </c>
      <c r="W1716" s="8">
        <f>V1716/AA1716</f>
        <v/>
      </c>
      <c r="X1716" s="27">
        <f>((3*10+H1716/COS(RADIANS(E1716)))*(3+3)+3*G1716*H1716)*2</f>
        <v/>
      </c>
      <c r="Y1716" s="28">
        <f>Z1716/X1716</f>
        <v/>
      </c>
      <c r="Z1716" s="29" t="n">
        <v>639.158308050708</v>
      </c>
      <c r="AA1716" s="20" t="n">
        <v>62.5456326587788</v>
      </c>
      <c r="AB1716" t="n">
        <v>0.2468687607099641</v>
      </c>
      <c r="AC1716" t="n">
        <v>69.0910517035888</v>
      </c>
      <c r="AD1716" t="n">
        <v>117.0362610463319</v>
      </c>
    </row>
    <row r="1717">
      <c r="A1717" t="n">
        <v>1716</v>
      </c>
      <c r="B1717" t="n">
        <v>73.2</v>
      </c>
      <c r="C1717" s="21">
        <f>B1717-20</f>
        <v/>
      </c>
      <c r="D1717" t="n">
        <v>128.5</v>
      </c>
      <c r="E1717" s="22">
        <f>D1717-90</f>
        <v/>
      </c>
      <c r="F1717" s="23" t="n">
        <v>0.017433</v>
      </c>
      <c r="G1717" s="22" t="n">
        <v>24.6</v>
      </c>
      <c r="H1717" s="22" t="n">
        <v>1.4</v>
      </c>
      <c r="I1717" s="24" t="n">
        <v>0.0970834419131279</v>
      </c>
      <c r="J1717" s="6" t="n">
        <v>71000</v>
      </c>
      <c r="K1717" s="25">
        <f>23*10^-6</f>
        <v/>
      </c>
      <c r="L1717" s="8">
        <f>H1717</f>
        <v/>
      </c>
      <c r="M1717" s="26">
        <f>H1717^2/6</f>
        <v/>
      </c>
      <c r="N1717" s="26">
        <f>H1717^3/12</f>
        <v/>
      </c>
      <c r="O1717" s="27">
        <f>-J1717*L1717*K1717*C1717</f>
        <v/>
      </c>
      <c r="P1717" s="28">
        <f>-(12*F1717*J1717*L1717*N1717+12*O1717*N1717*G1717*COS(RADIANS(E1717)))/(12*N1717*G1717*COS(RADIANS(E1717))^2+L1717*G1717^3*SIN(RADIANS(E1717))^2)</f>
        <v/>
      </c>
      <c r="Q1717" s="28">
        <f>-(6*F1717*J1717*L1717*N1717*SIN(RADIANS(E1717))+6*O1717*N1717*G1717*SIN(RADIANS(E1717))*COS(RADIANS(E1717)))/(12*N1717*COS(RADIANS(E1717))^2+L1717*G1717^2*SIN(RADIANS(E1717))^2)</f>
        <v/>
      </c>
      <c r="R1717" s="28">
        <f>-P1717*SIN(RADIANS(E1717))</f>
        <v/>
      </c>
      <c r="S1717" s="8">
        <f>(O1717+P1717*COS(RADIANS(E1717)))/L1717</f>
        <v/>
      </c>
      <c r="T1717" s="8">
        <f>R1717/L1717</f>
        <v/>
      </c>
      <c r="U1717" s="8">
        <f>(Q1717-P1717*G1717*SIN(RADIANS(E1717)))/M1717</f>
        <v/>
      </c>
      <c r="V1717" s="8">
        <f>SQRT((S1717+U1717)^2+3*T1717^2)</f>
        <v/>
      </c>
      <c r="W1717" s="8">
        <f>V1717/AA1717</f>
        <v/>
      </c>
      <c r="X1717" s="27">
        <f>((3*10+H1717/COS(RADIANS(E1717)))*(3+3)+3*G1717*H1717)*2</f>
        <v/>
      </c>
      <c r="Y1717" s="28">
        <f>Z1717/X1717</f>
        <v/>
      </c>
      <c r="Z1717" s="29" t="n">
        <v>590.203395256344</v>
      </c>
      <c r="AA1717" s="20" t="n">
        <v>81.316877111107</v>
      </c>
      <c r="AB1717" t="n">
        <v>0.06720033324135817</v>
      </c>
      <c r="AC1717" t="n">
        <v>76.66556767729652</v>
      </c>
      <c r="AD1717" t="n">
        <v>-30.78085004290402</v>
      </c>
    </row>
    <row r="1718">
      <c r="A1718" t="n">
        <v>1717</v>
      </c>
      <c r="B1718" t="n">
        <v>84.7</v>
      </c>
      <c r="C1718" s="21">
        <f>B1718-20</f>
        <v/>
      </c>
      <c r="D1718" t="n">
        <v>125.1</v>
      </c>
      <c r="E1718" s="22">
        <f>D1718-90</f>
        <v/>
      </c>
      <c r="F1718" s="23" t="n">
        <v>0.017922</v>
      </c>
      <c r="G1718" s="22" t="n">
        <v>21.6</v>
      </c>
      <c r="H1718" s="22" t="n">
        <v>1.9</v>
      </c>
      <c r="I1718" s="24" t="n">
        <v>0.0854355469346046</v>
      </c>
      <c r="J1718" s="6" t="n">
        <v>71000</v>
      </c>
      <c r="K1718" s="25">
        <f>23*10^-6</f>
        <v/>
      </c>
      <c r="L1718" s="8">
        <f>H1718</f>
        <v/>
      </c>
      <c r="M1718" s="26">
        <f>H1718^2/6</f>
        <v/>
      </c>
      <c r="N1718" s="26">
        <f>H1718^3/12</f>
        <v/>
      </c>
      <c r="O1718" s="27">
        <f>-J1718*L1718*K1718*C1718</f>
        <v/>
      </c>
      <c r="P1718" s="28">
        <f>-(12*F1718*J1718*L1718*N1718+12*O1718*N1718*G1718*COS(RADIANS(E1718)))/(12*N1718*G1718*COS(RADIANS(E1718))^2+L1718*G1718^3*SIN(RADIANS(E1718))^2)</f>
        <v/>
      </c>
      <c r="Q1718" s="28">
        <f>-(6*F1718*J1718*L1718*N1718*SIN(RADIANS(E1718))+6*O1718*N1718*G1718*SIN(RADIANS(E1718))*COS(RADIANS(E1718)))/(12*N1718*COS(RADIANS(E1718))^2+L1718*G1718^2*SIN(RADIANS(E1718))^2)</f>
        <v/>
      </c>
      <c r="R1718" s="28">
        <f>-P1718*SIN(RADIANS(E1718))</f>
        <v/>
      </c>
      <c r="S1718" s="8">
        <f>(O1718+P1718*COS(RADIANS(E1718)))/L1718</f>
        <v/>
      </c>
      <c r="T1718" s="8">
        <f>R1718/L1718</f>
        <v/>
      </c>
      <c r="U1718" s="8">
        <f>(Q1718-P1718*G1718*SIN(RADIANS(E1718)))/M1718</f>
        <v/>
      </c>
      <c r="V1718" s="8">
        <f>SQRT((S1718+U1718)^2+3*T1718^2)</f>
        <v/>
      </c>
      <c r="W1718" s="8">
        <f>V1718/AA1718</f>
        <v/>
      </c>
      <c r="X1718" s="27">
        <f>((3*10+H1718/COS(RADIANS(E1718)))*(3+3)+3*G1718*H1718)*2</f>
        <v/>
      </c>
      <c r="Y1718" s="28">
        <f>Z1718/X1718</f>
        <v/>
      </c>
      <c r="Z1718" s="29" t="n">
        <v>640.919514090928</v>
      </c>
      <c r="AA1718" s="20" t="n">
        <v>108.910434514475</v>
      </c>
      <c r="AB1718" t="n">
        <v>0.07930881269056066</v>
      </c>
      <c r="AC1718" t="n">
        <v>97.24730364526032</v>
      </c>
      <c r="AD1718" t="n">
        <v>-7.171176944338598</v>
      </c>
    </row>
    <row r="1719">
      <c r="A1719" t="n">
        <v>1718</v>
      </c>
      <c r="B1719" t="n">
        <v>53.6</v>
      </c>
      <c r="C1719" s="21">
        <f>B1719-20</f>
        <v/>
      </c>
      <c r="D1719" t="n">
        <v>109.8</v>
      </c>
      <c r="E1719" s="22">
        <f>D1719-90</f>
        <v/>
      </c>
      <c r="F1719" s="23" t="n">
        <v>0.009934999999999999</v>
      </c>
      <c r="G1719" s="22" t="n">
        <v>22.2</v>
      </c>
      <c r="H1719" s="22" t="n">
        <v>1.9</v>
      </c>
      <c r="I1719" s="24" t="n">
        <v>0.0514182150363922</v>
      </c>
      <c r="J1719" s="6" t="n">
        <v>71000</v>
      </c>
      <c r="K1719" s="25">
        <f>23*10^-6</f>
        <v/>
      </c>
      <c r="L1719" s="8">
        <f>H1719</f>
        <v/>
      </c>
      <c r="M1719" s="26">
        <f>H1719^2/6</f>
        <v/>
      </c>
      <c r="N1719" s="26">
        <f>H1719^3/12</f>
        <v/>
      </c>
      <c r="O1719" s="27">
        <f>-J1719*L1719*K1719*C1719</f>
        <v/>
      </c>
      <c r="P1719" s="28">
        <f>-(12*F1719*J1719*L1719*N1719+12*O1719*N1719*G1719*COS(RADIANS(E1719)))/(12*N1719*G1719*COS(RADIANS(E1719))^2+L1719*G1719^3*SIN(RADIANS(E1719))^2)</f>
        <v/>
      </c>
      <c r="Q1719" s="28">
        <f>-(6*F1719*J1719*L1719*N1719*SIN(RADIANS(E1719))+6*O1719*N1719*G1719*SIN(RADIANS(E1719))*COS(RADIANS(E1719)))/(12*N1719*COS(RADIANS(E1719))^2+L1719*G1719^2*SIN(RADIANS(E1719))^2)</f>
        <v/>
      </c>
      <c r="R1719" s="28">
        <f>-P1719*SIN(RADIANS(E1719))</f>
        <v/>
      </c>
      <c r="S1719" s="8">
        <f>(O1719+P1719*COS(RADIANS(E1719)))/L1719</f>
        <v/>
      </c>
      <c r="T1719" s="8">
        <f>R1719/L1719</f>
        <v/>
      </c>
      <c r="U1719" s="8">
        <f>(Q1719-P1719*G1719*SIN(RADIANS(E1719)))/M1719</f>
        <v/>
      </c>
      <c r="V1719" s="8">
        <f>SQRT((S1719+U1719)^2+3*T1719^2)</f>
        <v/>
      </c>
      <c r="W1719" s="8">
        <f>V1719/AA1719</f>
        <v/>
      </c>
      <c r="X1719" s="27">
        <f>((3*10+H1719/COS(RADIANS(E1719)))*(3+3)+3*G1719*H1719)*2</f>
        <v/>
      </c>
      <c r="Y1719" s="28">
        <f>Z1719/X1719</f>
        <v/>
      </c>
      <c r="Z1719" s="29" t="n">
        <v>644.627841981351</v>
      </c>
      <c r="AA1719" s="20" t="n">
        <v>57.1455217822923</v>
      </c>
      <c r="AB1719" t="n">
        <v>0.07481631257659363</v>
      </c>
      <c r="AC1719" t="n">
        <v>55.28447743730944</v>
      </c>
      <c r="AD1719" t="n">
        <v>45.50546440330726</v>
      </c>
    </row>
    <row r="1720">
      <c r="A1720" t="n">
        <v>1719</v>
      </c>
      <c r="B1720" t="n">
        <v>84.8</v>
      </c>
      <c r="C1720" s="21">
        <f>B1720-20</f>
        <v/>
      </c>
      <c r="D1720" t="n">
        <v>104.6</v>
      </c>
      <c r="E1720" s="22">
        <f>D1720-90</f>
        <v/>
      </c>
      <c r="F1720" s="23" t="n">
        <v>0.022276</v>
      </c>
      <c r="G1720" s="22" t="n">
        <v>29</v>
      </c>
      <c r="H1720" s="22" t="n">
        <v>1.4</v>
      </c>
      <c r="I1720" s="24" t="n">
        <v>0.09995266795158381</v>
      </c>
      <c r="J1720" s="6" t="n">
        <v>71000</v>
      </c>
      <c r="K1720" s="25">
        <f>23*10^-6</f>
        <v/>
      </c>
      <c r="L1720" s="8">
        <f>H1720</f>
        <v/>
      </c>
      <c r="M1720" s="26">
        <f>H1720^2/6</f>
        <v/>
      </c>
      <c r="N1720" s="26">
        <f>H1720^3/12</f>
        <v/>
      </c>
      <c r="O1720" s="27">
        <f>-J1720*L1720*K1720*C1720</f>
        <v/>
      </c>
      <c r="P1720" s="28">
        <f>-(12*F1720*J1720*L1720*N1720+12*O1720*N1720*G1720*COS(RADIANS(E1720)))/(12*N1720*G1720*COS(RADIANS(E1720))^2+L1720*G1720^3*SIN(RADIANS(E1720))^2)</f>
        <v/>
      </c>
      <c r="Q1720" s="28">
        <f>-(6*F1720*J1720*L1720*N1720*SIN(RADIANS(E1720))+6*O1720*N1720*G1720*SIN(RADIANS(E1720))*COS(RADIANS(E1720)))/(12*N1720*COS(RADIANS(E1720))^2+L1720*G1720^2*SIN(RADIANS(E1720))^2)</f>
        <v/>
      </c>
      <c r="R1720" s="28">
        <f>-P1720*SIN(RADIANS(E1720))</f>
        <v/>
      </c>
      <c r="S1720" s="8">
        <f>(O1720+P1720*COS(RADIANS(E1720)))/L1720</f>
        <v/>
      </c>
      <c r="T1720" s="8">
        <f>R1720/L1720</f>
        <v/>
      </c>
      <c r="U1720" s="8">
        <f>(Q1720-P1720*G1720*SIN(RADIANS(E1720)))/M1720</f>
        <v/>
      </c>
      <c r="V1720" s="8">
        <f>SQRT((S1720+U1720)^2+3*T1720^2)</f>
        <v/>
      </c>
      <c r="W1720" s="8">
        <f>V1720/AA1720</f>
        <v/>
      </c>
      <c r="X1720" s="27">
        <f>((3*10+H1720/COS(RADIANS(E1720)))*(3+3)+3*G1720*H1720)*2</f>
        <v/>
      </c>
      <c r="Y1720" s="28">
        <f>Z1720/X1720</f>
        <v/>
      </c>
      <c r="Z1720" s="29" t="n">
        <v>632.017852630105</v>
      </c>
      <c r="AA1720" s="20" t="n">
        <v>93.3888193246481</v>
      </c>
      <c r="AB1720" t="n">
        <v>0.2589512497177199</v>
      </c>
      <c r="AC1720" t="n">
        <v>104.521871552973</v>
      </c>
      <c r="AD1720" t="n">
        <v>159.0738746895216</v>
      </c>
    </row>
    <row r="1721">
      <c r="A1721" t="n">
        <v>1720</v>
      </c>
      <c r="B1721" t="n">
        <v>71.2</v>
      </c>
      <c r="C1721" s="21">
        <f>B1721-20</f>
        <v/>
      </c>
      <c r="D1721" t="n">
        <v>101.4</v>
      </c>
      <c r="E1721" s="22">
        <f>D1721-90</f>
        <v/>
      </c>
      <c r="F1721" s="23" t="n">
        <v>0.017252</v>
      </c>
      <c r="G1721" s="22" t="n">
        <v>27.9</v>
      </c>
      <c r="H1721" s="22" t="n">
        <v>1.8</v>
      </c>
      <c r="I1721" s="24" t="n">
        <v>0.07890003174543379</v>
      </c>
      <c r="J1721" s="6" t="n">
        <v>71000</v>
      </c>
      <c r="K1721" s="25">
        <f>23*10^-6</f>
        <v/>
      </c>
      <c r="L1721" s="8">
        <f>H1721</f>
        <v/>
      </c>
      <c r="M1721" s="26">
        <f>H1721^2/6</f>
        <v/>
      </c>
      <c r="N1721" s="26">
        <f>H1721^3/12</f>
        <v/>
      </c>
      <c r="O1721" s="27">
        <f>-J1721*L1721*K1721*C1721</f>
        <v/>
      </c>
      <c r="P1721" s="28">
        <f>-(12*F1721*J1721*L1721*N1721+12*O1721*N1721*G1721*COS(RADIANS(E1721)))/(12*N1721*G1721*COS(RADIANS(E1721))^2+L1721*G1721^3*SIN(RADIANS(E1721))^2)</f>
        <v/>
      </c>
      <c r="Q1721" s="28">
        <f>-(6*F1721*J1721*L1721*N1721*SIN(RADIANS(E1721))+6*O1721*N1721*G1721*SIN(RADIANS(E1721))*COS(RADIANS(E1721)))/(12*N1721*COS(RADIANS(E1721))^2+L1721*G1721^2*SIN(RADIANS(E1721))^2)</f>
        <v/>
      </c>
      <c r="R1721" s="28">
        <f>-P1721*SIN(RADIANS(E1721))</f>
        <v/>
      </c>
      <c r="S1721" s="8">
        <f>(O1721+P1721*COS(RADIANS(E1721)))/L1721</f>
        <v/>
      </c>
      <c r="T1721" s="8">
        <f>R1721/L1721</f>
        <v/>
      </c>
      <c r="U1721" s="8">
        <f>(Q1721-P1721*G1721*SIN(RADIANS(E1721)))/M1721</f>
        <v/>
      </c>
      <c r="V1721" s="8">
        <f>SQRT((S1721+U1721)^2+3*T1721^2)</f>
        <v/>
      </c>
      <c r="W1721" s="8">
        <f>V1721/AA1721</f>
        <v/>
      </c>
      <c r="X1721" s="27">
        <f>((3*10+H1721/COS(RADIANS(E1721)))*(3+3)+3*G1721*H1721)*2</f>
        <v/>
      </c>
      <c r="Y1721" s="28">
        <f>Z1721/X1721</f>
        <v/>
      </c>
      <c r="Z1721" s="29" t="n">
        <v>694.761081493642</v>
      </c>
      <c r="AA1721" s="20" t="n">
        <v>80.69620105658881</v>
      </c>
      <c r="AB1721" t="n">
        <v>0.2379933000349565</v>
      </c>
      <c r="AC1721" t="n">
        <v>89.93451438596115</v>
      </c>
      <c r="AD1721" t="n">
        <v>201.6390421778632</v>
      </c>
    </row>
    <row r="1722">
      <c r="A1722" t="n">
        <v>1721</v>
      </c>
      <c r="B1722" t="n">
        <v>86.5</v>
      </c>
      <c r="C1722" s="21">
        <f>B1722-20</f>
        <v/>
      </c>
      <c r="D1722" t="n">
        <v>109.3</v>
      </c>
      <c r="E1722" s="22">
        <f>D1722-90</f>
        <v/>
      </c>
      <c r="F1722" s="23" t="n">
        <v>0.025364</v>
      </c>
      <c r="G1722" s="22" t="n">
        <v>28</v>
      </c>
      <c r="H1722" s="22" t="n">
        <v>1.5</v>
      </c>
      <c r="I1722" s="24" t="n">
        <v>0.220758616924285</v>
      </c>
      <c r="J1722" s="6" t="n">
        <v>71000</v>
      </c>
      <c r="K1722" s="25">
        <f>23*10^-6</f>
        <v/>
      </c>
      <c r="L1722" s="8">
        <f>H1722</f>
        <v/>
      </c>
      <c r="M1722" s="26">
        <f>H1722^2/6</f>
        <v/>
      </c>
      <c r="N1722" s="26">
        <f>H1722^3/12</f>
        <v/>
      </c>
      <c r="O1722" s="27">
        <f>-J1722*L1722*K1722*C1722</f>
        <v/>
      </c>
      <c r="P1722" s="28">
        <f>-(12*F1722*J1722*L1722*N1722+12*O1722*N1722*G1722*COS(RADIANS(E1722)))/(12*N1722*G1722*COS(RADIANS(E1722))^2+L1722*G1722^3*SIN(RADIANS(E1722))^2)</f>
        <v/>
      </c>
      <c r="Q1722" s="28">
        <f>-(6*F1722*J1722*L1722*N1722*SIN(RADIANS(E1722))+6*O1722*N1722*G1722*SIN(RADIANS(E1722))*COS(RADIANS(E1722)))/(12*N1722*COS(RADIANS(E1722))^2+L1722*G1722^2*SIN(RADIANS(E1722))^2)</f>
        <v/>
      </c>
      <c r="R1722" s="28">
        <f>-P1722*SIN(RADIANS(E1722))</f>
        <v/>
      </c>
      <c r="S1722" s="8">
        <f>(O1722+P1722*COS(RADIANS(E1722)))/L1722</f>
        <v/>
      </c>
      <c r="T1722" s="8">
        <f>R1722/L1722</f>
        <v/>
      </c>
      <c r="U1722" s="8">
        <f>(Q1722-P1722*G1722*SIN(RADIANS(E1722)))/M1722</f>
        <v/>
      </c>
      <c r="V1722" s="8">
        <f>SQRT((S1722+U1722)^2+3*T1722^2)</f>
        <v/>
      </c>
      <c r="W1722" s="8">
        <f>V1722/AA1722</f>
        <v/>
      </c>
      <c r="X1722" s="27">
        <f>((3*10+H1722/COS(RADIANS(E1722)))*(3+3)+3*G1722*H1722)*2</f>
        <v/>
      </c>
      <c r="Y1722" s="28">
        <f>Z1722/X1722</f>
        <v/>
      </c>
      <c r="Z1722" s="29" t="n">
        <v>634.263908980124</v>
      </c>
      <c r="AA1722" s="20" t="n">
        <v>108.872019686391</v>
      </c>
      <c r="AB1722" t="n">
        <v>0.1950054035431216</v>
      </c>
      <c r="AC1722" t="n">
        <v>104.2116872898395</v>
      </c>
      <c r="AD1722" t="n">
        <v>-11.66577945629918</v>
      </c>
    </row>
    <row r="1723">
      <c r="A1723" t="n">
        <v>1722</v>
      </c>
      <c r="B1723" t="n">
        <v>85.59999999999999</v>
      </c>
      <c r="C1723" s="21">
        <f>B1723-20</f>
        <v/>
      </c>
      <c r="D1723" t="n">
        <v>110.9</v>
      </c>
      <c r="E1723" s="22">
        <f>D1723-90</f>
        <v/>
      </c>
      <c r="F1723" s="23" t="n">
        <v>0.021284</v>
      </c>
      <c r="G1723" s="22" t="n">
        <v>28.7</v>
      </c>
      <c r="H1723" s="22" t="n">
        <v>1.1</v>
      </c>
      <c r="I1723" s="24" t="n">
        <v>0.0922787338495254</v>
      </c>
      <c r="J1723" s="6" t="n">
        <v>71000</v>
      </c>
      <c r="K1723" s="25">
        <f>23*10^-6</f>
        <v/>
      </c>
      <c r="L1723" s="8">
        <f>H1723</f>
        <v/>
      </c>
      <c r="M1723" s="26">
        <f>H1723^2/6</f>
        <v/>
      </c>
      <c r="N1723" s="26">
        <f>H1723^3/12</f>
        <v/>
      </c>
      <c r="O1723" s="27">
        <f>-J1723*L1723*K1723*C1723</f>
        <v/>
      </c>
      <c r="P1723" s="28">
        <f>-(12*F1723*J1723*L1723*N1723+12*O1723*N1723*G1723*COS(RADIANS(E1723)))/(12*N1723*G1723*COS(RADIANS(E1723))^2+L1723*G1723^3*SIN(RADIANS(E1723))^2)</f>
        <v/>
      </c>
      <c r="Q1723" s="28">
        <f>-(6*F1723*J1723*L1723*N1723*SIN(RADIANS(E1723))+6*O1723*N1723*G1723*SIN(RADIANS(E1723))*COS(RADIANS(E1723)))/(12*N1723*COS(RADIANS(E1723))^2+L1723*G1723^2*SIN(RADIANS(E1723))^2)</f>
        <v/>
      </c>
      <c r="R1723" s="28">
        <f>-P1723*SIN(RADIANS(E1723))</f>
        <v/>
      </c>
      <c r="S1723" s="8">
        <f>(O1723+P1723*COS(RADIANS(E1723)))/L1723</f>
        <v/>
      </c>
      <c r="T1723" s="8">
        <f>R1723/L1723</f>
        <v/>
      </c>
      <c r="U1723" s="8">
        <f>(Q1723-P1723*G1723*SIN(RADIANS(E1723)))/M1723</f>
        <v/>
      </c>
      <c r="V1723" s="8">
        <f>SQRT((S1723+U1723)^2+3*T1723^2)</f>
        <v/>
      </c>
      <c r="W1723" s="8">
        <f>V1723/AA1723</f>
        <v/>
      </c>
      <c r="X1723" s="27">
        <f>((3*10+H1723/COS(RADIANS(E1723)))*(3+3)+3*G1723*H1723)*2</f>
        <v/>
      </c>
      <c r="Y1723" s="28">
        <f>Z1723/X1723</f>
        <v/>
      </c>
      <c r="Z1723" s="29" t="n">
        <v>576.386995444097</v>
      </c>
      <c r="AA1723" s="20" t="n">
        <v>85.38841422198909</v>
      </c>
      <c r="AB1723" t="n">
        <v>0.1836981300783161</v>
      </c>
      <c r="AC1723" t="n">
        <v>98.09698002908596</v>
      </c>
      <c r="AD1723" t="n">
        <v>99.06875876500865</v>
      </c>
    </row>
    <row r="1724">
      <c r="A1724" t="n">
        <v>1723</v>
      </c>
      <c r="B1724" t="n">
        <v>80.40000000000001</v>
      </c>
      <c r="C1724" s="21">
        <f>B1724-20</f>
        <v/>
      </c>
      <c r="D1724" t="n">
        <v>123.9</v>
      </c>
      <c r="E1724" s="22">
        <f>D1724-90</f>
        <v/>
      </c>
      <c r="F1724" s="23" t="n">
        <v>0.020187</v>
      </c>
      <c r="G1724" s="22" t="n">
        <v>28.5</v>
      </c>
      <c r="H1724" s="22" t="n">
        <v>1.1</v>
      </c>
      <c r="I1724" s="24" t="n">
        <v>0.089495800435543</v>
      </c>
      <c r="J1724" s="6" t="n">
        <v>71000</v>
      </c>
      <c r="K1724" s="25">
        <f>23*10^-6</f>
        <v/>
      </c>
      <c r="L1724" s="8">
        <f>H1724</f>
        <v/>
      </c>
      <c r="M1724" s="26">
        <f>H1724^2/6</f>
        <v/>
      </c>
      <c r="N1724" s="26">
        <f>H1724^3/12</f>
        <v/>
      </c>
      <c r="O1724" s="27">
        <f>-J1724*L1724*K1724*C1724</f>
        <v/>
      </c>
      <c r="P1724" s="28">
        <f>-(12*F1724*J1724*L1724*N1724+12*O1724*N1724*G1724*COS(RADIANS(E1724)))/(12*N1724*G1724*COS(RADIANS(E1724))^2+L1724*G1724^3*SIN(RADIANS(E1724))^2)</f>
        <v/>
      </c>
      <c r="Q1724" s="28">
        <f>-(6*F1724*J1724*L1724*N1724*SIN(RADIANS(E1724))+6*O1724*N1724*G1724*SIN(RADIANS(E1724))*COS(RADIANS(E1724)))/(12*N1724*COS(RADIANS(E1724))^2+L1724*G1724^2*SIN(RADIANS(E1724))^2)</f>
        <v/>
      </c>
      <c r="R1724" s="28">
        <f>-P1724*SIN(RADIANS(E1724))</f>
        <v/>
      </c>
      <c r="S1724" s="8">
        <f>(O1724+P1724*COS(RADIANS(E1724)))/L1724</f>
        <v/>
      </c>
      <c r="T1724" s="8">
        <f>R1724/L1724</f>
        <v/>
      </c>
      <c r="U1724" s="8">
        <f>(Q1724-P1724*G1724*SIN(RADIANS(E1724)))/M1724</f>
        <v/>
      </c>
      <c r="V1724" s="8">
        <f>SQRT((S1724+U1724)^2+3*T1724^2)</f>
        <v/>
      </c>
      <c r="W1724" s="8">
        <f>V1724/AA1724</f>
        <v/>
      </c>
      <c r="X1724" s="27">
        <f>((3*10+H1724/COS(RADIANS(E1724)))*(3+3)+3*G1724*H1724)*2</f>
        <v/>
      </c>
      <c r="Y1724" s="28">
        <f>Z1724/X1724</f>
        <v/>
      </c>
      <c r="Z1724" s="29" t="n">
        <v>573.002079973242</v>
      </c>
      <c r="AA1724" s="20" t="n">
        <v>81.25449825973359</v>
      </c>
      <c r="AB1724" t="n">
        <v>0.1009951341739737</v>
      </c>
      <c r="AC1724" t="n">
        <v>86.29895118305988</v>
      </c>
      <c r="AD1724" t="n">
        <v>12.8490204931044</v>
      </c>
    </row>
    <row r="1725">
      <c r="A1725" t="n">
        <v>1724</v>
      </c>
      <c r="B1725" t="n">
        <v>61</v>
      </c>
      <c r="C1725" s="21">
        <f>B1725-20</f>
        <v/>
      </c>
      <c r="D1725" t="n">
        <v>128.6</v>
      </c>
      <c r="E1725" s="22">
        <f>D1725-90</f>
        <v/>
      </c>
      <c r="F1725" s="23" t="n">
        <v>0.015865</v>
      </c>
      <c r="G1725" s="22" t="n">
        <v>29.7</v>
      </c>
      <c r="H1725" s="22" t="n">
        <v>1.7</v>
      </c>
      <c r="I1725" s="24" t="n">
        <v>0.0928218066692352</v>
      </c>
      <c r="J1725" s="6" t="n">
        <v>71000</v>
      </c>
      <c r="K1725" s="25">
        <f>23*10^-6</f>
        <v/>
      </c>
      <c r="L1725" s="8">
        <f>H1725</f>
        <v/>
      </c>
      <c r="M1725" s="26">
        <f>H1725^2/6</f>
        <v/>
      </c>
      <c r="N1725" s="26">
        <f>H1725^3/12</f>
        <v/>
      </c>
      <c r="O1725" s="27">
        <f>-J1725*L1725*K1725*C1725</f>
        <v/>
      </c>
      <c r="P1725" s="28">
        <f>-(12*F1725*J1725*L1725*N1725+12*O1725*N1725*G1725*COS(RADIANS(E1725)))/(12*N1725*G1725*COS(RADIANS(E1725))^2+L1725*G1725^3*SIN(RADIANS(E1725))^2)</f>
        <v/>
      </c>
      <c r="Q1725" s="28">
        <f>-(6*F1725*J1725*L1725*N1725*SIN(RADIANS(E1725))+6*O1725*N1725*G1725*SIN(RADIANS(E1725))*COS(RADIANS(E1725)))/(12*N1725*COS(RADIANS(E1725))^2+L1725*G1725^2*SIN(RADIANS(E1725))^2)</f>
        <v/>
      </c>
      <c r="R1725" s="28">
        <f>-P1725*SIN(RADIANS(E1725))</f>
        <v/>
      </c>
      <c r="S1725" s="8">
        <f>(O1725+P1725*COS(RADIANS(E1725)))/L1725</f>
        <v/>
      </c>
      <c r="T1725" s="8">
        <f>R1725/L1725</f>
        <v/>
      </c>
      <c r="U1725" s="8">
        <f>(Q1725-P1725*G1725*SIN(RADIANS(E1725)))/M1725</f>
        <v/>
      </c>
      <c r="V1725" s="8">
        <f>SQRT((S1725+U1725)^2+3*T1725^2)</f>
        <v/>
      </c>
      <c r="W1725" s="8">
        <f>V1725/AA1725</f>
        <v/>
      </c>
      <c r="X1725" s="27">
        <f>((3*10+H1725/COS(RADIANS(E1725)))*(3+3)+3*G1725*H1725)*2</f>
        <v/>
      </c>
      <c r="Y1725" s="28">
        <f>Z1725/X1725</f>
        <v/>
      </c>
      <c r="Z1725" s="29" t="n">
        <v>689.563455626164</v>
      </c>
      <c r="AA1725" s="20" t="n">
        <v>65.6805231982753</v>
      </c>
      <c r="AB1725" t="n">
        <v>0.06162217573158435</v>
      </c>
      <c r="AC1725" t="n">
        <v>59.39591043010991</v>
      </c>
      <c r="AD1725" t="n">
        <v>-33.61239352820272</v>
      </c>
    </row>
    <row r="1726">
      <c r="A1726" t="n">
        <v>1725</v>
      </c>
      <c r="B1726" t="n">
        <v>65.09999999999999</v>
      </c>
      <c r="C1726" s="21">
        <f>B1726-20</f>
        <v/>
      </c>
      <c r="D1726" t="n">
        <v>117.1</v>
      </c>
      <c r="E1726" s="22">
        <f>D1726-90</f>
        <v/>
      </c>
      <c r="F1726" s="23" t="n">
        <v>0.01408</v>
      </c>
      <c r="G1726" s="22" t="n">
        <v>22.1</v>
      </c>
      <c r="H1726" s="22" t="n">
        <v>1.7</v>
      </c>
      <c r="I1726" s="24" t="n">
        <v>0.102001458406448</v>
      </c>
      <c r="J1726" s="6" t="n">
        <v>71000</v>
      </c>
      <c r="K1726" s="25">
        <f>23*10^-6</f>
        <v/>
      </c>
      <c r="L1726" s="8">
        <f>H1726</f>
        <v/>
      </c>
      <c r="M1726" s="26">
        <f>H1726^2/6</f>
        <v/>
      </c>
      <c r="N1726" s="26">
        <f>H1726^3/12</f>
        <v/>
      </c>
      <c r="O1726" s="27">
        <f>-J1726*L1726*K1726*C1726</f>
        <v/>
      </c>
      <c r="P1726" s="28">
        <f>-(12*F1726*J1726*L1726*N1726+12*O1726*N1726*G1726*COS(RADIANS(E1726)))/(12*N1726*G1726*COS(RADIANS(E1726))^2+L1726*G1726^3*SIN(RADIANS(E1726))^2)</f>
        <v/>
      </c>
      <c r="Q1726" s="28">
        <f>-(6*F1726*J1726*L1726*N1726*SIN(RADIANS(E1726))+6*O1726*N1726*G1726*SIN(RADIANS(E1726))*COS(RADIANS(E1726)))/(12*N1726*COS(RADIANS(E1726))^2+L1726*G1726^2*SIN(RADIANS(E1726))^2)</f>
        <v/>
      </c>
      <c r="R1726" s="28">
        <f>-P1726*SIN(RADIANS(E1726))</f>
        <v/>
      </c>
      <c r="S1726" s="8">
        <f>(O1726+P1726*COS(RADIANS(E1726)))/L1726</f>
        <v/>
      </c>
      <c r="T1726" s="8">
        <f>R1726/L1726</f>
        <v/>
      </c>
      <c r="U1726" s="8">
        <f>(Q1726-P1726*G1726*SIN(RADIANS(E1726)))/M1726</f>
        <v/>
      </c>
      <c r="V1726" s="8">
        <f>SQRT((S1726+U1726)^2+3*T1726^2)</f>
        <v/>
      </c>
      <c r="W1726" s="8">
        <f>V1726/AA1726</f>
        <v/>
      </c>
      <c r="X1726" s="27">
        <f>((3*10+H1726/COS(RADIANS(E1726)))*(3+3)+3*G1726*H1726)*2</f>
        <v/>
      </c>
      <c r="Y1726" s="28">
        <f>Z1726/X1726</f>
        <v/>
      </c>
      <c r="Z1726" s="29" t="n">
        <v>610.735182805132</v>
      </c>
      <c r="AA1726" s="20" t="n">
        <v>78.93424454681271</v>
      </c>
      <c r="AB1726" t="n">
        <v>0.0742864628435778</v>
      </c>
      <c r="AC1726" t="n">
        <v>69.53803124232651</v>
      </c>
      <c r="AD1726" t="n">
        <v>-27.17117578106923</v>
      </c>
    </row>
    <row r="1727">
      <c r="A1727" t="n">
        <v>1726</v>
      </c>
      <c r="B1727" t="n">
        <v>70.90000000000001</v>
      </c>
      <c r="C1727" s="21">
        <f>B1727-20</f>
        <v/>
      </c>
      <c r="D1727" t="n">
        <v>111</v>
      </c>
      <c r="E1727" s="22">
        <f>D1727-90</f>
        <v/>
      </c>
      <c r="F1727" s="23" t="n">
        <v>0.015427</v>
      </c>
      <c r="G1727" s="22" t="n">
        <v>21</v>
      </c>
      <c r="H1727" s="22" t="n">
        <v>1.8</v>
      </c>
      <c r="I1727" s="24" t="n">
        <v>0.127014636993408</v>
      </c>
      <c r="J1727" s="6" t="n">
        <v>71000</v>
      </c>
      <c r="K1727" s="25">
        <f>23*10^-6</f>
        <v/>
      </c>
      <c r="L1727" s="8">
        <f>H1727</f>
        <v/>
      </c>
      <c r="M1727" s="26">
        <f>H1727^2/6</f>
        <v/>
      </c>
      <c r="N1727" s="26">
        <f>H1727^3/12</f>
        <v/>
      </c>
      <c r="O1727" s="27">
        <f>-J1727*L1727*K1727*C1727</f>
        <v/>
      </c>
      <c r="P1727" s="28">
        <f>-(12*F1727*J1727*L1727*N1727+12*O1727*N1727*G1727*COS(RADIANS(E1727)))/(12*N1727*G1727*COS(RADIANS(E1727))^2+L1727*G1727^3*SIN(RADIANS(E1727))^2)</f>
        <v/>
      </c>
      <c r="Q1727" s="28">
        <f>-(6*F1727*J1727*L1727*N1727*SIN(RADIANS(E1727))+6*O1727*N1727*G1727*SIN(RADIANS(E1727))*COS(RADIANS(E1727)))/(12*N1727*COS(RADIANS(E1727))^2+L1727*G1727^2*SIN(RADIANS(E1727))^2)</f>
        <v/>
      </c>
      <c r="R1727" s="28">
        <f>-P1727*SIN(RADIANS(E1727))</f>
        <v/>
      </c>
      <c r="S1727" s="8">
        <f>(O1727+P1727*COS(RADIANS(E1727)))/L1727</f>
        <v/>
      </c>
      <c r="T1727" s="8">
        <f>R1727/L1727</f>
        <v/>
      </c>
      <c r="U1727" s="8">
        <f>(Q1727-P1727*G1727*SIN(RADIANS(E1727)))/M1727</f>
        <v/>
      </c>
      <c r="V1727" s="8">
        <f>SQRT((S1727+U1727)^2+3*T1727^2)</f>
        <v/>
      </c>
      <c r="W1727" s="8">
        <f>V1727/AA1727</f>
        <v/>
      </c>
      <c r="X1727" s="27">
        <f>((3*10+H1727/COS(RADIANS(E1727)))*(3+3)+3*G1727*H1727)*2</f>
        <v/>
      </c>
      <c r="Y1727" s="28">
        <f>Z1727/X1727</f>
        <v/>
      </c>
      <c r="Z1727" s="29" t="n">
        <v>612.751369762529</v>
      </c>
      <c r="AA1727" s="20" t="n">
        <v>121.875978108674</v>
      </c>
      <c r="AB1727" t="n">
        <v>0.1019402821012944</v>
      </c>
      <c r="AC1727" t="n">
        <v>82.60673677868111</v>
      </c>
      <c r="AD1727" t="n">
        <v>-19.7413113052592</v>
      </c>
    </row>
    <row r="1728">
      <c r="A1728" t="n">
        <v>1727</v>
      </c>
      <c r="B1728" t="n">
        <v>72.59999999999999</v>
      </c>
      <c r="C1728" s="21">
        <f>B1728-20</f>
        <v/>
      </c>
      <c r="D1728" t="n">
        <v>128.3</v>
      </c>
      <c r="E1728" s="22">
        <f>D1728-90</f>
        <v/>
      </c>
      <c r="F1728" s="23" t="n">
        <v>0.016841</v>
      </c>
      <c r="G1728" s="22" t="n">
        <v>23.4</v>
      </c>
      <c r="H1728" s="22" t="n">
        <v>1.5</v>
      </c>
      <c r="I1728" s="24" t="n">
        <v>0.103057622909545</v>
      </c>
      <c r="J1728" s="6" t="n">
        <v>71000</v>
      </c>
      <c r="K1728" s="25">
        <f>23*10^-6</f>
        <v/>
      </c>
      <c r="L1728" s="8">
        <f>H1728</f>
        <v/>
      </c>
      <c r="M1728" s="26">
        <f>H1728^2/6</f>
        <v/>
      </c>
      <c r="N1728" s="26">
        <f>H1728^3/12</f>
        <v/>
      </c>
      <c r="O1728" s="27">
        <f>-J1728*L1728*K1728*C1728</f>
        <v/>
      </c>
      <c r="P1728" s="28">
        <f>-(12*F1728*J1728*L1728*N1728+12*O1728*N1728*G1728*COS(RADIANS(E1728)))/(12*N1728*G1728*COS(RADIANS(E1728))^2+L1728*G1728^3*SIN(RADIANS(E1728))^2)</f>
        <v/>
      </c>
      <c r="Q1728" s="28">
        <f>-(6*F1728*J1728*L1728*N1728*SIN(RADIANS(E1728))+6*O1728*N1728*G1728*SIN(RADIANS(E1728))*COS(RADIANS(E1728)))/(12*N1728*COS(RADIANS(E1728))^2+L1728*G1728^2*SIN(RADIANS(E1728))^2)</f>
        <v/>
      </c>
      <c r="R1728" s="28">
        <f>-P1728*SIN(RADIANS(E1728))</f>
        <v/>
      </c>
      <c r="S1728" s="8">
        <f>(O1728+P1728*COS(RADIANS(E1728)))/L1728</f>
        <v/>
      </c>
      <c r="T1728" s="8">
        <f>R1728/L1728</f>
        <v/>
      </c>
      <c r="U1728" s="8">
        <f>(Q1728-P1728*G1728*SIN(RADIANS(E1728)))/M1728</f>
        <v/>
      </c>
      <c r="V1728" s="8">
        <f>SQRT((S1728+U1728)^2+3*T1728^2)</f>
        <v/>
      </c>
      <c r="W1728" s="8">
        <f>V1728/AA1728</f>
        <v/>
      </c>
      <c r="X1728" s="27">
        <f>((3*10+H1728/COS(RADIANS(E1728)))*(3+3)+3*G1728*H1728)*2</f>
        <v/>
      </c>
      <c r="Y1728" s="28">
        <f>Z1728/X1728</f>
        <v/>
      </c>
      <c r="Z1728" s="29" t="n">
        <v>594.534538109609</v>
      </c>
      <c r="AA1728" s="20" t="n">
        <v>83.35849754081281</v>
      </c>
      <c r="AB1728" t="n">
        <v>0.0636797434937556</v>
      </c>
      <c r="AC1728" t="n">
        <v>76.34197151453762</v>
      </c>
      <c r="AD1728" t="n">
        <v>-38.20957470594084</v>
      </c>
    </row>
    <row r="1729">
      <c r="A1729" t="n">
        <v>1728</v>
      </c>
      <c r="B1729" t="n">
        <v>40.3</v>
      </c>
      <c r="C1729" s="21">
        <f>B1729-20</f>
        <v/>
      </c>
      <c r="D1729" t="n">
        <v>126.9</v>
      </c>
      <c r="E1729" s="22">
        <f>D1729-90</f>
        <v/>
      </c>
      <c r="F1729" s="23" t="n">
        <v>0.008912</v>
      </c>
      <c r="G1729" s="22" t="n">
        <v>34.8</v>
      </c>
      <c r="H1729" s="22" t="n">
        <v>1.1</v>
      </c>
      <c r="I1729" s="24" t="n">
        <v>0.0496752671897411</v>
      </c>
      <c r="J1729" s="6" t="n">
        <v>71000</v>
      </c>
      <c r="K1729" s="25">
        <f>23*10^-6</f>
        <v/>
      </c>
      <c r="L1729" s="8">
        <f>H1729</f>
        <v/>
      </c>
      <c r="M1729" s="26">
        <f>H1729^2/6</f>
        <v/>
      </c>
      <c r="N1729" s="26">
        <f>H1729^3/12</f>
        <v/>
      </c>
      <c r="O1729" s="27">
        <f>-J1729*L1729*K1729*C1729</f>
        <v/>
      </c>
      <c r="P1729" s="28">
        <f>-(12*F1729*J1729*L1729*N1729+12*O1729*N1729*G1729*COS(RADIANS(E1729)))/(12*N1729*G1729*COS(RADIANS(E1729))^2+L1729*G1729^3*SIN(RADIANS(E1729))^2)</f>
        <v/>
      </c>
      <c r="Q1729" s="28">
        <f>-(6*F1729*J1729*L1729*N1729*SIN(RADIANS(E1729))+6*O1729*N1729*G1729*SIN(RADIANS(E1729))*COS(RADIANS(E1729)))/(12*N1729*COS(RADIANS(E1729))^2+L1729*G1729^2*SIN(RADIANS(E1729))^2)</f>
        <v/>
      </c>
      <c r="R1729" s="28">
        <f>-P1729*SIN(RADIANS(E1729))</f>
        <v/>
      </c>
      <c r="S1729" s="8">
        <f>(O1729+P1729*COS(RADIANS(E1729)))/L1729</f>
        <v/>
      </c>
      <c r="T1729" s="8">
        <f>R1729/L1729</f>
        <v/>
      </c>
      <c r="U1729" s="8">
        <f>(Q1729-P1729*G1729*SIN(RADIANS(E1729)))/M1729</f>
        <v/>
      </c>
      <c r="V1729" s="8">
        <f>SQRT((S1729+U1729)^2+3*T1729^2)</f>
        <v/>
      </c>
      <c r="W1729" s="8">
        <f>V1729/AA1729</f>
        <v/>
      </c>
      <c r="X1729" s="27">
        <f>((3*10+H1729/COS(RADIANS(E1729)))*(3+3)+3*G1729*H1729)*2</f>
        <v/>
      </c>
      <c r="Y1729" s="28">
        <f>Z1729/X1729</f>
        <v/>
      </c>
      <c r="Z1729" s="29" t="n">
        <v>608.933605656935</v>
      </c>
      <c r="AA1729" s="20" t="n">
        <v>28.6396368793105</v>
      </c>
      <c r="AB1729" t="n">
        <v>0.03741138936494892</v>
      </c>
      <c r="AC1729" t="n">
        <v>28.61253151962468</v>
      </c>
      <c r="AD1729" t="n">
        <v>-24.68809634772313</v>
      </c>
    </row>
    <row r="1730">
      <c r="A1730" t="n">
        <v>1729</v>
      </c>
      <c r="B1730" t="n">
        <v>81.2</v>
      </c>
      <c r="C1730" s="21">
        <f>B1730-20</f>
        <v/>
      </c>
      <c r="D1730" t="n">
        <v>113.7</v>
      </c>
      <c r="E1730" s="22">
        <f>D1730-90</f>
        <v/>
      </c>
      <c r="F1730" s="23" t="n">
        <v>0.017679</v>
      </c>
      <c r="G1730" s="22" t="n">
        <v>23.3</v>
      </c>
      <c r="H1730" s="22" t="n">
        <v>1.3</v>
      </c>
      <c r="I1730" s="24" t="n">
        <v>0.0817729383707046</v>
      </c>
      <c r="J1730" s="6" t="n">
        <v>71000</v>
      </c>
      <c r="K1730" s="25">
        <f>23*10^-6</f>
        <v/>
      </c>
      <c r="L1730" s="8">
        <f>H1730</f>
        <v/>
      </c>
      <c r="M1730" s="26">
        <f>H1730^2/6</f>
        <v/>
      </c>
      <c r="N1730" s="26">
        <f>H1730^3/12</f>
        <v/>
      </c>
      <c r="O1730" s="27">
        <f>-J1730*L1730*K1730*C1730</f>
        <v/>
      </c>
      <c r="P1730" s="28">
        <f>-(12*F1730*J1730*L1730*N1730+12*O1730*N1730*G1730*COS(RADIANS(E1730)))/(12*N1730*G1730*COS(RADIANS(E1730))^2+L1730*G1730^3*SIN(RADIANS(E1730))^2)</f>
        <v/>
      </c>
      <c r="Q1730" s="28">
        <f>-(6*F1730*J1730*L1730*N1730*SIN(RADIANS(E1730))+6*O1730*N1730*G1730*SIN(RADIANS(E1730))*COS(RADIANS(E1730)))/(12*N1730*COS(RADIANS(E1730))^2+L1730*G1730^2*SIN(RADIANS(E1730))^2)</f>
        <v/>
      </c>
      <c r="R1730" s="28">
        <f>-P1730*SIN(RADIANS(E1730))</f>
        <v/>
      </c>
      <c r="S1730" s="8">
        <f>(O1730+P1730*COS(RADIANS(E1730)))/L1730</f>
        <v/>
      </c>
      <c r="T1730" s="8">
        <f>R1730/L1730</f>
        <v/>
      </c>
      <c r="U1730" s="8">
        <f>(Q1730-P1730*G1730*SIN(RADIANS(E1730)))/M1730</f>
        <v/>
      </c>
      <c r="V1730" s="8">
        <f>SQRT((S1730+U1730)^2+3*T1730^2)</f>
        <v/>
      </c>
      <c r="W1730" s="8">
        <f>V1730/AA1730</f>
        <v/>
      </c>
      <c r="X1730" s="27">
        <f>((3*10+H1730/COS(RADIANS(E1730)))*(3+3)+3*G1730*H1730)*2</f>
        <v/>
      </c>
      <c r="Y1730" s="28">
        <f>Z1730/X1730</f>
        <v/>
      </c>
      <c r="Z1730" s="29" t="n">
        <v>568.883766586141</v>
      </c>
      <c r="AA1730" s="20" t="n">
        <v>89.47396392199509</v>
      </c>
      <c r="AB1730" t="n">
        <v>0.122919413172343</v>
      </c>
      <c r="AC1730" t="n">
        <v>92.9797431531112</v>
      </c>
      <c r="AD1730" t="n">
        <v>50.31796046646559</v>
      </c>
    </row>
    <row r="1731">
      <c r="A1731" t="n">
        <v>1730</v>
      </c>
      <c r="B1731" t="n">
        <v>46.9</v>
      </c>
      <c r="C1731" s="21">
        <f>B1731-20</f>
        <v/>
      </c>
      <c r="D1731" t="n">
        <v>120</v>
      </c>
      <c r="E1731" s="22">
        <f>D1731-90</f>
        <v/>
      </c>
      <c r="F1731" s="23" t="n">
        <v>0.010084</v>
      </c>
      <c r="G1731" s="22" t="n">
        <v>34.4</v>
      </c>
      <c r="H1731" s="22" t="n">
        <v>1.4</v>
      </c>
      <c r="I1731" s="24" t="n">
        <v>0.0426855310797691</v>
      </c>
      <c r="J1731" s="6" t="n">
        <v>71000</v>
      </c>
      <c r="K1731" s="25">
        <f>23*10^-6</f>
        <v/>
      </c>
      <c r="L1731" s="8">
        <f>H1731</f>
        <v/>
      </c>
      <c r="M1731" s="26">
        <f>H1731^2/6</f>
        <v/>
      </c>
      <c r="N1731" s="26">
        <f>H1731^3/12</f>
        <v/>
      </c>
      <c r="O1731" s="27">
        <f>-J1731*L1731*K1731*C1731</f>
        <v/>
      </c>
      <c r="P1731" s="28">
        <f>-(12*F1731*J1731*L1731*N1731+12*O1731*N1731*G1731*COS(RADIANS(E1731)))/(12*N1731*G1731*COS(RADIANS(E1731))^2+L1731*G1731^3*SIN(RADIANS(E1731))^2)</f>
        <v/>
      </c>
      <c r="Q1731" s="28">
        <f>-(6*F1731*J1731*L1731*N1731*SIN(RADIANS(E1731))+6*O1731*N1731*G1731*SIN(RADIANS(E1731))*COS(RADIANS(E1731)))/(12*N1731*COS(RADIANS(E1731))^2+L1731*G1731^2*SIN(RADIANS(E1731))^2)</f>
        <v/>
      </c>
      <c r="R1731" s="28">
        <f>-P1731*SIN(RADIANS(E1731))</f>
        <v/>
      </c>
      <c r="S1731" s="8">
        <f>(O1731+P1731*COS(RADIANS(E1731)))/L1731</f>
        <v/>
      </c>
      <c r="T1731" s="8">
        <f>R1731/L1731</f>
        <v/>
      </c>
      <c r="U1731" s="8">
        <f>(Q1731-P1731*G1731*SIN(RADIANS(E1731)))/M1731</f>
        <v/>
      </c>
      <c r="V1731" s="8">
        <f>SQRT((S1731+U1731)^2+3*T1731^2)</f>
        <v/>
      </c>
      <c r="W1731" s="8">
        <f>V1731/AA1731</f>
        <v/>
      </c>
      <c r="X1731" s="27">
        <f>((3*10+H1731/COS(RADIANS(E1731)))*(3+3)+3*G1731*H1731)*2</f>
        <v/>
      </c>
      <c r="Y1731" s="28">
        <f>Z1731/X1731</f>
        <v/>
      </c>
      <c r="Z1731" s="29" t="n">
        <v>680.599555448875</v>
      </c>
      <c r="AA1731" s="20" t="n">
        <v>36.8682374044234</v>
      </c>
      <c r="AB1731" t="n">
        <v>0.06124133082176927</v>
      </c>
      <c r="AC1731" t="n">
        <v>39.13320540964196</v>
      </c>
      <c r="AD1731" t="n">
        <v>43.47093563700494</v>
      </c>
    </row>
    <row r="1732">
      <c r="A1732" t="n">
        <v>1731</v>
      </c>
      <c r="B1732" t="n">
        <v>83.3</v>
      </c>
      <c r="C1732" s="21">
        <f>B1732-20</f>
        <v/>
      </c>
      <c r="D1732" t="n">
        <v>117.3</v>
      </c>
      <c r="E1732" s="22">
        <f>D1732-90</f>
        <v/>
      </c>
      <c r="F1732" s="23" t="n">
        <v>0.024886</v>
      </c>
      <c r="G1732" s="22" t="n">
        <v>32</v>
      </c>
      <c r="H1732" s="22" t="n">
        <v>1.7</v>
      </c>
      <c r="I1732" s="24" t="n">
        <v>0.120455667376518</v>
      </c>
      <c r="J1732" s="6" t="n">
        <v>71000</v>
      </c>
      <c r="K1732" s="25">
        <f>23*10^-6</f>
        <v/>
      </c>
      <c r="L1732" s="8">
        <f>H1732</f>
        <v/>
      </c>
      <c r="M1732" s="26">
        <f>H1732^2/6</f>
        <v/>
      </c>
      <c r="N1732" s="26">
        <f>H1732^3/12</f>
        <v/>
      </c>
      <c r="O1732" s="27">
        <f>-J1732*L1732*K1732*C1732</f>
        <v/>
      </c>
      <c r="P1732" s="28">
        <f>-(12*F1732*J1732*L1732*N1732+12*O1732*N1732*G1732*COS(RADIANS(E1732)))/(12*N1732*G1732*COS(RADIANS(E1732))^2+L1732*G1732^3*SIN(RADIANS(E1732))^2)</f>
        <v/>
      </c>
      <c r="Q1732" s="28">
        <f>-(6*F1732*J1732*L1732*N1732*SIN(RADIANS(E1732))+6*O1732*N1732*G1732*SIN(RADIANS(E1732))*COS(RADIANS(E1732)))/(12*N1732*COS(RADIANS(E1732))^2+L1732*G1732^2*SIN(RADIANS(E1732))^2)</f>
        <v/>
      </c>
      <c r="R1732" s="28">
        <f>-P1732*SIN(RADIANS(E1732))</f>
        <v/>
      </c>
      <c r="S1732" s="8">
        <f>(O1732+P1732*COS(RADIANS(E1732)))/L1732</f>
        <v/>
      </c>
      <c r="T1732" s="8">
        <f>R1732/L1732</f>
        <v/>
      </c>
      <c r="U1732" s="8">
        <f>(Q1732-P1732*G1732*SIN(RADIANS(E1732)))/M1732</f>
        <v/>
      </c>
      <c r="V1732" s="8">
        <f>SQRT((S1732+U1732)^2+3*T1732^2)</f>
        <v/>
      </c>
      <c r="W1732" s="8">
        <f>V1732/AA1732</f>
        <v/>
      </c>
      <c r="X1732" s="27">
        <f>((3*10+H1732/COS(RADIANS(E1732)))*(3+3)+3*G1732*H1732)*2</f>
        <v/>
      </c>
      <c r="Y1732" s="28">
        <f>Z1732/X1732</f>
        <v/>
      </c>
      <c r="Z1732" s="29" t="n">
        <v>715.70934423721</v>
      </c>
      <c r="AA1732" s="20" t="n">
        <v>97.09565579545951</v>
      </c>
      <c r="AB1732" t="n">
        <v>0.1480192708702735</v>
      </c>
      <c r="AC1732" t="n">
        <v>95.04862205516491</v>
      </c>
      <c r="AD1732" t="n">
        <v>22.88277844793948</v>
      </c>
    </row>
    <row r="1733">
      <c r="A1733" t="n">
        <v>1732</v>
      </c>
      <c r="B1733" t="n">
        <v>71.59999999999999</v>
      </c>
      <c r="C1733" s="21">
        <f>B1733-20</f>
        <v/>
      </c>
      <c r="D1733" t="n">
        <v>119.7</v>
      </c>
      <c r="E1733" s="22">
        <f>D1733-90</f>
        <v/>
      </c>
      <c r="F1733" s="23" t="n">
        <v>0.0194</v>
      </c>
      <c r="G1733" s="22" t="n">
        <v>28.9</v>
      </c>
      <c r="H1733" s="22" t="n">
        <v>2</v>
      </c>
      <c r="I1733" s="24" t="n">
        <v>0.109269402921199</v>
      </c>
      <c r="J1733" s="6" t="n">
        <v>71000</v>
      </c>
      <c r="K1733" s="25">
        <f>23*10^-6</f>
        <v/>
      </c>
      <c r="L1733" s="8">
        <f>H1733</f>
        <v/>
      </c>
      <c r="M1733" s="26">
        <f>H1733^2/6</f>
        <v/>
      </c>
      <c r="N1733" s="26">
        <f>H1733^3/12</f>
        <v/>
      </c>
      <c r="O1733" s="27">
        <f>-J1733*L1733*K1733*C1733</f>
        <v/>
      </c>
      <c r="P1733" s="28">
        <f>-(12*F1733*J1733*L1733*N1733+12*O1733*N1733*G1733*COS(RADIANS(E1733)))/(12*N1733*G1733*COS(RADIANS(E1733))^2+L1733*G1733^3*SIN(RADIANS(E1733))^2)</f>
        <v/>
      </c>
      <c r="Q1733" s="28">
        <f>-(6*F1733*J1733*L1733*N1733*SIN(RADIANS(E1733))+6*O1733*N1733*G1733*SIN(RADIANS(E1733))*COS(RADIANS(E1733)))/(12*N1733*COS(RADIANS(E1733))^2+L1733*G1733^2*SIN(RADIANS(E1733))^2)</f>
        <v/>
      </c>
      <c r="R1733" s="28">
        <f>-P1733*SIN(RADIANS(E1733))</f>
        <v/>
      </c>
      <c r="S1733" s="8">
        <f>(O1733+P1733*COS(RADIANS(E1733)))/L1733</f>
        <v/>
      </c>
      <c r="T1733" s="8">
        <f>R1733/L1733</f>
        <v/>
      </c>
      <c r="U1733" s="8">
        <f>(Q1733-P1733*G1733*SIN(RADIANS(E1733)))/M1733</f>
        <v/>
      </c>
      <c r="V1733" s="8">
        <f>SQRT((S1733+U1733)^2+3*T1733^2)</f>
        <v/>
      </c>
      <c r="W1733" s="8">
        <f>V1733/AA1733</f>
        <v/>
      </c>
      <c r="X1733" s="27">
        <f>((3*10+H1733/COS(RADIANS(E1733)))*(3+3)+3*G1733*H1733)*2</f>
        <v/>
      </c>
      <c r="Y1733" s="28">
        <f>Z1733/X1733</f>
        <v/>
      </c>
      <c r="Z1733" s="29" t="n">
        <v>737.648589080219</v>
      </c>
      <c r="AA1733" s="20" t="n">
        <v>87.5448820208228</v>
      </c>
      <c r="AB1733" t="n">
        <v>0.09968163278655817</v>
      </c>
      <c r="AC1733" t="n">
        <v>78.51098830830809</v>
      </c>
      <c r="AD1733" t="n">
        <v>-8.77443262095535</v>
      </c>
    </row>
    <row r="1734">
      <c r="A1734" t="n">
        <v>1733</v>
      </c>
      <c r="B1734" t="n">
        <v>58.2</v>
      </c>
      <c r="C1734" s="21">
        <f>B1734-20</f>
        <v/>
      </c>
      <c r="D1734" t="n">
        <v>126.4</v>
      </c>
      <c r="E1734" s="22">
        <f>D1734-90</f>
        <v/>
      </c>
      <c r="F1734" s="23" t="n">
        <v>0.009892</v>
      </c>
      <c r="G1734" s="22" t="n">
        <v>21.3</v>
      </c>
      <c r="H1734" s="22" t="n">
        <v>1.7</v>
      </c>
      <c r="I1734" s="24" t="n">
        <v>0.0450232289731502</v>
      </c>
      <c r="J1734" s="6" t="n">
        <v>71000</v>
      </c>
      <c r="K1734" s="25">
        <f>23*10^-6</f>
        <v/>
      </c>
      <c r="L1734" s="8">
        <f>H1734</f>
        <v/>
      </c>
      <c r="M1734" s="26">
        <f>H1734^2/6</f>
        <v/>
      </c>
      <c r="N1734" s="26">
        <f>H1734^3/12</f>
        <v/>
      </c>
      <c r="O1734" s="27">
        <f>-J1734*L1734*K1734*C1734</f>
        <v/>
      </c>
      <c r="P1734" s="28">
        <f>-(12*F1734*J1734*L1734*N1734+12*O1734*N1734*G1734*COS(RADIANS(E1734)))/(12*N1734*G1734*COS(RADIANS(E1734))^2+L1734*G1734^3*SIN(RADIANS(E1734))^2)</f>
        <v/>
      </c>
      <c r="Q1734" s="28">
        <f>-(6*F1734*J1734*L1734*N1734*SIN(RADIANS(E1734))+6*O1734*N1734*G1734*SIN(RADIANS(E1734))*COS(RADIANS(E1734)))/(12*N1734*COS(RADIANS(E1734))^2+L1734*G1734^2*SIN(RADIANS(E1734))^2)</f>
        <v/>
      </c>
      <c r="R1734" s="28">
        <f>-P1734*SIN(RADIANS(E1734))</f>
        <v/>
      </c>
      <c r="S1734" s="8">
        <f>(O1734+P1734*COS(RADIANS(E1734)))/L1734</f>
        <v/>
      </c>
      <c r="T1734" s="8">
        <f>R1734/L1734</f>
        <v/>
      </c>
      <c r="U1734" s="8">
        <f>(Q1734-P1734*G1734*SIN(RADIANS(E1734)))/M1734</f>
        <v/>
      </c>
      <c r="V1734" s="8">
        <f>SQRT((S1734+U1734)^2+3*T1734^2)</f>
        <v/>
      </c>
      <c r="W1734" s="8">
        <f>V1734/AA1734</f>
        <v/>
      </c>
      <c r="X1734" s="27">
        <f>((3*10+H1734/COS(RADIANS(E1734)))*(3+3)+3*G1734*H1734)*2</f>
        <v/>
      </c>
      <c r="Y1734" s="28">
        <f>Z1734/X1734</f>
        <v/>
      </c>
      <c r="Z1734" s="29" t="n">
        <v>613.270256393204</v>
      </c>
      <c r="AA1734" s="20" t="n">
        <v>60.0593395903167</v>
      </c>
      <c r="AB1734" t="n">
        <v>0.04459711055944321</v>
      </c>
      <c r="AC1734" t="n">
        <v>56.56068294996437</v>
      </c>
      <c r="AD1734" t="n">
        <v>-0.9464412558262004</v>
      </c>
    </row>
    <row r="1735">
      <c r="A1735" t="n">
        <v>1734</v>
      </c>
      <c r="B1735" t="n">
        <v>87.3</v>
      </c>
      <c r="C1735" s="21">
        <f>B1735-20</f>
        <v/>
      </c>
      <c r="D1735" t="n">
        <v>129.5</v>
      </c>
      <c r="E1735" s="22">
        <f>D1735-90</f>
        <v/>
      </c>
      <c r="F1735" s="23" t="n">
        <v>0.018531</v>
      </c>
      <c r="G1735" s="22" t="n">
        <v>22.7</v>
      </c>
      <c r="H1735" s="22" t="n">
        <v>1.9</v>
      </c>
      <c r="I1735" s="24" t="n">
        <v>0.0842035636305809</v>
      </c>
      <c r="J1735" s="6" t="n">
        <v>71000</v>
      </c>
      <c r="K1735" s="25">
        <f>23*10^-6</f>
        <v/>
      </c>
      <c r="L1735" s="8">
        <f>H1735</f>
        <v/>
      </c>
      <c r="M1735" s="26">
        <f>H1735^2/6</f>
        <v/>
      </c>
      <c r="N1735" s="26">
        <f>H1735^3/12</f>
        <v/>
      </c>
      <c r="O1735" s="27">
        <f>-J1735*L1735*K1735*C1735</f>
        <v/>
      </c>
      <c r="P1735" s="28">
        <f>-(12*F1735*J1735*L1735*N1735+12*O1735*N1735*G1735*COS(RADIANS(E1735)))/(12*N1735*G1735*COS(RADIANS(E1735))^2+L1735*G1735^3*SIN(RADIANS(E1735))^2)</f>
        <v/>
      </c>
      <c r="Q1735" s="28">
        <f>-(6*F1735*J1735*L1735*N1735*SIN(RADIANS(E1735))+6*O1735*N1735*G1735*SIN(RADIANS(E1735))*COS(RADIANS(E1735)))/(12*N1735*COS(RADIANS(E1735))^2+L1735*G1735^2*SIN(RADIANS(E1735))^2)</f>
        <v/>
      </c>
      <c r="R1735" s="28">
        <f>-P1735*SIN(RADIANS(E1735))</f>
        <v/>
      </c>
      <c r="S1735" s="8">
        <f>(O1735+P1735*COS(RADIANS(E1735)))/L1735</f>
        <v/>
      </c>
      <c r="T1735" s="8">
        <f>R1735/L1735</f>
        <v/>
      </c>
      <c r="U1735" s="8">
        <f>(Q1735-P1735*G1735*SIN(RADIANS(E1735)))/M1735</f>
        <v/>
      </c>
      <c r="V1735" s="8">
        <f>SQRT((S1735+U1735)^2+3*T1735^2)</f>
        <v/>
      </c>
      <c r="W1735" s="8">
        <f>V1735/AA1735</f>
        <v/>
      </c>
      <c r="X1735" s="27">
        <f>((3*10+H1735/COS(RADIANS(E1735)))*(3+3)+3*G1735*H1735)*2</f>
        <v/>
      </c>
      <c r="Y1735" s="28">
        <f>Z1735/X1735</f>
        <v/>
      </c>
      <c r="Z1735" s="29" t="n">
        <v>656.73669782682</v>
      </c>
      <c r="AA1735" s="20" t="n">
        <v>110.177447350075</v>
      </c>
      <c r="AB1735" t="n">
        <v>0.07618828577032999</v>
      </c>
      <c r="AC1735" t="n">
        <v>99.20239476791868</v>
      </c>
      <c r="AD1735" t="n">
        <v>-9.518929502100002</v>
      </c>
    </row>
    <row r="1736">
      <c r="A1736" t="n">
        <v>1735</v>
      </c>
      <c r="B1736" t="n">
        <v>80.7</v>
      </c>
      <c r="C1736" s="21">
        <f>B1736-20</f>
        <v/>
      </c>
      <c r="D1736" t="n">
        <v>113.4</v>
      </c>
      <c r="E1736" s="22">
        <f>D1736-90</f>
        <v/>
      </c>
      <c r="F1736" s="23" t="n">
        <v>0.018535</v>
      </c>
      <c r="G1736" s="22" t="n">
        <v>22.7</v>
      </c>
      <c r="H1736" s="22" t="n">
        <v>2</v>
      </c>
      <c r="I1736" s="24" t="n">
        <v>0.100206367671489</v>
      </c>
      <c r="J1736" s="6" t="n">
        <v>71000</v>
      </c>
      <c r="K1736" s="25">
        <f>23*10^-6</f>
        <v/>
      </c>
      <c r="L1736" s="8">
        <f>H1736</f>
        <v/>
      </c>
      <c r="M1736" s="26">
        <f>H1736^2/6</f>
        <v/>
      </c>
      <c r="N1736" s="26">
        <f>H1736^3/12</f>
        <v/>
      </c>
      <c r="O1736" s="27">
        <f>-J1736*L1736*K1736*C1736</f>
        <v/>
      </c>
      <c r="P1736" s="28">
        <f>-(12*F1736*J1736*L1736*N1736+12*O1736*N1736*G1736*COS(RADIANS(E1736)))/(12*N1736*G1736*COS(RADIANS(E1736))^2+L1736*G1736^3*SIN(RADIANS(E1736))^2)</f>
        <v/>
      </c>
      <c r="Q1736" s="28">
        <f>-(6*F1736*J1736*L1736*N1736*SIN(RADIANS(E1736))+6*O1736*N1736*G1736*SIN(RADIANS(E1736))*COS(RADIANS(E1736)))/(12*N1736*COS(RADIANS(E1736))^2+L1736*G1736^2*SIN(RADIANS(E1736))^2)</f>
        <v/>
      </c>
      <c r="R1736" s="28">
        <f>-P1736*SIN(RADIANS(E1736))</f>
        <v/>
      </c>
      <c r="S1736" s="8">
        <f>(O1736+P1736*COS(RADIANS(E1736)))/L1736</f>
        <v/>
      </c>
      <c r="T1736" s="8">
        <f>R1736/L1736</f>
        <v/>
      </c>
      <c r="U1736" s="8">
        <f>(Q1736-P1736*G1736*SIN(RADIANS(E1736)))/M1736</f>
        <v/>
      </c>
      <c r="V1736" s="8">
        <f>SQRT((S1736+U1736)^2+3*T1736^2)</f>
        <v/>
      </c>
      <c r="W1736" s="8">
        <f>V1736/AA1736</f>
        <v/>
      </c>
      <c r="X1736" s="27">
        <f>((3*10+H1736/COS(RADIANS(E1736)))*(3+3)+3*G1736*H1736)*2</f>
        <v/>
      </c>
      <c r="Y1736" s="28">
        <f>Z1736/X1736</f>
        <v/>
      </c>
      <c r="Z1736" s="29" t="n">
        <v>664.254685295478</v>
      </c>
      <c r="AA1736" s="20" t="n">
        <v>105.99844456879</v>
      </c>
      <c r="AB1736" t="n">
        <v>0.1175016992111797</v>
      </c>
      <c r="AC1736" t="n">
        <v>97.64777589177665</v>
      </c>
      <c r="AD1736" t="n">
        <v>17.25971307171893</v>
      </c>
    </row>
    <row r="1737">
      <c r="A1737" t="n">
        <v>1736</v>
      </c>
      <c r="B1737" t="n">
        <v>79.40000000000001</v>
      </c>
      <c r="C1737" s="21">
        <f>B1737-20</f>
        <v/>
      </c>
      <c r="D1737" t="n">
        <v>111.1</v>
      </c>
      <c r="E1737" s="22">
        <f>D1737-90</f>
        <v/>
      </c>
      <c r="F1737" s="23" t="n">
        <v>0.021832</v>
      </c>
      <c r="G1737" s="22" t="n">
        <v>30.3</v>
      </c>
      <c r="H1737" s="22" t="n">
        <v>1.7</v>
      </c>
      <c r="I1737" s="24" t="n">
        <v>0.101627707481384</v>
      </c>
      <c r="J1737" s="6" t="n">
        <v>71000</v>
      </c>
      <c r="K1737" s="25">
        <f>23*10^-6</f>
        <v/>
      </c>
      <c r="L1737" s="8">
        <f>H1737</f>
        <v/>
      </c>
      <c r="M1737" s="26">
        <f>H1737^2/6</f>
        <v/>
      </c>
      <c r="N1737" s="26">
        <f>H1737^3/12</f>
        <v/>
      </c>
      <c r="O1737" s="27">
        <f>-J1737*L1737*K1737*C1737</f>
        <v/>
      </c>
      <c r="P1737" s="28">
        <f>-(12*F1737*J1737*L1737*N1737+12*O1737*N1737*G1737*COS(RADIANS(E1737)))/(12*N1737*G1737*COS(RADIANS(E1737))^2+L1737*G1737^3*SIN(RADIANS(E1737))^2)</f>
        <v/>
      </c>
      <c r="Q1737" s="28">
        <f>-(6*F1737*J1737*L1737*N1737*SIN(RADIANS(E1737))+6*O1737*N1737*G1737*SIN(RADIANS(E1737))*COS(RADIANS(E1737)))/(12*N1737*COS(RADIANS(E1737))^2+L1737*G1737^2*SIN(RADIANS(E1737))^2)</f>
        <v/>
      </c>
      <c r="R1737" s="28">
        <f>-P1737*SIN(RADIANS(E1737))</f>
        <v/>
      </c>
      <c r="S1737" s="8">
        <f>(O1737+P1737*COS(RADIANS(E1737)))/L1737</f>
        <v/>
      </c>
      <c r="T1737" s="8">
        <f>R1737/L1737</f>
        <v/>
      </c>
      <c r="U1737" s="8">
        <f>(Q1737-P1737*G1737*SIN(RADIANS(E1737)))/M1737</f>
        <v/>
      </c>
      <c r="V1737" s="8">
        <f>SQRT((S1737+U1737)^2+3*T1737^2)</f>
        <v/>
      </c>
      <c r="W1737" s="8">
        <f>V1737/AA1737</f>
        <v/>
      </c>
      <c r="X1737" s="27">
        <f>((3*10+H1737/COS(RADIANS(E1737)))*(3+3)+3*G1737*H1737)*2</f>
        <v/>
      </c>
      <c r="Y1737" s="28">
        <f>Z1737/X1737</f>
        <v/>
      </c>
      <c r="Z1737" s="29" t="n">
        <v>699.76233328968</v>
      </c>
      <c r="AA1737" s="20" t="n">
        <v>91.5472184914159</v>
      </c>
      <c r="AB1737" t="n">
        <v>0.171316155365359</v>
      </c>
      <c r="AC1737" t="n">
        <v>92.72615066357993</v>
      </c>
      <c r="AD1737" t="n">
        <v>68.57229156403079</v>
      </c>
    </row>
    <row r="1738">
      <c r="A1738" t="n">
        <v>1737</v>
      </c>
      <c r="B1738" t="n">
        <v>66.8</v>
      </c>
      <c r="C1738" s="21">
        <f>B1738-20</f>
        <v/>
      </c>
      <c r="D1738" t="n">
        <v>117.1</v>
      </c>
      <c r="E1738" s="22">
        <f>D1738-90</f>
        <v/>
      </c>
      <c r="F1738" s="23" t="n">
        <v>0.016144</v>
      </c>
      <c r="G1738" s="22" t="n">
        <v>27.3</v>
      </c>
      <c r="H1738" s="22" t="n">
        <v>1.4</v>
      </c>
      <c r="I1738" s="24" t="n">
        <v>0.07962567359209061</v>
      </c>
      <c r="J1738" s="6" t="n">
        <v>71000</v>
      </c>
      <c r="K1738" s="25">
        <f>23*10^-6</f>
        <v/>
      </c>
      <c r="L1738" s="8">
        <f>H1738</f>
        <v/>
      </c>
      <c r="M1738" s="26">
        <f>H1738^2/6</f>
        <v/>
      </c>
      <c r="N1738" s="26">
        <f>H1738^3/12</f>
        <v/>
      </c>
      <c r="O1738" s="27">
        <f>-J1738*L1738*K1738*C1738</f>
        <v/>
      </c>
      <c r="P1738" s="28">
        <f>-(12*F1738*J1738*L1738*N1738+12*O1738*N1738*G1738*COS(RADIANS(E1738)))/(12*N1738*G1738*COS(RADIANS(E1738))^2+L1738*G1738^3*SIN(RADIANS(E1738))^2)</f>
        <v/>
      </c>
      <c r="Q1738" s="28">
        <f>-(6*F1738*J1738*L1738*N1738*SIN(RADIANS(E1738))+6*O1738*N1738*G1738*SIN(RADIANS(E1738))*COS(RADIANS(E1738)))/(12*N1738*COS(RADIANS(E1738))^2+L1738*G1738^2*SIN(RADIANS(E1738))^2)</f>
        <v/>
      </c>
      <c r="R1738" s="28">
        <f>-P1738*SIN(RADIANS(E1738))</f>
        <v/>
      </c>
      <c r="S1738" s="8">
        <f>(O1738+P1738*COS(RADIANS(E1738)))/L1738</f>
        <v/>
      </c>
      <c r="T1738" s="8">
        <f>R1738/L1738</f>
        <v/>
      </c>
      <c r="U1738" s="8">
        <f>(Q1738-P1738*G1738*SIN(RADIANS(E1738)))/M1738</f>
        <v/>
      </c>
      <c r="V1738" s="8">
        <f>SQRT((S1738+U1738)^2+3*T1738^2)</f>
        <v/>
      </c>
      <c r="W1738" s="8">
        <f>V1738/AA1738</f>
        <v/>
      </c>
      <c r="X1738" s="27">
        <f>((3*10+H1738/COS(RADIANS(E1738)))*(3+3)+3*G1738*H1738)*2</f>
        <v/>
      </c>
      <c r="Y1738" s="28">
        <f>Z1738/X1738</f>
        <v/>
      </c>
      <c r="Z1738" s="29" t="n">
        <v>614.667661322766</v>
      </c>
      <c r="AA1738" s="20" t="n">
        <v>69.0797509473726</v>
      </c>
      <c r="AB1738" t="n">
        <v>0.09506235698277496</v>
      </c>
      <c r="AC1738" t="n">
        <v>69.76640264157798</v>
      </c>
      <c r="AD1738" t="n">
        <v>19.38656553131842</v>
      </c>
    </row>
    <row r="1739">
      <c r="A1739" t="n">
        <v>1738</v>
      </c>
      <c r="B1739" t="n">
        <v>81.8</v>
      </c>
      <c r="C1739" s="21">
        <f>B1739-20</f>
        <v/>
      </c>
      <c r="D1739" t="n">
        <v>100.3</v>
      </c>
      <c r="E1739" s="22">
        <f>D1739-90</f>
        <v/>
      </c>
      <c r="F1739" s="23" t="n">
        <v>0.0243</v>
      </c>
      <c r="G1739" s="22" t="n">
        <v>32.8</v>
      </c>
      <c r="H1739" s="22" t="n">
        <v>1.8</v>
      </c>
      <c r="I1739" s="24" t="n">
        <v>0.112361378967762</v>
      </c>
      <c r="J1739" s="6" t="n">
        <v>71000</v>
      </c>
      <c r="K1739" s="25">
        <f>23*10^-6</f>
        <v/>
      </c>
      <c r="L1739" s="8">
        <f>H1739</f>
        <v/>
      </c>
      <c r="M1739" s="26">
        <f>H1739^2/6</f>
        <v/>
      </c>
      <c r="N1739" s="26">
        <f>H1739^3/12</f>
        <v/>
      </c>
      <c r="O1739" s="27">
        <f>-J1739*L1739*K1739*C1739</f>
        <v/>
      </c>
      <c r="P1739" s="28">
        <f>-(12*F1739*J1739*L1739*N1739+12*O1739*N1739*G1739*COS(RADIANS(E1739)))/(12*N1739*G1739*COS(RADIANS(E1739))^2+L1739*G1739^3*SIN(RADIANS(E1739))^2)</f>
        <v/>
      </c>
      <c r="Q1739" s="28">
        <f>-(6*F1739*J1739*L1739*N1739*SIN(RADIANS(E1739))+6*O1739*N1739*G1739*SIN(RADIANS(E1739))*COS(RADIANS(E1739)))/(12*N1739*COS(RADIANS(E1739))^2+L1739*G1739^2*SIN(RADIANS(E1739))^2)</f>
        <v/>
      </c>
      <c r="R1739" s="28">
        <f>-P1739*SIN(RADIANS(E1739))</f>
        <v/>
      </c>
      <c r="S1739" s="8">
        <f>(O1739+P1739*COS(RADIANS(E1739)))/L1739</f>
        <v/>
      </c>
      <c r="T1739" s="8">
        <f>R1739/L1739</f>
        <v/>
      </c>
      <c r="U1739" s="8">
        <f>(Q1739-P1739*G1739*SIN(RADIANS(E1739)))/M1739</f>
        <v/>
      </c>
      <c r="V1739" s="8">
        <f>SQRT((S1739+U1739)^2+3*T1739^2)</f>
        <v/>
      </c>
      <c r="W1739" s="8">
        <f>V1739/AA1739</f>
        <v/>
      </c>
      <c r="X1739" s="27">
        <f>((3*10+H1739/COS(RADIANS(E1739)))*(3+3)+3*G1739*H1739)*2</f>
        <v/>
      </c>
      <c r="Y1739" s="28">
        <f>Z1739/X1739</f>
        <v/>
      </c>
      <c r="Z1739" s="29" t="n">
        <v>746.1699978019921</v>
      </c>
      <c r="AA1739" s="20" t="n">
        <v>96.2625711337496</v>
      </c>
      <c r="AB1739" t="n">
        <v>0.3745151830225675</v>
      </c>
      <c r="AC1739" t="n">
        <v>108.5545586326575</v>
      </c>
      <c r="AD1739" t="n">
        <v>233.3130889484909</v>
      </c>
    </row>
    <row r="1740">
      <c r="A1740" t="n">
        <v>1739</v>
      </c>
      <c r="B1740" t="n">
        <v>85.5</v>
      </c>
      <c r="C1740" s="21">
        <f>B1740-20</f>
        <v/>
      </c>
      <c r="D1740" t="n">
        <v>110.2</v>
      </c>
      <c r="E1740" s="22">
        <f>D1740-90</f>
        <v/>
      </c>
      <c r="F1740" s="23" t="n">
        <v>0.020828</v>
      </c>
      <c r="G1740" s="22" t="n">
        <v>27.2</v>
      </c>
      <c r="H1740" s="22" t="n">
        <v>1.8</v>
      </c>
      <c r="I1740" s="24" t="n">
        <v>0.09238306432962411</v>
      </c>
      <c r="J1740" s="6" t="n">
        <v>71000</v>
      </c>
      <c r="K1740" s="25">
        <f>23*10^-6</f>
        <v/>
      </c>
      <c r="L1740" s="8">
        <f>H1740</f>
        <v/>
      </c>
      <c r="M1740" s="26">
        <f>H1740^2/6</f>
        <v/>
      </c>
      <c r="N1740" s="26">
        <f>H1740^3/12</f>
        <v/>
      </c>
      <c r="O1740" s="27">
        <f>-J1740*L1740*K1740*C1740</f>
        <v/>
      </c>
      <c r="P1740" s="28">
        <f>-(12*F1740*J1740*L1740*N1740+12*O1740*N1740*G1740*COS(RADIANS(E1740)))/(12*N1740*G1740*COS(RADIANS(E1740))^2+L1740*G1740^3*SIN(RADIANS(E1740))^2)</f>
        <v/>
      </c>
      <c r="Q1740" s="28">
        <f>-(6*F1740*J1740*L1740*N1740*SIN(RADIANS(E1740))+6*O1740*N1740*G1740*SIN(RADIANS(E1740))*COS(RADIANS(E1740)))/(12*N1740*COS(RADIANS(E1740))^2+L1740*G1740^2*SIN(RADIANS(E1740))^2)</f>
        <v/>
      </c>
      <c r="R1740" s="28">
        <f>-P1740*SIN(RADIANS(E1740))</f>
        <v/>
      </c>
      <c r="S1740" s="8">
        <f>(O1740+P1740*COS(RADIANS(E1740)))/L1740</f>
        <v/>
      </c>
      <c r="T1740" s="8">
        <f>R1740/L1740</f>
        <v/>
      </c>
      <c r="U1740" s="8">
        <f>(Q1740-P1740*G1740*SIN(RADIANS(E1740)))/M1740</f>
        <v/>
      </c>
      <c r="V1740" s="8">
        <f>SQRT((S1740+U1740)^2+3*T1740^2)</f>
        <v/>
      </c>
      <c r="W1740" s="8">
        <f>V1740/AA1740</f>
        <v/>
      </c>
      <c r="X1740" s="27">
        <f>((3*10+H1740/COS(RADIANS(E1740)))*(3+3)+3*G1740*H1740)*2</f>
        <v/>
      </c>
      <c r="Y1740" s="28">
        <f>Z1740/X1740</f>
        <v/>
      </c>
      <c r="Z1740" s="29" t="n">
        <v>689.8470663357029</v>
      </c>
      <c r="AA1740" s="20" t="n">
        <v>102.237045892134</v>
      </c>
      <c r="AB1740" t="n">
        <v>0.1766587224136885</v>
      </c>
      <c r="AC1740" t="n">
        <v>104.7415059727588</v>
      </c>
      <c r="AD1740" t="n">
        <v>91.22414232046644</v>
      </c>
    </row>
    <row r="1741">
      <c r="A1741" t="n">
        <v>1740</v>
      </c>
      <c r="B1741" t="n">
        <v>88.5</v>
      </c>
      <c r="C1741" s="21">
        <f>B1741-20</f>
        <v/>
      </c>
      <c r="D1741" t="n">
        <v>119.4</v>
      </c>
      <c r="E1741" s="22">
        <f>D1741-90</f>
        <v/>
      </c>
      <c r="F1741" s="23" t="n">
        <v>0.018484</v>
      </c>
      <c r="G1741" s="22" t="n">
        <v>22.9</v>
      </c>
      <c r="H1741" s="22" t="n">
        <v>2</v>
      </c>
      <c r="I1741" s="24" t="n">
        <v>0.08284760266542431</v>
      </c>
      <c r="J1741" s="6" t="n">
        <v>71000</v>
      </c>
      <c r="K1741" s="25">
        <f>23*10^-6</f>
        <v/>
      </c>
      <c r="L1741" s="8">
        <f>H1741</f>
        <v/>
      </c>
      <c r="M1741" s="26">
        <f>H1741^2/6</f>
        <v/>
      </c>
      <c r="N1741" s="26">
        <f>H1741^3/12</f>
        <v/>
      </c>
      <c r="O1741" s="27">
        <f>-J1741*L1741*K1741*C1741</f>
        <v/>
      </c>
      <c r="P1741" s="28">
        <f>-(12*F1741*J1741*L1741*N1741+12*O1741*N1741*G1741*COS(RADIANS(E1741)))/(12*N1741*G1741*COS(RADIANS(E1741))^2+L1741*G1741^3*SIN(RADIANS(E1741))^2)</f>
        <v/>
      </c>
      <c r="Q1741" s="28">
        <f>-(6*F1741*J1741*L1741*N1741*SIN(RADIANS(E1741))+6*O1741*N1741*G1741*SIN(RADIANS(E1741))*COS(RADIANS(E1741)))/(12*N1741*COS(RADIANS(E1741))^2+L1741*G1741^2*SIN(RADIANS(E1741))^2)</f>
        <v/>
      </c>
      <c r="R1741" s="28">
        <f>-P1741*SIN(RADIANS(E1741))</f>
        <v/>
      </c>
      <c r="S1741" s="8">
        <f>(O1741+P1741*COS(RADIANS(E1741)))/L1741</f>
        <v/>
      </c>
      <c r="T1741" s="8">
        <f>R1741/L1741</f>
        <v/>
      </c>
      <c r="U1741" s="8">
        <f>(Q1741-P1741*G1741*SIN(RADIANS(E1741)))/M1741</f>
        <v/>
      </c>
      <c r="V1741" s="8">
        <f>SQRT((S1741+U1741)^2+3*T1741^2)</f>
        <v/>
      </c>
      <c r="W1741" s="8">
        <f>V1741/AA1741</f>
        <v/>
      </c>
      <c r="X1741" s="27">
        <f>((3*10+H1741/COS(RADIANS(E1741)))*(3+3)+3*G1741*H1741)*2</f>
        <v/>
      </c>
      <c r="Y1741" s="28">
        <f>Z1741/X1741</f>
        <v/>
      </c>
      <c r="Z1741" s="29" t="n">
        <v>676.4400456058989</v>
      </c>
      <c r="AA1741" s="20" t="n">
        <v>113.512517390545</v>
      </c>
      <c r="AB1741" t="n">
        <v>0.1066236432438644</v>
      </c>
      <c r="AC1741" t="n">
        <v>106.0823885710467</v>
      </c>
      <c r="AD1741" t="n">
        <v>28.69852574305423</v>
      </c>
    </row>
    <row r="1742">
      <c r="A1742" t="n">
        <v>1741</v>
      </c>
      <c r="B1742" t="n">
        <v>77.09999999999999</v>
      </c>
      <c r="C1742" s="21">
        <f>B1742-20</f>
        <v/>
      </c>
      <c r="D1742" t="n">
        <v>125.7</v>
      </c>
      <c r="E1742" s="22">
        <f>D1742-90</f>
        <v/>
      </c>
      <c r="F1742" s="23" t="n">
        <v>0.017945</v>
      </c>
      <c r="G1742" s="22" t="n">
        <v>23.5</v>
      </c>
      <c r="H1742" s="22" t="n">
        <v>1.7</v>
      </c>
      <c r="I1742" s="24" t="n">
        <v>0.0977225378155708</v>
      </c>
      <c r="J1742" s="6" t="n">
        <v>71000</v>
      </c>
      <c r="K1742" s="25">
        <f>23*10^-6</f>
        <v/>
      </c>
      <c r="L1742" s="8">
        <f>H1742</f>
        <v/>
      </c>
      <c r="M1742" s="26">
        <f>H1742^2/6</f>
        <v/>
      </c>
      <c r="N1742" s="26">
        <f>H1742^3/12</f>
        <v/>
      </c>
      <c r="O1742" s="27">
        <f>-J1742*L1742*K1742*C1742</f>
        <v/>
      </c>
      <c r="P1742" s="28">
        <f>-(12*F1742*J1742*L1742*N1742+12*O1742*N1742*G1742*COS(RADIANS(E1742)))/(12*N1742*G1742*COS(RADIANS(E1742))^2+L1742*G1742^3*SIN(RADIANS(E1742))^2)</f>
        <v/>
      </c>
      <c r="Q1742" s="28">
        <f>-(6*F1742*J1742*L1742*N1742*SIN(RADIANS(E1742))+6*O1742*N1742*G1742*SIN(RADIANS(E1742))*COS(RADIANS(E1742)))/(12*N1742*COS(RADIANS(E1742))^2+L1742*G1742^2*SIN(RADIANS(E1742))^2)</f>
        <v/>
      </c>
      <c r="R1742" s="28">
        <f>-P1742*SIN(RADIANS(E1742))</f>
        <v/>
      </c>
      <c r="S1742" s="8">
        <f>(O1742+P1742*COS(RADIANS(E1742)))/L1742</f>
        <v/>
      </c>
      <c r="T1742" s="8">
        <f>R1742/L1742</f>
        <v/>
      </c>
      <c r="U1742" s="8">
        <f>(Q1742-P1742*G1742*SIN(RADIANS(E1742)))/M1742</f>
        <v/>
      </c>
      <c r="V1742" s="8">
        <f>SQRT((S1742+U1742)^2+3*T1742^2)</f>
        <v/>
      </c>
      <c r="W1742" s="8">
        <f>V1742/AA1742</f>
        <v/>
      </c>
      <c r="X1742" s="27">
        <f>((3*10+H1742/COS(RADIANS(E1742)))*(3+3)+3*G1742*H1742)*2</f>
        <v/>
      </c>
      <c r="Y1742" s="28">
        <f>Z1742/X1742</f>
        <v/>
      </c>
      <c r="Z1742" s="29" t="n">
        <v>627.512573776043</v>
      </c>
      <c r="AA1742" s="20" t="n">
        <v>92.7773682338358</v>
      </c>
      <c r="AB1742" t="n">
        <v>0.07473506611785793</v>
      </c>
      <c r="AC1742" t="n">
        <v>84.41611031938641</v>
      </c>
      <c r="AD1742" t="n">
        <v>-23.52320376809751</v>
      </c>
    </row>
    <row r="1743">
      <c r="A1743" t="n">
        <v>1742</v>
      </c>
      <c r="B1743" t="n">
        <v>78</v>
      </c>
      <c r="C1743" s="21">
        <f>B1743-20</f>
        <v/>
      </c>
      <c r="D1743" t="n">
        <v>118.3</v>
      </c>
      <c r="E1743" s="22">
        <f>D1743-90</f>
        <v/>
      </c>
      <c r="F1743" s="23" t="n">
        <v>0.018464</v>
      </c>
      <c r="G1743" s="22" t="n">
        <v>23.5</v>
      </c>
      <c r="H1743" s="22" t="n">
        <v>1.5</v>
      </c>
      <c r="I1743" s="24" t="n">
        <v>0.106980204582214</v>
      </c>
      <c r="J1743" s="6" t="n">
        <v>71000</v>
      </c>
      <c r="K1743" s="25">
        <f>23*10^-6</f>
        <v/>
      </c>
      <c r="L1743" s="8">
        <f>H1743</f>
        <v/>
      </c>
      <c r="M1743" s="26">
        <f>H1743^2/6</f>
        <v/>
      </c>
      <c r="N1743" s="26">
        <f>H1743^3/12</f>
        <v/>
      </c>
      <c r="O1743" s="27">
        <f>-J1743*L1743*K1743*C1743</f>
        <v/>
      </c>
      <c r="P1743" s="28">
        <f>-(12*F1743*J1743*L1743*N1743+12*O1743*N1743*G1743*COS(RADIANS(E1743)))/(12*N1743*G1743*COS(RADIANS(E1743))^2+L1743*G1743^3*SIN(RADIANS(E1743))^2)</f>
        <v/>
      </c>
      <c r="Q1743" s="28">
        <f>-(6*F1743*J1743*L1743*N1743*SIN(RADIANS(E1743))+6*O1743*N1743*G1743*SIN(RADIANS(E1743))*COS(RADIANS(E1743)))/(12*N1743*COS(RADIANS(E1743))^2+L1743*G1743^2*SIN(RADIANS(E1743))^2)</f>
        <v/>
      </c>
      <c r="R1743" s="28">
        <f>-P1743*SIN(RADIANS(E1743))</f>
        <v/>
      </c>
      <c r="S1743" s="8">
        <f>(O1743+P1743*COS(RADIANS(E1743)))/L1743</f>
        <v/>
      </c>
      <c r="T1743" s="8">
        <f>R1743/L1743</f>
        <v/>
      </c>
      <c r="U1743" s="8">
        <f>(Q1743-P1743*G1743*SIN(RADIANS(E1743)))/M1743</f>
        <v/>
      </c>
      <c r="V1743" s="8">
        <f>SQRT((S1743+U1743)^2+3*T1743^2)</f>
        <v/>
      </c>
      <c r="W1743" s="8">
        <f>V1743/AA1743</f>
        <v/>
      </c>
      <c r="X1743" s="27">
        <f>((3*10+H1743/COS(RADIANS(E1743)))*(3+3)+3*G1743*H1743)*2</f>
        <v/>
      </c>
      <c r="Y1743" s="28">
        <f>Z1743/X1743</f>
        <v/>
      </c>
      <c r="Z1743" s="29" t="n">
        <v>595.9519485539749</v>
      </c>
      <c r="AA1743" s="20" t="n">
        <v>90.49567437417259</v>
      </c>
      <c r="AB1743" t="n">
        <v>0.09739887931278172</v>
      </c>
      <c r="AC1743" t="n">
        <v>87.36469620240827</v>
      </c>
      <c r="AD1743" t="n">
        <v>-8.956166523376806</v>
      </c>
    </row>
    <row r="1744">
      <c r="A1744" t="n">
        <v>1743</v>
      </c>
      <c r="B1744" t="n">
        <v>70.5</v>
      </c>
      <c r="C1744" s="21">
        <f>B1744-20</f>
        <v/>
      </c>
      <c r="D1744" t="n">
        <v>125.7</v>
      </c>
      <c r="E1744" s="22">
        <f>D1744-90</f>
        <v/>
      </c>
      <c r="F1744" s="23" t="n">
        <v>0.019034</v>
      </c>
      <c r="G1744" s="22" t="n">
        <v>30.4</v>
      </c>
      <c r="H1744" s="22" t="n">
        <v>1.6</v>
      </c>
      <c r="I1744" s="24" t="n">
        <v>0.09278030693531029</v>
      </c>
      <c r="J1744" s="6" t="n">
        <v>71000</v>
      </c>
      <c r="K1744" s="25">
        <f>23*10^-6</f>
        <v/>
      </c>
      <c r="L1744" s="8">
        <f>H1744</f>
        <v/>
      </c>
      <c r="M1744" s="26">
        <f>H1744^2/6</f>
        <v/>
      </c>
      <c r="N1744" s="26">
        <f>H1744^3/12</f>
        <v/>
      </c>
      <c r="O1744" s="27">
        <f>-J1744*L1744*K1744*C1744</f>
        <v/>
      </c>
      <c r="P1744" s="28">
        <f>-(12*F1744*J1744*L1744*N1744+12*O1744*N1744*G1744*COS(RADIANS(E1744)))/(12*N1744*G1744*COS(RADIANS(E1744))^2+L1744*G1744^3*SIN(RADIANS(E1744))^2)</f>
        <v/>
      </c>
      <c r="Q1744" s="28">
        <f>-(6*F1744*J1744*L1744*N1744*SIN(RADIANS(E1744))+6*O1744*N1744*G1744*SIN(RADIANS(E1744))*COS(RADIANS(E1744)))/(12*N1744*COS(RADIANS(E1744))^2+L1744*G1744^2*SIN(RADIANS(E1744))^2)</f>
        <v/>
      </c>
      <c r="R1744" s="28">
        <f>-P1744*SIN(RADIANS(E1744))</f>
        <v/>
      </c>
      <c r="S1744" s="8">
        <f>(O1744+P1744*COS(RADIANS(E1744)))/L1744</f>
        <v/>
      </c>
      <c r="T1744" s="8">
        <f>R1744/L1744</f>
        <v/>
      </c>
      <c r="U1744" s="8">
        <f>(Q1744-P1744*G1744*SIN(RADIANS(E1744)))/M1744</f>
        <v/>
      </c>
      <c r="V1744" s="8">
        <f>SQRT((S1744+U1744)^2+3*T1744^2)</f>
        <v/>
      </c>
      <c r="W1744" s="8">
        <f>V1744/AA1744</f>
        <v/>
      </c>
      <c r="X1744" s="27">
        <f>((3*10+H1744/COS(RADIANS(E1744)))*(3+3)+3*G1744*H1744)*2</f>
        <v/>
      </c>
      <c r="Y1744" s="28">
        <f>Z1744/X1744</f>
        <v/>
      </c>
      <c r="Z1744" s="29" t="n">
        <v>679.801351943924</v>
      </c>
      <c r="AA1744" s="20" t="n">
        <v>76.23593253148741</v>
      </c>
      <c r="AB1744" t="n">
        <v>0.08457317551860156</v>
      </c>
      <c r="AC1744" t="n">
        <v>73.37975211858543</v>
      </c>
      <c r="AD1744" t="n">
        <v>-8.845768771201664</v>
      </c>
    </row>
    <row r="1745">
      <c r="A1745" t="n">
        <v>1744</v>
      </c>
      <c r="B1745" t="n">
        <v>45.9</v>
      </c>
      <c r="C1745" s="21">
        <f>B1745-20</f>
        <v/>
      </c>
      <c r="D1745" t="n">
        <v>102.4</v>
      </c>
      <c r="E1745" s="22">
        <f>D1745-90</f>
        <v/>
      </c>
      <c r="F1745" s="23" t="n">
        <v>0.00825</v>
      </c>
      <c r="G1745" s="22" t="n">
        <v>22.3</v>
      </c>
      <c r="H1745" s="22" t="n">
        <v>1.6</v>
      </c>
      <c r="I1745" s="24" t="n">
        <v>0.0743718296289444</v>
      </c>
      <c r="J1745" s="6" t="n">
        <v>71000</v>
      </c>
      <c r="K1745" s="25">
        <f>23*10^-6</f>
        <v/>
      </c>
      <c r="L1745" s="8">
        <f>H1745</f>
        <v/>
      </c>
      <c r="M1745" s="26">
        <f>H1745^2/6</f>
        <v/>
      </c>
      <c r="N1745" s="26">
        <f>H1745^3/12</f>
        <v/>
      </c>
      <c r="O1745" s="27">
        <f>-J1745*L1745*K1745*C1745</f>
        <v/>
      </c>
      <c r="P1745" s="28">
        <f>-(12*F1745*J1745*L1745*N1745+12*O1745*N1745*G1745*COS(RADIANS(E1745)))/(12*N1745*G1745*COS(RADIANS(E1745))^2+L1745*G1745^3*SIN(RADIANS(E1745))^2)</f>
        <v/>
      </c>
      <c r="Q1745" s="28">
        <f>-(6*F1745*J1745*L1745*N1745*SIN(RADIANS(E1745))+6*O1745*N1745*G1745*SIN(RADIANS(E1745))*COS(RADIANS(E1745)))/(12*N1745*COS(RADIANS(E1745))^2+L1745*G1745^2*SIN(RADIANS(E1745))^2)</f>
        <v/>
      </c>
      <c r="R1745" s="28">
        <f>-P1745*SIN(RADIANS(E1745))</f>
        <v/>
      </c>
      <c r="S1745" s="8">
        <f>(O1745+P1745*COS(RADIANS(E1745)))/L1745</f>
        <v/>
      </c>
      <c r="T1745" s="8">
        <f>R1745/L1745</f>
        <v/>
      </c>
      <c r="U1745" s="8">
        <f>(Q1745-P1745*G1745*SIN(RADIANS(E1745)))/M1745</f>
        <v/>
      </c>
      <c r="V1745" s="8">
        <f>SQRT((S1745+U1745)^2+3*T1745^2)</f>
        <v/>
      </c>
      <c r="W1745" s="8">
        <f>V1745/AA1745</f>
        <v/>
      </c>
      <c r="X1745" s="27">
        <f>((3*10+H1745/COS(RADIANS(E1745)))*(3+3)+3*G1745*H1745)*2</f>
        <v/>
      </c>
      <c r="Y1745" s="28">
        <f>Z1745/X1745</f>
        <v/>
      </c>
      <c r="Z1745" s="29" t="n">
        <v>597.421198191375</v>
      </c>
      <c r="AA1745" s="20" t="n">
        <v>56.9117229968289</v>
      </c>
      <c r="AB1745" t="n">
        <v>0.08945080695118764</v>
      </c>
      <c r="AC1745" t="n">
        <v>44.87831042886961</v>
      </c>
      <c r="AD1745" t="n">
        <v>20.27511948741238</v>
      </c>
    </row>
    <row r="1746">
      <c r="A1746" t="n">
        <v>1745</v>
      </c>
      <c r="B1746" t="n">
        <v>64.59999999999999</v>
      </c>
      <c r="C1746" s="21">
        <f>B1746-20</f>
        <v/>
      </c>
      <c r="D1746" t="n">
        <v>124.2</v>
      </c>
      <c r="E1746" s="22">
        <f>D1746-90</f>
        <v/>
      </c>
      <c r="F1746" s="23" t="n">
        <v>0.015171</v>
      </c>
      <c r="G1746" s="22" t="n">
        <v>25.4</v>
      </c>
      <c r="H1746" s="22" t="n">
        <v>1.1</v>
      </c>
      <c r="I1746" s="24" t="n">
        <v>0.0899365469813346</v>
      </c>
      <c r="J1746" s="6" t="n">
        <v>71000</v>
      </c>
      <c r="K1746" s="25">
        <f>23*10^-6</f>
        <v/>
      </c>
      <c r="L1746" s="8">
        <f>H1746</f>
        <v/>
      </c>
      <c r="M1746" s="26">
        <f>H1746^2/6</f>
        <v/>
      </c>
      <c r="N1746" s="26">
        <f>H1746^3/12</f>
        <v/>
      </c>
      <c r="O1746" s="27">
        <f>-J1746*L1746*K1746*C1746</f>
        <v/>
      </c>
      <c r="P1746" s="28">
        <f>-(12*F1746*J1746*L1746*N1746+12*O1746*N1746*G1746*COS(RADIANS(E1746)))/(12*N1746*G1746*COS(RADIANS(E1746))^2+L1746*G1746^3*SIN(RADIANS(E1746))^2)</f>
        <v/>
      </c>
      <c r="Q1746" s="28">
        <f>-(6*F1746*J1746*L1746*N1746*SIN(RADIANS(E1746))+6*O1746*N1746*G1746*SIN(RADIANS(E1746))*COS(RADIANS(E1746)))/(12*N1746*COS(RADIANS(E1746))^2+L1746*G1746^2*SIN(RADIANS(E1746))^2)</f>
        <v/>
      </c>
      <c r="R1746" s="28">
        <f>-P1746*SIN(RADIANS(E1746))</f>
        <v/>
      </c>
      <c r="S1746" s="8">
        <f>(O1746+P1746*COS(RADIANS(E1746)))/L1746</f>
        <v/>
      </c>
      <c r="T1746" s="8">
        <f>R1746/L1746</f>
        <v/>
      </c>
      <c r="U1746" s="8">
        <f>(Q1746-P1746*G1746*SIN(RADIANS(E1746)))/M1746</f>
        <v/>
      </c>
      <c r="V1746" s="8">
        <f>SQRT((S1746+U1746)^2+3*T1746^2)</f>
        <v/>
      </c>
      <c r="W1746" s="8">
        <f>V1746/AA1746</f>
        <v/>
      </c>
      <c r="X1746" s="27">
        <f>((3*10+H1746/COS(RADIANS(E1746)))*(3+3)+3*G1746*H1746)*2</f>
        <v/>
      </c>
      <c r="Y1746" s="28">
        <f>Z1746/X1746</f>
        <v/>
      </c>
      <c r="Z1746" s="29" t="n">
        <v>546.711643838445</v>
      </c>
      <c r="AA1746" s="20" t="n">
        <v>63.6771618300309</v>
      </c>
      <c r="AB1746" t="n">
        <v>0.06625379475411408</v>
      </c>
      <c r="AC1746" t="n">
        <v>63.95315712554709</v>
      </c>
      <c r="AD1746" t="n">
        <v>-26.33273460246993</v>
      </c>
    </row>
    <row r="1747">
      <c r="A1747" t="n">
        <v>1746</v>
      </c>
      <c r="B1747" t="n">
        <v>60.7</v>
      </c>
      <c r="C1747" s="21">
        <f>B1747-20</f>
        <v/>
      </c>
      <c r="D1747" t="n">
        <v>127.6</v>
      </c>
      <c r="E1747" s="22">
        <f>D1747-90</f>
        <v/>
      </c>
      <c r="F1747" s="23" t="n">
        <v>0.014951</v>
      </c>
      <c r="G1747" s="22" t="n">
        <v>30.1</v>
      </c>
      <c r="H1747" s="22" t="n">
        <v>1.4</v>
      </c>
      <c r="I1747" s="24" t="n">
        <v>0.0702395215630531</v>
      </c>
      <c r="J1747" s="6" t="n">
        <v>71000</v>
      </c>
      <c r="K1747" s="25">
        <f>23*10^-6</f>
        <v/>
      </c>
      <c r="L1747" s="8">
        <f>H1747</f>
        <v/>
      </c>
      <c r="M1747" s="26">
        <f>H1747^2/6</f>
        <v/>
      </c>
      <c r="N1747" s="26">
        <f>H1747^3/12</f>
        <v/>
      </c>
      <c r="O1747" s="27">
        <f>-J1747*L1747*K1747*C1747</f>
        <v/>
      </c>
      <c r="P1747" s="28">
        <f>-(12*F1747*J1747*L1747*N1747+12*O1747*N1747*G1747*COS(RADIANS(E1747)))/(12*N1747*G1747*COS(RADIANS(E1747))^2+L1747*G1747^3*SIN(RADIANS(E1747))^2)</f>
        <v/>
      </c>
      <c r="Q1747" s="28">
        <f>-(6*F1747*J1747*L1747*N1747*SIN(RADIANS(E1747))+6*O1747*N1747*G1747*SIN(RADIANS(E1747))*COS(RADIANS(E1747)))/(12*N1747*COS(RADIANS(E1747))^2+L1747*G1747^2*SIN(RADIANS(E1747))^2)</f>
        <v/>
      </c>
      <c r="R1747" s="28">
        <f>-P1747*SIN(RADIANS(E1747))</f>
        <v/>
      </c>
      <c r="S1747" s="8">
        <f>(O1747+P1747*COS(RADIANS(E1747)))/L1747</f>
        <v/>
      </c>
      <c r="T1747" s="8">
        <f>R1747/L1747</f>
        <v/>
      </c>
      <c r="U1747" s="8">
        <f>(Q1747-P1747*G1747*SIN(RADIANS(E1747)))/M1747</f>
        <v/>
      </c>
      <c r="V1747" s="8">
        <f>SQRT((S1747+U1747)^2+3*T1747^2)</f>
        <v/>
      </c>
      <c r="W1747" s="8">
        <f>V1747/AA1747</f>
        <v/>
      </c>
      <c r="X1747" s="27">
        <f>((3*10+H1747/COS(RADIANS(E1747)))*(3+3)+3*G1747*H1747)*2</f>
        <v/>
      </c>
      <c r="Y1747" s="28">
        <f>Z1747/X1747</f>
        <v/>
      </c>
      <c r="Z1747" s="29" t="n">
        <v>639.104842893998</v>
      </c>
      <c r="AA1747" s="20" t="n">
        <v>59.4811808176454</v>
      </c>
      <c r="AB1747" t="n">
        <v>0.06389129315848947</v>
      </c>
      <c r="AC1747" t="n">
        <v>58.33628731890676</v>
      </c>
      <c r="AD1747" t="n">
        <v>-9.037972160537723</v>
      </c>
    </row>
    <row r="1748">
      <c r="A1748" t="n">
        <v>1747</v>
      </c>
      <c r="B1748" t="n">
        <v>80.5</v>
      </c>
      <c r="C1748" s="21">
        <f>B1748-20</f>
        <v/>
      </c>
      <c r="D1748" t="n">
        <v>123.8</v>
      </c>
      <c r="E1748" s="22">
        <f>D1748-90</f>
        <v/>
      </c>
      <c r="F1748" s="23" t="n">
        <v>0.015508</v>
      </c>
      <c r="G1748" s="22" t="n">
        <v>20.3</v>
      </c>
      <c r="H1748" s="22" t="n">
        <v>1.8</v>
      </c>
      <c r="I1748" s="24" t="n">
        <v>0.0722615793347358</v>
      </c>
      <c r="J1748" s="6" t="n">
        <v>71000</v>
      </c>
      <c r="K1748" s="25">
        <f>23*10^-6</f>
        <v/>
      </c>
      <c r="L1748" s="8">
        <f>H1748</f>
        <v/>
      </c>
      <c r="M1748" s="26">
        <f>H1748^2/6</f>
        <v/>
      </c>
      <c r="N1748" s="26">
        <f>H1748^3/12</f>
        <v/>
      </c>
      <c r="O1748" s="27">
        <f>-J1748*L1748*K1748*C1748</f>
        <v/>
      </c>
      <c r="P1748" s="28">
        <f>-(12*F1748*J1748*L1748*N1748+12*O1748*N1748*G1748*COS(RADIANS(E1748)))/(12*N1748*G1748*COS(RADIANS(E1748))^2+L1748*G1748^3*SIN(RADIANS(E1748))^2)</f>
        <v/>
      </c>
      <c r="Q1748" s="28">
        <f>-(6*F1748*J1748*L1748*N1748*SIN(RADIANS(E1748))+6*O1748*N1748*G1748*SIN(RADIANS(E1748))*COS(RADIANS(E1748)))/(12*N1748*COS(RADIANS(E1748))^2+L1748*G1748^2*SIN(RADIANS(E1748))^2)</f>
        <v/>
      </c>
      <c r="R1748" s="28">
        <f>-P1748*SIN(RADIANS(E1748))</f>
        <v/>
      </c>
      <c r="S1748" s="8">
        <f>(O1748+P1748*COS(RADIANS(E1748)))/L1748</f>
        <v/>
      </c>
      <c r="T1748" s="8">
        <f>R1748/L1748</f>
        <v/>
      </c>
      <c r="U1748" s="8">
        <f>(Q1748-P1748*G1748*SIN(RADIANS(E1748)))/M1748</f>
        <v/>
      </c>
      <c r="V1748" s="8">
        <f>SQRT((S1748+U1748)^2+3*T1748^2)</f>
        <v/>
      </c>
      <c r="W1748" s="8">
        <f>V1748/AA1748</f>
        <v/>
      </c>
      <c r="X1748" s="27">
        <f>((3*10+H1748/COS(RADIANS(E1748)))*(3+3)+3*G1748*H1748)*2</f>
        <v/>
      </c>
      <c r="Y1748" s="28">
        <f>Z1748/X1748</f>
        <v/>
      </c>
      <c r="Z1748" s="29" t="n">
        <v>614.825488757214</v>
      </c>
      <c r="AA1748" s="20" t="n">
        <v>98.9801866223127</v>
      </c>
      <c r="AB1748" t="n">
        <v>0.07287504267502462</v>
      </c>
      <c r="AC1748" t="n">
        <v>91.21064834741537</v>
      </c>
      <c r="AD1748" t="n">
        <v>0.8489481491223521</v>
      </c>
    </row>
    <row r="1749">
      <c r="A1749" t="n">
        <v>1748</v>
      </c>
      <c r="B1749" t="n">
        <v>82.3</v>
      </c>
      <c r="C1749" s="21">
        <f>B1749-20</f>
        <v/>
      </c>
      <c r="D1749" t="n">
        <v>120</v>
      </c>
      <c r="E1749" s="22">
        <f>D1749-90</f>
        <v/>
      </c>
      <c r="F1749" s="23" t="n">
        <v>0.02496</v>
      </c>
      <c r="G1749" s="22" t="n">
        <v>33.1</v>
      </c>
      <c r="H1749" s="22" t="n">
        <v>1.8</v>
      </c>
      <c r="I1749" s="24" t="n">
        <v>0.117783322930336</v>
      </c>
      <c r="J1749" s="6" t="n">
        <v>71000</v>
      </c>
      <c r="K1749" s="25">
        <f>23*10^-6</f>
        <v/>
      </c>
      <c r="L1749" s="8">
        <f>H1749</f>
        <v/>
      </c>
      <c r="M1749" s="26">
        <f>H1749^2/6</f>
        <v/>
      </c>
      <c r="N1749" s="26">
        <f>H1749^3/12</f>
        <v/>
      </c>
      <c r="O1749" s="27">
        <f>-J1749*L1749*K1749*C1749</f>
        <v/>
      </c>
      <c r="P1749" s="28">
        <f>-(12*F1749*J1749*L1749*N1749+12*O1749*N1749*G1749*COS(RADIANS(E1749)))/(12*N1749*G1749*COS(RADIANS(E1749))^2+L1749*G1749^3*SIN(RADIANS(E1749))^2)</f>
        <v/>
      </c>
      <c r="Q1749" s="28">
        <f>-(6*F1749*J1749*L1749*N1749*SIN(RADIANS(E1749))+6*O1749*N1749*G1749*SIN(RADIANS(E1749))*COS(RADIANS(E1749)))/(12*N1749*COS(RADIANS(E1749))^2+L1749*G1749^2*SIN(RADIANS(E1749))^2)</f>
        <v/>
      </c>
      <c r="R1749" s="28">
        <f>-P1749*SIN(RADIANS(E1749))</f>
        <v/>
      </c>
      <c r="S1749" s="8">
        <f>(O1749+P1749*COS(RADIANS(E1749)))/L1749</f>
        <v/>
      </c>
      <c r="T1749" s="8">
        <f>R1749/L1749</f>
        <v/>
      </c>
      <c r="U1749" s="8">
        <f>(Q1749-P1749*G1749*SIN(RADIANS(E1749)))/M1749</f>
        <v/>
      </c>
      <c r="V1749" s="8">
        <f>SQRT((S1749+U1749)^2+3*T1749^2)</f>
        <v/>
      </c>
      <c r="W1749" s="8">
        <f>V1749/AA1749</f>
        <v/>
      </c>
      <c r="X1749" s="27">
        <f>((3*10+H1749/COS(RADIANS(E1749)))*(3+3)+3*G1749*H1749)*2</f>
        <v/>
      </c>
      <c r="Y1749" s="28">
        <f>Z1749/X1749</f>
        <v/>
      </c>
      <c r="Z1749" s="29" t="n">
        <v>748.703717816944</v>
      </c>
      <c r="AA1749" s="20" t="n">
        <v>97.8574648340427</v>
      </c>
      <c r="AB1749" t="n">
        <v>0.1361670757373711</v>
      </c>
      <c r="AC1749" t="n">
        <v>92.77084642197212</v>
      </c>
      <c r="AD1749" t="n">
        <v>15.6081118698853</v>
      </c>
    </row>
    <row r="1750">
      <c r="A1750" t="n">
        <v>1749</v>
      </c>
      <c r="B1750" t="n">
        <v>67.3</v>
      </c>
      <c r="C1750" s="21">
        <f>B1750-20</f>
        <v/>
      </c>
      <c r="D1750" t="n">
        <v>129.1</v>
      </c>
      <c r="E1750" s="22">
        <f>D1750-90</f>
        <v/>
      </c>
      <c r="F1750" s="23" t="n">
        <v>0.018255</v>
      </c>
      <c r="G1750" s="22" t="n">
        <v>34.3</v>
      </c>
      <c r="H1750" s="22" t="n">
        <v>1.2</v>
      </c>
      <c r="I1750" s="24" t="n">
        <v>0.0784919559955596</v>
      </c>
      <c r="J1750" s="6" t="n">
        <v>71000</v>
      </c>
      <c r="K1750" s="25">
        <f>23*10^-6</f>
        <v/>
      </c>
      <c r="L1750" s="8">
        <f>H1750</f>
        <v/>
      </c>
      <c r="M1750" s="26">
        <f>H1750^2/6</f>
        <v/>
      </c>
      <c r="N1750" s="26">
        <f>H1750^3/12</f>
        <v/>
      </c>
      <c r="O1750" s="27">
        <f>-J1750*L1750*K1750*C1750</f>
        <v/>
      </c>
      <c r="P1750" s="28">
        <f>-(12*F1750*J1750*L1750*N1750+12*O1750*N1750*G1750*COS(RADIANS(E1750)))/(12*N1750*G1750*COS(RADIANS(E1750))^2+L1750*G1750^3*SIN(RADIANS(E1750))^2)</f>
        <v/>
      </c>
      <c r="Q1750" s="28">
        <f>-(6*F1750*J1750*L1750*N1750*SIN(RADIANS(E1750))+6*O1750*N1750*G1750*SIN(RADIANS(E1750))*COS(RADIANS(E1750)))/(12*N1750*COS(RADIANS(E1750))^2+L1750*G1750^2*SIN(RADIANS(E1750))^2)</f>
        <v/>
      </c>
      <c r="R1750" s="28">
        <f>-P1750*SIN(RADIANS(E1750))</f>
        <v/>
      </c>
      <c r="S1750" s="8">
        <f>(O1750+P1750*COS(RADIANS(E1750)))/L1750</f>
        <v/>
      </c>
      <c r="T1750" s="8">
        <f>R1750/L1750</f>
        <v/>
      </c>
      <c r="U1750" s="8">
        <f>(Q1750-P1750*G1750*SIN(RADIANS(E1750)))/M1750</f>
        <v/>
      </c>
      <c r="V1750" s="8">
        <f>SQRT((S1750+U1750)^2+3*T1750^2)</f>
        <v/>
      </c>
      <c r="W1750" s="8">
        <f>V1750/AA1750</f>
        <v/>
      </c>
      <c r="X1750" s="27">
        <f>((3*10+H1750/COS(RADIANS(E1750)))*(3+3)+3*G1750*H1750)*2</f>
        <v/>
      </c>
      <c r="Y1750" s="28">
        <f>Z1750/X1750</f>
        <v/>
      </c>
      <c r="Z1750" s="29" t="n">
        <v>633.679405698544</v>
      </c>
      <c r="AA1750" s="20" t="n">
        <v>63.6110771636572</v>
      </c>
      <c r="AB1750" t="n">
        <v>0.08063334853918432</v>
      </c>
      <c r="AC1750" t="n">
        <v>66.69892867278732</v>
      </c>
      <c r="AD1750" t="n">
        <v>2.728168149798512</v>
      </c>
    </row>
    <row r="1751">
      <c r="A1751" t="n">
        <v>1750</v>
      </c>
      <c r="B1751" t="n">
        <v>49.6</v>
      </c>
      <c r="C1751" s="21">
        <f>B1751-20</f>
        <v/>
      </c>
      <c r="D1751" t="n">
        <v>117.7</v>
      </c>
      <c r="E1751" s="22">
        <f>D1751-90</f>
        <v/>
      </c>
      <c r="F1751" s="23" t="n">
        <v>0.013164</v>
      </c>
      <c r="G1751" s="22" t="n">
        <v>33.8</v>
      </c>
      <c r="H1751" s="22" t="n">
        <v>2</v>
      </c>
      <c r="I1751" s="24" t="n">
        <v>0.104253888130187</v>
      </c>
      <c r="J1751" s="6" t="n">
        <v>71000</v>
      </c>
      <c r="K1751" s="25">
        <f>23*10^-6</f>
        <v/>
      </c>
      <c r="L1751" s="8">
        <f>H1751</f>
        <v/>
      </c>
      <c r="M1751" s="26">
        <f>H1751^2/6</f>
        <v/>
      </c>
      <c r="N1751" s="26">
        <f>H1751^3/12</f>
        <v/>
      </c>
      <c r="O1751" s="27">
        <f>-J1751*L1751*K1751*C1751</f>
        <v/>
      </c>
      <c r="P1751" s="28">
        <f>-(12*F1751*J1751*L1751*N1751+12*O1751*N1751*G1751*COS(RADIANS(E1751)))/(12*N1751*G1751*COS(RADIANS(E1751))^2+L1751*G1751^3*SIN(RADIANS(E1751))^2)</f>
        <v/>
      </c>
      <c r="Q1751" s="28">
        <f>-(6*F1751*J1751*L1751*N1751*SIN(RADIANS(E1751))+6*O1751*N1751*G1751*SIN(RADIANS(E1751))*COS(RADIANS(E1751)))/(12*N1751*COS(RADIANS(E1751))^2+L1751*G1751^2*SIN(RADIANS(E1751))^2)</f>
        <v/>
      </c>
      <c r="R1751" s="28">
        <f>-P1751*SIN(RADIANS(E1751))</f>
        <v/>
      </c>
      <c r="S1751" s="8">
        <f>(O1751+P1751*COS(RADIANS(E1751)))/L1751</f>
        <v/>
      </c>
      <c r="T1751" s="8">
        <f>R1751/L1751</f>
        <v/>
      </c>
      <c r="U1751" s="8">
        <f>(Q1751-P1751*G1751*SIN(RADIANS(E1751)))/M1751</f>
        <v/>
      </c>
      <c r="V1751" s="8">
        <f>SQRT((S1751+U1751)^2+3*T1751^2)</f>
        <v/>
      </c>
      <c r="W1751" s="8">
        <f>V1751/AA1751</f>
        <v/>
      </c>
      <c r="X1751" s="27">
        <f>((3*10+H1751/COS(RADIANS(E1751)))*(3+3)+3*G1751*H1751)*2</f>
        <v/>
      </c>
      <c r="Y1751" s="28">
        <f>Z1751/X1751</f>
        <v/>
      </c>
      <c r="Z1751" s="29" t="n">
        <v>794.180104682216</v>
      </c>
      <c r="AA1751" s="20" t="n">
        <v>52.5327246063571</v>
      </c>
      <c r="AB1751" t="n">
        <v>0.0716033941061695</v>
      </c>
      <c r="AC1751" t="n">
        <v>44.93027548695186</v>
      </c>
      <c r="AD1751" t="n">
        <v>-31.31825067593183</v>
      </c>
    </row>
    <row r="1752">
      <c r="A1752" t="n">
        <v>1751</v>
      </c>
      <c r="B1752" t="n">
        <v>86.7</v>
      </c>
      <c r="C1752" s="21">
        <f>B1752-20</f>
        <v/>
      </c>
      <c r="D1752" t="n">
        <v>105</v>
      </c>
      <c r="E1752" s="22">
        <f>D1752-90</f>
        <v/>
      </c>
      <c r="F1752" s="23" t="n">
        <v>0.019341</v>
      </c>
      <c r="G1752" s="22" t="n">
        <v>23.5</v>
      </c>
      <c r="H1752" s="22" t="n">
        <v>1.2</v>
      </c>
      <c r="I1752" s="24" t="n">
        <v>0.0890611186623573</v>
      </c>
      <c r="J1752" s="6" t="n">
        <v>71000</v>
      </c>
      <c r="K1752" s="25">
        <f>23*10^-6</f>
        <v/>
      </c>
      <c r="L1752" s="8">
        <f>H1752</f>
        <v/>
      </c>
      <c r="M1752" s="26">
        <f>H1752^2/6</f>
        <v/>
      </c>
      <c r="N1752" s="26">
        <f>H1752^3/12</f>
        <v/>
      </c>
      <c r="O1752" s="27">
        <f>-J1752*L1752*K1752*C1752</f>
        <v/>
      </c>
      <c r="P1752" s="28">
        <f>-(12*F1752*J1752*L1752*N1752+12*O1752*N1752*G1752*COS(RADIANS(E1752)))/(12*N1752*G1752*COS(RADIANS(E1752))^2+L1752*G1752^3*SIN(RADIANS(E1752))^2)</f>
        <v/>
      </c>
      <c r="Q1752" s="28">
        <f>-(6*F1752*J1752*L1752*N1752*SIN(RADIANS(E1752))+6*O1752*N1752*G1752*SIN(RADIANS(E1752))*COS(RADIANS(E1752)))/(12*N1752*COS(RADIANS(E1752))^2+L1752*G1752^2*SIN(RADIANS(E1752))^2)</f>
        <v/>
      </c>
      <c r="R1752" s="28">
        <f>-P1752*SIN(RADIANS(E1752))</f>
        <v/>
      </c>
      <c r="S1752" s="8">
        <f>(O1752+P1752*COS(RADIANS(E1752)))/L1752</f>
        <v/>
      </c>
      <c r="T1752" s="8">
        <f>R1752/L1752</f>
        <v/>
      </c>
      <c r="U1752" s="8">
        <f>(Q1752-P1752*G1752*SIN(RADIANS(E1752)))/M1752</f>
        <v/>
      </c>
      <c r="V1752" s="8">
        <f>SQRT((S1752+U1752)^2+3*T1752^2)</f>
        <v/>
      </c>
      <c r="W1752" s="8">
        <f>V1752/AA1752</f>
        <v/>
      </c>
      <c r="X1752" s="27">
        <f>((3*10+H1752/COS(RADIANS(E1752)))*(3+3)+3*G1752*H1752)*2</f>
        <v/>
      </c>
      <c r="Y1752" s="28">
        <f>Z1752/X1752</f>
        <v/>
      </c>
      <c r="Z1752" s="29" t="n">
        <v>555.061995852453</v>
      </c>
      <c r="AA1752" s="20" t="n">
        <v>94.35781060171369</v>
      </c>
      <c r="AB1752" t="n">
        <v>0.2127932208759451</v>
      </c>
      <c r="AC1752" t="n">
        <v>106.8667639035464</v>
      </c>
      <c r="AD1752" t="n">
        <v>138.9294274223894</v>
      </c>
    </row>
    <row r="1753">
      <c r="A1753" t="n">
        <v>1752</v>
      </c>
      <c r="B1753" t="n">
        <v>81.3</v>
      </c>
      <c r="C1753" s="21">
        <f>B1753-20</f>
        <v/>
      </c>
      <c r="D1753" t="n">
        <v>122.3</v>
      </c>
      <c r="E1753" s="22">
        <f>D1753-90</f>
        <v/>
      </c>
      <c r="F1753" s="23" t="n">
        <v>0.02108</v>
      </c>
      <c r="G1753" s="22" t="n">
        <v>30.5</v>
      </c>
      <c r="H1753" s="22" t="n">
        <v>1.8</v>
      </c>
      <c r="I1753" s="24" t="n">
        <v>0.09132259339094161</v>
      </c>
      <c r="J1753" s="6" t="n">
        <v>71000</v>
      </c>
      <c r="K1753" s="25">
        <f>23*10^-6</f>
        <v/>
      </c>
      <c r="L1753" s="8">
        <f>H1753</f>
        <v/>
      </c>
      <c r="M1753" s="26">
        <f>H1753^2/6</f>
        <v/>
      </c>
      <c r="N1753" s="26">
        <f>H1753^3/12</f>
        <v/>
      </c>
      <c r="O1753" s="27">
        <f>-J1753*L1753*K1753*C1753</f>
        <v/>
      </c>
      <c r="P1753" s="28">
        <f>-(12*F1753*J1753*L1753*N1753+12*O1753*N1753*G1753*COS(RADIANS(E1753)))/(12*N1753*G1753*COS(RADIANS(E1753))^2+L1753*G1753^3*SIN(RADIANS(E1753))^2)</f>
        <v/>
      </c>
      <c r="Q1753" s="28">
        <f>-(6*F1753*J1753*L1753*N1753*SIN(RADIANS(E1753))+6*O1753*N1753*G1753*SIN(RADIANS(E1753))*COS(RADIANS(E1753)))/(12*N1753*COS(RADIANS(E1753))^2+L1753*G1753^2*SIN(RADIANS(E1753))^2)</f>
        <v/>
      </c>
      <c r="R1753" s="28">
        <f>-P1753*SIN(RADIANS(E1753))</f>
        <v/>
      </c>
      <c r="S1753" s="8">
        <f>(O1753+P1753*COS(RADIANS(E1753)))/L1753</f>
        <v/>
      </c>
      <c r="T1753" s="8">
        <f>R1753/L1753</f>
        <v/>
      </c>
      <c r="U1753" s="8">
        <f>(Q1753-P1753*G1753*SIN(RADIANS(E1753)))/M1753</f>
        <v/>
      </c>
      <c r="V1753" s="8">
        <f>SQRT((S1753+U1753)^2+3*T1753^2)</f>
        <v/>
      </c>
      <c r="W1753" s="8">
        <f>V1753/AA1753</f>
        <v/>
      </c>
      <c r="X1753" s="27">
        <f>((3*10+H1753/COS(RADIANS(E1753)))*(3+3)+3*G1753*H1753)*2</f>
        <v/>
      </c>
      <c r="Y1753" s="28">
        <f>Z1753/X1753</f>
        <v/>
      </c>
      <c r="Z1753" s="29" t="n">
        <v>726.388338553482</v>
      </c>
      <c r="AA1753" s="20" t="n">
        <v>93.25225102782321</v>
      </c>
      <c r="AB1753" t="n">
        <v>0.1144856931317931</v>
      </c>
      <c r="AC1753" t="n">
        <v>90.94922938619689</v>
      </c>
      <c r="AD1753" t="n">
        <v>25.36404068344068</v>
      </c>
    </row>
    <row r="1754">
      <c r="A1754" t="n">
        <v>1753</v>
      </c>
      <c r="B1754" t="n">
        <v>40.2</v>
      </c>
      <c r="C1754" s="21">
        <f>B1754-20</f>
        <v/>
      </c>
      <c r="D1754" t="n">
        <v>103.3</v>
      </c>
      <c r="E1754" s="22">
        <f>D1754-90</f>
        <v/>
      </c>
      <c r="F1754" s="23" t="n">
        <v>0.006204</v>
      </c>
      <c r="G1754" s="22" t="n">
        <v>25.2</v>
      </c>
      <c r="H1754" s="22" t="n">
        <v>1.7</v>
      </c>
      <c r="I1754" s="24" t="n">
        <v>0.0284026004374027</v>
      </c>
      <c r="J1754" s="6" t="n">
        <v>71000</v>
      </c>
      <c r="K1754" s="25">
        <f>23*10^-6</f>
        <v/>
      </c>
      <c r="L1754" s="8">
        <f>H1754</f>
        <v/>
      </c>
      <c r="M1754" s="26">
        <f>H1754^2/6</f>
        <v/>
      </c>
      <c r="N1754" s="26">
        <f>H1754^3/12</f>
        <v/>
      </c>
      <c r="O1754" s="27">
        <f>-J1754*L1754*K1754*C1754</f>
        <v/>
      </c>
      <c r="P1754" s="28">
        <f>-(12*F1754*J1754*L1754*N1754+12*O1754*N1754*G1754*COS(RADIANS(E1754)))/(12*N1754*G1754*COS(RADIANS(E1754))^2+L1754*G1754^3*SIN(RADIANS(E1754))^2)</f>
        <v/>
      </c>
      <c r="Q1754" s="28">
        <f>-(6*F1754*J1754*L1754*N1754*SIN(RADIANS(E1754))+6*O1754*N1754*G1754*SIN(RADIANS(E1754))*COS(RADIANS(E1754)))/(12*N1754*COS(RADIANS(E1754))^2+L1754*G1754^2*SIN(RADIANS(E1754))^2)</f>
        <v/>
      </c>
      <c r="R1754" s="28">
        <f>-P1754*SIN(RADIANS(E1754))</f>
        <v/>
      </c>
      <c r="S1754" s="8">
        <f>(O1754+P1754*COS(RADIANS(E1754)))/L1754</f>
        <v/>
      </c>
      <c r="T1754" s="8">
        <f>R1754/L1754</f>
        <v/>
      </c>
      <c r="U1754" s="8">
        <f>(Q1754-P1754*G1754*SIN(RADIANS(E1754)))/M1754</f>
        <v/>
      </c>
      <c r="V1754" s="8">
        <f>SQRT((S1754+U1754)^2+3*T1754^2)</f>
        <v/>
      </c>
      <c r="W1754" s="8">
        <f>V1754/AA1754</f>
        <v/>
      </c>
      <c r="X1754" s="27">
        <f>((3*10+H1754/COS(RADIANS(E1754)))*(3+3)+3*G1754*H1754)*2</f>
        <v/>
      </c>
      <c r="Y1754" s="28">
        <f>Z1754/X1754</f>
        <v/>
      </c>
      <c r="Z1754" s="29" t="n">
        <v>649.904230848955</v>
      </c>
      <c r="AA1754" s="20" t="n">
        <v>31.5897669435047</v>
      </c>
      <c r="AB1754" t="n">
        <v>0.0744311385897462</v>
      </c>
      <c r="AC1754" t="n">
        <v>34.57788139376228</v>
      </c>
      <c r="AD1754" t="n">
        <v>162.057478693851</v>
      </c>
    </row>
    <row r="1755">
      <c r="A1755" t="n">
        <v>1754</v>
      </c>
      <c r="B1755" t="n">
        <v>77.2</v>
      </c>
      <c r="C1755" s="21">
        <f>B1755-20</f>
        <v/>
      </c>
      <c r="D1755" t="n">
        <v>121.2</v>
      </c>
      <c r="E1755" s="22">
        <f>D1755-90</f>
        <v/>
      </c>
      <c r="F1755" s="23" t="n">
        <v>0.018087</v>
      </c>
      <c r="G1755" s="22" t="n">
        <v>25.1</v>
      </c>
      <c r="H1755" s="22" t="n">
        <v>1.6</v>
      </c>
      <c r="I1755" s="24" t="n">
        <v>0.0865397006273269</v>
      </c>
      <c r="J1755" s="6" t="n">
        <v>71000</v>
      </c>
      <c r="K1755" s="25">
        <f>23*10^-6</f>
        <v/>
      </c>
      <c r="L1755" s="8">
        <f>H1755</f>
        <v/>
      </c>
      <c r="M1755" s="26">
        <f>H1755^2/6</f>
        <v/>
      </c>
      <c r="N1755" s="26">
        <f>H1755^3/12</f>
        <v/>
      </c>
      <c r="O1755" s="27">
        <f>-J1755*L1755*K1755*C1755</f>
        <v/>
      </c>
      <c r="P1755" s="28">
        <f>-(12*F1755*J1755*L1755*N1755+12*O1755*N1755*G1755*COS(RADIANS(E1755)))/(12*N1755*G1755*COS(RADIANS(E1755))^2+L1755*G1755^3*SIN(RADIANS(E1755))^2)</f>
        <v/>
      </c>
      <c r="Q1755" s="28">
        <f>-(6*F1755*J1755*L1755*N1755*SIN(RADIANS(E1755))+6*O1755*N1755*G1755*SIN(RADIANS(E1755))*COS(RADIANS(E1755)))/(12*N1755*COS(RADIANS(E1755))^2+L1755*G1755^2*SIN(RADIANS(E1755))^2)</f>
        <v/>
      </c>
      <c r="R1755" s="28">
        <f>-P1755*SIN(RADIANS(E1755))</f>
        <v/>
      </c>
      <c r="S1755" s="8">
        <f>(O1755+P1755*COS(RADIANS(E1755)))/L1755</f>
        <v/>
      </c>
      <c r="T1755" s="8">
        <f>R1755/L1755</f>
        <v/>
      </c>
      <c r="U1755" s="8">
        <f>(Q1755-P1755*G1755*SIN(RADIANS(E1755)))/M1755</f>
        <v/>
      </c>
      <c r="V1755" s="8">
        <f>SQRT((S1755+U1755)^2+3*T1755^2)</f>
        <v/>
      </c>
      <c r="W1755" s="8">
        <f>V1755/AA1755</f>
        <v/>
      </c>
      <c r="X1755" s="27">
        <f>((3*10+H1755/COS(RADIANS(E1755)))*(3+3)+3*G1755*H1755)*2</f>
        <v/>
      </c>
      <c r="Y1755" s="28">
        <f>Z1755/X1755</f>
        <v/>
      </c>
      <c r="Z1755" s="29" t="n">
        <v>630.276692643624</v>
      </c>
      <c r="AA1755" s="20" t="n">
        <v>88.53899312178579</v>
      </c>
      <c r="AB1755" t="n">
        <v>0.09218033286353737</v>
      </c>
      <c r="AC1755" t="n">
        <v>85.29669002402244</v>
      </c>
      <c r="AD1755" t="n">
        <v>6.517970590747936</v>
      </c>
    </row>
    <row r="1756">
      <c r="A1756" t="n">
        <v>1755</v>
      </c>
      <c r="B1756" t="n">
        <v>68.90000000000001</v>
      </c>
      <c r="C1756" s="21">
        <f>B1756-20</f>
        <v/>
      </c>
      <c r="D1756" t="n">
        <v>110.4</v>
      </c>
      <c r="E1756" s="22">
        <f>D1756-90</f>
        <v/>
      </c>
      <c r="F1756" s="23" t="n">
        <v>0.013554</v>
      </c>
      <c r="G1756" s="22" t="n">
        <v>23.6</v>
      </c>
      <c r="H1756" s="22" t="n">
        <v>1.6</v>
      </c>
      <c r="I1756" s="24" t="n">
        <v>0.0604914650321006</v>
      </c>
      <c r="J1756" s="6" t="n">
        <v>71000</v>
      </c>
      <c r="K1756" s="25">
        <f>23*10^-6</f>
        <v/>
      </c>
      <c r="L1756" s="8">
        <f>H1756</f>
        <v/>
      </c>
      <c r="M1756" s="26">
        <f>H1756^2/6</f>
        <v/>
      </c>
      <c r="N1756" s="26">
        <f>H1756^3/12</f>
        <v/>
      </c>
      <c r="O1756" s="27">
        <f>-J1756*L1756*K1756*C1756</f>
        <v/>
      </c>
      <c r="P1756" s="28">
        <f>-(12*F1756*J1756*L1756*N1756+12*O1756*N1756*G1756*COS(RADIANS(E1756)))/(12*N1756*G1756*COS(RADIANS(E1756))^2+L1756*G1756^3*SIN(RADIANS(E1756))^2)</f>
        <v/>
      </c>
      <c r="Q1756" s="28">
        <f>-(6*F1756*J1756*L1756*N1756*SIN(RADIANS(E1756))+6*O1756*N1756*G1756*SIN(RADIANS(E1756))*COS(RADIANS(E1756)))/(12*N1756*COS(RADIANS(E1756))^2+L1756*G1756^2*SIN(RADIANS(E1756))^2)</f>
        <v/>
      </c>
      <c r="R1756" s="28">
        <f>-P1756*SIN(RADIANS(E1756))</f>
        <v/>
      </c>
      <c r="S1756" s="8">
        <f>(O1756+P1756*COS(RADIANS(E1756)))/L1756</f>
        <v/>
      </c>
      <c r="T1756" s="8">
        <f>R1756/L1756</f>
        <v/>
      </c>
      <c r="U1756" s="8">
        <f>(Q1756-P1756*G1756*SIN(RADIANS(E1756)))/M1756</f>
        <v/>
      </c>
      <c r="V1756" s="8">
        <f>SQRT((S1756+U1756)^2+3*T1756^2)</f>
        <v/>
      </c>
      <c r="W1756" s="8">
        <f>V1756/AA1756</f>
        <v/>
      </c>
      <c r="X1756" s="27">
        <f>((3*10+H1756/COS(RADIANS(E1756)))*(3+3)+3*G1756*H1756)*2</f>
        <v/>
      </c>
      <c r="Y1756" s="28">
        <f>Z1756/X1756</f>
        <v/>
      </c>
      <c r="Z1756" s="29" t="n">
        <v>621.660403442745</v>
      </c>
      <c r="AA1756" s="20" t="n">
        <v>73.9483237834057</v>
      </c>
      <c r="AB1756" t="n">
        <v>0.1143057774559868</v>
      </c>
      <c r="AC1756" t="n">
        <v>77.75818433283925</v>
      </c>
      <c r="AD1756" t="n">
        <v>88.96182692108532</v>
      </c>
    </row>
    <row r="1757">
      <c r="A1757" t="n">
        <v>1756</v>
      </c>
      <c r="B1757" t="n">
        <v>48.5</v>
      </c>
      <c r="C1757" s="21">
        <f>B1757-20</f>
        <v/>
      </c>
      <c r="D1757" t="n">
        <v>111.8</v>
      </c>
      <c r="E1757" s="22">
        <f>D1757-90</f>
        <v/>
      </c>
      <c r="F1757" s="23" t="n">
        <v>0.009486</v>
      </c>
      <c r="G1757" s="22" t="n">
        <v>26.2</v>
      </c>
      <c r="H1757" s="22" t="n">
        <v>1.8</v>
      </c>
      <c r="I1757" s="24" t="n">
        <v>0.0466954931616783</v>
      </c>
      <c r="J1757" s="6" t="n">
        <v>71000</v>
      </c>
      <c r="K1757" s="25">
        <f>23*10^-6</f>
        <v/>
      </c>
      <c r="L1757" s="8">
        <f>H1757</f>
        <v/>
      </c>
      <c r="M1757" s="26">
        <f>H1757^2/6</f>
        <v/>
      </c>
      <c r="N1757" s="26">
        <f>H1757^3/12</f>
        <v/>
      </c>
      <c r="O1757" s="27">
        <f>-J1757*L1757*K1757*C1757</f>
        <v/>
      </c>
      <c r="P1757" s="28">
        <f>-(12*F1757*J1757*L1757*N1757+12*O1757*N1757*G1757*COS(RADIANS(E1757)))/(12*N1757*G1757*COS(RADIANS(E1757))^2+L1757*G1757^3*SIN(RADIANS(E1757))^2)</f>
        <v/>
      </c>
      <c r="Q1757" s="28">
        <f>-(6*F1757*J1757*L1757*N1757*SIN(RADIANS(E1757))+6*O1757*N1757*G1757*SIN(RADIANS(E1757))*COS(RADIANS(E1757)))/(12*N1757*COS(RADIANS(E1757))^2+L1757*G1757^2*SIN(RADIANS(E1757))^2)</f>
        <v/>
      </c>
      <c r="R1757" s="28">
        <f>-P1757*SIN(RADIANS(E1757))</f>
        <v/>
      </c>
      <c r="S1757" s="8">
        <f>(O1757+P1757*COS(RADIANS(E1757)))/L1757</f>
        <v/>
      </c>
      <c r="T1757" s="8">
        <f>R1757/L1757</f>
        <v/>
      </c>
      <c r="U1757" s="8">
        <f>(Q1757-P1757*G1757*SIN(RADIANS(E1757)))/M1757</f>
        <v/>
      </c>
      <c r="V1757" s="8">
        <f>SQRT((S1757+U1757)^2+3*T1757^2)</f>
        <v/>
      </c>
      <c r="W1757" s="8">
        <f>V1757/AA1757</f>
        <v/>
      </c>
      <c r="X1757" s="27">
        <f>((3*10+H1757/COS(RADIANS(E1757)))*(3+3)+3*G1757*H1757)*2</f>
        <v/>
      </c>
      <c r="Y1757" s="28">
        <f>Z1757/X1757</f>
        <v/>
      </c>
      <c r="Z1757" s="29" t="n">
        <v>673.896146089603</v>
      </c>
      <c r="AA1757" s="20" t="n">
        <v>45.3713240483437</v>
      </c>
      <c r="AB1757" t="n">
        <v>0.06873557650902212</v>
      </c>
      <c r="AC1757" t="n">
        <v>45.18167924442621</v>
      </c>
      <c r="AD1757" t="n">
        <v>47.19959433993409</v>
      </c>
    </row>
    <row r="1758">
      <c r="A1758" t="n">
        <v>1757</v>
      </c>
      <c r="B1758" t="n">
        <v>76</v>
      </c>
      <c r="C1758" s="21">
        <f>B1758-20</f>
        <v/>
      </c>
      <c r="D1758" t="n">
        <v>100.5</v>
      </c>
      <c r="E1758" s="22">
        <f>D1758-90</f>
        <v/>
      </c>
      <c r="F1758" s="23" t="n">
        <v>0.020295</v>
      </c>
      <c r="G1758" s="22" t="n">
        <v>26.7</v>
      </c>
      <c r="H1758" s="22" t="n">
        <v>1.9</v>
      </c>
      <c r="I1758" s="24" t="n">
        <v>0.14241723716259</v>
      </c>
      <c r="J1758" s="6" t="n">
        <v>71000</v>
      </c>
      <c r="K1758" s="25">
        <f>23*10^-6</f>
        <v/>
      </c>
      <c r="L1758" s="8">
        <f>H1758</f>
        <v/>
      </c>
      <c r="M1758" s="26">
        <f>H1758^2/6</f>
        <v/>
      </c>
      <c r="N1758" s="26">
        <f>H1758^3/12</f>
        <v/>
      </c>
      <c r="O1758" s="27">
        <f>-J1758*L1758*K1758*C1758</f>
        <v/>
      </c>
      <c r="P1758" s="28">
        <f>-(12*F1758*J1758*L1758*N1758+12*O1758*N1758*G1758*COS(RADIANS(E1758)))/(12*N1758*G1758*COS(RADIANS(E1758))^2+L1758*G1758^3*SIN(RADIANS(E1758))^2)</f>
        <v/>
      </c>
      <c r="Q1758" s="28">
        <f>-(6*F1758*J1758*L1758*N1758*SIN(RADIANS(E1758))+6*O1758*N1758*G1758*SIN(RADIANS(E1758))*COS(RADIANS(E1758)))/(12*N1758*COS(RADIANS(E1758))^2+L1758*G1758^2*SIN(RADIANS(E1758))^2)</f>
        <v/>
      </c>
      <c r="R1758" s="28">
        <f>-P1758*SIN(RADIANS(E1758))</f>
        <v/>
      </c>
      <c r="S1758" s="8">
        <f>(O1758+P1758*COS(RADIANS(E1758)))/L1758</f>
        <v/>
      </c>
      <c r="T1758" s="8">
        <f>R1758/L1758</f>
        <v/>
      </c>
      <c r="U1758" s="8">
        <f>(Q1758-P1758*G1758*SIN(RADIANS(E1758)))/M1758</f>
        <v/>
      </c>
      <c r="V1758" s="8">
        <f>SQRT((S1758+U1758)^2+3*T1758^2)</f>
        <v/>
      </c>
      <c r="W1758" s="8">
        <f>V1758/AA1758</f>
        <v/>
      </c>
      <c r="X1758" s="27">
        <f>((3*10+H1758/COS(RADIANS(E1758)))*(3+3)+3*G1758*H1758)*2</f>
        <v/>
      </c>
      <c r="Y1758" s="28">
        <f>Z1758/X1758</f>
        <v/>
      </c>
      <c r="Z1758" s="29" t="n">
        <v>692.264554628833</v>
      </c>
      <c r="AA1758" s="20" t="n">
        <v>98.598239076943</v>
      </c>
      <c r="AB1758" t="n">
        <v>0.2607960751878867</v>
      </c>
      <c r="AC1758" t="n">
        <v>100.9707612219653</v>
      </c>
      <c r="AD1758" t="n">
        <v>83.12114487247776</v>
      </c>
    </row>
    <row r="1759">
      <c r="A1759" t="n">
        <v>1758</v>
      </c>
      <c r="B1759" t="n">
        <v>78.09999999999999</v>
      </c>
      <c r="C1759" s="21">
        <f>B1759-20</f>
        <v/>
      </c>
      <c r="D1759" t="n">
        <v>104.3</v>
      </c>
      <c r="E1759" s="22">
        <f>D1759-90</f>
        <v/>
      </c>
      <c r="F1759" s="23" t="n">
        <v>0.023457</v>
      </c>
      <c r="G1759" s="22" t="n">
        <v>34.8</v>
      </c>
      <c r="H1759" s="22" t="n">
        <v>1.7</v>
      </c>
      <c r="I1759" s="24" t="n">
        <v>0.104063093662261</v>
      </c>
      <c r="J1759" s="6" t="n">
        <v>71000</v>
      </c>
      <c r="K1759" s="25">
        <f>23*10^-6</f>
        <v/>
      </c>
      <c r="L1759" s="8">
        <f>H1759</f>
        <v/>
      </c>
      <c r="M1759" s="26">
        <f>H1759^2/6</f>
        <v/>
      </c>
      <c r="N1759" s="26">
        <f>H1759^3/12</f>
        <v/>
      </c>
      <c r="O1759" s="27">
        <f>-J1759*L1759*K1759*C1759</f>
        <v/>
      </c>
      <c r="P1759" s="28">
        <f>-(12*F1759*J1759*L1759*N1759+12*O1759*N1759*G1759*COS(RADIANS(E1759)))/(12*N1759*G1759*COS(RADIANS(E1759))^2+L1759*G1759^3*SIN(RADIANS(E1759))^2)</f>
        <v/>
      </c>
      <c r="Q1759" s="28">
        <f>-(6*F1759*J1759*L1759*N1759*SIN(RADIANS(E1759))+6*O1759*N1759*G1759*SIN(RADIANS(E1759))*COS(RADIANS(E1759)))/(12*N1759*COS(RADIANS(E1759))^2+L1759*G1759^2*SIN(RADIANS(E1759))^2)</f>
        <v/>
      </c>
      <c r="R1759" s="28">
        <f>-P1759*SIN(RADIANS(E1759))</f>
        <v/>
      </c>
      <c r="S1759" s="8">
        <f>(O1759+P1759*COS(RADIANS(E1759)))/L1759</f>
        <v/>
      </c>
      <c r="T1759" s="8">
        <f>R1759/L1759</f>
        <v/>
      </c>
      <c r="U1759" s="8">
        <f>(Q1759-P1759*G1759*SIN(RADIANS(E1759)))/M1759</f>
        <v/>
      </c>
      <c r="V1759" s="8">
        <f>SQRT((S1759+U1759)^2+3*T1759^2)</f>
        <v/>
      </c>
      <c r="W1759" s="8">
        <f>V1759/AA1759</f>
        <v/>
      </c>
      <c r="X1759" s="27">
        <f>((3*10+H1759/COS(RADIANS(E1759)))*(3+3)+3*G1759*H1759)*2</f>
        <v/>
      </c>
      <c r="Y1759" s="28">
        <f>Z1759/X1759</f>
        <v/>
      </c>
      <c r="Z1759" s="29" t="n">
        <v>746.921731631501</v>
      </c>
      <c r="AA1759" s="20" t="n">
        <v>87.48240199578321</v>
      </c>
      <c r="AB1759" t="n">
        <v>0.2809240771536599</v>
      </c>
      <c r="AC1759" t="n">
        <v>94.89602969933009</v>
      </c>
      <c r="AD1759" t="n">
        <v>169.9555310794478</v>
      </c>
    </row>
    <row r="1760">
      <c r="A1760" t="n">
        <v>1759</v>
      </c>
      <c r="B1760" t="n">
        <v>56.8</v>
      </c>
      <c r="C1760" s="21">
        <f>B1760-20</f>
        <v/>
      </c>
      <c r="D1760" t="n">
        <v>113</v>
      </c>
      <c r="E1760" s="22">
        <f>D1760-90</f>
        <v/>
      </c>
      <c r="F1760" s="23" t="n">
        <v>0.01648</v>
      </c>
      <c r="G1760" s="22" t="n">
        <v>34.2</v>
      </c>
      <c r="H1760" s="22" t="n">
        <v>1.2</v>
      </c>
      <c r="I1760" s="24" t="n">
        <v>0.127747178077697</v>
      </c>
      <c r="J1760" s="6" t="n">
        <v>71000</v>
      </c>
      <c r="K1760" s="25">
        <f>23*10^-6</f>
        <v/>
      </c>
      <c r="L1760" s="8">
        <f>H1760</f>
        <v/>
      </c>
      <c r="M1760" s="26">
        <f>H1760^2/6</f>
        <v/>
      </c>
      <c r="N1760" s="26">
        <f>H1760^3/12</f>
        <v/>
      </c>
      <c r="O1760" s="27">
        <f>-J1760*L1760*K1760*C1760</f>
        <v/>
      </c>
      <c r="P1760" s="28">
        <f>-(12*F1760*J1760*L1760*N1760+12*O1760*N1760*G1760*COS(RADIANS(E1760)))/(12*N1760*G1760*COS(RADIANS(E1760))^2+L1760*G1760^3*SIN(RADIANS(E1760))^2)</f>
        <v/>
      </c>
      <c r="Q1760" s="28">
        <f>-(6*F1760*J1760*L1760*N1760*SIN(RADIANS(E1760))+6*O1760*N1760*G1760*SIN(RADIANS(E1760))*COS(RADIANS(E1760)))/(12*N1760*COS(RADIANS(E1760))^2+L1760*G1760^2*SIN(RADIANS(E1760))^2)</f>
        <v/>
      </c>
      <c r="R1760" s="28">
        <f>-P1760*SIN(RADIANS(E1760))</f>
        <v/>
      </c>
      <c r="S1760" s="8">
        <f>(O1760+P1760*COS(RADIANS(E1760)))/L1760</f>
        <v/>
      </c>
      <c r="T1760" s="8">
        <f>R1760/L1760</f>
        <v/>
      </c>
      <c r="U1760" s="8">
        <f>(Q1760-P1760*G1760*SIN(RADIANS(E1760)))/M1760</f>
        <v/>
      </c>
      <c r="V1760" s="8">
        <f>SQRT((S1760+U1760)^2+3*T1760^2)</f>
        <v/>
      </c>
      <c r="W1760" s="8">
        <f>V1760/AA1760</f>
        <v/>
      </c>
      <c r="X1760" s="27">
        <f>((3*10+H1760/COS(RADIANS(E1760)))*(3+3)+3*G1760*H1760)*2</f>
        <v/>
      </c>
      <c r="Y1760" s="28">
        <f>Z1760/X1760</f>
        <v/>
      </c>
      <c r="Z1760" s="29" t="n">
        <v>625.1319459132289</v>
      </c>
      <c r="AA1760" s="20" t="n">
        <v>54.4730631729092</v>
      </c>
      <c r="AB1760" t="n">
        <v>0.110328169066462</v>
      </c>
      <c r="AC1760" t="n">
        <v>54.27930885789716</v>
      </c>
      <c r="AD1760" t="n">
        <v>-13.63553330363246</v>
      </c>
    </row>
    <row r="1761">
      <c r="A1761" t="n">
        <v>1760</v>
      </c>
      <c r="B1761" t="n">
        <v>80.90000000000001</v>
      </c>
      <c r="C1761" s="21">
        <f>B1761-20</f>
        <v/>
      </c>
      <c r="D1761" t="n">
        <v>100.4</v>
      </c>
      <c r="E1761" s="22">
        <f>D1761-90</f>
        <v/>
      </c>
      <c r="F1761" s="23" t="n">
        <v>0.017111</v>
      </c>
      <c r="G1761" s="22" t="n">
        <v>21.8</v>
      </c>
      <c r="H1761" s="22" t="n">
        <v>1.5</v>
      </c>
      <c r="I1761" s="24" t="n">
        <v>0.08237692713737479</v>
      </c>
      <c r="J1761" s="6" t="n">
        <v>71000</v>
      </c>
      <c r="K1761" s="25">
        <f>23*10^-6</f>
        <v/>
      </c>
      <c r="L1761" s="8">
        <f>H1761</f>
        <v/>
      </c>
      <c r="M1761" s="26">
        <f>H1761^2/6</f>
        <v/>
      </c>
      <c r="N1761" s="26">
        <f>H1761^3/12</f>
        <v/>
      </c>
      <c r="O1761" s="27">
        <f>-J1761*L1761*K1761*C1761</f>
        <v/>
      </c>
      <c r="P1761" s="28">
        <f>-(12*F1761*J1761*L1761*N1761+12*O1761*N1761*G1761*COS(RADIANS(E1761)))/(12*N1761*G1761*COS(RADIANS(E1761))^2+L1761*G1761^3*SIN(RADIANS(E1761))^2)</f>
        <v/>
      </c>
      <c r="Q1761" s="28">
        <f>-(6*F1761*J1761*L1761*N1761*SIN(RADIANS(E1761))+6*O1761*N1761*G1761*SIN(RADIANS(E1761))*COS(RADIANS(E1761)))/(12*N1761*COS(RADIANS(E1761))^2+L1761*G1761^2*SIN(RADIANS(E1761))^2)</f>
        <v/>
      </c>
      <c r="R1761" s="28">
        <f>-P1761*SIN(RADIANS(E1761))</f>
        <v/>
      </c>
      <c r="S1761" s="8">
        <f>(O1761+P1761*COS(RADIANS(E1761)))/L1761</f>
        <v/>
      </c>
      <c r="T1761" s="8">
        <f>R1761/L1761</f>
        <v/>
      </c>
      <c r="U1761" s="8">
        <f>(Q1761-P1761*G1761*SIN(RADIANS(E1761)))/M1761</f>
        <v/>
      </c>
      <c r="V1761" s="8">
        <f>SQRT((S1761+U1761)^2+3*T1761^2)</f>
        <v/>
      </c>
      <c r="W1761" s="8">
        <f>V1761/AA1761</f>
        <v/>
      </c>
      <c r="X1761" s="27">
        <f>((3*10+H1761/COS(RADIANS(E1761)))*(3+3)+3*G1761*H1761)*2</f>
        <v/>
      </c>
      <c r="Y1761" s="28">
        <f>Z1761/X1761</f>
        <v/>
      </c>
      <c r="Z1761" s="29" t="n">
        <v>584.735517266855</v>
      </c>
      <c r="AA1761" s="20" t="n">
        <v>94.2936938225143</v>
      </c>
      <c r="AB1761" t="n">
        <v>0.2388897595157876</v>
      </c>
      <c r="AC1761" t="n">
        <v>107.6100269673715</v>
      </c>
      <c r="AD1761" t="n">
        <v>189.9959585982205</v>
      </c>
    </row>
    <row r="1762">
      <c r="A1762" t="n">
        <v>1761</v>
      </c>
      <c r="B1762" t="n">
        <v>60.7</v>
      </c>
      <c r="C1762" s="21">
        <f>B1762-20</f>
        <v/>
      </c>
      <c r="D1762" t="n">
        <v>103.5</v>
      </c>
      <c r="E1762" s="22">
        <f>D1762-90</f>
        <v/>
      </c>
      <c r="F1762" s="23" t="n">
        <v>0.012786</v>
      </c>
      <c r="G1762" s="22" t="n">
        <v>23</v>
      </c>
      <c r="H1762" s="22" t="n">
        <v>1.3</v>
      </c>
      <c r="I1762" s="24" t="n">
        <v>0.0760807171463966</v>
      </c>
      <c r="J1762" s="6" t="n">
        <v>71000</v>
      </c>
      <c r="K1762" s="25">
        <f>23*10^-6</f>
        <v/>
      </c>
      <c r="L1762" s="8">
        <f>H1762</f>
        <v/>
      </c>
      <c r="M1762" s="26">
        <f>H1762^2/6</f>
        <v/>
      </c>
      <c r="N1762" s="26">
        <f>H1762^3/12</f>
        <v/>
      </c>
      <c r="O1762" s="27">
        <f>-J1762*L1762*K1762*C1762</f>
        <v/>
      </c>
      <c r="P1762" s="28">
        <f>-(12*F1762*J1762*L1762*N1762+12*O1762*N1762*G1762*COS(RADIANS(E1762)))/(12*N1762*G1762*COS(RADIANS(E1762))^2+L1762*G1762^3*SIN(RADIANS(E1762))^2)</f>
        <v/>
      </c>
      <c r="Q1762" s="28">
        <f>-(6*F1762*J1762*L1762*N1762*SIN(RADIANS(E1762))+6*O1762*N1762*G1762*SIN(RADIANS(E1762))*COS(RADIANS(E1762)))/(12*N1762*COS(RADIANS(E1762))^2+L1762*G1762^2*SIN(RADIANS(E1762))^2)</f>
        <v/>
      </c>
      <c r="R1762" s="28">
        <f>-P1762*SIN(RADIANS(E1762))</f>
        <v/>
      </c>
      <c r="S1762" s="8">
        <f>(O1762+P1762*COS(RADIANS(E1762)))/L1762</f>
        <v/>
      </c>
      <c r="T1762" s="8">
        <f>R1762/L1762</f>
        <v/>
      </c>
      <c r="U1762" s="8">
        <f>(Q1762-P1762*G1762*SIN(RADIANS(E1762)))/M1762</f>
        <v/>
      </c>
      <c r="V1762" s="8">
        <f>SQRT((S1762+U1762)^2+3*T1762^2)</f>
        <v/>
      </c>
      <c r="W1762" s="8">
        <f>V1762/AA1762</f>
        <v/>
      </c>
      <c r="X1762" s="27">
        <f>((3*10+H1762/COS(RADIANS(E1762)))*(3+3)+3*G1762*H1762)*2</f>
        <v/>
      </c>
      <c r="Y1762" s="28">
        <f>Z1762/X1762</f>
        <v/>
      </c>
      <c r="Z1762" s="29" t="n">
        <v>561.0834543518361</v>
      </c>
      <c r="AA1762" s="20" t="n">
        <v>61.419087251161</v>
      </c>
      <c r="AB1762" t="n">
        <v>0.1391578608361235</v>
      </c>
      <c r="AC1762" t="n">
        <v>67.18580531270841</v>
      </c>
      <c r="AD1762" t="n">
        <v>82.90818758760139</v>
      </c>
    </row>
    <row r="1763">
      <c r="A1763" t="n">
        <v>1762</v>
      </c>
      <c r="B1763" t="n">
        <v>62.5</v>
      </c>
      <c r="C1763" s="21">
        <f>B1763-20</f>
        <v/>
      </c>
      <c r="D1763" t="n">
        <v>123.4</v>
      </c>
      <c r="E1763" s="22">
        <f>D1763-90</f>
        <v/>
      </c>
      <c r="F1763" s="23" t="n">
        <v>0.013344</v>
      </c>
      <c r="G1763" s="22" t="n">
        <v>23.2</v>
      </c>
      <c r="H1763" s="22" t="n">
        <v>1.7</v>
      </c>
      <c r="I1763" s="24" t="n">
        <v>0.0757026225328445</v>
      </c>
      <c r="J1763" s="6" t="n">
        <v>71000</v>
      </c>
      <c r="K1763" s="25">
        <f>23*10^-6</f>
        <v/>
      </c>
      <c r="L1763" s="8">
        <f>H1763</f>
        <v/>
      </c>
      <c r="M1763" s="26">
        <f>H1763^2/6</f>
        <v/>
      </c>
      <c r="N1763" s="26">
        <f>H1763^3/12</f>
        <v/>
      </c>
      <c r="O1763" s="27">
        <f>-J1763*L1763*K1763*C1763</f>
        <v/>
      </c>
      <c r="P1763" s="28">
        <f>-(12*F1763*J1763*L1763*N1763+12*O1763*N1763*G1763*COS(RADIANS(E1763)))/(12*N1763*G1763*COS(RADIANS(E1763))^2+L1763*G1763^3*SIN(RADIANS(E1763))^2)</f>
        <v/>
      </c>
      <c r="Q1763" s="28">
        <f>-(6*F1763*J1763*L1763*N1763*SIN(RADIANS(E1763))+6*O1763*N1763*G1763*SIN(RADIANS(E1763))*COS(RADIANS(E1763)))/(12*N1763*COS(RADIANS(E1763))^2+L1763*G1763^2*SIN(RADIANS(E1763))^2)</f>
        <v/>
      </c>
      <c r="R1763" s="28">
        <f>-P1763*SIN(RADIANS(E1763))</f>
        <v/>
      </c>
      <c r="S1763" s="8">
        <f>(O1763+P1763*COS(RADIANS(E1763)))/L1763</f>
        <v/>
      </c>
      <c r="T1763" s="8">
        <f>R1763/L1763</f>
        <v/>
      </c>
      <c r="U1763" s="8">
        <f>(Q1763-P1763*G1763*SIN(RADIANS(E1763)))/M1763</f>
        <v/>
      </c>
      <c r="V1763" s="8">
        <f>SQRT((S1763+U1763)^2+3*T1763^2)</f>
        <v/>
      </c>
      <c r="W1763" s="8">
        <f>V1763/AA1763</f>
        <v/>
      </c>
      <c r="X1763" s="27">
        <f>((3*10+H1763/COS(RADIANS(E1763)))*(3+3)+3*G1763*H1763)*2</f>
        <v/>
      </c>
      <c r="Y1763" s="28">
        <f>Z1763/X1763</f>
        <v/>
      </c>
      <c r="Z1763" s="29" t="n">
        <v>623.8934223373039</v>
      </c>
      <c r="AA1763" s="20" t="n">
        <v>69.9010967295884</v>
      </c>
      <c r="AB1763" t="n">
        <v>0.059008221194032</v>
      </c>
      <c r="AC1763" t="n">
        <v>63.43351376186675</v>
      </c>
      <c r="AD1763" t="n">
        <v>-22.05260634341886</v>
      </c>
    </row>
    <row r="1764">
      <c r="A1764" t="n">
        <v>1763</v>
      </c>
      <c r="B1764" t="n">
        <v>64.90000000000001</v>
      </c>
      <c r="C1764" s="21">
        <f>B1764-20</f>
        <v/>
      </c>
      <c r="D1764" t="n">
        <v>128.1</v>
      </c>
      <c r="E1764" s="22">
        <f>D1764-90</f>
        <v/>
      </c>
      <c r="F1764" s="23" t="n">
        <v>0.017314</v>
      </c>
      <c r="G1764" s="22" t="n">
        <v>28.3</v>
      </c>
      <c r="H1764" s="22" t="n">
        <v>1.3</v>
      </c>
      <c r="I1764" s="24" t="n">
        <v>0.161293789744377</v>
      </c>
      <c r="J1764" s="6" t="n">
        <v>71000</v>
      </c>
      <c r="K1764" s="25">
        <f>23*10^-6</f>
        <v/>
      </c>
      <c r="L1764" s="8">
        <f>H1764</f>
        <v/>
      </c>
      <c r="M1764" s="26">
        <f>H1764^2/6</f>
        <v/>
      </c>
      <c r="N1764" s="26">
        <f>H1764^3/12</f>
        <v/>
      </c>
      <c r="O1764" s="27">
        <f>-J1764*L1764*K1764*C1764</f>
        <v/>
      </c>
      <c r="P1764" s="28">
        <f>-(12*F1764*J1764*L1764*N1764+12*O1764*N1764*G1764*COS(RADIANS(E1764)))/(12*N1764*G1764*COS(RADIANS(E1764))^2+L1764*G1764^3*SIN(RADIANS(E1764))^2)</f>
        <v/>
      </c>
      <c r="Q1764" s="28">
        <f>-(6*F1764*J1764*L1764*N1764*SIN(RADIANS(E1764))+6*O1764*N1764*G1764*SIN(RADIANS(E1764))*COS(RADIANS(E1764)))/(12*N1764*COS(RADIANS(E1764))^2+L1764*G1764^2*SIN(RADIANS(E1764))^2)</f>
        <v/>
      </c>
      <c r="R1764" s="28">
        <f>-P1764*SIN(RADIANS(E1764))</f>
        <v/>
      </c>
      <c r="S1764" s="8">
        <f>(O1764+P1764*COS(RADIANS(E1764)))/L1764</f>
        <v/>
      </c>
      <c r="T1764" s="8">
        <f>R1764/L1764</f>
        <v/>
      </c>
      <c r="U1764" s="8">
        <f>(Q1764-P1764*G1764*SIN(RADIANS(E1764)))/M1764</f>
        <v/>
      </c>
      <c r="V1764" s="8">
        <f>SQRT((S1764+U1764)^2+3*T1764^2)</f>
        <v/>
      </c>
      <c r="W1764" s="8">
        <f>V1764/AA1764</f>
        <v/>
      </c>
      <c r="X1764" s="27">
        <f>((3*10+H1764/COS(RADIANS(E1764)))*(3+3)+3*G1764*H1764)*2</f>
        <v/>
      </c>
      <c r="Y1764" s="28">
        <f>Z1764/X1764</f>
        <v/>
      </c>
      <c r="Z1764" s="29" t="n">
        <v>600.448027911766</v>
      </c>
      <c r="AA1764" s="20" t="n">
        <v>70.5196460658903</v>
      </c>
      <c r="AB1764" t="n">
        <v>0.06555506486932537</v>
      </c>
      <c r="AC1764" t="n">
        <v>64.14652166080829</v>
      </c>
      <c r="AD1764" t="n">
        <v>-59.35673346554823</v>
      </c>
    </row>
    <row r="1765">
      <c r="A1765" t="n">
        <v>1764</v>
      </c>
      <c r="B1765" t="n">
        <v>61.5</v>
      </c>
      <c r="C1765" s="21">
        <f>B1765-20</f>
        <v/>
      </c>
      <c r="D1765" t="n">
        <v>128.1</v>
      </c>
      <c r="E1765" s="22">
        <f>D1765-90</f>
        <v/>
      </c>
      <c r="F1765" s="23" t="n">
        <v>0.018792</v>
      </c>
      <c r="G1765" s="22" t="n">
        <v>34.8</v>
      </c>
      <c r="H1765" s="22" t="n">
        <v>1.8</v>
      </c>
      <c r="I1765" s="24" t="n">
        <v>0.13545224070549</v>
      </c>
      <c r="J1765" s="6" t="n">
        <v>71000</v>
      </c>
      <c r="K1765" s="25">
        <f>23*10^-6</f>
        <v/>
      </c>
      <c r="L1765" s="8">
        <f>H1765</f>
        <v/>
      </c>
      <c r="M1765" s="26">
        <f>H1765^2/6</f>
        <v/>
      </c>
      <c r="N1765" s="26">
        <f>H1765^3/12</f>
        <v/>
      </c>
      <c r="O1765" s="27">
        <f>-J1765*L1765*K1765*C1765</f>
        <v/>
      </c>
      <c r="P1765" s="28">
        <f>-(12*F1765*J1765*L1765*N1765+12*O1765*N1765*G1765*COS(RADIANS(E1765)))/(12*N1765*G1765*COS(RADIANS(E1765))^2+L1765*G1765^3*SIN(RADIANS(E1765))^2)</f>
        <v/>
      </c>
      <c r="Q1765" s="28">
        <f>-(6*F1765*J1765*L1765*N1765*SIN(RADIANS(E1765))+6*O1765*N1765*G1765*SIN(RADIANS(E1765))*COS(RADIANS(E1765)))/(12*N1765*COS(RADIANS(E1765))^2+L1765*G1765^2*SIN(RADIANS(E1765))^2)</f>
        <v/>
      </c>
      <c r="R1765" s="28">
        <f>-P1765*SIN(RADIANS(E1765))</f>
        <v/>
      </c>
      <c r="S1765" s="8">
        <f>(O1765+P1765*COS(RADIANS(E1765)))/L1765</f>
        <v/>
      </c>
      <c r="T1765" s="8">
        <f>R1765/L1765</f>
        <v/>
      </c>
      <c r="U1765" s="8">
        <f>(Q1765-P1765*G1765*SIN(RADIANS(E1765)))/M1765</f>
        <v/>
      </c>
      <c r="V1765" s="8">
        <f>SQRT((S1765+U1765)^2+3*T1765^2)</f>
        <v/>
      </c>
      <c r="W1765" s="8">
        <f>V1765/AA1765</f>
        <v/>
      </c>
      <c r="X1765" s="27">
        <f>((3*10+H1765/COS(RADIANS(E1765)))*(3+3)+3*G1765*H1765)*2</f>
        <v/>
      </c>
      <c r="Y1765" s="28">
        <f>Z1765/X1765</f>
        <v/>
      </c>
      <c r="Z1765" s="29" t="n">
        <v>762.33168894242</v>
      </c>
      <c r="AA1765" s="20" t="n">
        <v>68.6778740056541</v>
      </c>
      <c r="AB1765" t="n">
        <v>0.07360195708891459</v>
      </c>
      <c r="AC1765" t="n">
        <v>59.99062241354746</v>
      </c>
      <c r="AD1765" t="n">
        <v>-45.66206014343812</v>
      </c>
    </row>
    <row r="1766">
      <c r="A1766" t="n">
        <v>1765</v>
      </c>
      <c r="B1766" t="n">
        <v>73.59999999999999</v>
      </c>
      <c r="C1766" s="21">
        <f>B1766-20</f>
        <v/>
      </c>
      <c r="D1766" t="n">
        <v>103.4</v>
      </c>
      <c r="E1766" s="22">
        <f>D1766-90</f>
        <v/>
      </c>
      <c r="F1766" s="23" t="n">
        <v>0.02279</v>
      </c>
      <c r="G1766" s="22" t="n">
        <v>34</v>
      </c>
      <c r="H1766" s="22" t="n">
        <v>1.8</v>
      </c>
      <c r="I1766" s="24" t="n">
        <v>0.119661532342433</v>
      </c>
      <c r="J1766" s="6" t="n">
        <v>71000</v>
      </c>
      <c r="K1766" s="25">
        <f>23*10^-6</f>
        <v/>
      </c>
      <c r="L1766" s="8">
        <f>H1766</f>
        <v/>
      </c>
      <c r="M1766" s="26">
        <f>H1766^2/6</f>
        <v/>
      </c>
      <c r="N1766" s="26">
        <f>H1766^3/12</f>
        <v/>
      </c>
      <c r="O1766" s="27">
        <f>-J1766*L1766*K1766*C1766</f>
        <v/>
      </c>
      <c r="P1766" s="28">
        <f>-(12*F1766*J1766*L1766*N1766+12*O1766*N1766*G1766*COS(RADIANS(E1766)))/(12*N1766*G1766*COS(RADIANS(E1766))^2+L1766*G1766^3*SIN(RADIANS(E1766))^2)</f>
        <v/>
      </c>
      <c r="Q1766" s="28">
        <f>-(6*F1766*J1766*L1766*N1766*SIN(RADIANS(E1766))+6*O1766*N1766*G1766*SIN(RADIANS(E1766))*COS(RADIANS(E1766)))/(12*N1766*COS(RADIANS(E1766))^2+L1766*G1766^2*SIN(RADIANS(E1766))^2)</f>
        <v/>
      </c>
      <c r="R1766" s="28">
        <f>-P1766*SIN(RADIANS(E1766))</f>
        <v/>
      </c>
      <c r="S1766" s="8">
        <f>(O1766+P1766*COS(RADIANS(E1766)))/L1766</f>
        <v/>
      </c>
      <c r="T1766" s="8">
        <f>R1766/L1766</f>
        <v/>
      </c>
      <c r="U1766" s="8">
        <f>(Q1766-P1766*G1766*SIN(RADIANS(E1766)))/M1766</f>
        <v/>
      </c>
      <c r="V1766" s="8">
        <f>SQRT((S1766+U1766)^2+3*T1766^2)</f>
        <v/>
      </c>
      <c r="W1766" s="8">
        <f>V1766/AA1766</f>
        <v/>
      </c>
      <c r="X1766" s="27">
        <f>((3*10+H1766/COS(RADIANS(E1766)))*(3+3)+3*G1766*H1766)*2</f>
        <v/>
      </c>
      <c r="Y1766" s="28">
        <f>Z1766/X1766</f>
        <v/>
      </c>
      <c r="Z1766" s="29" t="n">
        <v>756.171662595321</v>
      </c>
      <c r="AA1766" s="20" t="n">
        <v>84.8892101646567</v>
      </c>
      <c r="AB1766" t="n">
        <v>0.2675910380758099</v>
      </c>
      <c r="AC1766" t="n">
        <v>89.54353146368734</v>
      </c>
      <c r="AD1766" t="n">
        <v>123.6232754483287</v>
      </c>
    </row>
    <row r="1767">
      <c r="A1767" t="n">
        <v>1766</v>
      </c>
      <c r="B1767" t="n">
        <v>70.90000000000001</v>
      </c>
      <c r="C1767" s="21">
        <f>B1767-20</f>
        <v/>
      </c>
      <c r="D1767" t="n">
        <v>116.3</v>
      </c>
      <c r="E1767" s="22">
        <f>D1767-90</f>
        <v/>
      </c>
      <c r="F1767" s="23" t="n">
        <v>0.018435</v>
      </c>
      <c r="G1767" s="22" t="n">
        <v>26.2</v>
      </c>
      <c r="H1767" s="22" t="n">
        <v>1.4</v>
      </c>
      <c r="I1767" s="24" t="n">
        <v>0.171222031116485</v>
      </c>
      <c r="J1767" s="6" t="n">
        <v>71000</v>
      </c>
      <c r="K1767" s="25">
        <f>23*10^-6</f>
        <v/>
      </c>
      <c r="L1767" s="8">
        <f>H1767</f>
        <v/>
      </c>
      <c r="M1767" s="26">
        <f>H1767^2/6</f>
        <v/>
      </c>
      <c r="N1767" s="26">
        <f>H1767^3/12</f>
        <v/>
      </c>
      <c r="O1767" s="27">
        <f>-J1767*L1767*K1767*C1767</f>
        <v/>
      </c>
      <c r="P1767" s="28">
        <f>-(12*F1767*J1767*L1767*N1767+12*O1767*N1767*G1767*COS(RADIANS(E1767)))/(12*N1767*G1767*COS(RADIANS(E1767))^2+L1767*G1767^3*SIN(RADIANS(E1767))^2)</f>
        <v/>
      </c>
      <c r="Q1767" s="28">
        <f>-(6*F1767*J1767*L1767*N1767*SIN(RADIANS(E1767))+6*O1767*N1767*G1767*SIN(RADIANS(E1767))*COS(RADIANS(E1767)))/(12*N1767*COS(RADIANS(E1767))^2+L1767*G1767^2*SIN(RADIANS(E1767))^2)</f>
        <v/>
      </c>
      <c r="R1767" s="28">
        <f>-P1767*SIN(RADIANS(E1767))</f>
        <v/>
      </c>
      <c r="S1767" s="8">
        <f>(O1767+P1767*COS(RADIANS(E1767)))/L1767</f>
        <v/>
      </c>
      <c r="T1767" s="8">
        <f>R1767/L1767</f>
        <v/>
      </c>
      <c r="U1767" s="8">
        <f>(Q1767-P1767*G1767*SIN(RADIANS(E1767)))/M1767</f>
        <v/>
      </c>
      <c r="V1767" s="8">
        <f>SQRT((S1767+U1767)^2+3*T1767^2)</f>
        <v/>
      </c>
      <c r="W1767" s="8">
        <f>V1767/AA1767</f>
        <v/>
      </c>
      <c r="X1767" s="27">
        <f>((3*10+H1767/COS(RADIANS(E1767)))*(3+3)+3*G1767*H1767)*2</f>
        <v/>
      </c>
      <c r="Y1767" s="28">
        <f>Z1767/X1767</f>
        <v/>
      </c>
      <c r="Z1767" s="29" t="n">
        <v>600.995109085595</v>
      </c>
      <c r="AA1767" s="20" t="n">
        <v>82.7699989052705</v>
      </c>
      <c r="AB1767" t="n">
        <v>0.1025498778907947</v>
      </c>
      <c r="AC1767" t="n">
        <v>76.34611191539288</v>
      </c>
      <c r="AD1767" t="n">
        <v>-40.10707779711573</v>
      </c>
    </row>
    <row r="1768">
      <c r="A1768" t="n">
        <v>1767</v>
      </c>
      <c r="B1768" t="n">
        <v>40</v>
      </c>
      <c r="C1768" s="21">
        <f>B1768-20</f>
        <v/>
      </c>
      <c r="D1768" t="n">
        <v>115.2</v>
      </c>
      <c r="E1768" s="22">
        <f>D1768-90</f>
        <v/>
      </c>
      <c r="F1768" s="23" t="n">
        <v>0.008418</v>
      </c>
      <c r="G1768" s="22" t="n">
        <v>31.8</v>
      </c>
      <c r="H1768" s="22" t="n">
        <v>1.9</v>
      </c>
      <c r="I1768" s="24" t="n">
        <v>0.0631585568189621</v>
      </c>
      <c r="J1768" s="6" t="n">
        <v>71000</v>
      </c>
      <c r="K1768" s="25">
        <f>23*10^-6</f>
        <v/>
      </c>
      <c r="L1768" s="8">
        <f>H1768</f>
        <v/>
      </c>
      <c r="M1768" s="26">
        <f>H1768^2/6</f>
        <v/>
      </c>
      <c r="N1768" s="26">
        <f>H1768^3/12</f>
        <v/>
      </c>
      <c r="O1768" s="27">
        <f>-J1768*L1768*K1768*C1768</f>
        <v/>
      </c>
      <c r="P1768" s="28">
        <f>-(12*F1768*J1768*L1768*N1768+12*O1768*N1768*G1768*COS(RADIANS(E1768)))/(12*N1768*G1768*COS(RADIANS(E1768))^2+L1768*G1768^3*SIN(RADIANS(E1768))^2)</f>
        <v/>
      </c>
      <c r="Q1768" s="28">
        <f>-(6*F1768*J1768*L1768*N1768*SIN(RADIANS(E1768))+6*O1768*N1768*G1768*SIN(RADIANS(E1768))*COS(RADIANS(E1768)))/(12*N1768*COS(RADIANS(E1768))^2+L1768*G1768^2*SIN(RADIANS(E1768))^2)</f>
        <v/>
      </c>
      <c r="R1768" s="28">
        <f>-P1768*SIN(RADIANS(E1768))</f>
        <v/>
      </c>
      <c r="S1768" s="8">
        <f>(O1768+P1768*COS(RADIANS(E1768)))/L1768</f>
        <v/>
      </c>
      <c r="T1768" s="8">
        <f>R1768/L1768</f>
        <v/>
      </c>
      <c r="U1768" s="8">
        <f>(Q1768-P1768*G1768*SIN(RADIANS(E1768)))/M1768</f>
        <v/>
      </c>
      <c r="V1768" s="8">
        <f>SQRT((S1768+U1768)^2+3*T1768^2)</f>
        <v/>
      </c>
      <c r="W1768" s="8">
        <f>V1768/AA1768</f>
        <v/>
      </c>
      <c r="X1768" s="27">
        <f>((3*10+H1768/COS(RADIANS(E1768)))*(3+3)+3*G1768*H1768)*2</f>
        <v/>
      </c>
      <c r="Y1768" s="28">
        <f>Z1768/X1768</f>
        <v/>
      </c>
      <c r="Z1768" s="29" t="n">
        <v>750.083460449173</v>
      </c>
      <c r="AA1768" s="20" t="n">
        <v>34.6071407046215</v>
      </c>
      <c r="AB1768" t="n">
        <v>0.05033283999658665</v>
      </c>
      <c r="AC1768" t="n">
        <v>30.72980210571833</v>
      </c>
      <c r="AD1768" t="n">
        <v>-20.30717208934828</v>
      </c>
    </row>
    <row r="1769">
      <c r="A1769" t="n">
        <v>1768</v>
      </c>
      <c r="B1769" t="n">
        <v>72.5</v>
      </c>
      <c r="C1769" s="21">
        <f>B1769-20</f>
        <v/>
      </c>
      <c r="D1769" t="n">
        <v>110.7</v>
      </c>
      <c r="E1769" s="22">
        <f>D1769-90</f>
        <v/>
      </c>
      <c r="F1769" s="23" t="n">
        <v>0.01958</v>
      </c>
      <c r="G1769" s="22" t="n">
        <v>32</v>
      </c>
      <c r="H1769" s="22" t="n">
        <v>1.3</v>
      </c>
      <c r="I1769" s="24" t="n">
        <v>0.0867432057857513</v>
      </c>
      <c r="J1769" s="6" t="n">
        <v>71000</v>
      </c>
      <c r="K1769" s="25">
        <f>23*10^-6</f>
        <v/>
      </c>
      <c r="L1769" s="8">
        <f>H1769</f>
        <v/>
      </c>
      <c r="M1769" s="26">
        <f>H1769^2/6</f>
        <v/>
      </c>
      <c r="N1769" s="26">
        <f>H1769^3/12</f>
        <v/>
      </c>
      <c r="O1769" s="27">
        <f>-J1769*L1769*K1769*C1769</f>
        <v/>
      </c>
      <c r="P1769" s="28">
        <f>-(12*F1769*J1769*L1769*N1769+12*O1769*N1769*G1769*COS(RADIANS(E1769)))/(12*N1769*G1769*COS(RADIANS(E1769))^2+L1769*G1769^3*SIN(RADIANS(E1769))^2)</f>
        <v/>
      </c>
      <c r="Q1769" s="28">
        <f>-(6*F1769*J1769*L1769*N1769*SIN(RADIANS(E1769))+6*O1769*N1769*G1769*SIN(RADIANS(E1769))*COS(RADIANS(E1769)))/(12*N1769*COS(RADIANS(E1769))^2+L1769*G1769^2*SIN(RADIANS(E1769))^2)</f>
        <v/>
      </c>
      <c r="R1769" s="28">
        <f>-P1769*SIN(RADIANS(E1769))</f>
        <v/>
      </c>
      <c r="S1769" s="8">
        <f>(O1769+P1769*COS(RADIANS(E1769)))/L1769</f>
        <v/>
      </c>
      <c r="T1769" s="8">
        <f>R1769/L1769</f>
        <v/>
      </c>
      <c r="U1769" s="8">
        <f>(Q1769-P1769*G1769*SIN(RADIANS(E1769)))/M1769</f>
        <v/>
      </c>
      <c r="V1769" s="8">
        <f>SQRT((S1769+U1769)^2+3*T1769^2)</f>
        <v/>
      </c>
      <c r="W1769" s="8">
        <f>V1769/AA1769</f>
        <v/>
      </c>
      <c r="X1769" s="27">
        <f>((3*10+H1769/COS(RADIANS(E1769)))*(3+3)+3*G1769*H1769)*2</f>
        <v/>
      </c>
      <c r="Y1769" s="28">
        <f>Z1769/X1769</f>
        <v/>
      </c>
      <c r="Z1769" s="29" t="n">
        <v>636.4674215082</v>
      </c>
      <c r="AA1769" s="20" t="n">
        <v>73.3708893103629</v>
      </c>
      <c r="AB1769" t="n">
        <v>0.1642380436828406</v>
      </c>
      <c r="AC1769" t="n">
        <v>79.29347349448486</v>
      </c>
      <c r="AD1769" t="n">
        <v>89.33822216404506</v>
      </c>
    </row>
    <row r="1770">
      <c r="A1770" t="n">
        <v>1769</v>
      </c>
      <c r="B1770" t="n">
        <v>44.2</v>
      </c>
      <c r="C1770" s="21">
        <f>B1770-20</f>
        <v/>
      </c>
      <c r="D1770" t="n">
        <v>126.7</v>
      </c>
      <c r="E1770" s="22">
        <f>D1770-90</f>
        <v/>
      </c>
      <c r="F1770" s="23" t="n">
        <v>0.00717</v>
      </c>
      <c r="G1770" s="22" t="n">
        <v>25.4</v>
      </c>
      <c r="H1770" s="22" t="n">
        <v>1.8</v>
      </c>
      <c r="I1770" s="24" t="n">
        <v>0.0318144373595714</v>
      </c>
      <c r="J1770" s="6" t="n">
        <v>71000</v>
      </c>
      <c r="K1770" s="25">
        <f>23*10^-6</f>
        <v/>
      </c>
      <c r="L1770" s="8">
        <f>H1770</f>
        <v/>
      </c>
      <c r="M1770" s="26">
        <f>H1770^2/6</f>
        <v/>
      </c>
      <c r="N1770" s="26">
        <f>H1770^3/12</f>
        <v/>
      </c>
      <c r="O1770" s="27">
        <f>-J1770*L1770*K1770*C1770</f>
        <v/>
      </c>
      <c r="P1770" s="28">
        <f>-(12*F1770*J1770*L1770*N1770+12*O1770*N1770*G1770*COS(RADIANS(E1770)))/(12*N1770*G1770*COS(RADIANS(E1770))^2+L1770*G1770^3*SIN(RADIANS(E1770))^2)</f>
        <v/>
      </c>
      <c r="Q1770" s="28">
        <f>-(6*F1770*J1770*L1770*N1770*SIN(RADIANS(E1770))+6*O1770*N1770*G1770*SIN(RADIANS(E1770))*COS(RADIANS(E1770)))/(12*N1770*COS(RADIANS(E1770))^2+L1770*G1770^2*SIN(RADIANS(E1770))^2)</f>
        <v/>
      </c>
      <c r="R1770" s="28">
        <f>-P1770*SIN(RADIANS(E1770))</f>
        <v/>
      </c>
      <c r="S1770" s="8">
        <f>(O1770+P1770*COS(RADIANS(E1770)))/L1770</f>
        <v/>
      </c>
      <c r="T1770" s="8">
        <f>R1770/L1770</f>
        <v/>
      </c>
      <c r="U1770" s="8">
        <f>(Q1770-P1770*G1770*SIN(RADIANS(E1770)))/M1770</f>
        <v/>
      </c>
      <c r="V1770" s="8">
        <f>SQRT((S1770+U1770)^2+3*T1770^2)</f>
        <v/>
      </c>
      <c r="W1770" s="8">
        <f>V1770/AA1770</f>
        <v/>
      </c>
      <c r="X1770" s="27">
        <f>((3*10+H1770/COS(RADIANS(E1770)))*(3+3)+3*G1770*H1770)*2</f>
        <v/>
      </c>
      <c r="Y1770" s="28">
        <f>Z1770/X1770</f>
        <v/>
      </c>
      <c r="Z1770" s="29" t="n">
        <v>671.699963869966</v>
      </c>
      <c r="AA1770" s="20" t="n">
        <v>38.028115099619</v>
      </c>
      <c r="AB1770" t="n">
        <v>0.0330667557405654</v>
      </c>
      <c r="AC1770" t="n">
        <v>35.69155964319378</v>
      </c>
      <c r="AD1770" t="n">
        <v>3.936321006843899</v>
      </c>
    </row>
    <row r="1771">
      <c r="A1771" t="n">
        <v>1770</v>
      </c>
      <c r="B1771" t="n">
        <v>56.5</v>
      </c>
      <c r="C1771" s="21">
        <f>B1771-20</f>
        <v/>
      </c>
      <c r="D1771" t="n">
        <v>115.6</v>
      </c>
      <c r="E1771" s="22">
        <f>D1771-90</f>
        <v/>
      </c>
      <c r="F1771" s="23" t="n">
        <v>0.010061</v>
      </c>
      <c r="G1771" s="22" t="n">
        <v>23.1</v>
      </c>
      <c r="H1771" s="22" t="n">
        <v>1.3</v>
      </c>
      <c r="I1771" s="24" t="n">
        <v>0.0451992936432361</v>
      </c>
      <c r="J1771" s="6" t="n">
        <v>71000</v>
      </c>
      <c r="K1771" s="25">
        <f>23*10^-6</f>
        <v/>
      </c>
      <c r="L1771" s="8">
        <f>H1771</f>
        <v/>
      </c>
      <c r="M1771" s="26">
        <f>H1771^2/6</f>
        <v/>
      </c>
      <c r="N1771" s="26">
        <f>H1771^3/12</f>
        <v/>
      </c>
      <c r="O1771" s="27">
        <f>-J1771*L1771*K1771*C1771</f>
        <v/>
      </c>
      <c r="P1771" s="28">
        <f>-(12*F1771*J1771*L1771*N1771+12*O1771*N1771*G1771*COS(RADIANS(E1771)))/(12*N1771*G1771*COS(RADIANS(E1771))^2+L1771*G1771^3*SIN(RADIANS(E1771))^2)</f>
        <v/>
      </c>
      <c r="Q1771" s="28">
        <f>-(6*F1771*J1771*L1771*N1771*SIN(RADIANS(E1771))+6*O1771*N1771*G1771*SIN(RADIANS(E1771))*COS(RADIANS(E1771)))/(12*N1771*COS(RADIANS(E1771))^2+L1771*G1771^2*SIN(RADIANS(E1771))^2)</f>
        <v/>
      </c>
      <c r="R1771" s="28">
        <f>-P1771*SIN(RADIANS(E1771))</f>
        <v/>
      </c>
      <c r="S1771" s="8">
        <f>(O1771+P1771*COS(RADIANS(E1771)))/L1771</f>
        <v/>
      </c>
      <c r="T1771" s="8">
        <f>R1771/L1771</f>
        <v/>
      </c>
      <c r="U1771" s="8">
        <f>(Q1771-P1771*G1771*SIN(RADIANS(E1771)))/M1771</f>
        <v/>
      </c>
      <c r="V1771" s="8">
        <f>SQRT((S1771+U1771)^2+3*T1771^2)</f>
        <v/>
      </c>
      <c r="W1771" s="8">
        <f>V1771/AA1771</f>
        <v/>
      </c>
      <c r="X1771" s="27">
        <f>((3*10+H1771/COS(RADIANS(E1771)))*(3+3)+3*G1771*H1771)*2</f>
        <v/>
      </c>
      <c r="Y1771" s="28">
        <f>Z1771/X1771</f>
        <v/>
      </c>
      <c r="Z1771" s="29" t="n">
        <v>569.93544617466</v>
      </c>
      <c r="AA1771" s="20" t="n">
        <v>52.1435581537909</v>
      </c>
      <c r="AB1771" t="n">
        <v>0.06718332487232395</v>
      </c>
      <c r="AC1771" t="n">
        <v>54.94452124151979</v>
      </c>
      <c r="AD1771" t="n">
        <v>48.63799731608788</v>
      </c>
    </row>
    <row r="1772">
      <c r="A1772" t="n">
        <v>1771</v>
      </c>
      <c r="B1772" t="n">
        <v>67.09999999999999</v>
      </c>
      <c r="C1772" s="21">
        <f>B1772-20</f>
        <v/>
      </c>
      <c r="D1772" t="n">
        <v>125.2</v>
      </c>
      <c r="E1772" s="22">
        <f>D1772-90</f>
        <v/>
      </c>
      <c r="F1772" s="23" t="n">
        <v>0.018056</v>
      </c>
      <c r="G1772" s="22" t="n">
        <v>28.4</v>
      </c>
      <c r="H1772" s="22" t="n">
        <v>1.3</v>
      </c>
      <c r="I1772" s="24" t="n">
        <v>0.140397310256958</v>
      </c>
      <c r="J1772" s="6" t="n">
        <v>71000</v>
      </c>
      <c r="K1772" s="25">
        <f>23*10^-6</f>
        <v/>
      </c>
      <c r="L1772" s="8">
        <f>H1772</f>
        <v/>
      </c>
      <c r="M1772" s="26">
        <f>H1772^2/6</f>
        <v/>
      </c>
      <c r="N1772" s="26">
        <f>H1772^3/12</f>
        <v/>
      </c>
      <c r="O1772" s="27">
        <f>-J1772*L1772*K1772*C1772</f>
        <v/>
      </c>
      <c r="P1772" s="28">
        <f>-(12*F1772*J1772*L1772*N1772+12*O1772*N1772*G1772*COS(RADIANS(E1772)))/(12*N1772*G1772*COS(RADIANS(E1772))^2+L1772*G1772^3*SIN(RADIANS(E1772))^2)</f>
        <v/>
      </c>
      <c r="Q1772" s="28">
        <f>-(6*F1772*J1772*L1772*N1772*SIN(RADIANS(E1772))+6*O1772*N1772*G1772*SIN(RADIANS(E1772))*COS(RADIANS(E1772)))/(12*N1772*COS(RADIANS(E1772))^2+L1772*G1772^2*SIN(RADIANS(E1772))^2)</f>
        <v/>
      </c>
      <c r="R1772" s="28">
        <f>-P1772*SIN(RADIANS(E1772))</f>
        <v/>
      </c>
      <c r="S1772" s="8">
        <f>(O1772+P1772*COS(RADIANS(E1772)))/L1772</f>
        <v/>
      </c>
      <c r="T1772" s="8">
        <f>R1772/L1772</f>
        <v/>
      </c>
      <c r="U1772" s="8">
        <f>(Q1772-P1772*G1772*SIN(RADIANS(E1772)))/M1772</f>
        <v/>
      </c>
      <c r="V1772" s="8">
        <f>SQRT((S1772+U1772)^2+3*T1772^2)</f>
        <v/>
      </c>
      <c r="W1772" s="8">
        <f>V1772/AA1772</f>
        <v/>
      </c>
      <c r="X1772" s="27">
        <f>((3*10+H1772/COS(RADIANS(E1772)))*(3+3)+3*G1772*H1772)*2</f>
        <v/>
      </c>
      <c r="Y1772" s="28">
        <f>Z1772/X1772</f>
        <v/>
      </c>
      <c r="Z1772" s="29" t="n">
        <v>601.661875639538</v>
      </c>
      <c r="AA1772" s="20" t="n">
        <v>72.14734506072401</v>
      </c>
      <c r="AB1772" t="n">
        <v>0.07524041924829547</v>
      </c>
      <c r="AC1772" t="n">
        <v>67.7747711867794</v>
      </c>
      <c r="AD1772" t="n">
        <v>-46.40893111799013</v>
      </c>
    </row>
    <row r="1773">
      <c r="A1773" t="n">
        <v>1772</v>
      </c>
      <c r="B1773" t="n">
        <v>78.2</v>
      </c>
      <c r="C1773" s="21">
        <f>B1773-20</f>
        <v/>
      </c>
      <c r="D1773" t="n">
        <v>124</v>
      </c>
      <c r="E1773" s="22">
        <f>D1773-90</f>
        <v/>
      </c>
      <c r="F1773" s="23" t="n">
        <v>0.022777</v>
      </c>
      <c r="G1773" s="22" t="n">
        <v>31.6</v>
      </c>
      <c r="H1773" s="22" t="n">
        <v>1.1</v>
      </c>
      <c r="I1773" s="24" t="n">
        <v>0.112105287611484</v>
      </c>
      <c r="J1773" s="6" t="n">
        <v>71000</v>
      </c>
      <c r="K1773" s="25">
        <f>23*10^-6</f>
        <v/>
      </c>
      <c r="L1773" s="8">
        <f>H1773</f>
        <v/>
      </c>
      <c r="M1773" s="26">
        <f>H1773^2/6</f>
        <v/>
      </c>
      <c r="N1773" s="26">
        <f>H1773^3/12</f>
        <v/>
      </c>
      <c r="O1773" s="27">
        <f>-J1773*L1773*K1773*C1773</f>
        <v/>
      </c>
      <c r="P1773" s="28">
        <f>-(12*F1773*J1773*L1773*N1773+12*O1773*N1773*G1773*COS(RADIANS(E1773)))/(12*N1773*G1773*COS(RADIANS(E1773))^2+L1773*G1773^3*SIN(RADIANS(E1773))^2)</f>
        <v/>
      </c>
      <c r="Q1773" s="28">
        <f>-(6*F1773*J1773*L1773*N1773*SIN(RADIANS(E1773))+6*O1773*N1773*G1773*SIN(RADIANS(E1773))*COS(RADIANS(E1773)))/(12*N1773*COS(RADIANS(E1773))^2+L1773*G1773^2*SIN(RADIANS(E1773))^2)</f>
        <v/>
      </c>
      <c r="R1773" s="28">
        <f>-P1773*SIN(RADIANS(E1773))</f>
        <v/>
      </c>
      <c r="S1773" s="8">
        <f>(O1773+P1773*COS(RADIANS(E1773)))/L1773</f>
        <v/>
      </c>
      <c r="T1773" s="8">
        <f>R1773/L1773</f>
        <v/>
      </c>
      <c r="U1773" s="8">
        <f>(Q1773-P1773*G1773*SIN(RADIANS(E1773)))/M1773</f>
        <v/>
      </c>
      <c r="V1773" s="8">
        <f>SQRT((S1773+U1773)^2+3*T1773^2)</f>
        <v/>
      </c>
      <c r="W1773" s="8">
        <f>V1773/AA1773</f>
        <v/>
      </c>
      <c r="X1773" s="27">
        <f>((3*10+H1773/COS(RADIANS(E1773)))*(3+3)+3*G1773*H1773)*2</f>
        <v/>
      </c>
      <c r="Y1773" s="28">
        <f>Z1773/X1773</f>
        <v/>
      </c>
      <c r="Z1773" s="29" t="n">
        <v>589.4889590852659</v>
      </c>
      <c r="AA1773" s="20" t="n">
        <v>80.27250353039339</v>
      </c>
      <c r="AB1773" t="n">
        <v>0.1069921098124834</v>
      </c>
      <c r="AC1773" t="n">
        <v>82.80600028595585</v>
      </c>
      <c r="AD1773" t="n">
        <v>-4.561049623922283</v>
      </c>
    </row>
    <row r="1774">
      <c r="A1774" t="n">
        <v>1773</v>
      </c>
      <c r="B1774" t="n">
        <v>73.8</v>
      </c>
      <c r="C1774" s="21">
        <f>B1774-20</f>
        <v/>
      </c>
      <c r="D1774" t="n">
        <v>120.5</v>
      </c>
      <c r="E1774" s="22">
        <f>D1774-90</f>
        <v/>
      </c>
      <c r="F1774" s="23" t="n">
        <v>0.021993</v>
      </c>
      <c r="G1774" s="22" t="n">
        <v>33</v>
      </c>
      <c r="H1774" s="22" t="n">
        <v>1.9</v>
      </c>
      <c r="I1774" s="24" t="n">
        <v>0.110033139586448</v>
      </c>
      <c r="J1774" s="6" t="n">
        <v>71000</v>
      </c>
      <c r="K1774" s="25">
        <f>23*10^-6</f>
        <v/>
      </c>
      <c r="L1774" s="8">
        <f>H1774</f>
        <v/>
      </c>
      <c r="M1774" s="26">
        <f>H1774^2/6</f>
        <v/>
      </c>
      <c r="N1774" s="26">
        <f>H1774^3/12</f>
        <v/>
      </c>
      <c r="O1774" s="27">
        <f>-J1774*L1774*K1774*C1774</f>
        <v/>
      </c>
      <c r="P1774" s="28">
        <f>-(12*F1774*J1774*L1774*N1774+12*O1774*N1774*G1774*COS(RADIANS(E1774)))/(12*N1774*G1774*COS(RADIANS(E1774))^2+L1774*G1774^3*SIN(RADIANS(E1774))^2)</f>
        <v/>
      </c>
      <c r="Q1774" s="28">
        <f>-(6*F1774*J1774*L1774*N1774*SIN(RADIANS(E1774))+6*O1774*N1774*G1774*SIN(RADIANS(E1774))*COS(RADIANS(E1774)))/(12*N1774*COS(RADIANS(E1774))^2+L1774*G1774^2*SIN(RADIANS(E1774))^2)</f>
        <v/>
      </c>
      <c r="R1774" s="28">
        <f>-P1774*SIN(RADIANS(E1774))</f>
        <v/>
      </c>
      <c r="S1774" s="8">
        <f>(O1774+P1774*COS(RADIANS(E1774)))/L1774</f>
        <v/>
      </c>
      <c r="T1774" s="8">
        <f>R1774/L1774</f>
        <v/>
      </c>
      <c r="U1774" s="8">
        <f>(Q1774-P1774*G1774*SIN(RADIANS(E1774)))/M1774</f>
        <v/>
      </c>
      <c r="V1774" s="8">
        <f>SQRT((S1774+U1774)^2+3*T1774^2)</f>
        <v/>
      </c>
      <c r="W1774" s="8">
        <f>V1774/AA1774</f>
        <v/>
      </c>
      <c r="X1774" s="27">
        <f>((3*10+H1774/COS(RADIANS(E1774)))*(3+3)+3*G1774*H1774)*2</f>
        <v/>
      </c>
      <c r="Y1774" s="28">
        <f>Z1774/X1774</f>
        <v/>
      </c>
      <c r="Z1774" s="29" t="n">
        <v>767.356220871441</v>
      </c>
      <c r="AA1774" s="20" t="n">
        <v>86.3253092564409</v>
      </c>
      <c r="AB1774" t="n">
        <v>0.11508978789914</v>
      </c>
      <c r="AC1774" t="n">
        <v>80.37728825518974</v>
      </c>
      <c r="AD1774" t="n">
        <v>4.595568509357363</v>
      </c>
    </row>
    <row r="1775">
      <c r="A1775" t="n">
        <v>1774</v>
      </c>
      <c r="B1775" t="n">
        <v>78.3</v>
      </c>
      <c r="C1775" s="21">
        <f>B1775-20</f>
        <v/>
      </c>
      <c r="D1775" t="n">
        <v>108.7</v>
      </c>
      <c r="E1775" s="22">
        <f>D1775-90</f>
        <v/>
      </c>
      <c r="F1775" s="23" t="n">
        <v>0.02152</v>
      </c>
      <c r="G1775" s="22" t="n">
        <v>28.2</v>
      </c>
      <c r="H1775" s="22" t="n">
        <v>1.2</v>
      </c>
      <c r="I1775" s="24" t="n">
        <v>0.123816169798374</v>
      </c>
      <c r="J1775" s="6" t="n">
        <v>71000</v>
      </c>
      <c r="K1775" s="25">
        <f>23*10^-6</f>
        <v/>
      </c>
      <c r="L1775" s="8">
        <f>H1775</f>
        <v/>
      </c>
      <c r="M1775" s="26">
        <f>H1775^2/6</f>
        <v/>
      </c>
      <c r="N1775" s="26">
        <f>H1775^3/12</f>
        <v/>
      </c>
      <c r="O1775" s="27">
        <f>-J1775*L1775*K1775*C1775</f>
        <v/>
      </c>
      <c r="P1775" s="28">
        <f>-(12*F1775*J1775*L1775*N1775+12*O1775*N1775*G1775*COS(RADIANS(E1775)))/(12*N1775*G1775*COS(RADIANS(E1775))^2+L1775*G1775^3*SIN(RADIANS(E1775))^2)</f>
        <v/>
      </c>
      <c r="Q1775" s="28">
        <f>-(6*F1775*J1775*L1775*N1775*SIN(RADIANS(E1775))+6*O1775*N1775*G1775*SIN(RADIANS(E1775))*COS(RADIANS(E1775)))/(12*N1775*COS(RADIANS(E1775))^2+L1775*G1775^2*SIN(RADIANS(E1775))^2)</f>
        <v/>
      </c>
      <c r="R1775" s="28">
        <f>-P1775*SIN(RADIANS(E1775))</f>
        <v/>
      </c>
      <c r="S1775" s="8">
        <f>(O1775+P1775*COS(RADIANS(E1775)))/L1775</f>
        <v/>
      </c>
      <c r="T1775" s="8">
        <f>R1775/L1775</f>
        <v/>
      </c>
      <c r="U1775" s="8">
        <f>(Q1775-P1775*G1775*SIN(RADIANS(E1775)))/M1775</f>
        <v/>
      </c>
      <c r="V1775" s="8">
        <f>SQRT((S1775+U1775)^2+3*T1775^2)</f>
        <v/>
      </c>
      <c r="W1775" s="8">
        <f>V1775/AA1775</f>
        <v/>
      </c>
      <c r="X1775" s="27">
        <f>((3*10+H1775/COS(RADIANS(E1775)))*(3+3)+3*G1775*H1775)*2</f>
        <v/>
      </c>
      <c r="Y1775" s="28">
        <f>Z1775/X1775</f>
        <v/>
      </c>
      <c r="Z1775" s="29" t="n">
        <v>583.523653475199</v>
      </c>
      <c r="AA1775" s="20" t="n">
        <v>84.2893901810104</v>
      </c>
      <c r="AB1775" t="n">
        <v>0.179221824299106</v>
      </c>
      <c r="AC1775" t="n">
        <v>89.25166730782622</v>
      </c>
      <c r="AD1775" t="n">
        <v>44.74831889159244</v>
      </c>
    </row>
    <row r="1776">
      <c r="A1776" t="n">
        <v>1775</v>
      </c>
      <c r="B1776" t="n">
        <v>74.2</v>
      </c>
      <c r="C1776" s="21">
        <f>B1776-20</f>
        <v/>
      </c>
      <c r="D1776" t="n">
        <v>121.5</v>
      </c>
      <c r="E1776" s="22">
        <f>D1776-90</f>
        <v/>
      </c>
      <c r="F1776" s="23" t="n">
        <v>0.014606</v>
      </c>
      <c r="G1776" s="22" t="n">
        <v>22</v>
      </c>
      <c r="H1776" s="22" t="n">
        <v>1.2</v>
      </c>
      <c r="I1776" s="24" t="n">
        <v>0.0666438266634941</v>
      </c>
      <c r="J1776" s="6" t="n">
        <v>71000</v>
      </c>
      <c r="K1776" s="25">
        <f>23*10^-6</f>
        <v/>
      </c>
      <c r="L1776" s="8">
        <f>H1776</f>
        <v/>
      </c>
      <c r="M1776" s="26">
        <f>H1776^2/6</f>
        <v/>
      </c>
      <c r="N1776" s="26">
        <f>H1776^3/12</f>
        <v/>
      </c>
      <c r="O1776" s="27">
        <f>-J1776*L1776*K1776*C1776</f>
        <v/>
      </c>
      <c r="P1776" s="28">
        <f>-(12*F1776*J1776*L1776*N1776+12*O1776*N1776*G1776*COS(RADIANS(E1776)))/(12*N1776*G1776*COS(RADIANS(E1776))^2+L1776*G1776^3*SIN(RADIANS(E1776))^2)</f>
        <v/>
      </c>
      <c r="Q1776" s="28">
        <f>-(6*F1776*J1776*L1776*N1776*SIN(RADIANS(E1776))+6*O1776*N1776*G1776*SIN(RADIANS(E1776))*COS(RADIANS(E1776)))/(12*N1776*COS(RADIANS(E1776))^2+L1776*G1776^2*SIN(RADIANS(E1776))^2)</f>
        <v/>
      </c>
      <c r="R1776" s="28">
        <f>-P1776*SIN(RADIANS(E1776))</f>
        <v/>
      </c>
      <c r="S1776" s="8">
        <f>(O1776+P1776*COS(RADIANS(E1776)))/L1776</f>
        <v/>
      </c>
      <c r="T1776" s="8">
        <f>R1776/L1776</f>
        <v/>
      </c>
      <c r="U1776" s="8">
        <f>(Q1776-P1776*G1776*SIN(RADIANS(E1776)))/M1776</f>
        <v/>
      </c>
      <c r="V1776" s="8">
        <f>SQRT((S1776+U1776)^2+3*T1776^2)</f>
        <v/>
      </c>
      <c r="W1776" s="8">
        <f>V1776/AA1776</f>
        <v/>
      </c>
      <c r="X1776" s="27">
        <f>((3*10+H1776/COS(RADIANS(E1776)))*(3+3)+3*G1776*H1776)*2</f>
        <v/>
      </c>
      <c r="Y1776" s="28">
        <f>Z1776/X1776</f>
        <v/>
      </c>
      <c r="Z1776" s="29" t="n">
        <v>545.72732667576</v>
      </c>
      <c r="AA1776" s="20" t="n">
        <v>77.0030139641339</v>
      </c>
      <c r="AB1776" t="n">
        <v>0.07676935778660292</v>
      </c>
      <c r="AC1776" t="n">
        <v>79.26886958316615</v>
      </c>
      <c r="AD1776" t="n">
        <v>15.19350197916433</v>
      </c>
    </row>
    <row r="1777">
      <c r="A1777" t="n">
        <v>1776</v>
      </c>
      <c r="B1777" t="n">
        <v>75</v>
      </c>
      <c r="C1777" s="21">
        <f>B1777-20</f>
        <v/>
      </c>
      <c r="D1777" t="n">
        <v>109.2</v>
      </c>
      <c r="E1777" s="22">
        <f>D1777-90</f>
        <v/>
      </c>
      <c r="F1777" s="23" t="n">
        <v>0.022591</v>
      </c>
      <c r="G1777" s="22" t="n">
        <v>33.3</v>
      </c>
      <c r="H1777" s="22" t="n">
        <v>1.4</v>
      </c>
      <c r="I1777" s="24" t="n">
        <v>0.112041197717189</v>
      </c>
      <c r="J1777" s="6" t="n">
        <v>71000</v>
      </c>
      <c r="K1777" s="25">
        <f>23*10^-6</f>
        <v/>
      </c>
      <c r="L1777" s="8">
        <f>H1777</f>
        <v/>
      </c>
      <c r="M1777" s="26">
        <f>H1777^2/6</f>
        <v/>
      </c>
      <c r="N1777" s="26">
        <f>H1777^3/12</f>
        <v/>
      </c>
      <c r="O1777" s="27">
        <f>-J1777*L1777*K1777*C1777</f>
        <v/>
      </c>
      <c r="P1777" s="28">
        <f>-(12*F1777*J1777*L1777*N1777+12*O1777*N1777*G1777*COS(RADIANS(E1777)))/(12*N1777*G1777*COS(RADIANS(E1777))^2+L1777*G1777^3*SIN(RADIANS(E1777))^2)</f>
        <v/>
      </c>
      <c r="Q1777" s="28">
        <f>-(6*F1777*J1777*L1777*N1777*SIN(RADIANS(E1777))+6*O1777*N1777*G1777*SIN(RADIANS(E1777))*COS(RADIANS(E1777)))/(12*N1777*COS(RADIANS(E1777))^2+L1777*G1777^2*SIN(RADIANS(E1777))^2)</f>
        <v/>
      </c>
      <c r="R1777" s="28">
        <f>-P1777*SIN(RADIANS(E1777))</f>
        <v/>
      </c>
      <c r="S1777" s="8">
        <f>(O1777+P1777*COS(RADIANS(E1777)))/L1777</f>
        <v/>
      </c>
      <c r="T1777" s="8">
        <f>R1777/L1777</f>
        <v/>
      </c>
      <c r="U1777" s="8">
        <f>(Q1777-P1777*G1777*SIN(RADIANS(E1777)))/M1777</f>
        <v/>
      </c>
      <c r="V1777" s="8">
        <f>SQRT((S1777+U1777)^2+3*T1777^2)</f>
        <v/>
      </c>
      <c r="W1777" s="8">
        <f>V1777/AA1777</f>
        <v/>
      </c>
      <c r="X1777" s="27">
        <f>((3*10+H1777/COS(RADIANS(E1777)))*(3+3)+3*G1777*H1777)*2</f>
        <v/>
      </c>
      <c r="Y1777" s="28">
        <f>Z1777/X1777</f>
        <v/>
      </c>
      <c r="Z1777" s="29" t="n">
        <v>664.394845249341</v>
      </c>
      <c r="AA1777" s="20" t="n">
        <v>80.3977558634478</v>
      </c>
      <c r="AB1777" t="n">
        <v>0.1925882971924248</v>
      </c>
      <c r="AC1777" t="n">
        <v>84.24343938698907</v>
      </c>
      <c r="AD1777" t="n">
        <v>71.89060909412125</v>
      </c>
    </row>
    <row r="1778">
      <c r="A1778" t="n">
        <v>1777</v>
      </c>
      <c r="B1778" t="n">
        <v>53.9</v>
      </c>
      <c r="C1778" s="21">
        <f>B1778-20</f>
        <v/>
      </c>
      <c r="D1778" t="n">
        <v>118.6</v>
      </c>
      <c r="E1778" s="22">
        <f>D1778-90</f>
        <v/>
      </c>
      <c r="F1778" s="23" t="n">
        <v>0.008729000000000001</v>
      </c>
      <c r="G1778" s="22" t="n">
        <v>20.3</v>
      </c>
      <c r="H1778" s="22" t="n">
        <v>1.6</v>
      </c>
      <c r="I1778" s="24" t="n">
        <v>0.0408321805298328</v>
      </c>
      <c r="J1778" s="6" t="n">
        <v>71000</v>
      </c>
      <c r="K1778" s="25">
        <f>23*10^-6</f>
        <v/>
      </c>
      <c r="L1778" s="8">
        <f>H1778</f>
        <v/>
      </c>
      <c r="M1778" s="26">
        <f>H1778^2/6</f>
        <v/>
      </c>
      <c r="N1778" s="26">
        <f>H1778^3/12</f>
        <v/>
      </c>
      <c r="O1778" s="27">
        <f>-J1778*L1778*K1778*C1778</f>
        <v/>
      </c>
      <c r="P1778" s="28">
        <f>-(12*F1778*J1778*L1778*N1778+12*O1778*N1778*G1778*COS(RADIANS(E1778)))/(12*N1778*G1778*COS(RADIANS(E1778))^2+L1778*G1778^3*SIN(RADIANS(E1778))^2)</f>
        <v/>
      </c>
      <c r="Q1778" s="28">
        <f>-(6*F1778*J1778*L1778*N1778*SIN(RADIANS(E1778))+6*O1778*N1778*G1778*SIN(RADIANS(E1778))*COS(RADIANS(E1778)))/(12*N1778*COS(RADIANS(E1778))^2+L1778*G1778^2*SIN(RADIANS(E1778))^2)</f>
        <v/>
      </c>
      <c r="R1778" s="28">
        <f>-P1778*SIN(RADIANS(E1778))</f>
        <v/>
      </c>
      <c r="S1778" s="8">
        <f>(O1778+P1778*COS(RADIANS(E1778)))/L1778</f>
        <v/>
      </c>
      <c r="T1778" s="8">
        <f>R1778/L1778</f>
        <v/>
      </c>
      <c r="U1778" s="8">
        <f>(Q1778-P1778*G1778*SIN(RADIANS(E1778)))/M1778</f>
        <v/>
      </c>
      <c r="V1778" s="8">
        <f>SQRT((S1778+U1778)^2+3*T1778^2)</f>
        <v/>
      </c>
      <c r="W1778" s="8">
        <f>V1778/AA1778</f>
        <v/>
      </c>
      <c r="X1778" s="27">
        <f>((3*10+H1778/COS(RADIANS(E1778)))*(3+3)+3*G1778*H1778)*2</f>
        <v/>
      </c>
      <c r="Y1778" s="28">
        <f>Z1778/X1778</f>
        <v/>
      </c>
      <c r="Z1778" s="29" t="n">
        <v>587.180630192984</v>
      </c>
      <c r="AA1778" s="20" t="n">
        <v>53.8145819609366</v>
      </c>
      <c r="AB1778" t="n">
        <v>0.04882585724075878</v>
      </c>
      <c r="AC1778" t="n">
        <v>51.74591546930706</v>
      </c>
      <c r="AD1778" t="n">
        <v>19.57690382242909</v>
      </c>
    </row>
    <row r="1779">
      <c r="A1779" t="n">
        <v>1778</v>
      </c>
      <c r="B1779" t="n">
        <v>42.7</v>
      </c>
      <c r="C1779" s="21">
        <f>B1779-20</f>
        <v/>
      </c>
      <c r="D1779" t="n">
        <v>118.4</v>
      </c>
      <c r="E1779" s="22">
        <f>D1779-90</f>
        <v/>
      </c>
      <c r="F1779" s="23" t="n">
        <v>0.006273</v>
      </c>
      <c r="G1779" s="22" t="n">
        <v>22</v>
      </c>
      <c r="H1779" s="22" t="n">
        <v>1.5</v>
      </c>
      <c r="I1779" s="24" t="n">
        <v>0.029263561591506</v>
      </c>
      <c r="J1779" s="6" t="n">
        <v>71000</v>
      </c>
      <c r="K1779" s="25">
        <f>23*10^-6</f>
        <v/>
      </c>
      <c r="L1779" s="8">
        <f>H1779</f>
        <v/>
      </c>
      <c r="M1779" s="26">
        <f>H1779^2/6</f>
        <v/>
      </c>
      <c r="N1779" s="26">
        <f>H1779^3/12</f>
        <v/>
      </c>
      <c r="O1779" s="27">
        <f>-J1779*L1779*K1779*C1779</f>
        <v/>
      </c>
      <c r="P1779" s="28">
        <f>-(12*F1779*J1779*L1779*N1779+12*O1779*N1779*G1779*COS(RADIANS(E1779)))/(12*N1779*G1779*COS(RADIANS(E1779))^2+L1779*G1779^3*SIN(RADIANS(E1779))^2)</f>
        <v/>
      </c>
      <c r="Q1779" s="28">
        <f>-(6*F1779*J1779*L1779*N1779*SIN(RADIANS(E1779))+6*O1779*N1779*G1779*SIN(RADIANS(E1779))*COS(RADIANS(E1779)))/(12*N1779*COS(RADIANS(E1779))^2+L1779*G1779^2*SIN(RADIANS(E1779))^2)</f>
        <v/>
      </c>
      <c r="R1779" s="28">
        <f>-P1779*SIN(RADIANS(E1779))</f>
        <v/>
      </c>
      <c r="S1779" s="8">
        <f>(O1779+P1779*COS(RADIANS(E1779)))/L1779</f>
        <v/>
      </c>
      <c r="T1779" s="8">
        <f>R1779/L1779</f>
        <v/>
      </c>
      <c r="U1779" s="8">
        <f>(Q1779-P1779*G1779*SIN(RADIANS(E1779)))/M1779</f>
        <v/>
      </c>
      <c r="V1779" s="8">
        <f>SQRT((S1779+U1779)^2+3*T1779^2)</f>
        <v/>
      </c>
      <c r="W1779" s="8">
        <f>V1779/AA1779</f>
        <v/>
      </c>
      <c r="X1779" s="27">
        <f>((3*10+H1779/COS(RADIANS(E1779)))*(3+3)+3*G1779*H1779)*2</f>
        <v/>
      </c>
      <c r="Y1779" s="28">
        <f>Z1779/X1779</f>
        <v/>
      </c>
      <c r="Z1779" s="29" t="n">
        <v>588.0947832228049</v>
      </c>
      <c r="AA1779" s="20" t="n">
        <v>34.8215895490177</v>
      </c>
      <c r="AB1779" t="n">
        <v>0.03565998466954869</v>
      </c>
      <c r="AC1779" t="n">
        <v>34.3031938746385</v>
      </c>
      <c r="AD1779" t="n">
        <v>21.85797876325248</v>
      </c>
    </row>
    <row r="1780">
      <c r="A1780" t="n">
        <v>1779</v>
      </c>
      <c r="B1780" t="n">
        <v>88.09999999999999</v>
      </c>
      <c r="C1780" s="21">
        <f>B1780-20</f>
        <v/>
      </c>
      <c r="D1780" t="n">
        <v>102.4</v>
      </c>
      <c r="E1780" s="22">
        <f>D1780-90</f>
        <v/>
      </c>
      <c r="F1780" s="23" t="n">
        <v>0.022384</v>
      </c>
      <c r="G1780" s="22" t="n">
        <v>26.5</v>
      </c>
      <c r="H1780" s="22" t="n">
        <v>1.5</v>
      </c>
      <c r="I1780" s="24" t="n">
        <v>0.105515390634536</v>
      </c>
      <c r="J1780" s="6" t="n">
        <v>71000</v>
      </c>
      <c r="K1780" s="25">
        <f>23*10^-6</f>
        <v/>
      </c>
      <c r="L1780" s="8">
        <f>H1780</f>
        <v/>
      </c>
      <c r="M1780" s="26">
        <f>H1780^2/6</f>
        <v/>
      </c>
      <c r="N1780" s="26">
        <f>H1780^3/12</f>
        <v/>
      </c>
      <c r="O1780" s="27">
        <f>-J1780*L1780*K1780*C1780</f>
        <v/>
      </c>
      <c r="P1780" s="28">
        <f>-(12*F1780*J1780*L1780*N1780+12*O1780*N1780*G1780*COS(RADIANS(E1780)))/(12*N1780*G1780*COS(RADIANS(E1780))^2+L1780*G1780^3*SIN(RADIANS(E1780))^2)</f>
        <v/>
      </c>
      <c r="Q1780" s="28">
        <f>-(6*F1780*J1780*L1780*N1780*SIN(RADIANS(E1780))+6*O1780*N1780*G1780*SIN(RADIANS(E1780))*COS(RADIANS(E1780)))/(12*N1780*COS(RADIANS(E1780))^2+L1780*G1780^2*SIN(RADIANS(E1780))^2)</f>
        <v/>
      </c>
      <c r="R1780" s="28">
        <f>-P1780*SIN(RADIANS(E1780))</f>
        <v/>
      </c>
      <c r="S1780" s="8">
        <f>(O1780+P1780*COS(RADIANS(E1780)))/L1780</f>
        <v/>
      </c>
      <c r="T1780" s="8">
        <f>R1780/L1780</f>
        <v/>
      </c>
      <c r="U1780" s="8">
        <f>(Q1780-P1780*G1780*SIN(RADIANS(E1780)))/M1780</f>
        <v/>
      </c>
      <c r="V1780" s="8">
        <f>SQRT((S1780+U1780)^2+3*T1780^2)</f>
        <v/>
      </c>
      <c r="W1780" s="8">
        <f>V1780/AA1780</f>
        <v/>
      </c>
      <c r="X1780" s="27">
        <f>((3*10+H1780/COS(RADIANS(E1780)))*(3+3)+3*G1780*H1780)*2</f>
        <v/>
      </c>
      <c r="Y1780" s="28">
        <f>Z1780/X1780</f>
        <v/>
      </c>
      <c r="Z1780" s="29" t="n">
        <v>626.678497744643</v>
      </c>
      <c r="AA1780" s="20" t="n">
        <v>102.56821210105</v>
      </c>
      <c r="AB1780" t="n">
        <v>0.2865171228284533</v>
      </c>
      <c r="AC1780" t="n">
        <v>115.0571045364176</v>
      </c>
      <c r="AD1780" t="n">
        <v>171.5405981112617</v>
      </c>
    </row>
    <row r="1781">
      <c r="A1781" t="n">
        <v>1780</v>
      </c>
      <c r="B1781" t="n">
        <v>77.7</v>
      </c>
      <c r="C1781" s="21">
        <f>B1781-20</f>
        <v/>
      </c>
      <c r="D1781" t="n">
        <v>108.8</v>
      </c>
      <c r="E1781" s="22">
        <f>D1781-90</f>
        <v/>
      </c>
      <c r="F1781" s="23" t="n">
        <v>0.025006</v>
      </c>
      <c r="G1781" s="22" t="n">
        <v>33.8</v>
      </c>
      <c r="H1781" s="22" t="n">
        <v>1.1</v>
      </c>
      <c r="I1781" s="24" t="n">
        <v>0.150809869170188</v>
      </c>
      <c r="J1781" s="6" t="n">
        <v>71000</v>
      </c>
      <c r="K1781" s="25">
        <f>23*10^-6</f>
        <v/>
      </c>
      <c r="L1781" s="8">
        <f>H1781</f>
        <v/>
      </c>
      <c r="M1781" s="26">
        <f>H1781^2/6</f>
        <v/>
      </c>
      <c r="N1781" s="26">
        <f>H1781^3/12</f>
        <v/>
      </c>
      <c r="O1781" s="27">
        <f>-J1781*L1781*K1781*C1781</f>
        <v/>
      </c>
      <c r="P1781" s="28">
        <f>-(12*F1781*J1781*L1781*N1781+12*O1781*N1781*G1781*COS(RADIANS(E1781)))/(12*N1781*G1781*COS(RADIANS(E1781))^2+L1781*G1781^3*SIN(RADIANS(E1781))^2)</f>
        <v/>
      </c>
      <c r="Q1781" s="28">
        <f>-(6*F1781*J1781*L1781*N1781*SIN(RADIANS(E1781))+6*O1781*N1781*G1781*SIN(RADIANS(E1781))*COS(RADIANS(E1781)))/(12*N1781*COS(RADIANS(E1781))^2+L1781*G1781^2*SIN(RADIANS(E1781))^2)</f>
        <v/>
      </c>
      <c r="R1781" s="28">
        <f>-P1781*SIN(RADIANS(E1781))</f>
        <v/>
      </c>
      <c r="S1781" s="8">
        <f>(O1781+P1781*COS(RADIANS(E1781)))/L1781</f>
        <v/>
      </c>
      <c r="T1781" s="8">
        <f>R1781/L1781</f>
        <v/>
      </c>
      <c r="U1781" s="8">
        <f>(Q1781-P1781*G1781*SIN(RADIANS(E1781)))/M1781</f>
        <v/>
      </c>
      <c r="V1781" s="8">
        <f>SQRT((S1781+U1781)^2+3*T1781^2)</f>
        <v/>
      </c>
      <c r="W1781" s="8">
        <f>V1781/AA1781</f>
        <v/>
      </c>
      <c r="X1781" s="27">
        <f>((3*10+H1781/COS(RADIANS(E1781)))*(3+3)+3*G1781*H1781)*2</f>
        <v/>
      </c>
      <c r="Y1781" s="28">
        <f>Z1781/X1781</f>
        <v/>
      </c>
      <c r="Z1781" s="29" t="n">
        <v>601.786851893867</v>
      </c>
      <c r="AA1781" s="20" t="n">
        <v>82.2660063675859</v>
      </c>
      <c r="AB1781" t="n">
        <v>0.210604863354478</v>
      </c>
      <c r="AC1781" t="n">
        <v>86.27057740596321</v>
      </c>
      <c r="AD1781" t="n">
        <v>39.64925804478464</v>
      </c>
    </row>
    <row r="1782">
      <c r="A1782" t="n">
        <v>1781</v>
      </c>
      <c r="B1782" t="n">
        <v>65</v>
      </c>
      <c r="C1782" s="21">
        <f>B1782-20</f>
        <v/>
      </c>
      <c r="D1782" t="n">
        <v>109.1</v>
      </c>
      <c r="E1782" s="22">
        <f>D1782-90</f>
        <v/>
      </c>
      <c r="F1782" s="23" t="n">
        <v>0.017119</v>
      </c>
      <c r="G1782" s="22" t="n">
        <v>32.1</v>
      </c>
      <c r="H1782" s="22" t="n">
        <v>1.7</v>
      </c>
      <c r="I1782" s="24" t="n">
        <v>0.07751231640577309</v>
      </c>
      <c r="J1782" s="6" t="n">
        <v>71000</v>
      </c>
      <c r="K1782" s="25">
        <f>23*10^-6</f>
        <v/>
      </c>
      <c r="L1782" s="8">
        <f>H1782</f>
        <v/>
      </c>
      <c r="M1782" s="26">
        <f>H1782^2/6</f>
        <v/>
      </c>
      <c r="N1782" s="26">
        <f>H1782^3/12</f>
        <v/>
      </c>
      <c r="O1782" s="27">
        <f>-J1782*L1782*K1782*C1782</f>
        <v/>
      </c>
      <c r="P1782" s="28">
        <f>-(12*F1782*J1782*L1782*N1782+12*O1782*N1782*G1782*COS(RADIANS(E1782)))/(12*N1782*G1782*COS(RADIANS(E1782))^2+L1782*G1782^3*SIN(RADIANS(E1782))^2)</f>
        <v/>
      </c>
      <c r="Q1782" s="28">
        <f>-(6*F1782*J1782*L1782*N1782*SIN(RADIANS(E1782))+6*O1782*N1782*G1782*SIN(RADIANS(E1782))*COS(RADIANS(E1782)))/(12*N1782*COS(RADIANS(E1782))^2+L1782*G1782^2*SIN(RADIANS(E1782))^2)</f>
        <v/>
      </c>
      <c r="R1782" s="28">
        <f>-P1782*SIN(RADIANS(E1782))</f>
        <v/>
      </c>
      <c r="S1782" s="8">
        <f>(O1782+P1782*COS(RADIANS(E1782)))/L1782</f>
        <v/>
      </c>
      <c r="T1782" s="8">
        <f>R1782/L1782</f>
        <v/>
      </c>
      <c r="U1782" s="8">
        <f>(Q1782-P1782*G1782*SIN(RADIANS(E1782)))/M1782</f>
        <v/>
      </c>
      <c r="V1782" s="8">
        <f>SQRT((S1782+U1782)^2+3*T1782^2)</f>
        <v/>
      </c>
      <c r="W1782" s="8">
        <f>V1782/AA1782</f>
        <v/>
      </c>
      <c r="X1782" s="27">
        <f>((3*10+H1782/COS(RADIANS(E1782)))*(3+3)+3*G1782*H1782)*2</f>
        <v/>
      </c>
      <c r="Y1782" s="28">
        <f>Z1782/X1782</f>
        <v/>
      </c>
      <c r="Z1782" s="29" t="n">
        <v>718.927179115303</v>
      </c>
      <c r="AA1782" s="20" t="n">
        <v>68.5676714039007</v>
      </c>
      <c r="AB1782" t="n">
        <v>0.1516604750012217</v>
      </c>
      <c r="AC1782" t="n">
        <v>70.889659122179</v>
      </c>
      <c r="AD1782" t="n">
        <v>95.65984095648328</v>
      </c>
    </row>
    <row r="1783">
      <c r="A1783" t="n">
        <v>1782</v>
      </c>
      <c r="B1783" t="n">
        <v>88.3</v>
      </c>
      <c r="C1783" s="21">
        <f>B1783-20</f>
        <v/>
      </c>
      <c r="D1783" t="n">
        <v>114.4</v>
      </c>
      <c r="E1783" s="22">
        <f>D1783-90</f>
        <v/>
      </c>
      <c r="F1783" s="23" t="n">
        <v>0.02901</v>
      </c>
      <c r="G1783" s="22" t="n">
        <v>33.1</v>
      </c>
      <c r="H1783" s="22" t="n">
        <v>1.9</v>
      </c>
      <c r="I1783" s="24" t="n">
        <v>0.170786008238792</v>
      </c>
      <c r="J1783" s="6" t="n">
        <v>71000</v>
      </c>
      <c r="K1783" s="25">
        <f>23*10^-6</f>
        <v/>
      </c>
      <c r="L1783" s="8">
        <f>H1783</f>
        <v/>
      </c>
      <c r="M1783" s="26">
        <f>H1783^2/6</f>
        <v/>
      </c>
      <c r="N1783" s="26">
        <f>H1783^3/12</f>
        <v/>
      </c>
      <c r="O1783" s="27">
        <f>-J1783*L1783*K1783*C1783</f>
        <v/>
      </c>
      <c r="P1783" s="28">
        <f>-(12*F1783*J1783*L1783*N1783+12*O1783*N1783*G1783*COS(RADIANS(E1783)))/(12*N1783*G1783*COS(RADIANS(E1783))^2+L1783*G1783^3*SIN(RADIANS(E1783))^2)</f>
        <v/>
      </c>
      <c r="Q1783" s="28">
        <f>-(6*F1783*J1783*L1783*N1783*SIN(RADIANS(E1783))+6*O1783*N1783*G1783*SIN(RADIANS(E1783))*COS(RADIANS(E1783)))/(12*N1783*COS(RADIANS(E1783))^2+L1783*G1783^2*SIN(RADIANS(E1783))^2)</f>
        <v/>
      </c>
      <c r="R1783" s="28">
        <f>-P1783*SIN(RADIANS(E1783))</f>
        <v/>
      </c>
      <c r="S1783" s="8">
        <f>(O1783+P1783*COS(RADIANS(E1783)))/L1783</f>
        <v/>
      </c>
      <c r="T1783" s="8">
        <f>R1783/L1783</f>
        <v/>
      </c>
      <c r="U1783" s="8">
        <f>(Q1783-P1783*G1783*SIN(RADIANS(E1783)))/M1783</f>
        <v/>
      </c>
      <c r="V1783" s="8">
        <f>SQRT((S1783+U1783)^2+3*T1783^2)</f>
        <v/>
      </c>
      <c r="W1783" s="8">
        <f>V1783/AA1783</f>
        <v/>
      </c>
      <c r="X1783" s="27">
        <f>((3*10+H1783/COS(RADIANS(E1783)))*(3+3)+3*G1783*H1783)*2</f>
        <v/>
      </c>
      <c r="Y1783" s="28">
        <f>Z1783/X1783</f>
        <v/>
      </c>
      <c r="Z1783" s="29" t="n">
        <v>766.3301425248141</v>
      </c>
      <c r="AA1783" s="20" t="n">
        <v>113.027929513124</v>
      </c>
      <c r="AB1783" t="n">
        <v>0.1847447297840753</v>
      </c>
      <c r="AC1783" t="n">
        <v>105.0550715818207</v>
      </c>
      <c r="AD1783" t="n">
        <v>8.173223140016404</v>
      </c>
    </row>
    <row r="1784">
      <c r="A1784" t="n">
        <v>1783</v>
      </c>
      <c r="B1784" t="n">
        <v>88.3</v>
      </c>
      <c r="C1784" s="21">
        <f>B1784-20</f>
        <v/>
      </c>
      <c r="D1784" t="n">
        <v>101.3</v>
      </c>
      <c r="E1784" s="22">
        <f>D1784-90</f>
        <v/>
      </c>
      <c r="F1784" s="23" t="n">
        <v>0.023813</v>
      </c>
      <c r="G1784" s="22" t="n">
        <v>28</v>
      </c>
      <c r="H1784" s="22" t="n">
        <v>1.5</v>
      </c>
      <c r="I1784" s="24" t="n">
        <v>0.114466749131679</v>
      </c>
      <c r="J1784" s="6" t="n">
        <v>71000</v>
      </c>
      <c r="K1784" s="25">
        <f>23*10^-6</f>
        <v/>
      </c>
      <c r="L1784" s="8">
        <f>H1784</f>
        <v/>
      </c>
      <c r="M1784" s="26">
        <f>H1784^2/6</f>
        <v/>
      </c>
      <c r="N1784" s="26">
        <f>H1784^3/12</f>
        <v/>
      </c>
      <c r="O1784" s="27">
        <f>-J1784*L1784*K1784*C1784</f>
        <v/>
      </c>
      <c r="P1784" s="28">
        <f>-(12*F1784*J1784*L1784*N1784+12*O1784*N1784*G1784*COS(RADIANS(E1784)))/(12*N1784*G1784*COS(RADIANS(E1784))^2+L1784*G1784^3*SIN(RADIANS(E1784))^2)</f>
        <v/>
      </c>
      <c r="Q1784" s="28">
        <f>-(6*F1784*J1784*L1784*N1784*SIN(RADIANS(E1784))+6*O1784*N1784*G1784*SIN(RADIANS(E1784))*COS(RADIANS(E1784)))/(12*N1784*COS(RADIANS(E1784))^2+L1784*G1784^2*SIN(RADIANS(E1784))^2)</f>
        <v/>
      </c>
      <c r="R1784" s="28">
        <f>-P1784*SIN(RADIANS(E1784))</f>
        <v/>
      </c>
      <c r="S1784" s="8">
        <f>(O1784+P1784*COS(RADIANS(E1784)))/L1784</f>
        <v/>
      </c>
      <c r="T1784" s="8">
        <f>R1784/L1784</f>
        <v/>
      </c>
      <c r="U1784" s="8">
        <f>(Q1784-P1784*G1784*SIN(RADIANS(E1784)))/M1784</f>
        <v/>
      </c>
      <c r="V1784" s="8">
        <f>SQRT((S1784+U1784)^2+3*T1784^2)</f>
        <v/>
      </c>
      <c r="W1784" s="8">
        <f>V1784/AA1784</f>
        <v/>
      </c>
      <c r="X1784" s="27">
        <f>((3*10+H1784/COS(RADIANS(E1784)))*(3+3)+3*G1784*H1784)*2</f>
        <v/>
      </c>
      <c r="Y1784" s="28">
        <f>Z1784/X1784</f>
        <v/>
      </c>
      <c r="Z1784" s="29" t="n">
        <v>639.270547840154</v>
      </c>
      <c r="AA1784" s="20" t="n">
        <v>101.978036997162</v>
      </c>
      <c r="AB1784" t="n">
        <v>0.330701759616271</v>
      </c>
      <c r="AC1784" t="n">
        <v>116.5630362966454</v>
      </c>
      <c r="AD1784" t="n">
        <v>188.906396071266</v>
      </c>
    </row>
    <row r="1785">
      <c r="A1785" t="n">
        <v>1784</v>
      </c>
      <c r="B1785" t="n">
        <v>81.40000000000001</v>
      </c>
      <c r="C1785" s="21">
        <f>B1785-20</f>
        <v/>
      </c>
      <c r="D1785" t="n">
        <v>129.5</v>
      </c>
      <c r="E1785" s="22">
        <f>D1785-90</f>
        <v/>
      </c>
      <c r="F1785" s="23" t="n">
        <v>0.01947</v>
      </c>
      <c r="G1785" s="22" t="n">
        <v>24.8</v>
      </c>
      <c r="H1785" s="22" t="n">
        <v>1.6</v>
      </c>
      <c r="I1785" s="24" t="n">
        <v>0.0955641493201255</v>
      </c>
      <c r="J1785" s="6" t="n">
        <v>71000</v>
      </c>
      <c r="K1785" s="25">
        <f>23*10^-6</f>
        <v/>
      </c>
      <c r="L1785" s="8">
        <f>H1785</f>
        <v/>
      </c>
      <c r="M1785" s="26">
        <f>H1785^2/6</f>
        <v/>
      </c>
      <c r="N1785" s="26">
        <f>H1785^3/12</f>
        <v/>
      </c>
      <c r="O1785" s="27">
        <f>-J1785*L1785*K1785*C1785</f>
        <v/>
      </c>
      <c r="P1785" s="28">
        <f>-(12*F1785*J1785*L1785*N1785+12*O1785*N1785*G1785*COS(RADIANS(E1785)))/(12*N1785*G1785*COS(RADIANS(E1785))^2+L1785*G1785^3*SIN(RADIANS(E1785))^2)</f>
        <v/>
      </c>
      <c r="Q1785" s="28">
        <f>-(6*F1785*J1785*L1785*N1785*SIN(RADIANS(E1785))+6*O1785*N1785*G1785*SIN(RADIANS(E1785))*COS(RADIANS(E1785)))/(12*N1785*COS(RADIANS(E1785))^2+L1785*G1785^2*SIN(RADIANS(E1785))^2)</f>
        <v/>
      </c>
      <c r="R1785" s="28">
        <f>-P1785*SIN(RADIANS(E1785))</f>
        <v/>
      </c>
      <c r="S1785" s="8">
        <f>(O1785+P1785*COS(RADIANS(E1785)))/L1785</f>
        <v/>
      </c>
      <c r="T1785" s="8">
        <f>R1785/L1785</f>
        <v/>
      </c>
      <c r="U1785" s="8">
        <f>(Q1785-P1785*G1785*SIN(RADIANS(E1785)))/M1785</f>
        <v/>
      </c>
      <c r="V1785" s="8">
        <f>SQRT((S1785+U1785)^2+3*T1785^2)</f>
        <v/>
      </c>
      <c r="W1785" s="8">
        <f>V1785/AA1785</f>
        <v/>
      </c>
      <c r="X1785" s="27">
        <f>((3*10+H1785/COS(RADIANS(E1785)))*(3+3)+3*G1785*H1785)*2</f>
        <v/>
      </c>
      <c r="Y1785" s="28">
        <f>Z1785/X1785</f>
        <v/>
      </c>
      <c r="Z1785" s="29" t="n">
        <v>626.6241507148781</v>
      </c>
      <c r="AA1785" s="20" t="n">
        <v>95.7360333526389</v>
      </c>
      <c r="AB1785" t="n">
        <v>0.07585041075396434</v>
      </c>
      <c r="AC1785" t="n">
        <v>89.00811812704936</v>
      </c>
      <c r="AD1785" t="n">
        <v>-20.62880139300262</v>
      </c>
    </row>
    <row r="1786">
      <c r="A1786" t="n">
        <v>1785</v>
      </c>
      <c r="B1786" t="n">
        <v>67.5</v>
      </c>
      <c r="C1786" s="21">
        <f>B1786-20</f>
        <v/>
      </c>
      <c r="D1786" t="n">
        <v>100.4</v>
      </c>
      <c r="E1786" s="22">
        <f>D1786-90</f>
        <v/>
      </c>
      <c r="F1786" s="23" t="n">
        <v>0.015149</v>
      </c>
      <c r="G1786" s="22" t="n">
        <v>22.5</v>
      </c>
      <c r="H1786" s="22" t="n">
        <v>1.8</v>
      </c>
      <c r="I1786" s="24" t="n">
        <v>0.11998251825571</v>
      </c>
      <c r="J1786" s="6" t="n">
        <v>71000</v>
      </c>
      <c r="K1786" s="25">
        <f>23*10^-6</f>
        <v/>
      </c>
      <c r="L1786" s="8">
        <f>H1786</f>
        <v/>
      </c>
      <c r="M1786" s="26">
        <f>H1786^2/6</f>
        <v/>
      </c>
      <c r="N1786" s="26">
        <f>H1786^3/12</f>
        <v/>
      </c>
      <c r="O1786" s="27">
        <f>-J1786*L1786*K1786*C1786</f>
        <v/>
      </c>
      <c r="P1786" s="28">
        <f>-(12*F1786*J1786*L1786*N1786+12*O1786*N1786*G1786*COS(RADIANS(E1786)))/(12*N1786*G1786*COS(RADIANS(E1786))^2+L1786*G1786^3*SIN(RADIANS(E1786))^2)</f>
        <v/>
      </c>
      <c r="Q1786" s="28">
        <f>-(6*F1786*J1786*L1786*N1786*SIN(RADIANS(E1786))+6*O1786*N1786*G1786*SIN(RADIANS(E1786))*COS(RADIANS(E1786)))/(12*N1786*COS(RADIANS(E1786))^2+L1786*G1786^2*SIN(RADIANS(E1786))^2)</f>
        <v/>
      </c>
      <c r="R1786" s="28">
        <f>-P1786*SIN(RADIANS(E1786))</f>
        <v/>
      </c>
      <c r="S1786" s="8">
        <f>(O1786+P1786*COS(RADIANS(E1786)))/L1786</f>
        <v/>
      </c>
      <c r="T1786" s="8">
        <f>R1786/L1786</f>
        <v/>
      </c>
      <c r="U1786" s="8">
        <f>(Q1786-P1786*G1786*SIN(RADIANS(E1786)))/M1786</f>
        <v/>
      </c>
      <c r="V1786" s="8">
        <f>SQRT((S1786+U1786)^2+3*T1786^2)</f>
        <v/>
      </c>
      <c r="W1786" s="8">
        <f>V1786/AA1786</f>
        <v/>
      </c>
      <c r="X1786" s="27">
        <f>((3*10+H1786/COS(RADIANS(E1786)))*(3+3)+3*G1786*H1786)*2</f>
        <v/>
      </c>
      <c r="Y1786" s="28">
        <f>Z1786/X1786</f>
        <v/>
      </c>
      <c r="Z1786" s="29" t="n">
        <v>629.122780917387</v>
      </c>
      <c r="AA1786" s="20" t="n">
        <v>96.8124292797966</v>
      </c>
      <c r="AB1786" t="n">
        <v>0.1837269850876694</v>
      </c>
      <c r="AC1786" t="n">
        <v>85.9750215089754</v>
      </c>
      <c r="AD1786" t="n">
        <v>53.12812879631805</v>
      </c>
    </row>
    <row r="1787">
      <c r="A1787" t="n">
        <v>1786</v>
      </c>
      <c r="B1787" t="n">
        <v>62.1</v>
      </c>
      <c r="C1787" s="21">
        <f>B1787-20</f>
        <v/>
      </c>
      <c r="D1787" t="n">
        <v>112.1</v>
      </c>
      <c r="E1787" s="22">
        <f>D1787-90</f>
        <v/>
      </c>
      <c r="F1787" s="23" t="n">
        <v>0.015646</v>
      </c>
      <c r="G1787" s="22" t="n">
        <v>28.1</v>
      </c>
      <c r="H1787" s="22" t="n">
        <v>1.9</v>
      </c>
      <c r="I1787" s="24" t="n">
        <v>0.0947463810443878</v>
      </c>
      <c r="J1787" s="6" t="n">
        <v>71000</v>
      </c>
      <c r="K1787" s="25">
        <f>23*10^-6</f>
        <v/>
      </c>
      <c r="L1787" s="8">
        <f>H1787</f>
        <v/>
      </c>
      <c r="M1787" s="26">
        <f>H1787^2/6</f>
        <v/>
      </c>
      <c r="N1787" s="26">
        <f>H1787^3/12</f>
        <v/>
      </c>
      <c r="O1787" s="27">
        <f>-J1787*L1787*K1787*C1787</f>
        <v/>
      </c>
      <c r="P1787" s="28">
        <f>-(12*F1787*J1787*L1787*N1787+12*O1787*N1787*G1787*COS(RADIANS(E1787)))/(12*N1787*G1787*COS(RADIANS(E1787))^2+L1787*G1787^3*SIN(RADIANS(E1787))^2)</f>
        <v/>
      </c>
      <c r="Q1787" s="28">
        <f>-(6*F1787*J1787*L1787*N1787*SIN(RADIANS(E1787))+6*O1787*N1787*G1787*SIN(RADIANS(E1787))*COS(RADIANS(E1787)))/(12*N1787*COS(RADIANS(E1787))^2+L1787*G1787^2*SIN(RADIANS(E1787))^2)</f>
        <v/>
      </c>
      <c r="R1787" s="28">
        <f>-P1787*SIN(RADIANS(E1787))</f>
        <v/>
      </c>
      <c r="S1787" s="8">
        <f>(O1787+P1787*COS(RADIANS(E1787)))/L1787</f>
        <v/>
      </c>
      <c r="T1787" s="8">
        <f>R1787/L1787</f>
        <v/>
      </c>
      <c r="U1787" s="8">
        <f>(Q1787-P1787*G1787*SIN(RADIANS(E1787)))/M1787</f>
        <v/>
      </c>
      <c r="V1787" s="8">
        <f>SQRT((S1787+U1787)^2+3*T1787^2)</f>
        <v/>
      </c>
      <c r="W1787" s="8">
        <f>V1787/AA1787</f>
        <v/>
      </c>
      <c r="X1787" s="27">
        <f>((3*10+H1787/COS(RADIANS(E1787)))*(3+3)+3*G1787*H1787)*2</f>
        <v/>
      </c>
      <c r="Y1787" s="28">
        <f>Z1787/X1787</f>
        <v/>
      </c>
      <c r="Z1787" s="29" t="n">
        <v>709.211158121765</v>
      </c>
      <c r="AA1787" s="20" t="n">
        <v>71.0783277276208</v>
      </c>
      <c r="AB1787" t="n">
        <v>0.1070448808985594</v>
      </c>
      <c r="AC1787" t="n">
        <v>66.67413646526889</v>
      </c>
      <c r="AD1787" t="n">
        <v>12.98044286083064</v>
      </c>
    </row>
    <row r="1788">
      <c r="A1788" t="n">
        <v>1787</v>
      </c>
      <c r="B1788" t="n">
        <v>55.8</v>
      </c>
      <c r="C1788" s="21">
        <f>B1788-20</f>
        <v/>
      </c>
      <c r="D1788" t="n">
        <v>110.5</v>
      </c>
      <c r="E1788" s="22">
        <f>D1788-90</f>
        <v/>
      </c>
      <c r="F1788" s="23" t="n">
        <v>0.012861</v>
      </c>
      <c r="G1788" s="22" t="n">
        <v>27</v>
      </c>
      <c r="H1788" s="22" t="n">
        <v>1.1</v>
      </c>
      <c r="I1788" s="24" t="n">
        <v>0.0784970894455909</v>
      </c>
      <c r="J1788" s="6" t="n">
        <v>71000</v>
      </c>
      <c r="K1788" s="25">
        <f>23*10^-6</f>
        <v/>
      </c>
      <c r="L1788" s="8">
        <f>H1788</f>
        <v/>
      </c>
      <c r="M1788" s="26">
        <f>H1788^2/6</f>
        <v/>
      </c>
      <c r="N1788" s="26">
        <f>H1788^3/12</f>
        <v/>
      </c>
      <c r="O1788" s="27">
        <f>-J1788*L1788*K1788*C1788</f>
        <v/>
      </c>
      <c r="P1788" s="28">
        <f>-(12*F1788*J1788*L1788*N1788+12*O1788*N1788*G1788*COS(RADIANS(E1788)))/(12*N1788*G1788*COS(RADIANS(E1788))^2+L1788*G1788^3*SIN(RADIANS(E1788))^2)</f>
        <v/>
      </c>
      <c r="Q1788" s="28">
        <f>-(6*F1788*J1788*L1788*N1788*SIN(RADIANS(E1788))+6*O1788*N1788*G1788*SIN(RADIANS(E1788))*COS(RADIANS(E1788)))/(12*N1788*COS(RADIANS(E1788))^2+L1788*G1788^2*SIN(RADIANS(E1788))^2)</f>
        <v/>
      </c>
      <c r="R1788" s="28">
        <f>-P1788*SIN(RADIANS(E1788))</f>
        <v/>
      </c>
      <c r="S1788" s="8">
        <f>(O1788+P1788*COS(RADIANS(E1788)))/L1788</f>
        <v/>
      </c>
      <c r="T1788" s="8">
        <f>R1788/L1788</f>
        <v/>
      </c>
      <c r="U1788" s="8">
        <f>(Q1788-P1788*G1788*SIN(RADIANS(E1788)))/M1788</f>
        <v/>
      </c>
      <c r="V1788" s="8">
        <f>SQRT((S1788+U1788)^2+3*T1788^2)</f>
        <v/>
      </c>
      <c r="W1788" s="8">
        <f>V1788/AA1788</f>
        <v/>
      </c>
      <c r="X1788" s="27">
        <f>((3*10+H1788/COS(RADIANS(E1788)))*(3+3)+3*G1788*H1788)*2</f>
        <v/>
      </c>
      <c r="Y1788" s="28">
        <f>Z1788/X1788</f>
        <v/>
      </c>
      <c r="Z1788" s="29" t="n">
        <v>557.000836989556</v>
      </c>
      <c r="AA1788" s="20" t="n">
        <v>50.942363876822</v>
      </c>
      <c r="AB1788" t="n">
        <v>0.09643536734787841</v>
      </c>
      <c r="AC1788" t="n">
        <v>53.87357236264707</v>
      </c>
      <c r="AD1788" t="n">
        <v>22.85215672196504</v>
      </c>
    </row>
    <row r="1789">
      <c r="A1789" t="n">
        <v>1788</v>
      </c>
      <c r="B1789" t="n">
        <v>78.5</v>
      </c>
      <c r="C1789" s="21">
        <f>B1789-20</f>
        <v/>
      </c>
      <c r="D1789" t="n">
        <v>115</v>
      </c>
      <c r="E1789" s="22">
        <f>D1789-90</f>
        <v/>
      </c>
      <c r="F1789" s="23" t="n">
        <v>0.024226</v>
      </c>
      <c r="G1789" s="22" t="n">
        <v>33.3</v>
      </c>
      <c r="H1789" s="22" t="n">
        <v>1.5</v>
      </c>
      <c r="I1789" s="24" t="n">
        <v>0.123368598520755</v>
      </c>
      <c r="J1789" s="6" t="n">
        <v>71000</v>
      </c>
      <c r="K1789" s="25">
        <f>23*10^-6</f>
        <v/>
      </c>
      <c r="L1789" s="8">
        <f>H1789</f>
        <v/>
      </c>
      <c r="M1789" s="26">
        <f>H1789^2/6</f>
        <v/>
      </c>
      <c r="N1789" s="26">
        <f>H1789^3/12</f>
        <v/>
      </c>
      <c r="O1789" s="27">
        <f>-J1789*L1789*K1789*C1789</f>
        <v/>
      </c>
      <c r="P1789" s="28">
        <f>-(12*F1789*J1789*L1789*N1789+12*O1789*N1789*G1789*COS(RADIANS(E1789)))/(12*N1789*G1789*COS(RADIANS(E1789))^2+L1789*G1789^3*SIN(RADIANS(E1789))^2)</f>
        <v/>
      </c>
      <c r="Q1789" s="28">
        <f>-(6*F1789*J1789*L1789*N1789*SIN(RADIANS(E1789))+6*O1789*N1789*G1789*SIN(RADIANS(E1789))*COS(RADIANS(E1789)))/(12*N1789*COS(RADIANS(E1789))^2+L1789*G1789^2*SIN(RADIANS(E1789))^2)</f>
        <v/>
      </c>
      <c r="R1789" s="28">
        <f>-P1789*SIN(RADIANS(E1789))</f>
        <v/>
      </c>
      <c r="S1789" s="8">
        <f>(O1789+P1789*COS(RADIANS(E1789)))/L1789</f>
        <v/>
      </c>
      <c r="T1789" s="8">
        <f>R1789/L1789</f>
        <v/>
      </c>
      <c r="U1789" s="8">
        <f>(Q1789-P1789*G1789*SIN(RADIANS(E1789)))/M1789</f>
        <v/>
      </c>
      <c r="V1789" s="8">
        <f>SQRT((S1789+U1789)^2+3*T1789^2)</f>
        <v/>
      </c>
      <c r="W1789" s="8">
        <f>V1789/AA1789</f>
        <v/>
      </c>
      <c r="X1789" s="27">
        <f>((3*10+H1789/COS(RADIANS(E1789)))*(3+3)+3*G1789*H1789)*2</f>
        <v/>
      </c>
      <c r="Y1789" s="28">
        <f>Z1789/X1789</f>
        <v/>
      </c>
      <c r="Z1789" s="29" t="n">
        <v>685.252827310878</v>
      </c>
      <c r="AA1789" s="20" t="n">
        <v>87.7583624065968</v>
      </c>
      <c r="AB1789" t="n">
        <v>0.1561991435014961</v>
      </c>
      <c r="AC1789" t="n">
        <v>87.43301569011716</v>
      </c>
      <c r="AD1789" t="n">
        <v>26.61175159189133</v>
      </c>
    </row>
    <row r="1790">
      <c r="A1790" t="n">
        <v>1789</v>
      </c>
      <c r="B1790" t="n">
        <v>65.59999999999999</v>
      </c>
      <c r="C1790" s="21">
        <f>B1790-20</f>
        <v/>
      </c>
      <c r="D1790" t="n">
        <v>115.9</v>
      </c>
      <c r="E1790" s="22">
        <f>D1790-90</f>
        <v/>
      </c>
      <c r="F1790" s="23" t="n">
        <v>0.014946</v>
      </c>
      <c r="G1790" s="22" t="n">
        <v>23.2</v>
      </c>
      <c r="H1790" s="22" t="n">
        <v>1.5</v>
      </c>
      <c r="I1790" s="24" t="n">
        <v>0.129391074180603</v>
      </c>
      <c r="J1790" s="6" t="n">
        <v>71000</v>
      </c>
      <c r="K1790" s="25">
        <f>23*10^-6</f>
        <v/>
      </c>
      <c r="L1790" s="8">
        <f>H1790</f>
        <v/>
      </c>
      <c r="M1790" s="26">
        <f>H1790^2/6</f>
        <v/>
      </c>
      <c r="N1790" s="26">
        <f>H1790^3/12</f>
        <v/>
      </c>
      <c r="O1790" s="27">
        <f>-J1790*L1790*K1790*C1790</f>
        <v/>
      </c>
      <c r="P1790" s="28">
        <f>-(12*F1790*J1790*L1790*N1790+12*O1790*N1790*G1790*COS(RADIANS(E1790)))/(12*N1790*G1790*COS(RADIANS(E1790))^2+L1790*G1790^3*SIN(RADIANS(E1790))^2)</f>
        <v/>
      </c>
      <c r="Q1790" s="28">
        <f>-(6*F1790*J1790*L1790*N1790*SIN(RADIANS(E1790))+6*O1790*N1790*G1790*SIN(RADIANS(E1790))*COS(RADIANS(E1790)))/(12*N1790*COS(RADIANS(E1790))^2+L1790*G1790^2*SIN(RADIANS(E1790))^2)</f>
        <v/>
      </c>
      <c r="R1790" s="28">
        <f>-P1790*SIN(RADIANS(E1790))</f>
        <v/>
      </c>
      <c r="S1790" s="8">
        <f>(O1790+P1790*COS(RADIANS(E1790)))/L1790</f>
        <v/>
      </c>
      <c r="T1790" s="8">
        <f>R1790/L1790</f>
        <v/>
      </c>
      <c r="U1790" s="8">
        <f>(Q1790-P1790*G1790*SIN(RADIANS(E1790)))/M1790</f>
        <v/>
      </c>
      <c r="V1790" s="8">
        <f>SQRT((S1790+U1790)^2+3*T1790^2)</f>
        <v/>
      </c>
      <c r="W1790" s="8">
        <f>V1790/AA1790</f>
        <v/>
      </c>
      <c r="X1790" s="27">
        <f>((3*10+H1790/COS(RADIANS(E1790)))*(3+3)+3*G1790*H1790)*2</f>
        <v/>
      </c>
      <c r="Y1790" s="28">
        <f>Z1790/X1790</f>
        <v/>
      </c>
      <c r="Z1790" s="29" t="n">
        <v>591.063908980124</v>
      </c>
      <c r="AA1790" s="20" t="n">
        <v>82.3731779983293</v>
      </c>
      <c r="AB1790" t="n">
        <v>0.08288146227051396</v>
      </c>
      <c r="AC1790" t="n">
        <v>69.5594847765727</v>
      </c>
      <c r="AD1790" t="n">
        <v>-35.944992500156</v>
      </c>
    </row>
    <row r="1791">
      <c r="A1791" t="n">
        <v>1790</v>
      </c>
      <c r="B1791" t="n">
        <v>47.2</v>
      </c>
      <c r="C1791" s="21">
        <f>B1791-20</f>
        <v/>
      </c>
      <c r="D1791" t="n">
        <v>127.9</v>
      </c>
      <c r="E1791" s="22">
        <f>D1791-90</f>
        <v/>
      </c>
      <c r="F1791" s="23" t="n">
        <v>0.0071</v>
      </c>
      <c r="G1791" s="22" t="n">
        <v>21.9</v>
      </c>
      <c r="H1791" s="22" t="n">
        <v>1.5</v>
      </c>
      <c r="I1791" s="24" t="n">
        <v>0.031982846558094</v>
      </c>
      <c r="J1791" s="6" t="n">
        <v>71000</v>
      </c>
      <c r="K1791" s="25">
        <f>23*10^-6</f>
        <v/>
      </c>
      <c r="L1791" s="8">
        <f>H1791</f>
        <v/>
      </c>
      <c r="M1791" s="26">
        <f>H1791^2/6</f>
        <v/>
      </c>
      <c r="N1791" s="26">
        <f>H1791^3/12</f>
        <v/>
      </c>
      <c r="O1791" s="27">
        <f>-J1791*L1791*K1791*C1791</f>
        <v/>
      </c>
      <c r="P1791" s="28">
        <f>-(12*F1791*J1791*L1791*N1791+12*O1791*N1791*G1791*COS(RADIANS(E1791)))/(12*N1791*G1791*COS(RADIANS(E1791))^2+L1791*G1791^3*SIN(RADIANS(E1791))^2)</f>
        <v/>
      </c>
      <c r="Q1791" s="28">
        <f>-(6*F1791*J1791*L1791*N1791*SIN(RADIANS(E1791))+6*O1791*N1791*G1791*SIN(RADIANS(E1791))*COS(RADIANS(E1791)))/(12*N1791*COS(RADIANS(E1791))^2+L1791*G1791^2*SIN(RADIANS(E1791))^2)</f>
        <v/>
      </c>
      <c r="R1791" s="28">
        <f>-P1791*SIN(RADIANS(E1791))</f>
        <v/>
      </c>
      <c r="S1791" s="8">
        <f>(O1791+P1791*COS(RADIANS(E1791)))/L1791</f>
        <v/>
      </c>
      <c r="T1791" s="8">
        <f>R1791/L1791</f>
        <v/>
      </c>
      <c r="U1791" s="8">
        <f>(Q1791-P1791*G1791*SIN(RADIANS(E1791)))/M1791</f>
        <v/>
      </c>
      <c r="V1791" s="8">
        <f>SQRT((S1791+U1791)^2+3*T1791^2)</f>
        <v/>
      </c>
      <c r="W1791" s="8">
        <f>V1791/AA1791</f>
        <v/>
      </c>
      <c r="X1791" s="27">
        <f>((3*10+H1791/COS(RADIANS(E1791)))*(3+3)+3*G1791*H1791)*2</f>
        <v/>
      </c>
      <c r="Y1791" s="28">
        <f>Z1791/X1791</f>
        <v/>
      </c>
      <c r="Z1791" s="29" t="n">
        <v>590.964243578366</v>
      </c>
      <c r="AA1791" s="20" t="n">
        <v>40.7846113004164</v>
      </c>
      <c r="AB1791" t="n">
        <v>0.03129081375817881</v>
      </c>
      <c r="AC1791" t="n">
        <v>39.61912503318651</v>
      </c>
      <c r="AD1791" t="n">
        <v>-2.163762373865552</v>
      </c>
    </row>
    <row r="1792">
      <c r="A1792" t="n">
        <v>1791</v>
      </c>
      <c r="B1792" t="n">
        <v>89.59999999999999</v>
      </c>
      <c r="C1792" s="21">
        <f>B1792-20</f>
        <v/>
      </c>
      <c r="D1792" t="n">
        <v>121.2</v>
      </c>
      <c r="E1792" s="22">
        <f>D1792-90</f>
        <v/>
      </c>
      <c r="F1792" s="23" t="n">
        <v>0.02193</v>
      </c>
      <c r="G1792" s="22" t="n">
        <v>22</v>
      </c>
      <c r="H1792" s="22" t="n">
        <v>1.5</v>
      </c>
      <c r="I1792" s="24" t="n">
        <v>0.199004992842674</v>
      </c>
      <c r="J1792" s="6" t="n">
        <v>71000</v>
      </c>
      <c r="K1792" s="25">
        <f>23*10^-6</f>
        <v/>
      </c>
      <c r="L1792" s="8">
        <f>H1792</f>
        <v/>
      </c>
      <c r="M1792" s="26">
        <f>H1792^2/6</f>
        <v/>
      </c>
      <c r="N1792" s="26">
        <f>H1792^3/12</f>
        <v/>
      </c>
      <c r="O1792" s="27">
        <f>-J1792*L1792*K1792*C1792</f>
        <v/>
      </c>
      <c r="P1792" s="28">
        <f>-(12*F1792*J1792*L1792*N1792+12*O1792*N1792*G1792*COS(RADIANS(E1792)))/(12*N1792*G1792*COS(RADIANS(E1792))^2+L1792*G1792^3*SIN(RADIANS(E1792))^2)</f>
        <v/>
      </c>
      <c r="Q1792" s="28">
        <f>-(6*F1792*J1792*L1792*N1792*SIN(RADIANS(E1792))+6*O1792*N1792*G1792*SIN(RADIANS(E1792))*COS(RADIANS(E1792)))/(12*N1792*COS(RADIANS(E1792))^2+L1792*G1792^2*SIN(RADIANS(E1792))^2)</f>
        <v/>
      </c>
      <c r="R1792" s="28">
        <f>-P1792*SIN(RADIANS(E1792))</f>
        <v/>
      </c>
      <c r="S1792" s="8">
        <f>(O1792+P1792*COS(RADIANS(E1792)))/L1792</f>
        <v/>
      </c>
      <c r="T1792" s="8">
        <f>R1792/L1792</f>
        <v/>
      </c>
      <c r="U1792" s="8">
        <f>(Q1792-P1792*G1792*SIN(RADIANS(E1792)))/M1792</f>
        <v/>
      </c>
      <c r="V1792" s="8">
        <f>SQRT((S1792+U1792)^2+3*T1792^2)</f>
        <v/>
      </c>
      <c r="W1792" s="8">
        <f>V1792/AA1792</f>
        <v/>
      </c>
      <c r="X1792" s="27">
        <f>((3*10+H1792/COS(RADIANS(E1792)))*(3+3)+3*G1792*H1792)*2</f>
        <v/>
      </c>
      <c r="Y1792" s="28">
        <f>Z1792/X1792</f>
        <v/>
      </c>
      <c r="Z1792" s="29" t="n">
        <v>580.135152606182</v>
      </c>
      <c r="AA1792" s="20" t="n">
        <v>145.269677575885</v>
      </c>
      <c r="AB1792" t="n">
        <v>0.0990917025979785</v>
      </c>
      <c r="AC1792" t="n">
        <v>103.87407946644</v>
      </c>
      <c r="AD1792" t="n">
        <v>-50.20642387785881</v>
      </c>
    </row>
    <row r="1793">
      <c r="A1793" t="n">
        <v>1792</v>
      </c>
      <c r="B1793" t="n">
        <v>79.90000000000001</v>
      </c>
      <c r="C1793" s="21">
        <f>B1793-20</f>
        <v/>
      </c>
      <c r="D1793" t="n">
        <v>122</v>
      </c>
      <c r="E1793" s="22">
        <f>D1793-90</f>
        <v/>
      </c>
      <c r="F1793" s="23" t="n">
        <v>0.025419</v>
      </c>
      <c r="G1793" s="22" t="n">
        <v>33.7</v>
      </c>
      <c r="H1793" s="22" t="n">
        <v>1.8</v>
      </c>
      <c r="I1793" s="24" t="n">
        <v>0.136829271912574</v>
      </c>
      <c r="J1793" s="6" t="n">
        <v>71000</v>
      </c>
      <c r="K1793" s="25">
        <f>23*10^-6</f>
        <v/>
      </c>
      <c r="L1793" s="8">
        <f>H1793</f>
        <v/>
      </c>
      <c r="M1793" s="26">
        <f>H1793^2/6</f>
        <v/>
      </c>
      <c r="N1793" s="26">
        <f>H1793^3/12</f>
        <v/>
      </c>
      <c r="O1793" s="27">
        <f>-J1793*L1793*K1793*C1793</f>
        <v/>
      </c>
      <c r="P1793" s="28">
        <f>-(12*F1793*J1793*L1793*N1793+12*O1793*N1793*G1793*COS(RADIANS(E1793)))/(12*N1793*G1793*COS(RADIANS(E1793))^2+L1793*G1793^3*SIN(RADIANS(E1793))^2)</f>
        <v/>
      </c>
      <c r="Q1793" s="28">
        <f>-(6*F1793*J1793*L1793*N1793*SIN(RADIANS(E1793))+6*O1793*N1793*G1793*SIN(RADIANS(E1793))*COS(RADIANS(E1793)))/(12*N1793*COS(RADIANS(E1793))^2+L1793*G1793^2*SIN(RADIANS(E1793))^2)</f>
        <v/>
      </c>
      <c r="R1793" s="28">
        <f>-P1793*SIN(RADIANS(E1793))</f>
        <v/>
      </c>
      <c r="S1793" s="8">
        <f>(O1793+P1793*COS(RADIANS(E1793)))/L1793</f>
        <v/>
      </c>
      <c r="T1793" s="8">
        <f>R1793/L1793</f>
        <v/>
      </c>
      <c r="U1793" s="8">
        <f>(Q1793-P1793*G1793*SIN(RADIANS(E1793)))/M1793</f>
        <v/>
      </c>
      <c r="V1793" s="8">
        <f>SQRT((S1793+U1793)^2+3*T1793^2)</f>
        <v/>
      </c>
      <c r="W1793" s="8">
        <f>V1793/AA1793</f>
        <v/>
      </c>
      <c r="X1793" s="27">
        <f>((3*10+H1793/COS(RADIANS(E1793)))*(3+3)+3*G1793*H1793)*2</f>
        <v/>
      </c>
      <c r="Y1793" s="28">
        <f>Z1793/X1793</f>
        <v/>
      </c>
      <c r="Z1793" s="29" t="n">
        <v>752.609593664144</v>
      </c>
      <c r="AA1793" s="20" t="n">
        <v>95.7815015403758</v>
      </c>
      <c r="AB1793" t="n">
        <v>0.1243859703251051</v>
      </c>
      <c r="AC1793" t="n">
        <v>88.41809493935952</v>
      </c>
      <c r="AD1793" t="n">
        <v>-9.094034787687404</v>
      </c>
    </row>
    <row r="1794">
      <c r="A1794" t="n">
        <v>1793</v>
      </c>
      <c r="B1794" t="n">
        <v>56.2</v>
      </c>
      <c r="C1794" s="21">
        <f>B1794-20</f>
        <v/>
      </c>
      <c r="D1794" t="n">
        <v>123.9</v>
      </c>
      <c r="E1794" s="22">
        <f>D1794-90</f>
        <v/>
      </c>
      <c r="F1794" s="23" t="n">
        <v>0.011715</v>
      </c>
      <c r="G1794" s="22" t="n">
        <v>23.9</v>
      </c>
      <c r="H1794" s="22" t="n">
        <v>1.8</v>
      </c>
      <c r="I1794" s="24" t="n">
        <v>0.0684878900647163</v>
      </c>
      <c r="J1794" s="6" t="n">
        <v>71000</v>
      </c>
      <c r="K1794" s="25">
        <f>23*10^-6</f>
        <v/>
      </c>
      <c r="L1794" s="8">
        <f>H1794</f>
        <v/>
      </c>
      <c r="M1794" s="26">
        <f>H1794^2/6</f>
        <v/>
      </c>
      <c r="N1794" s="26">
        <f>H1794^3/12</f>
        <v/>
      </c>
      <c r="O1794" s="27">
        <f>-J1794*L1794*K1794*C1794</f>
        <v/>
      </c>
      <c r="P1794" s="28">
        <f>-(12*F1794*J1794*L1794*N1794+12*O1794*N1794*G1794*COS(RADIANS(E1794)))/(12*N1794*G1794*COS(RADIANS(E1794))^2+L1794*G1794^3*SIN(RADIANS(E1794))^2)</f>
        <v/>
      </c>
      <c r="Q1794" s="28">
        <f>-(6*F1794*J1794*L1794*N1794*SIN(RADIANS(E1794))+6*O1794*N1794*G1794*SIN(RADIANS(E1794))*COS(RADIANS(E1794)))/(12*N1794*COS(RADIANS(E1794))^2+L1794*G1794^2*SIN(RADIANS(E1794))^2)</f>
        <v/>
      </c>
      <c r="R1794" s="28">
        <f>-P1794*SIN(RADIANS(E1794))</f>
        <v/>
      </c>
      <c r="S1794" s="8">
        <f>(O1794+P1794*COS(RADIANS(E1794)))/L1794</f>
        <v/>
      </c>
      <c r="T1794" s="8">
        <f>R1794/L1794</f>
        <v/>
      </c>
      <c r="U1794" s="8">
        <f>(Q1794-P1794*G1794*SIN(RADIANS(E1794)))/M1794</f>
        <v/>
      </c>
      <c r="V1794" s="8">
        <f>SQRT((S1794+U1794)^2+3*T1794^2)</f>
        <v/>
      </c>
      <c r="W1794" s="8">
        <f>V1794/AA1794</f>
        <v/>
      </c>
      <c r="X1794" s="27">
        <f>((3*10+H1794/COS(RADIANS(E1794)))*(3+3)+3*G1794*H1794)*2</f>
        <v/>
      </c>
      <c r="Y1794" s="28">
        <f>Z1794/X1794</f>
        <v/>
      </c>
      <c r="Z1794" s="29" t="n">
        <v>646.236616372357</v>
      </c>
      <c r="AA1794" s="20" t="n">
        <v>60.9898928907204</v>
      </c>
      <c r="AB1794" t="n">
        <v>0.05081701480377955</v>
      </c>
      <c r="AC1794" t="n">
        <v>54.13018370120925</v>
      </c>
      <c r="AD1794" t="n">
        <v>-25.80145956349217</v>
      </c>
    </row>
    <row r="1795">
      <c r="A1795" t="n">
        <v>1794</v>
      </c>
      <c r="B1795" t="n">
        <v>72.8</v>
      </c>
      <c r="C1795" s="21">
        <f>B1795-20</f>
        <v/>
      </c>
      <c r="D1795" t="n">
        <v>113.8</v>
      </c>
      <c r="E1795" s="22">
        <f>D1795-90</f>
        <v/>
      </c>
      <c r="F1795" s="23" t="n">
        <v>0.022541</v>
      </c>
      <c r="G1795" s="22" t="n">
        <v>34.7</v>
      </c>
      <c r="H1795" s="22" t="n">
        <v>1.8</v>
      </c>
      <c r="I1795" s="24" t="n">
        <v>0.112596668303012</v>
      </c>
      <c r="J1795" s="6" t="n">
        <v>71000</v>
      </c>
      <c r="K1795" s="25">
        <f>23*10^-6</f>
        <v/>
      </c>
      <c r="L1795" s="8">
        <f>H1795</f>
        <v/>
      </c>
      <c r="M1795" s="26">
        <f>H1795^2/6</f>
        <v/>
      </c>
      <c r="N1795" s="26">
        <f>H1795^3/12</f>
        <v/>
      </c>
      <c r="O1795" s="27">
        <f>-J1795*L1795*K1795*C1795</f>
        <v/>
      </c>
      <c r="P1795" s="28">
        <f>-(12*F1795*J1795*L1795*N1795+12*O1795*N1795*G1795*COS(RADIANS(E1795)))/(12*N1795*G1795*COS(RADIANS(E1795))^2+L1795*G1795^3*SIN(RADIANS(E1795))^2)</f>
        <v/>
      </c>
      <c r="Q1795" s="28">
        <f>-(6*F1795*J1795*L1795*N1795*SIN(RADIANS(E1795))+6*O1795*N1795*G1795*SIN(RADIANS(E1795))*COS(RADIANS(E1795)))/(12*N1795*COS(RADIANS(E1795))^2+L1795*G1795^2*SIN(RADIANS(E1795))^2)</f>
        <v/>
      </c>
      <c r="R1795" s="28">
        <f>-P1795*SIN(RADIANS(E1795))</f>
        <v/>
      </c>
      <c r="S1795" s="8">
        <f>(O1795+P1795*COS(RADIANS(E1795)))/L1795</f>
        <v/>
      </c>
      <c r="T1795" s="8">
        <f>R1795/L1795</f>
        <v/>
      </c>
      <c r="U1795" s="8">
        <f>(Q1795-P1795*G1795*SIN(RADIANS(E1795)))/M1795</f>
        <v/>
      </c>
      <c r="V1795" s="8">
        <f>SQRT((S1795+U1795)^2+3*T1795^2)</f>
        <v/>
      </c>
      <c r="W1795" s="8">
        <f>V1795/AA1795</f>
        <v/>
      </c>
      <c r="X1795" s="27">
        <f>((3*10+H1795/COS(RADIANS(E1795)))*(3+3)+3*G1795*H1795)*2</f>
        <v/>
      </c>
      <c r="Y1795" s="28">
        <f>Z1795/X1795</f>
        <v/>
      </c>
      <c r="Z1795" s="29" t="n">
        <v>764.507662490329</v>
      </c>
      <c r="AA1795" s="20" t="n">
        <v>82.5480652911434</v>
      </c>
      <c r="AB1795" t="n">
        <v>0.153676816538243</v>
      </c>
      <c r="AC1795" t="n">
        <v>80.65579748677543</v>
      </c>
      <c r="AD1795" t="n">
        <v>36.48433728490001</v>
      </c>
    </row>
    <row r="1796">
      <c r="A1796" t="n">
        <v>1795</v>
      </c>
      <c r="B1796" t="n">
        <v>52.9</v>
      </c>
      <c r="C1796" s="21">
        <f>B1796-20</f>
        <v/>
      </c>
      <c r="D1796" t="n">
        <v>107.1</v>
      </c>
      <c r="E1796" s="22">
        <f>D1796-90</f>
        <v/>
      </c>
      <c r="F1796" s="23" t="n">
        <v>0.010618</v>
      </c>
      <c r="G1796" s="22" t="n">
        <v>24.8</v>
      </c>
      <c r="H1796" s="22" t="n">
        <v>1.5</v>
      </c>
      <c r="I1796" s="24" t="n">
        <v>0.0545015856623649</v>
      </c>
      <c r="J1796" s="6" t="n">
        <v>71000</v>
      </c>
      <c r="K1796" s="25">
        <f>23*10^-6</f>
        <v/>
      </c>
      <c r="L1796" s="8">
        <f>H1796</f>
        <v/>
      </c>
      <c r="M1796" s="26">
        <f>H1796^2/6</f>
        <v/>
      </c>
      <c r="N1796" s="26">
        <f>H1796^3/12</f>
        <v/>
      </c>
      <c r="O1796" s="27">
        <f>-J1796*L1796*K1796*C1796</f>
        <v/>
      </c>
      <c r="P1796" s="28">
        <f>-(12*F1796*J1796*L1796*N1796+12*O1796*N1796*G1796*COS(RADIANS(E1796)))/(12*N1796*G1796*COS(RADIANS(E1796))^2+L1796*G1796^3*SIN(RADIANS(E1796))^2)</f>
        <v/>
      </c>
      <c r="Q1796" s="28">
        <f>-(6*F1796*J1796*L1796*N1796*SIN(RADIANS(E1796))+6*O1796*N1796*G1796*SIN(RADIANS(E1796))*COS(RADIANS(E1796)))/(12*N1796*COS(RADIANS(E1796))^2+L1796*G1796^2*SIN(RADIANS(E1796))^2)</f>
        <v/>
      </c>
      <c r="R1796" s="28">
        <f>-P1796*SIN(RADIANS(E1796))</f>
        <v/>
      </c>
      <c r="S1796" s="8">
        <f>(O1796+P1796*COS(RADIANS(E1796)))/L1796</f>
        <v/>
      </c>
      <c r="T1796" s="8">
        <f>R1796/L1796</f>
        <v/>
      </c>
      <c r="U1796" s="8">
        <f>(Q1796-P1796*G1796*SIN(RADIANS(E1796)))/M1796</f>
        <v/>
      </c>
      <c r="V1796" s="8">
        <f>SQRT((S1796+U1796)^2+3*T1796^2)</f>
        <v/>
      </c>
      <c r="W1796" s="8">
        <f>V1796/AA1796</f>
        <v/>
      </c>
      <c r="X1796" s="27">
        <f>((3*10+H1796/COS(RADIANS(E1796)))*(3+3)+3*G1796*H1796)*2</f>
        <v/>
      </c>
      <c r="Y1796" s="28">
        <f>Z1796/X1796</f>
        <v/>
      </c>
      <c r="Z1796" s="29" t="n">
        <v>609.323237304746</v>
      </c>
      <c r="AA1796" s="20" t="n">
        <v>50.7118332928056</v>
      </c>
      <c r="AB1796" t="n">
        <v>0.09618460767697674</v>
      </c>
      <c r="AC1796" t="n">
        <v>53.07412882882532</v>
      </c>
      <c r="AD1796" t="n">
        <v>76.48038402558866</v>
      </c>
    </row>
    <row r="1797">
      <c r="A1797" t="n">
        <v>1796</v>
      </c>
      <c r="B1797" t="n">
        <v>66.90000000000001</v>
      </c>
      <c r="C1797" s="21">
        <f>B1797-20</f>
        <v/>
      </c>
      <c r="D1797" t="n">
        <v>109.5</v>
      </c>
      <c r="E1797" s="22">
        <f>D1797-90</f>
        <v/>
      </c>
      <c r="F1797" s="23" t="n">
        <v>0.013502</v>
      </c>
      <c r="G1797" s="22" t="n">
        <v>24.4</v>
      </c>
      <c r="H1797" s="22" t="n">
        <v>1.4</v>
      </c>
      <c r="I1797" s="24" t="n">
        <v>0.0602422766387462</v>
      </c>
      <c r="J1797" s="6" t="n">
        <v>71000</v>
      </c>
      <c r="K1797" s="25">
        <f>23*10^-6</f>
        <v/>
      </c>
      <c r="L1797" s="8">
        <f>H1797</f>
        <v/>
      </c>
      <c r="M1797" s="26">
        <f>H1797^2/6</f>
        <v/>
      </c>
      <c r="N1797" s="26">
        <f>H1797^3/12</f>
        <v/>
      </c>
      <c r="O1797" s="27">
        <f>-J1797*L1797*K1797*C1797</f>
        <v/>
      </c>
      <c r="P1797" s="28">
        <f>-(12*F1797*J1797*L1797*N1797+12*O1797*N1797*G1797*COS(RADIANS(E1797)))/(12*N1797*G1797*COS(RADIANS(E1797))^2+L1797*G1797^3*SIN(RADIANS(E1797))^2)</f>
        <v/>
      </c>
      <c r="Q1797" s="28">
        <f>-(6*F1797*J1797*L1797*N1797*SIN(RADIANS(E1797))+6*O1797*N1797*G1797*SIN(RADIANS(E1797))*COS(RADIANS(E1797)))/(12*N1797*COS(RADIANS(E1797))^2+L1797*G1797^2*SIN(RADIANS(E1797))^2)</f>
        <v/>
      </c>
      <c r="R1797" s="28">
        <f>-P1797*SIN(RADIANS(E1797))</f>
        <v/>
      </c>
      <c r="S1797" s="8">
        <f>(O1797+P1797*COS(RADIANS(E1797)))/L1797</f>
        <v/>
      </c>
      <c r="T1797" s="8">
        <f>R1797/L1797</f>
        <v/>
      </c>
      <c r="U1797" s="8">
        <f>(Q1797-P1797*G1797*SIN(RADIANS(E1797)))/M1797</f>
        <v/>
      </c>
      <c r="V1797" s="8">
        <f>SQRT((S1797+U1797)^2+3*T1797^2)</f>
        <v/>
      </c>
      <c r="W1797" s="8">
        <f>V1797/AA1797</f>
        <v/>
      </c>
      <c r="X1797" s="27">
        <f>((3*10+H1797/COS(RADIANS(E1797)))*(3+3)+3*G1797*H1797)*2</f>
        <v/>
      </c>
      <c r="Y1797" s="28">
        <f>Z1797/X1797</f>
        <v/>
      </c>
      <c r="Z1797" s="29" t="n">
        <v>596.099145672347</v>
      </c>
      <c r="AA1797" s="20" t="n">
        <v>67.859311835732</v>
      </c>
      <c r="AB1797" t="n">
        <v>0.1193570471880998</v>
      </c>
      <c r="AC1797" t="n">
        <v>73.57900772964224</v>
      </c>
      <c r="AD1797" t="n">
        <v>98.12838067831687</v>
      </c>
    </row>
    <row r="1798">
      <c r="A1798" t="n">
        <v>1797</v>
      </c>
      <c r="B1798" t="n">
        <v>71.40000000000001</v>
      </c>
      <c r="C1798" s="21">
        <f>B1798-20</f>
        <v/>
      </c>
      <c r="D1798" t="n">
        <v>122</v>
      </c>
      <c r="E1798" s="22">
        <f>D1798-90</f>
        <v/>
      </c>
      <c r="F1798" s="23" t="n">
        <v>0.016246</v>
      </c>
      <c r="G1798" s="22" t="n">
        <v>25.4</v>
      </c>
      <c r="H1798" s="22" t="n">
        <v>1.8</v>
      </c>
      <c r="I1798" s="24" t="n">
        <v>0.0763876512646675</v>
      </c>
      <c r="J1798" s="6" t="n">
        <v>71000</v>
      </c>
      <c r="K1798" s="25">
        <f>23*10^-6</f>
        <v/>
      </c>
      <c r="L1798" s="8">
        <f>H1798</f>
        <v/>
      </c>
      <c r="M1798" s="26">
        <f>H1798^2/6</f>
        <v/>
      </c>
      <c r="N1798" s="26">
        <f>H1798^3/12</f>
        <v/>
      </c>
      <c r="O1798" s="27">
        <f>-J1798*L1798*K1798*C1798</f>
        <v/>
      </c>
      <c r="P1798" s="28">
        <f>-(12*F1798*J1798*L1798*N1798+12*O1798*N1798*G1798*COS(RADIANS(E1798)))/(12*N1798*G1798*COS(RADIANS(E1798))^2+L1798*G1798^3*SIN(RADIANS(E1798))^2)</f>
        <v/>
      </c>
      <c r="Q1798" s="28">
        <f>-(6*F1798*J1798*L1798*N1798*SIN(RADIANS(E1798))+6*O1798*N1798*G1798*SIN(RADIANS(E1798))*COS(RADIANS(E1798)))/(12*N1798*COS(RADIANS(E1798))^2+L1798*G1798^2*SIN(RADIANS(E1798))^2)</f>
        <v/>
      </c>
      <c r="R1798" s="28">
        <f>-P1798*SIN(RADIANS(E1798))</f>
        <v/>
      </c>
      <c r="S1798" s="8">
        <f>(O1798+P1798*COS(RADIANS(E1798)))/L1798</f>
        <v/>
      </c>
      <c r="T1798" s="8">
        <f>R1798/L1798</f>
        <v/>
      </c>
      <c r="U1798" s="8">
        <f>(Q1798-P1798*G1798*SIN(RADIANS(E1798)))/M1798</f>
        <v/>
      </c>
      <c r="V1798" s="8">
        <f>SQRT((S1798+U1798)^2+3*T1798^2)</f>
        <v/>
      </c>
      <c r="W1798" s="8">
        <f>V1798/AA1798</f>
        <v/>
      </c>
      <c r="X1798" s="27">
        <f>((3*10+H1798/COS(RADIANS(E1798)))*(3+3)+3*G1798*H1798)*2</f>
        <v/>
      </c>
      <c r="Y1798" s="28">
        <f>Z1798/X1798</f>
        <v/>
      </c>
      <c r="Z1798" s="29" t="n">
        <v>667.064250513816</v>
      </c>
      <c r="AA1798" s="20" t="n">
        <v>82.68498992775631</v>
      </c>
      <c r="AB1798" t="n">
        <v>0.08131499745440665</v>
      </c>
      <c r="AC1798" t="n">
        <v>77.21021467275439</v>
      </c>
      <c r="AD1798" t="n">
        <v>6.450448610688282</v>
      </c>
    </row>
    <row r="1799">
      <c r="A1799" t="n">
        <v>1798</v>
      </c>
      <c r="B1799" t="n">
        <v>57.6</v>
      </c>
      <c r="C1799" s="21">
        <f>B1799-20</f>
        <v/>
      </c>
      <c r="D1799" t="n">
        <v>120.4</v>
      </c>
      <c r="E1799" s="22">
        <f>D1799-90</f>
        <v/>
      </c>
      <c r="F1799" s="23" t="n">
        <v>0.010751</v>
      </c>
      <c r="G1799" s="22" t="n">
        <v>22.5</v>
      </c>
      <c r="H1799" s="22" t="n">
        <v>1.1</v>
      </c>
      <c r="I1799" s="24" t="n">
        <v>0.0509830005466938</v>
      </c>
      <c r="J1799" s="6" t="n">
        <v>71000</v>
      </c>
      <c r="K1799" s="25">
        <f>23*10^-6</f>
        <v/>
      </c>
      <c r="L1799" s="8">
        <f>H1799</f>
        <v/>
      </c>
      <c r="M1799" s="26">
        <f>H1799^2/6</f>
        <v/>
      </c>
      <c r="N1799" s="26">
        <f>H1799^3/12</f>
        <v/>
      </c>
      <c r="O1799" s="27">
        <f>-J1799*L1799*K1799*C1799</f>
        <v/>
      </c>
      <c r="P1799" s="28">
        <f>-(12*F1799*J1799*L1799*N1799+12*O1799*N1799*G1799*COS(RADIANS(E1799)))/(12*N1799*G1799*COS(RADIANS(E1799))^2+L1799*G1799^3*SIN(RADIANS(E1799))^2)</f>
        <v/>
      </c>
      <c r="Q1799" s="28">
        <f>-(6*F1799*J1799*L1799*N1799*SIN(RADIANS(E1799))+6*O1799*N1799*G1799*SIN(RADIANS(E1799))*COS(RADIANS(E1799)))/(12*N1799*COS(RADIANS(E1799))^2+L1799*G1799^2*SIN(RADIANS(E1799))^2)</f>
        <v/>
      </c>
      <c r="R1799" s="28">
        <f>-P1799*SIN(RADIANS(E1799))</f>
        <v/>
      </c>
      <c r="S1799" s="8">
        <f>(O1799+P1799*COS(RADIANS(E1799)))/L1799</f>
        <v/>
      </c>
      <c r="T1799" s="8">
        <f>R1799/L1799</f>
        <v/>
      </c>
      <c r="U1799" s="8">
        <f>(Q1799-P1799*G1799*SIN(RADIANS(E1799)))/M1799</f>
        <v/>
      </c>
      <c r="V1799" s="8">
        <f>SQRT((S1799+U1799)^2+3*T1799^2)</f>
        <v/>
      </c>
      <c r="W1799" s="8">
        <f>V1799/AA1799</f>
        <v/>
      </c>
      <c r="X1799" s="27">
        <f>((3*10+H1799/COS(RADIANS(E1799)))*(3+3)+3*G1799*H1799)*2</f>
        <v/>
      </c>
      <c r="Y1799" s="28">
        <f>Z1799/X1799</f>
        <v/>
      </c>
      <c r="Z1799" s="29" t="n">
        <v>531.79906599071</v>
      </c>
      <c r="AA1799" s="20" t="n">
        <v>52.6881595771381</v>
      </c>
      <c r="AB1799" t="n">
        <v>0.05657677031300438</v>
      </c>
      <c r="AC1799" t="n">
        <v>54.78123638223538</v>
      </c>
      <c r="AD1799" t="n">
        <v>10.97183317248544</v>
      </c>
    </row>
    <row r="1800">
      <c r="A1800" t="n">
        <v>1799</v>
      </c>
      <c r="B1800" t="n">
        <v>74.7</v>
      </c>
      <c r="C1800" s="21">
        <f>B1800-20</f>
        <v/>
      </c>
      <c r="D1800" t="n">
        <v>114.9</v>
      </c>
      <c r="E1800" s="22">
        <f>D1800-90</f>
        <v/>
      </c>
      <c r="F1800" s="23" t="n">
        <v>0.016733</v>
      </c>
      <c r="G1800" s="22" t="n">
        <v>25.1</v>
      </c>
      <c r="H1800" s="22" t="n">
        <v>1.6</v>
      </c>
      <c r="I1800" s="24" t="n">
        <v>0.0765609890222549</v>
      </c>
      <c r="J1800" s="6" t="n">
        <v>71000</v>
      </c>
      <c r="K1800" s="25">
        <f>23*10^-6</f>
        <v/>
      </c>
      <c r="L1800" s="8">
        <f>H1800</f>
        <v/>
      </c>
      <c r="M1800" s="26">
        <f>H1800^2/6</f>
        <v/>
      </c>
      <c r="N1800" s="26">
        <f>H1800^3/12</f>
        <v/>
      </c>
      <c r="O1800" s="27">
        <f>-J1800*L1800*K1800*C1800</f>
        <v/>
      </c>
      <c r="P1800" s="28">
        <f>-(12*F1800*J1800*L1800*N1800+12*O1800*N1800*G1800*COS(RADIANS(E1800)))/(12*N1800*G1800*COS(RADIANS(E1800))^2+L1800*G1800^3*SIN(RADIANS(E1800))^2)</f>
        <v/>
      </c>
      <c r="Q1800" s="28">
        <f>-(6*F1800*J1800*L1800*N1800*SIN(RADIANS(E1800))+6*O1800*N1800*G1800*SIN(RADIANS(E1800))*COS(RADIANS(E1800)))/(12*N1800*COS(RADIANS(E1800))^2+L1800*G1800^2*SIN(RADIANS(E1800))^2)</f>
        <v/>
      </c>
      <c r="R1800" s="28">
        <f>-P1800*SIN(RADIANS(E1800))</f>
        <v/>
      </c>
      <c r="S1800" s="8">
        <f>(O1800+P1800*COS(RADIANS(E1800)))/L1800</f>
        <v/>
      </c>
      <c r="T1800" s="8">
        <f>R1800/L1800</f>
        <v/>
      </c>
      <c r="U1800" s="8">
        <f>(Q1800-P1800*G1800*SIN(RADIANS(E1800)))/M1800</f>
        <v/>
      </c>
      <c r="V1800" s="8">
        <f>SQRT((S1800+U1800)^2+3*T1800^2)</f>
        <v/>
      </c>
      <c r="W1800" s="8">
        <f>V1800/AA1800</f>
        <v/>
      </c>
      <c r="X1800" s="27">
        <f>((3*10+H1800/COS(RADIANS(E1800)))*(3+3)+3*G1800*H1800)*2</f>
        <v/>
      </c>
      <c r="Y1800" s="28">
        <f>Z1800/X1800</f>
        <v/>
      </c>
      <c r="Z1800" s="29" t="n">
        <v>632.441051786187</v>
      </c>
      <c r="AA1800" s="20" t="n">
        <v>84.2499658666277</v>
      </c>
      <c r="AB1800" t="n">
        <v>0.1113887895524594</v>
      </c>
      <c r="AC1800" t="n">
        <v>84.06383116039332</v>
      </c>
      <c r="AD1800" t="n">
        <v>45.49026988154586</v>
      </c>
    </row>
    <row r="1801">
      <c r="A1801" t="n">
        <v>1800</v>
      </c>
      <c r="B1801" t="n">
        <v>86.8</v>
      </c>
      <c r="C1801" s="21">
        <f>B1801-20</f>
        <v/>
      </c>
      <c r="D1801" t="n">
        <v>126</v>
      </c>
      <c r="E1801" s="22">
        <f>D1801-90</f>
        <v/>
      </c>
      <c r="F1801" s="23" t="n">
        <v>0.022058</v>
      </c>
      <c r="G1801" s="22" t="n">
        <v>25.1</v>
      </c>
      <c r="H1801" s="22" t="n">
        <v>2</v>
      </c>
      <c r="I1801" s="24" t="n">
        <v>0.11759815365076</v>
      </c>
      <c r="J1801" s="6" t="n">
        <v>71000</v>
      </c>
      <c r="K1801" s="25">
        <f>23*10^-6</f>
        <v/>
      </c>
      <c r="L1801" s="8">
        <f>H1801</f>
        <v/>
      </c>
      <c r="M1801" s="26">
        <f>H1801^2/6</f>
        <v/>
      </c>
      <c r="N1801" s="26">
        <f>H1801^3/12</f>
        <v/>
      </c>
      <c r="O1801" s="27">
        <f>-J1801*L1801*K1801*C1801</f>
        <v/>
      </c>
      <c r="P1801" s="28">
        <f>-(12*F1801*J1801*L1801*N1801+12*O1801*N1801*G1801*COS(RADIANS(E1801)))/(12*N1801*G1801*COS(RADIANS(E1801))^2+L1801*G1801^3*SIN(RADIANS(E1801))^2)</f>
        <v/>
      </c>
      <c r="Q1801" s="28">
        <f>-(6*F1801*J1801*L1801*N1801*SIN(RADIANS(E1801))+6*O1801*N1801*G1801*SIN(RADIANS(E1801))*COS(RADIANS(E1801)))/(12*N1801*COS(RADIANS(E1801))^2+L1801*G1801^2*SIN(RADIANS(E1801))^2)</f>
        <v/>
      </c>
      <c r="R1801" s="28">
        <f>-P1801*SIN(RADIANS(E1801))</f>
        <v/>
      </c>
      <c r="S1801" s="8">
        <f>(O1801+P1801*COS(RADIANS(E1801)))/L1801</f>
        <v/>
      </c>
      <c r="T1801" s="8">
        <f>R1801/L1801</f>
        <v/>
      </c>
      <c r="U1801" s="8">
        <f>(Q1801-P1801*G1801*SIN(RADIANS(E1801)))/M1801</f>
        <v/>
      </c>
      <c r="V1801" s="8">
        <f>SQRT((S1801+U1801)^2+3*T1801^2)</f>
        <v/>
      </c>
      <c r="W1801" s="8">
        <f>V1801/AA1801</f>
        <v/>
      </c>
      <c r="X1801" s="27">
        <f>((3*10+H1801/COS(RADIANS(E1801)))*(3+3)+3*G1801*H1801)*2</f>
        <v/>
      </c>
      <c r="Y1801" s="28">
        <f>Z1801/X1801</f>
        <v/>
      </c>
      <c r="Z1801" s="29" t="n">
        <v>693.094958214265</v>
      </c>
      <c r="AA1801" s="20" t="n">
        <v>114.223661371082</v>
      </c>
      <c r="AB1801" t="n">
        <v>0.09190072145871363</v>
      </c>
      <c r="AC1801" t="n">
        <v>99.77929147941549</v>
      </c>
      <c r="AD1801" t="n">
        <v>-21.85190106671398</v>
      </c>
    </row>
    <row r="1802">
      <c r="A1802" t="n">
        <v>1801</v>
      </c>
      <c r="B1802" t="n">
        <v>53.4</v>
      </c>
      <c r="C1802" s="21">
        <f>B1802-20</f>
        <v/>
      </c>
      <c r="D1802" t="n">
        <v>106.7</v>
      </c>
      <c r="E1802" s="22">
        <f>D1802-90</f>
        <v/>
      </c>
      <c r="F1802" s="23" t="n">
        <v>0.012001</v>
      </c>
      <c r="G1802" s="22" t="n">
        <v>26.7</v>
      </c>
      <c r="H1802" s="22" t="n">
        <v>1.9</v>
      </c>
      <c r="I1802" s="24" t="n">
        <v>0.0774483233690261</v>
      </c>
      <c r="J1802" s="6" t="n">
        <v>71000</v>
      </c>
      <c r="K1802" s="25">
        <f>23*10^-6</f>
        <v/>
      </c>
      <c r="L1802" s="8">
        <f>H1802</f>
        <v/>
      </c>
      <c r="M1802" s="26">
        <f>H1802^2/6</f>
        <v/>
      </c>
      <c r="N1802" s="26">
        <f>H1802^3/12</f>
        <v/>
      </c>
      <c r="O1802" s="27">
        <f>-J1802*L1802*K1802*C1802</f>
        <v/>
      </c>
      <c r="P1802" s="28">
        <f>-(12*F1802*J1802*L1802*N1802+12*O1802*N1802*G1802*COS(RADIANS(E1802)))/(12*N1802*G1802*COS(RADIANS(E1802))^2+L1802*G1802^3*SIN(RADIANS(E1802))^2)</f>
        <v/>
      </c>
      <c r="Q1802" s="28">
        <f>-(6*F1802*J1802*L1802*N1802*SIN(RADIANS(E1802))+6*O1802*N1802*G1802*SIN(RADIANS(E1802))*COS(RADIANS(E1802)))/(12*N1802*COS(RADIANS(E1802))^2+L1802*G1802^2*SIN(RADIANS(E1802))^2)</f>
        <v/>
      </c>
      <c r="R1802" s="28">
        <f>-P1802*SIN(RADIANS(E1802))</f>
        <v/>
      </c>
      <c r="S1802" s="8">
        <f>(O1802+P1802*COS(RADIANS(E1802)))/L1802</f>
        <v/>
      </c>
      <c r="T1802" s="8">
        <f>R1802/L1802</f>
        <v/>
      </c>
      <c r="U1802" s="8">
        <f>(Q1802-P1802*G1802*SIN(RADIANS(E1802)))/M1802</f>
        <v/>
      </c>
      <c r="V1802" s="8">
        <f>SQRT((S1802+U1802)^2+3*T1802^2)</f>
        <v/>
      </c>
      <c r="W1802" s="8">
        <f>V1802/AA1802</f>
        <v/>
      </c>
      <c r="X1802" s="27">
        <f>((3*10+H1802/COS(RADIANS(E1802)))*(3+3)+3*G1802*H1802)*2</f>
        <v/>
      </c>
      <c r="Y1802" s="28">
        <f>Z1802/X1802</f>
        <v/>
      </c>
      <c r="Z1802" s="29" t="n">
        <v>692.778205685536</v>
      </c>
      <c r="AA1802" s="20" t="n">
        <v>57.7175883494787</v>
      </c>
      <c r="AB1802" t="n">
        <v>0.1053203967363848</v>
      </c>
      <c r="AC1802" t="n">
        <v>55.66275114482097</v>
      </c>
      <c r="AD1802" t="n">
        <v>35.98796223716008</v>
      </c>
    </row>
    <row r="1803">
      <c r="A1803" t="n">
        <v>1802</v>
      </c>
      <c r="B1803" t="n">
        <v>54.7</v>
      </c>
      <c r="C1803" s="21">
        <f>B1803-20</f>
        <v/>
      </c>
      <c r="D1803" t="n">
        <v>127.4</v>
      </c>
      <c r="E1803" s="22">
        <f>D1803-90</f>
        <v/>
      </c>
      <c r="F1803" s="23" t="n">
        <v>0.013262</v>
      </c>
      <c r="G1803" s="22" t="n">
        <v>29.2</v>
      </c>
      <c r="H1803" s="22" t="n">
        <v>1.2</v>
      </c>
      <c r="I1803" s="24" t="n">
        <v>0.0789955630898475</v>
      </c>
      <c r="J1803" s="6" t="n">
        <v>71000</v>
      </c>
      <c r="K1803" s="25">
        <f>23*10^-6</f>
        <v/>
      </c>
      <c r="L1803" s="8">
        <f>H1803</f>
        <v/>
      </c>
      <c r="M1803" s="26">
        <f>H1803^2/6</f>
        <v/>
      </c>
      <c r="N1803" s="26">
        <f>H1803^3/12</f>
        <v/>
      </c>
      <c r="O1803" s="27">
        <f>-J1803*L1803*K1803*C1803</f>
        <v/>
      </c>
      <c r="P1803" s="28">
        <f>-(12*F1803*J1803*L1803*N1803+12*O1803*N1803*G1803*COS(RADIANS(E1803)))/(12*N1803*G1803*COS(RADIANS(E1803))^2+L1803*G1803^3*SIN(RADIANS(E1803))^2)</f>
        <v/>
      </c>
      <c r="Q1803" s="28">
        <f>-(6*F1803*J1803*L1803*N1803*SIN(RADIANS(E1803))+6*O1803*N1803*G1803*SIN(RADIANS(E1803))*COS(RADIANS(E1803)))/(12*N1803*COS(RADIANS(E1803))^2+L1803*G1803^2*SIN(RADIANS(E1803))^2)</f>
        <v/>
      </c>
      <c r="R1803" s="28">
        <f>-P1803*SIN(RADIANS(E1803))</f>
        <v/>
      </c>
      <c r="S1803" s="8">
        <f>(O1803+P1803*COS(RADIANS(E1803)))/L1803</f>
        <v/>
      </c>
      <c r="T1803" s="8">
        <f>R1803/L1803</f>
        <v/>
      </c>
      <c r="U1803" s="8">
        <f>(Q1803-P1803*G1803*SIN(RADIANS(E1803)))/M1803</f>
        <v/>
      </c>
      <c r="V1803" s="8">
        <f>SQRT((S1803+U1803)^2+3*T1803^2)</f>
        <v/>
      </c>
      <c r="W1803" s="8">
        <f>V1803/AA1803</f>
        <v/>
      </c>
      <c r="X1803" s="27">
        <f>((3*10+H1803/COS(RADIANS(E1803)))*(3+3)+3*G1803*H1803)*2</f>
        <v/>
      </c>
      <c r="Y1803" s="28">
        <f>Z1803/X1803</f>
        <v/>
      </c>
      <c r="Z1803" s="29" t="n">
        <v>590.410219449705</v>
      </c>
      <c r="AA1803" s="20" t="n">
        <v>50.2133970942476</v>
      </c>
      <c r="AB1803" t="n">
        <v>0.05329609307102402</v>
      </c>
      <c r="AC1803" t="n">
        <v>49.37457797739662</v>
      </c>
      <c r="AD1803" t="n">
        <v>-32.53280186077485</v>
      </c>
    </row>
    <row r="1804">
      <c r="A1804" t="n">
        <v>1803</v>
      </c>
      <c r="B1804" t="n">
        <v>78</v>
      </c>
      <c r="C1804" s="21">
        <f>B1804-20</f>
        <v/>
      </c>
      <c r="D1804" t="n">
        <v>125.4</v>
      </c>
      <c r="E1804" s="22">
        <f>D1804-90</f>
        <v/>
      </c>
      <c r="F1804" s="23" t="n">
        <v>0.016191</v>
      </c>
      <c r="G1804" s="22" t="n">
        <v>21.8</v>
      </c>
      <c r="H1804" s="22" t="n">
        <v>1.8</v>
      </c>
      <c r="I1804" s="24" t="n">
        <v>0.0771857723593711</v>
      </c>
      <c r="J1804" s="6" t="n">
        <v>71000</v>
      </c>
      <c r="K1804" s="25">
        <f>23*10^-6</f>
        <v/>
      </c>
      <c r="L1804" s="8">
        <f>H1804</f>
        <v/>
      </c>
      <c r="M1804" s="26">
        <f>H1804^2/6</f>
        <v/>
      </c>
      <c r="N1804" s="26">
        <f>H1804^3/12</f>
        <v/>
      </c>
      <c r="O1804" s="27">
        <f>-J1804*L1804*K1804*C1804</f>
        <v/>
      </c>
      <c r="P1804" s="28">
        <f>-(12*F1804*J1804*L1804*N1804+12*O1804*N1804*G1804*COS(RADIANS(E1804)))/(12*N1804*G1804*COS(RADIANS(E1804))^2+L1804*G1804^3*SIN(RADIANS(E1804))^2)</f>
        <v/>
      </c>
      <c r="Q1804" s="28">
        <f>-(6*F1804*J1804*L1804*N1804*SIN(RADIANS(E1804))+6*O1804*N1804*G1804*SIN(RADIANS(E1804))*COS(RADIANS(E1804)))/(12*N1804*COS(RADIANS(E1804))^2+L1804*G1804^2*SIN(RADIANS(E1804))^2)</f>
        <v/>
      </c>
      <c r="R1804" s="28">
        <f>-P1804*SIN(RADIANS(E1804))</f>
        <v/>
      </c>
      <c r="S1804" s="8">
        <f>(O1804+P1804*COS(RADIANS(E1804)))/L1804</f>
        <v/>
      </c>
      <c r="T1804" s="8">
        <f>R1804/L1804</f>
        <v/>
      </c>
      <c r="U1804" s="8">
        <f>(Q1804-P1804*G1804*SIN(RADIANS(E1804)))/M1804</f>
        <v/>
      </c>
      <c r="V1804" s="8">
        <f>SQRT((S1804+U1804)^2+3*T1804^2)</f>
        <v/>
      </c>
      <c r="W1804" s="8">
        <f>V1804/AA1804</f>
        <v/>
      </c>
      <c r="X1804" s="27">
        <f>((3*10+H1804/COS(RADIANS(E1804)))*(3+3)+3*G1804*H1804)*2</f>
        <v/>
      </c>
      <c r="Y1804" s="28">
        <f>Z1804/X1804</f>
        <v/>
      </c>
      <c r="Z1804" s="29" t="n">
        <v>628.644164578953</v>
      </c>
      <c r="AA1804" s="20" t="n">
        <v>95.50720893818961</v>
      </c>
      <c r="AB1804" t="n">
        <v>0.07120561325857466</v>
      </c>
      <c r="AC1804" t="n">
        <v>86.58080488129661</v>
      </c>
      <c r="AD1804" t="n">
        <v>-7.747747956648373</v>
      </c>
    </row>
    <row r="1805">
      <c r="A1805" t="n">
        <v>1804</v>
      </c>
      <c r="B1805" t="n">
        <v>73.2</v>
      </c>
      <c r="C1805" s="21">
        <f>B1805-20</f>
        <v/>
      </c>
      <c r="D1805" t="n">
        <v>100.2</v>
      </c>
      <c r="E1805" s="22">
        <f>D1805-90</f>
        <v/>
      </c>
      <c r="F1805" s="23" t="n">
        <v>0.017658</v>
      </c>
      <c r="G1805" s="22" t="n">
        <v>26.8</v>
      </c>
      <c r="H1805" s="22" t="n">
        <v>1.2</v>
      </c>
      <c r="I1805" s="24" t="n">
        <v>0.0831513330340385</v>
      </c>
      <c r="J1805" s="6" t="n">
        <v>71000</v>
      </c>
      <c r="K1805" s="25">
        <f>23*10^-6</f>
        <v/>
      </c>
      <c r="L1805" s="8">
        <f>H1805</f>
        <v/>
      </c>
      <c r="M1805" s="26">
        <f>H1805^2/6</f>
        <v/>
      </c>
      <c r="N1805" s="26">
        <f>H1805^3/12</f>
        <v/>
      </c>
      <c r="O1805" s="27">
        <f>-J1805*L1805*K1805*C1805</f>
        <v/>
      </c>
      <c r="P1805" s="28">
        <f>-(12*F1805*J1805*L1805*N1805+12*O1805*N1805*G1805*COS(RADIANS(E1805)))/(12*N1805*G1805*COS(RADIANS(E1805))^2+L1805*G1805^3*SIN(RADIANS(E1805))^2)</f>
        <v/>
      </c>
      <c r="Q1805" s="28">
        <f>-(6*F1805*J1805*L1805*N1805*SIN(RADIANS(E1805))+6*O1805*N1805*G1805*SIN(RADIANS(E1805))*COS(RADIANS(E1805)))/(12*N1805*COS(RADIANS(E1805))^2+L1805*G1805^2*SIN(RADIANS(E1805))^2)</f>
        <v/>
      </c>
      <c r="R1805" s="28">
        <f>-P1805*SIN(RADIANS(E1805))</f>
        <v/>
      </c>
      <c r="S1805" s="8">
        <f>(O1805+P1805*COS(RADIANS(E1805)))/L1805</f>
        <v/>
      </c>
      <c r="T1805" s="8">
        <f>R1805/L1805</f>
        <v/>
      </c>
      <c r="U1805" s="8">
        <f>(Q1805-P1805*G1805*SIN(RADIANS(E1805)))/M1805</f>
        <v/>
      </c>
      <c r="V1805" s="8">
        <f>SQRT((S1805+U1805)^2+3*T1805^2)</f>
        <v/>
      </c>
      <c r="W1805" s="8">
        <f>V1805/AA1805</f>
        <v/>
      </c>
      <c r="X1805" s="27">
        <f>((3*10+H1805/COS(RADIANS(E1805)))*(3+3)+3*G1805*H1805)*2</f>
        <v/>
      </c>
      <c r="Y1805" s="28">
        <f>Z1805/X1805</f>
        <v/>
      </c>
      <c r="Z1805" s="29" t="n">
        <v>576.914662930876</v>
      </c>
      <c r="AA1805" s="20" t="n">
        <v>74.9944294526569</v>
      </c>
      <c r="AB1805" t="n">
        <v>0.2769406018421746</v>
      </c>
      <c r="AC1805" t="n">
        <v>89.49532127018433</v>
      </c>
      <c r="AD1805" t="n">
        <v>233.0561179684363</v>
      </c>
    </row>
    <row r="1806">
      <c r="A1806" t="n">
        <v>1805</v>
      </c>
      <c r="B1806" t="n">
        <v>84.7</v>
      </c>
      <c r="C1806" s="21">
        <f>B1806-20</f>
        <v/>
      </c>
      <c r="D1806" t="n">
        <v>109.6</v>
      </c>
      <c r="E1806" s="22">
        <f>D1806-90</f>
        <v/>
      </c>
      <c r="F1806" s="23" t="n">
        <v>0.026838</v>
      </c>
      <c r="G1806" s="22" t="n">
        <v>33.5</v>
      </c>
      <c r="H1806" s="22" t="n">
        <v>1.5</v>
      </c>
      <c r="I1806" s="24" t="n">
        <v>0.135022059082984</v>
      </c>
      <c r="J1806" s="6" t="n">
        <v>71000</v>
      </c>
      <c r="K1806" s="25">
        <f>23*10^-6</f>
        <v/>
      </c>
      <c r="L1806" s="8">
        <f>H1806</f>
        <v/>
      </c>
      <c r="M1806" s="26">
        <f>H1806^2/6</f>
        <v/>
      </c>
      <c r="N1806" s="26">
        <f>H1806^3/12</f>
        <v/>
      </c>
      <c r="O1806" s="27">
        <f>-J1806*L1806*K1806*C1806</f>
        <v/>
      </c>
      <c r="P1806" s="28">
        <f>-(12*F1806*J1806*L1806*N1806+12*O1806*N1806*G1806*COS(RADIANS(E1806)))/(12*N1806*G1806*COS(RADIANS(E1806))^2+L1806*G1806^3*SIN(RADIANS(E1806))^2)</f>
        <v/>
      </c>
      <c r="Q1806" s="28">
        <f>-(6*F1806*J1806*L1806*N1806*SIN(RADIANS(E1806))+6*O1806*N1806*G1806*SIN(RADIANS(E1806))*COS(RADIANS(E1806)))/(12*N1806*COS(RADIANS(E1806))^2+L1806*G1806^2*SIN(RADIANS(E1806))^2)</f>
        <v/>
      </c>
      <c r="R1806" s="28">
        <f>-P1806*SIN(RADIANS(E1806))</f>
        <v/>
      </c>
      <c r="S1806" s="8">
        <f>(O1806+P1806*COS(RADIANS(E1806)))/L1806</f>
        <v/>
      </c>
      <c r="T1806" s="8">
        <f>R1806/L1806</f>
        <v/>
      </c>
      <c r="U1806" s="8">
        <f>(Q1806-P1806*G1806*SIN(RADIANS(E1806)))/M1806</f>
        <v/>
      </c>
      <c r="V1806" s="8">
        <f>SQRT((S1806+U1806)^2+3*T1806^2)</f>
        <v/>
      </c>
      <c r="W1806" s="8">
        <f>V1806/AA1806</f>
        <v/>
      </c>
      <c r="X1806" s="27">
        <f>((3*10+H1806/COS(RADIANS(E1806)))*(3+3)+3*G1806*H1806)*2</f>
        <v/>
      </c>
      <c r="Y1806" s="28">
        <f>Z1806/X1806</f>
        <v/>
      </c>
      <c r="Z1806" s="29" t="n">
        <v>687.2378873248859</v>
      </c>
      <c r="AA1806" s="20" t="n">
        <v>97.0057049551238</v>
      </c>
      <c r="AB1806" t="n">
        <v>0.2227301347854648</v>
      </c>
      <c r="AC1806" t="n">
        <v>99.58081095386386</v>
      </c>
      <c r="AD1806" t="n">
        <v>64.95833073362904</v>
      </c>
    </row>
    <row r="1807">
      <c r="A1807" t="n">
        <v>1806</v>
      </c>
      <c r="B1807" t="n">
        <v>58.9</v>
      </c>
      <c r="C1807" s="21">
        <f>B1807-20</f>
        <v/>
      </c>
      <c r="D1807" t="n">
        <v>128.7</v>
      </c>
      <c r="E1807" s="22">
        <f>D1807-90</f>
        <v/>
      </c>
      <c r="F1807" s="23" t="n">
        <v>0.010805</v>
      </c>
      <c r="G1807" s="22" t="n">
        <v>22.7</v>
      </c>
      <c r="H1807" s="22" t="n">
        <v>1</v>
      </c>
      <c r="I1807" s="24" t="n">
        <v>0.0492500700056552</v>
      </c>
      <c r="J1807" s="6" t="n">
        <v>71000</v>
      </c>
      <c r="K1807" s="25">
        <f>23*10^-6</f>
        <v/>
      </c>
      <c r="L1807" s="8">
        <f>H1807</f>
        <v/>
      </c>
      <c r="M1807" s="26">
        <f>H1807^2/6</f>
        <v/>
      </c>
      <c r="N1807" s="26">
        <f>H1807^3/12</f>
        <v/>
      </c>
      <c r="O1807" s="27">
        <f>-J1807*L1807*K1807*C1807</f>
        <v/>
      </c>
      <c r="P1807" s="28">
        <f>-(12*F1807*J1807*L1807*N1807+12*O1807*N1807*G1807*COS(RADIANS(E1807)))/(12*N1807*G1807*COS(RADIANS(E1807))^2+L1807*G1807^3*SIN(RADIANS(E1807))^2)</f>
        <v/>
      </c>
      <c r="Q1807" s="28">
        <f>-(6*F1807*J1807*L1807*N1807*SIN(RADIANS(E1807))+6*O1807*N1807*G1807*SIN(RADIANS(E1807))*COS(RADIANS(E1807)))/(12*N1807*COS(RADIANS(E1807))^2+L1807*G1807^2*SIN(RADIANS(E1807))^2)</f>
        <v/>
      </c>
      <c r="R1807" s="28">
        <f>-P1807*SIN(RADIANS(E1807))</f>
        <v/>
      </c>
      <c r="S1807" s="8">
        <f>(O1807+P1807*COS(RADIANS(E1807)))/L1807</f>
        <v/>
      </c>
      <c r="T1807" s="8">
        <f>R1807/L1807</f>
        <v/>
      </c>
      <c r="U1807" s="8">
        <f>(Q1807-P1807*G1807*SIN(RADIANS(E1807)))/M1807</f>
        <v/>
      </c>
      <c r="V1807" s="8">
        <f>SQRT((S1807+U1807)^2+3*T1807^2)</f>
        <v/>
      </c>
      <c r="W1807" s="8">
        <f>V1807/AA1807</f>
        <v/>
      </c>
      <c r="X1807" s="27">
        <f>((3*10+H1807/COS(RADIANS(E1807)))*(3+3)+3*G1807*H1807)*2</f>
        <v/>
      </c>
      <c r="Y1807" s="28">
        <f>Z1807/X1807</f>
        <v/>
      </c>
      <c r="Z1807" s="29" t="n">
        <v>520.1320765756331</v>
      </c>
      <c r="AA1807" s="20" t="n">
        <v>52.1341563689252</v>
      </c>
      <c r="AB1807" t="n">
        <v>0.0454473599547355</v>
      </c>
      <c r="AC1807" t="n">
        <v>55.08575276431817</v>
      </c>
      <c r="AD1807" t="n">
        <v>-7.721227706850059</v>
      </c>
    </row>
    <row r="1808">
      <c r="A1808" t="n">
        <v>1807</v>
      </c>
      <c r="B1808" t="n">
        <v>52.4</v>
      </c>
      <c r="C1808" s="21">
        <f>B1808-20</f>
        <v/>
      </c>
      <c r="D1808" t="n">
        <v>120.7</v>
      </c>
      <c r="E1808" s="22">
        <f>D1808-90</f>
        <v/>
      </c>
      <c r="F1808" s="23" t="n">
        <v>0.014315</v>
      </c>
      <c r="G1808" s="22" t="n">
        <v>34.2</v>
      </c>
      <c r="H1808" s="22" t="n">
        <v>1.2</v>
      </c>
      <c r="I1808" s="24" t="n">
        <v>0.0934141501784324</v>
      </c>
      <c r="J1808" s="6" t="n">
        <v>71000</v>
      </c>
      <c r="K1808" s="25">
        <f>23*10^-6</f>
        <v/>
      </c>
      <c r="L1808" s="8">
        <f>H1808</f>
        <v/>
      </c>
      <c r="M1808" s="26">
        <f>H1808^2/6</f>
        <v/>
      </c>
      <c r="N1808" s="26">
        <f>H1808^3/12</f>
        <v/>
      </c>
      <c r="O1808" s="27">
        <f>-J1808*L1808*K1808*C1808</f>
        <v/>
      </c>
      <c r="P1808" s="28">
        <f>-(12*F1808*J1808*L1808*N1808+12*O1808*N1808*G1808*COS(RADIANS(E1808)))/(12*N1808*G1808*COS(RADIANS(E1808))^2+L1808*G1808^3*SIN(RADIANS(E1808))^2)</f>
        <v/>
      </c>
      <c r="Q1808" s="28">
        <f>-(6*F1808*J1808*L1808*N1808*SIN(RADIANS(E1808))+6*O1808*N1808*G1808*SIN(RADIANS(E1808))*COS(RADIANS(E1808)))/(12*N1808*COS(RADIANS(E1808))^2+L1808*G1808^2*SIN(RADIANS(E1808))^2)</f>
        <v/>
      </c>
      <c r="R1808" s="28">
        <f>-P1808*SIN(RADIANS(E1808))</f>
        <v/>
      </c>
      <c r="S1808" s="8">
        <f>(O1808+P1808*COS(RADIANS(E1808)))/L1808</f>
        <v/>
      </c>
      <c r="T1808" s="8">
        <f>R1808/L1808</f>
        <v/>
      </c>
      <c r="U1808" s="8">
        <f>(Q1808-P1808*G1808*SIN(RADIANS(E1808)))/M1808</f>
        <v/>
      </c>
      <c r="V1808" s="8">
        <f>SQRT((S1808+U1808)^2+3*T1808^2)</f>
        <v/>
      </c>
      <c r="W1808" s="8">
        <f>V1808/AA1808</f>
        <v/>
      </c>
      <c r="X1808" s="27">
        <f>((3*10+H1808/COS(RADIANS(E1808)))*(3+3)+3*G1808*H1808)*2</f>
        <v/>
      </c>
      <c r="Y1808" s="28">
        <f>Z1808/X1808</f>
        <v/>
      </c>
      <c r="Z1808" s="29" t="n">
        <v>625.764565030456</v>
      </c>
      <c r="AA1808" s="20" t="n">
        <v>46.9260000687876</v>
      </c>
      <c r="AB1808" t="n">
        <v>0.07166741463405146</v>
      </c>
      <c r="AC1808" t="n">
        <v>46.55603776587618</v>
      </c>
      <c r="AD1808" t="n">
        <v>-23.2799158402041</v>
      </c>
    </row>
    <row r="1809">
      <c r="A1809" t="n">
        <v>1808</v>
      </c>
      <c r="B1809" t="n">
        <v>61.3</v>
      </c>
      <c r="C1809" s="21">
        <f>B1809-20</f>
        <v/>
      </c>
      <c r="D1809" t="n">
        <v>100.2</v>
      </c>
      <c r="E1809" s="22">
        <f>D1809-90</f>
        <v/>
      </c>
      <c r="F1809" s="23" t="n">
        <v>0.01154</v>
      </c>
      <c r="G1809" s="22" t="n">
        <v>23.3</v>
      </c>
      <c r="H1809" s="22" t="n">
        <v>1.5</v>
      </c>
      <c r="I1809" s="24" t="n">
        <v>0.0520167201757431</v>
      </c>
      <c r="J1809" s="6" t="n">
        <v>71000</v>
      </c>
      <c r="K1809" s="25">
        <f>23*10^-6</f>
        <v/>
      </c>
      <c r="L1809" s="8">
        <f>H1809</f>
        <v/>
      </c>
      <c r="M1809" s="26">
        <f>H1809^2/6</f>
        <v/>
      </c>
      <c r="N1809" s="26">
        <f>H1809^3/12</f>
        <v/>
      </c>
      <c r="O1809" s="27">
        <f>-J1809*L1809*K1809*C1809</f>
        <v/>
      </c>
      <c r="P1809" s="28">
        <f>-(12*F1809*J1809*L1809*N1809+12*O1809*N1809*G1809*COS(RADIANS(E1809)))/(12*N1809*G1809*COS(RADIANS(E1809))^2+L1809*G1809^3*SIN(RADIANS(E1809))^2)</f>
        <v/>
      </c>
      <c r="Q1809" s="28">
        <f>-(6*F1809*J1809*L1809*N1809*SIN(RADIANS(E1809))+6*O1809*N1809*G1809*SIN(RADIANS(E1809))*COS(RADIANS(E1809)))/(12*N1809*COS(RADIANS(E1809))^2+L1809*G1809^2*SIN(RADIANS(E1809))^2)</f>
        <v/>
      </c>
      <c r="R1809" s="28">
        <f>-P1809*SIN(RADIANS(E1809))</f>
        <v/>
      </c>
      <c r="S1809" s="8">
        <f>(O1809+P1809*COS(RADIANS(E1809)))/L1809</f>
        <v/>
      </c>
      <c r="T1809" s="8">
        <f>R1809/L1809</f>
        <v/>
      </c>
      <c r="U1809" s="8">
        <f>(Q1809-P1809*G1809*SIN(RADIANS(E1809)))/M1809</f>
        <v/>
      </c>
      <c r="V1809" s="8">
        <f>SQRT((S1809+U1809)^2+3*T1809^2)</f>
        <v/>
      </c>
      <c r="W1809" s="8">
        <f>V1809/AA1809</f>
        <v/>
      </c>
      <c r="X1809" s="27">
        <f>((3*10+H1809/COS(RADIANS(E1809)))*(3+3)+3*G1809*H1809)*2</f>
        <v/>
      </c>
      <c r="Y1809" s="28">
        <f>Z1809/X1809</f>
        <v/>
      </c>
      <c r="Z1809" s="29" t="n">
        <v>602.002746990367</v>
      </c>
      <c r="AA1809" s="20" t="n">
        <v>61.536246841208</v>
      </c>
      <c r="AB1809" t="n">
        <v>0.1776351724501383</v>
      </c>
      <c r="AC1809" t="n">
        <v>72.89230874187919</v>
      </c>
      <c r="AD1809" t="n">
        <v>241.4962955180222</v>
      </c>
    </row>
    <row r="1810">
      <c r="A1810" t="n">
        <v>1809</v>
      </c>
      <c r="B1810" t="n">
        <v>68.40000000000001</v>
      </c>
      <c r="C1810" s="21">
        <f>B1810-20</f>
        <v/>
      </c>
      <c r="D1810" t="n">
        <v>107.4</v>
      </c>
      <c r="E1810" s="22">
        <f>D1810-90</f>
        <v/>
      </c>
      <c r="F1810" s="23" t="n">
        <v>0.017658</v>
      </c>
      <c r="G1810" s="22" t="n">
        <v>31.9</v>
      </c>
      <c r="H1810" s="22" t="n">
        <v>1.3</v>
      </c>
      <c r="I1810" s="24" t="n">
        <v>0.0769068971276283</v>
      </c>
      <c r="J1810" s="6" t="n">
        <v>71000</v>
      </c>
      <c r="K1810" s="25">
        <f>23*10^-6</f>
        <v/>
      </c>
      <c r="L1810" s="8">
        <f>H1810</f>
        <v/>
      </c>
      <c r="M1810" s="26">
        <f>H1810^2/6</f>
        <v/>
      </c>
      <c r="N1810" s="26">
        <f>H1810^3/12</f>
        <v/>
      </c>
      <c r="O1810" s="27">
        <f>-J1810*L1810*K1810*C1810</f>
        <v/>
      </c>
      <c r="P1810" s="28">
        <f>-(12*F1810*J1810*L1810*N1810+12*O1810*N1810*G1810*COS(RADIANS(E1810)))/(12*N1810*G1810*COS(RADIANS(E1810))^2+L1810*G1810^3*SIN(RADIANS(E1810))^2)</f>
        <v/>
      </c>
      <c r="Q1810" s="28">
        <f>-(6*F1810*J1810*L1810*N1810*SIN(RADIANS(E1810))+6*O1810*N1810*G1810*SIN(RADIANS(E1810))*COS(RADIANS(E1810)))/(12*N1810*COS(RADIANS(E1810))^2+L1810*G1810^2*SIN(RADIANS(E1810))^2)</f>
        <v/>
      </c>
      <c r="R1810" s="28">
        <f>-P1810*SIN(RADIANS(E1810))</f>
        <v/>
      </c>
      <c r="S1810" s="8">
        <f>(O1810+P1810*COS(RADIANS(E1810)))/L1810</f>
        <v/>
      </c>
      <c r="T1810" s="8">
        <f>R1810/L1810</f>
        <v/>
      </c>
      <c r="U1810" s="8">
        <f>(Q1810-P1810*G1810*SIN(RADIANS(E1810)))/M1810</f>
        <v/>
      </c>
      <c r="V1810" s="8">
        <f>SQRT((S1810+U1810)^2+3*T1810^2)</f>
        <v/>
      </c>
      <c r="W1810" s="8">
        <f>V1810/AA1810</f>
        <v/>
      </c>
      <c r="X1810" s="27">
        <f>((3*10+H1810/COS(RADIANS(E1810)))*(3+3)+3*G1810*H1810)*2</f>
        <v/>
      </c>
      <c r="Y1810" s="28">
        <f>Z1810/X1810</f>
        <v/>
      </c>
      <c r="Z1810" s="29" t="n">
        <v>636.834968664602</v>
      </c>
      <c r="AA1810" s="20" t="n">
        <v>67.0605357093783</v>
      </c>
      <c r="AB1810" t="n">
        <v>0.1797627199419186</v>
      </c>
      <c r="AC1810" t="n">
        <v>74.70929228731667</v>
      </c>
      <c r="AD1810" t="n">
        <v>133.7407003218441</v>
      </c>
    </row>
    <row r="1811">
      <c r="A1811" t="n">
        <v>1810</v>
      </c>
      <c r="B1811" t="n">
        <v>42.4</v>
      </c>
      <c r="C1811" s="21">
        <f>B1811-20</f>
        <v/>
      </c>
      <c r="D1811" t="n">
        <v>119.3</v>
      </c>
      <c r="E1811" s="22">
        <f>D1811-90</f>
        <v/>
      </c>
      <c r="F1811" s="23" t="n">
        <v>0.009901</v>
      </c>
      <c r="G1811" s="22" t="n">
        <v>33.3</v>
      </c>
      <c r="H1811" s="22" t="n">
        <v>1.6</v>
      </c>
      <c r="I1811" s="24" t="n">
        <v>0.092393971979618</v>
      </c>
      <c r="J1811" s="6" t="n">
        <v>71000</v>
      </c>
      <c r="K1811" s="25">
        <f>23*10^-6</f>
        <v/>
      </c>
      <c r="L1811" s="8">
        <f>H1811</f>
        <v/>
      </c>
      <c r="M1811" s="26">
        <f>H1811^2/6</f>
        <v/>
      </c>
      <c r="N1811" s="26">
        <f>H1811^3/12</f>
        <v/>
      </c>
      <c r="O1811" s="27">
        <f>-J1811*L1811*K1811*C1811</f>
        <v/>
      </c>
      <c r="P1811" s="28">
        <f>-(12*F1811*J1811*L1811*N1811+12*O1811*N1811*G1811*COS(RADIANS(E1811)))/(12*N1811*G1811*COS(RADIANS(E1811))^2+L1811*G1811^3*SIN(RADIANS(E1811))^2)</f>
        <v/>
      </c>
      <c r="Q1811" s="28">
        <f>-(6*F1811*J1811*L1811*N1811*SIN(RADIANS(E1811))+6*O1811*N1811*G1811*SIN(RADIANS(E1811))*COS(RADIANS(E1811)))/(12*N1811*COS(RADIANS(E1811))^2+L1811*G1811^2*SIN(RADIANS(E1811))^2)</f>
        <v/>
      </c>
      <c r="R1811" s="28">
        <f>-P1811*SIN(RADIANS(E1811))</f>
        <v/>
      </c>
      <c r="S1811" s="8">
        <f>(O1811+P1811*COS(RADIANS(E1811)))/L1811</f>
        <v/>
      </c>
      <c r="T1811" s="8">
        <f>R1811/L1811</f>
        <v/>
      </c>
      <c r="U1811" s="8">
        <f>(Q1811-P1811*G1811*SIN(RADIANS(E1811)))/M1811</f>
        <v/>
      </c>
      <c r="V1811" s="8">
        <f>SQRT((S1811+U1811)^2+3*T1811^2)</f>
        <v/>
      </c>
      <c r="W1811" s="8">
        <f>V1811/AA1811</f>
        <v/>
      </c>
      <c r="X1811" s="27">
        <f>((3*10+H1811/COS(RADIANS(E1811)))*(3+3)+3*G1811*H1811)*2</f>
        <v/>
      </c>
      <c r="Y1811" s="28">
        <f>Z1811/X1811</f>
        <v/>
      </c>
      <c r="Z1811" s="29" t="n">
        <v>703.007342840772</v>
      </c>
      <c r="AA1811" s="20" t="n">
        <v>37.3938555370074</v>
      </c>
      <c r="AB1811" t="n">
        <v>0.05059382078881859</v>
      </c>
      <c r="AC1811" t="n">
        <v>33.08156540660553</v>
      </c>
      <c r="AD1811" t="n">
        <v>-45.24121032486889</v>
      </c>
    </row>
    <row r="1812">
      <c r="A1812" t="n">
        <v>1811</v>
      </c>
      <c r="B1812" t="n">
        <v>86.3</v>
      </c>
      <c r="C1812" s="21">
        <f>B1812-20</f>
        <v/>
      </c>
      <c r="D1812" t="n">
        <v>109.3</v>
      </c>
      <c r="E1812" s="22">
        <f>D1812-90</f>
        <v/>
      </c>
      <c r="F1812" s="23" t="n">
        <v>0.020199</v>
      </c>
      <c r="G1812" s="22" t="n">
        <v>22</v>
      </c>
      <c r="H1812" s="22" t="n">
        <v>1.5</v>
      </c>
      <c r="I1812" s="24" t="n">
        <v>0.123247370123863</v>
      </c>
      <c r="J1812" s="6" t="n">
        <v>71000</v>
      </c>
      <c r="K1812" s="25">
        <f>23*10^-6</f>
        <v/>
      </c>
      <c r="L1812" s="8">
        <f>H1812</f>
        <v/>
      </c>
      <c r="M1812" s="26">
        <f>H1812^2/6</f>
        <v/>
      </c>
      <c r="N1812" s="26">
        <f>H1812^3/12</f>
        <v/>
      </c>
      <c r="O1812" s="27">
        <f>-J1812*L1812*K1812*C1812</f>
        <v/>
      </c>
      <c r="P1812" s="28">
        <f>-(12*F1812*J1812*L1812*N1812+12*O1812*N1812*G1812*COS(RADIANS(E1812)))/(12*N1812*G1812*COS(RADIANS(E1812))^2+L1812*G1812^3*SIN(RADIANS(E1812))^2)</f>
        <v/>
      </c>
      <c r="Q1812" s="28">
        <f>-(6*F1812*J1812*L1812*N1812*SIN(RADIANS(E1812))+6*O1812*N1812*G1812*SIN(RADIANS(E1812))*COS(RADIANS(E1812)))/(12*N1812*COS(RADIANS(E1812))^2+L1812*G1812^2*SIN(RADIANS(E1812))^2)</f>
        <v/>
      </c>
      <c r="R1812" s="28">
        <f>-P1812*SIN(RADIANS(E1812))</f>
        <v/>
      </c>
      <c r="S1812" s="8">
        <f>(O1812+P1812*COS(RADIANS(E1812)))/L1812</f>
        <v/>
      </c>
      <c r="T1812" s="8">
        <f>R1812/L1812</f>
        <v/>
      </c>
      <c r="U1812" s="8">
        <f>(Q1812-P1812*G1812*SIN(RADIANS(E1812)))/M1812</f>
        <v/>
      </c>
      <c r="V1812" s="8">
        <f>SQRT((S1812+U1812)^2+3*T1812^2)</f>
        <v/>
      </c>
      <c r="W1812" s="8">
        <f>V1812/AA1812</f>
        <v/>
      </c>
      <c r="X1812" s="27">
        <f>((3*10+H1812/COS(RADIANS(E1812)))*(3+3)+3*G1812*H1812)*2</f>
        <v/>
      </c>
      <c r="Y1812" s="28">
        <f>Z1812/X1812</f>
        <v/>
      </c>
      <c r="Z1812" s="29" t="n">
        <v>582.016897503453</v>
      </c>
      <c r="AA1812" s="20" t="n">
        <v>106.385328145325</v>
      </c>
      <c r="AB1812" t="n">
        <v>0.1531897892288982</v>
      </c>
      <c r="AC1812" t="n">
        <v>105.9736654858291</v>
      </c>
      <c r="AD1812" t="n">
        <v>24.29457040336292</v>
      </c>
    </row>
    <row r="1813">
      <c r="A1813" t="n">
        <v>1812</v>
      </c>
      <c r="B1813" t="n">
        <v>88</v>
      </c>
      <c r="C1813" s="21">
        <f>B1813-20</f>
        <v/>
      </c>
      <c r="D1813" t="n">
        <v>127</v>
      </c>
      <c r="E1813" s="22">
        <f>D1813-90</f>
        <v/>
      </c>
      <c r="F1813" s="23" t="n">
        <v>0.024858</v>
      </c>
      <c r="G1813" s="22" t="n">
        <v>33.4</v>
      </c>
      <c r="H1813" s="22" t="n">
        <v>1.9</v>
      </c>
      <c r="I1813" s="24" t="n">
        <v>0.105864167213439</v>
      </c>
      <c r="J1813" s="6" t="n">
        <v>71000</v>
      </c>
      <c r="K1813" s="25">
        <f>23*10^-6</f>
        <v/>
      </c>
      <c r="L1813" s="8">
        <f>H1813</f>
        <v/>
      </c>
      <c r="M1813" s="26">
        <f>H1813^2/6</f>
        <v/>
      </c>
      <c r="N1813" s="26">
        <f>H1813^3/12</f>
        <v/>
      </c>
      <c r="O1813" s="27">
        <f>-J1813*L1813*K1813*C1813</f>
        <v/>
      </c>
      <c r="P1813" s="28">
        <f>-(12*F1813*J1813*L1813*N1813+12*O1813*N1813*G1813*COS(RADIANS(E1813)))/(12*N1813*G1813*COS(RADIANS(E1813))^2+L1813*G1813^3*SIN(RADIANS(E1813))^2)</f>
        <v/>
      </c>
      <c r="Q1813" s="28">
        <f>-(6*F1813*J1813*L1813*N1813*SIN(RADIANS(E1813))+6*O1813*N1813*G1813*SIN(RADIANS(E1813))*COS(RADIANS(E1813)))/(12*N1813*COS(RADIANS(E1813))^2+L1813*G1813^2*SIN(RADIANS(E1813))^2)</f>
        <v/>
      </c>
      <c r="R1813" s="28">
        <f>-P1813*SIN(RADIANS(E1813))</f>
        <v/>
      </c>
      <c r="S1813" s="8">
        <f>(O1813+P1813*COS(RADIANS(E1813)))/L1813</f>
        <v/>
      </c>
      <c r="T1813" s="8">
        <f>R1813/L1813</f>
        <v/>
      </c>
      <c r="U1813" s="8">
        <f>(Q1813-P1813*G1813*SIN(RADIANS(E1813)))/M1813</f>
        <v/>
      </c>
      <c r="V1813" s="8">
        <f>SQRT((S1813+U1813)^2+3*T1813^2)</f>
        <v/>
      </c>
      <c r="W1813" s="8">
        <f>V1813/AA1813</f>
        <v/>
      </c>
      <c r="X1813" s="27">
        <f>((3*10+H1813/COS(RADIANS(E1813)))*(3+3)+3*G1813*H1813)*2</f>
        <v/>
      </c>
      <c r="Y1813" s="28">
        <f>Z1813/X1813</f>
        <v/>
      </c>
      <c r="Z1813" s="29" t="n">
        <v>780.160539388049</v>
      </c>
      <c r="AA1813" s="20" t="n">
        <v>103.421393262946</v>
      </c>
      <c r="AB1813" t="n">
        <v>0.119622615044909</v>
      </c>
      <c r="AC1813" t="n">
        <v>99.2091502767999</v>
      </c>
      <c r="AD1813" t="n">
        <v>12.99632179010178</v>
      </c>
    </row>
    <row r="1814">
      <c r="A1814" t="n">
        <v>1813</v>
      </c>
      <c r="B1814" t="n">
        <v>89.90000000000001</v>
      </c>
      <c r="C1814" s="21">
        <f>B1814-20</f>
        <v/>
      </c>
      <c r="D1814" t="n">
        <v>119.4</v>
      </c>
      <c r="E1814" s="22">
        <f>D1814-90</f>
        <v/>
      </c>
      <c r="F1814" s="23" t="n">
        <v>0.027392</v>
      </c>
      <c r="G1814" s="22" t="n">
        <v>33</v>
      </c>
      <c r="H1814" s="22" t="n">
        <v>1.2</v>
      </c>
      <c r="I1814" s="24" t="n">
        <v>0.124616891145706</v>
      </c>
      <c r="J1814" s="6" t="n">
        <v>71000</v>
      </c>
      <c r="K1814" s="25">
        <f>23*10^-6</f>
        <v/>
      </c>
      <c r="L1814" s="8">
        <f>H1814</f>
        <v/>
      </c>
      <c r="M1814" s="26">
        <f>H1814^2/6</f>
        <v/>
      </c>
      <c r="N1814" s="26">
        <f>H1814^3/12</f>
        <v/>
      </c>
      <c r="O1814" s="27">
        <f>-J1814*L1814*K1814*C1814</f>
        <v/>
      </c>
      <c r="P1814" s="28">
        <f>-(12*F1814*J1814*L1814*N1814+12*O1814*N1814*G1814*COS(RADIANS(E1814)))/(12*N1814*G1814*COS(RADIANS(E1814))^2+L1814*G1814^3*SIN(RADIANS(E1814))^2)</f>
        <v/>
      </c>
      <c r="Q1814" s="28">
        <f>-(6*F1814*J1814*L1814*N1814*SIN(RADIANS(E1814))+6*O1814*N1814*G1814*SIN(RADIANS(E1814))*COS(RADIANS(E1814)))/(12*N1814*COS(RADIANS(E1814))^2+L1814*G1814^2*SIN(RADIANS(E1814))^2)</f>
        <v/>
      </c>
      <c r="R1814" s="28">
        <f>-P1814*SIN(RADIANS(E1814))</f>
        <v/>
      </c>
      <c r="S1814" s="8">
        <f>(O1814+P1814*COS(RADIANS(E1814)))/L1814</f>
        <v/>
      </c>
      <c r="T1814" s="8">
        <f>R1814/L1814</f>
        <v/>
      </c>
      <c r="U1814" s="8">
        <f>(Q1814-P1814*G1814*SIN(RADIANS(E1814)))/M1814</f>
        <v/>
      </c>
      <c r="V1814" s="8">
        <f>SQRT((S1814+U1814)^2+3*T1814^2)</f>
        <v/>
      </c>
      <c r="W1814" s="8">
        <f>V1814/AA1814</f>
        <v/>
      </c>
      <c r="X1814" s="27">
        <f>((3*10+H1814/COS(RADIANS(E1814)))*(3+3)+3*G1814*H1814)*2</f>
        <v/>
      </c>
      <c r="Y1814" s="28">
        <f>Z1814/X1814</f>
        <v/>
      </c>
      <c r="Z1814" s="29" t="n">
        <v>621.692463546404</v>
      </c>
      <c r="AA1814" s="20" t="n">
        <v>96.7990838725736</v>
      </c>
      <c r="AB1814" t="n">
        <v>0.1565010498975588</v>
      </c>
      <c r="AC1814" t="n">
        <v>100.9850029499245</v>
      </c>
      <c r="AD1814" t="n">
        <v>25.58574400204933</v>
      </c>
    </row>
    <row r="1815">
      <c r="A1815" t="n">
        <v>1814</v>
      </c>
      <c r="B1815" t="n">
        <v>42.9</v>
      </c>
      <c r="C1815" s="21">
        <f>B1815-20</f>
        <v/>
      </c>
      <c r="D1815" t="n">
        <v>124.3</v>
      </c>
      <c r="E1815" s="22">
        <f>D1815-90</f>
        <v/>
      </c>
      <c r="F1815" s="23" t="n">
        <v>0.008118</v>
      </c>
      <c r="G1815" s="22" t="n">
        <v>25.5</v>
      </c>
      <c r="H1815" s="22" t="n">
        <v>1.5</v>
      </c>
      <c r="I1815" s="24" t="n">
        <v>0.0755196139216423</v>
      </c>
      <c r="J1815" s="6" t="n">
        <v>71000</v>
      </c>
      <c r="K1815" s="25">
        <f>23*10^-6</f>
        <v/>
      </c>
      <c r="L1815" s="8">
        <f>H1815</f>
        <v/>
      </c>
      <c r="M1815" s="26">
        <f>H1815^2/6</f>
        <v/>
      </c>
      <c r="N1815" s="26">
        <f>H1815^3/12</f>
        <v/>
      </c>
      <c r="O1815" s="27">
        <f>-J1815*L1815*K1815*C1815</f>
        <v/>
      </c>
      <c r="P1815" s="28">
        <f>-(12*F1815*J1815*L1815*N1815+12*O1815*N1815*G1815*COS(RADIANS(E1815)))/(12*N1815*G1815*COS(RADIANS(E1815))^2+L1815*G1815^3*SIN(RADIANS(E1815))^2)</f>
        <v/>
      </c>
      <c r="Q1815" s="28">
        <f>-(6*F1815*J1815*L1815*N1815*SIN(RADIANS(E1815))+6*O1815*N1815*G1815*SIN(RADIANS(E1815))*COS(RADIANS(E1815)))/(12*N1815*COS(RADIANS(E1815))^2+L1815*G1815^2*SIN(RADIANS(E1815))^2)</f>
        <v/>
      </c>
      <c r="R1815" s="28">
        <f>-P1815*SIN(RADIANS(E1815))</f>
        <v/>
      </c>
      <c r="S1815" s="8">
        <f>(O1815+P1815*COS(RADIANS(E1815)))/L1815</f>
        <v/>
      </c>
      <c r="T1815" s="8">
        <f>R1815/L1815</f>
        <v/>
      </c>
      <c r="U1815" s="8">
        <f>(Q1815-P1815*G1815*SIN(RADIANS(E1815)))/M1815</f>
        <v/>
      </c>
      <c r="V1815" s="8">
        <f>SQRT((S1815+U1815)^2+3*T1815^2)</f>
        <v/>
      </c>
      <c r="W1815" s="8">
        <f>V1815/AA1815</f>
        <v/>
      </c>
      <c r="X1815" s="27">
        <f>((3*10+H1815/COS(RADIANS(E1815)))*(3+3)+3*G1815*H1815)*2</f>
        <v/>
      </c>
      <c r="Y1815" s="28">
        <f>Z1815/X1815</f>
        <v/>
      </c>
      <c r="Z1815" s="29" t="n">
        <v>611.608073022574</v>
      </c>
      <c r="AA1815" s="20" t="n">
        <v>40.6912394392335</v>
      </c>
      <c r="AB1815" t="n">
        <v>0.03390360507038312</v>
      </c>
      <c r="AC1815" t="n">
        <v>33.54354000192365</v>
      </c>
      <c r="AD1815" t="n">
        <v>-55.10622564151235</v>
      </c>
    </row>
    <row r="1816">
      <c r="A1816" t="n">
        <v>1815</v>
      </c>
      <c r="B1816" t="n">
        <v>69.59999999999999</v>
      </c>
      <c r="C1816" s="21">
        <f>B1816-20</f>
        <v/>
      </c>
      <c r="D1816" t="n">
        <v>119.9</v>
      </c>
      <c r="E1816" s="22">
        <f>D1816-90</f>
        <v/>
      </c>
      <c r="F1816" s="23" t="n">
        <v>0.015641</v>
      </c>
      <c r="G1816" s="22" t="n">
        <v>22.7</v>
      </c>
      <c r="H1816" s="22" t="n">
        <v>1.3</v>
      </c>
      <c r="I1816" s="24" t="n">
        <v>0.103145413100719</v>
      </c>
      <c r="J1816" s="6" t="n">
        <v>71000</v>
      </c>
      <c r="K1816" s="25">
        <f>23*10^-6</f>
        <v/>
      </c>
      <c r="L1816" s="8">
        <f>H1816</f>
        <v/>
      </c>
      <c r="M1816" s="26">
        <f>H1816^2/6</f>
        <v/>
      </c>
      <c r="N1816" s="26">
        <f>H1816^3/12</f>
        <v/>
      </c>
      <c r="O1816" s="27">
        <f>-J1816*L1816*K1816*C1816</f>
        <v/>
      </c>
      <c r="P1816" s="28">
        <f>-(12*F1816*J1816*L1816*N1816+12*O1816*N1816*G1816*COS(RADIANS(E1816)))/(12*N1816*G1816*COS(RADIANS(E1816))^2+L1816*G1816^3*SIN(RADIANS(E1816))^2)</f>
        <v/>
      </c>
      <c r="Q1816" s="28">
        <f>-(6*F1816*J1816*L1816*N1816*SIN(RADIANS(E1816))+6*O1816*N1816*G1816*SIN(RADIANS(E1816))*COS(RADIANS(E1816)))/(12*N1816*COS(RADIANS(E1816))^2+L1816*G1816^2*SIN(RADIANS(E1816))^2)</f>
        <v/>
      </c>
      <c r="R1816" s="28">
        <f>-P1816*SIN(RADIANS(E1816))</f>
        <v/>
      </c>
      <c r="S1816" s="8">
        <f>(O1816+P1816*COS(RADIANS(E1816)))/L1816</f>
        <v/>
      </c>
      <c r="T1816" s="8">
        <f>R1816/L1816</f>
        <v/>
      </c>
      <c r="U1816" s="8">
        <f>(Q1816-P1816*G1816*SIN(RADIANS(E1816)))/M1816</f>
        <v/>
      </c>
      <c r="V1816" s="8">
        <f>SQRT((S1816+U1816)^2+3*T1816^2)</f>
        <v/>
      </c>
      <c r="W1816" s="8">
        <f>V1816/AA1816</f>
        <v/>
      </c>
      <c r="X1816" s="27">
        <f>((3*10+H1816/COS(RADIANS(E1816)))*(3+3)+3*G1816*H1816)*2</f>
        <v/>
      </c>
      <c r="Y1816" s="28">
        <f>Z1816/X1816</f>
        <v/>
      </c>
      <c r="Z1816" s="29" t="n">
        <v>557.992609062567</v>
      </c>
      <c r="AA1816" s="20" t="n">
        <v>76.14688465355241</v>
      </c>
      <c r="AB1816" t="n">
        <v>0.07635973047757388</v>
      </c>
      <c r="AC1816" t="n">
        <v>73.34967346311376</v>
      </c>
      <c r="AD1816" t="n">
        <v>-25.96885486026367</v>
      </c>
    </row>
    <row r="1817">
      <c r="A1817" t="n">
        <v>1816</v>
      </c>
      <c r="B1817" t="n">
        <v>78.90000000000001</v>
      </c>
      <c r="C1817" s="21">
        <f>B1817-20</f>
        <v/>
      </c>
      <c r="D1817" t="n">
        <v>129.8</v>
      </c>
      <c r="E1817" s="22">
        <f>D1817-90</f>
        <v/>
      </c>
      <c r="F1817" s="23" t="n">
        <v>0.023469</v>
      </c>
      <c r="G1817" s="22" t="n">
        <v>33.2</v>
      </c>
      <c r="H1817" s="22" t="n">
        <v>1.3</v>
      </c>
      <c r="I1817" s="24" t="n">
        <v>0.108880341053009</v>
      </c>
      <c r="J1817" s="6" t="n">
        <v>71000</v>
      </c>
      <c r="K1817" s="25">
        <f>23*10^-6</f>
        <v/>
      </c>
      <c r="L1817" s="8">
        <f>H1817</f>
        <v/>
      </c>
      <c r="M1817" s="26">
        <f>H1817^2/6</f>
        <v/>
      </c>
      <c r="N1817" s="26">
        <f>H1817^3/12</f>
        <v/>
      </c>
      <c r="O1817" s="27">
        <f>-J1817*L1817*K1817*C1817</f>
        <v/>
      </c>
      <c r="P1817" s="28">
        <f>-(12*F1817*J1817*L1817*N1817+12*O1817*N1817*G1817*COS(RADIANS(E1817)))/(12*N1817*G1817*COS(RADIANS(E1817))^2+L1817*G1817^3*SIN(RADIANS(E1817))^2)</f>
        <v/>
      </c>
      <c r="Q1817" s="28">
        <f>-(6*F1817*J1817*L1817*N1817*SIN(RADIANS(E1817))+6*O1817*N1817*G1817*SIN(RADIANS(E1817))*COS(RADIANS(E1817)))/(12*N1817*COS(RADIANS(E1817))^2+L1817*G1817^2*SIN(RADIANS(E1817))^2)</f>
        <v/>
      </c>
      <c r="R1817" s="28">
        <f>-P1817*SIN(RADIANS(E1817))</f>
        <v/>
      </c>
      <c r="S1817" s="8">
        <f>(O1817+P1817*COS(RADIANS(E1817)))/L1817</f>
        <v/>
      </c>
      <c r="T1817" s="8">
        <f>R1817/L1817</f>
        <v/>
      </c>
      <c r="U1817" s="8">
        <f>(Q1817-P1817*G1817*SIN(RADIANS(E1817)))/M1817</f>
        <v/>
      </c>
      <c r="V1817" s="8">
        <f>SQRT((S1817+U1817)^2+3*T1817^2)</f>
        <v/>
      </c>
      <c r="W1817" s="8">
        <f>V1817/AA1817</f>
        <v/>
      </c>
      <c r="X1817" s="27">
        <f>((3*10+H1817/COS(RADIANS(E1817)))*(3+3)+3*G1817*H1817)*2</f>
        <v/>
      </c>
      <c r="Y1817" s="28">
        <f>Z1817/X1817</f>
        <v/>
      </c>
      <c r="Z1817" s="29" t="n">
        <v>643.802866073408</v>
      </c>
      <c r="AA1817" s="20" t="n">
        <v>84.0919097675076</v>
      </c>
      <c r="AB1817" t="n">
        <v>0.09540522029737582</v>
      </c>
      <c r="AC1817" t="n">
        <v>83.35769512101085</v>
      </c>
      <c r="AD1817" t="n">
        <v>-12.37608242710477</v>
      </c>
    </row>
    <row r="1818">
      <c r="A1818" t="n">
        <v>1817</v>
      </c>
      <c r="B1818" t="n">
        <v>53.5</v>
      </c>
      <c r="C1818" s="21">
        <f>B1818-20</f>
        <v/>
      </c>
      <c r="D1818" t="n">
        <v>105.8</v>
      </c>
      <c r="E1818" s="22">
        <f>D1818-90</f>
        <v/>
      </c>
      <c r="F1818" s="23" t="n">
        <v>0.011302</v>
      </c>
      <c r="G1818" s="22" t="n">
        <v>25</v>
      </c>
      <c r="H1818" s="22" t="n">
        <v>1.8</v>
      </c>
      <c r="I1818" s="24" t="n">
        <v>0.0681993886828422</v>
      </c>
      <c r="J1818" s="6" t="n">
        <v>71000</v>
      </c>
      <c r="K1818" s="25">
        <f>23*10^-6</f>
        <v/>
      </c>
      <c r="L1818" s="8">
        <f>H1818</f>
        <v/>
      </c>
      <c r="M1818" s="26">
        <f>H1818^2/6</f>
        <v/>
      </c>
      <c r="N1818" s="26">
        <f>H1818^3/12</f>
        <v/>
      </c>
      <c r="O1818" s="27">
        <f>-J1818*L1818*K1818*C1818</f>
        <v/>
      </c>
      <c r="P1818" s="28">
        <f>-(12*F1818*J1818*L1818*N1818+12*O1818*N1818*G1818*COS(RADIANS(E1818)))/(12*N1818*G1818*COS(RADIANS(E1818))^2+L1818*G1818^3*SIN(RADIANS(E1818))^2)</f>
        <v/>
      </c>
      <c r="Q1818" s="28">
        <f>-(6*F1818*J1818*L1818*N1818*SIN(RADIANS(E1818))+6*O1818*N1818*G1818*SIN(RADIANS(E1818))*COS(RADIANS(E1818)))/(12*N1818*COS(RADIANS(E1818))^2+L1818*G1818^2*SIN(RADIANS(E1818))^2)</f>
        <v/>
      </c>
      <c r="R1818" s="28">
        <f>-P1818*SIN(RADIANS(E1818))</f>
        <v/>
      </c>
      <c r="S1818" s="8">
        <f>(O1818+P1818*COS(RADIANS(E1818)))/L1818</f>
        <v/>
      </c>
      <c r="T1818" s="8">
        <f>R1818/L1818</f>
        <v/>
      </c>
      <c r="U1818" s="8">
        <f>(Q1818-P1818*G1818*SIN(RADIANS(E1818)))/M1818</f>
        <v/>
      </c>
      <c r="V1818" s="8">
        <f>SQRT((S1818+U1818)^2+3*T1818^2)</f>
        <v/>
      </c>
      <c r="W1818" s="8">
        <f>V1818/AA1818</f>
        <v/>
      </c>
      <c r="X1818" s="27">
        <f>((3*10+H1818/COS(RADIANS(E1818)))*(3+3)+3*G1818*H1818)*2</f>
        <v/>
      </c>
      <c r="Y1818" s="28">
        <f>Z1818/X1818</f>
        <v/>
      </c>
      <c r="Z1818" s="29" t="n">
        <v>657.74890171452</v>
      </c>
      <c r="AA1818" s="20" t="n">
        <v>56.5002021517254</v>
      </c>
      <c r="AB1818" t="n">
        <v>0.1043426118198864</v>
      </c>
      <c r="AC1818" t="n">
        <v>56.23624306474279</v>
      </c>
      <c r="AD1818" t="n">
        <v>52.99640339171726</v>
      </c>
    </row>
    <row r="1819">
      <c r="A1819" t="n">
        <v>1818</v>
      </c>
      <c r="B1819" t="n">
        <v>71.7</v>
      </c>
      <c r="C1819" s="21">
        <f>B1819-20</f>
        <v/>
      </c>
      <c r="D1819" t="n">
        <v>109.9</v>
      </c>
      <c r="E1819" s="22">
        <f>D1819-90</f>
        <v/>
      </c>
      <c r="F1819" s="23" t="n">
        <v>0.018222</v>
      </c>
      <c r="G1819" s="22" t="n">
        <v>31.2</v>
      </c>
      <c r="H1819" s="22" t="n">
        <v>1.4</v>
      </c>
      <c r="I1819" s="24" t="n">
        <v>0.07880626618862149</v>
      </c>
      <c r="J1819" s="6" t="n">
        <v>71000</v>
      </c>
      <c r="K1819" s="25">
        <f>23*10^-6</f>
        <v/>
      </c>
      <c r="L1819" s="8">
        <f>H1819</f>
        <v/>
      </c>
      <c r="M1819" s="26">
        <f>H1819^2/6</f>
        <v/>
      </c>
      <c r="N1819" s="26">
        <f>H1819^3/12</f>
        <v/>
      </c>
      <c r="O1819" s="27">
        <f>-J1819*L1819*K1819*C1819</f>
        <v/>
      </c>
      <c r="P1819" s="28">
        <f>-(12*F1819*J1819*L1819*N1819+12*O1819*N1819*G1819*COS(RADIANS(E1819)))/(12*N1819*G1819*COS(RADIANS(E1819))^2+L1819*G1819^3*SIN(RADIANS(E1819))^2)</f>
        <v/>
      </c>
      <c r="Q1819" s="28">
        <f>-(6*F1819*J1819*L1819*N1819*SIN(RADIANS(E1819))+6*O1819*N1819*G1819*SIN(RADIANS(E1819))*COS(RADIANS(E1819)))/(12*N1819*COS(RADIANS(E1819))^2+L1819*G1819^2*SIN(RADIANS(E1819))^2)</f>
        <v/>
      </c>
      <c r="R1819" s="28">
        <f>-P1819*SIN(RADIANS(E1819))</f>
        <v/>
      </c>
      <c r="S1819" s="8">
        <f>(O1819+P1819*COS(RADIANS(E1819)))/L1819</f>
        <v/>
      </c>
      <c r="T1819" s="8">
        <f>R1819/L1819</f>
        <v/>
      </c>
      <c r="U1819" s="8">
        <f>(Q1819-P1819*G1819*SIN(RADIANS(E1819)))/M1819</f>
        <v/>
      </c>
      <c r="V1819" s="8">
        <f>SQRT((S1819+U1819)^2+3*T1819^2)</f>
        <v/>
      </c>
      <c r="W1819" s="8">
        <f>V1819/AA1819</f>
        <v/>
      </c>
      <c r="X1819" s="27">
        <f>((3*10+H1819/COS(RADIANS(E1819)))*(3+3)+3*G1819*H1819)*2</f>
        <v/>
      </c>
      <c r="Y1819" s="28">
        <f>Z1819/X1819</f>
        <v/>
      </c>
      <c r="Z1819" s="29" t="n">
        <v>652.600764238415</v>
      </c>
      <c r="AA1819" s="20" t="n">
        <v>72.8856668247481</v>
      </c>
      <c r="AB1819" t="n">
        <v>0.1638953062740515</v>
      </c>
      <c r="AC1819" t="n">
        <v>79.26472705377584</v>
      </c>
      <c r="AD1819" t="n">
        <v>107.972429351964</v>
      </c>
    </row>
    <row r="1820">
      <c r="A1820" t="n">
        <v>1819</v>
      </c>
      <c r="B1820" t="n">
        <v>66.59999999999999</v>
      </c>
      <c r="C1820" s="21">
        <f>B1820-20</f>
        <v/>
      </c>
      <c r="D1820" t="n">
        <v>115.4</v>
      </c>
      <c r="E1820" s="22">
        <f>D1820-90</f>
        <v/>
      </c>
      <c r="F1820" s="23" t="n">
        <v>0.015823</v>
      </c>
      <c r="G1820" s="22" t="n">
        <v>27.3</v>
      </c>
      <c r="H1820" s="22" t="n">
        <v>1.7</v>
      </c>
      <c r="I1820" s="24" t="n">
        <v>0.0754082426428794</v>
      </c>
      <c r="J1820" s="6" t="n">
        <v>71000</v>
      </c>
      <c r="K1820" s="25">
        <f>23*10^-6</f>
        <v/>
      </c>
      <c r="L1820" s="8">
        <f>H1820</f>
        <v/>
      </c>
      <c r="M1820" s="26">
        <f>H1820^2/6</f>
        <v/>
      </c>
      <c r="N1820" s="26">
        <f>H1820^3/12</f>
        <v/>
      </c>
      <c r="O1820" s="27">
        <f>-J1820*L1820*K1820*C1820</f>
        <v/>
      </c>
      <c r="P1820" s="28">
        <f>-(12*F1820*J1820*L1820*N1820+12*O1820*N1820*G1820*COS(RADIANS(E1820)))/(12*N1820*G1820*COS(RADIANS(E1820))^2+L1820*G1820^3*SIN(RADIANS(E1820))^2)</f>
        <v/>
      </c>
      <c r="Q1820" s="28">
        <f>-(6*F1820*J1820*L1820*N1820*SIN(RADIANS(E1820))+6*O1820*N1820*G1820*SIN(RADIANS(E1820))*COS(RADIANS(E1820)))/(12*N1820*COS(RADIANS(E1820))^2+L1820*G1820^2*SIN(RADIANS(E1820))^2)</f>
        <v/>
      </c>
      <c r="R1820" s="28">
        <f>-P1820*SIN(RADIANS(E1820))</f>
        <v/>
      </c>
      <c r="S1820" s="8">
        <f>(O1820+P1820*COS(RADIANS(E1820)))/L1820</f>
        <v/>
      </c>
      <c r="T1820" s="8">
        <f>R1820/L1820</f>
        <v/>
      </c>
      <c r="U1820" s="8">
        <f>(Q1820-P1820*G1820*SIN(RADIANS(E1820)))/M1820</f>
        <v/>
      </c>
      <c r="V1820" s="8">
        <f>SQRT((S1820+U1820)^2+3*T1820^2)</f>
        <v/>
      </c>
      <c r="W1820" s="8">
        <f>V1820/AA1820</f>
        <v/>
      </c>
      <c r="X1820" s="27">
        <f>((3*10+H1820/COS(RADIANS(E1820)))*(3+3)+3*G1820*H1820)*2</f>
        <v/>
      </c>
      <c r="Y1820" s="28">
        <f>Z1820/X1820</f>
        <v/>
      </c>
      <c r="Z1820" s="29" t="n">
        <v>668.857008791794</v>
      </c>
      <c r="AA1820" s="20" t="n">
        <v>72.566766129244</v>
      </c>
      <c r="AB1820" t="n">
        <v>0.1006548963333335</v>
      </c>
      <c r="AC1820" t="n">
        <v>71.4741033074159</v>
      </c>
      <c r="AD1820" t="n">
        <v>33.47996559211428</v>
      </c>
    </row>
    <row r="1821">
      <c r="A1821" t="n">
        <v>1820</v>
      </c>
      <c r="B1821" t="n">
        <v>66.5</v>
      </c>
      <c r="C1821" s="21">
        <f>B1821-20</f>
        <v/>
      </c>
      <c r="D1821" t="n">
        <v>127.9</v>
      </c>
      <c r="E1821" s="22">
        <f>D1821-90</f>
        <v/>
      </c>
      <c r="F1821" s="23" t="n">
        <v>0.017895</v>
      </c>
      <c r="G1821" s="22" t="n">
        <v>33.6</v>
      </c>
      <c r="H1821" s="22" t="n">
        <v>1.2</v>
      </c>
      <c r="I1821" s="24" t="n">
        <v>0.0780360773205757</v>
      </c>
      <c r="J1821" s="6" t="n">
        <v>71000</v>
      </c>
      <c r="K1821" s="25">
        <f>23*10^-6</f>
        <v/>
      </c>
      <c r="L1821" s="8">
        <f>H1821</f>
        <v/>
      </c>
      <c r="M1821" s="26">
        <f>H1821^2/6</f>
        <v/>
      </c>
      <c r="N1821" s="26">
        <f>H1821^3/12</f>
        <v/>
      </c>
      <c r="O1821" s="27">
        <f>-J1821*L1821*K1821*C1821</f>
        <v/>
      </c>
      <c r="P1821" s="28">
        <f>-(12*F1821*J1821*L1821*N1821+12*O1821*N1821*G1821*COS(RADIANS(E1821)))/(12*N1821*G1821*COS(RADIANS(E1821))^2+L1821*G1821^3*SIN(RADIANS(E1821))^2)</f>
        <v/>
      </c>
      <c r="Q1821" s="28">
        <f>-(6*F1821*J1821*L1821*N1821*SIN(RADIANS(E1821))+6*O1821*N1821*G1821*SIN(RADIANS(E1821))*COS(RADIANS(E1821)))/(12*N1821*COS(RADIANS(E1821))^2+L1821*G1821^2*SIN(RADIANS(E1821))^2)</f>
        <v/>
      </c>
      <c r="R1821" s="28">
        <f>-P1821*SIN(RADIANS(E1821))</f>
        <v/>
      </c>
      <c r="S1821" s="8">
        <f>(O1821+P1821*COS(RADIANS(E1821)))/L1821</f>
        <v/>
      </c>
      <c r="T1821" s="8">
        <f>R1821/L1821</f>
        <v/>
      </c>
      <c r="U1821" s="8">
        <f>(Q1821-P1821*G1821*SIN(RADIANS(E1821)))/M1821</f>
        <v/>
      </c>
      <c r="V1821" s="8">
        <f>SQRT((S1821+U1821)^2+3*T1821^2)</f>
        <v/>
      </c>
      <c r="W1821" s="8">
        <f>V1821/AA1821</f>
        <v/>
      </c>
      <c r="X1821" s="27">
        <f>((3*10+H1821/COS(RADIANS(E1821)))*(3+3)+3*G1821*H1821)*2</f>
        <v/>
      </c>
      <c r="Y1821" s="28">
        <f>Z1821/X1821</f>
        <v/>
      </c>
      <c r="Z1821" s="29" t="n">
        <v>627.837201928833</v>
      </c>
      <c r="AA1821" s="20" t="n">
        <v>63.0628809238029</v>
      </c>
      <c r="AB1821" t="n">
        <v>0.0804413346704311</v>
      </c>
      <c r="AC1821" t="n">
        <v>65.76771954458056</v>
      </c>
      <c r="AD1821" t="n">
        <v>3.0822376424362</v>
      </c>
    </row>
    <row r="1822">
      <c r="A1822" t="n">
        <v>1821</v>
      </c>
      <c r="B1822" t="n">
        <v>51.9</v>
      </c>
      <c r="C1822" s="21">
        <f>B1822-20</f>
        <v/>
      </c>
      <c r="D1822" t="n">
        <v>108.1</v>
      </c>
      <c r="E1822" s="22">
        <f>D1822-90</f>
        <v/>
      </c>
      <c r="F1822" s="23" t="n">
        <v>0.009622</v>
      </c>
      <c r="G1822" s="22" t="n">
        <v>23.6</v>
      </c>
      <c r="H1822" s="22" t="n">
        <v>1.4</v>
      </c>
      <c r="I1822" s="24" t="n">
        <v>0.0465411581099033</v>
      </c>
      <c r="J1822" s="6" t="n">
        <v>71000</v>
      </c>
      <c r="K1822" s="25">
        <f>23*10^-6</f>
        <v/>
      </c>
      <c r="L1822" s="8">
        <f>H1822</f>
        <v/>
      </c>
      <c r="M1822" s="26">
        <f>H1822^2/6</f>
        <v/>
      </c>
      <c r="N1822" s="26">
        <f>H1822^3/12</f>
        <v/>
      </c>
      <c r="O1822" s="27">
        <f>-J1822*L1822*K1822*C1822</f>
        <v/>
      </c>
      <c r="P1822" s="28">
        <f>-(12*F1822*J1822*L1822*N1822+12*O1822*N1822*G1822*COS(RADIANS(E1822)))/(12*N1822*G1822*COS(RADIANS(E1822))^2+L1822*G1822^3*SIN(RADIANS(E1822))^2)</f>
        <v/>
      </c>
      <c r="Q1822" s="28">
        <f>-(6*F1822*J1822*L1822*N1822*SIN(RADIANS(E1822))+6*O1822*N1822*G1822*SIN(RADIANS(E1822))*COS(RADIANS(E1822)))/(12*N1822*COS(RADIANS(E1822))^2+L1822*G1822^2*SIN(RADIANS(E1822))^2)</f>
        <v/>
      </c>
      <c r="R1822" s="28">
        <f>-P1822*SIN(RADIANS(E1822))</f>
        <v/>
      </c>
      <c r="S1822" s="8">
        <f>(O1822+P1822*COS(RADIANS(E1822)))/L1822</f>
        <v/>
      </c>
      <c r="T1822" s="8">
        <f>R1822/L1822</f>
        <v/>
      </c>
      <c r="U1822" s="8">
        <f>(Q1822-P1822*G1822*SIN(RADIANS(E1822)))/M1822</f>
        <v/>
      </c>
      <c r="V1822" s="8">
        <f>SQRT((S1822+U1822)^2+3*T1822^2)</f>
        <v/>
      </c>
      <c r="W1822" s="8">
        <f>V1822/AA1822</f>
        <v/>
      </c>
      <c r="X1822" s="27">
        <f>((3*10+H1822/COS(RADIANS(E1822)))*(3+3)+3*G1822*H1822)*2</f>
        <v/>
      </c>
      <c r="Y1822" s="28">
        <f>Z1822/X1822</f>
        <v/>
      </c>
      <c r="Z1822" s="29" t="n">
        <v>584.738057819702</v>
      </c>
      <c r="AA1822" s="20" t="n">
        <v>47.9312739491618</v>
      </c>
      <c r="AB1822" t="n">
        <v>0.08447445617868915</v>
      </c>
      <c r="AC1822" t="n">
        <v>50.73488275575858</v>
      </c>
      <c r="AD1822" t="n">
        <v>81.50484347469252</v>
      </c>
    </row>
    <row r="1823">
      <c r="A1823" t="n">
        <v>1822</v>
      </c>
      <c r="B1823" t="n">
        <v>49.7</v>
      </c>
      <c r="C1823" s="21">
        <f>B1823-20</f>
        <v/>
      </c>
      <c r="D1823" t="n">
        <v>127.5</v>
      </c>
      <c r="E1823" s="22">
        <f>D1823-90</f>
        <v/>
      </c>
      <c r="F1823" s="23" t="n">
        <v>0.009341</v>
      </c>
      <c r="G1823" s="22" t="n">
        <v>28.1</v>
      </c>
      <c r="H1823" s="22" t="n">
        <v>1</v>
      </c>
      <c r="I1823" s="24" t="n">
        <v>0.0403921231627464</v>
      </c>
      <c r="J1823" s="6" t="n">
        <v>71000</v>
      </c>
      <c r="K1823" s="25">
        <f>23*10^-6</f>
        <v/>
      </c>
      <c r="L1823" s="8">
        <f>H1823</f>
        <v/>
      </c>
      <c r="M1823" s="26">
        <f>H1823^2/6</f>
        <v/>
      </c>
      <c r="N1823" s="26">
        <f>H1823^3/12</f>
        <v/>
      </c>
      <c r="O1823" s="27">
        <f>-J1823*L1823*K1823*C1823</f>
        <v/>
      </c>
      <c r="P1823" s="28">
        <f>-(12*F1823*J1823*L1823*N1823+12*O1823*N1823*G1823*COS(RADIANS(E1823)))/(12*N1823*G1823*COS(RADIANS(E1823))^2+L1823*G1823^3*SIN(RADIANS(E1823))^2)</f>
        <v/>
      </c>
      <c r="Q1823" s="28">
        <f>-(6*F1823*J1823*L1823*N1823*SIN(RADIANS(E1823))+6*O1823*N1823*G1823*SIN(RADIANS(E1823))*COS(RADIANS(E1823)))/(12*N1823*COS(RADIANS(E1823))^2+L1823*G1823^2*SIN(RADIANS(E1823))^2)</f>
        <v/>
      </c>
      <c r="R1823" s="28">
        <f>-P1823*SIN(RADIANS(E1823))</f>
        <v/>
      </c>
      <c r="S1823" s="8">
        <f>(O1823+P1823*COS(RADIANS(E1823)))/L1823</f>
        <v/>
      </c>
      <c r="T1823" s="8">
        <f>R1823/L1823</f>
        <v/>
      </c>
      <c r="U1823" s="8">
        <f>(Q1823-P1823*G1823*SIN(RADIANS(E1823)))/M1823</f>
        <v/>
      </c>
      <c r="V1823" s="8">
        <f>SQRT((S1823+U1823)^2+3*T1823^2)</f>
        <v/>
      </c>
      <c r="W1823" s="8">
        <f>V1823/AA1823</f>
        <v/>
      </c>
      <c r="X1823" s="27">
        <f>((3*10+H1823/COS(RADIANS(E1823)))*(3+3)+3*G1823*H1823)*2</f>
        <v/>
      </c>
      <c r="Y1823" s="28">
        <f>Z1823/X1823</f>
        <v/>
      </c>
      <c r="Z1823" s="29" t="n">
        <v>554.891330864928</v>
      </c>
      <c r="AA1823" s="20" t="n">
        <v>37.8546854371059</v>
      </c>
      <c r="AB1823" t="n">
        <v>0.04390544335963139</v>
      </c>
      <c r="AC1823" t="n">
        <v>41.91335149206001</v>
      </c>
      <c r="AD1823" t="n">
        <v>8.698032987098134</v>
      </c>
    </row>
    <row r="1824">
      <c r="A1824" t="n">
        <v>1823</v>
      </c>
      <c r="B1824" t="n">
        <v>63.6</v>
      </c>
      <c r="C1824" s="21">
        <f>B1824-20</f>
        <v/>
      </c>
      <c r="D1824" t="n">
        <v>104.3</v>
      </c>
      <c r="E1824" s="22">
        <f>D1824-90</f>
        <v/>
      </c>
      <c r="F1824" s="23" t="n">
        <v>0.017808</v>
      </c>
      <c r="G1824" s="22" t="n">
        <v>31</v>
      </c>
      <c r="H1824" s="22" t="n">
        <v>1.9</v>
      </c>
      <c r="I1824" s="24" t="n">
        <v>0.120007656514644</v>
      </c>
      <c r="J1824" s="6" t="n">
        <v>71000</v>
      </c>
      <c r="K1824" s="25">
        <f>23*10^-6</f>
        <v/>
      </c>
      <c r="L1824" s="8">
        <f>H1824</f>
        <v/>
      </c>
      <c r="M1824" s="26">
        <f>H1824^2/6</f>
        <v/>
      </c>
      <c r="N1824" s="26">
        <f>H1824^3/12</f>
        <v/>
      </c>
      <c r="O1824" s="27">
        <f>-J1824*L1824*K1824*C1824</f>
        <v/>
      </c>
      <c r="P1824" s="28">
        <f>-(12*F1824*J1824*L1824*N1824+12*O1824*N1824*G1824*COS(RADIANS(E1824)))/(12*N1824*G1824*COS(RADIANS(E1824))^2+L1824*G1824^3*SIN(RADIANS(E1824))^2)</f>
        <v/>
      </c>
      <c r="Q1824" s="28">
        <f>-(6*F1824*J1824*L1824*N1824*SIN(RADIANS(E1824))+6*O1824*N1824*G1824*SIN(RADIANS(E1824))*COS(RADIANS(E1824)))/(12*N1824*COS(RADIANS(E1824))^2+L1824*G1824^2*SIN(RADIANS(E1824))^2)</f>
        <v/>
      </c>
      <c r="R1824" s="28">
        <f>-P1824*SIN(RADIANS(E1824))</f>
        <v/>
      </c>
      <c r="S1824" s="8">
        <f>(O1824+P1824*COS(RADIANS(E1824)))/L1824</f>
        <v/>
      </c>
      <c r="T1824" s="8">
        <f>R1824/L1824</f>
        <v/>
      </c>
      <c r="U1824" s="8">
        <f>(Q1824-P1824*G1824*SIN(RADIANS(E1824)))/M1824</f>
        <v/>
      </c>
      <c r="V1824" s="8">
        <f>SQRT((S1824+U1824)^2+3*T1824^2)</f>
        <v/>
      </c>
      <c r="W1824" s="8">
        <f>V1824/AA1824</f>
        <v/>
      </c>
      <c r="X1824" s="27">
        <f>((3*10+H1824/COS(RADIANS(E1824)))*(3+3)+3*G1824*H1824)*2</f>
        <v/>
      </c>
      <c r="Y1824" s="28">
        <f>Z1824/X1824</f>
        <v/>
      </c>
      <c r="Z1824" s="29" t="n">
        <v>741.471256529096</v>
      </c>
      <c r="AA1824" s="20" t="n">
        <v>74.1045240255623</v>
      </c>
      <c r="AB1824" t="n">
        <v>0.1851641408065049</v>
      </c>
      <c r="AC1824" t="n">
        <v>73.4519409718086</v>
      </c>
      <c r="AD1824" t="n">
        <v>54.29360607830061</v>
      </c>
    </row>
    <row r="1825">
      <c r="A1825" t="n">
        <v>1824</v>
      </c>
      <c r="B1825" t="n">
        <v>73.90000000000001</v>
      </c>
      <c r="C1825" s="21">
        <f>B1825-20</f>
        <v/>
      </c>
      <c r="D1825" t="n">
        <v>116.3</v>
      </c>
      <c r="E1825" s="22">
        <f>D1825-90</f>
        <v/>
      </c>
      <c r="F1825" s="23" t="n">
        <v>0.017784</v>
      </c>
      <c r="G1825" s="22" t="n">
        <v>24.4</v>
      </c>
      <c r="H1825" s="22" t="n">
        <v>1.9</v>
      </c>
      <c r="I1825" s="24" t="n">
        <v>0.105326488614082</v>
      </c>
      <c r="J1825" s="6" t="n">
        <v>71000</v>
      </c>
      <c r="K1825" s="25">
        <f>23*10^-6</f>
        <v/>
      </c>
      <c r="L1825" s="8">
        <f>H1825</f>
        <v/>
      </c>
      <c r="M1825" s="26">
        <f>H1825^2/6</f>
        <v/>
      </c>
      <c r="N1825" s="26">
        <f>H1825^3/12</f>
        <v/>
      </c>
      <c r="O1825" s="27">
        <f>-J1825*L1825*K1825*C1825</f>
        <v/>
      </c>
      <c r="P1825" s="28">
        <f>-(12*F1825*J1825*L1825*N1825+12*O1825*N1825*G1825*COS(RADIANS(E1825)))/(12*N1825*G1825*COS(RADIANS(E1825))^2+L1825*G1825^3*SIN(RADIANS(E1825))^2)</f>
        <v/>
      </c>
      <c r="Q1825" s="28">
        <f>-(6*F1825*J1825*L1825*N1825*SIN(RADIANS(E1825))+6*O1825*N1825*G1825*SIN(RADIANS(E1825))*COS(RADIANS(E1825)))/(12*N1825*COS(RADIANS(E1825))^2+L1825*G1825^2*SIN(RADIANS(E1825))^2)</f>
        <v/>
      </c>
      <c r="R1825" s="28">
        <f>-P1825*SIN(RADIANS(E1825))</f>
        <v/>
      </c>
      <c r="S1825" s="8">
        <f>(O1825+P1825*COS(RADIANS(E1825)))/L1825</f>
        <v/>
      </c>
      <c r="T1825" s="8">
        <f>R1825/L1825</f>
        <v/>
      </c>
      <c r="U1825" s="8">
        <f>(Q1825-P1825*G1825*SIN(RADIANS(E1825)))/M1825</f>
        <v/>
      </c>
      <c r="V1825" s="8">
        <f>SQRT((S1825+U1825)^2+3*T1825^2)</f>
        <v/>
      </c>
      <c r="W1825" s="8">
        <f>V1825/AA1825</f>
        <v/>
      </c>
      <c r="X1825" s="27">
        <f>((3*10+H1825/COS(RADIANS(E1825)))*(3+3)+3*G1825*H1825)*2</f>
        <v/>
      </c>
      <c r="Y1825" s="28">
        <f>Z1825/X1825</f>
        <v/>
      </c>
      <c r="Z1825" s="29" t="n">
        <v>667.365607416244</v>
      </c>
      <c r="AA1825" s="20" t="n">
        <v>91.62159414258871</v>
      </c>
      <c r="AB1825" t="n">
        <v>0.1002274285335589</v>
      </c>
      <c r="AC1825" t="n">
        <v>84.05048070722968</v>
      </c>
      <c r="AD1825" t="n">
        <v>-4.841194411413586</v>
      </c>
    </row>
    <row r="1826">
      <c r="A1826" t="n">
        <v>1825</v>
      </c>
      <c r="B1826" t="n">
        <v>68.8</v>
      </c>
      <c r="C1826" s="21">
        <f>B1826-20</f>
        <v/>
      </c>
      <c r="D1826" t="n">
        <v>117.9</v>
      </c>
      <c r="E1826" s="22">
        <f>D1826-90</f>
        <v/>
      </c>
      <c r="F1826" s="23" t="n">
        <v>0.020073</v>
      </c>
      <c r="G1826" s="22" t="n">
        <v>33.3</v>
      </c>
      <c r="H1826" s="22" t="n">
        <v>1.2</v>
      </c>
      <c r="I1826" s="24" t="n">
        <v>0.09996280819177621</v>
      </c>
      <c r="J1826" s="6" t="n">
        <v>71000</v>
      </c>
      <c r="K1826" s="25">
        <f>23*10^-6</f>
        <v/>
      </c>
      <c r="L1826" s="8">
        <f>H1826</f>
        <v/>
      </c>
      <c r="M1826" s="26">
        <f>H1826^2/6</f>
        <v/>
      </c>
      <c r="N1826" s="26">
        <f>H1826^3/12</f>
        <v/>
      </c>
      <c r="O1826" s="27">
        <f>-J1826*L1826*K1826*C1826</f>
        <v/>
      </c>
      <c r="P1826" s="28">
        <f>-(12*F1826*J1826*L1826*N1826+12*O1826*N1826*G1826*COS(RADIANS(E1826)))/(12*N1826*G1826*COS(RADIANS(E1826))^2+L1826*G1826^3*SIN(RADIANS(E1826))^2)</f>
        <v/>
      </c>
      <c r="Q1826" s="28">
        <f>-(6*F1826*J1826*L1826*N1826*SIN(RADIANS(E1826))+6*O1826*N1826*G1826*SIN(RADIANS(E1826))*COS(RADIANS(E1826)))/(12*N1826*COS(RADIANS(E1826))^2+L1826*G1826^2*SIN(RADIANS(E1826))^2)</f>
        <v/>
      </c>
      <c r="R1826" s="28">
        <f>-P1826*SIN(RADIANS(E1826))</f>
        <v/>
      </c>
      <c r="S1826" s="8">
        <f>(O1826+P1826*COS(RADIANS(E1826)))/L1826</f>
        <v/>
      </c>
      <c r="T1826" s="8">
        <f>R1826/L1826</f>
        <v/>
      </c>
      <c r="U1826" s="8">
        <f>(Q1826-P1826*G1826*SIN(RADIANS(E1826)))/M1826</f>
        <v/>
      </c>
      <c r="V1826" s="8">
        <f>SQRT((S1826+U1826)^2+3*T1826^2)</f>
        <v/>
      </c>
      <c r="W1826" s="8">
        <f>V1826/AA1826</f>
        <v/>
      </c>
      <c r="X1826" s="27">
        <f>((3*10+H1826/COS(RADIANS(E1826)))*(3+3)+3*G1826*H1826)*2</f>
        <v/>
      </c>
      <c r="Y1826" s="28">
        <f>Z1826/X1826</f>
        <v/>
      </c>
      <c r="Z1826" s="29" t="n">
        <v>621.702762266173</v>
      </c>
      <c r="AA1826" s="20" t="n">
        <v>68.0947089368625</v>
      </c>
      <c r="AB1826" t="n">
        <v>0.1165128697747362</v>
      </c>
      <c r="AC1826" t="n">
        <v>70.79486584401694</v>
      </c>
      <c r="AD1826" t="n">
        <v>16.55621914023178</v>
      </c>
    </row>
    <row r="1827">
      <c r="A1827" t="n">
        <v>1826</v>
      </c>
      <c r="B1827" t="n">
        <v>61.7</v>
      </c>
      <c r="C1827" s="21">
        <f>B1827-20</f>
        <v/>
      </c>
      <c r="D1827" t="n">
        <v>119.6</v>
      </c>
      <c r="E1827" s="22">
        <f>D1827-90</f>
        <v/>
      </c>
      <c r="F1827" s="23" t="n">
        <v>0.011667</v>
      </c>
      <c r="G1827" s="22" t="n">
        <v>23.5</v>
      </c>
      <c r="H1827" s="22" t="n">
        <v>1.3</v>
      </c>
      <c r="I1827" s="24" t="n">
        <v>0.0523347333073616</v>
      </c>
      <c r="J1827" s="6" t="n">
        <v>71000</v>
      </c>
      <c r="K1827" s="25">
        <f>23*10^-6</f>
        <v/>
      </c>
      <c r="L1827" s="8">
        <f>H1827</f>
        <v/>
      </c>
      <c r="M1827" s="26">
        <f>H1827^2/6</f>
        <v/>
      </c>
      <c r="N1827" s="26">
        <f>H1827^3/12</f>
        <v/>
      </c>
      <c r="O1827" s="27">
        <f>-J1827*L1827*K1827*C1827</f>
        <v/>
      </c>
      <c r="P1827" s="28">
        <f>-(12*F1827*J1827*L1827*N1827+12*O1827*N1827*G1827*COS(RADIANS(E1827)))/(12*N1827*G1827*COS(RADIANS(E1827))^2+L1827*G1827^3*SIN(RADIANS(E1827))^2)</f>
        <v/>
      </c>
      <c r="Q1827" s="28">
        <f>-(6*F1827*J1827*L1827*N1827*SIN(RADIANS(E1827))+6*O1827*N1827*G1827*SIN(RADIANS(E1827))*COS(RADIANS(E1827)))/(12*N1827*COS(RADIANS(E1827))^2+L1827*G1827^2*SIN(RADIANS(E1827))^2)</f>
        <v/>
      </c>
      <c r="R1827" s="28">
        <f>-P1827*SIN(RADIANS(E1827))</f>
        <v/>
      </c>
      <c r="S1827" s="8">
        <f>(O1827+P1827*COS(RADIANS(E1827)))/L1827</f>
        <v/>
      </c>
      <c r="T1827" s="8">
        <f>R1827/L1827</f>
        <v/>
      </c>
      <c r="U1827" s="8">
        <f>(Q1827-P1827*G1827*SIN(RADIANS(E1827)))/M1827</f>
        <v/>
      </c>
      <c r="V1827" s="8">
        <f>SQRT((S1827+U1827)^2+3*T1827^2)</f>
        <v/>
      </c>
      <c r="W1827" s="8">
        <f>V1827/AA1827</f>
        <v/>
      </c>
      <c r="X1827" s="27">
        <f>((3*10+H1827/COS(RADIANS(E1827)))*(3+3)+3*G1827*H1827)*2</f>
        <v/>
      </c>
      <c r="Y1827" s="28">
        <f>Z1827/X1827</f>
        <v/>
      </c>
      <c r="Z1827" s="29" t="n">
        <v>572.918395193327</v>
      </c>
      <c r="AA1827" s="20" t="n">
        <v>59.086809392574</v>
      </c>
      <c r="AB1827" t="n">
        <v>0.06704686979339258</v>
      </c>
      <c r="AC1827" t="n">
        <v>61.63528194824912</v>
      </c>
      <c r="AD1827" t="n">
        <v>28.11161069576238</v>
      </c>
    </row>
    <row r="1828">
      <c r="A1828" t="n">
        <v>1827</v>
      </c>
      <c r="B1828" t="n">
        <v>75.90000000000001</v>
      </c>
      <c r="C1828" s="21">
        <f>B1828-20</f>
        <v/>
      </c>
      <c r="D1828" t="n">
        <v>107.6</v>
      </c>
      <c r="E1828" s="22">
        <f>D1828-90</f>
        <v/>
      </c>
      <c r="F1828" s="23" t="n">
        <v>0.019148</v>
      </c>
      <c r="G1828" s="22" t="n">
        <v>25.3</v>
      </c>
      <c r="H1828" s="22" t="n">
        <v>1.3</v>
      </c>
      <c r="I1828" s="24" t="n">
        <v>0.121665105223655</v>
      </c>
      <c r="J1828" s="6" t="n">
        <v>71000</v>
      </c>
      <c r="K1828" s="25">
        <f>23*10^-6</f>
        <v/>
      </c>
      <c r="L1828" s="8">
        <f>H1828</f>
        <v/>
      </c>
      <c r="M1828" s="26">
        <f>H1828^2/6</f>
        <v/>
      </c>
      <c r="N1828" s="26">
        <f>H1828^3/12</f>
        <v/>
      </c>
      <c r="O1828" s="27">
        <f>-J1828*L1828*K1828*C1828</f>
        <v/>
      </c>
      <c r="P1828" s="28">
        <f>-(12*F1828*J1828*L1828*N1828+12*O1828*N1828*G1828*COS(RADIANS(E1828)))/(12*N1828*G1828*COS(RADIANS(E1828))^2+L1828*G1828^3*SIN(RADIANS(E1828))^2)</f>
        <v/>
      </c>
      <c r="Q1828" s="28">
        <f>-(6*F1828*J1828*L1828*N1828*SIN(RADIANS(E1828))+6*O1828*N1828*G1828*SIN(RADIANS(E1828))*COS(RADIANS(E1828)))/(12*N1828*COS(RADIANS(E1828))^2+L1828*G1828^2*SIN(RADIANS(E1828))^2)</f>
        <v/>
      </c>
      <c r="R1828" s="28">
        <f>-P1828*SIN(RADIANS(E1828))</f>
        <v/>
      </c>
      <c r="S1828" s="8">
        <f>(O1828+P1828*COS(RADIANS(E1828)))/L1828</f>
        <v/>
      </c>
      <c r="T1828" s="8">
        <f>R1828/L1828</f>
        <v/>
      </c>
      <c r="U1828" s="8">
        <f>(Q1828-P1828*G1828*SIN(RADIANS(E1828)))/M1828</f>
        <v/>
      </c>
      <c r="V1828" s="8">
        <f>SQRT((S1828+U1828)^2+3*T1828^2)</f>
        <v/>
      </c>
      <c r="W1828" s="8">
        <f>V1828/AA1828</f>
        <v/>
      </c>
      <c r="X1828" s="27">
        <f>((3*10+H1828/COS(RADIANS(E1828)))*(3+3)+3*G1828*H1828)*2</f>
        <v/>
      </c>
      <c r="Y1828" s="28">
        <f>Z1828/X1828</f>
        <v/>
      </c>
      <c r="Z1828" s="29" t="n">
        <v>578.435222857833</v>
      </c>
      <c r="AA1828" s="20" t="n">
        <v>84.5472506493974</v>
      </c>
      <c r="AB1828" t="n">
        <v>0.1636240853780973</v>
      </c>
      <c r="AC1828" t="n">
        <v>87.89631167899785</v>
      </c>
      <c r="AD1828" t="n">
        <v>34.48727560569625</v>
      </c>
    </row>
    <row r="1829">
      <c r="A1829" t="n">
        <v>1828</v>
      </c>
      <c r="B1829" t="n">
        <v>52</v>
      </c>
      <c r="C1829" s="21">
        <f>B1829-20</f>
        <v/>
      </c>
      <c r="D1829" t="n">
        <v>127.7</v>
      </c>
      <c r="E1829" s="22">
        <f>D1829-90</f>
        <v/>
      </c>
      <c r="F1829" s="23" t="n">
        <v>0.012174</v>
      </c>
      <c r="G1829" s="22" t="n">
        <v>34.5</v>
      </c>
      <c r="H1829" s="22" t="n">
        <v>1.2</v>
      </c>
      <c r="I1829" s="24" t="n">
        <v>0.0517176277935504</v>
      </c>
      <c r="J1829" s="6" t="n">
        <v>71000</v>
      </c>
      <c r="K1829" s="25">
        <f>23*10^-6</f>
        <v/>
      </c>
      <c r="L1829" s="8">
        <f>H1829</f>
        <v/>
      </c>
      <c r="M1829" s="26">
        <f>H1829^2/6</f>
        <v/>
      </c>
      <c r="N1829" s="26">
        <f>H1829^3/12</f>
        <v/>
      </c>
      <c r="O1829" s="27">
        <f>-J1829*L1829*K1829*C1829</f>
        <v/>
      </c>
      <c r="P1829" s="28">
        <f>-(12*F1829*J1829*L1829*N1829+12*O1829*N1829*G1829*COS(RADIANS(E1829)))/(12*N1829*G1829*COS(RADIANS(E1829))^2+L1829*G1829^3*SIN(RADIANS(E1829))^2)</f>
        <v/>
      </c>
      <c r="Q1829" s="28">
        <f>-(6*F1829*J1829*L1829*N1829*SIN(RADIANS(E1829))+6*O1829*N1829*G1829*SIN(RADIANS(E1829))*COS(RADIANS(E1829)))/(12*N1829*COS(RADIANS(E1829))^2+L1829*G1829^2*SIN(RADIANS(E1829))^2)</f>
        <v/>
      </c>
      <c r="R1829" s="28">
        <f>-P1829*SIN(RADIANS(E1829))</f>
        <v/>
      </c>
      <c r="S1829" s="8">
        <f>(O1829+P1829*COS(RADIANS(E1829)))/L1829</f>
        <v/>
      </c>
      <c r="T1829" s="8">
        <f>R1829/L1829</f>
        <v/>
      </c>
      <c r="U1829" s="8">
        <f>(Q1829-P1829*G1829*SIN(RADIANS(E1829)))/M1829</f>
        <v/>
      </c>
      <c r="V1829" s="8">
        <f>SQRT((S1829+U1829)^2+3*T1829^2)</f>
        <v/>
      </c>
      <c r="W1829" s="8">
        <f>V1829/AA1829</f>
        <v/>
      </c>
      <c r="X1829" s="27">
        <f>((3*10+H1829/COS(RADIANS(E1829)))*(3+3)+3*G1829*H1829)*2</f>
        <v/>
      </c>
      <c r="Y1829" s="28">
        <f>Z1829/X1829</f>
        <v/>
      </c>
      <c r="Z1829" s="29" t="n">
        <v>636.235770083635</v>
      </c>
      <c r="AA1829" s="20" t="n">
        <v>42.4944750663801</v>
      </c>
      <c r="AB1829" t="n">
        <v>0.05710377059680082</v>
      </c>
      <c r="AC1829" t="n">
        <v>45.23531026572514</v>
      </c>
      <c r="AD1829" t="n">
        <v>10.41452021881427</v>
      </c>
    </row>
    <row r="1830">
      <c r="A1830" t="n">
        <v>1829</v>
      </c>
      <c r="B1830" t="n">
        <v>81.40000000000001</v>
      </c>
      <c r="C1830" s="21">
        <f>B1830-20</f>
        <v/>
      </c>
      <c r="D1830" t="n">
        <v>115.9</v>
      </c>
      <c r="E1830" s="22">
        <f>D1830-90</f>
        <v/>
      </c>
      <c r="F1830" s="23" t="n">
        <v>0.027397</v>
      </c>
      <c r="G1830" s="22" t="n">
        <v>34.2</v>
      </c>
      <c r="H1830" s="22" t="n">
        <v>1.4</v>
      </c>
      <c r="I1830" s="24" t="n">
        <v>0.199907675385475</v>
      </c>
      <c r="J1830" s="6" t="n">
        <v>71000</v>
      </c>
      <c r="K1830" s="25">
        <f>23*10^-6</f>
        <v/>
      </c>
      <c r="L1830" s="8">
        <f>H1830</f>
        <v/>
      </c>
      <c r="M1830" s="26">
        <f>H1830^2/6</f>
        <v/>
      </c>
      <c r="N1830" s="26">
        <f>H1830^3/12</f>
        <v/>
      </c>
      <c r="O1830" s="27">
        <f>-J1830*L1830*K1830*C1830</f>
        <v/>
      </c>
      <c r="P1830" s="28">
        <f>-(12*F1830*J1830*L1830*N1830+12*O1830*N1830*G1830*COS(RADIANS(E1830)))/(12*N1830*G1830*COS(RADIANS(E1830))^2+L1830*G1830^3*SIN(RADIANS(E1830))^2)</f>
        <v/>
      </c>
      <c r="Q1830" s="28">
        <f>-(6*F1830*J1830*L1830*N1830*SIN(RADIANS(E1830))+6*O1830*N1830*G1830*SIN(RADIANS(E1830))*COS(RADIANS(E1830)))/(12*N1830*COS(RADIANS(E1830))^2+L1830*G1830^2*SIN(RADIANS(E1830))^2)</f>
        <v/>
      </c>
      <c r="R1830" s="28">
        <f>-P1830*SIN(RADIANS(E1830))</f>
        <v/>
      </c>
      <c r="S1830" s="8">
        <f>(O1830+P1830*COS(RADIANS(E1830)))/L1830</f>
        <v/>
      </c>
      <c r="T1830" s="8">
        <f>R1830/L1830</f>
        <v/>
      </c>
      <c r="U1830" s="8">
        <f>(Q1830-P1830*G1830*SIN(RADIANS(E1830)))/M1830</f>
        <v/>
      </c>
      <c r="V1830" s="8">
        <f>SQRT((S1830+U1830)^2+3*T1830^2)</f>
        <v/>
      </c>
      <c r="W1830" s="8">
        <f>V1830/AA1830</f>
        <v/>
      </c>
      <c r="X1830" s="27">
        <f>((3*10+H1830/COS(RADIANS(E1830)))*(3+3)+3*G1830*H1830)*2</f>
        <v/>
      </c>
      <c r="Y1830" s="28">
        <f>Z1830/X1830</f>
        <v/>
      </c>
      <c r="Z1830" s="29" t="n">
        <v>668.8182089890749</v>
      </c>
      <c r="AA1830" s="20" t="n">
        <v>94.8230605682885</v>
      </c>
      <c r="AB1830" t="n">
        <v>0.1623246467989075</v>
      </c>
      <c r="AC1830" t="n">
        <v>90.67358046725717</v>
      </c>
      <c r="AD1830" t="n">
        <v>-18.80019289609439</v>
      </c>
    </row>
    <row r="1831">
      <c r="A1831" t="n">
        <v>1830</v>
      </c>
      <c r="B1831" t="n">
        <v>57.4</v>
      </c>
      <c r="C1831" s="21">
        <f>B1831-20</f>
        <v/>
      </c>
      <c r="D1831" t="n">
        <v>111.4</v>
      </c>
      <c r="E1831" s="22">
        <f>D1831-90</f>
        <v/>
      </c>
      <c r="F1831" s="23" t="n">
        <v>0.012993</v>
      </c>
      <c r="G1831" s="22" t="n">
        <v>27.3</v>
      </c>
      <c r="H1831" s="22" t="n">
        <v>1.7</v>
      </c>
      <c r="I1831" s="24" t="n">
        <v>0.0652342811226844</v>
      </c>
      <c r="J1831" s="6" t="n">
        <v>71000</v>
      </c>
      <c r="K1831" s="25">
        <f>23*10^-6</f>
        <v/>
      </c>
      <c r="L1831" s="8">
        <f>H1831</f>
        <v/>
      </c>
      <c r="M1831" s="26">
        <f>H1831^2/6</f>
        <v/>
      </c>
      <c r="N1831" s="26">
        <f>H1831^3/12</f>
        <v/>
      </c>
      <c r="O1831" s="27">
        <f>-J1831*L1831*K1831*C1831</f>
        <v/>
      </c>
      <c r="P1831" s="28">
        <f>-(12*F1831*J1831*L1831*N1831+12*O1831*N1831*G1831*COS(RADIANS(E1831)))/(12*N1831*G1831*COS(RADIANS(E1831))^2+L1831*G1831^3*SIN(RADIANS(E1831))^2)</f>
        <v/>
      </c>
      <c r="Q1831" s="28">
        <f>-(6*F1831*J1831*L1831*N1831*SIN(RADIANS(E1831))+6*O1831*N1831*G1831*SIN(RADIANS(E1831))*COS(RADIANS(E1831)))/(12*N1831*COS(RADIANS(E1831))^2+L1831*G1831^2*SIN(RADIANS(E1831))^2)</f>
        <v/>
      </c>
      <c r="R1831" s="28">
        <f>-P1831*SIN(RADIANS(E1831))</f>
        <v/>
      </c>
      <c r="S1831" s="8">
        <f>(O1831+P1831*COS(RADIANS(E1831)))/L1831</f>
        <v/>
      </c>
      <c r="T1831" s="8">
        <f>R1831/L1831</f>
        <v/>
      </c>
      <c r="U1831" s="8">
        <f>(Q1831-P1831*G1831*SIN(RADIANS(E1831)))/M1831</f>
        <v/>
      </c>
      <c r="V1831" s="8">
        <f>SQRT((S1831+U1831)^2+3*T1831^2)</f>
        <v/>
      </c>
      <c r="W1831" s="8">
        <f>V1831/AA1831</f>
        <v/>
      </c>
      <c r="X1831" s="27">
        <f>((3*10+H1831/COS(RADIANS(E1831)))*(3+3)+3*G1831*H1831)*2</f>
        <v/>
      </c>
      <c r="Y1831" s="28">
        <f>Z1831/X1831</f>
        <v/>
      </c>
      <c r="Z1831" s="29" t="n">
        <v>667.420313220676</v>
      </c>
      <c r="AA1831" s="20" t="n">
        <v>59.0401269578123</v>
      </c>
      <c r="AB1831" t="n">
        <v>0.09598476743155467</v>
      </c>
      <c r="AC1831" t="n">
        <v>58.8012364130787</v>
      </c>
      <c r="AD1831" t="n">
        <v>47.13853786636912</v>
      </c>
    </row>
    <row r="1832">
      <c r="A1832" t="n">
        <v>1831</v>
      </c>
      <c r="B1832" t="n">
        <v>88.09999999999999</v>
      </c>
      <c r="C1832" s="21">
        <f>B1832-20</f>
        <v/>
      </c>
      <c r="D1832" t="n">
        <v>112.4</v>
      </c>
      <c r="E1832" s="22">
        <f>D1832-90</f>
        <v/>
      </c>
      <c r="F1832" s="23" t="n">
        <v>0.021125</v>
      </c>
      <c r="G1832" s="22" t="n">
        <v>24</v>
      </c>
      <c r="H1832" s="22" t="n">
        <v>1.1</v>
      </c>
      <c r="I1832" s="24" t="n">
        <v>0.105121783912181</v>
      </c>
      <c r="J1832" s="6" t="n">
        <v>71000</v>
      </c>
      <c r="K1832" s="25">
        <f>23*10^-6</f>
        <v/>
      </c>
      <c r="L1832" s="8">
        <f>H1832</f>
        <v/>
      </c>
      <c r="M1832" s="26">
        <f>H1832^2/6</f>
        <v/>
      </c>
      <c r="N1832" s="26">
        <f>H1832^3/12</f>
        <v/>
      </c>
      <c r="O1832" s="27">
        <f>-J1832*L1832*K1832*C1832</f>
        <v/>
      </c>
      <c r="P1832" s="28">
        <f>-(12*F1832*J1832*L1832*N1832+12*O1832*N1832*G1832*COS(RADIANS(E1832)))/(12*N1832*G1832*COS(RADIANS(E1832))^2+L1832*G1832^3*SIN(RADIANS(E1832))^2)</f>
        <v/>
      </c>
      <c r="Q1832" s="28">
        <f>-(6*F1832*J1832*L1832*N1832*SIN(RADIANS(E1832))+6*O1832*N1832*G1832*SIN(RADIANS(E1832))*COS(RADIANS(E1832)))/(12*N1832*COS(RADIANS(E1832))^2+L1832*G1832^2*SIN(RADIANS(E1832))^2)</f>
        <v/>
      </c>
      <c r="R1832" s="28">
        <f>-P1832*SIN(RADIANS(E1832))</f>
        <v/>
      </c>
      <c r="S1832" s="8">
        <f>(O1832+P1832*COS(RADIANS(E1832)))/L1832</f>
        <v/>
      </c>
      <c r="T1832" s="8">
        <f>R1832/L1832</f>
        <v/>
      </c>
      <c r="U1832" s="8">
        <f>(Q1832-P1832*G1832*SIN(RADIANS(E1832)))/M1832</f>
        <v/>
      </c>
      <c r="V1832" s="8">
        <f>SQRT((S1832+U1832)^2+3*T1832^2)</f>
        <v/>
      </c>
      <c r="W1832" s="8">
        <f>V1832/AA1832</f>
        <v/>
      </c>
      <c r="X1832" s="27">
        <f>((3*10+H1832/COS(RADIANS(E1832)))*(3+3)+3*G1832*H1832)*2</f>
        <v/>
      </c>
      <c r="Y1832" s="28">
        <f>Z1832/X1832</f>
        <v/>
      </c>
      <c r="Z1832" s="29" t="n">
        <v>539.926237124036</v>
      </c>
      <c r="AA1832" s="20" t="n">
        <v>95.65672821116949</v>
      </c>
      <c r="AB1832" t="n">
        <v>0.1497780996915232</v>
      </c>
      <c r="AC1832" t="n">
        <v>102.2149241005672</v>
      </c>
      <c r="AD1832" t="n">
        <v>42.48055361831398</v>
      </c>
    </row>
    <row r="1833">
      <c r="A1833" t="n">
        <v>1832</v>
      </c>
      <c r="B1833" t="n">
        <v>63.5</v>
      </c>
      <c r="C1833" s="21">
        <f>B1833-20</f>
        <v/>
      </c>
      <c r="D1833" t="n">
        <v>118.2</v>
      </c>
      <c r="E1833" s="22">
        <f>D1833-90</f>
        <v/>
      </c>
      <c r="F1833" s="23" t="n">
        <v>0.012634</v>
      </c>
      <c r="G1833" s="22" t="n">
        <v>22.4</v>
      </c>
      <c r="H1833" s="22" t="n">
        <v>1</v>
      </c>
      <c r="I1833" s="24" t="n">
        <v>0.0618660636246204</v>
      </c>
      <c r="J1833" s="6" t="n">
        <v>71000</v>
      </c>
      <c r="K1833" s="25">
        <f>23*10^-6</f>
        <v/>
      </c>
      <c r="L1833" s="8">
        <f>H1833</f>
        <v/>
      </c>
      <c r="M1833" s="26">
        <f>H1833^2/6</f>
        <v/>
      </c>
      <c r="N1833" s="26">
        <f>H1833^3/12</f>
        <v/>
      </c>
      <c r="O1833" s="27">
        <f>-J1833*L1833*K1833*C1833</f>
        <v/>
      </c>
      <c r="P1833" s="28">
        <f>-(12*F1833*J1833*L1833*N1833+12*O1833*N1833*G1833*COS(RADIANS(E1833)))/(12*N1833*G1833*COS(RADIANS(E1833))^2+L1833*G1833^3*SIN(RADIANS(E1833))^2)</f>
        <v/>
      </c>
      <c r="Q1833" s="28">
        <f>-(6*F1833*J1833*L1833*N1833*SIN(RADIANS(E1833))+6*O1833*N1833*G1833*SIN(RADIANS(E1833))*COS(RADIANS(E1833)))/(12*N1833*COS(RADIANS(E1833))^2+L1833*G1833^2*SIN(RADIANS(E1833))^2)</f>
        <v/>
      </c>
      <c r="R1833" s="28">
        <f>-P1833*SIN(RADIANS(E1833))</f>
        <v/>
      </c>
      <c r="S1833" s="8">
        <f>(O1833+P1833*COS(RADIANS(E1833)))/L1833</f>
        <v/>
      </c>
      <c r="T1833" s="8">
        <f>R1833/L1833</f>
        <v/>
      </c>
      <c r="U1833" s="8">
        <f>(Q1833-P1833*G1833*SIN(RADIANS(E1833)))/M1833</f>
        <v/>
      </c>
      <c r="V1833" s="8">
        <f>SQRT((S1833+U1833)^2+3*T1833^2)</f>
        <v/>
      </c>
      <c r="W1833" s="8">
        <f>V1833/AA1833</f>
        <v/>
      </c>
      <c r="X1833" s="27">
        <f>((3*10+H1833/COS(RADIANS(E1833)))*(3+3)+3*G1833*H1833)*2</f>
        <v/>
      </c>
      <c r="Y1833" s="28">
        <f>Z1833/X1833</f>
        <v/>
      </c>
      <c r="Z1833" s="29" t="n">
        <v>515.2369760624121</v>
      </c>
      <c r="AA1833" s="20" t="n">
        <v>59.5699474146381</v>
      </c>
      <c r="AB1833" t="n">
        <v>0.07069524630388078</v>
      </c>
      <c r="AC1833" t="n">
        <v>63.40979303447562</v>
      </c>
      <c r="AD1833" t="n">
        <v>14.27144732018589</v>
      </c>
    </row>
    <row r="1834">
      <c r="A1834" t="n">
        <v>1833</v>
      </c>
      <c r="B1834" t="n">
        <v>53.8</v>
      </c>
      <c r="C1834" s="21">
        <f>B1834-20</f>
        <v/>
      </c>
      <c r="D1834" t="n">
        <v>107.7</v>
      </c>
      <c r="E1834" s="22">
        <f>D1834-90</f>
        <v/>
      </c>
      <c r="F1834" s="23" t="n">
        <v>0.010319</v>
      </c>
      <c r="G1834" s="22" t="n">
        <v>21.8</v>
      </c>
      <c r="H1834" s="22" t="n">
        <v>1.5</v>
      </c>
      <c r="I1834" s="24" t="n">
        <v>0.0673261731863021</v>
      </c>
      <c r="J1834" s="6" t="n">
        <v>71000</v>
      </c>
      <c r="K1834" s="25">
        <f>23*10^-6</f>
        <v/>
      </c>
      <c r="L1834" s="8">
        <f>H1834</f>
        <v/>
      </c>
      <c r="M1834" s="26">
        <f>H1834^2/6</f>
        <v/>
      </c>
      <c r="N1834" s="26">
        <f>H1834^3/12</f>
        <v/>
      </c>
      <c r="O1834" s="27">
        <f>-J1834*L1834*K1834*C1834</f>
        <v/>
      </c>
      <c r="P1834" s="28">
        <f>-(12*F1834*J1834*L1834*N1834+12*O1834*N1834*G1834*COS(RADIANS(E1834)))/(12*N1834*G1834*COS(RADIANS(E1834))^2+L1834*G1834^3*SIN(RADIANS(E1834))^2)</f>
        <v/>
      </c>
      <c r="Q1834" s="28">
        <f>-(6*F1834*J1834*L1834*N1834*SIN(RADIANS(E1834))+6*O1834*N1834*G1834*SIN(RADIANS(E1834))*COS(RADIANS(E1834)))/(12*N1834*COS(RADIANS(E1834))^2+L1834*G1834^2*SIN(RADIANS(E1834))^2)</f>
        <v/>
      </c>
      <c r="R1834" s="28">
        <f>-P1834*SIN(RADIANS(E1834))</f>
        <v/>
      </c>
      <c r="S1834" s="8">
        <f>(O1834+P1834*COS(RADIANS(E1834)))/L1834</f>
        <v/>
      </c>
      <c r="T1834" s="8">
        <f>R1834/L1834</f>
        <v/>
      </c>
      <c r="U1834" s="8">
        <f>(Q1834-P1834*G1834*SIN(RADIANS(E1834)))/M1834</f>
        <v/>
      </c>
      <c r="V1834" s="8">
        <f>SQRT((S1834+U1834)^2+3*T1834^2)</f>
        <v/>
      </c>
      <c r="W1834" s="8">
        <f>V1834/AA1834</f>
        <v/>
      </c>
      <c r="X1834" s="27">
        <f>((3*10+H1834/COS(RADIANS(E1834)))*(3+3)+3*G1834*H1834)*2</f>
        <v/>
      </c>
      <c r="Y1834" s="28">
        <f>Z1834/X1834</f>
        <v/>
      </c>
      <c r="Z1834" s="29" t="n">
        <v>579.6961673637441</v>
      </c>
      <c r="AA1834" s="20" t="n">
        <v>54.7945063300275</v>
      </c>
      <c r="AB1834" t="n">
        <v>0.08400271979464946</v>
      </c>
      <c r="AC1834" t="n">
        <v>54.8042431363865</v>
      </c>
      <c r="AD1834" t="n">
        <v>24.76978241760561</v>
      </c>
    </row>
    <row r="1835">
      <c r="A1835" t="n">
        <v>1834</v>
      </c>
      <c r="B1835" t="n">
        <v>45.7</v>
      </c>
      <c r="C1835" s="21">
        <f>B1835-20</f>
        <v/>
      </c>
      <c r="D1835" t="n">
        <v>100.2</v>
      </c>
      <c r="E1835" s="22">
        <f>D1835-90</f>
        <v/>
      </c>
      <c r="F1835" s="23" t="n">
        <v>0.008364999999999999</v>
      </c>
      <c r="G1835" s="22" t="n">
        <v>28.5</v>
      </c>
      <c r="H1835" s="22" t="n">
        <v>2</v>
      </c>
      <c r="I1835" s="24" t="n">
        <v>0.0365998782217502</v>
      </c>
      <c r="J1835" s="6" t="n">
        <v>71000</v>
      </c>
      <c r="K1835" s="25">
        <f>23*10^-6</f>
        <v/>
      </c>
      <c r="L1835" s="8">
        <f>H1835</f>
        <v/>
      </c>
      <c r="M1835" s="26">
        <f>H1835^2/6</f>
        <v/>
      </c>
      <c r="N1835" s="26">
        <f>H1835^3/12</f>
        <v/>
      </c>
      <c r="O1835" s="27">
        <f>-J1835*L1835*K1835*C1835</f>
        <v/>
      </c>
      <c r="P1835" s="28">
        <f>-(12*F1835*J1835*L1835*N1835+12*O1835*N1835*G1835*COS(RADIANS(E1835)))/(12*N1835*G1835*COS(RADIANS(E1835))^2+L1835*G1835^3*SIN(RADIANS(E1835))^2)</f>
        <v/>
      </c>
      <c r="Q1835" s="28">
        <f>-(6*F1835*J1835*L1835*N1835*SIN(RADIANS(E1835))+6*O1835*N1835*G1835*SIN(RADIANS(E1835))*COS(RADIANS(E1835)))/(12*N1835*COS(RADIANS(E1835))^2+L1835*G1835^2*SIN(RADIANS(E1835))^2)</f>
        <v/>
      </c>
      <c r="R1835" s="28">
        <f>-P1835*SIN(RADIANS(E1835))</f>
        <v/>
      </c>
      <c r="S1835" s="8">
        <f>(O1835+P1835*COS(RADIANS(E1835)))/L1835</f>
        <v/>
      </c>
      <c r="T1835" s="8">
        <f>R1835/L1835</f>
        <v/>
      </c>
      <c r="U1835" s="8">
        <f>(Q1835-P1835*G1835*SIN(RADIANS(E1835)))/M1835</f>
        <v/>
      </c>
      <c r="V1835" s="8">
        <f>SQRT((S1835+U1835)^2+3*T1835^2)</f>
        <v/>
      </c>
      <c r="W1835" s="8">
        <f>V1835/AA1835</f>
        <v/>
      </c>
      <c r="X1835" s="27">
        <f>((3*10+H1835/COS(RADIANS(E1835)))*(3+3)+3*G1835*H1835)*2</f>
        <v/>
      </c>
      <c r="Y1835" s="28">
        <f>Z1835/X1835</f>
        <v/>
      </c>
      <c r="Z1835" s="29" t="n">
        <v>742.09916573537</v>
      </c>
      <c r="AA1835" s="20" t="n">
        <v>40.9530413385653</v>
      </c>
      <c r="AB1835" t="n">
        <v>0.1304574670729526</v>
      </c>
      <c r="AC1835" t="n">
        <v>46.66983955217151</v>
      </c>
      <c r="AD1835" t="n">
        <v>256.4423528475722</v>
      </c>
    </row>
    <row r="1836">
      <c r="A1836" t="n">
        <v>1835</v>
      </c>
      <c r="B1836" t="n">
        <v>86.3</v>
      </c>
      <c r="C1836" s="21">
        <f>B1836-20</f>
        <v/>
      </c>
      <c r="D1836" t="n">
        <v>115.3</v>
      </c>
      <c r="E1836" s="22">
        <f>D1836-90</f>
        <v/>
      </c>
      <c r="F1836" s="23" t="n">
        <v>0.023504</v>
      </c>
      <c r="G1836" s="22" t="n">
        <v>27.9</v>
      </c>
      <c r="H1836" s="22" t="n">
        <v>1.8</v>
      </c>
      <c r="I1836" s="24" t="n">
        <v>0.118523247539997</v>
      </c>
      <c r="J1836" s="6" t="n">
        <v>71000</v>
      </c>
      <c r="K1836" s="25">
        <f>23*10^-6</f>
        <v/>
      </c>
      <c r="L1836" s="8">
        <f>H1836</f>
        <v/>
      </c>
      <c r="M1836" s="26">
        <f>H1836^2/6</f>
        <v/>
      </c>
      <c r="N1836" s="26">
        <f>H1836^3/12</f>
        <v/>
      </c>
      <c r="O1836" s="27">
        <f>-J1836*L1836*K1836*C1836</f>
        <v/>
      </c>
      <c r="P1836" s="28">
        <f>-(12*F1836*J1836*L1836*N1836+12*O1836*N1836*G1836*COS(RADIANS(E1836)))/(12*N1836*G1836*COS(RADIANS(E1836))^2+L1836*G1836^3*SIN(RADIANS(E1836))^2)</f>
        <v/>
      </c>
      <c r="Q1836" s="28">
        <f>-(6*F1836*J1836*L1836*N1836*SIN(RADIANS(E1836))+6*O1836*N1836*G1836*SIN(RADIANS(E1836))*COS(RADIANS(E1836)))/(12*N1836*COS(RADIANS(E1836))^2+L1836*G1836^2*SIN(RADIANS(E1836))^2)</f>
        <v/>
      </c>
      <c r="R1836" s="28">
        <f>-P1836*SIN(RADIANS(E1836))</f>
        <v/>
      </c>
      <c r="S1836" s="8">
        <f>(O1836+P1836*COS(RADIANS(E1836)))/L1836</f>
        <v/>
      </c>
      <c r="T1836" s="8">
        <f>R1836/L1836</f>
        <v/>
      </c>
      <c r="U1836" s="8">
        <f>(Q1836-P1836*G1836*SIN(RADIANS(E1836)))/M1836</f>
        <v/>
      </c>
      <c r="V1836" s="8">
        <f>SQRT((S1836+U1836)^2+3*T1836^2)</f>
        <v/>
      </c>
      <c r="W1836" s="8">
        <f>V1836/AA1836</f>
        <v/>
      </c>
      <c r="X1836" s="27">
        <f>((3*10+H1836/COS(RADIANS(E1836)))*(3+3)+3*G1836*H1836)*2</f>
        <v/>
      </c>
      <c r="Y1836" s="28">
        <f>Z1836/X1836</f>
        <v/>
      </c>
      <c r="Z1836" s="29" t="n">
        <v>691.445203697814</v>
      </c>
      <c r="AA1836" s="20" t="n">
        <v>106.226787563364</v>
      </c>
      <c r="AB1836" t="n">
        <v>0.1465407486094874</v>
      </c>
      <c r="AC1836" t="n">
        <v>102.2536490780538</v>
      </c>
      <c r="AD1836" t="n">
        <v>23.63882331188702</v>
      </c>
    </row>
    <row r="1837">
      <c r="A1837" t="n">
        <v>1836</v>
      </c>
      <c r="B1837" t="n">
        <v>53.5</v>
      </c>
      <c r="C1837" s="21">
        <f>B1837-20</f>
        <v/>
      </c>
      <c r="D1837" t="n">
        <v>116.9</v>
      </c>
      <c r="E1837" s="22">
        <f>D1837-90</f>
        <v/>
      </c>
      <c r="F1837" s="23" t="n">
        <v>0.010612</v>
      </c>
      <c r="G1837" s="22" t="n">
        <v>23.4</v>
      </c>
      <c r="H1837" s="22" t="n">
        <v>1.1</v>
      </c>
      <c r="I1837" s="24" t="n">
        <v>0.0613390021026134</v>
      </c>
      <c r="J1837" s="6" t="n">
        <v>71000</v>
      </c>
      <c r="K1837" s="25">
        <f>23*10^-6</f>
        <v/>
      </c>
      <c r="L1837" s="8">
        <f>H1837</f>
        <v/>
      </c>
      <c r="M1837" s="26">
        <f>H1837^2/6</f>
        <v/>
      </c>
      <c r="N1837" s="26">
        <f>H1837^3/12</f>
        <v/>
      </c>
      <c r="O1837" s="27">
        <f>-J1837*L1837*K1837*C1837</f>
        <v/>
      </c>
      <c r="P1837" s="28">
        <f>-(12*F1837*J1837*L1837*N1837+12*O1837*N1837*G1837*COS(RADIANS(E1837)))/(12*N1837*G1837*COS(RADIANS(E1837))^2+L1837*G1837^3*SIN(RADIANS(E1837))^2)</f>
        <v/>
      </c>
      <c r="Q1837" s="28">
        <f>-(6*F1837*J1837*L1837*N1837*SIN(RADIANS(E1837))+6*O1837*N1837*G1837*SIN(RADIANS(E1837))*COS(RADIANS(E1837)))/(12*N1837*COS(RADIANS(E1837))^2+L1837*G1837^2*SIN(RADIANS(E1837))^2)</f>
        <v/>
      </c>
      <c r="R1837" s="28">
        <f>-P1837*SIN(RADIANS(E1837))</f>
        <v/>
      </c>
      <c r="S1837" s="8">
        <f>(O1837+P1837*COS(RADIANS(E1837)))/L1837</f>
        <v/>
      </c>
      <c r="T1837" s="8">
        <f>R1837/L1837</f>
        <v/>
      </c>
      <c r="U1837" s="8">
        <f>(Q1837-P1837*G1837*SIN(RADIANS(E1837)))/M1837</f>
        <v/>
      </c>
      <c r="V1837" s="8">
        <f>SQRT((S1837+U1837)^2+3*T1837^2)</f>
        <v/>
      </c>
      <c r="W1837" s="8">
        <f>V1837/AA1837</f>
        <v/>
      </c>
      <c r="X1837" s="27">
        <f>((3*10+H1837/COS(RADIANS(E1837)))*(3+3)+3*G1837*H1837)*2</f>
        <v/>
      </c>
      <c r="Y1837" s="28">
        <f>Z1837/X1837</f>
        <v/>
      </c>
      <c r="Z1837" s="29" t="n">
        <v>533.82826944719</v>
      </c>
      <c r="AA1837" s="20" t="n">
        <v>47.8036184587538</v>
      </c>
      <c r="AB1837" t="n">
        <v>0.05952004145095641</v>
      </c>
      <c r="AC1837" t="n">
        <v>49.34323924730316</v>
      </c>
      <c r="AD1837" t="n">
        <v>-2.965422633733209</v>
      </c>
    </row>
    <row r="1838">
      <c r="A1838" t="n">
        <v>1837</v>
      </c>
      <c r="B1838" t="n">
        <v>61.3</v>
      </c>
      <c r="C1838" s="21">
        <f>B1838-20</f>
        <v/>
      </c>
      <c r="D1838" t="n">
        <v>120.1</v>
      </c>
      <c r="E1838" s="22">
        <f>D1838-90</f>
        <v/>
      </c>
      <c r="F1838" s="23" t="n">
        <v>0.01349</v>
      </c>
      <c r="G1838" s="22" t="n">
        <v>24.5</v>
      </c>
      <c r="H1838" s="22" t="n">
        <v>2</v>
      </c>
      <c r="I1838" s="24" t="n">
        <v>0.074506290256977</v>
      </c>
      <c r="J1838" s="6" t="n">
        <v>71000</v>
      </c>
      <c r="K1838" s="25">
        <f>23*10^-6</f>
        <v/>
      </c>
      <c r="L1838" s="8">
        <f>H1838</f>
        <v/>
      </c>
      <c r="M1838" s="26">
        <f>H1838^2/6</f>
        <v/>
      </c>
      <c r="N1838" s="26">
        <f>H1838^3/12</f>
        <v/>
      </c>
      <c r="O1838" s="27">
        <f>-J1838*L1838*K1838*C1838</f>
        <v/>
      </c>
      <c r="P1838" s="28">
        <f>-(12*F1838*J1838*L1838*N1838+12*O1838*N1838*G1838*COS(RADIANS(E1838)))/(12*N1838*G1838*COS(RADIANS(E1838))^2+L1838*G1838^3*SIN(RADIANS(E1838))^2)</f>
        <v/>
      </c>
      <c r="Q1838" s="28">
        <f>-(6*F1838*J1838*L1838*N1838*SIN(RADIANS(E1838))+6*O1838*N1838*G1838*SIN(RADIANS(E1838))*COS(RADIANS(E1838)))/(12*N1838*COS(RADIANS(E1838))^2+L1838*G1838^2*SIN(RADIANS(E1838))^2)</f>
        <v/>
      </c>
      <c r="R1838" s="28">
        <f>-P1838*SIN(RADIANS(E1838))</f>
        <v/>
      </c>
      <c r="S1838" s="8">
        <f>(O1838+P1838*COS(RADIANS(E1838)))/L1838</f>
        <v/>
      </c>
      <c r="T1838" s="8">
        <f>R1838/L1838</f>
        <v/>
      </c>
      <c r="U1838" s="8">
        <f>(Q1838-P1838*G1838*SIN(RADIANS(E1838)))/M1838</f>
        <v/>
      </c>
      <c r="V1838" s="8">
        <f>SQRT((S1838+U1838)^2+3*T1838^2)</f>
        <v/>
      </c>
      <c r="W1838" s="8">
        <f>V1838/AA1838</f>
        <v/>
      </c>
      <c r="X1838" s="27">
        <f>((3*10+H1838/COS(RADIANS(E1838)))*(3+3)+3*G1838*H1838)*2</f>
        <v/>
      </c>
      <c r="Y1838" s="28">
        <f>Z1838/X1838</f>
        <v/>
      </c>
      <c r="Z1838" s="29" t="n">
        <v>685.351000998234</v>
      </c>
      <c r="AA1838" s="20" t="n">
        <v>71.6253444989068</v>
      </c>
      <c r="AB1838" t="n">
        <v>0.06701759833448168</v>
      </c>
      <c r="AC1838" t="n">
        <v>63.44484367359762</v>
      </c>
      <c r="AD1838" t="n">
        <v>-10.0510868232284</v>
      </c>
    </row>
    <row r="1839">
      <c r="A1839" t="n">
        <v>1838</v>
      </c>
      <c r="B1839" t="n">
        <v>76.2</v>
      </c>
      <c r="C1839" s="21">
        <f>B1839-20</f>
        <v/>
      </c>
      <c r="D1839" t="n">
        <v>107.8</v>
      </c>
      <c r="E1839" s="22">
        <f>D1839-90</f>
        <v/>
      </c>
      <c r="F1839" s="23" t="n">
        <v>0.018468</v>
      </c>
      <c r="G1839" s="22" t="n">
        <v>25.9</v>
      </c>
      <c r="H1839" s="22" t="n">
        <v>1.5</v>
      </c>
      <c r="I1839" s="24" t="n">
        <v>0.0903817489743232</v>
      </c>
      <c r="J1839" s="6" t="n">
        <v>71000</v>
      </c>
      <c r="K1839" s="25">
        <f>23*10^-6</f>
        <v/>
      </c>
      <c r="L1839" s="8">
        <f>H1839</f>
        <v/>
      </c>
      <c r="M1839" s="26">
        <f>H1839^2/6</f>
        <v/>
      </c>
      <c r="N1839" s="26">
        <f>H1839^3/12</f>
        <v/>
      </c>
      <c r="O1839" s="27">
        <f>-J1839*L1839*K1839*C1839</f>
        <v/>
      </c>
      <c r="P1839" s="28">
        <f>-(12*F1839*J1839*L1839*N1839+12*O1839*N1839*G1839*COS(RADIANS(E1839)))/(12*N1839*G1839*COS(RADIANS(E1839))^2+L1839*G1839^3*SIN(RADIANS(E1839))^2)</f>
        <v/>
      </c>
      <c r="Q1839" s="28">
        <f>-(6*F1839*J1839*L1839*N1839*SIN(RADIANS(E1839))+6*O1839*N1839*G1839*SIN(RADIANS(E1839))*COS(RADIANS(E1839)))/(12*N1839*COS(RADIANS(E1839))^2+L1839*G1839^2*SIN(RADIANS(E1839))^2)</f>
        <v/>
      </c>
      <c r="R1839" s="28">
        <f>-P1839*SIN(RADIANS(E1839))</f>
        <v/>
      </c>
      <c r="S1839" s="8">
        <f>(O1839+P1839*COS(RADIANS(E1839)))/L1839</f>
        <v/>
      </c>
      <c r="T1839" s="8">
        <f>R1839/L1839</f>
        <v/>
      </c>
      <c r="U1839" s="8">
        <f>(Q1839-P1839*G1839*SIN(RADIANS(E1839)))/M1839</f>
        <v/>
      </c>
      <c r="V1839" s="8">
        <f>SQRT((S1839+U1839)^2+3*T1839^2)</f>
        <v/>
      </c>
      <c r="W1839" s="8">
        <f>V1839/AA1839</f>
        <v/>
      </c>
      <c r="X1839" s="27">
        <f>((3*10+H1839/COS(RADIANS(E1839)))*(3+3)+3*G1839*H1839)*2</f>
        <v/>
      </c>
      <c r="Y1839" s="28">
        <f>Z1839/X1839</f>
        <v/>
      </c>
      <c r="Z1839" s="29" t="n">
        <v>620.190313245882</v>
      </c>
      <c r="AA1839" s="20" t="n">
        <v>85.57629671884349</v>
      </c>
      <c r="AB1839" t="n">
        <v>0.1651193004086187</v>
      </c>
      <c r="AC1839" t="n">
        <v>89.75351818598517</v>
      </c>
      <c r="AD1839" t="n">
        <v>82.69097719665491</v>
      </c>
    </row>
    <row r="1840">
      <c r="A1840" t="n">
        <v>1839</v>
      </c>
      <c r="B1840" t="n">
        <v>42</v>
      </c>
      <c r="C1840" s="21">
        <f>B1840-20</f>
        <v/>
      </c>
      <c r="D1840" t="n">
        <v>125.4</v>
      </c>
      <c r="E1840" s="22">
        <f>D1840-90</f>
        <v/>
      </c>
      <c r="F1840" s="23" t="n">
        <v>0.009676000000000001</v>
      </c>
      <c r="G1840" s="22" t="n">
        <v>34.2</v>
      </c>
      <c r="H1840" s="22" t="n">
        <v>1.1</v>
      </c>
      <c r="I1840" s="24" t="n">
        <v>0.06059380620718</v>
      </c>
      <c r="J1840" s="6" t="n">
        <v>71000</v>
      </c>
      <c r="K1840" s="25">
        <f>23*10^-6</f>
        <v/>
      </c>
      <c r="L1840" s="8">
        <f>H1840</f>
        <v/>
      </c>
      <c r="M1840" s="26">
        <f>H1840^2/6</f>
        <v/>
      </c>
      <c r="N1840" s="26">
        <f>H1840^3/12</f>
        <v/>
      </c>
      <c r="O1840" s="27">
        <f>-J1840*L1840*K1840*C1840</f>
        <v/>
      </c>
      <c r="P1840" s="28">
        <f>-(12*F1840*J1840*L1840*N1840+12*O1840*N1840*G1840*COS(RADIANS(E1840)))/(12*N1840*G1840*COS(RADIANS(E1840))^2+L1840*G1840^3*SIN(RADIANS(E1840))^2)</f>
        <v/>
      </c>
      <c r="Q1840" s="28">
        <f>-(6*F1840*J1840*L1840*N1840*SIN(RADIANS(E1840))+6*O1840*N1840*G1840*SIN(RADIANS(E1840))*COS(RADIANS(E1840)))/(12*N1840*COS(RADIANS(E1840))^2+L1840*G1840^2*SIN(RADIANS(E1840))^2)</f>
        <v/>
      </c>
      <c r="R1840" s="28">
        <f>-P1840*SIN(RADIANS(E1840))</f>
        <v/>
      </c>
      <c r="S1840" s="8">
        <f>(O1840+P1840*COS(RADIANS(E1840)))/L1840</f>
        <v/>
      </c>
      <c r="T1840" s="8">
        <f>R1840/L1840</f>
        <v/>
      </c>
      <c r="U1840" s="8">
        <f>(Q1840-P1840*G1840*SIN(RADIANS(E1840)))/M1840</f>
        <v/>
      </c>
      <c r="V1840" s="8">
        <f>SQRT((S1840+U1840)^2+3*T1840^2)</f>
        <v/>
      </c>
      <c r="W1840" s="8">
        <f>V1840/AA1840</f>
        <v/>
      </c>
      <c r="X1840" s="27">
        <f>((3*10+H1840/COS(RADIANS(E1840)))*(3+3)+3*G1840*H1840)*2</f>
        <v/>
      </c>
      <c r="Y1840" s="28">
        <f>Z1840/X1840</f>
        <v/>
      </c>
      <c r="Z1840" s="29" t="n">
        <v>604.202127442945</v>
      </c>
      <c r="AA1840" s="20" t="n">
        <v>31.0446323039969</v>
      </c>
      <c r="AB1840" t="n">
        <v>0.04173138570595547</v>
      </c>
      <c r="AC1840" t="n">
        <v>31.116841968408</v>
      </c>
      <c r="AD1840" t="n">
        <v>-31.12928809378779</v>
      </c>
    </row>
    <row r="1841">
      <c r="A1841" t="n">
        <v>1840</v>
      </c>
      <c r="B1841" t="n">
        <v>62.7</v>
      </c>
      <c r="C1841" s="21">
        <f>B1841-20</f>
        <v/>
      </c>
      <c r="D1841" t="n">
        <v>122.1</v>
      </c>
      <c r="E1841" s="22">
        <f>D1841-90</f>
        <v/>
      </c>
      <c r="F1841" s="23" t="n">
        <v>0.018012</v>
      </c>
      <c r="G1841" s="22" t="n">
        <v>31.5</v>
      </c>
      <c r="H1841" s="22" t="n">
        <v>1.8</v>
      </c>
      <c r="I1841" s="24" t="n">
        <v>0.165090352296829</v>
      </c>
      <c r="J1841" s="6" t="n">
        <v>71000</v>
      </c>
      <c r="K1841" s="25">
        <f>23*10^-6</f>
        <v/>
      </c>
      <c r="L1841" s="8">
        <f>H1841</f>
        <v/>
      </c>
      <c r="M1841" s="26">
        <f>H1841^2/6</f>
        <v/>
      </c>
      <c r="N1841" s="26">
        <f>H1841^3/12</f>
        <v/>
      </c>
      <c r="O1841" s="27">
        <f>-J1841*L1841*K1841*C1841</f>
        <v/>
      </c>
      <c r="P1841" s="28">
        <f>-(12*F1841*J1841*L1841*N1841+12*O1841*N1841*G1841*COS(RADIANS(E1841)))/(12*N1841*G1841*COS(RADIANS(E1841))^2+L1841*G1841^3*SIN(RADIANS(E1841))^2)</f>
        <v/>
      </c>
      <c r="Q1841" s="28">
        <f>-(6*F1841*J1841*L1841*N1841*SIN(RADIANS(E1841))+6*O1841*N1841*G1841*SIN(RADIANS(E1841))*COS(RADIANS(E1841)))/(12*N1841*COS(RADIANS(E1841))^2+L1841*G1841^2*SIN(RADIANS(E1841))^2)</f>
        <v/>
      </c>
      <c r="R1841" s="28">
        <f>-P1841*SIN(RADIANS(E1841))</f>
        <v/>
      </c>
      <c r="S1841" s="8">
        <f>(O1841+P1841*COS(RADIANS(E1841)))/L1841</f>
        <v/>
      </c>
      <c r="T1841" s="8">
        <f>R1841/L1841</f>
        <v/>
      </c>
      <c r="U1841" s="8">
        <f>(Q1841-P1841*G1841*SIN(RADIANS(E1841)))/M1841</f>
        <v/>
      </c>
      <c r="V1841" s="8">
        <f>SQRT((S1841+U1841)^2+3*T1841^2)</f>
        <v/>
      </c>
      <c r="W1841" s="8">
        <f>V1841/AA1841</f>
        <v/>
      </c>
      <c r="X1841" s="27">
        <f>((3*10+H1841/COS(RADIANS(E1841)))*(3+3)+3*G1841*H1841)*2</f>
        <v/>
      </c>
      <c r="Y1841" s="28">
        <f>Z1841/X1841</f>
        <v/>
      </c>
      <c r="Z1841" s="29" t="n">
        <v>725.965882477168</v>
      </c>
      <c r="AA1841" s="20" t="n">
        <v>75.79428978381441</v>
      </c>
      <c r="AB1841" t="n">
        <v>0.08280934514476959</v>
      </c>
      <c r="AC1841" t="n">
        <v>63.27336955546937</v>
      </c>
      <c r="AD1841" t="n">
        <v>-49.83998520041915</v>
      </c>
    </row>
    <row r="1842">
      <c r="A1842" t="n">
        <v>1841</v>
      </c>
      <c r="B1842" t="n">
        <v>76</v>
      </c>
      <c r="C1842" s="21">
        <f>B1842-20</f>
        <v/>
      </c>
      <c r="D1842" t="n">
        <v>119.5</v>
      </c>
      <c r="E1842" s="22">
        <f>D1842-90</f>
        <v/>
      </c>
      <c r="F1842" s="23" t="n">
        <v>0.021723</v>
      </c>
      <c r="G1842" s="22" t="n">
        <v>31</v>
      </c>
      <c r="H1842" s="22" t="n">
        <v>1.9</v>
      </c>
      <c r="I1842" s="24" t="n">
        <v>0.109309799969196</v>
      </c>
      <c r="J1842" s="6" t="n">
        <v>71000</v>
      </c>
      <c r="K1842" s="25">
        <f>23*10^-6</f>
        <v/>
      </c>
      <c r="L1842" s="8">
        <f>H1842</f>
        <v/>
      </c>
      <c r="M1842" s="26">
        <f>H1842^2/6</f>
        <v/>
      </c>
      <c r="N1842" s="26">
        <f>H1842^3/12</f>
        <v/>
      </c>
      <c r="O1842" s="27">
        <f>-J1842*L1842*K1842*C1842</f>
        <v/>
      </c>
      <c r="P1842" s="28">
        <f>-(12*F1842*J1842*L1842*N1842+12*O1842*N1842*G1842*COS(RADIANS(E1842)))/(12*N1842*G1842*COS(RADIANS(E1842))^2+L1842*G1842^3*SIN(RADIANS(E1842))^2)</f>
        <v/>
      </c>
      <c r="Q1842" s="28">
        <f>-(6*F1842*J1842*L1842*N1842*SIN(RADIANS(E1842))+6*O1842*N1842*G1842*SIN(RADIANS(E1842))*COS(RADIANS(E1842)))/(12*N1842*COS(RADIANS(E1842))^2+L1842*G1842^2*SIN(RADIANS(E1842))^2)</f>
        <v/>
      </c>
      <c r="R1842" s="28">
        <f>-P1842*SIN(RADIANS(E1842))</f>
        <v/>
      </c>
      <c r="S1842" s="8">
        <f>(O1842+P1842*COS(RADIANS(E1842)))/L1842</f>
        <v/>
      </c>
      <c r="T1842" s="8">
        <f>R1842/L1842</f>
        <v/>
      </c>
      <c r="U1842" s="8">
        <f>(Q1842-P1842*G1842*SIN(RADIANS(E1842)))/M1842</f>
        <v/>
      </c>
      <c r="V1842" s="8">
        <f>SQRT((S1842+U1842)^2+3*T1842^2)</f>
        <v/>
      </c>
      <c r="W1842" s="8">
        <f>V1842/AA1842</f>
        <v/>
      </c>
      <c r="X1842" s="27">
        <f>((3*10+H1842/COS(RADIANS(E1842)))*(3+3)+3*G1842*H1842)*2</f>
        <v/>
      </c>
      <c r="Y1842" s="28">
        <f>Z1842/X1842</f>
        <v/>
      </c>
      <c r="Z1842" s="29" t="n">
        <v>744.598813900661</v>
      </c>
      <c r="AA1842" s="20" t="n">
        <v>91.2579773311074</v>
      </c>
      <c r="AB1842" t="n">
        <v>0.1167890379941335</v>
      </c>
      <c r="AC1842" t="n">
        <v>84.39387972053549</v>
      </c>
      <c r="AD1842" t="n">
        <v>6.842239238426203</v>
      </c>
    </row>
    <row r="1843">
      <c r="A1843" t="n">
        <v>1842</v>
      </c>
      <c r="B1843" t="n">
        <v>72.40000000000001</v>
      </c>
      <c r="C1843" s="21">
        <f>B1843-20</f>
        <v/>
      </c>
      <c r="D1843" t="n">
        <v>110.7</v>
      </c>
      <c r="E1843" s="22">
        <f>D1843-90</f>
        <v/>
      </c>
      <c r="F1843" s="23" t="n">
        <v>0.018767</v>
      </c>
      <c r="G1843" s="22" t="n">
        <v>28.5</v>
      </c>
      <c r="H1843" s="22" t="n">
        <v>1.2</v>
      </c>
      <c r="I1843" s="24" t="n">
        <v>0.09266041964292521</v>
      </c>
      <c r="J1843" s="6" t="n">
        <v>71000</v>
      </c>
      <c r="K1843" s="25">
        <f>23*10^-6</f>
        <v/>
      </c>
      <c r="L1843" s="8">
        <f>H1843</f>
        <v/>
      </c>
      <c r="M1843" s="26">
        <f>H1843^2/6</f>
        <v/>
      </c>
      <c r="N1843" s="26">
        <f>H1843^3/12</f>
        <v/>
      </c>
      <c r="O1843" s="27">
        <f>-J1843*L1843*K1843*C1843</f>
        <v/>
      </c>
      <c r="P1843" s="28">
        <f>-(12*F1843*J1843*L1843*N1843+12*O1843*N1843*G1843*COS(RADIANS(E1843)))/(12*N1843*G1843*COS(RADIANS(E1843))^2+L1843*G1843^3*SIN(RADIANS(E1843))^2)</f>
        <v/>
      </c>
      <c r="Q1843" s="28">
        <f>-(6*F1843*J1843*L1843*N1843*SIN(RADIANS(E1843))+6*O1843*N1843*G1843*SIN(RADIANS(E1843))*COS(RADIANS(E1843)))/(12*N1843*COS(RADIANS(E1843))^2+L1843*G1843^2*SIN(RADIANS(E1843))^2)</f>
        <v/>
      </c>
      <c r="R1843" s="28">
        <f>-P1843*SIN(RADIANS(E1843))</f>
        <v/>
      </c>
      <c r="S1843" s="8">
        <f>(O1843+P1843*COS(RADIANS(E1843)))/L1843</f>
        <v/>
      </c>
      <c r="T1843" s="8">
        <f>R1843/L1843</f>
        <v/>
      </c>
      <c r="U1843" s="8">
        <f>(Q1843-P1843*G1843*SIN(RADIANS(E1843)))/M1843</f>
        <v/>
      </c>
      <c r="V1843" s="8">
        <f>SQRT((S1843+U1843)^2+3*T1843^2)</f>
        <v/>
      </c>
      <c r="W1843" s="8">
        <f>V1843/AA1843</f>
        <v/>
      </c>
      <c r="X1843" s="27">
        <f>((3*10+H1843/COS(RADIANS(E1843)))*(3+3)+3*G1843*H1843)*2</f>
        <v/>
      </c>
      <c r="Y1843" s="28">
        <f>Z1843/X1843</f>
        <v/>
      </c>
      <c r="Z1843" s="29" t="n">
        <v>587.692730499097</v>
      </c>
      <c r="AA1843" s="20" t="n">
        <v>74.00249019548519</v>
      </c>
      <c r="AB1843" t="n">
        <v>0.1468889928526399</v>
      </c>
      <c r="AC1843" t="n">
        <v>79.16877291387915</v>
      </c>
      <c r="AD1843" t="n">
        <v>58.52398836384416</v>
      </c>
    </row>
    <row r="1844">
      <c r="A1844" t="n">
        <v>1843</v>
      </c>
      <c r="B1844" t="n">
        <v>56.4</v>
      </c>
      <c r="C1844" s="21">
        <f>B1844-20</f>
        <v/>
      </c>
      <c r="D1844" t="n">
        <v>114.7</v>
      </c>
      <c r="E1844" s="22">
        <f>D1844-90</f>
        <v/>
      </c>
      <c r="F1844" s="23" t="n">
        <v>0.012147</v>
      </c>
      <c r="G1844" s="22" t="n">
        <v>26.9</v>
      </c>
      <c r="H1844" s="22" t="n">
        <v>1.5</v>
      </c>
      <c r="I1844" s="24" t="n">
        <v>0.0574397295713424</v>
      </c>
      <c r="J1844" s="6" t="n">
        <v>71000</v>
      </c>
      <c r="K1844" s="25">
        <f>23*10^-6</f>
        <v/>
      </c>
      <c r="L1844" s="8">
        <f>H1844</f>
        <v/>
      </c>
      <c r="M1844" s="26">
        <f>H1844^2/6</f>
        <v/>
      </c>
      <c r="N1844" s="26">
        <f>H1844^3/12</f>
        <v/>
      </c>
      <c r="O1844" s="27">
        <f>-J1844*L1844*K1844*C1844</f>
        <v/>
      </c>
      <c r="P1844" s="28">
        <f>-(12*F1844*J1844*L1844*N1844+12*O1844*N1844*G1844*COS(RADIANS(E1844)))/(12*N1844*G1844*COS(RADIANS(E1844))^2+L1844*G1844^3*SIN(RADIANS(E1844))^2)</f>
        <v/>
      </c>
      <c r="Q1844" s="28">
        <f>-(6*F1844*J1844*L1844*N1844*SIN(RADIANS(E1844))+6*O1844*N1844*G1844*SIN(RADIANS(E1844))*COS(RADIANS(E1844)))/(12*N1844*COS(RADIANS(E1844))^2+L1844*G1844^2*SIN(RADIANS(E1844))^2)</f>
        <v/>
      </c>
      <c r="R1844" s="28">
        <f>-P1844*SIN(RADIANS(E1844))</f>
        <v/>
      </c>
      <c r="S1844" s="8">
        <f>(O1844+P1844*COS(RADIANS(E1844)))/L1844</f>
        <v/>
      </c>
      <c r="T1844" s="8">
        <f>R1844/L1844</f>
        <v/>
      </c>
      <c r="U1844" s="8">
        <f>(Q1844-P1844*G1844*SIN(RADIANS(E1844)))/M1844</f>
        <v/>
      </c>
      <c r="V1844" s="8">
        <f>SQRT((S1844+U1844)^2+3*T1844^2)</f>
        <v/>
      </c>
      <c r="W1844" s="8">
        <f>V1844/AA1844</f>
        <v/>
      </c>
      <c r="X1844" s="27">
        <f>((3*10+H1844/COS(RADIANS(E1844)))*(3+3)+3*G1844*H1844)*2</f>
        <v/>
      </c>
      <c r="Y1844" s="28">
        <f>Z1844/X1844</f>
        <v/>
      </c>
      <c r="Z1844" s="29" t="n">
        <v>630.080044500282</v>
      </c>
      <c r="AA1844" s="20" t="n">
        <v>54.7082742161638</v>
      </c>
      <c r="AB1844" t="n">
        <v>0.08009333496802377</v>
      </c>
      <c r="AC1844" t="n">
        <v>55.3247190233042</v>
      </c>
      <c r="AD1844" t="n">
        <v>39.43891373747627</v>
      </c>
    </row>
    <row r="1845">
      <c r="A1845" t="n">
        <v>1844</v>
      </c>
      <c r="B1845" t="n">
        <v>48.1</v>
      </c>
      <c r="C1845" s="21">
        <f>B1845-20</f>
        <v/>
      </c>
      <c r="D1845" t="n">
        <v>116.6</v>
      </c>
      <c r="E1845" s="22">
        <f>D1845-90</f>
        <v/>
      </c>
      <c r="F1845" s="23" t="n">
        <v>0.009852</v>
      </c>
      <c r="G1845" s="22" t="n">
        <v>26</v>
      </c>
      <c r="H1845" s="22" t="n">
        <v>1.3</v>
      </c>
      <c r="I1845" s="24" t="n">
        <v>0.06311874091625209</v>
      </c>
      <c r="J1845" s="6" t="n">
        <v>71000</v>
      </c>
      <c r="K1845" s="25">
        <f>23*10^-6</f>
        <v/>
      </c>
      <c r="L1845" s="8">
        <f>H1845</f>
        <v/>
      </c>
      <c r="M1845" s="26">
        <f>H1845^2/6</f>
        <v/>
      </c>
      <c r="N1845" s="26">
        <f>H1845^3/12</f>
        <v/>
      </c>
      <c r="O1845" s="27">
        <f>-J1845*L1845*K1845*C1845</f>
        <v/>
      </c>
      <c r="P1845" s="28">
        <f>-(12*F1845*J1845*L1845*N1845+12*O1845*N1845*G1845*COS(RADIANS(E1845)))/(12*N1845*G1845*COS(RADIANS(E1845))^2+L1845*G1845^3*SIN(RADIANS(E1845))^2)</f>
        <v/>
      </c>
      <c r="Q1845" s="28">
        <f>-(6*F1845*J1845*L1845*N1845*SIN(RADIANS(E1845))+6*O1845*N1845*G1845*SIN(RADIANS(E1845))*COS(RADIANS(E1845)))/(12*N1845*COS(RADIANS(E1845))^2+L1845*G1845^2*SIN(RADIANS(E1845))^2)</f>
        <v/>
      </c>
      <c r="R1845" s="28">
        <f>-P1845*SIN(RADIANS(E1845))</f>
        <v/>
      </c>
      <c r="S1845" s="8">
        <f>(O1845+P1845*COS(RADIANS(E1845)))/L1845</f>
        <v/>
      </c>
      <c r="T1845" s="8">
        <f>R1845/L1845</f>
        <v/>
      </c>
      <c r="U1845" s="8">
        <f>(Q1845-P1845*G1845*SIN(RADIANS(E1845)))/M1845</f>
        <v/>
      </c>
      <c r="V1845" s="8">
        <f>SQRT((S1845+U1845)^2+3*T1845^2)</f>
        <v/>
      </c>
      <c r="W1845" s="8">
        <f>V1845/AA1845</f>
        <v/>
      </c>
      <c r="X1845" s="27">
        <f>((3*10+H1845/COS(RADIANS(E1845)))*(3+3)+3*G1845*H1845)*2</f>
        <v/>
      </c>
      <c r="Y1845" s="28">
        <f>Z1845/X1845</f>
        <v/>
      </c>
      <c r="Z1845" s="29" t="n">
        <v>583.824615129659</v>
      </c>
      <c r="AA1845" s="20" t="n">
        <v>42.1384466094636</v>
      </c>
      <c r="AB1845" t="n">
        <v>0.05563728355767367</v>
      </c>
      <c r="AC1845" t="n">
        <v>41.81522493536546</v>
      </c>
      <c r="AD1845" t="n">
        <v>-11.85298890626646</v>
      </c>
    </row>
    <row r="1846">
      <c r="A1846" t="n">
        <v>1845</v>
      </c>
      <c r="B1846" t="n">
        <v>86.8</v>
      </c>
      <c r="C1846" s="21">
        <f>B1846-20</f>
        <v/>
      </c>
      <c r="D1846" t="n">
        <v>100.5</v>
      </c>
      <c r="E1846" s="22">
        <f>D1846-90</f>
        <v/>
      </c>
      <c r="F1846" s="23" t="n">
        <v>0.02375</v>
      </c>
      <c r="G1846" s="22" t="n">
        <v>30.9</v>
      </c>
      <c r="H1846" s="22" t="n">
        <v>1.5</v>
      </c>
      <c r="I1846" s="24" t="n">
        <v>0.104011334478855</v>
      </c>
      <c r="J1846" s="6" t="n">
        <v>71000</v>
      </c>
      <c r="K1846" s="25">
        <f>23*10^-6</f>
        <v/>
      </c>
      <c r="L1846" s="8">
        <f>H1846</f>
        <v/>
      </c>
      <c r="M1846" s="26">
        <f>H1846^2/6</f>
        <v/>
      </c>
      <c r="N1846" s="26">
        <f>H1846^3/12</f>
        <v/>
      </c>
      <c r="O1846" s="27">
        <f>-J1846*L1846*K1846*C1846</f>
        <v/>
      </c>
      <c r="P1846" s="28">
        <f>-(12*F1846*J1846*L1846*N1846+12*O1846*N1846*G1846*COS(RADIANS(E1846)))/(12*N1846*G1846*COS(RADIANS(E1846))^2+L1846*G1846^3*SIN(RADIANS(E1846))^2)</f>
        <v/>
      </c>
      <c r="Q1846" s="28">
        <f>-(6*F1846*J1846*L1846*N1846*SIN(RADIANS(E1846))+6*O1846*N1846*G1846*SIN(RADIANS(E1846))*COS(RADIANS(E1846)))/(12*N1846*COS(RADIANS(E1846))^2+L1846*G1846^2*SIN(RADIANS(E1846))^2)</f>
        <v/>
      </c>
      <c r="R1846" s="28">
        <f>-P1846*SIN(RADIANS(E1846))</f>
        <v/>
      </c>
      <c r="S1846" s="8">
        <f>(O1846+P1846*COS(RADIANS(E1846)))/L1846</f>
        <v/>
      </c>
      <c r="T1846" s="8">
        <f>R1846/L1846</f>
        <v/>
      </c>
      <c r="U1846" s="8">
        <f>(Q1846-P1846*G1846*SIN(RADIANS(E1846)))/M1846</f>
        <v/>
      </c>
      <c r="V1846" s="8">
        <f>SQRT((S1846+U1846)^2+3*T1846^2)</f>
        <v/>
      </c>
      <c r="W1846" s="8">
        <f>V1846/AA1846</f>
        <v/>
      </c>
      <c r="X1846" s="27">
        <f>((3*10+H1846/COS(RADIANS(E1846)))*(3+3)+3*G1846*H1846)*2</f>
        <v/>
      </c>
      <c r="Y1846" s="28">
        <f>Z1846/X1846</f>
        <v/>
      </c>
      <c r="Z1846" s="29" t="n">
        <v>669.059292257266</v>
      </c>
      <c r="AA1846" s="20" t="n">
        <v>96.7406725345751</v>
      </c>
      <c r="AB1846" t="n">
        <v>0.3833511073774994</v>
      </c>
      <c r="AC1846" t="n">
        <v>114.1973332431392</v>
      </c>
      <c r="AD1846" t="n">
        <v>268.5666656410729</v>
      </c>
    </row>
    <row r="1847">
      <c r="A1847" t="n">
        <v>1846</v>
      </c>
      <c r="B1847" t="n">
        <v>75.3</v>
      </c>
      <c r="C1847" s="21">
        <f>B1847-20</f>
        <v/>
      </c>
      <c r="D1847" t="n">
        <v>107.5</v>
      </c>
      <c r="E1847" s="22">
        <f>D1847-90</f>
        <v/>
      </c>
      <c r="F1847" s="23" t="n">
        <v>0.019216</v>
      </c>
      <c r="G1847" s="22" t="n">
        <v>28.9</v>
      </c>
      <c r="H1847" s="22" t="n">
        <v>2</v>
      </c>
      <c r="I1847" s="24" t="n">
        <v>0.08774784952402109</v>
      </c>
      <c r="J1847" s="6" t="n">
        <v>71000</v>
      </c>
      <c r="K1847" s="25">
        <f>23*10^-6</f>
        <v/>
      </c>
      <c r="L1847" s="8">
        <f>H1847</f>
        <v/>
      </c>
      <c r="M1847" s="26">
        <f>H1847^2/6</f>
        <v/>
      </c>
      <c r="N1847" s="26">
        <f>H1847^3/12</f>
        <v/>
      </c>
      <c r="O1847" s="27">
        <f>-J1847*L1847*K1847*C1847</f>
        <v/>
      </c>
      <c r="P1847" s="28">
        <f>-(12*F1847*J1847*L1847*N1847+12*O1847*N1847*G1847*COS(RADIANS(E1847)))/(12*N1847*G1847*COS(RADIANS(E1847))^2+L1847*G1847^3*SIN(RADIANS(E1847))^2)</f>
        <v/>
      </c>
      <c r="Q1847" s="28">
        <f>-(6*F1847*J1847*L1847*N1847*SIN(RADIANS(E1847))+6*O1847*N1847*G1847*SIN(RADIANS(E1847))*COS(RADIANS(E1847)))/(12*N1847*COS(RADIANS(E1847))^2+L1847*G1847^2*SIN(RADIANS(E1847))^2)</f>
        <v/>
      </c>
      <c r="R1847" s="28">
        <f>-P1847*SIN(RADIANS(E1847))</f>
        <v/>
      </c>
      <c r="S1847" s="8">
        <f>(O1847+P1847*COS(RADIANS(E1847)))/L1847</f>
        <v/>
      </c>
      <c r="T1847" s="8">
        <f>R1847/L1847</f>
        <v/>
      </c>
      <c r="U1847" s="8">
        <f>(Q1847-P1847*G1847*SIN(RADIANS(E1847)))/M1847</f>
        <v/>
      </c>
      <c r="V1847" s="8">
        <f>SQRT((S1847+U1847)^2+3*T1847^2)</f>
        <v/>
      </c>
      <c r="W1847" s="8">
        <f>V1847/AA1847</f>
        <v/>
      </c>
      <c r="X1847" s="27">
        <f>((3*10+H1847/COS(RADIANS(E1847)))*(3+3)+3*G1847*H1847)*2</f>
        <v/>
      </c>
      <c r="Y1847" s="28">
        <f>Z1847/X1847</f>
        <v/>
      </c>
      <c r="Z1847" s="29" t="n">
        <v>742.896075237218</v>
      </c>
      <c r="AA1847" s="20" t="n">
        <v>89.72400118004219</v>
      </c>
      <c r="AB1847" t="n">
        <v>0.1803357003619779</v>
      </c>
      <c r="AC1847" t="n">
        <v>91.4222722938274</v>
      </c>
      <c r="AD1847" t="n">
        <v>105.5158061880603</v>
      </c>
    </row>
    <row r="1848">
      <c r="A1848" t="n">
        <v>1847</v>
      </c>
      <c r="B1848" t="n">
        <v>82.8</v>
      </c>
      <c r="C1848" s="21">
        <f>B1848-20</f>
        <v/>
      </c>
      <c r="D1848" t="n">
        <v>101.1</v>
      </c>
      <c r="E1848" s="22">
        <f>D1848-90</f>
        <v/>
      </c>
      <c r="F1848" s="23" t="n">
        <v>0.018502</v>
      </c>
      <c r="G1848" s="22" t="n">
        <v>22.8</v>
      </c>
      <c r="H1848" s="22" t="n">
        <v>1.8</v>
      </c>
      <c r="I1848" s="24" t="n">
        <v>0.0903898179531097</v>
      </c>
      <c r="J1848" s="6" t="n">
        <v>71000</v>
      </c>
      <c r="K1848" s="25">
        <f>23*10^-6</f>
        <v/>
      </c>
      <c r="L1848" s="8">
        <f>H1848</f>
        <v/>
      </c>
      <c r="M1848" s="26">
        <f>H1848^2/6</f>
        <v/>
      </c>
      <c r="N1848" s="26">
        <f>H1848^3/12</f>
        <v/>
      </c>
      <c r="O1848" s="27">
        <f>-J1848*L1848*K1848*C1848</f>
        <v/>
      </c>
      <c r="P1848" s="28">
        <f>-(12*F1848*J1848*L1848*N1848+12*O1848*N1848*G1848*COS(RADIANS(E1848)))/(12*N1848*G1848*COS(RADIANS(E1848))^2+L1848*G1848^3*SIN(RADIANS(E1848))^2)</f>
        <v/>
      </c>
      <c r="Q1848" s="28">
        <f>-(6*F1848*J1848*L1848*N1848*SIN(RADIANS(E1848))+6*O1848*N1848*G1848*SIN(RADIANS(E1848))*COS(RADIANS(E1848)))/(12*N1848*COS(RADIANS(E1848))^2+L1848*G1848^2*SIN(RADIANS(E1848))^2)</f>
        <v/>
      </c>
      <c r="R1848" s="28">
        <f>-P1848*SIN(RADIANS(E1848))</f>
        <v/>
      </c>
      <c r="S1848" s="8">
        <f>(O1848+P1848*COS(RADIANS(E1848)))/L1848</f>
        <v/>
      </c>
      <c r="T1848" s="8">
        <f>R1848/L1848</f>
        <v/>
      </c>
      <c r="U1848" s="8">
        <f>(Q1848-P1848*G1848*SIN(RADIANS(E1848)))/M1848</f>
        <v/>
      </c>
      <c r="V1848" s="8">
        <f>SQRT((S1848+U1848)^2+3*T1848^2)</f>
        <v/>
      </c>
      <c r="W1848" s="8">
        <f>V1848/AA1848</f>
        <v/>
      </c>
      <c r="X1848" s="27">
        <f>((3*10+H1848/COS(RADIANS(E1848)))*(3+3)+3*G1848*H1848)*2</f>
        <v/>
      </c>
      <c r="Y1848" s="28">
        <f>Z1848/X1848</f>
        <v/>
      </c>
      <c r="Z1848" s="29" t="n">
        <v>638.066002081905</v>
      </c>
      <c r="AA1848" s="20" t="n">
        <v>102.468795548417</v>
      </c>
      <c r="AB1848" t="n">
        <v>0.2357718940761783</v>
      </c>
      <c r="AC1848" t="n">
        <v>112.5414759860812</v>
      </c>
      <c r="AD1848" t="n">
        <v>160.8389964879524</v>
      </c>
    </row>
    <row r="1849">
      <c r="A1849" t="n">
        <v>1848</v>
      </c>
      <c r="B1849" t="n">
        <v>89.8</v>
      </c>
      <c r="C1849" s="21">
        <f>B1849-20</f>
        <v/>
      </c>
      <c r="D1849" t="n">
        <v>129.9</v>
      </c>
      <c r="E1849" s="22">
        <f>D1849-90</f>
        <v/>
      </c>
      <c r="F1849" s="23" t="n">
        <v>0.022862</v>
      </c>
      <c r="G1849" s="22" t="n">
        <v>24.3</v>
      </c>
      <c r="H1849" s="22" t="n">
        <v>1.9</v>
      </c>
      <c r="I1849" s="24" t="n">
        <v>0.132381752133369</v>
      </c>
      <c r="J1849" s="6" t="n">
        <v>71000</v>
      </c>
      <c r="K1849" s="25">
        <f>23*10^-6</f>
        <v/>
      </c>
      <c r="L1849" s="8">
        <f>H1849</f>
        <v/>
      </c>
      <c r="M1849" s="26">
        <f>H1849^2/6</f>
        <v/>
      </c>
      <c r="N1849" s="26">
        <f>H1849^3/12</f>
        <v/>
      </c>
      <c r="O1849" s="27">
        <f>-J1849*L1849*K1849*C1849</f>
        <v/>
      </c>
      <c r="P1849" s="28">
        <f>-(12*F1849*J1849*L1849*N1849+12*O1849*N1849*G1849*COS(RADIANS(E1849)))/(12*N1849*G1849*COS(RADIANS(E1849))^2+L1849*G1849^3*SIN(RADIANS(E1849))^2)</f>
        <v/>
      </c>
      <c r="Q1849" s="28">
        <f>-(6*F1849*J1849*L1849*N1849*SIN(RADIANS(E1849))+6*O1849*N1849*G1849*SIN(RADIANS(E1849))*COS(RADIANS(E1849)))/(12*N1849*COS(RADIANS(E1849))^2+L1849*G1849^2*SIN(RADIANS(E1849))^2)</f>
        <v/>
      </c>
      <c r="R1849" s="28">
        <f>-P1849*SIN(RADIANS(E1849))</f>
        <v/>
      </c>
      <c r="S1849" s="8">
        <f>(O1849+P1849*COS(RADIANS(E1849)))/L1849</f>
        <v/>
      </c>
      <c r="T1849" s="8">
        <f>R1849/L1849</f>
        <v/>
      </c>
      <c r="U1849" s="8">
        <f>(Q1849-P1849*G1849*SIN(RADIANS(E1849)))/M1849</f>
        <v/>
      </c>
      <c r="V1849" s="8">
        <f>SQRT((S1849+U1849)^2+3*T1849^2)</f>
        <v/>
      </c>
      <c r="W1849" s="8">
        <f>V1849/AA1849</f>
        <v/>
      </c>
      <c r="X1849" s="27">
        <f>((3*10+H1849/COS(RADIANS(E1849)))*(3+3)+3*G1849*H1849)*2</f>
        <v/>
      </c>
      <c r="Y1849" s="28">
        <f>Z1849/X1849</f>
        <v/>
      </c>
      <c r="Z1849" s="29" t="n">
        <v>666.48334624479</v>
      </c>
      <c r="AA1849" s="20" t="n">
        <v>118.735048838638</v>
      </c>
      <c r="AB1849" t="n">
        <v>0.08339580235417103</v>
      </c>
      <c r="AC1849" t="n">
        <v>102.4607716833498</v>
      </c>
      <c r="AD1849" t="n">
        <v>-37.00355146368414</v>
      </c>
    </row>
    <row r="1850">
      <c r="A1850" t="n">
        <v>1849</v>
      </c>
      <c r="B1850" t="n">
        <v>40.8</v>
      </c>
      <c r="C1850" s="21">
        <f>B1850-20</f>
        <v/>
      </c>
      <c r="D1850" t="n">
        <v>112.3</v>
      </c>
      <c r="E1850" s="22">
        <f>D1850-90</f>
        <v/>
      </c>
      <c r="F1850" s="23" t="n">
        <v>0.006873</v>
      </c>
      <c r="G1850" s="22" t="n">
        <v>25.3</v>
      </c>
      <c r="H1850" s="22" t="n">
        <v>2</v>
      </c>
      <c r="I1850" s="24" t="n">
        <v>0.0359067432582378</v>
      </c>
      <c r="J1850" s="6" t="n">
        <v>71000</v>
      </c>
      <c r="K1850" s="25">
        <f>23*10^-6</f>
        <v/>
      </c>
      <c r="L1850" s="8">
        <f>H1850</f>
        <v/>
      </c>
      <c r="M1850" s="26">
        <f>H1850^2/6</f>
        <v/>
      </c>
      <c r="N1850" s="26">
        <f>H1850^3/12</f>
        <v/>
      </c>
      <c r="O1850" s="27">
        <f>-J1850*L1850*K1850*C1850</f>
        <v/>
      </c>
      <c r="P1850" s="28">
        <f>-(12*F1850*J1850*L1850*N1850+12*O1850*N1850*G1850*COS(RADIANS(E1850)))/(12*N1850*G1850*COS(RADIANS(E1850))^2+L1850*G1850^3*SIN(RADIANS(E1850))^2)</f>
        <v/>
      </c>
      <c r="Q1850" s="28">
        <f>-(6*F1850*J1850*L1850*N1850*SIN(RADIANS(E1850))+6*O1850*N1850*G1850*SIN(RADIANS(E1850))*COS(RADIANS(E1850)))/(12*N1850*COS(RADIANS(E1850))^2+L1850*G1850^2*SIN(RADIANS(E1850))^2)</f>
        <v/>
      </c>
      <c r="R1850" s="28">
        <f>-P1850*SIN(RADIANS(E1850))</f>
        <v/>
      </c>
      <c r="S1850" s="8">
        <f>(O1850+P1850*COS(RADIANS(E1850)))/L1850</f>
        <v/>
      </c>
      <c r="T1850" s="8">
        <f>R1850/L1850</f>
        <v/>
      </c>
      <c r="U1850" s="8">
        <f>(Q1850-P1850*G1850*SIN(RADIANS(E1850)))/M1850</f>
        <v/>
      </c>
      <c r="V1850" s="8">
        <f>SQRT((S1850+U1850)^2+3*T1850^2)</f>
        <v/>
      </c>
      <c r="W1850" s="8">
        <f>V1850/AA1850</f>
        <v/>
      </c>
      <c r="X1850" s="27">
        <f>((3*10+H1850/COS(RADIANS(E1850)))*(3+3)+3*G1850*H1850)*2</f>
        <v/>
      </c>
      <c r="Y1850" s="28">
        <f>Z1850/X1850</f>
        <v/>
      </c>
      <c r="Z1850" s="29" t="n">
        <v>695.86749614364</v>
      </c>
      <c r="AA1850" s="20" t="n">
        <v>35.6669715663893</v>
      </c>
      <c r="AB1850" t="n">
        <v>0.04704533170216235</v>
      </c>
      <c r="AC1850" t="n">
        <v>33.43709804220741</v>
      </c>
      <c r="AD1850" t="n">
        <v>31.02088196586617</v>
      </c>
    </row>
    <row r="1851">
      <c r="A1851" t="n">
        <v>1850</v>
      </c>
      <c r="B1851" t="n">
        <v>50.6</v>
      </c>
      <c r="C1851" s="21">
        <f>B1851-20</f>
        <v/>
      </c>
      <c r="D1851" t="n">
        <v>120.8</v>
      </c>
      <c r="E1851" s="22">
        <f>D1851-90</f>
        <v/>
      </c>
      <c r="F1851" s="23" t="n">
        <v>0.011825</v>
      </c>
      <c r="G1851" s="22" t="n">
        <v>31.2</v>
      </c>
      <c r="H1851" s="22" t="n">
        <v>1.9</v>
      </c>
      <c r="I1851" s="24" t="n">
        <v>0.0579424723982811</v>
      </c>
      <c r="J1851" s="6" t="n">
        <v>71000</v>
      </c>
      <c r="K1851" s="25">
        <f>23*10^-6</f>
        <v/>
      </c>
      <c r="L1851" s="8">
        <f>H1851</f>
        <v/>
      </c>
      <c r="M1851" s="26">
        <f>H1851^2/6</f>
        <v/>
      </c>
      <c r="N1851" s="26">
        <f>H1851^3/12</f>
        <v/>
      </c>
      <c r="O1851" s="27">
        <f>-J1851*L1851*K1851*C1851</f>
        <v/>
      </c>
      <c r="P1851" s="28">
        <f>-(12*F1851*J1851*L1851*N1851+12*O1851*N1851*G1851*COS(RADIANS(E1851)))/(12*N1851*G1851*COS(RADIANS(E1851))^2+L1851*G1851^3*SIN(RADIANS(E1851))^2)</f>
        <v/>
      </c>
      <c r="Q1851" s="28">
        <f>-(6*F1851*J1851*L1851*N1851*SIN(RADIANS(E1851))+6*O1851*N1851*G1851*SIN(RADIANS(E1851))*COS(RADIANS(E1851)))/(12*N1851*COS(RADIANS(E1851))^2+L1851*G1851^2*SIN(RADIANS(E1851))^2)</f>
        <v/>
      </c>
      <c r="R1851" s="28">
        <f>-P1851*SIN(RADIANS(E1851))</f>
        <v/>
      </c>
      <c r="S1851" s="8">
        <f>(O1851+P1851*COS(RADIANS(E1851)))/L1851</f>
        <v/>
      </c>
      <c r="T1851" s="8">
        <f>R1851/L1851</f>
        <v/>
      </c>
      <c r="U1851" s="8">
        <f>(Q1851-P1851*G1851*SIN(RADIANS(E1851)))/M1851</f>
        <v/>
      </c>
      <c r="V1851" s="8">
        <f>SQRT((S1851+U1851)^2+3*T1851^2)</f>
        <v/>
      </c>
      <c r="W1851" s="8">
        <f>V1851/AA1851</f>
        <v/>
      </c>
      <c r="X1851" s="27">
        <f>((3*10+H1851/COS(RADIANS(E1851)))*(3+3)+3*G1851*H1851)*2</f>
        <v/>
      </c>
      <c r="Y1851" s="28">
        <f>Z1851/X1851</f>
        <v/>
      </c>
      <c r="Z1851" s="29" t="n">
        <v>747.453592751946</v>
      </c>
      <c r="AA1851" s="20" t="n">
        <v>49.3894342871455</v>
      </c>
      <c r="AB1851" t="n">
        <v>0.06136641548480124</v>
      </c>
      <c r="AC1851" t="n">
        <v>45.83655789476661</v>
      </c>
      <c r="AD1851" t="n">
        <v>5.909211231072214</v>
      </c>
    </row>
    <row r="1852">
      <c r="A1852" t="n">
        <v>1851</v>
      </c>
      <c r="B1852" t="n">
        <v>59.6</v>
      </c>
      <c r="C1852" s="21">
        <f>B1852-20</f>
        <v/>
      </c>
      <c r="D1852" t="n">
        <v>109.4</v>
      </c>
      <c r="E1852" s="22">
        <f>D1852-90</f>
        <v/>
      </c>
      <c r="F1852" s="23" t="n">
        <v>0.016469</v>
      </c>
      <c r="G1852" s="22" t="n">
        <v>31</v>
      </c>
      <c r="H1852" s="22" t="n">
        <v>2</v>
      </c>
      <c r="I1852" s="24" t="n">
        <v>0.145350813865661</v>
      </c>
      <c r="J1852" s="6" t="n">
        <v>71000</v>
      </c>
      <c r="K1852" s="25">
        <f>23*10^-6</f>
        <v/>
      </c>
      <c r="L1852" s="8">
        <f>H1852</f>
        <v/>
      </c>
      <c r="M1852" s="26">
        <f>H1852^2/6</f>
        <v/>
      </c>
      <c r="N1852" s="26">
        <f>H1852^3/12</f>
        <v/>
      </c>
      <c r="O1852" s="27">
        <f>-J1852*L1852*K1852*C1852</f>
        <v/>
      </c>
      <c r="P1852" s="28">
        <f>-(12*F1852*J1852*L1852*N1852+12*O1852*N1852*G1852*COS(RADIANS(E1852)))/(12*N1852*G1852*COS(RADIANS(E1852))^2+L1852*G1852^3*SIN(RADIANS(E1852))^2)</f>
        <v/>
      </c>
      <c r="Q1852" s="28">
        <f>-(6*F1852*J1852*L1852*N1852*SIN(RADIANS(E1852))+6*O1852*N1852*G1852*SIN(RADIANS(E1852))*COS(RADIANS(E1852)))/(12*N1852*COS(RADIANS(E1852))^2+L1852*G1852^2*SIN(RADIANS(E1852))^2)</f>
        <v/>
      </c>
      <c r="R1852" s="28">
        <f>-P1852*SIN(RADIANS(E1852))</f>
        <v/>
      </c>
      <c r="S1852" s="8">
        <f>(O1852+P1852*COS(RADIANS(E1852)))/L1852</f>
        <v/>
      </c>
      <c r="T1852" s="8">
        <f>R1852/L1852</f>
        <v/>
      </c>
      <c r="U1852" s="8">
        <f>(Q1852-P1852*G1852*SIN(RADIANS(E1852)))/M1852</f>
        <v/>
      </c>
      <c r="V1852" s="8">
        <f>SQRT((S1852+U1852)^2+3*T1852^2)</f>
        <v/>
      </c>
      <c r="W1852" s="8">
        <f>V1852/AA1852</f>
        <v/>
      </c>
      <c r="X1852" s="27">
        <f>((3*10+H1852/COS(RADIANS(E1852)))*(3+3)+3*G1852*H1852)*2</f>
        <v/>
      </c>
      <c r="Y1852" s="28">
        <f>Z1852/X1852</f>
        <v/>
      </c>
      <c r="Z1852" s="29" t="n">
        <v>760.251082144582</v>
      </c>
      <c r="AA1852" s="20" t="n">
        <v>73.6798022473499</v>
      </c>
      <c r="AB1852" t="n">
        <v>0.1257692378404164</v>
      </c>
      <c r="AC1852" t="n">
        <v>63.88150033704888</v>
      </c>
      <c r="AD1852" t="n">
        <v>-13.47194109510986</v>
      </c>
    </row>
    <row r="1853">
      <c r="A1853" t="n">
        <v>1852</v>
      </c>
      <c r="B1853" t="n">
        <v>65.8</v>
      </c>
      <c r="C1853" s="21">
        <f>B1853-20</f>
        <v/>
      </c>
      <c r="D1853" t="n">
        <v>127.6</v>
      </c>
      <c r="E1853" s="22">
        <f>D1853-90</f>
        <v/>
      </c>
      <c r="F1853" s="23" t="n">
        <v>0.017723</v>
      </c>
      <c r="G1853" s="22" t="n">
        <v>29.3</v>
      </c>
      <c r="H1853" s="22" t="n">
        <v>1</v>
      </c>
      <c r="I1853" s="24" t="n">
        <v>0.113928586244583</v>
      </c>
      <c r="J1853" s="6" t="n">
        <v>71000</v>
      </c>
      <c r="K1853" s="25">
        <f>23*10^-6</f>
        <v/>
      </c>
      <c r="L1853" s="8">
        <f>H1853</f>
        <v/>
      </c>
      <c r="M1853" s="26">
        <f>H1853^2/6</f>
        <v/>
      </c>
      <c r="N1853" s="26">
        <f>H1853^3/12</f>
        <v/>
      </c>
      <c r="O1853" s="27">
        <f>-J1853*L1853*K1853*C1853</f>
        <v/>
      </c>
      <c r="P1853" s="28">
        <f>-(12*F1853*J1853*L1853*N1853+12*O1853*N1853*G1853*COS(RADIANS(E1853)))/(12*N1853*G1853*COS(RADIANS(E1853))^2+L1853*G1853^3*SIN(RADIANS(E1853))^2)</f>
        <v/>
      </c>
      <c r="Q1853" s="28">
        <f>-(6*F1853*J1853*L1853*N1853*SIN(RADIANS(E1853))+6*O1853*N1853*G1853*SIN(RADIANS(E1853))*COS(RADIANS(E1853)))/(12*N1853*COS(RADIANS(E1853))^2+L1853*G1853^2*SIN(RADIANS(E1853))^2)</f>
        <v/>
      </c>
      <c r="R1853" s="28">
        <f>-P1853*SIN(RADIANS(E1853))</f>
        <v/>
      </c>
      <c r="S1853" s="8">
        <f>(O1853+P1853*COS(RADIANS(E1853)))/L1853</f>
        <v/>
      </c>
      <c r="T1853" s="8">
        <f>R1853/L1853</f>
        <v/>
      </c>
      <c r="U1853" s="8">
        <f>(Q1853-P1853*G1853*SIN(RADIANS(E1853)))/M1853</f>
        <v/>
      </c>
      <c r="V1853" s="8">
        <f>SQRT((S1853+U1853)^2+3*T1853^2)</f>
        <v/>
      </c>
      <c r="W1853" s="8">
        <f>V1853/AA1853</f>
        <v/>
      </c>
      <c r="X1853" s="27">
        <f>((3*10+H1853/COS(RADIANS(E1853)))*(3+3)+3*G1853*H1853)*2</f>
        <v/>
      </c>
      <c r="Y1853" s="28">
        <f>Z1853/X1853</f>
        <v/>
      </c>
      <c r="Z1853" s="29" t="n">
        <v>552.98067789071</v>
      </c>
      <c r="AA1853" s="20" t="n">
        <v>64.12026336421449</v>
      </c>
      <c r="AB1853" t="n">
        <v>0.07023144588621867</v>
      </c>
      <c r="AC1853" t="n">
        <v>64.54071386860464</v>
      </c>
      <c r="AD1853" t="n">
        <v>-38.35485175296996</v>
      </c>
    </row>
    <row r="1854">
      <c r="A1854" t="n">
        <v>1853</v>
      </c>
      <c r="B1854" t="n">
        <v>69</v>
      </c>
      <c r="C1854" s="21">
        <f>B1854-20</f>
        <v/>
      </c>
      <c r="D1854" t="n">
        <v>130</v>
      </c>
      <c r="E1854" s="22">
        <f>D1854-90</f>
        <v/>
      </c>
      <c r="F1854" s="23" t="n">
        <v>0.015192</v>
      </c>
      <c r="G1854" s="22" t="n">
        <v>21.6</v>
      </c>
      <c r="H1854" s="22" t="n">
        <v>1.5</v>
      </c>
      <c r="I1854" s="24" t="n">
        <v>0.132375419139862</v>
      </c>
      <c r="J1854" s="6" t="n">
        <v>71000</v>
      </c>
      <c r="K1854" s="25">
        <f>23*10^-6</f>
        <v/>
      </c>
      <c r="L1854" s="8">
        <f>H1854</f>
        <v/>
      </c>
      <c r="M1854" s="26">
        <f>H1854^2/6</f>
        <v/>
      </c>
      <c r="N1854" s="26">
        <f>H1854^3/12</f>
        <v/>
      </c>
      <c r="O1854" s="27">
        <f>-J1854*L1854*K1854*C1854</f>
        <v/>
      </c>
      <c r="P1854" s="28">
        <f>-(12*F1854*J1854*L1854*N1854+12*O1854*N1854*G1854*COS(RADIANS(E1854)))/(12*N1854*G1854*COS(RADIANS(E1854))^2+L1854*G1854^3*SIN(RADIANS(E1854))^2)</f>
        <v/>
      </c>
      <c r="Q1854" s="28">
        <f>-(6*F1854*J1854*L1854*N1854*SIN(RADIANS(E1854))+6*O1854*N1854*G1854*SIN(RADIANS(E1854))*COS(RADIANS(E1854)))/(12*N1854*COS(RADIANS(E1854))^2+L1854*G1854^2*SIN(RADIANS(E1854))^2)</f>
        <v/>
      </c>
      <c r="R1854" s="28">
        <f>-P1854*SIN(RADIANS(E1854))</f>
        <v/>
      </c>
      <c r="S1854" s="8">
        <f>(O1854+P1854*COS(RADIANS(E1854)))/L1854</f>
        <v/>
      </c>
      <c r="T1854" s="8">
        <f>R1854/L1854</f>
        <v/>
      </c>
      <c r="U1854" s="8">
        <f>(Q1854-P1854*G1854*SIN(RADIANS(E1854)))/M1854</f>
        <v/>
      </c>
      <c r="V1854" s="8">
        <f>SQRT((S1854+U1854)^2+3*T1854^2)</f>
        <v/>
      </c>
      <c r="W1854" s="8">
        <f>V1854/AA1854</f>
        <v/>
      </c>
      <c r="X1854" s="27">
        <f>((3*10+H1854/COS(RADIANS(E1854)))*(3+3)+3*G1854*H1854)*2</f>
        <v/>
      </c>
      <c r="Y1854" s="28">
        <f>Z1854/X1854</f>
        <v/>
      </c>
      <c r="Z1854" s="29" t="n">
        <v>576.634316215529</v>
      </c>
      <c r="AA1854" s="20" t="n">
        <v>97.8998503299575</v>
      </c>
      <c r="AB1854" t="n">
        <v>0.05244922096302973</v>
      </c>
      <c r="AC1854" t="n">
        <v>70.9361212588074</v>
      </c>
      <c r="AD1854" t="n">
        <v>-60.37842878698333</v>
      </c>
    </row>
    <row r="1855">
      <c r="A1855" t="n">
        <v>1854</v>
      </c>
      <c r="B1855" t="n">
        <v>81.09999999999999</v>
      </c>
      <c r="C1855" s="21">
        <f>B1855-20</f>
        <v/>
      </c>
      <c r="D1855" t="n">
        <v>116.2</v>
      </c>
      <c r="E1855" s="22">
        <f>D1855-90</f>
        <v/>
      </c>
      <c r="F1855" s="23" t="n">
        <v>0.016844</v>
      </c>
      <c r="G1855" s="22" t="n">
        <v>23.7</v>
      </c>
      <c r="H1855" s="22" t="n">
        <v>1.2</v>
      </c>
      <c r="I1855" s="24" t="n">
        <v>0.0747497677803039</v>
      </c>
      <c r="J1855" s="6" t="n">
        <v>71000</v>
      </c>
      <c r="K1855" s="25">
        <f>23*10^-6</f>
        <v/>
      </c>
      <c r="L1855" s="8">
        <f>H1855</f>
        <v/>
      </c>
      <c r="M1855" s="26">
        <f>H1855^2/6</f>
        <v/>
      </c>
      <c r="N1855" s="26">
        <f>H1855^3/12</f>
        <v/>
      </c>
      <c r="O1855" s="27">
        <f>-J1855*L1855*K1855*C1855</f>
        <v/>
      </c>
      <c r="P1855" s="28">
        <f>-(12*F1855*J1855*L1855*N1855+12*O1855*N1855*G1855*COS(RADIANS(E1855)))/(12*N1855*G1855*COS(RADIANS(E1855))^2+L1855*G1855^3*SIN(RADIANS(E1855))^2)</f>
        <v/>
      </c>
      <c r="Q1855" s="28">
        <f>-(6*F1855*J1855*L1855*N1855*SIN(RADIANS(E1855))+6*O1855*N1855*G1855*SIN(RADIANS(E1855))*COS(RADIANS(E1855)))/(12*N1855*COS(RADIANS(E1855))^2+L1855*G1855^2*SIN(RADIANS(E1855))^2)</f>
        <v/>
      </c>
      <c r="R1855" s="28">
        <f>-P1855*SIN(RADIANS(E1855))</f>
        <v/>
      </c>
      <c r="S1855" s="8">
        <f>(O1855+P1855*COS(RADIANS(E1855)))/L1855</f>
        <v/>
      </c>
      <c r="T1855" s="8">
        <f>R1855/L1855</f>
        <v/>
      </c>
      <c r="U1855" s="8">
        <f>(Q1855-P1855*G1855*SIN(RADIANS(E1855)))/M1855</f>
        <v/>
      </c>
      <c r="V1855" s="8">
        <f>SQRT((S1855+U1855)^2+3*T1855^2)</f>
        <v/>
      </c>
      <c r="W1855" s="8">
        <f>V1855/AA1855</f>
        <v/>
      </c>
      <c r="X1855" s="27">
        <f>((3*10+H1855/COS(RADIANS(E1855)))*(3+3)+3*G1855*H1855)*2</f>
        <v/>
      </c>
      <c r="Y1855" s="28">
        <f>Z1855/X1855</f>
        <v/>
      </c>
      <c r="Z1855" s="29" t="n">
        <v>560.1280406283</v>
      </c>
      <c r="AA1855" s="20" t="n">
        <v>83.8109004071341</v>
      </c>
      <c r="AB1855" t="n">
        <v>0.1127389038781098</v>
      </c>
      <c r="AC1855" t="n">
        <v>90.88884511447894</v>
      </c>
      <c r="AD1855" t="n">
        <v>50.82174463666471</v>
      </c>
    </row>
    <row r="1856">
      <c r="A1856" t="n">
        <v>1855</v>
      </c>
      <c r="B1856" t="n">
        <v>52.4</v>
      </c>
      <c r="C1856" s="21">
        <f>B1856-20</f>
        <v/>
      </c>
      <c r="D1856" t="n">
        <v>127.1</v>
      </c>
      <c r="E1856" s="22">
        <f>D1856-90</f>
        <v/>
      </c>
      <c r="F1856" s="23" t="n">
        <v>0.014006</v>
      </c>
      <c r="G1856" s="22" t="n">
        <v>34.5</v>
      </c>
      <c r="H1856" s="22" t="n">
        <v>1.9</v>
      </c>
      <c r="I1856" s="24" t="n">
        <v>0.0747360587120056</v>
      </c>
      <c r="J1856" s="6" t="n">
        <v>71000</v>
      </c>
      <c r="K1856" s="25">
        <f>23*10^-6</f>
        <v/>
      </c>
      <c r="L1856" s="8">
        <f>H1856</f>
        <v/>
      </c>
      <c r="M1856" s="26">
        <f>H1856^2/6</f>
        <v/>
      </c>
      <c r="N1856" s="26">
        <f>H1856^3/12</f>
        <v/>
      </c>
      <c r="O1856" s="27">
        <f>-J1856*L1856*K1856*C1856</f>
        <v/>
      </c>
      <c r="P1856" s="28">
        <f>-(12*F1856*J1856*L1856*N1856+12*O1856*N1856*G1856*COS(RADIANS(E1856)))/(12*N1856*G1856*COS(RADIANS(E1856))^2+L1856*G1856^3*SIN(RADIANS(E1856))^2)</f>
        <v/>
      </c>
      <c r="Q1856" s="28">
        <f>-(6*F1856*J1856*L1856*N1856*SIN(RADIANS(E1856))+6*O1856*N1856*G1856*SIN(RADIANS(E1856))*COS(RADIANS(E1856)))/(12*N1856*COS(RADIANS(E1856))^2+L1856*G1856^2*SIN(RADIANS(E1856))^2)</f>
        <v/>
      </c>
      <c r="R1856" s="28">
        <f>-P1856*SIN(RADIANS(E1856))</f>
        <v/>
      </c>
      <c r="S1856" s="8">
        <f>(O1856+P1856*COS(RADIANS(E1856)))/L1856</f>
        <v/>
      </c>
      <c r="T1856" s="8">
        <f>R1856/L1856</f>
        <v/>
      </c>
      <c r="U1856" s="8">
        <f>(Q1856-P1856*G1856*SIN(RADIANS(E1856)))/M1856</f>
        <v/>
      </c>
      <c r="V1856" s="8">
        <f>SQRT((S1856+U1856)^2+3*T1856^2)</f>
        <v/>
      </c>
      <c r="W1856" s="8">
        <f>V1856/AA1856</f>
        <v/>
      </c>
      <c r="X1856" s="27">
        <f>((3*10+H1856/COS(RADIANS(E1856)))*(3+3)+3*G1856*H1856)*2</f>
        <v/>
      </c>
      <c r="Y1856" s="28">
        <f>Z1856/X1856</f>
        <v/>
      </c>
      <c r="Z1856" s="29" t="n">
        <v>783.316755643385</v>
      </c>
      <c r="AA1856" s="20" t="n">
        <v>52.4923493393387</v>
      </c>
      <c r="AB1856" t="n">
        <v>0.05862949397575323</v>
      </c>
      <c r="AC1856" t="n">
        <v>47.17362225721505</v>
      </c>
      <c r="AD1856" t="n">
        <v>-21.55126322397974</v>
      </c>
    </row>
    <row r="1857">
      <c r="A1857" t="n">
        <v>1856</v>
      </c>
      <c r="B1857" t="n">
        <v>87.59999999999999</v>
      </c>
      <c r="C1857" s="21">
        <f>B1857-20</f>
        <v/>
      </c>
      <c r="D1857" t="n">
        <v>128.6</v>
      </c>
      <c r="E1857" s="22">
        <f>D1857-90</f>
        <v/>
      </c>
      <c r="F1857" s="23" t="n">
        <v>0.01826</v>
      </c>
      <c r="G1857" s="22" t="n">
        <v>20.6</v>
      </c>
      <c r="H1857" s="22" t="n">
        <v>1</v>
      </c>
      <c r="I1857" s="24" t="n">
        <v>0.0891585275530815</v>
      </c>
      <c r="J1857" s="6" t="n">
        <v>71000</v>
      </c>
      <c r="K1857" s="25">
        <f>23*10^-6</f>
        <v/>
      </c>
      <c r="L1857" s="8">
        <f>H1857</f>
        <v/>
      </c>
      <c r="M1857" s="26">
        <f>H1857^2/6</f>
        <v/>
      </c>
      <c r="N1857" s="26">
        <f>H1857^3/12</f>
        <v/>
      </c>
      <c r="O1857" s="27">
        <f>-J1857*L1857*K1857*C1857</f>
        <v/>
      </c>
      <c r="P1857" s="28">
        <f>-(12*F1857*J1857*L1857*N1857+12*O1857*N1857*G1857*COS(RADIANS(E1857)))/(12*N1857*G1857*COS(RADIANS(E1857))^2+L1857*G1857^3*SIN(RADIANS(E1857))^2)</f>
        <v/>
      </c>
      <c r="Q1857" s="28">
        <f>-(6*F1857*J1857*L1857*N1857*SIN(RADIANS(E1857))+6*O1857*N1857*G1857*SIN(RADIANS(E1857))*COS(RADIANS(E1857)))/(12*N1857*COS(RADIANS(E1857))^2+L1857*G1857^2*SIN(RADIANS(E1857))^2)</f>
        <v/>
      </c>
      <c r="R1857" s="28">
        <f>-P1857*SIN(RADIANS(E1857))</f>
        <v/>
      </c>
      <c r="S1857" s="8">
        <f>(O1857+P1857*COS(RADIANS(E1857)))/L1857</f>
        <v/>
      </c>
      <c r="T1857" s="8">
        <f>R1857/L1857</f>
        <v/>
      </c>
      <c r="U1857" s="8">
        <f>(Q1857-P1857*G1857*SIN(RADIANS(E1857)))/M1857</f>
        <v/>
      </c>
      <c r="V1857" s="8">
        <f>SQRT((S1857+U1857)^2+3*T1857^2)</f>
        <v/>
      </c>
      <c r="W1857" s="8">
        <f>V1857/AA1857</f>
        <v/>
      </c>
      <c r="X1857" s="27">
        <f>((3*10+H1857/COS(RADIANS(E1857)))*(3+3)+3*G1857*H1857)*2</f>
        <v/>
      </c>
      <c r="Y1857" s="28">
        <f>Z1857/X1857</f>
        <v/>
      </c>
      <c r="Z1857" s="29" t="n">
        <v>504.944782780158</v>
      </c>
      <c r="AA1857" s="20" t="n">
        <v>93.4130898897503</v>
      </c>
      <c r="AB1857" t="n">
        <v>0.07235430443587655</v>
      </c>
      <c r="AC1857" t="n">
        <v>95.96280244707064</v>
      </c>
      <c r="AD1857" t="n">
        <v>-18.84757810429335</v>
      </c>
    </row>
    <row r="1858">
      <c r="A1858" t="n">
        <v>1857</v>
      </c>
      <c r="B1858" t="n">
        <v>88.59999999999999</v>
      </c>
      <c r="C1858" s="21">
        <f>B1858-20</f>
        <v/>
      </c>
      <c r="D1858" t="n">
        <v>112.6</v>
      </c>
      <c r="E1858" s="22">
        <f>D1858-90</f>
        <v/>
      </c>
      <c r="F1858" s="23" t="n">
        <v>0.026084</v>
      </c>
      <c r="G1858" s="22" t="n">
        <v>29</v>
      </c>
      <c r="H1858" s="22" t="n">
        <v>1.5</v>
      </c>
      <c r="I1858" s="24" t="n">
        <v>0.155466467142105</v>
      </c>
      <c r="J1858" s="6" t="n">
        <v>71000</v>
      </c>
      <c r="K1858" s="25">
        <f>23*10^-6</f>
        <v/>
      </c>
      <c r="L1858" s="8">
        <f>H1858</f>
        <v/>
      </c>
      <c r="M1858" s="26">
        <f>H1858^2/6</f>
        <v/>
      </c>
      <c r="N1858" s="26">
        <f>H1858^3/12</f>
        <v/>
      </c>
      <c r="O1858" s="27">
        <f>-J1858*L1858*K1858*C1858</f>
        <v/>
      </c>
      <c r="P1858" s="28">
        <f>-(12*F1858*J1858*L1858*N1858+12*O1858*N1858*G1858*COS(RADIANS(E1858)))/(12*N1858*G1858*COS(RADIANS(E1858))^2+L1858*G1858^3*SIN(RADIANS(E1858))^2)</f>
        <v/>
      </c>
      <c r="Q1858" s="28">
        <f>-(6*F1858*J1858*L1858*N1858*SIN(RADIANS(E1858))+6*O1858*N1858*G1858*SIN(RADIANS(E1858))*COS(RADIANS(E1858)))/(12*N1858*COS(RADIANS(E1858))^2+L1858*G1858^2*SIN(RADIANS(E1858))^2)</f>
        <v/>
      </c>
      <c r="R1858" s="28">
        <f>-P1858*SIN(RADIANS(E1858))</f>
        <v/>
      </c>
      <c r="S1858" s="8">
        <f>(O1858+P1858*COS(RADIANS(E1858)))/L1858</f>
        <v/>
      </c>
      <c r="T1858" s="8">
        <f>R1858/L1858</f>
        <v/>
      </c>
      <c r="U1858" s="8">
        <f>(Q1858-P1858*G1858*SIN(RADIANS(E1858)))/M1858</f>
        <v/>
      </c>
      <c r="V1858" s="8">
        <f>SQRT((S1858+U1858)^2+3*T1858^2)</f>
        <v/>
      </c>
      <c r="W1858" s="8">
        <f>V1858/AA1858</f>
        <v/>
      </c>
      <c r="X1858" s="27">
        <f>((3*10+H1858/COS(RADIANS(E1858)))*(3+3)+3*G1858*H1858)*2</f>
        <v/>
      </c>
      <c r="Y1858" s="28">
        <f>Z1858/X1858</f>
        <v/>
      </c>
      <c r="Z1858" s="29" t="n">
        <v>644.961821797164</v>
      </c>
      <c r="AA1858" s="20" t="n">
        <v>105.270840557538</v>
      </c>
      <c r="AB1858" t="n">
        <v>0.1777280999248677</v>
      </c>
      <c r="AC1858" t="n">
        <v>104.890104270682</v>
      </c>
      <c r="AD1858" t="n">
        <v>14.31925044158518</v>
      </c>
    </row>
    <row r="1859">
      <c r="A1859" t="n">
        <v>1858</v>
      </c>
      <c r="B1859" t="n">
        <v>59.6</v>
      </c>
      <c r="C1859" s="21">
        <f>B1859-20</f>
        <v/>
      </c>
      <c r="D1859" t="n">
        <v>129.8</v>
      </c>
      <c r="E1859" s="22">
        <f>D1859-90</f>
        <v/>
      </c>
      <c r="F1859" s="23" t="n">
        <v>0.011078</v>
      </c>
      <c r="G1859" s="22" t="n">
        <v>23.4</v>
      </c>
      <c r="H1859" s="22" t="n">
        <v>1.4</v>
      </c>
      <c r="I1859" s="24" t="n">
        <v>0.0498288869857788</v>
      </c>
      <c r="J1859" s="6" t="n">
        <v>71000</v>
      </c>
      <c r="K1859" s="25">
        <f>23*10^-6</f>
        <v/>
      </c>
      <c r="L1859" s="8">
        <f>H1859</f>
        <v/>
      </c>
      <c r="M1859" s="26">
        <f>H1859^2/6</f>
        <v/>
      </c>
      <c r="N1859" s="26">
        <f>H1859^3/12</f>
        <v/>
      </c>
      <c r="O1859" s="27">
        <f>-J1859*L1859*K1859*C1859</f>
        <v/>
      </c>
      <c r="P1859" s="28">
        <f>-(12*F1859*J1859*L1859*N1859+12*O1859*N1859*G1859*COS(RADIANS(E1859)))/(12*N1859*G1859*COS(RADIANS(E1859))^2+L1859*G1859^3*SIN(RADIANS(E1859))^2)</f>
        <v/>
      </c>
      <c r="Q1859" s="28">
        <f>-(6*F1859*J1859*L1859*N1859*SIN(RADIANS(E1859))+6*O1859*N1859*G1859*SIN(RADIANS(E1859))*COS(RADIANS(E1859)))/(12*N1859*COS(RADIANS(E1859))^2+L1859*G1859^2*SIN(RADIANS(E1859))^2)</f>
        <v/>
      </c>
      <c r="R1859" s="28">
        <f>-P1859*SIN(RADIANS(E1859))</f>
        <v/>
      </c>
      <c r="S1859" s="8">
        <f>(O1859+P1859*COS(RADIANS(E1859)))/L1859</f>
        <v/>
      </c>
      <c r="T1859" s="8">
        <f>R1859/L1859</f>
        <v/>
      </c>
      <c r="U1859" s="8">
        <f>(Q1859-P1859*G1859*SIN(RADIANS(E1859)))/M1859</f>
        <v/>
      </c>
      <c r="V1859" s="8">
        <f>SQRT((S1859+U1859)^2+3*T1859^2)</f>
        <v/>
      </c>
      <c r="W1859" s="8">
        <f>V1859/AA1859</f>
        <v/>
      </c>
      <c r="X1859" s="27">
        <f>((3*10+H1859/COS(RADIANS(E1859)))*(3+3)+3*G1859*H1859)*2</f>
        <v/>
      </c>
      <c r="Y1859" s="28">
        <f>Z1859/X1859</f>
        <v/>
      </c>
      <c r="Z1859" s="29" t="n">
        <v>587.489948114761</v>
      </c>
      <c r="AA1859" s="20" t="n">
        <v>58.0272035181797</v>
      </c>
      <c r="AB1859" t="n">
        <v>0.04600372537173634</v>
      </c>
      <c r="AC1859" t="n">
        <v>56.95877687158135</v>
      </c>
      <c r="AD1859" t="n">
        <v>-7.676594532673723</v>
      </c>
    </row>
    <row r="1860">
      <c r="A1860" t="n">
        <v>1859</v>
      </c>
      <c r="B1860" t="n">
        <v>81.40000000000001</v>
      </c>
      <c r="C1860" s="21">
        <f>B1860-20</f>
        <v/>
      </c>
      <c r="D1860" t="n">
        <v>111.1</v>
      </c>
      <c r="E1860" s="22">
        <f>D1860-90</f>
        <v/>
      </c>
      <c r="F1860" s="23" t="n">
        <v>0.019696</v>
      </c>
      <c r="G1860" s="22" t="n">
        <v>28.9</v>
      </c>
      <c r="H1860" s="22" t="n">
        <v>1.9</v>
      </c>
      <c r="I1860" s="24" t="n">
        <v>0.0851914808154106</v>
      </c>
      <c r="J1860" s="6" t="n">
        <v>71000</v>
      </c>
      <c r="K1860" s="25">
        <f>23*10^-6</f>
        <v/>
      </c>
      <c r="L1860" s="8">
        <f>H1860</f>
        <v/>
      </c>
      <c r="M1860" s="26">
        <f>H1860^2/6</f>
        <v/>
      </c>
      <c r="N1860" s="26">
        <f>H1860^3/12</f>
        <v/>
      </c>
      <c r="O1860" s="27">
        <f>-J1860*L1860*K1860*C1860</f>
        <v/>
      </c>
      <c r="P1860" s="28">
        <f>-(12*F1860*J1860*L1860*N1860+12*O1860*N1860*G1860*COS(RADIANS(E1860)))/(12*N1860*G1860*COS(RADIANS(E1860))^2+L1860*G1860^3*SIN(RADIANS(E1860))^2)</f>
        <v/>
      </c>
      <c r="Q1860" s="28">
        <f>-(6*F1860*J1860*L1860*N1860*SIN(RADIANS(E1860))+6*O1860*N1860*G1860*SIN(RADIANS(E1860))*COS(RADIANS(E1860)))/(12*N1860*COS(RADIANS(E1860))^2+L1860*G1860^2*SIN(RADIANS(E1860))^2)</f>
        <v/>
      </c>
      <c r="R1860" s="28">
        <f>-P1860*SIN(RADIANS(E1860))</f>
        <v/>
      </c>
      <c r="S1860" s="8">
        <f>(O1860+P1860*COS(RADIANS(E1860)))/L1860</f>
        <v/>
      </c>
      <c r="T1860" s="8">
        <f>R1860/L1860</f>
        <v/>
      </c>
      <c r="U1860" s="8">
        <f>(Q1860-P1860*G1860*SIN(RADIANS(E1860)))/M1860</f>
        <v/>
      </c>
      <c r="V1860" s="8">
        <f>SQRT((S1860+U1860)^2+3*T1860^2)</f>
        <v/>
      </c>
      <c r="W1860" s="8">
        <f>V1860/AA1860</f>
        <v/>
      </c>
      <c r="X1860" s="27">
        <f>((3*10+H1860/COS(RADIANS(E1860)))*(3+3)+3*G1860*H1860)*2</f>
        <v/>
      </c>
      <c r="Y1860" s="28">
        <f>Z1860/X1860</f>
        <v/>
      </c>
      <c r="Z1860" s="29" t="n">
        <v>729.986690526391</v>
      </c>
      <c r="AA1860" s="20" t="n">
        <v>94.601110388631</v>
      </c>
      <c r="AB1860" t="n">
        <v>0.1680265187243029</v>
      </c>
      <c r="AC1860" t="n">
        <v>97.6943294699132</v>
      </c>
      <c r="AD1860" t="n">
        <v>97.23394536171499</v>
      </c>
    </row>
    <row r="1861">
      <c r="A1861" t="n">
        <v>1860</v>
      </c>
      <c r="B1861" t="n">
        <v>62.3</v>
      </c>
      <c r="C1861" s="21">
        <f>B1861-20</f>
        <v/>
      </c>
      <c r="D1861" t="n">
        <v>126.9</v>
      </c>
      <c r="E1861" s="22">
        <f>D1861-90</f>
        <v/>
      </c>
      <c r="F1861" s="23" t="n">
        <v>0.013494</v>
      </c>
      <c r="G1861" s="22" t="n">
        <v>24.5</v>
      </c>
      <c r="H1861" s="22" t="n">
        <v>1.3</v>
      </c>
      <c r="I1861" s="24" t="n">
        <v>0.069037951529026</v>
      </c>
      <c r="J1861" s="6" t="n">
        <v>71000</v>
      </c>
      <c r="K1861" s="25">
        <f>23*10^-6</f>
        <v/>
      </c>
      <c r="L1861" s="8">
        <f>H1861</f>
        <v/>
      </c>
      <c r="M1861" s="26">
        <f>H1861^2/6</f>
        <v/>
      </c>
      <c r="N1861" s="26">
        <f>H1861^3/12</f>
        <v/>
      </c>
      <c r="O1861" s="27">
        <f>-J1861*L1861*K1861*C1861</f>
        <v/>
      </c>
      <c r="P1861" s="28">
        <f>-(12*F1861*J1861*L1861*N1861+12*O1861*N1861*G1861*COS(RADIANS(E1861)))/(12*N1861*G1861*COS(RADIANS(E1861))^2+L1861*G1861^3*SIN(RADIANS(E1861))^2)</f>
        <v/>
      </c>
      <c r="Q1861" s="28">
        <f>-(6*F1861*J1861*L1861*N1861*SIN(RADIANS(E1861))+6*O1861*N1861*G1861*SIN(RADIANS(E1861))*COS(RADIANS(E1861)))/(12*N1861*COS(RADIANS(E1861))^2+L1861*G1861^2*SIN(RADIANS(E1861))^2)</f>
        <v/>
      </c>
      <c r="R1861" s="28">
        <f>-P1861*SIN(RADIANS(E1861))</f>
        <v/>
      </c>
      <c r="S1861" s="8">
        <f>(O1861+P1861*COS(RADIANS(E1861)))/L1861</f>
        <v/>
      </c>
      <c r="T1861" s="8">
        <f>R1861/L1861</f>
        <v/>
      </c>
      <c r="U1861" s="8">
        <f>(Q1861-P1861*G1861*SIN(RADIANS(E1861)))/M1861</f>
        <v/>
      </c>
      <c r="V1861" s="8">
        <f>SQRT((S1861+U1861)^2+3*T1861^2)</f>
        <v/>
      </c>
      <c r="W1861" s="8">
        <f>V1861/AA1861</f>
        <v/>
      </c>
      <c r="X1861" s="27">
        <f>((3*10+H1861/COS(RADIANS(E1861)))*(3+3)+3*G1861*H1861)*2</f>
        <v/>
      </c>
      <c r="Y1861" s="28">
        <f>Z1861/X1861</f>
        <v/>
      </c>
      <c r="Z1861" s="29" t="n">
        <v>574.668074199316</v>
      </c>
      <c r="AA1861" s="20" t="n">
        <v>61.5991433842724</v>
      </c>
      <c r="AB1861" t="n">
        <v>0.05581073868206496</v>
      </c>
      <c r="AC1861" t="n">
        <v>60.94016099421188</v>
      </c>
      <c r="AD1861" t="n">
        <v>-19.15933563208326</v>
      </c>
    </row>
    <row r="1862">
      <c r="A1862" t="n">
        <v>1861</v>
      </c>
      <c r="B1862" t="n">
        <v>66</v>
      </c>
      <c r="C1862" s="21">
        <f>B1862-20</f>
        <v/>
      </c>
      <c r="D1862" t="n">
        <v>107.6</v>
      </c>
      <c r="E1862" s="22">
        <f>D1862-90</f>
        <v/>
      </c>
      <c r="F1862" s="23" t="n">
        <v>0.01423</v>
      </c>
      <c r="G1862" s="22" t="n">
        <v>26.5</v>
      </c>
      <c r="H1862" s="22" t="n">
        <v>1.1</v>
      </c>
      <c r="I1862" s="24" t="n">
        <v>0.0628899559378624</v>
      </c>
      <c r="J1862" s="6" t="n">
        <v>71000</v>
      </c>
      <c r="K1862" s="25">
        <f>23*10^-6</f>
        <v/>
      </c>
      <c r="L1862" s="8">
        <f>H1862</f>
        <v/>
      </c>
      <c r="M1862" s="26">
        <f>H1862^2/6</f>
        <v/>
      </c>
      <c r="N1862" s="26">
        <f>H1862^3/12</f>
        <v/>
      </c>
      <c r="O1862" s="27">
        <f>-J1862*L1862*K1862*C1862</f>
        <v/>
      </c>
      <c r="P1862" s="28">
        <f>-(12*F1862*J1862*L1862*N1862+12*O1862*N1862*G1862*COS(RADIANS(E1862)))/(12*N1862*G1862*COS(RADIANS(E1862))^2+L1862*G1862^3*SIN(RADIANS(E1862))^2)</f>
        <v/>
      </c>
      <c r="Q1862" s="28">
        <f>-(6*F1862*J1862*L1862*N1862*SIN(RADIANS(E1862))+6*O1862*N1862*G1862*SIN(RADIANS(E1862))*COS(RADIANS(E1862)))/(12*N1862*COS(RADIANS(E1862))^2+L1862*G1862^2*SIN(RADIANS(E1862))^2)</f>
        <v/>
      </c>
      <c r="R1862" s="28">
        <f>-P1862*SIN(RADIANS(E1862))</f>
        <v/>
      </c>
      <c r="S1862" s="8">
        <f>(O1862+P1862*COS(RADIANS(E1862)))/L1862</f>
        <v/>
      </c>
      <c r="T1862" s="8">
        <f>R1862/L1862</f>
        <v/>
      </c>
      <c r="U1862" s="8">
        <f>(Q1862-P1862*G1862*SIN(RADIANS(E1862)))/M1862</f>
        <v/>
      </c>
      <c r="V1862" s="8">
        <f>SQRT((S1862+U1862)^2+3*T1862^2)</f>
        <v/>
      </c>
      <c r="W1862" s="8">
        <f>V1862/AA1862</f>
        <v/>
      </c>
      <c r="X1862" s="27">
        <f>((3*10+H1862/COS(RADIANS(E1862)))*(3+3)+3*G1862*H1862)*2</f>
        <v/>
      </c>
      <c r="Y1862" s="28">
        <f>Z1862/X1862</f>
        <v/>
      </c>
      <c r="Z1862" s="29" t="n">
        <v>560.974488931033</v>
      </c>
      <c r="AA1862" s="20" t="n">
        <v>61.6376625738571</v>
      </c>
      <c r="AB1862" t="n">
        <v>0.1418814623541686</v>
      </c>
      <c r="AC1862" t="n">
        <v>70.60082774477216</v>
      </c>
      <c r="AD1862" t="n">
        <v>125.6027377318451</v>
      </c>
    </row>
    <row r="1863">
      <c r="A1863" t="n">
        <v>1862</v>
      </c>
      <c r="B1863" t="n">
        <v>44.4</v>
      </c>
      <c r="C1863" s="21">
        <f>B1863-20</f>
        <v/>
      </c>
      <c r="D1863" t="n">
        <v>105</v>
      </c>
      <c r="E1863" s="22">
        <f>D1863-90</f>
        <v/>
      </c>
      <c r="F1863" s="23" t="n">
        <v>0.006799</v>
      </c>
      <c r="G1863" s="22" t="n">
        <v>23.6</v>
      </c>
      <c r="H1863" s="22" t="n">
        <v>1.8</v>
      </c>
      <c r="I1863" s="24" t="n">
        <v>0.0304327830672264</v>
      </c>
      <c r="J1863" s="6" t="n">
        <v>71000</v>
      </c>
      <c r="K1863" s="25">
        <f>23*10^-6</f>
        <v/>
      </c>
      <c r="L1863" s="8">
        <f>H1863</f>
        <v/>
      </c>
      <c r="M1863" s="26">
        <f>H1863^2/6</f>
        <v/>
      </c>
      <c r="N1863" s="26">
        <f>H1863^3/12</f>
        <v/>
      </c>
      <c r="O1863" s="27">
        <f>-J1863*L1863*K1863*C1863</f>
        <v/>
      </c>
      <c r="P1863" s="28">
        <f>-(12*F1863*J1863*L1863*N1863+12*O1863*N1863*G1863*COS(RADIANS(E1863)))/(12*N1863*G1863*COS(RADIANS(E1863))^2+L1863*G1863^3*SIN(RADIANS(E1863))^2)</f>
        <v/>
      </c>
      <c r="Q1863" s="28">
        <f>-(6*F1863*J1863*L1863*N1863*SIN(RADIANS(E1863))+6*O1863*N1863*G1863*SIN(RADIANS(E1863))*COS(RADIANS(E1863)))/(12*N1863*COS(RADIANS(E1863))^2+L1863*G1863^2*SIN(RADIANS(E1863))^2)</f>
        <v/>
      </c>
      <c r="R1863" s="28">
        <f>-P1863*SIN(RADIANS(E1863))</f>
        <v/>
      </c>
      <c r="S1863" s="8">
        <f>(O1863+P1863*COS(RADIANS(E1863)))/L1863</f>
        <v/>
      </c>
      <c r="T1863" s="8">
        <f>R1863/L1863</f>
        <v/>
      </c>
      <c r="U1863" s="8">
        <f>(Q1863-P1863*G1863*SIN(RADIANS(E1863)))/M1863</f>
        <v/>
      </c>
      <c r="V1863" s="8">
        <f>SQRT((S1863+U1863)^2+3*T1863^2)</f>
        <v/>
      </c>
      <c r="W1863" s="8">
        <f>V1863/AA1863</f>
        <v/>
      </c>
      <c r="X1863" s="27">
        <f>((3*10+H1863/COS(RADIANS(E1863)))*(3+3)+3*G1863*H1863)*2</f>
        <v/>
      </c>
      <c r="Y1863" s="28">
        <f>Z1863/X1863</f>
        <v/>
      </c>
      <c r="Z1863" s="29" t="n">
        <v>652.6614291033731</v>
      </c>
      <c r="AA1863" s="20" t="n">
        <v>38.4842201905302</v>
      </c>
      <c r="AB1863" t="n">
        <v>0.07482847002179537</v>
      </c>
      <c r="AC1863" t="n">
        <v>41.53519007640939</v>
      </c>
      <c r="AD1863" t="n">
        <v>145.8811271269484</v>
      </c>
    </row>
    <row r="1864">
      <c r="A1864" t="n">
        <v>1863</v>
      </c>
      <c r="B1864" t="n">
        <v>64.3</v>
      </c>
      <c r="C1864" s="21">
        <f>B1864-20</f>
        <v/>
      </c>
      <c r="D1864" t="n">
        <v>103</v>
      </c>
      <c r="E1864" s="22">
        <f>D1864-90</f>
        <v/>
      </c>
      <c r="F1864" s="23" t="n">
        <v>0.012495</v>
      </c>
      <c r="G1864" s="22" t="n">
        <v>20.3</v>
      </c>
      <c r="H1864" s="22" t="n">
        <v>1.2</v>
      </c>
      <c r="I1864" s="24" t="n">
        <v>0.0712467432022094</v>
      </c>
      <c r="J1864" s="6" t="n">
        <v>71000</v>
      </c>
      <c r="K1864" s="25">
        <f>23*10^-6</f>
        <v/>
      </c>
      <c r="L1864" s="8">
        <f>H1864</f>
        <v/>
      </c>
      <c r="M1864" s="26">
        <f>H1864^2/6</f>
        <v/>
      </c>
      <c r="N1864" s="26">
        <f>H1864^3/12</f>
        <v/>
      </c>
      <c r="O1864" s="27">
        <f>-J1864*L1864*K1864*C1864</f>
        <v/>
      </c>
      <c r="P1864" s="28">
        <f>-(12*F1864*J1864*L1864*N1864+12*O1864*N1864*G1864*COS(RADIANS(E1864)))/(12*N1864*G1864*COS(RADIANS(E1864))^2+L1864*G1864^3*SIN(RADIANS(E1864))^2)</f>
        <v/>
      </c>
      <c r="Q1864" s="28">
        <f>-(6*F1864*J1864*L1864*N1864*SIN(RADIANS(E1864))+6*O1864*N1864*G1864*SIN(RADIANS(E1864))*COS(RADIANS(E1864)))/(12*N1864*COS(RADIANS(E1864))^2+L1864*G1864^2*SIN(RADIANS(E1864))^2)</f>
        <v/>
      </c>
      <c r="R1864" s="28">
        <f>-P1864*SIN(RADIANS(E1864))</f>
        <v/>
      </c>
      <c r="S1864" s="8">
        <f>(O1864+P1864*COS(RADIANS(E1864)))/L1864</f>
        <v/>
      </c>
      <c r="T1864" s="8">
        <f>R1864/L1864</f>
        <v/>
      </c>
      <c r="U1864" s="8">
        <f>(Q1864-P1864*G1864*SIN(RADIANS(E1864)))/M1864</f>
        <v/>
      </c>
      <c r="V1864" s="8">
        <f>SQRT((S1864+U1864)^2+3*T1864^2)</f>
        <v/>
      </c>
      <c r="W1864" s="8">
        <f>V1864/AA1864</f>
        <v/>
      </c>
      <c r="X1864" s="27">
        <f>((3*10+H1864/COS(RADIANS(E1864)))*(3+3)+3*G1864*H1864)*2</f>
        <v/>
      </c>
      <c r="Y1864" s="28">
        <f>Z1864/X1864</f>
        <v/>
      </c>
      <c r="Z1864" s="29" t="n">
        <v>527.1876231350629</v>
      </c>
      <c r="AA1864" s="20" t="n">
        <v>65.7076617499325</v>
      </c>
      <c r="AB1864" t="n">
        <v>0.13902826048144</v>
      </c>
      <c r="AC1864" t="n">
        <v>73.3899868876795</v>
      </c>
      <c r="AD1864" t="n">
        <v>95.13630270348787</v>
      </c>
    </row>
    <row r="1865">
      <c r="A1865" t="n">
        <v>1864</v>
      </c>
      <c r="B1865" t="n">
        <v>80.59999999999999</v>
      </c>
      <c r="C1865" s="21">
        <f>B1865-20</f>
        <v/>
      </c>
      <c r="D1865" t="n">
        <v>118.2</v>
      </c>
      <c r="E1865" s="22">
        <f>D1865-90</f>
        <v/>
      </c>
      <c r="F1865" s="23" t="n">
        <v>0.018847</v>
      </c>
      <c r="G1865" s="22" t="n">
        <v>27.7</v>
      </c>
      <c r="H1865" s="22" t="n">
        <v>1.9</v>
      </c>
      <c r="I1865" s="24" t="n">
        <v>0.0820570364594459</v>
      </c>
      <c r="J1865" s="6" t="n">
        <v>71000</v>
      </c>
      <c r="K1865" s="25">
        <f>23*10^-6</f>
        <v/>
      </c>
      <c r="L1865" s="8">
        <f>H1865</f>
        <v/>
      </c>
      <c r="M1865" s="26">
        <f>H1865^2/6</f>
        <v/>
      </c>
      <c r="N1865" s="26">
        <f>H1865^3/12</f>
        <v/>
      </c>
      <c r="O1865" s="27">
        <f>-J1865*L1865*K1865*C1865</f>
        <v/>
      </c>
      <c r="P1865" s="28">
        <f>-(12*F1865*J1865*L1865*N1865+12*O1865*N1865*G1865*COS(RADIANS(E1865)))/(12*N1865*G1865*COS(RADIANS(E1865))^2+L1865*G1865^3*SIN(RADIANS(E1865))^2)</f>
        <v/>
      </c>
      <c r="Q1865" s="28">
        <f>-(6*F1865*J1865*L1865*N1865*SIN(RADIANS(E1865))+6*O1865*N1865*G1865*SIN(RADIANS(E1865))*COS(RADIANS(E1865)))/(12*N1865*COS(RADIANS(E1865))^2+L1865*G1865^2*SIN(RADIANS(E1865))^2)</f>
        <v/>
      </c>
      <c r="R1865" s="28">
        <f>-P1865*SIN(RADIANS(E1865))</f>
        <v/>
      </c>
      <c r="S1865" s="8">
        <f>(O1865+P1865*COS(RADIANS(E1865)))/L1865</f>
        <v/>
      </c>
      <c r="T1865" s="8">
        <f>R1865/L1865</f>
        <v/>
      </c>
      <c r="U1865" s="8">
        <f>(Q1865-P1865*G1865*SIN(RADIANS(E1865)))/M1865</f>
        <v/>
      </c>
      <c r="V1865" s="8">
        <f>SQRT((S1865+U1865)^2+3*T1865^2)</f>
        <v/>
      </c>
      <c r="W1865" s="8">
        <f>V1865/AA1865</f>
        <v/>
      </c>
      <c r="X1865" s="27">
        <f>((3*10+H1865/COS(RADIANS(E1865)))*(3+3)+3*G1865*H1865)*2</f>
        <v/>
      </c>
      <c r="Y1865" s="28">
        <f>Z1865/X1865</f>
        <v/>
      </c>
      <c r="Z1865" s="29" t="n">
        <v>716.128641308712</v>
      </c>
      <c r="AA1865" s="20" t="n">
        <v>94.3987652074823</v>
      </c>
      <c r="AB1865" t="n">
        <v>0.1187573688751105</v>
      </c>
      <c r="AC1865" t="n">
        <v>92.64931639897968</v>
      </c>
      <c r="AD1865" t="n">
        <v>44.72539345702858</v>
      </c>
    </row>
    <row r="1866">
      <c r="A1866" t="n">
        <v>1865</v>
      </c>
      <c r="B1866" t="n">
        <v>87.59999999999999</v>
      </c>
      <c r="C1866" s="21">
        <f>B1866-20</f>
        <v/>
      </c>
      <c r="D1866" t="n">
        <v>114.8</v>
      </c>
      <c r="E1866" s="22">
        <f>D1866-90</f>
        <v/>
      </c>
      <c r="F1866" s="23" t="n">
        <v>0.027343</v>
      </c>
      <c r="G1866" s="22" t="n">
        <v>31.6</v>
      </c>
      <c r="H1866" s="22" t="n">
        <v>1.9</v>
      </c>
      <c r="I1866" s="24" t="n">
        <v>0.152346804738044</v>
      </c>
      <c r="J1866" s="6" t="n">
        <v>71000</v>
      </c>
      <c r="K1866" s="25">
        <f>23*10^-6</f>
        <v/>
      </c>
      <c r="L1866" s="8">
        <f>H1866</f>
        <v/>
      </c>
      <c r="M1866" s="26">
        <f>H1866^2/6</f>
        <v/>
      </c>
      <c r="N1866" s="26">
        <f>H1866^3/12</f>
        <v/>
      </c>
      <c r="O1866" s="27">
        <f>-J1866*L1866*K1866*C1866</f>
        <v/>
      </c>
      <c r="P1866" s="28">
        <f>-(12*F1866*J1866*L1866*N1866+12*O1866*N1866*G1866*COS(RADIANS(E1866)))/(12*N1866*G1866*COS(RADIANS(E1866))^2+L1866*G1866^3*SIN(RADIANS(E1866))^2)</f>
        <v/>
      </c>
      <c r="Q1866" s="28">
        <f>-(6*F1866*J1866*L1866*N1866*SIN(RADIANS(E1866))+6*O1866*N1866*G1866*SIN(RADIANS(E1866))*COS(RADIANS(E1866)))/(12*N1866*COS(RADIANS(E1866))^2+L1866*G1866^2*SIN(RADIANS(E1866))^2)</f>
        <v/>
      </c>
      <c r="R1866" s="28">
        <f>-P1866*SIN(RADIANS(E1866))</f>
        <v/>
      </c>
      <c r="S1866" s="8">
        <f>(O1866+P1866*COS(RADIANS(E1866)))/L1866</f>
        <v/>
      </c>
      <c r="T1866" s="8">
        <f>R1866/L1866</f>
        <v/>
      </c>
      <c r="U1866" s="8">
        <f>(Q1866-P1866*G1866*SIN(RADIANS(E1866)))/M1866</f>
        <v/>
      </c>
      <c r="V1866" s="8">
        <f>SQRT((S1866+U1866)^2+3*T1866^2)</f>
        <v/>
      </c>
      <c r="W1866" s="8">
        <f>V1866/AA1866</f>
        <v/>
      </c>
      <c r="X1866" s="27">
        <f>((3*10+H1866/COS(RADIANS(E1866)))*(3+3)+3*G1866*H1866)*2</f>
        <v/>
      </c>
      <c r="Y1866" s="28">
        <f>Z1866/X1866</f>
        <v/>
      </c>
      <c r="Z1866" s="29" t="n">
        <v>749.83689931607</v>
      </c>
      <c r="AA1866" s="20" t="n">
        <v>110.856281493176</v>
      </c>
      <c r="AB1866" t="n">
        <v>0.1718632852498137</v>
      </c>
      <c r="AC1866" t="n">
        <v>104.1555535171826</v>
      </c>
      <c r="AD1866" t="n">
        <v>12.81056110453235</v>
      </c>
    </row>
    <row r="1867">
      <c r="A1867" t="n">
        <v>1866</v>
      </c>
      <c r="B1867" t="n">
        <v>50.2</v>
      </c>
      <c r="C1867" s="21">
        <f>B1867-20</f>
        <v/>
      </c>
      <c r="D1867" t="n">
        <v>117.8</v>
      </c>
      <c r="E1867" s="22">
        <f>D1867-90</f>
        <v/>
      </c>
      <c r="F1867" s="23" t="n">
        <v>0.009885</v>
      </c>
      <c r="G1867" s="22" t="n">
        <v>28.4</v>
      </c>
      <c r="H1867" s="22" t="n">
        <v>1.6</v>
      </c>
      <c r="I1867" s="24" t="n">
        <v>0.0433974415063858</v>
      </c>
      <c r="J1867" s="6" t="n">
        <v>71000</v>
      </c>
      <c r="K1867" s="25">
        <f>23*10^-6</f>
        <v/>
      </c>
      <c r="L1867" s="8">
        <f>H1867</f>
        <v/>
      </c>
      <c r="M1867" s="26">
        <f>H1867^2/6</f>
        <v/>
      </c>
      <c r="N1867" s="26">
        <f>H1867^3/12</f>
        <v/>
      </c>
      <c r="O1867" s="27">
        <f>-J1867*L1867*K1867*C1867</f>
        <v/>
      </c>
      <c r="P1867" s="28">
        <f>-(12*F1867*J1867*L1867*N1867+12*O1867*N1867*G1867*COS(RADIANS(E1867)))/(12*N1867*G1867*COS(RADIANS(E1867))^2+L1867*G1867^3*SIN(RADIANS(E1867))^2)</f>
        <v/>
      </c>
      <c r="Q1867" s="28">
        <f>-(6*F1867*J1867*L1867*N1867*SIN(RADIANS(E1867))+6*O1867*N1867*G1867*SIN(RADIANS(E1867))*COS(RADIANS(E1867)))/(12*N1867*COS(RADIANS(E1867))^2+L1867*G1867^2*SIN(RADIANS(E1867))^2)</f>
        <v/>
      </c>
      <c r="R1867" s="28">
        <f>-P1867*SIN(RADIANS(E1867))</f>
        <v/>
      </c>
      <c r="S1867" s="8">
        <f>(O1867+P1867*COS(RADIANS(E1867)))/L1867</f>
        <v/>
      </c>
      <c r="T1867" s="8">
        <f>R1867/L1867</f>
        <v/>
      </c>
      <c r="U1867" s="8">
        <f>(Q1867-P1867*G1867*SIN(RADIANS(E1867)))/M1867</f>
        <v/>
      </c>
      <c r="V1867" s="8">
        <f>SQRT((S1867+U1867)^2+3*T1867^2)</f>
        <v/>
      </c>
      <c r="W1867" s="8">
        <f>V1867/AA1867</f>
        <v/>
      </c>
      <c r="X1867" s="27">
        <f>((3*10+H1867/COS(RADIANS(E1867)))*(3+3)+3*G1867*H1867)*2</f>
        <v/>
      </c>
      <c r="Y1867" s="28">
        <f>Z1867/X1867</f>
        <v/>
      </c>
      <c r="Z1867" s="29" t="n">
        <v>666.0949233313449</v>
      </c>
      <c r="AA1867" s="20" t="n">
        <v>44.7573981658478</v>
      </c>
      <c r="AB1867" t="n">
        <v>0.06184833944018017</v>
      </c>
      <c r="AC1867" t="n">
        <v>45.34781750135357</v>
      </c>
      <c r="AD1867" t="n">
        <v>42.51609609538703</v>
      </c>
    </row>
    <row r="1868">
      <c r="A1868" t="n">
        <v>1867</v>
      </c>
      <c r="B1868" t="n">
        <v>66.90000000000001</v>
      </c>
      <c r="C1868" s="21">
        <f>B1868-20</f>
        <v/>
      </c>
      <c r="D1868" t="n">
        <v>104.9</v>
      </c>
      <c r="E1868" s="22">
        <f>D1868-90</f>
        <v/>
      </c>
      <c r="F1868" s="23" t="n">
        <v>0.020994</v>
      </c>
      <c r="G1868" s="22" t="n">
        <v>34.9</v>
      </c>
      <c r="H1868" s="22" t="n">
        <v>2</v>
      </c>
      <c r="I1868" s="24" t="n">
        <v>0.130142912268638</v>
      </c>
      <c r="J1868" s="6" t="n">
        <v>71000</v>
      </c>
      <c r="K1868" s="25">
        <f>23*10^-6</f>
        <v/>
      </c>
      <c r="L1868" s="8">
        <f>H1868</f>
        <v/>
      </c>
      <c r="M1868" s="26">
        <f>H1868^2/6</f>
        <v/>
      </c>
      <c r="N1868" s="26">
        <f>H1868^3/12</f>
        <v/>
      </c>
      <c r="O1868" s="27">
        <f>-J1868*L1868*K1868*C1868</f>
        <v/>
      </c>
      <c r="P1868" s="28">
        <f>-(12*F1868*J1868*L1868*N1868+12*O1868*N1868*G1868*COS(RADIANS(E1868)))/(12*N1868*G1868*COS(RADIANS(E1868))^2+L1868*G1868^3*SIN(RADIANS(E1868))^2)</f>
        <v/>
      </c>
      <c r="Q1868" s="28">
        <f>-(6*F1868*J1868*L1868*N1868*SIN(RADIANS(E1868))+6*O1868*N1868*G1868*SIN(RADIANS(E1868))*COS(RADIANS(E1868)))/(12*N1868*COS(RADIANS(E1868))^2+L1868*G1868^2*SIN(RADIANS(E1868))^2)</f>
        <v/>
      </c>
      <c r="R1868" s="28">
        <f>-P1868*SIN(RADIANS(E1868))</f>
        <v/>
      </c>
      <c r="S1868" s="8">
        <f>(O1868+P1868*COS(RADIANS(E1868)))/L1868</f>
        <v/>
      </c>
      <c r="T1868" s="8">
        <f>R1868/L1868</f>
        <v/>
      </c>
      <c r="U1868" s="8">
        <f>(Q1868-P1868*G1868*SIN(RADIANS(E1868)))/M1868</f>
        <v/>
      </c>
      <c r="V1868" s="8">
        <f>SQRT((S1868+U1868)^2+3*T1868^2)</f>
        <v/>
      </c>
      <c r="W1868" s="8">
        <f>V1868/AA1868</f>
        <v/>
      </c>
      <c r="X1868" s="27">
        <f>((3*10+H1868/COS(RADIANS(E1868)))*(3+3)+3*G1868*H1868)*2</f>
        <v/>
      </c>
      <c r="Y1868" s="28">
        <f>Z1868/X1868</f>
        <v/>
      </c>
      <c r="Z1868" s="29" t="n">
        <v>808.59081564633</v>
      </c>
      <c r="AA1868" s="20" t="n">
        <v>79.00076770231129</v>
      </c>
      <c r="AB1868" t="n">
        <v>0.2159562779591079</v>
      </c>
      <c r="AC1868" t="n">
        <v>78.01965111982071</v>
      </c>
      <c r="AD1868" t="n">
        <v>65.93779422527129</v>
      </c>
    </row>
    <row r="1869">
      <c r="A1869" t="n">
        <v>1868</v>
      </c>
      <c r="B1869" t="n">
        <v>60.7</v>
      </c>
      <c r="C1869" s="21">
        <f>B1869-20</f>
        <v/>
      </c>
      <c r="D1869" t="n">
        <v>118.3</v>
      </c>
      <c r="E1869" s="22">
        <f>D1869-90</f>
        <v/>
      </c>
      <c r="F1869" s="23" t="n">
        <v>0.011792</v>
      </c>
      <c r="G1869" s="22" t="n">
        <v>20.1</v>
      </c>
      <c r="H1869" s="22" t="n">
        <v>1.4</v>
      </c>
      <c r="I1869" s="24" t="n">
        <v>0.085930548608303</v>
      </c>
      <c r="J1869" s="6" t="n">
        <v>71000</v>
      </c>
      <c r="K1869" s="25">
        <f>23*10^-6</f>
        <v/>
      </c>
      <c r="L1869" s="8">
        <f>H1869</f>
        <v/>
      </c>
      <c r="M1869" s="26">
        <f>H1869^2/6</f>
        <v/>
      </c>
      <c r="N1869" s="26">
        <f>H1869^3/12</f>
        <v/>
      </c>
      <c r="O1869" s="27">
        <f>-J1869*L1869*K1869*C1869</f>
        <v/>
      </c>
      <c r="P1869" s="28">
        <f>-(12*F1869*J1869*L1869*N1869+12*O1869*N1869*G1869*COS(RADIANS(E1869)))/(12*N1869*G1869*COS(RADIANS(E1869))^2+L1869*G1869^3*SIN(RADIANS(E1869))^2)</f>
        <v/>
      </c>
      <c r="Q1869" s="28">
        <f>-(6*F1869*J1869*L1869*N1869*SIN(RADIANS(E1869))+6*O1869*N1869*G1869*SIN(RADIANS(E1869))*COS(RADIANS(E1869)))/(12*N1869*COS(RADIANS(E1869))^2+L1869*G1869^2*SIN(RADIANS(E1869))^2)</f>
        <v/>
      </c>
      <c r="R1869" s="28">
        <f>-P1869*SIN(RADIANS(E1869))</f>
        <v/>
      </c>
      <c r="S1869" s="8">
        <f>(O1869+P1869*COS(RADIANS(E1869)))/L1869</f>
        <v/>
      </c>
      <c r="T1869" s="8">
        <f>R1869/L1869</f>
        <v/>
      </c>
      <c r="U1869" s="8">
        <f>(Q1869-P1869*G1869*SIN(RADIANS(E1869)))/M1869</f>
        <v/>
      </c>
      <c r="V1869" s="8">
        <f>SQRT((S1869+U1869)^2+3*T1869^2)</f>
        <v/>
      </c>
      <c r="W1869" s="8">
        <f>V1869/AA1869</f>
        <v/>
      </c>
      <c r="X1869" s="27">
        <f>((3*10+H1869/COS(RADIANS(E1869)))*(3+3)+3*G1869*H1869)*2</f>
        <v/>
      </c>
      <c r="Y1869" s="28">
        <f>Z1869/X1869</f>
        <v/>
      </c>
      <c r="Z1869" s="29" t="n">
        <v>550.512897546372</v>
      </c>
      <c r="AA1869" s="20" t="n">
        <v>66.5071084273073</v>
      </c>
      <c r="AB1869" t="n">
        <v>0.05902162115400077</v>
      </c>
      <c r="AC1869" t="n">
        <v>61.3800883509921</v>
      </c>
      <c r="AD1869" t="n">
        <v>-31.31473950778684</v>
      </c>
    </row>
    <row r="1870">
      <c r="A1870" t="n">
        <v>1869</v>
      </c>
      <c r="B1870" t="n">
        <v>62.5</v>
      </c>
      <c r="C1870" s="21">
        <f>B1870-20</f>
        <v/>
      </c>
      <c r="D1870" t="n">
        <v>117.2</v>
      </c>
      <c r="E1870" s="22">
        <f>D1870-90</f>
        <v/>
      </c>
      <c r="F1870" s="23" t="n">
        <v>0.013246</v>
      </c>
      <c r="G1870" s="22" t="n">
        <v>21.9</v>
      </c>
      <c r="H1870" s="22" t="n">
        <v>1.9</v>
      </c>
      <c r="I1870" s="24" t="n">
        <v>0.100938208401203</v>
      </c>
      <c r="J1870" s="6" t="n">
        <v>71000</v>
      </c>
      <c r="K1870" s="25">
        <f>23*10^-6</f>
        <v/>
      </c>
      <c r="L1870" s="8">
        <f>H1870</f>
        <v/>
      </c>
      <c r="M1870" s="26">
        <f>H1870^2/6</f>
        <v/>
      </c>
      <c r="N1870" s="26">
        <f>H1870^3/12</f>
        <v/>
      </c>
      <c r="O1870" s="27">
        <f>-J1870*L1870*K1870*C1870</f>
        <v/>
      </c>
      <c r="P1870" s="28">
        <f>-(12*F1870*J1870*L1870*N1870+12*O1870*N1870*G1870*COS(RADIANS(E1870)))/(12*N1870*G1870*COS(RADIANS(E1870))^2+L1870*G1870^3*SIN(RADIANS(E1870))^2)</f>
        <v/>
      </c>
      <c r="Q1870" s="28">
        <f>-(6*F1870*J1870*L1870*N1870*SIN(RADIANS(E1870))+6*O1870*N1870*G1870*SIN(RADIANS(E1870))*COS(RADIANS(E1870)))/(12*N1870*COS(RADIANS(E1870))^2+L1870*G1870^2*SIN(RADIANS(E1870))^2)</f>
        <v/>
      </c>
      <c r="R1870" s="28">
        <f>-P1870*SIN(RADIANS(E1870))</f>
        <v/>
      </c>
      <c r="S1870" s="8">
        <f>(O1870+P1870*COS(RADIANS(E1870)))/L1870</f>
        <v/>
      </c>
      <c r="T1870" s="8">
        <f>R1870/L1870</f>
        <v/>
      </c>
      <c r="U1870" s="8">
        <f>(Q1870-P1870*G1870*SIN(RADIANS(E1870)))/M1870</f>
        <v/>
      </c>
      <c r="V1870" s="8">
        <f>SQRT((S1870+U1870)^2+3*T1870^2)</f>
        <v/>
      </c>
      <c r="W1870" s="8">
        <f>V1870/AA1870</f>
        <v/>
      </c>
      <c r="X1870" s="27">
        <f>((3*10+H1870/COS(RADIANS(E1870)))*(3+3)+3*G1870*H1870)*2</f>
        <v/>
      </c>
      <c r="Y1870" s="28">
        <f>Z1870/X1870</f>
        <v/>
      </c>
      <c r="Z1870" s="29" t="n">
        <v>637.124661630371</v>
      </c>
      <c r="AA1870" s="20" t="n">
        <v>89.9779919913266</v>
      </c>
      <c r="AB1870" t="n">
        <v>0.06871320795464271</v>
      </c>
      <c r="AC1870" t="n">
        <v>66.41290740412107</v>
      </c>
      <c r="AD1870" t="n">
        <v>-31.9254729769666</v>
      </c>
    </row>
    <row r="1871">
      <c r="A1871" t="n">
        <v>1870</v>
      </c>
      <c r="B1871" t="n">
        <v>54</v>
      </c>
      <c r="C1871" s="21">
        <f>B1871-20</f>
        <v/>
      </c>
      <c r="D1871" t="n">
        <v>122.7</v>
      </c>
      <c r="E1871" s="22">
        <f>D1871-90</f>
        <v/>
      </c>
      <c r="F1871" s="23" t="n">
        <v>0.014145</v>
      </c>
      <c r="G1871" s="22" t="n">
        <v>34.6</v>
      </c>
      <c r="H1871" s="22" t="n">
        <v>1.5</v>
      </c>
      <c r="I1871" s="24" t="n">
        <v>0.066446803510189</v>
      </c>
      <c r="J1871" s="6" t="n">
        <v>71000</v>
      </c>
      <c r="K1871" s="25">
        <f>23*10^-6</f>
        <v/>
      </c>
      <c r="L1871" s="8">
        <f>H1871</f>
        <v/>
      </c>
      <c r="M1871" s="26">
        <f>H1871^2/6</f>
        <v/>
      </c>
      <c r="N1871" s="26">
        <f>H1871^3/12</f>
        <v/>
      </c>
      <c r="O1871" s="27">
        <f>-J1871*L1871*K1871*C1871</f>
        <v/>
      </c>
      <c r="P1871" s="28">
        <f>-(12*F1871*J1871*L1871*N1871+12*O1871*N1871*G1871*COS(RADIANS(E1871)))/(12*N1871*G1871*COS(RADIANS(E1871))^2+L1871*G1871^3*SIN(RADIANS(E1871))^2)</f>
        <v/>
      </c>
      <c r="Q1871" s="28">
        <f>-(6*F1871*J1871*L1871*N1871*SIN(RADIANS(E1871))+6*O1871*N1871*G1871*SIN(RADIANS(E1871))*COS(RADIANS(E1871)))/(12*N1871*COS(RADIANS(E1871))^2+L1871*G1871^2*SIN(RADIANS(E1871))^2)</f>
        <v/>
      </c>
      <c r="R1871" s="28">
        <f>-P1871*SIN(RADIANS(E1871))</f>
        <v/>
      </c>
      <c r="S1871" s="8">
        <f>(O1871+P1871*COS(RADIANS(E1871)))/L1871</f>
        <v/>
      </c>
      <c r="T1871" s="8">
        <f>R1871/L1871</f>
        <v/>
      </c>
      <c r="U1871" s="8">
        <f>(Q1871-P1871*G1871*SIN(RADIANS(E1871)))/M1871</f>
        <v/>
      </c>
      <c r="V1871" s="8">
        <f>SQRT((S1871+U1871)^2+3*T1871^2)</f>
        <v/>
      </c>
      <c r="W1871" s="8">
        <f>V1871/AA1871</f>
        <v/>
      </c>
      <c r="X1871" s="27">
        <f>((3*10+H1871/COS(RADIANS(E1871)))*(3+3)+3*G1871*H1871)*2</f>
        <v/>
      </c>
      <c r="Y1871" s="28">
        <f>Z1871/X1871</f>
        <v/>
      </c>
      <c r="Z1871" s="29" t="n">
        <v>698.490313245881</v>
      </c>
      <c r="AA1871" s="20" t="n">
        <v>49.6071551983359</v>
      </c>
      <c r="AB1871" t="n">
        <v>0.07092179479763648</v>
      </c>
      <c r="AC1871" t="n">
        <v>49.28687995612824</v>
      </c>
      <c r="AD1871" t="n">
        <v>6.734697609285723</v>
      </c>
    </row>
    <row r="1872">
      <c r="A1872" t="n">
        <v>1871</v>
      </c>
      <c r="B1872" t="n">
        <v>44.4</v>
      </c>
      <c r="C1872" s="21">
        <f>B1872-20</f>
        <v/>
      </c>
      <c r="D1872" t="n">
        <v>102.3</v>
      </c>
      <c r="E1872" s="22">
        <f>D1872-90</f>
        <v/>
      </c>
      <c r="F1872" s="23" t="n">
        <v>0.006744</v>
      </c>
      <c r="G1872" s="22" t="n">
        <v>20.1</v>
      </c>
      <c r="H1872" s="22" t="n">
        <v>1.9</v>
      </c>
      <c r="I1872" s="24" t="n">
        <v>0.0362302474677562</v>
      </c>
      <c r="J1872" s="6" t="n">
        <v>71000</v>
      </c>
      <c r="K1872" s="25">
        <f>23*10^-6</f>
        <v/>
      </c>
      <c r="L1872" s="8">
        <f>H1872</f>
        <v/>
      </c>
      <c r="M1872" s="26">
        <f>H1872^2/6</f>
        <v/>
      </c>
      <c r="N1872" s="26">
        <f>H1872^3/12</f>
        <v/>
      </c>
      <c r="O1872" s="27">
        <f>-J1872*L1872*K1872*C1872</f>
        <v/>
      </c>
      <c r="P1872" s="28">
        <f>-(12*F1872*J1872*L1872*N1872+12*O1872*N1872*G1872*COS(RADIANS(E1872)))/(12*N1872*G1872*COS(RADIANS(E1872))^2+L1872*G1872^3*SIN(RADIANS(E1872))^2)</f>
        <v/>
      </c>
      <c r="Q1872" s="28">
        <f>-(6*F1872*J1872*L1872*N1872*SIN(RADIANS(E1872))+6*O1872*N1872*G1872*SIN(RADIANS(E1872))*COS(RADIANS(E1872)))/(12*N1872*COS(RADIANS(E1872))^2+L1872*G1872^2*SIN(RADIANS(E1872))^2)</f>
        <v/>
      </c>
      <c r="R1872" s="28">
        <f>-P1872*SIN(RADIANS(E1872))</f>
        <v/>
      </c>
      <c r="S1872" s="8">
        <f>(O1872+P1872*COS(RADIANS(E1872)))/L1872</f>
        <v/>
      </c>
      <c r="T1872" s="8">
        <f>R1872/L1872</f>
        <v/>
      </c>
      <c r="U1872" s="8">
        <f>(Q1872-P1872*G1872*SIN(RADIANS(E1872)))/M1872</f>
        <v/>
      </c>
      <c r="V1872" s="8">
        <f>SQRT((S1872+U1872)^2+3*T1872^2)</f>
        <v/>
      </c>
      <c r="W1872" s="8">
        <f>V1872/AA1872</f>
        <v/>
      </c>
      <c r="X1872" s="27">
        <f>((3*10+H1872/COS(RADIANS(E1872)))*(3+3)+3*G1872*H1872)*2</f>
        <v/>
      </c>
      <c r="Y1872" s="28">
        <f>Z1872/X1872</f>
        <v/>
      </c>
      <c r="Z1872" s="29" t="n">
        <v>620.128113944606</v>
      </c>
      <c r="AA1872" s="20" t="n">
        <v>42.5376661096981</v>
      </c>
      <c r="AB1872" t="n">
        <v>0.07186037563570363</v>
      </c>
      <c r="AC1872" t="n">
        <v>43.61040272192302</v>
      </c>
      <c r="AD1872" t="n">
        <v>98.3435959129375</v>
      </c>
    </row>
    <row r="1873">
      <c r="A1873" t="n">
        <v>1872</v>
      </c>
      <c r="B1873" t="n">
        <v>66.59999999999999</v>
      </c>
      <c r="C1873" s="21">
        <f>B1873-20</f>
        <v/>
      </c>
      <c r="D1873" t="n">
        <v>108</v>
      </c>
      <c r="E1873" s="22">
        <f>D1873-90</f>
        <v/>
      </c>
      <c r="F1873" s="23" t="n">
        <v>0.018977</v>
      </c>
      <c r="G1873" s="22" t="n">
        <v>33.6</v>
      </c>
      <c r="H1873" s="22" t="n">
        <v>1.5</v>
      </c>
      <c r="I1873" s="24" t="n">
        <v>0.0901142209768295</v>
      </c>
      <c r="J1873" s="6" t="n">
        <v>71000</v>
      </c>
      <c r="K1873" s="25">
        <f>23*10^-6</f>
        <v/>
      </c>
      <c r="L1873" s="8">
        <f>H1873</f>
        <v/>
      </c>
      <c r="M1873" s="26">
        <f>H1873^2/6</f>
        <v/>
      </c>
      <c r="N1873" s="26">
        <f>H1873^3/12</f>
        <v/>
      </c>
      <c r="O1873" s="27">
        <f>-J1873*L1873*K1873*C1873</f>
        <v/>
      </c>
      <c r="P1873" s="28">
        <f>-(12*F1873*J1873*L1873*N1873+12*O1873*N1873*G1873*COS(RADIANS(E1873)))/(12*N1873*G1873*COS(RADIANS(E1873))^2+L1873*G1873^3*SIN(RADIANS(E1873))^2)</f>
        <v/>
      </c>
      <c r="Q1873" s="28">
        <f>-(6*F1873*J1873*L1873*N1873*SIN(RADIANS(E1873))+6*O1873*N1873*G1873*SIN(RADIANS(E1873))*COS(RADIANS(E1873)))/(12*N1873*COS(RADIANS(E1873))^2+L1873*G1873^2*SIN(RADIANS(E1873))^2)</f>
        <v/>
      </c>
      <c r="R1873" s="28">
        <f>-P1873*SIN(RADIANS(E1873))</f>
        <v/>
      </c>
      <c r="S1873" s="8">
        <f>(O1873+P1873*COS(RADIANS(E1873)))/L1873</f>
        <v/>
      </c>
      <c r="T1873" s="8">
        <f>R1873/L1873</f>
        <v/>
      </c>
      <c r="U1873" s="8">
        <f>(Q1873-P1873*G1873*SIN(RADIANS(E1873)))/M1873</f>
        <v/>
      </c>
      <c r="V1873" s="8">
        <f>SQRT((S1873+U1873)^2+3*T1873^2)</f>
        <v/>
      </c>
      <c r="W1873" s="8">
        <f>V1873/AA1873</f>
        <v/>
      </c>
      <c r="X1873" s="27">
        <f>((3*10+H1873/COS(RADIANS(E1873)))*(3+3)+3*G1873*H1873)*2</f>
        <v/>
      </c>
      <c r="Y1873" s="28">
        <f>Z1873/X1873</f>
        <v/>
      </c>
      <c r="Z1873" s="29" t="n">
        <v>689.313737116636</v>
      </c>
      <c r="AA1873" s="20" t="n">
        <v>68.66515889104789</v>
      </c>
      <c r="AB1873" t="n">
        <v>0.1751652252834931</v>
      </c>
      <c r="AC1873" t="n">
        <v>72.52697171080392</v>
      </c>
      <c r="AD1873" t="n">
        <v>94.38133447165036</v>
      </c>
    </row>
    <row r="1874">
      <c r="A1874" t="n">
        <v>1873</v>
      </c>
      <c r="B1874" t="n">
        <v>88.3</v>
      </c>
      <c r="C1874" s="21">
        <f>B1874-20</f>
        <v/>
      </c>
      <c r="D1874" t="n">
        <v>111.2</v>
      </c>
      <c r="E1874" s="22">
        <f>D1874-90</f>
        <v/>
      </c>
      <c r="F1874" s="23" t="n">
        <v>0.028675</v>
      </c>
      <c r="G1874" s="22" t="n">
        <v>31.9</v>
      </c>
      <c r="H1874" s="22" t="n">
        <v>1.3</v>
      </c>
      <c r="I1874" s="24" t="n">
        <v>0.204458653926849</v>
      </c>
      <c r="J1874" s="6" t="n">
        <v>71000</v>
      </c>
      <c r="K1874" s="25">
        <f>23*10^-6</f>
        <v/>
      </c>
      <c r="L1874" s="8">
        <f>H1874</f>
        <v/>
      </c>
      <c r="M1874" s="26">
        <f>H1874^2/6</f>
        <v/>
      </c>
      <c r="N1874" s="26">
        <f>H1874^3/12</f>
        <v/>
      </c>
      <c r="O1874" s="27">
        <f>-J1874*L1874*K1874*C1874</f>
        <v/>
      </c>
      <c r="P1874" s="28">
        <f>-(12*F1874*J1874*L1874*N1874+12*O1874*N1874*G1874*COS(RADIANS(E1874)))/(12*N1874*G1874*COS(RADIANS(E1874))^2+L1874*G1874^3*SIN(RADIANS(E1874))^2)</f>
        <v/>
      </c>
      <c r="Q1874" s="28">
        <f>-(6*F1874*J1874*L1874*N1874*SIN(RADIANS(E1874))+6*O1874*N1874*G1874*SIN(RADIANS(E1874))*COS(RADIANS(E1874)))/(12*N1874*COS(RADIANS(E1874))^2+L1874*G1874^2*SIN(RADIANS(E1874))^2)</f>
        <v/>
      </c>
      <c r="R1874" s="28">
        <f>-P1874*SIN(RADIANS(E1874))</f>
        <v/>
      </c>
      <c r="S1874" s="8">
        <f>(O1874+P1874*COS(RADIANS(E1874)))/L1874</f>
        <v/>
      </c>
      <c r="T1874" s="8">
        <f>R1874/L1874</f>
        <v/>
      </c>
      <c r="U1874" s="8">
        <f>(Q1874-P1874*G1874*SIN(RADIANS(E1874)))/M1874</f>
        <v/>
      </c>
      <c r="V1874" s="8">
        <f>SQRT((S1874+U1874)^2+3*T1874^2)</f>
        <v/>
      </c>
      <c r="W1874" s="8">
        <f>V1874/AA1874</f>
        <v/>
      </c>
      <c r="X1874" s="27">
        <f>((3*10+H1874/COS(RADIANS(E1874)))*(3+3)+3*G1874*H1874)*2</f>
        <v/>
      </c>
      <c r="Y1874" s="28">
        <f>Z1874/X1874</f>
        <v/>
      </c>
      <c r="Z1874" s="29" t="n">
        <v>629.231464875744</v>
      </c>
      <c r="AA1874" s="20" t="n">
        <v>102.230249802952</v>
      </c>
      <c r="AB1874" t="n">
        <v>0.2079064765642766</v>
      </c>
      <c r="AC1874" t="n">
        <v>102.8946394747425</v>
      </c>
      <c r="AD1874" t="n">
        <v>1.686317781716975</v>
      </c>
    </row>
    <row r="1875">
      <c r="A1875" t="n">
        <v>1874</v>
      </c>
      <c r="B1875" t="n">
        <v>44.1</v>
      </c>
      <c r="C1875" s="21">
        <f>B1875-20</f>
        <v/>
      </c>
      <c r="D1875" t="n">
        <v>126</v>
      </c>
      <c r="E1875" s="22">
        <f>D1875-90</f>
        <v/>
      </c>
      <c r="F1875" s="23" t="n">
        <v>0.009220000000000001</v>
      </c>
      <c r="G1875" s="22" t="n">
        <v>31.3</v>
      </c>
      <c r="H1875" s="22" t="n">
        <v>1.6</v>
      </c>
      <c r="I1875" s="24" t="n">
        <v>0.0438392460346221</v>
      </c>
      <c r="J1875" s="6" t="n">
        <v>71000</v>
      </c>
      <c r="K1875" s="25">
        <f>23*10^-6</f>
        <v/>
      </c>
      <c r="L1875" s="8">
        <f>H1875</f>
        <v/>
      </c>
      <c r="M1875" s="26">
        <f>H1875^2/6</f>
        <v/>
      </c>
      <c r="N1875" s="26">
        <f>H1875^3/12</f>
        <v/>
      </c>
      <c r="O1875" s="27">
        <f>-J1875*L1875*K1875*C1875</f>
        <v/>
      </c>
      <c r="P1875" s="28">
        <f>-(12*F1875*J1875*L1875*N1875+12*O1875*N1875*G1875*COS(RADIANS(E1875)))/(12*N1875*G1875*COS(RADIANS(E1875))^2+L1875*G1875^3*SIN(RADIANS(E1875))^2)</f>
        <v/>
      </c>
      <c r="Q1875" s="28">
        <f>-(6*F1875*J1875*L1875*N1875*SIN(RADIANS(E1875))+6*O1875*N1875*G1875*SIN(RADIANS(E1875))*COS(RADIANS(E1875)))/(12*N1875*COS(RADIANS(E1875))^2+L1875*G1875^2*SIN(RADIANS(E1875))^2)</f>
        <v/>
      </c>
      <c r="R1875" s="28">
        <f>-P1875*SIN(RADIANS(E1875))</f>
        <v/>
      </c>
      <c r="S1875" s="8">
        <f>(O1875+P1875*COS(RADIANS(E1875)))/L1875</f>
        <v/>
      </c>
      <c r="T1875" s="8">
        <f>R1875/L1875</f>
        <v/>
      </c>
      <c r="U1875" s="8">
        <f>(Q1875-P1875*G1875*SIN(RADIANS(E1875)))/M1875</f>
        <v/>
      </c>
      <c r="V1875" s="8">
        <f>SQRT((S1875+U1875)^2+3*T1875^2)</f>
        <v/>
      </c>
      <c r="W1875" s="8">
        <f>V1875/AA1875</f>
        <v/>
      </c>
      <c r="X1875" s="27">
        <f>((3*10+H1875/COS(RADIANS(E1875)))*(3+3)+3*G1875*H1875)*2</f>
        <v/>
      </c>
      <c r="Y1875" s="28">
        <f>Z1875/X1875</f>
        <v/>
      </c>
      <c r="Z1875" s="29" t="n">
        <v>688.97792368898</v>
      </c>
      <c r="AA1875" s="20" t="n">
        <v>36.7250684073459</v>
      </c>
      <c r="AB1875" t="n">
        <v>0.04112675982478418</v>
      </c>
      <c r="AC1875" t="n">
        <v>34.93804152120543</v>
      </c>
      <c r="AD1875" t="n">
        <v>-6.187346852853556</v>
      </c>
    </row>
    <row r="1876">
      <c r="A1876" t="n">
        <v>1875</v>
      </c>
      <c r="B1876" t="n">
        <v>83.2</v>
      </c>
      <c r="C1876" s="21">
        <f>B1876-20</f>
        <v/>
      </c>
      <c r="D1876" t="n">
        <v>101.4</v>
      </c>
      <c r="E1876" s="22">
        <f>D1876-90</f>
        <v/>
      </c>
      <c r="F1876" s="23" t="n">
        <v>0.025726</v>
      </c>
      <c r="G1876" s="22" t="n">
        <v>33.4</v>
      </c>
      <c r="H1876" s="22" t="n">
        <v>1.7</v>
      </c>
      <c r="I1876" s="24" t="n">
        <v>0.123583234846591</v>
      </c>
      <c r="J1876" s="6" t="n">
        <v>71000</v>
      </c>
      <c r="K1876" s="25">
        <f>23*10^-6</f>
        <v/>
      </c>
      <c r="L1876" s="8">
        <f>H1876</f>
        <v/>
      </c>
      <c r="M1876" s="26">
        <f>H1876^2/6</f>
        <v/>
      </c>
      <c r="N1876" s="26">
        <f>H1876^3/12</f>
        <v/>
      </c>
      <c r="O1876" s="27">
        <f>-J1876*L1876*K1876*C1876</f>
        <v/>
      </c>
      <c r="P1876" s="28">
        <f>-(12*F1876*J1876*L1876*N1876+12*O1876*N1876*G1876*COS(RADIANS(E1876)))/(12*N1876*G1876*COS(RADIANS(E1876))^2+L1876*G1876^3*SIN(RADIANS(E1876))^2)</f>
        <v/>
      </c>
      <c r="Q1876" s="28">
        <f>-(6*F1876*J1876*L1876*N1876*SIN(RADIANS(E1876))+6*O1876*N1876*G1876*SIN(RADIANS(E1876))*COS(RADIANS(E1876)))/(12*N1876*COS(RADIANS(E1876))^2+L1876*G1876^2*SIN(RADIANS(E1876))^2)</f>
        <v/>
      </c>
      <c r="R1876" s="28">
        <f>-P1876*SIN(RADIANS(E1876))</f>
        <v/>
      </c>
      <c r="S1876" s="8">
        <f>(O1876+P1876*COS(RADIANS(E1876)))/L1876</f>
        <v/>
      </c>
      <c r="T1876" s="8">
        <f>R1876/L1876</f>
        <v/>
      </c>
      <c r="U1876" s="8">
        <f>(Q1876-P1876*G1876*SIN(RADIANS(E1876)))/M1876</f>
        <v/>
      </c>
      <c r="V1876" s="8">
        <f>SQRT((S1876+U1876)^2+3*T1876^2)</f>
        <v/>
      </c>
      <c r="W1876" s="8">
        <f>V1876/AA1876</f>
        <v/>
      </c>
      <c r="X1876" s="27">
        <f>((3*10+H1876/COS(RADIANS(E1876)))*(3+3)+3*G1876*H1876)*2</f>
        <v/>
      </c>
      <c r="Y1876" s="28">
        <f>Z1876/X1876</f>
        <v/>
      </c>
      <c r="Z1876" s="29" t="n">
        <v>730.034005638325</v>
      </c>
      <c r="AA1876" s="20" t="n">
        <v>97.43551641714549</v>
      </c>
      <c r="AB1876" t="n">
        <v>0.3607140976461978</v>
      </c>
      <c r="AC1876" t="n">
        <v>107.7744188158067</v>
      </c>
      <c r="AD1876" t="n">
        <v>191.8794754757529</v>
      </c>
    </row>
    <row r="1877">
      <c r="A1877" t="n">
        <v>1876</v>
      </c>
      <c r="B1877" t="n">
        <v>40.1</v>
      </c>
      <c r="C1877" s="21">
        <f>B1877-20</f>
        <v/>
      </c>
      <c r="D1877" t="n">
        <v>115.8</v>
      </c>
      <c r="E1877" s="22">
        <f>D1877-90</f>
        <v/>
      </c>
      <c r="F1877" s="23" t="n">
        <v>0.007121</v>
      </c>
      <c r="G1877" s="22" t="n">
        <v>29.8</v>
      </c>
      <c r="H1877" s="22" t="n">
        <v>1.1</v>
      </c>
      <c r="I1877" s="24" t="n">
        <v>0.0320782512426376</v>
      </c>
      <c r="J1877" s="6" t="n">
        <v>71000</v>
      </c>
      <c r="K1877" s="25">
        <f>23*10^-6</f>
        <v/>
      </c>
      <c r="L1877" s="8">
        <f>H1877</f>
        <v/>
      </c>
      <c r="M1877" s="26">
        <f>H1877^2/6</f>
        <v/>
      </c>
      <c r="N1877" s="26">
        <f>H1877^3/12</f>
        <v/>
      </c>
      <c r="O1877" s="27">
        <f>-J1877*L1877*K1877*C1877</f>
        <v/>
      </c>
      <c r="P1877" s="28">
        <f>-(12*F1877*J1877*L1877*N1877+12*O1877*N1877*G1877*COS(RADIANS(E1877)))/(12*N1877*G1877*COS(RADIANS(E1877))^2+L1877*G1877^3*SIN(RADIANS(E1877))^2)</f>
        <v/>
      </c>
      <c r="Q1877" s="28">
        <f>-(6*F1877*J1877*L1877*N1877*SIN(RADIANS(E1877))+6*O1877*N1877*G1877*SIN(RADIANS(E1877))*COS(RADIANS(E1877)))/(12*N1877*COS(RADIANS(E1877))^2+L1877*G1877^2*SIN(RADIANS(E1877))^2)</f>
        <v/>
      </c>
      <c r="R1877" s="28">
        <f>-P1877*SIN(RADIANS(E1877))</f>
        <v/>
      </c>
      <c r="S1877" s="8">
        <f>(O1877+P1877*COS(RADIANS(E1877)))/L1877</f>
        <v/>
      </c>
      <c r="T1877" s="8">
        <f>R1877/L1877</f>
        <v/>
      </c>
      <c r="U1877" s="8">
        <f>(Q1877-P1877*G1877*SIN(RADIANS(E1877)))/M1877</f>
        <v/>
      </c>
      <c r="V1877" s="8">
        <f>SQRT((S1877+U1877)^2+3*T1877^2)</f>
        <v/>
      </c>
      <c r="W1877" s="8">
        <f>V1877/AA1877</f>
        <v/>
      </c>
      <c r="X1877" s="27">
        <f>((3*10+H1877/COS(RADIANS(E1877)))*(3+3)+3*G1877*H1877)*2</f>
        <v/>
      </c>
      <c r="Y1877" s="28">
        <f>Z1877/X1877</f>
        <v/>
      </c>
      <c r="Z1877" s="29" t="n">
        <v>580.319836600247</v>
      </c>
      <c r="AA1877" s="20" t="n">
        <v>27.0956240267066</v>
      </c>
      <c r="AB1877" t="n">
        <v>0.04691976733981559</v>
      </c>
      <c r="AC1877" t="n">
        <v>29.35459588634829</v>
      </c>
      <c r="AD1877" t="n">
        <v>46.26659971242766</v>
      </c>
    </row>
    <row r="1878">
      <c r="A1878" t="n">
        <v>1877</v>
      </c>
      <c r="B1878" t="n">
        <v>72.2</v>
      </c>
      <c r="C1878" s="21">
        <f>B1878-20</f>
        <v/>
      </c>
      <c r="D1878" t="n">
        <v>123.8</v>
      </c>
      <c r="E1878" s="22">
        <f>D1878-90</f>
        <v/>
      </c>
      <c r="F1878" s="23" t="n">
        <v>0.02235</v>
      </c>
      <c r="G1878" s="22" t="n">
        <v>32.3</v>
      </c>
      <c r="H1878" s="22" t="n">
        <v>1.9</v>
      </c>
      <c r="I1878" s="24" t="n">
        <v>0.178909957408905</v>
      </c>
      <c r="J1878" s="6" t="n">
        <v>71000</v>
      </c>
      <c r="K1878" s="25">
        <f>23*10^-6</f>
        <v/>
      </c>
      <c r="L1878" s="8">
        <f>H1878</f>
        <v/>
      </c>
      <c r="M1878" s="26">
        <f>H1878^2/6</f>
        <v/>
      </c>
      <c r="N1878" s="26">
        <f>H1878^3/12</f>
        <v/>
      </c>
      <c r="O1878" s="27">
        <f>-J1878*L1878*K1878*C1878</f>
        <v/>
      </c>
      <c r="P1878" s="28">
        <f>-(12*F1878*J1878*L1878*N1878+12*O1878*N1878*G1878*COS(RADIANS(E1878)))/(12*N1878*G1878*COS(RADIANS(E1878))^2+L1878*G1878^3*SIN(RADIANS(E1878))^2)</f>
        <v/>
      </c>
      <c r="Q1878" s="28">
        <f>-(6*F1878*J1878*L1878*N1878*SIN(RADIANS(E1878))+6*O1878*N1878*G1878*SIN(RADIANS(E1878))*COS(RADIANS(E1878)))/(12*N1878*COS(RADIANS(E1878))^2+L1878*G1878^2*SIN(RADIANS(E1878))^2)</f>
        <v/>
      </c>
      <c r="R1878" s="28">
        <f>-P1878*SIN(RADIANS(E1878))</f>
        <v/>
      </c>
      <c r="S1878" s="8">
        <f>(O1878+P1878*COS(RADIANS(E1878)))/L1878</f>
        <v/>
      </c>
      <c r="T1878" s="8">
        <f>R1878/L1878</f>
        <v/>
      </c>
      <c r="U1878" s="8">
        <f>(Q1878-P1878*G1878*SIN(RADIANS(E1878)))/M1878</f>
        <v/>
      </c>
      <c r="V1878" s="8">
        <f>SQRT((S1878+U1878)^2+3*T1878^2)</f>
        <v/>
      </c>
      <c r="W1878" s="8">
        <f>V1878/AA1878</f>
        <v/>
      </c>
      <c r="X1878" s="27">
        <f>((3*10+H1878/COS(RADIANS(E1878)))*(3+3)+3*G1878*H1878)*2</f>
        <v/>
      </c>
      <c r="Y1878" s="28">
        <f>Z1878/X1878</f>
        <v/>
      </c>
      <c r="Z1878" s="29" t="n">
        <v>755.553135022366</v>
      </c>
      <c r="AA1878" s="20" t="n">
        <v>91.7787579027554</v>
      </c>
      <c r="AB1878" t="n">
        <v>0.09804483866456706</v>
      </c>
      <c r="AC1878" t="n">
        <v>77.11767520304865</v>
      </c>
      <c r="AD1878" t="n">
        <v>-45.19878038957768</v>
      </c>
    </row>
    <row r="1879">
      <c r="A1879" t="n">
        <v>1878</v>
      </c>
      <c r="B1879" t="n">
        <v>83.5</v>
      </c>
      <c r="C1879" s="21">
        <f>B1879-20</f>
        <v/>
      </c>
      <c r="D1879" t="n">
        <v>113.9</v>
      </c>
      <c r="E1879" s="22">
        <f>D1879-90</f>
        <v/>
      </c>
      <c r="F1879" s="23" t="n">
        <v>0.026443</v>
      </c>
      <c r="G1879" s="22" t="n">
        <v>32.1</v>
      </c>
      <c r="H1879" s="22" t="n">
        <v>1.5</v>
      </c>
      <c r="I1879" s="24" t="n">
        <v>0.163974806666374</v>
      </c>
      <c r="J1879" s="6" t="n">
        <v>71000</v>
      </c>
      <c r="K1879" s="25">
        <f>23*10^-6</f>
        <v/>
      </c>
      <c r="L1879" s="8">
        <f>H1879</f>
        <v/>
      </c>
      <c r="M1879" s="26">
        <f>H1879^2/6</f>
        <v/>
      </c>
      <c r="N1879" s="26">
        <f>H1879^3/12</f>
        <v/>
      </c>
      <c r="O1879" s="27">
        <f>-J1879*L1879*K1879*C1879</f>
        <v/>
      </c>
      <c r="P1879" s="28">
        <f>-(12*F1879*J1879*L1879*N1879+12*O1879*N1879*G1879*COS(RADIANS(E1879)))/(12*N1879*G1879*COS(RADIANS(E1879))^2+L1879*G1879^3*SIN(RADIANS(E1879))^2)</f>
        <v/>
      </c>
      <c r="Q1879" s="28">
        <f>-(6*F1879*J1879*L1879*N1879*SIN(RADIANS(E1879))+6*O1879*N1879*G1879*SIN(RADIANS(E1879))*COS(RADIANS(E1879)))/(12*N1879*COS(RADIANS(E1879))^2+L1879*G1879^2*SIN(RADIANS(E1879))^2)</f>
        <v/>
      </c>
      <c r="R1879" s="28">
        <f>-P1879*SIN(RADIANS(E1879))</f>
        <v/>
      </c>
      <c r="S1879" s="8">
        <f>(O1879+P1879*COS(RADIANS(E1879)))/L1879</f>
        <v/>
      </c>
      <c r="T1879" s="8">
        <f>R1879/L1879</f>
        <v/>
      </c>
      <c r="U1879" s="8">
        <f>(Q1879-P1879*G1879*SIN(RADIANS(E1879)))/M1879</f>
        <v/>
      </c>
      <c r="V1879" s="8">
        <f>SQRT((S1879+U1879)^2+3*T1879^2)</f>
        <v/>
      </c>
      <c r="W1879" s="8">
        <f>V1879/AA1879</f>
        <v/>
      </c>
      <c r="X1879" s="27">
        <f>((3*10+H1879/COS(RADIANS(E1879)))*(3+3)+3*G1879*H1879)*2</f>
        <v/>
      </c>
      <c r="Y1879" s="28">
        <f>Z1879/X1879</f>
        <v/>
      </c>
      <c r="Z1879" s="29" t="n">
        <v>672.4950428036479</v>
      </c>
      <c r="AA1879" s="20" t="n">
        <v>97.65952539988589</v>
      </c>
      <c r="AB1879" t="n">
        <v>0.1714281925573814</v>
      </c>
      <c r="AC1879" t="n">
        <v>95.66468383711224</v>
      </c>
      <c r="AD1879" t="n">
        <v>4.545445756293633</v>
      </c>
    </row>
    <row r="1880">
      <c r="A1880" t="n">
        <v>1879</v>
      </c>
      <c r="B1880" t="n">
        <v>67.40000000000001</v>
      </c>
      <c r="C1880" s="21">
        <f>B1880-20</f>
        <v/>
      </c>
      <c r="D1880" t="n">
        <v>115.1</v>
      </c>
      <c r="E1880" s="22">
        <f>D1880-90</f>
        <v/>
      </c>
      <c r="F1880" s="23" t="n">
        <v>0.017147</v>
      </c>
      <c r="G1880" s="22" t="n">
        <v>27.6</v>
      </c>
      <c r="H1880" s="22" t="n">
        <v>1.2</v>
      </c>
      <c r="I1880" s="24" t="n">
        <v>0.0974410846829414</v>
      </c>
      <c r="J1880" s="6" t="n">
        <v>71000</v>
      </c>
      <c r="K1880" s="25">
        <f>23*10^-6</f>
        <v/>
      </c>
      <c r="L1880" s="8">
        <f>H1880</f>
        <v/>
      </c>
      <c r="M1880" s="26">
        <f>H1880^2/6</f>
        <v/>
      </c>
      <c r="N1880" s="26">
        <f>H1880^3/12</f>
        <v/>
      </c>
      <c r="O1880" s="27">
        <f>-J1880*L1880*K1880*C1880</f>
        <v/>
      </c>
      <c r="P1880" s="28">
        <f>-(12*F1880*J1880*L1880*N1880+12*O1880*N1880*G1880*COS(RADIANS(E1880)))/(12*N1880*G1880*COS(RADIANS(E1880))^2+L1880*G1880^3*SIN(RADIANS(E1880))^2)</f>
        <v/>
      </c>
      <c r="Q1880" s="28">
        <f>-(6*F1880*J1880*L1880*N1880*SIN(RADIANS(E1880))+6*O1880*N1880*G1880*SIN(RADIANS(E1880))*COS(RADIANS(E1880)))/(12*N1880*COS(RADIANS(E1880))^2+L1880*G1880^2*SIN(RADIANS(E1880))^2)</f>
        <v/>
      </c>
      <c r="R1880" s="28">
        <f>-P1880*SIN(RADIANS(E1880))</f>
        <v/>
      </c>
      <c r="S1880" s="8">
        <f>(O1880+P1880*COS(RADIANS(E1880)))/L1880</f>
        <v/>
      </c>
      <c r="T1880" s="8">
        <f>R1880/L1880</f>
        <v/>
      </c>
      <c r="U1880" s="8">
        <f>(Q1880-P1880*G1880*SIN(RADIANS(E1880)))/M1880</f>
        <v/>
      </c>
      <c r="V1880" s="8">
        <f>SQRT((S1880+U1880)^2+3*T1880^2)</f>
        <v/>
      </c>
      <c r="W1880" s="8">
        <f>V1880/AA1880</f>
        <v/>
      </c>
      <c r="X1880" s="27">
        <f>((3*10+H1880/COS(RADIANS(E1880)))*(3+3)+3*G1880*H1880)*2</f>
        <v/>
      </c>
      <c r="Y1880" s="28">
        <f>Z1880/X1880</f>
        <v/>
      </c>
      <c r="Z1880" s="29" t="n">
        <v>579.3410365396099</v>
      </c>
      <c r="AA1880" s="20" t="n">
        <v>68.5738752853846</v>
      </c>
      <c r="AB1880" t="n">
        <v>0.1057068827578529</v>
      </c>
      <c r="AC1880" t="n">
        <v>70.22757920537008</v>
      </c>
      <c r="AD1880" t="n">
        <v>8.482867469925253</v>
      </c>
    </row>
    <row r="1881">
      <c r="A1881" t="n">
        <v>1880</v>
      </c>
      <c r="B1881" t="n">
        <v>72.09999999999999</v>
      </c>
      <c r="C1881" s="21">
        <f>B1881-20</f>
        <v/>
      </c>
      <c r="D1881" t="n">
        <v>105.7</v>
      </c>
      <c r="E1881" s="22">
        <f>D1881-90</f>
        <v/>
      </c>
      <c r="F1881" s="23" t="n">
        <v>0.016922</v>
      </c>
      <c r="G1881" s="22" t="n">
        <v>27.8</v>
      </c>
      <c r="H1881" s="22" t="n">
        <v>1</v>
      </c>
      <c r="I1881" s="24" t="n">
        <v>0.074746273458004</v>
      </c>
      <c r="J1881" s="6" t="n">
        <v>71000</v>
      </c>
      <c r="K1881" s="25">
        <f>23*10^-6</f>
        <v/>
      </c>
      <c r="L1881" s="8">
        <f>H1881</f>
        <v/>
      </c>
      <c r="M1881" s="26">
        <f>H1881^2/6</f>
        <v/>
      </c>
      <c r="N1881" s="26">
        <f>H1881^3/12</f>
        <v/>
      </c>
      <c r="O1881" s="27">
        <f>-J1881*L1881*K1881*C1881</f>
        <v/>
      </c>
      <c r="P1881" s="28">
        <f>-(12*F1881*J1881*L1881*N1881+12*O1881*N1881*G1881*COS(RADIANS(E1881)))/(12*N1881*G1881*COS(RADIANS(E1881))^2+L1881*G1881^3*SIN(RADIANS(E1881))^2)</f>
        <v/>
      </c>
      <c r="Q1881" s="28">
        <f>-(6*F1881*J1881*L1881*N1881*SIN(RADIANS(E1881))+6*O1881*N1881*G1881*SIN(RADIANS(E1881))*COS(RADIANS(E1881)))/(12*N1881*COS(RADIANS(E1881))^2+L1881*G1881^2*SIN(RADIANS(E1881))^2)</f>
        <v/>
      </c>
      <c r="R1881" s="28">
        <f>-P1881*SIN(RADIANS(E1881))</f>
        <v/>
      </c>
      <c r="S1881" s="8">
        <f>(O1881+P1881*COS(RADIANS(E1881)))/L1881</f>
        <v/>
      </c>
      <c r="T1881" s="8">
        <f>R1881/L1881</f>
        <v/>
      </c>
      <c r="U1881" s="8">
        <f>(Q1881-P1881*G1881*SIN(RADIANS(E1881)))/M1881</f>
        <v/>
      </c>
      <c r="V1881" s="8">
        <f>SQRT((S1881+U1881)^2+3*T1881^2)</f>
        <v/>
      </c>
      <c r="W1881" s="8">
        <f>V1881/AA1881</f>
        <v/>
      </c>
      <c r="X1881" s="27">
        <f>((3*10+H1881/COS(RADIANS(E1881)))*(3+3)+3*G1881*H1881)*2</f>
        <v/>
      </c>
      <c r="Y1881" s="28">
        <f>Z1881/X1881</f>
        <v/>
      </c>
      <c r="Z1881" s="29" t="n">
        <v>550.732076575633</v>
      </c>
      <c r="AA1881" s="20" t="n">
        <v>68.49926849415181</v>
      </c>
      <c r="AB1881" t="n">
        <v>0.1891476933787948</v>
      </c>
      <c r="AC1881" t="n">
        <v>79.92735748185444</v>
      </c>
      <c r="AD1881" t="n">
        <v>153.0530080339951</v>
      </c>
    </row>
    <row r="1882">
      <c r="A1882" t="n">
        <v>1881</v>
      </c>
      <c r="B1882" t="n">
        <v>59.4</v>
      </c>
      <c r="C1882" s="21">
        <f>B1882-20</f>
        <v/>
      </c>
      <c r="D1882" t="n">
        <v>101.5</v>
      </c>
      <c r="E1882" s="22">
        <f>D1882-90</f>
        <v/>
      </c>
      <c r="F1882" s="23" t="n">
        <v>0.017181</v>
      </c>
      <c r="G1882" s="22" t="n">
        <v>32.9</v>
      </c>
      <c r="H1882" s="22" t="n">
        <v>1.9</v>
      </c>
      <c r="I1882" s="24" t="n">
        <v>0.145059570670127</v>
      </c>
      <c r="J1882" s="6" t="n">
        <v>71000</v>
      </c>
      <c r="K1882" s="25">
        <f>23*10^-6</f>
        <v/>
      </c>
      <c r="L1882" s="8">
        <f>H1882</f>
        <v/>
      </c>
      <c r="M1882" s="26">
        <f>H1882^2/6</f>
        <v/>
      </c>
      <c r="N1882" s="26">
        <f>H1882^3/12</f>
        <v/>
      </c>
      <c r="O1882" s="27">
        <f>-J1882*L1882*K1882*C1882</f>
        <v/>
      </c>
      <c r="P1882" s="28">
        <f>-(12*F1882*J1882*L1882*N1882+12*O1882*N1882*G1882*COS(RADIANS(E1882)))/(12*N1882*G1882*COS(RADIANS(E1882))^2+L1882*G1882^3*SIN(RADIANS(E1882))^2)</f>
        <v/>
      </c>
      <c r="Q1882" s="28">
        <f>-(6*F1882*J1882*L1882*N1882*SIN(RADIANS(E1882))+6*O1882*N1882*G1882*SIN(RADIANS(E1882))*COS(RADIANS(E1882)))/(12*N1882*COS(RADIANS(E1882))^2+L1882*G1882^2*SIN(RADIANS(E1882))^2)</f>
        <v/>
      </c>
      <c r="R1882" s="28">
        <f>-P1882*SIN(RADIANS(E1882))</f>
        <v/>
      </c>
      <c r="S1882" s="8">
        <f>(O1882+P1882*COS(RADIANS(E1882)))/L1882</f>
        <v/>
      </c>
      <c r="T1882" s="8">
        <f>R1882/L1882</f>
        <v/>
      </c>
      <c r="U1882" s="8">
        <f>(Q1882-P1882*G1882*SIN(RADIANS(E1882)))/M1882</f>
        <v/>
      </c>
      <c r="V1882" s="8">
        <f>SQRT((S1882+U1882)^2+3*T1882^2)</f>
        <v/>
      </c>
      <c r="W1882" s="8">
        <f>V1882/AA1882</f>
        <v/>
      </c>
      <c r="X1882" s="27">
        <f>((3*10+H1882/COS(RADIANS(E1882)))*(3+3)+3*G1882*H1882)*2</f>
        <v/>
      </c>
      <c r="Y1882" s="28">
        <f>Z1882/X1882</f>
        <v/>
      </c>
      <c r="Z1882" s="29" t="n">
        <v>762.235520825079</v>
      </c>
      <c r="AA1882" s="20" t="n">
        <v>69.79070361520429</v>
      </c>
      <c r="AB1882" t="n">
        <v>0.2162574907279241</v>
      </c>
      <c r="AC1882" t="n">
        <v>68.48142742053669</v>
      </c>
      <c r="AD1882" t="n">
        <v>49.08184942840129</v>
      </c>
    </row>
    <row r="1883">
      <c r="A1883" t="n">
        <v>1882</v>
      </c>
      <c r="B1883" t="n">
        <v>74.8</v>
      </c>
      <c r="C1883" s="21">
        <f>B1883-20</f>
        <v/>
      </c>
      <c r="D1883" t="n">
        <v>129.1</v>
      </c>
      <c r="E1883" s="22">
        <f>D1883-90</f>
        <v/>
      </c>
      <c r="F1883" s="23" t="n">
        <v>0.015785</v>
      </c>
      <c r="G1883" s="22" t="n">
        <v>21.4</v>
      </c>
      <c r="H1883" s="22" t="n">
        <v>1</v>
      </c>
      <c r="I1883" s="24" t="n">
        <v>0.08317830413579939</v>
      </c>
      <c r="J1883" s="6" t="n">
        <v>71000</v>
      </c>
      <c r="K1883" s="25">
        <f>23*10^-6</f>
        <v/>
      </c>
      <c r="L1883" s="8">
        <f>H1883</f>
        <v/>
      </c>
      <c r="M1883" s="26">
        <f>H1883^2/6</f>
        <v/>
      </c>
      <c r="N1883" s="26">
        <f>H1883^3/12</f>
        <v/>
      </c>
      <c r="O1883" s="27">
        <f>-J1883*L1883*K1883*C1883</f>
        <v/>
      </c>
      <c r="P1883" s="28">
        <f>-(12*F1883*J1883*L1883*N1883+12*O1883*N1883*G1883*COS(RADIANS(E1883)))/(12*N1883*G1883*COS(RADIANS(E1883))^2+L1883*G1883^3*SIN(RADIANS(E1883))^2)</f>
        <v/>
      </c>
      <c r="Q1883" s="28">
        <f>-(6*F1883*J1883*L1883*N1883*SIN(RADIANS(E1883))+6*O1883*N1883*G1883*SIN(RADIANS(E1883))*COS(RADIANS(E1883)))/(12*N1883*COS(RADIANS(E1883))^2+L1883*G1883^2*SIN(RADIANS(E1883))^2)</f>
        <v/>
      </c>
      <c r="R1883" s="28">
        <f>-P1883*SIN(RADIANS(E1883))</f>
        <v/>
      </c>
      <c r="S1883" s="8">
        <f>(O1883+P1883*COS(RADIANS(E1883)))/L1883</f>
        <v/>
      </c>
      <c r="T1883" s="8">
        <f>R1883/L1883</f>
        <v/>
      </c>
      <c r="U1883" s="8">
        <f>(Q1883-P1883*G1883*SIN(RADIANS(E1883)))/M1883</f>
        <v/>
      </c>
      <c r="V1883" s="8">
        <f>SQRT((S1883+U1883)^2+3*T1883^2)</f>
        <v/>
      </c>
      <c r="W1883" s="8">
        <f>V1883/AA1883</f>
        <v/>
      </c>
      <c r="X1883" s="27">
        <f>((3*10+H1883/COS(RADIANS(E1883)))*(3+3)+3*G1883*H1883)*2</f>
        <v/>
      </c>
      <c r="Y1883" s="28">
        <f>Z1883/X1883</f>
        <v/>
      </c>
      <c r="Z1883" s="29" t="n">
        <v>507.819466784023</v>
      </c>
      <c r="AA1883" s="20" t="n">
        <v>76.6505937636141</v>
      </c>
      <c r="AB1883" t="n">
        <v>0.05991038844145028</v>
      </c>
      <c r="AC1883" t="n">
        <v>77.64046643883812</v>
      </c>
      <c r="AD1883" t="n">
        <v>-27.97353941763614</v>
      </c>
    </row>
    <row r="1884">
      <c r="A1884" t="n">
        <v>1883</v>
      </c>
      <c r="B1884" t="n">
        <v>67.90000000000001</v>
      </c>
      <c r="C1884" s="21">
        <f>B1884-20</f>
        <v/>
      </c>
      <c r="D1884" t="n">
        <v>129</v>
      </c>
      <c r="E1884" s="22">
        <f>D1884-90</f>
        <v/>
      </c>
      <c r="F1884" s="23" t="n">
        <v>0.017933</v>
      </c>
      <c r="G1884" s="22" t="n">
        <v>32.3</v>
      </c>
      <c r="H1884" s="22" t="n">
        <v>1.4</v>
      </c>
      <c r="I1884" s="24" t="n">
        <v>0.0790708139538765</v>
      </c>
      <c r="J1884" s="6" t="n">
        <v>71000</v>
      </c>
      <c r="K1884" s="25">
        <f>23*10^-6</f>
        <v/>
      </c>
      <c r="L1884" s="8">
        <f>H1884</f>
        <v/>
      </c>
      <c r="M1884" s="26">
        <f>H1884^2/6</f>
        <v/>
      </c>
      <c r="N1884" s="26">
        <f>H1884^3/12</f>
        <v/>
      </c>
      <c r="O1884" s="27">
        <f>-J1884*L1884*K1884*C1884</f>
        <v/>
      </c>
      <c r="P1884" s="28">
        <f>-(12*F1884*J1884*L1884*N1884+12*O1884*N1884*G1884*COS(RADIANS(E1884)))/(12*N1884*G1884*COS(RADIANS(E1884))^2+L1884*G1884^3*SIN(RADIANS(E1884))^2)</f>
        <v/>
      </c>
      <c r="Q1884" s="28">
        <f>-(6*F1884*J1884*L1884*N1884*SIN(RADIANS(E1884))+6*O1884*N1884*G1884*SIN(RADIANS(E1884))*COS(RADIANS(E1884)))/(12*N1884*COS(RADIANS(E1884))^2+L1884*G1884^2*SIN(RADIANS(E1884))^2)</f>
        <v/>
      </c>
      <c r="R1884" s="28">
        <f>-P1884*SIN(RADIANS(E1884))</f>
        <v/>
      </c>
      <c r="S1884" s="8">
        <f>(O1884+P1884*COS(RADIANS(E1884)))/L1884</f>
        <v/>
      </c>
      <c r="T1884" s="8">
        <f>R1884/L1884</f>
        <v/>
      </c>
      <c r="U1884" s="8">
        <f>(Q1884-P1884*G1884*SIN(RADIANS(E1884)))/M1884</f>
        <v/>
      </c>
      <c r="V1884" s="8">
        <f>SQRT((S1884+U1884)^2+3*T1884^2)</f>
        <v/>
      </c>
      <c r="W1884" s="8">
        <f>V1884/AA1884</f>
        <v/>
      </c>
      <c r="X1884" s="27">
        <f>((3*10+H1884/COS(RADIANS(E1884)))*(3+3)+3*G1884*H1884)*2</f>
        <v/>
      </c>
      <c r="Y1884" s="28">
        <f>Z1884/X1884</f>
        <v/>
      </c>
      <c r="Z1884" s="29" t="n">
        <v>659.852019919496</v>
      </c>
      <c r="AA1884" s="20" t="n">
        <v>68.17723175146349</v>
      </c>
      <c r="AB1884" t="n">
        <v>0.07725706785233426</v>
      </c>
      <c r="AC1884" t="n">
        <v>68.23958012591143</v>
      </c>
      <c r="AD1884" t="n">
        <v>-2.293825004255338</v>
      </c>
    </row>
    <row r="1885">
      <c r="A1885" t="n">
        <v>1884</v>
      </c>
      <c r="B1885" t="n">
        <v>41</v>
      </c>
      <c r="C1885" s="21">
        <f>B1885-20</f>
        <v/>
      </c>
      <c r="D1885" t="n">
        <v>118</v>
      </c>
      <c r="E1885" s="22">
        <f>D1885-90</f>
        <v/>
      </c>
      <c r="F1885" s="23" t="n">
        <v>0.009053</v>
      </c>
      <c r="G1885" s="22" t="n">
        <v>34.8</v>
      </c>
      <c r="H1885" s="22" t="n">
        <v>1.1</v>
      </c>
      <c r="I1885" s="24" t="n">
        <v>0.0464074052870273</v>
      </c>
      <c r="J1885" s="6" t="n">
        <v>71000</v>
      </c>
      <c r="K1885" s="25">
        <f>23*10^-6</f>
        <v/>
      </c>
      <c r="L1885" s="8">
        <f>H1885</f>
        <v/>
      </c>
      <c r="M1885" s="26">
        <f>H1885^2/6</f>
        <v/>
      </c>
      <c r="N1885" s="26">
        <f>H1885^3/12</f>
        <v/>
      </c>
      <c r="O1885" s="27">
        <f>-J1885*L1885*K1885*C1885</f>
        <v/>
      </c>
      <c r="P1885" s="28">
        <f>-(12*F1885*J1885*L1885*N1885+12*O1885*N1885*G1885*COS(RADIANS(E1885)))/(12*N1885*G1885*COS(RADIANS(E1885))^2+L1885*G1885^3*SIN(RADIANS(E1885))^2)</f>
        <v/>
      </c>
      <c r="Q1885" s="28">
        <f>-(6*F1885*J1885*L1885*N1885*SIN(RADIANS(E1885))+6*O1885*N1885*G1885*SIN(RADIANS(E1885))*COS(RADIANS(E1885)))/(12*N1885*COS(RADIANS(E1885))^2+L1885*G1885^2*SIN(RADIANS(E1885))^2)</f>
        <v/>
      </c>
      <c r="R1885" s="28">
        <f>-P1885*SIN(RADIANS(E1885))</f>
        <v/>
      </c>
      <c r="S1885" s="8">
        <f>(O1885+P1885*COS(RADIANS(E1885)))/L1885</f>
        <v/>
      </c>
      <c r="T1885" s="8">
        <f>R1885/L1885</f>
        <v/>
      </c>
      <c r="U1885" s="8">
        <f>(Q1885-P1885*G1885*SIN(RADIANS(E1885)))/M1885</f>
        <v/>
      </c>
      <c r="V1885" s="8">
        <f>SQRT((S1885+U1885)^2+3*T1885^2)</f>
        <v/>
      </c>
      <c r="W1885" s="8">
        <f>V1885/AA1885</f>
        <v/>
      </c>
      <c r="X1885" s="27">
        <f>((3*10+H1885/COS(RADIANS(E1885)))*(3+3)+3*G1885*H1885)*2</f>
        <v/>
      </c>
      <c r="Y1885" s="28">
        <f>Z1885/X1885</f>
        <v/>
      </c>
      <c r="Z1885" s="29" t="n">
        <v>609.802542774557</v>
      </c>
      <c r="AA1885" s="20" t="n">
        <v>28.9980048186704</v>
      </c>
      <c r="AB1885" t="n">
        <v>0.05213801600842175</v>
      </c>
      <c r="AC1885" t="n">
        <v>30.20801582622291</v>
      </c>
      <c r="AD1885" t="n">
        <v>12.34848336370227</v>
      </c>
    </row>
    <row r="1886">
      <c r="A1886" t="n">
        <v>1885</v>
      </c>
      <c r="B1886" t="n">
        <v>50.8</v>
      </c>
      <c r="C1886" s="21">
        <f>B1886-20</f>
        <v/>
      </c>
      <c r="D1886" t="n">
        <v>114.3</v>
      </c>
      <c r="E1886" s="22">
        <f>D1886-90</f>
        <v/>
      </c>
      <c r="F1886" s="23" t="n">
        <v>0.013013</v>
      </c>
      <c r="G1886" s="22" t="n">
        <v>34.3</v>
      </c>
      <c r="H1886" s="22" t="n">
        <v>1.1</v>
      </c>
      <c r="I1886" s="24" t="n">
        <v>0.0649729594588279</v>
      </c>
      <c r="J1886" s="6" t="n">
        <v>71000</v>
      </c>
      <c r="K1886" s="25">
        <f>23*10^-6</f>
        <v/>
      </c>
      <c r="L1886" s="8">
        <f>H1886</f>
        <v/>
      </c>
      <c r="M1886" s="26">
        <f>H1886^2/6</f>
        <v/>
      </c>
      <c r="N1886" s="26">
        <f>H1886^3/12</f>
        <v/>
      </c>
      <c r="O1886" s="27">
        <f>-J1886*L1886*K1886*C1886</f>
        <v/>
      </c>
      <c r="P1886" s="28">
        <f>-(12*F1886*J1886*L1886*N1886+12*O1886*N1886*G1886*COS(RADIANS(E1886)))/(12*N1886*G1886*COS(RADIANS(E1886))^2+L1886*G1886^3*SIN(RADIANS(E1886))^2)</f>
        <v/>
      </c>
      <c r="Q1886" s="28">
        <f>-(6*F1886*J1886*L1886*N1886*SIN(RADIANS(E1886))+6*O1886*N1886*G1886*SIN(RADIANS(E1886))*COS(RADIANS(E1886)))/(12*N1886*COS(RADIANS(E1886))^2+L1886*G1886^2*SIN(RADIANS(E1886))^2)</f>
        <v/>
      </c>
      <c r="R1886" s="28">
        <f>-P1886*SIN(RADIANS(E1886))</f>
        <v/>
      </c>
      <c r="S1886" s="8">
        <f>(O1886+P1886*COS(RADIANS(E1886)))/L1886</f>
        <v/>
      </c>
      <c r="T1886" s="8">
        <f>R1886/L1886</f>
        <v/>
      </c>
      <c r="U1886" s="8">
        <f>(Q1886-P1886*G1886*SIN(RADIANS(E1886)))/M1886</f>
        <v/>
      </c>
      <c r="V1886" s="8">
        <f>SQRT((S1886+U1886)^2+3*T1886^2)</f>
        <v/>
      </c>
      <c r="W1886" s="8">
        <f>V1886/AA1886</f>
        <v/>
      </c>
      <c r="X1886" s="27">
        <f>((3*10+H1886/COS(RADIANS(E1886)))*(3+3)+3*G1886*H1886)*2</f>
        <v/>
      </c>
      <c r="Y1886" s="28">
        <f>Z1886/X1886</f>
        <v/>
      </c>
      <c r="Z1886" s="29" t="n">
        <v>606.8927832176</v>
      </c>
      <c r="AA1886" s="20" t="n">
        <v>42.3323897138553</v>
      </c>
      <c r="AB1886" t="n">
        <v>0.08755005907491159</v>
      </c>
      <c r="AC1886" t="n">
        <v>44.87223965249414</v>
      </c>
      <c r="AD1886" t="n">
        <v>34.74845505596887</v>
      </c>
    </row>
    <row r="1887">
      <c r="A1887" t="n">
        <v>1886</v>
      </c>
      <c r="B1887" t="n">
        <v>84</v>
      </c>
      <c r="C1887" s="21">
        <f>B1887-20</f>
        <v/>
      </c>
      <c r="D1887" t="n">
        <v>103.5</v>
      </c>
      <c r="E1887" s="22">
        <f>D1887-90</f>
        <v/>
      </c>
      <c r="F1887" s="23" t="n">
        <v>0.027697</v>
      </c>
      <c r="G1887" s="22" t="n">
        <v>33.2</v>
      </c>
      <c r="H1887" s="22" t="n">
        <v>1.1</v>
      </c>
      <c r="I1887" s="24" t="n">
        <v>0.189963310956954</v>
      </c>
      <c r="J1887" s="6" t="n">
        <v>71000</v>
      </c>
      <c r="K1887" s="25">
        <f>23*10^-6</f>
        <v/>
      </c>
      <c r="L1887" s="8">
        <f>H1887</f>
        <v/>
      </c>
      <c r="M1887" s="26">
        <f>H1887^2/6</f>
        <v/>
      </c>
      <c r="N1887" s="26">
        <f>H1887^3/12</f>
        <v/>
      </c>
      <c r="O1887" s="27">
        <f>-J1887*L1887*K1887*C1887</f>
        <v/>
      </c>
      <c r="P1887" s="28">
        <f>-(12*F1887*J1887*L1887*N1887+12*O1887*N1887*G1887*COS(RADIANS(E1887)))/(12*N1887*G1887*COS(RADIANS(E1887))^2+L1887*G1887^3*SIN(RADIANS(E1887))^2)</f>
        <v/>
      </c>
      <c r="Q1887" s="28">
        <f>-(6*F1887*J1887*L1887*N1887*SIN(RADIANS(E1887))+6*O1887*N1887*G1887*SIN(RADIANS(E1887))*COS(RADIANS(E1887)))/(12*N1887*COS(RADIANS(E1887))^2+L1887*G1887^2*SIN(RADIANS(E1887))^2)</f>
        <v/>
      </c>
      <c r="R1887" s="28">
        <f>-P1887*SIN(RADIANS(E1887))</f>
        <v/>
      </c>
      <c r="S1887" s="8">
        <f>(O1887+P1887*COS(RADIANS(E1887)))/L1887</f>
        <v/>
      </c>
      <c r="T1887" s="8">
        <f>R1887/L1887</f>
        <v/>
      </c>
      <c r="U1887" s="8">
        <f>(Q1887-P1887*G1887*SIN(RADIANS(E1887)))/M1887</f>
        <v/>
      </c>
      <c r="V1887" s="8">
        <f>SQRT((S1887+U1887)^2+3*T1887^2)</f>
        <v/>
      </c>
      <c r="W1887" s="8">
        <f>V1887/AA1887</f>
        <v/>
      </c>
      <c r="X1887" s="27">
        <f>((3*10+H1887/COS(RADIANS(E1887)))*(3+3)+3*G1887*H1887)*2</f>
        <v/>
      </c>
      <c r="Y1887" s="28">
        <f>Z1887/X1887</f>
        <v/>
      </c>
      <c r="Z1887" s="29" t="n">
        <v>597.195281958322</v>
      </c>
      <c r="AA1887" s="20" t="n">
        <v>91.79825968252619</v>
      </c>
      <c r="AB1887" t="n">
        <v>0.3194728647306582</v>
      </c>
      <c r="AC1887" t="n">
        <v>99.6944216937638</v>
      </c>
      <c r="AD1887" t="n">
        <v>68.17608785680264</v>
      </c>
    </row>
    <row r="1888">
      <c r="A1888" t="n">
        <v>1887</v>
      </c>
      <c r="B1888" t="n">
        <v>52.1</v>
      </c>
      <c r="C1888" s="21">
        <f>B1888-20</f>
        <v/>
      </c>
      <c r="D1888" t="n">
        <v>119.9</v>
      </c>
      <c r="E1888" s="22">
        <f>D1888-90</f>
        <v/>
      </c>
      <c r="F1888" s="23" t="n">
        <v>0.013706</v>
      </c>
      <c r="G1888" s="22" t="n">
        <v>32.1</v>
      </c>
      <c r="H1888" s="22" t="n">
        <v>1.9</v>
      </c>
      <c r="I1888" s="24" t="n">
        <v>0.114942871034145</v>
      </c>
      <c r="J1888" s="6" t="n">
        <v>71000</v>
      </c>
      <c r="K1888" s="25">
        <f>23*10^-6</f>
        <v/>
      </c>
      <c r="L1888" s="8">
        <f>H1888</f>
        <v/>
      </c>
      <c r="M1888" s="26">
        <f>H1888^2/6</f>
        <v/>
      </c>
      <c r="N1888" s="26">
        <f>H1888^3/12</f>
        <v/>
      </c>
      <c r="O1888" s="27">
        <f>-J1888*L1888*K1888*C1888</f>
        <v/>
      </c>
      <c r="P1888" s="28">
        <f>-(12*F1888*J1888*L1888*N1888+12*O1888*N1888*G1888*COS(RADIANS(E1888)))/(12*N1888*G1888*COS(RADIANS(E1888))^2+L1888*G1888^3*SIN(RADIANS(E1888))^2)</f>
        <v/>
      </c>
      <c r="Q1888" s="28">
        <f>-(6*F1888*J1888*L1888*N1888*SIN(RADIANS(E1888))+6*O1888*N1888*G1888*SIN(RADIANS(E1888))*COS(RADIANS(E1888)))/(12*N1888*COS(RADIANS(E1888))^2+L1888*G1888^2*SIN(RADIANS(E1888))^2)</f>
        <v/>
      </c>
      <c r="R1888" s="28">
        <f>-P1888*SIN(RADIANS(E1888))</f>
        <v/>
      </c>
      <c r="S1888" s="8">
        <f>(O1888+P1888*COS(RADIANS(E1888)))/L1888</f>
        <v/>
      </c>
      <c r="T1888" s="8">
        <f>R1888/L1888</f>
        <v/>
      </c>
      <c r="U1888" s="8">
        <f>(Q1888-P1888*G1888*SIN(RADIANS(E1888)))/M1888</f>
        <v/>
      </c>
      <c r="V1888" s="8">
        <f>SQRT((S1888+U1888)^2+3*T1888^2)</f>
        <v/>
      </c>
      <c r="W1888" s="8">
        <f>V1888/AA1888</f>
        <v/>
      </c>
      <c r="X1888" s="27">
        <f>((3*10+H1888/COS(RADIANS(E1888)))*(3+3)+3*G1888*H1888)*2</f>
        <v/>
      </c>
      <c r="Y1888" s="28">
        <f>Z1888/X1888</f>
        <v/>
      </c>
      <c r="Z1888" s="29" t="n">
        <v>753.132400829319</v>
      </c>
      <c r="AA1888" s="20" t="n">
        <v>57.1395394230148</v>
      </c>
      <c r="AB1888" t="n">
        <v>0.06827124468901279</v>
      </c>
      <c r="AC1888" t="n">
        <v>48.1713033579272</v>
      </c>
      <c r="AD1888" t="n">
        <v>-40.6041940010946</v>
      </c>
    </row>
    <row r="1889">
      <c r="A1889" t="n">
        <v>1888</v>
      </c>
      <c r="B1889" t="n">
        <v>81.8</v>
      </c>
      <c r="C1889" s="21">
        <f>B1889-20</f>
        <v/>
      </c>
      <c r="D1889" t="n">
        <v>114.4</v>
      </c>
      <c r="E1889" s="22">
        <f>D1889-90</f>
        <v/>
      </c>
      <c r="F1889" s="23" t="n">
        <v>0.015545</v>
      </c>
      <c r="G1889" s="22" t="n">
        <v>20.7</v>
      </c>
      <c r="H1889" s="22" t="n">
        <v>1.8</v>
      </c>
      <c r="I1889" s="24" t="n">
        <v>0.0708081945776939</v>
      </c>
      <c r="J1889" s="6" t="n">
        <v>71000</v>
      </c>
      <c r="K1889" s="25">
        <f>23*10^-6</f>
        <v/>
      </c>
      <c r="L1889" s="8">
        <f>H1889</f>
        <v/>
      </c>
      <c r="M1889" s="26">
        <f>H1889^2/6</f>
        <v/>
      </c>
      <c r="N1889" s="26">
        <f>H1889^3/12</f>
        <v/>
      </c>
      <c r="O1889" s="27">
        <f>-J1889*L1889*K1889*C1889</f>
        <v/>
      </c>
      <c r="P1889" s="28">
        <f>-(12*F1889*J1889*L1889*N1889+12*O1889*N1889*G1889*COS(RADIANS(E1889)))/(12*N1889*G1889*COS(RADIANS(E1889))^2+L1889*G1889^3*SIN(RADIANS(E1889))^2)</f>
        <v/>
      </c>
      <c r="Q1889" s="28">
        <f>-(6*F1889*J1889*L1889*N1889*SIN(RADIANS(E1889))+6*O1889*N1889*G1889*SIN(RADIANS(E1889))*COS(RADIANS(E1889)))/(12*N1889*COS(RADIANS(E1889))^2+L1889*G1889^2*SIN(RADIANS(E1889))^2)</f>
        <v/>
      </c>
      <c r="R1889" s="28">
        <f>-P1889*SIN(RADIANS(E1889))</f>
        <v/>
      </c>
      <c r="S1889" s="8">
        <f>(O1889+P1889*COS(RADIANS(E1889)))/L1889</f>
        <v/>
      </c>
      <c r="T1889" s="8">
        <f>R1889/L1889</f>
        <v/>
      </c>
      <c r="U1889" s="8">
        <f>(Q1889-P1889*G1889*SIN(RADIANS(E1889)))/M1889</f>
        <v/>
      </c>
      <c r="V1889" s="8">
        <f>SQRT((S1889+U1889)^2+3*T1889^2)</f>
        <v/>
      </c>
      <c r="W1889" s="8">
        <f>V1889/AA1889</f>
        <v/>
      </c>
      <c r="X1889" s="27">
        <f>((3*10+H1889/COS(RADIANS(E1889)))*(3+3)+3*G1889*H1889)*2</f>
        <v/>
      </c>
      <c r="Y1889" s="28">
        <f>Z1889/X1889</f>
        <v/>
      </c>
      <c r="Z1889" s="29" t="n">
        <v>621.753002001471</v>
      </c>
      <c r="AA1889" s="20" t="n">
        <v>100.401856726815</v>
      </c>
      <c r="AB1889" t="n">
        <v>0.1056465208965147</v>
      </c>
      <c r="AC1889" t="n">
        <v>97.94644209680031</v>
      </c>
      <c r="AD1889" t="n">
        <v>49.20098094097659</v>
      </c>
    </row>
    <row r="1890">
      <c r="A1890" t="n">
        <v>1889</v>
      </c>
      <c r="B1890" t="n">
        <v>69.90000000000001</v>
      </c>
      <c r="C1890" s="21">
        <f>B1890-20</f>
        <v/>
      </c>
      <c r="D1890" t="n">
        <v>103.6</v>
      </c>
      <c r="E1890" s="22">
        <f>D1890-90</f>
        <v/>
      </c>
      <c r="F1890" s="23" t="n">
        <v>0.014863</v>
      </c>
      <c r="G1890" s="22" t="n">
        <v>25.9</v>
      </c>
      <c r="H1890" s="22" t="n">
        <v>1.8</v>
      </c>
      <c r="I1890" s="24" t="n">
        <v>0.0655034333467483</v>
      </c>
      <c r="J1890" s="6" t="n">
        <v>71000</v>
      </c>
      <c r="K1890" s="25">
        <f>23*10^-6</f>
        <v/>
      </c>
      <c r="L1890" s="8">
        <f>H1890</f>
        <v/>
      </c>
      <c r="M1890" s="26">
        <f>H1890^2/6</f>
        <v/>
      </c>
      <c r="N1890" s="26">
        <f>H1890^3/12</f>
        <v/>
      </c>
      <c r="O1890" s="27">
        <f>-J1890*L1890*K1890*C1890</f>
        <v/>
      </c>
      <c r="P1890" s="28">
        <f>-(12*F1890*J1890*L1890*N1890+12*O1890*N1890*G1890*COS(RADIANS(E1890)))/(12*N1890*G1890*COS(RADIANS(E1890))^2+L1890*G1890^3*SIN(RADIANS(E1890))^2)</f>
        <v/>
      </c>
      <c r="Q1890" s="28">
        <f>-(6*F1890*J1890*L1890*N1890*SIN(RADIANS(E1890))+6*O1890*N1890*G1890*SIN(RADIANS(E1890))*COS(RADIANS(E1890)))/(12*N1890*COS(RADIANS(E1890))^2+L1890*G1890^2*SIN(RADIANS(E1890))^2)</f>
        <v/>
      </c>
      <c r="R1890" s="28">
        <f>-P1890*SIN(RADIANS(E1890))</f>
        <v/>
      </c>
      <c r="S1890" s="8">
        <f>(O1890+P1890*COS(RADIANS(E1890)))/L1890</f>
        <v/>
      </c>
      <c r="T1890" s="8">
        <f>R1890/L1890</f>
        <v/>
      </c>
      <c r="U1890" s="8">
        <f>(Q1890-P1890*G1890*SIN(RADIANS(E1890)))/M1890</f>
        <v/>
      </c>
      <c r="V1890" s="8">
        <f>SQRT((S1890+U1890)^2+3*T1890^2)</f>
        <v/>
      </c>
      <c r="W1890" s="8">
        <f>V1890/AA1890</f>
        <v/>
      </c>
      <c r="X1890" s="27">
        <f>((3*10+H1890/COS(RADIANS(E1890)))*(3+3)+3*G1890*H1890)*2</f>
        <v/>
      </c>
      <c r="Y1890" s="28">
        <f>Z1890/X1890</f>
        <v/>
      </c>
      <c r="Z1890" s="29" t="n">
        <v>677.82986559037</v>
      </c>
      <c r="AA1890" s="20" t="n">
        <v>77.58834426815341</v>
      </c>
      <c r="AB1890" t="n">
        <v>0.1841642507669163</v>
      </c>
      <c r="AC1890" t="n">
        <v>85.65953659538658</v>
      </c>
      <c r="AD1890" t="n">
        <v>181.1520577738672</v>
      </c>
    </row>
    <row r="1891">
      <c r="A1891" t="n">
        <v>1890</v>
      </c>
      <c r="B1891" t="n">
        <v>49.2</v>
      </c>
      <c r="C1891" s="21">
        <f>B1891-20</f>
        <v/>
      </c>
      <c r="D1891" t="n">
        <v>123.7</v>
      </c>
      <c r="E1891" s="22">
        <f>D1891-90</f>
        <v/>
      </c>
      <c r="F1891" s="23" t="n">
        <v>0.010991</v>
      </c>
      <c r="G1891" s="22" t="n">
        <v>30.6</v>
      </c>
      <c r="H1891" s="22" t="n">
        <v>1.8</v>
      </c>
      <c r="I1891" s="24" t="n">
        <v>0.0526818744838237</v>
      </c>
      <c r="J1891" s="6" t="n">
        <v>71000</v>
      </c>
      <c r="K1891" s="25">
        <f>23*10^-6</f>
        <v/>
      </c>
      <c r="L1891" s="8">
        <f>H1891</f>
        <v/>
      </c>
      <c r="M1891" s="26">
        <f>H1891^2/6</f>
        <v/>
      </c>
      <c r="N1891" s="26">
        <f>H1891^3/12</f>
        <v/>
      </c>
      <c r="O1891" s="27">
        <f>-J1891*L1891*K1891*C1891</f>
        <v/>
      </c>
      <c r="P1891" s="28">
        <f>-(12*F1891*J1891*L1891*N1891+12*O1891*N1891*G1891*COS(RADIANS(E1891)))/(12*N1891*G1891*COS(RADIANS(E1891))^2+L1891*G1891^3*SIN(RADIANS(E1891))^2)</f>
        <v/>
      </c>
      <c r="Q1891" s="28">
        <f>-(6*F1891*J1891*L1891*N1891*SIN(RADIANS(E1891))+6*O1891*N1891*G1891*SIN(RADIANS(E1891))*COS(RADIANS(E1891)))/(12*N1891*COS(RADIANS(E1891))^2+L1891*G1891^2*SIN(RADIANS(E1891))^2)</f>
        <v/>
      </c>
      <c r="R1891" s="28">
        <f>-P1891*SIN(RADIANS(E1891))</f>
        <v/>
      </c>
      <c r="S1891" s="8">
        <f>(O1891+P1891*COS(RADIANS(E1891)))/L1891</f>
        <v/>
      </c>
      <c r="T1891" s="8">
        <f>R1891/L1891</f>
        <v/>
      </c>
      <c r="U1891" s="8">
        <f>(Q1891-P1891*G1891*SIN(RADIANS(E1891)))/M1891</f>
        <v/>
      </c>
      <c r="V1891" s="8">
        <f>SQRT((S1891+U1891)^2+3*T1891^2)</f>
        <v/>
      </c>
      <c r="W1891" s="8">
        <f>V1891/AA1891</f>
        <v/>
      </c>
      <c r="X1891" s="27">
        <f>((3*10+H1891/COS(RADIANS(E1891)))*(3+3)+3*G1891*H1891)*2</f>
        <v/>
      </c>
      <c r="Y1891" s="28">
        <f>Z1891/X1891</f>
        <v/>
      </c>
      <c r="Z1891" s="29" t="n">
        <v>721.55882369706</v>
      </c>
      <c r="AA1891" s="20" t="n">
        <v>46.0360516371583</v>
      </c>
      <c r="AB1891" t="n">
        <v>0.0522797006771497</v>
      </c>
      <c r="AC1891" t="n">
        <v>43.09261625033806</v>
      </c>
      <c r="AD1891" t="n">
        <v>-0.7634007153589307</v>
      </c>
    </row>
    <row r="1892">
      <c r="A1892" t="n">
        <v>1891</v>
      </c>
      <c r="B1892" t="n">
        <v>78.7</v>
      </c>
      <c r="C1892" s="21">
        <f>B1892-20</f>
        <v/>
      </c>
      <c r="D1892" t="n">
        <v>105.8</v>
      </c>
      <c r="E1892" s="22">
        <f>D1892-90</f>
        <v/>
      </c>
      <c r="F1892" s="23" t="n">
        <v>0.024446</v>
      </c>
      <c r="G1892" s="22" t="n">
        <v>33.5</v>
      </c>
      <c r="H1892" s="22" t="n">
        <v>1.9</v>
      </c>
      <c r="I1892" s="24" t="n">
        <v>0.124535657465457</v>
      </c>
      <c r="J1892" s="6" t="n">
        <v>71000</v>
      </c>
      <c r="K1892" s="25">
        <f>23*10^-6</f>
        <v/>
      </c>
      <c r="L1892" s="8">
        <f>H1892</f>
        <v/>
      </c>
      <c r="M1892" s="26">
        <f>H1892^2/6</f>
        <v/>
      </c>
      <c r="N1892" s="26">
        <f>H1892^3/12</f>
        <v/>
      </c>
      <c r="O1892" s="27">
        <f>-J1892*L1892*K1892*C1892</f>
        <v/>
      </c>
      <c r="P1892" s="28">
        <f>-(12*F1892*J1892*L1892*N1892+12*O1892*N1892*G1892*COS(RADIANS(E1892)))/(12*N1892*G1892*COS(RADIANS(E1892))^2+L1892*G1892^3*SIN(RADIANS(E1892))^2)</f>
        <v/>
      </c>
      <c r="Q1892" s="28">
        <f>-(6*F1892*J1892*L1892*N1892*SIN(RADIANS(E1892))+6*O1892*N1892*G1892*SIN(RADIANS(E1892))*COS(RADIANS(E1892)))/(12*N1892*COS(RADIANS(E1892))^2+L1892*G1892^2*SIN(RADIANS(E1892))^2)</f>
        <v/>
      </c>
      <c r="R1892" s="28">
        <f>-P1892*SIN(RADIANS(E1892))</f>
        <v/>
      </c>
      <c r="S1892" s="8">
        <f>(O1892+P1892*COS(RADIANS(E1892)))/L1892</f>
        <v/>
      </c>
      <c r="T1892" s="8">
        <f>R1892/L1892</f>
        <v/>
      </c>
      <c r="U1892" s="8">
        <f>(Q1892-P1892*G1892*SIN(RADIANS(E1892)))/M1892</f>
        <v/>
      </c>
      <c r="V1892" s="8">
        <f>SQRT((S1892+U1892)^2+3*T1892^2)</f>
        <v/>
      </c>
      <c r="W1892" s="8">
        <f>V1892/AA1892</f>
        <v/>
      </c>
      <c r="X1892" s="27">
        <f>((3*10+H1892/COS(RADIANS(E1892)))*(3+3)+3*G1892*H1892)*2</f>
        <v/>
      </c>
      <c r="Y1892" s="28">
        <f>Z1892/X1892</f>
        <v/>
      </c>
      <c r="Z1892" s="29" t="n">
        <v>772.683016862904</v>
      </c>
      <c r="AA1892" s="20" t="n">
        <v>94.4917395338051</v>
      </c>
      <c r="AB1892" t="n">
        <v>0.2463402231372255</v>
      </c>
      <c r="AC1892" t="n">
        <v>96.36965959635231</v>
      </c>
      <c r="AD1892" t="n">
        <v>97.80698006557193</v>
      </c>
    </row>
    <row r="1893">
      <c r="A1893" t="n">
        <v>1892</v>
      </c>
      <c r="B1893" t="n">
        <v>50.2</v>
      </c>
      <c r="C1893" s="21">
        <f>B1893-20</f>
        <v/>
      </c>
      <c r="D1893" t="n">
        <v>100.6</v>
      </c>
      <c r="E1893" s="22">
        <f>D1893-90</f>
        <v/>
      </c>
      <c r="F1893" s="23" t="n">
        <v>0.010234</v>
      </c>
      <c r="G1893" s="22" t="n">
        <v>24.4</v>
      </c>
      <c r="H1893" s="22" t="n">
        <v>1.1</v>
      </c>
      <c r="I1893" s="24" t="n">
        <v>0.0806203559041023</v>
      </c>
      <c r="J1893" s="6" t="n">
        <v>71000</v>
      </c>
      <c r="K1893" s="25">
        <f>23*10^-6</f>
        <v/>
      </c>
      <c r="L1893" s="8">
        <f>H1893</f>
        <v/>
      </c>
      <c r="M1893" s="26">
        <f>H1893^2/6</f>
        <v/>
      </c>
      <c r="N1893" s="26">
        <f>H1893^3/12</f>
        <v/>
      </c>
      <c r="O1893" s="27">
        <f>-J1893*L1893*K1893*C1893</f>
        <v/>
      </c>
      <c r="P1893" s="28">
        <f>-(12*F1893*J1893*L1893*N1893+12*O1893*N1893*G1893*COS(RADIANS(E1893)))/(12*N1893*G1893*COS(RADIANS(E1893))^2+L1893*G1893^3*SIN(RADIANS(E1893))^2)</f>
        <v/>
      </c>
      <c r="Q1893" s="28">
        <f>-(6*F1893*J1893*L1893*N1893*SIN(RADIANS(E1893))+6*O1893*N1893*G1893*SIN(RADIANS(E1893))*COS(RADIANS(E1893)))/(12*N1893*COS(RADIANS(E1893))^2+L1893*G1893^2*SIN(RADIANS(E1893))^2)</f>
        <v/>
      </c>
      <c r="R1893" s="28">
        <f>-P1893*SIN(RADIANS(E1893))</f>
        <v/>
      </c>
      <c r="S1893" s="8">
        <f>(O1893+P1893*COS(RADIANS(E1893)))/L1893</f>
        <v/>
      </c>
      <c r="T1893" s="8">
        <f>R1893/L1893</f>
        <v/>
      </c>
      <c r="U1893" s="8">
        <f>(Q1893-P1893*G1893*SIN(RADIANS(E1893)))/M1893</f>
        <v/>
      </c>
      <c r="V1893" s="8">
        <f>SQRT((S1893+U1893)^2+3*T1893^2)</f>
        <v/>
      </c>
      <c r="W1893" s="8">
        <f>V1893/AA1893</f>
        <v/>
      </c>
      <c r="X1893" s="27">
        <f>((3*10+H1893/COS(RADIANS(E1893)))*(3+3)+3*G1893*H1893)*2</f>
        <v/>
      </c>
      <c r="Y1893" s="28">
        <f>Z1893/X1893</f>
        <v/>
      </c>
      <c r="Z1893" s="29" t="n">
        <v>538.730674589987</v>
      </c>
      <c r="AA1893" s="20" t="n">
        <v>44.9790328715514</v>
      </c>
      <c r="AB1893" t="n">
        <v>0.1391090027686849</v>
      </c>
      <c r="AC1893" t="n">
        <v>50.254720395893</v>
      </c>
      <c r="AD1893" t="n">
        <v>72.54823699135578</v>
      </c>
    </row>
    <row r="1894">
      <c r="A1894" t="n">
        <v>1893</v>
      </c>
      <c r="B1894" t="n">
        <v>89.59999999999999</v>
      </c>
      <c r="C1894" s="21">
        <f>B1894-20</f>
        <v/>
      </c>
      <c r="D1894" t="n">
        <v>116.6</v>
      </c>
      <c r="E1894" s="22">
        <f>D1894-90</f>
        <v/>
      </c>
      <c r="F1894" s="23" t="n">
        <v>0.024089</v>
      </c>
      <c r="G1894" s="22" t="n">
        <v>28.1</v>
      </c>
      <c r="H1894" s="22" t="n">
        <v>1.9</v>
      </c>
      <c r="I1894" s="24" t="n">
        <v>0.113497890532016</v>
      </c>
      <c r="J1894" s="6" t="n">
        <v>71000</v>
      </c>
      <c r="K1894" s="25">
        <f>23*10^-6</f>
        <v/>
      </c>
      <c r="L1894" s="8">
        <f>H1894</f>
        <v/>
      </c>
      <c r="M1894" s="26">
        <f>H1894^2/6</f>
        <v/>
      </c>
      <c r="N1894" s="26">
        <f>H1894^3/12</f>
        <v/>
      </c>
      <c r="O1894" s="27">
        <f>-J1894*L1894*K1894*C1894</f>
        <v/>
      </c>
      <c r="P1894" s="28">
        <f>-(12*F1894*J1894*L1894*N1894+12*O1894*N1894*G1894*COS(RADIANS(E1894)))/(12*N1894*G1894*COS(RADIANS(E1894))^2+L1894*G1894^3*SIN(RADIANS(E1894))^2)</f>
        <v/>
      </c>
      <c r="Q1894" s="28">
        <f>-(6*F1894*J1894*L1894*N1894*SIN(RADIANS(E1894))+6*O1894*N1894*G1894*SIN(RADIANS(E1894))*COS(RADIANS(E1894)))/(12*N1894*COS(RADIANS(E1894))^2+L1894*G1894^2*SIN(RADIANS(E1894))^2)</f>
        <v/>
      </c>
      <c r="R1894" s="28">
        <f>-P1894*SIN(RADIANS(E1894))</f>
        <v/>
      </c>
      <c r="S1894" s="8">
        <f>(O1894+P1894*COS(RADIANS(E1894)))/L1894</f>
        <v/>
      </c>
      <c r="T1894" s="8">
        <f>R1894/L1894</f>
        <v/>
      </c>
      <c r="U1894" s="8">
        <f>(Q1894-P1894*G1894*SIN(RADIANS(E1894)))/M1894</f>
        <v/>
      </c>
      <c r="V1894" s="8">
        <f>SQRT((S1894+U1894)^2+3*T1894^2)</f>
        <v/>
      </c>
      <c r="W1894" s="8">
        <f>V1894/AA1894</f>
        <v/>
      </c>
      <c r="X1894" s="27">
        <f>((3*10+H1894/COS(RADIANS(E1894)))*(3+3)+3*G1894*H1894)*2</f>
        <v/>
      </c>
      <c r="Y1894" s="28">
        <f>Z1894/X1894</f>
        <v/>
      </c>
      <c r="Z1894" s="29" t="n">
        <v>713.7592972953</v>
      </c>
      <c r="AA1894" s="20" t="n">
        <v>112.32990843981</v>
      </c>
      <c r="AB1894" t="n">
        <v>0.1468756329166805</v>
      </c>
      <c r="AC1894" t="n">
        <v>107.1910417631715</v>
      </c>
      <c r="AD1894" t="n">
        <v>29.40824911212703</v>
      </c>
    </row>
    <row r="1895">
      <c r="A1895" t="n">
        <v>1894</v>
      </c>
      <c r="B1895" t="n">
        <v>46.4</v>
      </c>
      <c r="C1895" s="21">
        <f>B1895-20</f>
        <v/>
      </c>
      <c r="D1895" t="n">
        <v>112.8</v>
      </c>
      <c r="E1895" s="22">
        <f>D1895-90</f>
        <v/>
      </c>
      <c r="F1895" s="23" t="n">
        <v>0.010193</v>
      </c>
      <c r="G1895" s="22" t="n">
        <v>30.6</v>
      </c>
      <c r="H1895" s="22" t="n">
        <v>1.5</v>
      </c>
      <c r="I1895" s="24" t="n">
        <v>0.0524777695536613</v>
      </c>
      <c r="J1895" s="6" t="n">
        <v>71000</v>
      </c>
      <c r="K1895" s="25">
        <f>23*10^-6</f>
        <v/>
      </c>
      <c r="L1895" s="8">
        <f>H1895</f>
        <v/>
      </c>
      <c r="M1895" s="26">
        <f>H1895^2/6</f>
        <v/>
      </c>
      <c r="N1895" s="26">
        <f>H1895^3/12</f>
        <v/>
      </c>
      <c r="O1895" s="27">
        <f>-J1895*L1895*K1895*C1895</f>
        <v/>
      </c>
      <c r="P1895" s="28">
        <f>-(12*F1895*J1895*L1895*N1895+12*O1895*N1895*G1895*COS(RADIANS(E1895)))/(12*N1895*G1895*COS(RADIANS(E1895))^2+L1895*G1895^3*SIN(RADIANS(E1895))^2)</f>
        <v/>
      </c>
      <c r="Q1895" s="28">
        <f>-(6*F1895*J1895*L1895*N1895*SIN(RADIANS(E1895))+6*O1895*N1895*G1895*SIN(RADIANS(E1895))*COS(RADIANS(E1895)))/(12*N1895*COS(RADIANS(E1895))^2+L1895*G1895^2*SIN(RADIANS(E1895))^2)</f>
        <v/>
      </c>
      <c r="R1895" s="28">
        <f>-P1895*SIN(RADIANS(E1895))</f>
        <v/>
      </c>
      <c r="S1895" s="8">
        <f>(O1895+P1895*COS(RADIANS(E1895)))/L1895</f>
        <v/>
      </c>
      <c r="T1895" s="8">
        <f>R1895/L1895</f>
        <v/>
      </c>
      <c r="U1895" s="8">
        <f>(Q1895-P1895*G1895*SIN(RADIANS(E1895)))/M1895</f>
        <v/>
      </c>
      <c r="V1895" s="8">
        <f>SQRT((S1895+U1895)^2+3*T1895^2)</f>
        <v/>
      </c>
      <c r="W1895" s="8">
        <f>V1895/AA1895</f>
        <v/>
      </c>
      <c r="X1895" s="27">
        <f>((3*10+H1895/COS(RADIANS(E1895)))*(3+3)+3*G1895*H1895)*2</f>
        <v/>
      </c>
      <c r="Y1895" s="28">
        <f>Z1895/X1895</f>
        <v/>
      </c>
      <c r="Z1895" s="29" t="n">
        <v>660.952827310878</v>
      </c>
      <c r="AA1895" s="20" t="n">
        <v>39.8389470083507</v>
      </c>
      <c r="AB1895" t="n">
        <v>0.07140949466837099</v>
      </c>
      <c r="AC1895" t="n">
        <v>40.15100087297096</v>
      </c>
      <c r="AD1895" t="n">
        <v>36.07570458068154</v>
      </c>
    </row>
    <row r="1896">
      <c r="A1896" t="n">
        <v>1895</v>
      </c>
      <c r="B1896" t="n">
        <v>64.09999999999999</v>
      </c>
      <c r="C1896" s="21">
        <f>B1896-20</f>
        <v/>
      </c>
      <c r="D1896" t="n">
        <v>122.8</v>
      </c>
      <c r="E1896" s="22">
        <f>D1896-90</f>
        <v/>
      </c>
      <c r="F1896" s="23" t="n">
        <v>0.015477</v>
      </c>
      <c r="G1896" s="22" t="n">
        <v>25.5</v>
      </c>
      <c r="H1896" s="22" t="n">
        <v>1.3</v>
      </c>
      <c r="I1896" s="24" t="n">
        <v>0.11978506296873</v>
      </c>
      <c r="J1896" s="6" t="n">
        <v>71000</v>
      </c>
      <c r="K1896" s="25">
        <f>23*10^-6</f>
        <v/>
      </c>
      <c r="L1896" s="8">
        <f>H1896</f>
        <v/>
      </c>
      <c r="M1896" s="26">
        <f>H1896^2/6</f>
        <v/>
      </c>
      <c r="N1896" s="26">
        <f>H1896^3/12</f>
        <v/>
      </c>
      <c r="O1896" s="27">
        <f>-J1896*L1896*K1896*C1896</f>
        <v/>
      </c>
      <c r="P1896" s="28">
        <f>-(12*F1896*J1896*L1896*N1896+12*O1896*N1896*G1896*COS(RADIANS(E1896)))/(12*N1896*G1896*COS(RADIANS(E1896))^2+L1896*G1896^3*SIN(RADIANS(E1896))^2)</f>
        <v/>
      </c>
      <c r="Q1896" s="28">
        <f>-(6*F1896*J1896*L1896*N1896*SIN(RADIANS(E1896))+6*O1896*N1896*G1896*SIN(RADIANS(E1896))*COS(RADIANS(E1896)))/(12*N1896*COS(RADIANS(E1896))^2+L1896*G1896^2*SIN(RADIANS(E1896))^2)</f>
        <v/>
      </c>
      <c r="R1896" s="28">
        <f>-P1896*SIN(RADIANS(E1896))</f>
        <v/>
      </c>
      <c r="S1896" s="8">
        <f>(O1896+P1896*COS(RADIANS(E1896)))/L1896</f>
        <v/>
      </c>
      <c r="T1896" s="8">
        <f>R1896/L1896</f>
        <v/>
      </c>
      <c r="U1896" s="8">
        <f>(Q1896-P1896*G1896*SIN(RADIANS(E1896)))/M1896</f>
        <v/>
      </c>
      <c r="V1896" s="8">
        <f>SQRT((S1896+U1896)^2+3*T1896^2)</f>
        <v/>
      </c>
      <c r="W1896" s="8">
        <f>V1896/AA1896</f>
        <v/>
      </c>
      <c r="X1896" s="27">
        <f>((3*10+H1896/COS(RADIANS(E1896)))*(3+3)+3*G1896*H1896)*2</f>
        <v/>
      </c>
      <c r="Y1896" s="28">
        <f>Z1896/X1896</f>
        <v/>
      </c>
      <c r="Z1896" s="29" t="n">
        <v>579.076004827071</v>
      </c>
      <c r="AA1896" s="20" t="n">
        <v>68.1278346331864</v>
      </c>
      <c r="AB1896" t="n">
        <v>0.06866276942449825</v>
      </c>
      <c r="AC1896" t="n">
        <v>64.2043618767924</v>
      </c>
      <c r="AD1896" t="n">
        <v>-42.67835427659062</v>
      </c>
    </row>
    <row r="1897">
      <c r="A1897" t="n">
        <v>1896</v>
      </c>
      <c r="B1897" t="n">
        <v>44.7</v>
      </c>
      <c r="C1897" s="21">
        <f>B1897-20</f>
        <v/>
      </c>
      <c r="D1897" t="n">
        <v>111.2</v>
      </c>
      <c r="E1897" s="22">
        <f>D1897-90</f>
        <v/>
      </c>
      <c r="F1897" s="23" t="n">
        <v>0.006398</v>
      </c>
      <c r="G1897" s="22" t="n">
        <v>20.1</v>
      </c>
      <c r="H1897" s="22" t="n">
        <v>1.4</v>
      </c>
      <c r="I1897" s="24" t="n">
        <v>0.030367886647582</v>
      </c>
      <c r="J1897" s="6" t="n">
        <v>71000</v>
      </c>
      <c r="K1897" s="25">
        <f>23*10^-6</f>
        <v/>
      </c>
      <c r="L1897" s="8">
        <f>H1897</f>
        <v/>
      </c>
      <c r="M1897" s="26">
        <f>H1897^2/6</f>
        <v/>
      </c>
      <c r="N1897" s="26">
        <f>H1897^3/12</f>
        <v/>
      </c>
      <c r="O1897" s="27">
        <f>-J1897*L1897*K1897*C1897</f>
        <v/>
      </c>
      <c r="P1897" s="28">
        <f>-(12*F1897*J1897*L1897*N1897+12*O1897*N1897*G1897*COS(RADIANS(E1897)))/(12*N1897*G1897*COS(RADIANS(E1897))^2+L1897*G1897^3*SIN(RADIANS(E1897))^2)</f>
        <v/>
      </c>
      <c r="Q1897" s="28">
        <f>-(6*F1897*J1897*L1897*N1897*SIN(RADIANS(E1897))+6*O1897*N1897*G1897*SIN(RADIANS(E1897))*COS(RADIANS(E1897)))/(12*N1897*COS(RADIANS(E1897))^2+L1897*G1897^2*SIN(RADIANS(E1897))^2)</f>
        <v/>
      </c>
      <c r="R1897" s="28">
        <f>-P1897*SIN(RADIANS(E1897))</f>
        <v/>
      </c>
      <c r="S1897" s="8">
        <f>(O1897+P1897*COS(RADIANS(E1897)))/L1897</f>
        <v/>
      </c>
      <c r="T1897" s="8">
        <f>R1897/L1897</f>
        <v/>
      </c>
      <c r="U1897" s="8">
        <f>(Q1897-P1897*G1897*SIN(RADIANS(E1897)))/M1897</f>
        <v/>
      </c>
      <c r="V1897" s="8">
        <f>SQRT((S1897+U1897)^2+3*T1897^2)</f>
        <v/>
      </c>
      <c r="W1897" s="8">
        <f>V1897/AA1897</f>
        <v/>
      </c>
      <c r="X1897" s="27">
        <f>((3*10+H1897/COS(RADIANS(E1897)))*(3+3)+3*G1897*H1897)*2</f>
        <v/>
      </c>
      <c r="Y1897" s="28">
        <f>Z1897/X1897</f>
        <v/>
      </c>
      <c r="Z1897" s="29" t="n">
        <v>557.314795135886</v>
      </c>
      <c r="AA1897" s="20" t="n">
        <v>37.7603036627314</v>
      </c>
      <c r="AB1897" t="n">
        <v>0.04790449671982971</v>
      </c>
      <c r="AC1897" t="n">
        <v>38.80213557022697</v>
      </c>
      <c r="AD1897" t="n">
        <v>57.74721921139692</v>
      </c>
    </row>
    <row r="1898">
      <c r="A1898" t="n">
        <v>1897</v>
      </c>
      <c r="B1898" t="n">
        <v>87.09999999999999</v>
      </c>
      <c r="C1898" s="21">
        <f>B1898-20</f>
        <v/>
      </c>
      <c r="D1898" t="n">
        <v>128.4</v>
      </c>
      <c r="E1898" s="22">
        <f>D1898-90</f>
        <v/>
      </c>
      <c r="F1898" s="23" t="n">
        <v>0.022034</v>
      </c>
      <c r="G1898" s="22" t="n">
        <v>23.7</v>
      </c>
      <c r="H1898" s="22" t="n">
        <v>1.4</v>
      </c>
      <c r="I1898" s="24" t="n">
        <v>0.153766959905624</v>
      </c>
      <c r="J1898" s="6" t="n">
        <v>71000</v>
      </c>
      <c r="K1898" s="25">
        <f>23*10^-6</f>
        <v/>
      </c>
      <c r="L1898" s="8">
        <f>H1898</f>
        <v/>
      </c>
      <c r="M1898" s="26">
        <f>H1898^2/6</f>
        <v/>
      </c>
      <c r="N1898" s="26">
        <f>H1898^3/12</f>
        <v/>
      </c>
      <c r="O1898" s="27">
        <f>-J1898*L1898*K1898*C1898</f>
        <v/>
      </c>
      <c r="P1898" s="28">
        <f>-(12*F1898*J1898*L1898*N1898+12*O1898*N1898*G1898*COS(RADIANS(E1898)))/(12*N1898*G1898*COS(RADIANS(E1898))^2+L1898*G1898^3*SIN(RADIANS(E1898))^2)</f>
        <v/>
      </c>
      <c r="Q1898" s="28">
        <f>-(6*F1898*J1898*L1898*N1898*SIN(RADIANS(E1898))+6*O1898*N1898*G1898*SIN(RADIANS(E1898))*COS(RADIANS(E1898)))/(12*N1898*COS(RADIANS(E1898))^2+L1898*G1898^2*SIN(RADIANS(E1898))^2)</f>
        <v/>
      </c>
      <c r="R1898" s="28">
        <f>-P1898*SIN(RADIANS(E1898))</f>
        <v/>
      </c>
      <c r="S1898" s="8">
        <f>(O1898+P1898*COS(RADIANS(E1898)))/L1898</f>
        <v/>
      </c>
      <c r="T1898" s="8">
        <f>R1898/L1898</f>
        <v/>
      </c>
      <c r="U1898" s="8">
        <f>(Q1898-P1898*G1898*SIN(RADIANS(E1898)))/M1898</f>
        <v/>
      </c>
      <c r="V1898" s="8">
        <f>SQRT((S1898+U1898)^2+3*T1898^2)</f>
        <v/>
      </c>
      <c r="W1898" s="8">
        <f>V1898/AA1898</f>
        <v/>
      </c>
      <c r="X1898" s="27">
        <f>((3*10+H1898/COS(RADIANS(E1898)))*(3+3)+3*G1898*H1898)*2</f>
        <v/>
      </c>
      <c r="Y1898" s="28">
        <f>Z1898/X1898</f>
        <v/>
      </c>
      <c r="Z1898" s="29" t="n">
        <v>580.915663305576</v>
      </c>
      <c r="AA1898" s="20" t="n">
        <v>105.402346325113</v>
      </c>
      <c r="AB1898" t="n">
        <v>0.08206254929680336</v>
      </c>
      <c r="AC1898" t="n">
        <v>96.85051041750076</v>
      </c>
      <c r="AD1898" t="n">
        <v>-46.63187114633075</v>
      </c>
    </row>
    <row r="1899">
      <c r="A1899" t="n">
        <v>1898</v>
      </c>
      <c r="B1899" t="n">
        <v>64</v>
      </c>
      <c r="C1899" s="21">
        <f>B1899-20</f>
        <v/>
      </c>
      <c r="D1899" t="n">
        <v>119.6</v>
      </c>
      <c r="E1899" s="22">
        <f>D1899-90</f>
        <v/>
      </c>
      <c r="F1899" s="23" t="n">
        <v>0.017061</v>
      </c>
      <c r="G1899" s="22" t="n">
        <v>28.5</v>
      </c>
      <c r="H1899" s="22" t="n">
        <v>1</v>
      </c>
      <c r="I1899" s="24" t="n">
        <v>0.160928159952163</v>
      </c>
      <c r="J1899" s="6" t="n">
        <v>71000</v>
      </c>
      <c r="K1899" s="25">
        <f>23*10^-6</f>
        <v/>
      </c>
      <c r="L1899" s="8">
        <f>H1899</f>
        <v/>
      </c>
      <c r="M1899" s="26">
        <f>H1899^2/6</f>
        <v/>
      </c>
      <c r="N1899" s="26">
        <f>H1899^3/12</f>
        <v/>
      </c>
      <c r="O1899" s="27">
        <f>-J1899*L1899*K1899*C1899</f>
        <v/>
      </c>
      <c r="P1899" s="28">
        <f>-(12*F1899*J1899*L1899*N1899+12*O1899*N1899*G1899*COS(RADIANS(E1899)))/(12*N1899*G1899*COS(RADIANS(E1899))^2+L1899*G1899^3*SIN(RADIANS(E1899))^2)</f>
        <v/>
      </c>
      <c r="Q1899" s="28">
        <f>-(6*F1899*J1899*L1899*N1899*SIN(RADIANS(E1899))+6*O1899*N1899*G1899*SIN(RADIANS(E1899))*COS(RADIANS(E1899)))/(12*N1899*COS(RADIANS(E1899))^2+L1899*G1899^2*SIN(RADIANS(E1899))^2)</f>
        <v/>
      </c>
      <c r="R1899" s="28">
        <f>-P1899*SIN(RADIANS(E1899))</f>
        <v/>
      </c>
      <c r="S1899" s="8">
        <f>(O1899+P1899*COS(RADIANS(E1899)))/L1899</f>
        <v/>
      </c>
      <c r="T1899" s="8">
        <f>R1899/L1899</f>
        <v/>
      </c>
      <c r="U1899" s="8">
        <f>(Q1899-P1899*G1899*SIN(RADIANS(E1899)))/M1899</f>
        <v/>
      </c>
      <c r="V1899" s="8">
        <f>SQRT((S1899+U1899)^2+3*T1899^2)</f>
        <v/>
      </c>
      <c r="W1899" s="8">
        <f>V1899/AA1899</f>
        <v/>
      </c>
      <c r="X1899" s="27">
        <f>((3*10+H1899/COS(RADIANS(E1899)))*(3+3)+3*G1899*H1899)*2</f>
        <v/>
      </c>
      <c r="Y1899" s="28">
        <f>Z1899/X1899</f>
        <v/>
      </c>
      <c r="Z1899" s="29" t="n">
        <v>547.0586220986891</v>
      </c>
      <c r="AA1899" s="20" t="n">
        <v>63.9863353462024</v>
      </c>
      <c r="AB1899" t="n">
        <v>0.08521147178573396</v>
      </c>
      <c r="AC1899" t="n">
        <v>63.20376094901283</v>
      </c>
      <c r="AD1899" t="n">
        <v>-47.04999310806533</v>
      </c>
    </row>
    <row r="1900">
      <c r="A1900" t="n">
        <v>1899</v>
      </c>
      <c r="B1900" t="n">
        <v>43.3</v>
      </c>
      <c r="C1900" s="21">
        <f>B1900-20</f>
        <v/>
      </c>
      <c r="D1900" t="n">
        <v>114.9</v>
      </c>
      <c r="E1900" s="22">
        <f>D1900-90</f>
        <v/>
      </c>
      <c r="F1900" s="23" t="n">
        <v>0.006486</v>
      </c>
      <c r="G1900" s="22" t="n">
        <v>20.6</v>
      </c>
      <c r="H1900" s="22" t="n">
        <v>1.4</v>
      </c>
      <c r="I1900" s="24" t="n">
        <v>0.0337893180549144</v>
      </c>
      <c r="J1900" s="6" t="n">
        <v>71000</v>
      </c>
      <c r="K1900" s="25">
        <f>23*10^-6</f>
        <v/>
      </c>
      <c r="L1900" s="8">
        <f>H1900</f>
        <v/>
      </c>
      <c r="M1900" s="26">
        <f>H1900^2/6</f>
        <v/>
      </c>
      <c r="N1900" s="26">
        <f>H1900^3/12</f>
        <v/>
      </c>
      <c r="O1900" s="27">
        <f>-J1900*L1900*K1900*C1900</f>
        <v/>
      </c>
      <c r="P1900" s="28">
        <f>-(12*F1900*J1900*L1900*N1900+12*O1900*N1900*G1900*COS(RADIANS(E1900)))/(12*N1900*G1900*COS(RADIANS(E1900))^2+L1900*G1900^3*SIN(RADIANS(E1900))^2)</f>
        <v/>
      </c>
      <c r="Q1900" s="28">
        <f>-(6*F1900*J1900*L1900*N1900*SIN(RADIANS(E1900))+6*O1900*N1900*G1900*SIN(RADIANS(E1900))*COS(RADIANS(E1900)))/(12*N1900*COS(RADIANS(E1900))^2+L1900*G1900^2*SIN(RADIANS(E1900))^2)</f>
        <v/>
      </c>
      <c r="R1900" s="28">
        <f>-P1900*SIN(RADIANS(E1900))</f>
        <v/>
      </c>
      <c r="S1900" s="8">
        <f>(O1900+P1900*COS(RADIANS(E1900)))/L1900</f>
        <v/>
      </c>
      <c r="T1900" s="8">
        <f>R1900/L1900</f>
        <v/>
      </c>
      <c r="U1900" s="8">
        <f>(Q1900-P1900*G1900*SIN(RADIANS(E1900)))/M1900</f>
        <v/>
      </c>
      <c r="V1900" s="8">
        <f>SQRT((S1900+U1900)^2+3*T1900^2)</f>
        <v/>
      </c>
      <c r="W1900" s="8">
        <f>V1900/AA1900</f>
        <v/>
      </c>
      <c r="X1900" s="27">
        <f>((3*10+H1900/COS(RADIANS(E1900)))*(3+3)+3*G1900*H1900)*2</f>
        <v/>
      </c>
      <c r="Y1900" s="28">
        <f>Z1900/X1900</f>
        <v/>
      </c>
      <c r="Z1900" s="29" t="n">
        <v>558.103341038318</v>
      </c>
      <c r="AA1900" s="20" t="n">
        <v>36.0128576468656</v>
      </c>
      <c r="AB1900" t="n">
        <v>0.03943493386475812</v>
      </c>
      <c r="AC1900" t="n">
        <v>35.71370706814849</v>
      </c>
      <c r="AD1900" t="n">
        <v>16.70828573890856</v>
      </c>
    </row>
    <row r="1901">
      <c r="A1901" t="n">
        <v>1900</v>
      </c>
      <c r="B1901" t="n">
        <v>61.8</v>
      </c>
      <c r="C1901" s="21">
        <f>B1901-20</f>
        <v/>
      </c>
      <c r="D1901" t="n">
        <v>112.4</v>
      </c>
      <c r="E1901" s="22">
        <f>D1901-90</f>
        <v/>
      </c>
      <c r="F1901" s="23" t="n">
        <v>0.015335</v>
      </c>
      <c r="G1901" s="22" t="n">
        <v>28.4</v>
      </c>
      <c r="H1901" s="22" t="n">
        <v>1.4</v>
      </c>
      <c r="I1901" s="24" t="n">
        <v>0.082939863204956</v>
      </c>
      <c r="J1901" s="6" t="n">
        <v>71000</v>
      </c>
      <c r="K1901" s="25">
        <f>23*10^-6</f>
        <v/>
      </c>
      <c r="L1901" s="8">
        <f>H1901</f>
        <v/>
      </c>
      <c r="M1901" s="26">
        <f>H1901^2/6</f>
        <v/>
      </c>
      <c r="N1901" s="26">
        <f>H1901^3/12</f>
        <v/>
      </c>
      <c r="O1901" s="27">
        <f>-J1901*L1901*K1901*C1901</f>
        <v/>
      </c>
      <c r="P1901" s="28">
        <f>-(12*F1901*J1901*L1901*N1901+12*O1901*N1901*G1901*COS(RADIANS(E1901)))/(12*N1901*G1901*COS(RADIANS(E1901))^2+L1901*G1901^3*SIN(RADIANS(E1901))^2)</f>
        <v/>
      </c>
      <c r="Q1901" s="28">
        <f>-(6*F1901*J1901*L1901*N1901*SIN(RADIANS(E1901))+6*O1901*N1901*G1901*SIN(RADIANS(E1901))*COS(RADIANS(E1901)))/(12*N1901*COS(RADIANS(E1901))^2+L1901*G1901^2*SIN(RADIANS(E1901))^2)</f>
        <v/>
      </c>
      <c r="R1901" s="28">
        <f>-P1901*SIN(RADIANS(E1901))</f>
        <v/>
      </c>
      <c r="S1901" s="8">
        <f>(O1901+P1901*COS(RADIANS(E1901)))/L1901</f>
        <v/>
      </c>
      <c r="T1901" s="8">
        <f>R1901/L1901</f>
        <v/>
      </c>
      <c r="U1901" s="8">
        <f>(Q1901-P1901*G1901*SIN(RADIANS(E1901)))/M1901</f>
        <v/>
      </c>
      <c r="V1901" s="8">
        <f>SQRT((S1901+U1901)^2+3*T1901^2)</f>
        <v/>
      </c>
      <c r="W1901" s="8">
        <f>V1901/AA1901</f>
        <v/>
      </c>
      <c r="X1901" s="27">
        <f>((3*10+H1901/COS(RADIANS(E1901)))*(3+3)+3*G1901*H1901)*2</f>
        <v/>
      </c>
      <c r="Y1901" s="28">
        <f>Z1901/X1901</f>
        <v/>
      </c>
      <c r="Z1901" s="29" t="n">
        <v>622.251825333376</v>
      </c>
      <c r="AA1901" s="20" t="n">
        <v>62.5978634920218</v>
      </c>
      <c r="AB1901" t="n">
        <v>0.1073176713694461</v>
      </c>
      <c r="AC1901" t="n">
        <v>63.60013344685145</v>
      </c>
      <c r="AD1901" t="n">
        <v>29.39214898902003</v>
      </c>
    </row>
    <row r="1902">
      <c r="A1902" t="n">
        <v>1901</v>
      </c>
      <c r="B1902" t="n">
        <v>68.7</v>
      </c>
      <c r="C1902" s="21">
        <f>B1902-20</f>
        <v/>
      </c>
      <c r="D1902" t="n">
        <v>129.8</v>
      </c>
      <c r="E1902" s="22">
        <f>D1902-90</f>
        <v/>
      </c>
      <c r="F1902" s="23" t="n">
        <v>0.016631</v>
      </c>
      <c r="G1902" s="22" t="n">
        <v>28.5</v>
      </c>
      <c r="H1902" s="22" t="n">
        <v>1.1</v>
      </c>
      <c r="I1902" s="24" t="n">
        <v>0.0753322318196296</v>
      </c>
      <c r="J1902" s="6" t="n">
        <v>71000</v>
      </c>
      <c r="K1902" s="25">
        <f>23*10^-6</f>
        <v/>
      </c>
      <c r="L1902" s="8">
        <f>H1902</f>
        <v/>
      </c>
      <c r="M1902" s="26">
        <f>H1902^2/6</f>
        <v/>
      </c>
      <c r="N1902" s="26">
        <f>H1902^3/12</f>
        <v/>
      </c>
      <c r="O1902" s="27">
        <f>-J1902*L1902*K1902*C1902</f>
        <v/>
      </c>
      <c r="P1902" s="28">
        <f>-(12*F1902*J1902*L1902*N1902+12*O1902*N1902*G1902*COS(RADIANS(E1902)))/(12*N1902*G1902*COS(RADIANS(E1902))^2+L1902*G1902^3*SIN(RADIANS(E1902))^2)</f>
        <v/>
      </c>
      <c r="Q1902" s="28">
        <f>-(6*F1902*J1902*L1902*N1902*SIN(RADIANS(E1902))+6*O1902*N1902*G1902*SIN(RADIANS(E1902))*COS(RADIANS(E1902)))/(12*N1902*COS(RADIANS(E1902))^2+L1902*G1902^2*SIN(RADIANS(E1902))^2)</f>
        <v/>
      </c>
      <c r="R1902" s="28">
        <f>-P1902*SIN(RADIANS(E1902))</f>
        <v/>
      </c>
      <c r="S1902" s="8">
        <f>(O1902+P1902*COS(RADIANS(E1902)))/L1902</f>
        <v/>
      </c>
      <c r="T1902" s="8">
        <f>R1902/L1902</f>
        <v/>
      </c>
      <c r="U1902" s="8">
        <f>(Q1902-P1902*G1902*SIN(RADIANS(E1902)))/M1902</f>
        <v/>
      </c>
      <c r="V1902" s="8">
        <f>SQRT((S1902+U1902)^2+3*T1902^2)</f>
        <v/>
      </c>
      <c r="W1902" s="8">
        <f>V1902/AA1902</f>
        <v/>
      </c>
      <c r="X1902" s="27">
        <f>((3*10+H1902/COS(RADIANS(E1902)))*(3+3)+3*G1902*H1902)*2</f>
        <v/>
      </c>
      <c r="Y1902" s="28">
        <f>Z1902/X1902</f>
        <v/>
      </c>
      <c r="Z1902" s="29" t="n">
        <v>571.789491854236</v>
      </c>
      <c r="AA1902" s="20" t="n">
        <v>66.4830202110479</v>
      </c>
      <c r="AB1902" t="n">
        <v>0.06828516382228304</v>
      </c>
      <c r="AC1902" t="n">
        <v>68.7012762668494</v>
      </c>
      <c r="AD1902" t="n">
        <v>-9.354651823165918</v>
      </c>
    </row>
    <row r="1903">
      <c r="A1903" t="n">
        <v>1902</v>
      </c>
      <c r="B1903" t="n">
        <v>86.8</v>
      </c>
      <c r="C1903" s="21">
        <f>B1903-20</f>
        <v/>
      </c>
      <c r="D1903" t="n">
        <v>105.6</v>
      </c>
      <c r="E1903" s="22">
        <f>D1903-90</f>
        <v/>
      </c>
      <c r="F1903" s="23" t="n">
        <v>0.029135</v>
      </c>
      <c r="G1903" s="22" t="n">
        <v>34.6</v>
      </c>
      <c r="H1903" s="22" t="n">
        <v>2</v>
      </c>
      <c r="I1903" s="24" t="n">
        <v>0.160156592726707</v>
      </c>
      <c r="J1903" s="6" t="n">
        <v>71000</v>
      </c>
      <c r="K1903" s="25">
        <f>23*10^-6</f>
        <v/>
      </c>
      <c r="L1903" s="8">
        <f>H1903</f>
        <v/>
      </c>
      <c r="M1903" s="26">
        <f>H1903^2/6</f>
        <v/>
      </c>
      <c r="N1903" s="26">
        <f>H1903^3/12</f>
        <v/>
      </c>
      <c r="O1903" s="27">
        <f>-J1903*L1903*K1903*C1903</f>
        <v/>
      </c>
      <c r="P1903" s="28">
        <f>-(12*F1903*J1903*L1903*N1903+12*O1903*N1903*G1903*COS(RADIANS(E1903)))/(12*N1903*G1903*COS(RADIANS(E1903))^2+L1903*G1903^3*SIN(RADIANS(E1903))^2)</f>
        <v/>
      </c>
      <c r="Q1903" s="28">
        <f>-(6*F1903*J1903*L1903*N1903*SIN(RADIANS(E1903))+6*O1903*N1903*G1903*SIN(RADIANS(E1903))*COS(RADIANS(E1903)))/(12*N1903*COS(RADIANS(E1903))^2+L1903*G1903^2*SIN(RADIANS(E1903))^2)</f>
        <v/>
      </c>
      <c r="R1903" s="28">
        <f>-P1903*SIN(RADIANS(E1903))</f>
        <v/>
      </c>
      <c r="S1903" s="8">
        <f>(O1903+P1903*COS(RADIANS(E1903)))/L1903</f>
        <v/>
      </c>
      <c r="T1903" s="8">
        <f>R1903/L1903</f>
        <v/>
      </c>
      <c r="U1903" s="8">
        <f>(Q1903-P1903*G1903*SIN(RADIANS(E1903)))/M1903</f>
        <v/>
      </c>
      <c r="V1903" s="8">
        <f>SQRT((S1903+U1903)^2+3*T1903^2)</f>
        <v/>
      </c>
      <c r="W1903" s="8">
        <f>V1903/AA1903</f>
        <v/>
      </c>
      <c r="X1903" s="27">
        <f>((3*10+H1903/COS(RADIANS(E1903)))*(3+3)+3*G1903*H1903)*2</f>
        <v/>
      </c>
      <c r="Y1903" s="28">
        <f>Z1903/X1903</f>
        <v/>
      </c>
      <c r="Z1903" s="29" t="n">
        <v>806.117888328104</v>
      </c>
      <c r="AA1903" s="20" t="n">
        <v>110.012061576137</v>
      </c>
      <c r="AB1903" t="n">
        <v>0.2920597837826709</v>
      </c>
      <c r="AC1903" t="n">
        <v>110.3731685509195</v>
      </c>
      <c r="AD1903" t="n">
        <v>82.35888939086323</v>
      </c>
    </row>
    <row r="1904">
      <c r="A1904" t="n">
        <v>1903</v>
      </c>
      <c r="B1904" t="n">
        <v>79.5</v>
      </c>
      <c r="C1904" s="21">
        <f>B1904-20</f>
        <v/>
      </c>
      <c r="D1904" t="n">
        <v>104</v>
      </c>
      <c r="E1904" s="22">
        <f>D1904-90</f>
        <v/>
      </c>
      <c r="F1904" s="23" t="n">
        <v>0.016296</v>
      </c>
      <c r="G1904" s="22" t="n">
        <v>23</v>
      </c>
      <c r="H1904" s="22" t="n">
        <v>1.4</v>
      </c>
      <c r="I1904" s="24" t="n">
        <v>0.0731853023171424</v>
      </c>
      <c r="J1904" s="6" t="n">
        <v>71000</v>
      </c>
      <c r="K1904" s="25">
        <f>23*10^-6</f>
        <v/>
      </c>
      <c r="L1904" s="8">
        <f>H1904</f>
        <v/>
      </c>
      <c r="M1904" s="26">
        <f>H1904^2/6</f>
        <v/>
      </c>
      <c r="N1904" s="26">
        <f>H1904^3/12</f>
        <v/>
      </c>
      <c r="O1904" s="27">
        <f>-J1904*L1904*K1904*C1904</f>
        <v/>
      </c>
      <c r="P1904" s="28">
        <f>-(12*F1904*J1904*L1904*N1904+12*O1904*N1904*G1904*COS(RADIANS(E1904)))/(12*N1904*G1904*COS(RADIANS(E1904))^2+L1904*G1904^3*SIN(RADIANS(E1904))^2)</f>
        <v/>
      </c>
      <c r="Q1904" s="28">
        <f>-(6*F1904*J1904*L1904*N1904*SIN(RADIANS(E1904))+6*O1904*N1904*G1904*SIN(RADIANS(E1904))*COS(RADIANS(E1904)))/(12*N1904*COS(RADIANS(E1904))^2+L1904*G1904^2*SIN(RADIANS(E1904))^2)</f>
        <v/>
      </c>
      <c r="R1904" s="28">
        <f>-P1904*SIN(RADIANS(E1904))</f>
        <v/>
      </c>
      <c r="S1904" s="8">
        <f>(O1904+P1904*COS(RADIANS(E1904)))/L1904</f>
        <v/>
      </c>
      <c r="T1904" s="8">
        <f>R1904/L1904</f>
        <v/>
      </c>
      <c r="U1904" s="8">
        <f>(Q1904-P1904*G1904*SIN(RADIANS(E1904)))/M1904</f>
        <v/>
      </c>
      <c r="V1904" s="8">
        <f>SQRT((S1904+U1904)^2+3*T1904^2)</f>
        <v/>
      </c>
      <c r="W1904" s="8">
        <f>V1904/AA1904</f>
        <v/>
      </c>
      <c r="X1904" s="27">
        <f>((3*10+H1904/COS(RADIANS(E1904)))*(3+3)+3*G1904*H1904)*2</f>
        <v/>
      </c>
      <c r="Y1904" s="28">
        <f>Z1904/X1904</f>
        <v/>
      </c>
      <c r="Z1904" s="29" t="n">
        <v>584.694801542442</v>
      </c>
      <c r="AA1904" s="20" t="n">
        <v>86.98929268947821</v>
      </c>
      <c r="AB1904" t="n">
        <v>0.1952213196212709</v>
      </c>
      <c r="AC1904" t="n">
        <v>98.74849380042117</v>
      </c>
      <c r="AD1904" t="n">
        <v>166.7493519057906</v>
      </c>
    </row>
    <row r="1905">
      <c r="A1905" t="n">
        <v>1904</v>
      </c>
      <c r="B1905" t="n">
        <v>44.9</v>
      </c>
      <c r="C1905" s="21">
        <f>B1905-20</f>
        <v/>
      </c>
      <c r="D1905" t="n">
        <v>127.1</v>
      </c>
      <c r="E1905" s="22">
        <f>D1905-90</f>
        <v/>
      </c>
      <c r="F1905" s="23" t="n">
        <v>0.007528</v>
      </c>
      <c r="G1905" s="22" t="n">
        <v>23.6</v>
      </c>
      <c r="H1905" s="22" t="n">
        <v>1</v>
      </c>
      <c r="I1905" s="24" t="n">
        <v>0.0365559495985507</v>
      </c>
      <c r="J1905" s="6" t="n">
        <v>71000</v>
      </c>
      <c r="K1905" s="25">
        <f>23*10^-6</f>
        <v/>
      </c>
      <c r="L1905" s="8">
        <f>H1905</f>
        <v/>
      </c>
      <c r="M1905" s="26">
        <f>H1905^2/6</f>
        <v/>
      </c>
      <c r="N1905" s="26">
        <f>H1905^3/12</f>
        <v/>
      </c>
      <c r="O1905" s="27">
        <f>-J1905*L1905*K1905*C1905</f>
        <v/>
      </c>
      <c r="P1905" s="28">
        <f>-(12*F1905*J1905*L1905*N1905+12*O1905*N1905*G1905*COS(RADIANS(E1905)))/(12*N1905*G1905*COS(RADIANS(E1905))^2+L1905*G1905^3*SIN(RADIANS(E1905))^2)</f>
        <v/>
      </c>
      <c r="Q1905" s="28">
        <f>-(6*F1905*J1905*L1905*N1905*SIN(RADIANS(E1905))+6*O1905*N1905*G1905*SIN(RADIANS(E1905))*COS(RADIANS(E1905)))/(12*N1905*COS(RADIANS(E1905))^2+L1905*G1905^2*SIN(RADIANS(E1905))^2)</f>
        <v/>
      </c>
      <c r="R1905" s="28">
        <f>-P1905*SIN(RADIANS(E1905))</f>
        <v/>
      </c>
      <c r="S1905" s="8">
        <f>(O1905+P1905*COS(RADIANS(E1905)))/L1905</f>
        <v/>
      </c>
      <c r="T1905" s="8">
        <f>R1905/L1905</f>
        <v/>
      </c>
      <c r="U1905" s="8">
        <f>(Q1905-P1905*G1905*SIN(RADIANS(E1905)))/M1905</f>
        <v/>
      </c>
      <c r="V1905" s="8">
        <f>SQRT((S1905+U1905)^2+3*T1905^2)</f>
        <v/>
      </c>
      <c r="W1905" s="8">
        <f>V1905/AA1905</f>
        <v/>
      </c>
      <c r="X1905" s="27">
        <f>((3*10+H1905/COS(RADIANS(E1905)))*(3+3)+3*G1905*H1905)*2</f>
        <v/>
      </c>
      <c r="Y1905" s="28">
        <f>Z1905/X1905</f>
        <v/>
      </c>
      <c r="Z1905" s="29" t="n">
        <v>522.436976062412</v>
      </c>
      <c r="AA1905" s="20" t="n">
        <v>34.1217708550514</v>
      </c>
      <c r="AB1905" t="n">
        <v>0.03160727123700354</v>
      </c>
      <c r="AC1905" t="n">
        <v>35.34834251415293</v>
      </c>
      <c r="AD1905" t="n">
        <v>-13.53727208810725</v>
      </c>
    </row>
    <row r="1906">
      <c r="A1906" t="n">
        <v>1905</v>
      </c>
      <c r="B1906" t="n">
        <v>72.7</v>
      </c>
      <c r="C1906" s="21">
        <f>B1906-20</f>
        <v/>
      </c>
      <c r="D1906" t="n">
        <v>116.4</v>
      </c>
      <c r="E1906" s="22">
        <f>D1906-90</f>
        <v/>
      </c>
      <c r="F1906" s="23" t="n">
        <v>0.019244</v>
      </c>
      <c r="G1906" s="22" t="n">
        <v>28.7</v>
      </c>
      <c r="H1906" s="22" t="n">
        <v>1.1</v>
      </c>
      <c r="I1906" s="24" t="n">
        <v>0.09889579564332961</v>
      </c>
      <c r="J1906" s="6" t="n">
        <v>71000</v>
      </c>
      <c r="K1906" s="25">
        <f>23*10^-6</f>
        <v/>
      </c>
      <c r="L1906" s="8">
        <f>H1906</f>
        <v/>
      </c>
      <c r="M1906" s="26">
        <f>H1906^2/6</f>
        <v/>
      </c>
      <c r="N1906" s="26">
        <f>H1906^3/12</f>
        <v/>
      </c>
      <c r="O1906" s="27">
        <f>-J1906*L1906*K1906*C1906</f>
        <v/>
      </c>
      <c r="P1906" s="28">
        <f>-(12*F1906*J1906*L1906*N1906+12*O1906*N1906*G1906*COS(RADIANS(E1906)))/(12*N1906*G1906*COS(RADIANS(E1906))^2+L1906*G1906^3*SIN(RADIANS(E1906))^2)</f>
        <v/>
      </c>
      <c r="Q1906" s="28">
        <f>-(6*F1906*J1906*L1906*N1906*SIN(RADIANS(E1906))+6*O1906*N1906*G1906*SIN(RADIANS(E1906))*COS(RADIANS(E1906)))/(12*N1906*COS(RADIANS(E1906))^2+L1906*G1906^2*SIN(RADIANS(E1906))^2)</f>
        <v/>
      </c>
      <c r="R1906" s="28">
        <f>-P1906*SIN(RADIANS(E1906))</f>
        <v/>
      </c>
      <c r="S1906" s="8">
        <f>(O1906+P1906*COS(RADIANS(E1906)))/L1906</f>
        <v/>
      </c>
      <c r="T1906" s="8">
        <f>R1906/L1906</f>
        <v/>
      </c>
      <c r="U1906" s="8">
        <f>(Q1906-P1906*G1906*SIN(RADIANS(E1906)))/M1906</f>
        <v/>
      </c>
      <c r="V1906" s="8">
        <f>SQRT((S1906+U1906)^2+3*T1906^2)</f>
        <v/>
      </c>
      <c r="W1906" s="8">
        <f>V1906/AA1906</f>
        <v/>
      </c>
      <c r="X1906" s="27">
        <f>((3*10+H1906/COS(RADIANS(E1906)))*(3+3)+3*G1906*H1906)*2</f>
        <v/>
      </c>
      <c r="Y1906" s="28">
        <f>Z1906/X1906</f>
        <v/>
      </c>
      <c r="Z1906" s="29" t="n">
        <v>569.865972131829</v>
      </c>
      <c r="AA1906" s="20" t="n">
        <v>73.4704036258741</v>
      </c>
      <c r="AB1906" t="n">
        <v>0.1158644286460443</v>
      </c>
      <c r="AC1906" t="n">
        <v>76.95407814699999</v>
      </c>
      <c r="AD1906" t="n">
        <v>17.15809341775516</v>
      </c>
    </row>
    <row r="1907">
      <c r="A1907" t="n">
        <v>1906</v>
      </c>
      <c r="B1907" t="n">
        <v>63.9</v>
      </c>
      <c r="C1907" s="21">
        <f>B1907-20</f>
        <v/>
      </c>
      <c r="D1907" t="n">
        <v>102.3</v>
      </c>
      <c r="E1907" s="22">
        <f>D1907-90</f>
        <v/>
      </c>
      <c r="F1907" s="23" t="n">
        <v>0.018272</v>
      </c>
      <c r="G1907" s="22" t="n">
        <v>33</v>
      </c>
      <c r="H1907" s="22" t="n">
        <v>1</v>
      </c>
      <c r="I1907" s="24" t="n">
        <v>0.0980829820036888</v>
      </c>
      <c r="J1907" s="6" t="n">
        <v>71000</v>
      </c>
      <c r="K1907" s="25">
        <f>23*10^-6</f>
        <v/>
      </c>
      <c r="L1907" s="8">
        <f>H1907</f>
        <v/>
      </c>
      <c r="M1907" s="26">
        <f>H1907^2/6</f>
        <v/>
      </c>
      <c r="N1907" s="26">
        <f>H1907^3/12</f>
        <v/>
      </c>
      <c r="O1907" s="27">
        <f>-J1907*L1907*K1907*C1907</f>
        <v/>
      </c>
      <c r="P1907" s="28">
        <f>-(12*F1907*J1907*L1907*N1907+12*O1907*N1907*G1907*COS(RADIANS(E1907)))/(12*N1907*G1907*COS(RADIANS(E1907))^2+L1907*G1907^3*SIN(RADIANS(E1907))^2)</f>
        <v/>
      </c>
      <c r="Q1907" s="28">
        <f>-(6*F1907*J1907*L1907*N1907*SIN(RADIANS(E1907))+6*O1907*N1907*G1907*SIN(RADIANS(E1907))*COS(RADIANS(E1907)))/(12*N1907*COS(RADIANS(E1907))^2+L1907*G1907^2*SIN(RADIANS(E1907))^2)</f>
        <v/>
      </c>
      <c r="R1907" s="28">
        <f>-P1907*SIN(RADIANS(E1907))</f>
        <v/>
      </c>
      <c r="S1907" s="8">
        <f>(O1907+P1907*COS(RADIANS(E1907)))/L1907</f>
        <v/>
      </c>
      <c r="T1907" s="8">
        <f>R1907/L1907</f>
        <v/>
      </c>
      <c r="U1907" s="8">
        <f>(Q1907-P1907*G1907*SIN(RADIANS(E1907)))/M1907</f>
        <v/>
      </c>
      <c r="V1907" s="8">
        <f>SQRT((S1907+U1907)^2+3*T1907^2)</f>
        <v/>
      </c>
      <c r="W1907" s="8">
        <f>V1907/AA1907</f>
        <v/>
      </c>
      <c r="X1907" s="27">
        <f>((3*10+H1907/COS(RADIANS(E1907)))*(3+3)+3*G1907*H1907)*2</f>
        <v/>
      </c>
      <c r="Y1907" s="28">
        <f>Z1907/X1907</f>
        <v/>
      </c>
      <c r="Z1907" s="29" t="n">
        <v>576.371658095085</v>
      </c>
      <c r="AA1907" s="20" t="n">
        <v>59.9599725892174</v>
      </c>
      <c r="AB1907" t="n">
        <v>0.2394822834436236</v>
      </c>
      <c r="AC1907" t="n">
        <v>68.44229469894221</v>
      </c>
      <c r="AD1907" t="n">
        <v>144.1629307667429</v>
      </c>
    </row>
    <row r="1908">
      <c r="A1908" t="n">
        <v>1907</v>
      </c>
      <c r="B1908" t="n">
        <v>43.6</v>
      </c>
      <c r="C1908" s="21">
        <f>B1908-20</f>
        <v/>
      </c>
      <c r="D1908" t="n">
        <v>101.8</v>
      </c>
      <c r="E1908" s="22">
        <f>D1908-90</f>
        <v/>
      </c>
      <c r="F1908" s="23" t="n">
        <v>0.006761</v>
      </c>
      <c r="G1908" s="22" t="n">
        <v>24.9</v>
      </c>
      <c r="H1908" s="22" t="n">
        <v>1.3</v>
      </c>
      <c r="I1908" s="24" t="n">
        <v>0.0298100914806127</v>
      </c>
      <c r="J1908" s="6" t="n">
        <v>71000</v>
      </c>
      <c r="K1908" s="25">
        <f>23*10^-6</f>
        <v/>
      </c>
      <c r="L1908" s="8">
        <f>H1908</f>
        <v/>
      </c>
      <c r="M1908" s="26">
        <f>H1908^2/6</f>
        <v/>
      </c>
      <c r="N1908" s="26">
        <f>H1908^3/12</f>
        <v/>
      </c>
      <c r="O1908" s="27">
        <f>-J1908*L1908*K1908*C1908</f>
        <v/>
      </c>
      <c r="P1908" s="28">
        <f>-(12*F1908*J1908*L1908*N1908+12*O1908*N1908*G1908*COS(RADIANS(E1908)))/(12*N1908*G1908*COS(RADIANS(E1908))^2+L1908*G1908^3*SIN(RADIANS(E1908))^2)</f>
        <v/>
      </c>
      <c r="Q1908" s="28">
        <f>-(6*F1908*J1908*L1908*N1908*SIN(RADIANS(E1908))+6*O1908*N1908*G1908*SIN(RADIANS(E1908))*COS(RADIANS(E1908)))/(12*N1908*COS(RADIANS(E1908))^2+L1908*G1908^2*SIN(RADIANS(E1908))^2)</f>
        <v/>
      </c>
      <c r="R1908" s="28">
        <f>-P1908*SIN(RADIANS(E1908))</f>
        <v/>
      </c>
      <c r="S1908" s="8">
        <f>(O1908+P1908*COS(RADIANS(E1908)))/L1908</f>
        <v/>
      </c>
      <c r="T1908" s="8">
        <f>R1908/L1908</f>
        <v/>
      </c>
      <c r="U1908" s="8">
        <f>(Q1908-P1908*G1908*SIN(RADIANS(E1908)))/M1908</f>
        <v/>
      </c>
      <c r="V1908" s="8">
        <f>SQRT((S1908+U1908)^2+3*T1908^2)</f>
        <v/>
      </c>
      <c r="W1908" s="8">
        <f>V1908/AA1908</f>
        <v/>
      </c>
      <c r="X1908" s="27">
        <f>((3*10+H1908/COS(RADIANS(E1908)))*(3+3)+3*G1908*H1908)*2</f>
        <v/>
      </c>
      <c r="Y1908" s="28">
        <f>Z1908/X1908</f>
        <v/>
      </c>
      <c r="Z1908" s="29" t="n">
        <v>585.197101012855</v>
      </c>
      <c r="AA1908" s="20" t="n">
        <v>33.0950348996526</v>
      </c>
      <c r="AB1908" t="n">
        <v>0.09892395896663103</v>
      </c>
      <c r="AC1908" t="n">
        <v>39.53803188264995</v>
      </c>
      <c r="AD1908" t="n">
        <v>231.8472170102773</v>
      </c>
    </row>
    <row r="1909">
      <c r="A1909" t="n">
        <v>1908</v>
      </c>
      <c r="B1909" t="n">
        <v>82.90000000000001</v>
      </c>
      <c r="C1909" s="21">
        <f>B1909-20</f>
        <v/>
      </c>
      <c r="D1909" t="n">
        <v>109.3</v>
      </c>
      <c r="E1909" s="22">
        <f>D1909-90</f>
        <v/>
      </c>
      <c r="F1909" s="23" t="n">
        <v>0.02295</v>
      </c>
      <c r="G1909" s="22" t="n">
        <v>27</v>
      </c>
      <c r="H1909" s="22" t="n">
        <v>1.3</v>
      </c>
      <c r="I1909" s="24" t="n">
        <v>0.160489082336425</v>
      </c>
      <c r="J1909" s="6" t="n">
        <v>71000</v>
      </c>
      <c r="K1909" s="25">
        <f>23*10^-6</f>
        <v/>
      </c>
      <c r="L1909" s="8">
        <f>H1909</f>
        <v/>
      </c>
      <c r="M1909" s="26">
        <f>H1909^2/6</f>
        <v/>
      </c>
      <c r="N1909" s="26">
        <f>H1909^3/12</f>
        <v/>
      </c>
      <c r="O1909" s="27">
        <f>-J1909*L1909*K1909*C1909</f>
        <v/>
      </c>
      <c r="P1909" s="28">
        <f>-(12*F1909*J1909*L1909*N1909+12*O1909*N1909*G1909*COS(RADIANS(E1909)))/(12*N1909*G1909*COS(RADIANS(E1909))^2+L1909*G1909^3*SIN(RADIANS(E1909))^2)</f>
        <v/>
      </c>
      <c r="Q1909" s="28">
        <f>-(6*F1909*J1909*L1909*N1909*SIN(RADIANS(E1909))+6*O1909*N1909*G1909*SIN(RADIANS(E1909))*COS(RADIANS(E1909)))/(12*N1909*COS(RADIANS(E1909))^2+L1909*G1909^2*SIN(RADIANS(E1909))^2)</f>
        <v/>
      </c>
      <c r="R1909" s="28">
        <f>-P1909*SIN(RADIANS(E1909))</f>
        <v/>
      </c>
      <c r="S1909" s="8">
        <f>(O1909+P1909*COS(RADIANS(E1909)))/L1909</f>
        <v/>
      </c>
      <c r="T1909" s="8">
        <f>R1909/L1909</f>
        <v/>
      </c>
      <c r="U1909" s="8">
        <f>(Q1909-P1909*G1909*SIN(RADIANS(E1909)))/M1909</f>
        <v/>
      </c>
      <c r="V1909" s="8">
        <f>SQRT((S1909+U1909)^2+3*T1909^2)</f>
        <v/>
      </c>
      <c r="W1909" s="8">
        <f>V1909/AA1909</f>
        <v/>
      </c>
      <c r="X1909" s="27">
        <f>((3*10+H1909/COS(RADIANS(E1909)))*(3+3)+3*G1909*H1909)*2</f>
        <v/>
      </c>
      <c r="Y1909" s="28">
        <f>Z1909/X1909</f>
        <v/>
      </c>
      <c r="Z1909" s="29" t="n">
        <v>591.148184046609</v>
      </c>
      <c r="AA1909" s="20" t="n">
        <v>95.3997794301027</v>
      </c>
      <c r="AB1909" t="n">
        <v>0.179110790019567</v>
      </c>
      <c r="AC1909" t="n">
        <v>97.1327680925064</v>
      </c>
      <c r="AD1909" t="n">
        <v>11.60309935856339</v>
      </c>
    </row>
    <row r="1910">
      <c r="A1910" t="n">
        <v>1909</v>
      </c>
      <c r="B1910" t="n">
        <v>84.2</v>
      </c>
      <c r="C1910" s="21">
        <f>B1910-20</f>
        <v/>
      </c>
      <c r="D1910" t="n">
        <v>113.8</v>
      </c>
      <c r="E1910" s="22">
        <f>D1910-90</f>
        <v/>
      </c>
      <c r="F1910" s="23" t="n">
        <v>0.027329</v>
      </c>
      <c r="G1910" s="22" t="n">
        <v>32.3</v>
      </c>
      <c r="H1910" s="22" t="n">
        <v>1.1</v>
      </c>
      <c r="I1910" s="24" t="n">
        <v>0.204991221427917</v>
      </c>
      <c r="J1910" s="6" t="n">
        <v>71000</v>
      </c>
      <c r="K1910" s="25">
        <f>23*10^-6</f>
        <v/>
      </c>
      <c r="L1910" s="8">
        <f>H1910</f>
        <v/>
      </c>
      <c r="M1910" s="26">
        <f>H1910^2/6</f>
        <v/>
      </c>
      <c r="N1910" s="26">
        <f>H1910^3/12</f>
        <v/>
      </c>
      <c r="O1910" s="27">
        <f>-J1910*L1910*K1910*C1910</f>
        <v/>
      </c>
      <c r="P1910" s="28">
        <f>-(12*F1910*J1910*L1910*N1910+12*O1910*N1910*G1910*COS(RADIANS(E1910)))/(12*N1910*G1910*COS(RADIANS(E1910))^2+L1910*G1910^3*SIN(RADIANS(E1910))^2)</f>
        <v/>
      </c>
      <c r="Q1910" s="28">
        <f>-(6*F1910*J1910*L1910*N1910*SIN(RADIANS(E1910))+6*O1910*N1910*G1910*SIN(RADIANS(E1910))*COS(RADIANS(E1910)))/(12*N1910*COS(RADIANS(E1910))^2+L1910*G1910^2*SIN(RADIANS(E1910))^2)</f>
        <v/>
      </c>
      <c r="R1910" s="28">
        <f>-P1910*SIN(RADIANS(E1910))</f>
        <v/>
      </c>
      <c r="S1910" s="8">
        <f>(O1910+P1910*COS(RADIANS(E1910)))/L1910</f>
        <v/>
      </c>
      <c r="T1910" s="8">
        <f>R1910/L1910</f>
        <v/>
      </c>
      <c r="U1910" s="8">
        <f>(Q1910-P1910*G1910*SIN(RADIANS(E1910)))/M1910</f>
        <v/>
      </c>
      <c r="V1910" s="8">
        <f>SQRT((S1910+U1910)^2+3*T1910^2)</f>
        <v/>
      </c>
      <c r="W1910" s="8">
        <f>V1910/AA1910</f>
        <v/>
      </c>
      <c r="X1910" s="27">
        <f>((3*10+H1910/COS(RADIANS(E1910)))*(3+3)+3*G1910*H1910)*2</f>
        <v/>
      </c>
      <c r="Y1910" s="28">
        <f>Z1910/X1910</f>
        <v/>
      </c>
      <c r="Z1910" s="29" t="n">
        <v>590.952456397455</v>
      </c>
      <c r="AA1910" s="20" t="n">
        <v>93.0046428809062</v>
      </c>
      <c r="AB1910" t="n">
        <v>0.1760665363250021</v>
      </c>
      <c r="AC1910" t="n">
        <v>94.03835806526898</v>
      </c>
      <c r="AD1910" t="n">
        <v>-14.11020672077217</v>
      </c>
    </row>
    <row r="1911">
      <c r="A1911" t="n">
        <v>1910</v>
      </c>
      <c r="B1911" t="n">
        <v>53</v>
      </c>
      <c r="C1911" s="21">
        <f>B1911-20</f>
        <v/>
      </c>
      <c r="D1911" t="n">
        <v>114.6</v>
      </c>
      <c r="E1911" s="22">
        <f>D1911-90</f>
        <v/>
      </c>
      <c r="F1911" s="23" t="n">
        <v>0.012219</v>
      </c>
      <c r="G1911" s="22" t="n">
        <v>33.2</v>
      </c>
      <c r="H1911" s="22" t="n">
        <v>1.2</v>
      </c>
      <c r="I1911" s="24" t="n">
        <v>0.0522968918085098</v>
      </c>
      <c r="J1911" s="6" t="n">
        <v>71000</v>
      </c>
      <c r="K1911" s="25">
        <f>23*10^-6</f>
        <v/>
      </c>
      <c r="L1911" s="8">
        <f>H1911</f>
        <v/>
      </c>
      <c r="M1911" s="26">
        <f>H1911^2/6</f>
        <v/>
      </c>
      <c r="N1911" s="26">
        <f>H1911^3/12</f>
        <v/>
      </c>
      <c r="O1911" s="27">
        <f>-J1911*L1911*K1911*C1911</f>
        <v/>
      </c>
      <c r="P1911" s="28">
        <f>-(12*F1911*J1911*L1911*N1911+12*O1911*N1911*G1911*COS(RADIANS(E1911)))/(12*N1911*G1911*COS(RADIANS(E1911))^2+L1911*G1911^3*SIN(RADIANS(E1911))^2)</f>
        <v/>
      </c>
      <c r="Q1911" s="28">
        <f>-(6*F1911*J1911*L1911*N1911*SIN(RADIANS(E1911))+6*O1911*N1911*G1911*SIN(RADIANS(E1911))*COS(RADIANS(E1911)))/(12*N1911*COS(RADIANS(E1911))^2+L1911*G1911^2*SIN(RADIANS(E1911))^2)</f>
        <v/>
      </c>
      <c r="R1911" s="28">
        <f>-P1911*SIN(RADIANS(E1911))</f>
        <v/>
      </c>
      <c r="S1911" s="8">
        <f>(O1911+P1911*COS(RADIANS(E1911)))/L1911</f>
        <v/>
      </c>
      <c r="T1911" s="8">
        <f>R1911/L1911</f>
        <v/>
      </c>
      <c r="U1911" s="8">
        <f>(Q1911-P1911*G1911*SIN(RADIANS(E1911)))/M1911</f>
        <v/>
      </c>
      <c r="V1911" s="8">
        <f>SQRT((S1911+U1911)^2+3*T1911^2)</f>
        <v/>
      </c>
      <c r="W1911" s="8">
        <f>V1911/AA1911</f>
        <v/>
      </c>
      <c r="X1911" s="27">
        <f>((3*10+H1911/COS(RADIANS(E1911)))*(3+3)+3*G1911*H1911)*2</f>
        <v/>
      </c>
      <c r="Y1911" s="28">
        <f>Z1911/X1911</f>
        <v/>
      </c>
      <c r="Z1911" s="29" t="n">
        <v>626.619032787338</v>
      </c>
      <c r="AA1911" s="20" t="n">
        <v>44.2858516998328</v>
      </c>
      <c r="AB1911" t="n">
        <v>0.08966973534186043</v>
      </c>
      <c r="AC1911" t="n">
        <v>48.44544532566633</v>
      </c>
      <c r="AD1911" t="n">
        <v>71.46283888188798</v>
      </c>
    </row>
    <row r="1912">
      <c r="A1912" t="n">
        <v>1911</v>
      </c>
      <c r="B1912" t="n">
        <v>69.2</v>
      </c>
      <c r="C1912" s="21">
        <f>B1912-20</f>
        <v/>
      </c>
      <c r="D1912" t="n">
        <v>110.6</v>
      </c>
      <c r="E1912" s="22">
        <f>D1912-90</f>
        <v/>
      </c>
      <c r="F1912" s="23" t="n">
        <v>0.019844</v>
      </c>
      <c r="G1912" s="22" t="n">
        <v>32.8</v>
      </c>
      <c r="H1912" s="22" t="n">
        <v>1.4</v>
      </c>
      <c r="I1912" s="24" t="n">
        <v>0.09701585024595261</v>
      </c>
      <c r="J1912" s="6" t="n">
        <v>71000</v>
      </c>
      <c r="K1912" s="25">
        <f>23*10^-6</f>
        <v/>
      </c>
      <c r="L1912" s="8">
        <f>H1912</f>
        <v/>
      </c>
      <c r="M1912" s="26">
        <f>H1912^2/6</f>
        <v/>
      </c>
      <c r="N1912" s="26">
        <f>H1912^3/12</f>
        <v/>
      </c>
      <c r="O1912" s="27">
        <f>-J1912*L1912*K1912*C1912</f>
        <v/>
      </c>
      <c r="P1912" s="28">
        <f>-(12*F1912*J1912*L1912*N1912+12*O1912*N1912*G1912*COS(RADIANS(E1912)))/(12*N1912*G1912*COS(RADIANS(E1912))^2+L1912*G1912^3*SIN(RADIANS(E1912))^2)</f>
        <v/>
      </c>
      <c r="Q1912" s="28">
        <f>-(6*F1912*J1912*L1912*N1912*SIN(RADIANS(E1912))+6*O1912*N1912*G1912*SIN(RADIANS(E1912))*COS(RADIANS(E1912)))/(12*N1912*COS(RADIANS(E1912))^2+L1912*G1912^2*SIN(RADIANS(E1912))^2)</f>
        <v/>
      </c>
      <c r="R1912" s="28">
        <f>-P1912*SIN(RADIANS(E1912))</f>
        <v/>
      </c>
      <c r="S1912" s="8">
        <f>(O1912+P1912*COS(RADIANS(E1912)))/L1912</f>
        <v/>
      </c>
      <c r="T1912" s="8">
        <f>R1912/L1912</f>
        <v/>
      </c>
      <c r="U1912" s="8">
        <f>(Q1912-P1912*G1912*SIN(RADIANS(E1912)))/M1912</f>
        <v/>
      </c>
      <c r="V1912" s="8">
        <f>SQRT((S1912+U1912)^2+3*T1912^2)</f>
        <v/>
      </c>
      <c r="W1912" s="8">
        <f>V1912/AA1912</f>
        <v/>
      </c>
      <c r="X1912" s="27">
        <f>((3*10+H1912/COS(RADIANS(E1912)))*(3+3)+3*G1912*H1912)*2</f>
        <v/>
      </c>
      <c r="Y1912" s="28">
        <f>Z1912/X1912</f>
        <v/>
      </c>
      <c r="Z1912" s="29" t="n">
        <v>660.503997049781</v>
      </c>
      <c r="AA1912" s="20" t="n">
        <v>71.88960723670399</v>
      </c>
      <c r="AB1912" t="n">
        <v>0.158120996553387</v>
      </c>
      <c r="AC1912" t="n">
        <v>74.79556885441555</v>
      </c>
      <c r="AD1912" t="n">
        <v>62.98470420299552</v>
      </c>
    </row>
    <row r="1913">
      <c r="A1913" t="n">
        <v>1912</v>
      </c>
      <c r="B1913" t="n">
        <v>83.09999999999999</v>
      </c>
      <c r="C1913" s="21">
        <f>B1913-20</f>
        <v/>
      </c>
      <c r="D1913" t="n">
        <v>100.7</v>
      </c>
      <c r="E1913" s="22">
        <f>D1913-90</f>
        <v/>
      </c>
      <c r="F1913" s="23" t="n">
        <v>0.028142</v>
      </c>
      <c r="G1913" s="22" t="n">
        <v>33.9</v>
      </c>
      <c r="H1913" s="22" t="n">
        <v>1.5</v>
      </c>
      <c r="I1913" s="24" t="n">
        <v>0.229481875896453</v>
      </c>
      <c r="J1913" s="6" t="n">
        <v>71000</v>
      </c>
      <c r="K1913" s="25">
        <f>23*10^-6</f>
        <v/>
      </c>
      <c r="L1913" s="8">
        <f>H1913</f>
        <v/>
      </c>
      <c r="M1913" s="26">
        <f>H1913^2/6</f>
        <v/>
      </c>
      <c r="N1913" s="26">
        <f>H1913^3/12</f>
        <v/>
      </c>
      <c r="O1913" s="27">
        <f>-J1913*L1913*K1913*C1913</f>
        <v/>
      </c>
      <c r="P1913" s="28">
        <f>-(12*F1913*J1913*L1913*N1913+12*O1913*N1913*G1913*COS(RADIANS(E1913)))/(12*N1913*G1913*COS(RADIANS(E1913))^2+L1913*G1913^3*SIN(RADIANS(E1913))^2)</f>
        <v/>
      </c>
      <c r="Q1913" s="28">
        <f>-(6*F1913*J1913*L1913*N1913*SIN(RADIANS(E1913))+6*O1913*N1913*G1913*SIN(RADIANS(E1913))*COS(RADIANS(E1913)))/(12*N1913*COS(RADIANS(E1913))^2+L1913*G1913^2*SIN(RADIANS(E1913))^2)</f>
        <v/>
      </c>
      <c r="R1913" s="28">
        <f>-P1913*SIN(RADIANS(E1913))</f>
        <v/>
      </c>
      <c r="S1913" s="8">
        <f>(O1913+P1913*COS(RADIANS(E1913)))/L1913</f>
        <v/>
      </c>
      <c r="T1913" s="8">
        <f>R1913/L1913</f>
        <v/>
      </c>
      <c r="U1913" s="8">
        <f>(Q1913-P1913*G1913*SIN(RADIANS(E1913)))/M1913</f>
        <v/>
      </c>
      <c r="V1913" s="8">
        <f>SQRT((S1913+U1913)^2+3*T1913^2)</f>
        <v/>
      </c>
      <c r="W1913" s="8">
        <f>V1913/AA1913</f>
        <v/>
      </c>
      <c r="X1913" s="27">
        <f>((3*10+H1913/COS(RADIANS(E1913)))*(3+3)+3*G1913*H1913)*2</f>
        <v/>
      </c>
      <c r="Y1913" s="28">
        <f>Z1913/X1913</f>
        <v/>
      </c>
      <c r="Z1913" s="29" t="n">
        <v>687.520365213472</v>
      </c>
      <c r="AA1913" s="20" t="n">
        <v>99.4160221934397</v>
      </c>
      <c r="AB1913" t="n">
        <v>0.3928076885509232</v>
      </c>
      <c r="AC1913" t="n">
        <v>106.3521377502615</v>
      </c>
      <c r="AD1913" t="n">
        <v>71.17155200882452</v>
      </c>
    </row>
    <row r="1914">
      <c r="A1914" t="n">
        <v>1913</v>
      </c>
      <c r="B1914" t="n">
        <v>84.2</v>
      </c>
      <c r="C1914" s="21">
        <f>B1914-20</f>
        <v/>
      </c>
      <c r="D1914" t="n">
        <v>121.8</v>
      </c>
      <c r="E1914" s="22">
        <f>D1914-90</f>
        <v/>
      </c>
      <c r="F1914" s="23" t="n">
        <v>0.027961</v>
      </c>
      <c r="G1914" s="22" t="n">
        <v>32.9</v>
      </c>
      <c r="H1914" s="22" t="n">
        <v>1.2</v>
      </c>
      <c r="I1914" s="24" t="n">
        <v>0.238556161522865</v>
      </c>
      <c r="J1914" s="6" t="n">
        <v>71000</v>
      </c>
      <c r="K1914" s="25">
        <f>23*10^-6</f>
        <v/>
      </c>
      <c r="L1914" s="8">
        <f>H1914</f>
        <v/>
      </c>
      <c r="M1914" s="26">
        <f>H1914^2/6</f>
        <v/>
      </c>
      <c r="N1914" s="26">
        <f>H1914^3/12</f>
        <v/>
      </c>
      <c r="O1914" s="27">
        <f>-J1914*L1914*K1914*C1914</f>
        <v/>
      </c>
      <c r="P1914" s="28">
        <f>-(12*F1914*J1914*L1914*N1914+12*O1914*N1914*G1914*COS(RADIANS(E1914)))/(12*N1914*G1914*COS(RADIANS(E1914))^2+L1914*G1914^3*SIN(RADIANS(E1914))^2)</f>
        <v/>
      </c>
      <c r="Q1914" s="28">
        <f>-(6*F1914*J1914*L1914*N1914*SIN(RADIANS(E1914))+6*O1914*N1914*G1914*SIN(RADIANS(E1914))*COS(RADIANS(E1914)))/(12*N1914*COS(RADIANS(E1914))^2+L1914*G1914^2*SIN(RADIANS(E1914))^2)</f>
        <v/>
      </c>
      <c r="R1914" s="28">
        <f>-P1914*SIN(RADIANS(E1914))</f>
        <v/>
      </c>
      <c r="S1914" s="8">
        <f>(O1914+P1914*COS(RADIANS(E1914)))/L1914</f>
        <v/>
      </c>
      <c r="T1914" s="8">
        <f>R1914/L1914</f>
        <v/>
      </c>
      <c r="U1914" s="8">
        <f>(Q1914-P1914*G1914*SIN(RADIANS(E1914)))/M1914</f>
        <v/>
      </c>
      <c r="V1914" s="8">
        <f>SQRT((S1914+U1914)^2+3*T1914^2)</f>
        <v/>
      </c>
      <c r="W1914" s="8">
        <f>V1914/AA1914</f>
        <v/>
      </c>
      <c r="X1914" s="27">
        <f>((3*10+H1914/COS(RADIANS(E1914)))*(3+3)+3*G1914*H1914)*2</f>
        <v/>
      </c>
      <c r="Y1914" s="28">
        <f>Z1914/X1914</f>
        <v/>
      </c>
      <c r="Z1914" s="29" t="n">
        <v>615.54264083384</v>
      </c>
      <c r="AA1914" s="20" t="n">
        <v>95.7217770504548</v>
      </c>
      <c r="AB1914" t="n">
        <v>0.1317690039902009</v>
      </c>
      <c r="AC1914" t="n">
        <v>92.14566440833623</v>
      </c>
      <c r="AD1914" t="n">
        <v>-44.76394860269782</v>
      </c>
    </row>
    <row r="1915">
      <c r="A1915" t="n">
        <v>1914</v>
      </c>
      <c r="B1915" t="n">
        <v>67.09999999999999</v>
      </c>
      <c r="C1915" s="21">
        <f>B1915-20</f>
        <v/>
      </c>
      <c r="D1915" t="n">
        <v>121.9</v>
      </c>
      <c r="E1915" s="22">
        <f>D1915-90</f>
        <v/>
      </c>
      <c r="F1915" s="23" t="n">
        <v>0.015637</v>
      </c>
      <c r="G1915" s="22" t="n">
        <v>24.5</v>
      </c>
      <c r="H1915" s="22" t="n">
        <v>1.8</v>
      </c>
      <c r="I1915" s="24" t="n">
        <v>0.0945270285010337</v>
      </c>
      <c r="J1915" s="6" t="n">
        <v>71000</v>
      </c>
      <c r="K1915" s="25">
        <f>23*10^-6</f>
        <v/>
      </c>
      <c r="L1915" s="8">
        <f>H1915</f>
        <v/>
      </c>
      <c r="M1915" s="26">
        <f>H1915^2/6</f>
        <v/>
      </c>
      <c r="N1915" s="26">
        <f>H1915^3/12</f>
        <v/>
      </c>
      <c r="O1915" s="27">
        <f>-J1915*L1915*K1915*C1915</f>
        <v/>
      </c>
      <c r="P1915" s="28">
        <f>-(12*F1915*J1915*L1915*N1915+12*O1915*N1915*G1915*COS(RADIANS(E1915)))/(12*N1915*G1915*COS(RADIANS(E1915))^2+L1915*G1915^3*SIN(RADIANS(E1915))^2)</f>
        <v/>
      </c>
      <c r="Q1915" s="28">
        <f>-(6*F1915*J1915*L1915*N1915*SIN(RADIANS(E1915))+6*O1915*N1915*G1915*SIN(RADIANS(E1915))*COS(RADIANS(E1915)))/(12*N1915*COS(RADIANS(E1915))^2+L1915*G1915^2*SIN(RADIANS(E1915))^2)</f>
        <v/>
      </c>
      <c r="R1915" s="28">
        <f>-P1915*SIN(RADIANS(E1915))</f>
        <v/>
      </c>
      <c r="S1915" s="8">
        <f>(O1915+P1915*COS(RADIANS(E1915)))/L1915</f>
        <v/>
      </c>
      <c r="T1915" s="8">
        <f>R1915/L1915</f>
        <v/>
      </c>
      <c r="U1915" s="8">
        <f>(Q1915-P1915*G1915*SIN(RADIANS(E1915)))/M1915</f>
        <v/>
      </c>
      <c r="V1915" s="8">
        <f>SQRT((S1915+U1915)^2+3*T1915^2)</f>
        <v/>
      </c>
      <c r="W1915" s="8">
        <f>V1915/AA1915</f>
        <v/>
      </c>
      <c r="X1915" s="27">
        <f>((3*10+H1915/COS(RADIANS(E1915)))*(3+3)+3*G1915*H1915)*2</f>
        <v/>
      </c>
      <c r="Y1915" s="28">
        <f>Z1915/X1915</f>
        <v/>
      </c>
      <c r="Z1915" s="29" t="n">
        <v>652.34890171452</v>
      </c>
      <c r="AA1915" s="20" t="n">
        <v>79.58172502277949</v>
      </c>
      <c r="AB1915" t="n">
        <v>0.07221254193357152</v>
      </c>
      <c r="AC1915" t="n">
        <v>70.93140736232719</v>
      </c>
      <c r="AD1915" t="n">
        <v>-23.6064614759557</v>
      </c>
    </row>
    <row r="1916">
      <c r="A1916" t="n">
        <v>1915</v>
      </c>
      <c r="B1916" t="n">
        <v>61.6</v>
      </c>
      <c r="C1916" s="21">
        <f>B1916-20</f>
        <v/>
      </c>
      <c r="D1916" t="n">
        <v>126.3</v>
      </c>
      <c r="E1916" s="22">
        <f>D1916-90</f>
        <v/>
      </c>
      <c r="F1916" s="23" t="n">
        <v>0.014735</v>
      </c>
      <c r="G1916" s="22" t="n">
        <v>27.4</v>
      </c>
      <c r="H1916" s="22" t="n">
        <v>1</v>
      </c>
      <c r="I1916" s="24" t="n">
        <v>0.0782052427530288</v>
      </c>
      <c r="J1916" s="6" t="n">
        <v>71000</v>
      </c>
      <c r="K1916" s="25">
        <f>23*10^-6</f>
        <v/>
      </c>
      <c r="L1916" s="8">
        <f>H1916</f>
        <v/>
      </c>
      <c r="M1916" s="26">
        <f>H1916^2/6</f>
        <v/>
      </c>
      <c r="N1916" s="26">
        <f>H1916^3/12</f>
        <v/>
      </c>
      <c r="O1916" s="27">
        <f>-J1916*L1916*K1916*C1916</f>
        <v/>
      </c>
      <c r="P1916" s="28">
        <f>-(12*F1916*J1916*L1916*N1916+12*O1916*N1916*G1916*COS(RADIANS(E1916)))/(12*N1916*G1916*COS(RADIANS(E1916))^2+L1916*G1916^3*SIN(RADIANS(E1916))^2)</f>
        <v/>
      </c>
      <c r="Q1916" s="28">
        <f>-(6*F1916*J1916*L1916*N1916*SIN(RADIANS(E1916))+6*O1916*N1916*G1916*SIN(RADIANS(E1916))*COS(RADIANS(E1916)))/(12*N1916*COS(RADIANS(E1916))^2+L1916*G1916^2*SIN(RADIANS(E1916))^2)</f>
        <v/>
      </c>
      <c r="R1916" s="28">
        <f>-P1916*SIN(RADIANS(E1916))</f>
        <v/>
      </c>
      <c r="S1916" s="8">
        <f>(O1916+P1916*COS(RADIANS(E1916)))/L1916</f>
        <v/>
      </c>
      <c r="T1916" s="8">
        <f>R1916/L1916</f>
        <v/>
      </c>
      <c r="U1916" s="8">
        <f>(Q1916-P1916*G1916*SIN(RADIANS(E1916)))/M1916</f>
        <v/>
      </c>
      <c r="V1916" s="8">
        <f>SQRT((S1916+U1916)^2+3*T1916^2)</f>
        <v/>
      </c>
      <c r="W1916" s="8">
        <f>V1916/AA1916</f>
        <v/>
      </c>
      <c r="X1916" s="27">
        <f>((3*10+H1916/COS(RADIANS(E1916)))*(3+3)+3*G1916*H1916)*2</f>
        <v/>
      </c>
      <c r="Y1916" s="28">
        <f>Z1916/X1916</f>
        <v/>
      </c>
      <c r="Z1916" s="29" t="n">
        <v>543.1796260071091</v>
      </c>
      <c r="AA1916" s="20" t="n">
        <v>57.6200594253373</v>
      </c>
      <c r="AB1916" t="n">
        <v>0.06223556935480385</v>
      </c>
      <c r="AC1916" t="n">
        <v>58.89409027097984</v>
      </c>
      <c r="AD1916" t="n">
        <v>-20.42020820606233</v>
      </c>
    </row>
    <row r="1917">
      <c r="A1917" t="n">
        <v>1916</v>
      </c>
      <c r="B1917" t="n">
        <v>85</v>
      </c>
      <c r="C1917" s="21">
        <f>B1917-20</f>
        <v/>
      </c>
      <c r="D1917" t="n">
        <v>113.9</v>
      </c>
      <c r="E1917" s="22">
        <f>D1917-90</f>
        <v/>
      </c>
      <c r="F1917" s="23" t="n">
        <v>0.020751</v>
      </c>
      <c r="G1917" s="22" t="n">
        <v>24.2</v>
      </c>
      <c r="H1917" s="22" t="n">
        <v>1.7</v>
      </c>
      <c r="I1917" s="24" t="n">
        <v>0.109607867896556</v>
      </c>
      <c r="J1917" s="6" t="n">
        <v>71000</v>
      </c>
      <c r="K1917" s="25">
        <f>23*10^-6</f>
        <v/>
      </c>
      <c r="L1917" s="8">
        <f>H1917</f>
        <v/>
      </c>
      <c r="M1917" s="26">
        <f>H1917^2/6</f>
        <v/>
      </c>
      <c r="N1917" s="26">
        <f>H1917^3/12</f>
        <v/>
      </c>
      <c r="O1917" s="27">
        <f>-J1917*L1917*K1917*C1917</f>
        <v/>
      </c>
      <c r="P1917" s="28">
        <f>-(12*F1917*J1917*L1917*N1917+12*O1917*N1917*G1917*COS(RADIANS(E1917)))/(12*N1917*G1917*COS(RADIANS(E1917))^2+L1917*G1917^3*SIN(RADIANS(E1917))^2)</f>
        <v/>
      </c>
      <c r="Q1917" s="28">
        <f>-(6*F1917*J1917*L1917*N1917*SIN(RADIANS(E1917))+6*O1917*N1917*G1917*SIN(RADIANS(E1917))*COS(RADIANS(E1917)))/(12*N1917*COS(RADIANS(E1917))^2+L1917*G1917^2*SIN(RADIANS(E1917))^2)</f>
        <v/>
      </c>
      <c r="R1917" s="28">
        <f>-P1917*SIN(RADIANS(E1917))</f>
        <v/>
      </c>
      <c r="S1917" s="8">
        <f>(O1917+P1917*COS(RADIANS(E1917)))/L1917</f>
        <v/>
      </c>
      <c r="T1917" s="8">
        <f>R1917/L1917</f>
        <v/>
      </c>
      <c r="U1917" s="8">
        <f>(Q1917-P1917*G1917*SIN(RADIANS(E1917)))/M1917</f>
        <v/>
      </c>
      <c r="V1917" s="8">
        <f>SQRT((S1917+U1917)^2+3*T1917^2)</f>
        <v/>
      </c>
      <c r="W1917" s="8">
        <f>V1917/AA1917</f>
        <v/>
      </c>
      <c r="X1917" s="27">
        <f>((3*10+H1917/COS(RADIANS(E1917)))*(3+3)+3*G1917*H1917)*2</f>
        <v/>
      </c>
      <c r="Y1917" s="28">
        <f>Z1917/X1917</f>
        <v/>
      </c>
      <c r="Z1917" s="29" t="n">
        <v>635.105829908927</v>
      </c>
      <c r="AA1917" s="20" t="n">
        <v>104.919737988119</v>
      </c>
      <c r="AB1917" t="n">
        <v>0.1327607808317192</v>
      </c>
      <c r="AC1917" t="n">
        <v>101.4955931992742</v>
      </c>
      <c r="AD1917" t="n">
        <v>21.12340416749473</v>
      </c>
    </row>
    <row r="1918">
      <c r="A1918" t="n">
        <v>1917</v>
      </c>
      <c r="B1918" t="n">
        <v>61.3</v>
      </c>
      <c r="C1918" s="21">
        <f>B1918-20</f>
        <v/>
      </c>
      <c r="D1918" t="n">
        <v>120.9</v>
      </c>
      <c r="E1918" s="22">
        <f>D1918-90</f>
        <v/>
      </c>
      <c r="F1918" s="23" t="n">
        <v>0.012433</v>
      </c>
      <c r="G1918" s="22" t="n">
        <v>21.8</v>
      </c>
      <c r="H1918" s="22" t="n">
        <v>1</v>
      </c>
      <c r="I1918" s="24" t="n">
        <v>0.0743875205516815</v>
      </c>
      <c r="J1918" s="6" t="n">
        <v>71000</v>
      </c>
      <c r="K1918" s="25">
        <f>23*10^-6</f>
        <v/>
      </c>
      <c r="L1918" s="8">
        <f>H1918</f>
        <v/>
      </c>
      <c r="M1918" s="26">
        <f>H1918^2/6</f>
        <v/>
      </c>
      <c r="N1918" s="26">
        <f>H1918^3/12</f>
        <v/>
      </c>
      <c r="O1918" s="27">
        <f>-J1918*L1918*K1918*C1918</f>
        <v/>
      </c>
      <c r="P1918" s="28">
        <f>-(12*F1918*J1918*L1918*N1918+12*O1918*N1918*G1918*COS(RADIANS(E1918)))/(12*N1918*G1918*COS(RADIANS(E1918))^2+L1918*G1918^3*SIN(RADIANS(E1918))^2)</f>
        <v/>
      </c>
      <c r="Q1918" s="28">
        <f>-(6*F1918*J1918*L1918*N1918*SIN(RADIANS(E1918))+6*O1918*N1918*G1918*SIN(RADIANS(E1918))*COS(RADIANS(E1918)))/(12*N1918*COS(RADIANS(E1918))^2+L1918*G1918^2*SIN(RADIANS(E1918))^2)</f>
        <v/>
      </c>
      <c r="R1918" s="28">
        <f>-P1918*SIN(RADIANS(E1918))</f>
        <v/>
      </c>
      <c r="S1918" s="8">
        <f>(O1918+P1918*COS(RADIANS(E1918)))/L1918</f>
        <v/>
      </c>
      <c r="T1918" s="8">
        <f>R1918/L1918</f>
        <v/>
      </c>
      <c r="U1918" s="8">
        <f>(Q1918-P1918*G1918*SIN(RADIANS(E1918)))/M1918</f>
        <v/>
      </c>
      <c r="V1918" s="8">
        <f>SQRT((S1918+U1918)^2+3*T1918^2)</f>
        <v/>
      </c>
      <c r="W1918" s="8">
        <f>V1918/AA1918</f>
        <v/>
      </c>
      <c r="X1918" s="27">
        <f>((3*10+H1918/COS(RADIANS(E1918)))*(3+3)+3*G1918*H1918)*2</f>
        <v/>
      </c>
      <c r="Y1918" s="28">
        <f>Z1918/X1918</f>
        <v/>
      </c>
      <c r="Z1918" s="29" t="n">
        <v>508.692721596671</v>
      </c>
      <c r="AA1918" s="20" t="n">
        <v>58.5503915279211</v>
      </c>
      <c r="AB1918" t="n">
        <v>0.05936955110377383</v>
      </c>
      <c r="AC1918" t="n">
        <v>59.7384517134366</v>
      </c>
      <c r="AD1918" t="n">
        <v>-20.18882916990597</v>
      </c>
    </row>
    <row r="1919">
      <c r="A1919" t="n">
        <v>1918</v>
      </c>
      <c r="B1919" t="n">
        <v>76.59999999999999</v>
      </c>
      <c r="C1919" s="21">
        <f>B1919-20</f>
        <v/>
      </c>
      <c r="D1919" t="n">
        <v>104.7</v>
      </c>
      <c r="E1919" s="22">
        <f>D1919-90</f>
        <v/>
      </c>
      <c r="F1919" s="23" t="n">
        <v>0.02378</v>
      </c>
      <c r="G1919" s="22" t="n">
        <v>31.4</v>
      </c>
      <c r="H1919" s="22" t="n">
        <v>1</v>
      </c>
      <c r="I1919" s="24" t="n">
        <v>0.221641227602958</v>
      </c>
      <c r="J1919" s="6" t="n">
        <v>71000</v>
      </c>
      <c r="K1919" s="25">
        <f>23*10^-6</f>
        <v/>
      </c>
      <c r="L1919" s="8">
        <f>H1919</f>
        <v/>
      </c>
      <c r="M1919" s="26">
        <f>H1919^2/6</f>
        <v/>
      </c>
      <c r="N1919" s="26">
        <f>H1919^3/12</f>
        <v/>
      </c>
      <c r="O1919" s="27">
        <f>-J1919*L1919*K1919*C1919</f>
        <v/>
      </c>
      <c r="P1919" s="28">
        <f>-(12*F1919*J1919*L1919*N1919+12*O1919*N1919*G1919*COS(RADIANS(E1919)))/(12*N1919*G1919*COS(RADIANS(E1919))^2+L1919*G1919^3*SIN(RADIANS(E1919))^2)</f>
        <v/>
      </c>
      <c r="Q1919" s="28">
        <f>-(6*F1919*J1919*L1919*N1919*SIN(RADIANS(E1919))+6*O1919*N1919*G1919*SIN(RADIANS(E1919))*COS(RADIANS(E1919)))/(12*N1919*COS(RADIANS(E1919))^2+L1919*G1919^2*SIN(RADIANS(E1919))^2)</f>
        <v/>
      </c>
      <c r="R1919" s="28">
        <f>-P1919*SIN(RADIANS(E1919))</f>
        <v/>
      </c>
      <c r="S1919" s="8">
        <f>(O1919+P1919*COS(RADIANS(E1919)))/L1919</f>
        <v/>
      </c>
      <c r="T1919" s="8">
        <f>R1919/L1919</f>
        <v/>
      </c>
      <c r="U1919" s="8">
        <f>(Q1919-P1919*G1919*SIN(RADIANS(E1919)))/M1919</f>
        <v/>
      </c>
      <c r="V1919" s="8">
        <f>SQRT((S1919+U1919)^2+3*T1919^2)</f>
        <v/>
      </c>
      <c r="W1919" s="8">
        <f>V1919/AA1919</f>
        <v/>
      </c>
      <c r="X1919" s="27">
        <f>((3*10+H1919/COS(RADIANS(E1919)))*(3+3)+3*G1919*H1919)*2</f>
        <v/>
      </c>
      <c r="Y1919" s="28">
        <f>Z1919/X1919</f>
        <v/>
      </c>
      <c r="Z1919" s="29" t="n">
        <v>564.470644623618</v>
      </c>
      <c r="AA1919" s="20" t="n">
        <v>81.57117150034119</v>
      </c>
      <c r="AB1919" t="n">
        <v>0.2468145293648132</v>
      </c>
      <c r="AC1919" t="n">
        <v>86.66097996435792</v>
      </c>
      <c r="AD1919" t="n">
        <v>11.35768017263917</v>
      </c>
    </row>
    <row r="1920">
      <c r="A1920" t="n">
        <v>1919</v>
      </c>
      <c r="B1920" t="n">
        <v>86.09999999999999</v>
      </c>
      <c r="C1920" s="21">
        <f>B1920-20</f>
        <v/>
      </c>
      <c r="D1920" t="n">
        <v>123.3</v>
      </c>
      <c r="E1920" s="22">
        <f>D1920-90</f>
        <v/>
      </c>
      <c r="F1920" s="23" t="n">
        <v>0.017586</v>
      </c>
      <c r="G1920" s="22" t="n">
        <v>20.4</v>
      </c>
      <c r="H1920" s="22" t="n">
        <v>1.8</v>
      </c>
      <c r="I1920" s="24" t="n">
        <v>0.0848748534917831</v>
      </c>
      <c r="J1920" s="6" t="n">
        <v>71000</v>
      </c>
      <c r="K1920" s="25">
        <f>23*10^-6</f>
        <v/>
      </c>
      <c r="L1920" s="8">
        <f>H1920</f>
        <v/>
      </c>
      <c r="M1920" s="26">
        <f>H1920^2/6</f>
        <v/>
      </c>
      <c r="N1920" s="26">
        <f>H1920^3/12</f>
        <v/>
      </c>
      <c r="O1920" s="27">
        <f>-J1920*L1920*K1920*C1920</f>
        <v/>
      </c>
      <c r="P1920" s="28">
        <f>-(12*F1920*J1920*L1920*N1920+12*O1920*N1920*G1920*COS(RADIANS(E1920)))/(12*N1920*G1920*COS(RADIANS(E1920))^2+L1920*G1920^3*SIN(RADIANS(E1920))^2)</f>
        <v/>
      </c>
      <c r="Q1920" s="28">
        <f>-(6*F1920*J1920*L1920*N1920*SIN(RADIANS(E1920))+6*O1920*N1920*G1920*SIN(RADIANS(E1920))*COS(RADIANS(E1920)))/(12*N1920*COS(RADIANS(E1920))^2+L1920*G1920^2*SIN(RADIANS(E1920))^2)</f>
        <v/>
      </c>
      <c r="R1920" s="28">
        <f>-P1920*SIN(RADIANS(E1920))</f>
        <v/>
      </c>
      <c r="S1920" s="8">
        <f>(O1920+P1920*COS(RADIANS(E1920)))/L1920</f>
        <v/>
      </c>
      <c r="T1920" s="8">
        <f>R1920/L1920</f>
        <v/>
      </c>
      <c r="U1920" s="8">
        <f>(Q1920-P1920*G1920*SIN(RADIANS(E1920)))/M1920</f>
        <v/>
      </c>
      <c r="V1920" s="8">
        <f>SQRT((S1920+U1920)^2+3*T1920^2)</f>
        <v/>
      </c>
      <c r="W1920" s="8">
        <f>V1920/AA1920</f>
        <v/>
      </c>
      <c r="X1920" s="27">
        <f>((3*10+H1920/COS(RADIANS(E1920)))*(3+3)+3*G1920*H1920)*2</f>
        <v/>
      </c>
      <c r="Y1920" s="28">
        <f>Z1920/X1920</f>
        <v/>
      </c>
      <c r="Z1920" s="29" t="n">
        <v>613.407461659152</v>
      </c>
      <c r="AA1920" s="20" t="n">
        <v>110.101664979469</v>
      </c>
      <c r="AB1920" t="n">
        <v>0.08126006871303798</v>
      </c>
      <c r="AC1920" t="n">
        <v>99.85735412132955</v>
      </c>
      <c r="AD1920" t="n">
        <v>-4.258958490096332</v>
      </c>
    </row>
    <row r="1921">
      <c r="A1921" t="n">
        <v>1920</v>
      </c>
      <c r="B1921" t="n">
        <v>56.3</v>
      </c>
      <c r="C1921" s="21">
        <f>B1921-20</f>
        <v/>
      </c>
      <c r="D1921" t="n">
        <v>102.7</v>
      </c>
      <c r="E1921" s="22">
        <f>D1921-90</f>
        <v/>
      </c>
      <c r="F1921" s="23" t="n">
        <v>0.012636</v>
      </c>
      <c r="G1921" s="22" t="n">
        <v>28.9</v>
      </c>
      <c r="H1921" s="22" t="n">
        <v>1.7</v>
      </c>
      <c r="I1921" s="24" t="n">
        <v>0.0578066334128379</v>
      </c>
      <c r="J1921" s="6" t="n">
        <v>71000</v>
      </c>
      <c r="K1921" s="25">
        <f>23*10^-6</f>
        <v/>
      </c>
      <c r="L1921" s="8">
        <f>H1921</f>
        <v/>
      </c>
      <c r="M1921" s="26">
        <f>H1921^2/6</f>
        <v/>
      </c>
      <c r="N1921" s="26">
        <f>H1921^3/12</f>
        <v/>
      </c>
      <c r="O1921" s="27">
        <f>-J1921*L1921*K1921*C1921</f>
        <v/>
      </c>
      <c r="P1921" s="28">
        <f>-(12*F1921*J1921*L1921*N1921+12*O1921*N1921*G1921*COS(RADIANS(E1921)))/(12*N1921*G1921*COS(RADIANS(E1921))^2+L1921*G1921^3*SIN(RADIANS(E1921))^2)</f>
        <v/>
      </c>
      <c r="Q1921" s="28">
        <f>-(6*F1921*J1921*L1921*N1921*SIN(RADIANS(E1921))+6*O1921*N1921*G1921*SIN(RADIANS(E1921))*COS(RADIANS(E1921)))/(12*N1921*COS(RADIANS(E1921))^2+L1921*G1921^2*SIN(RADIANS(E1921))^2)</f>
        <v/>
      </c>
      <c r="R1921" s="28">
        <f>-P1921*SIN(RADIANS(E1921))</f>
        <v/>
      </c>
      <c r="S1921" s="8">
        <f>(O1921+P1921*COS(RADIANS(E1921)))/L1921</f>
        <v/>
      </c>
      <c r="T1921" s="8">
        <f>R1921/L1921</f>
        <v/>
      </c>
      <c r="U1921" s="8">
        <f>(Q1921-P1921*G1921*SIN(RADIANS(E1921)))/M1921</f>
        <v/>
      </c>
      <c r="V1921" s="8">
        <f>SQRT((S1921+U1921)^2+3*T1921^2)</f>
        <v/>
      </c>
      <c r="W1921" s="8">
        <f>V1921/AA1921</f>
        <v/>
      </c>
      <c r="X1921" s="27">
        <f>((3*10+H1921/COS(RADIANS(E1921)))*(3+3)+3*G1921*H1921)*2</f>
        <v/>
      </c>
      <c r="Y1921" s="28">
        <f>Z1921/X1921</f>
        <v/>
      </c>
      <c r="Z1921" s="29" t="n">
        <v>686.512193221135</v>
      </c>
      <c r="AA1921" s="20" t="n">
        <v>55.9931455505362</v>
      </c>
      <c r="AB1921" t="n">
        <v>0.1613305227774596</v>
      </c>
      <c r="AC1921" t="n">
        <v>61.77339576558403</v>
      </c>
      <c r="AD1921" t="n">
        <v>179.0865221734757</v>
      </c>
    </row>
    <row r="1922">
      <c r="A1922" t="n">
        <v>1921</v>
      </c>
      <c r="B1922" t="n">
        <v>61.1</v>
      </c>
      <c r="C1922" s="21">
        <f>B1922-20</f>
        <v/>
      </c>
      <c r="D1922" t="n">
        <v>106.3</v>
      </c>
      <c r="E1922" s="22">
        <f>D1922-90</f>
        <v/>
      </c>
      <c r="F1922" s="23" t="n">
        <v>0.013007</v>
      </c>
      <c r="G1922" s="22" t="n">
        <v>27</v>
      </c>
      <c r="H1922" s="22" t="n">
        <v>1.4</v>
      </c>
      <c r="I1922" s="24" t="n">
        <v>0.0577016547322273</v>
      </c>
      <c r="J1922" s="6" t="n">
        <v>71000</v>
      </c>
      <c r="K1922" s="25">
        <f>23*10^-6</f>
        <v/>
      </c>
      <c r="L1922" s="8">
        <f>H1922</f>
        <v/>
      </c>
      <c r="M1922" s="26">
        <f>H1922^2/6</f>
        <v/>
      </c>
      <c r="N1922" s="26">
        <f>H1922^3/12</f>
        <v/>
      </c>
      <c r="O1922" s="27">
        <f>-J1922*L1922*K1922*C1922</f>
        <v/>
      </c>
      <c r="P1922" s="28">
        <f>-(12*F1922*J1922*L1922*N1922+12*O1922*N1922*G1922*COS(RADIANS(E1922)))/(12*N1922*G1922*COS(RADIANS(E1922))^2+L1922*G1922^3*SIN(RADIANS(E1922))^2)</f>
        <v/>
      </c>
      <c r="Q1922" s="28">
        <f>-(6*F1922*J1922*L1922*N1922*SIN(RADIANS(E1922))+6*O1922*N1922*G1922*SIN(RADIANS(E1922))*COS(RADIANS(E1922)))/(12*N1922*COS(RADIANS(E1922))^2+L1922*G1922^2*SIN(RADIANS(E1922))^2)</f>
        <v/>
      </c>
      <c r="R1922" s="28">
        <f>-P1922*SIN(RADIANS(E1922))</f>
        <v/>
      </c>
      <c r="S1922" s="8">
        <f>(O1922+P1922*COS(RADIANS(E1922)))/L1922</f>
        <v/>
      </c>
      <c r="T1922" s="8">
        <f>R1922/L1922</f>
        <v/>
      </c>
      <c r="U1922" s="8">
        <f>(Q1922-P1922*G1922*SIN(RADIANS(E1922)))/M1922</f>
        <v/>
      </c>
      <c r="V1922" s="8">
        <f>SQRT((S1922+U1922)^2+3*T1922^2)</f>
        <v/>
      </c>
      <c r="W1922" s="8">
        <f>V1922/AA1922</f>
        <v/>
      </c>
      <c r="X1922" s="27">
        <f>((3*10+H1922/COS(RADIANS(E1922)))*(3+3)+3*G1922*H1922)*2</f>
        <v/>
      </c>
      <c r="Y1922" s="28">
        <f>Z1922/X1922</f>
        <v/>
      </c>
      <c r="Z1922" s="29" t="n">
        <v>616.858481371441</v>
      </c>
      <c r="AA1922" s="20" t="n">
        <v>59.2174535203761</v>
      </c>
      <c r="AB1922" t="n">
        <v>0.1376095754422018</v>
      </c>
      <c r="AC1922" t="n">
        <v>65.6392037794474</v>
      </c>
      <c r="AD1922" t="n">
        <v>138.4846259276246</v>
      </c>
    </row>
    <row r="1923">
      <c r="A1923" t="n">
        <v>1922</v>
      </c>
      <c r="B1923" t="n">
        <v>63.5</v>
      </c>
      <c r="C1923" s="21">
        <f>B1923-20</f>
        <v/>
      </c>
      <c r="D1923" t="n">
        <v>105.4</v>
      </c>
      <c r="E1923" s="22">
        <f>D1923-90</f>
        <v/>
      </c>
      <c r="F1923" s="23" t="n">
        <v>0.015897</v>
      </c>
      <c r="G1923" s="22" t="n">
        <v>28.5</v>
      </c>
      <c r="H1923" s="22" t="n">
        <v>1.2</v>
      </c>
      <c r="I1923" s="24" t="n">
        <v>0.083675317466259</v>
      </c>
      <c r="J1923" s="6" t="n">
        <v>71000</v>
      </c>
      <c r="K1923" s="25">
        <f>23*10^-6</f>
        <v/>
      </c>
      <c r="L1923" s="8">
        <f>H1923</f>
        <v/>
      </c>
      <c r="M1923" s="26">
        <f>H1923^2/6</f>
        <v/>
      </c>
      <c r="N1923" s="26">
        <f>H1923^3/12</f>
        <v/>
      </c>
      <c r="O1923" s="27">
        <f>-J1923*L1923*K1923*C1923</f>
        <v/>
      </c>
      <c r="P1923" s="28">
        <f>-(12*F1923*J1923*L1923*N1923+12*O1923*N1923*G1923*COS(RADIANS(E1923)))/(12*N1923*G1923*COS(RADIANS(E1923))^2+L1923*G1923^3*SIN(RADIANS(E1923))^2)</f>
        <v/>
      </c>
      <c r="Q1923" s="28">
        <f>-(6*F1923*J1923*L1923*N1923*SIN(RADIANS(E1923))+6*O1923*N1923*G1923*SIN(RADIANS(E1923))*COS(RADIANS(E1923)))/(12*N1923*COS(RADIANS(E1923))^2+L1923*G1923^2*SIN(RADIANS(E1923))^2)</f>
        <v/>
      </c>
      <c r="R1923" s="28">
        <f>-P1923*SIN(RADIANS(E1923))</f>
        <v/>
      </c>
      <c r="S1923" s="8">
        <f>(O1923+P1923*COS(RADIANS(E1923)))/L1923</f>
        <v/>
      </c>
      <c r="T1923" s="8">
        <f>R1923/L1923</f>
        <v/>
      </c>
      <c r="U1923" s="8">
        <f>(Q1923-P1923*G1923*SIN(RADIANS(E1923)))/M1923</f>
        <v/>
      </c>
      <c r="V1923" s="8">
        <f>SQRT((S1923+U1923)^2+3*T1923^2)</f>
        <v/>
      </c>
      <c r="W1923" s="8">
        <f>V1923/AA1923</f>
        <v/>
      </c>
      <c r="X1923" s="27">
        <f>((3*10+H1923/COS(RADIANS(E1923)))*(3+3)+3*G1923*H1923)*2</f>
        <v/>
      </c>
      <c r="Y1923" s="28">
        <f>Z1923/X1923</f>
        <v/>
      </c>
      <c r="Z1923" s="29" t="n">
        <v>586.635088367745</v>
      </c>
      <c r="AA1923" s="20" t="n">
        <v>62.2586304464607</v>
      </c>
      <c r="AB1923" t="n">
        <v>0.1637132288154415</v>
      </c>
      <c r="AC1923" t="n">
        <v>68.26863183734611</v>
      </c>
      <c r="AD1923" t="n">
        <v>95.6529521163236</v>
      </c>
    </row>
    <row r="1924">
      <c r="A1924" t="n">
        <v>1923</v>
      </c>
      <c r="B1924" t="n">
        <v>46.4</v>
      </c>
      <c r="C1924" s="21">
        <f>B1924-20</f>
        <v/>
      </c>
      <c r="D1924" t="n">
        <v>122.8</v>
      </c>
      <c r="E1924" s="22">
        <f>D1924-90</f>
        <v/>
      </c>
      <c r="F1924" s="23" t="n">
        <v>0.008338999999999999</v>
      </c>
      <c r="G1924" s="22" t="n">
        <v>25.3</v>
      </c>
      <c r="H1924" s="22" t="n">
        <v>1.1</v>
      </c>
      <c r="I1924" s="24" t="n">
        <v>0.039348054677248</v>
      </c>
      <c r="J1924" s="6" t="n">
        <v>71000</v>
      </c>
      <c r="K1924" s="25">
        <f>23*10^-6</f>
        <v/>
      </c>
      <c r="L1924" s="8">
        <f>H1924</f>
        <v/>
      </c>
      <c r="M1924" s="26">
        <f>H1924^2/6</f>
        <v/>
      </c>
      <c r="N1924" s="26">
        <f>H1924^3/12</f>
        <v/>
      </c>
      <c r="O1924" s="27">
        <f>-J1924*L1924*K1924*C1924</f>
        <v/>
      </c>
      <c r="P1924" s="28">
        <f>-(12*F1924*J1924*L1924*N1924+12*O1924*N1924*G1924*COS(RADIANS(E1924)))/(12*N1924*G1924*COS(RADIANS(E1924))^2+L1924*G1924^3*SIN(RADIANS(E1924))^2)</f>
        <v/>
      </c>
      <c r="Q1924" s="28">
        <f>-(6*F1924*J1924*L1924*N1924*SIN(RADIANS(E1924))+6*O1924*N1924*G1924*SIN(RADIANS(E1924))*COS(RADIANS(E1924)))/(12*N1924*COS(RADIANS(E1924))^2+L1924*G1924^2*SIN(RADIANS(E1924))^2)</f>
        <v/>
      </c>
      <c r="R1924" s="28">
        <f>-P1924*SIN(RADIANS(E1924))</f>
        <v/>
      </c>
      <c r="S1924" s="8">
        <f>(O1924+P1924*COS(RADIANS(E1924)))/L1924</f>
        <v/>
      </c>
      <c r="T1924" s="8">
        <f>R1924/L1924</f>
        <v/>
      </c>
      <c r="U1924" s="8">
        <f>(Q1924-P1924*G1924*SIN(RADIANS(E1924)))/M1924</f>
        <v/>
      </c>
      <c r="V1924" s="8">
        <f>SQRT((S1924+U1924)^2+3*T1924^2)</f>
        <v/>
      </c>
      <c r="W1924" s="8">
        <f>V1924/AA1924</f>
        <v/>
      </c>
      <c r="X1924" s="27">
        <f>((3*10+H1924/COS(RADIANS(E1924)))*(3+3)+3*G1924*H1924)*2</f>
        <v/>
      </c>
      <c r="Y1924" s="28">
        <f>Z1924/X1924</f>
        <v/>
      </c>
      <c r="Z1924" s="29" t="n">
        <v>549.766993160176</v>
      </c>
      <c r="AA1924" s="20" t="n">
        <v>36.4733930282408</v>
      </c>
      <c r="AB1924" t="n">
        <v>0.04088192746751818</v>
      </c>
      <c r="AC1924" t="n">
        <v>38.0039495346243</v>
      </c>
      <c r="AD1924" t="n">
        <v>3.89821759386012</v>
      </c>
    </row>
    <row r="1925">
      <c r="A1925" t="n">
        <v>1924</v>
      </c>
      <c r="B1925" t="n">
        <v>70.3</v>
      </c>
      <c r="C1925" s="21">
        <f>B1925-20</f>
        <v/>
      </c>
      <c r="D1925" t="n">
        <v>106.1</v>
      </c>
      <c r="E1925" s="22">
        <f>D1925-90</f>
        <v/>
      </c>
      <c r="F1925" s="23" t="n">
        <v>0.019193</v>
      </c>
      <c r="G1925" s="22" t="n">
        <v>28.4</v>
      </c>
      <c r="H1925" s="22" t="n">
        <v>1.4</v>
      </c>
      <c r="I1925" s="24" t="n">
        <v>0.139020040631294</v>
      </c>
      <c r="J1925" s="6" t="n">
        <v>71000</v>
      </c>
      <c r="K1925" s="25">
        <f>23*10^-6</f>
        <v/>
      </c>
      <c r="L1925" s="8">
        <f>H1925</f>
        <v/>
      </c>
      <c r="M1925" s="26">
        <f>H1925^2/6</f>
        <v/>
      </c>
      <c r="N1925" s="26">
        <f>H1925^3/12</f>
        <v/>
      </c>
      <c r="O1925" s="27">
        <f>-J1925*L1925*K1925*C1925</f>
        <v/>
      </c>
      <c r="P1925" s="28">
        <f>-(12*F1925*J1925*L1925*N1925+12*O1925*N1925*G1925*COS(RADIANS(E1925)))/(12*N1925*G1925*COS(RADIANS(E1925))^2+L1925*G1925^3*SIN(RADIANS(E1925))^2)</f>
        <v/>
      </c>
      <c r="Q1925" s="28">
        <f>-(6*F1925*J1925*L1925*N1925*SIN(RADIANS(E1925))+6*O1925*N1925*G1925*SIN(RADIANS(E1925))*COS(RADIANS(E1925)))/(12*N1925*COS(RADIANS(E1925))^2+L1925*G1925^2*SIN(RADIANS(E1925))^2)</f>
        <v/>
      </c>
      <c r="R1925" s="28">
        <f>-P1925*SIN(RADIANS(E1925))</f>
        <v/>
      </c>
      <c r="S1925" s="8">
        <f>(O1925+P1925*COS(RADIANS(E1925)))/L1925</f>
        <v/>
      </c>
      <c r="T1925" s="8">
        <f>R1925/L1925</f>
        <v/>
      </c>
      <c r="U1925" s="8">
        <f>(Q1925-P1925*G1925*SIN(RADIANS(E1925)))/M1925</f>
        <v/>
      </c>
      <c r="V1925" s="8">
        <f>SQRT((S1925+U1925)^2+3*T1925^2)</f>
        <v/>
      </c>
      <c r="W1925" s="8">
        <f>V1925/AA1925</f>
        <v/>
      </c>
      <c r="X1925" s="27">
        <f>((3*10+H1925/COS(RADIANS(E1925)))*(3+3)+3*G1925*H1925)*2</f>
        <v/>
      </c>
      <c r="Y1925" s="28">
        <f>Z1925/X1925</f>
        <v/>
      </c>
      <c r="Z1925" s="29" t="n">
        <v>620.174297440492</v>
      </c>
      <c r="AA1925" s="20" t="n">
        <v>78.23049068140131</v>
      </c>
      <c r="AB1925" t="n">
        <v>0.1792188907630602</v>
      </c>
      <c r="AC1925" t="n">
        <v>80.10030055843936</v>
      </c>
      <c r="AD1925" t="n">
        <v>28.91586705716822</v>
      </c>
    </row>
    <row r="1926">
      <c r="A1926" t="n">
        <v>1925</v>
      </c>
      <c r="B1926" t="n">
        <v>42.7</v>
      </c>
      <c r="C1926" s="21">
        <f>B1926-20</f>
        <v/>
      </c>
      <c r="D1926" t="n">
        <v>113.1</v>
      </c>
      <c r="E1926" s="22">
        <f>D1926-90</f>
        <v/>
      </c>
      <c r="F1926" s="23" t="n">
        <v>0.008193000000000001</v>
      </c>
      <c r="G1926" s="22" t="n">
        <v>30.7</v>
      </c>
      <c r="H1926" s="22" t="n">
        <v>1.2</v>
      </c>
      <c r="I1926" s="24" t="n">
        <v>0.0365318283438682</v>
      </c>
      <c r="J1926" s="6" t="n">
        <v>71000</v>
      </c>
      <c r="K1926" s="25">
        <f>23*10^-6</f>
        <v/>
      </c>
      <c r="L1926" s="8">
        <f>H1926</f>
        <v/>
      </c>
      <c r="M1926" s="26">
        <f>H1926^2/6</f>
        <v/>
      </c>
      <c r="N1926" s="26">
        <f>H1926^3/12</f>
        <v/>
      </c>
      <c r="O1926" s="27">
        <f>-J1926*L1926*K1926*C1926</f>
        <v/>
      </c>
      <c r="P1926" s="28">
        <f>-(12*F1926*J1926*L1926*N1926+12*O1926*N1926*G1926*COS(RADIANS(E1926)))/(12*N1926*G1926*COS(RADIANS(E1926))^2+L1926*G1926^3*SIN(RADIANS(E1926))^2)</f>
        <v/>
      </c>
      <c r="Q1926" s="28">
        <f>-(6*F1926*J1926*L1926*N1926*SIN(RADIANS(E1926))+6*O1926*N1926*G1926*SIN(RADIANS(E1926))*COS(RADIANS(E1926)))/(12*N1926*COS(RADIANS(E1926))^2+L1926*G1926^2*SIN(RADIANS(E1926))^2)</f>
        <v/>
      </c>
      <c r="R1926" s="28">
        <f>-P1926*SIN(RADIANS(E1926))</f>
        <v/>
      </c>
      <c r="S1926" s="8">
        <f>(O1926+P1926*COS(RADIANS(E1926)))/L1926</f>
        <v/>
      </c>
      <c r="T1926" s="8">
        <f>R1926/L1926</f>
        <v/>
      </c>
      <c r="U1926" s="8">
        <f>(Q1926-P1926*G1926*SIN(RADIANS(E1926)))/M1926</f>
        <v/>
      </c>
      <c r="V1926" s="8">
        <f>SQRT((S1926+U1926)^2+3*T1926^2)</f>
        <v/>
      </c>
      <c r="W1926" s="8">
        <f>V1926/AA1926</f>
        <v/>
      </c>
      <c r="X1926" s="27">
        <f>((3*10+H1926/COS(RADIANS(E1926)))*(3+3)+3*G1926*H1926)*2</f>
        <v/>
      </c>
      <c r="Y1926" s="28">
        <f>Z1926/X1926</f>
        <v/>
      </c>
      <c r="Z1926" s="29" t="n">
        <v>606.417230477091</v>
      </c>
      <c r="AA1926" s="20" t="n">
        <v>31.2996834958284</v>
      </c>
      <c r="AB1926" t="n">
        <v>0.06108167250910755</v>
      </c>
      <c r="AC1926" t="n">
        <v>33.70446261679099</v>
      </c>
      <c r="AD1926" t="n">
        <v>67.20124690764348</v>
      </c>
    </row>
    <row r="1927">
      <c r="A1927" t="n">
        <v>1926</v>
      </c>
      <c r="B1927" t="n">
        <v>65.7</v>
      </c>
      <c r="C1927" s="21">
        <f>B1927-20</f>
        <v/>
      </c>
      <c r="D1927" t="n">
        <v>126</v>
      </c>
      <c r="E1927" s="22">
        <f>D1927-90</f>
        <v/>
      </c>
      <c r="F1927" s="23" t="n">
        <v>0.015019</v>
      </c>
      <c r="G1927" s="22" t="n">
        <v>23.4</v>
      </c>
      <c r="H1927" s="22" t="n">
        <v>1.1</v>
      </c>
      <c r="I1927" s="24" t="n">
        <v>0.123987682163715</v>
      </c>
      <c r="J1927" s="6" t="n">
        <v>71000</v>
      </c>
      <c r="K1927" s="25">
        <f>23*10^-6</f>
        <v/>
      </c>
      <c r="L1927" s="8">
        <f>H1927</f>
        <v/>
      </c>
      <c r="M1927" s="26">
        <f>H1927^2/6</f>
        <v/>
      </c>
      <c r="N1927" s="26">
        <f>H1927^3/12</f>
        <v/>
      </c>
      <c r="O1927" s="27">
        <f>-J1927*L1927*K1927*C1927</f>
        <v/>
      </c>
      <c r="P1927" s="28">
        <f>-(12*F1927*J1927*L1927*N1927+12*O1927*N1927*G1927*COS(RADIANS(E1927)))/(12*N1927*G1927*COS(RADIANS(E1927))^2+L1927*G1927^3*SIN(RADIANS(E1927))^2)</f>
        <v/>
      </c>
      <c r="Q1927" s="28">
        <f>-(6*F1927*J1927*L1927*N1927*SIN(RADIANS(E1927))+6*O1927*N1927*G1927*SIN(RADIANS(E1927))*COS(RADIANS(E1927)))/(12*N1927*COS(RADIANS(E1927))^2+L1927*G1927^2*SIN(RADIANS(E1927))^2)</f>
        <v/>
      </c>
      <c r="R1927" s="28">
        <f>-P1927*SIN(RADIANS(E1927))</f>
        <v/>
      </c>
      <c r="S1927" s="8">
        <f>(O1927+P1927*COS(RADIANS(E1927)))/L1927</f>
        <v/>
      </c>
      <c r="T1927" s="8">
        <f>R1927/L1927</f>
        <v/>
      </c>
      <c r="U1927" s="8">
        <f>(Q1927-P1927*G1927*SIN(RADIANS(E1927)))/M1927</f>
        <v/>
      </c>
      <c r="V1927" s="8">
        <f>SQRT((S1927+U1927)^2+3*T1927^2)</f>
        <v/>
      </c>
      <c r="W1927" s="8">
        <f>V1927/AA1927</f>
        <v/>
      </c>
      <c r="X1927" s="27">
        <f>((3*10+H1927/COS(RADIANS(E1927)))*(3+3)+3*G1927*H1927)*2</f>
        <v/>
      </c>
      <c r="Y1927" s="28">
        <f>Z1927/X1927</f>
        <v/>
      </c>
      <c r="Z1927" s="29" t="n">
        <v>532.006569147602</v>
      </c>
      <c r="AA1927" s="20" t="n">
        <v>68.6314973880738</v>
      </c>
      <c r="AB1927" t="n">
        <v>0.0594336662489511</v>
      </c>
      <c r="AC1927" t="n">
        <v>65.41191223269304</v>
      </c>
      <c r="AD1927" t="n">
        <v>-52.06486224133612</v>
      </c>
    </row>
    <row r="1928">
      <c r="A1928" t="n">
        <v>1927</v>
      </c>
      <c r="B1928" t="n">
        <v>60.2</v>
      </c>
      <c r="C1928" s="21">
        <f>B1928-20</f>
        <v/>
      </c>
      <c r="D1928" t="n">
        <v>111.8</v>
      </c>
      <c r="E1928" s="22">
        <f>D1928-90</f>
        <v/>
      </c>
      <c r="F1928" s="23" t="n">
        <v>0.011547</v>
      </c>
      <c r="G1928" s="22" t="n">
        <v>20</v>
      </c>
      <c r="H1928" s="22" t="n">
        <v>1.9</v>
      </c>
      <c r="I1928" s="24" t="n">
        <v>0.0774512887001037</v>
      </c>
      <c r="J1928" s="6" t="n">
        <v>71000</v>
      </c>
      <c r="K1928" s="25">
        <f>23*10^-6</f>
        <v/>
      </c>
      <c r="L1928" s="8">
        <f>H1928</f>
        <v/>
      </c>
      <c r="M1928" s="26">
        <f>H1928^2/6</f>
        <v/>
      </c>
      <c r="N1928" s="26">
        <f>H1928^3/12</f>
        <v/>
      </c>
      <c r="O1928" s="27">
        <f>-J1928*L1928*K1928*C1928</f>
        <v/>
      </c>
      <c r="P1928" s="28">
        <f>-(12*F1928*J1928*L1928*N1928+12*O1928*N1928*G1928*COS(RADIANS(E1928)))/(12*N1928*G1928*COS(RADIANS(E1928))^2+L1928*G1928^3*SIN(RADIANS(E1928))^2)</f>
        <v/>
      </c>
      <c r="Q1928" s="28">
        <f>-(6*F1928*J1928*L1928*N1928*SIN(RADIANS(E1928))+6*O1928*N1928*G1928*SIN(RADIANS(E1928))*COS(RADIANS(E1928)))/(12*N1928*COS(RADIANS(E1928))^2+L1928*G1928^2*SIN(RADIANS(E1928))^2)</f>
        <v/>
      </c>
      <c r="R1928" s="28">
        <f>-P1928*SIN(RADIANS(E1928))</f>
        <v/>
      </c>
      <c r="S1928" s="8">
        <f>(O1928+P1928*COS(RADIANS(E1928)))/L1928</f>
        <v/>
      </c>
      <c r="T1928" s="8">
        <f>R1928/L1928</f>
        <v/>
      </c>
      <c r="U1928" s="8">
        <f>(Q1928-P1928*G1928*SIN(RADIANS(E1928)))/M1928</f>
        <v/>
      </c>
      <c r="V1928" s="8">
        <f>SQRT((S1928+U1928)^2+3*T1928^2)</f>
        <v/>
      </c>
      <c r="W1928" s="8">
        <f>V1928/AA1928</f>
        <v/>
      </c>
      <c r="X1928" s="27">
        <f>((3*10+H1928/COS(RADIANS(E1928)))*(3+3)+3*G1928*H1928)*2</f>
        <v/>
      </c>
      <c r="Y1928" s="28">
        <f>Z1928/X1928</f>
        <v/>
      </c>
      <c r="Z1928" s="29" t="n">
        <v>616.193518908326</v>
      </c>
      <c r="AA1928" s="20" t="n">
        <v>75.8740583583228</v>
      </c>
      <c r="AB1928" t="n">
        <v>0.07354289056488497</v>
      </c>
      <c r="AC1928" t="n">
        <v>65.53985614883536</v>
      </c>
      <c r="AD1928" t="n">
        <v>-5.046266112307437</v>
      </c>
    </row>
    <row r="1929">
      <c r="A1929" t="n">
        <v>1928</v>
      </c>
      <c r="B1929" t="n">
        <v>68.2</v>
      </c>
      <c r="C1929" s="21">
        <f>B1929-20</f>
        <v/>
      </c>
      <c r="D1929" t="n">
        <v>109.1</v>
      </c>
      <c r="E1929" s="22">
        <f>D1929-90</f>
        <v/>
      </c>
      <c r="F1929" s="23" t="n">
        <v>0.019931</v>
      </c>
      <c r="G1929" s="22" t="n">
        <v>31.4</v>
      </c>
      <c r="H1929" s="22" t="n">
        <v>1.4</v>
      </c>
      <c r="I1929" s="24" t="n">
        <v>0.138561025261878</v>
      </c>
      <c r="J1929" s="6" t="n">
        <v>71000</v>
      </c>
      <c r="K1929" s="25">
        <f>23*10^-6</f>
        <v/>
      </c>
      <c r="L1929" s="8">
        <f>H1929</f>
        <v/>
      </c>
      <c r="M1929" s="26">
        <f>H1929^2/6</f>
        <v/>
      </c>
      <c r="N1929" s="26">
        <f>H1929^3/12</f>
        <v/>
      </c>
      <c r="O1929" s="27">
        <f>-J1929*L1929*K1929*C1929</f>
        <v/>
      </c>
      <c r="P1929" s="28">
        <f>-(12*F1929*J1929*L1929*N1929+12*O1929*N1929*G1929*COS(RADIANS(E1929)))/(12*N1929*G1929*COS(RADIANS(E1929))^2+L1929*G1929^3*SIN(RADIANS(E1929))^2)</f>
        <v/>
      </c>
      <c r="Q1929" s="28">
        <f>-(6*F1929*J1929*L1929*N1929*SIN(RADIANS(E1929))+6*O1929*N1929*G1929*SIN(RADIANS(E1929))*COS(RADIANS(E1929)))/(12*N1929*COS(RADIANS(E1929))^2+L1929*G1929^2*SIN(RADIANS(E1929))^2)</f>
        <v/>
      </c>
      <c r="R1929" s="28">
        <f>-P1929*SIN(RADIANS(E1929))</f>
        <v/>
      </c>
      <c r="S1929" s="8">
        <f>(O1929+P1929*COS(RADIANS(E1929)))/L1929</f>
        <v/>
      </c>
      <c r="T1929" s="8">
        <f>R1929/L1929</f>
        <v/>
      </c>
      <c r="U1929" s="8">
        <f>(Q1929-P1929*G1929*SIN(RADIANS(E1929)))/M1929</f>
        <v/>
      </c>
      <c r="V1929" s="8">
        <f>SQRT((S1929+U1929)^2+3*T1929^2)</f>
        <v/>
      </c>
      <c r="W1929" s="8">
        <f>V1929/AA1929</f>
        <v/>
      </c>
      <c r="X1929" s="27">
        <f>((3*10+H1929/COS(RADIANS(E1929)))*(3+3)+3*G1929*H1929)*2</f>
        <v/>
      </c>
      <c r="Y1929" s="28">
        <f>Z1929/X1929</f>
        <v/>
      </c>
      <c r="Z1929" s="29" t="n">
        <v>645.513092605583</v>
      </c>
      <c r="AA1929" s="20" t="n">
        <v>73.8850627505747</v>
      </c>
      <c r="AB1929" t="n">
        <v>0.1602166923981303</v>
      </c>
      <c r="AC1929" t="n">
        <v>74.25302813933173</v>
      </c>
      <c r="AD1929" t="n">
        <v>15.62897437812939</v>
      </c>
    </row>
    <row r="1930">
      <c r="A1930" t="n">
        <v>1929</v>
      </c>
      <c r="B1930" t="n">
        <v>40.2</v>
      </c>
      <c r="C1930" s="21">
        <f>B1930-20</f>
        <v/>
      </c>
      <c r="D1930" t="n">
        <v>115.3</v>
      </c>
      <c r="E1930" s="22">
        <f>D1930-90</f>
        <v/>
      </c>
      <c r="F1930" s="23" t="n">
        <v>0.007982</v>
      </c>
      <c r="G1930" s="22" t="n">
        <v>34.1</v>
      </c>
      <c r="H1930" s="22" t="n">
        <v>1.9</v>
      </c>
      <c r="I1930" s="24" t="n">
        <v>0.0353412590920925</v>
      </c>
      <c r="J1930" s="6" t="n">
        <v>71000</v>
      </c>
      <c r="K1930" s="25">
        <f>23*10^-6</f>
        <v/>
      </c>
      <c r="L1930" s="8">
        <f>H1930</f>
        <v/>
      </c>
      <c r="M1930" s="26">
        <f>H1930^2/6</f>
        <v/>
      </c>
      <c r="N1930" s="26">
        <f>H1930^3/12</f>
        <v/>
      </c>
      <c r="O1930" s="27">
        <f>-J1930*L1930*K1930*C1930</f>
        <v/>
      </c>
      <c r="P1930" s="28">
        <f>-(12*F1930*J1930*L1930*N1930+12*O1930*N1930*G1930*COS(RADIANS(E1930)))/(12*N1930*G1930*COS(RADIANS(E1930))^2+L1930*G1930^3*SIN(RADIANS(E1930))^2)</f>
        <v/>
      </c>
      <c r="Q1930" s="28">
        <f>-(6*F1930*J1930*L1930*N1930*SIN(RADIANS(E1930))+6*O1930*N1930*G1930*SIN(RADIANS(E1930))*COS(RADIANS(E1930)))/(12*N1930*COS(RADIANS(E1930))^2+L1930*G1930^2*SIN(RADIANS(E1930))^2)</f>
        <v/>
      </c>
      <c r="R1930" s="28">
        <f>-P1930*SIN(RADIANS(E1930))</f>
        <v/>
      </c>
      <c r="S1930" s="8">
        <f>(O1930+P1930*COS(RADIANS(E1930)))/L1930</f>
        <v/>
      </c>
      <c r="T1930" s="8">
        <f>R1930/L1930</f>
        <v/>
      </c>
      <c r="U1930" s="8">
        <f>(Q1930-P1930*G1930*SIN(RADIANS(E1930)))/M1930</f>
        <v/>
      </c>
      <c r="V1930" s="8">
        <f>SQRT((S1930+U1930)^2+3*T1930^2)</f>
        <v/>
      </c>
      <c r="W1930" s="8">
        <f>V1930/AA1930</f>
        <v/>
      </c>
      <c r="X1930" s="27">
        <f>((3*10+H1930/COS(RADIANS(E1930)))*(3+3)+3*G1930*H1930)*2</f>
        <v/>
      </c>
      <c r="Y1930" s="28">
        <f>Z1930/X1930</f>
        <v/>
      </c>
      <c r="Z1930" s="29" t="n">
        <v>783.850359588068</v>
      </c>
      <c r="AA1930" s="20" t="n">
        <v>31.4843749152622</v>
      </c>
      <c r="AB1930" t="n">
        <v>0.05420458210383271</v>
      </c>
      <c r="AC1930" t="n">
        <v>30.83928142607843</v>
      </c>
      <c r="AD1930" t="n">
        <v>53.37479053189937</v>
      </c>
    </row>
    <row r="1931">
      <c r="A1931" t="n">
        <v>1930</v>
      </c>
      <c r="B1931" t="n">
        <v>77.3</v>
      </c>
      <c r="C1931" s="21">
        <f>B1931-20</f>
        <v/>
      </c>
      <c r="D1931" t="n">
        <v>106</v>
      </c>
      <c r="E1931" s="22">
        <f>D1931-90</f>
        <v/>
      </c>
      <c r="F1931" s="23" t="n">
        <v>0.025069</v>
      </c>
      <c r="G1931" s="22" t="n">
        <v>33.7</v>
      </c>
      <c r="H1931" s="22" t="n">
        <v>1.6</v>
      </c>
      <c r="I1931" s="24" t="n">
        <v>0.167096048593521</v>
      </c>
      <c r="J1931" s="6" t="n">
        <v>71000</v>
      </c>
      <c r="K1931" s="25">
        <f>23*10^-6</f>
        <v/>
      </c>
      <c r="L1931" s="8">
        <f>H1931</f>
        <v/>
      </c>
      <c r="M1931" s="26">
        <f>H1931^2/6</f>
        <v/>
      </c>
      <c r="N1931" s="26">
        <f>H1931^3/12</f>
        <v/>
      </c>
      <c r="O1931" s="27">
        <f>-J1931*L1931*K1931*C1931</f>
        <v/>
      </c>
      <c r="P1931" s="28">
        <f>-(12*F1931*J1931*L1931*N1931+12*O1931*N1931*G1931*COS(RADIANS(E1931)))/(12*N1931*G1931*COS(RADIANS(E1931))^2+L1931*G1931^3*SIN(RADIANS(E1931))^2)</f>
        <v/>
      </c>
      <c r="Q1931" s="28">
        <f>-(6*F1931*J1931*L1931*N1931*SIN(RADIANS(E1931))+6*O1931*N1931*G1931*SIN(RADIANS(E1931))*COS(RADIANS(E1931)))/(12*N1931*COS(RADIANS(E1931))^2+L1931*G1931^2*SIN(RADIANS(E1931))^2)</f>
        <v/>
      </c>
      <c r="R1931" s="28">
        <f>-P1931*SIN(RADIANS(E1931))</f>
        <v/>
      </c>
      <c r="S1931" s="8">
        <f>(O1931+P1931*COS(RADIANS(E1931)))/L1931</f>
        <v/>
      </c>
      <c r="T1931" s="8">
        <f>R1931/L1931</f>
        <v/>
      </c>
      <c r="U1931" s="8">
        <f>(Q1931-P1931*G1931*SIN(RADIANS(E1931)))/M1931</f>
        <v/>
      </c>
      <c r="V1931" s="8">
        <f>SQRT((S1931+U1931)^2+3*T1931^2)</f>
        <v/>
      </c>
      <c r="W1931" s="8">
        <f>V1931/AA1931</f>
        <v/>
      </c>
      <c r="X1931" s="27">
        <f>((3*10+H1931/COS(RADIANS(E1931)))*(3+3)+3*G1931*H1931)*2</f>
        <v/>
      </c>
      <c r="Y1931" s="28">
        <f>Z1931/X1931</f>
        <v/>
      </c>
      <c r="Z1931" s="29" t="n">
        <v>707.917136153102</v>
      </c>
      <c r="AA1931" s="20" t="n">
        <v>90.43069289343551</v>
      </c>
      <c r="AB1931" t="n">
        <v>0.2417685750227507</v>
      </c>
      <c r="AC1931" t="n">
        <v>91.4646464126789</v>
      </c>
      <c r="AD1931" t="n">
        <v>44.6883855469728</v>
      </c>
    </row>
    <row r="1932">
      <c r="A1932" t="n">
        <v>1931</v>
      </c>
      <c r="B1932" t="n">
        <v>55.6</v>
      </c>
      <c r="C1932" s="21">
        <f>B1932-20</f>
        <v/>
      </c>
      <c r="D1932" t="n">
        <v>128.5</v>
      </c>
      <c r="E1932" s="22">
        <f>D1932-90</f>
        <v/>
      </c>
      <c r="F1932" s="23" t="n">
        <v>0.010424</v>
      </c>
      <c r="G1932" s="22" t="n">
        <v>21.4</v>
      </c>
      <c r="H1932" s="22" t="n">
        <v>1</v>
      </c>
      <c r="I1932" s="24" t="n">
        <v>0.0583712682127952</v>
      </c>
      <c r="J1932" s="6" t="n">
        <v>71000</v>
      </c>
      <c r="K1932" s="25">
        <f>23*10^-6</f>
        <v/>
      </c>
      <c r="L1932" s="8">
        <f>H1932</f>
        <v/>
      </c>
      <c r="M1932" s="26">
        <f>H1932^2/6</f>
        <v/>
      </c>
      <c r="N1932" s="26">
        <f>H1932^3/12</f>
        <v/>
      </c>
      <c r="O1932" s="27">
        <f>-J1932*L1932*K1932*C1932</f>
        <v/>
      </c>
      <c r="P1932" s="28">
        <f>-(12*F1932*J1932*L1932*N1932+12*O1932*N1932*G1932*COS(RADIANS(E1932)))/(12*N1932*G1932*COS(RADIANS(E1932))^2+L1932*G1932^3*SIN(RADIANS(E1932))^2)</f>
        <v/>
      </c>
      <c r="Q1932" s="28">
        <f>-(6*F1932*J1932*L1932*N1932*SIN(RADIANS(E1932))+6*O1932*N1932*G1932*SIN(RADIANS(E1932))*COS(RADIANS(E1932)))/(12*N1932*COS(RADIANS(E1932))^2+L1932*G1932^2*SIN(RADIANS(E1932))^2)</f>
        <v/>
      </c>
      <c r="R1932" s="28">
        <f>-P1932*SIN(RADIANS(E1932))</f>
        <v/>
      </c>
      <c r="S1932" s="8">
        <f>(O1932+P1932*COS(RADIANS(E1932)))/L1932</f>
        <v/>
      </c>
      <c r="T1932" s="8">
        <f>R1932/L1932</f>
        <v/>
      </c>
      <c r="U1932" s="8">
        <f>(Q1932-P1932*G1932*SIN(RADIANS(E1932)))/M1932</f>
        <v/>
      </c>
      <c r="V1932" s="8">
        <f>SQRT((S1932+U1932)^2+3*T1932^2)</f>
        <v/>
      </c>
      <c r="W1932" s="8">
        <f>V1932/AA1932</f>
        <v/>
      </c>
      <c r="X1932" s="27">
        <f>((3*10+H1932/COS(RADIANS(E1932)))*(3+3)+3*G1932*H1932)*2</f>
        <v/>
      </c>
      <c r="Y1932" s="28">
        <f>Z1932/X1932</f>
        <v/>
      </c>
      <c r="Z1932" s="29" t="n">
        <v>506.971657910546</v>
      </c>
      <c r="AA1932" s="20" t="n">
        <v>50.4851829178736</v>
      </c>
      <c r="AB1932" t="n">
        <v>0.03959184413611552</v>
      </c>
      <c r="AC1932" t="n">
        <v>50.50566273983273</v>
      </c>
      <c r="AD1932" t="n">
        <v>-32.17237632771384</v>
      </c>
    </row>
    <row r="1933">
      <c r="A1933" t="n">
        <v>1932</v>
      </c>
      <c r="B1933" t="n">
        <v>53.6</v>
      </c>
      <c r="C1933" s="21">
        <f>B1933-20</f>
        <v/>
      </c>
      <c r="D1933" t="n">
        <v>101.2</v>
      </c>
      <c r="E1933" s="22">
        <f>D1933-90</f>
        <v/>
      </c>
      <c r="F1933" s="23" t="n">
        <v>0.010541</v>
      </c>
      <c r="G1933" s="22" t="n">
        <v>26.6</v>
      </c>
      <c r="H1933" s="22" t="n">
        <v>1.9</v>
      </c>
      <c r="I1933" s="24" t="n">
        <v>0.0470488555729389</v>
      </c>
      <c r="J1933" s="6" t="n">
        <v>71000</v>
      </c>
      <c r="K1933" s="25">
        <f>23*10^-6</f>
        <v/>
      </c>
      <c r="L1933" s="8">
        <f>H1933</f>
        <v/>
      </c>
      <c r="M1933" s="26">
        <f>H1933^2/6</f>
        <v/>
      </c>
      <c r="N1933" s="26">
        <f>H1933^3/12</f>
        <v/>
      </c>
      <c r="O1933" s="27">
        <f>-J1933*L1933*K1933*C1933</f>
        <v/>
      </c>
      <c r="P1933" s="28">
        <f>-(12*F1933*J1933*L1933*N1933+12*O1933*N1933*G1933*COS(RADIANS(E1933)))/(12*N1933*G1933*COS(RADIANS(E1933))^2+L1933*G1933^3*SIN(RADIANS(E1933))^2)</f>
        <v/>
      </c>
      <c r="Q1933" s="28">
        <f>-(6*F1933*J1933*L1933*N1933*SIN(RADIANS(E1933))+6*O1933*N1933*G1933*SIN(RADIANS(E1933))*COS(RADIANS(E1933)))/(12*N1933*COS(RADIANS(E1933))^2+L1933*G1933^2*SIN(RADIANS(E1933))^2)</f>
        <v/>
      </c>
      <c r="R1933" s="28">
        <f>-P1933*SIN(RADIANS(E1933))</f>
        <v/>
      </c>
      <c r="S1933" s="8">
        <f>(O1933+P1933*COS(RADIANS(E1933)))/L1933</f>
        <v/>
      </c>
      <c r="T1933" s="8">
        <f>R1933/L1933</f>
        <v/>
      </c>
      <c r="U1933" s="8">
        <f>(Q1933-P1933*G1933*SIN(RADIANS(E1933)))/M1933</f>
        <v/>
      </c>
      <c r="V1933" s="8">
        <f>SQRT((S1933+U1933)^2+3*T1933^2)</f>
        <v/>
      </c>
      <c r="W1933" s="8">
        <f>V1933/AA1933</f>
        <v/>
      </c>
      <c r="X1933" s="27">
        <f>((3*10+H1933/COS(RADIANS(E1933)))*(3+3)+3*G1933*H1933)*2</f>
        <v/>
      </c>
      <c r="Y1933" s="28">
        <f>Z1933/X1933</f>
        <v/>
      </c>
      <c r="Z1933" s="29" t="n">
        <v>700.521610732632</v>
      </c>
      <c r="AA1933" s="20" t="n">
        <v>53.885760051468</v>
      </c>
      <c r="AB1933" t="n">
        <v>0.148302010060177</v>
      </c>
      <c r="AC1933" t="n">
        <v>59.97462931129871</v>
      </c>
      <c r="AD1933" t="n">
        <v>215.208538558961</v>
      </c>
    </row>
    <row r="1934">
      <c r="A1934" t="n">
        <v>1933</v>
      </c>
      <c r="B1934" t="n">
        <v>71.5</v>
      </c>
      <c r="C1934" s="21">
        <f>B1934-20</f>
        <v/>
      </c>
      <c r="D1934" t="n">
        <v>104.3</v>
      </c>
      <c r="E1934" s="22">
        <f>D1934-90</f>
        <v/>
      </c>
      <c r="F1934" s="23" t="n">
        <v>0.021293</v>
      </c>
      <c r="G1934" s="22" t="n">
        <v>32.6</v>
      </c>
      <c r="H1934" s="22" t="n">
        <v>1.3</v>
      </c>
      <c r="I1934" s="24" t="n">
        <v>0.116361685097217</v>
      </c>
      <c r="J1934" s="6" t="n">
        <v>71000</v>
      </c>
      <c r="K1934" s="25">
        <f>23*10^-6</f>
        <v/>
      </c>
      <c r="L1934" s="8">
        <f>H1934</f>
        <v/>
      </c>
      <c r="M1934" s="26">
        <f>H1934^2/6</f>
        <v/>
      </c>
      <c r="N1934" s="26">
        <f>H1934^3/12</f>
        <v/>
      </c>
      <c r="O1934" s="27">
        <f>-J1934*L1934*K1934*C1934</f>
        <v/>
      </c>
      <c r="P1934" s="28">
        <f>-(12*F1934*J1934*L1934*N1934+12*O1934*N1934*G1934*COS(RADIANS(E1934)))/(12*N1934*G1934*COS(RADIANS(E1934))^2+L1934*G1934^3*SIN(RADIANS(E1934))^2)</f>
        <v/>
      </c>
      <c r="Q1934" s="28">
        <f>-(6*F1934*J1934*L1934*N1934*SIN(RADIANS(E1934))+6*O1934*N1934*G1934*SIN(RADIANS(E1934))*COS(RADIANS(E1934)))/(12*N1934*COS(RADIANS(E1934))^2+L1934*G1934^2*SIN(RADIANS(E1934))^2)</f>
        <v/>
      </c>
      <c r="R1934" s="28">
        <f>-P1934*SIN(RADIANS(E1934))</f>
        <v/>
      </c>
      <c r="S1934" s="8">
        <f>(O1934+P1934*COS(RADIANS(E1934)))/L1934</f>
        <v/>
      </c>
      <c r="T1934" s="8">
        <f>R1934/L1934</f>
        <v/>
      </c>
      <c r="U1934" s="8">
        <f>(Q1934-P1934*G1934*SIN(RADIANS(E1934)))/M1934</f>
        <v/>
      </c>
      <c r="V1934" s="8">
        <f>SQRT((S1934+U1934)^2+3*T1934^2)</f>
        <v/>
      </c>
      <c r="W1934" s="8">
        <f>V1934/AA1934</f>
        <v/>
      </c>
      <c r="X1934" s="27">
        <f>((3*10+H1934/COS(RADIANS(E1934)))*(3+3)+3*G1934*H1934)*2</f>
        <v/>
      </c>
      <c r="Y1934" s="28">
        <f>Z1934/X1934</f>
        <v/>
      </c>
      <c r="Z1934" s="29" t="n">
        <v>636.363714991178</v>
      </c>
      <c r="AA1934" s="20" t="n">
        <v>75.32688931611661</v>
      </c>
      <c r="AB1934" t="n">
        <v>0.236978010346384</v>
      </c>
      <c r="AC1934" t="n">
        <v>81.49228535093026</v>
      </c>
      <c r="AD1934" t="n">
        <v>103.6563926935188</v>
      </c>
    </row>
    <row r="1935">
      <c r="A1935" t="n">
        <v>1934</v>
      </c>
      <c r="B1935" t="n">
        <v>66</v>
      </c>
      <c r="C1935" s="21">
        <f>B1935-20</f>
        <v/>
      </c>
      <c r="D1935" t="n">
        <v>121.7</v>
      </c>
      <c r="E1935" s="22">
        <f>D1935-90</f>
        <v/>
      </c>
      <c r="F1935" s="23" t="n">
        <v>0.01712</v>
      </c>
      <c r="G1935" s="22" t="n">
        <v>28.2</v>
      </c>
      <c r="H1935" s="22" t="n">
        <v>1.2</v>
      </c>
      <c r="I1935" s="24" t="n">
        <v>0.103826344013214</v>
      </c>
      <c r="J1935" s="6" t="n">
        <v>71000</v>
      </c>
      <c r="K1935" s="25">
        <f>23*10^-6</f>
        <v/>
      </c>
      <c r="L1935" s="8">
        <f>H1935</f>
        <v/>
      </c>
      <c r="M1935" s="26">
        <f>H1935^2/6</f>
        <v/>
      </c>
      <c r="N1935" s="26">
        <f>H1935^3/12</f>
        <v/>
      </c>
      <c r="O1935" s="27">
        <f>-J1935*L1935*K1935*C1935</f>
        <v/>
      </c>
      <c r="P1935" s="28">
        <f>-(12*F1935*J1935*L1935*N1935+12*O1935*N1935*G1935*COS(RADIANS(E1935)))/(12*N1935*G1935*COS(RADIANS(E1935))^2+L1935*G1935^3*SIN(RADIANS(E1935))^2)</f>
        <v/>
      </c>
      <c r="Q1935" s="28">
        <f>-(6*F1935*J1935*L1935*N1935*SIN(RADIANS(E1935))+6*O1935*N1935*G1935*SIN(RADIANS(E1935))*COS(RADIANS(E1935)))/(12*N1935*COS(RADIANS(E1935))^2+L1935*G1935^2*SIN(RADIANS(E1935))^2)</f>
        <v/>
      </c>
      <c r="R1935" s="28">
        <f>-P1935*SIN(RADIANS(E1935))</f>
        <v/>
      </c>
      <c r="S1935" s="8">
        <f>(O1935+P1935*COS(RADIANS(E1935)))/L1935</f>
        <v/>
      </c>
      <c r="T1935" s="8">
        <f>R1935/L1935</f>
        <v/>
      </c>
      <c r="U1935" s="8">
        <f>(Q1935-P1935*G1935*SIN(RADIANS(E1935)))/M1935</f>
        <v/>
      </c>
      <c r="V1935" s="8">
        <f>SQRT((S1935+U1935)^2+3*T1935^2)</f>
        <v/>
      </c>
      <c r="W1935" s="8">
        <f>V1935/AA1935</f>
        <v/>
      </c>
      <c r="X1935" s="27">
        <f>((3*10+H1935/COS(RADIANS(E1935)))*(3+3)+3*G1935*H1935)*2</f>
        <v/>
      </c>
      <c r="Y1935" s="28">
        <f>Z1935/X1935</f>
        <v/>
      </c>
      <c r="Z1935" s="29" t="n">
        <v>583.110746912263</v>
      </c>
      <c r="AA1935" s="20" t="n">
        <v>66.973021113888</v>
      </c>
      <c r="AB1935" t="n">
        <v>0.08181045367005402</v>
      </c>
      <c r="AC1935" t="n">
        <v>66.50756367641705</v>
      </c>
      <c r="AD1935" t="n">
        <v>-21.20453200235772</v>
      </c>
    </row>
    <row r="1936">
      <c r="A1936" t="n">
        <v>1935</v>
      </c>
      <c r="B1936" t="n">
        <v>45.5</v>
      </c>
      <c r="C1936" s="21">
        <f>B1936-20</f>
        <v/>
      </c>
      <c r="D1936" t="n">
        <v>103.7</v>
      </c>
      <c r="E1936" s="22">
        <f>D1936-90</f>
        <v/>
      </c>
      <c r="F1936" s="23" t="n">
        <v>0.007237</v>
      </c>
      <c r="G1936" s="22" t="n">
        <v>20.9</v>
      </c>
      <c r="H1936" s="22" t="n">
        <v>1.4</v>
      </c>
      <c r="I1936" s="24" t="n">
        <v>0.0385698415338993</v>
      </c>
      <c r="J1936" s="6" t="n">
        <v>71000</v>
      </c>
      <c r="K1936" s="25">
        <f>23*10^-6</f>
        <v/>
      </c>
      <c r="L1936" s="8">
        <f>H1936</f>
        <v/>
      </c>
      <c r="M1936" s="26">
        <f>H1936^2/6</f>
        <v/>
      </c>
      <c r="N1936" s="26">
        <f>H1936^3/12</f>
        <v/>
      </c>
      <c r="O1936" s="27">
        <f>-J1936*L1936*K1936*C1936</f>
        <v/>
      </c>
      <c r="P1936" s="28">
        <f>-(12*F1936*J1936*L1936*N1936+12*O1936*N1936*G1936*COS(RADIANS(E1936)))/(12*N1936*G1936*COS(RADIANS(E1936))^2+L1936*G1936^3*SIN(RADIANS(E1936))^2)</f>
        <v/>
      </c>
      <c r="Q1936" s="28">
        <f>-(6*F1936*J1936*L1936*N1936*SIN(RADIANS(E1936))+6*O1936*N1936*G1936*SIN(RADIANS(E1936))*COS(RADIANS(E1936)))/(12*N1936*COS(RADIANS(E1936))^2+L1936*G1936^2*SIN(RADIANS(E1936))^2)</f>
        <v/>
      </c>
      <c r="R1936" s="28">
        <f>-P1936*SIN(RADIANS(E1936))</f>
        <v/>
      </c>
      <c r="S1936" s="8">
        <f>(O1936+P1936*COS(RADIANS(E1936)))/L1936</f>
        <v/>
      </c>
      <c r="T1936" s="8">
        <f>R1936/L1936</f>
        <v/>
      </c>
      <c r="U1936" s="8">
        <f>(Q1936-P1936*G1936*SIN(RADIANS(E1936)))/M1936</f>
        <v/>
      </c>
      <c r="V1936" s="8">
        <f>SQRT((S1936+U1936)^2+3*T1936^2)</f>
        <v/>
      </c>
      <c r="W1936" s="8">
        <f>V1936/AA1936</f>
        <v/>
      </c>
      <c r="X1936" s="27">
        <f>((3*10+H1936/COS(RADIANS(E1936)))*(3+3)+3*G1936*H1936)*2</f>
        <v/>
      </c>
      <c r="Y1936" s="28">
        <f>Z1936/X1936</f>
        <v/>
      </c>
      <c r="Z1936" s="29" t="n">
        <v>560.12225178335</v>
      </c>
      <c r="AA1936" s="20" t="n">
        <v>39.1693256158319</v>
      </c>
      <c r="AB1936" t="n">
        <v>0.07715857390905763</v>
      </c>
      <c r="AC1936" t="n">
        <v>42.78575637656024</v>
      </c>
      <c r="AD1936" t="n">
        <v>100.0489782703474</v>
      </c>
    </row>
    <row r="1937">
      <c r="A1937" t="n">
        <v>1936</v>
      </c>
      <c r="B1937" t="n">
        <v>79.09999999999999</v>
      </c>
      <c r="C1937" s="21">
        <f>B1937-20</f>
        <v/>
      </c>
      <c r="D1937" t="n">
        <v>125.9</v>
      </c>
      <c r="E1937" s="22">
        <f>D1937-90</f>
        <v/>
      </c>
      <c r="F1937" s="23" t="n">
        <v>0.023472</v>
      </c>
      <c r="G1937" s="22" t="n">
        <v>30</v>
      </c>
      <c r="H1937" s="22" t="n">
        <v>1.2</v>
      </c>
      <c r="I1937" s="24" t="n">
        <v>0.160037234425544</v>
      </c>
      <c r="J1937" s="6" t="n">
        <v>71000</v>
      </c>
      <c r="K1937" s="25">
        <f>23*10^-6</f>
        <v/>
      </c>
      <c r="L1937" s="8">
        <f>H1937</f>
        <v/>
      </c>
      <c r="M1937" s="26">
        <f>H1937^2/6</f>
        <v/>
      </c>
      <c r="N1937" s="26">
        <f>H1937^3/12</f>
        <v/>
      </c>
      <c r="O1937" s="27">
        <f>-J1937*L1937*K1937*C1937</f>
        <v/>
      </c>
      <c r="P1937" s="28">
        <f>-(12*F1937*J1937*L1937*N1937+12*O1937*N1937*G1937*COS(RADIANS(E1937)))/(12*N1937*G1937*COS(RADIANS(E1937))^2+L1937*G1937^3*SIN(RADIANS(E1937))^2)</f>
        <v/>
      </c>
      <c r="Q1937" s="28">
        <f>-(6*F1937*J1937*L1937*N1937*SIN(RADIANS(E1937))+6*O1937*N1937*G1937*SIN(RADIANS(E1937))*COS(RADIANS(E1937)))/(12*N1937*COS(RADIANS(E1937))^2+L1937*G1937^2*SIN(RADIANS(E1937))^2)</f>
        <v/>
      </c>
      <c r="R1937" s="28">
        <f>-P1937*SIN(RADIANS(E1937))</f>
        <v/>
      </c>
      <c r="S1937" s="8">
        <f>(O1937+P1937*COS(RADIANS(E1937)))/L1937</f>
        <v/>
      </c>
      <c r="T1937" s="8">
        <f>R1937/L1937</f>
        <v/>
      </c>
      <c r="U1937" s="8">
        <f>(Q1937-P1937*G1937*SIN(RADIANS(E1937)))/M1937</f>
        <v/>
      </c>
      <c r="V1937" s="8">
        <f>SQRT((S1937+U1937)^2+3*T1937^2)</f>
        <v/>
      </c>
      <c r="W1937" s="8">
        <f>V1937/AA1937</f>
        <v/>
      </c>
      <c r="X1937" s="27">
        <f>((3*10+H1937/COS(RADIANS(E1937)))*(3+3)+3*G1937*H1937)*2</f>
        <v/>
      </c>
      <c r="Y1937" s="28">
        <f>Z1937/X1937</f>
        <v/>
      </c>
      <c r="Z1937" s="29" t="n">
        <v>595.381127722726</v>
      </c>
      <c r="AA1937" s="20" t="n">
        <v>86.358093219445</v>
      </c>
      <c r="AB1937" t="n">
        <v>0.09740444820352738</v>
      </c>
      <c r="AC1937" t="n">
        <v>84.29720953703402</v>
      </c>
      <c r="AD1937" t="n">
        <v>-39.13638375896579</v>
      </c>
    </row>
    <row r="1938">
      <c r="A1938" t="n">
        <v>1937</v>
      </c>
      <c r="B1938" t="n">
        <v>74.40000000000001</v>
      </c>
      <c r="C1938" s="21">
        <f>B1938-20</f>
        <v/>
      </c>
      <c r="D1938" t="n">
        <v>104.5</v>
      </c>
      <c r="E1938" s="22">
        <f>D1938-90</f>
        <v/>
      </c>
      <c r="F1938" s="23" t="n">
        <v>0.018621</v>
      </c>
      <c r="G1938" s="22" t="n">
        <v>30.7</v>
      </c>
      <c r="H1938" s="22" t="n">
        <v>1.6</v>
      </c>
      <c r="I1938" s="24" t="n">
        <v>0.08017751574516289</v>
      </c>
      <c r="J1938" s="6" t="n">
        <v>71000</v>
      </c>
      <c r="K1938" s="25">
        <f>23*10^-6</f>
        <v/>
      </c>
      <c r="L1938" s="8">
        <f>H1938</f>
        <v/>
      </c>
      <c r="M1938" s="26">
        <f>H1938^2/6</f>
        <v/>
      </c>
      <c r="N1938" s="26">
        <f>H1938^3/12</f>
        <v/>
      </c>
      <c r="O1938" s="27">
        <f>-J1938*L1938*K1938*C1938</f>
        <v/>
      </c>
      <c r="P1938" s="28">
        <f>-(12*F1938*J1938*L1938*N1938+12*O1938*N1938*G1938*COS(RADIANS(E1938)))/(12*N1938*G1938*COS(RADIANS(E1938))^2+L1938*G1938^3*SIN(RADIANS(E1938))^2)</f>
        <v/>
      </c>
      <c r="Q1938" s="28">
        <f>-(6*F1938*J1938*L1938*N1938*SIN(RADIANS(E1938))+6*O1938*N1938*G1938*SIN(RADIANS(E1938))*COS(RADIANS(E1938)))/(12*N1938*COS(RADIANS(E1938))^2+L1938*G1938^2*SIN(RADIANS(E1938))^2)</f>
        <v/>
      </c>
      <c r="R1938" s="28">
        <f>-P1938*SIN(RADIANS(E1938))</f>
        <v/>
      </c>
      <c r="S1938" s="8">
        <f>(O1938+P1938*COS(RADIANS(E1938)))/L1938</f>
        <v/>
      </c>
      <c r="T1938" s="8">
        <f>R1938/L1938</f>
        <v/>
      </c>
      <c r="U1938" s="8">
        <f>(Q1938-P1938*G1938*SIN(RADIANS(E1938)))/M1938</f>
        <v/>
      </c>
      <c r="V1938" s="8">
        <f>SQRT((S1938+U1938)^2+3*T1938^2)</f>
        <v/>
      </c>
      <c r="W1938" s="8">
        <f>V1938/AA1938</f>
        <v/>
      </c>
      <c r="X1938" s="27">
        <f>((3*10+H1938/COS(RADIANS(E1938)))*(3+3)+3*G1938*H1938)*2</f>
        <v/>
      </c>
      <c r="Y1938" s="28">
        <f>Z1938/X1938</f>
        <v/>
      </c>
      <c r="Z1938" s="29" t="n">
        <v>689.35366738901</v>
      </c>
      <c r="AA1938" s="20" t="n">
        <v>79.5970523659916</v>
      </c>
      <c r="AB1938" t="n">
        <v>0.2295213187036581</v>
      </c>
      <c r="AC1938" t="n">
        <v>89.07627488399959</v>
      </c>
      <c r="AD1938" t="n">
        <v>186.2664383780251</v>
      </c>
    </row>
    <row r="1939">
      <c r="A1939" t="n">
        <v>1938</v>
      </c>
      <c r="B1939" t="n">
        <v>53.9</v>
      </c>
      <c r="C1939" s="21">
        <f>B1939-20</f>
        <v/>
      </c>
      <c r="D1939" t="n">
        <v>113.4</v>
      </c>
      <c r="E1939" s="22">
        <f>D1939-90</f>
        <v/>
      </c>
      <c r="F1939" s="23" t="n">
        <v>0.011645</v>
      </c>
      <c r="G1939" s="22" t="n">
        <v>24.6</v>
      </c>
      <c r="H1939" s="22" t="n">
        <v>1.6</v>
      </c>
      <c r="I1939" s="24" t="n">
        <v>0.100671984255313</v>
      </c>
      <c r="J1939" s="6" t="n">
        <v>71000</v>
      </c>
      <c r="K1939" s="25">
        <f>23*10^-6</f>
        <v/>
      </c>
      <c r="L1939" s="8">
        <f>H1939</f>
        <v/>
      </c>
      <c r="M1939" s="26">
        <f>H1939^2/6</f>
        <v/>
      </c>
      <c r="N1939" s="26">
        <f>H1939^3/12</f>
        <v/>
      </c>
      <c r="O1939" s="27">
        <f>-J1939*L1939*K1939*C1939</f>
        <v/>
      </c>
      <c r="P1939" s="28">
        <f>-(12*F1939*J1939*L1939*N1939+12*O1939*N1939*G1939*COS(RADIANS(E1939)))/(12*N1939*G1939*COS(RADIANS(E1939))^2+L1939*G1939^3*SIN(RADIANS(E1939))^2)</f>
        <v/>
      </c>
      <c r="Q1939" s="28">
        <f>-(6*F1939*J1939*L1939*N1939*SIN(RADIANS(E1939))+6*O1939*N1939*G1939*SIN(RADIANS(E1939))*COS(RADIANS(E1939)))/(12*N1939*COS(RADIANS(E1939))^2+L1939*G1939^2*SIN(RADIANS(E1939))^2)</f>
        <v/>
      </c>
      <c r="R1939" s="28">
        <f>-P1939*SIN(RADIANS(E1939))</f>
        <v/>
      </c>
      <c r="S1939" s="8">
        <f>(O1939+P1939*COS(RADIANS(E1939)))/L1939</f>
        <v/>
      </c>
      <c r="T1939" s="8">
        <f>R1939/L1939</f>
        <v/>
      </c>
      <c r="U1939" s="8">
        <f>(Q1939-P1939*G1939*SIN(RADIANS(E1939)))/M1939</f>
        <v/>
      </c>
      <c r="V1939" s="8">
        <f>SQRT((S1939+U1939)^2+3*T1939^2)</f>
        <v/>
      </c>
      <c r="W1939" s="8">
        <f>V1939/AA1939</f>
        <v/>
      </c>
      <c r="X1939" s="27">
        <f>((3*10+H1939/COS(RADIANS(E1939)))*(3+3)+3*G1939*H1939)*2</f>
        <v/>
      </c>
      <c r="Y1939" s="28">
        <f>Z1939/X1939</f>
        <v/>
      </c>
      <c r="Z1939" s="29" t="n">
        <v>619.632339783795</v>
      </c>
      <c r="AA1939" s="20" t="n">
        <v>61.0792020860601</v>
      </c>
      <c r="AB1939" t="n">
        <v>0.07208031187852637</v>
      </c>
      <c r="AC1939" t="n">
        <v>52.63880982294442</v>
      </c>
      <c r="AD1939" t="n">
        <v>-28.40082331572569</v>
      </c>
    </row>
    <row r="1940">
      <c r="A1940" t="n">
        <v>1939</v>
      </c>
      <c r="B1940" t="n">
        <v>75.2</v>
      </c>
      <c r="C1940" s="21">
        <f>B1940-20</f>
        <v/>
      </c>
      <c r="D1940" t="n">
        <v>127.1</v>
      </c>
      <c r="E1940" s="22">
        <f>D1940-90</f>
        <v/>
      </c>
      <c r="F1940" s="23" t="n">
        <v>0.018654</v>
      </c>
      <c r="G1940" s="22" t="n">
        <v>24.4</v>
      </c>
      <c r="H1940" s="22" t="n">
        <v>1.8</v>
      </c>
      <c r="I1940" s="24" t="n">
        <v>0.135898038744926</v>
      </c>
      <c r="J1940" s="6" t="n">
        <v>71000</v>
      </c>
      <c r="K1940" s="25">
        <f>23*10^-6</f>
        <v/>
      </c>
      <c r="L1940" s="8">
        <f>H1940</f>
        <v/>
      </c>
      <c r="M1940" s="26">
        <f>H1940^2/6</f>
        <v/>
      </c>
      <c r="N1940" s="26">
        <f>H1940^3/12</f>
        <v/>
      </c>
      <c r="O1940" s="27">
        <f>-J1940*L1940*K1940*C1940</f>
        <v/>
      </c>
      <c r="P1940" s="28">
        <f>-(12*F1940*J1940*L1940*N1940+12*O1940*N1940*G1940*COS(RADIANS(E1940)))/(12*N1940*G1940*COS(RADIANS(E1940))^2+L1940*G1940^3*SIN(RADIANS(E1940))^2)</f>
        <v/>
      </c>
      <c r="Q1940" s="28">
        <f>-(6*F1940*J1940*L1940*N1940*SIN(RADIANS(E1940))+6*O1940*N1940*G1940*SIN(RADIANS(E1940))*COS(RADIANS(E1940)))/(12*N1940*COS(RADIANS(E1940))^2+L1940*G1940^2*SIN(RADIANS(E1940))^2)</f>
        <v/>
      </c>
      <c r="R1940" s="28">
        <f>-P1940*SIN(RADIANS(E1940))</f>
        <v/>
      </c>
      <c r="S1940" s="8">
        <f>(O1940+P1940*COS(RADIANS(E1940)))/L1940</f>
        <v/>
      </c>
      <c r="T1940" s="8">
        <f>R1940/L1940</f>
        <v/>
      </c>
      <c r="U1940" s="8">
        <f>(Q1940-P1940*G1940*SIN(RADIANS(E1940)))/M1940</f>
        <v/>
      </c>
      <c r="V1940" s="8">
        <f>SQRT((S1940+U1940)^2+3*T1940^2)</f>
        <v/>
      </c>
      <c r="W1940" s="8">
        <f>V1940/AA1940</f>
        <v/>
      </c>
      <c r="X1940" s="27">
        <f>((3*10+H1940/COS(RADIANS(E1940)))*(3+3)+3*G1940*H1940)*2</f>
        <v/>
      </c>
      <c r="Y1940" s="28">
        <f>Z1940/X1940</f>
        <v/>
      </c>
      <c r="Z1940" s="29" t="n">
        <v>650.011688942418</v>
      </c>
      <c r="AA1940" s="20" t="n">
        <v>96.81320867714101</v>
      </c>
      <c r="AB1940" t="n">
        <v>0.07174298322038727</v>
      </c>
      <c r="AC1940" t="n">
        <v>81.45005449723411</v>
      </c>
      <c r="AD1940" t="n">
        <v>-47.20822766615098</v>
      </c>
    </row>
    <row r="1941">
      <c r="A1941" t="n">
        <v>1940</v>
      </c>
      <c r="B1941" t="n">
        <v>73.40000000000001</v>
      </c>
      <c r="C1941" s="21">
        <f>B1941-20</f>
        <v/>
      </c>
      <c r="D1941" t="n">
        <v>128</v>
      </c>
      <c r="E1941" s="22">
        <f>D1941-90</f>
        <v/>
      </c>
      <c r="F1941" s="23" t="n">
        <v>0.021263</v>
      </c>
      <c r="G1941" s="22" t="n">
        <v>34</v>
      </c>
      <c r="H1941" s="22" t="n">
        <v>1.3</v>
      </c>
      <c r="I1941" s="24" t="n">
        <v>0.0951540395617485</v>
      </c>
      <c r="J1941" s="6" t="n">
        <v>71000</v>
      </c>
      <c r="K1941" s="25">
        <f>23*10^-6</f>
        <v/>
      </c>
      <c r="L1941" s="8">
        <f>H1941</f>
        <v/>
      </c>
      <c r="M1941" s="26">
        <f>H1941^2/6</f>
        <v/>
      </c>
      <c r="N1941" s="26">
        <f>H1941^3/12</f>
        <v/>
      </c>
      <c r="O1941" s="27">
        <f>-J1941*L1941*K1941*C1941</f>
        <v/>
      </c>
      <c r="P1941" s="28">
        <f>-(12*F1941*J1941*L1941*N1941+12*O1941*N1941*G1941*COS(RADIANS(E1941)))/(12*N1941*G1941*COS(RADIANS(E1941))^2+L1941*G1941^3*SIN(RADIANS(E1941))^2)</f>
        <v/>
      </c>
      <c r="Q1941" s="28">
        <f>-(6*F1941*J1941*L1941*N1941*SIN(RADIANS(E1941))+6*O1941*N1941*G1941*SIN(RADIANS(E1941))*COS(RADIANS(E1941)))/(12*N1941*COS(RADIANS(E1941))^2+L1941*G1941^2*SIN(RADIANS(E1941))^2)</f>
        <v/>
      </c>
      <c r="R1941" s="28">
        <f>-P1941*SIN(RADIANS(E1941))</f>
        <v/>
      </c>
      <c r="S1941" s="8">
        <f>(O1941+P1941*COS(RADIANS(E1941)))/L1941</f>
        <v/>
      </c>
      <c r="T1941" s="8">
        <f>R1941/L1941</f>
        <v/>
      </c>
      <c r="U1941" s="8">
        <f>(Q1941-P1941*G1941*SIN(RADIANS(E1941)))/M1941</f>
        <v/>
      </c>
      <c r="V1941" s="8">
        <f>SQRT((S1941+U1941)^2+3*T1941^2)</f>
        <v/>
      </c>
      <c r="W1941" s="8">
        <f>V1941/AA1941</f>
        <v/>
      </c>
      <c r="X1941" s="27">
        <f>((3*10+H1941/COS(RADIANS(E1941)))*(3+3)+3*G1941*H1941)*2</f>
        <v/>
      </c>
      <c r="Y1941" s="28">
        <f>Z1941/X1941</f>
        <v/>
      </c>
      <c r="Z1941" s="29" t="n">
        <v>651.17745040698</v>
      </c>
      <c r="AA1941" s="20" t="n">
        <v>74.39241171886999</v>
      </c>
      <c r="AB1941" t="n">
        <v>0.0931182263152958</v>
      </c>
      <c r="AC1941" t="n">
        <v>75.78740336553376</v>
      </c>
      <c r="AD1941" t="n">
        <v>-2.139492191639009</v>
      </c>
    </row>
    <row r="1942">
      <c r="A1942" t="n">
        <v>1941</v>
      </c>
      <c r="B1942" t="n">
        <v>71.90000000000001</v>
      </c>
      <c r="C1942" s="21">
        <f>B1942-20</f>
        <v/>
      </c>
      <c r="D1942" t="n">
        <v>104.5</v>
      </c>
      <c r="E1942" s="22">
        <f>D1942-90</f>
        <v/>
      </c>
      <c r="F1942" s="23" t="n">
        <v>0.022404</v>
      </c>
      <c r="G1942" s="22" t="n">
        <v>32.8</v>
      </c>
      <c r="H1942" s="22" t="n">
        <v>1.6</v>
      </c>
      <c r="I1942" s="24" t="n">
        <v>0.168179601430892</v>
      </c>
      <c r="J1942" s="6" t="n">
        <v>71000</v>
      </c>
      <c r="K1942" s="25">
        <f>23*10^-6</f>
        <v/>
      </c>
      <c r="L1942" s="8">
        <f>H1942</f>
        <v/>
      </c>
      <c r="M1942" s="26">
        <f>H1942^2/6</f>
        <v/>
      </c>
      <c r="N1942" s="26">
        <f>H1942^3/12</f>
        <v/>
      </c>
      <c r="O1942" s="27">
        <f>-J1942*L1942*K1942*C1942</f>
        <v/>
      </c>
      <c r="P1942" s="28">
        <f>-(12*F1942*J1942*L1942*N1942+12*O1942*N1942*G1942*COS(RADIANS(E1942)))/(12*N1942*G1942*COS(RADIANS(E1942))^2+L1942*G1942^3*SIN(RADIANS(E1942))^2)</f>
        <v/>
      </c>
      <c r="Q1942" s="28">
        <f>-(6*F1942*J1942*L1942*N1942*SIN(RADIANS(E1942))+6*O1942*N1942*G1942*SIN(RADIANS(E1942))*COS(RADIANS(E1942)))/(12*N1942*COS(RADIANS(E1942))^2+L1942*G1942^2*SIN(RADIANS(E1942))^2)</f>
        <v/>
      </c>
      <c r="R1942" s="28">
        <f>-P1942*SIN(RADIANS(E1942))</f>
        <v/>
      </c>
      <c r="S1942" s="8">
        <f>(O1942+P1942*COS(RADIANS(E1942)))/L1942</f>
        <v/>
      </c>
      <c r="T1942" s="8">
        <f>R1942/L1942</f>
        <v/>
      </c>
      <c r="U1942" s="8">
        <f>(Q1942-P1942*G1942*SIN(RADIANS(E1942)))/M1942</f>
        <v/>
      </c>
      <c r="V1942" s="8">
        <f>SQRT((S1942+U1942)^2+3*T1942^2)</f>
        <v/>
      </c>
      <c r="W1942" s="8">
        <f>V1942/AA1942</f>
        <v/>
      </c>
      <c r="X1942" s="27">
        <f>((3*10+H1942/COS(RADIANS(E1942)))*(3+3)+3*G1942*H1942)*2</f>
        <v/>
      </c>
      <c r="Y1942" s="28">
        <f>Z1942/X1942</f>
        <v/>
      </c>
      <c r="Z1942" s="29" t="n">
        <v>698.778699767367</v>
      </c>
      <c r="AA1942" s="20" t="n">
        <v>83.7355543405701</v>
      </c>
      <c r="AB1942" t="n">
        <v>0.2342131485592374</v>
      </c>
      <c r="AC1942" t="n">
        <v>84.36893723440318</v>
      </c>
      <c r="AD1942" t="n">
        <v>39.26370770683495</v>
      </c>
    </row>
    <row r="1943">
      <c r="A1943" t="n">
        <v>1942</v>
      </c>
      <c r="B1943" t="n">
        <v>83.09999999999999</v>
      </c>
      <c r="C1943" s="21">
        <f>B1943-20</f>
        <v/>
      </c>
      <c r="D1943" t="n">
        <v>115.5</v>
      </c>
      <c r="E1943" s="22">
        <f>D1943-90</f>
        <v/>
      </c>
      <c r="F1943" s="23" t="n">
        <v>0.023137</v>
      </c>
      <c r="G1943" s="22" t="n">
        <v>32.3</v>
      </c>
      <c r="H1943" s="22" t="n">
        <v>1.4</v>
      </c>
      <c r="I1943" s="24" t="n">
        <v>0.100279174745082</v>
      </c>
      <c r="J1943" s="6" t="n">
        <v>71000</v>
      </c>
      <c r="K1943" s="25">
        <f>23*10^-6</f>
        <v/>
      </c>
      <c r="L1943" s="8">
        <f>H1943</f>
        <v/>
      </c>
      <c r="M1943" s="26">
        <f>H1943^2/6</f>
        <v/>
      </c>
      <c r="N1943" s="26">
        <f>H1943^3/12</f>
        <v/>
      </c>
      <c r="O1943" s="27">
        <f>-J1943*L1943*K1943*C1943</f>
        <v/>
      </c>
      <c r="P1943" s="28">
        <f>-(12*F1943*J1943*L1943*N1943+12*O1943*N1943*G1943*COS(RADIANS(E1943)))/(12*N1943*G1943*COS(RADIANS(E1943))^2+L1943*G1943^3*SIN(RADIANS(E1943))^2)</f>
        <v/>
      </c>
      <c r="Q1943" s="28">
        <f>-(6*F1943*J1943*L1943*N1943*SIN(RADIANS(E1943))+6*O1943*N1943*G1943*SIN(RADIANS(E1943))*COS(RADIANS(E1943)))/(12*N1943*COS(RADIANS(E1943))^2+L1943*G1943^2*SIN(RADIANS(E1943))^2)</f>
        <v/>
      </c>
      <c r="R1943" s="28">
        <f>-P1943*SIN(RADIANS(E1943))</f>
        <v/>
      </c>
      <c r="S1943" s="8">
        <f>(O1943+P1943*COS(RADIANS(E1943)))/L1943</f>
        <v/>
      </c>
      <c r="T1943" s="8">
        <f>R1943/L1943</f>
        <v/>
      </c>
      <c r="U1943" s="8">
        <f>(Q1943-P1943*G1943*SIN(RADIANS(E1943)))/M1943</f>
        <v/>
      </c>
      <c r="V1943" s="8">
        <f>SQRT((S1943+U1943)^2+3*T1943^2)</f>
        <v/>
      </c>
      <c r="W1943" s="8">
        <f>V1943/AA1943</f>
        <v/>
      </c>
      <c r="X1943" s="27">
        <f>((3*10+H1943/COS(RADIANS(E1943)))*(3+3)+3*G1943*H1943)*2</f>
        <v/>
      </c>
      <c r="Y1943" s="28">
        <f>Z1943/X1943</f>
        <v/>
      </c>
      <c r="Z1943" s="29" t="n">
        <v>661.1214104512489</v>
      </c>
      <c r="AA1943" s="20" t="n">
        <v>89.34033594327759</v>
      </c>
      <c r="AB1943" t="n">
        <v>0.1604780282229482</v>
      </c>
      <c r="AC1943" t="n">
        <v>93.69161067866185</v>
      </c>
      <c r="AD1943" t="n">
        <v>60.0312613570033</v>
      </c>
    </row>
    <row r="1944">
      <c r="A1944" t="n">
        <v>1943</v>
      </c>
      <c r="B1944" t="n">
        <v>78.40000000000001</v>
      </c>
      <c r="C1944" s="21">
        <f>B1944-20</f>
        <v/>
      </c>
      <c r="D1944" t="n">
        <v>109.7</v>
      </c>
      <c r="E1944" s="22">
        <f>D1944-90</f>
        <v/>
      </c>
      <c r="F1944" s="23" t="n">
        <v>0.020108</v>
      </c>
      <c r="G1944" s="22" t="n">
        <v>25</v>
      </c>
      <c r="H1944" s="22" t="n">
        <v>1.7</v>
      </c>
      <c r="I1944" s="24" t="n">
        <v>0.145993962883949</v>
      </c>
      <c r="J1944" s="6" t="n">
        <v>71000</v>
      </c>
      <c r="K1944" s="25">
        <f>23*10^-6</f>
        <v/>
      </c>
      <c r="L1944" s="8">
        <f>H1944</f>
        <v/>
      </c>
      <c r="M1944" s="26">
        <f>H1944^2/6</f>
        <v/>
      </c>
      <c r="N1944" s="26">
        <f>H1944^3/12</f>
        <v/>
      </c>
      <c r="O1944" s="27">
        <f>-J1944*L1944*K1944*C1944</f>
        <v/>
      </c>
      <c r="P1944" s="28">
        <f>-(12*F1944*J1944*L1944*N1944+12*O1944*N1944*G1944*COS(RADIANS(E1944)))/(12*N1944*G1944*COS(RADIANS(E1944))^2+L1944*G1944^3*SIN(RADIANS(E1944))^2)</f>
        <v/>
      </c>
      <c r="Q1944" s="28">
        <f>-(6*F1944*J1944*L1944*N1944*SIN(RADIANS(E1944))+6*O1944*N1944*G1944*SIN(RADIANS(E1944))*COS(RADIANS(E1944)))/(12*N1944*COS(RADIANS(E1944))^2+L1944*G1944^2*SIN(RADIANS(E1944))^2)</f>
        <v/>
      </c>
      <c r="R1944" s="28">
        <f>-P1944*SIN(RADIANS(E1944))</f>
        <v/>
      </c>
      <c r="S1944" s="8">
        <f>(O1944+P1944*COS(RADIANS(E1944)))/L1944</f>
        <v/>
      </c>
      <c r="T1944" s="8">
        <f>R1944/L1944</f>
        <v/>
      </c>
      <c r="U1944" s="8">
        <f>(Q1944-P1944*G1944*SIN(RADIANS(E1944)))/M1944</f>
        <v/>
      </c>
      <c r="V1944" s="8">
        <f>SQRT((S1944+U1944)^2+3*T1944^2)</f>
        <v/>
      </c>
      <c r="W1944" s="8">
        <f>V1944/AA1944</f>
        <v/>
      </c>
      <c r="X1944" s="27">
        <f>((3*10+H1944/COS(RADIANS(E1944)))*(3+3)+3*G1944*H1944)*2</f>
        <v/>
      </c>
      <c r="Y1944" s="28">
        <f>Z1944/X1944</f>
        <v/>
      </c>
      <c r="Z1944" s="29" t="n">
        <v>640.294403247218</v>
      </c>
      <c r="AA1944" s="20" t="n">
        <v>99.8201296272597</v>
      </c>
      <c r="AB1944" t="n">
        <v>0.1489113503698357</v>
      </c>
      <c r="AC1944" t="n">
        <v>93.71289484460166</v>
      </c>
      <c r="AD1944" t="n">
        <v>1.998293236416755</v>
      </c>
    </row>
    <row r="1945">
      <c r="A1945" t="n">
        <v>1944</v>
      </c>
      <c r="B1945" t="n">
        <v>89</v>
      </c>
      <c r="C1945" s="21">
        <f>B1945-20</f>
        <v/>
      </c>
      <c r="D1945" t="n">
        <v>109.5</v>
      </c>
      <c r="E1945" s="22">
        <f>D1945-90</f>
        <v/>
      </c>
      <c r="F1945" s="23" t="n">
        <v>0.021323</v>
      </c>
      <c r="G1945" s="22" t="n">
        <v>23</v>
      </c>
      <c r="H1945" s="22" t="n">
        <v>1.9</v>
      </c>
      <c r="I1945" s="24" t="n">
        <v>0.116078101098537</v>
      </c>
      <c r="J1945" s="6" t="n">
        <v>71000</v>
      </c>
      <c r="K1945" s="25">
        <f>23*10^-6</f>
        <v/>
      </c>
      <c r="L1945" s="8">
        <f>H1945</f>
        <v/>
      </c>
      <c r="M1945" s="26">
        <f>H1945^2/6</f>
        <v/>
      </c>
      <c r="N1945" s="26">
        <f>H1945^3/12</f>
        <v/>
      </c>
      <c r="O1945" s="27">
        <f>-J1945*L1945*K1945*C1945</f>
        <v/>
      </c>
      <c r="P1945" s="28">
        <f>-(12*F1945*J1945*L1945*N1945+12*O1945*N1945*G1945*COS(RADIANS(E1945)))/(12*N1945*G1945*COS(RADIANS(E1945))^2+L1945*G1945^3*SIN(RADIANS(E1945))^2)</f>
        <v/>
      </c>
      <c r="Q1945" s="28">
        <f>-(6*F1945*J1945*L1945*N1945*SIN(RADIANS(E1945))+6*O1945*N1945*G1945*SIN(RADIANS(E1945))*COS(RADIANS(E1945)))/(12*N1945*COS(RADIANS(E1945))^2+L1945*G1945^2*SIN(RADIANS(E1945))^2)</f>
        <v/>
      </c>
      <c r="R1945" s="28">
        <f>-P1945*SIN(RADIANS(E1945))</f>
        <v/>
      </c>
      <c r="S1945" s="8">
        <f>(O1945+P1945*COS(RADIANS(E1945)))/L1945</f>
        <v/>
      </c>
      <c r="T1945" s="8">
        <f>R1945/L1945</f>
        <v/>
      </c>
      <c r="U1945" s="8">
        <f>(Q1945-P1945*G1945*SIN(RADIANS(E1945)))/M1945</f>
        <v/>
      </c>
      <c r="V1945" s="8">
        <f>SQRT((S1945+U1945)^2+3*T1945^2)</f>
        <v/>
      </c>
      <c r="W1945" s="8">
        <f>V1945/AA1945</f>
        <v/>
      </c>
      <c r="X1945" s="27">
        <f>((3*10+H1945/COS(RADIANS(E1945)))*(3+3)+3*G1945*H1945)*2</f>
        <v/>
      </c>
      <c r="Y1945" s="28">
        <f>Z1945/X1945</f>
        <v/>
      </c>
      <c r="Z1945" s="29" t="n">
        <v>652.6276518512</v>
      </c>
      <c r="AA1945" s="20" t="n">
        <v>118.038218003917</v>
      </c>
      <c r="AB1945" t="n">
        <v>0.1616197839986535</v>
      </c>
      <c r="AC1945" t="n">
        <v>113.50958818957</v>
      </c>
      <c r="AD1945" t="n">
        <v>39.23365602048992</v>
      </c>
    </row>
    <row r="1946">
      <c r="A1946" t="n">
        <v>1945</v>
      </c>
      <c r="B1946" t="n">
        <v>77.90000000000001</v>
      </c>
      <c r="C1946" s="21">
        <f>B1946-20</f>
        <v/>
      </c>
      <c r="D1946" t="n">
        <v>108.9</v>
      </c>
      <c r="E1946" s="22">
        <f>D1946-90</f>
        <v/>
      </c>
      <c r="F1946" s="23" t="n">
        <v>0.021281</v>
      </c>
      <c r="G1946" s="22" t="n">
        <v>32.9</v>
      </c>
      <c r="H1946" s="22" t="n">
        <v>1</v>
      </c>
      <c r="I1946" s="24" t="n">
        <v>0.0910934954881668</v>
      </c>
      <c r="J1946" s="6" t="n">
        <v>71000</v>
      </c>
      <c r="K1946" s="25">
        <f>23*10^-6</f>
        <v/>
      </c>
      <c r="L1946" s="8">
        <f>H1946</f>
        <v/>
      </c>
      <c r="M1946" s="26">
        <f>H1946^2/6</f>
        <v/>
      </c>
      <c r="N1946" s="26">
        <f>H1946^3/12</f>
        <v/>
      </c>
      <c r="O1946" s="27">
        <f>-J1946*L1946*K1946*C1946</f>
        <v/>
      </c>
      <c r="P1946" s="28">
        <f>-(12*F1946*J1946*L1946*N1946+12*O1946*N1946*G1946*COS(RADIANS(E1946)))/(12*N1946*G1946*COS(RADIANS(E1946))^2+L1946*G1946^3*SIN(RADIANS(E1946))^2)</f>
        <v/>
      </c>
      <c r="Q1946" s="28">
        <f>-(6*F1946*J1946*L1946*N1946*SIN(RADIANS(E1946))+6*O1946*N1946*G1946*SIN(RADIANS(E1946))*COS(RADIANS(E1946)))/(12*N1946*COS(RADIANS(E1946))^2+L1946*G1946^2*SIN(RADIANS(E1946))^2)</f>
        <v/>
      </c>
      <c r="R1946" s="28">
        <f>-P1946*SIN(RADIANS(E1946))</f>
        <v/>
      </c>
      <c r="S1946" s="8">
        <f>(O1946+P1946*COS(RADIANS(E1946)))/L1946</f>
        <v/>
      </c>
      <c r="T1946" s="8">
        <f>R1946/L1946</f>
        <v/>
      </c>
      <c r="U1946" s="8">
        <f>(Q1946-P1946*G1946*SIN(RADIANS(E1946)))/M1946</f>
        <v/>
      </c>
      <c r="V1946" s="8">
        <f>SQRT((S1946+U1946)^2+3*T1946^2)</f>
        <v/>
      </c>
      <c r="W1946" s="8">
        <f>V1946/AA1946</f>
        <v/>
      </c>
      <c r="X1946" s="27">
        <f>((3*10+H1946/COS(RADIANS(E1946)))*(3+3)+3*G1946*H1946)*2</f>
        <v/>
      </c>
      <c r="Y1946" s="28">
        <f>Z1946/X1946</f>
        <v/>
      </c>
      <c r="Z1946" s="29" t="n">
        <v>581.969945074731</v>
      </c>
      <c r="AA1946" s="20" t="n">
        <v>74.0030110908633</v>
      </c>
      <c r="AB1946" t="n">
        <v>0.2051513557928039</v>
      </c>
      <c r="AC1946" t="n">
        <v>85.91902239706994</v>
      </c>
      <c r="AD1946" t="n">
        <v>125.2096647443433</v>
      </c>
    </row>
    <row r="1947">
      <c r="A1947" t="n">
        <v>1946</v>
      </c>
      <c r="B1947" t="n">
        <v>81.2</v>
      </c>
      <c r="C1947" s="21">
        <f>B1947-20</f>
        <v/>
      </c>
      <c r="D1947" t="n">
        <v>100.5</v>
      </c>
      <c r="E1947" s="22">
        <f>D1947-90</f>
        <v/>
      </c>
      <c r="F1947" s="23" t="n">
        <v>0.016336</v>
      </c>
      <c r="G1947" s="22" t="n">
        <v>22.1</v>
      </c>
      <c r="H1947" s="22" t="n">
        <v>2</v>
      </c>
      <c r="I1947" s="24" t="n">
        <v>0.07409223914146421</v>
      </c>
      <c r="J1947" s="6" t="n">
        <v>71000</v>
      </c>
      <c r="K1947" s="25">
        <f>23*10^-6</f>
        <v/>
      </c>
      <c r="L1947" s="8">
        <f>H1947</f>
        <v/>
      </c>
      <c r="M1947" s="26">
        <f>H1947^2/6</f>
        <v/>
      </c>
      <c r="N1947" s="26">
        <f>H1947^3/12</f>
        <v/>
      </c>
      <c r="O1947" s="27">
        <f>-J1947*L1947*K1947*C1947</f>
        <v/>
      </c>
      <c r="P1947" s="28">
        <f>-(12*F1947*J1947*L1947*N1947+12*O1947*N1947*G1947*COS(RADIANS(E1947)))/(12*N1947*G1947*COS(RADIANS(E1947))^2+L1947*G1947^3*SIN(RADIANS(E1947))^2)</f>
        <v/>
      </c>
      <c r="Q1947" s="28">
        <f>-(6*F1947*J1947*L1947*N1947*SIN(RADIANS(E1947))+6*O1947*N1947*G1947*SIN(RADIANS(E1947))*COS(RADIANS(E1947)))/(12*N1947*COS(RADIANS(E1947))^2+L1947*G1947^2*SIN(RADIANS(E1947))^2)</f>
        <v/>
      </c>
      <c r="R1947" s="28">
        <f>-P1947*SIN(RADIANS(E1947))</f>
        <v/>
      </c>
      <c r="S1947" s="8">
        <f>(O1947+P1947*COS(RADIANS(E1947)))/L1947</f>
        <v/>
      </c>
      <c r="T1947" s="8">
        <f>R1947/L1947</f>
        <v/>
      </c>
      <c r="U1947" s="8">
        <f>(Q1947-P1947*G1947*SIN(RADIANS(E1947)))/M1947</f>
        <v/>
      </c>
      <c r="V1947" s="8">
        <f>SQRT((S1947+U1947)^2+3*T1947^2)</f>
        <v/>
      </c>
      <c r="W1947" s="8">
        <f>V1947/AA1947</f>
        <v/>
      </c>
      <c r="X1947" s="27">
        <f>((3*10+H1947/COS(RADIANS(E1947)))*(3+3)+3*G1947*H1947)*2</f>
        <v/>
      </c>
      <c r="Y1947" s="28">
        <f>Z1947/X1947</f>
        <v/>
      </c>
      <c r="Z1947" s="29" t="n">
        <v>665.546503709124</v>
      </c>
      <c r="AA1947" s="20" t="n">
        <v>102.271916111757</v>
      </c>
      <c r="AB1947" t="n">
        <v>0.2214371598564374</v>
      </c>
      <c r="AC1947" t="n">
        <v>112.129312595709</v>
      </c>
      <c r="AD1947" t="n">
        <v>198.8668751576636</v>
      </c>
    </row>
    <row r="1948">
      <c r="A1948" t="n">
        <v>1947</v>
      </c>
      <c r="B1948" t="n">
        <v>46.7</v>
      </c>
      <c r="C1948" s="21">
        <f>B1948-20</f>
        <v/>
      </c>
      <c r="D1948" t="n">
        <v>100.3</v>
      </c>
      <c r="E1948" s="22">
        <f>D1948-90</f>
        <v/>
      </c>
      <c r="F1948" s="23" t="n">
        <v>0.009223</v>
      </c>
      <c r="G1948" s="22" t="n">
        <v>25.1</v>
      </c>
      <c r="H1948" s="22" t="n">
        <v>1.4</v>
      </c>
      <c r="I1948" s="24" t="n">
        <v>0.06798308342695231</v>
      </c>
      <c r="J1948" s="6" t="n">
        <v>71000</v>
      </c>
      <c r="K1948" s="25">
        <f>23*10^-6</f>
        <v/>
      </c>
      <c r="L1948" s="8">
        <f>H1948</f>
        <v/>
      </c>
      <c r="M1948" s="26">
        <f>H1948^2/6</f>
        <v/>
      </c>
      <c r="N1948" s="26">
        <f>H1948^3/12</f>
        <v/>
      </c>
      <c r="O1948" s="27">
        <f>-J1948*L1948*K1948*C1948</f>
        <v/>
      </c>
      <c r="P1948" s="28">
        <f>-(12*F1948*J1948*L1948*N1948+12*O1948*N1948*G1948*COS(RADIANS(E1948)))/(12*N1948*G1948*COS(RADIANS(E1948))^2+L1948*G1948^3*SIN(RADIANS(E1948))^2)</f>
        <v/>
      </c>
      <c r="Q1948" s="28">
        <f>-(6*F1948*J1948*L1948*N1948*SIN(RADIANS(E1948))+6*O1948*N1948*G1948*SIN(RADIANS(E1948))*COS(RADIANS(E1948)))/(12*N1948*COS(RADIANS(E1948))^2+L1948*G1948^2*SIN(RADIANS(E1948))^2)</f>
        <v/>
      </c>
      <c r="R1948" s="28">
        <f>-P1948*SIN(RADIANS(E1948))</f>
        <v/>
      </c>
      <c r="S1948" s="8">
        <f>(O1948+P1948*COS(RADIANS(E1948)))/L1948</f>
        <v/>
      </c>
      <c r="T1948" s="8">
        <f>R1948/L1948</f>
        <v/>
      </c>
      <c r="U1948" s="8">
        <f>(Q1948-P1948*G1948*SIN(RADIANS(E1948)))/M1948</f>
        <v/>
      </c>
      <c r="V1948" s="8">
        <f>SQRT((S1948+U1948)^2+3*T1948^2)</f>
        <v/>
      </c>
      <c r="W1948" s="8">
        <f>V1948/AA1948</f>
        <v/>
      </c>
      <c r="X1948" s="27">
        <f>((3*10+H1948/COS(RADIANS(E1948)))*(3+3)+3*G1948*H1948)*2</f>
        <v/>
      </c>
      <c r="Y1948" s="28">
        <f>Z1948/X1948</f>
        <v/>
      </c>
      <c r="Z1948" s="29" t="n">
        <v>592.415962123305</v>
      </c>
      <c r="AA1948" s="20" t="n">
        <v>42.1517010964974</v>
      </c>
      <c r="AB1948" t="n">
        <v>0.1256244578402649</v>
      </c>
      <c r="AC1948" t="n">
        <v>46.26323862649658</v>
      </c>
      <c r="AD1948" t="n">
        <v>84.78782001002966</v>
      </c>
    </row>
    <row r="1949">
      <c r="A1949" t="n">
        <v>1948</v>
      </c>
      <c r="B1949" t="n">
        <v>68.09999999999999</v>
      </c>
      <c r="C1949" s="21">
        <f>B1949-20</f>
        <v/>
      </c>
      <c r="D1949" t="n">
        <v>105.2</v>
      </c>
      <c r="E1949" s="22">
        <f>D1949-90</f>
        <v/>
      </c>
      <c r="F1949" s="23" t="n">
        <v>0.019375</v>
      </c>
      <c r="G1949" s="22" t="n">
        <v>32.5</v>
      </c>
      <c r="H1949" s="22" t="n">
        <v>2</v>
      </c>
      <c r="I1949" s="24" t="n">
        <v>0.096483364701271</v>
      </c>
      <c r="J1949" s="6" t="n">
        <v>71000</v>
      </c>
      <c r="K1949" s="25">
        <f>23*10^-6</f>
        <v/>
      </c>
      <c r="L1949" s="8">
        <f>H1949</f>
        <v/>
      </c>
      <c r="M1949" s="26">
        <f>H1949^2/6</f>
        <v/>
      </c>
      <c r="N1949" s="26">
        <f>H1949^3/12</f>
        <v/>
      </c>
      <c r="O1949" s="27">
        <f>-J1949*L1949*K1949*C1949</f>
        <v/>
      </c>
      <c r="P1949" s="28">
        <f>-(12*F1949*J1949*L1949*N1949+12*O1949*N1949*G1949*COS(RADIANS(E1949)))/(12*N1949*G1949*COS(RADIANS(E1949))^2+L1949*G1949^3*SIN(RADIANS(E1949))^2)</f>
        <v/>
      </c>
      <c r="Q1949" s="28">
        <f>-(6*F1949*J1949*L1949*N1949*SIN(RADIANS(E1949))+6*O1949*N1949*G1949*SIN(RADIANS(E1949))*COS(RADIANS(E1949)))/(12*N1949*COS(RADIANS(E1949))^2+L1949*G1949^2*SIN(RADIANS(E1949))^2)</f>
        <v/>
      </c>
      <c r="R1949" s="28">
        <f>-P1949*SIN(RADIANS(E1949))</f>
        <v/>
      </c>
      <c r="S1949" s="8">
        <f>(O1949+P1949*COS(RADIANS(E1949)))/L1949</f>
        <v/>
      </c>
      <c r="T1949" s="8">
        <f>R1949/L1949</f>
        <v/>
      </c>
      <c r="U1949" s="8">
        <f>(Q1949-P1949*G1949*SIN(RADIANS(E1949)))/M1949</f>
        <v/>
      </c>
      <c r="V1949" s="8">
        <f>SQRT((S1949+U1949)^2+3*T1949^2)</f>
        <v/>
      </c>
      <c r="W1949" s="8">
        <f>V1949/AA1949</f>
        <v/>
      </c>
      <c r="X1949" s="27">
        <f>((3*10+H1949/COS(RADIANS(E1949)))*(3+3)+3*G1949*H1949)*2</f>
        <v/>
      </c>
      <c r="Y1949" s="28">
        <f>Z1949/X1949</f>
        <v/>
      </c>
      <c r="Z1949" s="29" t="n">
        <v>782.614199501599</v>
      </c>
      <c r="AA1949" s="20" t="n">
        <v>78.4909286645225</v>
      </c>
      <c r="AB1949" t="n">
        <v>0.2018966787390958</v>
      </c>
      <c r="AC1949" t="n">
        <v>80.41555766882173</v>
      </c>
      <c r="AD1949" t="n">
        <v>109.2554290205389</v>
      </c>
    </row>
    <row r="1950">
      <c r="A1950" t="n">
        <v>1949</v>
      </c>
      <c r="B1950" t="n">
        <v>74.59999999999999</v>
      </c>
      <c r="C1950" s="21">
        <f>B1950-20</f>
        <v/>
      </c>
      <c r="D1950" t="n">
        <v>126.7</v>
      </c>
      <c r="E1950" s="22">
        <f>D1950-90</f>
        <v/>
      </c>
      <c r="F1950" s="23" t="n">
        <v>0.015631</v>
      </c>
      <c r="G1950" s="22" t="n">
        <v>20.3</v>
      </c>
      <c r="H1950" s="22" t="n">
        <v>1.3</v>
      </c>
      <c r="I1950" s="24" t="n">
        <v>0.09645127505064011</v>
      </c>
      <c r="J1950" s="6" t="n">
        <v>71000</v>
      </c>
      <c r="K1950" s="25">
        <f>23*10^-6</f>
        <v/>
      </c>
      <c r="L1950" s="8">
        <f>H1950</f>
        <v/>
      </c>
      <c r="M1950" s="26">
        <f>H1950^2/6</f>
        <v/>
      </c>
      <c r="N1950" s="26">
        <f>H1950^3/12</f>
        <v/>
      </c>
      <c r="O1950" s="27">
        <f>-J1950*L1950*K1950*C1950</f>
        <v/>
      </c>
      <c r="P1950" s="28">
        <f>-(12*F1950*J1950*L1950*N1950+12*O1950*N1950*G1950*COS(RADIANS(E1950)))/(12*N1950*G1950*COS(RADIANS(E1950))^2+L1950*G1950^3*SIN(RADIANS(E1950))^2)</f>
        <v/>
      </c>
      <c r="Q1950" s="28">
        <f>-(6*F1950*J1950*L1950*N1950*SIN(RADIANS(E1950))+6*O1950*N1950*G1950*SIN(RADIANS(E1950))*COS(RADIANS(E1950)))/(12*N1950*COS(RADIANS(E1950))^2+L1950*G1950^2*SIN(RADIANS(E1950))^2)</f>
        <v/>
      </c>
      <c r="R1950" s="28">
        <f>-P1950*SIN(RADIANS(E1950))</f>
        <v/>
      </c>
      <c r="S1950" s="8">
        <f>(O1950+P1950*COS(RADIANS(E1950)))/L1950</f>
        <v/>
      </c>
      <c r="T1950" s="8">
        <f>R1950/L1950</f>
        <v/>
      </c>
      <c r="U1950" s="8">
        <f>(Q1950-P1950*G1950*SIN(RADIANS(E1950)))/M1950</f>
        <v/>
      </c>
      <c r="V1950" s="8">
        <f>SQRT((S1950+U1950)^2+3*T1950^2)</f>
        <v/>
      </c>
      <c r="W1950" s="8">
        <f>V1950/AA1950</f>
        <v/>
      </c>
      <c r="X1950" s="27">
        <f>((3*10+H1950/COS(RADIANS(E1950)))*(3+3)+3*G1950*H1950)*2</f>
        <v/>
      </c>
      <c r="Y1950" s="28">
        <f>Z1950/X1950</f>
        <v/>
      </c>
      <c r="Z1950" s="29" t="n">
        <v>539.835486995755</v>
      </c>
      <c r="AA1950" s="20" t="n">
        <v>83.9522388921509</v>
      </c>
      <c r="AB1950" t="n">
        <v>0.06073414225531586</v>
      </c>
      <c r="AC1950" t="n">
        <v>79.19669083387778</v>
      </c>
      <c r="AD1950" t="n">
        <v>-37.03127073910799</v>
      </c>
    </row>
    <row r="1951">
      <c r="A1951" t="n">
        <v>1950</v>
      </c>
      <c r="B1951" t="n">
        <v>66.90000000000001</v>
      </c>
      <c r="C1951" s="21">
        <f>B1951-20</f>
        <v/>
      </c>
      <c r="D1951" t="n">
        <v>120.4</v>
      </c>
      <c r="E1951" s="22">
        <f>D1951-90</f>
        <v/>
      </c>
      <c r="F1951" s="23" t="n">
        <v>0.013489</v>
      </c>
      <c r="G1951" s="22" t="n">
        <v>20.4</v>
      </c>
      <c r="H1951" s="22" t="n">
        <v>1.3</v>
      </c>
      <c r="I1951" s="24" t="n">
        <v>0.08370714634656901</v>
      </c>
      <c r="J1951" s="6" t="n">
        <v>71000</v>
      </c>
      <c r="K1951" s="25">
        <f>23*10^-6</f>
        <v/>
      </c>
      <c r="L1951" s="8">
        <f>H1951</f>
        <v/>
      </c>
      <c r="M1951" s="26">
        <f>H1951^2/6</f>
        <v/>
      </c>
      <c r="N1951" s="26">
        <f>H1951^3/12</f>
        <v/>
      </c>
      <c r="O1951" s="27">
        <f>-J1951*L1951*K1951*C1951</f>
        <v/>
      </c>
      <c r="P1951" s="28">
        <f>-(12*F1951*J1951*L1951*N1951+12*O1951*N1951*G1951*COS(RADIANS(E1951)))/(12*N1951*G1951*COS(RADIANS(E1951))^2+L1951*G1951^3*SIN(RADIANS(E1951))^2)</f>
        <v/>
      </c>
      <c r="Q1951" s="28">
        <f>-(6*F1951*J1951*L1951*N1951*SIN(RADIANS(E1951))+6*O1951*N1951*G1951*SIN(RADIANS(E1951))*COS(RADIANS(E1951)))/(12*N1951*COS(RADIANS(E1951))^2+L1951*G1951^2*SIN(RADIANS(E1951))^2)</f>
        <v/>
      </c>
      <c r="R1951" s="28">
        <f>-P1951*SIN(RADIANS(E1951))</f>
        <v/>
      </c>
      <c r="S1951" s="8">
        <f>(O1951+P1951*COS(RADIANS(E1951)))/L1951</f>
        <v/>
      </c>
      <c r="T1951" s="8">
        <f>R1951/L1951</f>
        <v/>
      </c>
      <c r="U1951" s="8">
        <f>(Q1951-P1951*G1951*SIN(RADIANS(E1951)))/M1951</f>
        <v/>
      </c>
      <c r="V1951" s="8">
        <f>SQRT((S1951+U1951)^2+3*T1951^2)</f>
        <v/>
      </c>
      <c r="W1951" s="8">
        <f>V1951/AA1951</f>
        <v/>
      </c>
      <c r="X1951" s="27">
        <f>((3*10+H1951/COS(RADIANS(E1951)))*(3+3)+3*G1951*H1951)*2</f>
        <v/>
      </c>
      <c r="Y1951" s="28">
        <f>Z1951/X1951</f>
        <v/>
      </c>
      <c r="Z1951" s="29" t="n">
        <v>540.563237889206</v>
      </c>
      <c r="AA1951" s="20" t="n">
        <v>71.9759450092759</v>
      </c>
      <c r="AB1951" t="n">
        <v>0.0641446232742276</v>
      </c>
      <c r="AC1951" t="n">
        <v>69.54931254631693</v>
      </c>
      <c r="AD1951" t="n">
        <v>-23.37019469203688</v>
      </c>
    </row>
    <row r="1952">
      <c r="A1952" t="n">
        <v>1951</v>
      </c>
      <c r="B1952" t="n">
        <v>70.8</v>
      </c>
      <c r="C1952" s="21">
        <f>B1952-20</f>
        <v/>
      </c>
      <c r="D1952" t="n">
        <v>110.2</v>
      </c>
      <c r="E1952" s="22">
        <f>D1952-90</f>
        <v/>
      </c>
      <c r="F1952" s="23" t="n">
        <v>0.019583</v>
      </c>
      <c r="G1952" s="22" t="n">
        <v>29.4</v>
      </c>
      <c r="H1952" s="22" t="n">
        <v>2</v>
      </c>
      <c r="I1952" s="24" t="n">
        <v>0.117472104728221</v>
      </c>
      <c r="J1952" s="6" t="n">
        <v>71000</v>
      </c>
      <c r="K1952" s="25">
        <f>23*10^-6</f>
        <v/>
      </c>
      <c r="L1952" s="8">
        <f>H1952</f>
        <v/>
      </c>
      <c r="M1952" s="26">
        <f>H1952^2/6</f>
        <v/>
      </c>
      <c r="N1952" s="26">
        <f>H1952^3/12</f>
        <v/>
      </c>
      <c r="O1952" s="27">
        <f>-J1952*L1952*K1952*C1952</f>
        <v/>
      </c>
      <c r="P1952" s="28">
        <f>-(12*F1952*J1952*L1952*N1952+12*O1952*N1952*G1952*COS(RADIANS(E1952)))/(12*N1952*G1952*COS(RADIANS(E1952))^2+L1952*G1952^3*SIN(RADIANS(E1952))^2)</f>
        <v/>
      </c>
      <c r="Q1952" s="28">
        <f>-(6*F1952*J1952*L1952*N1952*SIN(RADIANS(E1952))+6*O1952*N1952*G1952*SIN(RADIANS(E1952))*COS(RADIANS(E1952)))/(12*N1952*COS(RADIANS(E1952))^2+L1952*G1952^2*SIN(RADIANS(E1952))^2)</f>
        <v/>
      </c>
      <c r="R1952" s="28">
        <f>-P1952*SIN(RADIANS(E1952))</f>
        <v/>
      </c>
      <c r="S1952" s="8">
        <f>(O1952+P1952*COS(RADIANS(E1952)))/L1952</f>
        <v/>
      </c>
      <c r="T1952" s="8">
        <f>R1952/L1952</f>
        <v/>
      </c>
      <c r="U1952" s="8">
        <f>(Q1952-P1952*G1952*SIN(RADIANS(E1952)))/M1952</f>
        <v/>
      </c>
      <c r="V1952" s="8">
        <f>SQRT((S1952+U1952)^2+3*T1952^2)</f>
        <v/>
      </c>
      <c r="W1952" s="8">
        <f>V1952/AA1952</f>
        <v/>
      </c>
      <c r="X1952" s="27">
        <f>((3*10+H1952/COS(RADIANS(E1952)))*(3+3)+3*G1952*H1952)*2</f>
        <v/>
      </c>
      <c r="Y1952" s="28">
        <f>Z1952/X1952</f>
        <v/>
      </c>
      <c r="Z1952" s="29" t="n">
        <v>742.969009182116</v>
      </c>
      <c r="AA1952" s="20" t="n">
        <v>87.07331070545899</v>
      </c>
      <c r="AB1952" t="n">
        <v>0.1470826698222109</v>
      </c>
      <c r="AC1952" t="n">
        <v>81.85038558665967</v>
      </c>
      <c r="AD1952" t="n">
        <v>25.20646511143714</v>
      </c>
    </row>
    <row r="1953">
      <c r="A1953" t="n">
        <v>1952</v>
      </c>
      <c r="B1953" t="n">
        <v>66</v>
      </c>
      <c r="C1953" s="21">
        <f>B1953-20</f>
        <v/>
      </c>
      <c r="D1953" t="n">
        <v>125.7</v>
      </c>
      <c r="E1953" s="22">
        <f>D1953-90</f>
        <v/>
      </c>
      <c r="F1953" s="23" t="n">
        <v>0.015418</v>
      </c>
      <c r="G1953" s="22" t="n">
        <v>23.8</v>
      </c>
      <c r="H1953" s="22" t="n">
        <v>1.4</v>
      </c>
      <c r="I1953" s="24" t="n">
        <v>0.141683176159858</v>
      </c>
      <c r="J1953" s="6" t="n">
        <v>71000</v>
      </c>
      <c r="K1953" s="25">
        <f>23*10^-6</f>
        <v/>
      </c>
      <c r="L1953" s="8">
        <f>H1953</f>
        <v/>
      </c>
      <c r="M1953" s="26">
        <f>H1953^2/6</f>
        <v/>
      </c>
      <c r="N1953" s="26">
        <f>H1953^3/12</f>
        <v/>
      </c>
      <c r="O1953" s="27">
        <f>-J1953*L1953*K1953*C1953</f>
        <v/>
      </c>
      <c r="P1953" s="28">
        <f>-(12*F1953*J1953*L1953*N1953+12*O1953*N1953*G1953*COS(RADIANS(E1953)))/(12*N1953*G1953*COS(RADIANS(E1953))^2+L1953*G1953^3*SIN(RADIANS(E1953))^2)</f>
        <v/>
      </c>
      <c r="Q1953" s="28">
        <f>-(6*F1953*J1953*L1953*N1953*SIN(RADIANS(E1953))+6*O1953*N1953*G1953*SIN(RADIANS(E1953))*COS(RADIANS(E1953)))/(12*N1953*COS(RADIANS(E1953))^2+L1953*G1953^2*SIN(RADIANS(E1953))^2)</f>
        <v/>
      </c>
      <c r="R1953" s="28">
        <f>-P1953*SIN(RADIANS(E1953))</f>
        <v/>
      </c>
      <c r="S1953" s="8">
        <f>(O1953+P1953*COS(RADIANS(E1953)))/L1953</f>
        <v/>
      </c>
      <c r="T1953" s="8">
        <f>R1953/L1953</f>
        <v/>
      </c>
      <c r="U1953" s="8">
        <f>(Q1953-P1953*G1953*SIN(RADIANS(E1953)))/M1953</f>
        <v/>
      </c>
      <c r="V1953" s="8">
        <f>SQRT((S1953+U1953)^2+3*T1953^2)</f>
        <v/>
      </c>
      <c r="W1953" s="8">
        <f>V1953/AA1953</f>
        <v/>
      </c>
      <c r="X1953" s="27">
        <f>((3*10+H1953/COS(RADIANS(E1953)))*(3+3)+3*G1953*H1953)*2</f>
        <v/>
      </c>
      <c r="Y1953" s="28">
        <f>Z1953/X1953</f>
        <v/>
      </c>
      <c r="Z1953" s="29" t="n">
        <v>580.848464230739</v>
      </c>
      <c r="AA1953" s="20" t="n">
        <v>80.7115553693658</v>
      </c>
      <c r="AB1953" t="n">
        <v>0.06116077023994824</v>
      </c>
      <c r="AC1953" t="n">
        <v>66.92210567914431</v>
      </c>
      <c r="AD1953" t="n">
        <v>-56.83272220624001</v>
      </c>
    </row>
    <row r="1954">
      <c r="A1954" t="n">
        <v>1953</v>
      </c>
      <c r="B1954" t="n">
        <v>77.90000000000001</v>
      </c>
      <c r="C1954" s="21">
        <f>B1954-20</f>
        <v/>
      </c>
      <c r="D1954" t="n">
        <v>104</v>
      </c>
      <c r="E1954" s="22">
        <f>D1954-90</f>
        <v/>
      </c>
      <c r="F1954" s="23" t="n">
        <v>0.024352</v>
      </c>
      <c r="G1954" s="22" t="n">
        <v>31.4</v>
      </c>
      <c r="H1954" s="22" t="n">
        <v>1.3</v>
      </c>
      <c r="I1954" s="24" t="n">
        <v>0.230068057775497</v>
      </c>
      <c r="J1954" s="6" t="n">
        <v>71000</v>
      </c>
      <c r="K1954" s="25">
        <f>23*10^-6</f>
        <v/>
      </c>
      <c r="L1954" s="8">
        <f>H1954</f>
        <v/>
      </c>
      <c r="M1954" s="26">
        <f>H1954^2/6</f>
        <v/>
      </c>
      <c r="N1954" s="26">
        <f>H1954^3/12</f>
        <v/>
      </c>
      <c r="O1954" s="27">
        <f>-J1954*L1954*K1954*C1954</f>
        <v/>
      </c>
      <c r="P1954" s="28">
        <f>-(12*F1954*J1954*L1954*N1954+12*O1954*N1954*G1954*COS(RADIANS(E1954)))/(12*N1954*G1954*COS(RADIANS(E1954))^2+L1954*G1954^3*SIN(RADIANS(E1954))^2)</f>
        <v/>
      </c>
      <c r="Q1954" s="28">
        <f>-(6*F1954*J1954*L1954*N1954*SIN(RADIANS(E1954))+6*O1954*N1954*G1954*SIN(RADIANS(E1954))*COS(RADIANS(E1954)))/(12*N1954*COS(RADIANS(E1954))^2+L1954*G1954^2*SIN(RADIANS(E1954))^2)</f>
        <v/>
      </c>
      <c r="R1954" s="28">
        <f>-P1954*SIN(RADIANS(E1954))</f>
        <v/>
      </c>
      <c r="S1954" s="8">
        <f>(O1954+P1954*COS(RADIANS(E1954)))/L1954</f>
        <v/>
      </c>
      <c r="T1954" s="8">
        <f>R1954/L1954</f>
        <v/>
      </c>
      <c r="U1954" s="8">
        <f>(Q1954-P1954*G1954*SIN(RADIANS(E1954)))/M1954</f>
        <v/>
      </c>
      <c r="V1954" s="8">
        <f>SQRT((S1954+U1954)^2+3*T1954^2)</f>
        <v/>
      </c>
      <c r="W1954" s="8">
        <f>V1954/AA1954</f>
        <v/>
      </c>
      <c r="X1954" s="27">
        <f>((3*10+H1954/COS(RADIANS(E1954)))*(3+3)+3*G1954*H1954)*2</f>
        <v/>
      </c>
      <c r="Y1954" s="28">
        <f>Z1954/X1954</f>
        <v/>
      </c>
      <c r="Z1954" s="29" t="n">
        <v>624.602234124232</v>
      </c>
      <c r="AA1954" s="20" t="n">
        <v>90.3356274020701</v>
      </c>
      <c r="AB1954" t="n">
        <v>0.26199890598227</v>
      </c>
      <c r="AC1954" t="n">
        <v>92.25280359424593</v>
      </c>
      <c r="AD1954" t="n">
        <v>13.87887067657673</v>
      </c>
    </row>
    <row r="1955">
      <c r="A1955" t="n">
        <v>1954</v>
      </c>
      <c r="B1955" t="n">
        <v>85.7</v>
      </c>
      <c r="C1955" s="21">
        <f>B1955-20</f>
        <v/>
      </c>
      <c r="D1955" t="n">
        <v>128.4</v>
      </c>
      <c r="E1955" s="22">
        <f>D1955-90</f>
        <v/>
      </c>
      <c r="F1955" s="23" t="n">
        <v>0.022419</v>
      </c>
      <c r="G1955" s="22" t="n">
        <v>24.8</v>
      </c>
      <c r="H1955" s="22" t="n">
        <v>1.3</v>
      </c>
      <c r="I1955" s="24" t="n">
        <v>0.160753414034843</v>
      </c>
      <c r="J1955" s="6" t="n">
        <v>71000</v>
      </c>
      <c r="K1955" s="25">
        <f>23*10^-6</f>
        <v/>
      </c>
      <c r="L1955" s="8">
        <f>H1955</f>
        <v/>
      </c>
      <c r="M1955" s="26">
        <f>H1955^2/6</f>
        <v/>
      </c>
      <c r="N1955" s="26">
        <f>H1955^3/12</f>
        <v/>
      </c>
      <c r="O1955" s="27">
        <f>-J1955*L1955*K1955*C1955</f>
        <v/>
      </c>
      <c r="P1955" s="28">
        <f>-(12*F1955*J1955*L1955*N1955+12*O1955*N1955*G1955*COS(RADIANS(E1955)))/(12*N1955*G1955*COS(RADIANS(E1955))^2+L1955*G1955^3*SIN(RADIANS(E1955))^2)</f>
        <v/>
      </c>
      <c r="Q1955" s="28">
        <f>-(6*F1955*J1955*L1955*N1955*SIN(RADIANS(E1955))+6*O1955*N1955*G1955*SIN(RADIANS(E1955))*COS(RADIANS(E1955)))/(12*N1955*COS(RADIANS(E1955))^2+L1955*G1955^2*SIN(RADIANS(E1955))^2)</f>
        <v/>
      </c>
      <c r="R1955" s="28">
        <f>-P1955*SIN(RADIANS(E1955))</f>
        <v/>
      </c>
      <c r="S1955" s="8">
        <f>(O1955+P1955*COS(RADIANS(E1955)))/L1955</f>
        <v/>
      </c>
      <c r="T1955" s="8">
        <f>R1955/L1955</f>
        <v/>
      </c>
      <c r="U1955" s="8">
        <f>(Q1955-P1955*G1955*SIN(RADIANS(E1955)))/M1955</f>
        <v/>
      </c>
      <c r="V1955" s="8">
        <f>SQRT((S1955+U1955)^2+3*T1955^2)</f>
        <v/>
      </c>
      <c r="W1955" s="8">
        <f>V1955/AA1955</f>
        <v/>
      </c>
      <c r="X1955" s="27">
        <f>((3*10+H1955/COS(RADIANS(E1955)))*(3+3)+3*G1955*H1955)*2</f>
        <v/>
      </c>
      <c r="Y1955" s="28">
        <f>Z1955/X1955</f>
        <v/>
      </c>
      <c r="Z1955" s="29" t="n">
        <v>573.909197406324</v>
      </c>
      <c r="AA1955" s="20" t="n">
        <v>100.840887273158</v>
      </c>
      <c r="AB1955" t="n">
        <v>0.08393519426549964</v>
      </c>
      <c r="AC1955" t="n">
        <v>94.23268050777546</v>
      </c>
      <c r="AD1955" t="n">
        <v>-47.78636909863273</v>
      </c>
    </row>
    <row r="1956">
      <c r="A1956" t="n">
        <v>1955</v>
      </c>
      <c r="B1956" t="n">
        <v>80.3</v>
      </c>
      <c r="C1956" s="21">
        <f>B1956-20</f>
        <v/>
      </c>
      <c r="D1956" t="n">
        <v>108.8</v>
      </c>
      <c r="E1956" s="22">
        <f>D1956-90</f>
        <v/>
      </c>
      <c r="F1956" s="23" t="n">
        <v>0.020108</v>
      </c>
      <c r="G1956" s="22" t="n">
        <v>29</v>
      </c>
      <c r="H1956" s="22" t="n">
        <v>1.3</v>
      </c>
      <c r="I1956" s="24" t="n">
        <v>0.087995134294033</v>
      </c>
      <c r="J1956" s="6" t="n">
        <v>71000</v>
      </c>
      <c r="K1956" s="25">
        <f>23*10^-6</f>
        <v/>
      </c>
      <c r="L1956" s="8">
        <f>H1956</f>
        <v/>
      </c>
      <c r="M1956" s="26">
        <f>H1956^2/6</f>
        <v/>
      </c>
      <c r="N1956" s="26">
        <f>H1956^3/12</f>
        <v/>
      </c>
      <c r="O1956" s="27">
        <f>-J1956*L1956*K1956*C1956</f>
        <v/>
      </c>
      <c r="P1956" s="28">
        <f>-(12*F1956*J1956*L1956*N1956+12*O1956*N1956*G1956*COS(RADIANS(E1956)))/(12*N1956*G1956*COS(RADIANS(E1956))^2+L1956*G1956^3*SIN(RADIANS(E1956))^2)</f>
        <v/>
      </c>
      <c r="Q1956" s="28">
        <f>-(6*F1956*J1956*L1956*N1956*SIN(RADIANS(E1956))+6*O1956*N1956*G1956*SIN(RADIANS(E1956))*COS(RADIANS(E1956)))/(12*N1956*COS(RADIANS(E1956))^2+L1956*G1956^2*SIN(RADIANS(E1956))^2)</f>
        <v/>
      </c>
      <c r="R1956" s="28">
        <f>-P1956*SIN(RADIANS(E1956))</f>
        <v/>
      </c>
      <c r="S1956" s="8">
        <f>(O1956+P1956*COS(RADIANS(E1956)))/L1956</f>
        <v/>
      </c>
      <c r="T1956" s="8">
        <f>R1956/L1956</f>
        <v/>
      </c>
      <c r="U1956" s="8">
        <f>(Q1956-P1956*G1956*SIN(RADIANS(E1956)))/M1956</f>
        <v/>
      </c>
      <c r="V1956" s="8">
        <f>SQRT((S1956+U1956)^2+3*T1956^2)</f>
        <v/>
      </c>
      <c r="W1956" s="8">
        <f>V1956/AA1956</f>
        <v/>
      </c>
      <c r="X1956" s="27">
        <f>((3*10+H1956/COS(RADIANS(E1956)))*(3+3)+3*G1956*H1956)*2</f>
        <v/>
      </c>
      <c r="Y1956" s="28">
        <f>Z1956/X1956</f>
        <v/>
      </c>
      <c r="Z1956" s="29" t="n">
        <v>615.024004716076</v>
      </c>
      <c r="AA1956" s="20" t="n">
        <v>84.02871154013241</v>
      </c>
      <c r="AB1956" t="n">
        <v>0.1889429376542111</v>
      </c>
      <c r="AC1956" t="n">
        <v>92.89852943003579</v>
      </c>
      <c r="AD1956" t="n">
        <v>114.7197560070357</v>
      </c>
    </row>
    <row r="1957">
      <c r="A1957" t="n">
        <v>1956</v>
      </c>
      <c r="B1957" t="n">
        <v>88.3</v>
      </c>
      <c r="C1957" s="21">
        <f>B1957-20</f>
        <v/>
      </c>
      <c r="D1957" t="n">
        <v>112.1</v>
      </c>
      <c r="E1957" s="22">
        <f>D1957-90</f>
        <v/>
      </c>
      <c r="F1957" s="23" t="n">
        <v>0.0222</v>
      </c>
      <c r="G1957" s="22" t="n">
        <v>26.1</v>
      </c>
      <c r="H1957" s="22" t="n">
        <v>1.3</v>
      </c>
      <c r="I1957" s="24" t="n">
        <v>0.104989498853683</v>
      </c>
      <c r="J1957" s="6" t="n">
        <v>71000</v>
      </c>
      <c r="K1957" s="25">
        <f>23*10^-6</f>
        <v/>
      </c>
      <c r="L1957" s="8">
        <f>H1957</f>
        <v/>
      </c>
      <c r="M1957" s="26">
        <f>H1957^2/6</f>
        <v/>
      </c>
      <c r="N1957" s="26">
        <f>H1957^3/12</f>
        <v/>
      </c>
      <c r="O1957" s="27">
        <f>-J1957*L1957*K1957*C1957</f>
        <v/>
      </c>
      <c r="P1957" s="28">
        <f>-(12*F1957*J1957*L1957*N1957+12*O1957*N1957*G1957*COS(RADIANS(E1957)))/(12*N1957*G1957*COS(RADIANS(E1957))^2+L1957*G1957^3*SIN(RADIANS(E1957))^2)</f>
        <v/>
      </c>
      <c r="Q1957" s="28">
        <f>-(6*F1957*J1957*L1957*N1957*SIN(RADIANS(E1957))+6*O1957*N1957*G1957*SIN(RADIANS(E1957))*COS(RADIANS(E1957)))/(12*N1957*COS(RADIANS(E1957))^2+L1957*G1957^2*SIN(RADIANS(E1957))^2)</f>
        <v/>
      </c>
      <c r="R1957" s="28">
        <f>-P1957*SIN(RADIANS(E1957))</f>
        <v/>
      </c>
      <c r="S1957" s="8">
        <f>(O1957+P1957*COS(RADIANS(E1957)))/L1957</f>
        <v/>
      </c>
      <c r="T1957" s="8">
        <f>R1957/L1957</f>
        <v/>
      </c>
      <c r="U1957" s="8">
        <f>(Q1957-P1957*G1957*SIN(RADIANS(E1957)))/M1957</f>
        <v/>
      </c>
      <c r="V1957" s="8">
        <f>SQRT((S1957+U1957)^2+3*T1957^2)</f>
        <v/>
      </c>
      <c r="W1957" s="8">
        <f>V1957/AA1957</f>
        <v/>
      </c>
      <c r="X1957" s="27">
        <f>((3*10+H1957/COS(RADIANS(E1957)))*(3+3)+3*G1957*H1957)*2</f>
        <v/>
      </c>
      <c r="Y1957" s="28">
        <f>Z1957/X1957</f>
        <v/>
      </c>
      <c r="Z1957" s="29" t="n">
        <v>588.925945229164</v>
      </c>
      <c r="AA1957" s="20" t="n">
        <v>99.1053655586732</v>
      </c>
      <c r="AB1957" t="n">
        <v>0.1642391274240002</v>
      </c>
      <c r="AC1957" t="n">
        <v>103.9004844468713</v>
      </c>
      <c r="AD1957" t="n">
        <v>56.43386168829089</v>
      </c>
    </row>
    <row r="1958">
      <c r="A1958" t="n">
        <v>1957</v>
      </c>
      <c r="B1958" t="n">
        <v>88.8</v>
      </c>
      <c r="C1958" s="21">
        <f>B1958-20</f>
        <v/>
      </c>
      <c r="D1958" t="n">
        <v>104.1</v>
      </c>
      <c r="E1958" s="22">
        <f>D1958-90</f>
        <v/>
      </c>
      <c r="F1958" s="23" t="n">
        <v>0.021709</v>
      </c>
      <c r="G1958" s="22" t="n">
        <v>23.1</v>
      </c>
      <c r="H1958" s="22" t="n">
        <v>1.3</v>
      </c>
      <c r="I1958" s="24" t="n">
        <v>0.129897430539131</v>
      </c>
      <c r="J1958" s="6" t="n">
        <v>71000</v>
      </c>
      <c r="K1958" s="25">
        <f>23*10^-6</f>
        <v/>
      </c>
      <c r="L1958" s="8">
        <f>H1958</f>
        <v/>
      </c>
      <c r="M1958" s="26">
        <f>H1958^2/6</f>
        <v/>
      </c>
      <c r="N1958" s="26">
        <f>H1958^3/12</f>
        <v/>
      </c>
      <c r="O1958" s="27">
        <f>-J1958*L1958*K1958*C1958</f>
        <v/>
      </c>
      <c r="P1958" s="28">
        <f>-(12*F1958*J1958*L1958*N1958+12*O1958*N1958*G1958*COS(RADIANS(E1958)))/(12*N1958*G1958*COS(RADIANS(E1958))^2+L1958*G1958^3*SIN(RADIANS(E1958))^2)</f>
        <v/>
      </c>
      <c r="Q1958" s="28">
        <f>-(6*F1958*J1958*L1958*N1958*SIN(RADIANS(E1958))+6*O1958*N1958*G1958*SIN(RADIANS(E1958))*COS(RADIANS(E1958)))/(12*N1958*COS(RADIANS(E1958))^2+L1958*G1958^2*SIN(RADIANS(E1958))^2)</f>
        <v/>
      </c>
      <c r="R1958" s="28">
        <f>-P1958*SIN(RADIANS(E1958))</f>
        <v/>
      </c>
      <c r="S1958" s="8">
        <f>(O1958+P1958*COS(RADIANS(E1958)))/L1958</f>
        <v/>
      </c>
      <c r="T1958" s="8">
        <f>R1958/L1958</f>
        <v/>
      </c>
      <c r="U1958" s="8">
        <f>(Q1958-P1958*G1958*SIN(RADIANS(E1958)))/M1958</f>
        <v/>
      </c>
      <c r="V1958" s="8">
        <f>SQRT((S1958+U1958)^2+3*T1958^2)</f>
        <v/>
      </c>
      <c r="W1958" s="8">
        <f>V1958/AA1958</f>
        <v/>
      </c>
      <c r="X1958" s="27">
        <f>((3*10+H1958/COS(RADIANS(E1958)))*(3+3)+3*G1958*H1958)*2</f>
        <v/>
      </c>
      <c r="Y1958" s="28">
        <f>Z1958/X1958</f>
        <v/>
      </c>
      <c r="Z1958" s="29" t="n">
        <v>561.808935093465</v>
      </c>
      <c r="AA1958" s="20" t="n">
        <v>104.218625908041</v>
      </c>
      <c r="AB1958" t="n">
        <v>0.227059070305209</v>
      </c>
      <c r="AC1958" t="n">
        <v>112.745221286906</v>
      </c>
      <c r="AD1958" t="n">
        <v>74.79873879168727</v>
      </c>
    </row>
    <row r="1959">
      <c r="A1959" t="n">
        <v>1958</v>
      </c>
      <c r="B1959" t="n">
        <v>84.7</v>
      </c>
      <c r="C1959" s="21">
        <f>B1959-20</f>
        <v/>
      </c>
      <c r="D1959" t="n">
        <v>114.8</v>
      </c>
      <c r="E1959" s="22">
        <f>D1959-90</f>
        <v/>
      </c>
      <c r="F1959" s="23" t="n">
        <v>0.022095</v>
      </c>
      <c r="G1959" s="22" t="n">
        <v>29.5</v>
      </c>
      <c r="H1959" s="22" t="n">
        <v>1.3</v>
      </c>
      <c r="I1959" s="24" t="n">
        <v>0.0971086397767067</v>
      </c>
      <c r="J1959" s="6" t="n">
        <v>71000</v>
      </c>
      <c r="K1959" s="25">
        <f>23*10^-6</f>
        <v/>
      </c>
      <c r="L1959" s="8">
        <f>H1959</f>
        <v/>
      </c>
      <c r="M1959" s="26">
        <f>H1959^2/6</f>
        <v/>
      </c>
      <c r="N1959" s="26">
        <f>H1959^3/12</f>
        <v/>
      </c>
      <c r="O1959" s="27">
        <f>-J1959*L1959*K1959*C1959</f>
        <v/>
      </c>
      <c r="P1959" s="28">
        <f>-(12*F1959*J1959*L1959*N1959+12*O1959*N1959*G1959*COS(RADIANS(E1959)))/(12*N1959*G1959*COS(RADIANS(E1959))^2+L1959*G1959^3*SIN(RADIANS(E1959))^2)</f>
        <v/>
      </c>
      <c r="Q1959" s="28">
        <f>-(6*F1959*J1959*L1959*N1959*SIN(RADIANS(E1959))+6*O1959*N1959*G1959*SIN(RADIANS(E1959))*COS(RADIANS(E1959)))/(12*N1959*COS(RADIANS(E1959))^2+L1959*G1959^2*SIN(RADIANS(E1959))^2)</f>
        <v/>
      </c>
      <c r="R1959" s="28">
        <f>-P1959*SIN(RADIANS(E1959))</f>
        <v/>
      </c>
      <c r="S1959" s="8">
        <f>(O1959+P1959*COS(RADIANS(E1959)))/L1959</f>
        <v/>
      </c>
      <c r="T1959" s="8">
        <f>R1959/L1959</f>
        <v/>
      </c>
      <c r="U1959" s="8">
        <f>(Q1959-P1959*G1959*SIN(RADIANS(E1959)))/M1959</f>
        <v/>
      </c>
      <c r="V1959" s="8">
        <f>SQRT((S1959+U1959)^2+3*T1959^2)</f>
        <v/>
      </c>
      <c r="W1959" s="8">
        <f>V1959/AA1959</f>
        <v/>
      </c>
      <c r="X1959" s="27">
        <f>((3*10+H1959/COS(RADIANS(E1959)))*(3+3)+3*G1959*H1959)*2</f>
        <v/>
      </c>
      <c r="Y1959" s="28">
        <f>Z1959/X1959</f>
        <v/>
      </c>
      <c r="Z1959" s="29" t="n">
        <v>618.297086208322</v>
      </c>
      <c r="AA1959" s="20" t="n">
        <v>89.8088461643454</v>
      </c>
      <c r="AB1959" t="n">
        <v>0.1554669555545049</v>
      </c>
      <c r="AC1959" t="n">
        <v>96.28265410911328</v>
      </c>
      <c r="AD1959" t="n">
        <v>60.0959048669494</v>
      </c>
    </row>
    <row r="1960">
      <c r="A1960" t="n">
        <v>1959</v>
      </c>
      <c r="B1960" t="n">
        <v>43.3</v>
      </c>
      <c r="C1960" s="21">
        <f>B1960-20</f>
        <v/>
      </c>
      <c r="D1960" t="n">
        <v>120.2</v>
      </c>
      <c r="E1960" s="22">
        <f>D1960-90</f>
        <v/>
      </c>
      <c r="F1960" s="23" t="n">
        <v>0.009145</v>
      </c>
      <c r="G1960" s="22" t="n">
        <v>29.3</v>
      </c>
      <c r="H1960" s="22" t="n">
        <v>1.8</v>
      </c>
      <c r="I1960" s="24" t="n">
        <v>0.06734543293714521</v>
      </c>
      <c r="J1960" s="6" t="n">
        <v>71000</v>
      </c>
      <c r="K1960" s="25">
        <f>23*10^-6</f>
        <v/>
      </c>
      <c r="L1960" s="8">
        <f>H1960</f>
        <v/>
      </c>
      <c r="M1960" s="26">
        <f>H1960^2/6</f>
        <v/>
      </c>
      <c r="N1960" s="26">
        <f>H1960^3/12</f>
        <v/>
      </c>
      <c r="O1960" s="27">
        <f>-J1960*L1960*K1960*C1960</f>
        <v/>
      </c>
      <c r="P1960" s="28">
        <f>-(12*F1960*J1960*L1960*N1960+12*O1960*N1960*G1960*COS(RADIANS(E1960)))/(12*N1960*G1960*COS(RADIANS(E1960))^2+L1960*G1960^3*SIN(RADIANS(E1960))^2)</f>
        <v/>
      </c>
      <c r="Q1960" s="28">
        <f>-(6*F1960*J1960*L1960*N1960*SIN(RADIANS(E1960))+6*O1960*N1960*G1960*SIN(RADIANS(E1960))*COS(RADIANS(E1960)))/(12*N1960*COS(RADIANS(E1960))^2+L1960*G1960^2*SIN(RADIANS(E1960))^2)</f>
        <v/>
      </c>
      <c r="R1960" s="28">
        <f>-P1960*SIN(RADIANS(E1960))</f>
        <v/>
      </c>
      <c r="S1960" s="8">
        <f>(O1960+P1960*COS(RADIANS(E1960)))/L1960</f>
        <v/>
      </c>
      <c r="T1960" s="8">
        <f>R1960/L1960</f>
        <v/>
      </c>
      <c r="U1960" s="8">
        <f>(Q1960-P1960*G1960*SIN(RADIANS(E1960)))/M1960</f>
        <v/>
      </c>
      <c r="V1960" s="8">
        <f>SQRT((S1960+U1960)^2+3*T1960^2)</f>
        <v/>
      </c>
      <c r="W1960" s="8">
        <f>V1960/AA1960</f>
        <v/>
      </c>
      <c r="X1960" s="27">
        <f>((3*10+H1960/COS(RADIANS(E1960)))*(3+3)+3*G1960*H1960)*2</f>
        <v/>
      </c>
      <c r="Y1960" s="28">
        <f>Z1960/X1960</f>
        <v/>
      </c>
      <c r="Z1960" s="29" t="n">
        <v>702.869610883996</v>
      </c>
      <c r="AA1960" s="20" t="n">
        <v>39.804885555334</v>
      </c>
      <c r="AB1960" t="n">
        <v>0.04495571095001667</v>
      </c>
      <c r="AC1960" t="n">
        <v>34.95349561599685</v>
      </c>
      <c r="AD1960" t="n">
        <v>-33.2460881319529</v>
      </c>
    </row>
    <row r="1961">
      <c r="A1961" t="n">
        <v>1960</v>
      </c>
      <c r="B1961" t="n">
        <v>55.5</v>
      </c>
      <c r="C1961" s="21">
        <f>B1961-20</f>
        <v/>
      </c>
      <c r="D1961" t="n">
        <v>109.3</v>
      </c>
      <c r="E1961" s="22">
        <f>D1961-90</f>
        <v/>
      </c>
      <c r="F1961" s="23" t="n">
        <v>0.009564</v>
      </c>
      <c r="G1961" s="22" t="n">
        <v>22.5</v>
      </c>
      <c r="H1961" s="22" t="n">
        <v>1.6</v>
      </c>
      <c r="I1961" s="24" t="n">
        <v>0.0431303977966308</v>
      </c>
      <c r="J1961" s="6" t="n">
        <v>71000</v>
      </c>
      <c r="K1961" s="25">
        <f>23*10^-6</f>
        <v/>
      </c>
      <c r="L1961" s="8">
        <f>H1961</f>
        <v/>
      </c>
      <c r="M1961" s="26">
        <f>H1961^2/6</f>
        <v/>
      </c>
      <c r="N1961" s="26">
        <f>H1961^3/12</f>
        <v/>
      </c>
      <c r="O1961" s="27">
        <f>-J1961*L1961*K1961*C1961</f>
        <v/>
      </c>
      <c r="P1961" s="28">
        <f>-(12*F1961*J1961*L1961*N1961+12*O1961*N1961*G1961*COS(RADIANS(E1961)))/(12*N1961*G1961*COS(RADIANS(E1961))^2+L1961*G1961^3*SIN(RADIANS(E1961))^2)</f>
        <v/>
      </c>
      <c r="Q1961" s="28">
        <f>-(6*F1961*J1961*L1961*N1961*SIN(RADIANS(E1961))+6*O1961*N1961*G1961*SIN(RADIANS(E1961))*COS(RADIANS(E1961)))/(12*N1961*COS(RADIANS(E1961))^2+L1961*G1961^2*SIN(RADIANS(E1961))^2)</f>
        <v/>
      </c>
      <c r="R1961" s="28">
        <f>-P1961*SIN(RADIANS(E1961))</f>
        <v/>
      </c>
      <c r="S1961" s="8">
        <f>(O1961+P1961*COS(RADIANS(E1961)))/L1961</f>
        <v/>
      </c>
      <c r="T1961" s="8">
        <f>R1961/L1961</f>
        <v/>
      </c>
      <c r="U1961" s="8">
        <f>(Q1961-P1961*G1961*SIN(RADIANS(E1961)))/M1961</f>
        <v/>
      </c>
      <c r="V1961" s="8">
        <f>SQRT((S1961+U1961)^2+3*T1961^2)</f>
        <v/>
      </c>
      <c r="W1961" s="8">
        <f>V1961/AA1961</f>
        <v/>
      </c>
      <c r="X1961" s="27">
        <f>((3*10+H1961/COS(RADIANS(E1961)))*(3+3)+3*G1961*H1961)*2</f>
        <v/>
      </c>
      <c r="Y1961" s="28">
        <f>Z1961/X1961</f>
        <v/>
      </c>
      <c r="Z1961" s="29" t="n">
        <v>610.557223434019</v>
      </c>
      <c r="AA1961" s="20" t="n">
        <v>54.2699330244879</v>
      </c>
      <c r="AB1961" t="n">
        <v>0.08345786144670722</v>
      </c>
      <c r="AC1961" t="n">
        <v>57.15708460625449</v>
      </c>
      <c r="AD1961" t="n">
        <v>93.50125598244927</v>
      </c>
    </row>
    <row r="1962">
      <c r="A1962" t="n">
        <v>1961</v>
      </c>
      <c r="B1962" t="n">
        <v>61.6</v>
      </c>
      <c r="C1962" s="21">
        <f>B1962-20</f>
        <v/>
      </c>
      <c r="D1962" t="n">
        <v>124.6</v>
      </c>
      <c r="E1962" s="22">
        <f>D1962-90</f>
        <v/>
      </c>
      <c r="F1962" s="23" t="n">
        <v>0.01591</v>
      </c>
      <c r="G1962" s="22" t="n">
        <v>29.1</v>
      </c>
      <c r="H1962" s="22" t="n">
        <v>1.3</v>
      </c>
      <c r="I1962" s="24" t="n">
        <v>0.0970440581440925</v>
      </c>
      <c r="J1962" s="6" t="n">
        <v>71000</v>
      </c>
      <c r="K1962" s="25">
        <f>23*10^-6</f>
        <v/>
      </c>
      <c r="L1962" s="8">
        <f>H1962</f>
        <v/>
      </c>
      <c r="M1962" s="26">
        <f>H1962^2/6</f>
        <v/>
      </c>
      <c r="N1962" s="26">
        <f>H1962^3/12</f>
        <v/>
      </c>
      <c r="O1962" s="27">
        <f>-J1962*L1962*K1962*C1962</f>
        <v/>
      </c>
      <c r="P1962" s="28">
        <f>-(12*F1962*J1962*L1962*N1962+12*O1962*N1962*G1962*COS(RADIANS(E1962)))/(12*N1962*G1962*COS(RADIANS(E1962))^2+L1962*G1962^3*SIN(RADIANS(E1962))^2)</f>
        <v/>
      </c>
      <c r="Q1962" s="28">
        <f>-(6*F1962*J1962*L1962*N1962*SIN(RADIANS(E1962))+6*O1962*N1962*G1962*SIN(RADIANS(E1962))*COS(RADIANS(E1962)))/(12*N1962*COS(RADIANS(E1962))^2+L1962*G1962^2*SIN(RADIANS(E1962))^2)</f>
        <v/>
      </c>
      <c r="R1962" s="28">
        <f>-P1962*SIN(RADIANS(E1962))</f>
        <v/>
      </c>
      <c r="S1962" s="8">
        <f>(O1962+P1962*COS(RADIANS(E1962)))/L1962</f>
        <v/>
      </c>
      <c r="T1962" s="8">
        <f>R1962/L1962</f>
        <v/>
      </c>
      <c r="U1962" s="8">
        <f>(Q1962-P1962*G1962*SIN(RADIANS(E1962)))/M1962</f>
        <v/>
      </c>
      <c r="V1962" s="8">
        <f>SQRT((S1962+U1962)^2+3*T1962^2)</f>
        <v/>
      </c>
      <c r="W1962" s="8">
        <f>V1962/AA1962</f>
        <v/>
      </c>
      <c r="X1962" s="27">
        <f>((3*10+H1962/COS(RADIANS(E1962)))*(3+3)+3*G1962*H1962)*2</f>
        <v/>
      </c>
      <c r="Y1962" s="28">
        <f>Z1962/X1962</f>
        <v/>
      </c>
      <c r="Z1962" s="29" t="n">
        <v>608.245384470053</v>
      </c>
      <c r="AA1962" s="20" t="n">
        <v>61.459153520771</v>
      </c>
      <c r="AB1962" t="n">
        <v>0.06929233960812298</v>
      </c>
      <c r="AC1962" t="n">
        <v>59.89490038474464</v>
      </c>
      <c r="AD1962" t="n">
        <v>-28.59703011879753</v>
      </c>
    </row>
    <row r="1963">
      <c r="A1963" t="n">
        <v>1962</v>
      </c>
      <c r="B1963" t="n">
        <v>79.09999999999999</v>
      </c>
      <c r="C1963" s="21">
        <f>B1963-20</f>
        <v/>
      </c>
      <c r="D1963" t="n">
        <v>129.9</v>
      </c>
      <c r="E1963" s="22">
        <f>D1963-90</f>
        <v/>
      </c>
      <c r="F1963" s="23" t="n">
        <v>0.020834</v>
      </c>
      <c r="G1963" s="22" t="n">
        <v>26.9</v>
      </c>
      <c r="H1963" s="22" t="n">
        <v>1.7</v>
      </c>
      <c r="I1963" s="24" t="n">
        <v>0.115250967442989</v>
      </c>
      <c r="J1963" s="6" t="n">
        <v>71000</v>
      </c>
      <c r="K1963" s="25">
        <f>23*10^-6</f>
        <v/>
      </c>
      <c r="L1963" s="8">
        <f>H1963</f>
        <v/>
      </c>
      <c r="M1963" s="26">
        <f>H1963^2/6</f>
        <v/>
      </c>
      <c r="N1963" s="26">
        <f>H1963^3/12</f>
        <v/>
      </c>
      <c r="O1963" s="27">
        <f>-J1963*L1963*K1963*C1963</f>
        <v/>
      </c>
      <c r="P1963" s="28">
        <f>-(12*F1963*J1963*L1963*N1963+12*O1963*N1963*G1963*COS(RADIANS(E1963)))/(12*N1963*G1963*COS(RADIANS(E1963))^2+L1963*G1963^3*SIN(RADIANS(E1963))^2)</f>
        <v/>
      </c>
      <c r="Q1963" s="28">
        <f>-(6*F1963*J1963*L1963*N1963*SIN(RADIANS(E1963))+6*O1963*N1963*G1963*SIN(RADIANS(E1963))*COS(RADIANS(E1963)))/(12*N1963*COS(RADIANS(E1963))^2+L1963*G1963^2*SIN(RADIANS(E1963))^2)</f>
        <v/>
      </c>
      <c r="R1963" s="28">
        <f>-P1963*SIN(RADIANS(E1963))</f>
        <v/>
      </c>
      <c r="S1963" s="8">
        <f>(O1963+P1963*COS(RADIANS(E1963)))/L1963</f>
        <v/>
      </c>
      <c r="T1963" s="8">
        <f>R1963/L1963</f>
        <v/>
      </c>
      <c r="U1963" s="8">
        <f>(Q1963-P1963*G1963*SIN(RADIANS(E1963)))/M1963</f>
        <v/>
      </c>
      <c r="V1963" s="8">
        <f>SQRT((S1963+U1963)^2+3*T1963^2)</f>
        <v/>
      </c>
      <c r="W1963" s="8">
        <f>V1963/AA1963</f>
        <v/>
      </c>
      <c r="X1963" s="27">
        <f>((3*10+H1963/COS(RADIANS(E1963)))*(3+3)+3*G1963*H1963)*2</f>
        <v/>
      </c>
      <c r="Y1963" s="28">
        <f>Z1963/X1963</f>
        <v/>
      </c>
      <c r="Z1963" s="29" t="n">
        <v>661.734436709447</v>
      </c>
      <c r="AA1963" s="20" t="n">
        <v>94.8796569660208</v>
      </c>
      <c r="AB1963" t="n">
        <v>0.07793646790659581</v>
      </c>
      <c r="AC1963" t="n">
        <v>85.66343589266407</v>
      </c>
      <c r="AD1963" t="n">
        <v>-32.37673432533354</v>
      </c>
    </row>
    <row r="1964">
      <c r="A1964" t="n">
        <v>1963</v>
      </c>
      <c r="B1964" t="n">
        <v>47.5</v>
      </c>
      <c r="C1964" s="21">
        <f>B1964-20</f>
        <v/>
      </c>
      <c r="D1964" t="n">
        <v>119</v>
      </c>
      <c r="E1964" s="22">
        <f>D1964-90</f>
        <v/>
      </c>
      <c r="F1964" s="23" t="n">
        <v>0.010334</v>
      </c>
      <c r="G1964" s="22" t="n">
        <v>27.8</v>
      </c>
      <c r="H1964" s="22" t="n">
        <v>1.7</v>
      </c>
      <c r="I1964" s="24" t="n">
        <v>0.076206125319004</v>
      </c>
      <c r="J1964" s="6" t="n">
        <v>71000</v>
      </c>
      <c r="K1964" s="25">
        <f>23*10^-6</f>
        <v/>
      </c>
      <c r="L1964" s="8">
        <f>H1964</f>
        <v/>
      </c>
      <c r="M1964" s="26">
        <f>H1964^2/6</f>
        <v/>
      </c>
      <c r="N1964" s="26">
        <f>H1964^3/12</f>
        <v/>
      </c>
      <c r="O1964" s="27">
        <f>-J1964*L1964*K1964*C1964</f>
        <v/>
      </c>
      <c r="P1964" s="28">
        <f>-(12*F1964*J1964*L1964*N1964+12*O1964*N1964*G1964*COS(RADIANS(E1964)))/(12*N1964*G1964*COS(RADIANS(E1964))^2+L1964*G1964^3*SIN(RADIANS(E1964))^2)</f>
        <v/>
      </c>
      <c r="Q1964" s="28">
        <f>-(6*F1964*J1964*L1964*N1964*SIN(RADIANS(E1964))+6*O1964*N1964*G1964*SIN(RADIANS(E1964))*COS(RADIANS(E1964)))/(12*N1964*COS(RADIANS(E1964))^2+L1964*G1964^2*SIN(RADIANS(E1964))^2)</f>
        <v/>
      </c>
      <c r="R1964" s="28">
        <f>-P1964*SIN(RADIANS(E1964))</f>
        <v/>
      </c>
      <c r="S1964" s="8">
        <f>(O1964+P1964*COS(RADIANS(E1964)))/L1964</f>
        <v/>
      </c>
      <c r="T1964" s="8">
        <f>R1964/L1964</f>
        <v/>
      </c>
      <c r="U1964" s="8">
        <f>(Q1964-P1964*G1964*SIN(RADIANS(E1964)))/M1964</f>
        <v/>
      </c>
      <c r="V1964" s="8">
        <f>SQRT((S1964+U1964)^2+3*T1964^2)</f>
        <v/>
      </c>
      <c r="W1964" s="8">
        <f>V1964/AA1964</f>
        <v/>
      </c>
      <c r="X1964" s="27">
        <f>((3*10+H1964/COS(RADIANS(E1964)))*(3+3)+3*G1964*H1964)*2</f>
        <v/>
      </c>
      <c r="Y1964" s="28">
        <f>Z1964/X1964</f>
        <v/>
      </c>
      <c r="Z1964" s="29" t="n">
        <v>668.772865511929</v>
      </c>
      <c r="AA1964" s="20" t="n">
        <v>46.2273987233116</v>
      </c>
      <c r="AB1964" t="n">
        <v>0.05270818432003409</v>
      </c>
      <c r="AC1964" t="n">
        <v>41.38042454958733</v>
      </c>
      <c r="AD1964" t="n">
        <v>-30.83471427080952</v>
      </c>
    </row>
    <row r="1965">
      <c r="A1965" t="n">
        <v>1964</v>
      </c>
      <c r="B1965" t="n">
        <v>42.6</v>
      </c>
      <c r="C1965" s="21">
        <f>B1965-20</f>
        <v/>
      </c>
      <c r="D1965" t="n">
        <v>123.5</v>
      </c>
      <c r="E1965" s="22">
        <f>D1965-90</f>
        <v/>
      </c>
      <c r="F1965" s="23" t="n">
        <v>0.00758</v>
      </c>
      <c r="G1965" s="22" t="n">
        <v>25.8</v>
      </c>
      <c r="H1965" s="22" t="n">
        <v>1.4</v>
      </c>
      <c r="I1965" s="24" t="n">
        <v>0.0396037474274635</v>
      </c>
      <c r="J1965" s="6" t="n">
        <v>71000</v>
      </c>
      <c r="K1965" s="25">
        <f>23*10^-6</f>
        <v/>
      </c>
      <c r="L1965" s="8">
        <f>H1965</f>
        <v/>
      </c>
      <c r="M1965" s="26">
        <f>H1965^2/6</f>
        <v/>
      </c>
      <c r="N1965" s="26">
        <f>H1965^3/12</f>
        <v/>
      </c>
      <c r="O1965" s="27">
        <f>-J1965*L1965*K1965*C1965</f>
        <v/>
      </c>
      <c r="P1965" s="28">
        <f>-(12*F1965*J1965*L1965*N1965+12*O1965*N1965*G1965*COS(RADIANS(E1965)))/(12*N1965*G1965*COS(RADIANS(E1965))^2+L1965*G1965^3*SIN(RADIANS(E1965))^2)</f>
        <v/>
      </c>
      <c r="Q1965" s="28">
        <f>-(6*F1965*J1965*L1965*N1965*SIN(RADIANS(E1965))+6*O1965*N1965*G1965*SIN(RADIANS(E1965))*COS(RADIANS(E1965)))/(12*N1965*COS(RADIANS(E1965))^2+L1965*G1965^2*SIN(RADIANS(E1965))^2)</f>
        <v/>
      </c>
      <c r="R1965" s="28">
        <f>-P1965*SIN(RADIANS(E1965))</f>
        <v/>
      </c>
      <c r="S1965" s="8">
        <f>(O1965+P1965*COS(RADIANS(E1965)))/L1965</f>
        <v/>
      </c>
      <c r="T1965" s="8">
        <f>R1965/L1965</f>
        <v/>
      </c>
      <c r="U1965" s="8">
        <f>(Q1965-P1965*G1965*SIN(RADIANS(E1965)))/M1965</f>
        <v/>
      </c>
      <c r="V1965" s="8">
        <f>SQRT((S1965+U1965)^2+3*T1965^2)</f>
        <v/>
      </c>
      <c r="W1965" s="8">
        <f>V1965/AA1965</f>
        <v/>
      </c>
      <c r="X1965" s="27">
        <f>((3*10+H1965/COS(RADIANS(E1965)))*(3+3)+3*G1965*H1965)*2</f>
        <v/>
      </c>
      <c r="Y1965" s="28">
        <f>Z1965/X1965</f>
        <v/>
      </c>
      <c r="Z1965" s="29" t="n">
        <v>601.098564642173</v>
      </c>
      <c r="AA1965" s="20" t="n">
        <v>33.990167452923</v>
      </c>
      <c r="AB1965" t="n">
        <v>0.03474269006451285</v>
      </c>
      <c r="AC1965" t="n">
        <v>32.9955170819386</v>
      </c>
      <c r="AD1965" t="n">
        <v>-12.27423584562028</v>
      </c>
    </row>
    <row r="1966">
      <c r="A1966" t="n">
        <v>1965</v>
      </c>
      <c r="B1966" t="n">
        <v>58.4</v>
      </c>
      <c r="C1966" s="21">
        <f>B1966-20</f>
        <v/>
      </c>
      <c r="D1966" t="n">
        <v>109.6</v>
      </c>
      <c r="E1966" s="22">
        <f>D1966-90</f>
        <v/>
      </c>
      <c r="F1966" s="23" t="n">
        <v>0.014015</v>
      </c>
      <c r="G1966" s="22" t="n">
        <v>30.1</v>
      </c>
      <c r="H1966" s="22" t="n">
        <v>1.7</v>
      </c>
      <c r="I1966" s="24" t="n">
        <v>0.06511969119310369</v>
      </c>
      <c r="J1966" s="6" t="n">
        <v>71000</v>
      </c>
      <c r="K1966" s="25">
        <f>23*10^-6</f>
        <v/>
      </c>
      <c r="L1966" s="8">
        <f>H1966</f>
        <v/>
      </c>
      <c r="M1966" s="26">
        <f>H1966^2/6</f>
        <v/>
      </c>
      <c r="N1966" s="26">
        <f>H1966^3/12</f>
        <v/>
      </c>
      <c r="O1966" s="27">
        <f>-J1966*L1966*K1966*C1966</f>
        <v/>
      </c>
      <c r="P1966" s="28">
        <f>-(12*F1966*J1966*L1966*N1966+12*O1966*N1966*G1966*COS(RADIANS(E1966)))/(12*N1966*G1966*COS(RADIANS(E1966))^2+L1966*G1966^3*SIN(RADIANS(E1966))^2)</f>
        <v/>
      </c>
      <c r="Q1966" s="28">
        <f>-(6*F1966*J1966*L1966*N1966*SIN(RADIANS(E1966))+6*O1966*N1966*G1966*SIN(RADIANS(E1966))*COS(RADIANS(E1966)))/(12*N1966*COS(RADIANS(E1966))^2+L1966*G1966^2*SIN(RADIANS(E1966))^2)</f>
        <v/>
      </c>
      <c r="R1966" s="28">
        <f>-P1966*SIN(RADIANS(E1966))</f>
        <v/>
      </c>
      <c r="S1966" s="8">
        <f>(O1966+P1966*COS(RADIANS(E1966)))/L1966</f>
        <v/>
      </c>
      <c r="T1966" s="8">
        <f>R1966/L1966</f>
        <v/>
      </c>
      <c r="U1966" s="8">
        <f>(Q1966-P1966*G1966*SIN(RADIANS(E1966)))/M1966</f>
        <v/>
      </c>
      <c r="V1966" s="8">
        <f>SQRT((S1966+U1966)^2+3*T1966^2)</f>
        <v/>
      </c>
      <c r="W1966" s="8">
        <f>V1966/AA1966</f>
        <v/>
      </c>
      <c r="X1966" s="27">
        <f>((3*10+H1966/COS(RADIANS(E1966)))*(3+3)+3*G1966*H1966)*2</f>
        <v/>
      </c>
      <c r="Y1966" s="28">
        <f>Z1966/X1966</f>
        <v/>
      </c>
      <c r="Z1966" s="29" t="n">
        <v>697.826178833609</v>
      </c>
      <c r="AA1966" s="20" t="n">
        <v>59.049133678471</v>
      </c>
      <c r="AB1966" t="n">
        <v>0.1183729601313747</v>
      </c>
      <c r="AC1966" t="n">
        <v>60.63397938459689</v>
      </c>
      <c r="AD1966" t="n">
        <v>81.77752068933428</v>
      </c>
    </row>
    <row r="1967">
      <c r="A1967" t="n">
        <v>1966</v>
      </c>
      <c r="B1967" t="n">
        <v>63.3</v>
      </c>
      <c r="C1967" s="21">
        <f>B1967-20</f>
        <v/>
      </c>
      <c r="D1967" t="n">
        <v>128.7</v>
      </c>
      <c r="E1967" s="22">
        <f>D1967-90</f>
        <v/>
      </c>
      <c r="F1967" s="23" t="n">
        <v>0.01582</v>
      </c>
      <c r="G1967" s="22" t="n">
        <v>27.6</v>
      </c>
      <c r="H1967" s="22" t="n">
        <v>1.9</v>
      </c>
      <c r="I1967" s="24" t="n">
        <v>0.0943890735507011</v>
      </c>
      <c r="J1967" s="6" t="n">
        <v>71000</v>
      </c>
      <c r="K1967" s="25">
        <f>23*10^-6</f>
        <v/>
      </c>
      <c r="L1967" s="8">
        <f>H1967</f>
        <v/>
      </c>
      <c r="M1967" s="26">
        <f>H1967^2/6</f>
        <v/>
      </c>
      <c r="N1967" s="26">
        <f>H1967^3/12</f>
        <v/>
      </c>
      <c r="O1967" s="27">
        <f>-J1967*L1967*K1967*C1967</f>
        <v/>
      </c>
      <c r="P1967" s="28">
        <f>-(12*F1967*J1967*L1967*N1967+12*O1967*N1967*G1967*COS(RADIANS(E1967)))/(12*N1967*G1967*COS(RADIANS(E1967))^2+L1967*G1967^3*SIN(RADIANS(E1967))^2)</f>
        <v/>
      </c>
      <c r="Q1967" s="28">
        <f>-(6*F1967*J1967*L1967*N1967*SIN(RADIANS(E1967))+6*O1967*N1967*G1967*SIN(RADIANS(E1967))*COS(RADIANS(E1967)))/(12*N1967*COS(RADIANS(E1967))^2+L1967*G1967^2*SIN(RADIANS(E1967))^2)</f>
        <v/>
      </c>
      <c r="R1967" s="28">
        <f>-P1967*SIN(RADIANS(E1967))</f>
        <v/>
      </c>
      <c r="S1967" s="8">
        <f>(O1967+P1967*COS(RADIANS(E1967)))/L1967</f>
        <v/>
      </c>
      <c r="T1967" s="8">
        <f>R1967/L1967</f>
        <v/>
      </c>
      <c r="U1967" s="8">
        <f>(Q1967-P1967*G1967*SIN(RADIANS(E1967)))/M1967</f>
        <v/>
      </c>
      <c r="V1967" s="8">
        <f>SQRT((S1967+U1967)^2+3*T1967^2)</f>
        <v/>
      </c>
      <c r="W1967" s="8">
        <f>V1967/AA1967</f>
        <v/>
      </c>
      <c r="X1967" s="27">
        <f>((3*10+H1967/COS(RADIANS(E1967)))*(3+3)+3*G1967*H1967)*2</f>
        <v/>
      </c>
      <c r="Y1967" s="28">
        <f>Z1967/X1967</f>
        <v/>
      </c>
      <c r="Z1967" s="29" t="n">
        <v>703.660356249492</v>
      </c>
      <c r="AA1967" s="20" t="n">
        <v>73.31785722701269</v>
      </c>
      <c r="AB1967" t="n">
        <v>0.06040385174537216</v>
      </c>
      <c r="AC1967" t="n">
        <v>63.45236034289238</v>
      </c>
      <c r="AD1967" t="n">
        <v>-36.00546178374531</v>
      </c>
    </row>
    <row r="1968">
      <c r="A1968" t="n">
        <v>1967</v>
      </c>
      <c r="B1968" t="n">
        <v>89.5</v>
      </c>
      <c r="C1968" s="21">
        <f>B1968-20</f>
        <v/>
      </c>
      <c r="D1968" t="n">
        <v>122.2</v>
      </c>
      <c r="E1968" s="22">
        <f>D1968-90</f>
        <v/>
      </c>
      <c r="F1968" s="23" t="n">
        <v>0.025623</v>
      </c>
      <c r="G1968" s="22" t="n">
        <v>32</v>
      </c>
      <c r="H1968" s="22" t="n">
        <v>1.8</v>
      </c>
      <c r="I1968" s="24" t="n">
        <v>0.112504132091999</v>
      </c>
      <c r="J1968" s="6" t="n">
        <v>71000</v>
      </c>
      <c r="K1968" s="25">
        <f>23*10^-6</f>
        <v/>
      </c>
      <c r="L1968" s="8">
        <f>H1968</f>
        <v/>
      </c>
      <c r="M1968" s="26">
        <f>H1968^2/6</f>
        <v/>
      </c>
      <c r="N1968" s="26">
        <f>H1968^3/12</f>
        <v/>
      </c>
      <c r="O1968" s="27">
        <f>-J1968*L1968*K1968*C1968</f>
        <v/>
      </c>
      <c r="P1968" s="28">
        <f>-(12*F1968*J1968*L1968*N1968+12*O1968*N1968*G1968*COS(RADIANS(E1968)))/(12*N1968*G1968*COS(RADIANS(E1968))^2+L1968*G1968^3*SIN(RADIANS(E1968))^2)</f>
        <v/>
      </c>
      <c r="Q1968" s="28">
        <f>-(6*F1968*J1968*L1968*N1968*SIN(RADIANS(E1968))+6*O1968*N1968*G1968*SIN(RADIANS(E1968))*COS(RADIANS(E1968)))/(12*N1968*COS(RADIANS(E1968))^2+L1968*G1968^2*SIN(RADIANS(E1968))^2)</f>
        <v/>
      </c>
      <c r="R1968" s="28">
        <f>-P1968*SIN(RADIANS(E1968))</f>
        <v/>
      </c>
      <c r="S1968" s="8">
        <f>(O1968+P1968*COS(RADIANS(E1968)))/L1968</f>
        <v/>
      </c>
      <c r="T1968" s="8">
        <f>R1968/L1968</f>
        <v/>
      </c>
      <c r="U1968" s="8">
        <f>(Q1968-P1968*G1968*SIN(RADIANS(E1968)))/M1968</f>
        <v/>
      </c>
      <c r="V1968" s="8">
        <f>SQRT((S1968+U1968)^2+3*T1968^2)</f>
        <v/>
      </c>
      <c r="W1968" s="8">
        <f>V1968/AA1968</f>
        <v/>
      </c>
      <c r="X1968" s="27">
        <f>((3*10+H1968/COS(RADIANS(E1968)))*(3+3)+3*G1968*H1968)*2</f>
        <v/>
      </c>
      <c r="Y1968" s="28">
        <f>Z1968/X1968</f>
        <v/>
      </c>
      <c r="Z1968" s="29" t="n">
        <v>740.431497519189</v>
      </c>
      <c r="AA1968" s="20" t="n">
        <v>107.335723189938</v>
      </c>
      <c r="AB1968" t="n">
        <v>0.1363897216929163</v>
      </c>
      <c r="AC1968" t="n">
        <v>102.8463885182989</v>
      </c>
      <c r="AD1968" t="n">
        <v>21.2308553977245</v>
      </c>
    </row>
    <row r="1969">
      <c r="A1969" t="n">
        <v>1968</v>
      </c>
      <c r="B1969" t="n">
        <v>71.90000000000001</v>
      </c>
      <c r="C1969" s="21">
        <f>B1969-20</f>
        <v/>
      </c>
      <c r="D1969" t="n">
        <v>101</v>
      </c>
      <c r="E1969" s="22">
        <f>D1969-90</f>
        <v/>
      </c>
      <c r="F1969" s="23" t="n">
        <v>0.016804</v>
      </c>
      <c r="G1969" s="22" t="n">
        <v>29.2</v>
      </c>
      <c r="H1969" s="22" t="n">
        <v>1.5</v>
      </c>
      <c r="I1969" s="24" t="n">
        <v>0.07245033979415889</v>
      </c>
      <c r="J1969" s="6" t="n">
        <v>71000</v>
      </c>
      <c r="K1969" s="25">
        <f>23*10^-6</f>
        <v/>
      </c>
      <c r="L1969" s="8">
        <f>H1969</f>
        <v/>
      </c>
      <c r="M1969" s="26">
        <f>H1969^2/6</f>
        <v/>
      </c>
      <c r="N1969" s="26">
        <f>H1969^3/12</f>
        <v/>
      </c>
      <c r="O1969" s="27">
        <f>-J1969*L1969*K1969*C1969</f>
        <v/>
      </c>
      <c r="P1969" s="28">
        <f>-(12*F1969*J1969*L1969*N1969+12*O1969*N1969*G1969*COS(RADIANS(E1969)))/(12*N1969*G1969*COS(RADIANS(E1969))^2+L1969*G1969^3*SIN(RADIANS(E1969))^2)</f>
        <v/>
      </c>
      <c r="Q1969" s="28">
        <f>-(6*F1969*J1969*L1969*N1969*SIN(RADIANS(E1969))+6*O1969*N1969*G1969*SIN(RADIANS(E1969))*COS(RADIANS(E1969)))/(12*N1969*COS(RADIANS(E1969))^2+L1969*G1969^2*SIN(RADIANS(E1969))^2)</f>
        <v/>
      </c>
      <c r="R1969" s="28">
        <f>-P1969*SIN(RADIANS(E1969))</f>
        <v/>
      </c>
      <c r="S1969" s="8">
        <f>(O1969+P1969*COS(RADIANS(E1969)))/L1969</f>
        <v/>
      </c>
      <c r="T1969" s="8">
        <f>R1969/L1969</f>
        <v/>
      </c>
      <c r="U1969" s="8">
        <f>(Q1969-P1969*G1969*SIN(RADIANS(E1969)))/M1969</f>
        <v/>
      </c>
      <c r="V1969" s="8">
        <f>SQRT((S1969+U1969)^2+3*T1969^2)</f>
        <v/>
      </c>
      <c r="W1969" s="8">
        <f>V1969/AA1969</f>
        <v/>
      </c>
      <c r="X1969" s="27">
        <f>((3*10+H1969/COS(RADIANS(E1969)))*(3+3)+3*G1969*H1969)*2</f>
        <v/>
      </c>
      <c r="Y1969" s="28">
        <f>Z1969/X1969</f>
        <v/>
      </c>
      <c r="Z1969" s="29" t="n">
        <v>656.980641682301</v>
      </c>
      <c r="AA1969" s="20" t="n">
        <v>73.77155610765</v>
      </c>
      <c r="AB1969" t="n">
        <v>0.2691112639795126</v>
      </c>
      <c r="AC1969" t="n">
        <v>88.58120241295654</v>
      </c>
      <c r="AD1969" t="n">
        <v>271.4423765907706</v>
      </c>
    </row>
    <row r="1970">
      <c r="A1970" t="n">
        <v>1969</v>
      </c>
      <c r="B1970" t="n">
        <v>75.59999999999999</v>
      </c>
      <c r="C1970" s="21">
        <f>B1970-20</f>
        <v/>
      </c>
      <c r="D1970" t="n">
        <v>118.8</v>
      </c>
      <c r="E1970" s="22">
        <f>D1970-90</f>
        <v/>
      </c>
      <c r="F1970" s="23" t="n">
        <v>0.022042</v>
      </c>
      <c r="G1970" s="22" t="n">
        <v>32.9</v>
      </c>
      <c r="H1970" s="22" t="n">
        <v>1.2</v>
      </c>
      <c r="I1970" s="24" t="n">
        <v>0.102831549942493</v>
      </c>
      <c r="J1970" s="6" t="n">
        <v>71000</v>
      </c>
      <c r="K1970" s="25">
        <f>23*10^-6</f>
        <v/>
      </c>
      <c r="L1970" s="8">
        <f>H1970</f>
        <v/>
      </c>
      <c r="M1970" s="26">
        <f>H1970^2/6</f>
        <v/>
      </c>
      <c r="N1970" s="26">
        <f>H1970^3/12</f>
        <v/>
      </c>
      <c r="O1970" s="27">
        <f>-J1970*L1970*K1970*C1970</f>
        <v/>
      </c>
      <c r="P1970" s="28">
        <f>-(12*F1970*J1970*L1970*N1970+12*O1970*N1970*G1970*COS(RADIANS(E1970)))/(12*N1970*G1970*COS(RADIANS(E1970))^2+L1970*G1970^3*SIN(RADIANS(E1970))^2)</f>
        <v/>
      </c>
      <c r="Q1970" s="28">
        <f>-(6*F1970*J1970*L1970*N1970*SIN(RADIANS(E1970))+6*O1970*N1970*G1970*SIN(RADIANS(E1970))*COS(RADIANS(E1970)))/(12*N1970*COS(RADIANS(E1970))^2+L1970*G1970^2*SIN(RADIANS(E1970))^2)</f>
        <v/>
      </c>
      <c r="R1970" s="28">
        <f>-P1970*SIN(RADIANS(E1970))</f>
        <v/>
      </c>
      <c r="S1970" s="8">
        <f>(O1970+P1970*COS(RADIANS(E1970)))/L1970</f>
        <v/>
      </c>
      <c r="T1970" s="8">
        <f>R1970/L1970</f>
        <v/>
      </c>
      <c r="U1970" s="8">
        <f>(Q1970-P1970*G1970*SIN(RADIANS(E1970)))/M1970</f>
        <v/>
      </c>
      <c r="V1970" s="8">
        <f>SQRT((S1970+U1970)^2+3*T1970^2)</f>
        <v/>
      </c>
      <c r="W1970" s="8">
        <f>V1970/AA1970</f>
        <v/>
      </c>
      <c r="X1970" s="27">
        <f>((3*10+H1970/COS(RADIANS(E1970)))*(3+3)+3*G1970*H1970)*2</f>
        <v/>
      </c>
      <c r="Y1970" s="28">
        <f>Z1970/X1970</f>
        <v/>
      </c>
      <c r="Z1970" s="29" t="n">
        <v>620.218425591974</v>
      </c>
      <c r="AA1970" s="20" t="n">
        <v>77.2569583837797</v>
      </c>
      <c r="AB1970" t="n">
        <v>0.1268779345908625</v>
      </c>
      <c r="AC1970" t="n">
        <v>80.48344159534319</v>
      </c>
      <c r="AD1970" t="n">
        <v>23.38424798791529</v>
      </c>
    </row>
    <row r="1971">
      <c r="A1971" t="n">
        <v>1970</v>
      </c>
      <c r="B1971" t="n">
        <v>60.8</v>
      </c>
      <c r="C1971" s="21">
        <f>B1971-20</f>
        <v/>
      </c>
      <c r="D1971" t="n">
        <v>111.2</v>
      </c>
      <c r="E1971" s="22">
        <f>D1971-90</f>
        <v/>
      </c>
      <c r="F1971" s="23" t="n">
        <v>0.012797</v>
      </c>
      <c r="G1971" s="22" t="n">
        <v>25.8</v>
      </c>
      <c r="H1971" s="22" t="n">
        <v>1.2</v>
      </c>
      <c r="I1971" s="24" t="n">
        <v>0.058456465601921</v>
      </c>
      <c r="J1971" s="6" t="n">
        <v>71000</v>
      </c>
      <c r="K1971" s="25">
        <f>23*10^-6</f>
        <v/>
      </c>
      <c r="L1971" s="8">
        <f>H1971</f>
        <v/>
      </c>
      <c r="M1971" s="26">
        <f>H1971^2/6</f>
        <v/>
      </c>
      <c r="N1971" s="26">
        <f>H1971^3/12</f>
        <v/>
      </c>
      <c r="O1971" s="27">
        <f>-J1971*L1971*K1971*C1971</f>
        <v/>
      </c>
      <c r="P1971" s="28">
        <f>-(12*F1971*J1971*L1971*N1971+12*O1971*N1971*G1971*COS(RADIANS(E1971)))/(12*N1971*G1971*COS(RADIANS(E1971))^2+L1971*G1971^3*SIN(RADIANS(E1971))^2)</f>
        <v/>
      </c>
      <c r="Q1971" s="28">
        <f>-(6*F1971*J1971*L1971*N1971*SIN(RADIANS(E1971))+6*O1971*N1971*G1971*SIN(RADIANS(E1971))*COS(RADIANS(E1971)))/(12*N1971*COS(RADIANS(E1971))^2+L1971*G1971^2*SIN(RADIANS(E1971))^2)</f>
        <v/>
      </c>
      <c r="R1971" s="28">
        <f>-P1971*SIN(RADIANS(E1971))</f>
        <v/>
      </c>
      <c r="S1971" s="8">
        <f>(O1971+P1971*COS(RADIANS(E1971)))/L1971</f>
        <v/>
      </c>
      <c r="T1971" s="8">
        <f>R1971/L1971</f>
        <v/>
      </c>
      <c r="U1971" s="8">
        <f>(Q1971-P1971*G1971*SIN(RADIANS(E1971)))/M1971</f>
        <v/>
      </c>
      <c r="V1971" s="8">
        <f>SQRT((S1971+U1971)^2+3*T1971^2)</f>
        <v/>
      </c>
      <c r="W1971" s="8">
        <f>V1971/AA1971</f>
        <v/>
      </c>
      <c r="X1971" s="27">
        <f>((3*10+H1971/COS(RADIANS(E1971)))*(3+3)+3*G1971*H1971)*2</f>
        <v/>
      </c>
      <c r="Y1971" s="28">
        <f>Z1971/X1971</f>
        <v/>
      </c>
      <c r="Z1971" s="29" t="n">
        <v>571.243099209709</v>
      </c>
      <c r="AA1971" s="20" t="n">
        <v>56.9267734694968</v>
      </c>
      <c r="AB1971" t="n">
        <v>0.1014523149939103</v>
      </c>
      <c r="AC1971" t="n">
        <v>61.90274639231033</v>
      </c>
      <c r="AD1971" t="n">
        <v>73.55191414544979</v>
      </c>
    </row>
    <row r="1972">
      <c r="A1972" t="n">
        <v>1971</v>
      </c>
      <c r="B1972" t="n">
        <v>40.1</v>
      </c>
      <c r="C1972" s="21">
        <f>B1972-20</f>
        <v/>
      </c>
      <c r="D1972" t="n">
        <v>110.7</v>
      </c>
      <c r="E1972" s="22">
        <f>D1972-90</f>
        <v/>
      </c>
      <c r="F1972" s="23" t="n">
        <v>0.008218</v>
      </c>
      <c r="G1972" s="22" t="n">
        <v>31.7</v>
      </c>
      <c r="H1972" s="22" t="n">
        <v>1.4</v>
      </c>
      <c r="I1972" s="24" t="n">
        <v>0.0482287816703319</v>
      </c>
      <c r="J1972" s="6" t="n">
        <v>71000</v>
      </c>
      <c r="K1972" s="25">
        <f>23*10^-6</f>
        <v/>
      </c>
      <c r="L1972" s="8">
        <f>H1972</f>
        <v/>
      </c>
      <c r="M1972" s="26">
        <f>H1972^2/6</f>
        <v/>
      </c>
      <c r="N1972" s="26">
        <f>H1972^3/12</f>
        <v/>
      </c>
      <c r="O1972" s="27">
        <f>-J1972*L1972*K1972*C1972</f>
        <v/>
      </c>
      <c r="P1972" s="28">
        <f>-(12*F1972*J1972*L1972*N1972+12*O1972*N1972*G1972*COS(RADIANS(E1972)))/(12*N1972*G1972*COS(RADIANS(E1972))^2+L1972*G1972^3*SIN(RADIANS(E1972))^2)</f>
        <v/>
      </c>
      <c r="Q1972" s="28">
        <f>-(6*F1972*J1972*L1972*N1972*SIN(RADIANS(E1972))+6*O1972*N1972*G1972*SIN(RADIANS(E1972))*COS(RADIANS(E1972)))/(12*N1972*COS(RADIANS(E1972))^2+L1972*G1972^2*SIN(RADIANS(E1972))^2)</f>
        <v/>
      </c>
      <c r="R1972" s="28">
        <f>-P1972*SIN(RADIANS(E1972))</f>
        <v/>
      </c>
      <c r="S1972" s="8">
        <f>(O1972+P1972*COS(RADIANS(E1972)))/L1972</f>
        <v/>
      </c>
      <c r="T1972" s="8">
        <f>R1972/L1972</f>
        <v/>
      </c>
      <c r="U1972" s="8">
        <f>(Q1972-P1972*G1972*SIN(RADIANS(E1972)))/M1972</f>
        <v/>
      </c>
      <c r="V1972" s="8">
        <f>SQRT((S1972+U1972)^2+3*T1972^2)</f>
        <v/>
      </c>
      <c r="W1972" s="8">
        <f>V1972/AA1972</f>
        <v/>
      </c>
      <c r="X1972" s="27">
        <f>((3*10+H1972/COS(RADIANS(E1972)))*(3+3)+3*G1972*H1972)*2</f>
        <v/>
      </c>
      <c r="Y1972" s="28">
        <f>Z1972/X1972</f>
        <v/>
      </c>
      <c r="Z1972" s="29" t="n">
        <v>649.023089842945</v>
      </c>
      <c r="AA1972" s="20" t="n">
        <v>29.9937882865143</v>
      </c>
      <c r="AB1972" t="n">
        <v>0.0621882625112702</v>
      </c>
      <c r="AC1972" t="n">
        <v>30.6231062460147</v>
      </c>
      <c r="AD1972" t="n">
        <v>28.94429499869686</v>
      </c>
    </row>
    <row r="1973">
      <c r="A1973" t="n">
        <v>1972</v>
      </c>
      <c r="B1973" t="n">
        <v>67.2</v>
      </c>
      <c r="C1973" s="21">
        <f>B1973-20</f>
        <v/>
      </c>
      <c r="D1973" t="n">
        <v>112</v>
      </c>
      <c r="E1973" s="22">
        <f>D1973-90</f>
        <v/>
      </c>
      <c r="F1973" s="23" t="n">
        <v>0.017128</v>
      </c>
      <c r="G1973" s="22" t="n">
        <v>33.1</v>
      </c>
      <c r="H1973" s="22" t="n">
        <v>1.6</v>
      </c>
      <c r="I1973" s="24" t="n">
        <v>0.0729279816150665</v>
      </c>
      <c r="J1973" s="6" t="n">
        <v>71000</v>
      </c>
      <c r="K1973" s="25">
        <f>23*10^-6</f>
        <v/>
      </c>
      <c r="L1973" s="8">
        <f>H1973</f>
        <v/>
      </c>
      <c r="M1973" s="26">
        <f>H1973^2/6</f>
        <v/>
      </c>
      <c r="N1973" s="26">
        <f>H1973^3/12</f>
        <v/>
      </c>
      <c r="O1973" s="27">
        <f>-J1973*L1973*K1973*C1973</f>
        <v/>
      </c>
      <c r="P1973" s="28">
        <f>-(12*F1973*J1973*L1973*N1973+12*O1973*N1973*G1973*COS(RADIANS(E1973)))/(12*N1973*G1973*COS(RADIANS(E1973))^2+L1973*G1973^3*SIN(RADIANS(E1973))^2)</f>
        <v/>
      </c>
      <c r="Q1973" s="28">
        <f>-(6*F1973*J1973*L1973*N1973*SIN(RADIANS(E1973))+6*O1973*N1973*G1973*SIN(RADIANS(E1973))*COS(RADIANS(E1973)))/(12*N1973*COS(RADIANS(E1973))^2+L1973*G1973^2*SIN(RADIANS(E1973))^2)</f>
        <v/>
      </c>
      <c r="R1973" s="28">
        <f>-P1973*SIN(RADIANS(E1973))</f>
        <v/>
      </c>
      <c r="S1973" s="8">
        <f>(O1973+P1973*COS(RADIANS(E1973)))/L1973</f>
        <v/>
      </c>
      <c r="T1973" s="8">
        <f>R1973/L1973</f>
        <v/>
      </c>
      <c r="U1973" s="8">
        <f>(Q1973-P1973*G1973*SIN(RADIANS(E1973)))/M1973</f>
        <v/>
      </c>
      <c r="V1973" s="8">
        <f>SQRT((S1973+U1973)^2+3*T1973^2)</f>
        <v/>
      </c>
      <c r="W1973" s="8">
        <f>V1973/AA1973</f>
        <v/>
      </c>
      <c r="X1973" s="27">
        <f>((3*10+H1973/COS(RADIANS(E1973)))*(3+3)+3*G1973*H1973)*2</f>
        <v/>
      </c>
      <c r="Y1973" s="28">
        <f>Z1973/X1973</f>
        <v/>
      </c>
      <c r="Z1973" s="29" t="n">
        <v>712.547700157093</v>
      </c>
      <c r="AA1973" s="20" t="n">
        <v>67.68195199865271</v>
      </c>
      <c r="AB1973" t="n">
        <v>0.142630384570071</v>
      </c>
      <c r="AC1973" t="n">
        <v>72.17147486806262</v>
      </c>
      <c r="AD1973" t="n">
        <v>95.57703560604833</v>
      </c>
    </row>
    <row r="1974">
      <c r="A1974" t="n">
        <v>1973</v>
      </c>
      <c r="B1974" t="n">
        <v>80.40000000000001</v>
      </c>
      <c r="C1974" s="21">
        <f>B1974-20</f>
        <v/>
      </c>
      <c r="D1974" t="n">
        <v>111.6</v>
      </c>
      <c r="E1974" s="22">
        <f>D1974-90</f>
        <v/>
      </c>
      <c r="F1974" s="23" t="n">
        <v>0.016425</v>
      </c>
      <c r="G1974" s="22" t="n">
        <v>21.1</v>
      </c>
      <c r="H1974" s="22" t="n">
        <v>1.1</v>
      </c>
      <c r="I1974" s="24" t="n">
        <v>0.0785318091511726</v>
      </c>
      <c r="J1974" s="6" t="n">
        <v>71000</v>
      </c>
      <c r="K1974" s="25">
        <f>23*10^-6</f>
        <v/>
      </c>
      <c r="L1974" s="8">
        <f>H1974</f>
        <v/>
      </c>
      <c r="M1974" s="26">
        <f>H1974^2/6</f>
        <v/>
      </c>
      <c r="N1974" s="26">
        <f>H1974^3/12</f>
        <v/>
      </c>
      <c r="O1974" s="27">
        <f>-J1974*L1974*K1974*C1974</f>
        <v/>
      </c>
      <c r="P1974" s="28">
        <f>-(12*F1974*J1974*L1974*N1974+12*O1974*N1974*G1974*COS(RADIANS(E1974)))/(12*N1974*G1974*COS(RADIANS(E1974))^2+L1974*G1974^3*SIN(RADIANS(E1974))^2)</f>
        <v/>
      </c>
      <c r="Q1974" s="28">
        <f>-(6*F1974*J1974*L1974*N1974*SIN(RADIANS(E1974))+6*O1974*N1974*G1974*SIN(RADIANS(E1974))*COS(RADIANS(E1974)))/(12*N1974*COS(RADIANS(E1974))^2+L1974*G1974^2*SIN(RADIANS(E1974))^2)</f>
        <v/>
      </c>
      <c r="R1974" s="28">
        <f>-P1974*SIN(RADIANS(E1974))</f>
        <v/>
      </c>
      <c r="S1974" s="8">
        <f>(O1974+P1974*COS(RADIANS(E1974)))/L1974</f>
        <v/>
      </c>
      <c r="T1974" s="8">
        <f>R1974/L1974</f>
        <v/>
      </c>
      <c r="U1974" s="8">
        <f>(Q1974-P1974*G1974*SIN(RADIANS(E1974)))/M1974</f>
        <v/>
      </c>
      <c r="V1974" s="8">
        <f>SQRT((S1974+U1974)^2+3*T1974^2)</f>
        <v/>
      </c>
      <c r="W1974" s="8">
        <f>V1974/AA1974</f>
        <v/>
      </c>
      <c r="X1974" s="27">
        <f>((3*10+H1974/COS(RADIANS(E1974)))*(3+3)+3*G1974*H1974)*2</f>
        <v/>
      </c>
      <c r="Y1974" s="28">
        <f>Z1974/X1974</f>
        <v/>
      </c>
      <c r="Z1974" s="29" t="n">
        <v>522.655222895357</v>
      </c>
      <c r="AA1974" s="20" t="n">
        <v>85.39109948334659</v>
      </c>
      <c r="AB1974" t="n">
        <v>0.1219431279910287</v>
      </c>
      <c r="AC1974" t="n">
        <v>91.74909549497491</v>
      </c>
      <c r="AD1974" t="n">
        <v>55.27864353193485</v>
      </c>
    </row>
    <row r="1975">
      <c r="A1975" t="n">
        <v>1974</v>
      </c>
      <c r="B1975" t="n">
        <v>52.8</v>
      </c>
      <c r="C1975" s="21">
        <f>B1975-20</f>
        <v/>
      </c>
      <c r="D1975" t="n">
        <v>114.1</v>
      </c>
      <c r="E1975" s="22">
        <f>D1975-90</f>
        <v/>
      </c>
      <c r="F1975" s="23" t="n">
        <v>0.011053</v>
      </c>
      <c r="G1975" s="22" t="n">
        <v>24</v>
      </c>
      <c r="H1975" s="22" t="n">
        <v>1.4</v>
      </c>
      <c r="I1975" s="24" t="n">
        <v>0.0985175892710685</v>
      </c>
      <c r="J1975" s="6" t="n">
        <v>71000</v>
      </c>
      <c r="K1975" s="25">
        <f>23*10^-6</f>
        <v/>
      </c>
      <c r="L1975" s="8">
        <f>H1975</f>
        <v/>
      </c>
      <c r="M1975" s="26">
        <f>H1975^2/6</f>
        <v/>
      </c>
      <c r="N1975" s="26">
        <f>H1975^3/12</f>
        <v/>
      </c>
      <c r="O1975" s="27">
        <f>-J1975*L1975*K1975*C1975</f>
        <v/>
      </c>
      <c r="P1975" s="28">
        <f>-(12*F1975*J1975*L1975*N1975+12*O1975*N1975*G1975*COS(RADIANS(E1975)))/(12*N1975*G1975*COS(RADIANS(E1975))^2+L1975*G1975^3*SIN(RADIANS(E1975))^2)</f>
        <v/>
      </c>
      <c r="Q1975" s="28">
        <f>-(6*F1975*J1975*L1975*N1975*SIN(RADIANS(E1975))+6*O1975*N1975*G1975*SIN(RADIANS(E1975))*COS(RADIANS(E1975)))/(12*N1975*COS(RADIANS(E1975))^2+L1975*G1975^2*SIN(RADIANS(E1975))^2)</f>
        <v/>
      </c>
      <c r="R1975" s="28">
        <f>-P1975*SIN(RADIANS(E1975))</f>
        <v/>
      </c>
      <c r="S1975" s="8">
        <f>(O1975+P1975*COS(RADIANS(E1975)))/L1975</f>
        <v/>
      </c>
      <c r="T1975" s="8">
        <f>R1975/L1975</f>
        <v/>
      </c>
      <c r="U1975" s="8">
        <f>(Q1975-P1975*G1975*SIN(RADIANS(E1975)))/M1975</f>
        <v/>
      </c>
      <c r="V1975" s="8">
        <f>SQRT((S1975+U1975)^2+3*T1975^2)</f>
        <v/>
      </c>
      <c r="W1975" s="8">
        <f>V1975/AA1975</f>
        <v/>
      </c>
      <c r="X1975" s="27">
        <f>((3*10+H1975/COS(RADIANS(E1975)))*(3+3)+3*G1975*H1975)*2</f>
        <v/>
      </c>
      <c r="Y1975" s="28">
        <f>Z1975/X1975</f>
        <v/>
      </c>
      <c r="Z1975" s="29" t="n">
        <v>582.597270539814</v>
      </c>
      <c r="AA1975" s="20" t="n">
        <v>54.5866355496344</v>
      </c>
      <c r="AB1975" t="n">
        <v>0.06645954074965361</v>
      </c>
      <c r="AC1975" t="n">
        <v>50.02984657843323</v>
      </c>
      <c r="AD1975" t="n">
        <v>-32.54043136724349</v>
      </c>
    </row>
    <row r="1976">
      <c r="A1976" t="n">
        <v>1975</v>
      </c>
      <c r="B1976" t="n">
        <v>61.2</v>
      </c>
      <c r="C1976" s="21">
        <f>B1976-20</f>
        <v/>
      </c>
      <c r="D1976" t="n">
        <v>128.7</v>
      </c>
      <c r="E1976" s="22">
        <f>D1976-90</f>
        <v/>
      </c>
      <c r="F1976" s="23" t="n">
        <v>0.013149</v>
      </c>
      <c r="G1976" s="22" t="n">
        <v>25.1</v>
      </c>
      <c r="H1976" s="22" t="n">
        <v>1.2</v>
      </c>
      <c r="I1976" s="24" t="n">
        <v>0.06403598934412</v>
      </c>
      <c r="J1976" s="6" t="n">
        <v>71000</v>
      </c>
      <c r="K1976" s="25">
        <f>23*10^-6</f>
        <v/>
      </c>
      <c r="L1976" s="8">
        <f>H1976</f>
        <v/>
      </c>
      <c r="M1976" s="26">
        <f>H1976^2/6</f>
        <v/>
      </c>
      <c r="N1976" s="26">
        <f>H1976^3/12</f>
        <v/>
      </c>
      <c r="O1976" s="27">
        <f>-J1976*L1976*K1976*C1976</f>
        <v/>
      </c>
      <c r="P1976" s="28">
        <f>-(12*F1976*J1976*L1976*N1976+12*O1976*N1976*G1976*COS(RADIANS(E1976)))/(12*N1976*G1976*COS(RADIANS(E1976))^2+L1976*G1976^3*SIN(RADIANS(E1976))^2)</f>
        <v/>
      </c>
      <c r="Q1976" s="28">
        <f>-(6*F1976*J1976*L1976*N1976*SIN(RADIANS(E1976))+6*O1976*N1976*G1976*SIN(RADIANS(E1976))*COS(RADIANS(E1976)))/(12*N1976*COS(RADIANS(E1976))^2+L1976*G1976^2*SIN(RADIANS(E1976))^2)</f>
        <v/>
      </c>
      <c r="R1976" s="28">
        <f>-P1976*SIN(RADIANS(E1976))</f>
        <v/>
      </c>
      <c r="S1976" s="8">
        <f>(O1976+P1976*COS(RADIANS(E1976)))/L1976</f>
        <v/>
      </c>
      <c r="T1976" s="8">
        <f>R1976/L1976</f>
        <v/>
      </c>
      <c r="U1976" s="8">
        <f>(Q1976-P1976*G1976*SIN(RADIANS(E1976)))/M1976</f>
        <v/>
      </c>
      <c r="V1976" s="8">
        <f>SQRT((S1976+U1976)^2+3*T1976^2)</f>
        <v/>
      </c>
      <c r="W1976" s="8">
        <f>V1976/AA1976</f>
        <v/>
      </c>
      <c r="X1976" s="27">
        <f>((3*10+H1976/COS(RADIANS(E1976)))*(3+3)+3*G1976*H1976)*2</f>
        <v/>
      </c>
      <c r="Y1976" s="28">
        <f>Z1976/X1976</f>
        <v/>
      </c>
      <c r="Z1976" s="29" t="n">
        <v>563.973904723581</v>
      </c>
      <c r="AA1976" s="20" t="n">
        <v>59.0521905811862</v>
      </c>
      <c r="AB1976" t="n">
        <v>0.05282006089655784</v>
      </c>
      <c r="AC1976" t="n">
        <v>58.74743531546938</v>
      </c>
      <c r="AD1976" t="n">
        <v>-17.51503890615229</v>
      </c>
    </row>
    <row r="1977">
      <c r="A1977" t="n">
        <v>1976</v>
      </c>
      <c r="B1977" t="n">
        <v>62.6</v>
      </c>
      <c r="C1977" s="21">
        <f>B1977-20</f>
        <v/>
      </c>
      <c r="D1977" t="n">
        <v>126.6</v>
      </c>
      <c r="E1977" s="22">
        <f>D1977-90</f>
        <v/>
      </c>
      <c r="F1977" s="23" t="n">
        <v>0.01704</v>
      </c>
      <c r="G1977" s="22" t="n">
        <v>31.2</v>
      </c>
      <c r="H1977" s="22" t="n">
        <v>2</v>
      </c>
      <c r="I1977" s="24" t="n">
        <v>0.0946834161877632</v>
      </c>
      <c r="J1977" s="6" t="n">
        <v>71000</v>
      </c>
      <c r="K1977" s="25">
        <f>23*10^-6</f>
        <v/>
      </c>
      <c r="L1977" s="8">
        <f>H1977</f>
        <v/>
      </c>
      <c r="M1977" s="26">
        <f>H1977^2/6</f>
        <v/>
      </c>
      <c r="N1977" s="26">
        <f>H1977^3/12</f>
        <v/>
      </c>
      <c r="O1977" s="27">
        <f>-J1977*L1977*K1977*C1977</f>
        <v/>
      </c>
      <c r="P1977" s="28">
        <f>-(12*F1977*J1977*L1977*N1977+12*O1977*N1977*G1977*COS(RADIANS(E1977)))/(12*N1977*G1977*COS(RADIANS(E1977))^2+L1977*G1977^3*SIN(RADIANS(E1977))^2)</f>
        <v/>
      </c>
      <c r="Q1977" s="28">
        <f>-(6*F1977*J1977*L1977*N1977*SIN(RADIANS(E1977))+6*O1977*N1977*G1977*SIN(RADIANS(E1977))*COS(RADIANS(E1977)))/(12*N1977*COS(RADIANS(E1977))^2+L1977*G1977^2*SIN(RADIANS(E1977))^2)</f>
        <v/>
      </c>
      <c r="R1977" s="28">
        <f>-P1977*SIN(RADIANS(E1977))</f>
        <v/>
      </c>
      <c r="S1977" s="8">
        <f>(O1977+P1977*COS(RADIANS(E1977)))/L1977</f>
        <v/>
      </c>
      <c r="T1977" s="8">
        <f>R1977/L1977</f>
        <v/>
      </c>
      <c r="U1977" s="8">
        <f>(Q1977-P1977*G1977*SIN(RADIANS(E1977)))/M1977</f>
        <v/>
      </c>
      <c r="V1977" s="8">
        <f>SQRT((S1977+U1977)^2+3*T1977^2)</f>
        <v/>
      </c>
      <c r="W1977" s="8">
        <f>V1977/AA1977</f>
        <v/>
      </c>
      <c r="X1977" s="27">
        <f>((3*10+H1977/COS(RADIANS(E1977)))*(3+3)+3*G1977*H1977)*2</f>
        <v/>
      </c>
      <c r="Y1977" s="28">
        <f>Z1977/X1977</f>
        <v/>
      </c>
      <c r="Z1977" s="29" t="n">
        <v>765.317888328102</v>
      </c>
      <c r="AA1977" s="20" t="n">
        <v>71.3075302958967</v>
      </c>
      <c r="AB1977" t="n">
        <v>0.0709627745211672</v>
      </c>
      <c r="AC1977" t="n">
        <v>62.72517077435955</v>
      </c>
      <c r="AD1977" t="n">
        <v>-25.05258325233689</v>
      </c>
    </row>
    <row r="1978">
      <c r="A1978" t="n">
        <v>1977</v>
      </c>
      <c r="B1978" t="n">
        <v>68.5</v>
      </c>
      <c r="C1978" s="21">
        <f>B1978-20</f>
        <v/>
      </c>
      <c r="D1978" t="n">
        <v>108.3</v>
      </c>
      <c r="E1978" s="22">
        <f>D1978-90</f>
        <v/>
      </c>
      <c r="F1978" s="23" t="n">
        <v>0.020127</v>
      </c>
      <c r="G1978" s="22" t="n">
        <v>32.5</v>
      </c>
      <c r="H1978" s="22" t="n">
        <v>1.6</v>
      </c>
      <c r="I1978" s="24" t="n">
        <v>0.113478653132915</v>
      </c>
      <c r="J1978" s="6" t="n">
        <v>71000</v>
      </c>
      <c r="K1978" s="25">
        <f>23*10^-6</f>
        <v/>
      </c>
      <c r="L1978" s="8">
        <f>H1978</f>
        <v/>
      </c>
      <c r="M1978" s="26">
        <f>H1978^2/6</f>
        <v/>
      </c>
      <c r="N1978" s="26">
        <f>H1978^3/12</f>
        <v/>
      </c>
      <c r="O1978" s="27">
        <f>-J1978*L1978*K1978*C1978</f>
        <v/>
      </c>
      <c r="P1978" s="28">
        <f>-(12*F1978*J1978*L1978*N1978+12*O1978*N1978*G1978*COS(RADIANS(E1978)))/(12*N1978*G1978*COS(RADIANS(E1978))^2+L1978*G1978^3*SIN(RADIANS(E1978))^2)</f>
        <v/>
      </c>
      <c r="Q1978" s="28">
        <f>-(6*F1978*J1978*L1978*N1978*SIN(RADIANS(E1978))+6*O1978*N1978*G1978*SIN(RADIANS(E1978))*COS(RADIANS(E1978)))/(12*N1978*COS(RADIANS(E1978))^2+L1978*G1978^2*SIN(RADIANS(E1978))^2)</f>
        <v/>
      </c>
      <c r="R1978" s="28">
        <f>-P1978*SIN(RADIANS(E1978))</f>
        <v/>
      </c>
      <c r="S1978" s="8">
        <f>(O1978+P1978*COS(RADIANS(E1978)))/L1978</f>
        <v/>
      </c>
      <c r="T1978" s="8">
        <f>R1978/L1978</f>
        <v/>
      </c>
      <c r="U1978" s="8">
        <f>(Q1978-P1978*G1978*SIN(RADIANS(E1978)))/M1978</f>
        <v/>
      </c>
      <c r="V1978" s="8">
        <f>SQRT((S1978+U1978)^2+3*T1978^2)</f>
        <v/>
      </c>
      <c r="W1978" s="8">
        <f>V1978/AA1978</f>
        <v/>
      </c>
      <c r="X1978" s="27">
        <f>((3*10+H1978/COS(RADIANS(E1978)))*(3+3)+3*G1978*H1978)*2</f>
        <v/>
      </c>
      <c r="Y1978" s="28">
        <f>Z1978/X1978</f>
        <v/>
      </c>
      <c r="Z1978" s="29" t="n">
        <v>697.614906486393</v>
      </c>
      <c r="AA1978" s="20" t="n">
        <v>74.9481088880553</v>
      </c>
      <c r="AB1978" t="n">
        <v>0.1730925897939391</v>
      </c>
      <c r="AC1978" t="n">
        <v>76.17679840923017</v>
      </c>
      <c r="AD1978" t="n">
        <v>52.53317255290263</v>
      </c>
    </row>
    <row r="1979">
      <c r="A1979" t="n">
        <v>1978</v>
      </c>
      <c r="B1979" t="n">
        <v>41.9</v>
      </c>
      <c r="C1979" s="21">
        <f>B1979-20</f>
        <v/>
      </c>
      <c r="D1979" t="n">
        <v>127.3</v>
      </c>
      <c r="E1979" s="22">
        <f>D1979-90</f>
        <v/>
      </c>
      <c r="F1979" s="23" t="n">
        <v>0.007169</v>
      </c>
      <c r="G1979" s="22" t="n">
        <v>24.5</v>
      </c>
      <c r="H1979" s="22" t="n">
        <v>1.7</v>
      </c>
      <c r="I1979" s="24" t="n">
        <v>0.0402065627276897</v>
      </c>
      <c r="J1979" s="6" t="n">
        <v>71000</v>
      </c>
      <c r="K1979" s="25">
        <f>23*10^-6</f>
        <v/>
      </c>
      <c r="L1979" s="8">
        <f>H1979</f>
        <v/>
      </c>
      <c r="M1979" s="26">
        <f>H1979^2/6</f>
        <v/>
      </c>
      <c r="N1979" s="26">
        <f>H1979^3/12</f>
        <v/>
      </c>
      <c r="O1979" s="27">
        <f>-J1979*L1979*K1979*C1979</f>
        <v/>
      </c>
      <c r="P1979" s="28">
        <f>-(12*F1979*J1979*L1979*N1979+12*O1979*N1979*G1979*COS(RADIANS(E1979)))/(12*N1979*G1979*COS(RADIANS(E1979))^2+L1979*G1979^3*SIN(RADIANS(E1979))^2)</f>
        <v/>
      </c>
      <c r="Q1979" s="28">
        <f>-(6*F1979*J1979*L1979*N1979*SIN(RADIANS(E1979))+6*O1979*N1979*G1979*SIN(RADIANS(E1979))*COS(RADIANS(E1979)))/(12*N1979*COS(RADIANS(E1979))^2+L1979*G1979^2*SIN(RADIANS(E1979))^2)</f>
        <v/>
      </c>
      <c r="R1979" s="28">
        <f>-P1979*SIN(RADIANS(E1979))</f>
        <v/>
      </c>
      <c r="S1979" s="8">
        <f>(O1979+P1979*COS(RADIANS(E1979)))/L1979</f>
        <v/>
      </c>
      <c r="T1979" s="8">
        <f>R1979/L1979</f>
        <v/>
      </c>
      <c r="U1979" s="8">
        <f>(Q1979-P1979*G1979*SIN(RADIANS(E1979)))/M1979</f>
        <v/>
      </c>
      <c r="V1979" s="8">
        <f>SQRT((S1979+U1979)^2+3*T1979^2)</f>
        <v/>
      </c>
      <c r="W1979" s="8">
        <f>V1979/AA1979</f>
        <v/>
      </c>
      <c r="X1979" s="27">
        <f>((3*10+H1979/COS(RADIANS(E1979)))*(3+3)+3*G1979*H1979)*2</f>
        <v/>
      </c>
      <c r="Y1979" s="28">
        <f>Z1979/X1979</f>
        <v/>
      </c>
      <c r="Z1979" s="29" t="n">
        <v>637.220571960525</v>
      </c>
      <c r="AA1979" s="20" t="n">
        <v>35.4451707082264</v>
      </c>
      <c r="AB1979" t="n">
        <v>0.02844174690173567</v>
      </c>
      <c r="AC1979" t="n">
        <v>32.13339256496204</v>
      </c>
      <c r="AD1979" t="n">
        <v>-29.26093410579404</v>
      </c>
    </row>
    <row r="1980">
      <c r="A1980" t="n">
        <v>1979</v>
      </c>
      <c r="B1980" t="n">
        <v>89.5</v>
      </c>
      <c r="C1980" s="21">
        <f>B1980-20</f>
        <v/>
      </c>
      <c r="D1980" t="n">
        <v>129.6</v>
      </c>
      <c r="E1980" s="22">
        <f>D1980-90</f>
        <v/>
      </c>
      <c r="F1980" s="23" t="n">
        <v>0.023981</v>
      </c>
      <c r="G1980" s="22" t="n">
        <v>26.1</v>
      </c>
      <c r="H1980" s="22" t="n">
        <v>1.2</v>
      </c>
      <c r="I1980" s="24" t="n">
        <v>0.135691031813621</v>
      </c>
      <c r="J1980" s="6" t="n">
        <v>71000</v>
      </c>
      <c r="K1980" s="25">
        <f>23*10^-6</f>
        <v/>
      </c>
      <c r="L1980" s="8">
        <f>H1980</f>
        <v/>
      </c>
      <c r="M1980" s="26">
        <f>H1980^2/6</f>
        <v/>
      </c>
      <c r="N1980" s="26">
        <f>H1980^3/12</f>
        <v/>
      </c>
      <c r="O1980" s="27">
        <f>-J1980*L1980*K1980*C1980</f>
        <v/>
      </c>
      <c r="P1980" s="28">
        <f>-(12*F1980*J1980*L1980*N1980+12*O1980*N1980*G1980*COS(RADIANS(E1980)))/(12*N1980*G1980*COS(RADIANS(E1980))^2+L1980*G1980^3*SIN(RADIANS(E1980))^2)</f>
        <v/>
      </c>
      <c r="Q1980" s="28">
        <f>-(6*F1980*J1980*L1980*N1980*SIN(RADIANS(E1980))+6*O1980*N1980*G1980*SIN(RADIANS(E1980))*COS(RADIANS(E1980)))/(12*N1980*COS(RADIANS(E1980))^2+L1980*G1980^2*SIN(RADIANS(E1980))^2)</f>
        <v/>
      </c>
      <c r="R1980" s="28">
        <f>-P1980*SIN(RADIANS(E1980))</f>
        <v/>
      </c>
      <c r="S1980" s="8">
        <f>(O1980+P1980*COS(RADIANS(E1980)))/L1980</f>
        <v/>
      </c>
      <c r="T1980" s="8">
        <f>R1980/L1980</f>
        <v/>
      </c>
      <c r="U1980" s="8">
        <f>(Q1980-P1980*G1980*SIN(RADIANS(E1980)))/M1980</f>
        <v/>
      </c>
      <c r="V1980" s="8">
        <f>SQRT((S1980+U1980)^2+3*T1980^2)</f>
        <v/>
      </c>
      <c r="W1980" s="8">
        <f>V1980/AA1980</f>
        <v/>
      </c>
      <c r="X1980" s="27">
        <f>((3*10+H1980/COS(RADIANS(E1980)))*(3+3)+3*G1980*H1980)*2</f>
        <v/>
      </c>
      <c r="Y1980" s="28">
        <f>Z1980/X1980</f>
        <v/>
      </c>
      <c r="Z1980" s="29" t="n">
        <v>568.653877975294</v>
      </c>
      <c r="AA1980" s="20" t="n">
        <v>100.829812044999</v>
      </c>
      <c r="AB1980" t="n">
        <v>0.09012763980878176</v>
      </c>
      <c r="AC1980" t="n">
        <v>98.77543096661664</v>
      </c>
      <c r="AD1980" t="n">
        <v>-33.57877922796182</v>
      </c>
    </row>
    <row r="1981">
      <c r="A1981" t="n">
        <v>1980</v>
      </c>
      <c r="B1981" t="n">
        <v>43.9</v>
      </c>
      <c r="C1981" s="21">
        <f>B1981-20</f>
        <v/>
      </c>
      <c r="D1981" t="n">
        <v>102.6</v>
      </c>
      <c r="E1981" s="22">
        <f>D1981-90</f>
        <v/>
      </c>
      <c r="F1981" s="23" t="n">
        <v>0.008201</v>
      </c>
      <c r="G1981" s="22" t="n">
        <v>26.4</v>
      </c>
      <c r="H1981" s="22" t="n">
        <v>1.8</v>
      </c>
      <c r="I1981" s="24" t="n">
        <v>0.04325882345438</v>
      </c>
      <c r="J1981" s="6" t="n">
        <v>71000</v>
      </c>
      <c r="K1981" s="25">
        <f>23*10^-6</f>
        <v/>
      </c>
      <c r="L1981" s="8">
        <f>H1981</f>
        <v/>
      </c>
      <c r="M1981" s="26">
        <f>H1981^2/6</f>
        <v/>
      </c>
      <c r="N1981" s="26">
        <f>H1981^3/12</f>
        <v/>
      </c>
      <c r="O1981" s="27">
        <f>-J1981*L1981*K1981*C1981</f>
        <v/>
      </c>
      <c r="P1981" s="28">
        <f>-(12*F1981*J1981*L1981*N1981+12*O1981*N1981*G1981*COS(RADIANS(E1981)))/(12*N1981*G1981*COS(RADIANS(E1981))^2+L1981*G1981^3*SIN(RADIANS(E1981))^2)</f>
        <v/>
      </c>
      <c r="Q1981" s="28">
        <f>-(6*F1981*J1981*L1981*N1981*SIN(RADIANS(E1981))+6*O1981*N1981*G1981*SIN(RADIANS(E1981))*COS(RADIANS(E1981)))/(12*N1981*COS(RADIANS(E1981))^2+L1981*G1981^2*SIN(RADIANS(E1981))^2)</f>
        <v/>
      </c>
      <c r="R1981" s="28">
        <f>-P1981*SIN(RADIANS(E1981))</f>
        <v/>
      </c>
      <c r="S1981" s="8">
        <f>(O1981+P1981*COS(RADIANS(E1981)))/L1981</f>
        <v/>
      </c>
      <c r="T1981" s="8">
        <f>R1981/L1981</f>
        <v/>
      </c>
      <c r="U1981" s="8">
        <f>(Q1981-P1981*G1981*SIN(RADIANS(E1981)))/M1981</f>
        <v/>
      </c>
      <c r="V1981" s="8">
        <f>SQRT((S1981+U1981)^2+3*T1981^2)</f>
        <v/>
      </c>
      <c r="W1981" s="8">
        <f>V1981/AA1981</f>
        <v/>
      </c>
      <c r="X1981" s="27">
        <f>((3*10+H1981/COS(RADIANS(E1981)))*(3+3)+3*G1981*H1981)*2</f>
        <v/>
      </c>
      <c r="Y1981" s="28">
        <f>Z1981/X1981</f>
        <v/>
      </c>
      <c r="Z1981" s="29" t="n">
        <v>674.507937777359</v>
      </c>
      <c r="AA1981" s="20" t="n">
        <v>38.9868964761095</v>
      </c>
      <c r="AB1981" t="n">
        <v>0.09612015169748703</v>
      </c>
      <c r="AC1981" t="n">
        <v>41.49185456050942</v>
      </c>
      <c r="AD1981" t="n">
        <v>122.1977946276178</v>
      </c>
    </row>
    <row r="1982">
      <c r="A1982" t="n">
        <v>1981</v>
      </c>
      <c r="B1982" t="n">
        <v>83.09999999999999</v>
      </c>
      <c r="C1982" s="21">
        <f>B1982-20</f>
        <v/>
      </c>
      <c r="D1982" t="n">
        <v>100.7</v>
      </c>
      <c r="E1982" s="22">
        <f>D1982-90</f>
        <v/>
      </c>
      <c r="F1982" s="23" t="n">
        <v>0.017453</v>
      </c>
      <c r="G1982" s="22" t="n">
        <v>23.4</v>
      </c>
      <c r="H1982" s="22" t="n">
        <v>1.2</v>
      </c>
      <c r="I1982" s="24" t="n">
        <v>0.0779868140816688</v>
      </c>
      <c r="J1982" s="6" t="n">
        <v>71000</v>
      </c>
      <c r="K1982" s="25">
        <f>23*10^-6</f>
        <v/>
      </c>
      <c r="L1982" s="8">
        <f>H1982</f>
        <v/>
      </c>
      <c r="M1982" s="26">
        <f>H1982^2/6</f>
        <v/>
      </c>
      <c r="N1982" s="26">
        <f>H1982^3/12</f>
        <v/>
      </c>
      <c r="O1982" s="27">
        <f>-J1982*L1982*K1982*C1982</f>
        <v/>
      </c>
      <c r="P1982" s="28">
        <f>-(12*F1982*J1982*L1982*N1982+12*O1982*N1982*G1982*COS(RADIANS(E1982)))/(12*N1982*G1982*COS(RADIANS(E1982))^2+L1982*G1982^3*SIN(RADIANS(E1982))^2)</f>
        <v/>
      </c>
      <c r="Q1982" s="28">
        <f>-(6*F1982*J1982*L1982*N1982*SIN(RADIANS(E1982))+6*O1982*N1982*G1982*SIN(RADIANS(E1982))*COS(RADIANS(E1982)))/(12*N1982*COS(RADIANS(E1982))^2+L1982*G1982^2*SIN(RADIANS(E1982))^2)</f>
        <v/>
      </c>
      <c r="R1982" s="28">
        <f>-P1982*SIN(RADIANS(E1982))</f>
        <v/>
      </c>
      <c r="S1982" s="8">
        <f>(O1982+P1982*COS(RADIANS(E1982)))/L1982</f>
        <v/>
      </c>
      <c r="T1982" s="8">
        <f>R1982/L1982</f>
        <v/>
      </c>
      <c r="U1982" s="8">
        <f>(Q1982-P1982*G1982*SIN(RADIANS(E1982)))/M1982</f>
        <v/>
      </c>
      <c r="V1982" s="8">
        <f>SQRT((S1982+U1982)^2+3*T1982^2)</f>
        <v/>
      </c>
      <c r="W1982" s="8">
        <f>V1982/AA1982</f>
        <v/>
      </c>
      <c r="X1982" s="27">
        <f>((3*10+H1982/COS(RADIANS(E1982)))*(3+3)+3*G1982*H1982)*2</f>
        <v/>
      </c>
      <c r="Y1982" s="28">
        <f>Z1982/X1982</f>
        <v/>
      </c>
      <c r="Z1982" s="29" t="n">
        <v>557.117247849156</v>
      </c>
      <c r="AA1982" s="20" t="n">
        <v>87.73255727775761</v>
      </c>
      <c r="AB1982" t="n">
        <v>0.2728959944897578</v>
      </c>
      <c r="AC1982" t="n">
        <v>106.674926631983</v>
      </c>
      <c r="AD1982" t="n">
        <v>249.925814643457</v>
      </c>
    </row>
    <row r="1983">
      <c r="A1983" t="n">
        <v>1982</v>
      </c>
      <c r="B1983" t="n">
        <v>46.3</v>
      </c>
      <c r="C1983" s="21">
        <f>B1983-20</f>
        <v/>
      </c>
      <c r="D1983" t="n">
        <v>107.6</v>
      </c>
      <c r="E1983" s="22">
        <f>D1983-90</f>
        <v/>
      </c>
      <c r="F1983" s="23" t="n">
        <v>0.008803</v>
      </c>
      <c r="G1983" s="22" t="n">
        <v>29.1</v>
      </c>
      <c r="H1983" s="22" t="n">
        <v>1.7</v>
      </c>
      <c r="I1983" s="24" t="n">
        <v>0.0386008284986019</v>
      </c>
      <c r="J1983" s="6" t="n">
        <v>71000</v>
      </c>
      <c r="K1983" s="25">
        <f>23*10^-6</f>
        <v/>
      </c>
      <c r="L1983" s="8">
        <f>H1983</f>
        <v/>
      </c>
      <c r="M1983" s="26">
        <f>H1983^2/6</f>
        <v/>
      </c>
      <c r="N1983" s="26">
        <f>H1983^3/12</f>
        <v/>
      </c>
      <c r="O1983" s="27">
        <f>-J1983*L1983*K1983*C1983</f>
        <v/>
      </c>
      <c r="P1983" s="28">
        <f>-(12*F1983*J1983*L1983*N1983+12*O1983*N1983*G1983*COS(RADIANS(E1983)))/(12*N1983*G1983*COS(RADIANS(E1983))^2+L1983*G1983^3*SIN(RADIANS(E1983))^2)</f>
        <v/>
      </c>
      <c r="Q1983" s="28">
        <f>-(6*F1983*J1983*L1983*N1983*SIN(RADIANS(E1983))+6*O1983*N1983*G1983*SIN(RADIANS(E1983))*COS(RADIANS(E1983)))/(12*N1983*COS(RADIANS(E1983))^2+L1983*G1983^2*SIN(RADIANS(E1983))^2)</f>
        <v/>
      </c>
      <c r="R1983" s="28">
        <f>-P1983*SIN(RADIANS(E1983))</f>
        <v/>
      </c>
      <c r="S1983" s="8">
        <f>(O1983+P1983*COS(RADIANS(E1983)))/L1983</f>
        <v/>
      </c>
      <c r="T1983" s="8">
        <f>R1983/L1983</f>
        <v/>
      </c>
      <c r="U1983" s="8">
        <f>(Q1983-P1983*G1983*SIN(RADIANS(E1983)))/M1983</f>
        <v/>
      </c>
      <c r="V1983" s="8">
        <f>SQRT((S1983+U1983)^2+3*T1983^2)</f>
        <v/>
      </c>
      <c r="W1983" s="8">
        <f>V1983/AA1983</f>
        <v/>
      </c>
      <c r="X1983" s="27">
        <f>((3*10+H1983/COS(RADIANS(E1983)))*(3+3)+3*G1983*H1983)*2</f>
        <v/>
      </c>
      <c r="Y1983" s="28">
        <f>Z1983/X1983</f>
        <v/>
      </c>
      <c r="Z1983" s="29" t="n">
        <v>691.558853016242</v>
      </c>
      <c r="AA1983" s="20" t="n">
        <v>39.8679964748711</v>
      </c>
      <c r="AB1983" t="n">
        <v>0.087041956883829</v>
      </c>
      <c r="AC1983" t="n">
        <v>42.36084427600827</v>
      </c>
      <c r="AD1983" t="n">
        <v>125.4924577253092</v>
      </c>
    </row>
    <row r="1984">
      <c r="A1984" t="n">
        <v>1983</v>
      </c>
      <c r="B1984" t="n">
        <v>79</v>
      </c>
      <c r="C1984" s="21">
        <f>B1984-20</f>
        <v/>
      </c>
      <c r="D1984" t="n">
        <v>118.2</v>
      </c>
      <c r="E1984" s="22">
        <f>D1984-90</f>
        <v/>
      </c>
      <c r="F1984" s="23" t="n">
        <v>0.018148</v>
      </c>
      <c r="G1984" s="22" t="n">
        <v>22.1</v>
      </c>
      <c r="H1984" s="22" t="n">
        <v>1.5</v>
      </c>
      <c r="I1984" s="24" t="n">
        <v>0.115433663129806</v>
      </c>
      <c r="J1984" s="6" t="n">
        <v>71000</v>
      </c>
      <c r="K1984" s="25">
        <f>23*10^-6</f>
        <v/>
      </c>
      <c r="L1984" s="8">
        <f>H1984</f>
        <v/>
      </c>
      <c r="M1984" s="26">
        <f>H1984^2/6</f>
        <v/>
      </c>
      <c r="N1984" s="26">
        <f>H1984^3/12</f>
        <v/>
      </c>
      <c r="O1984" s="27">
        <f>-J1984*L1984*K1984*C1984</f>
        <v/>
      </c>
      <c r="P1984" s="28">
        <f>-(12*F1984*J1984*L1984*N1984+12*O1984*N1984*G1984*COS(RADIANS(E1984)))/(12*N1984*G1984*COS(RADIANS(E1984))^2+L1984*G1984^3*SIN(RADIANS(E1984))^2)</f>
        <v/>
      </c>
      <c r="Q1984" s="28">
        <f>-(6*F1984*J1984*L1984*N1984*SIN(RADIANS(E1984))+6*O1984*N1984*G1984*SIN(RADIANS(E1984))*COS(RADIANS(E1984)))/(12*N1984*COS(RADIANS(E1984))^2+L1984*G1984^2*SIN(RADIANS(E1984))^2)</f>
        <v/>
      </c>
      <c r="R1984" s="28">
        <f>-P1984*SIN(RADIANS(E1984))</f>
        <v/>
      </c>
      <c r="S1984" s="8">
        <f>(O1984+P1984*COS(RADIANS(E1984)))/L1984</f>
        <v/>
      </c>
      <c r="T1984" s="8">
        <f>R1984/L1984</f>
        <v/>
      </c>
      <c r="U1984" s="8">
        <f>(Q1984-P1984*G1984*SIN(RADIANS(E1984)))/M1984</f>
        <v/>
      </c>
      <c r="V1984" s="8">
        <f>SQRT((S1984+U1984)^2+3*T1984^2)</f>
        <v/>
      </c>
      <c r="W1984" s="8">
        <f>V1984/AA1984</f>
        <v/>
      </c>
      <c r="X1984" s="27">
        <f>((3*10+H1984/COS(RADIANS(E1984)))*(3+3)+3*G1984*H1984)*2</f>
        <v/>
      </c>
      <c r="Y1984" s="28">
        <f>Z1984/X1984</f>
        <v/>
      </c>
      <c r="Z1984" s="29" t="n">
        <v>582.570908655115</v>
      </c>
      <c r="AA1984" s="20" t="n">
        <v>94.85609228761091</v>
      </c>
      <c r="AB1984" t="n">
        <v>0.09377163689725623</v>
      </c>
      <c r="AC1984" t="n">
        <v>89.22110083719005</v>
      </c>
      <c r="AD1984" t="n">
        <v>-18.76577910222832</v>
      </c>
    </row>
    <row r="1985">
      <c r="A1985" t="n">
        <v>1984</v>
      </c>
      <c r="B1985" t="n">
        <v>44.6</v>
      </c>
      <c r="C1985" s="21">
        <f>B1985-20</f>
        <v/>
      </c>
      <c r="D1985" t="n">
        <v>106.4</v>
      </c>
      <c r="E1985" s="22">
        <f>D1985-90</f>
        <v/>
      </c>
      <c r="F1985" s="23" t="n">
        <v>0.009089</v>
      </c>
      <c r="G1985" s="22" t="n">
        <v>33.2</v>
      </c>
      <c r="H1985" s="22" t="n">
        <v>1.8</v>
      </c>
      <c r="I1985" s="24" t="n">
        <v>0.0389765053987503</v>
      </c>
      <c r="J1985" s="6" t="n">
        <v>71000</v>
      </c>
      <c r="K1985" s="25">
        <f>23*10^-6</f>
        <v/>
      </c>
      <c r="L1985" s="8">
        <f>H1985</f>
        <v/>
      </c>
      <c r="M1985" s="26">
        <f>H1985^2/6</f>
        <v/>
      </c>
      <c r="N1985" s="26">
        <f>H1985^3/12</f>
        <v/>
      </c>
      <c r="O1985" s="27">
        <f>-J1985*L1985*K1985*C1985</f>
        <v/>
      </c>
      <c r="P1985" s="28">
        <f>-(12*F1985*J1985*L1985*N1985+12*O1985*N1985*G1985*COS(RADIANS(E1985)))/(12*N1985*G1985*COS(RADIANS(E1985))^2+L1985*G1985^3*SIN(RADIANS(E1985))^2)</f>
        <v/>
      </c>
      <c r="Q1985" s="28">
        <f>-(6*F1985*J1985*L1985*N1985*SIN(RADIANS(E1985))+6*O1985*N1985*G1985*SIN(RADIANS(E1985))*COS(RADIANS(E1985)))/(12*N1985*COS(RADIANS(E1985))^2+L1985*G1985^2*SIN(RADIANS(E1985))^2)</f>
        <v/>
      </c>
      <c r="R1985" s="28">
        <f>-P1985*SIN(RADIANS(E1985))</f>
        <v/>
      </c>
      <c r="S1985" s="8">
        <f>(O1985+P1985*COS(RADIANS(E1985)))/L1985</f>
        <v/>
      </c>
      <c r="T1985" s="8">
        <f>R1985/L1985</f>
        <v/>
      </c>
      <c r="U1985" s="8">
        <f>(Q1985-P1985*G1985*SIN(RADIANS(E1985)))/M1985</f>
        <v/>
      </c>
      <c r="V1985" s="8">
        <f>SQRT((S1985+U1985)^2+3*T1985^2)</f>
        <v/>
      </c>
      <c r="W1985" s="8">
        <f>V1985/AA1985</f>
        <v/>
      </c>
      <c r="X1985" s="27">
        <f>((3*10+H1985/COS(RADIANS(E1985)))*(3+3)+3*G1985*H1985)*2</f>
        <v/>
      </c>
      <c r="Y1985" s="28">
        <f>Z1985/X1985</f>
        <v/>
      </c>
      <c r="Z1985" s="29" t="n">
        <v>755.317979093684</v>
      </c>
      <c r="AA1985" s="20" t="n">
        <v>36.7068310543763</v>
      </c>
      <c r="AB1985" t="n">
        <v>0.09912630697451989</v>
      </c>
      <c r="AC1985" t="n">
        <v>39.8536720960368</v>
      </c>
      <c r="AD1985" t="n">
        <v>154.3232287256265</v>
      </c>
    </row>
    <row r="1986">
      <c r="A1986" t="n">
        <v>1985</v>
      </c>
      <c r="B1986" t="n">
        <v>49.7</v>
      </c>
      <c r="C1986" s="21">
        <f>B1986-20</f>
        <v/>
      </c>
      <c r="D1986" t="n">
        <v>112.6</v>
      </c>
      <c r="E1986" s="22">
        <f>D1986-90</f>
        <v/>
      </c>
      <c r="F1986" s="23" t="n">
        <v>0.010171</v>
      </c>
      <c r="G1986" s="22" t="n">
        <v>31.2</v>
      </c>
      <c r="H1986" s="22" t="n">
        <v>1.5</v>
      </c>
      <c r="I1986" s="24" t="n">
        <v>0.0434907488524913</v>
      </c>
      <c r="J1986" s="6" t="n">
        <v>71000</v>
      </c>
      <c r="K1986" s="25">
        <f>23*10^-6</f>
        <v/>
      </c>
      <c r="L1986" s="8">
        <f>H1986</f>
        <v/>
      </c>
      <c r="M1986" s="26">
        <f>H1986^2/6</f>
        <v/>
      </c>
      <c r="N1986" s="26">
        <f>H1986^3/12</f>
        <v/>
      </c>
      <c r="O1986" s="27">
        <f>-J1986*L1986*K1986*C1986</f>
        <v/>
      </c>
      <c r="P1986" s="28">
        <f>-(12*F1986*J1986*L1986*N1986+12*O1986*N1986*G1986*COS(RADIANS(E1986)))/(12*N1986*G1986*COS(RADIANS(E1986))^2+L1986*G1986^3*SIN(RADIANS(E1986))^2)</f>
        <v/>
      </c>
      <c r="Q1986" s="28">
        <f>-(6*F1986*J1986*L1986*N1986*SIN(RADIANS(E1986))+6*O1986*N1986*G1986*SIN(RADIANS(E1986))*COS(RADIANS(E1986)))/(12*N1986*COS(RADIANS(E1986))^2+L1986*G1986^2*SIN(RADIANS(E1986))^2)</f>
        <v/>
      </c>
      <c r="R1986" s="28">
        <f>-P1986*SIN(RADIANS(E1986))</f>
        <v/>
      </c>
      <c r="S1986" s="8">
        <f>(O1986+P1986*COS(RADIANS(E1986)))/L1986</f>
        <v/>
      </c>
      <c r="T1986" s="8">
        <f>R1986/L1986</f>
        <v/>
      </c>
      <c r="U1986" s="8">
        <f>(Q1986-P1986*G1986*SIN(RADIANS(E1986)))/M1986</f>
        <v/>
      </c>
      <c r="V1986" s="8">
        <f>SQRT((S1986+U1986)^2+3*T1986^2)</f>
        <v/>
      </c>
      <c r="W1986" s="8">
        <f>V1986/AA1986</f>
        <v/>
      </c>
      <c r="X1986" s="27">
        <f>((3*10+H1986/COS(RADIANS(E1986)))*(3+3)+3*G1986*H1986)*2</f>
        <v/>
      </c>
      <c r="Y1986" s="28">
        <f>Z1986/X1986</f>
        <v/>
      </c>
      <c r="Z1986" s="29" t="n">
        <v>674.7427509274</v>
      </c>
      <c r="AA1986" s="20" t="n">
        <v>42.3992475270146</v>
      </c>
      <c r="AB1986" t="n">
        <v>0.08260114199507279</v>
      </c>
      <c r="AC1986" t="n">
        <v>45.15128674497207</v>
      </c>
      <c r="AD1986" t="n">
        <v>89.92807476190677</v>
      </c>
    </row>
    <row r="1987">
      <c r="A1987" t="n">
        <v>1986</v>
      </c>
      <c r="B1987" t="n">
        <v>49.3</v>
      </c>
      <c r="C1987" s="21">
        <f>B1987-20</f>
        <v/>
      </c>
      <c r="D1987" t="n">
        <v>129</v>
      </c>
      <c r="E1987" s="22">
        <f>D1987-90</f>
        <v/>
      </c>
      <c r="F1987" s="23" t="n">
        <v>0.009502</v>
      </c>
      <c r="G1987" s="22" t="n">
        <v>23</v>
      </c>
      <c r="H1987" s="22" t="n">
        <v>1</v>
      </c>
      <c r="I1987" s="24" t="n">
        <v>0.0794423893094062</v>
      </c>
      <c r="J1987" s="6" t="n">
        <v>71000</v>
      </c>
      <c r="K1987" s="25">
        <f>23*10^-6</f>
        <v/>
      </c>
      <c r="L1987" s="8">
        <f>H1987</f>
        <v/>
      </c>
      <c r="M1987" s="26">
        <f>H1987^2/6</f>
        <v/>
      </c>
      <c r="N1987" s="26">
        <f>H1987^3/12</f>
        <v/>
      </c>
      <c r="O1987" s="27">
        <f>-J1987*L1987*K1987*C1987</f>
        <v/>
      </c>
      <c r="P1987" s="28">
        <f>-(12*F1987*J1987*L1987*N1987+12*O1987*N1987*G1987*COS(RADIANS(E1987)))/(12*N1987*G1987*COS(RADIANS(E1987))^2+L1987*G1987^3*SIN(RADIANS(E1987))^2)</f>
        <v/>
      </c>
      <c r="Q1987" s="28">
        <f>-(6*F1987*J1987*L1987*N1987*SIN(RADIANS(E1987))+6*O1987*N1987*G1987*SIN(RADIANS(E1987))*COS(RADIANS(E1987)))/(12*N1987*COS(RADIANS(E1987))^2+L1987*G1987^2*SIN(RADIANS(E1987))^2)</f>
        <v/>
      </c>
      <c r="R1987" s="28">
        <f>-P1987*SIN(RADIANS(E1987))</f>
        <v/>
      </c>
      <c r="S1987" s="8">
        <f>(O1987+P1987*COS(RADIANS(E1987)))/L1987</f>
        <v/>
      </c>
      <c r="T1987" s="8">
        <f>R1987/L1987</f>
        <v/>
      </c>
      <c r="U1987" s="8">
        <f>(Q1987-P1987*G1987*SIN(RADIANS(E1987)))/M1987</f>
        <v/>
      </c>
      <c r="V1987" s="8">
        <f>SQRT((S1987+U1987)^2+3*T1987^2)</f>
        <v/>
      </c>
      <c r="W1987" s="8">
        <f>V1987/AA1987</f>
        <v/>
      </c>
      <c r="X1987" s="27">
        <f>((3*10+H1987/COS(RADIANS(E1987)))*(3+3)+3*G1987*H1987)*2</f>
        <v/>
      </c>
      <c r="Y1987" s="28">
        <f>Z1987/X1987</f>
        <v/>
      </c>
      <c r="Z1987" s="29" t="n">
        <v>514.3220213100529</v>
      </c>
      <c r="AA1987" s="20" t="n">
        <v>42.7684559554546</v>
      </c>
      <c r="AB1987" t="n">
        <v>0.03435930549223049</v>
      </c>
      <c r="AC1987" t="n">
        <v>41.451401054951</v>
      </c>
      <c r="AD1987" t="n">
        <v>-56.74940571284876</v>
      </c>
    </row>
    <row r="1988">
      <c r="A1988" t="n">
        <v>1987</v>
      </c>
      <c r="B1988" t="n">
        <v>72.2</v>
      </c>
      <c r="C1988" s="21">
        <f>B1988-20</f>
        <v/>
      </c>
      <c r="D1988" t="n">
        <v>119.2</v>
      </c>
      <c r="E1988" s="22">
        <f>D1988-90</f>
        <v/>
      </c>
      <c r="F1988" s="23" t="n">
        <v>0.020118</v>
      </c>
      <c r="G1988" s="22" t="n">
        <v>28.3</v>
      </c>
      <c r="H1988" s="22" t="n">
        <v>1.9</v>
      </c>
      <c r="I1988" s="24" t="n">
        <v>0.175648510456085</v>
      </c>
      <c r="J1988" s="6" t="n">
        <v>71000</v>
      </c>
      <c r="K1988" s="25">
        <f>23*10^-6</f>
        <v/>
      </c>
      <c r="L1988" s="8">
        <f>H1988</f>
        <v/>
      </c>
      <c r="M1988" s="26">
        <f>H1988^2/6</f>
        <v/>
      </c>
      <c r="N1988" s="26">
        <f>H1988^3/12</f>
        <v/>
      </c>
      <c r="O1988" s="27">
        <f>-J1988*L1988*K1988*C1988</f>
        <v/>
      </c>
      <c r="P1988" s="28">
        <f>-(12*F1988*J1988*L1988*N1988+12*O1988*N1988*G1988*COS(RADIANS(E1988)))/(12*N1988*G1988*COS(RADIANS(E1988))^2+L1988*G1988^3*SIN(RADIANS(E1988))^2)</f>
        <v/>
      </c>
      <c r="Q1988" s="28">
        <f>-(6*F1988*J1988*L1988*N1988*SIN(RADIANS(E1988))+6*O1988*N1988*G1988*SIN(RADIANS(E1988))*COS(RADIANS(E1988)))/(12*N1988*COS(RADIANS(E1988))^2+L1988*G1988^2*SIN(RADIANS(E1988))^2)</f>
        <v/>
      </c>
      <c r="R1988" s="28">
        <f>-P1988*SIN(RADIANS(E1988))</f>
        <v/>
      </c>
      <c r="S1988" s="8">
        <f>(O1988+P1988*COS(RADIANS(E1988)))/L1988</f>
        <v/>
      </c>
      <c r="T1988" s="8">
        <f>R1988/L1988</f>
        <v/>
      </c>
      <c r="U1988" s="8">
        <f>(Q1988-P1988*G1988*SIN(RADIANS(E1988)))/M1988</f>
        <v/>
      </c>
      <c r="V1988" s="8">
        <f>SQRT((S1988+U1988)^2+3*T1988^2)</f>
        <v/>
      </c>
      <c r="W1988" s="8">
        <f>V1988/AA1988</f>
        <v/>
      </c>
      <c r="X1988" s="27">
        <f>((3*10+H1988/COS(RADIANS(E1988)))*(3+3)+3*G1988*H1988)*2</f>
        <v/>
      </c>
      <c r="Y1988" s="28">
        <f>Z1988/X1988</f>
        <v/>
      </c>
      <c r="Z1988" s="29" t="n">
        <v>709.681749195012</v>
      </c>
      <c r="AA1988" s="20" t="n">
        <v>97.8363262628682</v>
      </c>
      <c r="AB1988" t="n">
        <v>0.1007362871296995</v>
      </c>
      <c r="AC1988" t="n">
        <v>79.29245038910986</v>
      </c>
      <c r="AD1988" t="n">
        <v>-42.64893743298486</v>
      </c>
    </row>
    <row r="1989">
      <c r="A1989" t="n">
        <v>1988</v>
      </c>
      <c r="B1989" t="n">
        <v>45.5</v>
      </c>
      <c r="C1989" s="21">
        <f>B1989-20</f>
        <v/>
      </c>
      <c r="D1989" t="n">
        <v>128.9</v>
      </c>
      <c r="E1989" s="22">
        <f>D1989-90</f>
        <v/>
      </c>
      <c r="F1989" s="23" t="n">
        <v>0.009058999999999999</v>
      </c>
      <c r="G1989" s="22" t="n">
        <v>26.4</v>
      </c>
      <c r="H1989" s="22" t="n">
        <v>1.8</v>
      </c>
      <c r="I1989" s="24" t="n">
        <v>0.0576334632933139</v>
      </c>
      <c r="J1989" s="6" t="n">
        <v>71000</v>
      </c>
      <c r="K1989" s="25">
        <f>23*10^-6</f>
        <v/>
      </c>
      <c r="L1989" s="8">
        <f>H1989</f>
        <v/>
      </c>
      <c r="M1989" s="26">
        <f>H1989^2/6</f>
        <v/>
      </c>
      <c r="N1989" s="26">
        <f>H1989^3/12</f>
        <v/>
      </c>
      <c r="O1989" s="27">
        <f>-J1989*L1989*K1989*C1989</f>
        <v/>
      </c>
      <c r="P1989" s="28">
        <f>-(12*F1989*J1989*L1989*N1989+12*O1989*N1989*G1989*COS(RADIANS(E1989)))/(12*N1989*G1989*COS(RADIANS(E1989))^2+L1989*G1989^3*SIN(RADIANS(E1989))^2)</f>
        <v/>
      </c>
      <c r="Q1989" s="28">
        <f>-(6*F1989*J1989*L1989*N1989*SIN(RADIANS(E1989))+6*O1989*N1989*G1989*SIN(RADIANS(E1989))*COS(RADIANS(E1989)))/(12*N1989*COS(RADIANS(E1989))^2+L1989*G1989^2*SIN(RADIANS(E1989))^2)</f>
        <v/>
      </c>
      <c r="R1989" s="28">
        <f>-P1989*SIN(RADIANS(E1989))</f>
        <v/>
      </c>
      <c r="S1989" s="8">
        <f>(O1989+P1989*COS(RADIANS(E1989)))/L1989</f>
        <v/>
      </c>
      <c r="T1989" s="8">
        <f>R1989/L1989</f>
        <v/>
      </c>
      <c r="U1989" s="8">
        <f>(Q1989-P1989*G1989*SIN(RADIANS(E1989)))/M1989</f>
        <v/>
      </c>
      <c r="V1989" s="8">
        <f>SQRT((S1989+U1989)^2+3*T1989^2)</f>
        <v/>
      </c>
      <c r="W1989" s="8">
        <f>V1989/AA1989</f>
        <v/>
      </c>
      <c r="X1989" s="27">
        <f>((3*10+H1989/COS(RADIANS(E1989)))*(3+3)+3*G1989*H1989)*2</f>
        <v/>
      </c>
      <c r="Y1989" s="28">
        <f>Z1989/X1989</f>
        <v/>
      </c>
      <c r="Z1989" s="29" t="n">
        <v>672.392956333295</v>
      </c>
      <c r="AA1989" s="20" t="n">
        <v>42.972374567025</v>
      </c>
      <c r="AB1989" t="n">
        <v>0.03393366796475999</v>
      </c>
      <c r="AC1989" t="n">
        <v>37.26243312352145</v>
      </c>
      <c r="AD1989" t="n">
        <v>-41.12158800511184</v>
      </c>
    </row>
    <row r="1990">
      <c r="A1990" t="n">
        <v>1989</v>
      </c>
      <c r="B1990" t="n">
        <v>78.2</v>
      </c>
      <c r="C1990" s="21">
        <f>B1990-20</f>
        <v/>
      </c>
      <c r="D1990" t="n">
        <v>103.4</v>
      </c>
      <c r="E1990" s="22">
        <f>D1990-90</f>
        <v/>
      </c>
      <c r="F1990" s="23" t="n">
        <v>0.016085</v>
      </c>
      <c r="G1990" s="22" t="n">
        <v>20.7</v>
      </c>
      <c r="H1990" s="22" t="n">
        <v>1.7</v>
      </c>
      <c r="I1990" s="24" t="n">
        <v>0.08130722492933271</v>
      </c>
      <c r="J1990" s="6" t="n">
        <v>71000</v>
      </c>
      <c r="K1990" s="25">
        <f>23*10^-6</f>
        <v/>
      </c>
      <c r="L1990" s="8">
        <f>H1990</f>
        <v/>
      </c>
      <c r="M1990" s="26">
        <f>H1990^2/6</f>
        <v/>
      </c>
      <c r="N1990" s="26">
        <f>H1990^3/12</f>
        <v/>
      </c>
      <c r="O1990" s="27">
        <f>-J1990*L1990*K1990*C1990</f>
        <v/>
      </c>
      <c r="P1990" s="28">
        <f>-(12*F1990*J1990*L1990*N1990+12*O1990*N1990*G1990*COS(RADIANS(E1990)))/(12*N1990*G1990*COS(RADIANS(E1990))^2+L1990*G1990^3*SIN(RADIANS(E1990))^2)</f>
        <v/>
      </c>
      <c r="Q1990" s="28">
        <f>-(6*F1990*J1990*L1990*N1990*SIN(RADIANS(E1990))+6*O1990*N1990*G1990*SIN(RADIANS(E1990))*COS(RADIANS(E1990)))/(12*N1990*COS(RADIANS(E1990))^2+L1990*G1990^2*SIN(RADIANS(E1990))^2)</f>
        <v/>
      </c>
      <c r="R1990" s="28">
        <f>-P1990*SIN(RADIANS(E1990))</f>
        <v/>
      </c>
      <c r="S1990" s="8">
        <f>(O1990+P1990*COS(RADIANS(E1990)))/L1990</f>
        <v/>
      </c>
      <c r="T1990" s="8">
        <f>R1990/L1990</f>
        <v/>
      </c>
      <c r="U1990" s="8">
        <f>(Q1990-P1990*G1990*SIN(RADIANS(E1990)))/M1990</f>
        <v/>
      </c>
      <c r="V1990" s="8">
        <f>SQRT((S1990+U1990)^2+3*T1990^2)</f>
        <v/>
      </c>
      <c r="W1990" s="8">
        <f>V1990/AA1990</f>
        <v/>
      </c>
      <c r="X1990" s="27">
        <f>((3*10+H1990/COS(RADIANS(E1990)))*(3+3)+3*G1990*H1990)*2</f>
        <v/>
      </c>
      <c r="Y1990" s="28">
        <f>Z1990/X1990</f>
        <v/>
      </c>
      <c r="Z1990" s="29" t="n">
        <v>600.95355232361</v>
      </c>
      <c r="AA1990" s="20" t="n">
        <v>95.4437173465361</v>
      </c>
      <c r="AB1990" t="n">
        <v>0.1714855858270777</v>
      </c>
      <c r="AC1990" t="n">
        <v>100.9862280737332</v>
      </c>
      <c r="AD1990" t="n">
        <v>110.9106367559864</v>
      </c>
    </row>
    <row r="1991">
      <c r="A1991" t="n">
        <v>1990</v>
      </c>
      <c r="B1991" t="n">
        <v>66.8</v>
      </c>
      <c r="C1991" s="21">
        <f>B1991-20</f>
        <v/>
      </c>
      <c r="D1991" t="n">
        <v>116.2</v>
      </c>
      <c r="E1991" s="22">
        <f>D1991-90</f>
        <v/>
      </c>
      <c r="F1991" s="23" t="n">
        <v>0.013693</v>
      </c>
      <c r="G1991" s="22" t="n">
        <v>20.5</v>
      </c>
      <c r="H1991" s="22" t="n">
        <v>1.1</v>
      </c>
      <c r="I1991" s="24" t="n">
        <v>0.0955199971795082</v>
      </c>
      <c r="J1991" s="6" t="n">
        <v>71000</v>
      </c>
      <c r="K1991" s="25">
        <f>23*10^-6</f>
        <v/>
      </c>
      <c r="L1991" s="8">
        <f>H1991</f>
        <v/>
      </c>
      <c r="M1991" s="26">
        <f>H1991^2/6</f>
        <v/>
      </c>
      <c r="N1991" s="26">
        <f>H1991^3/12</f>
        <v/>
      </c>
      <c r="O1991" s="27">
        <f>-J1991*L1991*K1991*C1991</f>
        <v/>
      </c>
      <c r="P1991" s="28">
        <f>-(12*F1991*J1991*L1991*N1991+12*O1991*N1991*G1991*COS(RADIANS(E1991)))/(12*N1991*G1991*COS(RADIANS(E1991))^2+L1991*G1991^3*SIN(RADIANS(E1991))^2)</f>
        <v/>
      </c>
      <c r="Q1991" s="28">
        <f>-(6*F1991*J1991*L1991*N1991*SIN(RADIANS(E1991))+6*O1991*N1991*G1991*SIN(RADIANS(E1991))*COS(RADIANS(E1991)))/(12*N1991*COS(RADIANS(E1991))^2+L1991*G1991^2*SIN(RADIANS(E1991))^2)</f>
        <v/>
      </c>
      <c r="R1991" s="28">
        <f>-P1991*SIN(RADIANS(E1991))</f>
        <v/>
      </c>
      <c r="S1991" s="8">
        <f>(O1991+P1991*COS(RADIANS(E1991)))/L1991</f>
        <v/>
      </c>
      <c r="T1991" s="8">
        <f>R1991/L1991</f>
        <v/>
      </c>
      <c r="U1991" s="8">
        <f>(Q1991-P1991*G1991*SIN(RADIANS(E1991)))/M1991</f>
        <v/>
      </c>
      <c r="V1991" s="8">
        <f>SQRT((S1991+U1991)^2+3*T1991^2)</f>
        <v/>
      </c>
      <c r="W1991" s="8">
        <f>V1991/AA1991</f>
        <v/>
      </c>
      <c r="X1991" s="27">
        <f>((3*10+H1991/COS(RADIANS(E1991)))*(3+3)+3*G1991*H1991)*2</f>
        <v/>
      </c>
      <c r="Y1991" s="28">
        <f>Z1991/X1991</f>
        <v/>
      </c>
      <c r="Z1991" s="29" t="n">
        <v>513.511340319995</v>
      </c>
      <c r="AA1991" s="20" t="n">
        <v>69.19794199556139</v>
      </c>
      <c r="AB1991" t="n">
        <v>0.07545508710959939</v>
      </c>
      <c r="AC1991" t="n">
        <v>69.56897439454964</v>
      </c>
      <c r="AD1991" t="n">
        <v>-21.00597849914228</v>
      </c>
    </row>
    <row r="1992">
      <c r="A1992" t="n">
        <v>1991</v>
      </c>
      <c r="B1992" t="n">
        <v>80</v>
      </c>
      <c r="C1992" s="21">
        <f>B1992-20</f>
        <v/>
      </c>
      <c r="D1992" t="n">
        <v>129.2</v>
      </c>
      <c r="E1992" s="22">
        <f>D1992-90</f>
        <v/>
      </c>
      <c r="F1992" s="23" t="n">
        <v>0.024627</v>
      </c>
      <c r="G1992" s="22" t="n">
        <v>32.5</v>
      </c>
      <c r="H1992" s="22" t="n">
        <v>2</v>
      </c>
      <c r="I1992" s="24" t="n">
        <v>0.131149724125862</v>
      </c>
      <c r="J1992" s="6" t="n">
        <v>71000</v>
      </c>
      <c r="K1992" s="25">
        <f>23*10^-6</f>
        <v/>
      </c>
      <c r="L1992" s="8">
        <f>H1992</f>
        <v/>
      </c>
      <c r="M1992" s="26">
        <f>H1992^2/6</f>
        <v/>
      </c>
      <c r="N1992" s="26">
        <f>H1992^3/12</f>
        <v/>
      </c>
      <c r="O1992" s="27">
        <f>-J1992*L1992*K1992*C1992</f>
        <v/>
      </c>
      <c r="P1992" s="28">
        <f>-(12*F1992*J1992*L1992*N1992+12*O1992*N1992*G1992*COS(RADIANS(E1992)))/(12*N1992*G1992*COS(RADIANS(E1992))^2+L1992*G1992^3*SIN(RADIANS(E1992))^2)</f>
        <v/>
      </c>
      <c r="Q1992" s="28">
        <f>-(6*F1992*J1992*L1992*N1992*SIN(RADIANS(E1992))+6*O1992*N1992*G1992*SIN(RADIANS(E1992))*COS(RADIANS(E1992)))/(12*N1992*COS(RADIANS(E1992))^2+L1992*G1992^2*SIN(RADIANS(E1992))^2)</f>
        <v/>
      </c>
      <c r="R1992" s="28">
        <f>-P1992*SIN(RADIANS(E1992))</f>
        <v/>
      </c>
      <c r="S1992" s="8">
        <f>(O1992+P1992*COS(RADIANS(E1992)))/L1992</f>
        <v/>
      </c>
      <c r="T1992" s="8">
        <f>R1992/L1992</f>
        <v/>
      </c>
      <c r="U1992" s="8">
        <f>(Q1992-P1992*G1992*SIN(RADIANS(E1992)))/M1992</f>
        <v/>
      </c>
      <c r="V1992" s="8">
        <f>SQRT((S1992+U1992)^2+3*T1992^2)</f>
        <v/>
      </c>
      <c r="W1992" s="8">
        <f>V1992/AA1992</f>
        <v/>
      </c>
      <c r="X1992" s="27">
        <f>((3*10+H1992/COS(RADIANS(E1992)))*(3+3)+3*G1992*H1992)*2</f>
        <v/>
      </c>
      <c r="Y1992" s="28">
        <f>Z1992/X1992</f>
        <v/>
      </c>
      <c r="Z1992" s="29" t="n">
        <v>781.426121572418</v>
      </c>
      <c r="AA1992" s="20" t="n">
        <v>98.73527526560849</v>
      </c>
      <c r="AB1992" t="n">
        <v>0.09646804664224981</v>
      </c>
      <c r="AC1992" t="n">
        <v>87.41772087640472</v>
      </c>
      <c r="AD1992" t="n">
        <v>-26.44433887663295</v>
      </c>
    </row>
    <row r="1993">
      <c r="A1993" t="n">
        <v>1992</v>
      </c>
      <c r="B1993" t="n">
        <v>64.3</v>
      </c>
      <c r="C1993" s="21">
        <f>B1993-20</f>
        <v/>
      </c>
      <c r="D1993" t="n">
        <v>108.8</v>
      </c>
      <c r="E1993" s="22">
        <f>D1993-90</f>
        <v/>
      </c>
      <c r="F1993" s="23" t="n">
        <v>0.014373</v>
      </c>
      <c r="G1993" s="22" t="n">
        <v>28.9</v>
      </c>
      <c r="H1993" s="22" t="n">
        <v>1</v>
      </c>
      <c r="I1993" s="24" t="n">
        <v>0.0620807111263275</v>
      </c>
      <c r="J1993" s="6" t="n">
        <v>71000</v>
      </c>
      <c r="K1993" s="25">
        <f>23*10^-6</f>
        <v/>
      </c>
      <c r="L1993" s="8">
        <f>H1993</f>
        <v/>
      </c>
      <c r="M1993" s="26">
        <f>H1993^2/6</f>
        <v/>
      </c>
      <c r="N1993" s="26">
        <f>H1993^3/12</f>
        <v/>
      </c>
      <c r="O1993" s="27">
        <f>-J1993*L1993*K1993*C1993</f>
        <v/>
      </c>
      <c r="P1993" s="28">
        <f>-(12*F1993*J1993*L1993*N1993+12*O1993*N1993*G1993*COS(RADIANS(E1993)))/(12*N1993*G1993*COS(RADIANS(E1993))^2+L1993*G1993^3*SIN(RADIANS(E1993))^2)</f>
        <v/>
      </c>
      <c r="Q1993" s="28">
        <f>-(6*F1993*J1993*L1993*N1993*SIN(RADIANS(E1993))+6*O1993*N1993*G1993*SIN(RADIANS(E1993))*COS(RADIANS(E1993)))/(12*N1993*COS(RADIANS(E1993))^2+L1993*G1993^2*SIN(RADIANS(E1993))^2)</f>
        <v/>
      </c>
      <c r="R1993" s="28">
        <f>-P1993*SIN(RADIANS(E1993))</f>
        <v/>
      </c>
      <c r="S1993" s="8">
        <f>(O1993+P1993*COS(RADIANS(E1993)))/L1993</f>
        <v/>
      </c>
      <c r="T1993" s="8">
        <f>R1993/L1993</f>
        <v/>
      </c>
      <c r="U1993" s="8">
        <f>(Q1993-P1993*G1993*SIN(RADIANS(E1993)))/M1993</f>
        <v/>
      </c>
      <c r="V1993" s="8">
        <f>SQRT((S1993+U1993)^2+3*T1993^2)</f>
        <v/>
      </c>
      <c r="W1993" s="8">
        <f>V1993/AA1993</f>
        <v/>
      </c>
      <c r="X1993" s="27">
        <f>((3*10+H1993/COS(RADIANS(E1993)))*(3+3)+3*G1993*H1993)*2</f>
        <v/>
      </c>
      <c r="Y1993" s="28">
        <f>Z1993/X1993</f>
        <v/>
      </c>
      <c r="Z1993" s="29" t="n">
        <v>559.156973757796</v>
      </c>
      <c r="AA1993" s="20" t="n">
        <v>56.3947730501081</v>
      </c>
      <c r="AB1993" t="n">
        <v>0.139359831110054</v>
      </c>
      <c r="AC1993" t="n">
        <v>66.36459536465216</v>
      </c>
      <c r="AD1993" t="n">
        <v>124.481692592844</v>
      </c>
    </row>
    <row r="1994">
      <c r="A1994" t="n">
        <v>1993</v>
      </c>
      <c r="B1994" t="n">
        <v>59.4</v>
      </c>
      <c r="C1994" s="21">
        <f>B1994-20</f>
        <v/>
      </c>
      <c r="D1994" t="n">
        <v>106.7</v>
      </c>
      <c r="E1994" s="22">
        <f>D1994-90</f>
        <v/>
      </c>
      <c r="F1994" s="23" t="n">
        <v>0.014026</v>
      </c>
      <c r="G1994" s="22" t="n">
        <v>28.9</v>
      </c>
      <c r="H1994" s="22" t="n">
        <v>1.4</v>
      </c>
      <c r="I1994" s="24" t="n">
        <v>0.0664836093783378</v>
      </c>
      <c r="J1994" s="6" t="n">
        <v>71000</v>
      </c>
      <c r="K1994" s="25">
        <f>23*10^-6</f>
        <v/>
      </c>
      <c r="L1994" s="8">
        <f>H1994</f>
        <v/>
      </c>
      <c r="M1994" s="26">
        <f>H1994^2/6</f>
        <v/>
      </c>
      <c r="N1994" s="26">
        <f>H1994^3/12</f>
        <v/>
      </c>
      <c r="O1994" s="27">
        <f>-J1994*L1994*K1994*C1994</f>
        <v/>
      </c>
      <c r="P1994" s="28">
        <f>-(12*F1994*J1994*L1994*N1994+12*O1994*N1994*G1994*COS(RADIANS(E1994)))/(12*N1994*G1994*COS(RADIANS(E1994))^2+L1994*G1994^3*SIN(RADIANS(E1994))^2)</f>
        <v/>
      </c>
      <c r="Q1994" s="28">
        <f>-(6*F1994*J1994*L1994*N1994*SIN(RADIANS(E1994))+6*O1994*N1994*G1994*SIN(RADIANS(E1994))*COS(RADIANS(E1994)))/(12*N1994*COS(RADIANS(E1994))^2+L1994*G1994^2*SIN(RADIANS(E1994))^2)</f>
        <v/>
      </c>
      <c r="R1994" s="28">
        <f>-P1994*SIN(RADIANS(E1994))</f>
        <v/>
      </c>
      <c r="S1994" s="8">
        <f>(O1994+P1994*COS(RADIANS(E1994)))/L1994</f>
        <v/>
      </c>
      <c r="T1994" s="8">
        <f>R1994/L1994</f>
        <v/>
      </c>
      <c r="U1994" s="8">
        <f>(Q1994-P1994*G1994*SIN(RADIANS(E1994)))/M1994</f>
        <v/>
      </c>
      <c r="V1994" s="8">
        <f>SQRT((S1994+U1994)^2+3*T1994^2)</f>
        <v/>
      </c>
      <c r="W1994" s="8">
        <f>V1994/AA1994</f>
        <v/>
      </c>
      <c r="X1994" s="27">
        <f>((3*10+H1994/COS(RADIANS(E1994)))*(3+3)+3*G1994*H1994)*2</f>
        <v/>
      </c>
      <c r="Y1994" s="28">
        <f>Z1994/X1994</f>
        <v/>
      </c>
      <c r="Z1994" s="29" t="n">
        <v>628.933196481491</v>
      </c>
      <c r="AA1994" s="20" t="n">
        <v>57.8148299716467</v>
      </c>
      <c r="AB1994" t="n">
        <v>0.1378495348152564</v>
      </c>
      <c r="AC1994" t="n">
        <v>62.30189919166811</v>
      </c>
      <c r="AD1994" t="n">
        <v>107.3436386866379</v>
      </c>
    </row>
    <row r="1995">
      <c r="A1995" t="n">
        <v>1994</v>
      </c>
      <c r="B1995" t="n">
        <v>75.59999999999999</v>
      </c>
      <c r="C1995" s="21">
        <f>B1995-20</f>
        <v/>
      </c>
      <c r="D1995" t="n">
        <v>102.9</v>
      </c>
      <c r="E1995" s="22">
        <f>D1995-90</f>
        <v/>
      </c>
      <c r="F1995" s="23" t="n">
        <v>0.019637</v>
      </c>
      <c r="G1995" s="22" t="n">
        <v>32.1</v>
      </c>
      <c r="H1995" s="22" t="n">
        <v>1.5</v>
      </c>
      <c r="I1995" s="24" t="n">
        <v>0.0838508903980255</v>
      </c>
      <c r="J1995" s="6" t="n">
        <v>71000</v>
      </c>
      <c r="K1995" s="25">
        <f>23*10^-6</f>
        <v/>
      </c>
      <c r="L1995" s="8">
        <f>H1995</f>
        <v/>
      </c>
      <c r="M1995" s="26">
        <f>H1995^2/6</f>
        <v/>
      </c>
      <c r="N1995" s="26">
        <f>H1995^3/12</f>
        <v/>
      </c>
      <c r="O1995" s="27">
        <f>-J1995*L1995*K1995*C1995</f>
        <v/>
      </c>
      <c r="P1995" s="28">
        <f>-(12*F1995*J1995*L1995*N1995+12*O1995*N1995*G1995*COS(RADIANS(E1995)))/(12*N1995*G1995*COS(RADIANS(E1995))^2+L1995*G1995^3*SIN(RADIANS(E1995))^2)</f>
        <v/>
      </c>
      <c r="Q1995" s="28">
        <f>-(6*F1995*J1995*L1995*N1995*SIN(RADIANS(E1995))+6*O1995*N1995*G1995*SIN(RADIANS(E1995))*COS(RADIANS(E1995)))/(12*N1995*COS(RADIANS(E1995))^2+L1995*G1995^2*SIN(RADIANS(E1995))^2)</f>
        <v/>
      </c>
      <c r="R1995" s="28">
        <f>-P1995*SIN(RADIANS(E1995))</f>
        <v/>
      </c>
      <c r="S1995" s="8">
        <f>(O1995+P1995*COS(RADIANS(E1995)))/L1995</f>
        <v/>
      </c>
      <c r="T1995" s="8">
        <f>R1995/L1995</f>
        <v/>
      </c>
      <c r="U1995" s="8">
        <f>(Q1995-P1995*G1995*SIN(RADIANS(E1995)))/M1995</f>
        <v/>
      </c>
      <c r="V1995" s="8">
        <f>SQRT((S1995+U1995)^2+3*T1995^2)</f>
        <v/>
      </c>
      <c r="W1995" s="8">
        <f>V1995/AA1995</f>
        <v/>
      </c>
      <c r="X1995" s="27">
        <f>((3*10+H1995/COS(RADIANS(E1995)))*(3+3)+3*G1995*H1995)*2</f>
        <v/>
      </c>
      <c r="Y1995" s="28">
        <f>Z1995/X1995</f>
        <v/>
      </c>
      <c r="Z1995" s="29" t="n">
        <v>682.301338680027</v>
      </c>
      <c r="AA1995" s="20" t="n">
        <v>77.95997609680261</v>
      </c>
      <c r="AB1995" t="n">
        <v>0.2753824613309952</v>
      </c>
      <c r="AC1995" t="n">
        <v>91.41852186392956</v>
      </c>
      <c r="AD1995" t="n">
        <v>228.4192451908416</v>
      </c>
    </row>
    <row r="1996">
      <c r="A1996" t="n">
        <v>1995</v>
      </c>
      <c r="B1996" t="n">
        <v>65</v>
      </c>
      <c r="C1996" s="21">
        <f>B1996-20</f>
        <v/>
      </c>
      <c r="D1996" t="n">
        <v>105</v>
      </c>
      <c r="E1996" s="22">
        <f>D1996-90</f>
        <v/>
      </c>
      <c r="F1996" s="23" t="n">
        <v>0.020145</v>
      </c>
      <c r="G1996" s="22" t="n">
        <v>34.2</v>
      </c>
      <c r="H1996" s="22" t="n">
        <v>1.2</v>
      </c>
      <c r="I1996" s="24" t="n">
        <v>0.155250489711761</v>
      </c>
      <c r="J1996" s="6" t="n">
        <v>71000</v>
      </c>
      <c r="K1996" s="25">
        <f>23*10^-6</f>
        <v/>
      </c>
      <c r="L1996" s="8">
        <f>H1996</f>
        <v/>
      </c>
      <c r="M1996" s="26">
        <f>H1996^2/6</f>
        <v/>
      </c>
      <c r="N1996" s="26">
        <f>H1996^3/12</f>
        <v/>
      </c>
      <c r="O1996" s="27">
        <f>-J1996*L1996*K1996*C1996</f>
        <v/>
      </c>
      <c r="P1996" s="28">
        <f>-(12*F1996*J1996*L1996*N1996+12*O1996*N1996*G1996*COS(RADIANS(E1996)))/(12*N1996*G1996*COS(RADIANS(E1996))^2+L1996*G1996^3*SIN(RADIANS(E1996))^2)</f>
        <v/>
      </c>
      <c r="Q1996" s="28">
        <f>-(6*F1996*J1996*L1996*N1996*SIN(RADIANS(E1996))+6*O1996*N1996*G1996*SIN(RADIANS(E1996))*COS(RADIANS(E1996)))/(12*N1996*COS(RADIANS(E1996))^2+L1996*G1996^2*SIN(RADIANS(E1996))^2)</f>
        <v/>
      </c>
      <c r="R1996" s="28">
        <f>-P1996*SIN(RADIANS(E1996))</f>
        <v/>
      </c>
      <c r="S1996" s="8">
        <f>(O1996+P1996*COS(RADIANS(E1996)))/L1996</f>
        <v/>
      </c>
      <c r="T1996" s="8">
        <f>R1996/L1996</f>
        <v/>
      </c>
      <c r="U1996" s="8">
        <f>(Q1996-P1996*G1996*SIN(RADIANS(E1996)))/M1996</f>
        <v/>
      </c>
      <c r="V1996" s="8">
        <f>SQRT((S1996+U1996)^2+3*T1996^2)</f>
        <v/>
      </c>
      <c r="W1996" s="8">
        <f>V1996/AA1996</f>
        <v/>
      </c>
      <c r="X1996" s="27">
        <f>((3*10+H1996/COS(RADIANS(E1996)))*(3+3)+3*G1996*H1996)*2</f>
        <v/>
      </c>
      <c r="Y1996" s="28">
        <f>Z1996/X1996</f>
        <v/>
      </c>
      <c r="Z1996" s="29" t="n">
        <v>625.148292419724</v>
      </c>
      <c r="AA1996" s="20" t="n">
        <v>67.22559243514129</v>
      </c>
      <c r="AB1996" t="n">
        <v>0.2078410114649814</v>
      </c>
      <c r="AC1996" t="n">
        <v>69.69033923638851</v>
      </c>
      <c r="AD1996" t="n">
        <v>33.87462535600388</v>
      </c>
    </row>
    <row r="1997">
      <c r="A1997" t="n">
        <v>1996</v>
      </c>
      <c r="B1997" t="n">
        <v>81.59999999999999</v>
      </c>
      <c r="C1997" s="21">
        <f>B1997-20</f>
        <v/>
      </c>
      <c r="D1997" t="n">
        <v>112.6</v>
      </c>
      <c r="E1997" s="22">
        <f>D1997-90</f>
        <v/>
      </c>
      <c r="F1997" s="23" t="n">
        <v>0.018201</v>
      </c>
      <c r="G1997" s="22" t="n">
        <v>22.2</v>
      </c>
      <c r="H1997" s="22" t="n">
        <v>1.9</v>
      </c>
      <c r="I1997" s="24" t="n">
        <v>0.0940394401550293</v>
      </c>
      <c r="J1997" s="6" t="n">
        <v>71000</v>
      </c>
      <c r="K1997" s="25">
        <f>23*10^-6</f>
        <v/>
      </c>
      <c r="L1997" s="8">
        <f>H1997</f>
        <v/>
      </c>
      <c r="M1997" s="26">
        <f>H1997^2/6</f>
        <v/>
      </c>
      <c r="N1997" s="26">
        <f>H1997^3/12</f>
        <v/>
      </c>
      <c r="O1997" s="27">
        <f>-J1997*L1997*K1997*C1997</f>
        <v/>
      </c>
      <c r="P1997" s="28">
        <f>-(12*F1997*J1997*L1997*N1997+12*O1997*N1997*G1997*COS(RADIANS(E1997)))/(12*N1997*G1997*COS(RADIANS(E1997))^2+L1997*G1997^3*SIN(RADIANS(E1997))^2)</f>
        <v/>
      </c>
      <c r="Q1997" s="28">
        <f>-(6*F1997*J1997*L1997*N1997*SIN(RADIANS(E1997))+6*O1997*N1997*G1997*SIN(RADIANS(E1997))*COS(RADIANS(E1997)))/(12*N1997*COS(RADIANS(E1997))^2+L1997*G1997^2*SIN(RADIANS(E1997))^2)</f>
        <v/>
      </c>
      <c r="R1997" s="28">
        <f>-P1997*SIN(RADIANS(E1997))</f>
        <v/>
      </c>
      <c r="S1997" s="8">
        <f>(O1997+P1997*COS(RADIANS(E1997)))/L1997</f>
        <v/>
      </c>
      <c r="T1997" s="8">
        <f>R1997/L1997</f>
        <v/>
      </c>
      <c r="U1997" s="8">
        <f>(Q1997-P1997*G1997*SIN(RADIANS(E1997)))/M1997</f>
        <v/>
      </c>
      <c r="V1997" s="8">
        <f>SQRT((S1997+U1997)^2+3*T1997^2)</f>
        <v/>
      </c>
      <c r="W1997" s="8">
        <f>V1997/AA1997</f>
        <v/>
      </c>
      <c r="X1997" s="27">
        <f>((3*10+H1997/COS(RADIANS(E1997)))*(3+3)+3*G1997*H1997)*2</f>
        <v/>
      </c>
      <c r="Y1997" s="28">
        <f>Z1997/X1997</f>
        <v/>
      </c>
      <c r="Z1997" s="29" t="n">
        <v>644.672518710895</v>
      </c>
      <c r="AA1997" s="20" t="n">
        <v>104.814123883727</v>
      </c>
      <c r="AB1997" t="n">
        <v>0.121097273562292</v>
      </c>
      <c r="AC1997" t="n">
        <v>99.12438497518407</v>
      </c>
      <c r="AD1997" t="n">
        <v>28.77285675314136</v>
      </c>
    </row>
    <row r="1998">
      <c r="A1998" t="n">
        <v>1997</v>
      </c>
      <c r="B1998" t="n">
        <v>87.7</v>
      </c>
      <c r="C1998" s="21">
        <f>B1998-20</f>
        <v/>
      </c>
      <c r="D1998" t="n">
        <v>119.9</v>
      </c>
      <c r="E1998" s="22">
        <f>D1998-90</f>
        <v/>
      </c>
      <c r="F1998" s="23" t="n">
        <v>0.025384</v>
      </c>
      <c r="G1998" s="22" t="n">
        <v>34.7</v>
      </c>
      <c r="H1998" s="22" t="n">
        <v>1.7</v>
      </c>
      <c r="I1998" s="24" t="n">
        <v>0.107253223657608</v>
      </c>
      <c r="J1998" s="6" t="n">
        <v>71000</v>
      </c>
      <c r="K1998" s="25">
        <f>23*10^-6</f>
        <v/>
      </c>
      <c r="L1998" s="8">
        <f>H1998</f>
        <v/>
      </c>
      <c r="M1998" s="26">
        <f>H1998^2/6</f>
        <v/>
      </c>
      <c r="N1998" s="26">
        <f>H1998^3/12</f>
        <v/>
      </c>
      <c r="O1998" s="27">
        <f>-J1998*L1998*K1998*C1998</f>
        <v/>
      </c>
      <c r="P1998" s="28">
        <f>-(12*F1998*J1998*L1998*N1998+12*O1998*N1998*G1998*COS(RADIANS(E1998)))/(12*N1998*G1998*COS(RADIANS(E1998))^2+L1998*G1998^3*SIN(RADIANS(E1998))^2)</f>
        <v/>
      </c>
      <c r="Q1998" s="28">
        <f>-(6*F1998*J1998*L1998*N1998*SIN(RADIANS(E1998))+6*O1998*N1998*G1998*SIN(RADIANS(E1998))*COS(RADIANS(E1998)))/(12*N1998*COS(RADIANS(E1998))^2+L1998*G1998^2*SIN(RADIANS(E1998))^2)</f>
        <v/>
      </c>
      <c r="R1998" s="28">
        <f>-P1998*SIN(RADIANS(E1998))</f>
        <v/>
      </c>
      <c r="S1998" s="8">
        <f>(O1998+P1998*COS(RADIANS(E1998)))/L1998</f>
        <v/>
      </c>
      <c r="T1998" s="8">
        <f>R1998/L1998</f>
        <v/>
      </c>
      <c r="U1998" s="8">
        <f>(Q1998-P1998*G1998*SIN(RADIANS(E1998)))/M1998</f>
        <v/>
      </c>
      <c r="V1998" s="8">
        <f>SQRT((S1998+U1998)^2+3*T1998^2)</f>
        <v/>
      </c>
      <c r="W1998" s="8">
        <f>V1998/AA1998</f>
        <v/>
      </c>
      <c r="X1998" s="27">
        <f>((3*10+H1998/COS(RADIANS(E1998)))*(3+3)+3*G1998*H1998)*2</f>
        <v/>
      </c>
      <c r="Y1998" s="28">
        <f>Z1998/X1998</f>
        <v/>
      </c>
      <c r="Z1998" s="29" t="n">
        <v>750.668055821582</v>
      </c>
      <c r="AA1998" s="20" t="n">
        <v>98.5406393444953</v>
      </c>
      <c r="AB1998" t="n">
        <v>0.1555722070543217</v>
      </c>
      <c r="AC1998" t="n">
        <v>100.0199438744896</v>
      </c>
      <c r="AD1998" t="n">
        <v>45.05131104587194</v>
      </c>
    </row>
    <row r="1999">
      <c r="A1999" t="n">
        <v>1998</v>
      </c>
      <c r="B1999" t="n">
        <v>76.40000000000001</v>
      </c>
      <c r="C1999" s="21">
        <f>B1999-20</f>
        <v/>
      </c>
      <c r="D1999" t="n">
        <v>111.9</v>
      </c>
      <c r="E1999" s="22">
        <f>D1999-90</f>
        <v/>
      </c>
      <c r="F1999" s="23" t="n">
        <v>0.023761</v>
      </c>
      <c r="G1999" s="22" t="n">
        <v>32.7</v>
      </c>
      <c r="H1999" s="22" t="n">
        <v>1.2</v>
      </c>
      <c r="I1999" s="24" t="n">
        <v>0.143202230334281</v>
      </c>
      <c r="J1999" s="6" t="n">
        <v>71000</v>
      </c>
      <c r="K1999" s="25">
        <f>23*10^-6</f>
        <v/>
      </c>
      <c r="L1999" s="8">
        <f>H1999</f>
        <v/>
      </c>
      <c r="M1999" s="26">
        <f>H1999^2/6</f>
        <v/>
      </c>
      <c r="N1999" s="26">
        <f>H1999^3/12</f>
        <v/>
      </c>
      <c r="O1999" s="27">
        <f>-J1999*L1999*K1999*C1999</f>
        <v/>
      </c>
      <c r="P1999" s="28">
        <f>-(12*F1999*J1999*L1999*N1999+12*O1999*N1999*G1999*COS(RADIANS(E1999)))/(12*N1999*G1999*COS(RADIANS(E1999))^2+L1999*G1999^3*SIN(RADIANS(E1999))^2)</f>
        <v/>
      </c>
      <c r="Q1999" s="28">
        <f>-(6*F1999*J1999*L1999*N1999*SIN(RADIANS(E1999))+6*O1999*N1999*G1999*SIN(RADIANS(E1999))*COS(RADIANS(E1999)))/(12*N1999*COS(RADIANS(E1999))^2+L1999*G1999^2*SIN(RADIANS(E1999))^2)</f>
        <v/>
      </c>
      <c r="R1999" s="28">
        <f>-P1999*SIN(RADIANS(E1999))</f>
        <v/>
      </c>
      <c r="S1999" s="8">
        <f>(O1999+P1999*COS(RADIANS(E1999)))/L1999</f>
        <v/>
      </c>
      <c r="T1999" s="8">
        <f>R1999/L1999</f>
        <v/>
      </c>
      <c r="U1999" s="8">
        <f>(Q1999-P1999*G1999*SIN(RADIANS(E1999)))/M1999</f>
        <v/>
      </c>
      <c r="V1999" s="8">
        <f>SQRT((S1999+U1999)^2+3*T1999^2)</f>
        <v/>
      </c>
      <c r="W1999" s="8">
        <f>V1999/AA1999</f>
        <v/>
      </c>
      <c r="X1999" s="27">
        <f>((3*10+H1999/COS(RADIANS(E1999)))*(3+3)+3*G1999*H1999)*2</f>
        <v/>
      </c>
      <c r="Y1999" s="28">
        <f>Z1999/X1999</f>
        <v/>
      </c>
      <c r="Z1999" s="29" t="n">
        <v>615.437755528102</v>
      </c>
      <c r="AA1999" s="20" t="n">
        <v>81.7185800944268</v>
      </c>
      <c r="AB1999" t="n">
        <v>0.1703512808997116</v>
      </c>
      <c r="AC1999" t="n">
        <v>83.85768128166262</v>
      </c>
      <c r="AD1999" t="n">
        <v>18.95853891525001</v>
      </c>
    </row>
    <row r="2000">
      <c r="A2000" t="n">
        <v>1999</v>
      </c>
      <c r="B2000" t="n">
        <v>67.5</v>
      </c>
      <c r="C2000" s="21">
        <f>B2000-20</f>
        <v/>
      </c>
      <c r="D2000" t="n">
        <v>118.4</v>
      </c>
      <c r="E2000" s="22">
        <f>D2000-90</f>
        <v/>
      </c>
      <c r="F2000" s="23" t="n">
        <v>0.020105</v>
      </c>
      <c r="G2000" s="22" t="n">
        <v>32.5</v>
      </c>
      <c r="H2000" s="22" t="n">
        <v>1.6</v>
      </c>
      <c r="I2000" s="24" t="n">
        <v>0.130964547395706</v>
      </c>
      <c r="J2000" s="6" t="n">
        <v>71000</v>
      </c>
      <c r="K2000" s="25">
        <f>23*10^-6</f>
        <v/>
      </c>
      <c r="L2000" s="8">
        <f>H2000</f>
        <v/>
      </c>
      <c r="M2000" s="26">
        <f>H2000^2/6</f>
        <v/>
      </c>
      <c r="N2000" s="26">
        <f>H2000^3/12</f>
        <v/>
      </c>
      <c r="O2000" s="27">
        <f>-J2000*L2000*K2000*C2000</f>
        <v/>
      </c>
      <c r="P2000" s="28">
        <f>-(12*F2000*J2000*L2000*N2000+12*O2000*N2000*G2000*COS(RADIANS(E2000)))/(12*N2000*G2000*COS(RADIANS(E2000))^2+L2000*G2000^3*SIN(RADIANS(E2000))^2)</f>
        <v/>
      </c>
      <c r="Q2000" s="28">
        <f>-(6*F2000*J2000*L2000*N2000*SIN(RADIANS(E2000))+6*O2000*N2000*G2000*SIN(RADIANS(E2000))*COS(RADIANS(E2000)))/(12*N2000*COS(RADIANS(E2000))^2+L2000*G2000^2*SIN(RADIANS(E2000))^2)</f>
        <v/>
      </c>
      <c r="R2000" s="28">
        <f>-P2000*SIN(RADIANS(E2000))</f>
        <v/>
      </c>
      <c r="S2000" s="8">
        <f>(O2000+P2000*COS(RADIANS(E2000)))/L2000</f>
        <v/>
      </c>
      <c r="T2000" s="8">
        <f>R2000/L2000</f>
        <v/>
      </c>
      <c r="U2000" s="8">
        <f>(Q2000-P2000*G2000*SIN(RADIANS(E2000)))/M2000</f>
        <v/>
      </c>
      <c r="V2000" s="8">
        <f>SQRT((S2000+U2000)^2+3*T2000^2)</f>
        <v/>
      </c>
      <c r="W2000" s="8">
        <f>V2000/AA2000</f>
        <v/>
      </c>
      <c r="X2000" s="27">
        <f>((3*10+H2000/COS(RADIANS(E2000)))*(3+3)+3*G2000*H2000)*2</f>
        <v/>
      </c>
      <c r="Y2000" s="28">
        <f>Z2000/X2000</f>
        <v/>
      </c>
      <c r="Z2000" s="29" t="n">
        <v>696.535931986059</v>
      </c>
      <c r="AA2000" s="20" t="n">
        <v>75.0902286907089</v>
      </c>
      <c r="AB2000" t="n">
        <v>0.108309918090139</v>
      </c>
      <c r="AC2000" t="n">
        <v>70.50742120383846</v>
      </c>
      <c r="AD2000" t="n">
        <v>-17.29829160338841</v>
      </c>
    </row>
    <row r="2001">
      <c r="A2001" t="n">
        <v>2000</v>
      </c>
      <c r="B2001" t="n">
        <v>50.3</v>
      </c>
      <c r="C2001" s="21">
        <f>B2001-20</f>
        <v/>
      </c>
      <c r="D2001" t="n">
        <v>112.1</v>
      </c>
      <c r="E2001" s="22">
        <f>D2001-90</f>
        <v/>
      </c>
      <c r="F2001" s="23" t="n">
        <v>0.010456</v>
      </c>
      <c r="G2001" s="22" t="n">
        <v>24.9</v>
      </c>
      <c r="H2001" s="22" t="n">
        <v>1.1</v>
      </c>
      <c r="I2001" s="24" t="n">
        <v>0.0850462019443512</v>
      </c>
      <c r="J2001" s="6" t="n">
        <v>71000</v>
      </c>
      <c r="K2001" s="25">
        <f>23*10^-6</f>
        <v/>
      </c>
      <c r="L2001" s="8">
        <f>H2001</f>
        <v/>
      </c>
      <c r="M2001" s="26">
        <f>H2001^2/6</f>
        <v/>
      </c>
      <c r="N2001" s="26">
        <f>H2001^3/12</f>
        <v/>
      </c>
      <c r="O2001" s="27">
        <f>-J2001*L2001*K2001*C2001</f>
        <v/>
      </c>
      <c r="P2001" s="28">
        <f>-(12*F2001*J2001*L2001*N2001+12*O2001*N2001*G2001*COS(RADIANS(E2001)))/(12*N2001*G2001*COS(RADIANS(E2001))^2+L2001*G2001^3*SIN(RADIANS(E2001))^2)</f>
        <v/>
      </c>
      <c r="Q2001" s="28">
        <f>-(6*F2001*J2001*L2001*N2001*SIN(RADIANS(E2001))+6*O2001*N2001*G2001*SIN(RADIANS(E2001))*COS(RADIANS(E2001)))/(12*N2001*COS(RADIANS(E2001))^2+L2001*G2001^2*SIN(RADIANS(E2001))^2)</f>
        <v/>
      </c>
      <c r="R2001" s="28">
        <f>-P2001*SIN(RADIANS(E2001))</f>
        <v/>
      </c>
      <c r="S2001" s="8">
        <f>(O2001+P2001*COS(RADIANS(E2001)))/L2001</f>
        <v/>
      </c>
      <c r="T2001" s="8">
        <f>R2001/L2001</f>
        <v/>
      </c>
      <c r="U2001" s="8">
        <f>(Q2001-P2001*G2001*SIN(RADIANS(E2001)))/M2001</f>
        <v/>
      </c>
      <c r="V2001" s="8">
        <f>SQRT((S2001+U2001)^2+3*T2001^2)</f>
        <v/>
      </c>
      <c r="W2001" s="8">
        <f>V2001/AA2001</f>
        <v/>
      </c>
      <c r="X2001" s="27">
        <f>((3*10+H2001/COS(RADIANS(E2001)))*(3+3)+3*G2001*H2001)*2</f>
        <v/>
      </c>
      <c r="Y2001" s="28">
        <f>Z2001/X2001</f>
        <v/>
      </c>
      <c r="Z2001" s="29" t="n">
        <v>541.936822813611</v>
      </c>
      <c r="AA2001" s="20" t="n">
        <v>44.7868110414677</v>
      </c>
      <c r="AB2001" t="n">
        <v>0.0699764317938099</v>
      </c>
      <c r="AC2001" t="n">
        <v>45.44653528257703</v>
      </c>
      <c r="AD2001" t="n">
        <v>-17.71950987347088</v>
      </c>
    </row>
    <row r="2002">
      <c r="A2002" t="n">
        <v>2001</v>
      </c>
      <c r="B2002" t="n">
        <v>67.5</v>
      </c>
      <c r="C2002" s="21">
        <f>B2002-20</f>
        <v/>
      </c>
      <c r="D2002" t="n">
        <v>104.7</v>
      </c>
      <c r="E2002" s="22">
        <f>D2002-90</f>
        <v/>
      </c>
      <c r="F2002" s="23" t="n">
        <v>0.020848</v>
      </c>
      <c r="G2002" s="22" t="n">
        <v>33.6</v>
      </c>
      <c r="H2002" s="22" t="n">
        <v>2</v>
      </c>
      <c r="I2002" s="24" t="n">
        <v>0.146609455347061</v>
      </c>
      <c r="J2002" s="6" t="n">
        <v>71000</v>
      </c>
      <c r="K2002" s="25">
        <f>23*10^-6</f>
        <v/>
      </c>
      <c r="L2002" s="8">
        <f>H2002</f>
        <v/>
      </c>
      <c r="M2002" s="26">
        <f>H2002^2/6</f>
        <v/>
      </c>
      <c r="N2002" s="26">
        <f>H2002^3/12</f>
        <v/>
      </c>
      <c r="O2002" s="27">
        <f>-J2002*L2002*K2002*C2002</f>
        <v/>
      </c>
      <c r="P2002" s="28">
        <f>-(12*F2002*J2002*L2002*N2002+12*O2002*N2002*G2002*COS(RADIANS(E2002)))/(12*N2002*G2002*COS(RADIANS(E2002))^2+L2002*G2002^3*SIN(RADIANS(E2002))^2)</f>
        <v/>
      </c>
      <c r="Q2002" s="28">
        <f>-(6*F2002*J2002*L2002*N2002*SIN(RADIANS(E2002))+6*O2002*N2002*G2002*SIN(RADIANS(E2002))*COS(RADIANS(E2002)))/(12*N2002*COS(RADIANS(E2002))^2+L2002*G2002^2*SIN(RADIANS(E2002))^2)</f>
        <v/>
      </c>
      <c r="R2002" s="28">
        <f>-P2002*SIN(RADIANS(E2002))</f>
        <v/>
      </c>
      <c r="S2002" s="8">
        <f>(O2002+P2002*COS(RADIANS(E2002)))/L2002</f>
        <v/>
      </c>
      <c r="T2002" s="8">
        <f>R2002/L2002</f>
        <v/>
      </c>
      <c r="U2002" s="8">
        <f>(Q2002-P2002*G2002*SIN(RADIANS(E2002)))/M2002</f>
        <v/>
      </c>
      <c r="V2002" s="8">
        <f>SQRT((S2002+U2002)^2+3*T2002^2)</f>
        <v/>
      </c>
      <c r="W2002" s="8">
        <f>V2002/AA2002</f>
        <v/>
      </c>
      <c r="X2002" s="27">
        <f>((3*10+H2002/COS(RADIANS(E2002)))*(3+3)+3*G2002*H2002)*2</f>
        <v/>
      </c>
      <c r="Y2002" s="28">
        <f>Z2002/X2002</f>
        <v/>
      </c>
      <c r="Z2002" s="29" t="n">
        <v>792.257944744288</v>
      </c>
      <c r="AA2002" s="20" t="n">
        <v>82.5891696136904</v>
      </c>
      <c r="AB2002" t="n">
        <v>0.2128840850556336</v>
      </c>
      <c r="AC2002" t="n">
        <v>79.56117560134351</v>
      </c>
      <c r="AD2002" t="n">
        <v>45.2048809210048</v>
      </c>
    </row>
    <row r="2003">
      <c r="A2003" t="n">
        <v>2002</v>
      </c>
      <c r="B2003" t="n">
        <v>89</v>
      </c>
      <c r="C2003" s="21">
        <f>B2003-20</f>
        <v/>
      </c>
      <c r="D2003" t="n">
        <v>118.2</v>
      </c>
      <c r="E2003" s="22">
        <f>D2003-90</f>
        <v/>
      </c>
      <c r="F2003" s="23" t="n">
        <v>0.026071</v>
      </c>
      <c r="G2003" s="22" t="n">
        <v>30.8</v>
      </c>
      <c r="H2003" s="22" t="n">
        <v>1.4</v>
      </c>
      <c r="I2003" s="24" t="n">
        <v>0.124427013099193</v>
      </c>
      <c r="J2003" s="6" t="n">
        <v>71000</v>
      </c>
      <c r="K2003" s="25">
        <f>23*10^-6</f>
        <v/>
      </c>
      <c r="L2003" s="8">
        <f>H2003</f>
        <v/>
      </c>
      <c r="M2003" s="26">
        <f>H2003^2/6</f>
        <v/>
      </c>
      <c r="N2003" s="26">
        <f>H2003^3/12</f>
        <v/>
      </c>
      <c r="O2003" s="27">
        <f>-J2003*L2003*K2003*C2003</f>
        <v/>
      </c>
      <c r="P2003" s="28">
        <f>-(12*F2003*J2003*L2003*N2003+12*O2003*N2003*G2003*COS(RADIANS(E2003)))/(12*N2003*G2003*COS(RADIANS(E2003))^2+L2003*G2003^3*SIN(RADIANS(E2003))^2)</f>
        <v/>
      </c>
      <c r="Q2003" s="28">
        <f>-(6*F2003*J2003*L2003*N2003*SIN(RADIANS(E2003))+6*O2003*N2003*G2003*SIN(RADIANS(E2003))*COS(RADIANS(E2003)))/(12*N2003*COS(RADIANS(E2003))^2+L2003*G2003^2*SIN(RADIANS(E2003))^2)</f>
        <v/>
      </c>
      <c r="R2003" s="28">
        <f>-P2003*SIN(RADIANS(E2003))</f>
        <v/>
      </c>
      <c r="S2003" s="8">
        <f>(O2003+P2003*COS(RADIANS(E2003)))/L2003</f>
        <v/>
      </c>
      <c r="T2003" s="8">
        <f>R2003/L2003</f>
        <v/>
      </c>
      <c r="U2003" s="8">
        <f>(Q2003-P2003*G2003*SIN(RADIANS(E2003)))/M2003</f>
        <v/>
      </c>
      <c r="V2003" s="8">
        <f>SQRT((S2003+U2003)^2+3*T2003^2)</f>
        <v/>
      </c>
      <c r="W2003" s="8">
        <f>V2003/AA2003</f>
        <v/>
      </c>
      <c r="X2003" s="27">
        <f>((3*10+H2003/COS(RADIANS(E2003)))*(3+3)+3*G2003*H2003)*2</f>
        <v/>
      </c>
      <c r="Y2003" s="28">
        <f>Z2003/X2003</f>
        <v/>
      </c>
      <c r="Z2003" s="29" t="n">
        <v>644.448693707017</v>
      </c>
      <c r="AA2003" s="20" t="n">
        <v>100.093795522244</v>
      </c>
      <c r="AB2003" t="n">
        <v>0.1508756255605833</v>
      </c>
      <c r="AC2003" t="n">
        <v>101.6529017372369</v>
      </c>
      <c r="AD2003" t="n">
        <v>21.25632674337804</v>
      </c>
    </row>
    <row r="2004">
      <c r="A2004" t="n">
        <v>2003</v>
      </c>
      <c r="B2004" t="n">
        <v>74.2</v>
      </c>
      <c r="C2004" s="21">
        <f>B2004-20</f>
        <v/>
      </c>
      <c r="D2004" t="n">
        <v>104.5</v>
      </c>
      <c r="E2004" s="22">
        <f>D2004-90</f>
        <v/>
      </c>
      <c r="F2004" s="23" t="n">
        <v>0.020517</v>
      </c>
      <c r="G2004" s="22" t="n">
        <v>28.1</v>
      </c>
      <c r="H2004" s="22" t="n">
        <v>1.3</v>
      </c>
      <c r="I2004" s="24" t="n">
        <v>0.150704994797706</v>
      </c>
      <c r="J2004" s="6" t="n">
        <v>71000</v>
      </c>
      <c r="K2004" s="25">
        <f>23*10^-6</f>
        <v/>
      </c>
      <c r="L2004" s="8">
        <f>H2004</f>
        <v/>
      </c>
      <c r="M2004" s="26">
        <f>H2004^2/6</f>
        <v/>
      </c>
      <c r="N2004" s="26">
        <f>H2004^3/12</f>
        <v/>
      </c>
      <c r="O2004" s="27">
        <f>-J2004*L2004*K2004*C2004</f>
        <v/>
      </c>
      <c r="P2004" s="28">
        <f>-(12*F2004*J2004*L2004*N2004+12*O2004*N2004*G2004*COS(RADIANS(E2004)))/(12*N2004*G2004*COS(RADIANS(E2004))^2+L2004*G2004^3*SIN(RADIANS(E2004))^2)</f>
        <v/>
      </c>
      <c r="Q2004" s="28">
        <f>-(6*F2004*J2004*L2004*N2004*SIN(RADIANS(E2004))+6*O2004*N2004*G2004*SIN(RADIANS(E2004))*COS(RADIANS(E2004)))/(12*N2004*COS(RADIANS(E2004))^2+L2004*G2004^2*SIN(RADIANS(E2004))^2)</f>
        <v/>
      </c>
      <c r="R2004" s="28">
        <f>-P2004*SIN(RADIANS(E2004))</f>
        <v/>
      </c>
      <c r="S2004" s="8">
        <f>(O2004+P2004*COS(RADIANS(E2004)))/L2004</f>
        <v/>
      </c>
      <c r="T2004" s="8">
        <f>R2004/L2004</f>
        <v/>
      </c>
      <c r="U2004" s="8">
        <f>(Q2004-P2004*G2004*SIN(RADIANS(E2004)))/M2004</f>
        <v/>
      </c>
      <c r="V2004" s="8">
        <f>SQRT((S2004+U2004)^2+3*T2004^2)</f>
        <v/>
      </c>
      <c r="W2004" s="8">
        <f>V2004/AA2004</f>
        <v/>
      </c>
      <c r="X2004" s="27">
        <f>((3*10+H2004/COS(RADIANS(E2004)))*(3+3)+3*G2004*H2004)*2</f>
        <v/>
      </c>
      <c r="Y2004" s="28">
        <f>Z2004/X2004</f>
        <v/>
      </c>
      <c r="Z2004" s="29" t="n">
        <v>599.516481748669</v>
      </c>
      <c r="AA2004" s="20" t="n">
        <v>82.9313764674515</v>
      </c>
      <c r="AB2004" t="n">
        <v>0.2122745674180788</v>
      </c>
      <c r="AC2004" t="n">
        <v>86.86070293386292</v>
      </c>
      <c r="AD2004" t="n">
        <v>40.85436763593586</v>
      </c>
    </row>
    <row r="2005">
      <c r="A2005" t="n">
        <v>2004</v>
      </c>
      <c r="B2005" t="n">
        <v>47.3</v>
      </c>
      <c r="C2005" s="21">
        <f>B2005-20</f>
        <v/>
      </c>
      <c r="D2005" t="n">
        <v>123.4</v>
      </c>
      <c r="E2005" s="22">
        <f>D2005-90</f>
        <v/>
      </c>
      <c r="F2005" s="23" t="n">
        <v>0.010753</v>
      </c>
      <c r="G2005" s="22" t="n">
        <v>34.2</v>
      </c>
      <c r="H2005" s="22" t="n">
        <v>1.9</v>
      </c>
      <c r="I2005" s="24" t="n">
        <v>0.0473053529858589</v>
      </c>
      <c r="J2005" s="6" t="n">
        <v>71000</v>
      </c>
      <c r="K2005" s="25">
        <f>23*10^-6</f>
        <v/>
      </c>
      <c r="L2005" s="8">
        <f>H2005</f>
        <v/>
      </c>
      <c r="M2005" s="26">
        <f>H2005^2/6</f>
        <v/>
      </c>
      <c r="N2005" s="26">
        <f>H2005^3/12</f>
        <v/>
      </c>
      <c r="O2005" s="27">
        <f>-J2005*L2005*K2005*C2005</f>
        <v/>
      </c>
      <c r="P2005" s="28">
        <f>-(12*F2005*J2005*L2005*N2005+12*O2005*N2005*G2005*COS(RADIANS(E2005)))/(12*N2005*G2005*COS(RADIANS(E2005))^2+L2005*G2005^3*SIN(RADIANS(E2005))^2)</f>
        <v/>
      </c>
      <c r="Q2005" s="28">
        <f>-(6*F2005*J2005*L2005*N2005*SIN(RADIANS(E2005))+6*O2005*N2005*G2005*SIN(RADIANS(E2005))*COS(RADIANS(E2005)))/(12*N2005*COS(RADIANS(E2005))^2+L2005*G2005^2*SIN(RADIANS(E2005))^2)</f>
        <v/>
      </c>
      <c r="R2005" s="28">
        <f>-P2005*SIN(RADIANS(E2005))</f>
        <v/>
      </c>
      <c r="S2005" s="8">
        <f>(O2005+P2005*COS(RADIANS(E2005)))/L2005</f>
        <v/>
      </c>
      <c r="T2005" s="8">
        <f>R2005/L2005</f>
        <v/>
      </c>
      <c r="U2005" s="8">
        <f>(Q2005-P2005*G2005*SIN(RADIANS(E2005)))/M2005</f>
        <v/>
      </c>
      <c r="V2005" s="8">
        <f>SQRT((S2005+U2005)^2+3*T2005^2)</f>
        <v/>
      </c>
      <c r="W2005" s="8">
        <f>V2005/AA2005</f>
        <v/>
      </c>
      <c r="X2005" s="27">
        <f>((3*10+H2005/COS(RADIANS(E2005)))*(3+3)+3*G2005*H2005)*2</f>
        <v/>
      </c>
      <c r="Y2005" s="28">
        <f>Z2005/X2005</f>
        <v/>
      </c>
      <c r="Z2005" s="29" t="n">
        <v>785.371747348668</v>
      </c>
      <c r="AA2005" s="20" t="n">
        <v>42.3397682987658</v>
      </c>
      <c r="AB2005" t="n">
        <v>0.05487806304750692</v>
      </c>
      <c r="AC2005" t="n">
        <v>40.24679591570377</v>
      </c>
      <c r="AD2005" t="n">
        <v>16.00814618994967</v>
      </c>
    </row>
    <row r="2006">
      <c r="A2006" t="n">
        <v>2005</v>
      </c>
      <c r="B2006" t="n">
        <v>73</v>
      </c>
      <c r="C2006" s="21">
        <f>B2006-20</f>
        <v/>
      </c>
      <c r="D2006" t="n">
        <v>103.7</v>
      </c>
      <c r="E2006" s="22">
        <f>D2006-90</f>
        <v/>
      </c>
      <c r="F2006" s="23" t="n">
        <v>0.021294</v>
      </c>
      <c r="G2006" s="22" t="n">
        <v>30.1</v>
      </c>
      <c r="H2006" s="22" t="n">
        <v>1.9</v>
      </c>
      <c r="I2006" s="24" t="n">
        <v>0.158298149704933</v>
      </c>
      <c r="J2006" s="6" t="n">
        <v>71000</v>
      </c>
      <c r="K2006" s="25">
        <f>23*10^-6</f>
        <v/>
      </c>
      <c r="L2006" s="8">
        <f>H2006</f>
        <v/>
      </c>
      <c r="M2006" s="26">
        <f>H2006^2/6</f>
        <v/>
      </c>
      <c r="N2006" s="26">
        <f>H2006^3/12</f>
        <v/>
      </c>
      <c r="O2006" s="27">
        <f>-J2006*L2006*K2006*C2006</f>
        <v/>
      </c>
      <c r="P2006" s="28">
        <f>-(12*F2006*J2006*L2006*N2006+12*O2006*N2006*G2006*COS(RADIANS(E2006)))/(12*N2006*G2006*COS(RADIANS(E2006))^2+L2006*G2006^3*SIN(RADIANS(E2006))^2)</f>
        <v/>
      </c>
      <c r="Q2006" s="28">
        <f>-(6*F2006*J2006*L2006*N2006*SIN(RADIANS(E2006))+6*O2006*N2006*G2006*SIN(RADIANS(E2006))*COS(RADIANS(E2006)))/(12*N2006*COS(RADIANS(E2006))^2+L2006*G2006^2*SIN(RADIANS(E2006))^2)</f>
        <v/>
      </c>
      <c r="R2006" s="28">
        <f>-P2006*SIN(RADIANS(E2006))</f>
        <v/>
      </c>
      <c r="S2006" s="8">
        <f>(O2006+P2006*COS(RADIANS(E2006)))/L2006</f>
        <v/>
      </c>
      <c r="T2006" s="8">
        <f>R2006/L2006</f>
        <v/>
      </c>
      <c r="U2006" s="8">
        <f>(Q2006-P2006*G2006*SIN(RADIANS(E2006)))/M2006</f>
        <v/>
      </c>
      <c r="V2006" s="8">
        <f>SQRT((S2006+U2006)^2+3*T2006^2)</f>
        <v/>
      </c>
      <c r="W2006" s="8">
        <f>V2006/AA2006</f>
        <v/>
      </c>
      <c r="X2006" s="27">
        <f>((3*10+H2006/COS(RADIANS(E2006)))*(3+3)+3*G2006*H2006)*2</f>
        <v/>
      </c>
      <c r="Y2006" s="28">
        <f>Z2006/X2006</f>
        <v/>
      </c>
      <c r="Z2006" s="29" t="n">
        <v>730.744122299179</v>
      </c>
      <c r="AA2006" s="20" t="n">
        <v>92.3533207998229</v>
      </c>
      <c r="AB2006" t="n">
        <v>0.2267261631541272</v>
      </c>
      <c r="AC2006" t="n">
        <v>90.25445067618212</v>
      </c>
      <c r="AD2006" t="n">
        <v>43.22729834602848</v>
      </c>
    </row>
    <row r="2007">
      <c r="A2007" t="n">
        <v>2006</v>
      </c>
      <c r="B2007" t="n">
        <v>55.9</v>
      </c>
      <c r="C2007" s="21">
        <f>B2007-20</f>
        <v/>
      </c>
      <c r="D2007" t="n">
        <v>119</v>
      </c>
      <c r="E2007" s="22">
        <f>D2007-90</f>
        <v/>
      </c>
      <c r="F2007" s="23" t="n">
        <v>0.014304</v>
      </c>
      <c r="G2007" s="22" t="n">
        <v>33.1</v>
      </c>
      <c r="H2007" s="22" t="n">
        <v>1.6</v>
      </c>
      <c r="I2007" s="24" t="n">
        <v>0.0667349174618721</v>
      </c>
      <c r="J2007" s="6" t="n">
        <v>71000</v>
      </c>
      <c r="K2007" s="25">
        <f>23*10^-6</f>
        <v/>
      </c>
      <c r="L2007" s="8">
        <f>H2007</f>
        <v/>
      </c>
      <c r="M2007" s="26">
        <f>H2007^2/6</f>
        <v/>
      </c>
      <c r="N2007" s="26">
        <f>H2007^3/12</f>
        <v/>
      </c>
      <c r="O2007" s="27">
        <f>-J2007*L2007*K2007*C2007</f>
        <v/>
      </c>
      <c r="P2007" s="28">
        <f>-(12*F2007*J2007*L2007*N2007+12*O2007*N2007*G2007*COS(RADIANS(E2007)))/(12*N2007*G2007*COS(RADIANS(E2007))^2+L2007*G2007^3*SIN(RADIANS(E2007))^2)</f>
        <v/>
      </c>
      <c r="Q2007" s="28">
        <f>-(6*F2007*J2007*L2007*N2007*SIN(RADIANS(E2007))+6*O2007*N2007*G2007*SIN(RADIANS(E2007))*COS(RADIANS(E2007)))/(12*N2007*COS(RADIANS(E2007))^2+L2007*G2007^2*SIN(RADIANS(E2007))^2)</f>
        <v/>
      </c>
      <c r="R2007" s="28">
        <f>-P2007*SIN(RADIANS(E2007))</f>
        <v/>
      </c>
      <c r="S2007" s="8">
        <f>(O2007+P2007*COS(RADIANS(E2007)))/L2007</f>
        <v/>
      </c>
      <c r="T2007" s="8">
        <f>R2007/L2007</f>
        <v/>
      </c>
      <c r="U2007" s="8">
        <f>(Q2007-P2007*G2007*SIN(RADIANS(E2007)))/M2007</f>
        <v/>
      </c>
      <c r="V2007" s="8">
        <f>SQRT((S2007+U2007)^2+3*T2007^2)</f>
        <v/>
      </c>
      <c r="W2007" s="8">
        <f>V2007/AA2007</f>
        <v/>
      </c>
      <c r="X2007" s="27">
        <f>((3*10+H2007/COS(RADIANS(E2007)))*(3+3)+3*G2007*H2007)*2</f>
        <v/>
      </c>
      <c r="Y2007" s="28">
        <f>Z2007/X2007</f>
        <v/>
      </c>
      <c r="Z2007" s="29" t="n">
        <v>706.586525117768</v>
      </c>
      <c r="AA2007" s="20" t="n">
        <v>54.0929355207045</v>
      </c>
      <c r="AB2007" t="n">
        <v>0.08149834320872147</v>
      </c>
      <c r="AC2007" t="n">
        <v>53.10009282246256</v>
      </c>
      <c r="AD2007" t="n">
        <v>22.12249045679005</v>
      </c>
    </row>
    <row r="2008">
      <c r="A2008" t="n">
        <v>2007</v>
      </c>
      <c r="B2008" t="n">
        <v>79.09999999999999</v>
      </c>
      <c r="C2008" s="21">
        <f>B2008-20</f>
        <v/>
      </c>
      <c r="D2008" t="n">
        <v>129.5</v>
      </c>
      <c r="E2008" s="22">
        <f>D2008-90</f>
        <v/>
      </c>
      <c r="F2008" s="23" t="n">
        <v>0.016623</v>
      </c>
      <c r="G2008" s="22" t="n">
        <v>24.2</v>
      </c>
      <c r="H2008" s="22" t="n">
        <v>1.5</v>
      </c>
      <c r="I2008" s="24" t="n">
        <v>0.0737581849098205</v>
      </c>
      <c r="J2008" s="6" t="n">
        <v>71000</v>
      </c>
      <c r="K2008" s="25">
        <f>23*10^-6</f>
        <v/>
      </c>
      <c r="L2008" s="8">
        <f>H2008</f>
        <v/>
      </c>
      <c r="M2008" s="26">
        <f>H2008^2/6</f>
        <v/>
      </c>
      <c r="N2008" s="26">
        <f>H2008^3/12</f>
        <v/>
      </c>
      <c r="O2008" s="27">
        <f>-J2008*L2008*K2008*C2008</f>
        <v/>
      </c>
      <c r="P2008" s="28">
        <f>-(12*F2008*J2008*L2008*N2008+12*O2008*N2008*G2008*COS(RADIANS(E2008)))/(12*N2008*G2008*COS(RADIANS(E2008))^2+L2008*G2008^3*SIN(RADIANS(E2008))^2)</f>
        <v/>
      </c>
      <c r="Q2008" s="28">
        <f>-(6*F2008*J2008*L2008*N2008*SIN(RADIANS(E2008))+6*O2008*N2008*G2008*SIN(RADIANS(E2008))*COS(RADIANS(E2008)))/(12*N2008*COS(RADIANS(E2008))^2+L2008*G2008^2*SIN(RADIANS(E2008))^2)</f>
        <v/>
      </c>
      <c r="R2008" s="28">
        <f>-P2008*SIN(RADIANS(E2008))</f>
        <v/>
      </c>
      <c r="S2008" s="8">
        <f>(O2008+P2008*COS(RADIANS(E2008)))/L2008</f>
        <v/>
      </c>
      <c r="T2008" s="8">
        <f>R2008/L2008</f>
        <v/>
      </c>
      <c r="U2008" s="8">
        <f>(Q2008-P2008*G2008*SIN(RADIANS(E2008)))/M2008</f>
        <v/>
      </c>
      <c r="V2008" s="8">
        <f>SQRT((S2008+U2008)^2+3*T2008^2)</f>
        <v/>
      </c>
      <c r="W2008" s="8">
        <f>V2008/AA2008</f>
        <v/>
      </c>
      <c r="X2008" s="27">
        <f>((3*10+H2008/COS(RADIANS(E2008)))*(3+3)+3*G2008*H2008)*2</f>
        <v/>
      </c>
      <c r="Y2008" s="28">
        <f>Z2008/X2008</f>
        <v/>
      </c>
      <c r="Z2008" s="29" t="n">
        <v>611.6642435783669</v>
      </c>
      <c r="AA2008" s="20" t="n">
        <v>86.16922539278789</v>
      </c>
      <c r="AB2008" t="n">
        <v>0.07140006790899214</v>
      </c>
      <c r="AC2008" t="n">
        <v>85.36907167268154</v>
      </c>
      <c r="AD2008" t="n">
        <v>-3.197091961673785</v>
      </c>
    </row>
    <row r="2009">
      <c r="A2009" t="n">
        <v>2008</v>
      </c>
      <c r="B2009" t="n">
        <v>55.2</v>
      </c>
      <c r="C2009" s="21">
        <f>B2009-20</f>
        <v/>
      </c>
      <c r="D2009" t="n">
        <v>124.7</v>
      </c>
      <c r="E2009" s="22">
        <f>D2009-90</f>
        <v/>
      </c>
      <c r="F2009" s="23" t="n">
        <v>0.012107</v>
      </c>
      <c r="G2009" s="22" t="n">
        <v>29.4</v>
      </c>
      <c r="H2009" s="22" t="n">
        <v>1.3</v>
      </c>
      <c r="I2009" s="24" t="n">
        <v>0.0536552332341671</v>
      </c>
      <c r="J2009" s="6" t="n">
        <v>71000</v>
      </c>
      <c r="K2009" s="25">
        <f>23*10^-6</f>
        <v/>
      </c>
      <c r="L2009" s="8">
        <f>H2009</f>
        <v/>
      </c>
      <c r="M2009" s="26">
        <f>H2009^2/6</f>
        <v/>
      </c>
      <c r="N2009" s="26">
        <f>H2009^3/12</f>
        <v/>
      </c>
      <c r="O2009" s="27">
        <f>-J2009*L2009*K2009*C2009</f>
        <v/>
      </c>
      <c r="P2009" s="28">
        <f>-(12*F2009*J2009*L2009*N2009+12*O2009*N2009*G2009*COS(RADIANS(E2009)))/(12*N2009*G2009*COS(RADIANS(E2009))^2+L2009*G2009^3*SIN(RADIANS(E2009))^2)</f>
        <v/>
      </c>
      <c r="Q2009" s="28">
        <f>-(6*F2009*J2009*L2009*N2009*SIN(RADIANS(E2009))+6*O2009*N2009*G2009*SIN(RADIANS(E2009))*COS(RADIANS(E2009)))/(12*N2009*COS(RADIANS(E2009))^2+L2009*G2009^2*SIN(RADIANS(E2009))^2)</f>
        <v/>
      </c>
      <c r="R2009" s="28">
        <f>-P2009*SIN(RADIANS(E2009))</f>
        <v/>
      </c>
      <c r="S2009" s="8">
        <f>(O2009+P2009*COS(RADIANS(E2009)))/L2009</f>
        <v/>
      </c>
      <c r="T2009" s="8">
        <f>R2009/L2009</f>
        <v/>
      </c>
      <c r="U2009" s="8">
        <f>(Q2009-P2009*G2009*SIN(RADIANS(E2009)))/M2009</f>
        <v/>
      </c>
      <c r="V2009" s="8">
        <f>SQRT((S2009+U2009)^2+3*T2009^2)</f>
        <v/>
      </c>
      <c r="W2009" s="8">
        <f>V2009/AA2009</f>
        <v/>
      </c>
      <c r="X2009" s="27">
        <f>((3*10+H2009/COS(RADIANS(E2009)))*(3+3)+3*G2009*H2009)*2</f>
        <v/>
      </c>
      <c r="Y2009" s="28">
        <f>Z2009/X2009</f>
        <v/>
      </c>
      <c r="Z2009" s="29" t="n">
        <v>616.920371493695</v>
      </c>
      <c r="AA2009" s="20" t="n">
        <v>49.5129669162865</v>
      </c>
      <c r="AB2009" t="n">
        <v>0.05902107235389903</v>
      </c>
      <c r="AC2009" t="n">
        <v>50.6443259450842</v>
      </c>
      <c r="AD2009" t="n">
        <v>10.0005885657301</v>
      </c>
    </row>
    <row r="2010">
      <c r="A2010" t="n">
        <v>2009</v>
      </c>
      <c r="B2010" t="n">
        <v>67.8</v>
      </c>
      <c r="C2010" s="21">
        <f>B2010-20</f>
        <v/>
      </c>
      <c r="D2010" t="n">
        <v>129</v>
      </c>
      <c r="E2010" s="22">
        <f>D2010-90</f>
        <v/>
      </c>
      <c r="F2010" s="23" t="n">
        <v>0.012925</v>
      </c>
      <c r="G2010" s="22" t="n">
        <v>22.8</v>
      </c>
      <c r="H2010" s="22" t="n">
        <v>1.5</v>
      </c>
      <c r="I2010" s="24" t="n">
        <v>0.0579852350056171</v>
      </c>
      <c r="J2010" s="6" t="n">
        <v>71000</v>
      </c>
      <c r="K2010" s="25">
        <f>23*10^-6</f>
        <v/>
      </c>
      <c r="L2010" s="8">
        <f>H2010</f>
        <v/>
      </c>
      <c r="M2010" s="26">
        <f>H2010^2/6</f>
        <v/>
      </c>
      <c r="N2010" s="26">
        <f>H2010^3/12</f>
        <v/>
      </c>
      <c r="O2010" s="27">
        <f>-J2010*L2010*K2010*C2010</f>
        <v/>
      </c>
      <c r="P2010" s="28">
        <f>-(12*F2010*J2010*L2010*N2010+12*O2010*N2010*G2010*COS(RADIANS(E2010)))/(12*N2010*G2010*COS(RADIANS(E2010))^2+L2010*G2010^3*SIN(RADIANS(E2010))^2)</f>
        <v/>
      </c>
      <c r="Q2010" s="28">
        <f>-(6*F2010*J2010*L2010*N2010*SIN(RADIANS(E2010))+6*O2010*N2010*G2010*SIN(RADIANS(E2010))*COS(RADIANS(E2010)))/(12*N2010*COS(RADIANS(E2010))^2+L2010*G2010^2*SIN(RADIANS(E2010))^2)</f>
        <v/>
      </c>
      <c r="R2010" s="28">
        <f>-P2010*SIN(RADIANS(E2010))</f>
        <v/>
      </c>
      <c r="S2010" s="8">
        <f>(O2010+P2010*COS(RADIANS(E2010)))/L2010</f>
        <v/>
      </c>
      <c r="T2010" s="8">
        <f>R2010/L2010</f>
        <v/>
      </c>
      <c r="U2010" s="8">
        <f>(Q2010-P2010*G2010*SIN(RADIANS(E2010)))/M2010</f>
        <v/>
      </c>
      <c r="V2010" s="8">
        <f>SQRT((S2010+U2010)^2+3*T2010^2)</f>
        <v/>
      </c>
      <c r="W2010" s="8">
        <f>V2010/AA2010</f>
        <v/>
      </c>
      <c r="X2010" s="27">
        <f>((3*10+H2010/COS(RADIANS(E2010)))*(3+3)+3*G2010*H2010)*2</f>
        <v/>
      </c>
      <c r="Y2010" s="28">
        <f>Z2010/X2010</f>
        <v/>
      </c>
      <c r="Z2010" s="29" t="n">
        <v>598.677531153153</v>
      </c>
      <c r="AA2010" s="20" t="n">
        <v>71.1303552327918</v>
      </c>
      <c r="AB2010" t="n">
        <v>0.05535725493375444</v>
      </c>
      <c r="AC2010" t="n">
        <v>69.29087782821223</v>
      </c>
      <c r="AD2010" t="n">
        <v>-4.532153869184253</v>
      </c>
    </row>
    <row r="2011">
      <c r="A2011" t="n">
        <v>2010</v>
      </c>
      <c r="B2011" t="n">
        <v>43.8</v>
      </c>
      <c r="C2011" s="21">
        <f>B2011-20</f>
        <v/>
      </c>
      <c r="D2011" t="n">
        <v>101</v>
      </c>
      <c r="E2011" s="22">
        <f>D2011-90</f>
        <v/>
      </c>
      <c r="F2011" s="23" t="n">
        <v>0.008392999999999999</v>
      </c>
      <c r="G2011" s="22" t="n">
        <v>25.4</v>
      </c>
      <c r="H2011" s="22" t="n">
        <v>1</v>
      </c>
      <c r="I2011" s="24" t="n">
        <v>0.0772937312722206</v>
      </c>
      <c r="J2011" s="6" t="n">
        <v>71000</v>
      </c>
      <c r="K2011" s="25">
        <f>23*10^-6</f>
        <v/>
      </c>
      <c r="L2011" s="8">
        <f>H2011</f>
        <v/>
      </c>
      <c r="M2011" s="26">
        <f>H2011^2/6</f>
        <v/>
      </c>
      <c r="N2011" s="26">
        <f>H2011^3/12</f>
        <v/>
      </c>
      <c r="O2011" s="27">
        <f>-J2011*L2011*K2011*C2011</f>
        <v/>
      </c>
      <c r="P2011" s="28">
        <f>-(12*F2011*J2011*L2011*N2011+12*O2011*N2011*G2011*COS(RADIANS(E2011)))/(12*N2011*G2011*COS(RADIANS(E2011))^2+L2011*G2011^3*SIN(RADIANS(E2011))^2)</f>
        <v/>
      </c>
      <c r="Q2011" s="28">
        <f>-(6*F2011*J2011*L2011*N2011*SIN(RADIANS(E2011))+6*O2011*N2011*G2011*SIN(RADIANS(E2011))*COS(RADIANS(E2011)))/(12*N2011*COS(RADIANS(E2011))^2+L2011*G2011^2*SIN(RADIANS(E2011))^2)</f>
        <v/>
      </c>
      <c r="R2011" s="28">
        <f>-P2011*SIN(RADIANS(E2011))</f>
        <v/>
      </c>
      <c r="S2011" s="8">
        <f>(O2011+P2011*COS(RADIANS(E2011)))/L2011</f>
        <v/>
      </c>
      <c r="T2011" s="8">
        <f>R2011/L2011</f>
        <v/>
      </c>
      <c r="U2011" s="8">
        <f>(Q2011-P2011*G2011*SIN(RADIANS(E2011)))/M2011</f>
        <v/>
      </c>
      <c r="V2011" s="8">
        <f>SQRT((S2011+U2011)^2+3*T2011^2)</f>
        <v/>
      </c>
      <c r="W2011" s="8">
        <f>V2011/AA2011</f>
        <v/>
      </c>
      <c r="X2011" s="27">
        <f>((3*10+H2011/COS(RADIANS(E2011)))*(3+3)+3*G2011*H2011)*2</f>
        <v/>
      </c>
      <c r="Y2011" s="28">
        <f>Z2011/X2011</f>
        <v/>
      </c>
      <c r="Z2011" s="29" t="n">
        <v>528.507430404028</v>
      </c>
      <c r="AA2011" s="20" t="n">
        <v>34.7774570168412</v>
      </c>
      <c r="AB2011" t="n">
        <v>0.1114085994053348</v>
      </c>
      <c r="AC2011" t="n">
        <v>38.66627684422336</v>
      </c>
      <c r="AD2011" t="n">
        <v>44.13665580843178</v>
      </c>
    </row>
    <row r="2012">
      <c r="A2012" t="n">
        <v>2011</v>
      </c>
      <c r="B2012" t="n">
        <v>54.1</v>
      </c>
      <c r="C2012" s="21">
        <f>B2012-20</f>
        <v/>
      </c>
      <c r="D2012" t="n">
        <v>110.3</v>
      </c>
      <c r="E2012" s="22">
        <f>D2012-90</f>
        <v/>
      </c>
      <c r="F2012" s="23" t="n">
        <v>0.011484</v>
      </c>
      <c r="G2012" s="22" t="n">
        <v>25.1</v>
      </c>
      <c r="H2012" s="22" t="n">
        <v>2</v>
      </c>
      <c r="I2012" s="24" t="n">
        <v>0.0668868646025657</v>
      </c>
      <c r="J2012" s="6" t="n">
        <v>71000</v>
      </c>
      <c r="K2012" s="25">
        <f>23*10^-6</f>
        <v/>
      </c>
      <c r="L2012" s="8">
        <f>H2012</f>
        <v/>
      </c>
      <c r="M2012" s="26">
        <f>H2012^2/6</f>
        <v/>
      </c>
      <c r="N2012" s="26">
        <f>H2012^3/12</f>
        <v/>
      </c>
      <c r="O2012" s="27">
        <f>-J2012*L2012*K2012*C2012</f>
        <v/>
      </c>
      <c r="P2012" s="28">
        <f>-(12*F2012*J2012*L2012*N2012+12*O2012*N2012*G2012*COS(RADIANS(E2012)))/(12*N2012*G2012*COS(RADIANS(E2012))^2+L2012*G2012^3*SIN(RADIANS(E2012))^2)</f>
        <v/>
      </c>
      <c r="Q2012" s="28">
        <f>-(6*F2012*J2012*L2012*N2012*SIN(RADIANS(E2012))+6*O2012*N2012*G2012*SIN(RADIANS(E2012))*COS(RADIANS(E2012)))/(12*N2012*COS(RADIANS(E2012))^2+L2012*G2012^2*SIN(RADIANS(E2012))^2)</f>
        <v/>
      </c>
      <c r="R2012" s="28">
        <f>-P2012*SIN(RADIANS(E2012))</f>
        <v/>
      </c>
      <c r="S2012" s="8">
        <f>(O2012+P2012*COS(RADIANS(E2012)))/L2012</f>
        <v/>
      </c>
      <c r="T2012" s="8">
        <f>R2012/L2012</f>
        <v/>
      </c>
      <c r="U2012" s="8">
        <f>(Q2012-P2012*G2012*SIN(RADIANS(E2012)))/M2012</f>
        <v/>
      </c>
      <c r="V2012" s="8">
        <f>SQRT((S2012+U2012)^2+3*T2012^2)</f>
        <v/>
      </c>
      <c r="W2012" s="8">
        <f>V2012/AA2012</f>
        <v/>
      </c>
      <c r="X2012" s="27">
        <f>((3*10+H2012/COS(RADIANS(E2012)))*(3+3)+3*G2012*H2012)*2</f>
        <v/>
      </c>
      <c r="Y2012" s="28">
        <f>Z2012/X2012</f>
        <v/>
      </c>
      <c r="Z2012" s="29" t="n">
        <v>691.812397178505</v>
      </c>
      <c r="AA2012" s="20" t="n">
        <v>59.9206147970668</v>
      </c>
      <c r="AB2012" t="n">
        <v>0.08370592515006953</v>
      </c>
      <c r="AC2012" t="n">
        <v>55.72702090527923</v>
      </c>
      <c r="AD2012" t="n">
        <v>25.1455358947393</v>
      </c>
    </row>
    <row r="2013">
      <c r="A2013" t="n">
        <v>2012</v>
      </c>
      <c r="B2013" t="n">
        <v>46.4</v>
      </c>
      <c r="C2013" s="21">
        <f>B2013-20</f>
        <v/>
      </c>
      <c r="D2013" t="n">
        <v>106.5</v>
      </c>
      <c r="E2013" s="22">
        <f>D2013-90</f>
        <v/>
      </c>
      <c r="F2013" s="23" t="n">
        <v>0.011386</v>
      </c>
      <c r="G2013" s="22" t="n">
        <v>33.2</v>
      </c>
      <c r="H2013" s="22" t="n">
        <v>1.1</v>
      </c>
      <c r="I2013" s="24" t="n">
        <v>0.07526823878288259</v>
      </c>
      <c r="J2013" s="6" t="n">
        <v>71000</v>
      </c>
      <c r="K2013" s="25">
        <f>23*10^-6</f>
        <v/>
      </c>
      <c r="L2013" s="8">
        <f>H2013</f>
        <v/>
      </c>
      <c r="M2013" s="26">
        <f>H2013^2/6</f>
        <v/>
      </c>
      <c r="N2013" s="26">
        <f>H2013^3/12</f>
        <v/>
      </c>
      <c r="O2013" s="27">
        <f>-J2013*L2013*K2013*C2013</f>
        <v/>
      </c>
      <c r="P2013" s="28">
        <f>-(12*F2013*J2013*L2013*N2013+12*O2013*N2013*G2013*COS(RADIANS(E2013)))/(12*N2013*G2013*COS(RADIANS(E2013))^2+L2013*G2013^3*SIN(RADIANS(E2013))^2)</f>
        <v/>
      </c>
      <c r="Q2013" s="28">
        <f>-(6*F2013*J2013*L2013*N2013*SIN(RADIANS(E2013))+6*O2013*N2013*G2013*SIN(RADIANS(E2013))*COS(RADIANS(E2013)))/(12*N2013*COS(RADIANS(E2013))^2+L2013*G2013^2*SIN(RADIANS(E2013))^2)</f>
        <v/>
      </c>
      <c r="R2013" s="28">
        <f>-P2013*SIN(RADIANS(E2013))</f>
        <v/>
      </c>
      <c r="S2013" s="8">
        <f>(O2013+P2013*COS(RADIANS(E2013)))/L2013</f>
        <v/>
      </c>
      <c r="T2013" s="8">
        <f>R2013/L2013</f>
        <v/>
      </c>
      <c r="U2013" s="8">
        <f>(Q2013-P2013*G2013*SIN(RADIANS(E2013)))/M2013</f>
        <v/>
      </c>
      <c r="V2013" s="8">
        <f>SQRT((S2013+U2013)^2+3*T2013^2)</f>
        <v/>
      </c>
      <c r="W2013" s="8">
        <f>V2013/AA2013</f>
        <v/>
      </c>
      <c r="X2013" s="27">
        <f>((3*10+H2013/COS(RADIANS(E2013)))*(3+3)+3*G2013*H2013)*2</f>
        <v/>
      </c>
      <c r="Y2013" s="28">
        <f>Z2013/X2013</f>
        <v/>
      </c>
      <c r="Z2013" s="29" t="n">
        <v>597.351328939784</v>
      </c>
      <c r="AA2013" s="20" t="n">
        <v>37.8048072328405</v>
      </c>
      <c r="AB2013" t="n">
        <v>0.1080240367795681</v>
      </c>
      <c r="AC2013" t="n">
        <v>40.10739847518541</v>
      </c>
      <c r="AD2013" t="n">
        <v>43.51875176882024</v>
      </c>
    </row>
    <row r="2014">
      <c r="A2014" t="n">
        <v>2013</v>
      </c>
      <c r="B2014" t="n">
        <v>67.7</v>
      </c>
      <c r="C2014" s="21">
        <f>B2014-20</f>
        <v/>
      </c>
      <c r="D2014" t="n">
        <v>126.1</v>
      </c>
      <c r="E2014" s="22">
        <f>D2014-90</f>
        <v/>
      </c>
      <c r="F2014" s="23" t="n">
        <v>0.018157</v>
      </c>
      <c r="G2014" s="22" t="n">
        <v>33.9</v>
      </c>
      <c r="H2014" s="22" t="n">
        <v>1.1</v>
      </c>
      <c r="I2014" s="24" t="n">
        <v>0.0779338032007217</v>
      </c>
      <c r="J2014" s="6" t="n">
        <v>71000</v>
      </c>
      <c r="K2014" s="25">
        <f>23*10^-6</f>
        <v/>
      </c>
      <c r="L2014" s="8">
        <f>H2014</f>
        <v/>
      </c>
      <c r="M2014" s="26">
        <f>H2014^2/6</f>
        <v/>
      </c>
      <c r="N2014" s="26">
        <f>H2014^3/12</f>
        <v/>
      </c>
      <c r="O2014" s="27">
        <f>-J2014*L2014*K2014*C2014</f>
        <v/>
      </c>
      <c r="P2014" s="28">
        <f>-(12*F2014*J2014*L2014*N2014+12*O2014*N2014*G2014*COS(RADIANS(E2014)))/(12*N2014*G2014*COS(RADIANS(E2014))^2+L2014*G2014^3*SIN(RADIANS(E2014))^2)</f>
        <v/>
      </c>
      <c r="Q2014" s="28">
        <f>-(6*F2014*J2014*L2014*N2014*SIN(RADIANS(E2014))+6*O2014*N2014*G2014*SIN(RADIANS(E2014))*COS(RADIANS(E2014)))/(12*N2014*COS(RADIANS(E2014))^2+L2014*G2014^2*SIN(RADIANS(E2014))^2)</f>
        <v/>
      </c>
      <c r="R2014" s="28">
        <f>-P2014*SIN(RADIANS(E2014))</f>
        <v/>
      </c>
      <c r="S2014" s="8">
        <f>(O2014+P2014*COS(RADIANS(E2014)))/L2014</f>
        <v/>
      </c>
      <c r="T2014" s="8">
        <f>R2014/L2014</f>
        <v/>
      </c>
      <c r="U2014" s="8">
        <f>(Q2014-P2014*G2014*SIN(RADIANS(E2014)))/M2014</f>
        <v/>
      </c>
      <c r="V2014" s="8">
        <f>SQRT((S2014+U2014)^2+3*T2014^2)</f>
        <v/>
      </c>
      <c r="W2014" s="8">
        <f>V2014/AA2014</f>
        <v/>
      </c>
      <c r="X2014" s="27">
        <f>((3*10+H2014/COS(RADIANS(E2014)))*(3+3)+3*G2014*H2014)*2</f>
        <v/>
      </c>
      <c r="Y2014" s="28">
        <f>Z2014/X2014</f>
        <v/>
      </c>
      <c r="Z2014" s="29" t="n">
        <v>609.21380976579</v>
      </c>
      <c r="AA2014" s="20" t="n">
        <v>62.5808466953823</v>
      </c>
      <c r="AB2014" t="n">
        <v>0.08782247843319915</v>
      </c>
      <c r="AC2014" t="n">
        <v>67.39495900186392</v>
      </c>
      <c r="AD2014" t="n">
        <v>12.68855724519021</v>
      </c>
    </row>
    <row r="2015">
      <c r="A2015" t="n">
        <v>2014</v>
      </c>
      <c r="B2015" t="n">
        <v>55.8</v>
      </c>
      <c r="C2015" s="21">
        <f>B2015-20</f>
        <v/>
      </c>
      <c r="D2015" t="n">
        <v>112.9</v>
      </c>
      <c r="E2015" s="22">
        <f>D2015-90</f>
        <v/>
      </c>
      <c r="F2015" s="23" t="n">
        <v>0.01463</v>
      </c>
      <c r="G2015" s="22" t="n">
        <v>32.4</v>
      </c>
      <c r="H2015" s="22" t="n">
        <v>1.7</v>
      </c>
      <c r="I2015" s="24" t="n">
        <v>0.077493242919445</v>
      </c>
      <c r="J2015" s="6" t="n">
        <v>71000</v>
      </c>
      <c r="K2015" s="25">
        <f>23*10^-6</f>
        <v/>
      </c>
      <c r="L2015" s="8">
        <f>H2015</f>
        <v/>
      </c>
      <c r="M2015" s="26">
        <f>H2015^2/6</f>
        <v/>
      </c>
      <c r="N2015" s="26">
        <f>H2015^3/12</f>
        <v/>
      </c>
      <c r="O2015" s="27">
        <f>-J2015*L2015*K2015*C2015</f>
        <v/>
      </c>
      <c r="P2015" s="28">
        <f>-(12*F2015*J2015*L2015*N2015+12*O2015*N2015*G2015*COS(RADIANS(E2015)))/(12*N2015*G2015*COS(RADIANS(E2015))^2+L2015*G2015^3*SIN(RADIANS(E2015))^2)</f>
        <v/>
      </c>
      <c r="Q2015" s="28">
        <f>-(6*F2015*J2015*L2015*N2015*SIN(RADIANS(E2015))+6*O2015*N2015*G2015*SIN(RADIANS(E2015))*COS(RADIANS(E2015)))/(12*N2015*COS(RADIANS(E2015))^2+L2015*G2015^2*SIN(RADIANS(E2015))^2)</f>
        <v/>
      </c>
      <c r="R2015" s="28">
        <f>-P2015*SIN(RADIANS(E2015))</f>
        <v/>
      </c>
      <c r="S2015" s="8">
        <f>(O2015+P2015*COS(RADIANS(E2015)))/L2015</f>
        <v/>
      </c>
      <c r="T2015" s="8">
        <f>R2015/L2015</f>
        <v/>
      </c>
      <c r="U2015" s="8">
        <f>(Q2015-P2015*G2015*SIN(RADIANS(E2015)))/M2015</f>
        <v/>
      </c>
      <c r="V2015" s="8">
        <f>SQRT((S2015+U2015)^2+3*T2015^2)</f>
        <v/>
      </c>
      <c r="W2015" s="8">
        <f>V2015/AA2015</f>
        <v/>
      </c>
      <c r="X2015" s="27">
        <f>((3*10+H2015/COS(RADIANS(E2015)))*(3+3)+3*G2015*H2015)*2</f>
        <v/>
      </c>
      <c r="Y2015" s="28">
        <f>Z2015/X2015</f>
        <v/>
      </c>
      <c r="Z2015" s="29" t="n">
        <v>718.112395596806</v>
      </c>
      <c r="AA2015" s="20" t="n">
        <v>55.8024508007011</v>
      </c>
      <c r="AB2015" t="n">
        <v>0.1015309171129037</v>
      </c>
      <c r="AC2015" t="n">
        <v>54.92971794406696</v>
      </c>
      <c r="AD2015" t="n">
        <v>31.01905829189019</v>
      </c>
    </row>
    <row r="2016">
      <c r="A2016" t="n">
        <v>2015</v>
      </c>
      <c r="B2016" t="n">
        <v>44.5</v>
      </c>
      <c r="C2016" s="21">
        <f>B2016-20</f>
        <v/>
      </c>
      <c r="D2016" t="n">
        <v>101.9</v>
      </c>
      <c r="E2016" s="22">
        <f>D2016-90</f>
        <v/>
      </c>
      <c r="F2016" s="23" t="n">
        <v>0.008782</v>
      </c>
      <c r="G2016" s="22" t="n">
        <v>26</v>
      </c>
      <c r="H2016" s="22" t="n">
        <v>1</v>
      </c>
      <c r="I2016" s="24" t="n">
        <v>0.0760739147663116</v>
      </c>
      <c r="J2016" s="6" t="n">
        <v>71000</v>
      </c>
      <c r="K2016" s="25">
        <f>23*10^-6</f>
        <v/>
      </c>
      <c r="L2016" s="8">
        <f>H2016</f>
        <v/>
      </c>
      <c r="M2016" s="26">
        <f>H2016^2/6</f>
        <v/>
      </c>
      <c r="N2016" s="26">
        <f>H2016^3/12</f>
        <v/>
      </c>
      <c r="O2016" s="27">
        <f>-J2016*L2016*K2016*C2016</f>
        <v/>
      </c>
      <c r="P2016" s="28">
        <f>-(12*F2016*J2016*L2016*N2016+12*O2016*N2016*G2016*COS(RADIANS(E2016)))/(12*N2016*G2016*COS(RADIANS(E2016))^2+L2016*G2016^3*SIN(RADIANS(E2016))^2)</f>
        <v/>
      </c>
      <c r="Q2016" s="28">
        <f>-(6*F2016*J2016*L2016*N2016*SIN(RADIANS(E2016))+6*O2016*N2016*G2016*SIN(RADIANS(E2016))*COS(RADIANS(E2016)))/(12*N2016*COS(RADIANS(E2016))^2+L2016*G2016^2*SIN(RADIANS(E2016))^2)</f>
        <v/>
      </c>
      <c r="R2016" s="28">
        <f>-P2016*SIN(RADIANS(E2016))</f>
        <v/>
      </c>
      <c r="S2016" s="8">
        <f>(O2016+P2016*COS(RADIANS(E2016)))/L2016</f>
        <v/>
      </c>
      <c r="T2016" s="8">
        <f>R2016/L2016</f>
        <v/>
      </c>
      <c r="U2016" s="8">
        <f>(Q2016-P2016*G2016*SIN(RADIANS(E2016)))/M2016</f>
        <v/>
      </c>
      <c r="V2016" s="8">
        <f>SQRT((S2016+U2016)^2+3*T2016^2)</f>
        <v/>
      </c>
      <c r="W2016" s="8">
        <f>V2016/AA2016</f>
        <v/>
      </c>
      <c r="X2016" s="27">
        <f>((3*10+H2016/COS(RADIANS(E2016)))*(3+3)+3*G2016*H2016)*2</f>
        <v/>
      </c>
      <c r="Y2016" s="28">
        <f>Z2016/X2016</f>
        <v/>
      </c>
      <c r="Z2016" s="29" t="n">
        <v>532.224298197185</v>
      </c>
      <c r="AA2016" s="20" t="n">
        <v>35.8608573962579</v>
      </c>
      <c r="AB2016" t="n">
        <v>0.1090288062158763</v>
      </c>
      <c r="AC2016" t="n">
        <v>39.25167103183886</v>
      </c>
      <c r="AD2016" t="n">
        <v>43.31956827882129</v>
      </c>
    </row>
    <row r="2017">
      <c r="A2017" t="n">
        <v>2016</v>
      </c>
      <c r="B2017" t="n">
        <v>51.9</v>
      </c>
      <c r="C2017" s="21">
        <f>B2017-20</f>
        <v/>
      </c>
      <c r="D2017" t="n">
        <v>116.5</v>
      </c>
      <c r="E2017" s="22">
        <f>D2017-90</f>
        <v/>
      </c>
      <c r="F2017" s="23" t="n">
        <v>0.01354</v>
      </c>
      <c r="G2017" s="22" t="n">
        <v>34.9</v>
      </c>
      <c r="H2017" s="22" t="n">
        <v>2</v>
      </c>
      <c r="I2017" s="24" t="n">
        <v>0.06551375985145561</v>
      </c>
      <c r="J2017" s="6" t="n">
        <v>71000</v>
      </c>
      <c r="K2017" s="25">
        <f>23*10^-6</f>
        <v/>
      </c>
      <c r="L2017" s="8">
        <f>H2017</f>
        <v/>
      </c>
      <c r="M2017" s="26">
        <f>H2017^2/6</f>
        <v/>
      </c>
      <c r="N2017" s="26">
        <f>H2017^3/12</f>
        <v/>
      </c>
      <c r="O2017" s="27">
        <f>-J2017*L2017*K2017*C2017</f>
        <v/>
      </c>
      <c r="P2017" s="28">
        <f>-(12*F2017*J2017*L2017*N2017+12*O2017*N2017*G2017*COS(RADIANS(E2017)))/(12*N2017*G2017*COS(RADIANS(E2017))^2+L2017*G2017^3*SIN(RADIANS(E2017))^2)</f>
        <v/>
      </c>
      <c r="Q2017" s="28">
        <f>-(6*F2017*J2017*L2017*N2017*SIN(RADIANS(E2017))+6*O2017*N2017*G2017*SIN(RADIANS(E2017))*COS(RADIANS(E2017)))/(12*N2017*COS(RADIANS(E2017))^2+L2017*G2017^2*SIN(RADIANS(E2017))^2)</f>
        <v/>
      </c>
      <c r="R2017" s="28">
        <f>-P2017*SIN(RADIANS(E2017))</f>
        <v/>
      </c>
      <c r="S2017" s="8">
        <f>(O2017+P2017*COS(RADIANS(E2017)))/L2017</f>
        <v/>
      </c>
      <c r="T2017" s="8">
        <f>R2017/L2017</f>
        <v/>
      </c>
      <c r="U2017" s="8">
        <f>(Q2017-P2017*G2017*SIN(RADIANS(E2017)))/M2017</f>
        <v/>
      </c>
      <c r="V2017" s="8">
        <f>SQRT((S2017+U2017)^2+3*T2017^2)</f>
        <v/>
      </c>
      <c r="W2017" s="8">
        <f>V2017/AA2017</f>
        <v/>
      </c>
      <c r="X2017" s="27">
        <f>((3*10+H2017/COS(RADIANS(E2017)))*(3+3)+3*G2017*H2017)*2</f>
        <v/>
      </c>
      <c r="Y2017" s="28">
        <f>Z2017/X2017</f>
        <v/>
      </c>
      <c r="Z2017" s="29" t="n">
        <v>811.868847854708</v>
      </c>
      <c r="AA2017" s="20" t="n">
        <v>51.6209455350149</v>
      </c>
      <c r="AB2017" t="n">
        <v>0.0833545071262255</v>
      </c>
      <c r="AC2017" t="n">
        <v>48.58304669747138</v>
      </c>
      <c r="AD2017" t="n">
        <v>27.23206134897706</v>
      </c>
    </row>
    <row r="2018">
      <c r="A2018" t="n">
        <v>2017</v>
      </c>
      <c r="B2018" t="n">
        <v>40.5</v>
      </c>
      <c r="C2018" s="21">
        <f>B2018-20</f>
        <v/>
      </c>
      <c r="D2018" t="n">
        <v>100.5</v>
      </c>
      <c r="E2018" s="22">
        <f>D2018-90</f>
        <v/>
      </c>
      <c r="F2018" s="23" t="n">
        <v>0.006848</v>
      </c>
      <c r="G2018" s="22" t="n">
        <v>23.7</v>
      </c>
      <c r="H2018" s="22" t="n">
        <v>1.2</v>
      </c>
      <c r="I2018" s="24" t="n">
        <v>0.0642610937356948</v>
      </c>
      <c r="J2018" s="6" t="n">
        <v>71000</v>
      </c>
      <c r="K2018" s="25">
        <f>23*10^-6</f>
        <v/>
      </c>
      <c r="L2018" s="8">
        <f>H2018</f>
        <v/>
      </c>
      <c r="M2018" s="26">
        <f>H2018^2/6</f>
        <v/>
      </c>
      <c r="N2018" s="26">
        <f>H2018^3/12</f>
        <v/>
      </c>
      <c r="O2018" s="27">
        <f>-J2018*L2018*K2018*C2018</f>
        <v/>
      </c>
      <c r="P2018" s="28">
        <f>-(12*F2018*J2018*L2018*N2018+12*O2018*N2018*G2018*COS(RADIANS(E2018)))/(12*N2018*G2018*COS(RADIANS(E2018))^2+L2018*G2018^3*SIN(RADIANS(E2018))^2)</f>
        <v/>
      </c>
      <c r="Q2018" s="28">
        <f>-(6*F2018*J2018*L2018*N2018*SIN(RADIANS(E2018))+6*O2018*N2018*G2018*SIN(RADIANS(E2018))*COS(RADIANS(E2018)))/(12*N2018*COS(RADIANS(E2018))^2+L2018*G2018^2*SIN(RADIANS(E2018))^2)</f>
        <v/>
      </c>
      <c r="R2018" s="28">
        <f>-P2018*SIN(RADIANS(E2018))</f>
        <v/>
      </c>
      <c r="S2018" s="8">
        <f>(O2018+P2018*COS(RADIANS(E2018)))/L2018</f>
        <v/>
      </c>
      <c r="T2018" s="8">
        <f>R2018/L2018</f>
        <v/>
      </c>
      <c r="U2018" s="8">
        <f>(Q2018-P2018*G2018*SIN(RADIANS(E2018)))/M2018</f>
        <v/>
      </c>
      <c r="V2018" s="8">
        <f>SQRT((S2018+U2018)^2+3*T2018^2)</f>
        <v/>
      </c>
      <c r="W2018" s="8">
        <f>V2018/AA2018</f>
        <v/>
      </c>
      <c r="X2018" s="27">
        <f>((3*10+H2018/COS(RADIANS(E2018)))*(3+3)+3*G2018*H2018)*2</f>
        <v/>
      </c>
      <c r="Y2018" s="28">
        <f>Z2018/X2018</f>
        <v/>
      </c>
      <c r="Z2018" s="29" t="n">
        <v>549.127591592792</v>
      </c>
      <c r="AA2018" s="20" t="n">
        <v>32.030502806755</v>
      </c>
      <c r="AB2018" t="n">
        <v>0.09135566224008995</v>
      </c>
      <c r="AC2018" t="n">
        <v>34.72524017470153</v>
      </c>
      <c r="AD2018" t="n">
        <v>42.16325451265244</v>
      </c>
    </row>
    <row r="2019">
      <c r="A2019" t="n">
        <v>2018</v>
      </c>
      <c r="B2019" t="n">
        <v>82.59999999999999</v>
      </c>
      <c r="C2019" s="21">
        <f>B2019-20</f>
        <v/>
      </c>
      <c r="D2019" t="n">
        <v>109.2</v>
      </c>
      <c r="E2019" s="22">
        <f>D2019-90</f>
        <v/>
      </c>
      <c r="F2019" s="23" t="n">
        <v>0.019446</v>
      </c>
      <c r="G2019" s="22" t="n">
        <v>22.5</v>
      </c>
      <c r="H2019" s="22" t="n">
        <v>1.6</v>
      </c>
      <c r="I2019" s="24" t="n">
        <v>0.119520686566829</v>
      </c>
      <c r="J2019" s="6" t="n">
        <v>71000</v>
      </c>
      <c r="K2019" s="25">
        <f>23*10^-6</f>
        <v/>
      </c>
      <c r="L2019" s="8">
        <f>H2019</f>
        <v/>
      </c>
      <c r="M2019" s="26">
        <f>H2019^2/6</f>
        <v/>
      </c>
      <c r="N2019" s="26">
        <f>H2019^3/12</f>
        <v/>
      </c>
      <c r="O2019" s="27">
        <f>-J2019*L2019*K2019*C2019</f>
        <v/>
      </c>
      <c r="P2019" s="28">
        <f>-(12*F2019*J2019*L2019*N2019+12*O2019*N2019*G2019*COS(RADIANS(E2019)))/(12*N2019*G2019*COS(RADIANS(E2019))^2+L2019*G2019^3*SIN(RADIANS(E2019))^2)</f>
        <v/>
      </c>
      <c r="Q2019" s="28">
        <f>-(6*F2019*J2019*L2019*N2019*SIN(RADIANS(E2019))+6*O2019*N2019*G2019*SIN(RADIANS(E2019))*COS(RADIANS(E2019)))/(12*N2019*COS(RADIANS(E2019))^2+L2019*G2019^2*SIN(RADIANS(E2019))^2)</f>
        <v/>
      </c>
      <c r="R2019" s="28">
        <f>-P2019*SIN(RADIANS(E2019))</f>
        <v/>
      </c>
      <c r="S2019" s="8">
        <f>(O2019+P2019*COS(RADIANS(E2019)))/L2019</f>
        <v/>
      </c>
      <c r="T2019" s="8">
        <f>R2019/L2019</f>
        <v/>
      </c>
      <c r="U2019" s="8">
        <f>(Q2019-P2019*G2019*SIN(RADIANS(E2019)))/M2019</f>
        <v/>
      </c>
      <c r="V2019" s="8">
        <f>SQRT((S2019+U2019)^2+3*T2019^2)</f>
        <v/>
      </c>
      <c r="W2019" s="8">
        <f>V2019/AA2019</f>
        <v/>
      </c>
      <c r="X2019" s="27">
        <f>((3*10+H2019/COS(RADIANS(E2019)))*(3+3)+3*G2019*H2019)*2</f>
        <v/>
      </c>
      <c r="Y2019" s="28">
        <f>Z2019/X2019</f>
        <v/>
      </c>
      <c r="Z2019" s="29" t="n">
        <v>601.178103052571</v>
      </c>
      <c r="AA2019" s="20" t="n">
        <v>102.49196675421</v>
      </c>
      <c r="AB2019" t="n">
        <v>0.147897109593618</v>
      </c>
      <c r="AC2019" t="n">
        <v>100.8732272276398</v>
      </c>
      <c r="AD2019" t="n">
        <v>23.74185075562011</v>
      </c>
    </row>
    <row r="2020">
      <c r="A2020" t="n">
        <v>2019</v>
      </c>
      <c r="B2020" t="n">
        <v>78.40000000000001</v>
      </c>
      <c r="C2020" s="21">
        <f>B2020-20</f>
        <v/>
      </c>
      <c r="D2020" t="n">
        <v>116.5</v>
      </c>
      <c r="E2020" s="22">
        <f>D2020-90</f>
        <v/>
      </c>
      <c r="F2020" s="23" t="n">
        <v>0.021392</v>
      </c>
      <c r="G2020" s="22" t="n">
        <v>29.2</v>
      </c>
      <c r="H2020" s="22" t="n">
        <v>1.5</v>
      </c>
      <c r="I2020" s="24" t="n">
        <v>0.106055669486522</v>
      </c>
      <c r="J2020" s="6" t="n">
        <v>71000</v>
      </c>
      <c r="K2020" s="25">
        <f>23*10^-6</f>
        <v/>
      </c>
      <c r="L2020" s="8">
        <f>H2020</f>
        <v/>
      </c>
      <c r="M2020" s="26">
        <f>H2020^2/6</f>
        <v/>
      </c>
      <c r="N2020" s="26">
        <f>H2020^3/12</f>
        <v/>
      </c>
      <c r="O2020" s="27">
        <f>-J2020*L2020*K2020*C2020</f>
        <v/>
      </c>
      <c r="P2020" s="28">
        <f>-(12*F2020*J2020*L2020*N2020+12*O2020*N2020*G2020*COS(RADIANS(E2020)))/(12*N2020*G2020*COS(RADIANS(E2020))^2+L2020*G2020^3*SIN(RADIANS(E2020))^2)</f>
        <v/>
      </c>
      <c r="Q2020" s="28">
        <f>-(6*F2020*J2020*L2020*N2020*SIN(RADIANS(E2020))+6*O2020*N2020*G2020*SIN(RADIANS(E2020))*COS(RADIANS(E2020)))/(12*N2020*COS(RADIANS(E2020))^2+L2020*G2020^2*SIN(RADIANS(E2020))^2)</f>
        <v/>
      </c>
      <c r="R2020" s="28">
        <f>-P2020*SIN(RADIANS(E2020))</f>
        <v/>
      </c>
      <c r="S2020" s="8">
        <f>(O2020+P2020*COS(RADIANS(E2020)))/L2020</f>
        <v/>
      </c>
      <c r="T2020" s="8">
        <f>R2020/L2020</f>
        <v/>
      </c>
      <c r="U2020" s="8">
        <f>(Q2020-P2020*G2020*SIN(RADIANS(E2020)))/M2020</f>
        <v/>
      </c>
      <c r="V2020" s="8">
        <f>SQRT((S2020+U2020)^2+3*T2020^2)</f>
        <v/>
      </c>
      <c r="W2020" s="8">
        <f>V2020/AA2020</f>
        <v/>
      </c>
      <c r="X2020" s="27">
        <f>((3*10+H2020/COS(RADIANS(E2020)))*(3+3)+3*G2020*H2020)*2</f>
        <v/>
      </c>
      <c r="Y2020" s="28">
        <f>Z2020/X2020</f>
        <v/>
      </c>
      <c r="Z2020" s="29" t="n">
        <v>649.164445546076</v>
      </c>
      <c r="AA2020" s="20" t="n">
        <v>87.5310541511267</v>
      </c>
      <c r="AB2020" t="n">
        <v>0.1293216393845823</v>
      </c>
      <c r="AC2020" t="n">
        <v>87.48619059957922</v>
      </c>
      <c r="AD2020" t="n">
        <v>21.93750698166779</v>
      </c>
    </row>
    <row r="2021">
      <c r="A2021" t="n">
        <v>2020</v>
      </c>
      <c r="B2021" t="n">
        <v>58.2</v>
      </c>
      <c r="C2021" s="21">
        <f>B2021-20</f>
        <v/>
      </c>
      <c r="D2021" t="n">
        <v>109.8</v>
      </c>
      <c r="E2021" s="22">
        <f>D2021-90</f>
        <v/>
      </c>
      <c r="F2021" s="23" t="n">
        <v>0.012447</v>
      </c>
      <c r="G2021" s="22" t="n">
        <v>24</v>
      </c>
      <c r="H2021" s="22" t="n">
        <v>1.3</v>
      </c>
      <c r="I2021" s="24" t="n">
        <v>0.0750594362616539</v>
      </c>
      <c r="J2021" s="6" t="n">
        <v>71000</v>
      </c>
      <c r="K2021" s="25">
        <f>23*10^-6</f>
        <v/>
      </c>
      <c r="L2021" s="8">
        <f>H2021</f>
        <v/>
      </c>
      <c r="M2021" s="26">
        <f>H2021^2/6</f>
        <v/>
      </c>
      <c r="N2021" s="26">
        <f>H2021^3/12</f>
        <v/>
      </c>
      <c r="O2021" s="27">
        <f>-J2021*L2021*K2021*C2021</f>
        <v/>
      </c>
      <c r="P2021" s="28">
        <f>-(12*F2021*J2021*L2021*N2021+12*O2021*N2021*G2021*COS(RADIANS(E2021)))/(12*N2021*G2021*COS(RADIANS(E2021))^2+L2021*G2021^3*SIN(RADIANS(E2021))^2)</f>
        <v/>
      </c>
      <c r="Q2021" s="28">
        <f>-(6*F2021*J2021*L2021*N2021*SIN(RADIANS(E2021))+6*O2021*N2021*G2021*SIN(RADIANS(E2021))*COS(RADIANS(E2021)))/(12*N2021*COS(RADIANS(E2021))^2+L2021*G2021^2*SIN(RADIANS(E2021))^2)</f>
        <v/>
      </c>
      <c r="R2021" s="28">
        <f>-P2021*SIN(RADIANS(E2021))</f>
        <v/>
      </c>
      <c r="S2021" s="8">
        <f>(O2021+P2021*COS(RADIANS(E2021)))/L2021</f>
        <v/>
      </c>
      <c r="T2021" s="8">
        <f>R2021/L2021</f>
        <v/>
      </c>
      <c r="U2021" s="8">
        <f>(Q2021-P2021*G2021*SIN(RADIANS(E2021)))/M2021</f>
        <v/>
      </c>
      <c r="V2021" s="8">
        <f>SQRT((S2021+U2021)^2+3*T2021^2)</f>
        <v/>
      </c>
      <c r="W2021" s="8">
        <f>V2021/AA2021</f>
        <v/>
      </c>
      <c r="X2021" s="27">
        <f>((3*10+H2021/COS(RADIANS(E2021)))*(3+3)+3*G2021*H2021)*2</f>
        <v/>
      </c>
      <c r="Y2021" s="28">
        <f>Z2021/X2021</f>
        <v/>
      </c>
      <c r="Z2021" s="29" t="n">
        <v>568.72185278935</v>
      </c>
      <c r="AA2021" s="20" t="n">
        <v>57.3081861979121</v>
      </c>
      <c r="AB2021" t="n">
        <v>0.09457906269808232</v>
      </c>
      <c r="AC2021" t="n">
        <v>59.32339097122239</v>
      </c>
      <c r="AD2021" t="n">
        <v>26.00555960530247</v>
      </c>
    </row>
    <row r="2022">
      <c r="A2022" t="n">
        <v>2021</v>
      </c>
      <c r="B2022" t="n">
        <v>50.1</v>
      </c>
      <c r="C2022" s="21">
        <f>B2022-20</f>
        <v/>
      </c>
      <c r="D2022" t="n">
        <v>108.6</v>
      </c>
      <c r="E2022" s="22">
        <f>D2022-90</f>
        <v/>
      </c>
      <c r="F2022" s="23" t="n">
        <v>0.011588</v>
      </c>
      <c r="G2022" s="22" t="n">
        <v>29.3</v>
      </c>
      <c r="H2022" s="22" t="n">
        <v>1.9</v>
      </c>
      <c r="I2022" s="24" t="n">
        <v>0.0703927651047706</v>
      </c>
      <c r="J2022" s="6" t="n">
        <v>71000</v>
      </c>
      <c r="K2022" s="25">
        <f>23*10^-6</f>
        <v/>
      </c>
      <c r="L2022" s="8">
        <f>H2022</f>
        <v/>
      </c>
      <c r="M2022" s="26">
        <f>H2022^2/6</f>
        <v/>
      </c>
      <c r="N2022" s="26">
        <f>H2022^3/12</f>
        <v/>
      </c>
      <c r="O2022" s="27">
        <f>-J2022*L2022*K2022*C2022</f>
        <v/>
      </c>
      <c r="P2022" s="28">
        <f>-(12*F2022*J2022*L2022*N2022+12*O2022*N2022*G2022*COS(RADIANS(E2022)))/(12*N2022*G2022*COS(RADIANS(E2022))^2+L2022*G2022^3*SIN(RADIANS(E2022))^2)</f>
        <v/>
      </c>
      <c r="Q2022" s="28">
        <f>-(6*F2022*J2022*L2022*N2022*SIN(RADIANS(E2022))+6*O2022*N2022*G2022*SIN(RADIANS(E2022))*COS(RADIANS(E2022)))/(12*N2022*COS(RADIANS(E2022))^2+L2022*G2022^2*SIN(RADIANS(E2022))^2)</f>
        <v/>
      </c>
      <c r="R2022" s="28">
        <f>-P2022*SIN(RADIANS(E2022))</f>
        <v/>
      </c>
      <c r="S2022" s="8">
        <f>(O2022+P2022*COS(RADIANS(E2022)))/L2022</f>
        <v/>
      </c>
      <c r="T2022" s="8">
        <f>R2022/L2022</f>
        <v/>
      </c>
      <c r="U2022" s="8">
        <f>(Q2022-P2022*G2022*SIN(RADIANS(E2022)))/M2022</f>
        <v/>
      </c>
      <c r="V2022" s="8">
        <f>SQRT((S2022+U2022)^2+3*T2022^2)</f>
        <v/>
      </c>
      <c r="W2022" s="8">
        <f>V2022/AA2022</f>
        <v/>
      </c>
      <c r="X2022" s="27">
        <f>((3*10+H2022/COS(RADIANS(E2022)))*(3+3)+3*G2022*H2022)*2</f>
        <v/>
      </c>
      <c r="Y2022" s="28">
        <f>Z2022/X2022</f>
        <v/>
      </c>
      <c r="Z2022" s="29" t="n">
        <v>722.832780986112</v>
      </c>
      <c r="AA2022" s="20" t="n">
        <v>50.6825757569621</v>
      </c>
      <c r="AB2022" t="n">
        <v>0.09437879193212718</v>
      </c>
      <c r="AC2022" t="n">
        <v>48.80558642742503</v>
      </c>
      <c r="AD2022" t="n">
        <v>34.07456262253152</v>
      </c>
    </row>
    <row r="2023">
      <c r="A2023" t="n">
        <v>2022</v>
      </c>
      <c r="B2023" t="n">
        <v>46.7</v>
      </c>
      <c r="C2023" s="21">
        <f>B2023-20</f>
        <v/>
      </c>
      <c r="D2023" t="n">
        <v>118.5</v>
      </c>
      <c r="E2023" s="22">
        <f>D2023-90</f>
        <v/>
      </c>
      <c r="F2023" s="23" t="n">
        <v>0.009905000000000001</v>
      </c>
      <c r="G2023" s="22" t="n">
        <v>30.2</v>
      </c>
      <c r="H2023" s="22" t="n">
        <v>1.2</v>
      </c>
      <c r="I2023" s="24" t="n">
        <v>0.047150008380413</v>
      </c>
      <c r="J2023" s="6" t="n">
        <v>71000</v>
      </c>
      <c r="K2023" s="25">
        <f>23*10^-6</f>
        <v/>
      </c>
      <c r="L2023" s="8">
        <f>H2023</f>
        <v/>
      </c>
      <c r="M2023" s="26">
        <f>H2023^2/6</f>
        <v/>
      </c>
      <c r="N2023" s="26">
        <f>H2023^3/12</f>
        <v/>
      </c>
      <c r="O2023" s="27">
        <f>-J2023*L2023*K2023*C2023</f>
        <v/>
      </c>
      <c r="P2023" s="28">
        <f>-(12*F2023*J2023*L2023*N2023+12*O2023*N2023*G2023*COS(RADIANS(E2023)))/(12*N2023*G2023*COS(RADIANS(E2023))^2+L2023*G2023^3*SIN(RADIANS(E2023))^2)</f>
        <v/>
      </c>
      <c r="Q2023" s="28">
        <f>-(6*F2023*J2023*L2023*N2023*SIN(RADIANS(E2023))+6*O2023*N2023*G2023*SIN(RADIANS(E2023))*COS(RADIANS(E2023)))/(12*N2023*COS(RADIANS(E2023))^2+L2023*G2023^2*SIN(RADIANS(E2023))^2)</f>
        <v/>
      </c>
      <c r="R2023" s="28">
        <f>-P2023*SIN(RADIANS(E2023))</f>
        <v/>
      </c>
      <c r="S2023" s="8">
        <f>(O2023+P2023*COS(RADIANS(E2023)))/L2023</f>
        <v/>
      </c>
      <c r="T2023" s="8">
        <f>R2023/L2023</f>
        <v/>
      </c>
      <c r="U2023" s="8">
        <f>(Q2023-P2023*G2023*SIN(RADIANS(E2023)))/M2023</f>
        <v/>
      </c>
      <c r="V2023" s="8">
        <f>SQRT((S2023+U2023)^2+3*T2023^2)</f>
        <v/>
      </c>
      <c r="W2023" s="8">
        <f>V2023/AA2023</f>
        <v/>
      </c>
      <c r="X2023" s="27">
        <f>((3*10+H2023/COS(RADIANS(E2023)))*(3+3)+3*G2023*H2023)*2</f>
        <v/>
      </c>
      <c r="Y2023" s="28">
        <f>Z2023/X2023</f>
        <v/>
      </c>
      <c r="Z2023" s="29" t="n">
        <v>600.568727542851</v>
      </c>
      <c r="AA2023" s="20" t="n">
        <v>37.550852104532</v>
      </c>
      <c r="AB2023" t="n">
        <v>0.05677632950250628</v>
      </c>
      <c r="AC2023" t="n">
        <v>38.858650408458</v>
      </c>
      <c r="AD2023" t="n">
        <v>20.41637202781969</v>
      </c>
    </row>
    <row r="2024">
      <c r="A2024" t="n">
        <v>2023</v>
      </c>
      <c r="B2024" t="n">
        <v>72.7</v>
      </c>
      <c r="C2024" s="21">
        <f>B2024-20</f>
        <v/>
      </c>
      <c r="D2024" t="n">
        <v>120.1</v>
      </c>
      <c r="E2024" s="22">
        <f>D2024-90</f>
        <v/>
      </c>
      <c r="F2024" s="23" t="n">
        <v>0.01478</v>
      </c>
      <c r="G2024" s="22" t="n">
        <v>21.5</v>
      </c>
      <c r="H2024" s="22" t="n">
        <v>1.6</v>
      </c>
      <c r="I2024" s="24" t="n">
        <v>0.07230634242296211</v>
      </c>
      <c r="J2024" s="6" t="n">
        <v>71000</v>
      </c>
      <c r="K2024" s="25">
        <f>23*10^-6</f>
        <v/>
      </c>
      <c r="L2024" s="8">
        <f>H2024</f>
        <v/>
      </c>
      <c r="M2024" s="26">
        <f>H2024^2/6</f>
        <v/>
      </c>
      <c r="N2024" s="26">
        <f>H2024^3/12</f>
        <v/>
      </c>
      <c r="O2024" s="27">
        <f>-J2024*L2024*K2024*C2024</f>
        <v/>
      </c>
      <c r="P2024" s="28">
        <f>-(12*F2024*J2024*L2024*N2024+12*O2024*N2024*G2024*COS(RADIANS(E2024)))/(12*N2024*G2024*COS(RADIANS(E2024))^2+L2024*G2024^3*SIN(RADIANS(E2024))^2)</f>
        <v/>
      </c>
      <c r="Q2024" s="28">
        <f>-(6*F2024*J2024*L2024*N2024*SIN(RADIANS(E2024))+6*O2024*N2024*G2024*SIN(RADIANS(E2024))*COS(RADIANS(E2024)))/(12*N2024*COS(RADIANS(E2024))^2+L2024*G2024^2*SIN(RADIANS(E2024))^2)</f>
        <v/>
      </c>
      <c r="R2024" s="28">
        <f>-P2024*SIN(RADIANS(E2024))</f>
        <v/>
      </c>
      <c r="S2024" s="8">
        <f>(O2024+P2024*COS(RADIANS(E2024)))/L2024</f>
        <v/>
      </c>
      <c r="T2024" s="8">
        <f>R2024/L2024</f>
        <v/>
      </c>
      <c r="U2024" s="8">
        <f>(Q2024-P2024*G2024*SIN(RADIANS(E2024)))/M2024</f>
        <v/>
      </c>
      <c r="V2024" s="8">
        <f>SQRT((S2024+U2024)^2+3*T2024^2)</f>
        <v/>
      </c>
      <c r="W2024" s="8">
        <f>V2024/AA2024</f>
        <v/>
      </c>
      <c r="X2024" s="27">
        <f>((3*10+H2024/COS(RADIANS(E2024)))*(3+3)+3*G2024*H2024)*2</f>
        <v/>
      </c>
      <c r="Y2024" s="28">
        <f>Z2024/X2024</f>
        <v/>
      </c>
      <c r="Z2024" s="29" t="n">
        <v>595.767084932131</v>
      </c>
      <c r="AA2024" s="20" t="n">
        <v>83.38096956185581</v>
      </c>
      <c r="AB2024" t="n">
        <v>0.07606468166824551</v>
      </c>
      <c r="AC2024" t="n">
        <v>79.62633647464764</v>
      </c>
      <c r="AD2024" t="n">
        <v>5.197800247312578</v>
      </c>
    </row>
    <row r="2025">
      <c r="A2025" t="n">
        <v>2024</v>
      </c>
      <c r="B2025" t="n">
        <v>71.5</v>
      </c>
      <c r="C2025" s="21">
        <f>B2025-20</f>
        <v/>
      </c>
      <c r="D2025" t="n">
        <v>126.4</v>
      </c>
      <c r="E2025" s="22">
        <f>D2025-90</f>
        <v/>
      </c>
      <c r="F2025" s="23" t="n">
        <v>0.015714</v>
      </c>
      <c r="G2025" s="22" t="n">
        <v>25.8</v>
      </c>
      <c r="H2025" s="22" t="n">
        <v>1.1</v>
      </c>
      <c r="I2025" s="24" t="n">
        <v>0.0700440481305122</v>
      </c>
      <c r="J2025" s="6" t="n">
        <v>71000</v>
      </c>
      <c r="K2025" s="25">
        <f>23*10^-6</f>
        <v/>
      </c>
      <c r="L2025" s="8">
        <f>H2025</f>
        <v/>
      </c>
      <c r="M2025" s="26">
        <f>H2025^2/6</f>
        <v/>
      </c>
      <c r="N2025" s="26">
        <f>H2025^3/12</f>
        <v/>
      </c>
      <c r="O2025" s="27">
        <f>-J2025*L2025*K2025*C2025</f>
        <v/>
      </c>
      <c r="P2025" s="28">
        <f>-(12*F2025*J2025*L2025*N2025+12*O2025*N2025*G2025*COS(RADIANS(E2025)))/(12*N2025*G2025*COS(RADIANS(E2025))^2+L2025*G2025^3*SIN(RADIANS(E2025))^2)</f>
        <v/>
      </c>
      <c r="Q2025" s="28">
        <f>-(6*F2025*J2025*L2025*N2025*SIN(RADIANS(E2025))+6*O2025*N2025*G2025*SIN(RADIANS(E2025))*COS(RADIANS(E2025)))/(12*N2025*COS(RADIANS(E2025))^2+L2025*G2025^2*SIN(RADIANS(E2025))^2)</f>
        <v/>
      </c>
      <c r="R2025" s="28">
        <f>-P2025*SIN(RADIANS(E2025))</f>
        <v/>
      </c>
      <c r="S2025" s="8">
        <f>(O2025+P2025*COS(RADIANS(E2025)))/L2025</f>
        <v/>
      </c>
      <c r="T2025" s="8">
        <f>R2025/L2025</f>
        <v/>
      </c>
      <c r="U2025" s="8">
        <f>(Q2025-P2025*G2025*SIN(RADIANS(E2025)))/M2025</f>
        <v/>
      </c>
      <c r="V2025" s="8">
        <f>SQRT((S2025+U2025)^2+3*T2025^2)</f>
        <v/>
      </c>
      <c r="W2025" s="8">
        <f>V2025/AA2025</f>
        <v/>
      </c>
      <c r="X2025" s="27">
        <f>((3*10+H2025/COS(RADIANS(E2025)))*(3+3)+3*G2025*H2025)*2</f>
        <v/>
      </c>
      <c r="Y2025" s="28">
        <f>Z2025/X2025</f>
        <v/>
      </c>
      <c r="Z2025" s="29" t="n">
        <v>555.930906897533</v>
      </c>
      <c r="AA2025" s="20" t="n">
        <v>69.5275906641031</v>
      </c>
      <c r="AB2025" t="n">
        <v>0.0725316406695229</v>
      </c>
      <c r="AC2025" t="n">
        <v>73.40687997377539</v>
      </c>
      <c r="AD2025" t="n">
        <v>3.551468833405528</v>
      </c>
    </row>
    <row r="2026">
      <c r="A2026" t="n">
        <v>2025</v>
      </c>
      <c r="B2026" t="n">
        <v>59.2</v>
      </c>
      <c r="C2026" s="21">
        <f>B2026-20</f>
        <v/>
      </c>
      <c r="D2026" t="n">
        <v>106.6</v>
      </c>
      <c r="E2026" s="22">
        <f>D2026-90</f>
        <v/>
      </c>
      <c r="F2026" s="23" t="n">
        <v>0.013645</v>
      </c>
      <c r="G2026" s="22" t="n">
        <v>25.6</v>
      </c>
      <c r="H2026" s="22" t="n">
        <v>1.4</v>
      </c>
      <c r="I2026" s="24" t="n">
        <v>0.09154150635004039</v>
      </c>
      <c r="J2026" s="6" t="n">
        <v>71000</v>
      </c>
      <c r="K2026" s="25">
        <f>23*10^-6</f>
        <v/>
      </c>
      <c r="L2026" s="8">
        <f>H2026</f>
        <v/>
      </c>
      <c r="M2026" s="26">
        <f>H2026^2/6</f>
        <v/>
      </c>
      <c r="N2026" s="26">
        <f>H2026^3/12</f>
        <v/>
      </c>
      <c r="O2026" s="27">
        <f>-J2026*L2026*K2026*C2026</f>
        <v/>
      </c>
      <c r="P2026" s="28">
        <f>-(12*F2026*J2026*L2026*N2026+12*O2026*N2026*G2026*COS(RADIANS(E2026)))/(12*N2026*G2026*COS(RADIANS(E2026))^2+L2026*G2026^3*SIN(RADIANS(E2026))^2)</f>
        <v/>
      </c>
      <c r="Q2026" s="28">
        <f>-(6*F2026*J2026*L2026*N2026*SIN(RADIANS(E2026))+6*O2026*N2026*G2026*SIN(RADIANS(E2026))*COS(RADIANS(E2026)))/(12*N2026*COS(RADIANS(E2026))^2+L2026*G2026^2*SIN(RADIANS(E2026))^2)</f>
        <v/>
      </c>
      <c r="R2026" s="28">
        <f>-P2026*SIN(RADIANS(E2026))</f>
        <v/>
      </c>
      <c r="S2026" s="8">
        <f>(O2026+P2026*COS(RADIANS(E2026)))/L2026</f>
        <v/>
      </c>
      <c r="T2026" s="8">
        <f>R2026/L2026</f>
        <v/>
      </c>
      <c r="U2026" s="8">
        <f>(Q2026-P2026*G2026*SIN(RADIANS(E2026)))/M2026</f>
        <v/>
      </c>
      <c r="V2026" s="8">
        <f>SQRT((S2026+U2026)^2+3*T2026^2)</f>
        <v/>
      </c>
      <c r="W2026" s="8">
        <f>V2026/AA2026</f>
        <v/>
      </c>
      <c r="X2026" s="27">
        <f>((3*10+H2026/COS(RADIANS(E2026)))*(3+3)+3*G2026*H2026)*2</f>
        <v/>
      </c>
      <c r="Y2026" s="28">
        <f>Z2026/X2026</f>
        <v/>
      </c>
      <c r="Z2026" s="29" t="n">
        <v>597.048020396696</v>
      </c>
      <c r="AA2026" s="20" t="n">
        <v>60.6961016123438</v>
      </c>
      <c r="AB2026" t="n">
        <v>0.1223078112249249</v>
      </c>
      <c r="AC2026" t="n">
        <v>62.73437111401758</v>
      </c>
      <c r="AD2026" t="n">
        <v>33.6091310943027</v>
      </c>
    </row>
    <row r="2027">
      <c r="A2027" t="n">
        <v>2026</v>
      </c>
      <c r="B2027" t="n">
        <v>60.1</v>
      </c>
      <c r="C2027" s="21">
        <f>B2027-20</f>
        <v/>
      </c>
      <c r="D2027" t="n">
        <v>117.9</v>
      </c>
      <c r="E2027" s="22">
        <f>D2027-90</f>
        <v/>
      </c>
      <c r="F2027" s="23" t="n">
        <v>0.012479</v>
      </c>
      <c r="G2027" s="22" t="n">
        <v>24.1</v>
      </c>
      <c r="H2027" s="22" t="n">
        <v>1.7</v>
      </c>
      <c r="I2027" s="24" t="n">
        <v>0.0619905702769756</v>
      </c>
      <c r="J2027" s="6" t="n">
        <v>71000</v>
      </c>
      <c r="K2027" s="25">
        <f>23*10^-6</f>
        <v/>
      </c>
      <c r="L2027" s="8">
        <f>H2027</f>
        <v/>
      </c>
      <c r="M2027" s="26">
        <f>H2027^2/6</f>
        <v/>
      </c>
      <c r="N2027" s="26">
        <f>H2027^3/12</f>
        <v/>
      </c>
      <c r="O2027" s="27">
        <f>-J2027*L2027*K2027*C2027</f>
        <v/>
      </c>
      <c r="P2027" s="28">
        <f>-(12*F2027*J2027*L2027*N2027+12*O2027*N2027*G2027*COS(RADIANS(E2027)))/(12*N2027*G2027*COS(RADIANS(E2027))^2+L2027*G2027^3*SIN(RADIANS(E2027))^2)</f>
        <v/>
      </c>
      <c r="Q2027" s="28">
        <f>-(6*F2027*J2027*L2027*N2027*SIN(RADIANS(E2027))+6*O2027*N2027*G2027*SIN(RADIANS(E2027))*COS(RADIANS(E2027)))/(12*N2027*COS(RADIANS(E2027))^2+L2027*G2027^2*SIN(RADIANS(E2027))^2)</f>
        <v/>
      </c>
      <c r="R2027" s="28">
        <f>-P2027*SIN(RADIANS(E2027))</f>
        <v/>
      </c>
      <c r="S2027" s="8">
        <f>(O2027+P2027*COS(RADIANS(E2027)))/L2027</f>
        <v/>
      </c>
      <c r="T2027" s="8">
        <f>R2027/L2027</f>
        <v/>
      </c>
      <c r="U2027" s="8">
        <f>(Q2027-P2027*G2027*SIN(RADIANS(E2027)))/M2027</f>
        <v/>
      </c>
      <c r="V2027" s="8">
        <f>SQRT((S2027+U2027)^2+3*T2027^2)</f>
        <v/>
      </c>
      <c r="W2027" s="8">
        <f>V2027/AA2027</f>
        <v/>
      </c>
      <c r="X2027" s="27">
        <f>((3*10+H2027/COS(RADIANS(E2027)))*(3+3)+3*G2027*H2027)*2</f>
        <v/>
      </c>
      <c r="Y2027" s="28">
        <f>Z2027/X2027</f>
        <v/>
      </c>
      <c r="Z2027" s="29" t="n">
        <v>635.4931934605009</v>
      </c>
      <c r="AA2027" s="20" t="n">
        <v>64.3532809513306</v>
      </c>
      <c r="AB2027" t="n">
        <v>0.06971634580858832</v>
      </c>
      <c r="AC2027" t="n">
        <v>61.23150452035159</v>
      </c>
      <c r="AD2027" t="n">
        <v>12.46282377641267</v>
      </c>
    </row>
    <row r="2028">
      <c r="A2028" t="n">
        <v>2027</v>
      </c>
      <c r="B2028" t="n">
        <v>40.8</v>
      </c>
      <c r="C2028" s="21">
        <f>B2028-20</f>
        <v/>
      </c>
      <c r="D2028" t="n">
        <v>101.2</v>
      </c>
      <c r="E2028" s="22">
        <f>D2028-90</f>
        <v/>
      </c>
      <c r="F2028" s="23" t="n">
        <v>0.008215</v>
      </c>
      <c r="G2028" s="22" t="n">
        <v>29.2</v>
      </c>
      <c r="H2028" s="22" t="n">
        <v>1.3</v>
      </c>
      <c r="I2028" s="24" t="n">
        <v>0.07291378080844869</v>
      </c>
      <c r="J2028" s="6" t="n">
        <v>71000</v>
      </c>
      <c r="K2028" s="25">
        <f>23*10^-6</f>
        <v/>
      </c>
      <c r="L2028" s="8">
        <f>H2028</f>
        <v/>
      </c>
      <c r="M2028" s="26">
        <f>H2028^2/6</f>
        <v/>
      </c>
      <c r="N2028" s="26">
        <f>H2028^3/12</f>
        <v/>
      </c>
      <c r="O2028" s="27">
        <f>-J2028*L2028*K2028*C2028</f>
        <v/>
      </c>
      <c r="P2028" s="28">
        <f>-(12*F2028*J2028*L2028*N2028+12*O2028*N2028*G2028*COS(RADIANS(E2028)))/(12*N2028*G2028*COS(RADIANS(E2028))^2+L2028*G2028^3*SIN(RADIANS(E2028))^2)</f>
        <v/>
      </c>
      <c r="Q2028" s="28">
        <f>-(6*F2028*J2028*L2028*N2028*SIN(RADIANS(E2028))+6*O2028*N2028*G2028*SIN(RADIANS(E2028))*COS(RADIANS(E2028)))/(12*N2028*COS(RADIANS(E2028))^2+L2028*G2028^2*SIN(RADIANS(E2028))^2)</f>
        <v/>
      </c>
      <c r="R2028" s="28">
        <f>-P2028*SIN(RADIANS(E2028))</f>
        <v/>
      </c>
      <c r="S2028" s="8">
        <f>(O2028+P2028*COS(RADIANS(E2028)))/L2028</f>
        <v/>
      </c>
      <c r="T2028" s="8">
        <f>R2028/L2028</f>
        <v/>
      </c>
      <c r="U2028" s="8">
        <f>(Q2028-P2028*G2028*SIN(RADIANS(E2028)))/M2028</f>
        <v/>
      </c>
      <c r="V2028" s="8">
        <f>SQRT((S2028+U2028)^2+3*T2028^2)</f>
        <v/>
      </c>
      <c r="W2028" s="8">
        <f>V2028/AA2028</f>
        <v/>
      </c>
      <c r="X2028" s="27">
        <f>((3*10+H2028/COS(RADIANS(E2028)))*(3+3)+3*G2028*H2028)*2</f>
        <v/>
      </c>
      <c r="Y2028" s="28">
        <f>Z2028/X2028</f>
        <v/>
      </c>
      <c r="Z2028" s="29" t="n">
        <v>607.562447250617</v>
      </c>
      <c r="AA2028" s="20" t="n">
        <v>32.2073416302867</v>
      </c>
      <c r="AB2028" t="n">
        <v>0.10787156755763</v>
      </c>
      <c r="AC2028" t="n">
        <v>34.5833843210748</v>
      </c>
      <c r="AD2028" t="n">
        <v>47.9440050448332</v>
      </c>
    </row>
    <row r="2029">
      <c r="A2029" t="n">
        <v>2028</v>
      </c>
      <c r="B2029" t="n">
        <v>58.1</v>
      </c>
      <c r="C2029" s="21">
        <f>B2029-20</f>
        <v/>
      </c>
      <c r="D2029" t="n">
        <v>119.2</v>
      </c>
      <c r="E2029" s="22">
        <f>D2029-90</f>
        <v/>
      </c>
      <c r="F2029" s="23" t="n">
        <v>0.011668</v>
      </c>
      <c r="G2029" s="22" t="n">
        <v>23.9</v>
      </c>
      <c r="H2029" s="22" t="n">
        <v>1.3</v>
      </c>
      <c r="I2029" s="24" t="n">
        <v>0.0569039359688758</v>
      </c>
      <c r="J2029" s="6" t="n">
        <v>71000</v>
      </c>
      <c r="K2029" s="25">
        <f>23*10^-6</f>
        <v/>
      </c>
      <c r="L2029" s="8">
        <f>H2029</f>
        <v/>
      </c>
      <c r="M2029" s="26">
        <f>H2029^2/6</f>
        <v/>
      </c>
      <c r="N2029" s="26">
        <f>H2029^3/12</f>
        <v/>
      </c>
      <c r="O2029" s="27">
        <f>-J2029*L2029*K2029*C2029</f>
        <v/>
      </c>
      <c r="P2029" s="28">
        <f>-(12*F2029*J2029*L2029*N2029+12*O2029*N2029*G2029*COS(RADIANS(E2029)))/(12*N2029*G2029*COS(RADIANS(E2029))^2+L2029*G2029^3*SIN(RADIANS(E2029))^2)</f>
        <v/>
      </c>
      <c r="Q2029" s="28">
        <f>-(6*F2029*J2029*L2029*N2029*SIN(RADIANS(E2029))+6*O2029*N2029*G2029*SIN(RADIANS(E2029))*COS(RADIANS(E2029)))/(12*N2029*COS(RADIANS(E2029))^2+L2029*G2029^2*SIN(RADIANS(E2029))^2)</f>
        <v/>
      </c>
      <c r="R2029" s="28">
        <f>-P2029*SIN(RADIANS(E2029))</f>
        <v/>
      </c>
      <c r="S2029" s="8">
        <f>(O2029+P2029*COS(RADIANS(E2029)))/L2029</f>
        <v/>
      </c>
      <c r="T2029" s="8">
        <f>R2029/L2029</f>
        <v/>
      </c>
      <c r="U2029" s="8">
        <f>(Q2029-P2029*G2029*SIN(RADIANS(E2029)))/M2029</f>
        <v/>
      </c>
      <c r="V2029" s="8">
        <f>SQRT((S2029+U2029)^2+3*T2029^2)</f>
        <v/>
      </c>
      <c r="W2029" s="8">
        <f>V2029/AA2029</f>
        <v/>
      </c>
      <c r="X2029" s="27">
        <f>((3*10+H2029/COS(RADIANS(E2029)))*(3+3)+3*G2029*H2029)*2</f>
        <v/>
      </c>
      <c r="Y2029" s="28">
        <f>Z2029/X2029</f>
        <v/>
      </c>
      <c r="Z2029" s="29" t="n">
        <v>571.218503331613</v>
      </c>
      <c r="AA2029" s="20" t="n">
        <v>55.9491528621994</v>
      </c>
      <c r="AB2029" t="n">
        <v>0.06314631561002218</v>
      </c>
      <c r="AC2029" t="n">
        <v>56.3544763459945</v>
      </c>
      <c r="AD2029" t="n">
        <v>10.97003139565023</v>
      </c>
    </row>
    <row r="2030">
      <c r="A2030" t="n">
        <v>2029</v>
      </c>
      <c r="B2030" t="n">
        <v>74.3</v>
      </c>
      <c r="C2030" s="21">
        <f>B2030-20</f>
        <v/>
      </c>
      <c r="D2030" t="n">
        <v>128.7</v>
      </c>
      <c r="E2030" s="22">
        <f>D2030-90</f>
        <v/>
      </c>
      <c r="F2030" s="23" t="n">
        <v>0.015743</v>
      </c>
      <c r="G2030" s="22" t="n">
        <v>24.9</v>
      </c>
      <c r="H2030" s="22" t="n">
        <v>2</v>
      </c>
      <c r="I2030" s="24" t="n">
        <v>0.0699189603328704</v>
      </c>
      <c r="J2030" s="6" t="n">
        <v>71000</v>
      </c>
      <c r="K2030" s="25">
        <f>23*10^-6</f>
        <v/>
      </c>
      <c r="L2030" s="8">
        <f>H2030</f>
        <v/>
      </c>
      <c r="M2030" s="26">
        <f>H2030^2/6</f>
        <v/>
      </c>
      <c r="N2030" s="26">
        <f>H2030^3/12</f>
        <v/>
      </c>
      <c r="O2030" s="27">
        <f>-J2030*L2030*K2030*C2030</f>
        <v/>
      </c>
      <c r="P2030" s="28">
        <f>-(12*F2030*J2030*L2030*N2030+12*O2030*N2030*G2030*COS(RADIANS(E2030)))/(12*N2030*G2030*COS(RADIANS(E2030))^2+L2030*G2030^3*SIN(RADIANS(E2030))^2)</f>
        <v/>
      </c>
      <c r="Q2030" s="28">
        <f>-(6*F2030*J2030*L2030*N2030*SIN(RADIANS(E2030))+6*O2030*N2030*G2030*SIN(RADIANS(E2030))*COS(RADIANS(E2030)))/(12*N2030*COS(RADIANS(E2030))^2+L2030*G2030^2*SIN(RADIANS(E2030))^2)</f>
        <v/>
      </c>
      <c r="R2030" s="28">
        <f>-P2030*SIN(RADIANS(E2030))</f>
        <v/>
      </c>
      <c r="S2030" s="8">
        <f>(O2030+P2030*COS(RADIANS(E2030)))/L2030</f>
        <v/>
      </c>
      <c r="T2030" s="8">
        <f>R2030/L2030</f>
        <v/>
      </c>
      <c r="U2030" s="8">
        <f>(Q2030-P2030*G2030*SIN(RADIANS(E2030)))/M2030</f>
        <v/>
      </c>
      <c r="V2030" s="8">
        <f>SQRT((S2030+U2030)^2+3*T2030^2)</f>
        <v/>
      </c>
      <c r="W2030" s="8">
        <f>V2030/AA2030</f>
        <v/>
      </c>
      <c r="X2030" s="27">
        <f>((3*10+H2030/COS(RADIANS(E2030)))*(3+3)+3*G2030*H2030)*2</f>
        <v/>
      </c>
      <c r="Y2030" s="28">
        <f>Z2030/X2030</f>
        <v/>
      </c>
      <c r="Z2030" s="29" t="n">
        <v>699.738152465033</v>
      </c>
      <c r="AA2030" s="20" t="n">
        <v>87.67494456705001</v>
      </c>
      <c r="AB2030" t="n">
        <v>0.06857176215127869</v>
      </c>
      <c r="AC2030" t="n">
        <v>80.30685003954362</v>
      </c>
      <c r="AD2030" t="n">
        <v>-1.926799504995444</v>
      </c>
    </row>
    <row r="2031">
      <c r="A2031" t="n">
        <v>2030</v>
      </c>
      <c r="B2031" t="n">
        <v>41.7</v>
      </c>
      <c r="C2031" s="21">
        <f>B2031-20</f>
        <v/>
      </c>
      <c r="D2031" t="n">
        <v>107.4</v>
      </c>
      <c r="E2031" s="22">
        <f>D2031-90</f>
        <v/>
      </c>
      <c r="F2031" s="23" t="n">
        <v>0.008826000000000001</v>
      </c>
      <c r="G2031" s="22" t="n">
        <v>31.1</v>
      </c>
      <c r="H2031" s="22" t="n">
        <v>1.8</v>
      </c>
      <c r="I2031" s="24" t="n">
        <v>0.0558551736176013</v>
      </c>
      <c r="J2031" s="6" t="n">
        <v>71000</v>
      </c>
      <c r="K2031" s="25">
        <f>23*10^-6</f>
        <v/>
      </c>
      <c r="L2031" s="8">
        <f>H2031</f>
        <v/>
      </c>
      <c r="M2031" s="26">
        <f>H2031^2/6</f>
        <v/>
      </c>
      <c r="N2031" s="26">
        <f>H2031^3/12</f>
        <v/>
      </c>
      <c r="O2031" s="27">
        <f>-J2031*L2031*K2031*C2031</f>
        <v/>
      </c>
      <c r="P2031" s="28">
        <f>-(12*F2031*J2031*L2031*N2031+12*O2031*N2031*G2031*COS(RADIANS(E2031)))/(12*N2031*G2031*COS(RADIANS(E2031))^2+L2031*G2031^3*SIN(RADIANS(E2031))^2)</f>
        <v/>
      </c>
      <c r="Q2031" s="28">
        <f>-(6*F2031*J2031*L2031*N2031*SIN(RADIANS(E2031))+6*O2031*N2031*G2031*SIN(RADIANS(E2031))*COS(RADIANS(E2031)))/(12*N2031*COS(RADIANS(E2031))^2+L2031*G2031^2*SIN(RADIANS(E2031))^2)</f>
        <v/>
      </c>
      <c r="R2031" s="28">
        <f>-P2031*SIN(RADIANS(E2031))</f>
        <v/>
      </c>
      <c r="S2031" s="8">
        <f>(O2031+P2031*COS(RADIANS(E2031)))/L2031</f>
        <v/>
      </c>
      <c r="T2031" s="8">
        <f>R2031/L2031</f>
        <v/>
      </c>
      <c r="U2031" s="8">
        <f>(Q2031-P2031*G2031*SIN(RADIANS(E2031)))/M2031</f>
        <v/>
      </c>
      <c r="V2031" s="8">
        <f>SQRT((S2031+U2031)^2+3*T2031^2)</f>
        <v/>
      </c>
      <c r="W2031" s="8">
        <f>V2031/AA2031</f>
        <v/>
      </c>
      <c r="X2031" s="27">
        <f>((3*10+H2031/COS(RADIANS(E2031)))*(3+3)+3*G2031*H2031)*2</f>
        <v/>
      </c>
      <c r="Y2031" s="28">
        <f>Z2031/X2031</f>
        <v/>
      </c>
      <c r="Z2031" s="29" t="n">
        <v>723.100333256041</v>
      </c>
      <c r="AA2031" s="20" t="n">
        <v>35.4780871053389</v>
      </c>
      <c r="AB2031" t="n">
        <v>0.07733670310944206</v>
      </c>
      <c r="AC2031" t="n">
        <v>35.0688370264843</v>
      </c>
      <c r="AD2031" t="n">
        <v>38.45933706859237</v>
      </c>
    </row>
    <row r="2032">
      <c r="A2032" t="n">
        <v>2031</v>
      </c>
      <c r="B2032" t="n">
        <v>79.3</v>
      </c>
      <c r="C2032" s="21">
        <f>B2032-20</f>
        <v/>
      </c>
      <c r="D2032" t="n">
        <v>108.7</v>
      </c>
      <c r="E2032" s="22">
        <f>D2032-90</f>
        <v/>
      </c>
      <c r="F2032" s="23" t="n">
        <v>0.024675</v>
      </c>
      <c r="G2032" s="22" t="n">
        <v>32.2</v>
      </c>
      <c r="H2032" s="22" t="n">
        <v>1.8</v>
      </c>
      <c r="I2032" s="24" t="n">
        <v>0.148397669196128</v>
      </c>
      <c r="J2032" s="6" t="n">
        <v>71000</v>
      </c>
      <c r="K2032" s="25">
        <f>23*10^-6</f>
        <v/>
      </c>
      <c r="L2032" s="8">
        <f>H2032</f>
        <v/>
      </c>
      <c r="M2032" s="26">
        <f>H2032^2/6</f>
        <v/>
      </c>
      <c r="N2032" s="26">
        <f>H2032^3/12</f>
        <v/>
      </c>
      <c r="O2032" s="27">
        <f>-J2032*L2032*K2032*C2032</f>
        <v/>
      </c>
      <c r="P2032" s="28">
        <f>-(12*F2032*J2032*L2032*N2032+12*O2032*N2032*G2032*COS(RADIANS(E2032)))/(12*N2032*G2032*COS(RADIANS(E2032))^2+L2032*G2032^3*SIN(RADIANS(E2032))^2)</f>
        <v/>
      </c>
      <c r="Q2032" s="28">
        <f>-(6*F2032*J2032*L2032*N2032*SIN(RADIANS(E2032))+6*O2032*N2032*G2032*SIN(RADIANS(E2032))*COS(RADIANS(E2032)))/(12*N2032*COS(RADIANS(E2032))^2+L2032*G2032^2*SIN(RADIANS(E2032))^2)</f>
        <v/>
      </c>
      <c r="R2032" s="28">
        <f>-P2032*SIN(RADIANS(E2032))</f>
        <v/>
      </c>
      <c r="S2032" s="8">
        <f>(O2032+P2032*COS(RADIANS(E2032)))/L2032</f>
        <v/>
      </c>
      <c r="T2032" s="8">
        <f>R2032/L2032</f>
        <v/>
      </c>
      <c r="U2032" s="8">
        <f>(Q2032-P2032*G2032*SIN(RADIANS(E2032)))/M2032</f>
        <v/>
      </c>
      <c r="V2032" s="8">
        <f>SQRT((S2032+U2032)^2+3*T2032^2)</f>
        <v/>
      </c>
      <c r="W2032" s="8">
        <f>V2032/AA2032</f>
        <v/>
      </c>
      <c r="X2032" s="27">
        <f>((3*10+H2032/COS(RADIANS(E2032)))*(3+3)+3*G2032*H2032)*2</f>
        <v/>
      </c>
      <c r="Y2032" s="28">
        <f>Z2032/X2032</f>
        <v/>
      </c>
      <c r="Z2032" s="29" t="n">
        <v>735.334998911854</v>
      </c>
      <c r="AA2032" s="20" t="n">
        <v>95.9886621206729</v>
      </c>
      <c r="AB2032" t="n">
        <v>0.2040845365257407</v>
      </c>
      <c r="AC2032" t="n">
        <v>94.41640920048368</v>
      </c>
      <c r="AD2032" t="n">
        <v>37.52543259693301</v>
      </c>
    </row>
    <row r="2033">
      <c r="A2033" t="n">
        <v>2032</v>
      </c>
      <c r="B2033" t="n">
        <v>86.7</v>
      </c>
      <c r="C2033" s="21">
        <f>B2033-20</f>
        <v/>
      </c>
      <c r="D2033" t="n">
        <v>110.9</v>
      </c>
      <c r="E2033" s="22">
        <f>D2033-90</f>
        <v/>
      </c>
      <c r="F2033" s="23" t="n">
        <v>0.025162</v>
      </c>
      <c r="G2033" s="22" t="n">
        <v>29</v>
      </c>
      <c r="H2033" s="22" t="n">
        <v>1.1</v>
      </c>
      <c r="I2033" s="24" t="n">
        <v>0.143464401364326</v>
      </c>
      <c r="J2033" s="6" t="n">
        <v>71000</v>
      </c>
      <c r="K2033" s="25">
        <f>23*10^-6</f>
        <v/>
      </c>
      <c r="L2033" s="8">
        <f>H2033</f>
        <v/>
      </c>
      <c r="M2033" s="26">
        <f>H2033^2/6</f>
        <v/>
      </c>
      <c r="N2033" s="26">
        <f>H2033^3/12</f>
        <v/>
      </c>
      <c r="O2033" s="27">
        <f>-J2033*L2033*K2033*C2033</f>
        <v/>
      </c>
      <c r="P2033" s="28">
        <f>-(12*F2033*J2033*L2033*N2033+12*O2033*N2033*G2033*COS(RADIANS(E2033)))/(12*N2033*G2033*COS(RADIANS(E2033))^2+L2033*G2033^3*SIN(RADIANS(E2033))^2)</f>
        <v/>
      </c>
      <c r="Q2033" s="28">
        <f>-(6*F2033*J2033*L2033*N2033*SIN(RADIANS(E2033))+6*O2033*N2033*G2033*SIN(RADIANS(E2033))*COS(RADIANS(E2033)))/(12*N2033*COS(RADIANS(E2033))^2+L2033*G2033^2*SIN(RADIANS(E2033))^2)</f>
        <v/>
      </c>
      <c r="R2033" s="28">
        <f>-P2033*SIN(RADIANS(E2033))</f>
        <v/>
      </c>
      <c r="S2033" s="8">
        <f>(O2033+P2033*COS(RADIANS(E2033)))/L2033</f>
        <v/>
      </c>
      <c r="T2033" s="8">
        <f>R2033/L2033</f>
        <v/>
      </c>
      <c r="U2033" s="8">
        <f>(Q2033-P2033*G2033*SIN(RADIANS(E2033)))/M2033</f>
        <v/>
      </c>
      <c r="V2033" s="8">
        <f>SQRT((S2033+U2033)^2+3*T2033^2)</f>
        <v/>
      </c>
      <c r="W2033" s="8">
        <f>V2033/AA2033</f>
        <v/>
      </c>
      <c r="X2033" s="27">
        <f>((3*10+H2033/COS(RADIANS(E2033)))*(3+3)+3*G2033*H2033)*2</f>
        <v/>
      </c>
      <c r="Y2033" s="28">
        <f>Z2033/X2033</f>
        <v/>
      </c>
      <c r="Z2033" s="29" t="n">
        <v>570.653605656934</v>
      </c>
      <c r="AA2033" s="20" t="n">
        <v>94.1137316238698</v>
      </c>
      <c r="AB2033" t="n">
        <v>0.1886480619351794</v>
      </c>
      <c r="AC2033" t="n">
        <v>99.67182477407275</v>
      </c>
      <c r="AD2033" t="n">
        <v>31.49468449396727</v>
      </c>
    </row>
    <row r="2034">
      <c r="A2034" t="n">
        <v>2033</v>
      </c>
      <c r="B2034" t="n">
        <v>81</v>
      </c>
      <c r="C2034" s="21">
        <f>B2034-20</f>
        <v/>
      </c>
      <c r="D2034" t="n">
        <v>108.3</v>
      </c>
      <c r="E2034" s="22">
        <f>D2034-90</f>
        <v/>
      </c>
      <c r="F2034" s="23" t="n">
        <v>0.022461</v>
      </c>
      <c r="G2034" s="22" t="n">
        <v>27.7</v>
      </c>
      <c r="H2034" s="22" t="n">
        <v>1.7</v>
      </c>
      <c r="I2034" s="24" t="n">
        <v>0.139174088835716</v>
      </c>
      <c r="J2034" s="6" t="n">
        <v>71000</v>
      </c>
      <c r="K2034" s="25">
        <f>23*10^-6</f>
        <v/>
      </c>
      <c r="L2034" s="8">
        <f>H2034</f>
        <v/>
      </c>
      <c r="M2034" s="26">
        <f>H2034^2/6</f>
        <v/>
      </c>
      <c r="N2034" s="26">
        <f>H2034^3/12</f>
        <v/>
      </c>
      <c r="O2034" s="27">
        <f>-J2034*L2034*K2034*C2034</f>
        <v/>
      </c>
      <c r="P2034" s="28">
        <f>-(12*F2034*J2034*L2034*N2034+12*O2034*N2034*G2034*COS(RADIANS(E2034)))/(12*N2034*G2034*COS(RADIANS(E2034))^2+L2034*G2034^3*SIN(RADIANS(E2034))^2)</f>
        <v/>
      </c>
      <c r="Q2034" s="28">
        <f>-(6*F2034*J2034*L2034*N2034*SIN(RADIANS(E2034))+6*O2034*N2034*G2034*SIN(RADIANS(E2034))*COS(RADIANS(E2034)))/(12*N2034*COS(RADIANS(E2034))^2+L2034*G2034^2*SIN(RADIANS(E2034))^2)</f>
        <v/>
      </c>
      <c r="R2034" s="28">
        <f>-P2034*SIN(RADIANS(E2034))</f>
        <v/>
      </c>
      <c r="S2034" s="8">
        <f>(O2034+P2034*COS(RADIANS(E2034)))/L2034</f>
        <v/>
      </c>
      <c r="T2034" s="8">
        <f>R2034/L2034</f>
        <v/>
      </c>
      <c r="U2034" s="8">
        <f>(Q2034-P2034*G2034*SIN(RADIANS(E2034)))/M2034</f>
        <v/>
      </c>
      <c r="V2034" s="8">
        <f>SQRT((S2034+U2034)^2+3*T2034^2)</f>
        <v/>
      </c>
      <c r="W2034" s="8">
        <f>V2034/AA2034</f>
        <v/>
      </c>
      <c r="X2034" s="27">
        <f>((3*10+H2034/COS(RADIANS(E2034)))*(3+3)+3*G2034*H2034)*2</f>
        <v/>
      </c>
      <c r="Y2034" s="28">
        <f>Z2034/X2034</f>
        <v/>
      </c>
      <c r="Z2034" s="29" t="n">
        <v>668.738753184798</v>
      </c>
      <c r="AA2034" s="20" t="n">
        <v>99.7419708408659</v>
      </c>
      <c r="AB2034" t="n">
        <v>0.1850573758807368</v>
      </c>
      <c r="AC2034" t="n">
        <v>98.11737934581194</v>
      </c>
      <c r="AD2034" t="n">
        <v>32.96826832412923</v>
      </c>
    </row>
    <row r="2035">
      <c r="A2035" t="n">
        <v>2034</v>
      </c>
      <c r="B2035" t="n">
        <v>47.3</v>
      </c>
      <c r="C2035" s="21">
        <f>B2035-20</f>
        <v/>
      </c>
      <c r="D2035" t="n">
        <v>119.9</v>
      </c>
      <c r="E2035" s="22">
        <f>D2035-90</f>
        <v/>
      </c>
      <c r="F2035" s="23" t="n">
        <v>0.00953</v>
      </c>
      <c r="G2035" s="22" t="n">
        <v>28.4</v>
      </c>
      <c r="H2035" s="22" t="n">
        <v>1.6</v>
      </c>
      <c r="I2035" s="24" t="n">
        <v>0.0448307916522026</v>
      </c>
      <c r="J2035" s="6" t="n">
        <v>71000</v>
      </c>
      <c r="K2035" s="25">
        <f>23*10^-6</f>
        <v/>
      </c>
      <c r="L2035" s="8">
        <f>H2035</f>
        <v/>
      </c>
      <c r="M2035" s="26">
        <f>H2035^2/6</f>
        <v/>
      </c>
      <c r="N2035" s="26">
        <f>H2035^3/12</f>
        <v/>
      </c>
      <c r="O2035" s="27">
        <f>-J2035*L2035*K2035*C2035</f>
        <v/>
      </c>
      <c r="P2035" s="28">
        <f>-(12*F2035*J2035*L2035*N2035+12*O2035*N2035*G2035*COS(RADIANS(E2035)))/(12*N2035*G2035*COS(RADIANS(E2035))^2+L2035*G2035^3*SIN(RADIANS(E2035))^2)</f>
        <v/>
      </c>
      <c r="Q2035" s="28">
        <f>-(6*F2035*J2035*L2035*N2035*SIN(RADIANS(E2035))+6*O2035*N2035*G2035*SIN(RADIANS(E2035))*COS(RADIANS(E2035)))/(12*N2035*COS(RADIANS(E2035))^2+L2035*G2035^2*SIN(RADIANS(E2035))^2)</f>
        <v/>
      </c>
      <c r="R2035" s="28">
        <f>-P2035*SIN(RADIANS(E2035))</f>
        <v/>
      </c>
      <c r="S2035" s="8">
        <f>(O2035+P2035*COS(RADIANS(E2035)))/L2035</f>
        <v/>
      </c>
      <c r="T2035" s="8">
        <f>R2035/L2035</f>
        <v/>
      </c>
      <c r="U2035" s="8">
        <f>(Q2035-P2035*G2035*SIN(RADIANS(E2035)))/M2035</f>
        <v/>
      </c>
      <c r="V2035" s="8">
        <f>SQRT((S2035+U2035)^2+3*T2035^2)</f>
        <v/>
      </c>
      <c r="W2035" s="8">
        <f>V2035/AA2035</f>
        <v/>
      </c>
      <c r="X2035" s="27">
        <f>((3*10+H2035/COS(RADIANS(E2035)))*(3+3)+3*G2035*H2035)*2</f>
        <v/>
      </c>
      <c r="Y2035" s="28">
        <f>Z2035/X2035</f>
        <v/>
      </c>
      <c r="Z2035" s="29" t="n">
        <v>661.90655360994</v>
      </c>
      <c r="AA2035" s="20" t="n">
        <v>41.7698326807596</v>
      </c>
      <c r="AB2035" t="n">
        <v>0.05179546248338522</v>
      </c>
      <c r="AC2035" t="n">
        <v>40.62811203804127</v>
      </c>
      <c r="AD2035" t="n">
        <v>15.53546251249489</v>
      </c>
    </row>
    <row r="2036">
      <c r="A2036" t="n">
        <v>2035</v>
      </c>
      <c r="B2036" t="n">
        <v>83.7</v>
      </c>
      <c r="C2036" s="21">
        <f>B2036-20</f>
        <v/>
      </c>
      <c r="D2036" t="n">
        <v>118.2</v>
      </c>
      <c r="E2036" s="22">
        <f>D2036-90</f>
        <v/>
      </c>
      <c r="F2036" s="23" t="n">
        <v>0.024901</v>
      </c>
      <c r="G2036" s="22" t="n">
        <v>32.1</v>
      </c>
      <c r="H2036" s="22" t="n">
        <v>1.8</v>
      </c>
      <c r="I2036" s="24" t="n">
        <v>0.118188686668872</v>
      </c>
      <c r="J2036" s="6" t="n">
        <v>71000</v>
      </c>
      <c r="K2036" s="25">
        <f>23*10^-6</f>
        <v/>
      </c>
      <c r="L2036" s="8">
        <f>H2036</f>
        <v/>
      </c>
      <c r="M2036" s="26">
        <f>H2036^2/6</f>
        <v/>
      </c>
      <c r="N2036" s="26">
        <f>H2036^3/12</f>
        <v/>
      </c>
      <c r="O2036" s="27">
        <f>-J2036*L2036*K2036*C2036</f>
        <v/>
      </c>
      <c r="P2036" s="28">
        <f>-(12*F2036*J2036*L2036*N2036+12*O2036*N2036*G2036*COS(RADIANS(E2036)))/(12*N2036*G2036*COS(RADIANS(E2036))^2+L2036*G2036^3*SIN(RADIANS(E2036))^2)</f>
        <v/>
      </c>
      <c r="Q2036" s="28">
        <f>-(6*F2036*J2036*L2036*N2036*SIN(RADIANS(E2036))+6*O2036*N2036*G2036*SIN(RADIANS(E2036))*COS(RADIANS(E2036)))/(12*N2036*COS(RADIANS(E2036))^2+L2036*G2036^2*SIN(RADIANS(E2036))^2)</f>
        <v/>
      </c>
      <c r="R2036" s="28">
        <f>-P2036*SIN(RADIANS(E2036))</f>
        <v/>
      </c>
      <c r="S2036" s="8">
        <f>(O2036+P2036*COS(RADIANS(E2036)))/L2036</f>
        <v/>
      </c>
      <c r="T2036" s="8">
        <f>R2036/L2036</f>
        <v/>
      </c>
      <c r="U2036" s="8">
        <f>(Q2036-P2036*G2036*SIN(RADIANS(E2036)))/M2036</f>
        <v/>
      </c>
      <c r="V2036" s="8">
        <f>SQRT((S2036+U2036)^2+3*T2036^2)</f>
        <v/>
      </c>
      <c r="W2036" s="8">
        <f>V2036/AA2036</f>
        <v/>
      </c>
      <c r="X2036" s="27">
        <f>((3*10+H2036/COS(RADIANS(E2036)))*(3+3)+3*G2036*H2036)*2</f>
        <v/>
      </c>
      <c r="Y2036" s="28">
        <f>Z2036/X2036</f>
        <v/>
      </c>
      <c r="Z2036" s="29" t="n">
        <v>737.855171862474</v>
      </c>
      <c r="AA2036" s="20" t="n">
        <v>100.06164737827</v>
      </c>
      <c r="AB2036" t="n">
        <v>0.144238970424155</v>
      </c>
      <c r="AC2036" t="n">
        <v>95.78807952104987</v>
      </c>
      <c r="AD2036" t="n">
        <v>22.04126679930698</v>
      </c>
    </row>
    <row r="2037">
      <c r="A2037" t="n">
        <v>2036</v>
      </c>
      <c r="B2037" t="n">
        <v>55.7</v>
      </c>
      <c r="C2037" s="21">
        <f>B2037-20</f>
        <v/>
      </c>
      <c r="D2037" t="n">
        <v>113</v>
      </c>
      <c r="E2037" s="22">
        <f>D2037-90</f>
        <v/>
      </c>
      <c r="F2037" s="23" t="n">
        <v>0.014018</v>
      </c>
      <c r="G2037" s="22" t="n">
        <v>30.9</v>
      </c>
      <c r="H2037" s="22" t="n">
        <v>1.5</v>
      </c>
      <c r="I2037" s="24" t="n">
        <v>0.0745736807584762</v>
      </c>
      <c r="J2037" s="6" t="n">
        <v>71000</v>
      </c>
      <c r="K2037" s="25">
        <f>23*10^-6</f>
        <v/>
      </c>
      <c r="L2037" s="8">
        <f>H2037</f>
        <v/>
      </c>
      <c r="M2037" s="26">
        <f>H2037^2/6</f>
        <v/>
      </c>
      <c r="N2037" s="26">
        <f>H2037^3/12</f>
        <v/>
      </c>
      <c r="O2037" s="27">
        <f>-J2037*L2037*K2037*C2037</f>
        <v/>
      </c>
      <c r="P2037" s="28">
        <f>-(12*F2037*J2037*L2037*N2037+12*O2037*N2037*G2037*COS(RADIANS(E2037)))/(12*N2037*G2037*COS(RADIANS(E2037))^2+L2037*G2037^3*SIN(RADIANS(E2037))^2)</f>
        <v/>
      </c>
      <c r="Q2037" s="28">
        <f>-(6*F2037*J2037*L2037*N2037*SIN(RADIANS(E2037))+6*O2037*N2037*G2037*SIN(RADIANS(E2037))*COS(RADIANS(E2037)))/(12*N2037*COS(RADIANS(E2037))^2+L2037*G2037^2*SIN(RADIANS(E2037))^2)</f>
        <v/>
      </c>
      <c r="R2037" s="28">
        <f>-P2037*SIN(RADIANS(E2037))</f>
        <v/>
      </c>
      <c r="S2037" s="8">
        <f>(O2037+P2037*COS(RADIANS(E2037)))/L2037</f>
        <v/>
      </c>
      <c r="T2037" s="8">
        <f>R2037/L2037</f>
        <v/>
      </c>
      <c r="U2037" s="8">
        <f>(Q2037-P2037*G2037*SIN(RADIANS(E2037)))/M2037</f>
        <v/>
      </c>
      <c r="V2037" s="8">
        <f>SQRT((S2037+U2037)^2+3*T2037^2)</f>
        <v/>
      </c>
      <c r="W2037" s="8">
        <f>V2037/AA2037</f>
        <v/>
      </c>
      <c r="X2037" s="27">
        <f>((3*10+H2037/COS(RADIANS(E2037)))*(3+3)+3*G2037*H2037)*2</f>
        <v/>
      </c>
      <c r="Y2037" s="28">
        <f>Z2037/X2037</f>
        <v/>
      </c>
      <c r="Z2037" s="29" t="n">
        <v>663.160765236664</v>
      </c>
      <c r="AA2037" s="20" t="n">
        <v>54.2357284078419</v>
      </c>
      <c r="AB2037" t="n">
        <v>0.09661721245580963</v>
      </c>
      <c r="AC2037" t="n">
        <v>54.19422272320788</v>
      </c>
      <c r="AD2037" t="n">
        <v>29.55939880281143</v>
      </c>
    </row>
    <row r="2038">
      <c r="A2038" t="n">
        <v>2037</v>
      </c>
      <c r="B2038" t="n">
        <v>75.8</v>
      </c>
      <c r="C2038" s="21">
        <f>B2038-20</f>
        <v/>
      </c>
      <c r="D2038" t="n">
        <v>108.2</v>
      </c>
      <c r="E2038" s="22">
        <f>D2038-90</f>
        <v/>
      </c>
      <c r="F2038" s="23" t="n">
        <v>0.024182</v>
      </c>
      <c r="G2038" s="22" t="n">
        <v>33.7</v>
      </c>
      <c r="H2038" s="22" t="n">
        <v>1.2</v>
      </c>
      <c r="I2038" s="24" t="n">
        <v>0.148567855358123</v>
      </c>
      <c r="J2038" s="6" t="n">
        <v>71000</v>
      </c>
      <c r="K2038" s="25">
        <f>23*10^-6</f>
        <v/>
      </c>
      <c r="L2038" s="8">
        <f>H2038</f>
        <v/>
      </c>
      <c r="M2038" s="26">
        <f>H2038^2/6</f>
        <v/>
      </c>
      <c r="N2038" s="26">
        <f>H2038^3/12</f>
        <v/>
      </c>
      <c r="O2038" s="27">
        <f>-J2038*L2038*K2038*C2038</f>
        <v/>
      </c>
      <c r="P2038" s="28">
        <f>-(12*F2038*J2038*L2038*N2038+12*O2038*N2038*G2038*COS(RADIANS(E2038)))/(12*N2038*G2038*COS(RADIANS(E2038))^2+L2038*G2038^3*SIN(RADIANS(E2038))^2)</f>
        <v/>
      </c>
      <c r="Q2038" s="28">
        <f>-(6*F2038*J2038*L2038*N2038*SIN(RADIANS(E2038))+6*O2038*N2038*G2038*SIN(RADIANS(E2038))*COS(RADIANS(E2038)))/(12*N2038*COS(RADIANS(E2038))^2+L2038*G2038^2*SIN(RADIANS(E2038))^2)</f>
        <v/>
      </c>
      <c r="R2038" s="28">
        <f>-P2038*SIN(RADIANS(E2038))</f>
        <v/>
      </c>
      <c r="S2038" s="8">
        <f>(O2038+P2038*COS(RADIANS(E2038)))/L2038</f>
        <v/>
      </c>
      <c r="T2038" s="8">
        <f>R2038/L2038</f>
        <v/>
      </c>
      <c r="U2038" s="8">
        <f>(Q2038-P2038*G2038*SIN(RADIANS(E2038)))/M2038</f>
        <v/>
      </c>
      <c r="V2038" s="8">
        <f>SQRT((S2038+U2038)^2+3*T2038^2)</f>
        <v/>
      </c>
      <c r="W2038" s="8">
        <f>V2038/AA2038</f>
        <v/>
      </c>
      <c r="X2038" s="27">
        <f>((3*10+H2038/COS(RADIANS(E2038)))*(3+3)+3*G2038*H2038)*2</f>
        <v/>
      </c>
      <c r="Y2038" s="28">
        <f>Z2038/X2038</f>
        <v/>
      </c>
      <c r="Z2038" s="29" t="n">
        <v>622.495871217251</v>
      </c>
      <c r="AA2038" s="20" t="n">
        <v>80.6242616549907</v>
      </c>
      <c r="AB2038" t="n">
        <v>0.2094731723187171</v>
      </c>
      <c r="AC2038" t="n">
        <v>84.49191836193182</v>
      </c>
      <c r="AD2038" t="n">
        <v>40.99494928683042</v>
      </c>
    </row>
    <row r="2039">
      <c r="A2039" t="n">
        <v>2038</v>
      </c>
      <c r="B2039" t="n">
        <v>70.5</v>
      </c>
      <c r="C2039" s="21">
        <f>B2039-20</f>
        <v/>
      </c>
      <c r="D2039" t="n">
        <v>102.4</v>
      </c>
      <c r="E2039" s="22">
        <f>D2039-90</f>
        <v/>
      </c>
      <c r="F2039" s="23" t="n">
        <v>0.022796</v>
      </c>
      <c r="G2039" s="22" t="n">
        <v>34.4</v>
      </c>
      <c r="H2039" s="22" t="n">
        <v>1.7</v>
      </c>
      <c r="I2039" s="24" t="n">
        <v>0.183138787746429</v>
      </c>
      <c r="J2039" s="6" t="n">
        <v>71000</v>
      </c>
      <c r="K2039" s="25">
        <f>23*10^-6</f>
        <v/>
      </c>
      <c r="L2039" s="8">
        <f>H2039</f>
        <v/>
      </c>
      <c r="M2039" s="26">
        <f>H2039^2/6</f>
        <v/>
      </c>
      <c r="N2039" s="26">
        <f>H2039^3/12</f>
        <v/>
      </c>
      <c r="O2039" s="27">
        <f>-J2039*L2039*K2039*C2039</f>
        <v/>
      </c>
      <c r="P2039" s="28">
        <f>-(12*F2039*J2039*L2039*N2039+12*O2039*N2039*G2039*COS(RADIANS(E2039)))/(12*N2039*G2039*COS(RADIANS(E2039))^2+L2039*G2039^3*SIN(RADIANS(E2039))^2)</f>
        <v/>
      </c>
      <c r="Q2039" s="28">
        <f>-(6*F2039*J2039*L2039*N2039*SIN(RADIANS(E2039))+6*O2039*N2039*G2039*SIN(RADIANS(E2039))*COS(RADIANS(E2039)))/(12*N2039*COS(RADIANS(E2039))^2+L2039*G2039^2*SIN(RADIANS(E2039))^2)</f>
        <v/>
      </c>
      <c r="R2039" s="28">
        <f>-P2039*SIN(RADIANS(E2039))</f>
        <v/>
      </c>
      <c r="S2039" s="8">
        <f>(O2039+P2039*COS(RADIANS(E2039)))/L2039</f>
        <v/>
      </c>
      <c r="T2039" s="8">
        <f>R2039/L2039</f>
        <v/>
      </c>
      <c r="U2039" s="8">
        <f>(Q2039-P2039*G2039*SIN(RADIANS(E2039)))/M2039</f>
        <v/>
      </c>
      <c r="V2039" s="8">
        <f>SQRT((S2039+U2039)^2+3*T2039^2)</f>
        <v/>
      </c>
      <c r="W2039" s="8">
        <f>V2039/AA2039</f>
        <v/>
      </c>
      <c r="X2039" s="27">
        <f>((3*10+H2039/COS(RADIANS(E2039)))*(3+3)+3*G2039*H2039)*2</f>
        <v/>
      </c>
      <c r="Y2039" s="28">
        <f>Z2039/X2039</f>
        <v/>
      </c>
      <c r="Z2039" s="29" t="n">
        <v>735.774119034973</v>
      </c>
      <c r="AA2039" s="20" t="n">
        <v>83.5477885556663</v>
      </c>
      <c r="AB2039" t="n">
        <v>0.2755769282589499</v>
      </c>
      <c r="AC2039" t="n">
        <v>84.57685401007426</v>
      </c>
      <c r="AD2039" t="n">
        <v>50.47436517954308</v>
      </c>
    </row>
    <row r="2040">
      <c r="A2040" t="n">
        <v>2039</v>
      </c>
      <c r="B2040" t="n">
        <v>86.7</v>
      </c>
      <c r="C2040" s="21">
        <f>B2040-20</f>
        <v/>
      </c>
      <c r="D2040" t="n">
        <v>123.8</v>
      </c>
      <c r="E2040" s="22">
        <f>D2040-90</f>
        <v/>
      </c>
      <c r="F2040" s="23" t="n">
        <v>0.021243</v>
      </c>
      <c r="G2040" s="22" t="n">
        <v>26.4</v>
      </c>
      <c r="H2040" s="22" t="n">
        <v>1.9</v>
      </c>
      <c r="I2040" s="24" t="n">
        <v>0.09660442173480981</v>
      </c>
      <c r="J2040" s="6" t="n">
        <v>71000</v>
      </c>
      <c r="K2040" s="25">
        <f>23*10^-6</f>
        <v/>
      </c>
      <c r="L2040" s="8">
        <f>H2040</f>
        <v/>
      </c>
      <c r="M2040" s="26">
        <f>H2040^2/6</f>
        <v/>
      </c>
      <c r="N2040" s="26">
        <f>H2040^3/12</f>
        <v/>
      </c>
      <c r="O2040" s="27">
        <f>-J2040*L2040*K2040*C2040</f>
        <v/>
      </c>
      <c r="P2040" s="28">
        <f>-(12*F2040*J2040*L2040*N2040+12*O2040*N2040*G2040*COS(RADIANS(E2040)))/(12*N2040*G2040*COS(RADIANS(E2040))^2+L2040*G2040^3*SIN(RADIANS(E2040))^2)</f>
        <v/>
      </c>
      <c r="Q2040" s="28">
        <f>-(6*F2040*J2040*L2040*N2040*SIN(RADIANS(E2040))+6*O2040*N2040*G2040*SIN(RADIANS(E2040))*COS(RADIANS(E2040)))/(12*N2040*COS(RADIANS(E2040))^2+L2040*G2040^2*SIN(RADIANS(E2040))^2)</f>
        <v/>
      </c>
      <c r="R2040" s="28">
        <f>-P2040*SIN(RADIANS(E2040))</f>
        <v/>
      </c>
      <c r="S2040" s="8">
        <f>(O2040+P2040*COS(RADIANS(E2040)))/L2040</f>
        <v/>
      </c>
      <c r="T2040" s="8">
        <f>R2040/L2040</f>
        <v/>
      </c>
      <c r="U2040" s="8">
        <f>(Q2040-P2040*G2040*SIN(RADIANS(E2040)))/M2040</f>
        <v/>
      </c>
      <c r="V2040" s="8">
        <f>SQRT((S2040+U2040)^2+3*T2040^2)</f>
        <v/>
      </c>
      <c r="W2040" s="8">
        <f>V2040/AA2040</f>
        <v/>
      </c>
      <c r="X2040" s="27">
        <f>((3*10+H2040/COS(RADIANS(E2040)))*(3+3)+3*G2040*H2040)*2</f>
        <v/>
      </c>
      <c r="Y2040" s="28">
        <f>Z2040/X2040</f>
        <v/>
      </c>
      <c r="Z2040" s="29" t="n">
        <v>696.712371468593</v>
      </c>
      <c r="AA2040" s="20" t="n">
        <v>107.904611729696</v>
      </c>
      <c r="AB2040" t="n">
        <v>0.103179701693897</v>
      </c>
      <c r="AC2040" t="n">
        <v>99.74342684814066</v>
      </c>
      <c r="AD2040" t="n">
        <v>6.80639647855571</v>
      </c>
    </row>
    <row r="2041">
      <c r="A2041" t="n">
        <v>2040</v>
      </c>
      <c r="B2041" t="n">
        <v>55</v>
      </c>
      <c r="C2041" s="21">
        <f>B2041-20</f>
        <v/>
      </c>
      <c r="D2041" t="n">
        <v>108.3</v>
      </c>
      <c r="E2041" s="22">
        <f>D2041-90</f>
        <v/>
      </c>
      <c r="F2041" s="23" t="n">
        <v>0.014403</v>
      </c>
      <c r="G2041" s="22" t="n">
        <v>31.7</v>
      </c>
      <c r="H2041" s="22" t="n">
        <v>1.9</v>
      </c>
      <c r="I2041" s="24" t="n">
        <v>0.0878267586231231</v>
      </c>
      <c r="J2041" s="6" t="n">
        <v>71000</v>
      </c>
      <c r="K2041" s="25">
        <f>23*10^-6</f>
        <v/>
      </c>
      <c r="L2041" s="8">
        <f>H2041</f>
        <v/>
      </c>
      <c r="M2041" s="26">
        <f>H2041^2/6</f>
        <v/>
      </c>
      <c r="N2041" s="26">
        <f>H2041^3/12</f>
        <v/>
      </c>
      <c r="O2041" s="27">
        <f>-J2041*L2041*K2041*C2041</f>
        <v/>
      </c>
      <c r="P2041" s="28">
        <f>-(12*F2041*J2041*L2041*N2041+12*O2041*N2041*G2041*COS(RADIANS(E2041)))/(12*N2041*G2041*COS(RADIANS(E2041))^2+L2041*G2041^3*SIN(RADIANS(E2041))^2)</f>
        <v/>
      </c>
      <c r="Q2041" s="28">
        <f>-(6*F2041*J2041*L2041*N2041*SIN(RADIANS(E2041))+6*O2041*N2041*G2041*SIN(RADIANS(E2041))*COS(RADIANS(E2041)))/(12*N2041*COS(RADIANS(E2041))^2+L2041*G2041^2*SIN(RADIANS(E2041))^2)</f>
        <v/>
      </c>
      <c r="R2041" s="28">
        <f>-P2041*SIN(RADIANS(E2041))</f>
        <v/>
      </c>
      <c r="S2041" s="8">
        <f>(O2041+P2041*COS(RADIANS(E2041)))/L2041</f>
        <v/>
      </c>
      <c r="T2041" s="8">
        <f>R2041/L2041</f>
        <v/>
      </c>
      <c r="U2041" s="8">
        <f>(Q2041-P2041*G2041*SIN(RADIANS(E2041)))/M2041</f>
        <v/>
      </c>
      <c r="V2041" s="8">
        <f>SQRT((S2041+U2041)^2+3*T2041^2)</f>
        <v/>
      </c>
      <c r="W2041" s="8">
        <f>V2041/AA2041</f>
        <v/>
      </c>
      <c r="X2041" s="27">
        <f>((3*10+H2041/COS(RADIANS(E2041)))*(3+3)+3*G2041*H2041)*2</f>
        <v/>
      </c>
      <c r="Y2041" s="28">
        <f>Z2041/X2041</f>
        <v/>
      </c>
      <c r="Z2041" s="29" t="n">
        <v>750.106597714485</v>
      </c>
      <c r="AA2041" s="20" t="n">
        <v>58.2405266688536</v>
      </c>
      <c r="AB2041" t="n">
        <v>0.1206996999841136</v>
      </c>
      <c r="AC2041" t="n">
        <v>56.43944852058249</v>
      </c>
      <c r="AD2041" t="n">
        <v>37.42930045050723</v>
      </c>
    </row>
    <row r="2042">
      <c r="A2042" t="n">
        <v>2041</v>
      </c>
      <c r="B2042" t="n">
        <v>79.3</v>
      </c>
      <c r="C2042" s="21">
        <f>B2042-20</f>
        <v/>
      </c>
      <c r="D2042" t="n">
        <v>100</v>
      </c>
      <c r="E2042" s="22">
        <f>D2042-90</f>
        <v/>
      </c>
      <c r="F2042" s="23" t="n">
        <v>0.023097</v>
      </c>
      <c r="G2042" s="22" t="n">
        <v>28.6</v>
      </c>
      <c r="H2042" s="22" t="n">
        <v>1</v>
      </c>
      <c r="I2042" s="24" t="n">
        <v>0.228062540292739</v>
      </c>
      <c r="J2042" s="6" t="n">
        <v>71000</v>
      </c>
      <c r="K2042" s="25">
        <f>23*10^-6</f>
        <v/>
      </c>
      <c r="L2042" s="8">
        <f>H2042</f>
        <v/>
      </c>
      <c r="M2042" s="26">
        <f>H2042^2/6</f>
        <v/>
      </c>
      <c r="N2042" s="26">
        <f>H2042^3/12</f>
        <v/>
      </c>
      <c r="O2042" s="27">
        <f>-J2042*L2042*K2042*C2042</f>
        <v/>
      </c>
      <c r="P2042" s="28">
        <f>-(12*F2042*J2042*L2042*N2042+12*O2042*N2042*G2042*COS(RADIANS(E2042)))/(12*N2042*G2042*COS(RADIANS(E2042))^2+L2042*G2042^3*SIN(RADIANS(E2042))^2)</f>
        <v/>
      </c>
      <c r="Q2042" s="28">
        <f>-(6*F2042*J2042*L2042*N2042*SIN(RADIANS(E2042))+6*O2042*N2042*G2042*SIN(RADIANS(E2042))*COS(RADIANS(E2042)))/(12*N2042*COS(RADIANS(E2042))^2+L2042*G2042^2*SIN(RADIANS(E2042))^2)</f>
        <v/>
      </c>
      <c r="R2042" s="28">
        <f>-P2042*SIN(RADIANS(E2042))</f>
        <v/>
      </c>
      <c r="S2042" s="8">
        <f>(O2042+P2042*COS(RADIANS(E2042)))/L2042</f>
        <v/>
      </c>
      <c r="T2042" s="8">
        <f>R2042/L2042</f>
        <v/>
      </c>
      <c r="U2042" s="8">
        <f>(Q2042-P2042*G2042*SIN(RADIANS(E2042)))/M2042</f>
        <v/>
      </c>
      <c r="V2042" s="8">
        <f>SQRT((S2042+U2042)^2+3*T2042^2)</f>
        <v/>
      </c>
      <c r="W2042" s="8">
        <f>V2042/AA2042</f>
        <v/>
      </c>
      <c r="X2042" s="27">
        <f>((3*10+H2042/COS(RADIANS(E2042)))*(3+3)+3*G2042*H2042)*2</f>
        <v/>
      </c>
      <c r="Y2042" s="28">
        <f>Z2042/X2042</f>
        <v/>
      </c>
      <c r="Z2042" s="29" t="n">
        <v>547.588987413527</v>
      </c>
      <c r="AA2042" s="20" t="n">
        <v>86.38916802797119</v>
      </c>
      <c r="AB2042" t="n">
        <v>0.3420139353849194</v>
      </c>
      <c r="AC2042" t="n">
        <v>96.62509448037729</v>
      </c>
      <c r="AD2042" t="n">
        <v>49.96497668837392</v>
      </c>
    </row>
    <row r="2043">
      <c r="A2043" t="n">
        <v>2042</v>
      </c>
      <c r="B2043" t="n">
        <v>83.40000000000001</v>
      </c>
      <c r="C2043" s="21">
        <f>B2043-20</f>
        <v/>
      </c>
      <c r="D2043" t="n">
        <v>123.9</v>
      </c>
      <c r="E2043" s="22">
        <f>D2043-90</f>
        <v/>
      </c>
      <c r="F2043" s="23" t="n">
        <v>0.021914</v>
      </c>
      <c r="G2043" s="22" t="n">
        <v>29.3</v>
      </c>
      <c r="H2043" s="22" t="n">
        <v>1.4</v>
      </c>
      <c r="I2043" s="24" t="n">
        <v>0.0979002863168716</v>
      </c>
      <c r="J2043" s="6" t="n">
        <v>71000</v>
      </c>
      <c r="K2043" s="25">
        <f>23*10^-6</f>
        <v/>
      </c>
      <c r="L2043" s="8">
        <f>H2043</f>
        <v/>
      </c>
      <c r="M2043" s="26">
        <f>H2043^2/6</f>
        <v/>
      </c>
      <c r="N2043" s="26">
        <f>H2043^3/12</f>
        <v/>
      </c>
      <c r="O2043" s="27">
        <f>-J2043*L2043*K2043*C2043</f>
        <v/>
      </c>
      <c r="P2043" s="28">
        <f>-(12*F2043*J2043*L2043*N2043+12*O2043*N2043*G2043*COS(RADIANS(E2043)))/(12*N2043*G2043*COS(RADIANS(E2043))^2+L2043*G2043^3*SIN(RADIANS(E2043))^2)</f>
        <v/>
      </c>
      <c r="Q2043" s="28">
        <f>-(6*F2043*J2043*L2043*N2043*SIN(RADIANS(E2043))+6*O2043*N2043*G2043*SIN(RADIANS(E2043))*COS(RADIANS(E2043)))/(12*N2043*COS(RADIANS(E2043))^2+L2043*G2043^2*SIN(RADIANS(E2043))^2)</f>
        <v/>
      </c>
      <c r="R2043" s="28">
        <f>-P2043*SIN(RADIANS(E2043))</f>
        <v/>
      </c>
      <c r="S2043" s="8">
        <f>(O2043+P2043*COS(RADIANS(E2043)))/L2043</f>
        <v/>
      </c>
      <c r="T2043" s="8">
        <f>R2043/L2043</f>
        <v/>
      </c>
      <c r="U2043" s="8">
        <f>(Q2043-P2043*G2043*SIN(RADIANS(E2043)))/M2043</f>
        <v/>
      </c>
      <c r="V2043" s="8">
        <f>SQRT((S2043+U2043)^2+3*T2043^2)</f>
        <v/>
      </c>
      <c r="W2043" s="8">
        <f>V2043/AA2043</f>
        <v/>
      </c>
      <c r="X2043" s="27">
        <f>((3*10+H2043/COS(RADIANS(E2043)))*(3+3)+3*G2043*H2043)*2</f>
        <v/>
      </c>
      <c r="Y2043" s="28">
        <f>Z2043/X2043</f>
        <v/>
      </c>
      <c r="Z2043" s="29" t="n">
        <v>634.709528319488</v>
      </c>
      <c r="AA2043" s="20" t="n">
        <v>91.47822000450211</v>
      </c>
      <c r="AB2043" t="n">
        <v>0.1085909627116897</v>
      </c>
      <c r="AC2043" t="n">
        <v>91.89561531393123</v>
      </c>
      <c r="AD2043" t="n">
        <v>10.9199643811213</v>
      </c>
    </row>
    <row r="2044">
      <c r="A2044" t="n">
        <v>2043</v>
      </c>
      <c r="B2044" t="n">
        <v>82.90000000000001</v>
      </c>
      <c r="C2044" s="21">
        <f>B2044-20</f>
        <v/>
      </c>
      <c r="D2044" t="n">
        <v>113.6</v>
      </c>
      <c r="E2044" s="22">
        <f>D2044-90</f>
        <v/>
      </c>
      <c r="F2044" s="23" t="n">
        <v>0.01889</v>
      </c>
      <c r="G2044" s="22" t="n">
        <v>22.2</v>
      </c>
      <c r="H2044" s="22" t="n">
        <v>1.4</v>
      </c>
      <c r="I2044" s="24" t="n">
        <v>0.103560410439968</v>
      </c>
      <c r="J2044" s="6" t="n">
        <v>71000</v>
      </c>
      <c r="K2044" s="25">
        <f>23*10^-6</f>
        <v/>
      </c>
      <c r="L2044" s="8">
        <f>H2044</f>
        <v/>
      </c>
      <c r="M2044" s="26">
        <f>H2044^2/6</f>
        <v/>
      </c>
      <c r="N2044" s="26">
        <f>H2044^3/12</f>
        <v/>
      </c>
      <c r="O2044" s="27">
        <f>-J2044*L2044*K2044*C2044</f>
        <v/>
      </c>
      <c r="P2044" s="28">
        <f>-(12*F2044*J2044*L2044*N2044+12*O2044*N2044*G2044*COS(RADIANS(E2044)))/(12*N2044*G2044*COS(RADIANS(E2044))^2+L2044*G2044^3*SIN(RADIANS(E2044))^2)</f>
        <v/>
      </c>
      <c r="Q2044" s="28">
        <f>-(6*F2044*J2044*L2044*N2044*SIN(RADIANS(E2044))+6*O2044*N2044*G2044*SIN(RADIANS(E2044))*COS(RADIANS(E2044)))/(12*N2044*COS(RADIANS(E2044))^2+L2044*G2044^2*SIN(RADIANS(E2044))^2)</f>
        <v/>
      </c>
      <c r="R2044" s="28">
        <f>-P2044*SIN(RADIANS(E2044))</f>
        <v/>
      </c>
      <c r="S2044" s="8">
        <f>(O2044+P2044*COS(RADIANS(E2044)))/L2044</f>
        <v/>
      </c>
      <c r="T2044" s="8">
        <f>R2044/L2044</f>
        <v/>
      </c>
      <c r="U2044" s="8">
        <f>(Q2044-P2044*G2044*SIN(RADIANS(E2044)))/M2044</f>
        <v/>
      </c>
      <c r="V2044" s="8">
        <f>SQRT((S2044+U2044)^2+3*T2044^2)</f>
        <v/>
      </c>
      <c r="W2044" s="8">
        <f>V2044/AA2044</f>
        <v/>
      </c>
      <c r="X2044" s="27">
        <f>((3*10+H2044/COS(RADIANS(E2044)))*(3+3)+3*G2044*H2044)*2</f>
        <v/>
      </c>
      <c r="Y2044" s="28">
        <f>Z2044/X2044</f>
        <v/>
      </c>
      <c r="Z2044" s="29" t="n">
        <v>570.437482968698</v>
      </c>
      <c r="AA2044" s="20" t="n">
        <v>97.0209604902066</v>
      </c>
      <c r="AB2044" t="n">
        <v>0.120770366583645</v>
      </c>
      <c r="AC2044" t="n">
        <v>96.70135418019743</v>
      </c>
      <c r="AD2044" t="n">
        <v>16.61827726499143</v>
      </c>
    </row>
    <row r="2045">
      <c r="A2045" t="n">
        <v>2044</v>
      </c>
      <c r="B2045" t="n">
        <v>89.59999999999999</v>
      </c>
      <c r="C2045" s="21">
        <f>B2045-20</f>
        <v/>
      </c>
      <c r="D2045" t="n">
        <v>114.5</v>
      </c>
      <c r="E2045" s="22">
        <f>D2045-90</f>
        <v/>
      </c>
      <c r="F2045" s="23" t="n">
        <v>0.022883</v>
      </c>
      <c r="G2045" s="22" t="n">
        <v>25.1</v>
      </c>
      <c r="H2045" s="22" t="n">
        <v>1.8</v>
      </c>
      <c r="I2045" s="24" t="n">
        <v>0.120433710515499</v>
      </c>
      <c r="J2045" s="6" t="n">
        <v>71000</v>
      </c>
      <c r="K2045" s="25">
        <f>23*10^-6</f>
        <v/>
      </c>
      <c r="L2045" s="8">
        <f>H2045</f>
        <v/>
      </c>
      <c r="M2045" s="26">
        <f>H2045^2/6</f>
        <v/>
      </c>
      <c r="N2045" s="26">
        <f>H2045^3/12</f>
        <v/>
      </c>
      <c r="O2045" s="27">
        <f>-J2045*L2045*K2045*C2045</f>
        <v/>
      </c>
      <c r="P2045" s="28">
        <f>-(12*F2045*J2045*L2045*N2045+12*O2045*N2045*G2045*COS(RADIANS(E2045)))/(12*N2045*G2045*COS(RADIANS(E2045))^2+L2045*G2045^3*SIN(RADIANS(E2045))^2)</f>
        <v/>
      </c>
      <c r="Q2045" s="28">
        <f>-(6*F2045*J2045*L2045*N2045*SIN(RADIANS(E2045))+6*O2045*N2045*G2045*SIN(RADIANS(E2045))*COS(RADIANS(E2045)))/(12*N2045*COS(RADIANS(E2045))^2+L2045*G2045^2*SIN(RADIANS(E2045))^2)</f>
        <v/>
      </c>
      <c r="R2045" s="28">
        <f>-P2045*SIN(RADIANS(E2045))</f>
        <v/>
      </c>
      <c r="S2045" s="8">
        <f>(O2045+P2045*COS(RADIANS(E2045)))/L2045</f>
        <v/>
      </c>
      <c r="T2045" s="8">
        <f>R2045/L2045</f>
        <v/>
      </c>
      <c r="U2045" s="8">
        <f>(Q2045-P2045*G2045*SIN(RADIANS(E2045)))/M2045</f>
        <v/>
      </c>
      <c r="V2045" s="8">
        <f>SQRT((S2045+U2045)^2+3*T2045^2)</f>
        <v/>
      </c>
      <c r="W2045" s="8">
        <f>V2045/AA2045</f>
        <v/>
      </c>
      <c r="X2045" s="27">
        <f>((3*10+H2045/COS(RADIANS(E2045)))*(3+3)+3*G2045*H2045)*2</f>
        <v/>
      </c>
      <c r="Y2045" s="28">
        <f>Z2045/X2045</f>
        <v/>
      </c>
      <c r="Z2045" s="29" t="n">
        <v>660.625652236981</v>
      </c>
      <c r="AA2045" s="20" t="n">
        <v>114.008764312384</v>
      </c>
      <c r="AB2045" t="n">
        <v>0.1432963187738719</v>
      </c>
      <c r="AC2045" t="n">
        <v>108.7502532550866</v>
      </c>
      <c r="AD2045" t="n">
        <v>18.98356212767406</v>
      </c>
    </row>
    <row r="2046">
      <c r="A2046" t="n">
        <v>2045</v>
      </c>
      <c r="B2046" t="n">
        <v>71.5</v>
      </c>
      <c r="C2046" s="21">
        <f>B2046-20</f>
        <v/>
      </c>
      <c r="D2046" t="n">
        <v>119</v>
      </c>
      <c r="E2046" s="22">
        <f>D2046-90</f>
        <v/>
      </c>
      <c r="F2046" s="23" t="n">
        <v>0.01903</v>
      </c>
      <c r="G2046" s="22" t="n">
        <v>30.2</v>
      </c>
      <c r="H2046" s="22" t="n">
        <v>1.7</v>
      </c>
      <c r="I2046" s="24" t="n">
        <v>0.0899353995919227</v>
      </c>
      <c r="J2046" s="6" t="n">
        <v>71000</v>
      </c>
      <c r="K2046" s="25">
        <f>23*10^-6</f>
        <v/>
      </c>
      <c r="L2046" s="8">
        <f>H2046</f>
        <v/>
      </c>
      <c r="M2046" s="26">
        <f>H2046^2/6</f>
        <v/>
      </c>
      <c r="N2046" s="26">
        <f>H2046^3/12</f>
        <v/>
      </c>
      <c r="O2046" s="27">
        <f>-J2046*L2046*K2046*C2046</f>
        <v/>
      </c>
      <c r="P2046" s="28">
        <f>-(12*F2046*J2046*L2046*N2046+12*O2046*N2046*G2046*COS(RADIANS(E2046)))/(12*N2046*G2046*COS(RADIANS(E2046))^2+L2046*G2046^3*SIN(RADIANS(E2046))^2)</f>
        <v/>
      </c>
      <c r="Q2046" s="28">
        <f>-(6*F2046*J2046*L2046*N2046*SIN(RADIANS(E2046))+6*O2046*N2046*G2046*SIN(RADIANS(E2046))*COS(RADIANS(E2046)))/(12*N2046*COS(RADIANS(E2046))^2+L2046*G2046^2*SIN(RADIANS(E2046))^2)</f>
        <v/>
      </c>
      <c r="R2046" s="28">
        <f>-P2046*SIN(RADIANS(E2046))</f>
        <v/>
      </c>
      <c r="S2046" s="8">
        <f>(O2046+P2046*COS(RADIANS(E2046)))/L2046</f>
        <v/>
      </c>
      <c r="T2046" s="8">
        <f>R2046/L2046</f>
        <v/>
      </c>
      <c r="U2046" s="8">
        <f>(Q2046-P2046*G2046*SIN(RADIANS(E2046)))/M2046</f>
        <v/>
      </c>
      <c r="V2046" s="8">
        <f>SQRT((S2046+U2046)^2+3*T2046^2)</f>
        <v/>
      </c>
      <c r="W2046" s="8">
        <f>V2046/AA2046</f>
        <v/>
      </c>
      <c r="X2046" s="27">
        <f>((3*10+H2046/COS(RADIANS(E2046)))*(3+3)+3*G2046*H2046)*2</f>
        <v/>
      </c>
      <c r="Y2046" s="28">
        <f>Z2046/X2046</f>
        <v/>
      </c>
      <c r="Z2046" s="29" t="n">
        <v>698.238549999217</v>
      </c>
      <c r="AA2046" s="20" t="n">
        <v>79.1885662363235</v>
      </c>
      <c r="AB2046" t="n">
        <v>0.1069051560163672</v>
      </c>
      <c r="AC2046" t="n">
        <v>77.06593514460621</v>
      </c>
      <c r="AD2046" t="n">
        <v>18.86882862748589</v>
      </c>
    </row>
    <row r="2047">
      <c r="A2047" t="n">
        <v>2046</v>
      </c>
      <c r="B2047" t="n">
        <v>84.5</v>
      </c>
      <c r="C2047" s="21">
        <f>B2047-20</f>
        <v/>
      </c>
      <c r="D2047" t="n">
        <v>101</v>
      </c>
      <c r="E2047" s="22">
        <f>D2047-90</f>
        <v/>
      </c>
      <c r="F2047" s="23" t="n">
        <v>0.022312</v>
      </c>
      <c r="G2047" s="22" t="n">
        <v>24.8</v>
      </c>
      <c r="H2047" s="22" t="n">
        <v>1.5</v>
      </c>
      <c r="I2047" s="24" t="n">
        <v>0.197185695171356</v>
      </c>
      <c r="J2047" s="6" t="n">
        <v>71000</v>
      </c>
      <c r="K2047" s="25">
        <f>23*10^-6</f>
        <v/>
      </c>
      <c r="L2047" s="8">
        <f>H2047</f>
        <v/>
      </c>
      <c r="M2047" s="26">
        <f>H2047^2/6</f>
        <v/>
      </c>
      <c r="N2047" s="26">
        <f>H2047^3/12</f>
        <v/>
      </c>
      <c r="O2047" s="27">
        <f>-J2047*L2047*K2047*C2047</f>
        <v/>
      </c>
      <c r="P2047" s="28">
        <f>-(12*F2047*J2047*L2047*N2047+12*O2047*N2047*G2047*COS(RADIANS(E2047)))/(12*N2047*G2047*COS(RADIANS(E2047))^2+L2047*G2047^3*SIN(RADIANS(E2047))^2)</f>
        <v/>
      </c>
      <c r="Q2047" s="28">
        <f>-(6*F2047*J2047*L2047*N2047*SIN(RADIANS(E2047))+6*O2047*N2047*G2047*SIN(RADIANS(E2047))*COS(RADIANS(E2047)))/(12*N2047*COS(RADIANS(E2047))^2+L2047*G2047^2*SIN(RADIANS(E2047))^2)</f>
        <v/>
      </c>
      <c r="R2047" s="28">
        <f>-P2047*SIN(RADIANS(E2047))</f>
        <v/>
      </c>
      <c r="S2047" s="8">
        <f>(O2047+P2047*COS(RADIANS(E2047)))/L2047</f>
        <v/>
      </c>
      <c r="T2047" s="8">
        <f>R2047/L2047</f>
        <v/>
      </c>
      <c r="U2047" s="8">
        <f>(Q2047-P2047*G2047*SIN(RADIANS(E2047)))/M2047</f>
        <v/>
      </c>
      <c r="V2047" s="8">
        <f>SQRT((S2047+U2047)^2+3*T2047^2)</f>
        <v/>
      </c>
      <c r="W2047" s="8">
        <f>V2047/AA2047</f>
        <v/>
      </c>
      <c r="X2047" s="27">
        <f>((3*10+H2047/COS(RADIANS(E2047)))*(3+3)+3*G2047*H2047)*2</f>
        <v/>
      </c>
      <c r="Y2047" s="28">
        <f>Z2047/X2047</f>
        <v/>
      </c>
      <c r="Z2047" s="29" t="n">
        <v>605.419730573759</v>
      </c>
      <c r="AA2047" s="20" t="n">
        <v>110.080922282611</v>
      </c>
      <c r="AB2047" t="n">
        <v>0.2800647574315109</v>
      </c>
      <c r="AC2047" t="n">
        <v>111.8917539379881</v>
      </c>
      <c r="AD2047" t="n">
        <v>42.03097095259995</v>
      </c>
    </row>
    <row r="2048">
      <c r="A2048" t="n">
        <v>2047</v>
      </c>
      <c r="B2048" t="n">
        <v>83.40000000000001</v>
      </c>
      <c r="C2048" s="21">
        <f>B2048-20</f>
        <v/>
      </c>
      <c r="D2048" t="n">
        <v>102.3</v>
      </c>
      <c r="E2048" s="22">
        <f>D2048-90</f>
        <v/>
      </c>
      <c r="F2048" s="23" t="n">
        <v>0.027005</v>
      </c>
      <c r="G2048" s="22" t="n">
        <v>32.1</v>
      </c>
      <c r="H2048" s="22" t="n">
        <v>1.2</v>
      </c>
      <c r="I2048" s="24" t="n">
        <v>0.223345354199409</v>
      </c>
      <c r="J2048" s="6" t="n">
        <v>71000</v>
      </c>
      <c r="K2048" s="25">
        <f>23*10^-6</f>
        <v/>
      </c>
      <c r="L2048" s="8">
        <f>H2048</f>
        <v/>
      </c>
      <c r="M2048" s="26">
        <f>H2048^2/6</f>
        <v/>
      </c>
      <c r="N2048" s="26">
        <f>H2048^3/12</f>
        <v/>
      </c>
      <c r="O2048" s="27">
        <f>-J2048*L2048*K2048*C2048</f>
        <v/>
      </c>
      <c r="P2048" s="28">
        <f>-(12*F2048*J2048*L2048*N2048+12*O2048*N2048*G2048*COS(RADIANS(E2048)))/(12*N2048*G2048*COS(RADIANS(E2048))^2+L2048*G2048^3*SIN(RADIANS(E2048))^2)</f>
        <v/>
      </c>
      <c r="Q2048" s="28">
        <f>-(6*F2048*J2048*L2048*N2048*SIN(RADIANS(E2048))+6*O2048*N2048*G2048*SIN(RADIANS(E2048))*COS(RADIANS(E2048)))/(12*N2048*COS(RADIANS(E2048))^2+L2048*G2048^2*SIN(RADIANS(E2048))^2)</f>
        <v/>
      </c>
      <c r="R2048" s="28">
        <f>-P2048*SIN(RADIANS(E2048))</f>
        <v/>
      </c>
      <c r="S2048" s="8">
        <f>(O2048+P2048*COS(RADIANS(E2048)))/L2048</f>
        <v/>
      </c>
      <c r="T2048" s="8">
        <f>R2048/L2048</f>
        <v/>
      </c>
      <c r="U2048" s="8">
        <f>(Q2048-P2048*G2048*SIN(RADIANS(E2048)))/M2048</f>
        <v/>
      </c>
      <c r="V2048" s="8">
        <f>SQRT((S2048+U2048)^2+3*T2048^2)</f>
        <v/>
      </c>
      <c r="W2048" s="8">
        <f>V2048/AA2048</f>
        <v/>
      </c>
      <c r="X2048" s="27">
        <f>((3*10+H2048/COS(RADIANS(E2048)))*(3+3)+3*G2048*H2048)*2</f>
        <v/>
      </c>
      <c r="Y2048" s="28">
        <f>Z2048/X2048</f>
        <v/>
      </c>
      <c r="Z2048" s="29" t="n">
        <v>609.855787856801</v>
      </c>
      <c r="AA2048" s="20" t="n">
        <v>94.36841342221889</v>
      </c>
      <c r="AB2048" t="n">
        <v>0.3335999988679515</v>
      </c>
      <c r="AC2048" t="n">
        <v>101.5837203888446</v>
      </c>
      <c r="AD2048" t="n">
        <v>49.36509427910644</v>
      </c>
    </row>
    <row r="2049">
      <c r="A2049" t="n">
        <v>2048</v>
      </c>
      <c r="B2049" t="n">
        <v>84</v>
      </c>
      <c r="C2049" s="21">
        <f>B2049-20</f>
        <v/>
      </c>
      <c r="D2049" t="n">
        <v>108.5</v>
      </c>
      <c r="E2049" s="22">
        <f>D2049-90</f>
        <v/>
      </c>
      <c r="F2049" s="23" t="n">
        <v>0.024027</v>
      </c>
      <c r="G2049" s="22" t="n">
        <v>28.4</v>
      </c>
      <c r="H2049" s="22" t="n">
        <v>1.7</v>
      </c>
      <c r="I2049" s="24" t="n">
        <v>0.147501021623611</v>
      </c>
      <c r="J2049" s="6" t="n">
        <v>71000</v>
      </c>
      <c r="K2049" s="25">
        <f>23*10^-6</f>
        <v/>
      </c>
      <c r="L2049" s="8">
        <f>H2049</f>
        <v/>
      </c>
      <c r="M2049" s="26">
        <f>H2049^2/6</f>
        <v/>
      </c>
      <c r="N2049" s="26">
        <f>H2049^3/12</f>
        <v/>
      </c>
      <c r="O2049" s="27">
        <f>-J2049*L2049*K2049*C2049</f>
        <v/>
      </c>
      <c r="P2049" s="28">
        <f>-(12*F2049*J2049*L2049*N2049+12*O2049*N2049*G2049*COS(RADIANS(E2049)))/(12*N2049*G2049*COS(RADIANS(E2049))^2+L2049*G2049^3*SIN(RADIANS(E2049))^2)</f>
        <v/>
      </c>
      <c r="Q2049" s="28">
        <f>-(6*F2049*J2049*L2049*N2049*SIN(RADIANS(E2049))+6*O2049*N2049*G2049*SIN(RADIANS(E2049))*COS(RADIANS(E2049)))/(12*N2049*COS(RADIANS(E2049))^2+L2049*G2049^2*SIN(RADIANS(E2049))^2)</f>
        <v/>
      </c>
      <c r="R2049" s="28">
        <f>-P2049*SIN(RADIANS(E2049))</f>
        <v/>
      </c>
      <c r="S2049" s="8">
        <f>(O2049+P2049*COS(RADIANS(E2049)))/L2049</f>
        <v/>
      </c>
      <c r="T2049" s="8">
        <f>R2049/L2049</f>
        <v/>
      </c>
      <c r="U2049" s="8">
        <f>(Q2049-P2049*G2049*SIN(RADIANS(E2049)))/M2049</f>
        <v/>
      </c>
      <c r="V2049" s="8">
        <f>SQRT((S2049+U2049)^2+3*T2049^2)</f>
        <v/>
      </c>
      <c r="W2049" s="8">
        <f>V2049/AA2049</f>
        <v/>
      </c>
      <c r="X2049" s="27">
        <f>((3*10+H2049/COS(RADIANS(E2049)))*(3+3)+3*G2049*H2049)*2</f>
        <v/>
      </c>
      <c r="Y2049" s="28">
        <f>Z2049/X2049</f>
        <v/>
      </c>
      <c r="Z2049" s="29" t="n">
        <v>675.933087865084</v>
      </c>
      <c r="AA2049" s="20" t="n">
        <v>103.487740670546</v>
      </c>
      <c r="AB2049" t="n">
        <v>0.1969979898413802</v>
      </c>
      <c r="AC2049" t="n">
        <v>102.521421412825</v>
      </c>
      <c r="AD2049" t="n">
        <v>33.55703416351529</v>
      </c>
    </row>
    <row r="2050">
      <c r="A2050" t="n">
        <v>2049</v>
      </c>
      <c r="B2050" t="n">
        <v>62.9</v>
      </c>
      <c r="C2050" s="21">
        <f>B2050-20</f>
        <v/>
      </c>
      <c r="D2050" t="n">
        <v>100.8</v>
      </c>
      <c r="E2050" s="22">
        <f>D2050-90</f>
        <v/>
      </c>
      <c r="F2050" s="23" t="n">
        <v>0.016674</v>
      </c>
      <c r="G2050" s="22" t="n">
        <v>28.6</v>
      </c>
      <c r="H2050" s="22" t="n">
        <v>1.1</v>
      </c>
      <c r="I2050" s="24" t="n">
        <v>0.154079645872116</v>
      </c>
      <c r="J2050" s="6" t="n">
        <v>71000</v>
      </c>
      <c r="K2050" s="25">
        <f>23*10^-6</f>
        <v/>
      </c>
      <c r="L2050" s="8">
        <f>H2050</f>
        <v/>
      </c>
      <c r="M2050" s="26">
        <f>H2050^2/6</f>
        <v/>
      </c>
      <c r="N2050" s="26">
        <f>H2050^3/12</f>
        <v/>
      </c>
      <c r="O2050" s="27">
        <f>-J2050*L2050*K2050*C2050</f>
        <v/>
      </c>
      <c r="P2050" s="28">
        <f>-(12*F2050*J2050*L2050*N2050+12*O2050*N2050*G2050*COS(RADIANS(E2050)))/(12*N2050*G2050*COS(RADIANS(E2050))^2+L2050*G2050^3*SIN(RADIANS(E2050))^2)</f>
        <v/>
      </c>
      <c r="Q2050" s="28">
        <f>-(6*F2050*J2050*L2050*N2050*SIN(RADIANS(E2050))+6*O2050*N2050*G2050*SIN(RADIANS(E2050))*COS(RADIANS(E2050)))/(12*N2050*COS(RADIANS(E2050))^2+L2050*G2050^2*SIN(RADIANS(E2050))^2)</f>
        <v/>
      </c>
      <c r="R2050" s="28">
        <f>-P2050*SIN(RADIANS(E2050))</f>
        <v/>
      </c>
      <c r="S2050" s="8">
        <f>(O2050+P2050*COS(RADIANS(E2050)))/L2050</f>
        <v/>
      </c>
      <c r="T2050" s="8">
        <f>R2050/L2050</f>
        <v/>
      </c>
      <c r="U2050" s="8">
        <f>(Q2050-P2050*G2050*SIN(RADIANS(E2050)))/M2050</f>
        <v/>
      </c>
      <c r="V2050" s="8">
        <f>SQRT((S2050+U2050)^2+3*T2050^2)</f>
        <v/>
      </c>
      <c r="W2050" s="8">
        <f>V2050/AA2050</f>
        <v/>
      </c>
      <c r="X2050" s="27">
        <f>((3*10+H2050/COS(RADIANS(E2050)))*(3+3)+3*G2050*H2050)*2</f>
        <v/>
      </c>
      <c r="Y2050" s="28">
        <f>Z2050/X2050</f>
        <v/>
      </c>
      <c r="Z2050" s="29" t="n">
        <v>566.064425298347</v>
      </c>
      <c r="AA2050" s="20" t="n">
        <v>64.5429085916098</v>
      </c>
      <c r="AB2050" t="n">
        <v>0.2285850490386315</v>
      </c>
      <c r="AC2050" t="n">
        <v>70.06936129801583</v>
      </c>
      <c r="AD2050" t="n">
        <v>48.35512357573432</v>
      </c>
    </row>
    <row r="2051">
      <c r="A2051" t="n">
        <v>2050</v>
      </c>
      <c r="B2051" t="n">
        <v>59.6</v>
      </c>
      <c r="C2051" s="21">
        <f>B2051-20</f>
        <v/>
      </c>
      <c r="D2051" t="n">
        <v>109</v>
      </c>
      <c r="E2051" s="22">
        <f>D2051-90</f>
        <v/>
      </c>
      <c r="F2051" s="23" t="n">
        <v>0.016795</v>
      </c>
      <c r="G2051" s="22" t="n">
        <v>33</v>
      </c>
      <c r="H2051" s="22" t="n">
        <v>1.9</v>
      </c>
      <c r="I2051" s="24" t="n">
        <v>0.099575400352478</v>
      </c>
      <c r="J2051" s="6" t="n">
        <v>71000</v>
      </c>
      <c r="K2051" s="25">
        <f>23*10^-6</f>
        <v/>
      </c>
      <c r="L2051" s="8">
        <f>H2051</f>
        <v/>
      </c>
      <c r="M2051" s="26">
        <f>H2051^2/6</f>
        <v/>
      </c>
      <c r="N2051" s="26">
        <f>H2051^3/12</f>
        <v/>
      </c>
      <c r="O2051" s="27">
        <f>-J2051*L2051*K2051*C2051</f>
        <v/>
      </c>
      <c r="P2051" s="28">
        <f>-(12*F2051*J2051*L2051*N2051+12*O2051*N2051*G2051*COS(RADIANS(E2051)))/(12*N2051*G2051*COS(RADIANS(E2051))^2+L2051*G2051^3*SIN(RADIANS(E2051))^2)</f>
        <v/>
      </c>
      <c r="Q2051" s="28">
        <f>-(6*F2051*J2051*L2051*N2051*SIN(RADIANS(E2051))+6*O2051*N2051*G2051*SIN(RADIANS(E2051))*COS(RADIANS(E2051)))/(12*N2051*COS(RADIANS(E2051))^2+L2051*G2051^2*SIN(RADIANS(E2051))^2)</f>
        <v/>
      </c>
      <c r="R2051" s="28">
        <f>-P2051*SIN(RADIANS(E2051))</f>
        <v/>
      </c>
      <c r="S2051" s="8">
        <f>(O2051+P2051*COS(RADIANS(E2051)))/L2051</f>
        <v/>
      </c>
      <c r="T2051" s="8">
        <f>R2051/L2051</f>
        <v/>
      </c>
      <c r="U2051" s="8">
        <f>(Q2051-P2051*G2051*SIN(RADIANS(E2051)))/M2051</f>
        <v/>
      </c>
      <c r="V2051" s="8">
        <f>SQRT((S2051+U2051)^2+3*T2051^2)</f>
        <v/>
      </c>
      <c r="W2051" s="8">
        <f>V2051/AA2051</f>
        <v/>
      </c>
      <c r="X2051" s="27">
        <f>((3*10+H2051/COS(RADIANS(E2051)))*(3+3)+3*G2051*H2051)*2</f>
        <v/>
      </c>
      <c r="Y2051" s="28">
        <f>Z2051/X2051</f>
        <v/>
      </c>
      <c r="Z2051" s="29" t="n">
        <v>765.1302772651781</v>
      </c>
      <c r="AA2051" s="20" t="n">
        <v>65.4376580354626</v>
      </c>
      <c r="AB2051" t="n">
        <v>0.1370996926443658</v>
      </c>
      <c r="AC2051" t="n">
        <v>63.21342037712063</v>
      </c>
      <c r="AD2051" t="n">
        <v>37.68429969556635</v>
      </c>
    </row>
    <row r="2052">
      <c r="A2052" t="n">
        <v>2051</v>
      </c>
      <c r="B2052" t="n">
        <v>42.4</v>
      </c>
      <c r="C2052" s="21">
        <f>B2052-20</f>
        <v/>
      </c>
      <c r="D2052" t="n">
        <v>101.4</v>
      </c>
      <c r="E2052" s="22">
        <f>D2052-90</f>
        <v/>
      </c>
      <c r="F2052" s="23" t="n">
        <v>0.008791</v>
      </c>
      <c r="G2052" s="22" t="n">
        <v>29</v>
      </c>
      <c r="H2052" s="22" t="n">
        <v>2</v>
      </c>
      <c r="I2052" s="24" t="n">
        <v>0.0732359737157821</v>
      </c>
      <c r="J2052" s="6" t="n">
        <v>71000</v>
      </c>
      <c r="K2052" s="25">
        <f>23*10^-6</f>
        <v/>
      </c>
      <c r="L2052" s="8">
        <f>H2052</f>
        <v/>
      </c>
      <c r="M2052" s="26">
        <f>H2052^2/6</f>
        <v/>
      </c>
      <c r="N2052" s="26">
        <f>H2052^3/12</f>
        <v/>
      </c>
      <c r="O2052" s="27">
        <f>-J2052*L2052*K2052*C2052</f>
        <v/>
      </c>
      <c r="P2052" s="28">
        <f>-(12*F2052*J2052*L2052*N2052+12*O2052*N2052*G2052*COS(RADIANS(E2052)))/(12*N2052*G2052*COS(RADIANS(E2052))^2+L2052*G2052^3*SIN(RADIANS(E2052))^2)</f>
        <v/>
      </c>
      <c r="Q2052" s="28">
        <f>-(6*F2052*J2052*L2052*N2052*SIN(RADIANS(E2052))+6*O2052*N2052*G2052*SIN(RADIANS(E2052))*COS(RADIANS(E2052)))/(12*N2052*COS(RADIANS(E2052))^2+L2052*G2052^2*SIN(RADIANS(E2052))^2)</f>
        <v/>
      </c>
      <c r="R2052" s="28">
        <f>-P2052*SIN(RADIANS(E2052))</f>
        <v/>
      </c>
      <c r="S2052" s="8">
        <f>(O2052+P2052*COS(RADIANS(E2052)))/L2052</f>
        <v/>
      </c>
      <c r="T2052" s="8">
        <f>R2052/L2052</f>
        <v/>
      </c>
      <c r="U2052" s="8">
        <f>(Q2052-P2052*G2052*SIN(RADIANS(E2052)))/M2052</f>
        <v/>
      </c>
      <c r="V2052" s="8">
        <f>SQRT((S2052+U2052)^2+3*T2052^2)</f>
        <v/>
      </c>
      <c r="W2052" s="8">
        <f>V2052/AA2052</f>
        <v/>
      </c>
      <c r="X2052" s="27">
        <f>((3*10+H2052/COS(RADIANS(E2052)))*(3+3)+3*G2052*H2052)*2</f>
        <v/>
      </c>
      <c r="Y2052" s="28">
        <f>Z2052/X2052</f>
        <v/>
      </c>
      <c r="Z2052" s="29" t="n">
        <v>736.399671887628</v>
      </c>
      <c r="AA2052" s="20" t="n">
        <v>41.7721177485243</v>
      </c>
      <c r="AB2052" t="n">
        <v>0.1065215661841878</v>
      </c>
      <c r="AC2052" t="n">
        <v>39.87654196816745</v>
      </c>
      <c r="AD2052" t="n">
        <v>45.4497848251218</v>
      </c>
    </row>
    <row r="2053">
      <c r="A2053" t="n">
        <v>2052</v>
      </c>
      <c r="B2053" t="n">
        <v>48.4</v>
      </c>
      <c r="C2053" s="21">
        <f>B2053-20</f>
        <v/>
      </c>
      <c r="D2053" t="n">
        <v>112.2</v>
      </c>
      <c r="E2053" s="22">
        <f>D2053-90</f>
        <v/>
      </c>
      <c r="F2053" s="23" t="n">
        <v>0.011385</v>
      </c>
      <c r="G2053" s="22" t="n">
        <v>31.5</v>
      </c>
      <c r="H2053" s="22" t="n">
        <v>1.5</v>
      </c>
      <c r="I2053" s="24" t="n">
        <v>0.0617207624018192</v>
      </c>
      <c r="J2053" s="6" t="n">
        <v>71000</v>
      </c>
      <c r="K2053" s="25">
        <f>23*10^-6</f>
        <v/>
      </c>
      <c r="L2053" s="8">
        <f>H2053</f>
        <v/>
      </c>
      <c r="M2053" s="26">
        <f>H2053^2/6</f>
        <v/>
      </c>
      <c r="N2053" s="26">
        <f>H2053^3/12</f>
        <v/>
      </c>
      <c r="O2053" s="27">
        <f>-J2053*L2053*K2053*C2053</f>
        <v/>
      </c>
      <c r="P2053" s="28">
        <f>-(12*F2053*J2053*L2053*N2053+12*O2053*N2053*G2053*COS(RADIANS(E2053)))/(12*N2053*G2053*COS(RADIANS(E2053))^2+L2053*G2053^3*SIN(RADIANS(E2053))^2)</f>
        <v/>
      </c>
      <c r="Q2053" s="28">
        <f>-(6*F2053*J2053*L2053*N2053*SIN(RADIANS(E2053))+6*O2053*N2053*G2053*SIN(RADIANS(E2053))*COS(RADIANS(E2053)))/(12*N2053*COS(RADIANS(E2053))^2+L2053*G2053^2*SIN(RADIANS(E2053))^2)</f>
        <v/>
      </c>
      <c r="R2053" s="28">
        <f>-P2053*SIN(RADIANS(E2053))</f>
        <v/>
      </c>
      <c r="S2053" s="8">
        <f>(O2053+P2053*COS(RADIANS(E2053)))/L2053</f>
        <v/>
      </c>
      <c r="T2053" s="8">
        <f>R2053/L2053</f>
        <v/>
      </c>
      <c r="U2053" s="8">
        <f>(Q2053-P2053*G2053*SIN(RADIANS(E2053)))/M2053</f>
        <v/>
      </c>
      <c r="V2053" s="8">
        <f>SQRT((S2053+U2053)^2+3*T2053^2)</f>
        <v/>
      </c>
      <c r="W2053" s="8">
        <f>V2053/AA2053</f>
        <v/>
      </c>
      <c r="X2053" s="27">
        <f>((3*10+H2053/COS(RADIANS(E2053)))*(3+3)+3*G2053*H2053)*2</f>
        <v/>
      </c>
      <c r="Y2053" s="28">
        <f>Z2053/X2053</f>
        <v/>
      </c>
      <c r="Z2053" s="29" t="n">
        <v>668.296340642548</v>
      </c>
      <c r="AA2053" s="20" t="n">
        <v>43.1173744375804</v>
      </c>
      <c r="AB2053" t="n">
        <v>0.081185678534786</v>
      </c>
      <c r="AC2053" t="n">
        <v>43.23946503835582</v>
      </c>
      <c r="AD2053" t="n">
        <v>31.53706366464631</v>
      </c>
    </row>
    <row r="2054">
      <c r="A2054" t="n">
        <v>2053</v>
      </c>
      <c r="B2054" t="n">
        <v>57.9</v>
      </c>
      <c r="C2054" s="21">
        <f>B2054-20</f>
        <v/>
      </c>
      <c r="D2054" t="n">
        <v>126.4</v>
      </c>
      <c r="E2054" s="22">
        <f>D2054-90</f>
        <v/>
      </c>
      <c r="F2054" s="23" t="n">
        <v>0.010591</v>
      </c>
      <c r="G2054" s="22" t="n">
        <v>23</v>
      </c>
      <c r="H2054" s="22" t="n">
        <v>1.3</v>
      </c>
      <c r="I2054" s="24" t="n">
        <v>0.0481034591794014</v>
      </c>
      <c r="J2054" s="6" t="n">
        <v>71000</v>
      </c>
      <c r="K2054" s="25">
        <f>23*10^-6</f>
        <v/>
      </c>
      <c r="L2054" s="8">
        <f>H2054</f>
        <v/>
      </c>
      <c r="M2054" s="26">
        <f>H2054^2/6</f>
        <v/>
      </c>
      <c r="N2054" s="26">
        <f>H2054^3/12</f>
        <v/>
      </c>
      <c r="O2054" s="27">
        <f>-J2054*L2054*K2054*C2054</f>
        <v/>
      </c>
      <c r="P2054" s="28">
        <f>-(12*F2054*J2054*L2054*N2054+12*O2054*N2054*G2054*COS(RADIANS(E2054)))/(12*N2054*G2054*COS(RADIANS(E2054))^2+L2054*G2054^3*SIN(RADIANS(E2054))^2)</f>
        <v/>
      </c>
      <c r="Q2054" s="28">
        <f>-(6*F2054*J2054*L2054*N2054*SIN(RADIANS(E2054))+6*O2054*N2054*G2054*SIN(RADIANS(E2054))*COS(RADIANS(E2054)))/(12*N2054*COS(RADIANS(E2054))^2+L2054*G2054^2*SIN(RADIANS(E2054))^2)</f>
        <v/>
      </c>
      <c r="R2054" s="28">
        <f>-P2054*SIN(RADIANS(E2054))</f>
        <v/>
      </c>
      <c r="S2054" s="8">
        <f>(O2054+P2054*COS(RADIANS(E2054)))/L2054</f>
        <v/>
      </c>
      <c r="T2054" s="8">
        <f>R2054/L2054</f>
        <v/>
      </c>
      <c r="U2054" s="8">
        <f>(Q2054-P2054*G2054*SIN(RADIANS(E2054)))/M2054</f>
        <v/>
      </c>
      <c r="V2054" s="8">
        <f>SQRT((S2054+U2054)^2+3*T2054^2)</f>
        <v/>
      </c>
      <c r="W2054" s="8">
        <f>V2054/AA2054</f>
        <v/>
      </c>
      <c r="X2054" s="27">
        <f>((3*10+H2054/COS(RADIANS(E2054)))*(3+3)+3*G2054*H2054)*2</f>
        <v/>
      </c>
      <c r="Y2054" s="28">
        <f>Z2054/X2054</f>
        <v/>
      </c>
      <c r="Z2054" s="29" t="n">
        <v>568.0326667370121</v>
      </c>
      <c r="AA2054" s="20" t="n">
        <v>54.634531746498</v>
      </c>
      <c r="AB2054" t="n">
        <v>0.04782391477799277</v>
      </c>
      <c r="AC2054" t="n">
        <v>54.80265080777829</v>
      </c>
      <c r="AD2054" t="n">
        <v>-0.5811315988026349</v>
      </c>
    </row>
    <row r="2055">
      <c r="A2055" t="n">
        <v>2054</v>
      </c>
      <c r="B2055" t="n">
        <v>41.1</v>
      </c>
      <c r="C2055" s="21">
        <f>B2055-20</f>
        <v/>
      </c>
      <c r="D2055" t="n">
        <v>113.9</v>
      </c>
      <c r="E2055" s="22">
        <f>D2055-90</f>
        <v/>
      </c>
      <c r="F2055" s="23" t="n">
        <v>0.005973</v>
      </c>
      <c r="G2055" s="22" t="n">
        <v>20.6</v>
      </c>
      <c r="H2055" s="22" t="n">
        <v>1.9</v>
      </c>
      <c r="I2055" s="24" t="n">
        <v>0.0325829498469829</v>
      </c>
      <c r="J2055" s="6" t="n">
        <v>71000</v>
      </c>
      <c r="K2055" s="25">
        <f>23*10^-6</f>
        <v/>
      </c>
      <c r="L2055" s="8">
        <f>H2055</f>
        <v/>
      </c>
      <c r="M2055" s="26">
        <f>H2055^2/6</f>
        <v/>
      </c>
      <c r="N2055" s="26">
        <f>H2055^3/12</f>
        <v/>
      </c>
      <c r="O2055" s="27">
        <f>-J2055*L2055*K2055*C2055</f>
        <v/>
      </c>
      <c r="P2055" s="28">
        <f>-(12*F2055*J2055*L2055*N2055+12*O2055*N2055*G2055*COS(RADIANS(E2055)))/(12*N2055*G2055*COS(RADIANS(E2055))^2+L2055*G2055^3*SIN(RADIANS(E2055))^2)</f>
        <v/>
      </c>
      <c r="Q2055" s="28">
        <f>-(6*F2055*J2055*L2055*N2055*SIN(RADIANS(E2055))+6*O2055*N2055*G2055*SIN(RADIANS(E2055))*COS(RADIANS(E2055)))/(12*N2055*COS(RADIANS(E2055))^2+L2055*G2055^2*SIN(RADIANS(E2055))^2)</f>
        <v/>
      </c>
      <c r="R2055" s="28">
        <f>-P2055*SIN(RADIANS(E2055))</f>
        <v/>
      </c>
      <c r="S2055" s="8">
        <f>(O2055+P2055*COS(RADIANS(E2055)))/L2055</f>
        <v/>
      </c>
      <c r="T2055" s="8">
        <f>R2055/L2055</f>
        <v/>
      </c>
      <c r="U2055" s="8">
        <f>(Q2055-P2055*G2055*SIN(RADIANS(E2055)))/M2055</f>
        <v/>
      </c>
      <c r="V2055" s="8">
        <f>SQRT((S2055+U2055)^2+3*T2055^2)</f>
        <v/>
      </c>
      <c r="W2055" s="8">
        <f>V2055/AA2055</f>
        <v/>
      </c>
      <c r="X2055" s="27">
        <f>((3*10+H2055/COS(RADIANS(E2055)))*(3+3)+3*G2055*H2055)*2</f>
        <v/>
      </c>
      <c r="Y2055" s="28">
        <f>Z2055/X2055</f>
        <v/>
      </c>
      <c r="Z2055" s="29" t="n">
        <v>625.462907520082</v>
      </c>
      <c r="AA2055" s="20" t="n">
        <v>36.8072469435539</v>
      </c>
      <c r="AB2055" t="n">
        <v>0.03646149553814969</v>
      </c>
      <c r="AC2055" t="n">
        <v>33.80960222173147</v>
      </c>
      <c r="AD2055" t="n">
        <v>11.90360513514381</v>
      </c>
    </row>
    <row r="2056">
      <c r="A2056" t="n">
        <v>2055</v>
      </c>
      <c r="B2056" t="n">
        <v>44.1</v>
      </c>
      <c r="C2056" s="21">
        <f>B2056-20</f>
        <v/>
      </c>
      <c r="D2056" t="n">
        <v>112.2</v>
      </c>
      <c r="E2056" s="22">
        <f>D2056-90</f>
        <v/>
      </c>
      <c r="F2056" s="23" t="n">
        <v>0.009738</v>
      </c>
      <c r="G2056" s="22" t="n">
        <v>31.8</v>
      </c>
      <c r="H2056" s="22" t="n">
        <v>1.5</v>
      </c>
      <c r="I2056" s="24" t="n">
        <v>0.0527278371155262</v>
      </c>
      <c r="J2056" s="6" t="n">
        <v>71000</v>
      </c>
      <c r="K2056" s="25">
        <f>23*10^-6</f>
        <v/>
      </c>
      <c r="L2056" s="8">
        <f>H2056</f>
        <v/>
      </c>
      <c r="M2056" s="26">
        <f>H2056^2/6</f>
        <v/>
      </c>
      <c r="N2056" s="26">
        <f>H2056^3/12</f>
        <v/>
      </c>
      <c r="O2056" s="27">
        <f>-J2056*L2056*K2056*C2056</f>
        <v/>
      </c>
      <c r="P2056" s="28">
        <f>-(12*F2056*J2056*L2056*N2056+12*O2056*N2056*G2056*COS(RADIANS(E2056)))/(12*N2056*G2056*COS(RADIANS(E2056))^2+L2056*G2056^3*SIN(RADIANS(E2056))^2)</f>
        <v/>
      </c>
      <c r="Q2056" s="28">
        <f>-(6*F2056*J2056*L2056*N2056*SIN(RADIANS(E2056))+6*O2056*N2056*G2056*SIN(RADIANS(E2056))*COS(RADIANS(E2056)))/(12*N2056*COS(RADIANS(E2056))^2+L2056*G2056^2*SIN(RADIANS(E2056))^2)</f>
        <v/>
      </c>
      <c r="R2056" s="28">
        <f>-P2056*SIN(RADIANS(E2056))</f>
        <v/>
      </c>
      <c r="S2056" s="8">
        <f>(O2056+P2056*COS(RADIANS(E2056)))/L2056</f>
        <v/>
      </c>
      <c r="T2056" s="8">
        <f>R2056/L2056</f>
        <v/>
      </c>
      <c r="U2056" s="8">
        <f>(Q2056-P2056*G2056*SIN(RADIANS(E2056)))/M2056</f>
        <v/>
      </c>
      <c r="V2056" s="8">
        <f>SQRT((S2056+U2056)^2+3*T2056^2)</f>
        <v/>
      </c>
      <c r="W2056" s="8">
        <f>V2056/AA2056</f>
        <v/>
      </c>
      <c r="X2056" s="27">
        <f>((3*10+H2056/COS(RADIANS(E2056)))*(3+3)+3*G2056*H2056)*2</f>
        <v/>
      </c>
      <c r="Y2056" s="28">
        <f>Z2056/X2056</f>
        <v/>
      </c>
      <c r="Z2056" s="29" t="n">
        <v>670.996340642548</v>
      </c>
      <c r="AA2056" s="20" t="n">
        <v>36.3901999693194</v>
      </c>
      <c r="AB2056" t="n">
        <v>0.06953028352669438</v>
      </c>
      <c r="AC2056" t="n">
        <v>36.66481343779989</v>
      </c>
      <c r="AD2056" t="n">
        <v>31.86636761594104</v>
      </c>
    </row>
    <row r="2057">
      <c r="A2057" t="n">
        <v>2056</v>
      </c>
      <c r="B2057" t="n">
        <v>70</v>
      </c>
      <c r="C2057" s="21">
        <f>B2057-20</f>
        <v/>
      </c>
      <c r="D2057" t="n">
        <v>118.1</v>
      </c>
      <c r="E2057" s="22">
        <f>D2057-90</f>
        <v/>
      </c>
      <c r="F2057" s="23" t="n">
        <v>0.018203</v>
      </c>
      <c r="G2057" s="22" t="n">
        <v>29.4</v>
      </c>
      <c r="H2057" s="22" t="n">
        <v>1.1</v>
      </c>
      <c r="I2057" s="24" t="n">
        <v>0.0875511988997459</v>
      </c>
      <c r="J2057" s="6" t="n">
        <v>71000</v>
      </c>
      <c r="K2057" s="25">
        <f>23*10^-6</f>
        <v/>
      </c>
      <c r="L2057" s="8">
        <f>H2057</f>
        <v/>
      </c>
      <c r="M2057" s="26">
        <f>H2057^2/6</f>
        <v/>
      </c>
      <c r="N2057" s="26">
        <f>H2057^3/12</f>
        <v/>
      </c>
      <c r="O2057" s="27">
        <f>-J2057*L2057*K2057*C2057</f>
        <v/>
      </c>
      <c r="P2057" s="28">
        <f>-(12*F2057*J2057*L2057*N2057+12*O2057*N2057*G2057*COS(RADIANS(E2057)))/(12*N2057*G2057*COS(RADIANS(E2057))^2+L2057*G2057^3*SIN(RADIANS(E2057))^2)</f>
        <v/>
      </c>
      <c r="Q2057" s="28">
        <f>-(6*F2057*J2057*L2057*N2057*SIN(RADIANS(E2057))+6*O2057*N2057*G2057*SIN(RADIANS(E2057))*COS(RADIANS(E2057)))/(12*N2057*COS(RADIANS(E2057))^2+L2057*G2057^2*SIN(RADIANS(E2057))^2)</f>
        <v/>
      </c>
      <c r="R2057" s="28">
        <f>-P2057*SIN(RADIANS(E2057))</f>
        <v/>
      </c>
      <c r="S2057" s="8">
        <f>(O2057+P2057*COS(RADIANS(E2057)))/L2057</f>
        <v/>
      </c>
      <c r="T2057" s="8">
        <f>R2057/L2057</f>
        <v/>
      </c>
      <c r="U2057" s="8">
        <f>(Q2057-P2057*G2057*SIN(RADIANS(E2057)))/M2057</f>
        <v/>
      </c>
      <c r="V2057" s="8">
        <f>SQRT((S2057+U2057)^2+3*T2057^2)</f>
        <v/>
      </c>
      <c r="W2057" s="8">
        <f>V2057/AA2057</f>
        <v/>
      </c>
      <c r="X2057" s="27">
        <f>((3*10+H2057/COS(RADIANS(E2057)))*(3+3)+3*G2057*H2057)*2</f>
        <v/>
      </c>
      <c r="Y2057" s="28">
        <f>Z2057/X2057</f>
        <v/>
      </c>
      <c r="Z2057" s="29" t="n">
        <v>575.644434326588</v>
      </c>
      <c r="AA2057" s="20" t="n">
        <v>68.7599927419397</v>
      </c>
      <c r="AB2057" t="n">
        <v>0.1053074315733291</v>
      </c>
      <c r="AC2057" t="n">
        <v>72.50257743293103</v>
      </c>
      <c r="AD2057" t="n">
        <v>20.28097033133229</v>
      </c>
    </row>
    <row r="2058">
      <c r="A2058" t="n">
        <v>2057</v>
      </c>
      <c r="B2058" t="n">
        <v>79</v>
      </c>
      <c r="C2058" s="21">
        <f>B2058-20</f>
        <v/>
      </c>
      <c r="D2058" t="n">
        <v>117.8</v>
      </c>
      <c r="E2058" s="22">
        <f>D2058-90</f>
        <v/>
      </c>
      <c r="F2058" s="23" t="n">
        <v>0.017244</v>
      </c>
      <c r="G2058" s="22" t="n">
        <v>22.2</v>
      </c>
      <c r="H2058" s="22" t="n">
        <v>1.9</v>
      </c>
      <c r="I2058" s="24" t="n">
        <v>0.0866990163922309</v>
      </c>
      <c r="J2058" s="6" t="n">
        <v>71000</v>
      </c>
      <c r="K2058" s="25">
        <f>23*10^-6</f>
        <v/>
      </c>
      <c r="L2058" s="8">
        <f>H2058</f>
        <v/>
      </c>
      <c r="M2058" s="26">
        <f>H2058^2/6</f>
        <v/>
      </c>
      <c r="N2058" s="26">
        <f>H2058^3/12</f>
        <v/>
      </c>
      <c r="O2058" s="27">
        <f>-J2058*L2058*K2058*C2058</f>
        <v/>
      </c>
      <c r="P2058" s="28">
        <f>-(12*F2058*J2058*L2058*N2058+12*O2058*N2058*G2058*COS(RADIANS(E2058)))/(12*N2058*G2058*COS(RADIANS(E2058))^2+L2058*G2058^3*SIN(RADIANS(E2058))^2)</f>
        <v/>
      </c>
      <c r="Q2058" s="28">
        <f>-(6*F2058*J2058*L2058*N2058*SIN(RADIANS(E2058))+6*O2058*N2058*G2058*SIN(RADIANS(E2058))*COS(RADIANS(E2058)))/(12*N2058*COS(RADIANS(E2058))^2+L2058*G2058^2*SIN(RADIANS(E2058))^2)</f>
        <v/>
      </c>
      <c r="R2058" s="28">
        <f>-P2058*SIN(RADIANS(E2058))</f>
        <v/>
      </c>
      <c r="S2058" s="8">
        <f>(O2058+P2058*COS(RADIANS(E2058)))/L2058</f>
        <v/>
      </c>
      <c r="T2058" s="8">
        <f>R2058/L2058</f>
        <v/>
      </c>
      <c r="U2058" s="8">
        <f>(Q2058-P2058*G2058*SIN(RADIANS(E2058)))/M2058</f>
        <v/>
      </c>
      <c r="V2058" s="8">
        <f>SQRT((S2058+U2058)^2+3*T2058^2)</f>
        <v/>
      </c>
      <c r="W2058" s="8">
        <f>V2058/AA2058</f>
        <v/>
      </c>
      <c r="X2058" s="27">
        <f>((3*10+H2058/COS(RADIANS(E2058)))*(3+3)+3*G2058*H2058)*2</f>
        <v/>
      </c>
      <c r="Y2058" s="28">
        <f>Z2058/X2058</f>
        <v/>
      </c>
      <c r="Z2058" s="29" t="n">
        <v>645.4200351430341</v>
      </c>
      <c r="AA2058" s="20" t="n">
        <v>100.007614882766</v>
      </c>
      <c r="AB2058" t="n">
        <v>0.09456773550225495</v>
      </c>
      <c r="AC2058" t="n">
        <v>91.79775680177366</v>
      </c>
      <c r="AD2058" t="n">
        <v>9.075903553998286</v>
      </c>
    </row>
    <row r="2059">
      <c r="A2059" t="n">
        <v>2058</v>
      </c>
      <c r="B2059" t="n">
        <v>64.7</v>
      </c>
      <c r="C2059" s="21">
        <f>B2059-20</f>
        <v/>
      </c>
      <c r="D2059" t="n">
        <v>115.2</v>
      </c>
      <c r="E2059" s="22">
        <f>D2059-90</f>
        <v/>
      </c>
      <c r="F2059" s="23" t="n">
        <v>0.015783</v>
      </c>
      <c r="G2059" s="22" t="n">
        <v>27.6</v>
      </c>
      <c r="H2059" s="22" t="n">
        <v>1.3</v>
      </c>
      <c r="I2059" s="24" t="n">
        <v>0.0810027867555618</v>
      </c>
      <c r="J2059" s="6" t="n">
        <v>71000</v>
      </c>
      <c r="K2059" s="25">
        <f>23*10^-6</f>
        <v/>
      </c>
      <c r="L2059" s="8">
        <f>H2059</f>
        <v/>
      </c>
      <c r="M2059" s="26">
        <f>H2059^2/6</f>
        <v/>
      </c>
      <c r="N2059" s="26">
        <f>H2059^3/12</f>
        <v/>
      </c>
      <c r="O2059" s="27">
        <f>-J2059*L2059*K2059*C2059</f>
        <v/>
      </c>
      <c r="P2059" s="28">
        <f>-(12*F2059*J2059*L2059*N2059+12*O2059*N2059*G2059*COS(RADIANS(E2059)))/(12*N2059*G2059*COS(RADIANS(E2059))^2+L2059*G2059^3*SIN(RADIANS(E2059))^2)</f>
        <v/>
      </c>
      <c r="Q2059" s="28">
        <f>-(6*F2059*J2059*L2059*N2059*SIN(RADIANS(E2059))+6*O2059*N2059*G2059*SIN(RADIANS(E2059))*COS(RADIANS(E2059)))/(12*N2059*COS(RADIANS(E2059))^2+L2059*G2059^2*SIN(RADIANS(E2059))^2)</f>
        <v/>
      </c>
      <c r="R2059" s="28">
        <f>-P2059*SIN(RADIANS(E2059))</f>
        <v/>
      </c>
      <c r="S2059" s="8">
        <f>(O2059+P2059*COS(RADIANS(E2059)))/L2059</f>
        <v/>
      </c>
      <c r="T2059" s="8">
        <f>R2059/L2059</f>
        <v/>
      </c>
      <c r="U2059" s="8">
        <f>(Q2059-P2059*G2059*SIN(RADIANS(E2059)))/M2059</f>
        <v/>
      </c>
      <c r="V2059" s="8">
        <f>SQRT((S2059+U2059)^2+3*T2059^2)</f>
        <v/>
      </c>
      <c r="W2059" s="8">
        <f>V2059/AA2059</f>
        <v/>
      </c>
      <c r="X2059" s="27">
        <f>((3*10+H2059/COS(RADIANS(E2059)))*(3+3)+3*G2059*H2059)*2</f>
        <v/>
      </c>
      <c r="Y2059" s="28">
        <f>Z2059/X2059</f>
        <v/>
      </c>
      <c r="Z2059" s="29" t="n">
        <v>598.478899104394</v>
      </c>
      <c r="AA2059" s="20" t="n">
        <v>64.9517718891142</v>
      </c>
      <c r="AB2059" t="n">
        <v>0.09911763491023627</v>
      </c>
      <c r="AC2059" t="n">
        <v>66.68513358235704</v>
      </c>
      <c r="AD2059" t="n">
        <v>22.36324067385332</v>
      </c>
    </row>
    <row r="2060">
      <c r="A2060" t="n">
        <v>2059</v>
      </c>
      <c r="B2060" t="n">
        <v>41.5</v>
      </c>
      <c r="C2060" s="21">
        <f>B2060-20</f>
        <v/>
      </c>
      <c r="D2060" t="n">
        <v>114.3</v>
      </c>
      <c r="E2060" s="22">
        <f>D2060-90</f>
        <v/>
      </c>
      <c r="F2060" s="23" t="n">
        <v>0.007591</v>
      </c>
      <c r="G2060" s="22" t="n">
        <v>27.4</v>
      </c>
      <c r="H2060" s="22" t="n">
        <v>1.3</v>
      </c>
      <c r="I2060" s="24" t="n">
        <v>0.0397888273000717</v>
      </c>
      <c r="J2060" s="6" t="n">
        <v>71000</v>
      </c>
      <c r="K2060" s="25">
        <f>23*10^-6</f>
        <v/>
      </c>
      <c r="L2060" s="8">
        <f>H2060</f>
        <v/>
      </c>
      <c r="M2060" s="26">
        <f>H2060^2/6</f>
        <v/>
      </c>
      <c r="N2060" s="26">
        <f>H2060^3/12</f>
        <v/>
      </c>
      <c r="O2060" s="27">
        <f>-J2060*L2060*K2060*C2060</f>
        <v/>
      </c>
      <c r="P2060" s="28">
        <f>-(12*F2060*J2060*L2060*N2060+12*O2060*N2060*G2060*COS(RADIANS(E2060)))/(12*N2060*G2060*COS(RADIANS(E2060))^2+L2060*G2060^3*SIN(RADIANS(E2060))^2)</f>
        <v/>
      </c>
      <c r="Q2060" s="28">
        <f>-(6*F2060*J2060*L2060*N2060*SIN(RADIANS(E2060))+6*O2060*N2060*G2060*SIN(RADIANS(E2060))*COS(RADIANS(E2060)))/(12*N2060*COS(RADIANS(E2060))^2+L2060*G2060^2*SIN(RADIANS(E2060))^2)</f>
        <v/>
      </c>
      <c r="R2060" s="28">
        <f>-P2060*SIN(RADIANS(E2060))</f>
        <v/>
      </c>
      <c r="S2060" s="8">
        <f>(O2060+P2060*COS(RADIANS(E2060)))/L2060</f>
        <v/>
      </c>
      <c r="T2060" s="8">
        <f>R2060/L2060</f>
        <v/>
      </c>
      <c r="U2060" s="8">
        <f>(Q2060-P2060*G2060*SIN(RADIANS(E2060)))/M2060</f>
        <v/>
      </c>
      <c r="V2060" s="8">
        <f>SQRT((S2060+U2060)^2+3*T2060^2)</f>
        <v/>
      </c>
      <c r="W2060" s="8">
        <f>V2060/AA2060</f>
        <v/>
      </c>
      <c r="X2060" s="27">
        <f>((3*10+H2060/COS(RADIANS(E2060)))*(3+3)+3*G2060*H2060)*2</f>
        <v/>
      </c>
      <c r="Y2060" s="28">
        <f>Z2060/X2060</f>
        <v/>
      </c>
      <c r="Z2060" s="29" t="n">
        <v>596.60311109717</v>
      </c>
      <c r="AA2060" s="20" t="n">
        <v>31.4852047291455</v>
      </c>
      <c r="AB2060" t="n">
        <v>0.04915779840984784</v>
      </c>
      <c r="AC2060" t="n">
        <v>32.22452684359144</v>
      </c>
      <c r="AD2060" t="n">
        <v>23.54673848293904</v>
      </c>
    </row>
    <row r="2061">
      <c r="A2061" t="n">
        <v>2060</v>
      </c>
      <c r="B2061" t="n">
        <v>56.9</v>
      </c>
      <c r="C2061" s="21">
        <f>B2061-20</f>
        <v/>
      </c>
      <c r="D2061" t="n">
        <v>108.3</v>
      </c>
      <c r="E2061" s="22">
        <f>D2061-90</f>
        <v/>
      </c>
      <c r="F2061" s="23" t="n">
        <v>0.014386</v>
      </c>
      <c r="G2061" s="22" t="n">
        <v>29.7</v>
      </c>
      <c r="H2061" s="22" t="n">
        <v>1.1</v>
      </c>
      <c r="I2061" s="24" t="n">
        <v>0.08938084542751309</v>
      </c>
      <c r="J2061" s="6" t="n">
        <v>71000</v>
      </c>
      <c r="K2061" s="25">
        <f>23*10^-6</f>
        <v/>
      </c>
      <c r="L2061" s="8">
        <f>H2061</f>
        <v/>
      </c>
      <c r="M2061" s="26">
        <f>H2061^2/6</f>
        <v/>
      </c>
      <c r="N2061" s="26">
        <f>H2061^3/12</f>
        <v/>
      </c>
      <c r="O2061" s="27">
        <f>-J2061*L2061*K2061*C2061</f>
        <v/>
      </c>
      <c r="P2061" s="28">
        <f>-(12*F2061*J2061*L2061*N2061+12*O2061*N2061*G2061*COS(RADIANS(E2061)))/(12*N2061*G2061*COS(RADIANS(E2061))^2+L2061*G2061^3*SIN(RADIANS(E2061))^2)</f>
        <v/>
      </c>
      <c r="Q2061" s="28">
        <f>-(6*F2061*J2061*L2061*N2061*SIN(RADIANS(E2061))+6*O2061*N2061*G2061*SIN(RADIANS(E2061))*COS(RADIANS(E2061)))/(12*N2061*COS(RADIANS(E2061))^2+L2061*G2061^2*SIN(RADIANS(E2061))^2)</f>
        <v/>
      </c>
      <c r="R2061" s="28">
        <f>-P2061*SIN(RADIANS(E2061))</f>
        <v/>
      </c>
      <c r="S2061" s="8">
        <f>(O2061+P2061*COS(RADIANS(E2061)))/L2061</f>
        <v/>
      </c>
      <c r="T2061" s="8">
        <f>R2061/L2061</f>
        <v/>
      </c>
      <c r="U2061" s="8">
        <f>(Q2061-P2061*G2061*SIN(RADIANS(E2061)))/M2061</f>
        <v/>
      </c>
      <c r="V2061" s="8">
        <f>SQRT((S2061+U2061)^2+3*T2061^2)</f>
        <v/>
      </c>
      <c r="W2061" s="8">
        <f>V2061/AA2061</f>
        <v/>
      </c>
      <c r="X2061" s="27">
        <f>((3*10+H2061/COS(RADIANS(E2061)))*(3+3)+3*G2061*H2061)*2</f>
        <v/>
      </c>
      <c r="Y2061" s="28">
        <f>Z2061/X2061</f>
        <v/>
      </c>
      <c r="Z2061" s="29" t="n">
        <v>574.635219595747</v>
      </c>
      <c r="AA2061" s="20" t="n">
        <v>52.3786136296295</v>
      </c>
      <c r="AB2061" t="n">
        <v>0.1221833533285112</v>
      </c>
      <c r="AC2061" t="n">
        <v>55.87598915172405</v>
      </c>
      <c r="AD2061" t="n">
        <v>36.6997064573534</v>
      </c>
    </row>
    <row r="2062">
      <c r="A2062" t="n">
        <v>2061</v>
      </c>
      <c r="B2062" t="n">
        <v>84.2</v>
      </c>
      <c r="C2062" s="21">
        <f>B2062-20</f>
        <v/>
      </c>
      <c r="D2062" t="n">
        <v>104.9</v>
      </c>
      <c r="E2062" s="22">
        <f>D2062-90</f>
        <v/>
      </c>
      <c r="F2062" s="23" t="n">
        <v>0.026741</v>
      </c>
      <c r="G2062" s="22" t="n">
        <v>31.6</v>
      </c>
      <c r="H2062" s="22" t="n">
        <v>1.5</v>
      </c>
      <c r="I2062" s="24" t="n">
        <v>0.189824998378753</v>
      </c>
      <c r="J2062" s="6" t="n">
        <v>71000</v>
      </c>
      <c r="K2062" s="25">
        <f>23*10^-6</f>
        <v/>
      </c>
      <c r="L2062" s="8">
        <f>H2062</f>
        <v/>
      </c>
      <c r="M2062" s="26">
        <f>H2062^2/6</f>
        <v/>
      </c>
      <c r="N2062" s="26">
        <f>H2062^3/12</f>
        <v/>
      </c>
      <c r="O2062" s="27">
        <f>-J2062*L2062*K2062*C2062</f>
        <v/>
      </c>
      <c r="P2062" s="28">
        <f>-(12*F2062*J2062*L2062*N2062+12*O2062*N2062*G2062*COS(RADIANS(E2062)))/(12*N2062*G2062*COS(RADIANS(E2062))^2+L2062*G2062^3*SIN(RADIANS(E2062))^2)</f>
        <v/>
      </c>
      <c r="Q2062" s="28">
        <f>-(6*F2062*J2062*L2062*N2062*SIN(RADIANS(E2062))+6*O2062*N2062*G2062*SIN(RADIANS(E2062))*COS(RADIANS(E2062)))/(12*N2062*COS(RADIANS(E2062))^2+L2062*G2062^2*SIN(RADIANS(E2062))^2)</f>
        <v/>
      </c>
      <c r="R2062" s="28">
        <f>-P2062*SIN(RADIANS(E2062))</f>
        <v/>
      </c>
      <c r="S2062" s="8">
        <f>(O2062+P2062*COS(RADIANS(E2062)))/L2062</f>
        <v/>
      </c>
      <c r="T2062" s="8">
        <f>R2062/L2062</f>
        <v/>
      </c>
      <c r="U2062" s="8">
        <f>(Q2062-P2062*G2062*SIN(RADIANS(E2062)))/M2062</f>
        <v/>
      </c>
      <c r="V2062" s="8">
        <f>SQRT((S2062+U2062)^2+3*T2062^2)</f>
        <v/>
      </c>
      <c r="W2062" s="8">
        <f>V2062/AA2062</f>
        <v/>
      </c>
      <c r="X2062" s="27">
        <f>((3*10+H2062/COS(RADIANS(E2062)))*(3+3)+3*G2062*H2062)*2</f>
        <v/>
      </c>
      <c r="Y2062" s="28">
        <f>Z2062/X2062</f>
        <v/>
      </c>
      <c r="Z2062" s="29" t="n">
        <v>667.294970056962</v>
      </c>
      <c r="AA2062" s="20" t="n">
        <v>100.683210387989</v>
      </c>
      <c r="AB2062" t="n">
        <v>0.2730485356472588</v>
      </c>
      <c r="AC2062" t="n">
        <v>103.3488549802574</v>
      </c>
      <c r="AD2062" t="n">
        <v>43.84224310775548</v>
      </c>
    </row>
    <row r="2063">
      <c r="A2063" t="n">
        <v>2062</v>
      </c>
      <c r="B2063" t="n">
        <v>45</v>
      </c>
      <c r="C2063" s="21">
        <f>B2063-20</f>
        <v/>
      </c>
      <c r="D2063" t="n">
        <v>119.8</v>
      </c>
      <c r="E2063" s="22">
        <f>D2063-90</f>
        <v/>
      </c>
      <c r="F2063" s="23" t="n">
        <v>0.009723000000000001</v>
      </c>
      <c r="G2063" s="22" t="n">
        <v>32.4</v>
      </c>
      <c r="H2063" s="22" t="n">
        <v>1.9</v>
      </c>
      <c r="I2063" s="24" t="n">
        <v>0.0449757911264896</v>
      </c>
      <c r="J2063" s="6" t="n">
        <v>71000</v>
      </c>
      <c r="K2063" s="25">
        <f>23*10^-6</f>
        <v/>
      </c>
      <c r="L2063" s="8">
        <f>H2063</f>
        <v/>
      </c>
      <c r="M2063" s="26">
        <f>H2063^2/6</f>
        <v/>
      </c>
      <c r="N2063" s="26">
        <f>H2063^3/12</f>
        <v/>
      </c>
      <c r="O2063" s="27">
        <f>-J2063*L2063*K2063*C2063</f>
        <v/>
      </c>
      <c r="P2063" s="28">
        <f>-(12*F2063*J2063*L2063*N2063+12*O2063*N2063*G2063*COS(RADIANS(E2063)))/(12*N2063*G2063*COS(RADIANS(E2063))^2+L2063*G2063^3*SIN(RADIANS(E2063))^2)</f>
        <v/>
      </c>
      <c r="Q2063" s="28">
        <f>-(6*F2063*J2063*L2063*N2063*SIN(RADIANS(E2063))+6*O2063*N2063*G2063*SIN(RADIANS(E2063))*COS(RADIANS(E2063)))/(12*N2063*COS(RADIANS(E2063))^2+L2063*G2063^2*SIN(RADIANS(E2063))^2)</f>
        <v/>
      </c>
      <c r="R2063" s="28">
        <f>-P2063*SIN(RADIANS(E2063))</f>
        <v/>
      </c>
      <c r="S2063" s="8">
        <f>(O2063+P2063*COS(RADIANS(E2063)))/L2063</f>
        <v/>
      </c>
      <c r="T2063" s="8">
        <f>R2063/L2063</f>
        <v/>
      </c>
      <c r="U2063" s="8">
        <f>(Q2063-P2063*G2063*SIN(RADIANS(E2063)))/M2063</f>
        <v/>
      </c>
      <c r="V2063" s="8">
        <f>SQRT((S2063+U2063)^2+3*T2063^2)</f>
        <v/>
      </c>
      <c r="W2063" s="8">
        <f>V2063/AA2063</f>
        <v/>
      </c>
      <c r="X2063" s="27">
        <f>((3*10+H2063/COS(RADIANS(E2063)))*(3+3)+3*G2063*H2063)*2</f>
        <v/>
      </c>
      <c r="Y2063" s="28">
        <f>Z2063/X2063</f>
        <v/>
      </c>
      <c r="Z2063" s="29" t="n">
        <v>762.725253211305</v>
      </c>
      <c r="AA2063" s="20" t="n">
        <v>39.6076663004664</v>
      </c>
      <c r="AB2063" t="n">
        <v>0.05384120484362179</v>
      </c>
      <c r="AC2063" t="n">
        <v>37.50788766731985</v>
      </c>
      <c r="AD2063" t="n">
        <v>19.71152367770288</v>
      </c>
    </row>
    <row r="2064">
      <c r="A2064" t="n">
        <v>2063</v>
      </c>
      <c r="B2064" t="n">
        <v>79.90000000000001</v>
      </c>
      <c r="C2064" s="21">
        <f>B2064-20</f>
        <v/>
      </c>
      <c r="D2064" t="n">
        <v>125.1</v>
      </c>
      <c r="E2064" s="22">
        <f>D2064-90</f>
        <v/>
      </c>
      <c r="F2064" s="23" t="n">
        <v>0.020075</v>
      </c>
      <c r="G2064" s="22" t="n">
        <v>28.6</v>
      </c>
      <c r="H2064" s="22" t="n">
        <v>1.9</v>
      </c>
      <c r="I2064" s="24" t="n">
        <v>0.08924124389886851</v>
      </c>
      <c r="J2064" s="6" t="n">
        <v>71000</v>
      </c>
      <c r="K2064" s="25">
        <f>23*10^-6</f>
        <v/>
      </c>
      <c r="L2064" s="8">
        <f>H2064</f>
        <v/>
      </c>
      <c r="M2064" s="26">
        <f>H2064^2/6</f>
        <v/>
      </c>
      <c r="N2064" s="26">
        <f>H2064^3/12</f>
        <v/>
      </c>
      <c r="O2064" s="27">
        <f>-J2064*L2064*K2064*C2064</f>
        <v/>
      </c>
      <c r="P2064" s="28">
        <f>-(12*F2064*J2064*L2064*N2064+12*O2064*N2064*G2064*COS(RADIANS(E2064)))/(12*N2064*G2064*COS(RADIANS(E2064))^2+L2064*G2064^3*SIN(RADIANS(E2064))^2)</f>
        <v/>
      </c>
      <c r="Q2064" s="28">
        <f>-(6*F2064*J2064*L2064*N2064*SIN(RADIANS(E2064))+6*O2064*N2064*G2064*SIN(RADIANS(E2064))*COS(RADIANS(E2064)))/(12*N2064*COS(RADIANS(E2064))^2+L2064*G2064^2*SIN(RADIANS(E2064))^2)</f>
        <v/>
      </c>
      <c r="R2064" s="28">
        <f>-P2064*SIN(RADIANS(E2064))</f>
        <v/>
      </c>
      <c r="S2064" s="8">
        <f>(O2064+P2064*COS(RADIANS(E2064)))/L2064</f>
        <v/>
      </c>
      <c r="T2064" s="8">
        <f>R2064/L2064</f>
        <v/>
      </c>
      <c r="U2064" s="8">
        <f>(Q2064-P2064*G2064*SIN(RADIANS(E2064)))/M2064</f>
        <v/>
      </c>
      <c r="V2064" s="8">
        <f>SQRT((S2064+U2064)^2+3*T2064^2)</f>
        <v/>
      </c>
      <c r="W2064" s="8">
        <f>V2064/AA2064</f>
        <v/>
      </c>
      <c r="X2064" s="27">
        <f>((3*10+H2064/COS(RADIANS(E2064)))*(3+3)+3*G2064*H2064)*2</f>
        <v/>
      </c>
      <c r="Y2064" s="28">
        <f>Z2064/X2064</f>
        <v/>
      </c>
      <c r="Z2064" s="29" t="n">
        <v>722.6758736732691</v>
      </c>
      <c r="AA2064" s="20" t="n">
        <v>94.97373892353539</v>
      </c>
      <c r="AB2064" t="n">
        <v>0.09610469274425189</v>
      </c>
      <c r="AC2064" t="n">
        <v>88.71536974105102</v>
      </c>
      <c r="AD2064" t="n">
        <v>7.690893297230704</v>
      </c>
    </row>
    <row r="2065">
      <c r="A2065" t="n">
        <v>2064</v>
      </c>
      <c r="B2065" t="n">
        <v>81</v>
      </c>
      <c r="C2065" s="21">
        <f>B2065-20</f>
        <v/>
      </c>
      <c r="D2065" t="n">
        <v>116.7</v>
      </c>
      <c r="E2065" s="22">
        <f>D2065-90</f>
        <v/>
      </c>
      <c r="F2065" s="23" t="n">
        <v>0.018275</v>
      </c>
      <c r="G2065" s="22" t="n">
        <v>22.7</v>
      </c>
      <c r="H2065" s="22" t="n">
        <v>2</v>
      </c>
      <c r="I2065" s="24" t="n">
        <v>0.0932039767503738</v>
      </c>
      <c r="J2065" s="6" t="n">
        <v>71000</v>
      </c>
      <c r="K2065" s="25">
        <f>23*10^-6</f>
        <v/>
      </c>
      <c r="L2065" s="8">
        <f>H2065</f>
        <v/>
      </c>
      <c r="M2065" s="26">
        <f>H2065^2/6</f>
        <v/>
      </c>
      <c r="N2065" s="26">
        <f>H2065^3/12</f>
        <v/>
      </c>
      <c r="O2065" s="27">
        <f>-J2065*L2065*K2065*C2065</f>
        <v/>
      </c>
      <c r="P2065" s="28">
        <f>-(12*F2065*J2065*L2065*N2065+12*O2065*N2065*G2065*COS(RADIANS(E2065)))/(12*N2065*G2065*COS(RADIANS(E2065))^2+L2065*G2065^3*SIN(RADIANS(E2065))^2)</f>
        <v/>
      </c>
      <c r="Q2065" s="28">
        <f>-(6*F2065*J2065*L2065*N2065*SIN(RADIANS(E2065))+6*O2065*N2065*G2065*SIN(RADIANS(E2065))*COS(RADIANS(E2065)))/(12*N2065*COS(RADIANS(E2065))^2+L2065*G2065^2*SIN(RADIANS(E2065))^2)</f>
        <v/>
      </c>
      <c r="R2065" s="28">
        <f>-P2065*SIN(RADIANS(E2065))</f>
        <v/>
      </c>
      <c r="S2065" s="8">
        <f>(O2065+P2065*COS(RADIANS(E2065)))/L2065</f>
        <v/>
      </c>
      <c r="T2065" s="8">
        <f>R2065/L2065</f>
        <v/>
      </c>
      <c r="U2065" s="8">
        <f>(Q2065-P2065*G2065*SIN(RADIANS(E2065)))/M2065</f>
        <v/>
      </c>
      <c r="V2065" s="8">
        <f>SQRT((S2065+U2065)^2+3*T2065^2)</f>
        <v/>
      </c>
      <c r="W2065" s="8">
        <f>V2065/AA2065</f>
        <v/>
      </c>
      <c r="X2065" s="27">
        <f>((3*10+H2065/COS(RADIANS(E2065)))*(3+3)+3*G2065*H2065)*2</f>
        <v/>
      </c>
      <c r="Y2065" s="28">
        <f>Z2065/X2065</f>
        <v/>
      </c>
      <c r="Z2065" s="29" t="n">
        <v>665.562683871976</v>
      </c>
      <c r="AA2065" s="20" t="n">
        <v>105.184331567378</v>
      </c>
      <c r="AB2065" t="n">
        <v>0.1037502847622785</v>
      </c>
      <c r="AC2065" t="n">
        <v>96.00393209958116</v>
      </c>
      <c r="AD2065" t="n">
        <v>11.31529831624102</v>
      </c>
    </row>
    <row r="2066">
      <c r="A2066" t="n">
        <v>2065</v>
      </c>
      <c r="B2066" t="n">
        <v>68.59999999999999</v>
      </c>
      <c r="C2066" s="21">
        <f>B2066-20</f>
        <v/>
      </c>
      <c r="D2066" t="n">
        <v>127.9</v>
      </c>
      <c r="E2066" s="22">
        <f>D2066-90</f>
        <v/>
      </c>
      <c r="F2066" s="23" t="n">
        <v>0.015084</v>
      </c>
      <c r="G2066" s="22" t="n">
        <v>26.9</v>
      </c>
      <c r="H2066" s="22" t="n">
        <v>1.3</v>
      </c>
      <c r="I2066" s="24" t="n">
        <v>0.0662913843989372</v>
      </c>
      <c r="J2066" s="6" t="n">
        <v>71000</v>
      </c>
      <c r="K2066" s="25">
        <f>23*10^-6</f>
        <v/>
      </c>
      <c r="L2066" s="8">
        <f>H2066</f>
        <v/>
      </c>
      <c r="M2066" s="26">
        <f>H2066^2/6</f>
        <v/>
      </c>
      <c r="N2066" s="26">
        <f>H2066^3/12</f>
        <v/>
      </c>
      <c r="O2066" s="27">
        <f>-J2066*L2066*K2066*C2066</f>
        <v/>
      </c>
      <c r="P2066" s="28">
        <f>-(12*F2066*J2066*L2066*N2066+12*O2066*N2066*G2066*COS(RADIANS(E2066)))/(12*N2066*G2066*COS(RADIANS(E2066))^2+L2066*G2066^3*SIN(RADIANS(E2066))^2)</f>
        <v/>
      </c>
      <c r="Q2066" s="28">
        <f>-(6*F2066*J2066*L2066*N2066*SIN(RADIANS(E2066))+6*O2066*N2066*G2066*SIN(RADIANS(E2066))*COS(RADIANS(E2066)))/(12*N2066*COS(RADIANS(E2066))^2+L2066*G2066^2*SIN(RADIANS(E2066))^2)</f>
        <v/>
      </c>
      <c r="R2066" s="28">
        <f>-P2066*SIN(RADIANS(E2066))</f>
        <v/>
      </c>
      <c r="S2066" s="8">
        <f>(O2066+P2066*COS(RADIANS(E2066)))/L2066</f>
        <v/>
      </c>
      <c r="T2066" s="8">
        <f>R2066/L2066</f>
        <v/>
      </c>
      <c r="U2066" s="8">
        <f>(Q2066-P2066*G2066*SIN(RADIANS(E2066)))/M2066</f>
        <v/>
      </c>
      <c r="V2066" s="8">
        <f>SQRT((S2066+U2066)^2+3*T2066^2)</f>
        <v/>
      </c>
      <c r="W2066" s="8">
        <f>V2066/AA2066</f>
        <v/>
      </c>
      <c r="X2066" s="27">
        <f>((3*10+H2066/COS(RADIANS(E2066)))*(3+3)+3*G2066*H2066)*2</f>
        <v/>
      </c>
      <c r="Y2066" s="28">
        <f>Z2066/X2066</f>
        <v/>
      </c>
      <c r="Z2066" s="29" t="n">
        <v>599.4383951933251</v>
      </c>
      <c r="AA2066" s="20" t="n">
        <v>67.4279111284509</v>
      </c>
      <c r="AB2066" t="n">
        <v>0.06801878259728429</v>
      </c>
      <c r="AC2066" t="n">
        <v>69.59550735022495</v>
      </c>
      <c r="AD2066" t="n">
        <v>2.605765762790116</v>
      </c>
    </row>
    <row r="2067">
      <c r="A2067" t="n">
        <v>2066</v>
      </c>
      <c r="B2067" t="n">
        <v>66.09999999999999</v>
      </c>
      <c r="C2067" s="21">
        <f>B2067-20</f>
        <v/>
      </c>
      <c r="D2067" t="n">
        <v>109.8</v>
      </c>
      <c r="E2067" s="22">
        <f>D2067-90</f>
        <v/>
      </c>
      <c r="F2067" s="23" t="n">
        <v>0.017493</v>
      </c>
      <c r="G2067" s="22" t="n">
        <v>29</v>
      </c>
      <c r="H2067" s="22" t="n">
        <v>1.5</v>
      </c>
      <c r="I2067" s="24" t="n">
        <v>0.102887868881225</v>
      </c>
      <c r="J2067" s="6" t="n">
        <v>71000</v>
      </c>
      <c r="K2067" s="25">
        <f>23*10^-6</f>
        <v/>
      </c>
      <c r="L2067" s="8">
        <f>H2067</f>
        <v/>
      </c>
      <c r="M2067" s="26">
        <f>H2067^2/6</f>
        <v/>
      </c>
      <c r="N2067" s="26">
        <f>H2067^3/12</f>
        <v/>
      </c>
      <c r="O2067" s="27">
        <f>-J2067*L2067*K2067*C2067</f>
        <v/>
      </c>
      <c r="P2067" s="28">
        <f>-(12*F2067*J2067*L2067*N2067+12*O2067*N2067*G2067*COS(RADIANS(E2067)))/(12*N2067*G2067*COS(RADIANS(E2067))^2+L2067*G2067^3*SIN(RADIANS(E2067))^2)</f>
        <v/>
      </c>
      <c r="Q2067" s="28">
        <f>-(6*F2067*J2067*L2067*N2067*SIN(RADIANS(E2067))+6*O2067*N2067*G2067*SIN(RADIANS(E2067))*COS(RADIANS(E2067)))/(12*N2067*COS(RADIANS(E2067))^2+L2067*G2067^2*SIN(RADIANS(E2067))^2)</f>
        <v/>
      </c>
      <c r="R2067" s="28">
        <f>-P2067*SIN(RADIANS(E2067))</f>
        <v/>
      </c>
      <c r="S2067" s="8">
        <f>(O2067+P2067*COS(RADIANS(E2067)))/L2067</f>
        <v/>
      </c>
      <c r="T2067" s="8">
        <f>R2067/L2067</f>
        <v/>
      </c>
      <c r="U2067" s="8">
        <f>(Q2067-P2067*G2067*SIN(RADIANS(E2067)))/M2067</f>
        <v/>
      </c>
      <c r="V2067" s="8">
        <f>SQRT((S2067+U2067)^2+3*T2067^2)</f>
        <v/>
      </c>
      <c r="W2067" s="8">
        <f>V2067/AA2067</f>
        <v/>
      </c>
      <c r="X2067" s="27">
        <f>((3*10+H2067/COS(RADIANS(E2067)))*(3+3)+3*G2067*H2067)*2</f>
        <v/>
      </c>
      <c r="Y2067" s="28">
        <f>Z2067/X2067</f>
        <v/>
      </c>
      <c r="Z2067" s="29" t="n">
        <v>645.072654207757</v>
      </c>
      <c r="AA2067" s="20" t="n">
        <v>71.0254561939032</v>
      </c>
      <c r="AB2067" t="n">
        <v>0.1364169046212755</v>
      </c>
      <c r="AC2067" t="n">
        <v>71.76098430043407</v>
      </c>
      <c r="AD2067" t="n">
        <v>32.58793879651335</v>
      </c>
    </row>
    <row r="2068">
      <c r="A2068" t="n">
        <v>2067</v>
      </c>
      <c r="B2068" t="n">
        <v>89.3</v>
      </c>
      <c r="C2068" s="21">
        <f>B2068-20</f>
        <v/>
      </c>
      <c r="D2068" t="n">
        <v>126</v>
      </c>
      <c r="E2068" s="22">
        <f>D2068-90</f>
        <v/>
      </c>
      <c r="F2068" s="23" t="n">
        <v>0.018354</v>
      </c>
      <c r="G2068" s="22" t="n">
        <v>21.3</v>
      </c>
      <c r="H2068" s="22" t="n">
        <v>1.1</v>
      </c>
      <c r="I2068" s="24" t="n">
        <v>0.0845577865839004</v>
      </c>
      <c r="J2068" s="6" t="n">
        <v>71000</v>
      </c>
      <c r="K2068" s="25">
        <f>23*10^-6</f>
        <v/>
      </c>
      <c r="L2068" s="8">
        <f>H2068</f>
        <v/>
      </c>
      <c r="M2068" s="26">
        <f>H2068^2/6</f>
        <v/>
      </c>
      <c r="N2068" s="26">
        <f>H2068^3/12</f>
        <v/>
      </c>
      <c r="O2068" s="27">
        <f>-J2068*L2068*K2068*C2068</f>
        <v/>
      </c>
      <c r="P2068" s="28">
        <f>-(12*F2068*J2068*L2068*N2068+12*O2068*N2068*G2068*COS(RADIANS(E2068)))/(12*N2068*G2068*COS(RADIANS(E2068))^2+L2068*G2068^3*SIN(RADIANS(E2068))^2)</f>
        <v/>
      </c>
      <c r="Q2068" s="28">
        <f>-(6*F2068*J2068*L2068*N2068*SIN(RADIANS(E2068))+6*O2068*N2068*G2068*SIN(RADIANS(E2068))*COS(RADIANS(E2068)))/(12*N2068*COS(RADIANS(E2068))^2+L2068*G2068^2*SIN(RADIANS(E2068))^2)</f>
        <v/>
      </c>
      <c r="R2068" s="28">
        <f>-P2068*SIN(RADIANS(E2068))</f>
        <v/>
      </c>
      <c r="S2068" s="8">
        <f>(O2068+P2068*COS(RADIANS(E2068)))/L2068</f>
        <v/>
      </c>
      <c r="T2068" s="8">
        <f>R2068/L2068</f>
        <v/>
      </c>
      <c r="U2068" s="8">
        <f>(Q2068-P2068*G2068*SIN(RADIANS(E2068)))/M2068</f>
        <v/>
      </c>
      <c r="V2068" s="8">
        <f>SQRT((S2068+U2068)^2+3*T2068^2)</f>
        <v/>
      </c>
      <c r="W2068" s="8">
        <f>V2068/AA2068</f>
        <v/>
      </c>
      <c r="X2068" s="27">
        <f>((3*10+H2068/COS(RADIANS(E2068)))*(3+3)+3*G2068*H2068)*2</f>
        <v/>
      </c>
      <c r="Y2068" s="28">
        <f>Z2068/X2068</f>
        <v/>
      </c>
      <c r="Z2068" s="29" t="n">
        <v>525.995358148633</v>
      </c>
      <c r="AA2068" s="20" t="n">
        <v>96.61835652401869</v>
      </c>
      <c r="AB2068" t="n">
        <v>0.08253675010204942</v>
      </c>
      <c r="AC2068" t="n">
        <v>99.47511483908515</v>
      </c>
      <c r="AD2068" t="n">
        <v>-2.390124627784167</v>
      </c>
    </row>
    <row r="2069">
      <c r="A2069" t="n">
        <v>2068</v>
      </c>
      <c r="B2069" t="n">
        <v>78.3</v>
      </c>
      <c r="C2069" s="21">
        <f>B2069-20</f>
        <v/>
      </c>
      <c r="D2069" t="n">
        <v>111</v>
      </c>
      <c r="E2069" s="22">
        <f>D2069-90</f>
        <v/>
      </c>
      <c r="F2069" s="23" t="n">
        <v>0.021733</v>
      </c>
      <c r="G2069" s="22" t="n">
        <v>28.6</v>
      </c>
      <c r="H2069" s="22" t="n">
        <v>1.7</v>
      </c>
      <c r="I2069" s="24" t="n">
        <v>0.123070627450943</v>
      </c>
      <c r="J2069" s="6" t="n">
        <v>71000</v>
      </c>
      <c r="K2069" s="25">
        <f>23*10^-6</f>
        <v/>
      </c>
      <c r="L2069" s="8">
        <f>H2069</f>
        <v/>
      </c>
      <c r="M2069" s="26">
        <f>H2069^2/6</f>
        <v/>
      </c>
      <c r="N2069" s="26">
        <f>H2069^3/12</f>
        <v/>
      </c>
      <c r="O2069" s="27">
        <f>-J2069*L2069*K2069*C2069</f>
        <v/>
      </c>
      <c r="P2069" s="28">
        <f>-(12*F2069*J2069*L2069*N2069+12*O2069*N2069*G2069*COS(RADIANS(E2069)))/(12*N2069*G2069*COS(RADIANS(E2069))^2+L2069*G2069^3*SIN(RADIANS(E2069))^2)</f>
        <v/>
      </c>
      <c r="Q2069" s="28">
        <f>-(6*F2069*J2069*L2069*N2069*SIN(RADIANS(E2069))+6*O2069*N2069*G2069*SIN(RADIANS(E2069))*COS(RADIANS(E2069)))/(12*N2069*COS(RADIANS(E2069))^2+L2069*G2069^2*SIN(RADIANS(E2069))^2)</f>
        <v/>
      </c>
      <c r="R2069" s="28">
        <f>-P2069*SIN(RADIANS(E2069))</f>
        <v/>
      </c>
      <c r="S2069" s="8">
        <f>(O2069+P2069*COS(RADIANS(E2069)))/L2069</f>
        <v/>
      </c>
      <c r="T2069" s="8">
        <f>R2069/L2069</f>
        <v/>
      </c>
      <c r="U2069" s="8">
        <f>(Q2069-P2069*G2069*SIN(RADIANS(E2069)))/M2069</f>
        <v/>
      </c>
      <c r="V2069" s="8">
        <f>SQRT((S2069+U2069)^2+3*T2069^2)</f>
        <v/>
      </c>
      <c r="W2069" s="8">
        <f>V2069/AA2069</f>
        <v/>
      </c>
      <c r="X2069" s="27">
        <f>((3*10+H2069/COS(RADIANS(E2069)))*(3+3)+3*G2069*H2069)*2</f>
        <v/>
      </c>
      <c r="Y2069" s="28">
        <f>Z2069/X2069</f>
        <v/>
      </c>
      <c r="Z2069" s="29" t="n">
        <v>678.7124671031251</v>
      </c>
      <c r="AA2069" s="20" t="n">
        <v>92.8310886777769</v>
      </c>
      <c r="AB2069" t="n">
        <v>0.1596025086574843</v>
      </c>
      <c r="AC2069" t="n">
        <v>91.5443408819382</v>
      </c>
      <c r="AD2069" t="n">
        <v>29.68367185834266</v>
      </c>
    </row>
    <row r="2070">
      <c r="A2070" t="n">
        <v>2069</v>
      </c>
      <c r="B2070" t="n">
        <v>79.5</v>
      </c>
      <c r="C2070" s="21">
        <f>B2070-20</f>
        <v/>
      </c>
      <c r="D2070" t="n">
        <v>129.1</v>
      </c>
      <c r="E2070" s="22">
        <f>D2070-90</f>
        <v/>
      </c>
      <c r="F2070" s="23" t="n">
        <v>0.016282</v>
      </c>
      <c r="G2070" s="22" t="n">
        <v>23.2</v>
      </c>
      <c r="H2070" s="22" t="n">
        <v>1.2</v>
      </c>
      <c r="I2070" s="24" t="n">
        <v>0.07271915674209591</v>
      </c>
      <c r="J2070" s="6" t="n">
        <v>71000</v>
      </c>
      <c r="K2070" s="25">
        <f>23*10^-6</f>
        <v/>
      </c>
      <c r="L2070" s="8">
        <f>H2070</f>
        <v/>
      </c>
      <c r="M2070" s="26">
        <f>H2070^2/6</f>
        <v/>
      </c>
      <c r="N2070" s="26">
        <f>H2070^3/12</f>
        <v/>
      </c>
      <c r="O2070" s="27">
        <f>-J2070*L2070*K2070*C2070</f>
        <v/>
      </c>
      <c r="P2070" s="28">
        <f>-(12*F2070*J2070*L2070*N2070+12*O2070*N2070*G2070*COS(RADIANS(E2070)))/(12*N2070*G2070*COS(RADIANS(E2070))^2+L2070*G2070^3*SIN(RADIANS(E2070))^2)</f>
        <v/>
      </c>
      <c r="Q2070" s="28">
        <f>-(6*F2070*J2070*L2070*N2070*SIN(RADIANS(E2070))+6*O2070*N2070*G2070*SIN(RADIANS(E2070))*COS(RADIANS(E2070)))/(12*N2070*COS(RADIANS(E2070))^2+L2070*G2070^2*SIN(RADIANS(E2070))^2)</f>
        <v/>
      </c>
      <c r="R2070" s="28">
        <f>-P2070*SIN(RADIANS(E2070))</f>
        <v/>
      </c>
      <c r="S2070" s="8">
        <f>(O2070+P2070*COS(RADIANS(E2070)))/L2070</f>
        <v/>
      </c>
      <c r="T2070" s="8">
        <f>R2070/L2070</f>
        <v/>
      </c>
      <c r="U2070" s="8">
        <f>(Q2070-P2070*G2070*SIN(RADIANS(E2070)))/M2070</f>
        <v/>
      </c>
      <c r="V2070" s="8">
        <f>SQRT((S2070+U2070)^2+3*T2070^2)</f>
        <v/>
      </c>
      <c r="W2070" s="8">
        <f>V2070/AA2070</f>
        <v/>
      </c>
      <c r="X2070" s="27">
        <f>((3*10+H2070/COS(RADIANS(E2070)))*(3+3)+3*G2070*H2070)*2</f>
        <v/>
      </c>
      <c r="Y2070" s="28">
        <f>Z2070/X2070</f>
        <v/>
      </c>
      <c r="Z2070" s="29" t="n">
        <v>555.955206325287</v>
      </c>
      <c r="AA2070" s="20" t="n">
        <v>82.48843830070621</v>
      </c>
      <c r="AB2070" t="n">
        <v>0.07003935143922486</v>
      </c>
      <c r="AC2070" t="n">
        <v>84.96100088110569</v>
      </c>
      <c r="AD2070" t="n">
        <v>-3.68514353428929</v>
      </c>
    </row>
    <row r="2071">
      <c r="A2071" t="n">
        <v>2070</v>
      </c>
      <c r="B2071" t="n">
        <v>56.7</v>
      </c>
      <c r="C2071" s="21">
        <f>B2071-20</f>
        <v/>
      </c>
      <c r="D2071" t="n">
        <v>127.1</v>
      </c>
      <c r="E2071" s="22">
        <f>D2071-90</f>
        <v/>
      </c>
      <c r="F2071" s="23" t="n">
        <v>0.012988</v>
      </c>
      <c r="G2071" s="22" t="n">
        <v>31.4</v>
      </c>
      <c r="H2071" s="22" t="n">
        <v>1.7</v>
      </c>
      <c r="I2071" s="24" t="n">
        <v>0.0561688505113124</v>
      </c>
      <c r="J2071" s="6" t="n">
        <v>71000</v>
      </c>
      <c r="K2071" s="25">
        <f>23*10^-6</f>
        <v/>
      </c>
      <c r="L2071" s="8">
        <f>H2071</f>
        <v/>
      </c>
      <c r="M2071" s="26">
        <f>H2071^2/6</f>
        <v/>
      </c>
      <c r="N2071" s="26">
        <f>H2071^3/12</f>
        <v/>
      </c>
      <c r="O2071" s="27">
        <f>-J2071*L2071*K2071*C2071</f>
        <v/>
      </c>
      <c r="P2071" s="28">
        <f>-(12*F2071*J2071*L2071*N2071+12*O2071*N2071*G2071*COS(RADIANS(E2071)))/(12*N2071*G2071*COS(RADIANS(E2071))^2+L2071*G2071^3*SIN(RADIANS(E2071))^2)</f>
        <v/>
      </c>
      <c r="Q2071" s="28">
        <f>-(6*F2071*J2071*L2071*N2071*SIN(RADIANS(E2071))+6*O2071*N2071*G2071*SIN(RADIANS(E2071))*COS(RADIANS(E2071)))/(12*N2071*COS(RADIANS(E2071))^2+L2071*G2071^2*SIN(RADIANS(E2071))^2)</f>
        <v/>
      </c>
      <c r="R2071" s="28">
        <f>-P2071*SIN(RADIANS(E2071))</f>
        <v/>
      </c>
      <c r="S2071" s="8">
        <f>(O2071+P2071*COS(RADIANS(E2071)))/L2071</f>
        <v/>
      </c>
      <c r="T2071" s="8">
        <f>R2071/L2071</f>
        <v/>
      </c>
      <c r="U2071" s="8">
        <f>(Q2071-P2071*G2071*SIN(RADIANS(E2071)))/M2071</f>
        <v/>
      </c>
      <c r="V2071" s="8">
        <f>SQRT((S2071+U2071)^2+3*T2071^2)</f>
        <v/>
      </c>
      <c r="W2071" s="8">
        <f>V2071/AA2071</f>
        <v/>
      </c>
      <c r="X2071" s="27">
        <f>((3*10+H2071/COS(RADIANS(E2071)))*(3+3)+3*G2071*H2071)*2</f>
        <v/>
      </c>
      <c r="Y2071" s="28">
        <f>Z2071/X2071</f>
        <v/>
      </c>
      <c r="Z2071" s="29" t="n">
        <v>715.3817520688521</v>
      </c>
      <c r="AA2071" s="20" t="n">
        <v>54.6794069158243</v>
      </c>
      <c r="AB2071" t="n">
        <v>0.06075151226627248</v>
      </c>
      <c r="AC2071" t="n">
        <v>53.25692637995316</v>
      </c>
      <c r="AD2071" t="n">
        <v>8.15872447672244</v>
      </c>
    </row>
    <row r="2072">
      <c r="A2072" t="n">
        <v>2071</v>
      </c>
      <c r="B2072" t="n">
        <v>73.8</v>
      </c>
      <c r="C2072" s="21">
        <f>B2072-20</f>
        <v/>
      </c>
      <c r="D2072" t="n">
        <v>113.7</v>
      </c>
      <c r="E2072" s="22">
        <f>D2072-90</f>
        <v/>
      </c>
      <c r="F2072" s="23" t="n">
        <v>0.020191</v>
      </c>
      <c r="G2072" s="22" t="n">
        <v>29.4</v>
      </c>
      <c r="H2072" s="22" t="n">
        <v>1</v>
      </c>
      <c r="I2072" s="24" t="n">
        <v>0.106372274458408</v>
      </c>
      <c r="J2072" s="6" t="n">
        <v>71000</v>
      </c>
      <c r="K2072" s="25">
        <f>23*10^-6</f>
        <v/>
      </c>
      <c r="L2072" s="8">
        <f>H2072</f>
        <v/>
      </c>
      <c r="M2072" s="26">
        <f>H2072^2/6</f>
        <v/>
      </c>
      <c r="N2072" s="26">
        <f>H2072^3/12</f>
        <v/>
      </c>
      <c r="O2072" s="27">
        <f>-J2072*L2072*K2072*C2072</f>
        <v/>
      </c>
      <c r="P2072" s="28">
        <f>-(12*F2072*J2072*L2072*N2072+12*O2072*N2072*G2072*COS(RADIANS(E2072)))/(12*N2072*G2072*COS(RADIANS(E2072))^2+L2072*G2072^3*SIN(RADIANS(E2072))^2)</f>
        <v/>
      </c>
      <c r="Q2072" s="28">
        <f>-(6*F2072*J2072*L2072*N2072*SIN(RADIANS(E2072))+6*O2072*N2072*G2072*SIN(RADIANS(E2072))*COS(RADIANS(E2072)))/(12*N2072*COS(RADIANS(E2072))^2+L2072*G2072^2*SIN(RADIANS(E2072))^2)</f>
        <v/>
      </c>
      <c r="R2072" s="28">
        <f>-P2072*SIN(RADIANS(E2072))</f>
        <v/>
      </c>
      <c r="S2072" s="8">
        <f>(O2072+P2072*COS(RADIANS(E2072)))/L2072</f>
        <v/>
      </c>
      <c r="T2072" s="8">
        <f>R2072/L2072</f>
        <v/>
      </c>
      <c r="U2072" s="8">
        <f>(Q2072-P2072*G2072*SIN(RADIANS(E2072)))/M2072</f>
        <v/>
      </c>
      <c r="V2072" s="8">
        <f>SQRT((S2072+U2072)^2+3*T2072^2)</f>
        <v/>
      </c>
      <c r="W2072" s="8">
        <f>V2072/AA2072</f>
        <v/>
      </c>
      <c r="X2072" s="27">
        <f>((3*10+H2072/COS(RADIANS(E2072)))*(3+3)+3*G2072*H2072)*2</f>
        <v/>
      </c>
      <c r="Y2072" s="28">
        <f>Z2072/X2072</f>
        <v/>
      </c>
      <c r="Z2072" s="29" t="n">
        <v>555.149421318019</v>
      </c>
      <c r="AA2072" s="20" t="n">
        <v>73.8456806260079</v>
      </c>
      <c r="AB2072" t="n">
        <v>0.1356365082222981</v>
      </c>
      <c r="AC2072" t="n">
        <v>78.66669771512908</v>
      </c>
      <c r="AD2072" t="n">
        <v>27.51114791226214</v>
      </c>
    </row>
    <row r="2073">
      <c r="A2073" t="n">
        <v>2072</v>
      </c>
      <c r="B2073" t="n">
        <v>57.3</v>
      </c>
      <c r="C2073" s="21">
        <f>B2073-20</f>
        <v/>
      </c>
      <c r="D2073" t="n">
        <v>126.4</v>
      </c>
      <c r="E2073" s="22">
        <f>D2073-90</f>
        <v/>
      </c>
      <c r="F2073" s="23" t="n">
        <v>0.013948</v>
      </c>
      <c r="G2073" s="22" t="n">
        <v>33.3</v>
      </c>
      <c r="H2073" s="22" t="n">
        <v>1.7</v>
      </c>
      <c r="I2073" s="24" t="n">
        <v>0.0600829571485519</v>
      </c>
      <c r="J2073" s="6" t="n">
        <v>71000</v>
      </c>
      <c r="K2073" s="25">
        <f>23*10^-6</f>
        <v/>
      </c>
      <c r="L2073" s="8">
        <f>H2073</f>
        <v/>
      </c>
      <c r="M2073" s="26">
        <f>H2073^2/6</f>
        <v/>
      </c>
      <c r="N2073" s="26">
        <f>H2073^3/12</f>
        <v/>
      </c>
      <c r="O2073" s="27">
        <f>-J2073*L2073*K2073*C2073</f>
        <v/>
      </c>
      <c r="P2073" s="28">
        <f>-(12*F2073*J2073*L2073*N2073+12*O2073*N2073*G2073*COS(RADIANS(E2073)))/(12*N2073*G2073*COS(RADIANS(E2073))^2+L2073*G2073^3*SIN(RADIANS(E2073))^2)</f>
        <v/>
      </c>
      <c r="Q2073" s="28">
        <f>-(6*F2073*J2073*L2073*N2073*SIN(RADIANS(E2073))+6*O2073*N2073*G2073*SIN(RADIANS(E2073))*COS(RADIANS(E2073)))/(12*N2073*COS(RADIANS(E2073))^2+L2073*G2073^2*SIN(RADIANS(E2073))^2)</f>
        <v/>
      </c>
      <c r="R2073" s="28">
        <f>-P2073*SIN(RADIANS(E2073))</f>
        <v/>
      </c>
      <c r="S2073" s="8">
        <f>(O2073+P2073*COS(RADIANS(E2073)))/L2073</f>
        <v/>
      </c>
      <c r="T2073" s="8">
        <f>R2073/L2073</f>
        <v/>
      </c>
      <c r="U2073" s="8">
        <f>(Q2073-P2073*G2073*SIN(RADIANS(E2073)))/M2073</f>
        <v/>
      </c>
      <c r="V2073" s="8">
        <f>SQRT((S2073+U2073)^2+3*T2073^2)</f>
        <v/>
      </c>
      <c r="W2073" s="8">
        <f>V2073/AA2073</f>
        <v/>
      </c>
      <c r="X2073" s="27">
        <f>((3*10+H2073/COS(RADIANS(E2073)))*(3+3)+3*G2073*H2073)*2</f>
        <v/>
      </c>
      <c r="Y2073" s="28">
        <f>Z2073/X2073</f>
        <v/>
      </c>
      <c r="Z2073" s="29" t="n">
        <v>734.256186415966</v>
      </c>
      <c r="AA2073" s="20" t="n">
        <v>55.4114072970776</v>
      </c>
      <c r="AB2073" t="n">
        <v>0.06669166795634388</v>
      </c>
      <c r="AC2073" t="n">
        <v>54.0790124675548</v>
      </c>
      <c r="AD2073" t="n">
        <v>10.99931015621001</v>
      </c>
    </row>
    <row r="2074">
      <c r="A2074" t="n">
        <v>2073</v>
      </c>
      <c r="B2074" t="n">
        <v>83.09999999999999</v>
      </c>
      <c r="C2074" s="21">
        <f>B2074-20</f>
        <v/>
      </c>
      <c r="D2074" t="n">
        <v>120.3</v>
      </c>
      <c r="E2074" s="22">
        <f>D2074-90</f>
        <v/>
      </c>
      <c r="F2074" s="23" t="n">
        <v>0.020091</v>
      </c>
      <c r="G2074" s="22" t="n">
        <v>25.4</v>
      </c>
      <c r="H2074" s="22" t="n">
        <v>1.2</v>
      </c>
      <c r="I2074" s="24" t="n">
        <v>0.0955275371670723</v>
      </c>
      <c r="J2074" s="6" t="n">
        <v>71000</v>
      </c>
      <c r="K2074" s="25">
        <f>23*10^-6</f>
        <v/>
      </c>
      <c r="L2074" s="8">
        <f>H2074</f>
        <v/>
      </c>
      <c r="M2074" s="26">
        <f>H2074^2/6</f>
        <v/>
      </c>
      <c r="N2074" s="26">
        <f>H2074^3/12</f>
        <v/>
      </c>
      <c r="O2074" s="27">
        <f>-J2074*L2074*K2074*C2074</f>
        <v/>
      </c>
      <c r="P2074" s="28">
        <f>-(12*F2074*J2074*L2074*N2074+12*O2074*N2074*G2074*COS(RADIANS(E2074)))/(12*N2074*G2074*COS(RADIANS(E2074))^2+L2074*G2074^3*SIN(RADIANS(E2074))^2)</f>
        <v/>
      </c>
      <c r="Q2074" s="28">
        <f>-(6*F2074*J2074*L2074*N2074*SIN(RADIANS(E2074))+6*O2074*N2074*G2074*SIN(RADIANS(E2074))*COS(RADIANS(E2074)))/(12*N2074*COS(RADIANS(E2074))^2+L2074*G2074^2*SIN(RADIANS(E2074))^2)</f>
        <v/>
      </c>
      <c r="R2074" s="28">
        <f>-P2074*SIN(RADIANS(E2074))</f>
        <v/>
      </c>
      <c r="S2074" s="8">
        <f>(O2074+P2074*COS(RADIANS(E2074)))/L2074</f>
        <v/>
      </c>
      <c r="T2074" s="8">
        <f>R2074/L2074</f>
        <v/>
      </c>
      <c r="U2074" s="8">
        <f>(Q2074-P2074*G2074*SIN(RADIANS(E2074)))/M2074</f>
        <v/>
      </c>
      <c r="V2074" s="8">
        <f>SQRT((S2074+U2074)^2+3*T2074^2)</f>
        <v/>
      </c>
      <c r="W2074" s="8">
        <f>V2074/AA2074</f>
        <v/>
      </c>
      <c r="X2074" s="27">
        <f>((3*10+H2074/COS(RADIANS(E2074)))*(3+3)+3*G2074*H2074)*2</f>
        <v/>
      </c>
      <c r="Y2074" s="28">
        <f>Z2074/X2074</f>
        <v/>
      </c>
      <c r="Z2074" s="29" t="n">
        <v>566.789188673632</v>
      </c>
      <c r="AA2074" s="20" t="n">
        <v>89.89652328471701</v>
      </c>
      <c r="AB2074" t="n">
        <v>0.1066726317658214</v>
      </c>
      <c r="AC2074" t="n">
        <v>92.0787883968945</v>
      </c>
      <c r="AD2074" t="n">
        <v>11.66689200754432</v>
      </c>
    </row>
    <row r="2075">
      <c r="A2075" t="n">
        <v>2074</v>
      </c>
      <c r="B2075" t="n">
        <v>72.3</v>
      </c>
      <c r="C2075" s="21">
        <f>B2075-20</f>
        <v/>
      </c>
      <c r="D2075" t="n">
        <v>106</v>
      </c>
      <c r="E2075" s="22">
        <f>D2075-90</f>
        <v/>
      </c>
      <c r="F2075" s="23" t="n">
        <v>0.020141</v>
      </c>
      <c r="G2075" s="22" t="n">
        <v>28.9</v>
      </c>
      <c r="H2075" s="22" t="n">
        <v>1.4</v>
      </c>
      <c r="I2075" s="24" t="n">
        <v>0.137169405817985</v>
      </c>
      <c r="J2075" s="6" t="n">
        <v>71000</v>
      </c>
      <c r="K2075" s="25">
        <f>23*10^-6</f>
        <v/>
      </c>
      <c r="L2075" s="8">
        <f>H2075</f>
        <v/>
      </c>
      <c r="M2075" s="26">
        <f>H2075^2/6</f>
        <v/>
      </c>
      <c r="N2075" s="26">
        <f>H2075^3/12</f>
        <v/>
      </c>
      <c r="O2075" s="27">
        <f>-J2075*L2075*K2075*C2075</f>
        <v/>
      </c>
      <c r="P2075" s="28">
        <f>-(12*F2075*J2075*L2075*N2075+12*O2075*N2075*G2075*COS(RADIANS(E2075)))/(12*N2075*G2075*COS(RADIANS(E2075))^2+L2075*G2075^3*SIN(RADIANS(E2075))^2)</f>
        <v/>
      </c>
      <c r="Q2075" s="28">
        <f>-(6*F2075*J2075*L2075*N2075*SIN(RADIANS(E2075))+6*O2075*N2075*G2075*SIN(RADIANS(E2075))*COS(RADIANS(E2075)))/(12*N2075*COS(RADIANS(E2075))^2+L2075*G2075^2*SIN(RADIANS(E2075))^2)</f>
        <v/>
      </c>
      <c r="R2075" s="28">
        <f>-P2075*SIN(RADIANS(E2075))</f>
        <v/>
      </c>
      <c r="S2075" s="8">
        <f>(O2075+P2075*COS(RADIANS(E2075)))/L2075</f>
        <v/>
      </c>
      <c r="T2075" s="8">
        <f>R2075/L2075</f>
        <v/>
      </c>
      <c r="U2075" s="8">
        <f>(Q2075-P2075*G2075*SIN(RADIANS(E2075)))/M2075</f>
        <v/>
      </c>
      <c r="V2075" s="8">
        <f>SQRT((S2075+U2075)^2+3*T2075^2)</f>
        <v/>
      </c>
      <c r="W2075" s="8">
        <f>V2075/AA2075</f>
        <v/>
      </c>
      <c r="X2075" s="27">
        <f>((3*10+H2075/COS(RADIANS(E2075)))*(3+3)+3*G2075*H2075)*2</f>
        <v/>
      </c>
      <c r="Y2075" s="28">
        <f>Z2075/X2075</f>
        <v/>
      </c>
      <c r="Z2075" s="29" t="n">
        <v>624.637846368793</v>
      </c>
      <c r="AA2075" s="20" t="n">
        <v>80.6547805206103</v>
      </c>
      <c r="AB2075" t="n">
        <v>0.1907510885507225</v>
      </c>
      <c r="AC2075" t="n">
        <v>83.22367878285394</v>
      </c>
      <c r="AD2075" t="n">
        <v>39.06241513055541</v>
      </c>
    </row>
    <row r="2076">
      <c r="A2076" t="n">
        <v>2075</v>
      </c>
      <c r="B2076" t="n">
        <v>40.3</v>
      </c>
      <c r="C2076" s="21">
        <f>B2076-20</f>
        <v/>
      </c>
      <c r="D2076" t="n">
        <v>118.9</v>
      </c>
      <c r="E2076" s="22">
        <f>D2076-90</f>
        <v/>
      </c>
      <c r="F2076" s="23" t="n">
        <v>0.006535</v>
      </c>
      <c r="G2076" s="22" t="n">
        <v>25.4</v>
      </c>
      <c r="H2076" s="22" t="n">
        <v>1.8</v>
      </c>
      <c r="I2076" s="24" t="n">
        <v>0.031698141247034</v>
      </c>
      <c r="J2076" s="6" t="n">
        <v>71000</v>
      </c>
      <c r="K2076" s="25">
        <f>23*10^-6</f>
        <v/>
      </c>
      <c r="L2076" s="8">
        <f>H2076</f>
        <v/>
      </c>
      <c r="M2076" s="26">
        <f>H2076^2/6</f>
        <v/>
      </c>
      <c r="N2076" s="26">
        <f>H2076^3/12</f>
        <v/>
      </c>
      <c r="O2076" s="27">
        <f>-J2076*L2076*K2076*C2076</f>
        <v/>
      </c>
      <c r="P2076" s="28">
        <f>-(12*F2076*J2076*L2076*N2076+12*O2076*N2076*G2076*COS(RADIANS(E2076)))/(12*N2076*G2076*COS(RADIANS(E2076))^2+L2076*G2076^3*SIN(RADIANS(E2076))^2)</f>
        <v/>
      </c>
      <c r="Q2076" s="28">
        <f>-(6*F2076*J2076*L2076*N2076*SIN(RADIANS(E2076))+6*O2076*N2076*G2076*SIN(RADIANS(E2076))*COS(RADIANS(E2076)))/(12*N2076*COS(RADIANS(E2076))^2+L2076*G2076^2*SIN(RADIANS(E2076))^2)</f>
        <v/>
      </c>
      <c r="R2076" s="28">
        <f>-P2076*SIN(RADIANS(E2076))</f>
        <v/>
      </c>
      <c r="S2076" s="8">
        <f>(O2076+P2076*COS(RADIANS(E2076)))/L2076</f>
        <v/>
      </c>
      <c r="T2076" s="8">
        <f>R2076/L2076</f>
        <v/>
      </c>
      <c r="U2076" s="8">
        <f>(Q2076-P2076*G2076*SIN(RADIANS(E2076)))/M2076</f>
        <v/>
      </c>
      <c r="V2076" s="8">
        <f>SQRT((S2076+U2076)^2+3*T2076^2)</f>
        <v/>
      </c>
      <c r="W2076" s="8">
        <f>V2076/AA2076</f>
        <v/>
      </c>
      <c r="X2076" s="27">
        <f>((3*10+H2076/COS(RADIANS(E2076)))*(3+3)+3*G2076*H2076)*2</f>
        <v/>
      </c>
      <c r="Y2076" s="28">
        <f>Z2076/X2076</f>
        <v/>
      </c>
      <c r="Z2076" s="29" t="n">
        <v>665.840262931215</v>
      </c>
      <c r="AA2076" s="20" t="n">
        <v>32.7866604222847</v>
      </c>
      <c r="AB2076" t="n">
        <v>0.03572808184119084</v>
      </c>
      <c r="AC2076" t="n">
        <v>30.93040290344668</v>
      </c>
      <c r="AD2076" t="n">
        <v>12.71349181881107</v>
      </c>
    </row>
    <row r="2077">
      <c r="A2077" t="n">
        <v>2076</v>
      </c>
      <c r="B2077" t="n">
        <v>68.90000000000001</v>
      </c>
      <c r="C2077" s="21">
        <f>B2077-20</f>
        <v/>
      </c>
      <c r="D2077" t="n">
        <v>107.9</v>
      </c>
      <c r="E2077" s="22">
        <f>D2077-90</f>
        <v/>
      </c>
      <c r="F2077" s="23" t="n">
        <v>0.019259</v>
      </c>
      <c r="G2077" s="22" t="n">
        <v>30</v>
      </c>
      <c r="H2077" s="22" t="n">
        <v>1.7</v>
      </c>
      <c r="I2077" s="24" t="n">
        <v>0.120216183364391</v>
      </c>
      <c r="J2077" s="6" t="n">
        <v>71000</v>
      </c>
      <c r="K2077" s="25">
        <f>23*10^-6</f>
        <v/>
      </c>
      <c r="L2077" s="8">
        <f>H2077</f>
        <v/>
      </c>
      <c r="M2077" s="26">
        <f>H2077^2/6</f>
        <v/>
      </c>
      <c r="N2077" s="26">
        <f>H2077^3/12</f>
        <v/>
      </c>
      <c r="O2077" s="27">
        <f>-J2077*L2077*K2077*C2077</f>
        <v/>
      </c>
      <c r="P2077" s="28">
        <f>-(12*F2077*J2077*L2077*N2077+12*O2077*N2077*G2077*COS(RADIANS(E2077)))/(12*N2077*G2077*COS(RADIANS(E2077))^2+L2077*G2077^3*SIN(RADIANS(E2077))^2)</f>
        <v/>
      </c>
      <c r="Q2077" s="28">
        <f>-(6*F2077*J2077*L2077*N2077*SIN(RADIANS(E2077))+6*O2077*N2077*G2077*SIN(RADIANS(E2077))*COS(RADIANS(E2077)))/(12*N2077*COS(RADIANS(E2077))^2+L2077*G2077^2*SIN(RADIANS(E2077))^2)</f>
        <v/>
      </c>
      <c r="R2077" s="28">
        <f>-P2077*SIN(RADIANS(E2077))</f>
        <v/>
      </c>
      <c r="S2077" s="8">
        <f>(O2077+P2077*COS(RADIANS(E2077)))/L2077</f>
        <v/>
      </c>
      <c r="T2077" s="8">
        <f>R2077/L2077</f>
        <v/>
      </c>
      <c r="U2077" s="8">
        <f>(Q2077-P2077*G2077*SIN(RADIANS(E2077)))/M2077</f>
        <v/>
      </c>
      <c r="V2077" s="8">
        <f>SQRT((S2077+U2077)^2+3*T2077^2)</f>
        <v/>
      </c>
      <c r="W2077" s="8">
        <f>V2077/AA2077</f>
        <v/>
      </c>
      <c r="X2077" s="27">
        <f>((3*10+H2077/COS(RADIANS(E2077)))*(3+3)+3*G2077*H2077)*2</f>
        <v/>
      </c>
      <c r="Y2077" s="28">
        <f>Z2077/X2077</f>
        <v/>
      </c>
      <c r="Z2077" s="29" t="n">
        <v>692.092163545775</v>
      </c>
      <c r="AA2077" s="20" t="n">
        <v>79.1820938808972</v>
      </c>
      <c r="AB2077" t="n">
        <v>0.1641607364776535</v>
      </c>
      <c r="AC2077" t="n">
        <v>78.31540425586296</v>
      </c>
      <c r="AD2077" t="n">
        <v>36.55460677874027</v>
      </c>
    </row>
    <row r="2078">
      <c r="A2078" t="n">
        <v>2077</v>
      </c>
      <c r="B2078" t="n">
        <v>56.7</v>
      </c>
      <c r="C2078" s="21">
        <f>B2078-20</f>
        <v/>
      </c>
      <c r="D2078" t="n">
        <v>122.8</v>
      </c>
      <c r="E2078" s="22">
        <f>D2078-90</f>
        <v/>
      </c>
      <c r="F2078" s="23" t="n">
        <v>0.012568</v>
      </c>
      <c r="G2078" s="22" t="n">
        <v>28.6</v>
      </c>
      <c r="H2078" s="22" t="n">
        <v>1.2</v>
      </c>
      <c r="I2078" s="24" t="n">
        <v>0.0569263249635696</v>
      </c>
      <c r="J2078" s="6" t="n">
        <v>71000</v>
      </c>
      <c r="K2078" s="25">
        <f>23*10^-6</f>
        <v/>
      </c>
      <c r="L2078" s="8">
        <f>H2078</f>
        <v/>
      </c>
      <c r="M2078" s="26">
        <f>H2078^2/6</f>
        <v/>
      </c>
      <c r="N2078" s="26">
        <f>H2078^3/12</f>
        <v/>
      </c>
      <c r="O2078" s="27">
        <f>-J2078*L2078*K2078*C2078</f>
        <v/>
      </c>
      <c r="P2078" s="28">
        <f>-(12*F2078*J2078*L2078*N2078+12*O2078*N2078*G2078*COS(RADIANS(E2078)))/(12*N2078*G2078*COS(RADIANS(E2078))^2+L2078*G2078^3*SIN(RADIANS(E2078))^2)</f>
        <v/>
      </c>
      <c r="Q2078" s="28">
        <f>-(6*F2078*J2078*L2078*N2078*SIN(RADIANS(E2078))+6*O2078*N2078*G2078*SIN(RADIANS(E2078))*COS(RADIANS(E2078)))/(12*N2078*COS(RADIANS(E2078))^2+L2078*G2078^2*SIN(RADIANS(E2078))^2)</f>
        <v/>
      </c>
      <c r="R2078" s="28">
        <f>-P2078*SIN(RADIANS(E2078))</f>
        <v/>
      </c>
      <c r="S2078" s="8">
        <f>(O2078+P2078*COS(RADIANS(E2078)))/L2078</f>
        <v/>
      </c>
      <c r="T2078" s="8">
        <f>R2078/L2078</f>
        <v/>
      </c>
      <c r="U2078" s="8">
        <f>(Q2078-P2078*G2078*SIN(RADIANS(E2078)))/M2078</f>
        <v/>
      </c>
      <c r="V2078" s="8">
        <f>SQRT((S2078+U2078)^2+3*T2078^2)</f>
        <v/>
      </c>
      <c r="W2078" s="8">
        <f>V2078/AA2078</f>
        <v/>
      </c>
      <c r="X2078" s="27">
        <f>((3*10+H2078/COS(RADIANS(E2078)))*(3+3)+3*G2078*H2078)*2</f>
        <v/>
      </c>
      <c r="Y2078" s="28">
        <f>Z2078/X2078</f>
        <v/>
      </c>
      <c r="Z2078" s="29" t="n">
        <v>591.037100320966</v>
      </c>
      <c r="AA2078" s="20" t="n">
        <v>50.8819435361285</v>
      </c>
      <c r="AB2078" t="n">
        <v>0.06376251335820236</v>
      </c>
      <c r="AC2078" t="n">
        <v>52.8626622812636</v>
      </c>
      <c r="AD2078" t="n">
        <v>12.00883492656101</v>
      </c>
    </row>
    <row r="2079">
      <c r="A2079" t="n">
        <v>2078</v>
      </c>
      <c r="B2079" t="n">
        <v>72.7</v>
      </c>
      <c r="C2079" s="21">
        <f>B2079-20</f>
        <v/>
      </c>
      <c r="D2079" t="n">
        <v>102.1</v>
      </c>
      <c r="E2079" s="22">
        <f>D2079-90</f>
        <v/>
      </c>
      <c r="F2079" s="23" t="n">
        <v>0.022872</v>
      </c>
      <c r="G2079" s="22" t="n">
        <v>32.8</v>
      </c>
      <c r="H2079" s="22" t="n">
        <v>1.6</v>
      </c>
      <c r="I2079" s="24" t="n">
        <v>0.188146397471427</v>
      </c>
      <c r="J2079" s="6" t="n">
        <v>71000</v>
      </c>
      <c r="K2079" s="25">
        <f>23*10^-6</f>
        <v/>
      </c>
      <c r="L2079" s="8">
        <f>H2079</f>
        <v/>
      </c>
      <c r="M2079" s="26">
        <f>H2079^2/6</f>
        <v/>
      </c>
      <c r="N2079" s="26">
        <f>H2079^3/12</f>
        <v/>
      </c>
      <c r="O2079" s="27">
        <f>-J2079*L2079*K2079*C2079</f>
        <v/>
      </c>
      <c r="P2079" s="28">
        <f>-(12*F2079*J2079*L2079*N2079+12*O2079*N2079*G2079*COS(RADIANS(E2079)))/(12*N2079*G2079*COS(RADIANS(E2079))^2+L2079*G2079^3*SIN(RADIANS(E2079))^2)</f>
        <v/>
      </c>
      <c r="Q2079" s="28">
        <f>-(6*F2079*J2079*L2079*N2079*SIN(RADIANS(E2079))+6*O2079*N2079*G2079*SIN(RADIANS(E2079))*COS(RADIANS(E2079)))/(12*N2079*COS(RADIANS(E2079))^2+L2079*G2079^2*SIN(RADIANS(E2079))^2)</f>
        <v/>
      </c>
      <c r="R2079" s="28">
        <f>-P2079*SIN(RADIANS(E2079))</f>
        <v/>
      </c>
      <c r="S2079" s="8">
        <f>(O2079+P2079*COS(RADIANS(E2079)))/L2079</f>
        <v/>
      </c>
      <c r="T2079" s="8">
        <f>R2079/L2079</f>
        <v/>
      </c>
      <c r="U2079" s="8">
        <f>(Q2079-P2079*G2079*SIN(RADIANS(E2079)))/M2079</f>
        <v/>
      </c>
      <c r="V2079" s="8">
        <f>SQRT((S2079+U2079)^2+3*T2079^2)</f>
        <v/>
      </c>
      <c r="W2079" s="8">
        <f>V2079/AA2079</f>
        <v/>
      </c>
      <c r="X2079" s="27">
        <f>((3*10+H2079/COS(RADIANS(E2079)))*(3+3)+3*G2079*H2079)*2</f>
        <v/>
      </c>
      <c r="Y2079" s="28">
        <f>Z2079/X2079</f>
        <v/>
      </c>
      <c r="Z2079" s="29" t="n">
        <v>698.4952008996</v>
      </c>
      <c r="AA2079" s="20" t="n">
        <v>86.0922840466035</v>
      </c>
      <c r="AB2079" t="n">
        <v>0.281523814892167</v>
      </c>
      <c r="AC2079" t="n">
        <v>88.25931104910069</v>
      </c>
      <c r="AD2079" t="n">
        <v>49.63019152940246</v>
      </c>
    </row>
    <row r="2080">
      <c r="A2080" t="n">
        <v>2079</v>
      </c>
      <c r="B2080" t="n">
        <v>49.7</v>
      </c>
      <c r="C2080" s="21">
        <f>B2080-20</f>
        <v/>
      </c>
      <c r="D2080" t="n">
        <v>103.1</v>
      </c>
      <c r="E2080" s="22">
        <f>D2080-90</f>
        <v/>
      </c>
      <c r="F2080" s="23" t="n">
        <v>0.011793</v>
      </c>
      <c r="G2080" s="22" t="n">
        <v>29.6</v>
      </c>
      <c r="H2080" s="22" t="n">
        <v>1.2</v>
      </c>
      <c r="I2080" s="24" t="n">
        <v>0.09339138865470881</v>
      </c>
      <c r="J2080" s="6" t="n">
        <v>71000</v>
      </c>
      <c r="K2080" s="25">
        <f>23*10^-6</f>
        <v/>
      </c>
      <c r="L2080" s="8">
        <f>H2080</f>
        <v/>
      </c>
      <c r="M2080" s="26">
        <f>H2080^2/6</f>
        <v/>
      </c>
      <c r="N2080" s="26">
        <f>H2080^3/12</f>
        <v/>
      </c>
      <c r="O2080" s="27">
        <f>-J2080*L2080*K2080*C2080</f>
        <v/>
      </c>
      <c r="P2080" s="28">
        <f>-(12*F2080*J2080*L2080*N2080+12*O2080*N2080*G2080*COS(RADIANS(E2080)))/(12*N2080*G2080*COS(RADIANS(E2080))^2+L2080*G2080^3*SIN(RADIANS(E2080))^2)</f>
        <v/>
      </c>
      <c r="Q2080" s="28">
        <f>-(6*F2080*J2080*L2080*N2080*SIN(RADIANS(E2080))+6*O2080*N2080*G2080*SIN(RADIANS(E2080))*COS(RADIANS(E2080)))/(12*N2080*COS(RADIANS(E2080))^2+L2080*G2080^2*SIN(RADIANS(E2080))^2)</f>
        <v/>
      </c>
      <c r="R2080" s="28">
        <f>-P2080*SIN(RADIANS(E2080))</f>
        <v/>
      </c>
      <c r="S2080" s="8">
        <f>(O2080+P2080*COS(RADIANS(E2080)))/L2080</f>
        <v/>
      </c>
      <c r="T2080" s="8">
        <f>R2080/L2080</f>
        <v/>
      </c>
      <c r="U2080" s="8">
        <f>(Q2080-P2080*G2080*SIN(RADIANS(E2080)))/M2080</f>
        <v/>
      </c>
      <c r="V2080" s="8">
        <f>SQRT((S2080+U2080)^2+3*T2080^2)</f>
        <v/>
      </c>
      <c r="W2080" s="8">
        <f>V2080/AA2080</f>
        <v/>
      </c>
      <c r="X2080" s="27">
        <f>((3*10+H2080/COS(RADIANS(E2080)))*(3+3)+3*G2080*H2080)*2</f>
        <v/>
      </c>
      <c r="Y2080" s="28">
        <f>Z2080/X2080</f>
        <v/>
      </c>
      <c r="Z2080" s="29" t="n">
        <v>591.979653527977</v>
      </c>
      <c r="AA2080" s="20" t="n">
        <v>44.4424765852572</v>
      </c>
      <c r="AB2080" t="n">
        <v>0.1356853605724454</v>
      </c>
      <c r="AC2080" t="n">
        <v>47.53750804568891</v>
      </c>
      <c r="AD2080" t="n">
        <v>45.28680055728474</v>
      </c>
    </row>
    <row r="2081">
      <c r="A2081" t="n">
        <v>2080</v>
      </c>
      <c r="B2081" t="n">
        <v>82.09999999999999</v>
      </c>
      <c r="C2081" s="21">
        <f>B2081-20</f>
        <v/>
      </c>
      <c r="D2081" t="n">
        <v>121</v>
      </c>
      <c r="E2081" s="22">
        <f>D2081-90</f>
        <v/>
      </c>
      <c r="F2081" s="23" t="n">
        <v>0.021117</v>
      </c>
      <c r="G2081" s="22" t="n">
        <v>27.8</v>
      </c>
      <c r="H2081" s="22" t="n">
        <v>1.8</v>
      </c>
      <c r="I2081" s="24" t="n">
        <v>0.09822046756744381</v>
      </c>
      <c r="J2081" s="6" t="n">
        <v>71000</v>
      </c>
      <c r="K2081" s="25">
        <f>23*10^-6</f>
        <v/>
      </c>
      <c r="L2081" s="8">
        <f>H2081</f>
        <v/>
      </c>
      <c r="M2081" s="26">
        <f>H2081^2/6</f>
        <v/>
      </c>
      <c r="N2081" s="26">
        <f>H2081^3/12</f>
        <v/>
      </c>
      <c r="O2081" s="27">
        <f>-J2081*L2081*K2081*C2081</f>
        <v/>
      </c>
      <c r="P2081" s="28">
        <f>-(12*F2081*J2081*L2081*N2081+12*O2081*N2081*G2081*COS(RADIANS(E2081)))/(12*N2081*G2081*COS(RADIANS(E2081))^2+L2081*G2081^3*SIN(RADIANS(E2081))^2)</f>
        <v/>
      </c>
      <c r="Q2081" s="28">
        <f>-(6*F2081*J2081*L2081*N2081*SIN(RADIANS(E2081))+6*O2081*N2081*G2081*SIN(RADIANS(E2081))*COS(RADIANS(E2081)))/(12*N2081*COS(RADIANS(E2081))^2+L2081*G2081^2*SIN(RADIANS(E2081))^2)</f>
        <v/>
      </c>
      <c r="R2081" s="28">
        <f>-P2081*SIN(RADIANS(E2081))</f>
        <v/>
      </c>
      <c r="S2081" s="8">
        <f>(O2081+P2081*COS(RADIANS(E2081)))/L2081</f>
        <v/>
      </c>
      <c r="T2081" s="8">
        <f>R2081/L2081</f>
        <v/>
      </c>
      <c r="U2081" s="8">
        <f>(Q2081-P2081*G2081*SIN(RADIANS(E2081)))/M2081</f>
        <v/>
      </c>
      <c r="V2081" s="8">
        <f>SQRT((S2081+U2081)^2+3*T2081^2)</f>
        <v/>
      </c>
      <c r="W2081" s="8">
        <f>V2081/AA2081</f>
        <v/>
      </c>
      <c r="X2081" s="27">
        <f>((3*10+H2081/COS(RADIANS(E2081)))*(3+3)+3*G2081*H2081)*2</f>
        <v/>
      </c>
      <c r="Y2081" s="28">
        <f>Z2081/X2081</f>
        <v/>
      </c>
      <c r="Z2081" s="29" t="n">
        <v>692.87211229866</v>
      </c>
      <c r="AA2081" s="20" t="n">
        <v>98.81407420952939</v>
      </c>
      <c r="AB2081" t="n">
        <v>0.110805868160289</v>
      </c>
      <c r="AC2081" t="n">
        <v>93.16175218964197</v>
      </c>
      <c r="AD2081" t="n">
        <v>12.81341954944712</v>
      </c>
    </row>
    <row r="2082">
      <c r="A2082" t="n">
        <v>2081</v>
      </c>
      <c r="B2082" t="n">
        <v>66.59999999999999</v>
      </c>
      <c r="C2082" s="21">
        <f>B2082-20</f>
        <v/>
      </c>
      <c r="D2082" t="n">
        <v>113.4</v>
      </c>
      <c r="E2082" s="22">
        <f>D2082-90</f>
        <v/>
      </c>
      <c r="F2082" s="23" t="n">
        <v>0.013328</v>
      </c>
      <c r="G2082" s="22" t="n">
        <v>20.8</v>
      </c>
      <c r="H2082" s="22" t="n">
        <v>1.6</v>
      </c>
      <c r="I2082" s="24" t="n">
        <v>0.0738394632935524</v>
      </c>
      <c r="J2082" s="6" t="n">
        <v>71000</v>
      </c>
      <c r="K2082" s="25">
        <f>23*10^-6</f>
        <v/>
      </c>
      <c r="L2082" s="8">
        <f>H2082</f>
        <v/>
      </c>
      <c r="M2082" s="26">
        <f>H2082^2/6</f>
        <v/>
      </c>
      <c r="N2082" s="26">
        <f>H2082^3/12</f>
        <v/>
      </c>
      <c r="O2082" s="27">
        <f>-J2082*L2082*K2082*C2082</f>
        <v/>
      </c>
      <c r="P2082" s="28">
        <f>-(12*F2082*J2082*L2082*N2082+12*O2082*N2082*G2082*COS(RADIANS(E2082)))/(12*N2082*G2082*COS(RADIANS(E2082))^2+L2082*G2082^3*SIN(RADIANS(E2082))^2)</f>
        <v/>
      </c>
      <c r="Q2082" s="28">
        <f>-(6*F2082*J2082*L2082*N2082*SIN(RADIANS(E2082))+6*O2082*N2082*G2082*SIN(RADIANS(E2082))*COS(RADIANS(E2082)))/(12*N2082*COS(RADIANS(E2082))^2+L2082*G2082^2*SIN(RADIANS(E2082))^2)</f>
        <v/>
      </c>
      <c r="R2082" s="28">
        <f>-P2082*SIN(RADIANS(E2082))</f>
        <v/>
      </c>
      <c r="S2082" s="8">
        <f>(O2082+P2082*COS(RADIANS(E2082)))/L2082</f>
        <v/>
      </c>
      <c r="T2082" s="8">
        <f>R2082/L2082</f>
        <v/>
      </c>
      <c r="U2082" s="8">
        <f>(Q2082-P2082*G2082*SIN(RADIANS(E2082)))/M2082</f>
        <v/>
      </c>
      <c r="V2082" s="8">
        <f>SQRT((S2082+U2082)^2+3*T2082^2)</f>
        <v/>
      </c>
      <c r="W2082" s="8">
        <f>V2082/AA2082</f>
        <v/>
      </c>
      <c r="X2082" s="27">
        <f>((3*10+H2082/COS(RADIANS(E2082)))*(3+3)+3*G2082*H2082)*2</f>
        <v/>
      </c>
      <c r="Y2082" s="28">
        <f>Z2082/X2082</f>
        <v/>
      </c>
      <c r="Z2082" s="29" t="n">
        <v>586.185034738464</v>
      </c>
      <c r="AA2082" s="20" t="n">
        <v>75.45823435009299</v>
      </c>
      <c r="AB2082" t="n">
        <v>0.08409456777371734</v>
      </c>
      <c r="AC2082" t="n">
        <v>73.20054199755607</v>
      </c>
      <c r="AD2082" t="n">
        <v>13.88837895448301</v>
      </c>
    </row>
    <row r="2083">
      <c r="A2083" t="n">
        <v>2082</v>
      </c>
      <c r="B2083" t="n">
        <v>44</v>
      </c>
      <c r="C2083" s="21">
        <f>B2083-20</f>
        <v/>
      </c>
      <c r="D2083" t="n">
        <v>114.7</v>
      </c>
      <c r="E2083" s="22">
        <f>D2083-90</f>
        <v/>
      </c>
      <c r="F2083" s="23" t="n">
        <v>0.007011</v>
      </c>
      <c r="G2083" s="22" t="n">
        <v>21.6</v>
      </c>
      <c r="H2083" s="22" t="n">
        <v>1.3</v>
      </c>
      <c r="I2083" s="24" t="n">
        <v>0.0376819819211959</v>
      </c>
      <c r="J2083" s="6" t="n">
        <v>71000</v>
      </c>
      <c r="K2083" s="25">
        <f>23*10^-6</f>
        <v/>
      </c>
      <c r="L2083" s="8">
        <f>H2083</f>
        <v/>
      </c>
      <c r="M2083" s="26">
        <f>H2083^2/6</f>
        <v/>
      </c>
      <c r="N2083" s="26">
        <f>H2083^3/12</f>
        <v/>
      </c>
      <c r="O2083" s="27">
        <f>-J2083*L2083*K2083*C2083</f>
        <v/>
      </c>
      <c r="P2083" s="28">
        <f>-(12*F2083*J2083*L2083*N2083+12*O2083*N2083*G2083*COS(RADIANS(E2083)))/(12*N2083*G2083*COS(RADIANS(E2083))^2+L2083*G2083^3*SIN(RADIANS(E2083))^2)</f>
        <v/>
      </c>
      <c r="Q2083" s="28">
        <f>-(6*F2083*J2083*L2083*N2083*SIN(RADIANS(E2083))+6*O2083*N2083*G2083*SIN(RADIANS(E2083))*COS(RADIANS(E2083)))/(12*N2083*COS(RADIANS(E2083))^2+L2083*G2083^2*SIN(RADIANS(E2083))^2)</f>
        <v/>
      </c>
      <c r="R2083" s="28">
        <f>-P2083*SIN(RADIANS(E2083))</f>
        <v/>
      </c>
      <c r="S2083" s="8">
        <f>(O2083+P2083*COS(RADIANS(E2083)))/L2083</f>
        <v/>
      </c>
      <c r="T2083" s="8">
        <f>R2083/L2083</f>
        <v/>
      </c>
      <c r="U2083" s="8">
        <f>(Q2083-P2083*G2083*SIN(RADIANS(E2083)))/M2083</f>
        <v/>
      </c>
      <c r="V2083" s="8">
        <f>SQRT((S2083+U2083)^2+3*T2083^2)</f>
        <v/>
      </c>
      <c r="W2083" s="8">
        <f>V2083/AA2083</f>
        <v/>
      </c>
      <c r="X2083" s="27">
        <f>((3*10+H2083/COS(RADIANS(E2083)))*(3+3)+3*G2083*H2083)*2</f>
        <v/>
      </c>
      <c r="Y2083" s="28">
        <f>Z2083/X2083</f>
        <v/>
      </c>
      <c r="Z2083" s="29" t="n">
        <v>551.50156946099</v>
      </c>
      <c r="AA2083" s="20" t="n">
        <v>35.9625025427619</v>
      </c>
      <c r="AB2083" t="n">
        <v>0.04298455197335692</v>
      </c>
      <c r="AC2083" t="n">
        <v>36.43296830015484</v>
      </c>
      <c r="AD2083" t="n">
        <v>14.07189797832357</v>
      </c>
    </row>
    <row r="2084">
      <c r="A2084" t="n">
        <v>2083</v>
      </c>
      <c r="B2084" t="n">
        <v>69.7</v>
      </c>
      <c r="C2084" s="21">
        <f>B2084-20</f>
        <v/>
      </c>
      <c r="D2084" t="n">
        <v>114.8</v>
      </c>
      <c r="E2084" s="22">
        <f>D2084-90</f>
        <v/>
      </c>
      <c r="F2084" s="23" t="n">
        <v>0.021041</v>
      </c>
      <c r="G2084" s="22" t="n">
        <v>34.3</v>
      </c>
      <c r="H2084" s="22" t="n">
        <v>1.9</v>
      </c>
      <c r="I2084" s="24" t="n">
        <v>0.105684399604797</v>
      </c>
      <c r="J2084" s="6" t="n">
        <v>71000</v>
      </c>
      <c r="K2084" s="25">
        <f>23*10^-6</f>
        <v/>
      </c>
      <c r="L2084" s="8">
        <f>H2084</f>
        <v/>
      </c>
      <c r="M2084" s="26">
        <f>H2084^2/6</f>
        <v/>
      </c>
      <c r="N2084" s="26">
        <f>H2084^3/12</f>
        <v/>
      </c>
      <c r="O2084" s="27">
        <f>-J2084*L2084*K2084*C2084</f>
        <v/>
      </c>
      <c r="P2084" s="28">
        <f>-(12*F2084*J2084*L2084*N2084+12*O2084*N2084*G2084*COS(RADIANS(E2084)))/(12*N2084*G2084*COS(RADIANS(E2084))^2+L2084*G2084^3*SIN(RADIANS(E2084))^2)</f>
        <v/>
      </c>
      <c r="Q2084" s="28">
        <f>-(6*F2084*J2084*L2084*N2084*SIN(RADIANS(E2084))+6*O2084*N2084*G2084*SIN(RADIANS(E2084))*COS(RADIANS(E2084)))/(12*N2084*COS(RADIANS(E2084))^2+L2084*G2084^2*SIN(RADIANS(E2084))^2)</f>
        <v/>
      </c>
      <c r="R2084" s="28">
        <f>-P2084*SIN(RADIANS(E2084))</f>
        <v/>
      </c>
      <c r="S2084" s="8">
        <f>(O2084+P2084*COS(RADIANS(E2084)))/L2084</f>
        <v/>
      </c>
      <c r="T2084" s="8">
        <f>R2084/L2084</f>
        <v/>
      </c>
      <c r="U2084" s="8">
        <f>(Q2084-P2084*G2084*SIN(RADIANS(E2084)))/M2084</f>
        <v/>
      </c>
      <c r="V2084" s="8">
        <f>SQRT((S2084+U2084)^2+3*T2084^2)</f>
        <v/>
      </c>
      <c r="W2084" s="8">
        <f>V2084/AA2084</f>
        <v/>
      </c>
      <c r="X2084" s="27">
        <f>((3*10+H2084/COS(RADIANS(E2084)))*(3+3)+3*G2084*H2084)*2</f>
        <v/>
      </c>
      <c r="Y2084" s="28">
        <f>Z2084/X2084</f>
        <v/>
      </c>
      <c r="Z2084" s="29" t="n">
        <v>782.008113944605</v>
      </c>
      <c r="AA2084" s="20" t="n">
        <v>79.67831399281209</v>
      </c>
      <c r="AB2084" t="n">
        <v>0.136904597071923</v>
      </c>
      <c r="AC2084" t="n">
        <v>76.04319435849764</v>
      </c>
      <c r="AD2084" t="n">
        <v>29.5409706483386</v>
      </c>
    </row>
    <row r="2085">
      <c r="A2085" t="n">
        <v>2084</v>
      </c>
      <c r="B2085" t="n">
        <v>70.3</v>
      </c>
      <c r="C2085" s="21">
        <f>B2085-20</f>
        <v/>
      </c>
      <c r="D2085" t="n">
        <v>129.4</v>
      </c>
      <c r="E2085" s="22">
        <f>D2085-90</f>
        <v/>
      </c>
      <c r="F2085" s="23" t="n">
        <v>0.016999</v>
      </c>
      <c r="G2085" s="22" t="n">
        <v>30.6</v>
      </c>
      <c r="H2085" s="22" t="n">
        <v>1.8</v>
      </c>
      <c r="I2085" s="24" t="n">
        <v>0.0730464085936546</v>
      </c>
      <c r="J2085" s="6" t="n">
        <v>71000</v>
      </c>
      <c r="K2085" s="25">
        <f>23*10^-6</f>
        <v/>
      </c>
      <c r="L2085" s="8">
        <f>H2085</f>
        <v/>
      </c>
      <c r="M2085" s="26">
        <f>H2085^2/6</f>
        <v/>
      </c>
      <c r="N2085" s="26">
        <f>H2085^3/12</f>
        <v/>
      </c>
      <c r="O2085" s="27">
        <f>-J2085*L2085*K2085*C2085</f>
        <v/>
      </c>
      <c r="P2085" s="28">
        <f>-(12*F2085*J2085*L2085*N2085+12*O2085*N2085*G2085*COS(RADIANS(E2085)))/(12*N2085*G2085*COS(RADIANS(E2085))^2+L2085*G2085^3*SIN(RADIANS(E2085))^2)</f>
        <v/>
      </c>
      <c r="Q2085" s="28">
        <f>-(6*F2085*J2085*L2085*N2085*SIN(RADIANS(E2085))+6*O2085*N2085*G2085*SIN(RADIANS(E2085))*COS(RADIANS(E2085)))/(12*N2085*COS(RADIANS(E2085))^2+L2085*G2085^2*SIN(RADIANS(E2085))^2)</f>
        <v/>
      </c>
      <c r="R2085" s="28">
        <f>-P2085*SIN(RADIANS(E2085))</f>
        <v/>
      </c>
      <c r="S2085" s="8">
        <f>(O2085+P2085*COS(RADIANS(E2085)))/L2085</f>
        <v/>
      </c>
      <c r="T2085" s="8">
        <f>R2085/L2085</f>
        <v/>
      </c>
      <c r="U2085" s="8">
        <f>(Q2085-P2085*G2085*SIN(RADIANS(E2085)))/M2085</f>
        <v/>
      </c>
      <c r="V2085" s="8">
        <f>SQRT((S2085+U2085)^2+3*T2085^2)</f>
        <v/>
      </c>
      <c r="W2085" s="8">
        <f>V2085/AA2085</f>
        <v/>
      </c>
      <c r="X2085" s="27">
        <f>((3*10+H2085/COS(RADIANS(E2085)))*(3+3)+3*G2085*H2085)*2</f>
        <v/>
      </c>
      <c r="Y2085" s="28">
        <f>Z2085/X2085</f>
        <v/>
      </c>
      <c r="Z2085" s="29" t="n">
        <v>728.924912917191</v>
      </c>
      <c r="AA2085" s="20" t="n">
        <v>75.904010652803</v>
      </c>
      <c r="AB2085" t="n">
        <v>0.0760075050297821</v>
      </c>
      <c r="AC2085" t="n">
        <v>72.89546539125836</v>
      </c>
      <c r="AD2085" t="n">
        <v>4.053719399949687</v>
      </c>
    </row>
    <row r="2086">
      <c r="A2086" t="n">
        <v>2085</v>
      </c>
      <c r="B2086" t="n">
        <v>44.4</v>
      </c>
      <c r="C2086" s="21">
        <f>B2086-20</f>
        <v/>
      </c>
      <c r="D2086" t="n">
        <v>114.1</v>
      </c>
      <c r="E2086" s="22">
        <f>D2086-90</f>
        <v/>
      </c>
      <c r="F2086" s="23" t="n">
        <v>0.009693</v>
      </c>
      <c r="G2086" s="22" t="n">
        <v>31.6</v>
      </c>
      <c r="H2086" s="22" t="n">
        <v>1.3</v>
      </c>
      <c r="I2086" s="24" t="n">
        <v>0.0500630363821983</v>
      </c>
      <c r="J2086" s="6" t="n">
        <v>71000</v>
      </c>
      <c r="K2086" s="25">
        <f>23*10^-6</f>
        <v/>
      </c>
      <c r="L2086" s="8">
        <f>H2086</f>
        <v/>
      </c>
      <c r="M2086" s="26">
        <f>H2086^2/6</f>
        <v/>
      </c>
      <c r="N2086" s="26">
        <f>H2086^3/12</f>
        <v/>
      </c>
      <c r="O2086" s="27">
        <f>-J2086*L2086*K2086*C2086</f>
        <v/>
      </c>
      <c r="P2086" s="28">
        <f>-(12*F2086*J2086*L2086*N2086+12*O2086*N2086*G2086*COS(RADIANS(E2086)))/(12*N2086*G2086*COS(RADIANS(E2086))^2+L2086*G2086^3*SIN(RADIANS(E2086))^2)</f>
        <v/>
      </c>
      <c r="Q2086" s="28">
        <f>-(6*F2086*J2086*L2086*N2086*SIN(RADIANS(E2086))+6*O2086*N2086*G2086*SIN(RADIANS(E2086))*COS(RADIANS(E2086)))/(12*N2086*COS(RADIANS(E2086))^2+L2086*G2086^2*SIN(RADIANS(E2086))^2)</f>
        <v/>
      </c>
      <c r="R2086" s="28">
        <f>-P2086*SIN(RADIANS(E2086))</f>
        <v/>
      </c>
      <c r="S2086" s="8">
        <f>(O2086+P2086*COS(RADIANS(E2086)))/L2086</f>
        <v/>
      </c>
      <c r="T2086" s="8">
        <f>R2086/L2086</f>
        <v/>
      </c>
      <c r="U2086" s="8">
        <f>(Q2086-P2086*G2086*SIN(RADIANS(E2086)))/M2086</f>
        <v/>
      </c>
      <c r="V2086" s="8">
        <f>SQRT((S2086+U2086)^2+3*T2086^2)</f>
        <v/>
      </c>
      <c r="W2086" s="8">
        <f>V2086/AA2086</f>
        <v/>
      </c>
      <c r="X2086" s="27">
        <f>((3*10+H2086/COS(RADIANS(E2086)))*(3+3)+3*G2086*H2086)*2</f>
        <v/>
      </c>
      <c r="Y2086" s="28">
        <f>Z2086/X2086</f>
        <v/>
      </c>
      <c r="Z2086" s="29" t="n">
        <v>629.29500246266</v>
      </c>
      <c r="AA2086" s="20" t="n">
        <v>35.2814175979997</v>
      </c>
      <c r="AB2086" t="n">
        <v>0.0645161281892844</v>
      </c>
      <c r="AC2086" t="n">
        <v>36.25961415878334</v>
      </c>
      <c r="AD2086" t="n">
        <v>28.86978667603433</v>
      </c>
    </row>
    <row r="2087">
      <c r="A2087" t="n">
        <v>2086</v>
      </c>
      <c r="B2087" t="n">
        <v>81.2</v>
      </c>
      <c r="C2087" s="21">
        <f>B2087-20</f>
        <v/>
      </c>
      <c r="D2087" t="n">
        <v>100.2</v>
      </c>
      <c r="E2087" s="22">
        <f>D2087-90</f>
        <v/>
      </c>
      <c r="F2087" s="23" t="n">
        <v>0.026914</v>
      </c>
      <c r="G2087" s="22" t="n">
        <v>33.1</v>
      </c>
      <c r="H2087" s="22" t="n">
        <v>1.8</v>
      </c>
      <c r="I2087" s="24" t="n">
        <v>0.247414603829383</v>
      </c>
      <c r="J2087" s="6" t="n">
        <v>71000</v>
      </c>
      <c r="K2087" s="25">
        <f>23*10^-6</f>
        <v/>
      </c>
      <c r="L2087" s="8">
        <f>H2087</f>
        <v/>
      </c>
      <c r="M2087" s="26">
        <f>H2087^2/6</f>
        <v/>
      </c>
      <c r="N2087" s="26">
        <f>H2087^3/12</f>
        <v/>
      </c>
      <c r="O2087" s="27">
        <f>-J2087*L2087*K2087*C2087</f>
        <v/>
      </c>
      <c r="P2087" s="28">
        <f>-(12*F2087*J2087*L2087*N2087+12*O2087*N2087*G2087*COS(RADIANS(E2087)))/(12*N2087*G2087*COS(RADIANS(E2087))^2+L2087*G2087^3*SIN(RADIANS(E2087))^2)</f>
        <v/>
      </c>
      <c r="Q2087" s="28">
        <f>-(6*F2087*J2087*L2087*N2087*SIN(RADIANS(E2087))+6*O2087*N2087*G2087*SIN(RADIANS(E2087))*COS(RADIANS(E2087)))/(12*N2087*COS(RADIANS(E2087))^2+L2087*G2087^2*SIN(RADIANS(E2087))^2)</f>
        <v/>
      </c>
      <c r="R2087" s="28">
        <f>-P2087*SIN(RADIANS(E2087))</f>
        <v/>
      </c>
      <c r="S2087" s="8">
        <f>(O2087+P2087*COS(RADIANS(E2087)))/L2087</f>
        <v/>
      </c>
      <c r="T2087" s="8">
        <f>R2087/L2087</f>
        <v/>
      </c>
      <c r="U2087" s="8">
        <f>(Q2087-P2087*G2087*SIN(RADIANS(E2087)))/M2087</f>
        <v/>
      </c>
      <c r="V2087" s="8">
        <f>SQRT((S2087+U2087)^2+3*T2087^2)</f>
        <v/>
      </c>
      <c r="W2087" s="8">
        <f>V2087/AA2087</f>
        <v/>
      </c>
      <c r="X2087" s="27">
        <f>((3*10+H2087/COS(RADIANS(E2087)))*(3+3)+3*G2087*H2087)*2</f>
        <v/>
      </c>
      <c r="Y2087" s="28">
        <f>Z2087/X2087</f>
        <v/>
      </c>
      <c r="Z2087" s="29" t="n">
        <v>743.2458824771689</v>
      </c>
      <c r="AA2087" s="20" t="n">
        <v>108.061684358</v>
      </c>
      <c r="AB2087" t="n">
        <v>0.3777393201215486</v>
      </c>
      <c r="AC2087" t="n">
        <v>107.5693800472772</v>
      </c>
      <c r="AD2087" t="n">
        <v>52.67462561831537</v>
      </c>
    </row>
    <row r="2088">
      <c r="A2088" t="n">
        <v>2087</v>
      </c>
      <c r="B2088" t="n">
        <v>73.3</v>
      </c>
      <c r="C2088" s="21">
        <f>B2088-20</f>
        <v/>
      </c>
      <c r="D2088" t="n">
        <v>120.2</v>
      </c>
      <c r="E2088" s="22">
        <f>D2088-90</f>
        <v/>
      </c>
      <c r="F2088" s="23" t="n">
        <v>0.018928</v>
      </c>
      <c r="G2088" s="22" t="n">
        <v>29.1</v>
      </c>
      <c r="H2088" s="22" t="n">
        <v>1.4</v>
      </c>
      <c r="I2088" s="24" t="n">
        <v>0.0883317813277244</v>
      </c>
      <c r="J2088" s="6" t="n">
        <v>71000</v>
      </c>
      <c r="K2088" s="25">
        <f>23*10^-6</f>
        <v/>
      </c>
      <c r="L2088" s="8">
        <f>H2088</f>
        <v/>
      </c>
      <c r="M2088" s="26">
        <f>H2088^2/6</f>
        <v/>
      </c>
      <c r="N2088" s="26">
        <f>H2088^3/12</f>
        <v/>
      </c>
      <c r="O2088" s="27">
        <f>-J2088*L2088*K2088*C2088</f>
        <v/>
      </c>
      <c r="P2088" s="28">
        <f>-(12*F2088*J2088*L2088*N2088+12*O2088*N2088*G2088*COS(RADIANS(E2088)))/(12*N2088*G2088*COS(RADIANS(E2088))^2+L2088*G2088^3*SIN(RADIANS(E2088))^2)</f>
        <v/>
      </c>
      <c r="Q2088" s="28">
        <f>-(6*F2088*J2088*L2088*N2088*SIN(RADIANS(E2088))+6*O2088*N2088*G2088*SIN(RADIANS(E2088))*COS(RADIANS(E2088)))/(12*N2088*COS(RADIANS(E2088))^2+L2088*G2088^2*SIN(RADIANS(E2088))^2)</f>
        <v/>
      </c>
      <c r="R2088" s="28">
        <f>-P2088*SIN(RADIANS(E2088))</f>
        <v/>
      </c>
      <c r="S2088" s="8">
        <f>(O2088+P2088*COS(RADIANS(E2088)))/L2088</f>
        <v/>
      </c>
      <c r="T2088" s="8">
        <f>R2088/L2088</f>
        <v/>
      </c>
      <c r="U2088" s="8">
        <f>(Q2088-P2088*G2088*SIN(RADIANS(E2088)))/M2088</f>
        <v/>
      </c>
      <c r="V2088" s="8">
        <f>SQRT((S2088+U2088)^2+3*T2088^2)</f>
        <v/>
      </c>
      <c r="W2088" s="8">
        <f>V2088/AA2088</f>
        <v/>
      </c>
      <c r="X2088" s="27">
        <f>((3*10+H2088/COS(RADIANS(E2088)))*(3+3)+3*G2088*H2088)*2</f>
        <v/>
      </c>
      <c r="Y2088" s="28">
        <f>Z2088/X2088</f>
        <v/>
      </c>
      <c r="Z2088" s="29" t="n">
        <v>631.080836986475</v>
      </c>
      <c r="AA2088" s="20" t="n">
        <v>77.720074136118</v>
      </c>
      <c r="AB2088" t="n">
        <v>0.1026631602519291</v>
      </c>
      <c r="AC2088" t="n">
        <v>78.20884204806778</v>
      </c>
      <c r="AD2088" t="n">
        <v>16.22448761791989</v>
      </c>
    </row>
    <row r="2089">
      <c r="A2089" t="n">
        <v>2088</v>
      </c>
      <c r="B2089" t="n">
        <v>70.8</v>
      </c>
      <c r="C2089" s="21">
        <f>B2089-20</f>
        <v/>
      </c>
      <c r="D2089" t="n">
        <v>121.9</v>
      </c>
      <c r="E2089" s="22">
        <f>D2089-90</f>
        <v/>
      </c>
      <c r="F2089" s="23" t="n">
        <v>0.018913</v>
      </c>
      <c r="G2089" s="22" t="n">
        <v>31.4</v>
      </c>
      <c r="H2089" s="22" t="n">
        <v>1.6</v>
      </c>
      <c r="I2089" s="24" t="n">
        <v>0.08547414839267729</v>
      </c>
      <c r="J2089" s="6" t="n">
        <v>71000</v>
      </c>
      <c r="K2089" s="25">
        <f>23*10^-6</f>
        <v/>
      </c>
      <c r="L2089" s="8">
        <f>H2089</f>
        <v/>
      </c>
      <c r="M2089" s="26">
        <f>H2089^2/6</f>
        <v/>
      </c>
      <c r="N2089" s="26">
        <f>H2089^3/12</f>
        <v/>
      </c>
      <c r="O2089" s="27">
        <f>-J2089*L2089*K2089*C2089</f>
        <v/>
      </c>
      <c r="P2089" s="28">
        <f>-(12*F2089*J2089*L2089*N2089+12*O2089*N2089*G2089*COS(RADIANS(E2089)))/(12*N2089*G2089*COS(RADIANS(E2089))^2+L2089*G2089^3*SIN(RADIANS(E2089))^2)</f>
        <v/>
      </c>
      <c r="Q2089" s="28">
        <f>-(6*F2089*J2089*L2089*N2089*SIN(RADIANS(E2089))+6*O2089*N2089*G2089*SIN(RADIANS(E2089))*COS(RADIANS(E2089)))/(12*N2089*COS(RADIANS(E2089))^2+L2089*G2089^2*SIN(RADIANS(E2089))^2)</f>
        <v/>
      </c>
      <c r="R2089" s="28">
        <f>-P2089*SIN(RADIANS(E2089))</f>
        <v/>
      </c>
      <c r="S2089" s="8">
        <f>(O2089+P2089*COS(RADIANS(E2089)))/L2089</f>
        <v/>
      </c>
      <c r="T2089" s="8">
        <f>R2089/L2089</f>
        <v/>
      </c>
      <c r="U2089" s="8">
        <f>(Q2089-P2089*G2089*SIN(RADIANS(E2089)))/M2089</f>
        <v/>
      </c>
      <c r="V2089" s="8">
        <f>SQRT((S2089+U2089)^2+3*T2089^2)</f>
        <v/>
      </c>
      <c r="W2089" s="8">
        <f>V2089/AA2089</f>
        <v/>
      </c>
      <c r="X2089" s="27">
        <f>((3*10+H2089/COS(RADIANS(E2089)))*(3+3)+3*G2089*H2089)*2</f>
        <v/>
      </c>
      <c r="Y2089" s="28">
        <f>Z2089/X2089</f>
        <v/>
      </c>
      <c r="Z2089" s="29" t="n">
        <v>691.758718522879</v>
      </c>
      <c r="AA2089" s="20" t="n">
        <v>76.24554175451991</v>
      </c>
      <c r="AB2089" t="n">
        <v>0.09906852471781513</v>
      </c>
      <c r="AC2089" t="n">
        <v>74.59041045537047</v>
      </c>
      <c r="AD2089" t="n">
        <v>15.90466425320067</v>
      </c>
    </row>
    <row r="2090">
      <c r="A2090" t="n">
        <v>2089</v>
      </c>
      <c r="B2090" t="n">
        <v>76.5</v>
      </c>
      <c r="C2090" s="21">
        <f>B2090-20</f>
        <v/>
      </c>
      <c r="D2090" t="n">
        <v>121.9</v>
      </c>
      <c r="E2090" s="22">
        <f>D2090-90</f>
        <v/>
      </c>
      <c r="F2090" s="23" t="n">
        <v>0.017043</v>
      </c>
      <c r="G2090" s="22" t="n">
        <v>24.1</v>
      </c>
      <c r="H2090" s="22" t="n">
        <v>1.9</v>
      </c>
      <c r="I2090" s="24" t="n">
        <v>0.08009810745716089</v>
      </c>
      <c r="J2090" s="6" t="n">
        <v>71000</v>
      </c>
      <c r="K2090" s="25">
        <f>23*10^-6</f>
        <v/>
      </c>
      <c r="L2090" s="8">
        <f>H2090</f>
        <v/>
      </c>
      <c r="M2090" s="26">
        <f>H2090^2/6</f>
        <v/>
      </c>
      <c r="N2090" s="26">
        <f>H2090^3/12</f>
        <v/>
      </c>
      <c r="O2090" s="27">
        <f>-J2090*L2090*K2090*C2090</f>
        <v/>
      </c>
      <c r="P2090" s="28">
        <f>-(12*F2090*J2090*L2090*N2090+12*O2090*N2090*G2090*COS(RADIANS(E2090)))/(12*N2090*G2090*COS(RADIANS(E2090))^2+L2090*G2090^3*SIN(RADIANS(E2090))^2)</f>
        <v/>
      </c>
      <c r="Q2090" s="28">
        <f>-(6*F2090*J2090*L2090*N2090*SIN(RADIANS(E2090))+6*O2090*N2090*G2090*SIN(RADIANS(E2090))*COS(RADIANS(E2090)))/(12*N2090*COS(RADIANS(E2090))^2+L2090*G2090^2*SIN(RADIANS(E2090))^2)</f>
        <v/>
      </c>
      <c r="R2090" s="28">
        <f>-P2090*SIN(RADIANS(E2090))</f>
        <v/>
      </c>
      <c r="S2090" s="8">
        <f>(O2090+P2090*COS(RADIANS(E2090)))/L2090</f>
        <v/>
      </c>
      <c r="T2090" s="8">
        <f>R2090/L2090</f>
        <v/>
      </c>
      <c r="U2090" s="8">
        <f>(Q2090-P2090*G2090*SIN(RADIANS(E2090)))/M2090</f>
        <v/>
      </c>
      <c r="V2090" s="8">
        <f>SQRT((S2090+U2090)^2+3*T2090^2)</f>
        <v/>
      </c>
      <c r="W2090" s="8">
        <f>V2090/AA2090</f>
        <v/>
      </c>
      <c r="X2090" s="27">
        <f>((3*10+H2090/COS(RADIANS(E2090)))*(3+3)+3*G2090*H2090)*2</f>
        <v/>
      </c>
      <c r="Y2090" s="28">
        <f>Z2090/X2090</f>
        <v/>
      </c>
      <c r="Z2090" s="29" t="n">
        <v>669.299142617649</v>
      </c>
      <c r="AA2090" s="20" t="n">
        <v>93.32235375852819</v>
      </c>
      <c r="AB2090" t="n">
        <v>0.08511030277865687</v>
      </c>
      <c r="AC2090" t="n">
        <v>85.64566934806574</v>
      </c>
      <c r="AD2090" t="n">
        <v>6.257570223087564</v>
      </c>
    </row>
    <row r="2091">
      <c r="A2091" t="n">
        <v>2090</v>
      </c>
      <c r="B2091" t="n">
        <v>67.09999999999999</v>
      </c>
      <c r="C2091" s="21">
        <f>B2091-20</f>
        <v/>
      </c>
      <c r="D2091" t="n">
        <v>109.7</v>
      </c>
      <c r="E2091" s="22">
        <f>D2091-90</f>
        <v/>
      </c>
      <c r="F2091" s="23" t="n">
        <v>0.015708</v>
      </c>
      <c r="G2091" s="22" t="n">
        <v>24.7</v>
      </c>
      <c r="H2091" s="22" t="n">
        <v>2</v>
      </c>
      <c r="I2091" s="24" t="n">
        <v>0.093227282166481</v>
      </c>
      <c r="J2091" s="6" t="n">
        <v>71000</v>
      </c>
      <c r="K2091" s="25">
        <f>23*10^-6</f>
        <v/>
      </c>
      <c r="L2091" s="8">
        <f>H2091</f>
        <v/>
      </c>
      <c r="M2091" s="26">
        <f>H2091^2/6</f>
        <v/>
      </c>
      <c r="N2091" s="26">
        <f>H2091^3/12</f>
        <v/>
      </c>
      <c r="O2091" s="27">
        <f>-J2091*L2091*K2091*C2091</f>
        <v/>
      </c>
      <c r="P2091" s="28">
        <f>-(12*F2091*J2091*L2091*N2091+12*O2091*N2091*G2091*COS(RADIANS(E2091)))/(12*N2091*G2091*COS(RADIANS(E2091))^2+L2091*G2091^3*SIN(RADIANS(E2091))^2)</f>
        <v/>
      </c>
      <c r="Q2091" s="28">
        <f>-(6*F2091*J2091*L2091*N2091*SIN(RADIANS(E2091))+6*O2091*N2091*G2091*SIN(RADIANS(E2091))*COS(RADIANS(E2091)))/(12*N2091*COS(RADIANS(E2091))^2+L2091*G2091^2*SIN(RADIANS(E2091))^2)</f>
        <v/>
      </c>
      <c r="R2091" s="28">
        <f>-P2091*SIN(RADIANS(E2091))</f>
        <v/>
      </c>
      <c r="S2091" s="8">
        <f>(O2091+P2091*COS(RADIANS(E2091)))/L2091</f>
        <v/>
      </c>
      <c r="T2091" s="8">
        <f>R2091/L2091</f>
        <v/>
      </c>
      <c r="U2091" s="8">
        <f>(Q2091-P2091*G2091*SIN(RADIANS(E2091)))/M2091</f>
        <v/>
      </c>
      <c r="V2091" s="8">
        <f>SQRT((S2091+U2091)^2+3*T2091^2)</f>
        <v/>
      </c>
      <c r="W2091" s="8">
        <f>V2091/AA2091</f>
        <v/>
      </c>
      <c r="X2091" s="27">
        <f>((3*10+H2091/COS(RADIANS(E2091)))*(3+3)+3*G2091*H2091)*2</f>
        <v/>
      </c>
      <c r="Y2091" s="28">
        <f>Z2091/X2091</f>
        <v/>
      </c>
      <c r="Z2091" s="29" t="n">
        <v>686.817699216081</v>
      </c>
      <c r="AA2091" s="20" t="n">
        <v>82.988740647212</v>
      </c>
      <c r="AB2091" t="n">
        <v>0.1169769136442851</v>
      </c>
      <c r="AC2091" t="n">
        <v>77.47667380423675</v>
      </c>
      <c r="AD2091" t="n">
        <v>25.47497999072104</v>
      </c>
    </row>
    <row r="2092">
      <c r="A2092" t="n">
        <v>2091</v>
      </c>
      <c r="B2092" t="n">
        <v>71.8</v>
      </c>
      <c r="C2092" s="21">
        <f>B2092-20</f>
        <v/>
      </c>
      <c r="D2092" t="n">
        <v>123.6</v>
      </c>
      <c r="E2092" s="22">
        <f>D2092-90</f>
        <v/>
      </c>
      <c r="F2092" s="23" t="n">
        <v>0.019037</v>
      </c>
      <c r="G2092" s="22" t="n">
        <v>31.5</v>
      </c>
      <c r="H2092" s="22" t="n">
        <v>1.4</v>
      </c>
      <c r="I2092" s="24" t="n">
        <v>0.0843992456793785</v>
      </c>
      <c r="J2092" s="6" t="n">
        <v>71000</v>
      </c>
      <c r="K2092" s="25">
        <f>23*10^-6</f>
        <v/>
      </c>
      <c r="L2092" s="8">
        <f>H2092</f>
        <v/>
      </c>
      <c r="M2092" s="26">
        <f>H2092^2/6</f>
        <v/>
      </c>
      <c r="N2092" s="26">
        <f>H2092^3/12</f>
        <v/>
      </c>
      <c r="O2092" s="27">
        <f>-J2092*L2092*K2092*C2092</f>
        <v/>
      </c>
      <c r="P2092" s="28">
        <f>-(12*F2092*J2092*L2092*N2092+12*O2092*N2092*G2092*COS(RADIANS(E2092)))/(12*N2092*G2092*COS(RADIANS(E2092))^2+L2092*G2092^3*SIN(RADIANS(E2092))^2)</f>
        <v/>
      </c>
      <c r="Q2092" s="28">
        <f>-(6*F2092*J2092*L2092*N2092*SIN(RADIANS(E2092))+6*O2092*N2092*G2092*SIN(RADIANS(E2092))*COS(RADIANS(E2092)))/(12*N2092*COS(RADIANS(E2092))^2+L2092*G2092^2*SIN(RADIANS(E2092))^2)</f>
        <v/>
      </c>
      <c r="R2092" s="28">
        <f>-P2092*SIN(RADIANS(E2092))</f>
        <v/>
      </c>
      <c r="S2092" s="8">
        <f>(O2092+P2092*COS(RADIANS(E2092)))/L2092</f>
        <v/>
      </c>
      <c r="T2092" s="8">
        <f>R2092/L2092</f>
        <v/>
      </c>
      <c r="U2092" s="8">
        <f>(Q2092-P2092*G2092*SIN(RADIANS(E2092)))/M2092</f>
        <v/>
      </c>
      <c r="V2092" s="8">
        <f>SQRT((S2092+U2092)^2+3*T2092^2)</f>
        <v/>
      </c>
      <c r="W2092" s="8">
        <f>V2092/AA2092</f>
        <v/>
      </c>
      <c r="X2092" s="27">
        <f>((3*10+H2092/COS(RADIANS(E2092)))*(3+3)+3*G2092*H2092)*2</f>
        <v/>
      </c>
      <c r="Y2092" s="28">
        <f>Z2092/X2092</f>
        <v/>
      </c>
      <c r="Z2092" s="29" t="n">
        <v>653.0178526301059</v>
      </c>
      <c r="AA2092" s="20" t="n">
        <v>74.2377243105348</v>
      </c>
      <c r="AB2092" t="n">
        <v>0.09598282753260741</v>
      </c>
      <c r="AC2092" t="n">
        <v>74.88750780722427</v>
      </c>
      <c r="AD2092" t="n">
        <v>13.72474571305222</v>
      </c>
    </row>
    <row r="2093">
      <c r="A2093" t="n">
        <v>2092</v>
      </c>
      <c r="B2093" t="n">
        <v>74.5</v>
      </c>
      <c r="C2093" s="21">
        <f>B2093-20</f>
        <v/>
      </c>
      <c r="D2093" t="n">
        <v>104.7</v>
      </c>
      <c r="E2093" s="22">
        <f>D2093-90</f>
        <v/>
      </c>
      <c r="F2093" s="23" t="n">
        <v>0.01761</v>
      </c>
      <c r="G2093" s="22" t="n">
        <v>23.1</v>
      </c>
      <c r="H2093" s="22" t="n">
        <v>1.4</v>
      </c>
      <c r="I2093" s="24" t="n">
        <v>0.129192173480987</v>
      </c>
      <c r="J2093" s="6" t="n">
        <v>71000</v>
      </c>
      <c r="K2093" s="25">
        <f>23*10^-6</f>
        <v/>
      </c>
      <c r="L2093" s="8">
        <f>H2093</f>
        <v/>
      </c>
      <c r="M2093" s="26">
        <f>H2093^2/6</f>
        <v/>
      </c>
      <c r="N2093" s="26">
        <f>H2093^3/12</f>
        <v/>
      </c>
      <c r="O2093" s="27">
        <f>-J2093*L2093*K2093*C2093</f>
        <v/>
      </c>
      <c r="P2093" s="28">
        <f>-(12*F2093*J2093*L2093*N2093+12*O2093*N2093*G2093*COS(RADIANS(E2093)))/(12*N2093*G2093*COS(RADIANS(E2093))^2+L2093*G2093^3*SIN(RADIANS(E2093))^2)</f>
        <v/>
      </c>
      <c r="Q2093" s="28">
        <f>-(6*F2093*J2093*L2093*N2093*SIN(RADIANS(E2093))+6*O2093*N2093*G2093*SIN(RADIANS(E2093))*COS(RADIANS(E2093)))/(12*N2093*COS(RADIANS(E2093))^2+L2093*G2093^2*SIN(RADIANS(E2093))^2)</f>
        <v/>
      </c>
      <c r="R2093" s="28">
        <f>-P2093*SIN(RADIANS(E2093))</f>
        <v/>
      </c>
      <c r="S2093" s="8">
        <f>(O2093+P2093*COS(RADIANS(E2093)))/L2093</f>
        <v/>
      </c>
      <c r="T2093" s="8">
        <f>R2093/L2093</f>
        <v/>
      </c>
      <c r="U2093" s="8">
        <f>(Q2093-P2093*G2093*SIN(RADIANS(E2093)))/M2093</f>
        <v/>
      </c>
      <c r="V2093" s="8">
        <f>SQRT((S2093+U2093)^2+3*T2093^2)</f>
        <v/>
      </c>
      <c r="W2093" s="8">
        <f>V2093/AA2093</f>
        <v/>
      </c>
      <c r="X2093" s="27">
        <f>((3*10+H2093/COS(RADIANS(E2093)))*(3+3)+3*G2093*H2093)*2</f>
        <v/>
      </c>
      <c r="Y2093" s="28">
        <f>Z2093/X2093</f>
        <v/>
      </c>
      <c r="Z2093" s="29" t="n">
        <v>575.654297440491</v>
      </c>
      <c r="AA2093" s="20" t="n">
        <v>87.1048869090655</v>
      </c>
      <c r="AB2093" t="n">
        <v>0.1718174666760328</v>
      </c>
      <c r="AC2093" t="n">
        <v>89.70521281299656</v>
      </c>
      <c r="AD2093" t="n">
        <v>32.99371165182763</v>
      </c>
    </row>
    <row r="2094">
      <c r="A2094" t="n">
        <v>2093</v>
      </c>
      <c r="B2094" t="n">
        <v>86.7</v>
      </c>
      <c r="C2094" s="21">
        <f>B2094-20</f>
        <v/>
      </c>
      <c r="D2094" t="n">
        <v>115.4</v>
      </c>
      <c r="E2094" s="22">
        <f>D2094-90</f>
        <v/>
      </c>
      <c r="F2094" s="23" t="n">
        <v>0.02455</v>
      </c>
      <c r="G2094" s="22" t="n">
        <v>29.1</v>
      </c>
      <c r="H2094" s="22" t="n">
        <v>1.5</v>
      </c>
      <c r="I2094" s="24" t="n">
        <v>0.124490976333618</v>
      </c>
      <c r="J2094" s="6" t="n">
        <v>71000</v>
      </c>
      <c r="K2094" s="25">
        <f>23*10^-6</f>
        <v/>
      </c>
      <c r="L2094" s="8">
        <f>H2094</f>
        <v/>
      </c>
      <c r="M2094" s="26">
        <f>H2094^2/6</f>
        <v/>
      </c>
      <c r="N2094" s="26">
        <f>H2094^3/12</f>
        <v/>
      </c>
      <c r="O2094" s="27">
        <f>-J2094*L2094*K2094*C2094</f>
        <v/>
      </c>
      <c r="P2094" s="28">
        <f>-(12*F2094*J2094*L2094*N2094+12*O2094*N2094*G2094*COS(RADIANS(E2094)))/(12*N2094*G2094*COS(RADIANS(E2094))^2+L2094*G2094^3*SIN(RADIANS(E2094))^2)</f>
        <v/>
      </c>
      <c r="Q2094" s="28">
        <f>-(6*F2094*J2094*L2094*N2094*SIN(RADIANS(E2094))+6*O2094*N2094*G2094*SIN(RADIANS(E2094))*COS(RADIANS(E2094)))/(12*N2094*COS(RADIANS(E2094))^2+L2094*G2094^2*SIN(RADIANS(E2094))^2)</f>
        <v/>
      </c>
      <c r="R2094" s="28">
        <f>-P2094*SIN(RADIANS(E2094))</f>
        <v/>
      </c>
      <c r="S2094" s="8">
        <f>(O2094+P2094*COS(RADIANS(E2094)))/L2094</f>
        <v/>
      </c>
      <c r="T2094" s="8">
        <f>R2094/L2094</f>
        <v/>
      </c>
      <c r="U2094" s="8">
        <f>(Q2094-P2094*G2094*SIN(RADIANS(E2094)))/M2094</f>
        <v/>
      </c>
      <c r="V2094" s="8">
        <f>SQRT((S2094+U2094)^2+3*T2094^2)</f>
        <v/>
      </c>
      <c r="W2094" s="8">
        <f>V2094/AA2094</f>
        <v/>
      </c>
      <c r="X2094" s="27">
        <f>((3*10+H2094/COS(RADIANS(E2094)))*(3+3)+3*G2094*H2094)*2</f>
        <v/>
      </c>
      <c r="Y2094" s="28">
        <f>Z2094/X2094</f>
        <v/>
      </c>
      <c r="Z2094" s="29" t="n">
        <v>647.827993473722</v>
      </c>
      <c r="AA2094" s="20" t="n">
        <v>100.245731633536</v>
      </c>
      <c r="AB2094" t="n">
        <v>0.1538299697805626</v>
      </c>
      <c r="AC2094" t="n">
        <v>100.4594640529609</v>
      </c>
      <c r="AD2094" t="n">
        <v>23.56716471426834</v>
      </c>
    </row>
    <row r="2095">
      <c r="A2095" t="n">
        <v>2094</v>
      </c>
      <c r="B2095" t="n">
        <v>56.3</v>
      </c>
      <c r="C2095" s="21">
        <f>B2095-20</f>
        <v/>
      </c>
      <c r="D2095" t="n">
        <v>129.9</v>
      </c>
      <c r="E2095" s="22">
        <f>D2095-90</f>
        <v/>
      </c>
      <c r="F2095" s="23" t="n">
        <v>0.011563</v>
      </c>
      <c r="G2095" s="22" t="n">
        <v>28.6</v>
      </c>
      <c r="H2095" s="22" t="n">
        <v>1.9</v>
      </c>
      <c r="I2095" s="24" t="n">
        <v>0.0500997863709926</v>
      </c>
      <c r="J2095" s="6" t="n">
        <v>71000</v>
      </c>
      <c r="K2095" s="25">
        <f>23*10^-6</f>
        <v/>
      </c>
      <c r="L2095" s="8">
        <f>H2095</f>
        <v/>
      </c>
      <c r="M2095" s="26">
        <f>H2095^2/6</f>
        <v/>
      </c>
      <c r="N2095" s="26">
        <f>H2095^3/12</f>
        <v/>
      </c>
      <c r="O2095" s="27">
        <f>-J2095*L2095*K2095*C2095</f>
        <v/>
      </c>
      <c r="P2095" s="28">
        <f>-(12*F2095*J2095*L2095*N2095+12*O2095*N2095*G2095*COS(RADIANS(E2095)))/(12*N2095*G2095*COS(RADIANS(E2095))^2+L2095*G2095^3*SIN(RADIANS(E2095))^2)</f>
        <v/>
      </c>
      <c r="Q2095" s="28">
        <f>-(6*F2095*J2095*L2095*N2095*SIN(RADIANS(E2095))+6*O2095*N2095*G2095*SIN(RADIANS(E2095))*COS(RADIANS(E2095)))/(12*N2095*COS(RADIANS(E2095))^2+L2095*G2095^2*SIN(RADIANS(E2095))^2)</f>
        <v/>
      </c>
      <c r="R2095" s="28">
        <f>-P2095*SIN(RADIANS(E2095))</f>
        <v/>
      </c>
      <c r="S2095" s="8">
        <f>(O2095+P2095*COS(RADIANS(E2095)))/L2095</f>
        <v/>
      </c>
      <c r="T2095" s="8">
        <f>R2095/L2095</f>
        <v/>
      </c>
      <c r="U2095" s="8">
        <f>(Q2095-P2095*G2095*SIN(RADIANS(E2095)))/M2095</f>
        <v/>
      </c>
      <c r="V2095" s="8">
        <f>SQRT((S2095+U2095)^2+3*T2095^2)</f>
        <v/>
      </c>
      <c r="W2095" s="8">
        <f>V2095/AA2095</f>
        <v/>
      </c>
      <c r="X2095" s="27">
        <f>((3*10+H2095/COS(RADIANS(E2095)))*(3+3)+3*G2095*H2095)*2</f>
        <v/>
      </c>
      <c r="Y2095" s="28">
        <f>Z2095/X2095</f>
        <v/>
      </c>
      <c r="Z2095" s="29" t="n">
        <v>726.477443087632</v>
      </c>
      <c r="AA2095" s="20" t="n">
        <v>56.2046269429047</v>
      </c>
      <c r="AB2095" t="n">
        <v>0.05067296299015007</v>
      </c>
      <c r="AC2095" t="n">
        <v>52.90187208423145</v>
      </c>
      <c r="AD2095" t="n">
        <v>1.144069986472707</v>
      </c>
    </row>
    <row r="2096">
      <c r="A2096" t="n">
        <v>2095</v>
      </c>
      <c r="B2096" t="n">
        <v>56.7</v>
      </c>
      <c r="C2096" s="21">
        <f>B2096-20</f>
        <v/>
      </c>
      <c r="D2096" t="n">
        <v>115.6</v>
      </c>
      <c r="E2096" s="22">
        <f>D2096-90</f>
        <v/>
      </c>
      <c r="F2096" s="23" t="n">
        <v>0.015037</v>
      </c>
      <c r="G2096" s="22" t="n">
        <v>33.2</v>
      </c>
      <c r="H2096" s="22" t="n">
        <v>1.3</v>
      </c>
      <c r="I2096" s="24" t="n">
        <v>0.0746019631624221</v>
      </c>
      <c r="J2096" s="6" t="n">
        <v>71000</v>
      </c>
      <c r="K2096" s="25">
        <f>23*10^-6</f>
        <v/>
      </c>
      <c r="L2096" s="8">
        <f>H2096</f>
        <v/>
      </c>
      <c r="M2096" s="26">
        <f>H2096^2/6</f>
        <v/>
      </c>
      <c r="N2096" s="26">
        <f>H2096^3/12</f>
        <v/>
      </c>
      <c r="O2096" s="27">
        <f>-J2096*L2096*K2096*C2096</f>
        <v/>
      </c>
      <c r="P2096" s="28">
        <f>-(12*F2096*J2096*L2096*N2096+12*O2096*N2096*G2096*COS(RADIANS(E2096)))/(12*N2096*G2096*COS(RADIANS(E2096))^2+L2096*G2096^3*SIN(RADIANS(E2096))^2)</f>
        <v/>
      </c>
      <c r="Q2096" s="28">
        <f>-(6*F2096*J2096*L2096*N2096*SIN(RADIANS(E2096))+6*O2096*N2096*G2096*SIN(RADIANS(E2096))*COS(RADIANS(E2096)))/(12*N2096*COS(RADIANS(E2096))^2+L2096*G2096^2*SIN(RADIANS(E2096))^2)</f>
        <v/>
      </c>
      <c r="R2096" s="28">
        <f>-P2096*SIN(RADIANS(E2096))</f>
        <v/>
      </c>
      <c r="S2096" s="8">
        <f>(O2096+P2096*COS(RADIANS(E2096)))/L2096</f>
        <v/>
      </c>
      <c r="T2096" s="8">
        <f>R2096/L2096</f>
        <v/>
      </c>
      <c r="U2096" s="8">
        <f>(Q2096-P2096*G2096*SIN(RADIANS(E2096)))/M2096</f>
        <v/>
      </c>
      <c r="V2096" s="8">
        <f>SQRT((S2096+U2096)^2+3*T2096^2)</f>
        <v/>
      </c>
      <c r="W2096" s="8">
        <f>V2096/AA2096</f>
        <v/>
      </c>
      <c r="X2096" s="27">
        <f>((3*10+H2096/COS(RADIANS(E2096)))*(3+3)+3*G2096*H2096)*2</f>
        <v/>
      </c>
      <c r="Y2096" s="28">
        <f>Z2096/X2096</f>
        <v/>
      </c>
      <c r="Z2096" s="29" t="n">
        <v>642.3042212533491</v>
      </c>
      <c r="AA2096" s="20" t="n">
        <v>52.4314892041761</v>
      </c>
      <c r="AB2096" t="n">
        <v>0.09555591127147069</v>
      </c>
      <c r="AC2096" t="n">
        <v>54.02258048161025</v>
      </c>
      <c r="AD2096" t="n">
        <v>28.08766314021525</v>
      </c>
    </row>
    <row r="2097">
      <c r="A2097" t="n">
        <v>2096</v>
      </c>
      <c r="B2097" t="n">
        <v>61.4</v>
      </c>
      <c r="C2097" s="21">
        <f>B2097-20</f>
        <v/>
      </c>
      <c r="D2097" t="n">
        <v>105.8</v>
      </c>
      <c r="E2097" s="22">
        <f>D2097-90</f>
        <v/>
      </c>
      <c r="F2097" s="23" t="n">
        <v>0.013912</v>
      </c>
      <c r="G2097" s="22" t="n">
        <v>24.4</v>
      </c>
      <c r="H2097" s="22" t="n">
        <v>1.8</v>
      </c>
      <c r="I2097" s="24" t="n">
        <v>0.0951981246471405</v>
      </c>
      <c r="J2097" s="6" t="n">
        <v>71000</v>
      </c>
      <c r="K2097" s="25">
        <f>23*10^-6</f>
        <v/>
      </c>
      <c r="L2097" s="8">
        <f>H2097</f>
        <v/>
      </c>
      <c r="M2097" s="26">
        <f>H2097^2/6</f>
        <v/>
      </c>
      <c r="N2097" s="26">
        <f>H2097^3/12</f>
        <v/>
      </c>
      <c r="O2097" s="27">
        <f>-J2097*L2097*K2097*C2097</f>
        <v/>
      </c>
      <c r="P2097" s="28">
        <f>-(12*F2097*J2097*L2097*N2097+12*O2097*N2097*G2097*COS(RADIANS(E2097)))/(12*N2097*G2097*COS(RADIANS(E2097))^2+L2097*G2097^3*SIN(RADIANS(E2097))^2)</f>
        <v/>
      </c>
      <c r="Q2097" s="28">
        <f>-(6*F2097*J2097*L2097*N2097*SIN(RADIANS(E2097))+6*O2097*N2097*G2097*SIN(RADIANS(E2097))*COS(RADIANS(E2097)))/(12*N2097*COS(RADIANS(E2097))^2+L2097*G2097^2*SIN(RADIANS(E2097))^2)</f>
        <v/>
      </c>
      <c r="R2097" s="28">
        <f>-P2097*SIN(RADIANS(E2097))</f>
        <v/>
      </c>
      <c r="S2097" s="8">
        <f>(O2097+P2097*COS(RADIANS(E2097)))/L2097</f>
        <v/>
      </c>
      <c r="T2097" s="8">
        <f>R2097/L2097</f>
        <v/>
      </c>
      <c r="U2097" s="8">
        <f>(Q2097-P2097*G2097*SIN(RADIANS(E2097)))/M2097</f>
        <v/>
      </c>
      <c r="V2097" s="8">
        <f>SQRT((S2097+U2097)^2+3*T2097^2)</f>
        <v/>
      </c>
      <c r="W2097" s="8">
        <f>V2097/AA2097</f>
        <v/>
      </c>
      <c r="X2097" s="27">
        <f>((3*10+H2097/COS(RADIANS(E2097)))*(3+3)+3*G2097*H2097)*2</f>
        <v/>
      </c>
      <c r="Y2097" s="28">
        <f>Z2097/X2097</f>
        <v/>
      </c>
      <c r="Z2097" s="29" t="n">
        <v>650.34413788439</v>
      </c>
      <c r="AA2097" s="20" t="n">
        <v>72.2201303556344</v>
      </c>
      <c r="AB2097" t="n">
        <v>0.1256860216504969</v>
      </c>
      <c r="AC2097" t="n">
        <v>69.65137493285104</v>
      </c>
      <c r="AD2097" t="n">
        <v>32.02573277190307</v>
      </c>
    </row>
    <row r="2098">
      <c r="A2098" t="n">
        <v>2097</v>
      </c>
      <c r="B2098" t="n">
        <v>61.9</v>
      </c>
      <c r="C2098" s="21">
        <f>B2098-20</f>
        <v/>
      </c>
      <c r="D2098" t="n">
        <v>121.9</v>
      </c>
      <c r="E2098" s="22">
        <f>D2098-90</f>
        <v/>
      </c>
      <c r="F2098" s="23" t="n">
        <v>0.016897</v>
      </c>
      <c r="G2098" s="22" t="n">
        <v>34.6</v>
      </c>
      <c r="H2098" s="22" t="n">
        <v>1.2</v>
      </c>
      <c r="I2098" s="24" t="n">
        <v>0.07522284239530561</v>
      </c>
      <c r="J2098" s="6" t="n">
        <v>71000</v>
      </c>
      <c r="K2098" s="25">
        <f>23*10^-6</f>
        <v/>
      </c>
      <c r="L2098" s="8">
        <f>H2098</f>
        <v/>
      </c>
      <c r="M2098" s="26">
        <f>H2098^2/6</f>
        <v/>
      </c>
      <c r="N2098" s="26">
        <f>H2098^3/12</f>
        <v/>
      </c>
      <c r="O2098" s="27">
        <f>-J2098*L2098*K2098*C2098</f>
        <v/>
      </c>
      <c r="P2098" s="28">
        <f>-(12*F2098*J2098*L2098*N2098+12*O2098*N2098*G2098*COS(RADIANS(E2098)))/(12*N2098*G2098*COS(RADIANS(E2098))^2+L2098*G2098^3*SIN(RADIANS(E2098))^2)</f>
        <v/>
      </c>
      <c r="Q2098" s="28">
        <f>-(6*F2098*J2098*L2098*N2098*SIN(RADIANS(E2098))+6*O2098*N2098*G2098*SIN(RADIANS(E2098))*COS(RADIANS(E2098)))/(12*N2098*COS(RADIANS(E2098))^2+L2098*G2098^2*SIN(RADIANS(E2098))^2)</f>
        <v/>
      </c>
      <c r="R2098" s="28">
        <f>-P2098*SIN(RADIANS(E2098))</f>
        <v/>
      </c>
      <c r="S2098" s="8">
        <f>(O2098+P2098*COS(RADIANS(E2098)))/L2098</f>
        <v/>
      </c>
      <c r="T2098" s="8">
        <f>R2098/L2098</f>
        <v/>
      </c>
      <c r="U2098" s="8">
        <f>(Q2098-P2098*G2098*SIN(RADIANS(E2098)))/M2098</f>
        <v/>
      </c>
      <c r="V2098" s="8">
        <f>SQRT((S2098+U2098)^2+3*T2098^2)</f>
        <v/>
      </c>
      <c r="W2098" s="8">
        <f>V2098/AA2098</f>
        <v/>
      </c>
      <c r="X2098" s="27">
        <f>((3*10+H2098/COS(RADIANS(E2098)))*(3+3)+3*G2098*H2098)*2</f>
        <v/>
      </c>
      <c r="Y2098" s="28">
        <f>Z2098/X2098</f>
        <v/>
      </c>
      <c r="Z2098" s="29" t="n">
        <v>633.784819729853</v>
      </c>
      <c r="AA2098" s="20" t="n">
        <v>57.6644176848836</v>
      </c>
      <c r="AB2098" t="n">
        <v>0.08993338646887397</v>
      </c>
      <c r="AC2098" t="n">
        <v>59.98690709507093</v>
      </c>
      <c r="AD2098" t="n">
        <v>19.55595349117836</v>
      </c>
    </row>
    <row r="2099">
      <c r="A2099" t="n">
        <v>2098</v>
      </c>
      <c r="B2099" t="n">
        <v>59.2</v>
      </c>
      <c r="C2099" s="21">
        <f>B2099-20</f>
        <v/>
      </c>
      <c r="D2099" t="n">
        <v>101.3</v>
      </c>
      <c r="E2099" s="22">
        <f>D2099-90</f>
        <v/>
      </c>
      <c r="F2099" s="23" t="n">
        <v>0.013768</v>
      </c>
      <c r="G2099" s="22" t="n">
        <v>25.3</v>
      </c>
      <c r="H2099" s="22" t="n">
        <v>1.1</v>
      </c>
      <c r="I2099" s="24" t="n">
        <v>0.123434424400329</v>
      </c>
      <c r="J2099" s="6" t="n">
        <v>71000</v>
      </c>
      <c r="K2099" s="25">
        <f>23*10^-6</f>
        <v/>
      </c>
      <c r="L2099" s="8">
        <f>H2099</f>
        <v/>
      </c>
      <c r="M2099" s="26">
        <f>H2099^2/6</f>
        <v/>
      </c>
      <c r="N2099" s="26">
        <f>H2099^3/12</f>
        <v/>
      </c>
      <c r="O2099" s="27">
        <f>-J2099*L2099*K2099*C2099</f>
        <v/>
      </c>
      <c r="P2099" s="28">
        <f>-(12*F2099*J2099*L2099*N2099+12*O2099*N2099*G2099*COS(RADIANS(E2099)))/(12*N2099*G2099*COS(RADIANS(E2099))^2+L2099*G2099^3*SIN(RADIANS(E2099))^2)</f>
        <v/>
      </c>
      <c r="Q2099" s="28">
        <f>-(6*F2099*J2099*L2099*N2099*SIN(RADIANS(E2099))+6*O2099*N2099*G2099*SIN(RADIANS(E2099))*COS(RADIANS(E2099)))/(12*N2099*COS(RADIANS(E2099))^2+L2099*G2099^2*SIN(RADIANS(E2099))^2)</f>
        <v/>
      </c>
      <c r="R2099" s="28">
        <f>-P2099*SIN(RADIANS(E2099))</f>
        <v/>
      </c>
      <c r="S2099" s="8">
        <f>(O2099+P2099*COS(RADIANS(E2099)))/L2099</f>
        <v/>
      </c>
      <c r="T2099" s="8">
        <f>R2099/L2099</f>
        <v/>
      </c>
      <c r="U2099" s="8">
        <f>(Q2099-P2099*G2099*SIN(RADIANS(E2099)))/M2099</f>
        <v/>
      </c>
      <c r="V2099" s="8">
        <f>SQRT((S2099+U2099)^2+3*T2099^2)</f>
        <v/>
      </c>
      <c r="W2099" s="8">
        <f>V2099/AA2099</f>
        <v/>
      </c>
      <c r="X2099" s="27">
        <f>((3*10+H2099/COS(RADIANS(E2099)))*(3+3)+3*G2099*H2099)*2</f>
        <v/>
      </c>
      <c r="Y2099" s="28">
        <f>Z2099/X2099</f>
        <v/>
      </c>
      <c r="Z2099" s="29" t="n">
        <v>544.349019883611</v>
      </c>
      <c r="AA2099" s="20" t="n">
        <v>58.8397415117333</v>
      </c>
      <c r="AB2099" t="n">
        <v>0.1768135913582042</v>
      </c>
      <c r="AC2099" t="n">
        <v>64.35253467969076</v>
      </c>
      <c r="AD2099" t="n">
        <v>43.24495959470195</v>
      </c>
    </row>
    <row r="2100">
      <c r="A2100" t="n">
        <v>2099</v>
      </c>
      <c r="B2100" t="n">
        <v>51.9</v>
      </c>
      <c r="C2100" s="21">
        <f>B2100-20</f>
        <v/>
      </c>
      <c r="D2100" t="n">
        <v>120.6</v>
      </c>
      <c r="E2100" s="22">
        <f>D2100-90</f>
        <v/>
      </c>
      <c r="F2100" s="23" t="n">
        <v>0.009037</v>
      </c>
      <c r="G2100" s="22" t="n">
        <v>21.9</v>
      </c>
      <c r="H2100" s="22" t="n">
        <v>2</v>
      </c>
      <c r="I2100" s="24" t="n">
        <v>0.0437303930521011</v>
      </c>
      <c r="J2100" s="6" t="n">
        <v>71000</v>
      </c>
      <c r="K2100" s="25">
        <f>23*10^-6</f>
        <v/>
      </c>
      <c r="L2100" s="8">
        <f>H2100</f>
        <v/>
      </c>
      <c r="M2100" s="26">
        <f>H2100^2/6</f>
        <v/>
      </c>
      <c r="N2100" s="26">
        <f>H2100^3/12</f>
        <v/>
      </c>
      <c r="O2100" s="27">
        <f>-J2100*L2100*K2100*C2100</f>
        <v/>
      </c>
      <c r="P2100" s="28">
        <f>-(12*F2100*J2100*L2100*N2100+12*O2100*N2100*G2100*COS(RADIANS(E2100)))/(12*N2100*G2100*COS(RADIANS(E2100))^2+L2100*G2100^3*SIN(RADIANS(E2100))^2)</f>
        <v/>
      </c>
      <c r="Q2100" s="28">
        <f>-(6*F2100*J2100*L2100*N2100*SIN(RADIANS(E2100))+6*O2100*N2100*G2100*SIN(RADIANS(E2100))*COS(RADIANS(E2100)))/(12*N2100*COS(RADIANS(E2100))^2+L2100*G2100^2*SIN(RADIANS(E2100))^2)</f>
        <v/>
      </c>
      <c r="R2100" s="28">
        <f>-P2100*SIN(RADIANS(E2100))</f>
        <v/>
      </c>
      <c r="S2100" s="8">
        <f>(O2100+P2100*COS(RADIANS(E2100)))/L2100</f>
        <v/>
      </c>
      <c r="T2100" s="8">
        <f>R2100/L2100</f>
        <v/>
      </c>
      <c r="U2100" s="8">
        <f>(Q2100-P2100*G2100*SIN(RADIANS(E2100)))/M2100</f>
        <v/>
      </c>
      <c r="V2100" s="8">
        <f>SQRT((S2100+U2100)^2+3*T2100^2)</f>
        <v/>
      </c>
      <c r="W2100" s="8">
        <f>V2100/AA2100</f>
        <v/>
      </c>
      <c r="X2100" s="27">
        <f>((3*10+H2100/COS(RADIANS(E2100)))*(3+3)+3*G2100*H2100)*2</f>
        <v/>
      </c>
      <c r="Y2100" s="28">
        <f>Z2100/X2100</f>
        <v/>
      </c>
      <c r="Z2100" s="29" t="n">
        <v>657.999466877134</v>
      </c>
      <c r="AA2100" s="20" t="n">
        <v>54.9629706174559</v>
      </c>
      <c r="AB2100" t="n">
        <v>0.04563053483489332</v>
      </c>
      <c r="AC2100" t="n">
        <v>49.21998136282028</v>
      </c>
      <c r="AD2100" t="n">
        <v>4.345128525436214</v>
      </c>
    </row>
    <row r="2101">
      <c r="A2101" t="n">
        <v>2100</v>
      </c>
      <c r="B2101" t="n">
        <v>51.2</v>
      </c>
      <c r="C2101" s="21">
        <f>B2101-20</f>
        <v/>
      </c>
      <c r="D2101" t="n">
        <v>115.5</v>
      </c>
      <c r="E2101" s="22">
        <f>D2101-90</f>
        <v/>
      </c>
      <c r="F2101" s="23" t="n">
        <v>0.008812</v>
      </c>
      <c r="G2101" s="22" t="n">
        <v>20.8</v>
      </c>
      <c r="H2101" s="22" t="n">
        <v>1.5</v>
      </c>
      <c r="I2101" s="24" t="n">
        <v>0.0467569679021835</v>
      </c>
      <c r="J2101" s="6" t="n">
        <v>71000</v>
      </c>
      <c r="K2101" s="25">
        <f>23*10^-6</f>
        <v/>
      </c>
      <c r="L2101" s="8">
        <f>H2101</f>
        <v/>
      </c>
      <c r="M2101" s="26">
        <f>H2101^2/6</f>
        <v/>
      </c>
      <c r="N2101" s="26">
        <f>H2101^3/12</f>
        <v/>
      </c>
      <c r="O2101" s="27">
        <f>-J2101*L2101*K2101*C2101</f>
        <v/>
      </c>
      <c r="P2101" s="28">
        <f>-(12*F2101*J2101*L2101*N2101+12*O2101*N2101*G2101*COS(RADIANS(E2101)))/(12*N2101*G2101*COS(RADIANS(E2101))^2+L2101*G2101^3*SIN(RADIANS(E2101))^2)</f>
        <v/>
      </c>
      <c r="Q2101" s="28">
        <f>-(6*F2101*J2101*L2101*N2101*SIN(RADIANS(E2101))+6*O2101*N2101*G2101*SIN(RADIANS(E2101))*COS(RADIANS(E2101)))/(12*N2101*COS(RADIANS(E2101))^2+L2101*G2101^2*SIN(RADIANS(E2101))^2)</f>
        <v/>
      </c>
      <c r="R2101" s="28">
        <f>-P2101*SIN(RADIANS(E2101))</f>
        <v/>
      </c>
      <c r="S2101" s="8">
        <f>(O2101+P2101*COS(RADIANS(E2101)))/L2101</f>
        <v/>
      </c>
      <c r="T2101" s="8">
        <f>R2101/L2101</f>
        <v/>
      </c>
      <c r="U2101" s="8">
        <f>(Q2101-P2101*G2101*SIN(RADIANS(E2101)))/M2101</f>
        <v/>
      </c>
      <c r="V2101" s="8">
        <f>SQRT((S2101+U2101)^2+3*T2101^2)</f>
        <v/>
      </c>
      <c r="W2101" s="8">
        <f>V2101/AA2101</f>
        <v/>
      </c>
      <c r="X2101" s="27">
        <f>((3*10+H2101/COS(RADIANS(E2101)))*(3+3)+3*G2101*H2101)*2</f>
        <v/>
      </c>
      <c r="Y2101" s="28">
        <f>Z2101/X2101</f>
        <v/>
      </c>
      <c r="Z2101" s="29" t="n">
        <v>573.1666282371031</v>
      </c>
      <c r="AA2101" s="20" t="n">
        <v>49.4064819389084</v>
      </c>
      <c r="AB2101" t="n">
        <v>0.05186275042683455</v>
      </c>
      <c r="AC2101" t="n">
        <v>48.01060252176197</v>
      </c>
      <c r="AD2101" t="n">
        <v>10.9198323880463</v>
      </c>
    </row>
    <row r="2102">
      <c r="A2102" t="n">
        <v>2101</v>
      </c>
      <c r="B2102" t="n">
        <v>53.3</v>
      </c>
      <c r="C2102" s="21">
        <f>B2102-20</f>
        <v/>
      </c>
      <c r="D2102" t="n">
        <v>102.5</v>
      </c>
      <c r="E2102" s="22">
        <f>D2102-90</f>
        <v/>
      </c>
      <c r="F2102" s="23" t="n">
        <v>0.013433</v>
      </c>
      <c r="G2102" s="22" t="n">
        <v>30.1</v>
      </c>
      <c r="H2102" s="22" t="n">
        <v>1.3</v>
      </c>
      <c r="I2102" s="24" t="n">
        <v>0.10967318713665</v>
      </c>
      <c r="J2102" s="6" t="n">
        <v>71000</v>
      </c>
      <c r="K2102" s="25">
        <f>23*10^-6</f>
        <v/>
      </c>
      <c r="L2102" s="8">
        <f>H2102</f>
        <v/>
      </c>
      <c r="M2102" s="26">
        <f>H2102^2/6</f>
        <v/>
      </c>
      <c r="N2102" s="26">
        <f>H2102^3/12</f>
        <v/>
      </c>
      <c r="O2102" s="27">
        <f>-J2102*L2102*K2102*C2102</f>
        <v/>
      </c>
      <c r="P2102" s="28">
        <f>-(12*F2102*J2102*L2102*N2102+12*O2102*N2102*G2102*COS(RADIANS(E2102)))/(12*N2102*G2102*COS(RADIANS(E2102))^2+L2102*G2102^3*SIN(RADIANS(E2102))^2)</f>
        <v/>
      </c>
      <c r="Q2102" s="28">
        <f>-(6*F2102*J2102*L2102*N2102*SIN(RADIANS(E2102))+6*O2102*N2102*G2102*SIN(RADIANS(E2102))*COS(RADIANS(E2102)))/(12*N2102*COS(RADIANS(E2102))^2+L2102*G2102^2*SIN(RADIANS(E2102))^2)</f>
        <v/>
      </c>
      <c r="R2102" s="28">
        <f>-P2102*SIN(RADIANS(E2102))</f>
        <v/>
      </c>
      <c r="S2102" s="8">
        <f>(O2102+P2102*COS(RADIANS(E2102)))/L2102</f>
        <v/>
      </c>
      <c r="T2102" s="8">
        <f>R2102/L2102</f>
        <v/>
      </c>
      <c r="U2102" s="8">
        <f>(Q2102-P2102*G2102*SIN(RADIANS(E2102)))/M2102</f>
        <v/>
      </c>
      <c r="V2102" s="8">
        <f>SQRT((S2102+U2102)^2+3*T2102^2)</f>
        <v/>
      </c>
      <c r="W2102" s="8">
        <f>V2102/AA2102</f>
        <v/>
      </c>
      <c r="X2102" s="27">
        <f>((3*10+H2102/COS(RADIANS(E2102)))*(3+3)+3*G2102*H2102)*2</f>
        <v/>
      </c>
      <c r="Y2102" s="28">
        <f>Z2102/X2102</f>
        <v/>
      </c>
      <c r="Z2102" s="29" t="n">
        <v>614.775098152496</v>
      </c>
      <c r="AA2102" s="20" t="n">
        <v>50.6237249756401</v>
      </c>
      <c r="AB2102" t="n">
        <v>0.1608879096726728</v>
      </c>
      <c r="AC2102" t="n">
        <v>54.22007553314027</v>
      </c>
      <c r="AD2102" t="n">
        <v>46.6975783900677</v>
      </c>
    </row>
    <row r="2103">
      <c r="A2103" t="n">
        <v>2102</v>
      </c>
      <c r="B2103" t="n">
        <v>77.40000000000001</v>
      </c>
      <c r="C2103" s="21">
        <f>B2103-20</f>
        <v/>
      </c>
      <c r="D2103" t="n">
        <v>122.2</v>
      </c>
      <c r="E2103" s="22">
        <f>D2103-90</f>
        <v/>
      </c>
      <c r="F2103" s="23" t="n">
        <v>0.023195</v>
      </c>
      <c r="G2103" s="22" t="n">
        <v>34.8</v>
      </c>
      <c r="H2103" s="22" t="n">
        <v>1.4</v>
      </c>
      <c r="I2103" s="24" t="n">
        <v>0.102909751236438</v>
      </c>
      <c r="J2103" s="6" t="n">
        <v>71000</v>
      </c>
      <c r="K2103" s="25">
        <f>23*10^-6</f>
        <v/>
      </c>
      <c r="L2103" s="8">
        <f>H2103</f>
        <v/>
      </c>
      <c r="M2103" s="26">
        <f>H2103^2/6</f>
        <v/>
      </c>
      <c r="N2103" s="26">
        <f>H2103^3/12</f>
        <v/>
      </c>
      <c r="O2103" s="27">
        <f>-J2103*L2103*K2103*C2103</f>
        <v/>
      </c>
      <c r="P2103" s="28">
        <f>-(12*F2103*J2103*L2103*N2103+12*O2103*N2103*G2103*COS(RADIANS(E2103)))/(12*N2103*G2103*COS(RADIANS(E2103))^2+L2103*G2103^3*SIN(RADIANS(E2103))^2)</f>
        <v/>
      </c>
      <c r="Q2103" s="28">
        <f>-(6*F2103*J2103*L2103*N2103*SIN(RADIANS(E2103))+6*O2103*N2103*G2103*SIN(RADIANS(E2103))*COS(RADIANS(E2103)))/(12*N2103*COS(RADIANS(E2103))^2+L2103*G2103^2*SIN(RADIANS(E2103))^2)</f>
        <v/>
      </c>
      <c r="R2103" s="28">
        <f>-P2103*SIN(RADIANS(E2103))</f>
        <v/>
      </c>
      <c r="S2103" s="8">
        <f>(O2103+P2103*COS(RADIANS(E2103)))/L2103</f>
        <v/>
      </c>
      <c r="T2103" s="8">
        <f>R2103/L2103</f>
        <v/>
      </c>
      <c r="U2103" s="8">
        <f>(Q2103-P2103*G2103*SIN(RADIANS(E2103)))/M2103</f>
        <v/>
      </c>
      <c r="V2103" s="8">
        <f>SQRT((S2103+U2103)^2+3*T2103^2)</f>
        <v/>
      </c>
      <c r="W2103" s="8">
        <f>V2103/AA2103</f>
        <v/>
      </c>
      <c r="X2103" s="27">
        <f>((3*10+H2103/COS(RADIANS(E2103)))*(3+3)+3*G2103*H2103)*2</f>
        <v/>
      </c>
      <c r="Y2103" s="28">
        <f>Z2103/X2103</f>
        <v/>
      </c>
      <c r="Z2103" s="29" t="n">
        <v>679.969570654363</v>
      </c>
      <c r="AA2103" s="20" t="n">
        <v>81.853429563283</v>
      </c>
      <c r="AB2103" t="n">
        <v>0.1224911514428046</v>
      </c>
      <c r="AC2103" t="n">
        <v>82.90440688855116</v>
      </c>
      <c r="AD2103" t="n">
        <v>19.02774029778553</v>
      </c>
    </row>
    <row r="2104">
      <c r="A2104" t="n">
        <v>2103</v>
      </c>
      <c r="B2104" t="n">
        <v>46.7</v>
      </c>
      <c r="C2104" s="21">
        <f>B2104-20</f>
        <v/>
      </c>
      <c r="D2104" t="n">
        <v>100.9</v>
      </c>
      <c r="E2104" s="22">
        <f>D2104-90</f>
        <v/>
      </c>
      <c r="F2104" s="23" t="n">
        <v>0.012078</v>
      </c>
      <c r="G2104" s="22" t="n">
        <v>34.3</v>
      </c>
      <c r="H2104" s="22" t="n">
        <v>1.2</v>
      </c>
      <c r="I2104" s="24" t="n">
        <v>0.109510481357574</v>
      </c>
      <c r="J2104" s="6" t="n">
        <v>71000</v>
      </c>
      <c r="K2104" s="25">
        <f>23*10^-6</f>
        <v/>
      </c>
      <c r="L2104" s="8">
        <f>H2104</f>
        <v/>
      </c>
      <c r="M2104" s="26">
        <f>H2104^2/6</f>
        <v/>
      </c>
      <c r="N2104" s="26">
        <f>H2104^3/12</f>
        <v/>
      </c>
      <c r="O2104" s="27">
        <f>-J2104*L2104*K2104*C2104</f>
        <v/>
      </c>
      <c r="P2104" s="28">
        <f>-(12*F2104*J2104*L2104*N2104+12*O2104*N2104*G2104*COS(RADIANS(E2104)))/(12*N2104*G2104*COS(RADIANS(E2104))^2+L2104*G2104^3*SIN(RADIANS(E2104))^2)</f>
        <v/>
      </c>
      <c r="Q2104" s="28">
        <f>-(6*F2104*J2104*L2104*N2104*SIN(RADIANS(E2104))+6*O2104*N2104*G2104*SIN(RADIANS(E2104))*COS(RADIANS(E2104)))/(12*N2104*COS(RADIANS(E2104))^2+L2104*G2104^2*SIN(RADIANS(E2104))^2)</f>
        <v/>
      </c>
      <c r="R2104" s="28">
        <f>-P2104*SIN(RADIANS(E2104))</f>
        <v/>
      </c>
      <c r="S2104" s="8">
        <f>(O2104+P2104*COS(RADIANS(E2104)))/L2104</f>
        <v/>
      </c>
      <c r="T2104" s="8">
        <f>R2104/L2104</f>
        <v/>
      </c>
      <c r="U2104" s="8">
        <f>(Q2104-P2104*G2104*SIN(RADIANS(E2104)))/M2104</f>
        <v/>
      </c>
      <c r="V2104" s="8">
        <f>SQRT((S2104+U2104)^2+3*T2104^2)</f>
        <v/>
      </c>
      <c r="W2104" s="8">
        <f>V2104/AA2104</f>
        <v/>
      </c>
      <c r="X2104" s="27">
        <f>((3*10+H2104/COS(RADIANS(E2104)))*(3+3)+3*G2104*H2104)*2</f>
        <v/>
      </c>
      <c r="Y2104" s="28">
        <f>Z2104/X2104</f>
        <v/>
      </c>
      <c r="Z2104" s="29" t="n">
        <v>625.499143195437</v>
      </c>
      <c r="AA2104" s="20" t="n">
        <v>40.0319121479178</v>
      </c>
      <c r="AB2104" t="n">
        <v>0.1684749877973054</v>
      </c>
      <c r="AC2104" t="n">
        <v>43.25700202956265</v>
      </c>
      <c r="AD2104" t="n">
        <v>53.84371039992079</v>
      </c>
    </row>
    <row r="2105">
      <c r="A2105" t="n">
        <v>2104</v>
      </c>
      <c r="B2105" t="n">
        <v>43.3</v>
      </c>
      <c r="C2105" s="21">
        <f>B2105-20</f>
        <v/>
      </c>
      <c r="D2105" t="n">
        <v>114.4</v>
      </c>
      <c r="E2105" s="22">
        <f>D2105-90</f>
        <v/>
      </c>
      <c r="F2105" s="23" t="n">
        <v>0.008028</v>
      </c>
      <c r="G2105" s="22" t="n">
        <v>26.6</v>
      </c>
      <c r="H2105" s="22" t="n">
        <v>1.9</v>
      </c>
      <c r="I2105" s="24" t="n">
        <v>0.0419893264770507</v>
      </c>
      <c r="J2105" s="6" t="n">
        <v>71000</v>
      </c>
      <c r="K2105" s="25">
        <f>23*10^-6</f>
        <v/>
      </c>
      <c r="L2105" s="8">
        <f>H2105</f>
        <v/>
      </c>
      <c r="M2105" s="26">
        <f>H2105^2/6</f>
        <v/>
      </c>
      <c r="N2105" s="26">
        <f>H2105^3/12</f>
        <v/>
      </c>
      <c r="O2105" s="27">
        <f>-J2105*L2105*K2105*C2105</f>
        <v/>
      </c>
      <c r="P2105" s="28">
        <f>-(12*F2105*J2105*L2105*N2105+12*O2105*N2105*G2105*COS(RADIANS(E2105)))/(12*N2105*G2105*COS(RADIANS(E2105))^2+L2105*G2105^3*SIN(RADIANS(E2105))^2)</f>
        <v/>
      </c>
      <c r="Q2105" s="28">
        <f>-(6*F2105*J2105*L2105*N2105*SIN(RADIANS(E2105))+6*O2105*N2105*G2105*SIN(RADIANS(E2105))*COS(RADIANS(E2105)))/(12*N2105*COS(RADIANS(E2105))^2+L2105*G2105^2*SIN(RADIANS(E2105))^2)</f>
        <v/>
      </c>
      <c r="R2105" s="28">
        <f>-P2105*SIN(RADIANS(E2105))</f>
        <v/>
      </c>
      <c r="S2105" s="8">
        <f>(O2105+P2105*COS(RADIANS(E2105)))/L2105</f>
        <v/>
      </c>
      <c r="T2105" s="8">
        <f>R2105/L2105</f>
        <v/>
      </c>
      <c r="U2105" s="8">
        <f>(Q2105-P2105*G2105*SIN(RADIANS(E2105)))/M2105</f>
        <v/>
      </c>
      <c r="V2105" s="8">
        <f>SQRT((S2105+U2105)^2+3*T2105^2)</f>
        <v/>
      </c>
      <c r="W2105" s="8">
        <f>V2105/AA2105</f>
        <v/>
      </c>
      <c r="X2105" s="27">
        <f>((3*10+H2105/COS(RADIANS(E2105)))*(3+3)+3*G2105*H2105)*2</f>
        <v/>
      </c>
      <c r="Y2105" s="28">
        <f>Z2105/X2105</f>
        <v/>
      </c>
      <c r="Z2105" s="29" t="n">
        <v>694.063592788048</v>
      </c>
      <c r="AA2105" s="20" t="n">
        <v>38.508548226821</v>
      </c>
      <c r="AB2105" t="n">
        <v>0.0508536248442784</v>
      </c>
      <c r="AC2105" t="n">
        <v>36.51105387062373</v>
      </c>
      <c r="AD2105" t="n">
        <v>21.11083723162954</v>
      </c>
    </row>
    <row r="2106">
      <c r="A2106" t="n">
        <v>2105</v>
      </c>
      <c r="B2106" t="n">
        <v>71</v>
      </c>
      <c r="C2106" s="21">
        <f>B2106-20</f>
        <v/>
      </c>
      <c r="D2106" t="n">
        <v>102.9</v>
      </c>
      <c r="E2106" s="22">
        <f>D2106-90</f>
        <v/>
      </c>
      <c r="F2106" s="23" t="n">
        <v>0.022474</v>
      </c>
      <c r="G2106" s="22" t="n">
        <v>33.5</v>
      </c>
      <c r="H2106" s="22" t="n">
        <v>1.8</v>
      </c>
      <c r="I2106" s="24" t="n">
        <v>0.174741506576538</v>
      </c>
      <c r="J2106" s="6" t="n">
        <v>71000</v>
      </c>
      <c r="K2106" s="25">
        <f>23*10^-6</f>
        <v/>
      </c>
      <c r="L2106" s="8">
        <f>H2106</f>
        <v/>
      </c>
      <c r="M2106" s="26">
        <f>H2106^2/6</f>
        <v/>
      </c>
      <c r="N2106" s="26">
        <f>H2106^3/12</f>
        <v/>
      </c>
      <c r="O2106" s="27">
        <f>-J2106*L2106*K2106*C2106</f>
        <v/>
      </c>
      <c r="P2106" s="28">
        <f>-(12*F2106*J2106*L2106*N2106+12*O2106*N2106*G2106*COS(RADIANS(E2106)))/(12*N2106*G2106*COS(RADIANS(E2106))^2+L2106*G2106^3*SIN(RADIANS(E2106))^2)</f>
        <v/>
      </c>
      <c r="Q2106" s="28">
        <f>-(6*F2106*J2106*L2106*N2106*SIN(RADIANS(E2106))+6*O2106*N2106*G2106*SIN(RADIANS(E2106))*COS(RADIANS(E2106)))/(12*N2106*COS(RADIANS(E2106))^2+L2106*G2106^2*SIN(RADIANS(E2106))^2)</f>
        <v/>
      </c>
      <c r="R2106" s="28">
        <f>-P2106*SIN(RADIANS(E2106))</f>
        <v/>
      </c>
      <c r="S2106" s="8">
        <f>(O2106+P2106*COS(RADIANS(E2106)))/L2106</f>
        <v/>
      </c>
      <c r="T2106" s="8">
        <f>R2106/L2106</f>
        <v/>
      </c>
      <c r="U2106" s="8">
        <f>(Q2106-P2106*G2106*SIN(RADIANS(E2106)))/M2106</f>
        <v/>
      </c>
      <c r="V2106" s="8">
        <f>SQRT((S2106+U2106)^2+3*T2106^2)</f>
        <v/>
      </c>
      <c r="W2106" s="8">
        <f>V2106/AA2106</f>
        <v/>
      </c>
      <c r="X2106" s="27">
        <f>((3*10+H2106/COS(RADIANS(E2106)))*(3+3)+3*G2106*H2106)*2</f>
        <v/>
      </c>
      <c r="Y2106" s="28">
        <f>Z2106/X2106</f>
        <v/>
      </c>
      <c r="Z2106" s="29" t="n">
        <v>748.014318103799</v>
      </c>
      <c r="AA2106" s="20" t="n">
        <v>86.2400750707221</v>
      </c>
      <c r="AB2106" t="n">
        <v>0.2595712594553111</v>
      </c>
      <c r="AC2106" t="n">
        <v>85.90913685866637</v>
      </c>
      <c r="AD2106" t="n">
        <v>48.54585183607596</v>
      </c>
    </row>
    <row r="2107">
      <c r="A2107" t="n">
        <v>2106</v>
      </c>
      <c r="B2107" t="n">
        <v>83.40000000000001</v>
      </c>
      <c r="C2107" s="21">
        <f>B2107-20</f>
        <v/>
      </c>
      <c r="D2107" t="n">
        <v>102.6</v>
      </c>
      <c r="E2107" s="22">
        <f>D2107-90</f>
        <v/>
      </c>
      <c r="F2107" s="23" t="n">
        <v>0.027613</v>
      </c>
      <c r="G2107" s="22" t="n">
        <v>33</v>
      </c>
      <c r="H2107" s="22" t="n">
        <v>1</v>
      </c>
      <c r="I2107" s="24" t="n">
        <v>0.225088015198707</v>
      </c>
      <c r="J2107" s="6" t="n">
        <v>71000</v>
      </c>
      <c r="K2107" s="25">
        <f>23*10^-6</f>
        <v/>
      </c>
      <c r="L2107" s="8">
        <f>H2107</f>
        <v/>
      </c>
      <c r="M2107" s="26">
        <f>H2107^2/6</f>
        <v/>
      </c>
      <c r="N2107" s="26">
        <f>H2107^3/12</f>
        <v/>
      </c>
      <c r="O2107" s="27">
        <f>-J2107*L2107*K2107*C2107</f>
        <v/>
      </c>
      <c r="P2107" s="28">
        <f>-(12*F2107*J2107*L2107*N2107+12*O2107*N2107*G2107*COS(RADIANS(E2107)))/(12*N2107*G2107*COS(RADIANS(E2107))^2+L2107*G2107^3*SIN(RADIANS(E2107))^2)</f>
        <v/>
      </c>
      <c r="Q2107" s="28">
        <f>-(6*F2107*J2107*L2107*N2107*SIN(RADIANS(E2107))+6*O2107*N2107*G2107*SIN(RADIANS(E2107))*COS(RADIANS(E2107)))/(12*N2107*COS(RADIANS(E2107))^2+L2107*G2107^2*SIN(RADIANS(E2107))^2)</f>
        <v/>
      </c>
      <c r="R2107" s="28">
        <f>-P2107*SIN(RADIANS(E2107))</f>
        <v/>
      </c>
      <c r="S2107" s="8">
        <f>(O2107+P2107*COS(RADIANS(E2107)))/L2107</f>
        <v/>
      </c>
      <c r="T2107" s="8">
        <f>R2107/L2107</f>
        <v/>
      </c>
      <c r="U2107" s="8">
        <f>(Q2107-P2107*G2107*SIN(RADIANS(E2107)))/M2107</f>
        <v/>
      </c>
      <c r="V2107" s="8">
        <f>SQRT((S2107+U2107)^2+3*T2107^2)</f>
        <v/>
      </c>
      <c r="W2107" s="8">
        <f>V2107/AA2107</f>
        <v/>
      </c>
      <c r="X2107" s="27">
        <f>((3*10+H2107/COS(RADIANS(E2107)))*(3+3)+3*G2107*H2107)*2</f>
        <v/>
      </c>
      <c r="Y2107" s="28">
        <f>Z2107/X2107</f>
        <v/>
      </c>
      <c r="Z2107" s="29" t="n">
        <v>574.322021310054</v>
      </c>
      <c r="AA2107" s="20" t="n">
        <v>90.9339199498699</v>
      </c>
      <c r="AB2107" t="n">
        <v>0.3378044019493368</v>
      </c>
      <c r="AC2107" t="n">
        <v>98.5322299219733</v>
      </c>
      <c r="AD2107" t="n">
        <v>50.07658299848799</v>
      </c>
    </row>
    <row r="2108">
      <c r="A2108" t="n">
        <v>2107</v>
      </c>
      <c r="B2108" t="n">
        <v>69.90000000000001</v>
      </c>
      <c r="C2108" s="21">
        <f>B2108-20</f>
        <v/>
      </c>
      <c r="D2108" t="n">
        <v>122</v>
      </c>
      <c r="E2108" s="22">
        <f>D2108-90</f>
        <v/>
      </c>
      <c r="F2108" s="23" t="n">
        <v>0.016197</v>
      </c>
      <c r="G2108" s="22" t="n">
        <v>26.5</v>
      </c>
      <c r="H2108" s="22" t="n">
        <v>1.1</v>
      </c>
      <c r="I2108" s="24" t="n">
        <v>0.07485075294971461</v>
      </c>
      <c r="J2108" s="6" t="n">
        <v>71000</v>
      </c>
      <c r="K2108" s="25">
        <f>23*10^-6</f>
        <v/>
      </c>
      <c r="L2108" s="8">
        <f>H2108</f>
        <v/>
      </c>
      <c r="M2108" s="26">
        <f>H2108^2/6</f>
        <v/>
      </c>
      <c r="N2108" s="26">
        <f>H2108^3/12</f>
        <v/>
      </c>
      <c r="O2108" s="27">
        <f>-J2108*L2108*K2108*C2108</f>
        <v/>
      </c>
      <c r="P2108" s="28">
        <f>-(12*F2108*J2108*L2108*N2108+12*O2108*N2108*G2108*COS(RADIANS(E2108)))/(12*N2108*G2108*COS(RADIANS(E2108))^2+L2108*G2108^3*SIN(RADIANS(E2108))^2)</f>
        <v/>
      </c>
      <c r="Q2108" s="28">
        <f>-(6*F2108*J2108*L2108*N2108*SIN(RADIANS(E2108))+6*O2108*N2108*G2108*SIN(RADIANS(E2108))*COS(RADIANS(E2108)))/(12*N2108*COS(RADIANS(E2108))^2+L2108*G2108^2*SIN(RADIANS(E2108))^2)</f>
        <v/>
      </c>
      <c r="R2108" s="28">
        <f>-P2108*SIN(RADIANS(E2108))</f>
        <v/>
      </c>
      <c r="S2108" s="8">
        <f>(O2108+P2108*COS(RADIANS(E2108)))/L2108</f>
        <v/>
      </c>
      <c r="T2108" s="8">
        <f>R2108/L2108</f>
        <v/>
      </c>
      <c r="U2108" s="8">
        <f>(Q2108-P2108*G2108*SIN(RADIANS(E2108)))/M2108</f>
        <v/>
      </c>
      <c r="V2108" s="8">
        <f>SQRT((S2108+U2108)^2+3*T2108^2)</f>
        <v/>
      </c>
      <c r="W2108" s="8">
        <f>V2108/AA2108</f>
        <v/>
      </c>
      <c r="X2108" s="27">
        <f>((3*10+H2108/COS(RADIANS(E2108)))*(3+3)+3*G2108*H2108)*2</f>
        <v/>
      </c>
      <c r="Y2108" s="28">
        <f>Z2108/X2108</f>
        <v/>
      </c>
      <c r="Z2108" s="29" t="n">
        <v>558.19906599071</v>
      </c>
      <c r="AA2108" s="20" t="n">
        <v>68.4312347939064</v>
      </c>
      <c r="AB2108" t="n">
        <v>0.08290434846553969</v>
      </c>
      <c r="AC2108" t="n">
        <v>71.85931217009991</v>
      </c>
      <c r="AD2108" t="n">
        <v>10.75953841270717</v>
      </c>
    </row>
    <row r="2109">
      <c r="A2109" t="n">
        <v>2108</v>
      </c>
      <c r="B2109" t="n">
        <v>48.5</v>
      </c>
      <c r="C2109" s="21">
        <f>B2109-20</f>
        <v/>
      </c>
      <c r="D2109" t="n">
        <v>105.9</v>
      </c>
      <c r="E2109" s="22">
        <f>D2109-90</f>
        <v/>
      </c>
      <c r="F2109" s="23" t="n">
        <v>0.010074</v>
      </c>
      <c r="G2109" s="22" t="n">
        <v>26</v>
      </c>
      <c r="H2109" s="22" t="n">
        <v>1.7</v>
      </c>
      <c r="I2109" s="24" t="n">
        <v>0.0687455236911773</v>
      </c>
      <c r="J2109" s="6" t="n">
        <v>71000</v>
      </c>
      <c r="K2109" s="25">
        <f>23*10^-6</f>
        <v/>
      </c>
      <c r="L2109" s="8">
        <f>H2109</f>
        <v/>
      </c>
      <c r="M2109" s="26">
        <f>H2109^2/6</f>
        <v/>
      </c>
      <c r="N2109" s="26">
        <f>H2109^3/12</f>
        <v/>
      </c>
      <c r="O2109" s="27">
        <f>-J2109*L2109*K2109*C2109</f>
        <v/>
      </c>
      <c r="P2109" s="28">
        <f>-(12*F2109*J2109*L2109*N2109+12*O2109*N2109*G2109*COS(RADIANS(E2109)))/(12*N2109*G2109*COS(RADIANS(E2109))^2+L2109*G2109^3*SIN(RADIANS(E2109))^2)</f>
        <v/>
      </c>
      <c r="Q2109" s="28">
        <f>-(6*F2109*J2109*L2109*N2109*SIN(RADIANS(E2109))+6*O2109*N2109*G2109*SIN(RADIANS(E2109))*COS(RADIANS(E2109)))/(12*N2109*COS(RADIANS(E2109))^2+L2109*G2109^2*SIN(RADIANS(E2109))^2)</f>
        <v/>
      </c>
      <c r="R2109" s="28">
        <f>-P2109*SIN(RADIANS(E2109))</f>
        <v/>
      </c>
      <c r="S2109" s="8">
        <f>(O2109+P2109*COS(RADIANS(E2109)))/L2109</f>
        <v/>
      </c>
      <c r="T2109" s="8">
        <f>R2109/L2109</f>
        <v/>
      </c>
      <c r="U2109" s="8">
        <f>(Q2109-P2109*G2109*SIN(RADIANS(E2109)))/M2109</f>
        <v/>
      </c>
      <c r="V2109" s="8">
        <f>SQRT((S2109+U2109)^2+3*T2109^2)</f>
        <v/>
      </c>
      <c r="W2109" s="8">
        <f>V2109/AA2109</f>
        <v/>
      </c>
      <c r="X2109" s="27">
        <f>((3*10+H2109/COS(RADIANS(E2109)))*(3+3)+3*G2109*H2109)*2</f>
        <v/>
      </c>
      <c r="Y2109" s="28">
        <f>Z2109/X2109</f>
        <v/>
      </c>
      <c r="Z2109" s="29" t="n">
        <v>650.799890062133</v>
      </c>
      <c r="AA2109" s="20" t="n">
        <v>47.223246922883</v>
      </c>
      <c r="AB2109" t="n">
        <v>0.09254658287227267</v>
      </c>
      <c r="AC2109" t="n">
        <v>47.19269044071309</v>
      </c>
      <c r="AD2109" t="n">
        <v>34.62197668027942</v>
      </c>
    </row>
    <row r="2110">
      <c r="A2110" t="n">
        <v>2109</v>
      </c>
      <c r="B2110" t="n">
        <v>81.7</v>
      </c>
      <c r="C2110" s="21">
        <f>B2110-20</f>
        <v/>
      </c>
      <c r="D2110" t="n">
        <v>102.7</v>
      </c>
      <c r="E2110" s="22">
        <f>D2110-90</f>
        <v/>
      </c>
      <c r="F2110" s="23" t="n">
        <v>0.025011</v>
      </c>
      <c r="G2110" s="22" t="n">
        <v>30.3</v>
      </c>
      <c r="H2110" s="22" t="n">
        <v>1</v>
      </c>
      <c r="I2110" s="24" t="n">
        <v>0.203903436660766</v>
      </c>
      <c r="J2110" s="6" t="n">
        <v>71000</v>
      </c>
      <c r="K2110" s="25">
        <f>23*10^-6</f>
        <v/>
      </c>
      <c r="L2110" s="8">
        <f>H2110</f>
        <v/>
      </c>
      <c r="M2110" s="26">
        <f>H2110^2/6</f>
        <v/>
      </c>
      <c r="N2110" s="26">
        <f>H2110^3/12</f>
        <v/>
      </c>
      <c r="O2110" s="27">
        <f>-J2110*L2110*K2110*C2110</f>
        <v/>
      </c>
      <c r="P2110" s="28">
        <f>-(12*F2110*J2110*L2110*N2110+12*O2110*N2110*G2110*COS(RADIANS(E2110)))/(12*N2110*G2110*COS(RADIANS(E2110))^2+L2110*G2110^3*SIN(RADIANS(E2110))^2)</f>
        <v/>
      </c>
      <c r="Q2110" s="28">
        <f>-(6*F2110*J2110*L2110*N2110*SIN(RADIANS(E2110))+6*O2110*N2110*G2110*SIN(RADIANS(E2110))*COS(RADIANS(E2110)))/(12*N2110*COS(RADIANS(E2110))^2+L2110*G2110^2*SIN(RADIANS(E2110))^2)</f>
        <v/>
      </c>
      <c r="R2110" s="28">
        <f>-P2110*SIN(RADIANS(E2110))</f>
        <v/>
      </c>
      <c r="S2110" s="8">
        <f>(O2110+P2110*COS(RADIANS(E2110)))/L2110</f>
        <v/>
      </c>
      <c r="T2110" s="8">
        <f>R2110/L2110</f>
        <v/>
      </c>
      <c r="U2110" s="8">
        <f>(Q2110-P2110*G2110*SIN(RADIANS(E2110)))/M2110</f>
        <v/>
      </c>
      <c r="V2110" s="8">
        <f>SQRT((S2110+U2110)^2+3*T2110^2)</f>
        <v/>
      </c>
      <c r="W2110" s="8">
        <f>V2110/AA2110</f>
        <v/>
      </c>
      <c r="X2110" s="27">
        <f>((3*10+H2110/COS(RADIANS(E2110)))*(3+3)+3*G2110*H2110)*2</f>
        <v/>
      </c>
      <c r="Y2110" s="28">
        <f>Z2110/X2110</f>
        <v/>
      </c>
      <c r="Z2110" s="29" t="n">
        <v>558.136474316572</v>
      </c>
      <c r="AA2110" s="20" t="n">
        <v>89.11818242006321</v>
      </c>
      <c r="AB2110" t="n">
        <v>0.3000140642772469</v>
      </c>
      <c r="AC2110" t="n">
        <v>96.55926777399139</v>
      </c>
      <c r="AD2110" t="n">
        <v>47.13536426381084</v>
      </c>
    </row>
    <row r="2111">
      <c r="A2111" t="n">
        <v>2110</v>
      </c>
      <c r="B2111" t="n">
        <v>65.90000000000001</v>
      </c>
      <c r="C2111" s="21">
        <f>B2111-20</f>
        <v/>
      </c>
      <c r="D2111" t="n">
        <v>119.8</v>
      </c>
      <c r="E2111" s="22">
        <f>D2111-90</f>
        <v/>
      </c>
      <c r="F2111" s="23" t="n">
        <v>0.015763</v>
      </c>
      <c r="G2111" s="22" t="n">
        <v>27.8</v>
      </c>
      <c r="H2111" s="22" t="n">
        <v>1.6</v>
      </c>
      <c r="I2111" s="24" t="n">
        <v>0.0744925811886787</v>
      </c>
      <c r="J2111" s="6" t="n">
        <v>71000</v>
      </c>
      <c r="K2111" s="25">
        <f>23*10^-6</f>
        <v/>
      </c>
      <c r="L2111" s="8">
        <f>H2111</f>
        <v/>
      </c>
      <c r="M2111" s="26">
        <f>H2111^2/6</f>
        <v/>
      </c>
      <c r="N2111" s="26">
        <f>H2111^3/12</f>
        <v/>
      </c>
      <c r="O2111" s="27">
        <f>-J2111*L2111*K2111*C2111</f>
        <v/>
      </c>
      <c r="P2111" s="28">
        <f>-(12*F2111*J2111*L2111*N2111+12*O2111*N2111*G2111*COS(RADIANS(E2111)))/(12*N2111*G2111*COS(RADIANS(E2111))^2+L2111*G2111^3*SIN(RADIANS(E2111))^2)</f>
        <v/>
      </c>
      <c r="Q2111" s="28">
        <f>-(6*F2111*J2111*L2111*N2111*SIN(RADIANS(E2111))+6*O2111*N2111*G2111*SIN(RADIANS(E2111))*COS(RADIANS(E2111)))/(12*N2111*COS(RADIANS(E2111))^2+L2111*G2111^2*SIN(RADIANS(E2111))^2)</f>
        <v/>
      </c>
      <c r="R2111" s="28">
        <f>-P2111*SIN(RADIANS(E2111))</f>
        <v/>
      </c>
      <c r="S2111" s="8">
        <f>(O2111+P2111*COS(RADIANS(E2111)))/L2111</f>
        <v/>
      </c>
      <c r="T2111" s="8">
        <f>R2111/L2111</f>
        <v/>
      </c>
      <c r="U2111" s="8">
        <f>(Q2111-P2111*G2111*SIN(RADIANS(E2111)))/M2111</f>
        <v/>
      </c>
      <c r="V2111" s="8">
        <f>SQRT((S2111+U2111)^2+3*T2111^2)</f>
        <v/>
      </c>
      <c r="W2111" s="8">
        <f>V2111/AA2111</f>
        <v/>
      </c>
      <c r="X2111" s="27">
        <f>((3*10+H2111/COS(RADIANS(E2111)))*(3+3)+3*G2111*H2111)*2</f>
        <v/>
      </c>
      <c r="Y2111" s="28">
        <f>Z2111/X2111</f>
        <v/>
      </c>
      <c r="Z2111" s="29" t="n">
        <v>656.096666763177</v>
      </c>
      <c r="AA2111" s="20" t="n">
        <v>70.4214438698223</v>
      </c>
      <c r="AB2111" t="n">
        <v>0.08562152985840125</v>
      </c>
      <c r="AC2111" t="n">
        <v>68.42663897223727</v>
      </c>
      <c r="AD2111" t="n">
        <v>14.93967384689567</v>
      </c>
    </row>
    <row r="2112">
      <c r="A2112" t="n">
        <v>2111</v>
      </c>
      <c r="B2112" t="n">
        <v>78.3</v>
      </c>
      <c r="C2112" s="21">
        <f>B2112-20</f>
        <v/>
      </c>
      <c r="D2112" t="n">
        <v>111.1</v>
      </c>
      <c r="E2112" s="22">
        <f>D2112-90</f>
        <v/>
      </c>
      <c r="F2112" s="23" t="n">
        <v>0.019489</v>
      </c>
      <c r="G2112" s="22" t="n">
        <v>25</v>
      </c>
      <c r="H2112" s="22" t="n">
        <v>1.5</v>
      </c>
      <c r="I2112" s="24" t="n">
        <v>0.112087681889534</v>
      </c>
      <c r="J2112" s="6" t="n">
        <v>71000</v>
      </c>
      <c r="K2112" s="25">
        <f>23*10^-6</f>
        <v/>
      </c>
      <c r="L2112" s="8">
        <f>H2112</f>
        <v/>
      </c>
      <c r="M2112" s="26">
        <f>H2112^2/6</f>
        <v/>
      </c>
      <c r="N2112" s="26">
        <f>H2112^3/12</f>
        <v/>
      </c>
      <c r="O2112" s="27">
        <f>-J2112*L2112*K2112*C2112</f>
        <v/>
      </c>
      <c r="P2112" s="28">
        <f>-(12*F2112*J2112*L2112*N2112+12*O2112*N2112*G2112*COS(RADIANS(E2112)))/(12*N2112*G2112*COS(RADIANS(E2112))^2+L2112*G2112^3*SIN(RADIANS(E2112))^2)</f>
        <v/>
      </c>
      <c r="Q2112" s="28">
        <f>-(6*F2112*J2112*L2112*N2112*SIN(RADIANS(E2112))+6*O2112*N2112*G2112*SIN(RADIANS(E2112))*COS(RADIANS(E2112)))/(12*N2112*COS(RADIANS(E2112))^2+L2112*G2112^2*SIN(RADIANS(E2112))^2)</f>
        <v/>
      </c>
      <c r="R2112" s="28">
        <f>-P2112*SIN(RADIANS(E2112))</f>
        <v/>
      </c>
      <c r="S2112" s="8">
        <f>(O2112+P2112*COS(RADIANS(E2112)))/L2112</f>
        <v/>
      </c>
      <c r="T2112" s="8">
        <f>R2112/L2112</f>
        <v/>
      </c>
      <c r="U2112" s="8">
        <f>(Q2112-P2112*G2112*SIN(RADIANS(E2112)))/M2112</f>
        <v/>
      </c>
      <c r="V2112" s="8">
        <f>SQRT((S2112+U2112)^2+3*T2112^2)</f>
        <v/>
      </c>
      <c r="W2112" s="8">
        <f>V2112/AA2112</f>
        <v/>
      </c>
      <c r="X2112" s="27">
        <f>((3*10+H2112/COS(RADIANS(E2112)))*(3+3)+3*G2112*H2112)*2</f>
        <v/>
      </c>
      <c r="Y2112" s="28">
        <f>Z2112/X2112</f>
        <v/>
      </c>
      <c r="Z2112" s="29" t="n">
        <v>609.4519485539749</v>
      </c>
      <c r="AA2112" s="20" t="n">
        <v>90.7102522975192</v>
      </c>
      <c r="AB2112" t="n">
        <v>0.1400581571649167</v>
      </c>
      <c r="AC2112" t="n">
        <v>91.04859319578159</v>
      </c>
      <c r="AD2112" t="n">
        <v>24.95410272017983</v>
      </c>
    </row>
    <row r="2113">
      <c r="A2113" t="n">
        <v>2112</v>
      </c>
      <c r="B2113" t="n">
        <v>65.2</v>
      </c>
      <c r="C2113" s="21">
        <f>B2113-20</f>
        <v/>
      </c>
      <c r="D2113" t="n">
        <v>109.4</v>
      </c>
      <c r="E2113" s="22">
        <f>D2113-90</f>
        <v/>
      </c>
      <c r="F2113" s="23" t="n">
        <v>0.019616</v>
      </c>
      <c r="G2113" s="22" t="n">
        <v>34</v>
      </c>
      <c r="H2113" s="22" t="n">
        <v>1.9</v>
      </c>
      <c r="I2113" s="24" t="n">
        <v>0.114417381584644</v>
      </c>
      <c r="J2113" s="6" t="n">
        <v>71000</v>
      </c>
      <c r="K2113" s="25">
        <f>23*10^-6</f>
        <v/>
      </c>
      <c r="L2113" s="8">
        <f>H2113</f>
        <v/>
      </c>
      <c r="M2113" s="26">
        <f>H2113^2/6</f>
        <v/>
      </c>
      <c r="N2113" s="26">
        <f>H2113^3/12</f>
        <v/>
      </c>
      <c r="O2113" s="27">
        <f>-J2113*L2113*K2113*C2113</f>
        <v/>
      </c>
      <c r="P2113" s="28">
        <f>-(12*F2113*J2113*L2113*N2113+12*O2113*N2113*G2113*COS(RADIANS(E2113)))/(12*N2113*G2113*COS(RADIANS(E2113))^2+L2113*G2113^3*SIN(RADIANS(E2113))^2)</f>
        <v/>
      </c>
      <c r="Q2113" s="28">
        <f>-(6*F2113*J2113*L2113*N2113*SIN(RADIANS(E2113))+6*O2113*N2113*G2113*SIN(RADIANS(E2113))*COS(RADIANS(E2113)))/(12*N2113*COS(RADIANS(E2113))^2+L2113*G2113^2*SIN(RADIANS(E2113))^2)</f>
        <v/>
      </c>
      <c r="R2113" s="28">
        <f>-P2113*SIN(RADIANS(E2113))</f>
        <v/>
      </c>
      <c r="S2113" s="8">
        <f>(O2113+P2113*COS(RADIANS(E2113)))/L2113</f>
        <v/>
      </c>
      <c r="T2113" s="8">
        <f>R2113/L2113</f>
        <v/>
      </c>
      <c r="U2113" s="8">
        <f>(Q2113-P2113*G2113*SIN(RADIANS(E2113)))/M2113</f>
        <v/>
      </c>
      <c r="V2113" s="8">
        <f>SQRT((S2113+U2113)^2+3*T2113^2)</f>
        <v/>
      </c>
      <c r="W2113" s="8">
        <f>V2113/AA2113</f>
        <v/>
      </c>
      <c r="X2113" s="27">
        <f>((3*10+H2113/COS(RADIANS(E2113)))*(3+3)+3*G2113*H2113)*2</f>
        <v/>
      </c>
      <c r="Y2113" s="28">
        <f>Z2113/X2113</f>
        <v/>
      </c>
      <c r="Z2113" s="29" t="n">
        <v>776.650758072767</v>
      </c>
      <c r="AA2113" s="20" t="n">
        <v>74.3095521160278</v>
      </c>
      <c r="AB2113" t="n">
        <v>0.1579656964227784</v>
      </c>
      <c r="AC2113" t="n">
        <v>71.70016511039528</v>
      </c>
      <c r="AD2113" t="n">
        <v>38.06092591440582</v>
      </c>
    </row>
    <row r="2114">
      <c r="A2114" t="n">
        <v>2113</v>
      </c>
      <c r="B2114" t="n">
        <v>81.59999999999999</v>
      </c>
      <c r="C2114" s="21">
        <f>B2114-20</f>
        <v/>
      </c>
      <c r="D2114" t="n">
        <v>101.1</v>
      </c>
      <c r="E2114" s="22">
        <f>D2114-90</f>
        <v/>
      </c>
      <c r="F2114" s="23" t="n">
        <v>0.024404</v>
      </c>
      <c r="G2114" s="22" t="n">
        <v>29.3</v>
      </c>
      <c r="H2114" s="22" t="n">
        <v>1.5</v>
      </c>
      <c r="I2114" s="24" t="n">
        <v>0.215203672647476</v>
      </c>
      <c r="J2114" s="6" t="n">
        <v>71000</v>
      </c>
      <c r="K2114" s="25">
        <f>23*10^-6</f>
        <v/>
      </c>
      <c r="L2114" s="8">
        <f>H2114</f>
        <v/>
      </c>
      <c r="M2114" s="26">
        <f>H2114^2/6</f>
        <v/>
      </c>
      <c r="N2114" s="26">
        <f>H2114^3/12</f>
        <v/>
      </c>
      <c r="O2114" s="27">
        <f>-J2114*L2114*K2114*C2114</f>
        <v/>
      </c>
      <c r="P2114" s="28">
        <f>-(12*F2114*J2114*L2114*N2114+12*O2114*N2114*G2114*COS(RADIANS(E2114)))/(12*N2114*G2114*COS(RADIANS(E2114))^2+L2114*G2114^3*SIN(RADIANS(E2114))^2)</f>
        <v/>
      </c>
      <c r="Q2114" s="28">
        <f>-(6*F2114*J2114*L2114*N2114*SIN(RADIANS(E2114))+6*O2114*N2114*G2114*SIN(RADIANS(E2114))*COS(RADIANS(E2114)))/(12*N2114*COS(RADIANS(E2114))^2+L2114*G2114^2*SIN(RADIANS(E2114))^2)</f>
        <v/>
      </c>
      <c r="R2114" s="28">
        <f>-P2114*SIN(RADIANS(E2114))</f>
        <v/>
      </c>
      <c r="S2114" s="8">
        <f>(O2114+P2114*COS(RADIANS(E2114)))/L2114</f>
        <v/>
      </c>
      <c r="T2114" s="8">
        <f>R2114/L2114</f>
        <v/>
      </c>
      <c r="U2114" s="8">
        <f>(Q2114-P2114*G2114*SIN(RADIANS(E2114)))/M2114</f>
        <v/>
      </c>
      <c r="V2114" s="8">
        <f>SQRT((S2114+U2114)^2+3*T2114^2)</f>
        <v/>
      </c>
      <c r="W2114" s="8">
        <f>V2114/AA2114</f>
        <v/>
      </c>
      <c r="X2114" s="27">
        <f>((3*10+H2114/COS(RADIANS(E2114)))*(3+3)+3*G2114*H2114)*2</f>
        <v/>
      </c>
      <c r="Y2114" s="28">
        <f>Z2114/X2114</f>
        <v/>
      </c>
      <c r="Z2114" s="29" t="n">
        <v>645.93431621553</v>
      </c>
      <c r="AA2114" s="20" t="n">
        <v>100.170168979468</v>
      </c>
      <c r="AB2114" t="n">
        <v>0.3180316162671987</v>
      </c>
      <c r="AC2114" t="n">
        <v>104.9350992667889</v>
      </c>
      <c r="AD2114" t="n">
        <v>47.78168622993929</v>
      </c>
    </row>
    <row r="2115">
      <c r="A2115" t="n">
        <v>2114</v>
      </c>
      <c r="B2115" t="n">
        <v>57.3</v>
      </c>
      <c r="C2115" s="21">
        <f>B2115-20</f>
        <v/>
      </c>
      <c r="D2115" t="n">
        <v>112.6</v>
      </c>
      <c r="E2115" s="22">
        <f>D2115-90</f>
        <v/>
      </c>
      <c r="F2115" s="23" t="n">
        <v>0.014721</v>
      </c>
      <c r="G2115" s="22" t="n">
        <v>31</v>
      </c>
      <c r="H2115" s="22" t="n">
        <v>1.7</v>
      </c>
      <c r="I2115" s="24" t="n">
        <v>0.07900729775428771</v>
      </c>
      <c r="J2115" s="6" t="n">
        <v>71000</v>
      </c>
      <c r="K2115" s="25">
        <f>23*10^-6</f>
        <v/>
      </c>
      <c r="L2115" s="8">
        <f>H2115</f>
        <v/>
      </c>
      <c r="M2115" s="26">
        <f>H2115^2/6</f>
        <v/>
      </c>
      <c r="N2115" s="26">
        <f>H2115^3/12</f>
        <v/>
      </c>
      <c r="O2115" s="27">
        <f>-J2115*L2115*K2115*C2115</f>
        <v/>
      </c>
      <c r="P2115" s="28">
        <f>-(12*F2115*J2115*L2115*N2115+12*O2115*N2115*G2115*COS(RADIANS(E2115)))/(12*N2115*G2115*COS(RADIANS(E2115))^2+L2115*G2115^3*SIN(RADIANS(E2115))^2)</f>
        <v/>
      </c>
      <c r="Q2115" s="28">
        <f>-(6*F2115*J2115*L2115*N2115*SIN(RADIANS(E2115))+6*O2115*N2115*G2115*SIN(RADIANS(E2115))*COS(RADIANS(E2115)))/(12*N2115*COS(RADIANS(E2115))^2+L2115*G2115^2*SIN(RADIANS(E2115))^2)</f>
        <v/>
      </c>
      <c r="R2115" s="28">
        <f>-P2115*SIN(RADIANS(E2115))</f>
        <v/>
      </c>
      <c r="S2115" s="8">
        <f>(O2115+P2115*COS(RADIANS(E2115)))/L2115</f>
        <v/>
      </c>
      <c r="T2115" s="8">
        <f>R2115/L2115</f>
        <v/>
      </c>
      <c r="U2115" s="8">
        <f>(Q2115-P2115*G2115*SIN(RADIANS(E2115)))/M2115</f>
        <v/>
      </c>
      <c r="V2115" s="8">
        <f>SQRT((S2115+U2115)^2+3*T2115^2)</f>
        <v/>
      </c>
      <c r="W2115" s="8">
        <f>V2115/AA2115</f>
        <v/>
      </c>
      <c r="X2115" s="27">
        <f>((3*10+H2115/COS(RADIANS(E2115)))*(3+3)+3*G2115*H2115)*2</f>
        <v/>
      </c>
      <c r="Y2115" s="28">
        <f>Z2115/X2115</f>
        <v/>
      </c>
      <c r="Z2115" s="29" t="n">
        <v>703.72668465841</v>
      </c>
      <c r="AA2115" s="20" t="n">
        <v>58.8383138764052</v>
      </c>
      <c r="AB2115" t="n">
        <v>0.1026805873311635</v>
      </c>
      <c r="AC2115" t="n">
        <v>57.55010962150215</v>
      </c>
      <c r="AD2115" t="n">
        <v>29.96342141772729</v>
      </c>
    </row>
    <row r="2116">
      <c r="A2116" t="n">
        <v>2115</v>
      </c>
      <c r="B2116" t="n">
        <v>79.7</v>
      </c>
      <c r="C2116" s="21">
        <f>B2116-20</f>
        <v/>
      </c>
      <c r="D2116" t="n">
        <v>115.5</v>
      </c>
      <c r="E2116" s="22">
        <f>D2116-90</f>
        <v/>
      </c>
      <c r="F2116" s="23" t="n">
        <v>0.018703</v>
      </c>
      <c r="G2116" s="22" t="n">
        <v>23.8</v>
      </c>
      <c r="H2116" s="22" t="n">
        <v>1.9</v>
      </c>
      <c r="I2116" s="24" t="n">
        <v>0.0970125868916511</v>
      </c>
      <c r="J2116" s="6" t="n">
        <v>71000</v>
      </c>
      <c r="K2116" s="25">
        <f>23*10^-6</f>
        <v/>
      </c>
      <c r="L2116" s="8">
        <f>H2116</f>
        <v/>
      </c>
      <c r="M2116" s="26">
        <f>H2116^2/6</f>
        <v/>
      </c>
      <c r="N2116" s="26">
        <f>H2116^3/12</f>
        <v/>
      </c>
      <c r="O2116" s="27">
        <f>-J2116*L2116*K2116*C2116</f>
        <v/>
      </c>
      <c r="P2116" s="28">
        <f>-(12*F2116*J2116*L2116*N2116+12*O2116*N2116*G2116*COS(RADIANS(E2116)))/(12*N2116*G2116*COS(RADIANS(E2116))^2+L2116*G2116^3*SIN(RADIANS(E2116))^2)</f>
        <v/>
      </c>
      <c r="Q2116" s="28">
        <f>-(6*F2116*J2116*L2116*N2116*SIN(RADIANS(E2116))+6*O2116*N2116*G2116*SIN(RADIANS(E2116))*COS(RADIANS(E2116)))/(12*N2116*COS(RADIANS(E2116))^2+L2116*G2116^2*SIN(RADIANS(E2116))^2)</f>
        <v/>
      </c>
      <c r="R2116" s="28">
        <f>-P2116*SIN(RADIANS(E2116))</f>
        <v/>
      </c>
      <c r="S2116" s="8">
        <f>(O2116+P2116*COS(RADIANS(E2116)))/L2116</f>
        <v/>
      </c>
      <c r="T2116" s="8">
        <f>R2116/L2116</f>
        <v/>
      </c>
      <c r="U2116" s="8">
        <f>(Q2116-P2116*G2116*SIN(RADIANS(E2116)))/M2116</f>
        <v/>
      </c>
      <c r="V2116" s="8">
        <f>SQRT((S2116+U2116)^2+3*T2116^2)</f>
        <v/>
      </c>
      <c r="W2116" s="8">
        <f>V2116/AA2116</f>
        <v/>
      </c>
      <c r="X2116" s="27">
        <f>((3*10+H2116/COS(RADIANS(E2116)))*(3+3)+3*G2116*H2116)*2</f>
        <v/>
      </c>
      <c r="Y2116" s="28">
        <f>Z2116/X2116</f>
        <v/>
      </c>
      <c r="Z2116" s="29" t="n">
        <v>662.604685248699</v>
      </c>
      <c r="AA2116" s="20" t="n">
        <v>100.825388611455</v>
      </c>
      <c r="AB2116" t="n">
        <v>0.1117415797088349</v>
      </c>
      <c r="AC2116" t="n">
        <v>93.71770469385689</v>
      </c>
      <c r="AD2116" t="n">
        <v>15.18255856184308</v>
      </c>
    </row>
    <row r="2117">
      <c r="A2117" t="n">
        <v>2116</v>
      </c>
      <c r="B2117" t="n">
        <v>74.5</v>
      </c>
      <c r="C2117" s="21">
        <f>B2117-20</f>
        <v/>
      </c>
      <c r="D2117" t="n">
        <v>107.4</v>
      </c>
      <c r="E2117" s="22">
        <f>D2117-90</f>
        <v/>
      </c>
      <c r="F2117" s="23" t="n">
        <v>0.020328</v>
      </c>
      <c r="G2117" s="22" t="n">
        <v>28</v>
      </c>
      <c r="H2117" s="22" t="n">
        <v>1.5</v>
      </c>
      <c r="I2117" s="24" t="n">
        <v>0.130698278546333</v>
      </c>
      <c r="J2117" s="6" t="n">
        <v>71000</v>
      </c>
      <c r="K2117" s="25">
        <f>23*10^-6</f>
        <v/>
      </c>
      <c r="L2117" s="8">
        <f>H2117</f>
        <v/>
      </c>
      <c r="M2117" s="26">
        <f>H2117^2/6</f>
        <v/>
      </c>
      <c r="N2117" s="26">
        <f>H2117^3/12</f>
        <v/>
      </c>
      <c r="O2117" s="27">
        <f>-J2117*L2117*K2117*C2117</f>
        <v/>
      </c>
      <c r="P2117" s="28">
        <f>-(12*F2117*J2117*L2117*N2117+12*O2117*N2117*G2117*COS(RADIANS(E2117)))/(12*N2117*G2117*COS(RADIANS(E2117))^2+L2117*G2117^3*SIN(RADIANS(E2117))^2)</f>
        <v/>
      </c>
      <c r="Q2117" s="28">
        <f>-(6*F2117*J2117*L2117*N2117*SIN(RADIANS(E2117))+6*O2117*N2117*G2117*SIN(RADIANS(E2117))*COS(RADIANS(E2117)))/(12*N2117*COS(RADIANS(E2117))^2+L2117*G2117^2*SIN(RADIANS(E2117))^2)</f>
        <v/>
      </c>
      <c r="R2117" s="28">
        <f>-P2117*SIN(RADIANS(E2117))</f>
        <v/>
      </c>
      <c r="S2117" s="8">
        <f>(O2117+P2117*COS(RADIANS(E2117)))/L2117</f>
        <v/>
      </c>
      <c r="T2117" s="8">
        <f>R2117/L2117</f>
        <v/>
      </c>
      <c r="U2117" s="8">
        <f>(Q2117-P2117*G2117*SIN(RADIANS(E2117)))/M2117</f>
        <v/>
      </c>
      <c r="V2117" s="8">
        <f>SQRT((S2117+U2117)^2+3*T2117^2)</f>
        <v/>
      </c>
      <c r="W2117" s="8">
        <f>V2117/AA2117</f>
        <v/>
      </c>
      <c r="X2117" s="27">
        <f>((3*10+H2117/COS(RADIANS(E2117)))*(3+3)+3*G2117*H2117)*2</f>
        <v/>
      </c>
      <c r="Y2117" s="28">
        <f>Z2117/X2117</f>
        <v/>
      </c>
      <c r="Z2117" s="29" t="n">
        <v>635.447698739956</v>
      </c>
      <c r="AA2117" s="20" t="n">
        <v>85.0534678840267</v>
      </c>
      <c r="AB2117" t="n">
        <v>0.1768806941399383</v>
      </c>
      <c r="AC2117" t="n">
        <v>86.72020805547413</v>
      </c>
      <c r="AD2117" t="n">
        <v>35.33513685662923</v>
      </c>
    </row>
    <row r="2118">
      <c r="A2118" t="n">
        <v>2117</v>
      </c>
      <c r="B2118" t="n">
        <v>60.2</v>
      </c>
      <c r="C2118" s="21">
        <f>B2118-20</f>
        <v/>
      </c>
      <c r="D2118" t="n">
        <v>110.6</v>
      </c>
      <c r="E2118" s="22">
        <f>D2118-90</f>
        <v/>
      </c>
      <c r="F2118" s="23" t="n">
        <v>0.015276</v>
      </c>
      <c r="G2118" s="22" t="n">
        <v>29.2</v>
      </c>
      <c r="H2118" s="22" t="n">
        <v>1.1</v>
      </c>
      <c r="I2118" s="24" t="n">
        <v>0.0878342762589454</v>
      </c>
      <c r="J2118" s="6" t="n">
        <v>71000</v>
      </c>
      <c r="K2118" s="25">
        <f>23*10^-6</f>
        <v/>
      </c>
      <c r="L2118" s="8">
        <f>H2118</f>
        <v/>
      </c>
      <c r="M2118" s="26">
        <f>H2118^2/6</f>
        <v/>
      </c>
      <c r="N2118" s="26">
        <f>H2118^3/12</f>
        <v/>
      </c>
      <c r="O2118" s="27">
        <f>-J2118*L2118*K2118*C2118</f>
        <v/>
      </c>
      <c r="P2118" s="28">
        <f>-(12*F2118*J2118*L2118*N2118+12*O2118*N2118*G2118*COS(RADIANS(E2118)))/(12*N2118*G2118*COS(RADIANS(E2118))^2+L2118*G2118^3*SIN(RADIANS(E2118))^2)</f>
        <v/>
      </c>
      <c r="Q2118" s="28">
        <f>-(6*F2118*J2118*L2118*N2118*SIN(RADIANS(E2118))+6*O2118*N2118*G2118*SIN(RADIANS(E2118))*COS(RADIANS(E2118)))/(12*N2118*COS(RADIANS(E2118))^2+L2118*G2118^2*SIN(RADIANS(E2118))^2)</f>
        <v/>
      </c>
      <c r="R2118" s="28">
        <f>-P2118*SIN(RADIANS(E2118))</f>
        <v/>
      </c>
      <c r="S2118" s="8">
        <f>(O2118+P2118*COS(RADIANS(E2118)))/L2118</f>
        <v/>
      </c>
      <c r="T2118" s="8">
        <f>R2118/L2118</f>
        <v/>
      </c>
      <c r="U2118" s="8">
        <f>(Q2118-P2118*G2118*SIN(RADIANS(E2118)))/M2118</f>
        <v/>
      </c>
      <c r="V2118" s="8">
        <f>SQRT((S2118+U2118)^2+3*T2118^2)</f>
        <v/>
      </c>
      <c r="W2118" s="8">
        <f>V2118/AA2118</f>
        <v/>
      </c>
      <c r="X2118" s="27">
        <f>((3*10+H2118/COS(RADIANS(E2118)))*(3+3)+3*G2118*H2118)*2</f>
        <v/>
      </c>
      <c r="Y2118" s="28">
        <f>Z2118/X2118</f>
        <v/>
      </c>
      <c r="Z2118" s="29" t="n">
        <v>571.8946913370399</v>
      </c>
      <c r="AA2118" s="20" t="n">
        <v>56.7269149968208</v>
      </c>
      <c r="AB2118" t="n">
        <v>0.1161505916563918</v>
      </c>
      <c r="AC2118" t="n">
        <v>60.13868060884528</v>
      </c>
      <c r="AD2118" t="n">
        <v>32.23834316567569</v>
      </c>
    </row>
    <row r="2119">
      <c r="A2119" t="n">
        <v>2118</v>
      </c>
      <c r="B2119" t="n">
        <v>80.09999999999999</v>
      </c>
      <c r="C2119" s="21">
        <f>B2119-20</f>
        <v/>
      </c>
      <c r="D2119" t="n">
        <v>111.1</v>
      </c>
      <c r="E2119" s="22">
        <f>D2119-90</f>
        <v/>
      </c>
      <c r="F2119" s="23" t="n">
        <v>0.024118</v>
      </c>
      <c r="G2119" s="22" t="n">
        <v>31.3</v>
      </c>
      <c r="H2119" s="22" t="n">
        <v>1.9</v>
      </c>
      <c r="I2119" s="24" t="n">
        <v>0.134509563446044</v>
      </c>
      <c r="J2119" s="6" t="n">
        <v>71000</v>
      </c>
      <c r="K2119" s="25">
        <f>23*10^-6</f>
        <v/>
      </c>
      <c r="L2119" s="8">
        <f>H2119</f>
        <v/>
      </c>
      <c r="M2119" s="26">
        <f>H2119^2/6</f>
        <v/>
      </c>
      <c r="N2119" s="26">
        <f>H2119^3/12</f>
        <v/>
      </c>
      <c r="O2119" s="27">
        <f>-J2119*L2119*K2119*C2119</f>
        <v/>
      </c>
      <c r="P2119" s="28">
        <f>-(12*F2119*J2119*L2119*N2119+12*O2119*N2119*G2119*COS(RADIANS(E2119)))/(12*N2119*G2119*COS(RADIANS(E2119))^2+L2119*G2119^3*SIN(RADIANS(E2119))^2)</f>
        <v/>
      </c>
      <c r="Q2119" s="28">
        <f>-(6*F2119*J2119*L2119*N2119*SIN(RADIANS(E2119))+6*O2119*N2119*G2119*SIN(RADIANS(E2119))*COS(RADIANS(E2119)))/(12*N2119*COS(RADIANS(E2119))^2+L2119*G2119^2*SIN(RADIANS(E2119))^2)</f>
        <v/>
      </c>
      <c r="R2119" s="28">
        <f>-P2119*SIN(RADIANS(E2119))</f>
        <v/>
      </c>
      <c r="S2119" s="8">
        <f>(O2119+P2119*COS(RADIANS(E2119)))/L2119</f>
        <v/>
      </c>
      <c r="T2119" s="8">
        <f>R2119/L2119</f>
        <v/>
      </c>
      <c r="U2119" s="8">
        <f>(Q2119-P2119*G2119*SIN(RADIANS(E2119)))/M2119</f>
        <v/>
      </c>
      <c r="V2119" s="8">
        <f>SQRT((S2119+U2119)^2+3*T2119^2)</f>
        <v/>
      </c>
      <c r="W2119" s="8">
        <f>V2119/AA2119</f>
        <v/>
      </c>
      <c r="X2119" s="27">
        <f>((3*10+H2119/COS(RADIANS(E2119)))*(3+3)+3*G2119*H2119)*2</f>
        <v/>
      </c>
      <c r="Y2119" s="28">
        <f>Z2119/X2119</f>
        <v/>
      </c>
      <c r="Z2119" s="29" t="n">
        <v>746.416899316072</v>
      </c>
      <c r="AA2119" s="20" t="n">
        <v>98.7306760606843</v>
      </c>
      <c r="AB2119" t="n">
        <v>0.1780506938911595</v>
      </c>
      <c r="AC2119" t="n">
        <v>94.90197578994569</v>
      </c>
      <c r="AD2119" t="n">
        <v>32.37028604481434</v>
      </c>
    </row>
    <row r="2120">
      <c r="A2120" t="n">
        <v>2119</v>
      </c>
      <c r="B2120" t="n">
        <v>51.9</v>
      </c>
      <c r="C2120" s="21">
        <f>B2120-20</f>
        <v/>
      </c>
      <c r="D2120" t="n">
        <v>128.4</v>
      </c>
      <c r="E2120" s="22">
        <f>D2120-90</f>
        <v/>
      </c>
      <c r="F2120" s="23" t="n">
        <v>0.008451999999999999</v>
      </c>
      <c r="G2120" s="22" t="n">
        <v>22</v>
      </c>
      <c r="H2120" s="22" t="n">
        <v>1.2</v>
      </c>
      <c r="I2120" s="24" t="n">
        <v>0.0381857566535472</v>
      </c>
      <c r="J2120" s="6" t="n">
        <v>71000</v>
      </c>
      <c r="K2120" s="25">
        <f>23*10^-6</f>
        <v/>
      </c>
      <c r="L2120" s="8">
        <f>H2120</f>
        <v/>
      </c>
      <c r="M2120" s="26">
        <f>H2120^2/6</f>
        <v/>
      </c>
      <c r="N2120" s="26">
        <f>H2120^3/12</f>
        <v/>
      </c>
      <c r="O2120" s="27">
        <f>-J2120*L2120*K2120*C2120</f>
        <v/>
      </c>
      <c r="P2120" s="28">
        <f>-(12*F2120*J2120*L2120*N2120+12*O2120*N2120*G2120*COS(RADIANS(E2120)))/(12*N2120*G2120*COS(RADIANS(E2120))^2+L2120*G2120^3*SIN(RADIANS(E2120))^2)</f>
        <v/>
      </c>
      <c r="Q2120" s="28">
        <f>-(6*F2120*J2120*L2120*N2120*SIN(RADIANS(E2120))+6*O2120*N2120*G2120*SIN(RADIANS(E2120))*COS(RADIANS(E2120)))/(12*N2120*COS(RADIANS(E2120))^2+L2120*G2120^2*SIN(RADIANS(E2120))^2)</f>
        <v/>
      </c>
      <c r="R2120" s="28">
        <f>-P2120*SIN(RADIANS(E2120))</f>
        <v/>
      </c>
      <c r="S2120" s="8">
        <f>(O2120+P2120*COS(RADIANS(E2120)))/L2120</f>
        <v/>
      </c>
      <c r="T2120" s="8">
        <f>R2120/L2120</f>
        <v/>
      </c>
      <c r="U2120" s="8">
        <f>(Q2120-P2120*G2120*SIN(RADIANS(E2120)))/M2120</f>
        <v/>
      </c>
      <c r="V2120" s="8">
        <f>SQRT((S2120+U2120)^2+3*T2120^2)</f>
        <v/>
      </c>
      <c r="W2120" s="8">
        <f>V2120/AA2120</f>
        <v/>
      </c>
      <c r="X2120" s="27">
        <f>((3*10+H2120/COS(RADIANS(E2120)))*(3+3)+3*G2120*H2120)*2</f>
        <v/>
      </c>
      <c r="Y2120" s="28">
        <f>Z2120/X2120</f>
        <v/>
      </c>
      <c r="Z2120" s="29" t="n">
        <v>546.832379650866</v>
      </c>
      <c r="AA2120" s="20" t="n">
        <v>44.7003593170403</v>
      </c>
      <c r="AB2120" t="n">
        <v>0.03644573482837793</v>
      </c>
      <c r="AC2120" t="n">
        <v>45.70034523795039</v>
      </c>
      <c r="AD2120" t="n">
        <v>-4.556729989551304</v>
      </c>
    </row>
    <row r="2121">
      <c r="A2121" t="n">
        <v>2120</v>
      </c>
      <c r="B2121" t="n">
        <v>88.8</v>
      </c>
      <c r="C2121" s="21">
        <f>B2121-20</f>
        <v/>
      </c>
      <c r="D2121" t="n">
        <v>101</v>
      </c>
      <c r="E2121" s="22">
        <f>D2121-90</f>
        <v/>
      </c>
      <c r="F2121" s="23" t="n">
        <v>0.03096</v>
      </c>
      <c r="G2121" s="22" t="n">
        <v>34.1</v>
      </c>
      <c r="H2121" s="22" t="n">
        <v>1.1</v>
      </c>
      <c r="I2121" s="24" t="n">
        <v>0.27988001704216</v>
      </c>
      <c r="J2121" s="6" t="n">
        <v>71000</v>
      </c>
      <c r="K2121" s="25">
        <f>23*10^-6</f>
        <v/>
      </c>
      <c r="L2121" s="8">
        <f>H2121</f>
        <v/>
      </c>
      <c r="M2121" s="26">
        <f>H2121^2/6</f>
        <v/>
      </c>
      <c r="N2121" s="26">
        <f>H2121^3/12</f>
        <v/>
      </c>
      <c r="O2121" s="27">
        <f>-J2121*L2121*K2121*C2121</f>
        <v/>
      </c>
      <c r="P2121" s="28">
        <f>-(12*F2121*J2121*L2121*N2121+12*O2121*N2121*G2121*COS(RADIANS(E2121)))/(12*N2121*G2121*COS(RADIANS(E2121))^2+L2121*G2121^3*SIN(RADIANS(E2121))^2)</f>
        <v/>
      </c>
      <c r="Q2121" s="28">
        <f>-(6*F2121*J2121*L2121*N2121*SIN(RADIANS(E2121))+6*O2121*N2121*G2121*SIN(RADIANS(E2121))*COS(RADIANS(E2121)))/(12*N2121*COS(RADIANS(E2121))^2+L2121*G2121^2*SIN(RADIANS(E2121))^2)</f>
        <v/>
      </c>
      <c r="R2121" s="28">
        <f>-P2121*SIN(RADIANS(E2121))</f>
        <v/>
      </c>
      <c r="S2121" s="8">
        <f>(O2121+P2121*COS(RADIANS(E2121)))/L2121</f>
        <v/>
      </c>
      <c r="T2121" s="8">
        <f>R2121/L2121</f>
        <v/>
      </c>
      <c r="U2121" s="8">
        <f>(Q2121-P2121*G2121*SIN(RADIANS(E2121)))/M2121</f>
        <v/>
      </c>
      <c r="V2121" s="8">
        <f>SQRT((S2121+U2121)^2+3*T2121^2)</f>
        <v/>
      </c>
      <c r="W2121" s="8">
        <f>V2121/AA2121</f>
        <v/>
      </c>
      <c r="X2121" s="27">
        <f>((3*10+H2121/COS(RADIANS(E2121)))*(3+3)+3*G2121*H2121)*2</f>
        <v/>
      </c>
      <c r="Y2121" s="28">
        <f>Z2121/X2121</f>
        <v/>
      </c>
      <c r="Z2121" s="29" t="n">
        <v>602.3898904379751</v>
      </c>
      <c r="AA2121" s="20" t="n">
        <v>100.120434334269</v>
      </c>
      <c r="AB2121" t="n">
        <v>0.4300598412250172</v>
      </c>
      <c r="AC2121" t="n">
        <v>109.981339550476</v>
      </c>
      <c r="AD2121" t="n">
        <v>53.65864479000471</v>
      </c>
    </row>
    <row r="2122">
      <c r="A2122" t="n">
        <v>2121</v>
      </c>
      <c r="B2122" t="n">
        <v>54.6</v>
      </c>
      <c r="C2122" s="21">
        <f>B2122-20</f>
        <v/>
      </c>
      <c r="D2122" t="n">
        <v>121.6</v>
      </c>
      <c r="E2122" s="22">
        <f>D2122-90</f>
        <v/>
      </c>
      <c r="F2122" s="23" t="n">
        <v>0.013352</v>
      </c>
      <c r="G2122" s="22" t="n">
        <v>32.7</v>
      </c>
      <c r="H2122" s="22" t="n">
        <v>1.6</v>
      </c>
      <c r="I2122" s="24" t="n">
        <v>0.0602133348584175</v>
      </c>
      <c r="J2122" s="6" t="n">
        <v>71000</v>
      </c>
      <c r="K2122" s="25">
        <f>23*10^-6</f>
        <v/>
      </c>
      <c r="L2122" s="8">
        <f>H2122</f>
        <v/>
      </c>
      <c r="M2122" s="26">
        <f>H2122^2/6</f>
        <v/>
      </c>
      <c r="N2122" s="26">
        <f>H2122^3/12</f>
        <v/>
      </c>
      <c r="O2122" s="27">
        <f>-J2122*L2122*K2122*C2122</f>
        <v/>
      </c>
      <c r="P2122" s="28">
        <f>-(12*F2122*J2122*L2122*N2122+12*O2122*N2122*G2122*COS(RADIANS(E2122)))/(12*N2122*G2122*COS(RADIANS(E2122))^2+L2122*G2122^3*SIN(RADIANS(E2122))^2)</f>
        <v/>
      </c>
      <c r="Q2122" s="28">
        <f>-(6*F2122*J2122*L2122*N2122*SIN(RADIANS(E2122))+6*O2122*N2122*G2122*SIN(RADIANS(E2122))*COS(RADIANS(E2122)))/(12*N2122*COS(RADIANS(E2122))^2+L2122*G2122^2*SIN(RADIANS(E2122))^2)</f>
        <v/>
      </c>
      <c r="R2122" s="28">
        <f>-P2122*SIN(RADIANS(E2122))</f>
        <v/>
      </c>
      <c r="S2122" s="8">
        <f>(O2122+P2122*COS(RADIANS(E2122)))/L2122</f>
        <v/>
      </c>
      <c r="T2122" s="8">
        <f>R2122/L2122</f>
        <v/>
      </c>
      <c r="U2122" s="8">
        <f>(Q2122-P2122*G2122*SIN(RADIANS(E2122)))/M2122</f>
        <v/>
      </c>
      <c r="V2122" s="8">
        <f>SQRT((S2122+U2122)^2+3*T2122^2)</f>
        <v/>
      </c>
      <c r="W2122" s="8">
        <f>V2122/AA2122</f>
        <v/>
      </c>
      <c r="X2122" s="27">
        <f>((3*10+H2122/COS(RADIANS(E2122)))*(3+3)+3*G2122*H2122)*2</f>
        <v/>
      </c>
      <c r="Y2122" s="28">
        <f>Z2122/X2122</f>
        <v/>
      </c>
      <c r="Z2122" s="29" t="n">
        <v>704.07411064348</v>
      </c>
      <c r="AA2122" s="20" t="n">
        <v>51.5402226112102</v>
      </c>
      <c r="AB2122" t="n">
        <v>0.07086663488552894</v>
      </c>
      <c r="AC2122" t="n">
        <v>50.7366629647312</v>
      </c>
      <c r="AD2122" t="n">
        <v>17.69259259956463</v>
      </c>
    </row>
    <row r="2123">
      <c r="A2123" t="n">
        <v>2122</v>
      </c>
      <c r="B2123" t="n">
        <v>40.4</v>
      </c>
      <c r="C2123" s="21">
        <f>B2123-20</f>
        <v/>
      </c>
      <c r="D2123" t="n">
        <v>126.5</v>
      </c>
      <c r="E2123" s="22">
        <f>D2123-90</f>
        <v/>
      </c>
      <c r="F2123" s="23" t="n">
        <v>0.005452</v>
      </c>
      <c r="G2123" s="22" t="n">
        <v>21.7</v>
      </c>
      <c r="H2123" s="22" t="n">
        <v>1.4</v>
      </c>
      <c r="I2123" s="24" t="n">
        <v>0.024983637034893</v>
      </c>
      <c r="J2123" s="6" t="n">
        <v>71000</v>
      </c>
      <c r="K2123" s="25">
        <f>23*10^-6</f>
        <v/>
      </c>
      <c r="L2123" s="8">
        <f>H2123</f>
        <v/>
      </c>
      <c r="M2123" s="26">
        <f>H2123^2/6</f>
        <v/>
      </c>
      <c r="N2123" s="26">
        <f>H2123^3/12</f>
        <v/>
      </c>
      <c r="O2123" s="27">
        <f>-J2123*L2123*K2123*C2123</f>
        <v/>
      </c>
      <c r="P2123" s="28">
        <f>-(12*F2123*J2123*L2123*N2123+12*O2123*N2123*G2123*COS(RADIANS(E2123)))/(12*N2123*G2123*COS(RADIANS(E2123))^2+L2123*G2123^3*SIN(RADIANS(E2123))^2)</f>
        <v/>
      </c>
      <c r="Q2123" s="28">
        <f>-(6*F2123*J2123*L2123*N2123*SIN(RADIANS(E2123))+6*O2123*N2123*G2123*SIN(RADIANS(E2123))*COS(RADIANS(E2123)))/(12*N2123*COS(RADIANS(E2123))^2+L2123*G2123^2*SIN(RADIANS(E2123))^2)</f>
        <v/>
      </c>
      <c r="R2123" s="28">
        <f>-P2123*SIN(RADIANS(E2123))</f>
        <v/>
      </c>
      <c r="S2123" s="8">
        <f>(O2123+P2123*COS(RADIANS(E2123)))/L2123</f>
        <v/>
      </c>
      <c r="T2123" s="8">
        <f>R2123/L2123</f>
        <v/>
      </c>
      <c r="U2123" s="8">
        <f>(Q2123-P2123*G2123*SIN(RADIANS(E2123)))/M2123</f>
        <v/>
      </c>
      <c r="V2123" s="8">
        <f>SQRT((S2123+U2123)^2+3*T2123^2)</f>
        <v/>
      </c>
      <c r="W2123" s="8">
        <f>V2123/AA2123</f>
        <v/>
      </c>
      <c r="X2123" s="27">
        <f>((3*10+H2123/COS(RADIANS(E2123)))*(3+3)+3*G2123*H2123)*2</f>
        <v/>
      </c>
      <c r="Y2123" s="28">
        <f>Z2123/X2123</f>
        <v/>
      </c>
      <c r="Z2123" s="29" t="n">
        <v>572.46893421525</v>
      </c>
      <c r="AA2123" s="20" t="n">
        <v>30.3835127045051</v>
      </c>
      <c r="AB2123" t="n">
        <v>0.02426997691901324</v>
      </c>
      <c r="AC2123" t="n">
        <v>29.70544958736003</v>
      </c>
      <c r="AD2123" t="n">
        <v>-2.856510102524464</v>
      </c>
    </row>
    <row r="2124">
      <c r="A2124" t="n">
        <v>2123</v>
      </c>
      <c r="B2124" t="n">
        <v>81.7</v>
      </c>
      <c r="C2124" s="21">
        <f>B2124-20</f>
        <v/>
      </c>
      <c r="D2124" t="n">
        <v>122.8</v>
      </c>
      <c r="E2124" s="22">
        <f>D2124-90</f>
        <v/>
      </c>
      <c r="F2124" s="23" t="n">
        <v>0.017937</v>
      </c>
      <c r="G2124" s="22" t="n">
        <v>23.2</v>
      </c>
      <c r="H2124" s="22" t="n">
        <v>1.1</v>
      </c>
      <c r="I2124" s="24" t="n">
        <v>0.0838907957077026</v>
      </c>
      <c r="J2124" s="6" t="n">
        <v>71000</v>
      </c>
      <c r="K2124" s="25">
        <f>23*10^-6</f>
        <v/>
      </c>
      <c r="L2124" s="8">
        <f>H2124</f>
        <v/>
      </c>
      <c r="M2124" s="26">
        <f>H2124^2/6</f>
        <v/>
      </c>
      <c r="N2124" s="26">
        <f>H2124^3/12</f>
        <v/>
      </c>
      <c r="O2124" s="27">
        <f>-J2124*L2124*K2124*C2124</f>
        <v/>
      </c>
      <c r="P2124" s="28">
        <f>-(12*F2124*J2124*L2124*N2124+12*O2124*N2124*G2124*COS(RADIANS(E2124)))/(12*N2124*G2124*COS(RADIANS(E2124))^2+L2124*G2124^3*SIN(RADIANS(E2124))^2)</f>
        <v/>
      </c>
      <c r="Q2124" s="28">
        <f>-(6*F2124*J2124*L2124*N2124*SIN(RADIANS(E2124))+6*O2124*N2124*G2124*SIN(RADIANS(E2124))*COS(RADIANS(E2124)))/(12*N2124*COS(RADIANS(E2124))^2+L2124*G2124^2*SIN(RADIANS(E2124))^2)</f>
        <v/>
      </c>
      <c r="R2124" s="28">
        <f>-P2124*SIN(RADIANS(E2124))</f>
        <v/>
      </c>
      <c r="S2124" s="8">
        <f>(O2124+P2124*COS(RADIANS(E2124)))/L2124</f>
        <v/>
      </c>
      <c r="T2124" s="8">
        <f>R2124/L2124</f>
        <v/>
      </c>
      <c r="U2124" s="8">
        <f>(Q2124-P2124*G2124*SIN(RADIANS(E2124)))/M2124</f>
        <v/>
      </c>
      <c r="V2124" s="8">
        <f>SQRT((S2124+U2124)^2+3*T2124^2)</f>
        <v/>
      </c>
      <c r="W2124" s="8">
        <f>V2124/AA2124</f>
        <v/>
      </c>
      <c r="X2124" s="27">
        <f>((3*10+H2124/COS(RADIANS(E2124)))*(3+3)+3*G2124*H2124)*2</f>
        <v/>
      </c>
      <c r="Y2124" s="28">
        <f>Z2124/X2124</f>
        <v/>
      </c>
      <c r="Z2124" s="29" t="n">
        <v>536.8094918542359</v>
      </c>
      <c r="AA2124" s="20" t="n">
        <v>85.6483645093426</v>
      </c>
      <c r="AB2124" t="n">
        <v>0.0880699760987482</v>
      </c>
      <c r="AC2124" t="n">
        <v>89.11469042233897</v>
      </c>
      <c r="AD2124" t="n">
        <v>4.981691204368781</v>
      </c>
    </row>
    <row r="2125">
      <c r="A2125" t="n">
        <v>2124</v>
      </c>
      <c r="B2125" t="n">
        <v>77</v>
      </c>
      <c r="C2125" s="21">
        <f>B2125-20</f>
        <v/>
      </c>
      <c r="D2125" t="n">
        <v>122.6</v>
      </c>
      <c r="E2125" s="22">
        <f>D2125-90</f>
        <v/>
      </c>
      <c r="F2125" s="23" t="n">
        <v>0.017749</v>
      </c>
      <c r="G2125" s="22" t="n">
        <v>25.3</v>
      </c>
      <c r="H2125" s="22" t="n">
        <v>1.5</v>
      </c>
      <c r="I2125" s="24" t="n">
        <v>0.0821522250771522</v>
      </c>
      <c r="J2125" s="6" t="n">
        <v>71000</v>
      </c>
      <c r="K2125" s="25">
        <f>23*10^-6</f>
        <v/>
      </c>
      <c r="L2125" s="8">
        <f>H2125</f>
        <v/>
      </c>
      <c r="M2125" s="26">
        <f>H2125^2/6</f>
        <v/>
      </c>
      <c r="N2125" s="26">
        <f>H2125^3/12</f>
        <v/>
      </c>
      <c r="O2125" s="27">
        <f>-J2125*L2125*K2125*C2125</f>
        <v/>
      </c>
      <c r="P2125" s="28">
        <f>-(12*F2125*J2125*L2125*N2125+12*O2125*N2125*G2125*COS(RADIANS(E2125)))/(12*N2125*G2125*COS(RADIANS(E2125))^2+L2125*G2125^3*SIN(RADIANS(E2125))^2)</f>
        <v/>
      </c>
      <c r="Q2125" s="28">
        <f>-(6*F2125*J2125*L2125*N2125*SIN(RADIANS(E2125))+6*O2125*N2125*G2125*SIN(RADIANS(E2125))*COS(RADIANS(E2125)))/(12*N2125*COS(RADIANS(E2125))^2+L2125*G2125^2*SIN(RADIANS(E2125))^2)</f>
        <v/>
      </c>
      <c r="R2125" s="28">
        <f>-P2125*SIN(RADIANS(E2125))</f>
        <v/>
      </c>
      <c r="S2125" s="8">
        <f>(O2125+P2125*COS(RADIANS(E2125)))/L2125</f>
        <v/>
      </c>
      <c r="T2125" s="8">
        <f>R2125/L2125</f>
        <v/>
      </c>
      <c r="U2125" s="8">
        <f>(Q2125-P2125*G2125*SIN(RADIANS(E2125)))/M2125</f>
        <v/>
      </c>
      <c r="V2125" s="8">
        <f>SQRT((S2125+U2125)^2+3*T2125^2)</f>
        <v/>
      </c>
      <c r="W2125" s="8">
        <f>V2125/AA2125</f>
        <v/>
      </c>
      <c r="X2125" s="27">
        <f>((3*10+H2125/COS(RADIANS(E2125)))*(3+3)+3*G2125*H2125)*2</f>
        <v/>
      </c>
      <c r="Y2125" s="28">
        <f>Z2125/X2125</f>
        <v/>
      </c>
      <c r="Z2125" s="29" t="n">
        <v>616.988078312615</v>
      </c>
      <c r="AA2125" s="20" t="n">
        <v>85.695557309668</v>
      </c>
      <c r="AB2125" t="n">
        <v>0.08845791927254937</v>
      </c>
      <c r="AC2125" t="n">
        <v>84.02196226816005</v>
      </c>
      <c r="AD2125" t="n">
        <v>7.675621919522277</v>
      </c>
    </row>
    <row r="2126">
      <c r="A2126" t="n">
        <v>2125</v>
      </c>
      <c r="B2126" t="n">
        <v>75.3</v>
      </c>
      <c r="C2126" s="21">
        <f>B2126-20</f>
        <v/>
      </c>
      <c r="D2126" t="n">
        <v>123.5</v>
      </c>
      <c r="E2126" s="22">
        <f>D2126-90</f>
        <v/>
      </c>
      <c r="F2126" s="23" t="n">
        <v>0.014454</v>
      </c>
      <c r="G2126" s="22" t="n">
        <v>20.3</v>
      </c>
      <c r="H2126" s="22" t="n">
        <v>1.4</v>
      </c>
      <c r="I2126" s="24" t="n">
        <v>0.0686270147562027</v>
      </c>
      <c r="J2126" s="6" t="n">
        <v>71000</v>
      </c>
      <c r="K2126" s="25">
        <f>23*10^-6</f>
        <v/>
      </c>
      <c r="L2126" s="8">
        <f>H2126</f>
        <v/>
      </c>
      <c r="M2126" s="26">
        <f>H2126^2/6</f>
        <v/>
      </c>
      <c r="N2126" s="26">
        <f>H2126^3/12</f>
        <v/>
      </c>
      <c r="O2126" s="27">
        <f>-J2126*L2126*K2126*C2126</f>
        <v/>
      </c>
      <c r="P2126" s="28">
        <f>-(12*F2126*J2126*L2126*N2126+12*O2126*N2126*G2126*COS(RADIANS(E2126)))/(12*N2126*G2126*COS(RADIANS(E2126))^2+L2126*G2126^3*SIN(RADIANS(E2126))^2)</f>
        <v/>
      </c>
      <c r="Q2126" s="28">
        <f>-(6*F2126*J2126*L2126*N2126*SIN(RADIANS(E2126))+6*O2126*N2126*G2126*SIN(RADIANS(E2126))*COS(RADIANS(E2126)))/(12*N2126*COS(RADIANS(E2126))^2+L2126*G2126^2*SIN(RADIANS(E2126))^2)</f>
        <v/>
      </c>
      <c r="R2126" s="28">
        <f>-P2126*SIN(RADIANS(E2126))</f>
        <v/>
      </c>
      <c r="S2126" s="8">
        <f>(O2126+P2126*COS(RADIANS(E2126)))/L2126</f>
        <v/>
      </c>
      <c r="T2126" s="8">
        <f>R2126/L2126</f>
        <v/>
      </c>
      <c r="U2126" s="8">
        <f>(Q2126-P2126*G2126*SIN(RADIANS(E2126)))/M2126</f>
        <v/>
      </c>
      <c r="V2126" s="8">
        <f>SQRT((S2126+U2126)^2+3*T2126^2)</f>
        <v/>
      </c>
      <c r="W2126" s="8">
        <f>V2126/AA2126</f>
        <v/>
      </c>
      <c r="X2126" s="27">
        <f>((3*10+H2126/COS(RADIANS(E2126)))*(3+3)+3*G2126*H2126)*2</f>
        <v/>
      </c>
      <c r="Y2126" s="28">
        <f>Z2126/X2126</f>
        <v/>
      </c>
      <c r="Z2126" s="29" t="n">
        <v>558.881191073713</v>
      </c>
      <c r="AA2126" s="20" t="n">
        <v>84.0926329584275</v>
      </c>
      <c r="AB2126" t="n">
        <v>0.06777811717976236</v>
      </c>
      <c r="AC2126" t="n">
        <v>81.56172085012757</v>
      </c>
      <c r="AD2126" t="n">
        <v>-1.236972902662381</v>
      </c>
    </row>
    <row r="2127">
      <c r="A2127" t="n">
        <v>2126</v>
      </c>
      <c r="B2127" t="n">
        <v>47</v>
      </c>
      <c r="C2127" s="21">
        <f>B2127-20</f>
        <v/>
      </c>
      <c r="D2127" t="n">
        <v>125.9</v>
      </c>
      <c r="E2127" s="22">
        <f>D2127-90</f>
        <v/>
      </c>
      <c r="F2127" s="23" t="n">
        <v>0.008678</v>
      </c>
      <c r="G2127" s="22" t="n">
        <v>27.4</v>
      </c>
      <c r="H2127" s="22" t="n">
        <v>1.5</v>
      </c>
      <c r="I2127" s="24" t="n">
        <v>0.0385386236011981</v>
      </c>
      <c r="J2127" s="6" t="n">
        <v>71000</v>
      </c>
      <c r="K2127" s="25">
        <f>23*10^-6</f>
        <v/>
      </c>
      <c r="L2127" s="8">
        <f>H2127</f>
        <v/>
      </c>
      <c r="M2127" s="26">
        <f>H2127^2/6</f>
        <v/>
      </c>
      <c r="N2127" s="26">
        <f>H2127^3/12</f>
        <v/>
      </c>
      <c r="O2127" s="27">
        <f>-J2127*L2127*K2127*C2127</f>
        <v/>
      </c>
      <c r="P2127" s="28">
        <f>-(12*F2127*J2127*L2127*N2127+12*O2127*N2127*G2127*COS(RADIANS(E2127)))/(12*N2127*G2127*COS(RADIANS(E2127))^2+L2127*G2127^3*SIN(RADIANS(E2127))^2)</f>
        <v/>
      </c>
      <c r="Q2127" s="28">
        <f>-(6*F2127*J2127*L2127*N2127*SIN(RADIANS(E2127))+6*O2127*N2127*G2127*SIN(RADIANS(E2127))*COS(RADIANS(E2127)))/(12*N2127*COS(RADIANS(E2127))^2+L2127*G2127^2*SIN(RADIANS(E2127))^2)</f>
        <v/>
      </c>
      <c r="R2127" s="28">
        <f>-P2127*SIN(RADIANS(E2127))</f>
        <v/>
      </c>
      <c r="S2127" s="8">
        <f>(O2127+P2127*COS(RADIANS(E2127)))/L2127</f>
        <v/>
      </c>
      <c r="T2127" s="8">
        <f>R2127/L2127</f>
        <v/>
      </c>
      <c r="U2127" s="8">
        <f>(Q2127-P2127*G2127*SIN(RADIANS(E2127)))/M2127</f>
        <v/>
      </c>
      <c r="V2127" s="8">
        <f>SQRT((S2127+U2127)^2+3*T2127^2)</f>
        <v/>
      </c>
      <c r="W2127" s="8">
        <f>V2127/AA2127</f>
        <v/>
      </c>
      <c r="X2127" s="27">
        <f>((3*10+H2127/COS(RADIANS(E2127)))*(3+3)+3*G2127*H2127)*2</f>
        <v/>
      </c>
      <c r="Y2127" s="28">
        <f>Z2127/X2127</f>
        <v/>
      </c>
      <c r="Z2127" s="29" t="n">
        <v>637.882815776708</v>
      </c>
      <c r="AA2127" s="20" t="n">
        <v>39.3116128207711</v>
      </c>
      <c r="AB2127" t="n">
        <v>0.04073798225002016</v>
      </c>
      <c r="AC2127" t="n">
        <v>39.21784064351985</v>
      </c>
      <c r="AD2127" t="n">
        <v>5.70689465088652</v>
      </c>
    </row>
    <row r="2128">
      <c r="A2128" t="n">
        <v>2127</v>
      </c>
      <c r="B2128" t="n">
        <v>67.59999999999999</v>
      </c>
      <c r="C2128" s="21">
        <f>B2128-20</f>
        <v/>
      </c>
      <c r="D2128" t="n">
        <v>105.7</v>
      </c>
      <c r="E2128" s="22">
        <f>D2128-90</f>
        <v/>
      </c>
      <c r="F2128" s="23" t="n">
        <v>0.016734</v>
      </c>
      <c r="G2128" s="22" t="n">
        <v>25.8</v>
      </c>
      <c r="H2128" s="22" t="n">
        <v>1.1</v>
      </c>
      <c r="I2128" s="24" t="n">
        <v>0.117624260485172</v>
      </c>
      <c r="J2128" s="6" t="n">
        <v>71000</v>
      </c>
      <c r="K2128" s="25">
        <f>23*10^-6</f>
        <v/>
      </c>
      <c r="L2128" s="8">
        <f>H2128</f>
        <v/>
      </c>
      <c r="M2128" s="26">
        <f>H2128^2/6</f>
        <v/>
      </c>
      <c r="N2128" s="26">
        <f>H2128^3/12</f>
        <v/>
      </c>
      <c r="O2128" s="27">
        <f>-J2128*L2128*K2128*C2128</f>
        <v/>
      </c>
      <c r="P2128" s="28">
        <f>-(12*F2128*J2128*L2128*N2128+12*O2128*N2128*G2128*COS(RADIANS(E2128)))/(12*N2128*G2128*COS(RADIANS(E2128))^2+L2128*G2128^3*SIN(RADIANS(E2128))^2)</f>
        <v/>
      </c>
      <c r="Q2128" s="28">
        <f>-(6*F2128*J2128*L2128*N2128*SIN(RADIANS(E2128))+6*O2128*N2128*G2128*SIN(RADIANS(E2128))*COS(RADIANS(E2128)))/(12*N2128*COS(RADIANS(E2128))^2+L2128*G2128^2*SIN(RADIANS(E2128))^2)</f>
        <v/>
      </c>
      <c r="R2128" s="28">
        <f>-P2128*SIN(RADIANS(E2128))</f>
        <v/>
      </c>
      <c r="S2128" s="8">
        <f>(O2128+P2128*COS(RADIANS(E2128)))/L2128</f>
        <v/>
      </c>
      <c r="T2128" s="8">
        <f>R2128/L2128</f>
        <v/>
      </c>
      <c r="U2128" s="8">
        <f>(Q2128-P2128*G2128*SIN(RADIANS(E2128)))/M2128</f>
        <v/>
      </c>
      <c r="V2128" s="8">
        <f>SQRT((S2128+U2128)^2+3*T2128^2)</f>
        <v/>
      </c>
      <c r="W2128" s="8">
        <f>V2128/AA2128</f>
        <v/>
      </c>
      <c r="X2128" s="27">
        <f>((3*10+H2128/COS(RADIANS(E2128)))*(3+3)+3*G2128*H2128)*2</f>
        <v/>
      </c>
      <c r="Y2128" s="28">
        <f>Z2128/X2128</f>
        <v/>
      </c>
      <c r="Z2128" s="29" t="n">
        <v>548.3552819583221</v>
      </c>
      <c r="AA2128" s="20" t="n">
        <v>69.71341491845671</v>
      </c>
      <c r="AB2128" t="n">
        <v>0.1601217159722624</v>
      </c>
      <c r="AC2128" t="n">
        <v>74.31757696694405</v>
      </c>
      <c r="AD2128" t="n">
        <v>36.12983861645421</v>
      </c>
    </row>
    <row r="2129">
      <c r="A2129" t="n">
        <v>2128</v>
      </c>
      <c r="B2129" t="n">
        <v>43.9</v>
      </c>
      <c r="C2129" s="21">
        <f>B2129-20</f>
        <v/>
      </c>
      <c r="D2129" t="n">
        <v>111.8</v>
      </c>
      <c r="E2129" s="22">
        <f>D2129-90</f>
        <v/>
      </c>
      <c r="F2129" s="23" t="n">
        <v>0.008162000000000001</v>
      </c>
      <c r="G2129" s="22" t="n">
        <v>25.8</v>
      </c>
      <c r="H2129" s="22" t="n">
        <v>1.9</v>
      </c>
      <c r="I2129" s="24" t="n">
        <v>0.0455918833613395</v>
      </c>
      <c r="J2129" s="6" t="n">
        <v>71000</v>
      </c>
      <c r="K2129" s="25">
        <f>23*10^-6</f>
        <v/>
      </c>
      <c r="L2129" s="8">
        <f>H2129</f>
        <v/>
      </c>
      <c r="M2129" s="26">
        <f>H2129^2/6</f>
        <v/>
      </c>
      <c r="N2129" s="26">
        <f>H2129^3/12</f>
        <v/>
      </c>
      <c r="O2129" s="27">
        <f>-J2129*L2129*K2129*C2129</f>
        <v/>
      </c>
      <c r="P2129" s="28">
        <f>-(12*F2129*J2129*L2129*N2129+12*O2129*N2129*G2129*COS(RADIANS(E2129)))/(12*N2129*G2129*COS(RADIANS(E2129))^2+L2129*G2129^3*SIN(RADIANS(E2129))^2)</f>
        <v/>
      </c>
      <c r="Q2129" s="28">
        <f>-(6*F2129*J2129*L2129*N2129*SIN(RADIANS(E2129))+6*O2129*N2129*G2129*SIN(RADIANS(E2129))*COS(RADIANS(E2129)))/(12*N2129*COS(RADIANS(E2129))^2+L2129*G2129^2*SIN(RADIANS(E2129))^2)</f>
        <v/>
      </c>
      <c r="R2129" s="28">
        <f>-P2129*SIN(RADIANS(E2129))</f>
        <v/>
      </c>
      <c r="S2129" s="8">
        <f>(O2129+P2129*COS(RADIANS(E2129)))/L2129</f>
        <v/>
      </c>
      <c r="T2129" s="8">
        <f>R2129/L2129</f>
        <v/>
      </c>
      <c r="U2129" s="8">
        <f>(Q2129-P2129*G2129*SIN(RADIANS(E2129)))/M2129</f>
        <v/>
      </c>
      <c r="V2129" s="8">
        <f>SQRT((S2129+U2129)^2+3*T2129^2)</f>
        <v/>
      </c>
      <c r="W2129" s="8">
        <f>V2129/AA2129</f>
        <v/>
      </c>
      <c r="X2129" s="27">
        <f>((3*10+H2129/COS(RADIANS(E2129)))*(3+3)+3*G2129*H2129)*2</f>
        <v/>
      </c>
      <c r="Y2129" s="28">
        <f>Z2129/X2129</f>
        <v/>
      </c>
      <c r="Z2129" s="29" t="n">
        <v>683.958276010368</v>
      </c>
      <c r="AA2129" s="20" t="n">
        <v>40.0395549253766</v>
      </c>
      <c r="AB2129" t="n">
        <v>0.0565662077770175</v>
      </c>
      <c r="AC2129" t="n">
        <v>38.22180905682642</v>
      </c>
      <c r="AD2129" t="n">
        <v>24.07078542621445</v>
      </c>
    </row>
    <row r="2130">
      <c r="A2130" t="n">
        <v>2129</v>
      </c>
      <c r="B2130" t="n">
        <v>61.5</v>
      </c>
      <c r="C2130" s="21">
        <f>B2130-20</f>
        <v/>
      </c>
      <c r="D2130" t="n">
        <v>101.2</v>
      </c>
      <c r="E2130" s="22">
        <f>D2130-90</f>
        <v/>
      </c>
      <c r="F2130" s="23" t="n">
        <v>0.01704</v>
      </c>
      <c r="G2130" s="22" t="n">
        <v>30.6</v>
      </c>
      <c r="H2130" s="22" t="n">
        <v>1</v>
      </c>
      <c r="I2130" s="24" t="n">
        <v>0.153327748179435</v>
      </c>
      <c r="J2130" s="6" t="n">
        <v>71000</v>
      </c>
      <c r="K2130" s="25">
        <f>23*10^-6</f>
        <v/>
      </c>
      <c r="L2130" s="8">
        <f>H2130</f>
        <v/>
      </c>
      <c r="M2130" s="26">
        <f>H2130^2/6</f>
        <v/>
      </c>
      <c r="N2130" s="26">
        <f>H2130^3/12</f>
        <v/>
      </c>
      <c r="O2130" s="27">
        <f>-J2130*L2130*K2130*C2130</f>
        <v/>
      </c>
      <c r="P2130" s="28">
        <f>-(12*F2130*J2130*L2130*N2130+12*O2130*N2130*G2130*COS(RADIANS(E2130)))/(12*N2130*G2130*COS(RADIANS(E2130))^2+L2130*G2130^3*SIN(RADIANS(E2130))^2)</f>
        <v/>
      </c>
      <c r="Q2130" s="28">
        <f>-(6*F2130*J2130*L2130*N2130*SIN(RADIANS(E2130))+6*O2130*N2130*G2130*SIN(RADIANS(E2130))*COS(RADIANS(E2130)))/(12*N2130*COS(RADIANS(E2130))^2+L2130*G2130^2*SIN(RADIANS(E2130))^2)</f>
        <v/>
      </c>
      <c r="R2130" s="28">
        <f>-P2130*SIN(RADIANS(E2130))</f>
        <v/>
      </c>
      <c r="S2130" s="8">
        <f>(O2130+P2130*COS(RADIANS(E2130)))/L2130</f>
        <v/>
      </c>
      <c r="T2130" s="8">
        <f>R2130/L2130</f>
        <v/>
      </c>
      <c r="U2130" s="8">
        <f>(Q2130-P2130*G2130*SIN(RADIANS(E2130)))/M2130</f>
        <v/>
      </c>
      <c r="V2130" s="8">
        <f>SQRT((S2130+U2130)^2+3*T2130^2)</f>
        <v/>
      </c>
      <c r="W2130" s="8">
        <f>V2130/AA2130</f>
        <v/>
      </c>
      <c r="X2130" s="27">
        <f>((3*10+H2130/COS(RADIANS(E2130)))*(3+3)+3*G2130*H2130)*2</f>
        <v/>
      </c>
      <c r="Y2130" s="28">
        <f>Z2130/X2130</f>
        <v/>
      </c>
      <c r="Z2130" s="29" t="n">
        <v>559.732554717437</v>
      </c>
      <c r="AA2130" s="20" t="n">
        <v>59.6522270480421</v>
      </c>
      <c r="AB2130" t="n">
        <v>0.2300715316397738</v>
      </c>
      <c r="AC2130" t="n">
        <v>66.02918829440246</v>
      </c>
      <c r="AD2130" t="n">
        <v>50.05211670527358</v>
      </c>
    </row>
    <row r="2131">
      <c r="A2131" t="n">
        <v>2130</v>
      </c>
      <c r="B2131" t="n">
        <v>88.59999999999999</v>
      </c>
      <c r="C2131" s="21">
        <f>B2131-20</f>
        <v/>
      </c>
      <c r="D2131" t="n">
        <v>107</v>
      </c>
      <c r="E2131" s="22">
        <f>D2131-90</f>
        <v/>
      </c>
      <c r="F2131" s="23" t="n">
        <v>0.022716</v>
      </c>
      <c r="G2131" s="22" t="n">
        <v>24.1</v>
      </c>
      <c r="H2131" s="22" t="n">
        <v>1.4</v>
      </c>
      <c r="I2131" s="24" t="n">
        <v>0.150793135166168</v>
      </c>
      <c r="J2131" s="6" t="n">
        <v>71000</v>
      </c>
      <c r="K2131" s="25">
        <f>23*10^-6</f>
        <v/>
      </c>
      <c r="L2131" s="8">
        <f>H2131</f>
        <v/>
      </c>
      <c r="M2131" s="26">
        <f>H2131^2/6</f>
        <v/>
      </c>
      <c r="N2131" s="26">
        <f>H2131^3/12</f>
        <v/>
      </c>
      <c r="O2131" s="27">
        <f>-J2131*L2131*K2131*C2131</f>
        <v/>
      </c>
      <c r="P2131" s="28">
        <f>-(12*F2131*J2131*L2131*N2131+12*O2131*N2131*G2131*COS(RADIANS(E2131)))/(12*N2131*G2131*COS(RADIANS(E2131))^2+L2131*G2131^3*SIN(RADIANS(E2131))^2)</f>
        <v/>
      </c>
      <c r="Q2131" s="28">
        <f>-(6*F2131*J2131*L2131*N2131*SIN(RADIANS(E2131))+6*O2131*N2131*G2131*SIN(RADIANS(E2131))*COS(RADIANS(E2131)))/(12*N2131*COS(RADIANS(E2131))^2+L2131*G2131^2*SIN(RADIANS(E2131))^2)</f>
        <v/>
      </c>
      <c r="R2131" s="28">
        <f>-P2131*SIN(RADIANS(E2131))</f>
        <v/>
      </c>
      <c r="S2131" s="8">
        <f>(O2131+P2131*COS(RADIANS(E2131)))/L2131</f>
        <v/>
      </c>
      <c r="T2131" s="8">
        <f>R2131/L2131</f>
        <v/>
      </c>
      <c r="U2131" s="8">
        <f>(Q2131-P2131*G2131*SIN(RADIANS(E2131)))/M2131</f>
        <v/>
      </c>
      <c r="V2131" s="8">
        <f>SQRT((S2131+U2131)^2+3*T2131^2)</f>
        <v/>
      </c>
      <c r="W2131" s="8">
        <f>V2131/AA2131</f>
        <v/>
      </c>
      <c r="X2131" s="27">
        <f>((3*10+H2131/COS(RADIANS(E2131)))*(3+3)+3*G2131*H2131)*2</f>
        <v/>
      </c>
      <c r="Y2131" s="28">
        <f>Z2131/X2131</f>
        <v/>
      </c>
      <c r="Z2131" s="29" t="n">
        <v>584.537853050315</v>
      </c>
      <c r="AA2131" s="20" t="n">
        <v>107.194007523871</v>
      </c>
      <c r="AB2131" t="n">
        <v>0.1969944145693132</v>
      </c>
      <c r="AC2131" t="n">
        <v>109.9597878367846</v>
      </c>
      <c r="AD2131" t="n">
        <v>30.63884795036144</v>
      </c>
    </row>
    <row r="2132">
      <c r="A2132" t="n">
        <v>2131</v>
      </c>
      <c r="B2132" t="n">
        <v>76</v>
      </c>
      <c r="C2132" s="21">
        <f>B2132-20</f>
        <v/>
      </c>
      <c r="D2132" t="n">
        <v>105.6</v>
      </c>
      <c r="E2132" s="22">
        <f>D2132-90</f>
        <v/>
      </c>
      <c r="F2132" s="23" t="n">
        <v>0.023199</v>
      </c>
      <c r="G2132" s="22" t="n">
        <v>31.5</v>
      </c>
      <c r="H2132" s="22" t="n">
        <v>1.9</v>
      </c>
      <c r="I2132" s="24" t="n">
        <v>0.157561644911766</v>
      </c>
      <c r="J2132" s="6" t="n">
        <v>71000</v>
      </c>
      <c r="K2132" s="25">
        <f>23*10^-6</f>
        <v/>
      </c>
      <c r="L2132" s="8">
        <f>H2132</f>
        <v/>
      </c>
      <c r="M2132" s="26">
        <f>H2132^2/6</f>
        <v/>
      </c>
      <c r="N2132" s="26">
        <f>H2132^3/12</f>
        <v/>
      </c>
      <c r="O2132" s="27">
        <f>-J2132*L2132*K2132*C2132</f>
        <v/>
      </c>
      <c r="P2132" s="28">
        <f>-(12*F2132*J2132*L2132*N2132+12*O2132*N2132*G2132*COS(RADIANS(E2132)))/(12*N2132*G2132*COS(RADIANS(E2132))^2+L2132*G2132^3*SIN(RADIANS(E2132))^2)</f>
        <v/>
      </c>
      <c r="Q2132" s="28">
        <f>-(6*F2132*J2132*L2132*N2132*SIN(RADIANS(E2132))+6*O2132*N2132*G2132*SIN(RADIANS(E2132))*COS(RADIANS(E2132)))/(12*N2132*COS(RADIANS(E2132))^2+L2132*G2132^2*SIN(RADIANS(E2132))^2)</f>
        <v/>
      </c>
      <c r="R2132" s="28">
        <f>-P2132*SIN(RADIANS(E2132))</f>
        <v/>
      </c>
      <c r="S2132" s="8">
        <f>(O2132+P2132*COS(RADIANS(E2132)))/L2132</f>
        <v/>
      </c>
      <c r="T2132" s="8">
        <f>R2132/L2132</f>
        <v/>
      </c>
      <c r="U2132" s="8">
        <f>(Q2132-P2132*G2132*SIN(RADIANS(E2132)))/M2132</f>
        <v/>
      </c>
      <c r="V2132" s="8">
        <f>SQRT((S2132+U2132)^2+3*T2132^2)</f>
        <v/>
      </c>
      <c r="W2132" s="8">
        <f>V2132/AA2132</f>
        <v/>
      </c>
      <c r="X2132" s="27">
        <f>((3*10+H2132/COS(RADIANS(E2132)))*(3+3)+3*G2132*H2132)*2</f>
        <v/>
      </c>
      <c r="Y2132" s="28">
        <f>Z2132/X2132</f>
        <v/>
      </c>
      <c r="Z2132" s="29" t="n">
        <v>747.123557621331</v>
      </c>
      <c r="AA2132" s="20" t="n">
        <v>95.2216925306693</v>
      </c>
      <c r="AB2132" t="n">
        <v>0.2232395618718171</v>
      </c>
      <c r="AC2132" t="n">
        <v>92.77824980484701</v>
      </c>
      <c r="AD2132" t="n">
        <v>41.68394979427293</v>
      </c>
    </row>
    <row r="2133">
      <c r="A2133" t="n">
        <v>2132</v>
      </c>
      <c r="B2133" t="n">
        <v>65.8</v>
      </c>
      <c r="C2133" s="21">
        <f>B2133-20</f>
        <v/>
      </c>
      <c r="D2133" t="n">
        <v>105.4</v>
      </c>
      <c r="E2133" s="22">
        <f>D2133-90</f>
        <v/>
      </c>
      <c r="F2133" s="23" t="n">
        <v>0.013855</v>
      </c>
      <c r="G2133" s="22" t="n">
        <v>21.3</v>
      </c>
      <c r="H2133" s="22" t="n">
        <v>1.2</v>
      </c>
      <c r="I2133" s="24" t="n">
        <v>0.100037544965744</v>
      </c>
      <c r="J2133" s="6" t="n">
        <v>71000</v>
      </c>
      <c r="K2133" s="25">
        <f>23*10^-6</f>
        <v/>
      </c>
      <c r="L2133" s="8">
        <f>H2133</f>
        <v/>
      </c>
      <c r="M2133" s="26">
        <f>H2133^2/6</f>
        <v/>
      </c>
      <c r="N2133" s="26">
        <f>H2133^3/12</f>
        <v/>
      </c>
      <c r="O2133" s="27">
        <f>-J2133*L2133*K2133*C2133</f>
        <v/>
      </c>
      <c r="P2133" s="28">
        <f>-(12*F2133*J2133*L2133*N2133+12*O2133*N2133*G2133*COS(RADIANS(E2133)))/(12*N2133*G2133*COS(RADIANS(E2133))^2+L2133*G2133^3*SIN(RADIANS(E2133))^2)</f>
        <v/>
      </c>
      <c r="Q2133" s="28">
        <f>-(6*F2133*J2133*L2133*N2133*SIN(RADIANS(E2133))+6*O2133*N2133*G2133*SIN(RADIANS(E2133))*COS(RADIANS(E2133)))/(12*N2133*COS(RADIANS(E2133))^2+L2133*G2133^2*SIN(RADIANS(E2133))^2)</f>
        <v/>
      </c>
      <c r="R2133" s="28">
        <f>-P2133*SIN(RADIANS(E2133))</f>
        <v/>
      </c>
      <c r="S2133" s="8">
        <f>(O2133+P2133*COS(RADIANS(E2133)))/L2133</f>
        <v/>
      </c>
      <c r="T2133" s="8">
        <f>R2133/L2133</f>
        <v/>
      </c>
      <c r="U2133" s="8">
        <f>(Q2133-P2133*G2133*SIN(RADIANS(E2133)))/M2133</f>
        <v/>
      </c>
      <c r="V2133" s="8">
        <f>SQRT((S2133+U2133)^2+3*T2133^2)</f>
        <v/>
      </c>
      <c r="W2133" s="8">
        <f>V2133/AA2133</f>
        <v/>
      </c>
      <c r="X2133" s="27">
        <f>((3*10+H2133/COS(RADIANS(E2133)))*(3+3)+3*G2133*H2133)*2</f>
        <v/>
      </c>
      <c r="Y2133" s="28">
        <f>Z2133/X2133</f>
        <v/>
      </c>
      <c r="Z2133" s="29" t="n">
        <v>532.623712416173</v>
      </c>
      <c r="AA2133" s="20" t="n">
        <v>69.59318196736341</v>
      </c>
      <c r="AB2133" t="n">
        <v>0.1292252446769571</v>
      </c>
      <c r="AC2133" t="n">
        <v>73.65378130403792</v>
      </c>
      <c r="AD2133" t="n">
        <v>29.17674531218041</v>
      </c>
    </row>
    <row r="2134">
      <c r="A2134" t="n">
        <v>2133</v>
      </c>
      <c r="B2134" t="n">
        <v>64.90000000000001</v>
      </c>
      <c r="C2134" s="21">
        <f>B2134-20</f>
        <v/>
      </c>
      <c r="D2134" t="n">
        <v>123.6</v>
      </c>
      <c r="E2134" s="22">
        <f>D2134-90</f>
        <v/>
      </c>
      <c r="F2134" s="23" t="n">
        <v>0.017055</v>
      </c>
      <c r="G2134" s="22" t="n">
        <v>32.8</v>
      </c>
      <c r="H2134" s="22" t="n">
        <v>1.7</v>
      </c>
      <c r="I2134" s="24" t="n">
        <v>0.075269877910614</v>
      </c>
      <c r="J2134" s="6" t="n">
        <v>71000</v>
      </c>
      <c r="K2134" s="25">
        <f>23*10^-6</f>
        <v/>
      </c>
      <c r="L2134" s="8">
        <f>H2134</f>
        <v/>
      </c>
      <c r="M2134" s="26">
        <f>H2134^2/6</f>
        <v/>
      </c>
      <c r="N2134" s="26">
        <f>H2134^3/12</f>
        <v/>
      </c>
      <c r="O2134" s="27">
        <f>-J2134*L2134*K2134*C2134</f>
        <v/>
      </c>
      <c r="P2134" s="28">
        <f>-(12*F2134*J2134*L2134*N2134+12*O2134*N2134*G2134*COS(RADIANS(E2134)))/(12*N2134*G2134*COS(RADIANS(E2134))^2+L2134*G2134^3*SIN(RADIANS(E2134))^2)</f>
        <v/>
      </c>
      <c r="Q2134" s="28">
        <f>-(6*F2134*J2134*L2134*N2134*SIN(RADIANS(E2134))+6*O2134*N2134*G2134*SIN(RADIANS(E2134))*COS(RADIANS(E2134)))/(12*N2134*COS(RADIANS(E2134))^2+L2134*G2134^2*SIN(RADIANS(E2134))^2)</f>
        <v/>
      </c>
      <c r="R2134" s="28">
        <f>-P2134*SIN(RADIANS(E2134))</f>
        <v/>
      </c>
      <c r="S2134" s="8">
        <f>(O2134+P2134*COS(RADIANS(E2134)))/L2134</f>
        <v/>
      </c>
      <c r="T2134" s="8">
        <f>R2134/L2134</f>
        <v/>
      </c>
      <c r="U2134" s="8">
        <f>(Q2134-P2134*G2134*SIN(RADIANS(E2134)))/M2134</f>
        <v/>
      </c>
      <c r="V2134" s="8">
        <f>SQRT((S2134+U2134)^2+3*T2134^2)</f>
        <v/>
      </c>
      <c r="W2134" s="8">
        <f>V2134/AA2134</f>
        <v/>
      </c>
      <c r="X2134" s="27">
        <f>((3*10+H2134/COS(RADIANS(E2134)))*(3+3)+3*G2134*H2134)*2</f>
        <v/>
      </c>
      <c r="Y2134" s="28">
        <f>Z2134/X2134</f>
        <v/>
      </c>
      <c r="Z2134" s="29" t="n">
        <v>727.299989975206</v>
      </c>
      <c r="AA2134" s="20" t="n">
        <v>68.0552500368953</v>
      </c>
      <c r="AB2134" t="n">
        <v>0.0862849515732891</v>
      </c>
      <c r="AC2134" t="n">
        <v>65.71001416857682</v>
      </c>
      <c r="AD2134" t="n">
        <v>14.63410592449205</v>
      </c>
    </row>
    <row r="2135">
      <c r="A2135" t="n">
        <v>2134</v>
      </c>
      <c r="B2135" t="n">
        <v>88.8</v>
      </c>
      <c r="C2135" s="21">
        <f>B2135-20</f>
        <v/>
      </c>
      <c r="D2135" t="n">
        <v>106.6</v>
      </c>
      <c r="E2135" s="22">
        <f>D2135-90</f>
        <v/>
      </c>
      <c r="F2135" s="23" t="n">
        <v>0.030863</v>
      </c>
      <c r="G2135" s="22" t="n">
        <v>34.8</v>
      </c>
      <c r="H2135" s="22" t="n">
        <v>1.6</v>
      </c>
      <c r="I2135" s="24" t="n">
        <v>0.200749009847641</v>
      </c>
      <c r="J2135" s="6" t="n">
        <v>71000</v>
      </c>
      <c r="K2135" s="25">
        <f>23*10^-6</f>
        <v/>
      </c>
      <c r="L2135" s="8">
        <f>H2135</f>
        <v/>
      </c>
      <c r="M2135" s="26">
        <f>H2135^2/6</f>
        <v/>
      </c>
      <c r="N2135" s="26">
        <f>H2135^3/12</f>
        <v/>
      </c>
      <c r="O2135" s="27">
        <f>-J2135*L2135*K2135*C2135</f>
        <v/>
      </c>
      <c r="P2135" s="28">
        <f>-(12*F2135*J2135*L2135*N2135+12*O2135*N2135*G2135*COS(RADIANS(E2135)))/(12*N2135*G2135*COS(RADIANS(E2135))^2+L2135*G2135^3*SIN(RADIANS(E2135))^2)</f>
        <v/>
      </c>
      <c r="Q2135" s="28">
        <f>-(6*F2135*J2135*L2135*N2135*SIN(RADIANS(E2135))+6*O2135*N2135*G2135*SIN(RADIANS(E2135))*COS(RADIANS(E2135)))/(12*N2135*COS(RADIANS(E2135))^2+L2135*G2135^2*SIN(RADIANS(E2135))^2)</f>
        <v/>
      </c>
      <c r="R2135" s="28">
        <f>-P2135*SIN(RADIANS(E2135))</f>
        <v/>
      </c>
      <c r="S2135" s="8">
        <f>(O2135+P2135*COS(RADIANS(E2135)))/L2135</f>
        <v/>
      </c>
      <c r="T2135" s="8">
        <f>R2135/L2135</f>
        <v/>
      </c>
      <c r="U2135" s="8">
        <f>(Q2135-P2135*G2135*SIN(RADIANS(E2135)))/M2135</f>
        <v/>
      </c>
      <c r="V2135" s="8">
        <f>SQRT((S2135+U2135)^2+3*T2135^2)</f>
        <v/>
      </c>
      <c r="W2135" s="8">
        <f>V2135/AA2135</f>
        <v/>
      </c>
      <c r="X2135" s="27">
        <f>((3*10+H2135/COS(RADIANS(E2135)))*(3+3)+3*G2135*H2135)*2</f>
        <v/>
      </c>
      <c r="Y2135" s="28">
        <f>Z2135/X2135</f>
        <v/>
      </c>
      <c r="Z2135" s="29" t="n">
        <v>718.5923963385241</v>
      </c>
      <c r="AA2135" s="20" t="n">
        <v>107.684396249175</v>
      </c>
      <c r="AB2135" t="n">
        <v>0.2891833354975237</v>
      </c>
      <c r="AC2135" t="n">
        <v>108.8546043964206</v>
      </c>
      <c r="AD2135" t="n">
        <v>44.05218522223355</v>
      </c>
    </row>
    <row r="2136">
      <c r="A2136" t="n">
        <v>2135</v>
      </c>
      <c r="B2136" t="n">
        <v>81.40000000000001</v>
      </c>
      <c r="C2136" s="21">
        <f>B2136-20</f>
        <v/>
      </c>
      <c r="D2136" t="n">
        <v>113.8</v>
      </c>
      <c r="E2136" s="22">
        <f>D2136-90</f>
        <v/>
      </c>
      <c r="F2136" s="23" t="n">
        <v>0.026615</v>
      </c>
      <c r="G2136" s="22" t="n">
        <v>35</v>
      </c>
      <c r="H2136" s="22" t="n">
        <v>1</v>
      </c>
      <c r="I2136" s="24" t="n">
        <v>0.136649936437606</v>
      </c>
      <c r="J2136" s="6" t="n">
        <v>71000</v>
      </c>
      <c r="K2136" s="25">
        <f>23*10^-6</f>
        <v/>
      </c>
      <c r="L2136" s="8">
        <f>H2136</f>
        <v/>
      </c>
      <c r="M2136" s="26">
        <f>H2136^2/6</f>
        <v/>
      </c>
      <c r="N2136" s="26">
        <f>H2136^3/12</f>
        <v/>
      </c>
      <c r="O2136" s="27">
        <f>-J2136*L2136*K2136*C2136</f>
        <v/>
      </c>
      <c r="P2136" s="28">
        <f>-(12*F2136*J2136*L2136*N2136+12*O2136*N2136*G2136*COS(RADIANS(E2136)))/(12*N2136*G2136*COS(RADIANS(E2136))^2+L2136*G2136^3*SIN(RADIANS(E2136))^2)</f>
        <v/>
      </c>
      <c r="Q2136" s="28">
        <f>-(6*F2136*J2136*L2136*N2136*SIN(RADIANS(E2136))+6*O2136*N2136*G2136*SIN(RADIANS(E2136))*COS(RADIANS(E2136)))/(12*N2136*COS(RADIANS(E2136))^2+L2136*G2136^2*SIN(RADIANS(E2136))^2)</f>
        <v/>
      </c>
      <c r="R2136" s="28">
        <f>-P2136*SIN(RADIANS(E2136))</f>
        <v/>
      </c>
      <c r="S2136" s="8">
        <f>(O2136+P2136*COS(RADIANS(E2136)))/L2136</f>
        <v/>
      </c>
      <c r="T2136" s="8">
        <f>R2136/L2136</f>
        <v/>
      </c>
      <c r="U2136" s="8">
        <f>(Q2136-P2136*G2136*SIN(RADIANS(E2136)))/M2136</f>
        <v/>
      </c>
      <c r="V2136" s="8">
        <f>SQRT((S2136+U2136)^2+3*T2136^2)</f>
        <v/>
      </c>
      <c r="W2136" s="8">
        <f>V2136/AA2136</f>
        <v/>
      </c>
      <c r="X2136" s="27">
        <f>((3*10+H2136/COS(RADIANS(E2136)))*(3+3)+3*G2136*H2136)*2</f>
        <v/>
      </c>
      <c r="Y2136" s="28">
        <f>Z2136/X2136</f>
        <v/>
      </c>
      <c r="Z2136" s="29" t="n">
        <v>588.779626007112</v>
      </c>
      <c r="AA2136" s="20" t="n">
        <v>83.14741025936419</v>
      </c>
      <c r="AB2136" t="n">
        <v>0.1820131041042767</v>
      </c>
      <c r="AC2136" t="n">
        <v>88.8930372737675</v>
      </c>
      <c r="AD2136" t="n">
        <v>33.19662551572677</v>
      </c>
    </row>
    <row r="2137">
      <c r="A2137" t="n">
        <v>2136</v>
      </c>
      <c r="B2137" t="n">
        <v>56.4</v>
      </c>
      <c r="C2137" s="21">
        <f>B2137-20</f>
        <v/>
      </c>
      <c r="D2137" t="n">
        <v>112.1</v>
      </c>
      <c r="E2137" s="22">
        <f>D2137-90</f>
        <v/>
      </c>
      <c r="F2137" s="23" t="n">
        <v>0.015139</v>
      </c>
      <c r="G2137" s="22" t="n">
        <v>32.9</v>
      </c>
      <c r="H2137" s="22" t="n">
        <v>1.5</v>
      </c>
      <c r="I2137" s="24" t="n">
        <v>0.0818663090467453</v>
      </c>
      <c r="J2137" s="6" t="n">
        <v>71000</v>
      </c>
      <c r="K2137" s="25">
        <f>23*10^-6</f>
        <v/>
      </c>
      <c r="L2137" s="8">
        <f>H2137</f>
        <v/>
      </c>
      <c r="M2137" s="26">
        <f>H2137^2/6</f>
        <v/>
      </c>
      <c r="N2137" s="26">
        <f>H2137^3/12</f>
        <v/>
      </c>
      <c r="O2137" s="27">
        <f>-J2137*L2137*K2137*C2137</f>
        <v/>
      </c>
      <c r="P2137" s="28">
        <f>-(12*F2137*J2137*L2137*N2137+12*O2137*N2137*G2137*COS(RADIANS(E2137)))/(12*N2137*G2137*COS(RADIANS(E2137))^2+L2137*G2137^3*SIN(RADIANS(E2137))^2)</f>
        <v/>
      </c>
      <c r="Q2137" s="28">
        <f>-(6*F2137*J2137*L2137*N2137*SIN(RADIANS(E2137))+6*O2137*N2137*G2137*SIN(RADIANS(E2137))*COS(RADIANS(E2137)))/(12*N2137*COS(RADIANS(E2137))^2+L2137*G2137^2*SIN(RADIANS(E2137))^2)</f>
        <v/>
      </c>
      <c r="R2137" s="28">
        <f>-P2137*SIN(RADIANS(E2137))</f>
        <v/>
      </c>
      <c r="S2137" s="8">
        <f>(O2137+P2137*COS(RADIANS(E2137)))/L2137</f>
        <v/>
      </c>
      <c r="T2137" s="8">
        <f>R2137/L2137</f>
        <v/>
      </c>
      <c r="U2137" s="8">
        <f>(Q2137-P2137*G2137*SIN(RADIANS(E2137)))/M2137</f>
        <v/>
      </c>
      <c r="V2137" s="8">
        <f>SQRT((S2137+U2137)^2+3*T2137^2)</f>
        <v/>
      </c>
      <c r="W2137" s="8">
        <f>V2137/AA2137</f>
        <v/>
      </c>
      <c r="X2137" s="27">
        <f>((3*10+H2137/COS(RADIANS(E2137)))*(3+3)+3*G2137*H2137)*2</f>
        <v/>
      </c>
      <c r="Y2137" s="28">
        <f>Z2137/X2137</f>
        <v/>
      </c>
      <c r="Z2137" s="29" t="n">
        <v>680.864122800054</v>
      </c>
      <c r="AA2137" s="20" t="n">
        <v>54.9857470451677</v>
      </c>
      <c r="AB2137" t="n">
        <v>0.1090417485505679</v>
      </c>
      <c r="AC2137" t="n">
        <v>55.25790230257239</v>
      </c>
      <c r="AD2137" t="n">
        <v>33.19490010024215</v>
      </c>
    </row>
    <row r="2138">
      <c r="A2138" t="n">
        <v>2137</v>
      </c>
      <c r="B2138" t="n">
        <v>47.9</v>
      </c>
      <c r="C2138" s="21">
        <f>B2138-20</f>
        <v/>
      </c>
      <c r="D2138" t="n">
        <v>104.9</v>
      </c>
      <c r="E2138" s="22">
        <f>D2138-90</f>
        <v/>
      </c>
      <c r="F2138" s="23" t="n">
        <v>0.010392</v>
      </c>
      <c r="G2138" s="22" t="n">
        <v>27.6</v>
      </c>
      <c r="H2138" s="22" t="n">
        <v>1.3</v>
      </c>
      <c r="I2138" s="24" t="n">
        <v>0.0749491974711418</v>
      </c>
      <c r="J2138" s="6" t="n">
        <v>71000</v>
      </c>
      <c r="K2138" s="25">
        <f>23*10^-6</f>
        <v/>
      </c>
      <c r="L2138" s="8">
        <f>H2138</f>
        <v/>
      </c>
      <c r="M2138" s="26">
        <f>H2138^2/6</f>
        <v/>
      </c>
      <c r="N2138" s="26">
        <f>H2138^3/12</f>
        <v/>
      </c>
      <c r="O2138" s="27">
        <f>-J2138*L2138*K2138*C2138</f>
        <v/>
      </c>
      <c r="P2138" s="28">
        <f>-(12*F2138*J2138*L2138*N2138+12*O2138*N2138*G2138*COS(RADIANS(E2138)))/(12*N2138*G2138*COS(RADIANS(E2138))^2+L2138*G2138^3*SIN(RADIANS(E2138))^2)</f>
        <v/>
      </c>
      <c r="Q2138" s="28">
        <f>-(6*F2138*J2138*L2138*N2138*SIN(RADIANS(E2138))+6*O2138*N2138*G2138*SIN(RADIANS(E2138))*COS(RADIANS(E2138)))/(12*N2138*COS(RADIANS(E2138))^2+L2138*G2138^2*SIN(RADIANS(E2138))^2)</f>
        <v/>
      </c>
      <c r="R2138" s="28">
        <f>-P2138*SIN(RADIANS(E2138))</f>
        <v/>
      </c>
      <c r="S2138" s="8">
        <f>(O2138+P2138*COS(RADIANS(E2138)))/L2138</f>
        <v/>
      </c>
      <c r="T2138" s="8">
        <f>R2138/L2138</f>
        <v/>
      </c>
      <c r="U2138" s="8">
        <f>(Q2138-P2138*G2138*SIN(RADIANS(E2138)))/M2138</f>
        <v/>
      </c>
      <c r="V2138" s="8">
        <f>SQRT((S2138+U2138)^2+3*T2138^2)</f>
        <v/>
      </c>
      <c r="W2138" s="8">
        <f>V2138/AA2138</f>
        <v/>
      </c>
      <c r="X2138" s="27">
        <f>((3*10+H2138/COS(RADIANS(E2138)))*(3+3)+3*G2138*H2138)*2</f>
        <v/>
      </c>
      <c r="Y2138" s="28">
        <f>Z2138/X2138</f>
        <v/>
      </c>
      <c r="Z2138" s="29" t="n">
        <v>595.691464875744</v>
      </c>
      <c r="AA2138" s="20" t="n">
        <v>42.5202329811348</v>
      </c>
      <c r="AB2138" t="n">
        <v>0.1045697274669002</v>
      </c>
      <c r="AC2138" t="n">
        <v>44.6065844390546</v>
      </c>
      <c r="AD2138" t="n">
        <v>39.52081008894514</v>
      </c>
    </row>
    <row r="2139">
      <c r="A2139" t="n">
        <v>2138</v>
      </c>
      <c r="B2139" t="n">
        <v>87.2</v>
      </c>
      <c r="C2139" s="21">
        <f>B2139-20</f>
        <v/>
      </c>
      <c r="D2139" t="n">
        <v>122.1</v>
      </c>
      <c r="E2139" s="22">
        <f>D2139-90</f>
        <v/>
      </c>
      <c r="F2139" s="23" t="n">
        <v>0.026207</v>
      </c>
      <c r="G2139" s="22" t="n">
        <v>33.3</v>
      </c>
      <c r="H2139" s="22" t="n">
        <v>1.5</v>
      </c>
      <c r="I2139" s="24" t="n">
        <v>0.117158852517604</v>
      </c>
      <c r="J2139" s="6" t="n">
        <v>71000</v>
      </c>
      <c r="K2139" s="25">
        <f>23*10^-6</f>
        <v/>
      </c>
      <c r="L2139" s="8">
        <f>H2139</f>
        <v/>
      </c>
      <c r="M2139" s="26">
        <f>H2139^2/6</f>
        <v/>
      </c>
      <c r="N2139" s="26">
        <f>H2139^3/12</f>
        <v/>
      </c>
      <c r="O2139" s="27">
        <f>-J2139*L2139*K2139*C2139</f>
        <v/>
      </c>
      <c r="P2139" s="28">
        <f>-(12*F2139*J2139*L2139*N2139+12*O2139*N2139*G2139*COS(RADIANS(E2139)))/(12*N2139*G2139*COS(RADIANS(E2139))^2+L2139*G2139^3*SIN(RADIANS(E2139))^2)</f>
        <v/>
      </c>
      <c r="Q2139" s="28">
        <f>-(6*F2139*J2139*L2139*N2139*SIN(RADIANS(E2139))+6*O2139*N2139*G2139*SIN(RADIANS(E2139))*COS(RADIANS(E2139)))/(12*N2139*COS(RADIANS(E2139))^2+L2139*G2139^2*SIN(RADIANS(E2139))^2)</f>
        <v/>
      </c>
      <c r="R2139" s="28">
        <f>-P2139*SIN(RADIANS(E2139))</f>
        <v/>
      </c>
      <c r="S2139" s="8">
        <f>(O2139+P2139*COS(RADIANS(E2139)))/L2139</f>
        <v/>
      </c>
      <c r="T2139" s="8">
        <f>R2139/L2139</f>
        <v/>
      </c>
      <c r="U2139" s="8">
        <f>(Q2139-P2139*G2139*SIN(RADIANS(E2139)))/M2139</f>
        <v/>
      </c>
      <c r="V2139" s="8">
        <f>SQRT((S2139+U2139)^2+3*T2139^2)</f>
        <v/>
      </c>
      <c r="W2139" s="8">
        <f>V2139/AA2139</f>
        <v/>
      </c>
      <c r="X2139" s="27">
        <f>((3*10+H2139/COS(RADIANS(E2139)))*(3+3)+3*G2139*H2139)*2</f>
        <v/>
      </c>
      <c r="Y2139" s="28">
        <f>Z2139/X2139</f>
        <v/>
      </c>
      <c r="Z2139" s="29" t="n">
        <v>688.713269505772</v>
      </c>
      <c r="AA2139" s="20" t="n">
        <v>98.043333519173</v>
      </c>
      <c r="AB2139" t="n">
        <v>0.1378367120779137</v>
      </c>
      <c r="AC2139" t="n">
        <v>97.7899689390328</v>
      </c>
      <c r="AD2139" t="n">
        <v>17.64942137616339</v>
      </c>
    </row>
    <row r="2140">
      <c r="A2140" t="n">
        <v>2139</v>
      </c>
      <c r="B2140" t="n">
        <v>41.6</v>
      </c>
      <c r="C2140" s="21">
        <f>B2140-20</f>
        <v/>
      </c>
      <c r="D2140" t="n">
        <v>129.9</v>
      </c>
      <c r="E2140" s="22">
        <f>D2140-90</f>
        <v/>
      </c>
      <c r="F2140" s="23" t="n">
        <v>0.006087</v>
      </c>
      <c r="G2140" s="22" t="n">
        <v>24.4</v>
      </c>
      <c r="H2140" s="22" t="n">
        <v>2</v>
      </c>
      <c r="I2140" s="24" t="n">
        <v>0.0269912872463464</v>
      </c>
      <c r="J2140" s="6" t="n">
        <v>71000</v>
      </c>
      <c r="K2140" s="25">
        <f>23*10^-6</f>
        <v/>
      </c>
      <c r="L2140" s="8">
        <f>H2140</f>
        <v/>
      </c>
      <c r="M2140" s="26">
        <f>H2140^2/6</f>
        <v/>
      </c>
      <c r="N2140" s="26">
        <f>H2140^3/12</f>
        <v/>
      </c>
      <c r="O2140" s="27">
        <f>-J2140*L2140*K2140*C2140</f>
        <v/>
      </c>
      <c r="P2140" s="28">
        <f>-(12*F2140*J2140*L2140*N2140+12*O2140*N2140*G2140*COS(RADIANS(E2140)))/(12*N2140*G2140*COS(RADIANS(E2140))^2+L2140*G2140^3*SIN(RADIANS(E2140))^2)</f>
        <v/>
      </c>
      <c r="Q2140" s="28">
        <f>-(6*F2140*J2140*L2140*N2140*SIN(RADIANS(E2140))+6*O2140*N2140*G2140*SIN(RADIANS(E2140))*COS(RADIANS(E2140)))/(12*N2140*COS(RADIANS(E2140))^2+L2140*G2140^2*SIN(RADIANS(E2140))^2)</f>
        <v/>
      </c>
      <c r="R2140" s="28">
        <f>-P2140*SIN(RADIANS(E2140))</f>
        <v/>
      </c>
      <c r="S2140" s="8">
        <f>(O2140+P2140*COS(RADIANS(E2140)))/L2140</f>
        <v/>
      </c>
      <c r="T2140" s="8">
        <f>R2140/L2140</f>
        <v/>
      </c>
      <c r="U2140" s="8">
        <f>(Q2140-P2140*G2140*SIN(RADIANS(E2140)))/M2140</f>
        <v/>
      </c>
      <c r="V2140" s="8">
        <f>SQRT((S2140+U2140)^2+3*T2140^2)</f>
        <v/>
      </c>
      <c r="W2140" s="8">
        <f>V2140/AA2140</f>
        <v/>
      </c>
      <c r="X2140" s="27">
        <f>((3*10+H2140/COS(RADIANS(E2140)))*(3+3)+3*G2140*H2140)*2</f>
        <v/>
      </c>
      <c r="Y2140" s="28">
        <f>Z2140/X2140</f>
        <v/>
      </c>
      <c r="Z2140" s="29" t="n">
        <v>694.801643438965</v>
      </c>
      <c r="AA2140" s="20" t="n">
        <v>35.1080809638091</v>
      </c>
      <c r="AB2140" t="n">
        <v>0.02587976509023476</v>
      </c>
      <c r="AC2140" t="n">
        <v>31.83587800556059</v>
      </c>
      <c r="AD2140" t="n">
        <v>-4.118077607662447</v>
      </c>
    </row>
    <row r="2141">
      <c r="A2141" t="n">
        <v>2140</v>
      </c>
      <c r="B2141" t="n">
        <v>87.8</v>
      </c>
      <c r="C2141" s="21">
        <f>B2141-20</f>
        <v/>
      </c>
      <c r="D2141" t="n">
        <v>123.1</v>
      </c>
      <c r="E2141" s="22">
        <f>D2141-90</f>
        <v/>
      </c>
      <c r="F2141" s="23" t="n">
        <v>0.023933</v>
      </c>
      <c r="G2141" s="22" t="n">
        <v>29.8</v>
      </c>
      <c r="H2141" s="22" t="n">
        <v>1.5</v>
      </c>
      <c r="I2141" s="24" t="n">
        <v>0.107533581554889</v>
      </c>
      <c r="J2141" s="6" t="n">
        <v>71000</v>
      </c>
      <c r="K2141" s="25">
        <f>23*10^-6</f>
        <v/>
      </c>
      <c r="L2141" s="8">
        <f>H2141</f>
        <v/>
      </c>
      <c r="M2141" s="26">
        <f>H2141^2/6</f>
        <v/>
      </c>
      <c r="N2141" s="26">
        <f>H2141^3/12</f>
        <v/>
      </c>
      <c r="O2141" s="27">
        <f>-J2141*L2141*K2141*C2141</f>
        <v/>
      </c>
      <c r="P2141" s="28">
        <f>-(12*F2141*J2141*L2141*N2141+12*O2141*N2141*G2141*COS(RADIANS(E2141)))/(12*N2141*G2141*COS(RADIANS(E2141))^2+L2141*G2141^3*SIN(RADIANS(E2141))^2)</f>
        <v/>
      </c>
      <c r="Q2141" s="28">
        <f>-(6*F2141*J2141*L2141*N2141*SIN(RADIANS(E2141))+6*O2141*N2141*G2141*SIN(RADIANS(E2141))*COS(RADIANS(E2141)))/(12*N2141*COS(RADIANS(E2141))^2+L2141*G2141^2*SIN(RADIANS(E2141))^2)</f>
        <v/>
      </c>
      <c r="R2141" s="28">
        <f>-P2141*SIN(RADIANS(E2141))</f>
        <v/>
      </c>
      <c r="S2141" s="8">
        <f>(O2141+P2141*COS(RADIANS(E2141)))/L2141</f>
        <v/>
      </c>
      <c r="T2141" s="8">
        <f>R2141/L2141</f>
        <v/>
      </c>
      <c r="U2141" s="8">
        <f>(Q2141-P2141*G2141*SIN(RADIANS(E2141)))/M2141</f>
        <v/>
      </c>
      <c r="V2141" s="8">
        <f>SQRT((S2141+U2141)^2+3*T2141^2)</f>
        <v/>
      </c>
      <c r="W2141" s="8">
        <f>V2141/AA2141</f>
        <v/>
      </c>
      <c r="X2141" s="27">
        <f>((3*10+H2141/COS(RADIANS(E2141)))*(3+3)+3*G2141*H2141)*2</f>
        <v/>
      </c>
      <c r="Y2141" s="28">
        <f>Z2141/X2141</f>
        <v/>
      </c>
      <c r="Z2141" s="29" t="n">
        <v>657.769789849426</v>
      </c>
      <c r="AA2141" s="20" t="n">
        <v>100.142489743038</v>
      </c>
      <c r="AB2141" t="n">
        <v>0.1209925331701272</v>
      </c>
      <c r="AC2141" t="n">
        <v>98.93374622066243</v>
      </c>
      <c r="AD2141" t="n">
        <v>12.51604514666728</v>
      </c>
    </row>
    <row r="2142">
      <c r="A2142" t="n">
        <v>2141</v>
      </c>
      <c r="B2142" t="n">
        <v>83.5</v>
      </c>
      <c r="C2142" s="21">
        <f>B2142-20</f>
        <v/>
      </c>
      <c r="D2142" t="n">
        <v>118.5</v>
      </c>
      <c r="E2142" s="22">
        <f>D2142-90</f>
        <v/>
      </c>
      <c r="F2142" s="23" t="n">
        <v>0.021329</v>
      </c>
      <c r="G2142" s="22" t="n">
        <v>26.7</v>
      </c>
      <c r="H2142" s="22" t="n">
        <v>1</v>
      </c>
      <c r="I2142" s="24" t="n">
        <v>0.103349886834621</v>
      </c>
      <c r="J2142" s="6" t="n">
        <v>71000</v>
      </c>
      <c r="K2142" s="25">
        <f>23*10^-6</f>
        <v/>
      </c>
      <c r="L2142" s="8">
        <f>H2142</f>
        <v/>
      </c>
      <c r="M2142" s="26">
        <f>H2142^2/6</f>
        <v/>
      </c>
      <c r="N2142" s="26">
        <f>H2142^3/12</f>
        <v/>
      </c>
      <c r="O2142" s="27">
        <f>-J2142*L2142*K2142*C2142</f>
        <v/>
      </c>
      <c r="P2142" s="28">
        <f>-(12*F2142*J2142*L2142*N2142+12*O2142*N2142*G2142*COS(RADIANS(E2142)))/(12*N2142*G2142*COS(RADIANS(E2142))^2+L2142*G2142^3*SIN(RADIANS(E2142))^2)</f>
        <v/>
      </c>
      <c r="Q2142" s="28">
        <f>-(6*F2142*J2142*L2142*N2142*SIN(RADIANS(E2142))+6*O2142*N2142*G2142*SIN(RADIANS(E2142))*COS(RADIANS(E2142)))/(12*N2142*COS(RADIANS(E2142))^2+L2142*G2142^2*SIN(RADIANS(E2142))^2)</f>
        <v/>
      </c>
      <c r="R2142" s="28">
        <f>-P2142*SIN(RADIANS(E2142))</f>
        <v/>
      </c>
      <c r="S2142" s="8">
        <f>(O2142+P2142*COS(RADIANS(E2142)))/L2142</f>
        <v/>
      </c>
      <c r="T2142" s="8">
        <f>R2142/L2142</f>
        <v/>
      </c>
      <c r="U2142" s="8">
        <f>(Q2142-P2142*G2142*SIN(RADIANS(E2142)))/M2142</f>
        <v/>
      </c>
      <c r="V2142" s="8">
        <f>SQRT((S2142+U2142)^2+3*T2142^2)</f>
        <v/>
      </c>
      <c r="W2142" s="8">
        <f>V2142/AA2142</f>
        <v/>
      </c>
      <c r="X2142" s="27">
        <f>((3*10+H2142/COS(RADIANS(E2142)))*(3+3)+3*G2142*H2142)*2</f>
        <v/>
      </c>
      <c r="Y2142" s="28">
        <f>Z2142/X2142</f>
        <v/>
      </c>
      <c r="Z2142" s="29" t="n">
        <v>540.597783908025</v>
      </c>
      <c r="AA2142" s="20" t="n">
        <v>86.2289457753336</v>
      </c>
      <c r="AB2142" t="n">
        <v>0.1203798215242829</v>
      </c>
      <c r="AC2142" t="n">
        <v>91.76879636017854</v>
      </c>
      <c r="AD2142" t="n">
        <v>16.4779422709122</v>
      </c>
    </row>
    <row r="2143">
      <c r="A2143" t="n">
        <v>2142</v>
      </c>
      <c r="B2143" t="n">
        <v>51</v>
      </c>
      <c r="C2143" s="21">
        <f>B2143-20</f>
        <v/>
      </c>
      <c r="D2143" t="n">
        <v>125.3</v>
      </c>
      <c r="E2143" s="22">
        <f>D2143-90</f>
        <v/>
      </c>
      <c r="F2143" s="23" t="n">
        <v>0.007974999999999999</v>
      </c>
      <c r="G2143" s="22" t="n">
        <v>20.3</v>
      </c>
      <c r="H2143" s="22" t="n">
        <v>1.7</v>
      </c>
      <c r="I2143" s="24" t="n">
        <v>0.037275306880474</v>
      </c>
      <c r="J2143" s="6" t="n">
        <v>71000</v>
      </c>
      <c r="K2143" s="25">
        <f>23*10^-6</f>
        <v/>
      </c>
      <c r="L2143" s="8">
        <f>H2143</f>
        <v/>
      </c>
      <c r="M2143" s="26">
        <f>H2143^2/6</f>
        <v/>
      </c>
      <c r="N2143" s="26">
        <f>H2143^3/12</f>
        <v/>
      </c>
      <c r="O2143" s="27">
        <f>-J2143*L2143*K2143*C2143</f>
        <v/>
      </c>
      <c r="P2143" s="28">
        <f>-(12*F2143*J2143*L2143*N2143+12*O2143*N2143*G2143*COS(RADIANS(E2143)))/(12*N2143*G2143*COS(RADIANS(E2143))^2+L2143*G2143^3*SIN(RADIANS(E2143))^2)</f>
        <v/>
      </c>
      <c r="Q2143" s="28">
        <f>-(6*F2143*J2143*L2143*N2143*SIN(RADIANS(E2143))+6*O2143*N2143*G2143*SIN(RADIANS(E2143))*COS(RADIANS(E2143)))/(12*N2143*COS(RADIANS(E2143))^2+L2143*G2143^2*SIN(RADIANS(E2143))^2)</f>
        <v/>
      </c>
      <c r="R2143" s="28">
        <f>-P2143*SIN(RADIANS(E2143))</f>
        <v/>
      </c>
      <c r="S2143" s="8">
        <f>(O2143+P2143*COS(RADIANS(E2143)))/L2143</f>
        <v/>
      </c>
      <c r="T2143" s="8">
        <f>R2143/L2143</f>
        <v/>
      </c>
      <c r="U2143" s="8">
        <f>(Q2143-P2143*G2143*SIN(RADIANS(E2143)))/M2143</f>
        <v/>
      </c>
      <c r="V2143" s="8">
        <f>SQRT((S2143+U2143)^2+3*T2143^2)</f>
        <v/>
      </c>
      <c r="W2143" s="8">
        <f>V2143/AA2143</f>
        <v/>
      </c>
      <c r="X2143" s="27">
        <f>((3*10+H2143/COS(RADIANS(E2143)))*(3+3)+3*G2143*H2143)*2</f>
        <v/>
      </c>
      <c r="Y2143" s="28">
        <f>Z2143/X2143</f>
        <v/>
      </c>
      <c r="Z2143" s="29" t="n">
        <v>600.8962209825301</v>
      </c>
      <c r="AA2143" s="20" t="n">
        <v>50.0830058409289</v>
      </c>
      <c r="AB2143" t="n">
        <v>0.03573269825632416</v>
      </c>
      <c r="AC2143" t="n">
        <v>46.1837224166803</v>
      </c>
      <c r="AD2143" t="n">
        <v>-4.138419648955069</v>
      </c>
    </row>
    <row r="2144">
      <c r="A2144" t="n">
        <v>2143</v>
      </c>
      <c r="B2144" t="n">
        <v>84.3</v>
      </c>
      <c r="C2144" s="21">
        <f>B2144-20</f>
        <v/>
      </c>
      <c r="D2144" t="n">
        <v>103.5</v>
      </c>
      <c r="E2144" s="22">
        <f>D2144-90</f>
        <v/>
      </c>
      <c r="F2144" s="23" t="n">
        <v>0.023999</v>
      </c>
      <c r="G2144" s="22" t="n">
        <v>27.5</v>
      </c>
      <c r="H2144" s="22" t="n">
        <v>1.1</v>
      </c>
      <c r="I2144" s="24" t="n">
        <v>0.187436148524284</v>
      </c>
      <c r="J2144" s="6" t="n">
        <v>71000</v>
      </c>
      <c r="K2144" s="25">
        <f>23*10^-6</f>
        <v/>
      </c>
      <c r="L2144" s="8">
        <f>H2144</f>
        <v/>
      </c>
      <c r="M2144" s="26">
        <f>H2144^2/6</f>
        <v/>
      </c>
      <c r="N2144" s="26">
        <f>H2144^3/12</f>
        <v/>
      </c>
      <c r="O2144" s="27">
        <f>-J2144*L2144*K2144*C2144</f>
        <v/>
      </c>
      <c r="P2144" s="28">
        <f>-(12*F2144*J2144*L2144*N2144+12*O2144*N2144*G2144*COS(RADIANS(E2144)))/(12*N2144*G2144*COS(RADIANS(E2144))^2+L2144*G2144^3*SIN(RADIANS(E2144))^2)</f>
        <v/>
      </c>
      <c r="Q2144" s="28">
        <f>-(6*F2144*J2144*L2144*N2144*SIN(RADIANS(E2144))+6*O2144*N2144*G2144*SIN(RADIANS(E2144))*COS(RADIANS(E2144)))/(12*N2144*COS(RADIANS(E2144))^2+L2144*G2144^2*SIN(RADIANS(E2144))^2)</f>
        <v/>
      </c>
      <c r="R2144" s="28">
        <f>-P2144*SIN(RADIANS(E2144))</f>
        <v/>
      </c>
      <c r="S2144" s="8">
        <f>(O2144+P2144*COS(RADIANS(E2144)))/L2144</f>
        <v/>
      </c>
      <c r="T2144" s="8">
        <f>R2144/L2144</f>
        <v/>
      </c>
      <c r="U2144" s="8">
        <f>(Q2144-P2144*G2144*SIN(RADIANS(E2144)))/M2144</f>
        <v/>
      </c>
      <c r="V2144" s="8">
        <f>SQRT((S2144+U2144)^2+3*T2144^2)</f>
        <v/>
      </c>
      <c r="W2144" s="8">
        <f>V2144/AA2144</f>
        <v/>
      </c>
      <c r="X2144" s="27">
        <f>((3*10+H2144/COS(RADIANS(E2144)))*(3+3)+3*G2144*H2144)*2</f>
        <v/>
      </c>
      <c r="Y2144" s="28">
        <f>Z2144/X2144</f>
        <v/>
      </c>
      <c r="Z2144" s="29" t="n">
        <v>559.190674589986</v>
      </c>
      <c r="AA2144" s="20" t="n">
        <v>94.3077836380547</v>
      </c>
      <c r="AB2144" t="n">
        <v>0.2666180111658351</v>
      </c>
      <c r="AC2144" t="n">
        <v>101.9583963379633</v>
      </c>
      <c r="AD2144" t="n">
        <v>42.24471280751501</v>
      </c>
    </row>
    <row r="2145">
      <c r="A2145" t="n">
        <v>2144</v>
      </c>
      <c r="B2145" t="n">
        <v>52.8</v>
      </c>
      <c r="C2145" s="21">
        <f>B2145-20</f>
        <v/>
      </c>
      <c r="D2145" t="n">
        <v>111.5</v>
      </c>
      <c r="E2145" s="22">
        <f>D2145-90</f>
        <v/>
      </c>
      <c r="F2145" s="23" t="n">
        <v>0.010767</v>
      </c>
      <c r="G2145" s="22" t="n">
        <v>24.5</v>
      </c>
      <c r="H2145" s="22" t="n">
        <v>1.5</v>
      </c>
      <c r="I2145" s="24" t="n">
        <v>0.0613847635686397</v>
      </c>
      <c r="J2145" s="6" t="n">
        <v>71000</v>
      </c>
      <c r="K2145" s="25">
        <f>23*10^-6</f>
        <v/>
      </c>
      <c r="L2145" s="8">
        <f>H2145</f>
        <v/>
      </c>
      <c r="M2145" s="26">
        <f>H2145^2/6</f>
        <v/>
      </c>
      <c r="N2145" s="26">
        <f>H2145^3/12</f>
        <v/>
      </c>
      <c r="O2145" s="27">
        <f>-J2145*L2145*K2145*C2145</f>
        <v/>
      </c>
      <c r="P2145" s="28">
        <f>-(12*F2145*J2145*L2145*N2145+12*O2145*N2145*G2145*COS(RADIANS(E2145)))/(12*N2145*G2145*COS(RADIANS(E2145))^2+L2145*G2145^3*SIN(RADIANS(E2145))^2)</f>
        <v/>
      </c>
      <c r="Q2145" s="28">
        <f>-(6*F2145*J2145*L2145*N2145*SIN(RADIANS(E2145))+6*O2145*N2145*G2145*SIN(RADIANS(E2145))*COS(RADIANS(E2145)))/(12*N2145*COS(RADIANS(E2145))^2+L2145*G2145^2*SIN(RADIANS(E2145))^2)</f>
        <v/>
      </c>
      <c r="R2145" s="28">
        <f>-P2145*SIN(RADIANS(E2145))</f>
        <v/>
      </c>
      <c r="S2145" s="8">
        <f>(O2145+P2145*COS(RADIANS(E2145)))/L2145</f>
        <v/>
      </c>
      <c r="T2145" s="8">
        <f>R2145/L2145</f>
        <v/>
      </c>
      <c r="U2145" s="8">
        <f>(Q2145-P2145*G2145*SIN(RADIANS(E2145)))/M2145</f>
        <v/>
      </c>
      <c r="V2145" s="8">
        <f>SQRT((S2145+U2145)^2+3*T2145^2)</f>
        <v/>
      </c>
      <c r="W2145" s="8">
        <f>V2145/AA2145</f>
        <v/>
      </c>
      <c r="X2145" s="27">
        <f>((3*10+H2145/COS(RADIANS(E2145)))*(3+3)+3*G2145*H2145)*2</f>
        <v/>
      </c>
      <c r="Y2145" s="28">
        <f>Z2145/X2145</f>
        <v/>
      </c>
      <c r="Z2145" s="29" t="n">
        <v>605.074651487247</v>
      </c>
      <c r="AA2145" s="20" t="n">
        <v>51.426433990254</v>
      </c>
      <c r="AB2145" t="n">
        <v>0.07582996248239121</v>
      </c>
      <c r="AC2145" t="n">
        <v>51.16563718744644</v>
      </c>
      <c r="AD2145" t="n">
        <v>23.53222212479334</v>
      </c>
    </row>
    <row r="2146">
      <c r="A2146" t="n">
        <v>2145</v>
      </c>
      <c r="B2146" t="n">
        <v>47.2</v>
      </c>
      <c r="C2146" s="21">
        <f>B2146-20</f>
        <v/>
      </c>
      <c r="D2146" t="n">
        <v>125.3</v>
      </c>
      <c r="E2146" s="22">
        <f>D2146-90</f>
        <v/>
      </c>
      <c r="F2146" s="23" t="n">
        <v>0.009124</v>
      </c>
      <c r="G2146" s="22" t="n">
        <v>28.7</v>
      </c>
      <c r="H2146" s="22" t="n">
        <v>1.4</v>
      </c>
      <c r="I2146" s="24" t="n">
        <v>0.0403986424207687</v>
      </c>
      <c r="J2146" s="6" t="n">
        <v>71000</v>
      </c>
      <c r="K2146" s="25">
        <f>23*10^-6</f>
        <v/>
      </c>
      <c r="L2146" s="8">
        <f>H2146</f>
        <v/>
      </c>
      <c r="M2146" s="26">
        <f>H2146^2/6</f>
        <v/>
      </c>
      <c r="N2146" s="26">
        <f>H2146^3/12</f>
        <v/>
      </c>
      <c r="O2146" s="27">
        <f>-J2146*L2146*K2146*C2146</f>
        <v/>
      </c>
      <c r="P2146" s="28">
        <f>-(12*F2146*J2146*L2146*N2146+12*O2146*N2146*G2146*COS(RADIANS(E2146)))/(12*N2146*G2146*COS(RADIANS(E2146))^2+L2146*G2146^3*SIN(RADIANS(E2146))^2)</f>
        <v/>
      </c>
      <c r="Q2146" s="28">
        <f>-(6*F2146*J2146*L2146*N2146*SIN(RADIANS(E2146))+6*O2146*N2146*G2146*SIN(RADIANS(E2146))*COS(RADIANS(E2146)))/(12*N2146*COS(RADIANS(E2146))^2+L2146*G2146^2*SIN(RADIANS(E2146))^2)</f>
        <v/>
      </c>
      <c r="R2146" s="28">
        <f>-P2146*SIN(RADIANS(E2146))</f>
        <v/>
      </c>
      <c r="S2146" s="8">
        <f>(O2146+P2146*COS(RADIANS(E2146)))/L2146</f>
        <v/>
      </c>
      <c r="T2146" s="8">
        <f>R2146/L2146</f>
        <v/>
      </c>
      <c r="U2146" s="8">
        <f>(Q2146-P2146*G2146*SIN(RADIANS(E2146)))/M2146</f>
        <v/>
      </c>
      <c r="V2146" s="8">
        <f>SQRT((S2146+U2146)^2+3*T2146^2)</f>
        <v/>
      </c>
      <c r="W2146" s="8">
        <f>V2146/AA2146</f>
        <v/>
      </c>
      <c r="X2146" s="27">
        <f>((3*10+H2146/COS(RADIANS(E2146)))*(3+3)+3*G2146*H2146)*2</f>
        <v/>
      </c>
      <c r="Y2146" s="28">
        <f>Z2146/X2146</f>
        <v/>
      </c>
      <c r="Z2146" s="29" t="n">
        <v>630.505200042244</v>
      </c>
      <c r="AA2146" s="20" t="n">
        <v>38.8521348968516</v>
      </c>
      <c r="AB2146" t="n">
        <v>0.04371863236279543</v>
      </c>
      <c r="AC2146" t="n">
        <v>39.30392333400044</v>
      </c>
      <c r="AD2146" t="n">
        <v>8.218073041781084</v>
      </c>
    </row>
    <row r="2147">
      <c r="A2147" t="n">
        <v>2146</v>
      </c>
      <c r="B2147" t="n">
        <v>60.7</v>
      </c>
      <c r="C2147" s="21">
        <f>B2147-20</f>
        <v/>
      </c>
      <c r="D2147" t="n">
        <v>119.7</v>
      </c>
      <c r="E2147" s="22">
        <f>D2147-90</f>
        <v/>
      </c>
      <c r="F2147" s="23" t="n">
        <v>0.014633</v>
      </c>
      <c r="G2147" s="22" t="n">
        <v>29.4</v>
      </c>
      <c r="H2147" s="22" t="n">
        <v>1.4</v>
      </c>
      <c r="I2147" s="24" t="n">
        <v>0.0686720013618469</v>
      </c>
      <c r="J2147" s="6" t="n">
        <v>71000</v>
      </c>
      <c r="K2147" s="25">
        <f>23*10^-6</f>
        <v/>
      </c>
      <c r="L2147" s="8">
        <f>H2147</f>
        <v/>
      </c>
      <c r="M2147" s="26">
        <f>H2147^2/6</f>
        <v/>
      </c>
      <c r="N2147" s="26">
        <f>H2147^3/12</f>
        <v/>
      </c>
      <c r="O2147" s="27">
        <f>-J2147*L2147*K2147*C2147</f>
        <v/>
      </c>
      <c r="P2147" s="28">
        <f>-(12*F2147*J2147*L2147*N2147+12*O2147*N2147*G2147*COS(RADIANS(E2147)))/(12*N2147*G2147*COS(RADIANS(E2147))^2+L2147*G2147^3*SIN(RADIANS(E2147))^2)</f>
        <v/>
      </c>
      <c r="Q2147" s="28">
        <f>-(6*F2147*J2147*L2147*N2147*SIN(RADIANS(E2147))+6*O2147*N2147*G2147*SIN(RADIANS(E2147))*COS(RADIANS(E2147)))/(12*N2147*COS(RADIANS(E2147))^2+L2147*G2147^2*SIN(RADIANS(E2147))^2)</f>
        <v/>
      </c>
      <c r="R2147" s="28">
        <f>-P2147*SIN(RADIANS(E2147))</f>
        <v/>
      </c>
      <c r="S2147" s="8">
        <f>(O2147+P2147*COS(RADIANS(E2147)))/L2147</f>
        <v/>
      </c>
      <c r="T2147" s="8">
        <f>R2147/L2147</f>
        <v/>
      </c>
      <c r="U2147" s="8">
        <f>(Q2147-P2147*G2147*SIN(RADIANS(E2147)))/M2147</f>
        <v/>
      </c>
      <c r="V2147" s="8">
        <f>SQRT((S2147+U2147)^2+3*T2147^2)</f>
        <v/>
      </c>
      <c r="W2147" s="8">
        <f>V2147/AA2147</f>
        <v/>
      </c>
      <c r="X2147" s="27">
        <f>((3*10+H2147/COS(RADIANS(E2147)))*(3+3)+3*G2147*H2147)*2</f>
        <v/>
      </c>
      <c r="Y2147" s="28">
        <f>Z2147/X2147</f>
        <v/>
      </c>
      <c r="Z2147" s="29" t="n">
        <v>633.36406428448</v>
      </c>
      <c r="AA2147" s="20" t="n">
        <v>59.3369706941808</v>
      </c>
      <c r="AB2147" t="n">
        <v>0.08058158180894354</v>
      </c>
      <c r="AC2147" t="n">
        <v>59.79240679156627</v>
      </c>
      <c r="AD2147" t="n">
        <v>17.34270184487942</v>
      </c>
    </row>
    <row r="2148">
      <c r="A2148" t="n">
        <v>2147</v>
      </c>
      <c r="B2148" t="n">
        <v>78</v>
      </c>
      <c r="C2148" s="21">
        <f>B2148-20</f>
        <v/>
      </c>
      <c r="D2148" t="n">
        <v>120.7</v>
      </c>
      <c r="E2148" s="22">
        <f>D2148-90</f>
        <v/>
      </c>
      <c r="F2148" s="23" t="n">
        <v>0.019147</v>
      </c>
      <c r="G2148" s="22" t="n">
        <v>26.7</v>
      </c>
      <c r="H2148" s="22" t="n">
        <v>1.8</v>
      </c>
      <c r="I2148" s="24" t="n">
        <v>0.08992656320333479</v>
      </c>
      <c r="J2148" s="6" t="n">
        <v>71000</v>
      </c>
      <c r="K2148" s="25">
        <f>23*10^-6</f>
        <v/>
      </c>
      <c r="L2148" s="8">
        <f>H2148</f>
        <v/>
      </c>
      <c r="M2148" s="26">
        <f>H2148^2/6</f>
        <v/>
      </c>
      <c r="N2148" s="26">
        <f>H2148^3/12</f>
        <v/>
      </c>
      <c r="O2148" s="27">
        <f>-J2148*L2148*K2148*C2148</f>
        <v/>
      </c>
      <c r="P2148" s="28">
        <f>-(12*F2148*J2148*L2148*N2148+12*O2148*N2148*G2148*COS(RADIANS(E2148)))/(12*N2148*G2148*COS(RADIANS(E2148))^2+L2148*G2148^3*SIN(RADIANS(E2148))^2)</f>
        <v/>
      </c>
      <c r="Q2148" s="28">
        <f>-(6*F2148*J2148*L2148*N2148*SIN(RADIANS(E2148))+6*O2148*N2148*G2148*SIN(RADIANS(E2148))*COS(RADIANS(E2148)))/(12*N2148*COS(RADIANS(E2148))^2+L2148*G2148^2*SIN(RADIANS(E2148))^2)</f>
        <v/>
      </c>
      <c r="R2148" s="28">
        <f>-P2148*SIN(RADIANS(E2148))</f>
        <v/>
      </c>
      <c r="S2148" s="8">
        <f>(O2148+P2148*COS(RADIANS(E2148)))/L2148</f>
        <v/>
      </c>
      <c r="T2148" s="8">
        <f>R2148/L2148</f>
        <v/>
      </c>
      <c r="U2148" s="8">
        <f>(Q2148-P2148*G2148*SIN(RADIANS(E2148)))/M2148</f>
        <v/>
      </c>
      <c r="V2148" s="8">
        <f>SQRT((S2148+U2148)^2+3*T2148^2)</f>
        <v/>
      </c>
      <c r="W2148" s="8">
        <f>V2148/AA2148</f>
        <v/>
      </c>
      <c r="X2148" s="27">
        <f>((3*10+H2148/COS(RADIANS(E2148)))*(3+3)+3*G2148*H2148)*2</f>
        <v/>
      </c>
      <c r="Y2148" s="28">
        <f>Z2148/X2148</f>
        <v/>
      </c>
      <c r="Z2148" s="29" t="n">
        <v>680.825994951547</v>
      </c>
      <c r="AA2148" s="20" t="n">
        <v>92.33287648536781</v>
      </c>
      <c r="AB2148" t="n">
        <v>0.1005688409882197</v>
      </c>
      <c r="AC2148" t="n">
        <v>87.34920360908376</v>
      </c>
      <c r="AD2148" t="n">
        <v>11.83440955129296</v>
      </c>
    </row>
    <row r="2149">
      <c r="A2149" t="n">
        <v>2148</v>
      </c>
      <c r="B2149" t="n">
        <v>54.8</v>
      </c>
      <c r="C2149" s="21">
        <f>B2149-20</f>
        <v/>
      </c>
      <c r="D2149" t="n">
        <v>112</v>
      </c>
      <c r="E2149" s="22">
        <f>D2149-90</f>
        <v/>
      </c>
      <c r="F2149" s="23" t="n">
        <v>0.011907</v>
      </c>
      <c r="G2149" s="22" t="n">
        <v>25.9</v>
      </c>
      <c r="H2149" s="22" t="n">
        <v>1.8</v>
      </c>
      <c r="I2149" s="24" t="n">
        <v>0.06624541431665421</v>
      </c>
      <c r="J2149" s="6" t="n">
        <v>71000</v>
      </c>
      <c r="K2149" s="25">
        <f>23*10^-6</f>
        <v/>
      </c>
      <c r="L2149" s="8">
        <f>H2149</f>
        <v/>
      </c>
      <c r="M2149" s="26">
        <f>H2149^2/6</f>
        <v/>
      </c>
      <c r="N2149" s="26">
        <f>H2149^3/12</f>
        <v/>
      </c>
      <c r="O2149" s="27">
        <f>-J2149*L2149*K2149*C2149</f>
        <v/>
      </c>
      <c r="P2149" s="28">
        <f>-(12*F2149*J2149*L2149*N2149+12*O2149*N2149*G2149*COS(RADIANS(E2149)))/(12*N2149*G2149*COS(RADIANS(E2149))^2+L2149*G2149^3*SIN(RADIANS(E2149))^2)</f>
        <v/>
      </c>
      <c r="Q2149" s="28">
        <f>-(6*F2149*J2149*L2149*N2149*SIN(RADIANS(E2149))+6*O2149*N2149*G2149*SIN(RADIANS(E2149))*COS(RADIANS(E2149)))/(12*N2149*COS(RADIANS(E2149))^2+L2149*G2149^2*SIN(RADIANS(E2149))^2)</f>
        <v/>
      </c>
      <c r="R2149" s="28">
        <f>-P2149*SIN(RADIANS(E2149))</f>
        <v/>
      </c>
      <c r="S2149" s="8">
        <f>(O2149+P2149*COS(RADIANS(E2149)))/L2149</f>
        <v/>
      </c>
      <c r="T2149" s="8">
        <f>R2149/L2149</f>
        <v/>
      </c>
      <c r="U2149" s="8">
        <f>(Q2149-P2149*G2149*SIN(RADIANS(E2149)))/M2149</f>
        <v/>
      </c>
      <c r="V2149" s="8">
        <f>SQRT((S2149+U2149)^2+3*T2149^2)</f>
        <v/>
      </c>
      <c r="W2149" s="8">
        <f>V2149/AA2149</f>
        <v/>
      </c>
      <c r="X2149" s="27">
        <f>((3*10+H2149/COS(RADIANS(E2149)))*(3+3)+3*G2149*H2149)*2</f>
        <v/>
      </c>
      <c r="Y2149" s="28">
        <f>Z2149/X2149</f>
        <v/>
      </c>
      <c r="Z2149" s="29" t="n">
        <v>668.334813651738</v>
      </c>
      <c r="AA2149" s="20" t="n">
        <v>57.0504269230996</v>
      </c>
      <c r="AB2149" t="n">
        <v>0.08223474866246455</v>
      </c>
      <c r="AC2149" t="n">
        <v>55.14475544539513</v>
      </c>
      <c r="AD2149" t="n">
        <v>24.13651497352112</v>
      </c>
    </row>
    <row r="2150">
      <c r="A2150" t="n">
        <v>2149</v>
      </c>
      <c r="B2150" t="n">
        <v>66.5</v>
      </c>
      <c r="C2150" s="21">
        <f>B2150-20</f>
        <v/>
      </c>
      <c r="D2150" t="n">
        <v>122.4</v>
      </c>
      <c r="E2150" s="22">
        <f>D2150-90</f>
        <v/>
      </c>
      <c r="F2150" s="23" t="n">
        <v>0.01616</v>
      </c>
      <c r="G2150" s="22" t="n">
        <v>29</v>
      </c>
      <c r="H2150" s="22" t="n">
        <v>1.8</v>
      </c>
      <c r="I2150" s="24" t="n">
        <v>0.07349389046430579</v>
      </c>
      <c r="J2150" s="6" t="n">
        <v>71000</v>
      </c>
      <c r="K2150" s="25">
        <f>23*10^-6</f>
        <v/>
      </c>
      <c r="L2150" s="8">
        <f>H2150</f>
        <v/>
      </c>
      <c r="M2150" s="26">
        <f>H2150^2/6</f>
        <v/>
      </c>
      <c r="N2150" s="26">
        <f>H2150^3/12</f>
        <v/>
      </c>
      <c r="O2150" s="27">
        <f>-J2150*L2150*K2150*C2150</f>
        <v/>
      </c>
      <c r="P2150" s="28">
        <f>-(12*F2150*J2150*L2150*N2150+12*O2150*N2150*G2150*COS(RADIANS(E2150)))/(12*N2150*G2150*COS(RADIANS(E2150))^2+L2150*G2150^3*SIN(RADIANS(E2150))^2)</f>
        <v/>
      </c>
      <c r="Q2150" s="28">
        <f>-(6*F2150*J2150*L2150*N2150*SIN(RADIANS(E2150))+6*O2150*N2150*G2150*SIN(RADIANS(E2150))*COS(RADIANS(E2150)))/(12*N2150*COS(RADIANS(E2150))^2+L2150*G2150^2*SIN(RADIANS(E2150))^2)</f>
        <v/>
      </c>
      <c r="R2150" s="28">
        <f>-P2150*SIN(RADIANS(E2150))</f>
        <v/>
      </c>
      <c r="S2150" s="8">
        <f>(O2150+P2150*COS(RADIANS(E2150)))/L2150</f>
        <v/>
      </c>
      <c r="T2150" s="8">
        <f>R2150/L2150</f>
        <v/>
      </c>
      <c r="U2150" s="8">
        <f>(Q2150-P2150*G2150*SIN(RADIANS(E2150)))/M2150</f>
        <v/>
      </c>
      <c r="V2150" s="8">
        <f>SQRT((S2150+U2150)^2+3*T2150^2)</f>
        <v/>
      </c>
      <c r="W2150" s="8">
        <f>V2150/AA2150</f>
        <v/>
      </c>
      <c r="X2150" s="27">
        <f>((3*10+H2150/COS(RADIANS(E2150)))*(3+3)+3*G2150*H2150)*2</f>
        <v/>
      </c>
      <c r="Y2150" s="28">
        <f>Z2150/X2150</f>
        <v/>
      </c>
      <c r="Z2150" s="29" t="n">
        <v>706.641081493643</v>
      </c>
      <c r="AA2150" s="20" t="n">
        <v>72.3560188271571</v>
      </c>
      <c r="AB2150" t="n">
        <v>0.08246119647106431</v>
      </c>
      <c r="AC2150" t="n">
        <v>69.17909108396529</v>
      </c>
      <c r="AD2150" t="n">
        <v>12.20143055444006</v>
      </c>
    </row>
    <row r="2151">
      <c r="A2151" t="n">
        <v>2150</v>
      </c>
      <c r="B2151" t="n">
        <v>71.59999999999999</v>
      </c>
      <c r="C2151" s="21">
        <f>B2151-20</f>
        <v/>
      </c>
      <c r="D2151" t="n">
        <v>101.8</v>
      </c>
      <c r="E2151" s="22">
        <f>D2151-90</f>
        <v/>
      </c>
      <c r="F2151" s="23" t="n">
        <v>0.01614</v>
      </c>
      <c r="G2151" s="22" t="n">
        <v>21.9</v>
      </c>
      <c r="H2151" s="22" t="n">
        <v>1.6</v>
      </c>
      <c r="I2151" s="24" t="n">
        <v>0.134150326251983</v>
      </c>
      <c r="J2151" s="6" t="n">
        <v>71000</v>
      </c>
      <c r="K2151" s="25">
        <f>23*10^-6</f>
        <v/>
      </c>
      <c r="L2151" s="8">
        <f>H2151</f>
        <v/>
      </c>
      <c r="M2151" s="26">
        <f>H2151^2/6</f>
        <v/>
      </c>
      <c r="N2151" s="26">
        <f>H2151^3/12</f>
        <v/>
      </c>
      <c r="O2151" s="27">
        <f>-J2151*L2151*K2151*C2151</f>
        <v/>
      </c>
      <c r="P2151" s="28">
        <f>-(12*F2151*J2151*L2151*N2151+12*O2151*N2151*G2151*COS(RADIANS(E2151)))/(12*N2151*G2151*COS(RADIANS(E2151))^2+L2151*G2151^3*SIN(RADIANS(E2151))^2)</f>
        <v/>
      </c>
      <c r="Q2151" s="28">
        <f>-(6*F2151*J2151*L2151*N2151*SIN(RADIANS(E2151))+6*O2151*N2151*G2151*SIN(RADIANS(E2151))*COS(RADIANS(E2151)))/(12*N2151*COS(RADIANS(E2151))^2+L2151*G2151^2*SIN(RADIANS(E2151))^2)</f>
        <v/>
      </c>
      <c r="R2151" s="28">
        <f>-P2151*SIN(RADIANS(E2151))</f>
        <v/>
      </c>
      <c r="S2151" s="8">
        <f>(O2151+P2151*COS(RADIANS(E2151)))/L2151</f>
        <v/>
      </c>
      <c r="T2151" s="8">
        <f>R2151/L2151</f>
        <v/>
      </c>
      <c r="U2151" s="8">
        <f>(Q2151-P2151*G2151*SIN(RADIANS(E2151)))/M2151</f>
        <v/>
      </c>
      <c r="V2151" s="8">
        <f>SQRT((S2151+U2151)^2+3*T2151^2)</f>
        <v/>
      </c>
      <c r="W2151" s="8">
        <f>V2151/AA2151</f>
        <v/>
      </c>
      <c r="X2151" s="27">
        <f>((3*10+H2151/COS(RADIANS(E2151)))*(3+3)+3*G2151*H2151)*2</f>
        <v/>
      </c>
      <c r="Y2151" s="28">
        <f>Z2151/X2151</f>
        <v/>
      </c>
      <c r="Z2151" s="29" t="n">
        <v>593.806267264863</v>
      </c>
      <c r="AA2151" s="20" t="n">
        <v>101.948272676997</v>
      </c>
      <c r="AB2151" t="n">
        <v>0.1817170670419964</v>
      </c>
      <c r="AC2151" t="n">
        <v>90.23693469050725</v>
      </c>
      <c r="AD2151" t="n">
        <v>35.45778986825999</v>
      </c>
    </row>
    <row r="2152">
      <c r="A2152" t="n">
        <v>2151</v>
      </c>
      <c r="B2152" t="n">
        <v>52.6</v>
      </c>
      <c r="C2152" s="21">
        <f>B2152-20</f>
        <v/>
      </c>
      <c r="D2152" t="n">
        <v>122.3</v>
      </c>
      <c r="E2152" s="22">
        <f>D2152-90</f>
        <v/>
      </c>
      <c r="F2152" s="23" t="n">
        <v>0.009077999999999999</v>
      </c>
      <c r="G2152" s="22" t="n">
        <v>21.8</v>
      </c>
      <c r="H2152" s="22" t="n">
        <v>1.3</v>
      </c>
      <c r="I2152" s="24" t="n">
        <v>0.043143268674612</v>
      </c>
      <c r="J2152" s="6" t="n">
        <v>71000</v>
      </c>
      <c r="K2152" s="25">
        <f>23*10^-6</f>
        <v/>
      </c>
      <c r="L2152" s="8">
        <f>H2152</f>
        <v/>
      </c>
      <c r="M2152" s="26">
        <f>H2152^2/6</f>
        <v/>
      </c>
      <c r="N2152" s="26">
        <f>H2152^3/12</f>
        <v/>
      </c>
      <c r="O2152" s="27">
        <f>-J2152*L2152*K2152*C2152</f>
        <v/>
      </c>
      <c r="P2152" s="28">
        <f>-(12*F2152*J2152*L2152*N2152+12*O2152*N2152*G2152*COS(RADIANS(E2152)))/(12*N2152*G2152*COS(RADIANS(E2152))^2+L2152*G2152^3*SIN(RADIANS(E2152))^2)</f>
        <v/>
      </c>
      <c r="Q2152" s="28">
        <f>-(6*F2152*J2152*L2152*N2152*SIN(RADIANS(E2152))+6*O2152*N2152*G2152*SIN(RADIANS(E2152))*COS(RADIANS(E2152)))/(12*N2152*COS(RADIANS(E2152))^2+L2152*G2152^2*SIN(RADIANS(E2152))^2)</f>
        <v/>
      </c>
      <c r="R2152" s="28">
        <f>-P2152*SIN(RADIANS(E2152))</f>
        <v/>
      </c>
      <c r="S2152" s="8">
        <f>(O2152+P2152*COS(RADIANS(E2152)))/L2152</f>
        <v/>
      </c>
      <c r="T2152" s="8">
        <f>R2152/L2152</f>
        <v/>
      </c>
      <c r="U2152" s="8">
        <f>(Q2152-P2152*G2152*SIN(RADIANS(E2152)))/M2152</f>
        <v/>
      </c>
      <c r="V2152" s="8">
        <f>SQRT((S2152+U2152)^2+3*T2152^2)</f>
        <v/>
      </c>
      <c r="W2152" s="8">
        <f>V2152/AA2152</f>
        <v/>
      </c>
      <c r="X2152" s="27">
        <f>((3*10+H2152/COS(RADIANS(E2152)))*(3+3)+3*G2152*H2152)*2</f>
        <v/>
      </c>
      <c r="Y2152" s="28">
        <f>Z2152/X2152</f>
        <v/>
      </c>
      <c r="Z2152" s="29" t="n">
        <v>556.32301787519</v>
      </c>
      <c r="AA2152" s="20" t="n">
        <v>48.0339201406431</v>
      </c>
      <c r="AB2152" t="n">
        <v>0.04450245697648517</v>
      </c>
      <c r="AC2152" t="n">
        <v>47.86558675915984</v>
      </c>
      <c r="AD2152" t="n">
        <v>3.150406410149915</v>
      </c>
    </row>
    <row r="2153">
      <c r="A2153" t="n">
        <v>2152</v>
      </c>
      <c r="B2153" t="n">
        <v>70.90000000000001</v>
      </c>
      <c r="C2153" s="21">
        <f>B2153-20</f>
        <v/>
      </c>
      <c r="D2153" t="n">
        <v>116.2</v>
      </c>
      <c r="E2153" s="22">
        <f>D2153-90</f>
        <v/>
      </c>
      <c r="F2153" s="23" t="n">
        <v>0.01832</v>
      </c>
      <c r="G2153" s="22" t="n">
        <v>28.5</v>
      </c>
      <c r="H2153" s="22" t="n">
        <v>1.2</v>
      </c>
      <c r="I2153" s="24" t="n">
        <v>0.0916885808110237</v>
      </c>
      <c r="J2153" s="6" t="n">
        <v>71000</v>
      </c>
      <c r="K2153" s="25">
        <f>23*10^-6</f>
        <v/>
      </c>
      <c r="L2153" s="8">
        <f>H2153</f>
        <v/>
      </c>
      <c r="M2153" s="26">
        <f>H2153^2/6</f>
        <v/>
      </c>
      <c r="N2153" s="26">
        <f>H2153^3/12</f>
        <v/>
      </c>
      <c r="O2153" s="27">
        <f>-J2153*L2153*K2153*C2153</f>
        <v/>
      </c>
      <c r="P2153" s="28">
        <f>-(12*F2153*J2153*L2153*N2153+12*O2153*N2153*G2153*COS(RADIANS(E2153)))/(12*N2153*G2153*COS(RADIANS(E2153))^2+L2153*G2153^3*SIN(RADIANS(E2153))^2)</f>
        <v/>
      </c>
      <c r="Q2153" s="28">
        <f>-(6*F2153*J2153*L2153*N2153*SIN(RADIANS(E2153))+6*O2153*N2153*G2153*SIN(RADIANS(E2153))*COS(RADIANS(E2153)))/(12*N2153*COS(RADIANS(E2153))^2+L2153*G2153^2*SIN(RADIANS(E2153))^2)</f>
        <v/>
      </c>
      <c r="R2153" s="28">
        <f>-P2153*SIN(RADIANS(E2153))</f>
        <v/>
      </c>
      <c r="S2153" s="8">
        <f>(O2153+P2153*COS(RADIANS(E2153)))/L2153</f>
        <v/>
      </c>
      <c r="T2153" s="8">
        <f>R2153/L2153</f>
        <v/>
      </c>
      <c r="U2153" s="8">
        <f>(Q2153-P2153*G2153*SIN(RADIANS(E2153)))/M2153</f>
        <v/>
      </c>
      <c r="V2153" s="8">
        <f>SQRT((S2153+U2153)^2+3*T2153^2)</f>
        <v/>
      </c>
      <c r="W2153" s="8">
        <f>V2153/AA2153</f>
        <v/>
      </c>
      <c r="X2153" s="27">
        <f>((3*10+H2153/COS(RADIANS(E2153)))*(3+3)+3*G2153*H2153)*2</f>
        <v/>
      </c>
      <c r="Y2153" s="28">
        <f>Z2153/X2153</f>
        <v/>
      </c>
      <c r="Z2153" s="29" t="n">
        <v>587.43066678072</v>
      </c>
      <c r="AA2153" s="20" t="n">
        <v>72.60334317968641</v>
      </c>
      <c r="AB2153" t="n">
        <v>0.1119162649000616</v>
      </c>
      <c r="AC2153" t="n">
        <v>74.93290383837943</v>
      </c>
      <c r="AD2153" t="n">
        <v>22.0612904138286</v>
      </c>
    </row>
    <row r="2154">
      <c r="A2154" t="n">
        <v>2153</v>
      </c>
      <c r="B2154" t="n">
        <v>41.2</v>
      </c>
      <c r="C2154" s="21">
        <f>B2154-20</f>
        <v/>
      </c>
      <c r="D2154" t="n">
        <v>114.5</v>
      </c>
      <c r="E2154" s="22">
        <f>D2154-90</f>
        <v/>
      </c>
      <c r="F2154" s="23" t="n">
        <v>0.006376</v>
      </c>
      <c r="G2154" s="22" t="n">
        <v>22.4</v>
      </c>
      <c r="H2154" s="22" t="n">
        <v>2</v>
      </c>
      <c r="I2154" s="24" t="n">
        <v>0.0339510478079319</v>
      </c>
      <c r="J2154" s="6" t="n">
        <v>71000</v>
      </c>
      <c r="K2154" s="25">
        <f>23*10^-6</f>
        <v/>
      </c>
      <c r="L2154" s="8">
        <f>H2154</f>
        <v/>
      </c>
      <c r="M2154" s="26">
        <f>H2154^2/6</f>
        <v/>
      </c>
      <c r="N2154" s="26">
        <f>H2154^3/12</f>
        <v/>
      </c>
      <c r="O2154" s="27">
        <f>-J2154*L2154*K2154*C2154</f>
        <v/>
      </c>
      <c r="P2154" s="28">
        <f>-(12*F2154*J2154*L2154*N2154+12*O2154*N2154*G2154*COS(RADIANS(E2154)))/(12*N2154*G2154*COS(RADIANS(E2154))^2+L2154*G2154^3*SIN(RADIANS(E2154))^2)</f>
        <v/>
      </c>
      <c r="Q2154" s="28">
        <f>-(6*F2154*J2154*L2154*N2154*SIN(RADIANS(E2154))+6*O2154*N2154*G2154*SIN(RADIANS(E2154))*COS(RADIANS(E2154)))/(12*N2154*COS(RADIANS(E2154))^2+L2154*G2154^2*SIN(RADIANS(E2154))^2)</f>
        <v/>
      </c>
      <c r="R2154" s="28">
        <f>-P2154*SIN(RADIANS(E2154))</f>
        <v/>
      </c>
      <c r="S2154" s="8">
        <f>(O2154+P2154*COS(RADIANS(E2154)))/L2154</f>
        <v/>
      </c>
      <c r="T2154" s="8">
        <f>R2154/L2154</f>
        <v/>
      </c>
      <c r="U2154" s="8">
        <f>(Q2154-P2154*G2154*SIN(RADIANS(E2154)))/M2154</f>
        <v/>
      </c>
      <c r="V2154" s="8">
        <f>SQRT((S2154+U2154)^2+3*T2154^2)</f>
        <v/>
      </c>
      <c r="W2154" s="8">
        <f>V2154/AA2154</f>
        <v/>
      </c>
      <c r="X2154" s="27">
        <f>((3*10+H2154/COS(RADIANS(E2154)))*(3+3)+3*G2154*H2154)*2</f>
        <v/>
      </c>
      <c r="Y2154" s="28">
        <f>Z2154/X2154</f>
        <v/>
      </c>
      <c r="Z2154" s="29" t="n">
        <v>660.983127123893</v>
      </c>
      <c r="AA2154" s="20" t="n">
        <v>37.0681458472598</v>
      </c>
      <c r="AB2154" t="n">
        <v>0.03873135590478593</v>
      </c>
      <c r="AC2154" t="n">
        <v>33.87537512511575</v>
      </c>
      <c r="AD2154" t="n">
        <v>14.08000166562523</v>
      </c>
    </row>
    <row r="2155">
      <c r="A2155" t="n">
        <v>2154</v>
      </c>
      <c r="B2155" t="n">
        <v>56</v>
      </c>
      <c r="C2155" s="21">
        <f>B2155-20</f>
        <v/>
      </c>
      <c r="D2155" t="n">
        <v>103.2</v>
      </c>
      <c r="E2155" s="22">
        <f>D2155-90</f>
        <v/>
      </c>
      <c r="F2155" s="23" t="n">
        <v>0.015408</v>
      </c>
      <c r="G2155" s="22" t="n">
        <v>32.4</v>
      </c>
      <c r="H2155" s="22" t="n">
        <v>1.7</v>
      </c>
      <c r="I2155" s="24" t="n">
        <v>0.118440352380275</v>
      </c>
      <c r="J2155" s="6" t="n">
        <v>71000</v>
      </c>
      <c r="K2155" s="25">
        <f>23*10^-6</f>
        <v/>
      </c>
      <c r="L2155" s="8">
        <f>H2155</f>
        <v/>
      </c>
      <c r="M2155" s="26">
        <f>H2155^2/6</f>
        <v/>
      </c>
      <c r="N2155" s="26">
        <f>H2155^3/12</f>
        <v/>
      </c>
      <c r="O2155" s="27">
        <f>-J2155*L2155*K2155*C2155</f>
        <v/>
      </c>
      <c r="P2155" s="28">
        <f>-(12*F2155*J2155*L2155*N2155+12*O2155*N2155*G2155*COS(RADIANS(E2155)))/(12*N2155*G2155*COS(RADIANS(E2155))^2+L2155*G2155^3*SIN(RADIANS(E2155))^2)</f>
        <v/>
      </c>
      <c r="Q2155" s="28">
        <f>-(6*F2155*J2155*L2155*N2155*SIN(RADIANS(E2155))+6*O2155*N2155*G2155*SIN(RADIANS(E2155))*COS(RADIANS(E2155)))/(12*N2155*COS(RADIANS(E2155))^2+L2155*G2155^2*SIN(RADIANS(E2155))^2)</f>
        <v/>
      </c>
      <c r="R2155" s="28">
        <f>-P2155*SIN(RADIANS(E2155))</f>
        <v/>
      </c>
      <c r="S2155" s="8">
        <f>(O2155+P2155*COS(RADIANS(E2155)))/L2155</f>
        <v/>
      </c>
      <c r="T2155" s="8">
        <f>R2155/L2155</f>
        <v/>
      </c>
      <c r="U2155" s="8">
        <f>(Q2155-P2155*G2155*SIN(RADIANS(E2155)))/M2155</f>
        <v/>
      </c>
      <c r="V2155" s="8">
        <f>SQRT((S2155+U2155)^2+3*T2155^2)</f>
        <v/>
      </c>
      <c r="W2155" s="8">
        <f>V2155/AA2155</f>
        <v/>
      </c>
      <c r="X2155" s="27">
        <f>((3*10+H2155/COS(RADIANS(E2155)))*(3+3)+3*G2155*H2155)*2</f>
        <v/>
      </c>
      <c r="Y2155" s="28">
        <f>Z2155/X2155</f>
        <v/>
      </c>
      <c r="Z2155" s="29" t="n">
        <v>715.518561732644</v>
      </c>
      <c r="AA2155" s="20" t="n">
        <v>59.31441334515</v>
      </c>
      <c r="AB2155" t="n">
        <v>0.174272858447964</v>
      </c>
      <c r="AC2155" t="n">
        <v>60.08109059705629</v>
      </c>
      <c r="AD2155" t="n">
        <v>47.13976693384719</v>
      </c>
    </row>
    <row r="2156">
      <c r="A2156" t="n">
        <v>2155</v>
      </c>
      <c r="B2156" t="n">
        <v>60.4</v>
      </c>
      <c r="C2156" s="21">
        <f>B2156-20</f>
        <v/>
      </c>
      <c r="D2156" t="n">
        <v>121</v>
      </c>
      <c r="E2156" s="22">
        <f>D2156-90</f>
        <v/>
      </c>
      <c r="F2156" s="23" t="n">
        <v>0.011409</v>
      </c>
      <c r="G2156" s="22" t="n">
        <v>21.9</v>
      </c>
      <c r="H2156" s="22" t="n">
        <v>1.2</v>
      </c>
      <c r="I2156" s="24" t="n">
        <v>0.0550214312970638</v>
      </c>
      <c r="J2156" s="6" t="n">
        <v>71000</v>
      </c>
      <c r="K2156" s="25">
        <f>23*10^-6</f>
        <v/>
      </c>
      <c r="L2156" s="8">
        <f>H2156</f>
        <v/>
      </c>
      <c r="M2156" s="26">
        <f>H2156^2/6</f>
        <v/>
      </c>
      <c r="N2156" s="26">
        <f>H2156^3/12</f>
        <v/>
      </c>
      <c r="O2156" s="27">
        <f>-J2156*L2156*K2156*C2156</f>
        <v/>
      </c>
      <c r="P2156" s="28">
        <f>-(12*F2156*J2156*L2156*N2156+12*O2156*N2156*G2156*COS(RADIANS(E2156)))/(12*N2156*G2156*COS(RADIANS(E2156))^2+L2156*G2156^3*SIN(RADIANS(E2156))^2)</f>
        <v/>
      </c>
      <c r="Q2156" s="28">
        <f>-(6*F2156*J2156*L2156*N2156*SIN(RADIANS(E2156))+6*O2156*N2156*G2156*SIN(RADIANS(E2156))*COS(RADIANS(E2156)))/(12*N2156*COS(RADIANS(E2156))^2+L2156*G2156^2*SIN(RADIANS(E2156))^2)</f>
        <v/>
      </c>
      <c r="R2156" s="28">
        <f>-P2156*SIN(RADIANS(E2156))</f>
        <v/>
      </c>
      <c r="S2156" s="8">
        <f>(O2156+P2156*COS(RADIANS(E2156)))/L2156</f>
        <v/>
      </c>
      <c r="T2156" s="8">
        <f>R2156/L2156</f>
        <v/>
      </c>
      <c r="U2156" s="8">
        <f>(Q2156-P2156*G2156*SIN(RADIANS(E2156)))/M2156</f>
        <v/>
      </c>
      <c r="V2156" s="8">
        <f>SQRT((S2156+U2156)^2+3*T2156^2)</f>
        <v/>
      </c>
      <c r="W2156" s="8">
        <f>V2156/AA2156</f>
        <v/>
      </c>
      <c r="X2156" s="27">
        <f>((3*10+H2156/COS(RADIANS(E2156)))*(3+3)+3*G2156*H2156)*2</f>
        <v/>
      </c>
      <c r="Y2156" s="28">
        <f>Z2156/X2156</f>
        <v/>
      </c>
      <c r="Z2156" s="29" t="n">
        <v>541.91235183871</v>
      </c>
      <c r="AA2156" s="20" t="n">
        <v>58.5654890383388</v>
      </c>
      <c r="AB2156" t="n">
        <v>0.05795934341046403</v>
      </c>
      <c r="AC2156" t="n">
        <v>59.2003926701862</v>
      </c>
      <c r="AD2156" t="n">
        <v>5.339577768412243</v>
      </c>
    </row>
    <row r="2157">
      <c r="A2157" t="n">
        <v>2156</v>
      </c>
      <c r="B2157" t="n">
        <v>68.3</v>
      </c>
      <c r="C2157" s="21">
        <f>B2157-20</f>
        <v/>
      </c>
      <c r="D2157" t="n">
        <v>119.6</v>
      </c>
      <c r="E2157" s="22">
        <f>D2157-90</f>
        <v/>
      </c>
      <c r="F2157" s="23" t="n">
        <v>0.019246</v>
      </c>
      <c r="G2157" s="22" t="n">
        <v>33.3</v>
      </c>
      <c r="H2157" s="22" t="n">
        <v>1.6</v>
      </c>
      <c r="I2157" s="24" t="n">
        <v>0.08891516923904411</v>
      </c>
      <c r="J2157" s="6" t="n">
        <v>71000</v>
      </c>
      <c r="K2157" s="25">
        <f>23*10^-6</f>
        <v/>
      </c>
      <c r="L2157" s="8">
        <f>H2157</f>
        <v/>
      </c>
      <c r="M2157" s="26">
        <f>H2157^2/6</f>
        <v/>
      </c>
      <c r="N2157" s="26">
        <f>H2157^3/12</f>
        <v/>
      </c>
      <c r="O2157" s="27">
        <f>-J2157*L2157*K2157*C2157</f>
        <v/>
      </c>
      <c r="P2157" s="28">
        <f>-(12*F2157*J2157*L2157*N2157+12*O2157*N2157*G2157*COS(RADIANS(E2157)))/(12*N2157*G2157*COS(RADIANS(E2157))^2+L2157*G2157^3*SIN(RADIANS(E2157))^2)</f>
        <v/>
      </c>
      <c r="Q2157" s="28">
        <f>-(6*F2157*J2157*L2157*N2157*SIN(RADIANS(E2157))+6*O2157*N2157*G2157*SIN(RADIANS(E2157))*COS(RADIANS(E2157)))/(12*N2157*COS(RADIANS(E2157))^2+L2157*G2157^2*SIN(RADIANS(E2157))^2)</f>
        <v/>
      </c>
      <c r="R2157" s="28">
        <f>-P2157*SIN(RADIANS(E2157))</f>
        <v/>
      </c>
      <c r="S2157" s="8">
        <f>(O2157+P2157*COS(RADIANS(E2157)))/L2157</f>
        <v/>
      </c>
      <c r="T2157" s="8">
        <f>R2157/L2157</f>
        <v/>
      </c>
      <c r="U2157" s="8">
        <f>(Q2157-P2157*G2157*SIN(RADIANS(E2157)))/M2157</f>
        <v/>
      </c>
      <c r="V2157" s="8">
        <f>SQRT((S2157+U2157)^2+3*T2157^2)</f>
        <v/>
      </c>
      <c r="W2157" s="8">
        <f>V2157/AA2157</f>
        <v/>
      </c>
      <c r="X2157" s="27">
        <f>((3*10+H2157/COS(RADIANS(E2157)))*(3+3)+3*G2157*H2157)*2</f>
        <v/>
      </c>
      <c r="Y2157" s="28">
        <f>Z2157/X2157</f>
        <v/>
      </c>
      <c r="Z2157" s="29" t="n">
        <v>708.797645397767</v>
      </c>
      <c r="AA2157" s="20" t="n">
        <v>72.3778714757737</v>
      </c>
      <c r="AB2157" t="n">
        <v>0.1079230141774554</v>
      </c>
      <c r="AC2157" t="n">
        <v>71.25219134943542</v>
      </c>
      <c r="AD2157" t="n">
        <v>21.37750521208544</v>
      </c>
    </row>
    <row r="2158">
      <c r="A2158" t="n">
        <v>2157</v>
      </c>
      <c r="B2158" t="n">
        <v>44.3</v>
      </c>
      <c r="C2158" s="21">
        <f>B2158-20</f>
        <v/>
      </c>
      <c r="D2158" t="n">
        <v>119.6</v>
      </c>
      <c r="E2158" s="22">
        <f>D2158-90</f>
        <v/>
      </c>
      <c r="F2158" s="23" t="n">
        <v>0.008503</v>
      </c>
      <c r="G2158" s="22" t="n">
        <v>28.4</v>
      </c>
      <c r="H2158" s="22" t="n">
        <v>1.9</v>
      </c>
      <c r="I2158" s="24" t="n">
        <v>0.0401711016893386</v>
      </c>
      <c r="J2158" s="6" t="n">
        <v>71000</v>
      </c>
      <c r="K2158" s="25">
        <f>23*10^-6</f>
        <v/>
      </c>
      <c r="L2158" s="8">
        <f>H2158</f>
        <v/>
      </c>
      <c r="M2158" s="26">
        <f>H2158^2/6</f>
        <v/>
      </c>
      <c r="N2158" s="26">
        <f>H2158^3/12</f>
        <v/>
      </c>
      <c r="O2158" s="27">
        <f>-J2158*L2158*K2158*C2158</f>
        <v/>
      </c>
      <c r="P2158" s="28">
        <f>-(12*F2158*J2158*L2158*N2158+12*O2158*N2158*G2158*COS(RADIANS(E2158)))/(12*N2158*G2158*COS(RADIANS(E2158))^2+L2158*G2158^3*SIN(RADIANS(E2158))^2)</f>
        <v/>
      </c>
      <c r="Q2158" s="28">
        <f>-(6*F2158*J2158*L2158*N2158*SIN(RADIANS(E2158))+6*O2158*N2158*G2158*SIN(RADIANS(E2158))*COS(RADIANS(E2158)))/(12*N2158*COS(RADIANS(E2158))^2+L2158*G2158^2*SIN(RADIANS(E2158))^2)</f>
        <v/>
      </c>
      <c r="R2158" s="28">
        <f>-P2158*SIN(RADIANS(E2158))</f>
        <v/>
      </c>
      <c r="S2158" s="8">
        <f>(O2158+P2158*COS(RADIANS(E2158)))/L2158</f>
        <v/>
      </c>
      <c r="T2158" s="8">
        <f>R2158/L2158</f>
        <v/>
      </c>
      <c r="U2158" s="8">
        <f>(Q2158-P2158*G2158*SIN(RADIANS(E2158)))/M2158</f>
        <v/>
      </c>
      <c r="V2158" s="8">
        <f>SQRT((S2158+U2158)^2+3*T2158^2)</f>
        <v/>
      </c>
      <c r="W2158" s="8">
        <f>V2158/AA2158</f>
        <v/>
      </c>
      <c r="X2158" s="27">
        <f>((3*10+H2158/COS(RADIANS(E2158)))*(3+3)+3*G2158*H2158)*2</f>
        <v/>
      </c>
      <c r="Y2158" s="28">
        <f>Z2158/X2158</f>
        <v/>
      </c>
      <c r="Z2158" s="29" t="n">
        <v>717.017980065444</v>
      </c>
      <c r="AA2158" s="20" t="n">
        <v>39.5374975574183</v>
      </c>
      <c r="AB2158" t="n">
        <v>0.04639201887600737</v>
      </c>
      <c r="AC2158" t="n">
        <v>36.83320631427882</v>
      </c>
      <c r="AD2158" t="n">
        <v>15.48605073064202</v>
      </c>
    </row>
    <row r="2159">
      <c r="A2159" t="n">
        <v>2158</v>
      </c>
      <c r="B2159" t="n">
        <v>42.1</v>
      </c>
      <c r="C2159" s="21">
        <f>B2159-20</f>
        <v/>
      </c>
      <c r="D2159" t="n">
        <v>124.1</v>
      </c>
      <c r="E2159" s="22">
        <f>D2159-90</f>
        <v/>
      </c>
      <c r="F2159" s="23" t="n">
        <v>0.006957</v>
      </c>
      <c r="G2159" s="22" t="n">
        <v>26.1</v>
      </c>
      <c r="H2159" s="22" t="n">
        <v>1.1</v>
      </c>
      <c r="I2159" s="24" t="n">
        <v>0.0315262526273727</v>
      </c>
      <c r="J2159" s="6" t="n">
        <v>71000</v>
      </c>
      <c r="K2159" s="25">
        <f>23*10^-6</f>
        <v/>
      </c>
      <c r="L2159" s="8">
        <f>H2159</f>
        <v/>
      </c>
      <c r="M2159" s="26">
        <f>H2159^2/6</f>
        <v/>
      </c>
      <c r="N2159" s="26">
        <f>H2159^3/12</f>
        <v/>
      </c>
      <c r="O2159" s="27">
        <f>-J2159*L2159*K2159*C2159</f>
        <v/>
      </c>
      <c r="P2159" s="28">
        <f>-(12*F2159*J2159*L2159*N2159+12*O2159*N2159*G2159*COS(RADIANS(E2159)))/(12*N2159*G2159*COS(RADIANS(E2159))^2+L2159*G2159^3*SIN(RADIANS(E2159))^2)</f>
        <v/>
      </c>
      <c r="Q2159" s="28">
        <f>-(6*F2159*J2159*L2159*N2159*SIN(RADIANS(E2159))+6*O2159*N2159*G2159*SIN(RADIANS(E2159))*COS(RADIANS(E2159)))/(12*N2159*COS(RADIANS(E2159))^2+L2159*G2159^2*SIN(RADIANS(E2159))^2)</f>
        <v/>
      </c>
      <c r="R2159" s="28">
        <f>-P2159*SIN(RADIANS(E2159))</f>
        <v/>
      </c>
      <c r="S2159" s="8">
        <f>(O2159+P2159*COS(RADIANS(E2159)))/L2159</f>
        <v/>
      </c>
      <c r="T2159" s="8">
        <f>R2159/L2159</f>
        <v/>
      </c>
      <c r="U2159" s="8">
        <f>(Q2159-P2159*G2159*SIN(RADIANS(E2159)))/M2159</f>
        <v/>
      </c>
      <c r="V2159" s="8">
        <f>SQRT((S2159+U2159)^2+3*T2159^2)</f>
        <v/>
      </c>
      <c r="W2159" s="8">
        <f>V2159/AA2159</f>
        <v/>
      </c>
      <c r="X2159" s="27">
        <f>((3*10+H2159/COS(RADIANS(E2159)))*(3+3)+3*G2159*H2159)*2</f>
        <v/>
      </c>
      <c r="Y2159" s="28">
        <f>Z2159/X2159</f>
        <v/>
      </c>
      <c r="Z2159" s="29" t="n">
        <v>556.617892080773</v>
      </c>
      <c r="AA2159" s="20" t="n">
        <v>30.138779945334</v>
      </c>
      <c r="AB2159" t="n">
        <v>0.03378917475798694</v>
      </c>
      <c r="AC2159" t="n">
        <v>31.6660783281377</v>
      </c>
      <c r="AD2159" t="n">
        <v>7.177897599695851</v>
      </c>
    </row>
    <row r="2160">
      <c r="A2160" t="n">
        <v>2159</v>
      </c>
      <c r="B2160" t="n">
        <v>76.3</v>
      </c>
      <c r="C2160" s="21">
        <f>B2160-20</f>
        <v/>
      </c>
      <c r="D2160" t="n">
        <v>100.5</v>
      </c>
      <c r="E2160" s="22">
        <f>D2160-90</f>
        <v/>
      </c>
      <c r="F2160" s="23" t="n">
        <v>0.018681</v>
      </c>
      <c r="G2160" s="22" t="n">
        <v>23.5</v>
      </c>
      <c r="H2160" s="22" t="n">
        <v>1.2</v>
      </c>
      <c r="I2160" s="24" t="n">
        <v>0.175275966525077</v>
      </c>
      <c r="J2160" s="6" t="n">
        <v>71000</v>
      </c>
      <c r="K2160" s="25">
        <f>23*10^-6</f>
        <v/>
      </c>
      <c r="L2160" s="8">
        <f>H2160</f>
        <v/>
      </c>
      <c r="M2160" s="26">
        <f>H2160^2/6</f>
        <v/>
      </c>
      <c r="N2160" s="26">
        <f>H2160^3/12</f>
        <v/>
      </c>
      <c r="O2160" s="27">
        <f>-J2160*L2160*K2160*C2160</f>
        <v/>
      </c>
      <c r="P2160" s="28">
        <f>-(12*F2160*J2160*L2160*N2160+12*O2160*N2160*G2160*COS(RADIANS(E2160)))/(12*N2160*G2160*COS(RADIANS(E2160))^2+L2160*G2160^3*SIN(RADIANS(E2160))^2)</f>
        <v/>
      </c>
      <c r="Q2160" s="28">
        <f>-(6*F2160*J2160*L2160*N2160*SIN(RADIANS(E2160))+6*O2160*N2160*G2160*SIN(RADIANS(E2160))*COS(RADIANS(E2160)))/(12*N2160*COS(RADIANS(E2160))^2+L2160*G2160^2*SIN(RADIANS(E2160))^2)</f>
        <v/>
      </c>
      <c r="R2160" s="28">
        <f>-P2160*SIN(RADIANS(E2160))</f>
        <v/>
      </c>
      <c r="S2160" s="8">
        <f>(O2160+P2160*COS(RADIANS(E2160)))/L2160</f>
        <v/>
      </c>
      <c r="T2160" s="8">
        <f>R2160/L2160</f>
        <v/>
      </c>
      <c r="U2160" s="8">
        <f>(Q2160-P2160*G2160*SIN(RADIANS(E2160)))/M2160</f>
        <v/>
      </c>
      <c r="V2160" s="8">
        <f>SQRT((S2160+U2160)^2+3*T2160^2)</f>
        <v/>
      </c>
      <c r="W2160" s="8">
        <f>V2160/AA2160</f>
        <v/>
      </c>
      <c r="X2160" s="27">
        <f>((3*10+H2160/COS(RADIANS(E2160)))*(3+3)+3*G2160*H2160)*2</f>
        <v/>
      </c>
      <c r="Y2160" s="28">
        <f>Z2160/X2160</f>
        <v/>
      </c>
      <c r="Z2160" s="29" t="n">
        <v>547.687591592793</v>
      </c>
      <c r="AA2160" s="20" t="n">
        <v>87.9147226028109</v>
      </c>
      <c r="AB2160" t="n">
        <v>0.2486400541901714</v>
      </c>
      <c r="AC2160" t="n">
        <v>95.43760884243611</v>
      </c>
      <c r="AD2160" t="n">
        <v>41.85633040260431</v>
      </c>
    </row>
    <row r="2161">
      <c r="A2161" t="n">
        <v>2160</v>
      </c>
      <c r="B2161" t="n">
        <v>49.3</v>
      </c>
      <c r="C2161" s="21">
        <f>B2161-20</f>
        <v/>
      </c>
      <c r="D2161" t="n">
        <v>128</v>
      </c>
      <c r="E2161" s="22">
        <f>D2161-90</f>
        <v/>
      </c>
      <c r="F2161" s="23" t="n">
        <v>0.010664</v>
      </c>
      <c r="G2161" s="22" t="n">
        <v>32.9</v>
      </c>
      <c r="H2161" s="22" t="n">
        <v>1.3</v>
      </c>
      <c r="I2161" s="24" t="n">
        <v>0.0455091781914234</v>
      </c>
      <c r="J2161" s="6" t="n">
        <v>71000</v>
      </c>
      <c r="K2161" s="25">
        <f>23*10^-6</f>
        <v/>
      </c>
      <c r="L2161" s="8">
        <f>H2161</f>
        <v/>
      </c>
      <c r="M2161" s="26">
        <f>H2161^2/6</f>
        <v/>
      </c>
      <c r="N2161" s="26">
        <f>H2161^3/12</f>
        <v/>
      </c>
      <c r="O2161" s="27">
        <f>-J2161*L2161*K2161*C2161</f>
        <v/>
      </c>
      <c r="P2161" s="28">
        <f>-(12*F2161*J2161*L2161*N2161+12*O2161*N2161*G2161*COS(RADIANS(E2161)))/(12*N2161*G2161*COS(RADIANS(E2161))^2+L2161*G2161^3*SIN(RADIANS(E2161))^2)</f>
        <v/>
      </c>
      <c r="Q2161" s="28">
        <f>-(6*F2161*J2161*L2161*N2161*SIN(RADIANS(E2161))+6*O2161*N2161*G2161*SIN(RADIANS(E2161))*COS(RADIANS(E2161)))/(12*N2161*COS(RADIANS(E2161))^2+L2161*G2161^2*SIN(RADIANS(E2161))^2)</f>
        <v/>
      </c>
      <c r="R2161" s="28">
        <f>-P2161*SIN(RADIANS(E2161))</f>
        <v/>
      </c>
      <c r="S2161" s="8">
        <f>(O2161+P2161*COS(RADIANS(E2161)))/L2161</f>
        <v/>
      </c>
      <c r="T2161" s="8">
        <f>R2161/L2161</f>
        <v/>
      </c>
      <c r="U2161" s="8">
        <f>(Q2161-P2161*G2161*SIN(RADIANS(E2161)))/M2161</f>
        <v/>
      </c>
      <c r="V2161" s="8">
        <f>SQRT((S2161+U2161)^2+3*T2161^2)</f>
        <v/>
      </c>
      <c r="W2161" s="8">
        <f>V2161/AA2161</f>
        <v/>
      </c>
      <c r="X2161" s="27">
        <f>((3*10+H2161/COS(RADIANS(E2161)))*(3+3)+3*G2161*H2161)*2</f>
        <v/>
      </c>
      <c r="Y2161" s="28">
        <f>Z2161/X2161</f>
        <v/>
      </c>
      <c r="Z2161" s="29" t="n">
        <v>646.306750702515</v>
      </c>
      <c r="AA2161" s="20" t="n">
        <v>39.375324454076</v>
      </c>
      <c r="AB2161" t="n">
        <v>0.04951322652575466</v>
      </c>
      <c r="AC2161" t="n">
        <v>41.63491427985565</v>
      </c>
      <c r="AD2161" t="n">
        <v>8.798331443141398</v>
      </c>
    </row>
    <row r="2162">
      <c r="A2162" t="n">
        <v>2161</v>
      </c>
      <c r="B2162" t="n">
        <v>43.4</v>
      </c>
      <c r="C2162" s="21">
        <f>B2162-20</f>
        <v/>
      </c>
      <c r="D2162" t="n">
        <v>115.7</v>
      </c>
      <c r="E2162" s="22">
        <f>D2162-90</f>
        <v/>
      </c>
      <c r="F2162" s="23" t="n">
        <v>0.008716</v>
      </c>
      <c r="G2162" s="22" t="n">
        <v>29.6</v>
      </c>
      <c r="H2162" s="22" t="n">
        <v>1.4</v>
      </c>
      <c r="I2162" s="24" t="n">
        <v>0.0438261181116104</v>
      </c>
      <c r="J2162" s="6" t="n">
        <v>71000</v>
      </c>
      <c r="K2162" s="25">
        <f>23*10^-6</f>
        <v/>
      </c>
      <c r="L2162" s="8">
        <f>H2162</f>
        <v/>
      </c>
      <c r="M2162" s="26">
        <f>H2162^2/6</f>
        <v/>
      </c>
      <c r="N2162" s="26">
        <f>H2162^3/12</f>
        <v/>
      </c>
      <c r="O2162" s="27">
        <f>-J2162*L2162*K2162*C2162</f>
        <v/>
      </c>
      <c r="P2162" s="28">
        <f>-(12*F2162*J2162*L2162*N2162+12*O2162*N2162*G2162*COS(RADIANS(E2162)))/(12*N2162*G2162*COS(RADIANS(E2162))^2+L2162*G2162^3*SIN(RADIANS(E2162))^2)</f>
        <v/>
      </c>
      <c r="Q2162" s="28">
        <f>-(6*F2162*J2162*L2162*N2162*SIN(RADIANS(E2162))+6*O2162*N2162*G2162*SIN(RADIANS(E2162))*COS(RADIANS(E2162)))/(12*N2162*COS(RADIANS(E2162))^2+L2162*G2162^2*SIN(RADIANS(E2162))^2)</f>
        <v/>
      </c>
      <c r="R2162" s="28">
        <f>-P2162*SIN(RADIANS(E2162))</f>
        <v/>
      </c>
      <c r="S2162" s="8">
        <f>(O2162+P2162*COS(RADIANS(E2162)))/L2162</f>
        <v/>
      </c>
      <c r="T2162" s="8">
        <f>R2162/L2162</f>
        <v/>
      </c>
      <c r="U2162" s="8">
        <f>(Q2162-P2162*G2162*SIN(RADIANS(E2162)))/M2162</f>
        <v/>
      </c>
      <c r="V2162" s="8">
        <f>SQRT((S2162+U2162)^2+3*T2162^2)</f>
        <v/>
      </c>
      <c r="W2162" s="8">
        <f>V2162/AA2162</f>
        <v/>
      </c>
      <c r="X2162" s="27">
        <f>((3*10+H2162/COS(RADIANS(E2162)))*(3+3)+3*G2162*H2162)*2</f>
        <v/>
      </c>
      <c r="Y2162" s="28">
        <f>Z2162/X2162</f>
        <v/>
      </c>
      <c r="Z2162" s="29" t="n">
        <v>633.352777598894</v>
      </c>
      <c r="AA2162" s="20" t="n">
        <v>34.6750755589696</v>
      </c>
      <c r="AB2162" t="n">
        <v>0.0542803945324722</v>
      </c>
      <c r="AC2162" t="n">
        <v>34.91644348968605</v>
      </c>
      <c r="AD2162" t="n">
        <v>23.85398678075542</v>
      </c>
    </row>
    <row r="2163">
      <c r="A2163" t="n">
        <v>2162</v>
      </c>
      <c r="B2163" t="n">
        <v>59.6</v>
      </c>
      <c r="C2163" s="21">
        <f>B2163-20</f>
        <v/>
      </c>
      <c r="D2163" t="n">
        <v>121.6</v>
      </c>
      <c r="E2163" s="22">
        <f>D2163-90</f>
        <v/>
      </c>
      <c r="F2163" s="23" t="n">
        <v>0.015128</v>
      </c>
      <c r="G2163" s="22" t="n">
        <v>32.3</v>
      </c>
      <c r="H2163" s="22" t="n">
        <v>1.2</v>
      </c>
      <c r="I2163" s="24" t="n">
        <v>0.06824362277984609</v>
      </c>
      <c r="J2163" s="6" t="n">
        <v>71000</v>
      </c>
      <c r="K2163" s="25">
        <f>23*10^-6</f>
        <v/>
      </c>
      <c r="L2163" s="8">
        <f>H2163</f>
        <v/>
      </c>
      <c r="M2163" s="26">
        <f>H2163^2/6</f>
        <v/>
      </c>
      <c r="N2163" s="26">
        <f>H2163^3/12</f>
        <v/>
      </c>
      <c r="O2163" s="27">
        <f>-J2163*L2163*K2163*C2163</f>
        <v/>
      </c>
      <c r="P2163" s="28">
        <f>-(12*F2163*J2163*L2163*N2163+12*O2163*N2163*G2163*COS(RADIANS(E2163)))/(12*N2163*G2163*COS(RADIANS(E2163))^2+L2163*G2163^3*SIN(RADIANS(E2163))^2)</f>
        <v/>
      </c>
      <c r="Q2163" s="28">
        <f>-(6*F2163*J2163*L2163*N2163*SIN(RADIANS(E2163))+6*O2163*N2163*G2163*SIN(RADIANS(E2163))*COS(RADIANS(E2163)))/(12*N2163*COS(RADIANS(E2163))^2+L2163*G2163^2*SIN(RADIANS(E2163))^2)</f>
        <v/>
      </c>
      <c r="R2163" s="28">
        <f>-P2163*SIN(RADIANS(E2163))</f>
        <v/>
      </c>
      <c r="S2163" s="8">
        <f>(O2163+P2163*COS(RADIANS(E2163)))/L2163</f>
        <v/>
      </c>
      <c r="T2163" s="8">
        <f>R2163/L2163</f>
        <v/>
      </c>
      <c r="U2163" s="8">
        <f>(Q2163-P2163*G2163*SIN(RADIANS(E2163)))/M2163</f>
        <v/>
      </c>
      <c r="V2163" s="8">
        <f>SQRT((S2163+U2163)^2+3*T2163^2)</f>
        <v/>
      </c>
      <c r="W2163" s="8">
        <f>V2163/AA2163</f>
        <v/>
      </c>
      <c r="X2163" s="27">
        <f>((3*10+H2163/COS(RADIANS(E2163)))*(3+3)+3*G2163*H2163)*2</f>
        <v/>
      </c>
      <c r="Y2163" s="28">
        <f>Z2163/X2163</f>
        <v/>
      </c>
      <c r="Z2163" s="29" t="n">
        <v>617.078501614832</v>
      </c>
      <c r="AA2163" s="20" t="n">
        <v>55.0762031050412</v>
      </c>
      <c r="AB2163" t="n">
        <v>0.08040754486387774</v>
      </c>
      <c r="AC2163" t="n">
        <v>56.91537994270395</v>
      </c>
      <c r="AD2163" t="n">
        <v>17.82426194352615</v>
      </c>
    </row>
    <row r="2164">
      <c r="A2164" t="n">
        <v>2163</v>
      </c>
      <c r="B2164" t="n">
        <v>74.5</v>
      </c>
      <c r="C2164" s="21">
        <f>B2164-20</f>
        <v/>
      </c>
      <c r="D2164" t="n">
        <v>109.4</v>
      </c>
      <c r="E2164" s="22">
        <f>D2164-90</f>
        <v/>
      </c>
      <c r="F2164" s="23" t="n">
        <v>0.023242</v>
      </c>
      <c r="G2164" s="22" t="n">
        <v>33.3</v>
      </c>
      <c r="H2164" s="22" t="n">
        <v>1.7</v>
      </c>
      <c r="I2164" s="24" t="n">
        <v>0.136181488633155</v>
      </c>
      <c r="J2164" s="6" t="n">
        <v>71000</v>
      </c>
      <c r="K2164" s="25">
        <f>23*10^-6</f>
        <v/>
      </c>
      <c r="L2164" s="8">
        <f>H2164</f>
        <v/>
      </c>
      <c r="M2164" s="26">
        <f>H2164^2/6</f>
        <v/>
      </c>
      <c r="N2164" s="26">
        <f>H2164^3/12</f>
        <v/>
      </c>
      <c r="O2164" s="27">
        <f>-J2164*L2164*K2164*C2164</f>
        <v/>
      </c>
      <c r="P2164" s="28">
        <f>-(12*F2164*J2164*L2164*N2164+12*O2164*N2164*G2164*COS(RADIANS(E2164)))/(12*N2164*G2164*COS(RADIANS(E2164))^2+L2164*G2164^3*SIN(RADIANS(E2164))^2)</f>
        <v/>
      </c>
      <c r="Q2164" s="28">
        <f>-(6*F2164*J2164*L2164*N2164*SIN(RADIANS(E2164))+6*O2164*N2164*G2164*SIN(RADIANS(E2164))*COS(RADIANS(E2164)))/(12*N2164*COS(RADIANS(E2164))^2+L2164*G2164^2*SIN(RADIANS(E2164))^2)</f>
        <v/>
      </c>
      <c r="R2164" s="28">
        <f>-P2164*SIN(RADIANS(E2164))</f>
        <v/>
      </c>
      <c r="S2164" s="8">
        <f>(O2164+P2164*COS(RADIANS(E2164)))/L2164</f>
        <v/>
      </c>
      <c r="T2164" s="8">
        <f>R2164/L2164</f>
        <v/>
      </c>
      <c r="U2164" s="8">
        <f>(Q2164-P2164*G2164*SIN(RADIANS(E2164)))/M2164</f>
        <v/>
      </c>
      <c r="V2164" s="8">
        <f>SQRT((S2164+U2164)^2+3*T2164^2)</f>
        <v/>
      </c>
      <c r="W2164" s="8">
        <f>V2164/AA2164</f>
        <v/>
      </c>
      <c r="X2164" s="27">
        <f>((3*10+H2164/COS(RADIANS(E2164)))*(3+3)+3*G2164*H2164)*2</f>
        <v/>
      </c>
      <c r="Y2164" s="28">
        <f>Z2164/X2164</f>
        <v/>
      </c>
      <c r="Z2164" s="29" t="n">
        <v>726.166289934967</v>
      </c>
      <c r="AA2164" s="20" t="n">
        <v>86.0372577457307</v>
      </c>
      <c r="AB2164" t="n">
        <v>0.1875534178609575</v>
      </c>
      <c r="AC2164" t="n">
        <v>85.35687969119704</v>
      </c>
      <c r="AD2164" t="n">
        <v>37.72313678123169</v>
      </c>
    </row>
    <row r="2165">
      <c r="A2165" t="n">
        <v>2164</v>
      </c>
      <c r="B2165" t="n">
        <v>79.59999999999999</v>
      </c>
      <c r="C2165" s="21">
        <f>B2165-20</f>
        <v/>
      </c>
      <c r="D2165" t="n">
        <v>100.4</v>
      </c>
      <c r="E2165" s="22">
        <f>D2165-90</f>
        <v/>
      </c>
      <c r="F2165" s="23" t="n">
        <v>0.022855</v>
      </c>
      <c r="G2165" s="22" t="n">
        <v>28.1</v>
      </c>
      <c r="H2165" s="22" t="n">
        <v>1.5</v>
      </c>
      <c r="I2165" s="24" t="n">
        <v>0.210880443453788</v>
      </c>
      <c r="J2165" s="6" t="n">
        <v>71000</v>
      </c>
      <c r="K2165" s="25">
        <f>23*10^-6</f>
        <v/>
      </c>
      <c r="L2165" s="8">
        <f>H2165</f>
        <v/>
      </c>
      <c r="M2165" s="26">
        <f>H2165^2/6</f>
        <v/>
      </c>
      <c r="N2165" s="26">
        <f>H2165^3/12</f>
        <v/>
      </c>
      <c r="O2165" s="27">
        <f>-J2165*L2165*K2165*C2165</f>
        <v/>
      </c>
      <c r="P2165" s="28">
        <f>-(12*F2165*J2165*L2165*N2165+12*O2165*N2165*G2165*COS(RADIANS(E2165)))/(12*N2165*G2165*COS(RADIANS(E2165))^2+L2165*G2165^3*SIN(RADIANS(E2165))^2)</f>
        <v/>
      </c>
      <c r="Q2165" s="28">
        <f>-(6*F2165*J2165*L2165*N2165*SIN(RADIANS(E2165))+6*O2165*N2165*G2165*SIN(RADIANS(E2165))*COS(RADIANS(E2165)))/(12*N2165*COS(RADIANS(E2165))^2+L2165*G2165^2*SIN(RADIANS(E2165))^2)</f>
        <v/>
      </c>
      <c r="R2165" s="28">
        <f>-P2165*SIN(RADIANS(E2165))</f>
        <v/>
      </c>
      <c r="S2165" s="8">
        <f>(O2165+P2165*COS(RADIANS(E2165)))/L2165</f>
        <v/>
      </c>
      <c r="T2165" s="8">
        <f>R2165/L2165</f>
        <v/>
      </c>
      <c r="U2165" s="8">
        <f>(Q2165-P2165*G2165*SIN(RADIANS(E2165)))/M2165</f>
        <v/>
      </c>
      <c r="V2165" s="8">
        <f>SQRT((S2165+U2165)^2+3*T2165^2)</f>
        <v/>
      </c>
      <c r="W2165" s="8">
        <f>V2165/AA2165</f>
        <v/>
      </c>
      <c r="X2165" s="27">
        <f>((3*10+H2165/COS(RADIANS(E2165)))*(3+3)+3*G2165*H2165)*2</f>
        <v/>
      </c>
      <c r="Y2165" s="28">
        <f>Z2165/X2165</f>
        <v/>
      </c>
      <c r="Z2165" s="29" t="n">
        <v>635.035152606182</v>
      </c>
      <c r="AA2165" s="20" t="n">
        <v>98.4415821873922</v>
      </c>
      <c r="AB2165" t="n">
        <v>0.3112275669852938</v>
      </c>
      <c r="AC2165" t="n">
        <v>103.1262541808249</v>
      </c>
      <c r="AD2165" t="n">
        <v>47.58484091176321</v>
      </c>
    </row>
    <row r="2166">
      <c r="A2166" t="n">
        <v>2165</v>
      </c>
      <c r="B2166" t="n">
        <v>88.09999999999999</v>
      </c>
      <c r="C2166" s="21">
        <f>B2166-20</f>
        <v/>
      </c>
      <c r="D2166" t="n">
        <v>113.9</v>
      </c>
      <c r="E2166" s="22">
        <f>D2166-90</f>
        <v/>
      </c>
      <c r="F2166" s="23" t="n">
        <v>0.021905</v>
      </c>
      <c r="G2166" s="22" t="n">
        <v>24.3</v>
      </c>
      <c r="H2166" s="22" t="n">
        <v>1</v>
      </c>
      <c r="I2166" s="24" t="n">
        <v>0.11803001910448</v>
      </c>
      <c r="J2166" s="6" t="n">
        <v>71000</v>
      </c>
      <c r="K2166" s="25">
        <f>23*10^-6</f>
        <v/>
      </c>
      <c r="L2166" s="8">
        <f>H2166</f>
        <v/>
      </c>
      <c r="M2166" s="26">
        <f>H2166^2/6</f>
        <v/>
      </c>
      <c r="N2166" s="26">
        <f>H2166^3/12</f>
        <v/>
      </c>
      <c r="O2166" s="27">
        <f>-J2166*L2166*K2166*C2166</f>
        <v/>
      </c>
      <c r="P2166" s="28">
        <f>-(12*F2166*J2166*L2166*N2166+12*O2166*N2166*G2166*COS(RADIANS(E2166)))/(12*N2166*G2166*COS(RADIANS(E2166))^2+L2166*G2166^3*SIN(RADIANS(E2166))^2)</f>
        <v/>
      </c>
      <c r="Q2166" s="28">
        <f>-(6*F2166*J2166*L2166*N2166*SIN(RADIANS(E2166))+6*O2166*N2166*G2166*SIN(RADIANS(E2166))*COS(RADIANS(E2166)))/(12*N2166*COS(RADIANS(E2166))^2+L2166*G2166^2*SIN(RADIANS(E2166))^2)</f>
        <v/>
      </c>
      <c r="R2166" s="28">
        <f>-P2166*SIN(RADIANS(E2166))</f>
        <v/>
      </c>
      <c r="S2166" s="8">
        <f>(O2166+P2166*COS(RADIANS(E2166)))/L2166</f>
        <v/>
      </c>
      <c r="T2166" s="8">
        <f>R2166/L2166</f>
        <v/>
      </c>
      <c r="U2166" s="8">
        <f>(Q2166-P2166*G2166*SIN(RADIANS(E2166)))/M2166</f>
        <v/>
      </c>
      <c r="V2166" s="8">
        <f>SQRT((S2166+U2166)^2+3*T2166^2)</f>
        <v/>
      </c>
      <c r="W2166" s="8">
        <f>V2166/AA2166</f>
        <v/>
      </c>
      <c r="X2166" s="27">
        <f>((3*10+H2166/COS(RADIANS(E2166)))*(3+3)+3*G2166*H2166)*2</f>
        <v/>
      </c>
      <c r="Y2166" s="28">
        <f>Z2166/X2166</f>
        <v/>
      </c>
      <c r="Z2166" s="29" t="n">
        <v>524.609997181365</v>
      </c>
      <c r="AA2166" s="20" t="n">
        <v>94.11573540800831</v>
      </c>
      <c r="AB2166" t="n">
        <v>0.1420688095668507</v>
      </c>
      <c r="AC2166" t="n">
        <v>100.537120754376</v>
      </c>
      <c r="AD2166" t="n">
        <v>20.36667505839474</v>
      </c>
    </row>
    <row r="2167">
      <c r="A2167" t="n">
        <v>2166</v>
      </c>
      <c r="B2167" t="n">
        <v>54.9</v>
      </c>
      <c r="C2167" s="21">
        <f>B2167-20</f>
        <v/>
      </c>
      <c r="D2167" t="n">
        <v>112.8</v>
      </c>
      <c r="E2167" s="22">
        <f>D2167-90</f>
        <v/>
      </c>
      <c r="F2167" s="23" t="n">
        <v>0.012767</v>
      </c>
      <c r="G2167" s="22" t="n">
        <v>28.3</v>
      </c>
      <c r="H2167" s="22" t="n">
        <v>1.9</v>
      </c>
      <c r="I2167" s="24" t="n">
        <v>0.0687917694449424</v>
      </c>
      <c r="J2167" s="6" t="n">
        <v>71000</v>
      </c>
      <c r="K2167" s="25">
        <f>23*10^-6</f>
        <v/>
      </c>
      <c r="L2167" s="8">
        <f>H2167</f>
        <v/>
      </c>
      <c r="M2167" s="26">
        <f>H2167^2/6</f>
        <v/>
      </c>
      <c r="N2167" s="26">
        <f>H2167^3/12</f>
        <v/>
      </c>
      <c r="O2167" s="27">
        <f>-J2167*L2167*K2167*C2167</f>
        <v/>
      </c>
      <c r="P2167" s="28">
        <f>-(12*F2167*J2167*L2167*N2167+12*O2167*N2167*G2167*COS(RADIANS(E2167)))/(12*N2167*G2167*COS(RADIANS(E2167))^2+L2167*G2167^3*SIN(RADIANS(E2167))^2)</f>
        <v/>
      </c>
      <c r="Q2167" s="28">
        <f>-(6*F2167*J2167*L2167*N2167*SIN(RADIANS(E2167))+6*O2167*N2167*G2167*SIN(RADIANS(E2167))*COS(RADIANS(E2167)))/(12*N2167*COS(RADIANS(E2167))^2+L2167*G2167^2*SIN(RADIANS(E2167))^2)</f>
        <v/>
      </c>
      <c r="R2167" s="28">
        <f>-P2167*SIN(RADIANS(E2167))</f>
        <v/>
      </c>
      <c r="S2167" s="8">
        <f>(O2167+P2167*COS(RADIANS(E2167)))/L2167</f>
        <v/>
      </c>
      <c r="T2167" s="8">
        <f>R2167/L2167</f>
        <v/>
      </c>
      <c r="U2167" s="8">
        <f>(Q2167-P2167*G2167*SIN(RADIANS(E2167)))/M2167</f>
        <v/>
      </c>
      <c r="V2167" s="8">
        <f>SQRT((S2167+U2167)^2+3*T2167^2)</f>
        <v/>
      </c>
      <c r="W2167" s="8">
        <f>V2167/AA2167</f>
        <v/>
      </c>
      <c r="X2167" s="27">
        <f>((3*10+H2167/COS(RADIANS(E2167)))*(3+3)+3*G2167*H2167)*2</f>
        <v/>
      </c>
      <c r="Y2167" s="28">
        <f>Z2167/X2167</f>
        <v/>
      </c>
      <c r="Z2167" s="29" t="n">
        <v>712.820383560983</v>
      </c>
      <c r="AA2167" s="20" t="n">
        <v>57.5490210716727</v>
      </c>
      <c r="AB2167" t="n">
        <v>0.08664461123529901</v>
      </c>
      <c r="AC2167" t="n">
        <v>54.97000091588759</v>
      </c>
      <c r="AD2167" t="n">
        <v>25.95200259334099</v>
      </c>
    </row>
    <row r="2168">
      <c r="A2168" t="n">
        <v>2167</v>
      </c>
      <c r="B2168" t="n">
        <v>45</v>
      </c>
      <c r="C2168" s="21">
        <f>B2168-20</f>
        <v/>
      </c>
      <c r="D2168" t="n">
        <v>103.6</v>
      </c>
      <c r="E2168" s="22">
        <f>D2168-90</f>
        <v/>
      </c>
      <c r="F2168" s="23" t="n">
        <v>0.010713</v>
      </c>
      <c r="G2168" s="22" t="n">
        <v>32.5</v>
      </c>
      <c r="H2168" s="22" t="n">
        <v>1.5</v>
      </c>
      <c r="I2168" s="24" t="n">
        <v>0.0811720862984657</v>
      </c>
      <c r="J2168" s="6" t="n">
        <v>71000</v>
      </c>
      <c r="K2168" s="25">
        <f>23*10^-6</f>
        <v/>
      </c>
      <c r="L2168" s="8">
        <f>H2168</f>
        <v/>
      </c>
      <c r="M2168" s="26">
        <f>H2168^2/6</f>
        <v/>
      </c>
      <c r="N2168" s="26">
        <f>H2168^3/12</f>
        <v/>
      </c>
      <c r="O2168" s="27">
        <f>-J2168*L2168*K2168*C2168</f>
        <v/>
      </c>
      <c r="P2168" s="28">
        <f>-(12*F2168*J2168*L2168*N2168+12*O2168*N2168*G2168*COS(RADIANS(E2168)))/(12*N2168*G2168*COS(RADIANS(E2168))^2+L2168*G2168^3*SIN(RADIANS(E2168))^2)</f>
        <v/>
      </c>
      <c r="Q2168" s="28">
        <f>-(6*F2168*J2168*L2168*N2168*SIN(RADIANS(E2168))+6*O2168*N2168*G2168*SIN(RADIANS(E2168))*COS(RADIANS(E2168)))/(12*N2168*COS(RADIANS(E2168))^2+L2168*G2168^2*SIN(RADIANS(E2168))^2)</f>
        <v/>
      </c>
      <c r="R2168" s="28">
        <f>-P2168*SIN(RADIANS(E2168))</f>
        <v/>
      </c>
      <c r="S2168" s="8">
        <f>(O2168+P2168*COS(RADIANS(E2168)))/L2168</f>
        <v/>
      </c>
      <c r="T2168" s="8">
        <f>R2168/L2168</f>
        <v/>
      </c>
      <c r="U2168" s="8">
        <f>(Q2168-P2168*G2168*SIN(RADIANS(E2168)))/M2168</f>
        <v/>
      </c>
      <c r="V2168" s="8">
        <f>SQRT((S2168+U2168)^2+3*T2168^2)</f>
        <v/>
      </c>
      <c r="W2168" s="8">
        <f>V2168/AA2168</f>
        <v/>
      </c>
      <c r="X2168" s="27">
        <f>((3*10+H2168/COS(RADIANS(E2168)))*(3+3)+3*G2168*H2168)*2</f>
        <v/>
      </c>
      <c r="Y2168" s="28">
        <f>Z2168/X2168</f>
        <v/>
      </c>
      <c r="Z2168" s="29" t="n">
        <v>675.1452397023101</v>
      </c>
      <c r="AA2168" s="20" t="n">
        <v>38.8845685586669</v>
      </c>
      <c r="AB2168" t="n">
        <v>0.1193175780440047</v>
      </c>
      <c r="AC2168" t="n">
        <v>40.7011601841435</v>
      </c>
      <c r="AD2168" t="n">
        <v>46.9933612464757</v>
      </c>
    </row>
    <row r="2169">
      <c r="A2169" t="n">
        <v>2168</v>
      </c>
      <c r="B2169" t="n">
        <v>40.9</v>
      </c>
      <c r="C2169" s="21">
        <f>B2169-20</f>
        <v/>
      </c>
      <c r="D2169" t="n">
        <v>116.4</v>
      </c>
      <c r="E2169" s="22">
        <f>D2169-90</f>
        <v/>
      </c>
      <c r="F2169" s="23" t="n">
        <v>0.007426</v>
      </c>
      <c r="G2169" s="22" t="n">
        <v>28.1</v>
      </c>
      <c r="H2169" s="22" t="n">
        <v>1.3</v>
      </c>
      <c r="I2169" s="24" t="n">
        <v>0.037096481770277</v>
      </c>
      <c r="J2169" s="6" t="n">
        <v>71000</v>
      </c>
      <c r="K2169" s="25">
        <f>23*10^-6</f>
        <v/>
      </c>
      <c r="L2169" s="8">
        <f>H2169</f>
        <v/>
      </c>
      <c r="M2169" s="26">
        <f>H2169^2/6</f>
        <v/>
      </c>
      <c r="N2169" s="26">
        <f>H2169^3/12</f>
        <v/>
      </c>
      <c r="O2169" s="27">
        <f>-J2169*L2169*K2169*C2169</f>
        <v/>
      </c>
      <c r="P2169" s="28">
        <f>-(12*F2169*J2169*L2169*N2169+12*O2169*N2169*G2169*COS(RADIANS(E2169)))/(12*N2169*G2169*COS(RADIANS(E2169))^2+L2169*G2169^3*SIN(RADIANS(E2169))^2)</f>
        <v/>
      </c>
      <c r="Q2169" s="28">
        <f>-(6*F2169*J2169*L2169*N2169*SIN(RADIANS(E2169))+6*O2169*N2169*G2169*SIN(RADIANS(E2169))*COS(RADIANS(E2169)))/(12*N2169*COS(RADIANS(E2169))^2+L2169*G2169^2*SIN(RADIANS(E2169))^2)</f>
        <v/>
      </c>
      <c r="R2169" s="28">
        <f>-P2169*SIN(RADIANS(E2169))</f>
        <v/>
      </c>
      <c r="S2169" s="8">
        <f>(O2169+P2169*COS(RADIANS(E2169)))/L2169</f>
        <v/>
      </c>
      <c r="T2169" s="8">
        <f>R2169/L2169</f>
        <v/>
      </c>
      <c r="U2169" s="8">
        <f>(Q2169-P2169*G2169*SIN(RADIANS(E2169)))/M2169</f>
        <v/>
      </c>
      <c r="V2169" s="8">
        <f>SQRT((S2169+U2169)^2+3*T2169^2)</f>
        <v/>
      </c>
      <c r="W2169" s="8">
        <f>V2169/AA2169</f>
        <v/>
      </c>
      <c r="X2169" s="27">
        <f>((3*10+H2169/COS(RADIANS(E2169)))*(3+3)+3*G2169*H2169)*2</f>
        <v/>
      </c>
      <c r="Y2169" s="28">
        <f>Z2169/X2169</f>
        <v/>
      </c>
      <c r="Z2169" s="29" t="n">
        <v>602.824280353777</v>
      </c>
      <c r="AA2169" s="20" t="n">
        <v>30.2926955417047</v>
      </c>
      <c r="AB2169" t="n">
        <v>0.04491753849778908</v>
      </c>
      <c r="AC2169" t="n">
        <v>30.98289130923738</v>
      </c>
      <c r="AD2169" t="n">
        <v>21.08301476119653</v>
      </c>
    </row>
    <row r="2170">
      <c r="A2170" t="n">
        <v>2169</v>
      </c>
      <c r="B2170" t="n">
        <v>74</v>
      </c>
      <c r="C2170" s="21">
        <f>B2170-20</f>
        <v/>
      </c>
      <c r="D2170" t="n">
        <v>108.4</v>
      </c>
      <c r="E2170" s="22">
        <f>D2170-90</f>
        <v/>
      </c>
      <c r="F2170" s="23" t="n">
        <v>0.017713</v>
      </c>
      <c r="G2170" s="22" t="n">
        <v>24</v>
      </c>
      <c r="H2170" s="22" t="n">
        <v>1.7</v>
      </c>
      <c r="I2170" s="24" t="n">
        <v>0.110756203532218</v>
      </c>
      <c r="J2170" s="6" t="n">
        <v>71000</v>
      </c>
      <c r="K2170" s="25">
        <f>23*10^-6</f>
        <v/>
      </c>
      <c r="L2170" s="8">
        <f>H2170</f>
        <v/>
      </c>
      <c r="M2170" s="26">
        <f>H2170^2/6</f>
        <v/>
      </c>
      <c r="N2170" s="26">
        <f>H2170^3/12</f>
        <v/>
      </c>
      <c r="O2170" s="27">
        <f>-J2170*L2170*K2170*C2170</f>
        <v/>
      </c>
      <c r="P2170" s="28">
        <f>-(12*F2170*J2170*L2170*N2170+12*O2170*N2170*G2170*COS(RADIANS(E2170)))/(12*N2170*G2170*COS(RADIANS(E2170))^2+L2170*G2170^3*SIN(RADIANS(E2170))^2)</f>
        <v/>
      </c>
      <c r="Q2170" s="28">
        <f>-(6*F2170*J2170*L2170*N2170*SIN(RADIANS(E2170))+6*O2170*N2170*G2170*SIN(RADIANS(E2170))*COS(RADIANS(E2170)))/(12*N2170*COS(RADIANS(E2170))^2+L2170*G2170^2*SIN(RADIANS(E2170))^2)</f>
        <v/>
      </c>
      <c r="R2170" s="28">
        <f>-P2170*SIN(RADIANS(E2170))</f>
        <v/>
      </c>
      <c r="S2170" s="8">
        <f>(O2170+P2170*COS(RADIANS(E2170)))/L2170</f>
        <v/>
      </c>
      <c r="T2170" s="8">
        <f>R2170/L2170</f>
        <v/>
      </c>
      <c r="U2170" s="8">
        <f>(Q2170-P2170*G2170*SIN(RADIANS(E2170)))/M2170</f>
        <v/>
      </c>
      <c r="V2170" s="8">
        <f>SQRT((S2170+U2170)^2+3*T2170^2)</f>
        <v/>
      </c>
      <c r="W2170" s="8">
        <f>V2170/AA2170</f>
        <v/>
      </c>
      <c r="X2170" s="27">
        <f>((3*10+H2170/COS(RADIANS(E2170)))*(3+3)+3*G2170*H2170)*2</f>
        <v/>
      </c>
      <c r="Y2170" s="28">
        <f>Z2170/X2170</f>
        <v/>
      </c>
      <c r="Z2170" s="29" t="n">
        <v>631.025833483044</v>
      </c>
      <c r="AA2170" s="20" t="n">
        <v>89.91365692194699</v>
      </c>
      <c r="AB2170" t="n">
        <v>0.1410192336900168</v>
      </c>
      <c r="AC2170" t="n">
        <v>87.92090655687026</v>
      </c>
      <c r="AD2170" t="n">
        <v>27.32400460891164</v>
      </c>
    </row>
    <row r="2171">
      <c r="A2171" t="n">
        <v>2170</v>
      </c>
      <c r="B2171" t="n">
        <v>75.90000000000001</v>
      </c>
      <c r="C2171" s="21">
        <f>B2171-20</f>
        <v/>
      </c>
      <c r="D2171" t="n">
        <v>112.3</v>
      </c>
      <c r="E2171" s="22">
        <f>D2171-90</f>
        <v/>
      </c>
      <c r="F2171" s="23" t="n">
        <v>0.016618</v>
      </c>
      <c r="G2171" s="22" t="n">
        <v>21.7</v>
      </c>
      <c r="H2171" s="22" t="n">
        <v>1.2</v>
      </c>
      <c r="I2171" s="24" t="n">
        <v>0.09460254013538361</v>
      </c>
      <c r="J2171" s="6" t="n">
        <v>71000</v>
      </c>
      <c r="K2171" s="25">
        <f>23*10^-6</f>
        <v/>
      </c>
      <c r="L2171" s="8">
        <f>H2171</f>
        <v/>
      </c>
      <c r="M2171" s="26">
        <f>H2171^2/6</f>
        <v/>
      </c>
      <c r="N2171" s="26">
        <f>H2171^3/12</f>
        <v/>
      </c>
      <c r="O2171" s="27">
        <f>-J2171*L2171*K2171*C2171</f>
        <v/>
      </c>
      <c r="P2171" s="28">
        <f>-(12*F2171*J2171*L2171*N2171+12*O2171*N2171*G2171*COS(RADIANS(E2171)))/(12*N2171*G2171*COS(RADIANS(E2171))^2+L2171*G2171^3*SIN(RADIANS(E2171))^2)</f>
        <v/>
      </c>
      <c r="Q2171" s="28">
        <f>-(6*F2171*J2171*L2171*N2171*SIN(RADIANS(E2171))+6*O2171*N2171*G2171*SIN(RADIANS(E2171))*COS(RADIANS(E2171)))/(12*N2171*COS(RADIANS(E2171))^2+L2171*G2171^2*SIN(RADIANS(E2171))^2)</f>
        <v/>
      </c>
      <c r="R2171" s="28">
        <f>-P2171*SIN(RADIANS(E2171))</f>
        <v/>
      </c>
      <c r="S2171" s="8">
        <f>(O2171+P2171*COS(RADIANS(E2171)))/L2171</f>
        <v/>
      </c>
      <c r="T2171" s="8">
        <f>R2171/L2171</f>
        <v/>
      </c>
      <c r="U2171" s="8">
        <f>(Q2171-P2171*G2171*SIN(RADIANS(E2171)))/M2171</f>
        <v/>
      </c>
      <c r="V2171" s="8">
        <f>SQRT((S2171+U2171)^2+3*T2171^2)</f>
        <v/>
      </c>
      <c r="W2171" s="8">
        <f>V2171/AA2171</f>
        <v/>
      </c>
      <c r="X2171" s="27">
        <f>((3*10+H2171/COS(RADIANS(E2171)))*(3+3)+3*G2171*H2171)*2</f>
        <v/>
      </c>
      <c r="Y2171" s="28">
        <f>Z2171/X2171</f>
        <v/>
      </c>
      <c r="Z2171" s="29" t="n">
        <v>537.177732981739</v>
      </c>
      <c r="AA2171" s="20" t="n">
        <v>82.3641838296959</v>
      </c>
      <c r="AB2171" t="n">
        <v>0.111885972691353</v>
      </c>
      <c r="AC2171" t="n">
        <v>85.22896876108966</v>
      </c>
      <c r="AD2171" t="n">
        <v>18.26952271179551</v>
      </c>
    </row>
    <row r="2172">
      <c r="A2172" t="n">
        <v>2171</v>
      </c>
      <c r="B2172" t="n">
        <v>54.8</v>
      </c>
      <c r="C2172" s="21">
        <f>B2172-20</f>
        <v/>
      </c>
      <c r="D2172" t="n">
        <v>108.9</v>
      </c>
      <c r="E2172" s="22">
        <f>D2172-90</f>
        <v/>
      </c>
      <c r="F2172" s="23" t="n">
        <v>0.010638</v>
      </c>
      <c r="G2172" s="22" t="n">
        <v>22</v>
      </c>
      <c r="H2172" s="22" t="n">
        <v>1.8</v>
      </c>
      <c r="I2172" s="24" t="n">
        <v>0.0656901895999908</v>
      </c>
      <c r="J2172" s="6" t="n">
        <v>71000</v>
      </c>
      <c r="K2172" s="25">
        <f>23*10^-6</f>
        <v/>
      </c>
      <c r="L2172" s="8">
        <f>H2172</f>
        <v/>
      </c>
      <c r="M2172" s="26">
        <f>H2172^2/6</f>
        <v/>
      </c>
      <c r="N2172" s="26">
        <f>H2172^3/12</f>
        <v/>
      </c>
      <c r="O2172" s="27">
        <f>-J2172*L2172*K2172*C2172</f>
        <v/>
      </c>
      <c r="P2172" s="28">
        <f>-(12*F2172*J2172*L2172*N2172+12*O2172*N2172*G2172*COS(RADIANS(E2172)))/(12*N2172*G2172*COS(RADIANS(E2172))^2+L2172*G2172^3*SIN(RADIANS(E2172))^2)</f>
        <v/>
      </c>
      <c r="Q2172" s="28">
        <f>-(6*F2172*J2172*L2172*N2172*SIN(RADIANS(E2172))+6*O2172*N2172*G2172*SIN(RADIANS(E2172))*COS(RADIANS(E2172)))/(12*N2172*COS(RADIANS(E2172))^2+L2172*G2172^2*SIN(RADIANS(E2172))^2)</f>
        <v/>
      </c>
      <c r="R2172" s="28">
        <f>-P2172*SIN(RADIANS(E2172))</f>
        <v/>
      </c>
      <c r="S2172" s="8">
        <f>(O2172+P2172*COS(RADIANS(E2172)))/L2172</f>
        <v/>
      </c>
      <c r="T2172" s="8">
        <f>R2172/L2172</f>
        <v/>
      </c>
      <c r="U2172" s="8">
        <f>(Q2172-P2172*G2172*SIN(RADIANS(E2172)))/M2172</f>
        <v/>
      </c>
      <c r="V2172" s="8">
        <f>SQRT((S2172+U2172)^2+3*T2172^2)</f>
        <v/>
      </c>
      <c r="W2172" s="8">
        <f>V2172/AA2172</f>
        <v/>
      </c>
      <c r="X2172" s="27">
        <f>((3*10+H2172/COS(RADIANS(E2172)))*(3+3)+3*G2172*H2172)*2</f>
        <v/>
      </c>
      <c r="Y2172" s="28">
        <f>Z2172/X2172</f>
        <v/>
      </c>
      <c r="Z2172" s="29" t="n">
        <v>625.232240192291</v>
      </c>
      <c r="AA2172" s="20" t="n">
        <v>60.0897842303733</v>
      </c>
      <c r="AB2172" t="n">
        <v>0.08061992076618034</v>
      </c>
      <c r="AC2172" t="n">
        <v>57.2884872934119</v>
      </c>
      <c r="AD2172" t="n">
        <v>22.72748983843948</v>
      </c>
    </row>
    <row r="2173">
      <c r="A2173" t="n">
        <v>2172</v>
      </c>
      <c r="B2173" t="n">
        <v>52.2</v>
      </c>
      <c r="C2173" s="21">
        <f>B2173-20</f>
        <v/>
      </c>
      <c r="D2173" t="n">
        <v>125.7</v>
      </c>
      <c r="E2173" s="22">
        <f>D2173-90</f>
        <v/>
      </c>
      <c r="F2173" s="23" t="n">
        <v>0.009327</v>
      </c>
      <c r="G2173" s="22" t="n">
        <v>23.9</v>
      </c>
      <c r="H2173" s="22" t="n">
        <v>2</v>
      </c>
      <c r="I2173" s="24" t="n">
        <v>0.042394571006298</v>
      </c>
      <c r="J2173" s="6" t="n">
        <v>71000</v>
      </c>
      <c r="K2173" s="25">
        <f>23*10^-6</f>
        <v/>
      </c>
      <c r="L2173" s="8">
        <f>H2173</f>
        <v/>
      </c>
      <c r="M2173" s="26">
        <f>H2173^2/6</f>
        <v/>
      </c>
      <c r="N2173" s="26">
        <f>H2173^3/12</f>
        <v/>
      </c>
      <c r="O2173" s="27">
        <f>-J2173*L2173*K2173*C2173</f>
        <v/>
      </c>
      <c r="P2173" s="28">
        <f>-(12*F2173*J2173*L2173*N2173+12*O2173*N2173*G2173*COS(RADIANS(E2173)))/(12*N2173*G2173*COS(RADIANS(E2173))^2+L2173*G2173^3*SIN(RADIANS(E2173))^2)</f>
        <v/>
      </c>
      <c r="Q2173" s="28">
        <f>-(6*F2173*J2173*L2173*N2173*SIN(RADIANS(E2173))+6*O2173*N2173*G2173*SIN(RADIANS(E2173))*COS(RADIANS(E2173)))/(12*N2173*COS(RADIANS(E2173))^2+L2173*G2173^2*SIN(RADIANS(E2173))^2)</f>
        <v/>
      </c>
      <c r="R2173" s="28">
        <f>-P2173*SIN(RADIANS(E2173))</f>
        <v/>
      </c>
      <c r="S2173" s="8">
        <f>(O2173+P2173*COS(RADIANS(E2173)))/L2173</f>
        <v/>
      </c>
      <c r="T2173" s="8">
        <f>R2173/L2173</f>
        <v/>
      </c>
      <c r="U2173" s="8">
        <f>(Q2173-P2173*G2173*SIN(RADIANS(E2173)))/M2173</f>
        <v/>
      </c>
      <c r="V2173" s="8">
        <f>SQRT((S2173+U2173)^2+3*T2173^2)</f>
        <v/>
      </c>
      <c r="W2173" s="8">
        <f>V2173/AA2173</f>
        <v/>
      </c>
      <c r="X2173" s="27">
        <f>((3*10+H2173/COS(RADIANS(E2173)))*(3+3)+3*G2173*H2173)*2</f>
        <v/>
      </c>
      <c r="Y2173" s="28">
        <f>Z2173/X2173</f>
        <v/>
      </c>
      <c r="Z2173" s="29" t="n">
        <v>685.3408497767711</v>
      </c>
      <c r="AA2173" s="20" t="n">
        <v>53.6320677013439</v>
      </c>
      <c r="AB2173" t="n">
        <v>0.04264338676926697</v>
      </c>
      <c r="AC2173" t="n">
        <v>48.28030340686924</v>
      </c>
      <c r="AD2173" t="n">
        <v>0.586904778284014</v>
      </c>
    </row>
    <row r="2174">
      <c r="A2174" t="n">
        <v>2173</v>
      </c>
      <c r="B2174" t="n">
        <v>58.6</v>
      </c>
      <c r="C2174" s="21">
        <f>B2174-20</f>
        <v/>
      </c>
      <c r="D2174" t="n">
        <v>108.9</v>
      </c>
      <c r="E2174" s="22">
        <f>D2174-90</f>
        <v/>
      </c>
      <c r="F2174" s="23" t="n">
        <v>0.013131</v>
      </c>
      <c r="G2174" s="22" t="n">
        <v>25.2</v>
      </c>
      <c r="H2174" s="22" t="n">
        <v>1.5</v>
      </c>
      <c r="I2174" s="24" t="n">
        <v>0.0807985365390777</v>
      </c>
      <c r="J2174" s="6" t="n">
        <v>71000</v>
      </c>
      <c r="K2174" s="25">
        <f>23*10^-6</f>
        <v/>
      </c>
      <c r="L2174" s="8">
        <f>H2174</f>
        <v/>
      </c>
      <c r="M2174" s="26">
        <f>H2174^2/6</f>
        <v/>
      </c>
      <c r="N2174" s="26">
        <f>H2174^3/12</f>
        <v/>
      </c>
      <c r="O2174" s="27">
        <f>-J2174*L2174*K2174*C2174</f>
        <v/>
      </c>
      <c r="P2174" s="28">
        <f>-(12*F2174*J2174*L2174*N2174+12*O2174*N2174*G2174*COS(RADIANS(E2174)))/(12*N2174*G2174*COS(RADIANS(E2174))^2+L2174*G2174^3*SIN(RADIANS(E2174))^2)</f>
        <v/>
      </c>
      <c r="Q2174" s="28">
        <f>-(6*F2174*J2174*L2174*N2174*SIN(RADIANS(E2174))+6*O2174*N2174*G2174*SIN(RADIANS(E2174))*COS(RADIANS(E2174)))/(12*N2174*COS(RADIANS(E2174))^2+L2174*G2174^2*SIN(RADIANS(E2174))^2)</f>
        <v/>
      </c>
      <c r="R2174" s="28">
        <f>-P2174*SIN(RADIANS(E2174))</f>
        <v/>
      </c>
      <c r="S2174" s="8">
        <f>(O2174+P2174*COS(RADIANS(E2174)))/L2174</f>
        <v/>
      </c>
      <c r="T2174" s="8">
        <f>R2174/L2174</f>
        <v/>
      </c>
      <c r="U2174" s="8">
        <f>(Q2174-P2174*G2174*SIN(RADIANS(E2174)))/M2174</f>
        <v/>
      </c>
      <c r="V2174" s="8">
        <f>SQRT((S2174+U2174)^2+3*T2174^2)</f>
        <v/>
      </c>
      <c r="W2174" s="8">
        <f>V2174/AA2174</f>
        <v/>
      </c>
      <c r="X2174" s="27">
        <f>((3*10+H2174/COS(RADIANS(E2174)))*(3+3)+3*G2174*H2174)*2</f>
        <v/>
      </c>
      <c r="Y2174" s="28">
        <f>Z2174/X2174</f>
        <v/>
      </c>
      <c r="Z2174" s="29" t="n">
        <v>610.627086707555</v>
      </c>
      <c r="AA2174" s="20" t="n">
        <v>60.9303330050338</v>
      </c>
      <c r="AB2174" t="n">
        <v>0.1041388235620195</v>
      </c>
      <c r="AC2174" t="n">
        <v>61.23160426616166</v>
      </c>
      <c r="AD2174" t="n">
        <v>28.88701704597506</v>
      </c>
    </row>
    <row r="2175">
      <c r="A2175" t="n">
        <v>2174</v>
      </c>
      <c r="B2175" t="n">
        <v>60.6</v>
      </c>
      <c r="C2175" s="21">
        <f>B2175-20</f>
        <v/>
      </c>
      <c r="D2175" t="n">
        <v>124.2</v>
      </c>
      <c r="E2175" s="22">
        <f>D2175-90</f>
        <v/>
      </c>
      <c r="F2175" s="23" t="n">
        <v>0.013266</v>
      </c>
      <c r="G2175" s="22" t="n">
        <v>27.4</v>
      </c>
      <c r="H2175" s="22" t="n">
        <v>1.3</v>
      </c>
      <c r="I2175" s="24" t="n">
        <v>0.0596701465547084</v>
      </c>
      <c r="J2175" s="6" t="n">
        <v>71000</v>
      </c>
      <c r="K2175" s="25">
        <f>23*10^-6</f>
        <v/>
      </c>
      <c r="L2175" s="8">
        <f>H2175</f>
        <v/>
      </c>
      <c r="M2175" s="26">
        <f>H2175^2/6</f>
        <v/>
      </c>
      <c r="N2175" s="26">
        <f>H2175^3/12</f>
        <v/>
      </c>
      <c r="O2175" s="27">
        <f>-J2175*L2175*K2175*C2175</f>
        <v/>
      </c>
      <c r="P2175" s="28">
        <f>-(12*F2175*J2175*L2175*N2175+12*O2175*N2175*G2175*COS(RADIANS(E2175)))/(12*N2175*G2175*COS(RADIANS(E2175))^2+L2175*G2175^3*SIN(RADIANS(E2175))^2)</f>
        <v/>
      </c>
      <c r="Q2175" s="28">
        <f>-(6*F2175*J2175*L2175*N2175*SIN(RADIANS(E2175))+6*O2175*N2175*G2175*SIN(RADIANS(E2175))*COS(RADIANS(E2175)))/(12*N2175*COS(RADIANS(E2175))^2+L2175*G2175^2*SIN(RADIANS(E2175))^2)</f>
        <v/>
      </c>
      <c r="R2175" s="28">
        <f>-P2175*SIN(RADIANS(E2175))</f>
        <v/>
      </c>
      <c r="S2175" s="8">
        <f>(O2175+P2175*COS(RADIANS(E2175)))/L2175</f>
        <v/>
      </c>
      <c r="T2175" s="8">
        <f>R2175/L2175</f>
        <v/>
      </c>
      <c r="U2175" s="8">
        <f>(Q2175-P2175*G2175*SIN(RADIANS(E2175)))/M2175</f>
        <v/>
      </c>
      <c r="V2175" s="8">
        <f>SQRT((S2175+U2175)^2+3*T2175^2)</f>
        <v/>
      </c>
      <c r="W2175" s="8">
        <f>V2175/AA2175</f>
        <v/>
      </c>
      <c r="X2175" s="27">
        <f>((3*10+H2175/COS(RADIANS(E2175)))*(3+3)+3*G2175*H2175)*2</f>
        <v/>
      </c>
      <c r="Y2175" s="28">
        <f>Z2175/X2175</f>
        <v/>
      </c>
      <c r="Z2175" s="29" t="n">
        <v>601.03288230454</v>
      </c>
      <c r="AA2175" s="20" t="n">
        <v>57.5236609927935</v>
      </c>
      <c r="AB2175" t="n">
        <v>0.06468117162215863</v>
      </c>
      <c r="AC2175" t="n">
        <v>58.67283305709216</v>
      </c>
      <c r="AD2175" t="n">
        <v>8.397876252668301</v>
      </c>
    </row>
    <row r="2176">
      <c r="A2176" t="n">
        <v>2175</v>
      </c>
      <c r="B2176" t="n">
        <v>67.7</v>
      </c>
      <c r="C2176" s="21">
        <f>B2176-20</f>
        <v/>
      </c>
      <c r="D2176" t="n">
        <v>115.3</v>
      </c>
      <c r="E2176" s="22">
        <f>D2176-90</f>
        <v/>
      </c>
      <c r="F2176" s="23" t="n">
        <v>0.016782</v>
      </c>
      <c r="G2176" s="22" t="n">
        <v>27.5</v>
      </c>
      <c r="H2176" s="22" t="n">
        <v>1.2</v>
      </c>
      <c r="I2176" s="24" t="n">
        <v>0.08600489050149911</v>
      </c>
      <c r="J2176" s="6" t="n">
        <v>71000</v>
      </c>
      <c r="K2176" s="25">
        <f>23*10^-6</f>
        <v/>
      </c>
      <c r="L2176" s="8">
        <f>H2176</f>
        <v/>
      </c>
      <c r="M2176" s="26">
        <f>H2176^2/6</f>
        <v/>
      </c>
      <c r="N2176" s="26">
        <f>H2176^3/12</f>
        <v/>
      </c>
      <c r="O2176" s="27">
        <f>-J2176*L2176*K2176*C2176</f>
        <v/>
      </c>
      <c r="P2176" s="28">
        <f>-(12*F2176*J2176*L2176*N2176+12*O2176*N2176*G2176*COS(RADIANS(E2176)))/(12*N2176*G2176*COS(RADIANS(E2176))^2+L2176*G2176^3*SIN(RADIANS(E2176))^2)</f>
        <v/>
      </c>
      <c r="Q2176" s="28">
        <f>-(6*F2176*J2176*L2176*N2176*SIN(RADIANS(E2176))+6*O2176*N2176*G2176*SIN(RADIANS(E2176))*COS(RADIANS(E2176)))/(12*N2176*COS(RADIANS(E2176))^2+L2176*G2176^2*SIN(RADIANS(E2176))^2)</f>
        <v/>
      </c>
      <c r="R2176" s="28">
        <f>-P2176*SIN(RADIANS(E2176))</f>
        <v/>
      </c>
      <c r="S2176" s="8">
        <f>(O2176+P2176*COS(RADIANS(E2176)))/L2176</f>
        <v/>
      </c>
      <c r="T2176" s="8">
        <f>R2176/L2176</f>
        <v/>
      </c>
      <c r="U2176" s="8">
        <f>(Q2176-P2176*G2176*SIN(RADIANS(E2176)))/M2176</f>
        <v/>
      </c>
      <c r="V2176" s="8">
        <f>SQRT((S2176+U2176)^2+3*T2176^2)</f>
        <v/>
      </c>
      <c r="W2176" s="8">
        <f>V2176/AA2176</f>
        <v/>
      </c>
      <c r="X2176" s="27">
        <f>((3*10+H2176/COS(RADIANS(E2176)))*(3+3)+3*G2176*H2176)*2</f>
        <v/>
      </c>
      <c r="Y2176" s="28">
        <f>Z2176/X2176</f>
        <v/>
      </c>
      <c r="Z2176" s="29" t="n">
        <v>579.9076269364271</v>
      </c>
      <c r="AA2176" s="20" t="n">
        <v>68.147498049646</v>
      </c>
      <c r="AB2176" t="n">
        <v>0.1051368009353497</v>
      </c>
      <c r="AC2176" t="n">
        <v>70.62729959786861</v>
      </c>
      <c r="AD2176" t="n">
        <v>22.24514248235349</v>
      </c>
    </row>
    <row r="2177">
      <c r="A2177" t="n">
        <v>2176</v>
      </c>
      <c r="B2177" t="n">
        <v>45.1</v>
      </c>
      <c r="C2177" s="21">
        <f>B2177-20</f>
        <v/>
      </c>
      <c r="D2177" t="n">
        <v>114.8</v>
      </c>
      <c r="E2177" s="22">
        <f>D2177-90</f>
        <v/>
      </c>
      <c r="F2177" s="23" t="n">
        <v>0.00725</v>
      </c>
      <c r="G2177" s="22" t="n">
        <v>21.3</v>
      </c>
      <c r="H2177" s="22" t="n">
        <v>1.3</v>
      </c>
      <c r="I2177" s="24" t="n">
        <v>0.0389636345207691</v>
      </c>
      <c r="J2177" s="6" t="n">
        <v>71000</v>
      </c>
      <c r="K2177" s="25">
        <f>23*10^-6</f>
        <v/>
      </c>
      <c r="L2177" s="8">
        <f>H2177</f>
        <v/>
      </c>
      <c r="M2177" s="26">
        <f>H2177^2/6</f>
        <v/>
      </c>
      <c r="N2177" s="26">
        <f>H2177^3/12</f>
        <v/>
      </c>
      <c r="O2177" s="27">
        <f>-J2177*L2177*K2177*C2177</f>
        <v/>
      </c>
      <c r="P2177" s="28">
        <f>-(12*F2177*J2177*L2177*N2177+12*O2177*N2177*G2177*COS(RADIANS(E2177)))/(12*N2177*G2177*COS(RADIANS(E2177))^2+L2177*G2177^3*SIN(RADIANS(E2177))^2)</f>
        <v/>
      </c>
      <c r="Q2177" s="28">
        <f>-(6*F2177*J2177*L2177*N2177*SIN(RADIANS(E2177))+6*O2177*N2177*G2177*SIN(RADIANS(E2177))*COS(RADIANS(E2177)))/(12*N2177*COS(RADIANS(E2177))^2+L2177*G2177^2*SIN(RADIANS(E2177))^2)</f>
        <v/>
      </c>
      <c r="R2177" s="28">
        <f>-P2177*SIN(RADIANS(E2177))</f>
        <v/>
      </c>
      <c r="S2177" s="8">
        <f>(O2177+P2177*COS(RADIANS(E2177)))/L2177</f>
        <v/>
      </c>
      <c r="T2177" s="8">
        <f>R2177/L2177</f>
        <v/>
      </c>
      <c r="U2177" s="8">
        <f>(Q2177-P2177*G2177*SIN(RADIANS(E2177)))/M2177</f>
        <v/>
      </c>
      <c r="V2177" s="8">
        <f>SQRT((S2177+U2177)^2+3*T2177^2)</f>
        <v/>
      </c>
      <c r="W2177" s="8">
        <f>V2177/AA2177</f>
        <v/>
      </c>
      <c r="X2177" s="27">
        <f>((3*10+H2177/COS(RADIANS(E2177)))*(3+3)+3*G2177*H2177)*2</f>
        <v/>
      </c>
      <c r="Y2177" s="28">
        <f>Z2177/X2177</f>
        <v/>
      </c>
      <c r="Z2177" s="29" t="n">
        <v>549.196654781687</v>
      </c>
      <c r="AA2177" s="20" t="n">
        <v>37.6916148558296</v>
      </c>
      <c r="AB2177" t="n">
        <v>0.0441758746033343</v>
      </c>
      <c r="AC2177" t="n">
        <v>38.11260108016708</v>
      </c>
      <c r="AD2177" t="n">
        <v>13.37719169854877</v>
      </c>
    </row>
    <row r="2178">
      <c r="A2178" t="n">
        <v>2177</v>
      </c>
      <c r="B2178" t="n">
        <v>73.90000000000001</v>
      </c>
      <c r="C2178" s="21">
        <f>B2178-20</f>
        <v/>
      </c>
      <c r="D2178" t="n">
        <v>105.1</v>
      </c>
      <c r="E2178" s="22">
        <f>D2178-90</f>
        <v/>
      </c>
      <c r="F2178" s="23" t="n">
        <v>0.022196</v>
      </c>
      <c r="G2178" s="22" t="n">
        <v>31.2</v>
      </c>
      <c r="H2178" s="22" t="n">
        <v>1.6</v>
      </c>
      <c r="I2178" s="24" t="n">
        <v>0.155736938118934</v>
      </c>
      <c r="J2178" s="6" t="n">
        <v>71000</v>
      </c>
      <c r="K2178" s="25">
        <f>23*10^-6</f>
        <v/>
      </c>
      <c r="L2178" s="8">
        <f>H2178</f>
        <v/>
      </c>
      <c r="M2178" s="26">
        <f>H2178^2/6</f>
        <v/>
      </c>
      <c r="N2178" s="26">
        <f>H2178^3/12</f>
        <v/>
      </c>
      <c r="O2178" s="27">
        <f>-J2178*L2178*K2178*C2178</f>
        <v/>
      </c>
      <c r="P2178" s="28">
        <f>-(12*F2178*J2178*L2178*N2178+12*O2178*N2178*G2178*COS(RADIANS(E2178)))/(12*N2178*G2178*COS(RADIANS(E2178))^2+L2178*G2178^3*SIN(RADIANS(E2178))^2)</f>
        <v/>
      </c>
      <c r="Q2178" s="28">
        <f>-(6*F2178*J2178*L2178*N2178*SIN(RADIANS(E2178))+6*O2178*N2178*G2178*SIN(RADIANS(E2178))*COS(RADIANS(E2178)))/(12*N2178*COS(RADIANS(E2178))^2+L2178*G2178^2*SIN(RADIANS(E2178))^2)</f>
        <v/>
      </c>
      <c r="R2178" s="28">
        <f>-P2178*SIN(RADIANS(E2178))</f>
        <v/>
      </c>
      <c r="S2178" s="8">
        <f>(O2178+P2178*COS(RADIANS(E2178)))/L2178</f>
        <v/>
      </c>
      <c r="T2178" s="8">
        <f>R2178/L2178</f>
        <v/>
      </c>
      <c r="U2178" s="8">
        <f>(Q2178-P2178*G2178*SIN(RADIANS(E2178)))/M2178</f>
        <v/>
      </c>
      <c r="V2178" s="8">
        <f>SQRT((S2178+U2178)^2+3*T2178^2)</f>
        <v/>
      </c>
      <c r="W2178" s="8">
        <f>V2178/AA2178</f>
        <v/>
      </c>
      <c r="X2178" s="27">
        <f>((3*10+H2178/COS(RADIANS(E2178)))*(3+3)+3*G2178*H2178)*2</f>
        <v/>
      </c>
      <c r="Y2178" s="28">
        <f>Z2178/X2178</f>
        <v/>
      </c>
      <c r="Z2178" s="29" t="n">
        <v>683.698553911009</v>
      </c>
      <c r="AA2178" s="20" t="n">
        <v>85.9784594476841</v>
      </c>
      <c r="AB2178" t="n">
        <v>0.222484775509757</v>
      </c>
      <c r="AC2178" t="n">
        <v>87.53114966027226</v>
      </c>
      <c r="AD2178" t="n">
        <v>42.85934871780304</v>
      </c>
    </row>
    <row r="2179">
      <c r="A2179" t="n">
        <v>2178</v>
      </c>
      <c r="B2179" t="n">
        <v>47.2</v>
      </c>
      <c r="C2179" s="21">
        <f>B2179-20</f>
        <v/>
      </c>
      <c r="D2179" t="n">
        <v>112.8</v>
      </c>
      <c r="E2179" s="22">
        <f>D2179-90</f>
        <v/>
      </c>
      <c r="F2179" s="23" t="n">
        <v>0.008463999999999999</v>
      </c>
      <c r="G2179" s="22" t="n">
        <v>23.1</v>
      </c>
      <c r="H2179" s="22" t="n">
        <v>1.5</v>
      </c>
      <c r="I2179" s="24" t="n">
        <v>0.0469885692000389</v>
      </c>
      <c r="J2179" s="6" t="n">
        <v>71000</v>
      </c>
      <c r="K2179" s="25">
        <f>23*10^-6</f>
        <v/>
      </c>
      <c r="L2179" s="8">
        <f>H2179</f>
        <v/>
      </c>
      <c r="M2179" s="26">
        <f>H2179^2/6</f>
        <v/>
      </c>
      <c r="N2179" s="26">
        <f>H2179^3/12</f>
        <v/>
      </c>
      <c r="O2179" s="27">
        <f>-J2179*L2179*K2179*C2179</f>
        <v/>
      </c>
      <c r="P2179" s="28">
        <f>-(12*F2179*J2179*L2179*N2179+12*O2179*N2179*G2179*COS(RADIANS(E2179)))/(12*N2179*G2179*COS(RADIANS(E2179))^2+L2179*G2179^3*SIN(RADIANS(E2179))^2)</f>
        <v/>
      </c>
      <c r="Q2179" s="28">
        <f>-(6*F2179*J2179*L2179*N2179*SIN(RADIANS(E2179))+6*O2179*N2179*G2179*SIN(RADIANS(E2179))*COS(RADIANS(E2179)))/(12*N2179*COS(RADIANS(E2179))^2+L2179*G2179^2*SIN(RADIANS(E2179))^2)</f>
        <v/>
      </c>
      <c r="R2179" s="28">
        <f>-P2179*SIN(RADIANS(E2179))</f>
        <v/>
      </c>
      <c r="S2179" s="8">
        <f>(O2179+P2179*COS(RADIANS(E2179)))/L2179</f>
        <v/>
      </c>
      <c r="T2179" s="8">
        <f>R2179/L2179</f>
        <v/>
      </c>
      <c r="U2179" s="8">
        <f>(Q2179-P2179*G2179*SIN(RADIANS(E2179)))/M2179</f>
        <v/>
      </c>
      <c r="V2179" s="8">
        <f>SQRT((S2179+U2179)^2+3*T2179^2)</f>
        <v/>
      </c>
      <c r="W2179" s="8">
        <f>V2179/AA2179</f>
        <v/>
      </c>
      <c r="X2179" s="27">
        <f>((3*10+H2179/COS(RADIANS(E2179)))*(3+3)+3*G2179*H2179)*2</f>
        <v/>
      </c>
      <c r="Y2179" s="28">
        <f>Z2179/X2179</f>
        <v/>
      </c>
      <c r="Z2179" s="29" t="n">
        <v>592.893536978897</v>
      </c>
      <c r="AA2179" s="20" t="n">
        <v>42.6475203922301</v>
      </c>
      <c r="AB2179" t="n">
        <v>0.05600523612066639</v>
      </c>
      <c r="AC2179" t="n">
        <v>42.25342560076215</v>
      </c>
      <c r="AD2179" t="n">
        <v>19.18906464728025</v>
      </c>
    </row>
    <row r="2180">
      <c r="A2180" t="n">
        <v>2179</v>
      </c>
      <c r="B2180" t="n">
        <v>73.90000000000001</v>
      </c>
      <c r="C2180" s="21">
        <f>B2180-20</f>
        <v/>
      </c>
      <c r="D2180" t="n">
        <v>104.4</v>
      </c>
      <c r="E2180" s="22">
        <f>D2180-90</f>
        <v/>
      </c>
      <c r="F2180" s="23" t="n">
        <v>0.020649</v>
      </c>
      <c r="G2180" s="22" t="n">
        <v>28.5</v>
      </c>
      <c r="H2180" s="22" t="n">
        <v>1.5</v>
      </c>
      <c r="I2180" s="24" t="n">
        <v>0.151190236210823</v>
      </c>
      <c r="J2180" s="6" t="n">
        <v>71000</v>
      </c>
      <c r="K2180" s="25">
        <f>23*10^-6</f>
        <v/>
      </c>
      <c r="L2180" s="8">
        <f>H2180</f>
        <v/>
      </c>
      <c r="M2180" s="26">
        <f>H2180^2/6</f>
        <v/>
      </c>
      <c r="N2180" s="26">
        <f>H2180^3/12</f>
        <v/>
      </c>
      <c r="O2180" s="27">
        <f>-J2180*L2180*K2180*C2180</f>
        <v/>
      </c>
      <c r="P2180" s="28">
        <f>-(12*F2180*J2180*L2180*N2180+12*O2180*N2180*G2180*COS(RADIANS(E2180)))/(12*N2180*G2180*COS(RADIANS(E2180))^2+L2180*G2180^3*SIN(RADIANS(E2180))^2)</f>
        <v/>
      </c>
      <c r="Q2180" s="28">
        <f>-(6*F2180*J2180*L2180*N2180*SIN(RADIANS(E2180))+6*O2180*N2180*G2180*SIN(RADIANS(E2180))*COS(RADIANS(E2180)))/(12*N2180*COS(RADIANS(E2180))^2+L2180*G2180^2*SIN(RADIANS(E2180))^2)</f>
        <v/>
      </c>
      <c r="R2180" s="28">
        <f>-P2180*SIN(RADIANS(E2180))</f>
        <v/>
      </c>
      <c r="S2180" s="8">
        <f>(O2180+P2180*COS(RADIANS(E2180)))/L2180</f>
        <v/>
      </c>
      <c r="T2180" s="8">
        <f>R2180/L2180</f>
        <v/>
      </c>
      <c r="U2180" s="8">
        <f>(Q2180-P2180*G2180*SIN(RADIANS(E2180)))/M2180</f>
        <v/>
      </c>
      <c r="V2180" s="8">
        <f>SQRT((S2180+U2180)^2+3*T2180^2)</f>
        <v/>
      </c>
      <c r="W2180" s="8">
        <f>V2180/AA2180</f>
        <v/>
      </c>
      <c r="X2180" s="27">
        <f>((3*10+H2180/COS(RADIANS(E2180)))*(3+3)+3*G2180*H2180)*2</f>
        <v/>
      </c>
      <c r="Y2180" s="28">
        <f>Z2180/X2180</f>
        <v/>
      </c>
      <c r="Z2180" s="29" t="n">
        <v>639.29593598517</v>
      </c>
      <c r="AA2180" s="20" t="n">
        <v>85.617911249481</v>
      </c>
      <c r="AB2180" t="n">
        <v>0.2133058986813707</v>
      </c>
      <c r="AC2180" t="n">
        <v>88.18296750715004</v>
      </c>
      <c r="AD2180" t="n">
        <v>41.08444038934645</v>
      </c>
    </row>
    <row r="2181">
      <c r="A2181" t="n">
        <v>2180</v>
      </c>
      <c r="B2181" t="n">
        <v>62.5</v>
      </c>
      <c r="C2181" s="21">
        <f>B2181-20</f>
        <v/>
      </c>
      <c r="D2181" t="n">
        <v>113.1</v>
      </c>
      <c r="E2181" s="22">
        <f>D2181-90</f>
        <v/>
      </c>
      <c r="F2181" s="23" t="n">
        <v>0.016544</v>
      </c>
      <c r="G2181" s="22" t="n">
        <v>30.6</v>
      </c>
      <c r="H2181" s="22" t="n">
        <v>1.8</v>
      </c>
      <c r="I2181" s="24" t="n">
        <v>0.0877405107021331</v>
      </c>
      <c r="J2181" s="6" t="n">
        <v>71000</v>
      </c>
      <c r="K2181" s="25">
        <f>23*10^-6</f>
        <v/>
      </c>
      <c r="L2181" s="8">
        <f>H2181</f>
        <v/>
      </c>
      <c r="M2181" s="26">
        <f>H2181^2/6</f>
        <v/>
      </c>
      <c r="N2181" s="26">
        <f>H2181^3/12</f>
        <v/>
      </c>
      <c r="O2181" s="27">
        <f>-J2181*L2181*K2181*C2181</f>
        <v/>
      </c>
      <c r="P2181" s="28">
        <f>-(12*F2181*J2181*L2181*N2181+12*O2181*N2181*G2181*COS(RADIANS(E2181)))/(12*N2181*G2181*COS(RADIANS(E2181))^2+L2181*G2181^3*SIN(RADIANS(E2181))^2)</f>
        <v/>
      </c>
      <c r="Q2181" s="28">
        <f>-(6*F2181*J2181*L2181*N2181*SIN(RADIANS(E2181))+6*O2181*N2181*G2181*SIN(RADIANS(E2181))*COS(RADIANS(E2181)))/(12*N2181*COS(RADIANS(E2181))^2+L2181*G2181^2*SIN(RADIANS(E2181))^2)</f>
        <v/>
      </c>
      <c r="R2181" s="28">
        <f>-P2181*SIN(RADIANS(E2181))</f>
        <v/>
      </c>
      <c r="S2181" s="8">
        <f>(O2181+P2181*COS(RADIANS(E2181)))/L2181</f>
        <v/>
      </c>
      <c r="T2181" s="8">
        <f>R2181/L2181</f>
        <v/>
      </c>
      <c r="U2181" s="8">
        <f>(Q2181-P2181*G2181*SIN(RADIANS(E2181)))/M2181</f>
        <v/>
      </c>
      <c r="V2181" s="8">
        <f>SQRT((S2181+U2181)^2+3*T2181^2)</f>
        <v/>
      </c>
      <c r="W2181" s="8">
        <f>V2181/AA2181</f>
        <v/>
      </c>
      <c r="X2181" s="27">
        <f>((3*10+H2181/COS(RADIANS(E2181)))*(3+3)+3*G2181*H2181)*2</f>
        <v/>
      </c>
      <c r="Y2181" s="28">
        <f>Z2181/X2181</f>
        <v/>
      </c>
      <c r="Z2181" s="29" t="n">
        <v>719.488465517188</v>
      </c>
      <c r="AA2181" s="20" t="n">
        <v>68.187487842357</v>
      </c>
      <c r="AB2181" t="n">
        <v>0.1127475708694785</v>
      </c>
      <c r="AC2181" t="n">
        <v>65.89863849370848</v>
      </c>
      <c r="AD2181" t="n">
        <v>28.50115638401166</v>
      </c>
    </row>
    <row r="2182">
      <c r="A2182" t="n">
        <v>2181</v>
      </c>
      <c r="B2182" t="n">
        <v>57.1</v>
      </c>
      <c r="C2182" s="21">
        <f>B2182-20</f>
        <v/>
      </c>
      <c r="D2182" t="n">
        <v>111</v>
      </c>
      <c r="E2182" s="22">
        <f>D2182-90</f>
        <v/>
      </c>
      <c r="F2182" s="23" t="n">
        <v>0.010593</v>
      </c>
      <c r="G2182" s="22" t="n">
        <v>20.4</v>
      </c>
      <c r="H2182" s="22" t="n">
        <v>1.6</v>
      </c>
      <c r="I2182" s="24" t="n">
        <v>0.0624106042087078</v>
      </c>
      <c r="J2182" s="6" t="n">
        <v>71000</v>
      </c>
      <c r="K2182" s="25">
        <f>23*10^-6</f>
        <v/>
      </c>
      <c r="L2182" s="8">
        <f>H2182</f>
        <v/>
      </c>
      <c r="M2182" s="26">
        <f>H2182^2/6</f>
        <v/>
      </c>
      <c r="N2182" s="26">
        <f>H2182^3/12</f>
        <v/>
      </c>
      <c r="O2182" s="27">
        <f>-J2182*L2182*K2182*C2182</f>
        <v/>
      </c>
      <c r="P2182" s="28">
        <f>-(12*F2182*J2182*L2182*N2182+12*O2182*N2182*G2182*COS(RADIANS(E2182)))/(12*N2182*G2182*COS(RADIANS(E2182))^2+L2182*G2182^3*SIN(RADIANS(E2182))^2)</f>
        <v/>
      </c>
      <c r="Q2182" s="28">
        <f>-(6*F2182*J2182*L2182*N2182*SIN(RADIANS(E2182))+6*O2182*N2182*G2182*SIN(RADIANS(E2182))*COS(RADIANS(E2182)))/(12*N2182*COS(RADIANS(E2182))^2+L2182*G2182^2*SIN(RADIANS(E2182))^2)</f>
        <v/>
      </c>
      <c r="R2182" s="28">
        <f>-P2182*SIN(RADIANS(E2182))</f>
        <v/>
      </c>
      <c r="S2182" s="8">
        <f>(O2182+P2182*COS(RADIANS(E2182)))/L2182</f>
        <v/>
      </c>
      <c r="T2182" s="8">
        <f>R2182/L2182</f>
        <v/>
      </c>
      <c r="U2182" s="8">
        <f>(Q2182-P2182*G2182*SIN(RADIANS(E2182)))/M2182</f>
        <v/>
      </c>
      <c r="V2182" s="8">
        <f>SQRT((S2182+U2182)^2+3*T2182^2)</f>
        <v/>
      </c>
      <c r="W2182" s="8">
        <f>V2182/AA2182</f>
        <v/>
      </c>
      <c r="X2182" s="27">
        <f>((3*10+H2182/COS(RADIANS(E2182)))*(3+3)+3*G2182*H2182)*2</f>
        <v/>
      </c>
      <c r="Y2182" s="28">
        <f>Z2182/X2182</f>
        <v/>
      </c>
      <c r="Z2182" s="29" t="n">
        <v>581.547093110761</v>
      </c>
      <c r="AA2182" s="20" t="n">
        <v>61.3893535369485</v>
      </c>
      <c r="AB2182" t="n">
        <v>0.07295309335780618</v>
      </c>
      <c r="AC2182" t="n">
        <v>59.34530440188006</v>
      </c>
      <c r="AD2182" t="n">
        <v>16.89214402386357</v>
      </c>
    </row>
    <row r="2183">
      <c r="A2183" t="n">
        <v>2182</v>
      </c>
      <c r="B2183" t="n">
        <v>64.3</v>
      </c>
      <c r="C2183" s="21">
        <f>B2183-20</f>
        <v/>
      </c>
      <c r="D2183" t="n">
        <v>114</v>
      </c>
      <c r="E2183" s="22">
        <f>D2183-90</f>
        <v/>
      </c>
      <c r="F2183" s="23" t="n">
        <v>0.012719</v>
      </c>
      <c r="G2183" s="22" t="n">
        <v>21</v>
      </c>
      <c r="H2183" s="22" t="n">
        <v>1.3</v>
      </c>
      <c r="I2183" s="24" t="n">
        <v>0.06971137225627889</v>
      </c>
      <c r="J2183" s="6" t="n">
        <v>71000</v>
      </c>
      <c r="K2183" s="25">
        <f>23*10^-6</f>
        <v/>
      </c>
      <c r="L2183" s="8">
        <f>H2183</f>
        <v/>
      </c>
      <c r="M2183" s="26">
        <f>H2183^2/6</f>
        <v/>
      </c>
      <c r="N2183" s="26">
        <f>H2183^3/12</f>
        <v/>
      </c>
      <c r="O2183" s="27">
        <f>-J2183*L2183*K2183*C2183</f>
        <v/>
      </c>
      <c r="P2183" s="28">
        <f>-(12*F2183*J2183*L2183*N2183+12*O2183*N2183*G2183*COS(RADIANS(E2183)))/(12*N2183*G2183*COS(RADIANS(E2183))^2+L2183*G2183^3*SIN(RADIANS(E2183))^2)</f>
        <v/>
      </c>
      <c r="Q2183" s="28">
        <f>-(6*F2183*J2183*L2183*N2183*SIN(RADIANS(E2183))+6*O2183*N2183*G2183*SIN(RADIANS(E2183))*COS(RADIANS(E2183)))/(12*N2183*COS(RADIANS(E2183))^2+L2183*G2183^2*SIN(RADIANS(E2183))^2)</f>
        <v/>
      </c>
      <c r="R2183" s="28">
        <f>-P2183*SIN(RADIANS(E2183))</f>
        <v/>
      </c>
      <c r="S2183" s="8">
        <f>(O2183+P2183*COS(RADIANS(E2183)))/L2183</f>
        <v/>
      </c>
      <c r="T2183" s="8">
        <f>R2183/L2183</f>
        <v/>
      </c>
      <c r="U2183" s="8">
        <f>(Q2183-P2183*G2183*SIN(RADIANS(E2183)))/M2183</f>
        <v/>
      </c>
      <c r="V2183" s="8">
        <f>SQRT((S2183+U2183)^2+3*T2183^2)</f>
        <v/>
      </c>
      <c r="W2183" s="8">
        <f>V2183/AA2183</f>
        <v/>
      </c>
      <c r="X2183" s="27">
        <f>((3*10+H2183/COS(RADIANS(E2183)))*(3+3)+3*G2183*H2183)*2</f>
        <v/>
      </c>
      <c r="Y2183" s="28">
        <f>Z2183/X2183</f>
        <v/>
      </c>
      <c r="Z2183" s="29" t="n">
        <v>546.58122601448</v>
      </c>
      <c r="AA2183" s="20" t="n">
        <v>67.1019191721816</v>
      </c>
      <c r="AB2183" t="n">
        <v>0.07952595232436922</v>
      </c>
      <c r="AC2183" t="n">
        <v>67.61227622632717</v>
      </c>
      <c r="AD2183" t="n">
        <v>14.07887945744223</v>
      </c>
    </row>
    <row r="2184">
      <c r="A2184" t="n">
        <v>2183</v>
      </c>
      <c r="B2184" t="n">
        <v>67.59999999999999</v>
      </c>
      <c r="C2184" s="21">
        <f>B2184-20</f>
        <v/>
      </c>
      <c r="D2184" t="n">
        <v>114.9</v>
      </c>
      <c r="E2184" s="22">
        <f>D2184-90</f>
        <v/>
      </c>
      <c r="F2184" s="23" t="n">
        <v>0.016939</v>
      </c>
      <c r="G2184" s="22" t="n">
        <v>27.8</v>
      </c>
      <c r="H2184" s="22" t="n">
        <v>1.7</v>
      </c>
      <c r="I2184" s="24" t="n">
        <v>0.0872770920395851</v>
      </c>
      <c r="J2184" s="6" t="n">
        <v>71000</v>
      </c>
      <c r="K2184" s="25">
        <f>23*10^-6</f>
        <v/>
      </c>
      <c r="L2184" s="8">
        <f>H2184</f>
        <v/>
      </c>
      <c r="M2184" s="26">
        <f>H2184^2/6</f>
        <v/>
      </c>
      <c r="N2184" s="26">
        <f>H2184^3/12</f>
        <v/>
      </c>
      <c r="O2184" s="27">
        <f>-J2184*L2184*K2184*C2184</f>
        <v/>
      </c>
      <c r="P2184" s="28">
        <f>-(12*F2184*J2184*L2184*N2184+12*O2184*N2184*G2184*COS(RADIANS(E2184)))/(12*N2184*G2184*COS(RADIANS(E2184))^2+L2184*G2184^3*SIN(RADIANS(E2184))^2)</f>
        <v/>
      </c>
      <c r="Q2184" s="28">
        <f>-(6*F2184*J2184*L2184*N2184*SIN(RADIANS(E2184))+6*O2184*N2184*G2184*SIN(RADIANS(E2184))*COS(RADIANS(E2184)))/(12*N2184*COS(RADIANS(E2184))^2+L2184*G2184^2*SIN(RADIANS(E2184))^2)</f>
        <v/>
      </c>
      <c r="R2184" s="28">
        <f>-P2184*SIN(RADIANS(E2184))</f>
        <v/>
      </c>
      <c r="S2184" s="8">
        <f>(O2184+P2184*COS(RADIANS(E2184)))/L2184</f>
        <v/>
      </c>
      <c r="T2184" s="8">
        <f>R2184/L2184</f>
        <v/>
      </c>
      <c r="U2184" s="8">
        <f>(Q2184-P2184*G2184*SIN(RADIANS(E2184)))/M2184</f>
        <v/>
      </c>
      <c r="V2184" s="8">
        <f>SQRT((S2184+U2184)^2+3*T2184^2)</f>
        <v/>
      </c>
      <c r="W2184" s="8">
        <f>V2184/AA2184</f>
        <v/>
      </c>
      <c r="X2184" s="27">
        <f>((3*10+H2184/COS(RADIANS(E2184)))*(3+3)+3*G2184*H2184)*2</f>
        <v/>
      </c>
      <c r="Y2184" s="28">
        <f>Z2184/X2184</f>
        <v/>
      </c>
      <c r="Z2184" s="29" t="n">
        <v>671.943844921413</v>
      </c>
      <c r="AA2184" s="20" t="n">
        <v>75.5497641602457</v>
      </c>
      <c r="AB2184" t="n">
        <v>0.1067891166069013</v>
      </c>
      <c r="AC2184" t="n">
        <v>73.10882429607068</v>
      </c>
      <c r="AD2184" t="n">
        <v>22.35641003995233</v>
      </c>
    </row>
    <row r="2185">
      <c r="A2185" t="n">
        <v>2184</v>
      </c>
      <c r="B2185" t="n">
        <v>84.5</v>
      </c>
      <c r="C2185" s="21">
        <f>B2185-20</f>
        <v/>
      </c>
      <c r="D2185" t="n">
        <v>108.3</v>
      </c>
      <c r="E2185" s="22">
        <f>D2185-90</f>
        <v/>
      </c>
      <c r="F2185" s="23" t="n">
        <v>0.022563</v>
      </c>
      <c r="G2185" s="22" t="n">
        <v>26</v>
      </c>
      <c r="H2185" s="22" t="n">
        <v>1.3</v>
      </c>
      <c r="I2185" s="24" t="n">
        <v>0.141893684864044</v>
      </c>
      <c r="J2185" s="6" t="n">
        <v>71000</v>
      </c>
      <c r="K2185" s="25">
        <f>23*10^-6</f>
        <v/>
      </c>
      <c r="L2185" s="8">
        <f>H2185</f>
        <v/>
      </c>
      <c r="M2185" s="26">
        <f>H2185^2/6</f>
        <v/>
      </c>
      <c r="N2185" s="26">
        <f>H2185^3/12</f>
        <v/>
      </c>
      <c r="O2185" s="27">
        <f>-J2185*L2185*K2185*C2185</f>
        <v/>
      </c>
      <c r="P2185" s="28">
        <f>-(12*F2185*J2185*L2185*N2185+12*O2185*N2185*G2185*COS(RADIANS(E2185)))/(12*N2185*G2185*COS(RADIANS(E2185))^2+L2185*G2185^3*SIN(RADIANS(E2185))^2)</f>
        <v/>
      </c>
      <c r="Q2185" s="28">
        <f>-(6*F2185*J2185*L2185*N2185*SIN(RADIANS(E2185))+6*O2185*N2185*G2185*SIN(RADIANS(E2185))*COS(RADIANS(E2185)))/(12*N2185*COS(RADIANS(E2185))^2+L2185*G2185^2*SIN(RADIANS(E2185))^2)</f>
        <v/>
      </c>
      <c r="R2185" s="28">
        <f>-P2185*SIN(RADIANS(E2185))</f>
        <v/>
      </c>
      <c r="S2185" s="8">
        <f>(O2185+P2185*COS(RADIANS(E2185)))/L2185</f>
        <v/>
      </c>
      <c r="T2185" s="8">
        <f>R2185/L2185</f>
        <v/>
      </c>
      <c r="U2185" s="8">
        <f>(Q2185-P2185*G2185*SIN(RADIANS(E2185)))/M2185</f>
        <v/>
      </c>
      <c r="V2185" s="8">
        <f>SQRT((S2185+U2185)^2+3*T2185^2)</f>
        <v/>
      </c>
      <c r="W2185" s="8">
        <f>V2185/AA2185</f>
        <v/>
      </c>
      <c r="X2185" s="27">
        <f>((3*10+H2185/COS(RADIANS(E2185)))*(3+3)+3*G2185*H2185)*2</f>
        <v/>
      </c>
      <c r="Y2185" s="28">
        <f>Z2185/X2185</f>
        <v/>
      </c>
      <c r="Z2185" s="29" t="n">
        <v>583.9430641254301</v>
      </c>
      <c r="AA2185" s="20" t="n">
        <v>96.6552958103384</v>
      </c>
      <c r="AB2185" t="n">
        <v>0.186627567784328</v>
      </c>
      <c r="AC2185" t="n">
        <v>100.6352755316955</v>
      </c>
      <c r="AD2185" t="n">
        <v>31.52633816166376</v>
      </c>
    </row>
    <row r="2186">
      <c r="A2186" t="n">
        <v>2185</v>
      </c>
      <c r="B2186" t="n">
        <v>89.59999999999999</v>
      </c>
      <c r="C2186" s="21">
        <f>B2186-20</f>
        <v/>
      </c>
      <c r="D2186" t="n">
        <v>118.8</v>
      </c>
      <c r="E2186" s="22">
        <f>D2186-90</f>
        <v/>
      </c>
      <c r="F2186" s="23" t="n">
        <v>0.023116</v>
      </c>
      <c r="G2186" s="22" t="n">
        <v>26.4</v>
      </c>
      <c r="H2186" s="22" t="n">
        <v>1.4</v>
      </c>
      <c r="I2186" s="24" t="n">
        <v>0.111733719706535</v>
      </c>
      <c r="J2186" s="6" t="n">
        <v>71000</v>
      </c>
      <c r="K2186" s="25">
        <f>23*10^-6</f>
        <v/>
      </c>
      <c r="L2186" s="8">
        <f>H2186</f>
        <v/>
      </c>
      <c r="M2186" s="26">
        <f>H2186^2/6</f>
        <v/>
      </c>
      <c r="N2186" s="26">
        <f>H2186^3/12</f>
        <v/>
      </c>
      <c r="O2186" s="27">
        <f>-J2186*L2186*K2186*C2186</f>
        <v/>
      </c>
      <c r="P2186" s="28">
        <f>-(12*F2186*J2186*L2186*N2186+12*O2186*N2186*G2186*COS(RADIANS(E2186)))/(12*N2186*G2186*COS(RADIANS(E2186))^2+L2186*G2186^3*SIN(RADIANS(E2186))^2)</f>
        <v/>
      </c>
      <c r="Q2186" s="28">
        <f>-(6*F2186*J2186*L2186*N2186*SIN(RADIANS(E2186))+6*O2186*N2186*G2186*SIN(RADIANS(E2186))*COS(RADIANS(E2186)))/(12*N2186*COS(RADIANS(E2186))^2+L2186*G2186^2*SIN(RADIANS(E2186))^2)</f>
        <v/>
      </c>
      <c r="R2186" s="28">
        <f>-P2186*SIN(RADIANS(E2186))</f>
        <v/>
      </c>
      <c r="S2186" s="8">
        <f>(O2186+P2186*COS(RADIANS(E2186)))/L2186</f>
        <v/>
      </c>
      <c r="T2186" s="8">
        <f>R2186/L2186</f>
        <v/>
      </c>
      <c r="U2186" s="8">
        <f>(Q2186-P2186*G2186*SIN(RADIANS(E2186)))/M2186</f>
        <v/>
      </c>
      <c r="V2186" s="8">
        <f>SQRT((S2186+U2186)^2+3*T2186^2)</f>
        <v/>
      </c>
      <c r="W2186" s="8">
        <f>V2186/AA2186</f>
        <v/>
      </c>
      <c r="X2186" s="27">
        <f>((3*10+H2186/COS(RADIANS(E2186)))*(3+3)+3*G2186*H2186)*2</f>
        <v/>
      </c>
      <c r="Y2186" s="28">
        <f>Z2186/X2186</f>
        <v/>
      </c>
      <c r="Z2186" s="29" t="n">
        <v>607.752671932204</v>
      </c>
      <c r="AA2186" s="20" t="n">
        <v>103.453200090941</v>
      </c>
      <c r="AB2186" t="n">
        <v>0.1284586733813322</v>
      </c>
      <c r="AC2186" t="n">
        <v>103.2302194704842</v>
      </c>
      <c r="AD2186" t="n">
        <v>14.96858219588926</v>
      </c>
    </row>
    <row r="2187">
      <c r="A2187" t="n">
        <v>2186</v>
      </c>
      <c r="B2187" t="n">
        <v>77.5</v>
      </c>
      <c r="C2187" s="21">
        <f>B2187-20</f>
        <v/>
      </c>
      <c r="D2187" t="n">
        <v>121.5</v>
      </c>
      <c r="E2187" s="22">
        <f>D2187-90</f>
        <v/>
      </c>
      <c r="F2187" s="23" t="n">
        <v>0.015279</v>
      </c>
      <c r="G2187" s="22" t="n">
        <v>20.3</v>
      </c>
      <c r="H2187" s="22" t="n">
        <v>1.7</v>
      </c>
      <c r="I2187" s="24" t="n">
        <v>0.0740765407681465</v>
      </c>
      <c r="J2187" s="6" t="n">
        <v>71000</v>
      </c>
      <c r="K2187" s="25">
        <f>23*10^-6</f>
        <v/>
      </c>
      <c r="L2187" s="8">
        <f>H2187</f>
        <v/>
      </c>
      <c r="M2187" s="26">
        <f>H2187^2/6</f>
        <v/>
      </c>
      <c r="N2187" s="26">
        <f>H2187^3/12</f>
        <v/>
      </c>
      <c r="O2187" s="27">
        <f>-J2187*L2187*K2187*C2187</f>
        <v/>
      </c>
      <c r="P2187" s="28">
        <f>-(12*F2187*J2187*L2187*N2187+12*O2187*N2187*G2187*COS(RADIANS(E2187)))/(12*N2187*G2187*COS(RADIANS(E2187))^2+L2187*G2187^3*SIN(RADIANS(E2187))^2)</f>
        <v/>
      </c>
      <c r="Q2187" s="28">
        <f>-(6*F2187*J2187*L2187*N2187*SIN(RADIANS(E2187))+6*O2187*N2187*G2187*SIN(RADIANS(E2187))*COS(RADIANS(E2187)))/(12*N2187*COS(RADIANS(E2187))^2+L2187*G2187^2*SIN(RADIANS(E2187))^2)</f>
        <v/>
      </c>
      <c r="R2187" s="28">
        <f>-P2187*SIN(RADIANS(E2187))</f>
        <v/>
      </c>
      <c r="S2187" s="8">
        <f>(O2187+P2187*COS(RADIANS(E2187)))/L2187</f>
        <v/>
      </c>
      <c r="T2187" s="8">
        <f>R2187/L2187</f>
        <v/>
      </c>
      <c r="U2187" s="8">
        <f>(Q2187-P2187*G2187*SIN(RADIANS(E2187)))/M2187</f>
        <v/>
      </c>
      <c r="V2187" s="8">
        <f>SQRT((S2187+U2187)^2+3*T2187^2)</f>
        <v/>
      </c>
      <c r="W2187" s="8">
        <f>V2187/AA2187</f>
        <v/>
      </c>
      <c r="X2187" s="27">
        <f>((3*10+H2187/COS(RADIANS(E2187)))*(3+3)+3*G2187*H2187)*2</f>
        <v/>
      </c>
      <c r="Y2187" s="28">
        <f>Z2187/X2187</f>
        <v/>
      </c>
      <c r="Z2187" s="29" t="n">
        <v>598.567179115302</v>
      </c>
      <c r="AA2187" s="20" t="n">
        <v>93.97039736249739</v>
      </c>
      <c r="AB2187" t="n">
        <v>0.07474348134019163</v>
      </c>
      <c r="AC2187" t="n">
        <v>87.09561860008326</v>
      </c>
      <c r="AD2187" t="n">
        <v>0.9003397906127848</v>
      </c>
    </row>
    <row r="2188">
      <c r="A2188" t="n">
        <v>2187</v>
      </c>
      <c r="B2188" t="n">
        <v>84.40000000000001</v>
      </c>
      <c r="C2188" s="21">
        <f>B2188-20</f>
        <v/>
      </c>
      <c r="D2188" t="n">
        <v>124.7</v>
      </c>
      <c r="E2188" s="22">
        <f>D2188-90</f>
        <v/>
      </c>
      <c r="F2188" s="23" t="n">
        <v>0.020641</v>
      </c>
      <c r="G2188" s="22" t="n">
        <v>26.9</v>
      </c>
      <c r="H2188" s="22" t="n">
        <v>1.4</v>
      </c>
      <c r="I2188" s="24" t="n">
        <v>0.09273947775363919</v>
      </c>
      <c r="J2188" s="6" t="n">
        <v>71000</v>
      </c>
      <c r="K2188" s="25">
        <f>23*10^-6</f>
        <v/>
      </c>
      <c r="L2188" s="8">
        <f>H2188</f>
        <v/>
      </c>
      <c r="M2188" s="26">
        <f>H2188^2/6</f>
        <v/>
      </c>
      <c r="N2188" s="26">
        <f>H2188^3/12</f>
        <v/>
      </c>
      <c r="O2188" s="27">
        <f>-J2188*L2188*K2188*C2188</f>
        <v/>
      </c>
      <c r="P2188" s="28">
        <f>-(12*F2188*J2188*L2188*N2188+12*O2188*N2188*G2188*COS(RADIANS(E2188)))/(12*N2188*G2188*COS(RADIANS(E2188))^2+L2188*G2188^3*SIN(RADIANS(E2188))^2)</f>
        <v/>
      </c>
      <c r="Q2188" s="28">
        <f>-(6*F2188*J2188*L2188*N2188*SIN(RADIANS(E2188))+6*O2188*N2188*G2188*SIN(RADIANS(E2188))*COS(RADIANS(E2188)))/(12*N2188*COS(RADIANS(E2188))^2+L2188*G2188^2*SIN(RADIANS(E2188))^2)</f>
        <v/>
      </c>
      <c r="R2188" s="28">
        <f>-P2188*SIN(RADIANS(E2188))</f>
        <v/>
      </c>
      <c r="S2188" s="8">
        <f>(O2188+P2188*COS(RADIANS(E2188)))/L2188</f>
        <v/>
      </c>
      <c r="T2188" s="8">
        <f>R2188/L2188</f>
        <v/>
      </c>
      <c r="U2188" s="8">
        <f>(Q2188-P2188*G2188*SIN(RADIANS(E2188)))/M2188</f>
        <v/>
      </c>
      <c r="V2188" s="8">
        <f>SQRT((S2188+U2188)^2+3*T2188^2)</f>
        <v/>
      </c>
      <c r="W2188" s="8">
        <f>V2188/AA2188</f>
        <v/>
      </c>
      <c r="X2188" s="27">
        <f>((3*10+H2188/COS(RADIANS(E2188)))*(3+3)+3*G2188*H2188)*2</f>
        <v/>
      </c>
      <c r="Y2188" s="28">
        <f>Z2188/X2188</f>
        <v/>
      </c>
      <c r="Z2188" s="29" t="n">
        <v>615.019969739394</v>
      </c>
      <c r="AA2188" s="20" t="n">
        <v>93.66987438036389</v>
      </c>
      <c r="AB2188" t="n">
        <v>0.0991597564412369</v>
      </c>
      <c r="AC2188" t="n">
        <v>93.49099854211372</v>
      </c>
      <c r="AD2188" t="n">
        <v>6.922918743033104</v>
      </c>
    </row>
    <row r="2189">
      <c r="A2189" t="n">
        <v>2188</v>
      </c>
      <c r="B2189" t="n">
        <v>40.3</v>
      </c>
      <c r="C2189" s="21">
        <f>B2189-20</f>
        <v/>
      </c>
      <c r="D2189" t="n">
        <v>122.2</v>
      </c>
      <c r="E2189" s="22">
        <f>D2189-90</f>
        <v/>
      </c>
      <c r="F2189" s="23" t="n">
        <v>0.006911</v>
      </c>
      <c r="G2189" s="22" t="n">
        <v>28.2</v>
      </c>
      <c r="H2189" s="22" t="n">
        <v>1.8</v>
      </c>
      <c r="I2189" s="24" t="n">
        <v>0.03162632137537</v>
      </c>
      <c r="J2189" s="6" t="n">
        <v>71000</v>
      </c>
      <c r="K2189" s="25">
        <f>23*10^-6</f>
        <v/>
      </c>
      <c r="L2189" s="8">
        <f>H2189</f>
        <v/>
      </c>
      <c r="M2189" s="26">
        <f>H2189^2/6</f>
        <v/>
      </c>
      <c r="N2189" s="26">
        <f>H2189^3/12</f>
        <v/>
      </c>
      <c r="O2189" s="27">
        <f>-J2189*L2189*K2189*C2189</f>
        <v/>
      </c>
      <c r="P2189" s="28">
        <f>-(12*F2189*J2189*L2189*N2189+12*O2189*N2189*G2189*COS(RADIANS(E2189)))/(12*N2189*G2189*COS(RADIANS(E2189))^2+L2189*G2189^3*SIN(RADIANS(E2189))^2)</f>
        <v/>
      </c>
      <c r="Q2189" s="28">
        <f>-(6*F2189*J2189*L2189*N2189*SIN(RADIANS(E2189))+6*O2189*N2189*G2189*SIN(RADIANS(E2189))*COS(RADIANS(E2189)))/(12*N2189*COS(RADIANS(E2189))^2+L2189*G2189^2*SIN(RADIANS(E2189))^2)</f>
        <v/>
      </c>
      <c r="R2189" s="28">
        <f>-P2189*SIN(RADIANS(E2189))</f>
        <v/>
      </c>
      <c r="S2189" s="8">
        <f>(O2189+P2189*COS(RADIANS(E2189)))/L2189</f>
        <v/>
      </c>
      <c r="T2189" s="8">
        <f>R2189/L2189</f>
        <v/>
      </c>
      <c r="U2189" s="8">
        <f>(Q2189-P2189*G2189*SIN(RADIANS(E2189)))/M2189</f>
        <v/>
      </c>
      <c r="V2189" s="8">
        <f>SQRT((S2189+U2189)^2+3*T2189^2)</f>
        <v/>
      </c>
      <c r="W2189" s="8">
        <f>V2189/AA2189</f>
        <v/>
      </c>
      <c r="X2189" s="27">
        <f>((3*10+H2189/COS(RADIANS(E2189)))*(3+3)+3*G2189*H2189)*2</f>
        <v/>
      </c>
      <c r="Y2189" s="28">
        <f>Z2189/X2189</f>
        <v/>
      </c>
      <c r="Z2189" s="29" t="n">
        <v>697.882034333036</v>
      </c>
      <c r="AA2189" s="20" t="n">
        <v>31.8961369944075</v>
      </c>
      <c r="AB2189" t="n">
        <v>0.03527557112120486</v>
      </c>
      <c r="AC2189" t="n">
        <v>30.27648060758014</v>
      </c>
      <c r="AD2189" t="n">
        <v>11.53864751616933</v>
      </c>
    </row>
    <row r="2190">
      <c r="A2190" t="n">
        <v>2189</v>
      </c>
      <c r="B2190" t="n">
        <v>47.6</v>
      </c>
      <c r="C2190" s="21">
        <f>B2190-20</f>
        <v/>
      </c>
      <c r="D2190" t="n">
        <v>127.4</v>
      </c>
      <c r="E2190" s="22">
        <f>D2190-90</f>
        <v/>
      </c>
      <c r="F2190" s="23" t="n">
        <v>0.009936</v>
      </c>
      <c r="G2190" s="22" t="n">
        <v>32.2</v>
      </c>
      <c r="H2190" s="22" t="n">
        <v>1.6</v>
      </c>
      <c r="I2190" s="24" t="n">
        <v>0.0427291616797447</v>
      </c>
      <c r="J2190" s="6" t="n">
        <v>71000</v>
      </c>
      <c r="K2190" s="25">
        <f>23*10^-6</f>
        <v/>
      </c>
      <c r="L2190" s="8">
        <f>H2190</f>
        <v/>
      </c>
      <c r="M2190" s="26">
        <f>H2190^2/6</f>
        <v/>
      </c>
      <c r="N2190" s="26">
        <f>H2190^3/12</f>
        <v/>
      </c>
      <c r="O2190" s="27">
        <f>-J2190*L2190*K2190*C2190</f>
        <v/>
      </c>
      <c r="P2190" s="28">
        <f>-(12*F2190*J2190*L2190*N2190+12*O2190*N2190*G2190*COS(RADIANS(E2190)))/(12*N2190*G2190*COS(RADIANS(E2190))^2+L2190*G2190^3*SIN(RADIANS(E2190))^2)</f>
        <v/>
      </c>
      <c r="Q2190" s="28">
        <f>-(6*F2190*J2190*L2190*N2190*SIN(RADIANS(E2190))+6*O2190*N2190*G2190*SIN(RADIANS(E2190))*COS(RADIANS(E2190)))/(12*N2190*COS(RADIANS(E2190))^2+L2190*G2190^2*SIN(RADIANS(E2190))^2)</f>
        <v/>
      </c>
      <c r="R2190" s="28">
        <f>-P2190*SIN(RADIANS(E2190))</f>
        <v/>
      </c>
      <c r="S2190" s="8">
        <f>(O2190+P2190*COS(RADIANS(E2190)))/L2190</f>
        <v/>
      </c>
      <c r="T2190" s="8">
        <f>R2190/L2190</f>
        <v/>
      </c>
      <c r="U2190" s="8">
        <f>(Q2190-P2190*G2190*SIN(RADIANS(E2190)))/M2190</f>
        <v/>
      </c>
      <c r="V2190" s="8">
        <f>SQRT((S2190+U2190)^2+3*T2190^2)</f>
        <v/>
      </c>
      <c r="W2190" s="8">
        <f>V2190/AA2190</f>
        <v/>
      </c>
      <c r="X2190" s="27">
        <f>((3*10+H2190/COS(RADIANS(E2190)))*(3+3)+3*G2190*H2190)*2</f>
        <v/>
      </c>
      <c r="Y2190" s="28">
        <f>Z2190/X2190</f>
        <v/>
      </c>
      <c r="Z2190" s="29" t="n">
        <v>702.933293207645</v>
      </c>
      <c r="AA2190" s="20" t="n">
        <v>39.8244774945918</v>
      </c>
      <c r="AB2190" t="n">
        <v>0.04642196695636164</v>
      </c>
      <c r="AC2190" t="n">
        <v>39.80289089348811</v>
      </c>
      <c r="AD2190" t="n">
        <v>8.642353679425153</v>
      </c>
    </row>
    <row r="2191">
      <c r="A2191" t="n">
        <v>2190</v>
      </c>
      <c r="B2191" t="n">
        <v>70.90000000000001</v>
      </c>
      <c r="C2191" s="21">
        <f>B2191-20</f>
        <v/>
      </c>
      <c r="D2191" t="n">
        <v>124.9</v>
      </c>
      <c r="E2191" s="22">
        <f>D2191-90</f>
        <v/>
      </c>
      <c r="F2191" s="23" t="n">
        <v>0.019424</v>
      </c>
      <c r="G2191" s="22" t="n">
        <v>33.5</v>
      </c>
      <c r="H2191" s="22" t="n">
        <v>1.9</v>
      </c>
      <c r="I2191" s="24" t="n">
        <v>0.08456789702177039</v>
      </c>
      <c r="J2191" s="6" t="n">
        <v>71000</v>
      </c>
      <c r="K2191" s="25">
        <f>23*10^-6</f>
        <v/>
      </c>
      <c r="L2191" s="8">
        <f>H2191</f>
        <v/>
      </c>
      <c r="M2191" s="26">
        <f>H2191^2/6</f>
        <v/>
      </c>
      <c r="N2191" s="26">
        <f>H2191^3/12</f>
        <v/>
      </c>
      <c r="O2191" s="27">
        <f>-J2191*L2191*K2191*C2191</f>
        <v/>
      </c>
      <c r="P2191" s="28">
        <f>-(12*F2191*J2191*L2191*N2191+12*O2191*N2191*G2191*COS(RADIANS(E2191)))/(12*N2191*G2191*COS(RADIANS(E2191))^2+L2191*G2191^3*SIN(RADIANS(E2191))^2)</f>
        <v/>
      </c>
      <c r="Q2191" s="28">
        <f>-(6*F2191*J2191*L2191*N2191*SIN(RADIANS(E2191))+6*O2191*N2191*G2191*SIN(RADIANS(E2191))*COS(RADIANS(E2191)))/(12*N2191*COS(RADIANS(E2191))^2+L2191*G2191^2*SIN(RADIANS(E2191))^2)</f>
        <v/>
      </c>
      <c r="R2191" s="28">
        <f>-P2191*SIN(RADIANS(E2191))</f>
        <v/>
      </c>
      <c r="S2191" s="8">
        <f>(O2191+P2191*COS(RADIANS(E2191)))/L2191</f>
        <v/>
      </c>
      <c r="T2191" s="8">
        <f>R2191/L2191</f>
        <v/>
      </c>
      <c r="U2191" s="8">
        <f>(Q2191-P2191*G2191*SIN(RADIANS(E2191)))/M2191</f>
        <v/>
      </c>
      <c r="V2191" s="8">
        <f>SQRT((S2191+U2191)^2+3*T2191^2)</f>
        <v/>
      </c>
      <c r="W2191" s="8">
        <f>V2191/AA2191</f>
        <v/>
      </c>
      <c r="X2191" s="27">
        <f>((3*10+H2191/COS(RADIANS(E2191)))*(3+3)+3*G2191*H2191)*2</f>
        <v/>
      </c>
      <c r="Y2191" s="28">
        <f>Z2191/X2191</f>
        <v/>
      </c>
      <c r="Z2191" s="29" t="n">
        <v>778.396231297197</v>
      </c>
      <c r="AA2191" s="20" t="n">
        <v>78.9375335483937</v>
      </c>
      <c r="AB2191" t="n">
        <v>0.0956683365573299</v>
      </c>
      <c r="AC2191" t="n">
        <v>74.74882267956283</v>
      </c>
      <c r="AD2191" t="n">
        <v>13.12606784191631</v>
      </c>
    </row>
    <row r="2192">
      <c r="A2192" t="n">
        <v>2191</v>
      </c>
      <c r="B2192" t="n">
        <v>84.59999999999999</v>
      </c>
      <c r="C2192" s="21">
        <f>B2192-20</f>
        <v/>
      </c>
      <c r="D2192" t="n">
        <v>127.7</v>
      </c>
      <c r="E2192" s="22">
        <f>D2192-90</f>
        <v/>
      </c>
      <c r="F2192" s="23" t="n">
        <v>0.017995</v>
      </c>
      <c r="G2192" s="22" t="n">
        <v>23.3</v>
      </c>
      <c r="H2192" s="22" t="n">
        <v>1.6</v>
      </c>
      <c r="I2192" s="24" t="n">
        <v>0.0810104832053184</v>
      </c>
      <c r="J2192" s="6" t="n">
        <v>71000</v>
      </c>
      <c r="K2192" s="25">
        <f>23*10^-6</f>
        <v/>
      </c>
      <c r="L2192" s="8">
        <f>H2192</f>
        <v/>
      </c>
      <c r="M2192" s="26">
        <f>H2192^2/6</f>
        <v/>
      </c>
      <c r="N2192" s="26">
        <f>H2192^3/12</f>
        <v/>
      </c>
      <c r="O2192" s="27">
        <f>-J2192*L2192*K2192*C2192</f>
        <v/>
      </c>
      <c r="P2192" s="28">
        <f>-(12*F2192*J2192*L2192*N2192+12*O2192*N2192*G2192*COS(RADIANS(E2192)))/(12*N2192*G2192*COS(RADIANS(E2192))^2+L2192*G2192^3*SIN(RADIANS(E2192))^2)</f>
        <v/>
      </c>
      <c r="Q2192" s="28">
        <f>-(6*F2192*J2192*L2192*N2192*SIN(RADIANS(E2192))+6*O2192*N2192*G2192*SIN(RADIANS(E2192))*COS(RADIANS(E2192)))/(12*N2192*COS(RADIANS(E2192))^2+L2192*G2192^2*SIN(RADIANS(E2192))^2)</f>
        <v/>
      </c>
      <c r="R2192" s="28">
        <f>-P2192*SIN(RADIANS(E2192))</f>
        <v/>
      </c>
      <c r="S2192" s="8">
        <f>(O2192+P2192*COS(RADIANS(E2192)))/L2192</f>
        <v/>
      </c>
      <c r="T2192" s="8">
        <f>R2192/L2192</f>
        <v/>
      </c>
      <c r="U2192" s="8">
        <f>(Q2192-P2192*G2192*SIN(RADIANS(E2192)))/M2192</f>
        <v/>
      </c>
      <c r="V2192" s="8">
        <f>SQRT((S2192+U2192)^2+3*T2192^2)</f>
        <v/>
      </c>
      <c r="W2192" s="8">
        <f>V2192/AA2192</f>
        <v/>
      </c>
      <c r="X2192" s="27">
        <f>((3*10+H2192/COS(RADIANS(E2192)))*(3+3)+3*G2192*H2192)*2</f>
        <v/>
      </c>
      <c r="Y2192" s="28">
        <f>Z2192/X2192</f>
        <v/>
      </c>
      <c r="Z2192" s="29" t="n">
        <v>617.712612100396</v>
      </c>
      <c r="AA2192" s="20" t="n">
        <v>98.96243985992911</v>
      </c>
      <c r="AB2192" t="n">
        <v>0.07915947674937776</v>
      </c>
      <c r="AC2192" t="n">
        <v>94.40415060981641</v>
      </c>
      <c r="AD2192" t="n">
        <v>-2.284897438828157</v>
      </c>
    </row>
    <row r="2193">
      <c r="A2193" t="n">
        <v>2192</v>
      </c>
      <c r="B2193" t="n">
        <v>66.5</v>
      </c>
      <c r="C2193" s="21">
        <f>B2193-20</f>
        <v/>
      </c>
      <c r="D2193" t="n">
        <v>115</v>
      </c>
      <c r="E2193" s="22">
        <f>D2193-90</f>
        <v/>
      </c>
      <c r="F2193" s="23" t="n">
        <v>0.017161</v>
      </c>
      <c r="G2193" s="22" t="n">
        <v>29.1</v>
      </c>
      <c r="H2193" s="22" t="n">
        <v>1.4</v>
      </c>
      <c r="I2193" s="24" t="n">
        <v>0.0877928435802459</v>
      </c>
      <c r="J2193" s="6" t="n">
        <v>71000</v>
      </c>
      <c r="K2193" s="25">
        <f>23*10^-6</f>
        <v/>
      </c>
      <c r="L2193" s="8">
        <f>H2193</f>
        <v/>
      </c>
      <c r="M2193" s="26">
        <f>H2193^2/6</f>
        <v/>
      </c>
      <c r="N2193" s="26">
        <f>H2193^3/12</f>
        <v/>
      </c>
      <c r="O2193" s="27">
        <f>-J2193*L2193*K2193*C2193</f>
        <v/>
      </c>
      <c r="P2193" s="28">
        <f>-(12*F2193*J2193*L2193*N2193+12*O2193*N2193*G2193*COS(RADIANS(E2193)))/(12*N2193*G2193*COS(RADIANS(E2193))^2+L2193*G2193^3*SIN(RADIANS(E2193))^2)</f>
        <v/>
      </c>
      <c r="Q2193" s="28">
        <f>-(6*F2193*J2193*L2193*N2193*SIN(RADIANS(E2193))+6*O2193*N2193*G2193*SIN(RADIANS(E2193))*COS(RADIANS(E2193)))/(12*N2193*COS(RADIANS(E2193))^2+L2193*G2193^2*SIN(RADIANS(E2193))^2)</f>
        <v/>
      </c>
      <c r="R2193" s="28">
        <f>-P2193*SIN(RADIANS(E2193))</f>
        <v/>
      </c>
      <c r="S2193" s="8">
        <f>(O2193+P2193*COS(RADIANS(E2193)))/L2193</f>
        <v/>
      </c>
      <c r="T2193" s="8">
        <f>R2193/L2193</f>
        <v/>
      </c>
      <c r="U2193" s="8">
        <f>(Q2193-P2193*G2193*SIN(RADIANS(E2193)))/M2193</f>
        <v/>
      </c>
      <c r="V2193" s="8">
        <f>SQRT((S2193+U2193)^2+3*T2193^2)</f>
        <v/>
      </c>
      <c r="W2193" s="8">
        <f>V2193/AA2193</f>
        <v/>
      </c>
      <c r="X2193" s="27">
        <f>((3*10+H2193/COS(RADIANS(E2193)))*(3+3)+3*G2193*H2193)*2</f>
        <v/>
      </c>
      <c r="Y2193" s="28">
        <f>Z2193/X2193</f>
        <v/>
      </c>
      <c r="Z2193" s="29" t="n">
        <v>628.89144847931</v>
      </c>
      <c r="AA2193" s="20" t="n">
        <v>68.8749961151568</v>
      </c>
      <c r="AB2193" t="n">
        <v>0.1091968240975205</v>
      </c>
      <c r="AC2193" t="n">
        <v>69.6878288328119</v>
      </c>
      <c r="AD2193" t="n">
        <v>24.38009710633257</v>
      </c>
    </row>
    <row r="2194">
      <c r="A2194" t="n">
        <v>2193</v>
      </c>
      <c r="B2194" t="n">
        <v>74.90000000000001</v>
      </c>
      <c r="C2194" s="21">
        <f>B2194-20</f>
        <v/>
      </c>
      <c r="D2194" t="n">
        <v>113.8</v>
      </c>
      <c r="E2194" s="22">
        <f>D2194-90</f>
        <v/>
      </c>
      <c r="F2194" s="23" t="n">
        <v>0.016525</v>
      </c>
      <c r="G2194" s="22" t="n">
        <v>22.3</v>
      </c>
      <c r="H2194" s="22" t="n">
        <v>1.8</v>
      </c>
      <c r="I2194" s="24" t="n">
        <v>0.08963882923126219</v>
      </c>
      <c r="J2194" s="6" t="n">
        <v>71000</v>
      </c>
      <c r="K2194" s="25">
        <f>23*10^-6</f>
        <v/>
      </c>
      <c r="L2194" s="8">
        <f>H2194</f>
        <v/>
      </c>
      <c r="M2194" s="26">
        <f>H2194^2/6</f>
        <v/>
      </c>
      <c r="N2194" s="26">
        <f>H2194^3/12</f>
        <v/>
      </c>
      <c r="O2194" s="27">
        <f>-J2194*L2194*K2194*C2194</f>
        <v/>
      </c>
      <c r="P2194" s="28">
        <f>-(12*F2194*J2194*L2194*N2194+12*O2194*N2194*G2194*COS(RADIANS(E2194)))/(12*N2194*G2194*COS(RADIANS(E2194))^2+L2194*G2194^3*SIN(RADIANS(E2194))^2)</f>
        <v/>
      </c>
      <c r="Q2194" s="28">
        <f>-(6*F2194*J2194*L2194*N2194*SIN(RADIANS(E2194))+6*O2194*N2194*G2194*SIN(RADIANS(E2194))*COS(RADIANS(E2194)))/(12*N2194*COS(RADIANS(E2194))^2+L2194*G2194^2*SIN(RADIANS(E2194))^2)</f>
        <v/>
      </c>
      <c r="R2194" s="28">
        <f>-P2194*SIN(RADIANS(E2194))</f>
        <v/>
      </c>
      <c r="S2194" s="8">
        <f>(O2194+P2194*COS(RADIANS(E2194)))/L2194</f>
        <v/>
      </c>
      <c r="T2194" s="8">
        <f>R2194/L2194</f>
        <v/>
      </c>
      <c r="U2194" s="8">
        <f>(Q2194-P2194*G2194*SIN(RADIANS(E2194)))/M2194</f>
        <v/>
      </c>
      <c r="V2194" s="8">
        <f>SQRT((S2194+U2194)^2+3*T2194^2)</f>
        <v/>
      </c>
      <c r="W2194" s="8">
        <f>V2194/AA2194</f>
        <v/>
      </c>
      <c r="X2194" s="27">
        <f>((3*10+H2194/COS(RADIANS(E2194)))*(3+3)+3*G2194*H2194)*2</f>
        <v/>
      </c>
      <c r="Y2194" s="28">
        <f>Z2194/X2194</f>
        <v/>
      </c>
      <c r="Z2194" s="29" t="n">
        <v>630.111891772835</v>
      </c>
      <c r="AA2194" s="20" t="n">
        <v>92.1094232687057</v>
      </c>
      <c r="AB2194" t="n">
        <v>0.1035324417355857</v>
      </c>
      <c r="AC2194" t="n">
        <v>86.92979071580048</v>
      </c>
      <c r="AD2194" t="n">
        <v>15.49954704169426</v>
      </c>
    </row>
    <row r="2195">
      <c r="A2195" t="n">
        <v>2194</v>
      </c>
      <c r="B2195" t="n">
        <v>60.2</v>
      </c>
      <c r="C2195" s="21">
        <f>B2195-20</f>
        <v/>
      </c>
      <c r="D2195" t="n">
        <v>126.2</v>
      </c>
      <c r="E2195" s="22">
        <f>D2195-90</f>
        <v/>
      </c>
      <c r="F2195" s="23" t="n">
        <v>0.015619</v>
      </c>
      <c r="G2195" s="22" t="n">
        <v>34.8</v>
      </c>
      <c r="H2195" s="22" t="n">
        <v>1.9</v>
      </c>
      <c r="I2195" s="24" t="n">
        <v>0.06701800227165219</v>
      </c>
      <c r="J2195" s="6" t="n">
        <v>71000</v>
      </c>
      <c r="K2195" s="25">
        <f>23*10^-6</f>
        <v/>
      </c>
      <c r="L2195" s="8">
        <f>H2195</f>
        <v/>
      </c>
      <c r="M2195" s="26">
        <f>H2195^2/6</f>
        <v/>
      </c>
      <c r="N2195" s="26">
        <f>H2195^3/12</f>
        <v/>
      </c>
      <c r="O2195" s="27">
        <f>-J2195*L2195*K2195*C2195</f>
        <v/>
      </c>
      <c r="P2195" s="28">
        <f>-(12*F2195*J2195*L2195*N2195+12*O2195*N2195*G2195*COS(RADIANS(E2195)))/(12*N2195*G2195*COS(RADIANS(E2195))^2+L2195*G2195^3*SIN(RADIANS(E2195))^2)</f>
        <v/>
      </c>
      <c r="Q2195" s="28">
        <f>-(6*F2195*J2195*L2195*N2195*SIN(RADIANS(E2195))+6*O2195*N2195*G2195*SIN(RADIANS(E2195))*COS(RADIANS(E2195)))/(12*N2195*COS(RADIANS(E2195))^2+L2195*G2195^2*SIN(RADIANS(E2195))^2)</f>
        <v/>
      </c>
      <c r="R2195" s="28">
        <f>-P2195*SIN(RADIANS(E2195))</f>
        <v/>
      </c>
      <c r="S2195" s="8">
        <f>(O2195+P2195*COS(RADIANS(E2195)))/L2195</f>
        <v/>
      </c>
      <c r="T2195" s="8">
        <f>R2195/L2195</f>
        <v/>
      </c>
      <c r="U2195" s="8">
        <f>(Q2195-P2195*G2195*SIN(RADIANS(E2195)))/M2195</f>
        <v/>
      </c>
      <c r="V2195" s="8">
        <f>SQRT((S2195+U2195)^2+3*T2195^2)</f>
        <v/>
      </c>
      <c r="W2195" s="8">
        <f>V2195/AA2195</f>
        <v/>
      </c>
      <c r="X2195" s="27">
        <f>((3*10+H2195/COS(RADIANS(E2195)))*(3+3)+3*G2195*H2195)*2</f>
        <v/>
      </c>
      <c r="Y2195" s="28">
        <f>Z2195/X2195</f>
        <v/>
      </c>
      <c r="Z2195" s="29" t="n">
        <v>794.149046627005</v>
      </c>
      <c r="AA2195" s="20" t="n">
        <v>61.9171628167901</v>
      </c>
      <c r="AB2195" t="n">
        <v>0.07533786824193105</v>
      </c>
      <c r="AC2195" t="n">
        <v>58.66257039215908</v>
      </c>
      <c r="AD2195" t="n">
        <v>12.41437477732465</v>
      </c>
    </row>
    <row r="2196">
      <c r="A2196" t="n">
        <v>2195</v>
      </c>
      <c r="B2196" t="n">
        <v>51.8</v>
      </c>
      <c r="C2196" s="21">
        <f>B2196-20</f>
        <v/>
      </c>
      <c r="D2196" t="n">
        <v>128.8</v>
      </c>
      <c r="E2196" s="22">
        <f>D2196-90</f>
        <v/>
      </c>
      <c r="F2196" s="23" t="n">
        <v>0.00791</v>
      </c>
      <c r="G2196" s="22" t="n">
        <v>20.3</v>
      </c>
      <c r="H2196" s="22" t="n">
        <v>1.3</v>
      </c>
      <c r="I2196" s="24" t="n">
        <v>0.0361385308206081</v>
      </c>
      <c r="J2196" s="6" t="n">
        <v>71000</v>
      </c>
      <c r="K2196" s="25">
        <f>23*10^-6</f>
        <v/>
      </c>
      <c r="L2196" s="8">
        <f>H2196</f>
        <v/>
      </c>
      <c r="M2196" s="26">
        <f>H2196^2/6</f>
        <v/>
      </c>
      <c r="N2196" s="26">
        <f>H2196^3/12</f>
        <v/>
      </c>
      <c r="O2196" s="27">
        <f>-J2196*L2196*K2196*C2196</f>
        <v/>
      </c>
      <c r="P2196" s="28">
        <f>-(12*F2196*J2196*L2196*N2196+12*O2196*N2196*G2196*COS(RADIANS(E2196)))/(12*N2196*G2196*COS(RADIANS(E2196))^2+L2196*G2196^3*SIN(RADIANS(E2196))^2)</f>
        <v/>
      </c>
      <c r="Q2196" s="28">
        <f>-(6*F2196*J2196*L2196*N2196*SIN(RADIANS(E2196))+6*O2196*N2196*G2196*SIN(RADIANS(E2196))*COS(RADIANS(E2196)))/(12*N2196*COS(RADIANS(E2196))^2+L2196*G2196^2*SIN(RADIANS(E2196))^2)</f>
        <v/>
      </c>
      <c r="R2196" s="28">
        <f>-P2196*SIN(RADIANS(E2196))</f>
        <v/>
      </c>
      <c r="S2196" s="8">
        <f>(O2196+P2196*COS(RADIANS(E2196)))/L2196</f>
        <v/>
      </c>
      <c r="T2196" s="8">
        <f>R2196/L2196</f>
        <v/>
      </c>
      <c r="U2196" s="8">
        <f>(Q2196-P2196*G2196*SIN(RADIANS(E2196)))/M2196</f>
        <v/>
      </c>
      <c r="V2196" s="8">
        <f>SQRT((S2196+U2196)^2+3*T2196^2)</f>
        <v/>
      </c>
      <c r="W2196" s="8">
        <f>V2196/AA2196</f>
        <v/>
      </c>
      <c r="X2196" s="27">
        <f>((3*10+H2196/COS(RADIANS(E2196)))*(3+3)+3*G2196*H2196)*2</f>
        <v/>
      </c>
      <c r="Y2196" s="28">
        <f>Z2196/X2196</f>
        <v/>
      </c>
      <c r="Z2196" s="29" t="n">
        <v>548.585987799979</v>
      </c>
      <c r="AA2196" s="20" t="n">
        <v>46.3136925699759</v>
      </c>
      <c r="AB2196" t="n">
        <v>0.03328211999151851</v>
      </c>
      <c r="AC2196" t="n">
        <v>45.83464012450551</v>
      </c>
      <c r="AD2196" t="n">
        <v>-7.904059086598828</v>
      </c>
    </row>
    <row r="2197">
      <c r="A2197" t="n">
        <v>2196</v>
      </c>
      <c r="B2197" t="n">
        <v>53.7</v>
      </c>
      <c r="C2197" s="21">
        <f>B2197-20</f>
        <v/>
      </c>
      <c r="D2197" t="n">
        <v>127.4</v>
      </c>
      <c r="E2197" s="22">
        <f>D2197-90</f>
        <v/>
      </c>
      <c r="F2197" s="23" t="n">
        <v>0.008775</v>
      </c>
      <c r="G2197" s="22" t="n">
        <v>21.2</v>
      </c>
      <c r="H2197" s="22" t="n">
        <v>1.7</v>
      </c>
      <c r="I2197" s="24" t="n">
        <v>0.0401622913777828</v>
      </c>
      <c r="J2197" s="6" t="n">
        <v>71000</v>
      </c>
      <c r="K2197" s="25">
        <f>23*10^-6</f>
        <v/>
      </c>
      <c r="L2197" s="8">
        <f>H2197</f>
        <v/>
      </c>
      <c r="M2197" s="26">
        <f>H2197^2/6</f>
        <v/>
      </c>
      <c r="N2197" s="26">
        <f>H2197^3/12</f>
        <v/>
      </c>
      <c r="O2197" s="27">
        <f>-J2197*L2197*K2197*C2197</f>
        <v/>
      </c>
      <c r="P2197" s="28">
        <f>-(12*F2197*J2197*L2197*N2197+12*O2197*N2197*G2197*COS(RADIANS(E2197)))/(12*N2197*G2197*COS(RADIANS(E2197))^2+L2197*G2197^3*SIN(RADIANS(E2197))^2)</f>
        <v/>
      </c>
      <c r="Q2197" s="28">
        <f>-(6*F2197*J2197*L2197*N2197*SIN(RADIANS(E2197))+6*O2197*N2197*G2197*SIN(RADIANS(E2197))*COS(RADIANS(E2197)))/(12*N2197*COS(RADIANS(E2197))^2+L2197*G2197^2*SIN(RADIANS(E2197))^2)</f>
        <v/>
      </c>
      <c r="R2197" s="28">
        <f>-P2197*SIN(RADIANS(E2197))</f>
        <v/>
      </c>
      <c r="S2197" s="8">
        <f>(O2197+P2197*COS(RADIANS(E2197)))/L2197</f>
        <v/>
      </c>
      <c r="T2197" s="8">
        <f>R2197/L2197</f>
        <v/>
      </c>
      <c r="U2197" s="8">
        <f>(Q2197-P2197*G2197*SIN(RADIANS(E2197)))/M2197</f>
        <v/>
      </c>
      <c r="V2197" s="8">
        <f>SQRT((S2197+U2197)^2+3*T2197^2)</f>
        <v/>
      </c>
      <c r="W2197" s="8">
        <f>V2197/AA2197</f>
        <v/>
      </c>
      <c r="X2197" s="27">
        <f>((3*10+H2197/COS(RADIANS(E2197)))*(3+3)+3*G2197*H2197)*2</f>
        <v/>
      </c>
      <c r="Y2197" s="28">
        <f>Z2197/X2197</f>
        <v/>
      </c>
      <c r="Z2197" s="29" t="n">
        <v>611.563839424921</v>
      </c>
      <c r="AA2197" s="20" t="n">
        <v>53.4910896153357</v>
      </c>
      <c r="AB2197" t="n">
        <v>0.03803962717587202</v>
      </c>
      <c r="AC2197" t="n">
        <v>49.7194418416944</v>
      </c>
      <c r="AD2197" t="n">
        <v>-5.285216876557522</v>
      </c>
    </row>
    <row r="2198">
      <c r="A2198" t="n">
        <v>2197</v>
      </c>
      <c r="B2198" t="n">
        <v>41.3</v>
      </c>
      <c r="C2198" s="21">
        <f>B2198-20</f>
        <v/>
      </c>
      <c r="D2198" t="n">
        <v>123</v>
      </c>
      <c r="E2198" s="22">
        <f>D2198-90</f>
        <v/>
      </c>
      <c r="F2198" s="23" t="n">
        <v>0.005937</v>
      </c>
      <c r="G2198" s="22" t="n">
        <v>22</v>
      </c>
      <c r="H2198" s="22" t="n">
        <v>1.9</v>
      </c>
      <c r="I2198" s="24" t="n">
        <v>0.0279625449329614</v>
      </c>
      <c r="J2198" s="6" t="n">
        <v>71000</v>
      </c>
      <c r="K2198" s="25">
        <f>23*10^-6</f>
        <v/>
      </c>
      <c r="L2198" s="8">
        <f>H2198</f>
        <v/>
      </c>
      <c r="M2198" s="26">
        <f>H2198^2/6</f>
        <v/>
      </c>
      <c r="N2198" s="26">
        <f>H2198^3/12</f>
        <v/>
      </c>
      <c r="O2198" s="27">
        <f>-J2198*L2198*K2198*C2198</f>
        <v/>
      </c>
      <c r="P2198" s="28">
        <f>-(12*F2198*J2198*L2198*N2198+12*O2198*N2198*G2198*COS(RADIANS(E2198)))/(12*N2198*G2198*COS(RADIANS(E2198))^2+L2198*G2198^3*SIN(RADIANS(E2198))^2)</f>
        <v/>
      </c>
      <c r="Q2198" s="28">
        <f>-(6*F2198*J2198*L2198*N2198*SIN(RADIANS(E2198))+6*O2198*N2198*G2198*SIN(RADIANS(E2198))*COS(RADIANS(E2198)))/(12*N2198*COS(RADIANS(E2198))^2+L2198*G2198^2*SIN(RADIANS(E2198))^2)</f>
        <v/>
      </c>
      <c r="R2198" s="28">
        <f>-P2198*SIN(RADIANS(E2198))</f>
        <v/>
      </c>
      <c r="S2198" s="8">
        <f>(O2198+P2198*COS(RADIANS(E2198)))/L2198</f>
        <v/>
      </c>
      <c r="T2198" s="8">
        <f>R2198/L2198</f>
        <v/>
      </c>
      <c r="U2198" s="8">
        <f>(Q2198-P2198*G2198*SIN(RADIANS(E2198)))/M2198</f>
        <v/>
      </c>
      <c r="V2198" s="8">
        <f>SQRT((S2198+U2198)^2+3*T2198^2)</f>
        <v/>
      </c>
      <c r="W2198" s="8">
        <f>V2198/AA2198</f>
        <v/>
      </c>
      <c r="X2198" s="27">
        <f>((3*10+H2198/COS(RADIANS(E2198)))*(3+3)+3*G2198*H2198)*2</f>
        <v/>
      </c>
      <c r="Y2198" s="28">
        <f>Z2198/X2198</f>
        <v/>
      </c>
      <c r="Z2198" s="29" t="n">
        <v>646.036231490363</v>
      </c>
      <c r="AA2198" s="20" t="n">
        <v>35.7176923458851</v>
      </c>
      <c r="AB2198" t="n">
        <v>0.02836147923286145</v>
      </c>
      <c r="AC2198" t="n">
        <v>32.28718893294532</v>
      </c>
      <c r="AD2198" t="n">
        <v>1.426673791160525</v>
      </c>
    </row>
    <row r="2199">
      <c r="A2199" t="n">
        <v>2198</v>
      </c>
      <c r="B2199" t="n">
        <v>74.5</v>
      </c>
      <c r="C2199" s="21">
        <f>B2199-20</f>
        <v/>
      </c>
      <c r="D2199" t="n">
        <v>104.5</v>
      </c>
      <c r="E2199" s="22">
        <f>D2199-90</f>
        <v/>
      </c>
      <c r="F2199" s="23" t="n">
        <v>0.022916</v>
      </c>
      <c r="G2199" s="22" t="n">
        <v>31.9</v>
      </c>
      <c r="H2199" s="22" t="n">
        <v>1.4</v>
      </c>
      <c r="I2199" s="24" t="n">
        <v>0.166300550103187</v>
      </c>
      <c r="J2199" s="6" t="n">
        <v>71000</v>
      </c>
      <c r="K2199" s="25">
        <f>23*10^-6</f>
        <v/>
      </c>
      <c r="L2199" s="8">
        <f>H2199</f>
        <v/>
      </c>
      <c r="M2199" s="26">
        <f>H2199^2/6</f>
        <v/>
      </c>
      <c r="N2199" s="26">
        <f>H2199^3/12</f>
        <v/>
      </c>
      <c r="O2199" s="27">
        <f>-J2199*L2199*K2199*C2199</f>
        <v/>
      </c>
      <c r="P2199" s="28">
        <f>-(12*F2199*J2199*L2199*N2199+12*O2199*N2199*G2199*COS(RADIANS(E2199)))/(12*N2199*G2199*COS(RADIANS(E2199))^2+L2199*G2199^3*SIN(RADIANS(E2199))^2)</f>
        <v/>
      </c>
      <c r="Q2199" s="28">
        <f>-(6*F2199*J2199*L2199*N2199*SIN(RADIANS(E2199))+6*O2199*N2199*G2199*SIN(RADIANS(E2199))*COS(RADIANS(E2199)))/(12*N2199*COS(RADIANS(E2199))^2+L2199*G2199^2*SIN(RADIANS(E2199))^2)</f>
        <v/>
      </c>
      <c r="R2199" s="28">
        <f>-P2199*SIN(RADIANS(E2199))</f>
        <v/>
      </c>
      <c r="S2199" s="8">
        <f>(O2199+P2199*COS(RADIANS(E2199)))/L2199</f>
        <v/>
      </c>
      <c r="T2199" s="8">
        <f>R2199/L2199</f>
        <v/>
      </c>
      <c r="U2199" s="8">
        <f>(Q2199-P2199*G2199*SIN(RADIANS(E2199)))/M2199</f>
        <v/>
      </c>
      <c r="V2199" s="8">
        <f>SQRT((S2199+U2199)^2+3*T2199^2)</f>
        <v/>
      </c>
      <c r="W2199" s="8">
        <f>V2199/AA2199</f>
        <v/>
      </c>
      <c r="X2199" s="27">
        <f>((3*10+H2199/COS(RADIANS(E2199)))*(3+3)+3*G2199*H2199)*2</f>
        <v/>
      </c>
      <c r="Y2199" s="28">
        <f>Z2199/X2199</f>
        <v/>
      </c>
      <c r="Z2199" s="29" t="n">
        <v>649.535962123306</v>
      </c>
      <c r="AA2199" s="20" t="n">
        <v>83.8096812869392</v>
      </c>
      <c r="AB2199" t="n">
        <v>0.2411967473858946</v>
      </c>
      <c r="AC2199" t="n">
        <v>87.1456660761654</v>
      </c>
      <c r="AD2199" t="n">
        <v>45.03665035156864</v>
      </c>
    </row>
    <row r="2200">
      <c r="A2200" t="n">
        <v>2199</v>
      </c>
      <c r="B2200" t="n">
        <v>42.2</v>
      </c>
      <c r="C2200" s="21">
        <f>B2200-20</f>
        <v/>
      </c>
      <c r="D2200" t="n">
        <v>105.1</v>
      </c>
      <c r="E2200" s="22">
        <f>D2200-90</f>
        <v/>
      </c>
      <c r="F2200" s="23" t="n">
        <v>0.008652999999999999</v>
      </c>
      <c r="G2200" s="22" t="n">
        <v>29.2</v>
      </c>
      <c r="H2200" s="22" t="n">
        <v>1.4</v>
      </c>
      <c r="I2200" s="24" t="n">
        <v>0.0613642148673534</v>
      </c>
      <c r="J2200" s="6" t="n">
        <v>71000</v>
      </c>
      <c r="K2200" s="25">
        <f>23*10^-6</f>
        <v/>
      </c>
      <c r="L2200" s="8">
        <f>H2200</f>
        <v/>
      </c>
      <c r="M2200" s="26">
        <f>H2200^2/6</f>
        <v/>
      </c>
      <c r="N2200" s="26">
        <f>H2200^3/12</f>
        <v/>
      </c>
      <c r="O2200" s="27">
        <f>-J2200*L2200*K2200*C2200</f>
        <v/>
      </c>
      <c r="P2200" s="28">
        <f>-(12*F2200*J2200*L2200*N2200+12*O2200*N2200*G2200*COS(RADIANS(E2200)))/(12*N2200*G2200*COS(RADIANS(E2200))^2+L2200*G2200^3*SIN(RADIANS(E2200))^2)</f>
        <v/>
      </c>
      <c r="Q2200" s="28">
        <f>-(6*F2200*J2200*L2200*N2200*SIN(RADIANS(E2200))+6*O2200*N2200*G2200*SIN(RADIANS(E2200))*COS(RADIANS(E2200)))/(12*N2200*COS(RADIANS(E2200))^2+L2200*G2200^2*SIN(RADIANS(E2200))^2)</f>
        <v/>
      </c>
      <c r="R2200" s="28">
        <f>-P2200*SIN(RADIANS(E2200))</f>
        <v/>
      </c>
      <c r="S2200" s="8">
        <f>(O2200+P2200*COS(RADIANS(E2200)))/L2200</f>
        <v/>
      </c>
      <c r="T2200" s="8">
        <f>R2200/L2200</f>
        <v/>
      </c>
      <c r="U2200" s="8">
        <f>(Q2200-P2200*G2200*SIN(RADIANS(E2200)))/M2200</f>
        <v/>
      </c>
      <c r="V2200" s="8">
        <f>SQRT((S2200+U2200)^2+3*T2200^2)</f>
        <v/>
      </c>
      <c r="W2200" s="8">
        <f>V2200/AA2200</f>
        <v/>
      </c>
      <c r="X2200" s="27">
        <f>((3*10+H2200/COS(RADIANS(E2200)))*(3+3)+3*G2200*H2200)*2</f>
        <v/>
      </c>
      <c r="Y2200" s="28">
        <f>Z2200/X2200</f>
        <v/>
      </c>
      <c r="Z2200" s="29" t="n">
        <v>626.972724770711</v>
      </c>
      <c r="AA2200" s="20" t="n">
        <v>34.3495257710865</v>
      </c>
      <c r="AB2200" t="n">
        <v>0.08649876429510428</v>
      </c>
      <c r="AC2200" t="n">
        <v>35.59946185958926</v>
      </c>
      <c r="AD2200" t="n">
        <v>40.95962032934411</v>
      </c>
    </row>
    <row r="2201">
      <c r="A2201" t="n">
        <v>2200</v>
      </c>
      <c r="B2201" t="n">
        <v>78.90000000000001</v>
      </c>
      <c r="C2201" s="21">
        <f>B2201-20</f>
        <v/>
      </c>
      <c r="D2201" t="n">
        <v>110.3</v>
      </c>
      <c r="E2201" s="22">
        <f>D2201-90</f>
        <v/>
      </c>
      <c r="F2201" s="23" t="n">
        <v>0.02015</v>
      </c>
      <c r="G2201" s="22" t="n">
        <v>25.6</v>
      </c>
      <c r="H2201" s="22" t="n">
        <v>1.5</v>
      </c>
      <c r="I2201" s="24" t="n">
        <v>0.118331424891948</v>
      </c>
      <c r="J2201" s="6" t="n">
        <v>71000</v>
      </c>
      <c r="K2201" s="25">
        <f>23*10^-6</f>
        <v/>
      </c>
      <c r="L2201" s="8">
        <f>H2201</f>
        <v/>
      </c>
      <c r="M2201" s="26">
        <f>H2201^2/6</f>
        <v/>
      </c>
      <c r="N2201" s="26">
        <f>H2201^3/12</f>
        <v/>
      </c>
      <c r="O2201" s="27">
        <f>-J2201*L2201*K2201*C2201</f>
        <v/>
      </c>
      <c r="P2201" s="28">
        <f>-(12*F2201*J2201*L2201*N2201+12*O2201*N2201*G2201*COS(RADIANS(E2201)))/(12*N2201*G2201*COS(RADIANS(E2201))^2+L2201*G2201^3*SIN(RADIANS(E2201))^2)</f>
        <v/>
      </c>
      <c r="Q2201" s="28">
        <f>-(6*F2201*J2201*L2201*N2201*SIN(RADIANS(E2201))+6*O2201*N2201*G2201*SIN(RADIANS(E2201))*COS(RADIANS(E2201)))/(12*N2201*COS(RADIANS(E2201))^2+L2201*G2201^2*SIN(RADIANS(E2201))^2)</f>
        <v/>
      </c>
      <c r="R2201" s="28">
        <f>-P2201*SIN(RADIANS(E2201))</f>
        <v/>
      </c>
      <c r="S2201" s="8">
        <f>(O2201+P2201*COS(RADIANS(E2201)))/L2201</f>
        <v/>
      </c>
      <c r="T2201" s="8">
        <f>R2201/L2201</f>
        <v/>
      </c>
      <c r="U2201" s="8">
        <f>(Q2201-P2201*G2201*SIN(RADIANS(E2201)))/M2201</f>
        <v/>
      </c>
      <c r="V2201" s="8">
        <f>SQRT((S2201+U2201)^2+3*T2201^2)</f>
        <v/>
      </c>
      <c r="W2201" s="8">
        <f>V2201/AA2201</f>
        <v/>
      </c>
      <c r="X2201" s="27">
        <f>((3*10+H2201/COS(RADIANS(E2201)))*(3+3)+3*G2201*H2201)*2</f>
        <v/>
      </c>
      <c r="Y2201" s="28">
        <f>Z2201/X2201</f>
        <v/>
      </c>
      <c r="Z2201" s="29" t="n">
        <v>614.615051204396</v>
      </c>
      <c r="AA2201" s="20" t="n">
        <v>91.8960941894336</v>
      </c>
      <c r="AB2201" t="n">
        <v>0.1504732093454807</v>
      </c>
      <c r="AC2201" t="n">
        <v>92.327743398596</v>
      </c>
      <c r="AD2201" t="n">
        <v>27.16250943727106</v>
      </c>
    </row>
    <row r="2202">
      <c r="A2202" t="n">
        <v>2201</v>
      </c>
      <c r="B2202" t="n">
        <v>73.5</v>
      </c>
      <c r="C2202" s="21">
        <f>B2202-20</f>
        <v/>
      </c>
      <c r="D2202" t="n">
        <v>121.9</v>
      </c>
      <c r="E2202" s="22">
        <f>D2202-90</f>
        <v/>
      </c>
      <c r="F2202" s="23" t="n">
        <v>0.015827</v>
      </c>
      <c r="G2202" s="22" t="n">
        <v>23.5</v>
      </c>
      <c r="H2202" s="22" t="n">
        <v>1.7</v>
      </c>
      <c r="I2202" s="24" t="n">
        <v>0.07468162477016441</v>
      </c>
      <c r="J2202" s="6" t="n">
        <v>71000</v>
      </c>
      <c r="K2202" s="25">
        <f>23*10^-6</f>
        <v/>
      </c>
      <c r="L2202" s="8">
        <f>H2202</f>
        <v/>
      </c>
      <c r="M2202" s="26">
        <f>H2202^2/6</f>
        <v/>
      </c>
      <c r="N2202" s="26">
        <f>H2202^3/12</f>
        <v/>
      </c>
      <c r="O2202" s="27">
        <f>-J2202*L2202*K2202*C2202</f>
        <v/>
      </c>
      <c r="P2202" s="28">
        <f>-(12*F2202*J2202*L2202*N2202+12*O2202*N2202*G2202*COS(RADIANS(E2202)))/(12*N2202*G2202*COS(RADIANS(E2202))^2+L2202*G2202^3*SIN(RADIANS(E2202))^2)</f>
        <v/>
      </c>
      <c r="Q2202" s="28">
        <f>-(6*F2202*J2202*L2202*N2202*SIN(RADIANS(E2202))+6*O2202*N2202*G2202*SIN(RADIANS(E2202))*COS(RADIANS(E2202)))/(12*N2202*COS(RADIANS(E2202))^2+L2202*G2202^2*SIN(RADIANS(E2202))^2)</f>
        <v/>
      </c>
      <c r="R2202" s="28">
        <f>-P2202*SIN(RADIANS(E2202))</f>
        <v/>
      </c>
      <c r="S2202" s="8">
        <f>(O2202+P2202*COS(RADIANS(E2202)))/L2202</f>
        <v/>
      </c>
      <c r="T2202" s="8">
        <f>R2202/L2202</f>
        <v/>
      </c>
      <c r="U2202" s="8">
        <f>(Q2202-P2202*G2202*SIN(RADIANS(E2202)))/M2202</f>
        <v/>
      </c>
      <c r="V2202" s="8">
        <f>SQRT((S2202+U2202)^2+3*T2202^2)</f>
        <v/>
      </c>
      <c r="W2202" s="8">
        <f>V2202/AA2202</f>
        <v/>
      </c>
      <c r="X2202" s="27">
        <f>((3*10+H2202/COS(RADIANS(E2202)))*(3+3)+3*G2202*H2202)*2</f>
        <v/>
      </c>
      <c r="Y2202" s="28">
        <f>Z2202/X2202</f>
        <v/>
      </c>
      <c r="Z2202" s="29" t="n">
        <v>631.432193221135</v>
      </c>
      <c r="AA2202" s="20" t="n">
        <v>84.4079726756607</v>
      </c>
      <c r="AB2202" t="n">
        <v>0.07894950700854024</v>
      </c>
      <c r="AC2202" t="n">
        <v>80.30012041424564</v>
      </c>
      <c r="AD2202" t="n">
        <v>5.714768862501862</v>
      </c>
    </row>
    <row r="2203">
      <c r="A2203" t="n">
        <v>2202</v>
      </c>
      <c r="B2203" t="n">
        <v>46.1</v>
      </c>
      <c r="C2203" s="21">
        <f>B2203-20</f>
        <v/>
      </c>
      <c r="D2203" t="n">
        <v>108.6</v>
      </c>
      <c r="E2203" s="22">
        <f>D2203-90</f>
        <v/>
      </c>
      <c r="F2203" s="23" t="n">
        <v>0.008243</v>
      </c>
      <c r="G2203" s="22" t="n">
        <v>22.9</v>
      </c>
      <c r="H2203" s="22" t="n">
        <v>1.1</v>
      </c>
      <c r="I2203" s="24" t="n">
        <v>0.0522428564727306</v>
      </c>
      <c r="J2203" s="6" t="n">
        <v>71000</v>
      </c>
      <c r="K2203" s="25">
        <f>23*10^-6</f>
        <v/>
      </c>
      <c r="L2203" s="8">
        <f>H2203</f>
        <v/>
      </c>
      <c r="M2203" s="26">
        <f>H2203^2/6</f>
        <v/>
      </c>
      <c r="N2203" s="26">
        <f>H2203^3/12</f>
        <v/>
      </c>
      <c r="O2203" s="27">
        <f>-J2203*L2203*K2203*C2203</f>
        <v/>
      </c>
      <c r="P2203" s="28">
        <f>-(12*F2203*J2203*L2203*N2203+12*O2203*N2203*G2203*COS(RADIANS(E2203)))/(12*N2203*G2203*COS(RADIANS(E2203))^2+L2203*G2203^3*SIN(RADIANS(E2203))^2)</f>
        <v/>
      </c>
      <c r="Q2203" s="28">
        <f>-(6*F2203*J2203*L2203*N2203*SIN(RADIANS(E2203))+6*O2203*N2203*G2203*SIN(RADIANS(E2203))*COS(RADIANS(E2203)))/(12*N2203*COS(RADIANS(E2203))^2+L2203*G2203^2*SIN(RADIANS(E2203))^2)</f>
        <v/>
      </c>
      <c r="R2203" s="28">
        <f>-P2203*SIN(RADIANS(E2203))</f>
        <v/>
      </c>
      <c r="S2203" s="8">
        <f>(O2203+P2203*COS(RADIANS(E2203)))/L2203</f>
        <v/>
      </c>
      <c r="T2203" s="8">
        <f>R2203/L2203</f>
        <v/>
      </c>
      <c r="U2203" s="8">
        <f>(Q2203-P2203*G2203*SIN(RADIANS(E2203)))/M2203</f>
        <v/>
      </c>
      <c r="V2203" s="8">
        <f>SQRT((S2203+U2203)^2+3*T2203^2)</f>
        <v/>
      </c>
      <c r="W2203" s="8">
        <f>V2203/AA2203</f>
        <v/>
      </c>
      <c r="X2203" s="27">
        <f>((3*10+H2203/COS(RADIANS(E2203)))*(3+3)+3*G2203*H2203)*2</f>
        <v/>
      </c>
      <c r="Y2203" s="28">
        <f>Z2203/X2203</f>
        <v/>
      </c>
      <c r="Z2203" s="29" t="n">
        <v>529.823724247552</v>
      </c>
      <c r="AA2203" s="20" t="n">
        <v>37.9987800255327</v>
      </c>
      <c r="AB2203" t="n">
        <v>0.0661878252206875</v>
      </c>
      <c r="AC2203" t="n">
        <v>40.20236242924781</v>
      </c>
      <c r="AD2203" t="n">
        <v>26.69258476560486</v>
      </c>
    </row>
    <row r="2204">
      <c r="A2204" t="n">
        <v>2203</v>
      </c>
      <c r="B2204" t="n">
        <v>62.6</v>
      </c>
      <c r="C2204" s="21">
        <f>B2204-20</f>
        <v/>
      </c>
      <c r="D2204" t="n">
        <v>113.5</v>
      </c>
      <c r="E2204" s="22">
        <f>D2204-90</f>
        <v/>
      </c>
      <c r="F2204" s="23" t="n">
        <v>0.012222</v>
      </c>
      <c r="G2204" s="22" t="n">
        <v>20.9</v>
      </c>
      <c r="H2204" s="22" t="n">
        <v>1.5</v>
      </c>
      <c r="I2204" s="24" t="n">
        <v>0.0676265656948089</v>
      </c>
      <c r="J2204" s="6" t="n">
        <v>71000</v>
      </c>
      <c r="K2204" s="25">
        <f>23*10^-6</f>
        <v/>
      </c>
      <c r="L2204" s="8">
        <f>H2204</f>
        <v/>
      </c>
      <c r="M2204" s="26">
        <f>H2204^2/6</f>
        <v/>
      </c>
      <c r="N2204" s="26">
        <f>H2204^3/12</f>
        <v/>
      </c>
      <c r="O2204" s="27">
        <f>-J2204*L2204*K2204*C2204</f>
        <v/>
      </c>
      <c r="P2204" s="28">
        <f>-(12*F2204*J2204*L2204*N2204+12*O2204*N2204*G2204*COS(RADIANS(E2204)))/(12*N2204*G2204*COS(RADIANS(E2204))^2+L2204*G2204^3*SIN(RADIANS(E2204))^2)</f>
        <v/>
      </c>
      <c r="Q2204" s="28">
        <f>-(6*F2204*J2204*L2204*N2204*SIN(RADIANS(E2204))+6*O2204*N2204*G2204*SIN(RADIANS(E2204))*COS(RADIANS(E2204)))/(12*N2204*COS(RADIANS(E2204))^2+L2204*G2204^2*SIN(RADIANS(E2204))^2)</f>
        <v/>
      </c>
      <c r="R2204" s="28">
        <f>-P2204*SIN(RADIANS(E2204))</f>
        <v/>
      </c>
      <c r="S2204" s="8">
        <f>(O2204+P2204*COS(RADIANS(E2204)))/L2204</f>
        <v/>
      </c>
      <c r="T2204" s="8">
        <f>R2204/L2204</f>
        <v/>
      </c>
      <c r="U2204" s="8">
        <f>(Q2204-P2204*G2204*SIN(RADIANS(E2204)))/M2204</f>
        <v/>
      </c>
      <c r="V2204" s="8">
        <f>SQRT((S2204+U2204)^2+3*T2204^2)</f>
        <v/>
      </c>
      <c r="W2204" s="8">
        <f>V2204/AA2204</f>
        <v/>
      </c>
      <c r="X2204" s="27">
        <f>((3*10+H2204/COS(RADIANS(E2204)))*(3+3)+3*G2204*H2204)*2</f>
        <v/>
      </c>
      <c r="Y2204" s="28">
        <f>Z2204/X2204</f>
        <v/>
      </c>
      <c r="Z2204" s="29" t="n">
        <v>573.3321557560751</v>
      </c>
      <c r="AA2204" s="20" t="n">
        <v>67.45379916528751</v>
      </c>
      <c r="AB2204" t="n">
        <v>0.0772150608680319</v>
      </c>
      <c r="AC2204" t="n">
        <v>66.31926016237387</v>
      </c>
      <c r="AD2204" t="n">
        <v>14.17859250238256</v>
      </c>
    </row>
    <row r="2205">
      <c r="A2205" t="n">
        <v>2204</v>
      </c>
      <c r="B2205" t="n">
        <v>55.2</v>
      </c>
      <c r="C2205" s="21">
        <f>B2205-20</f>
        <v/>
      </c>
      <c r="D2205" t="n">
        <v>110.7</v>
      </c>
      <c r="E2205" s="22">
        <f>D2205-90</f>
        <v/>
      </c>
      <c r="F2205" s="23" t="n">
        <v>0.014119</v>
      </c>
      <c r="G2205" s="22" t="n">
        <v>31.2</v>
      </c>
      <c r="H2205" s="22" t="n">
        <v>1</v>
      </c>
      <c r="I2205" s="24" t="n">
        <v>0.08029080182313909</v>
      </c>
      <c r="J2205" s="6" t="n">
        <v>71000</v>
      </c>
      <c r="K2205" s="25">
        <f>23*10^-6</f>
        <v/>
      </c>
      <c r="L2205" s="8">
        <f>H2205</f>
        <v/>
      </c>
      <c r="M2205" s="26">
        <f>H2205^2/6</f>
        <v/>
      </c>
      <c r="N2205" s="26">
        <f>H2205^3/12</f>
        <v/>
      </c>
      <c r="O2205" s="27">
        <f>-J2205*L2205*K2205*C2205</f>
        <v/>
      </c>
      <c r="P2205" s="28">
        <f>-(12*F2205*J2205*L2205*N2205+12*O2205*N2205*G2205*COS(RADIANS(E2205)))/(12*N2205*G2205*COS(RADIANS(E2205))^2+L2205*G2205^3*SIN(RADIANS(E2205))^2)</f>
        <v/>
      </c>
      <c r="Q2205" s="28">
        <f>-(6*F2205*J2205*L2205*N2205*SIN(RADIANS(E2205))+6*O2205*N2205*G2205*SIN(RADIANS(E2205))*COS(RADIANS(E2205)))/(12*N2205*COS(RADIANS(E2205))^2+L2205*G2205^2*SIN(RADIANS(E2205))^2)</f>
        <v/>
      </c>
      <c r="R2205" s="28">
        <f>-P2205*SIN(RADIANS(E2205))</f>
        <v/>
      </c>
      <c r="S2205" s="8">
        <f>(O2205+P2205*COS(RADIANS(E2205)))/L2205</f>
        <v/>
      </c>
      <c r="T2205" s="8">
        <f>R2205/L2205</f>
        <v/>
      </c>
      <c r="U2205" s="8">
        <f>(Q2205-P2205*G2205*SIN(RADIANS(E2205)))/M2205</f>
        <v/>
      </c>
      <c r="V2205" s="8">
        <f>SQRT((S2205+U2205)^2+3*T2205^2)</f>
        <v/>
      </c>
      <c r="W2205" s="8">
        <f>V2205/AA2205</f>
        <v/>
      </c>
      <c r="X2205" s="27">
        <f>((3*10+H2205/COS(RADIANS(E2205)))*(3+3)+3*G2205*H2205)*2</f>
        <v/>
      </c>
      <c r="Y2205" s="28">
        <f>Z2205/X2205</f>
        <v/>
      </c>
      <c r="Z2205" s="29" t="n">
        <v>565.118026969603</v>
      </c>
      <c r="AA2205" s="20" t="n">
        <v>48.7404960289967</v>
      </c>
      <c r="AB2205" t="n">
        <v>0.1080109549343988</v>
      </c>
      <c r="AC2205" t="n">
        <v>51.94912587609987</v>
      </c>
      <c r="AD2205" t="n">
        <v>34.52469334198508</v>
      </c>
    </row>
    <row r="2206">
      <c r="A2206" t="n">
        <v>2205</v>
      </c>
      <c r="B2206" t="n">
        <v>64.90000000000001</v>
      </c>
      <c r="C2206" s="21">
        <f>B2206-20</f>
        <v/>
      </c>
      <c r="D2206" t="n">
        <v>121.6</v>
      </c>
      <c r="E2206" s="22">
        <f>D2206-90</f>
        <v/>
      </c>
      <c r="F2206" s="23" t="n">
        <v>0.015627</v>
      </c>
      <c r="G2206" s="22" t="n">
        <v>28.8</v>
      </c>
      <c r="H2206" s="22" t="n">
        <v>1.6</v>
      </c>
      <c r="I2206" s="24" t="n">
        <v>0.07176276296377181</v>
      </c>
      <c r="J2206" s="6" t="n">
        <v>71000</v>
      </c>
      <c r="K2206" s="25">
        <f>23*10^-6</f>
        <v/>
      </c>
      <c r="L2206" s="8">
        <f>H2206</f>
        <v/>
      </c>
      <c r="M2206" s="26">
        <f>H2206^2/6</f>
        <v/>
      </c>
      <c r="N2206" s="26">
        <f>H2206^3/12</f>
        <v/>
      </c>
      <c r="O2206" s="27">
        <f>-J2206*L2206*K2206*C2206</f>
        <v/>
      </c>
      <c r="P2206" s="28">
        <f>-(12*F2206*J2206*L2206*N2206+12*O2206*N2206*G2206*COS(RADIANS(E2206)))/(12*N2206*G2206*COS(RADIANS(E2206))^2+L2206*G2206^3*SIN(RADIANS(E2206))^2)</f>
        <v/>
      </c>
      <c r="Q2206" s="28">
        <f>-(6*F2206*J2206*L2206*N2206*SIN(RADIANS(E2206))+6*O2206*N2206*G2206*SIN(RADIANS(E2206))*COS(RADIANS(E2206)))/(12*N2206*COS(RADIANS(E2206))^2+L2206*G2206^2*SIN(RADIANS(E2206))^2)</f>
        <v/>
      </c>
      <c r="R2206" s="28">
        <f>-P2206*SIN(RADIANS(E2206))</f>
        <v/>
      </c>
      <c r="S2206" s="8">
        <f>(O2206+P2206*COS(RADIANS(E2206)))/L2206</f>
        <v/>
      </c>
      <c r="T2206" s="8">
        <f>R2206/L2206</f>
        <v/>
      </c>
      <c r="U2206" s="8">
        <f>(Q2206-P2206*G2206*SIN(RADIANS(E2206)))/M2206</f>
        <v/>
      </c>
      <c r="V2206" s="8">
        <f>SQRT((S2206+U2206)^2+3*T2206^2)</f>
        <v/>
      </c>
      <c r="W2206" s="8">
        <f>V2206/AA2206</f>
        <v/>
      </c>
      <c r="X2206" s="27">
        <f>((3*10+H2206/COS(RADIANS(E2206)))*(3+3)+3*G2206*H2206)*2</f>
        <v/>
      </c>
      <c r="Y2206" s="28">
        <f>Z2206/X2206</f>
        <v/>
      </c>
      <c r="Z2206" s="29" t="n">
        <v>666.634110643481</v>
      </c>
      <c r="AA2206" s="20" t="n">
        <v>68.1161735172176</v>
      </c>
      <c r="AB2206" t="n">
        <v>0.08141949267607353</v>
      </c>
      <c r="AC2206" t="n">
        <v>66.3280541921321</v>
      </c>
      <c r="AD2206" t="n">
        <v>13.45646309239341</v>
      </c>
    </row>
    <row r="2207">
      <c r="A2207" t="n">
        <v>2206</v>
      </c>
      <c r="B2207" t="n">
        <v>83.09999999999999</v>
      </c>
      <c r="C2207" s="21">
        <f>B2207-20</f>
        <v/>
      </c>
      <c r="D2207" t="n">
        <v>109.8</v>
      </c>
      <c r="E2207" s="22">
        <f>D2207-90</f>
        <v/>
      </c>
      <c r="F2207" s="23" t="n">
        <v>0.027598</v>
      </c>
      <c r="G2207" s="22" t="n">
        <v>34.4</v>
      </c>
      <c r="H2207" s="22" t="n">
        <v>1</v>
      </c>
      <c r="I2207" s="24" t="n">
        <v>0.159759312868118</v>
      </c>
      <c r="J2207" s="6" t="n">
        <v>71000</v>
      </c>
      <c r="K2207" s="25">
        <f>23*10^-6</f>
        <v/>
      </c>
      <c r="L2207" s="8">
        <f>H2207</f>
        <v/>
      </c>
      <c r="M2207" s="26">
        <f>H2207^2/6</f>
        <v/>
      </c>
      <c r="N2207" s="26">
        <f>H2207^3/12</f>
        <v/>
      </c>
      <c r="O2207" s="27">
        <f>-J2207*L2207*K2207*C2207</f>
        <v/>
      </c>
      <c r="P2207" s="28">
        <f>-(12*F2207*J2207*L2207*N2207+12*O2207*N2207*G2207*COS(RADIANS(E2207)))/(12*N2207*G2207*COS(RADIANS(E2207))^2+L2207*G2207^3*SIN(RADIANS(E2207))^2)</f>
        <v/>
      </c>
      <c r="Q2207" s="28">
        <f>-(6*F2207*J2207*L2207*N2207*SIN(RADIANS(E2207))+6*O2207*N2207*G2207*SIN(RADIANS(E2207))*COS(RADIANS(E2207)))/(12*N2207*COS(RADIANS(E2207))^2+L2207*G2207^2*SIN(RADIANS(E2207))^2)</f>
        <v/>
      </c>
      <c r="R2207" s="28">
        <f>-P2207*SIN(RADIANS(E2207))</f>
        <v/>
      </c>
      <c r="S2207" s="8">
        <f>(O2207+P2207*COS(RADIANS(E2207)))/L2207</f>
        <v/>
      </c>
      <c r="T2207" s="8">
        <f>R2207/L2207</f>
        <v/>
      </c>
      <c r="U2207" s="8">
        <f>(Q2207-P2207*G2207*SIN(RADIANS(E2207)))/M2207</f>
        <v/>
      </c>
      <c r="V2207" s="8">
        <f>SQRT((S2207+U2207)^2+3*T2207^2)</f>
        <v/>
      </c>
      <c r="W2207" s="8">
        <f>V2207/AA2207</f>
        <v/>
      </c>
      <c r="X2207" s="27">
        <f>((3*10+H2207/COS(RADIANS(E2207)))*(3+3)+3*G2207*H2207)*2</f>
        <v/>
      </c>
      <c r="Y2207" s="28">
        <f>Z2207/X2207</f>
        <v/>
      </c>
      <c r="Z2207" s="29" t="n">
        <v>584.09565066174</v>
      </c>
      <c r="AA2207" s="20" t="n">
        <v>86.73272849264841</v>
      </c>
      <c r="AB2207" t="n">
        <v>0.2225264688614935</v>
      </c>
      <c r="AC2207" t="n">
        <v>92.93743649898718</v>
      </c>
      <c r="AD2207" t="n">
        <v>39.28857408468576</v>
      </c>
    </row>
    <row r="2208">
      <c r="A2208" t="n">
        <v>2207</v>
      </c>
      <c r="B2208" t="n">
        <v>71.40000000000001</v>
      </c>
      <c r="C2208" s="21">
        <f>B2208-20</f>
        <v/>
      </c>
      <c r="D2208" t="n">
        <v>125.9</v>
      </c>
      <c r="E2208" s="22">
        <f>D2208-90</f>
        <v/>
      </c>
      <c r="F2208" s="23" t="n">
        <v>0.013483</v>
      </c>
      <c r="G2208" s="22" t="n">
        <v>21</v>
      </c>
      <c r="H2208" s="22" t="n">
        <v>1</v>
      </c>
      <c r="I2208" s="24" t="n">
        <v>0.0622847154736518</v>
      </c>
      <c r="J2208" s="6" t="n">
        <v>71000</v>
      </c>
      <c r="K2208" s="25">
        <f>23*10^-6</f>
        <v/>
      </c>
      <c r="L2208" s="8">
        <f>H2208</f>
        <v/>
      </c>
      <c r="M2208" s="26">
        <f>H2208^2/6</f>
        <v/>
      </c>
      <c r="N2208" s="26">
        <f>H2208^3/12</f>
        <v/>
      </c>
      <c r="O2208" s="27">
        <f>-J2208*L2208*K2208*C2208</f>
        <v/>
      </c>
      <c r="P2208" s="28">
        <f>-(12*F2208*J2208*L2208*N2208+12*O2208*N2208*G2208*COS(RADIANS(E2208)))/(12*N2208*G2208*COS(RADIANS(E2208))^2+L2208*G2208^3*SIN(RADIANS(E2208))^2)</f>
        <v/>
      </c>
      <c r="Q2208" s="28">
        <f>-(6*F2208*J2208*L2208*N2208*SIN(RADIANS(E2208))+6*O2208*N2208*G2208*SIN(RADIANS(E2208))*COS(RADIANS(E2208)))/(12*N2208*COS(RADIANS(E2208))^2+L2208*G2208^2*SIN(RADIANS(E2208))^2)</f>
        <v/>
      </c>
      <c r="R2208" s="28">
        <f>-P2208*SIN(RADIANS(E2208))</f>
        <v/>
      </c>
      <c r="S2208" s="8">
        <f>(O2208+P2208*COS(RADIANS(E2208)))/L2208</f>
        <v/>
      </c>
      <c r="T2208" s="8">
        <f>R2208/L2208</f>
        <v/>
      </c>
      <c r="U2208" s="8">
        <f>(Q2208-P2208*G2208*SIN(RADIANS(E2208)))/M2208</f>
        <v/>
      </c>
      <c r="V2208" s="8">
        <f>SQRT((S2208+U2208)^2+3*T2208^2)</f>
        <v/>
      </c>
      <c r="W2208" s="8">
        <f>V2208/AA2208</f>
        <v/>
      </c>
      <c r="X2208" s="27">
        <f>((3*10+H2208/COS(RADIANS(E2208)))*(3+3)+3*G2208*H2208)*2</f>
        <v/>
      </c>
      <c r="Y2208" s="28">
        <f>Z2208/X2208</f>
        <v/>
      </c>
      <c r="Z2208" s="29" t="n">
        <v>509.875789149412</v>
      </c>
      <c r="AA2208" s="20" t="n">
        <v>69.0262816417912</v>
      </c>
      <c r="AB2208" t="n">
        <v>0.06066054351789343</v>
      </c>
      <c r="AC2208" t="n">
        <v>73.40866994742471</v>
      </c>
      <c r="AD2208" t="n">
        <v>-2.607657341624109</v>
      </c>
    </row>
    <row r="2209">
      <c r="A2209" t="n">
        <v>2208</v>
      </c>
      <c r="B2209" t="n">
        <v>57.9</v>
      </c>
      <c r="C2209" s="21">
        <f>B2209-20</f>
        <v/>
      </c>
      <c r="D2209" t="n">
        <v>116.7</v>
      </c>
      <c r="E2209" s="22">
        <f>D2209-90</f>
        <v/>
      </c>
      <c r="F2209" s="23" t="n">
        <v>0.014442</v>
      </c>
      <c r="G2209" s="22" t="n">
        <v>30.7</v>
      </c>
      <c r="H2209" s="22" t="n">
        <v>1.7</v>
      </c>
      <c r="I2209" s="24" t="n">
        <v>0.0708171799778938</v>
      </c>
      <c r="J2209" s="6" t="n">
        <v>71000</v>
      </c>
      <c r="K2209" s="25">
        <f>23*10^-6</f>
        <v/>
      </c>
      <c r="L2209" s="8">
        <f>H2209</f>
        <v/>
      </c>
      <c r="M2209" s="26">
        <f>H2209^2/6</f>
        <v/>
      </c>
      <c r="N2209" s="26">
        <f>H2209^3/12</f>
        <v/>
      </c>
      <c r="O2209" s="27">
        <f>-J2209*L2209*K2209*C2209</f>
        <v/>
      </c>
      <c r="P2209" s="28">
        <f>-(12*F2209*J2209*L2209*N2209+12*O2209*N2209*G2209*COS(RADIANS(E2209)))/(12*N2209*G2209*COS(RADIANS(E2209))^2+L2209*G2209^3*SIN(RADIANS(E2209))^2)</f>
        <v/>
      </c>
      <c r="Q2209" s="28">
        <f>-(6*F2209*J2209*L2209*N2209*SIN(RADIANS(E2209))+6*O2209*N2209*G2209*SIN(RADIANS(E2209))*COS(RADIANS(E2209)))/(12*N2209*COS(RADIANS(E2209))^2+L2209*G2209^2*SIN(RADIANS(E2209))^2)</f>
        <v/>
      </c>
      <c r="R2209" s="28">
        <f>-P2209*SIN(RADIANS(E2209))</f>
        <v/>
      </c>
      <c r="S2209" s="8">
        <f>(O2209+P2209*COS(RADIANS(E2209)))/L2209</f>
        <v/>
      </c>
      <c r="T2209" s="8">
        <f>R2209/L2209</f>
        <v/>
      </c>
      <c r="U2209" s="8">
        <f>(Q2209-P2209*G2209*SIN(RADIANS(E2209)))/M2209</f>
        <v/>
      </c>
      <c r="V2209" s="8">
        <f>SQRT((S2209+U2209)^2+3*T2209^2)</f>
        <v/>
      </c>
      <c r="W2209" s="8">
        <f>V2209/AA2209</f>
        <v/>
      </c>
      <c r="X2209" s="27">
        <f>((3*10+H2209/COS(RADIANS(E2209)))*(3+3)+3*G2209*H2209)*2</f>
        <v/>
      </c>
      <c r="Y2209" s="28">
        <f>Z2209/X2209</f>
        <v/>
      </c>
      <c r="Z2209" s="29" t="n">
        <v>702.2730047855021</v>
      </c>
      <c r="AA2209" s="20" t="n">
        <v>59.20010208259</v>
      </c>
      <c r="AB2209" t="n">
        <v>0.08713042196967627</v>
      </c>
      <c r="AC2209" t="n">
        <v>57.24036431906696</v>
      </c>
      <c r="AD2209" t="n">
        <v>23.03571251619281</v>
      </c>
    </row>
    <row r="2210">
      <c r="A2210" t="n">
        <v>2209</v>
      </c>
      <c r="B2210" t="n">
        <v>51.5</v>
      </c>
      <c r="C2210" s="21">
        <f>B2210-20</f>
        <v/>
      </c>
      <c r="D2210" t="n">
        <v>103.7</v>
      </c>
      <c r="E2210" s="22">
        <f>D2210-90</f>
        <v/>
      </c>
      <c r="F2210" s="23" t="n">
        <v>0.012028</v>
      </c>
      <c r="G2210" s="22" t="n">
        <v>28.3</v>
      </c>
      <c r="H2210" s="22" t="n">
        <v>1.3</v>
      </c>
      <c r="I2210" s="24" t="n">
        <v>0.0920395702123642</v>
      </c>
      <c r="J2210" s="6" t="n">
        <v>71000</v>
      </c>
      <c r="K2210" s="25">
        <f>23*10^-6</f>
        <v/>
      </c>
      <c r="L2210" s="8">
        <f>H2210</f>
        <v/>
      </c>
      <c r="M2210" s="26">
        <f>H2210^2/6</f>
        <v/>
      </c>
      <c r="N2210" s="26">
        <f>H2210^3/12</f>
        <v/>
      </c>
      <c r="O2210" s="27">
        <f>-J2210*L2210*K2210*C2210</f>
        <v/>
      </c>
      <c r="P2210" s="28">
        <f>-(12*F2210*J2210*L2210*N2210+12*O2210*N2210*G2210*COS(RADIANS(E2210)))/(12*N2210*G2210*COS(RADIANS(E2210))^2+L2210*G2210^3*SIN(RADIANS(E2210))^2)</f>
        <v/>
      </c>
      <c r="Q2210" s="28">
        <f>-(6*F2210*J2210*L2210*N2210*SIN(RADIANS(E2210))+6*O2210*N2210*G2210*SIN(RADIANS(E2210))*COS(RADIANS(E2210)))/(12*N2210*COS(RADIANS(E2210))^2+L2210*G2210^2*SIN(RADIANS(E2210))^2)</f>
        <v/>
      </c>
      <c r="R2210" s="28">
        <f>-P2210*SIN(RADIANS(E2210))</f>
        <v/>
      </c>
      <c r="S2210" s="8">
        <f>(O2210+P2210*COS(RADIANS(E2210)))/L2210</f>
        <v/>
      </c>
      <c r="T2210" s="8">
        <f>R2210/L2210</f>
        <v/>
      </c>
      <c r="U2210" s="8">
        <f>(Q2210-P2210*G2210*SIN(RADIANS(E2210)))/M2210</f>
        <v/>
      </c>
      <c r="V2210" s="8">
        <f>SQRT((S2210+U2210)^2+3*T2210^2)</f>
        <v/>
      </c>
      <c r="W2210" s="8">
        <f>V2210/AA2210</f>
        <v/>
      </c>
      <c r="X2210" s="27">
        <f>((3*10+H2210/COS(RADIANS(E2210)))*(3+3)+3*G2210*H2210)*2</f>
        <v/>
      </c>
      <c r="Y2210" s="28">
        <f>Z2210/X2210</f>
        <v/>
      </c>
      <c r="Z2210" s="29" t="n">
        <v>600.9332772355569</v>
      </c>
      <c r="AA2210" s="20" t="n">
        <v>48.2584720846842</v>
      </c>
      <c r="AB2210" t="n">
        <v>0.1311508061883517</v>
      </c>
      <c r="AC2210" t="n">
        <v>50.88493706721011</v>
      </c>
      <c r="AD2210" t="n">
        <v>42.49393590794224</v>
      </c>
    </row>
    <row r="2211">
      <c r="A2211" t="n">
        <v>2210</v>
      </c>
      <c r="B2211" t="n">
        <v>62.8</v>
      </c>
      <c r="C2211" s="21">
        <f>B2211-20</f>
        <v/>
      </c>
      <c r="D2211" t="n">
        <v>123.9</v>
      </c>
      <c r="E2211" s="22">
        <f>D2211-90</f>
        <v/>
      </c>
      <c r="F2211" s="23" t="n">
        <v>0.013902</v>
      </c>
      <c r="G2211" s="22" t="n">
        <v>27.1</v>
      </c>
      <c r="H2211" s="22" t="n">
        <v>1.6</v>
      </c>
      <c r="I2211" s="24" t="n">
        <v>0.0628775283694267</v>
      </c>
      <c r="J2211" s="6" t="n">
        <v>71000</v>
      </c>
      <c r="K2211" s="25">
        <f>23*10^-6</f>
        <v/>
      </c>
      <c r="L2211" s="8">
        <f>H2211</f>
        <v/>
      </c>
      <c r="M2211" s="26">
        <f>H2211^2/6</f>
        <v/>
      </c>
      <c r="N2211" s="26">
        <f>H2211^3/12</f>
        <v/>
      </c>
      <c r="O2211" s="27">
        <f>-J2211*L2211*K2211*C2211</f>
        <v/>
      </c>
      <c r="P2211" s="28">
        <f>-(12*F2211*J2211*L2211*N2211+12*O2211*N2211*G2211*COS(RADIANS(E2211)))/(12*N2211*G2211*COS(RADIANS(E2211))^2+L2211*G2211^3*SIN(RADIANS(E2211))^2)</f>
        <v/>
      </c>
      <c r="Q2211" s="28">
        <f>-(6*F2211*J2211*L2211*N2211*SIN(RADIANS(E2211))+6*O2211*N2211*G2211*SIN(RADIANS(E2211))*COS(RADIANS(E2211)))/(12*N2211*COS(RADIANS(E2211))^2+L2211*G2211^2*SIN(RADIANS(E2211))^2)</f>
        <v/>
      </c>
      <c r="R2211" s="28">
        <f>-P2211*SIN(RADIANS(E2211))</f>
        <v/>
      </c>
      <c r="S2211" s="8">
        <f>(O2211+P2211*COS(RADIANS(E2211)))/L2211</f>
        <v/>
      </c>
      <c r="T2211" s="8">
        <f>R2211/L2211</f>
        <v/>
      </c>
      <c r="U2211" s="8">
        <f>(Q2211-P2211*G2211*SIN(RADIANS(E2211)))/M2211</f>
        <v/>
      </c>
      <c r="V2211" s="8">
        <f>SQRT((S2211+U2211)^2+3*T2211^2)</f>
        <v/>
      </c>
      <c r="W2211" s="8">
        <f>V2211/AA2211</f>
        <v/>
      </c>
      <c r="X2211" s="27">
        <f>((3*10+H2211/COS(RADIANS(E2211)))*(3+3)+3*G2211*H2211)*2</f>
        <v/>
      </c>
      <c r="Y2211" s="28">
        <f>Z2211/X2211</f>
        <v/>
      </c>
      <c r="Z2211" s="29" t="n">
        <v>651.641051786185</v>
      </c>
      <c r="AA2211" s="20" t="n">
        <v>64.8103897012323</v>
      </c>
      <c r="AB2211" t="n">
        <v>0.06792311410946786</v>
      </c>
      <c r="AC2211" t="n">
        <v>62.91749387878061</v>
      </c>
      <c r="AD2211" t="n">
        <v>8.024465768432625</v>
      </c>
    </row>
    <row r="2212">
      <c r="A2212" t="n">
        <v>2211</v>
      </c>
      <c r="B2212" t="n">
        <v>50.8</v>
      </c>
      <c r="C2212" s="21">
        <f>B2212-20</f>
        <v/>
      </c>
      <c r="D2212" t="n">
        <v>107.3</v>
      </c>
      <c r="E2212" s="22">
        <f>D2212-90</f>
        <v/>
      </c>
      <c r="F2212" s="23" t="n">
        <v>0.012868</v>
      </c>
      <c r="G2212" s="22" t="n">
        <v>32.1</v>
      </c>
      <c r="H2212" s="22" t="n">
        <v>1.2</v>
      </c>
      <c r="I2212" s="24" t="n">
        <v>0.0823793932795524</v>
      </c>
      <c r="J2212" s="6" t="n">
        <v>71000</v>
      </c>
      <c r="K2212" s="25">
        <f>23*10^-6</f>
        <v/>
      </c>
      <c r="L2212" s="8">
        <f>H2212</f>
        <v/>
      </c>
      <c r="M2212" s="26">
        <f>H2212^2/6</f>
        <v/>
      </c>
      <c r="N2212" s="26">
        <f>H2212^3/12</f>
        <v/>
      </c>
      <c r="O2212" s="27">
        <f>-J2212*L2212*K2212*C2212</f>
        <v/>
      </c>
      <c r="P2212" s="28">
        <f>-(12*F2212*J2212*L2212*N2212+12*O2212*N2212*G2212*COS(RADIANS(E2212)))/(12*N2212*G2212*COS(RADIANS(E2212))^2+L2212*G2212^3*SIN(RADIANS(E2212))^2)</f>
        <v/>
      </c>
      <c r="Q2212" s="28">
        <f>-(6*F2212*J2212*L2212*N2212*SIN(RADIANS(E2212))+6*O2212*N2212*G2212*SIN(RADIANS(E2212))*COS(RADIANS(E2212)))/(12*N2212*COS(RADIANS(E2212))^2+L2212*G2212^2*SIN(RADIANS(E2212))^2)</f>
        <v/>
      </c>
      <c r="R2212" s="28">
        <f>-P2212*SIN(RADIANS(E2212))</f>
        <v/>
      </c>
      <c r="S2212" s="8">
        <f>(O2212+P2212*COS(RADIANS(E2212)))/L2212</f>
        <v/>
      </c>
      <c r="T2212" s="8">
        <f>R2212/L2212</f>
        <v/>
      </c>
      <c r="U2212" s="8">
        <f>(Q2212-P2212*G2212*SIN(RADIANS(E2212)))/M2212</f>
        <v/>
      </c>
      <c r="V2212" s="8">
        <f>SQRT((S2212+U2212)^2+3*T2212^2)</f>
        <v/>
      </c>
      <c r="W2212" s="8">
        <f>V2212/AA2212</f>
        <v/>
      </c>
      <c r="X2212" s="27">
        <f>((3*10+H2212/COS(RADIANS(E2212)))*(3+3)+3*G2212*H2212)*2</f>
        <v/>
      </c>
      <c r="Y2212" s="28">
        <f>Z2212/X2212</f>
        <v/>
      </c>
      <c r="Z2212" s="29" t="n">
        <v>610.773127316428</v>
      </c>
      <c r="AA2212" s="20" t="n">
        <v>44.8159159003598</v>
      </c>
      <c r="AB2212" t="n">
        <v>0.1160520793783079</v>
      </c>
      <c r="AC2212" t="n">
        <v>47.10995731881764</v>
      </c>
      <c r="AD2212" t="n">
        <v>40.87513243085937</v>
      </c>
    </row>
    <row r="2213">
      <c r="A2213" t="n">
        <v>2212</v>
      </c>
      <c r="B2213" t="n">
        <v>76.59999999999999</v>
      </c>
      <c r="C2213" s="21">
        <f>B2213-20</f>
        <v/>
      </c>
      <c r="D2213" t="n">
        <v>122.2</v>
      </c>
      <c r="E2213" s="22">
        <f>D2213-90</f>
        <v/>
      </c>
      <c r="F2213" s="23" t="n">
        <v>0.017139</v>
      </c>
      <c r="G2213" s="22" t="n">
        <v>24.3</v>
      </c>
      <c r="H2213" s="22" t="n">
        <v>1.7</v>
      </c>
      <c r="I2213" s="24" t="n">
        <v>0.0801891833543777</v>
      </c>
      <c r="J2213" s="6" t="n">
        <v>71000</v>
      </c>
      <c r="K2213" s="25">
        <f>23*10^-6</f>
        <v/>
      </c>
      <c r="L2213" s="8">
        <f>H2213</f>
        <v/>
      </c>
      <c r="M2213" s="26">
        <f>H2213^2/6</f>
        <v/>
      </c>
      <c r="N2213" s="26">
        <f>H2213^3/12</f>
        <v/>
      </c>
      <c r="O2213" s="27">
        <f>-J2213*L2213*K2213*C2213</f>
        <v/>
      </c>
      <c r="P2213" s="28">
        <f>-(12*F2213*J2213*L2213*N2213+12*O2213*N2213*G2213*COS(RADIANS(E2213)))/(12*N2213*G2213*COS(RADIANS(E2213))^2+L2213*G2213^3*SIN(RADIANS(E2213))^2)</f>
        <v/>
      </c>
      <c r="Q2213" s="28">
        <f>-(6*F2213*J2213*L2213*N2213*SIN(RADIANS(E2213))+6*O2213*N2213*G2213*SIN(RADIANS(E2213))*COS(RADIANS(E2213)))/(12*N2213*COS(RADIANS(E2213))^2+L2213*G2213^2*SIN(RADIANS(E2213))^2)</f>
        <v/>
      </c>
      <c r="R2213" s="28">
        <f>-P2213*SIN(RADIANS(E2213))</f>
        <v/>
      </c>
      <c r="S2213" s="8">
        <f>(O2213+P2213*COS(RADIANS(E2213)))/L2213</f>
        <v/>
      </c>
      <c r="T2213" s="8">
        <f>R2213/L2213</f>
        <v/>
      </c>
      <c r="U2213" s="8">
        <f>(Q2213-P2213*G2213*SIN(RADIANS(E2213)))/M2213</f>
        <v/>
      </c>
      <c r="V2213" s="8">
        <f>SQRT((S2213+U2213)^2+3*T2213^2)</f>
        <v/>
      </c>
      <c r="W2213" s="8">
        <f>V2213/AA2213</f>
        <v/>
      </c>
      <c r="X2213" s="27">
        <f>((3*10+H2213/COS(RADIANS(E2213)))*(3+3)+3*G2213*H2213)*2</f>
        <v/>
      </c>
      <c r="Y2213" s="28">
        <f>Z2213/X2213</f>
        <v/>
      </c>
      <c r="Z2213" s="29" t="n">
        <v>639.763918413366</v>
      </c>
      <c r="AA2213" s="20" t="n">
        <v>89.661226134654</v>
      </c>
      <c r="AB2213" t="n">
        <v>0.08539359992452547</v>
      </c>
      <c r="AC2213" t="n">
        <v>84.6907960126312</v>
      </c>
      <c r="AD2213" t="n">
        <v>6.490172804414332</v>
      </c>
    </row>
    <row r="2214">
      <c r="A2214" t="n">
        <v>2213</v>
      </c>
      <c r="B2214" t="n">
        <v>50.7</v>
      </c>
      <c r="C2214" s="21">
        <f>B2214-20</f>
        <v/>
      </c>
      <c r="D2214" t="n">
        <v>101.3</v>
      </c>
      <c r="E2214" s="22">
        <f>D2214-90</f>
        <v/>
      </c>
      <c r="F2214" s="23" t="n">
        <v>0.013254</v>
      </c>
      <c r="G2214" s="22" t="n">
        <v>32.5</v>
      </c>
      <c r="H2214" s="22" t="n">
        <v>1.2</v>
      </c>
      <c r="I2214" s="24" t="n">
        <v>0.117047943174839</v>
      </c>
      <c r="J2214" s="6" t="n">
        <v>71000</v>
      </c>
      <c r="K2214" s="25">
        <f>23*10^-6</f>
        <v/>
      </c>
      <c r="L2214" s="8">
        <f>H2214</f>
        <v/>
      </c>
      <c r="M2214" s="26">
        <f>H2214^2/6</f>
        <v/>
      </c>
      <c r="N2214" s="26">
        <f>H2214^3/12</f>
        <v/>
      </c>
      <c r="O2214" s="27">
        <f>-J2214*L2214*K2214*C2214</f>
        <v/>
      </c>
      <c r="P2214" s="28">
        <f>-(12*F2214*J2214*L2214*N2214+12*O2214*N2214*G2214*COS(RADIANS(E2214)))/(12*N2214*G2214*COS(RADIANS(E2214))^2+L2214*G2214^3*SIN(RADIANS(E2214))^2)</f>
        <v/>
      </c>
      <c r="Q2214" s="28">
        <f>-(6*F2214*J2214*L2214*N2214*SIN(RADIANS(E2214))+6*O2214*N2214*G2214*SIN(RADIANS(E2214))*COS(RADIANS(E2214)))/(12*N2214*COS(RADIANS(E2214))^2+L2214*G2214^2*SIN(RADIANS(E2214))^2)</f>
        <v/>
      </c>
      <c r="R2214" s="28">
        <f>-P2214*SIN(RADIANS(E2214))</f>
        <v/>
      </c>
      <c r="S2214" s="8">
        <f>(O2214+P2214*COS(RADIANS(E2214)))/L2214</f>
        <v/>
      </c>
      <c r="T2214" s="8">
        <f>R2214/L2214</f>
        <v/>
      </c>
      <c r="U2214" s="8">
        <f>(Q2214-P2214*G2214*SIN(RADIANS(E2214)))/M2214</f>
        <v/>
      </c>
      <c r="V2214" s="8">
        <f>SQRT((S2214+U2214)^2+3*T2214^2)</f>
        <v/>
      </c>
      <c r="W2214" s="8">
        <f>V2214/AA2214</f>
        <v/>
      </c>
      <c r="X2214" s="27">
        <f>((3*10+H2214/COS(RADIANS(E2214)))*(3+3)+3*G2214*H2214)*2</f>
        <v/>
      </c>
      <c r="Y2214" s="28">
        <f>Z2214/X2214</f>
        <v/>
      </c>
      <c r="Z2214" s="29" t="n">
        <v>612.59274215774</v>
      </c>
      <c r="AA2214" s="20" t="n">
        <v>46.0208058550071</v>
      </c>
      <c r="AB2214" t="n">
        <v>0.1772993484944336</v>
      </c>
      <c r="AC2214" t="n">
        <v>49.75971529761419</v>
      </c>
      <c r="AD2214" t="n">
        <v>51.47583433362409</v>
      </c>
    </row>
    <row r="2215">
      <c r="A2215" t="n">
        <v>2214</v>
      </c>
      <c r="B2215" t="n">
        <v>58.8</v>
      </c>
      <c r="C2215" s="21">
        <f>B2215-20</f>
        <v/>
      </c>
      <c r="D2215" t="n">
        <v>110.9</v>
      </c>
      <c r="E2215" s="22">
        <f>D2215-90</f>
        <v/>
      </c>
      <c r="F2215" s="23" t="n">
        <v>0.016786</v>
      </c>
      <c r="G2215" s="22" t="n">
        <v>34.2</v>
      </c>
      <c r="H2215" s="22" t="n">
        <v>1.3</v>
      </c>
      <c r="I2215" s="24" t="n">
        <v>0.09369241446256631</v>
      </c>
      <c r="J2215" s="6" t="n">
        <v>71000</v>
      </c>
      <c r="K2215" s="25">
        <f>23*10^-6</f>
        <v/>
      </c>
      <c r="L2215" s="8">
        <f>H2215</f>
        <v/>
      </c>
      <c r="M2215" s="26">
        <f>H2215^2/6</f>
        <v/>
      </c>
      <c r="N2215" s="26">
        <f>H2215^3/12</f>
        <v/>
      </c>
      <c r="O2215" s="27">
        <f>-J2215*L2215*K2215*C2215</f>
        <v/>
      </c>
      <c r="P2215" s="28">
        <f>-(12*F2215*J2215*L2215*N2215+12*O2215*N2215*G2215*COS(RADIANS(E2215)))/(12*N2215*G2215*COS(RADIANS(E2215))^2+L2215*G2215^3*SIN(RADIANS(E2215))^2)</f>
        <v/>
      </c>
      <c r="Q2215" s="28">
        <f>-(6*F2215*J2215*L2215*N2215*SIN(RADIANS(E2215))+6*O2215*N2215*G2215*SIN(RADIANS(E2215))*COS(RADIANS(E2215)))/(12*N2215*COS(RADIANS(E2215))^2+L2215*G2215^2*SIN(RADIANS(E2215))^2)</f>
        <v/>
      </c>
      <c r="R2215" s="28">
        <f>-P2215*SIN(RADIANS(E2215))</f>
        <v/>
      </c>
      <c r="S2215" s="8">
        <f>(O2215+P2215*COS(RADIANS(E2215)))/L2215</f>
        <v/>
      </c>
      <c r="T2215" s="8">
        <f>R2215/L2215</f>
        <v/>
      </c>
      <c r="U2215" s="8">
        <f>(Q2215-P2215*G2215*SIN(RADIANS(E2215)))/M2215</f>
        <v/>
      </c>
      <c r="V2215" s="8">
        <f>SQRT((S2215+U2215)^2+3*T2215^2)</f>
        <v/>
      </c>
      <c r="W2215" s="8">
        <f>V2215/AA2215</f>
        <v/>
      </c>
      <c r="X2215" s="27">
        <f>((3*10+H2215/COS(RADIANS(E2215)))*(3+3)+3*G2215*H2215)*2</f>
        <v/>
      </c>
      <c r="Y2215" s="28">
        <f>Z2215/X2215</f>
        <v/>
      </c>
      <c r="Z2215" s="29" t="n">
        <v>648.5826363841149</v>
      </c>
      <c r="AA2215" s="20" t="n">
        <v>56.5033401673627</v>
      </c>
      <c r="AB2215" t="n">
        <v>0.128177674215105</v>
      </c>
      <c r="AC2215" t="n">
        <v>58.24048932366459</v>
      </c>
      <c r="AD2215" t="n">
        <v>36.80688554174992</v>
      </c>
    </row>
    <row r="2216">
      <c r="A2216" t="n">
        <v>2215</v>
      </c>
      <c r="B2216" t="n">
        <v>60.9</v>
      </c>
      <c r="C2216" s="21">
        <f>B2216-20</f>
        <v/>
      </c>
      <c r="D2216" t="n">
        <v>113.3</v>
      </c>
      <c r="E2216" s="22">
        <f>D2216-90</f>
        <v/>
      </c>
      <c r="F2216" s="23" t="n">
        <v>0.01633</v>
      </c>
      <c r="G2216" s="22" t="n">
        <v>31.6</v>
      </c>
      <c r="H2216" s="22" t="n">
        <v>1</v>
      </c>
      <c r="I2216" s="24" t="n">
        <v>0.08605527132749551</v>
      </c>
      <c r="J2216" s="6" t="n">
        <v>71000</v>
      </c>
      <c r="K2216" s="25">
        <f>23*10^-6</f>
        <v/>
      </c>
      <c r="L2216" s="8">
        <f>H2216</f>
        <v/>
      </c>
      <c r="M2216" s="26">
        <f>H2216^2/6</f>
        <v/>
      </c>
      <c r="N2216" s="26">
        <f>H2216^3/12</f>
        <v/>
      </c>
      <c r="O2216" s="27">
        <f>-J2216*L2216*K2216*C2216</f>
        <v/>
      </c>
      <c r="P2216" s="28">
        <f>-(12*F2216*J2216*L2216*N2216+12*O2216*N2216*G2216*COS(RADIANS(E2216)))/(12*N2216*G2216*COS(RADIANS(E2216))^2+L2216*G2216^3*SIN(RADIANS(E2216))^2)</f>
        <v/>
      </c>
      <c r="Q2216" s="28">
        <f>-(6*F2216*J2216*L2216*N2216*SIN(RADIANS(E2216))+6*O2216*N2216*G2216*SIN(RADIANS(E2216))*COS(RADIANS(E2216)))/(12*N2216*COS(RADIANS(E2216))^2+L2216*G2216^2*SIN(RADIANS(E2216))^2)</f>
        <v/>
      </c>
      <c r="R2216" s="28">
        <f>-P2216*SIN(RADIANS(E2216))</f>
        <v/>
      </c>
      <c r="S2216" s="8">
        <f>(O2216+P2216*COS(RADIANS(E2216)))/L2216</f>
        <v/>
      </c>
      <c r="T2216" s="8">
        <f>R2216/L2216</f>
        <v/>
      </c>
      <c r="U2216" s="8">
        <f>(Q2216-P2216*G2216*SIN(RADIANS(E2216)))/M2216</f>
        <v/>
      </c>
      <c r="V2216" s="8">
        <f>SQRT((S2216+U2216)^2+3*T2216^2)</f>
        <v/>
      </c>
      <c r="W2216" s="8">
        <f>V2216/AA2216</f>
        <v/>
      </c>
      <c r="X2216" s="27">
        <f>((3*10+H2216/COS(RADIANS(E2216)))*(3+3)+3*G2216*H2216)*2</f>
        <v/>
      </c>
      <c r="Y2216" s="28">
        <f>Z2216/X2216</f>
        <v/>
      </c>
      <c r="Z2216" s="29" t="n">
        <v>568.230256136301</v>
      </c>
      <c r="AA2216" s="20" t="n">
        <v>55.6819951613895</v>
      </c>
      <c r="AB2216" t="n">
        <v>0.1124245480829483</v>
      </c>
      <c r="AC2216" t="n">
        <v>59.65561645076752</v>
      </c>
      <c r="AD2216" t="n">
        <v>30.64225624842992</v>
      </c>
    </row>
    <row r="2217">
      <c r="A2217" t="n">
        <v>2216</v>
      </c>
      <c r="B2217" t="n">
        <v>84.3</v>
      </c>
      <c r="C2217" s="21">
        <f>B2217-20</f>
        <v/>
      </c>
      <c r="D2217" t="n">
        <v>129.2</v>
      </c>
      <c r="E2217" s="22">
        <f>D2217-90</f>
        <v/>
      </c>
      <c r="F2217" s="23" t="n">
        <v>0.020928</v>
      </c>
      <c r="G2217" s="22" t="n">
        <v>29.1</v>
      </c>
      <c r="H2217" s="22" t="n">
        <v>1.5</v>
      </c>
      <c r="I2217" s="24" t="n">
        <v>0.0904941484332084</v>
      </c>
      <c r="J2217" s="6" t="n">
        <v>71000</v>
      </c>
      <c r="K2217" s="25">
        <f>23*10^-6</f>
        <v/>
      </c>
      <c r="L2217" s="8">
        <f>H2217</f>
        <v/>
      </c>
      <c r="M2217" s="26">
        <f>H2217^2/6</f>
        <v/>
      </c>
      <c r="N2217" s="26">
        <f>H2217^3/12</f>
        <v/>
      </c>
      <c r="O2217" s="27">
        <f>-J2217*L2217*K2217*C2217</f>
        <v/>
      </c>
      <c r="P2217" s="28">
        <f>-(12*F2217*J2217*L2217*N2217+12*O2217*N2217*G2217*COS(RADIANS(E2217)))/(12*N2217*G2217*COS(RADIANS(E2217))^2+L2217*G2217^3*SIN(RADIANS(E2217))^2)</f>
        <v/>
      </c>
      <c r="Q2217" s="28">
        <f>-(6*F2217*J2217*L2217*N2217*SIN(RADIANS(E2217))+6*O2217*N2217*G2217*SIN(RADIANS(E2217))*COS(RADIANS(E2217)))/(12*N2217*COS(RADIANS(E2217))^2+L2217*G2217^2*SIN(RADIANS(E2217))^2)</f>
        <v/>
      </c>
      <c r="R2217" s="28">
        <f>-P2217*SIN(RADIANS(E2217))</f>
        <v/>
      </c>
      <c r="S2217" s="8">
        <f>(O2217+P2217*COS(RADIANS(E2217)))/L2217</f>
        <v/>
      </c>
      <c r="T2217" s="8">
        <f>R2217/L2217</f>
        <v/>
      </c>
      <c r="U2217" s="8">
        <f>(Q2217-P2217*G2217*SIN(RADIANS(E2217)))/M2217</f>
        <v/>
      </c>
      <c r="V2217" s="8">
        <f>SQRT((S2217+U2217)^2+3*T2217^2)</f>
        <v/>
      </c>
      <c r="W2217" s="8">
        <f>V2217/AA2217</f>
        <v/>
      </c>
      <c r="X2217" s="27">
        <f>((3*10+H2217/COS(RADIANS(E2217)))*(3+3)+3*G2217*H2217)*2</f>
        <v/>
      </c>
      <c r="Y2217" s="28">
        <f>Z2217/X2217</f>
        <v/>
      </c>
      <c r="Z2217" s="29" t="n">
        <v>655.531059798019</v>
      </c>
      <c r="AA2217" s="20" t="n">
        <v>92.01644932774229</v>
      </c>
      <c r="AB2217" t="n">
        <v>0.09331156489996972</v>
      </c>
      <c r="AC2217" t="n">
        <v>92.30978967720091</v>
      </c>
      <c r="AD2217" t="n">
        <v>3.113368671390721</v>
      </c>
    </row>
    <row r="2218">
      <c r="A2218" t="n">
        <v>2217</v>
      </c>
      <c r="B2218" t="n">
        <v>79.7</v>
      </c>
      <c r="C2218" s="21">
        <f>B2218-20</f>
        <v/>
      </c>
      <c r="D2218" t="n">
        <v>126.4</v>
      </c>
      <c r="E2218" s="22">
        <f>D2218-90</f>
        <v/>
      </c>
      <c r="F2218" s="23" t="n">
        <v>0.021777</v>
      </c>
      <c r="G2218" s="22" t="n">
        <v>32.3</v>
      </c>
      <c r="H2218" s="22" t="n">
        <v>1.7</v>
      </c>
      <c r="I2218" s="24" t="n">
        <v>0.09420137852430339</v>
      </c>
      <c r="J2218" s="6" t="n">
        <v>71000</v>
      </c>
      <c r="K2218" s="25">
        <f>23*10^-6</f>
        <v/>
      </c>
      <c r="L2218" s="8">
        <f>H2218</f>
        <v/>
      </c>
      <c r="M2218" s="26">
        <f>H2218^2/6</f>
        <v/>
      </c>
      <c r="N2218" s="26">
        <f>H2218^3/12</f>
        <v/>
      </c>
      <c r="O2218" s="27">
        <f>-J2218*L2218*K2218*C2218</f>
        <v/>
      </c>
      <c r="P2218" s="28">
        <f>-(12*F2218*J2218*L2218*N2218+12*O2218*N2218*G2218*COS(RADIANS(E2218)))/(12*N2218*G2218*COS(RADIANS(E2218))^2+L2218*G2218^3*SIN(RADIANS(E2218))^2)</f>
        <v/>
      </c>
      <c r="Q2218" s="28">
        <f>-(6*F2218*J2218*L2218*N2218*SIN(RADIANS(E2218))+6*O2218*N2218*G2218*SIN(RADIANS(E2218))*COS(RADIANS(E2218)))/(12*N2218*COS(RADIANS(E2218))^2+L2218*G2218^2*SIN(RADIANS(E2218))^2)</f>
        <v/>
      </c>
      <c r="R2218" s="28">
        <f>-P2218*SIN(RADIANS(E2218))</f>
        <v/>
      </c>
      <c r="S2218" s="8">
        <f>(O2218+P2218*COS(RADIANS(E2218)))/L2218</f>
        <v/>
      </c>
      <c r="T2218" s="8">
        <f>R2218/L2218</f>
        <v/>
      </c>
      <c r="U2218" s="8">
        <f>(Q2218-P2218*G2218*SIN(RADIANS(E2218)))/M2218</f>
        <v/>
      </c>
      <c r="V2218" s="8">
        <f>SQRT((S2218+U2218)^2+3*T2218^2)</f>
        <v/>
      </c>
      <c r="W2218" s="8">
        <f>V2218/AA2218</f>
        <v/>
      </c>
      <c r="X2218" s="27">
        <f>((3*10+H2218/COS(RADIANS(E2218)))*(3+3)+3*G2218*H2218)*2</f>
        <v/>
      </c>
      <c r="Y2218" s="28">
        <f>Z2218/X2218</f>
        <v/>
      </c>
      <c r="Z2218" s="29" t="n">
        <v>724.056186415965</v>
      </c>
      <c r="AA2218" s="20" t="n">
        <v>89.1336592214888</v>
      </c>
      <c r="AB2218" t="n">
        <v>0.1036661303554681</v>
      </c>
      <c r="AC2218" t="n">
        <v>86.68861379069976</v>
      </c>
      <c r="AD2218" t="n">
        <v>10.04736021853741</v>
      </c>
    </row>
    <row r="2219">
      <c r="A2219" t="n">
        <v>2218</v>
      </c>
      <c r="B2219" t="n">
        <v>83.90000000000001</v>
      </c>
      <c r="C2219" s="21">
        <f>B2219-20</f>
        <v/>
      </c>
      <c r="D2219" t="n">
        <v>119.7</v>
      </c>
      <c r="E2219" s="22">
        <f>D2219-90</f>
        <v/>
      </c>
      <c r="F2219" s="23" t="n">
        <v>0.019241</v>
      </c>
      <c r="G2219" s="22" t="n">
        <v>23.5</v>
      </c>
      <c r="H2219" s="22" t="n">
        <v>1</v>
      </c>
      <c r="I2219" s="24" t="n">
        <v>0.093358427286148</v>
      </c>
      <c r="J2219" s="6" t="n">
        <v>71000</v>
      </c>
      <c r="K2219" s="25">
        <f>23*10^-6</f>
        <v/>
      </c>
      <c r="L2219" s="8">
        <f>H2219</f>
        <v/>
      </c>
      <c r="M2219" s="26">
        <f>H2219^2/6</f>
        <v/>
      </c>
      <c r="N2219" s="26">
        <f>H2219^3/12</f>
        <v/>
      </c>
      <c r="O2219" s="27">
        <f>-J2219*L2219*K2219*C2219</f>
        <v/>
      </c>
      <c r="P2219" s="28">
        <f>-(12*F2219*J2219*L2219*N2219+12*O2219*N2219*G2219*COS(RADIANS(E2219)))/(12*N2219*G2219*COS(RADIANS(E2219))^2+L2219*G2219^3*SIN(RADIANS(E2219))^2)</f>
        <v/>
      </c>
      <c r="Q2219" s="28">
        <f>-(6*F2219*J2219*L2219*N2219*SIN(RADIANS(E2219))+6*O2219*N2219*G2219*SIN(RADIANS(E2219))*COS(RADIANS(E2219)))/(12*N2219*COS(RADIANS(E2219))^2+L2219*G2219^2*SIN(RADIANS(E2219))^2)</f>
        <v/>
      </c>
      <c r="R2219" s="28">
        <f>-P2219*SIN(RADIANS(E2219))</f>
        <v/>
      </c>
      <c r="S2219" s="8">
        <f>(O2219+P2219*COS(RADIANS(E2219)))/L2219</f>
        <v/>
      </c>
      <c r="T2219" s="8">
        <f>R2219/L2219</f>
        <v/>
      </c>
      <c r="U2219" s="8">
        <f>(Q2219-P2219*G2219*SIN(RADIANS(E2219)))/M2219</f>
        <v/>
      </c>
      <c r="V2219" s="8">
        <f>SQRT((S2219+U2219)^2+3*T2219^2)</f>
        <v/>
      </c>
      <c r="W2219" s="8">
        <f>V2219/AA2219</f>
        <v/>
      </c>
      <c r="X2219" s="27">
        <f>((3*10+H2219/COS(RADIANS(E2219)))*(3+3)+3*G2219*H2219)*2</f>
        <v/>
      </c>
      <c r="Y2219" s="28">
        <f>Z2219/X2219</f>
        <v/>
      </c>
      <c r="Z2219" s="29" t="n">
        <v>521.878130766969</v>
      </c>
      <c r="AA2219" s="20" t="n">
        <v>87.72419157644561</v>
      </c>
      <c r="AB2219" t="n">
        <v>0.1028082948835941</v>
      </c>
      <c r="AC2219" t="n">
        <v>92.50643461416924</v>
      </c>
      <c r="AD2219" t="n">
        <v>10.12213666419397</v>
      </c>
    </row>
    <row r="2220">
      <c r="A2220" t="n">
        <v>2219</v>
      </c>
      <c r="B2220" t="n">
        <v>43.4</v>
      </c>
      <c r="C2220" s="21">
        <f>B2220-20</f>
        <v/>
      </c>
      <c r="D2220" t="n">
        <v>121.4</v>
      </c>
      <c r="E2220" s="22">
        <f>D2220-90</f>
        <v/>
      </c>
      <c r="F2220" s="23" t="n">
        <v>0.00645</v>
      </c>
      <c r="G2220" s="22" t="n">
        <v>21.3</v>
      </c>
      <c r="H2220" s="22" t="n">
        <v>1.3</v>
      </c>
      <c r="I2220" s="24" t="n">
        <v>0.0310941617935895</v>
      </c>
      <c r="J2220" s="6" t="n">
        <v>71000</v>
      </c>
      <c r="K2220" s="25">
        <f>23*10^-6</f>
        <v/>
      </c>
      <c r="L2220" s="8">
        <f>H2220</f>
        <v/>
      </c>
      <c r="M2220" s="26">
        <f>H2220^2/6</f>
        <v/>
      </c>
      <c r="N2220" s="26">
        <f>H2220^3/12</f>
        <v/>
      </c>
      <c r="O2220" s="27">
        <f>-J2220*L2220*K2220*C2220</f>
        <v/>
      </c>
      <c r="P2220" s="28">
        <f>-(12*F2220*J2220*L2220*N2220+12*O2220*N2220*G2220*COS(RADIANS(E2220)))/(12*N2220*G2220*COS(RADIANS(E2220))^2+L2220*G2220^3*SIN(RADIANS(E2220))^2)</f>
        <v/>
      </c>
      <c r="Q2220" s="28">
        <f>-(6*F2220*J2220*L2220*N2220*SIN(RADIANS(E2220))+6*O2220*N2220*G2220*SIN(RADIANS(E2220))*COS(RADIANS(E2220)))/(12*N2220*COS(RADIANS(E2220))^2+L2220*G2220^2*SIN(RADIANS(E2220))^2)</f>
        <v/>
      </c>
      <c r="R2220" s="28">
        <f>-P2220*SIN(RADIANS(E2220))</f>
        <v/>
      </c>
      <c r="S2220" s="8">
        <f>(O2220+P2220*COS(RADIANS(E2220)))/L2220</f>
        <v/>
      </c>
      <c r="T2220" s="8">
        <f>R2220/L2220</f>
        <v/>
      </c>
      <c r="U2220" s="8">
        <f>(Q2220-P2220*G2220*SIN(RADIANS(E2220)))/M2220</f>
        <v/>
      </c>
      <c r="V2220" s="8">
        <f>SQRT((S2220+U2220)^2+3*T2220^2)</f>
        <v/>
      </c>
      <c r="W2220" s="8">
        <f>V2220/AA2220</f>
        <v/>
      </c>
      <c r="X2220" s="27">
        <f>((3*10+H2220/COS(RADIANS(E2220)))*(3+3)+3*G2220*H2220)*2</f>
        <v/>
      </c>
      <c r="Y2220" s="28">
        <f>Z2220/X2220</f>
        <v/>
      </c>
      <c r="Z2220" s="29" t="n">
        <v>551.968056204067</v>
      </c>
      <c r="AA2220" s="20" t="n">
        <v>34.6206994949387</v>
      </c>
      <c r="AB2220" t="n">
        <v>0.03220889764971918</v>
      </c>
      <c r="AC2220" t="n">
        <v>34.50404077185232</v>
      </c>
      <c r="AD2220" t="n">
        <v>3.585032661531663</v>
      </c>
    </row>
    <row r="2221">
      <c r="A2221" t="n">
        <v>2220</v>
      </c>
      <c r="B2221" t="n">
        <v>40.3</v>
      </c>
      <c r="C2221" s="21">
        <f>B2221-20</f>
        <v/>
      </c>
      <c r="D2221" t="n">
        <v>117.4</v>
      </c>
      <c r="E2221" s="22">
        <f>D2221-90</f>
        <v/>
      </c>
      <c r="F2221" s="23" t="n">
        <v>0.007655</v>
      </c>
      <c r="G2221" s="22" t="n">
        <v>30.5</v>
      </c>
      <c r="H2221" s="22" t="n">
        <v>1.5</v>
      </c>
      <c r="I2221" s="24" t="n">
        <v>0.037096943706274</v>
      </c>
      <c r="J2221" s="6" t="n">
        <v>71000</v>
      </c>
      <c r="K2221" s="25">
        <f>23*10^-6</f>
        <v/>
      </c>
      <c r="L2221" s="8">
        <f>H2221</f>
        <v/>
      </c>
      <c r="M2221" s="26">
        <f>H2221^2/6</f>
        <v/>
      </c>
      <c r="N2221" s="26">
        <f>H2221^3/12</f>
        <v/>
      </c>
      <c r="O2221" s="27">
        <f>-J2221*L2221*K2221*C2221</f>
        <v/>
      </c>
      <c r="P2221" s="28">
        <f>-(12*F2221*J2221*L2221*N2221+12*O2221*N2221*G2221*COS(RADIANS(E2221)))/(12*N2221*G2221*COS(RADIANS(E2221))^2+L2221*G2221^3*SIN(RADIANS(E2221))^2)</f>
        <v/>
      </c>
      <c r="Q2221" s="28">
        <f>-(6*F2221*J2221*L2221*N2221*SIN(RADIANS(E2221))+6*O2221*N2221*G2221*SIN(RADIANS(E2221))*COS(RADIANS(E2221)))/(12*N2221*COS(RADIANS(E2221))^2+L2221*G2221^2*SIN(RADIANS(E2221))^2)</f>
        <v/>
      </c>
      <c r="R2221" s="28">
        <f>-P2221*SIN(RADIANS(E2221))</f>
        <v/>
      </c>
      <c r="S2221" s="8">
        <f>(O2221+P2221*COS(RADIANS(E2221)))/L2221</f>
        <v/>
      </c>
      <c r="T2221" s="8">
        <f>R2221/L2221</f>
        <v/>
      </c>
      <c r="U2221" s="8">
        <f>(Q2221-P2221*G2221*SIN(RADIANS(E2221)))/M2221</f>
        <v/>
      </c>
      <c r="V2221" s="8">
        <f>SQRT((S2221+U2221)^2+3*T2221^2)</f>
        <v/>
      </c>
      <c r="W2221" s="8">
        <f>V2221/AA2221</f>
        <v/>
      </c>
      <c r="X2221" s="27">
        <f>((3*10+H2221/COS(RADIANS(E2221)))*(3+3)+3*G2221*H2221)*2</f>
        <v/>
      </c>
      <c r="Y2221" s="28">
        <f>Z2221/X2221</f>
        <v/>
      </c>
      <c r="Z2221" s="29" t="n">
        <v>661.2407618178499</v>
      </c>
      <c r="AA2221" s="20" t="n">
        <v>30.279675643544</v>
      </c>
      <c r="AB2221" t="n">
        <v>0.04526881942721099</v>
      </c>
      <c r="AC2221" t="n">
        <v>30.20394859613351</v>
      </c>
      <c r="AD2221" t="n">
        <v>22.0284338937467</v>
      </c>
    </row>
    <row r="2222">
      <c r="A2222" t="n">
        <v>2221</v>
      </c>
      <c r="B2222" t="n">
        <v>53</v>
      </c>
      <c r="C2222" s="21">
        <f>B2222-20</f>
        <v/>
      </c>
      <c r="D2222" t="n">
        <v>105.1</v>
      </c>
      <c r="E2222" s="22">
        <f>D2222-90</f>
        <v/>
      </c>
      <c r="F2222" s="23" t="n">
        <v>0.014715</v>
      </c>
      <c r="G2222" s="22" t="n">
        <v>34.3</v>
      </c>
      <c r="H2222" s="22" t="n">
        <v>1.9</v>
      </c>
      <c r="I2222" s="24" t="n">
        <v>0.101782701909542</v>
      </c>
      <c r="J2222" s="6" t="n">
        <v>71000</v>
      </c>
      <c r="K2222" s="25">
        <f>23*10^-6</f>
        <v/>
      </c>
      <c r="L2222" s="8">
        <f>H2222</f>
        <v/>
      </c>
      <c r="M2222" s="26">
        <f>H2222^2/6</f>
        <v/>
      </c>
      <c r="N2222" s="26">
        <f>H2222^3/12</f>
        <v/>
      </c>
      <c r="O2222" s="27">
        <f>-J2222*L2222*K2222*C2222</f>
        <v/>
      </c>
      <c r="P2222" s="28">
        <f>-(12*F2222*J2222*L2222*N2222+12*O2222*N2222*G2222*COS(RADIANS(E2222)))/(12*N2222*G2222*COS(RADIANS(E2222))^2+L2222*G2222^3*SIN(RADIANS(E2222))^2)</f>
        <v/>
      </c>
      <c r="Q2222" s="28">
        <f>-(6*F2222*J2222*L2222*N2222*SIN(RADIANS(E2222))+6*O2222*N2222*G2222*SIN(RADIANS(E2222))*COS(RADIANS(E2222)))/(12*N2222*COS(RADIANS(E2222))^2+L2222*G2222^2*SIN(RADIANS(E2222))^2)</f>
        <v/>
      </c>
      <c r="R2222" s="28">
        <f>-P2222*SIN(RADIANS(E2222))</f>
        <v/>
      </c>
      <c r="S2222" s="8">
        <f>(O2222+P2222*COS(RADIANS(E2222)))/L2222</f>
        <v/>
      </c>
      <c r="T2222" s="8">
        <f>R2222/L2222</f>
        <v/>
      </c>
      <c r="U2222" s="8">
        <f>(Q2222-P2222*G2222*SIN(RADIANS(E2222)))/M2222</f>
        <v/>
      </c>
      <c r="V2222" s="8">
        <f>SQRT((S2222+U2222)^2+3*T2222^2)</f>
        <v/>
      </c>
      <c r="W2222" s="8">
        <f>V2222/AA2222</f>
        <v/>
      </c>
      <c r="X2222" s="27">
        <f>((3*10+H2222/COS(RADIANS(E2222)))*(3+3)+3*G2222*H2222)*2</f>
        <v/>
      </c>
      <c r="Y2222" s="28">
        <f>Z2222/X2222</f>
        <v/>
      </c>
      <c r="Z2222" s="29" t="n">
        <v>778.927297621458</v>
      </c>
      <c r="AA2222" s="20" t="n">
        <v>55.8506398282153</v>
      </c>
      <c r="AB2222" t="n">
        <v>0.1480652610824386</v>
      </c>
      <c r="AC2222" t="n">
        <v>54.43966462682988</v>
      </c>
      <c r="AD2222" t="n">
        <v>45.47193020482951</v>
      </c>
    </row>
    <row r="2223">
      <c r="A2223" t="n">
        <v>2222</v>
      </c>
      <c r="B2223" t="n">
        <v>59.5</v>
      </c>
      <c r="C2223" s="21">
        <f>B2223-20</f>
        <v/>
      </c>
      <c r="D2223" t="n">
        <v>103.1</v>
      </c>
      <c r="E2223" s="22">
        <f>D2223-90</f>
        <v/>
      </c>
      <c r="F2223" s="23" t="n">
        <v>0.014236</v>
      </c>
      <c r="G2223" s="22" t="n">
        <v>26.3</v>
      </c>
      <c r="H2223" s="22" t="n">
        <v>2</v>
      </c>
      <c r="I2223" s="24" t="n">
        <v>0.108164750039577</v>
      </c>
      <c r="J2223" s="6" t="n">
        <v>71000</v>
      </c>
      <c r="K2223" s="25">
        <f>23*10^-6</f>
        <v/>
      </c>
      <c r="L2223" s="8">
        <f>H2223</f>
        <v/>
      </c>
      <c r="M2223" s="26">
        <f>H2223^2/6</f>
        <v/>
      </c>
      <c r="N2223" s="26">
        <f>H2223^3/12</f>
        <v/>
      </c>
      <c r="O2223" s="27">
        <f>-J2223*L2223*K2223*C2223</f>
        <v/>
      </c>
      <c r="P2223" s="28">
        <f>-(12*F2223*J2223*L2223*N2223+12*O2223*N2223*G2223*COS(RADIANS(E2223)))/(12*N2223*G2223*COS(RADIANS(E2223))^2+L2223*G2223^3*SIN(RADIANS(E2223))^2)</f>
        <v/>
      </c>
      <c r="Q2223" s="28">
        <f>-(6*F2223*J2223*L2223*N2223*SIN(RADIANS(E2223))+6*O2223*N2223*G2223*SIN(RADIANS(E2223))*COS(RADIANS(E2223)))/(12*N2223*COS(RADIANS(E2223))^2+L2223*G2223^2*SIN(RADIANS(E2223))^2)</f>
        <v/>
      </c>
      <c r="R2223" s="28">
        <f>-P2223*SIN(RADIANS(E2223))</f>
        <v/>
      </c>
      <c r="S2223" s="8">
        <f>(O2223+P2223*COS(RADIANS(E2223)))/L2223</f>
        <v/>
      </c>
      <c r="T2223" s="8">
        <f>R2223/L2223</f>
        <v/>
      </c>
      <c r="U2223" s="8">
        <f>(Q2223-P2223*G2223*SIN(RADIANS(E2223)))/M2223</f>
        <v/>
      </c>
      <c r="V2223" s="8">
        <f>SQRT((S2223+U2223)^2+3*T2223^2)</f>
        <v/>
      </c>
      <c r="W2223" s="8">
        <f>V2223/AA2223</f>
        <v/>
      </c>
      <c r="X2223" s="27">
        <f>((3*10+H2223/COS(RADIANS(E2223)))*(3+3)+3*G2223*H2223)*2</f>
        <v/>
      </c>
      <c r="Y2223" s="28">
        <f>Z2223/X2223</f>
        <v/>
      </c>
      <c r="Z2223" s="29" t="n">
        <v>704.316159563561</v>
      </c>
      <c r="AA2223" s="20" t="n">
        <v>73.09254416603331</v>
      </c>
      <c r="AB2223" t="n">
        <v>0.1502035849081513</v>
      </c>
      <c r="AC2223" t="n">
        <v>69.31549752814657</v>
      </c>
      <c r="AD2223" t="n">
        <v>38.86555911532406</v>
      </c>
    </row>
    <row r="2224">
      <c r="A2224" t="n">
        <v>2223</v>
      </c>
      <c r="B2224" t="n">
        <v>86.5</v>
      </c>
      <c r="C2224" s="21">
        <f>B2224-20</f>
        <v/>
      </c>
      <c r="D2224" t="n">
        <v>104.8</v>
      </c>
      <c r="E2224" s="22">
        <f>D2224-90</f>
        <v/>
      </c>
      <c r="F2224" s="23" t="n">
        <v>0.028296</v>
      </c>
      <c r="G2224" s="22" t="n">
        <v>32.4</v>
      </c>
      <c r="H2224" s="22" t="n">
        <v>1.2</v>
      </c>
      <c r="I2224" s="24" t="n">
        <v>0.202972948551177</v>
      </c>
      <c r="J2224" s="6" t="n">
        <v>71000</v>
      </c>
      <c r="K2224" s="25">
        <f>23*10^-6</f>
        <v/>
      </c>
      <c r="L2224" s="8">
        <f>H2224</f>
        <v/>
      </c>
      <c r="M2224" s="26">
        <f>H2224^2/6</f>
        <v/>
      </c>
      <c r="N2224" s="26">
        <f>H2224^3/12</f>
        <v/>
      </c>
      <c r="O2224" s="27">
        <f>-J2224*L2224*K2224*C2224</f>
        <v/>
      </c>
      <c r="P2224" s="28">
        <f>-(12*F2224*J2224*L2224*N2224+12*O2224*N2224*G2224*COS(RADIANS(E2224)))/(12*N2224*G2224*COS(RADIANS(E2224))^2+L2224*G2224^3*SIN(RADIANS(E2224))^2)</f>
        <v/>
      </c>
      <c r="Q2224" s="28">
        <f>-(6*F2224*J2224*L2224*N2224*SIN(RADIANS(E2224))+6*O2224*N2224*G2224*SIN(RADIANS(E2224))*COS(RADIANS(E2224)))/(12*N2224*COS(RADIANS(E2224))^2+L2224*G2224^2*SIN(RADIANS(E2224))^2)</f>
        <v/>
      </c>
      <c r="R2224" s="28">
        <f>-P2224*SIN(RADIANS(E2224))</f>
        <v/>
      </c>
      <c r="S2224" s="8">
        <f>(O2224+P2224*COS(RADIANS(E2224)))/L2224</f>
        <v/>
      </c>
      <c r="T2224" s="8">
        <f>R2224/L2224</f>
        <v/>
      </c>
      <c r="U2224" s="8">
        <f>(Q2224-P2224*G2224*SIN(RADIANS(E2224)))/M2224</f>
        <v/>
      </c>
      <c r="V2224" s="8">
        <f>SQRT((S2224+U2224)^2+3*T2224^2)</f>
        <v/>
      </c>
      <c r="W2224" s="8">
        <f>V2224/AA2224</f>
        <v/>
      </c>
      <c r="X2224" s="27">
        <f>((3*10+H2224/COS(RADIANS(E2224)))*(3+3)+3*G2224*H2224)*2</f>
        <v/>
      </c>
      <c r="Y2224" s="28">
        <f>Z2224/X2224</f>
        <v/>
      </c>
      <c r="Z2224" s="29" t="n">
        <v>612.431328039402</v>
      </c>
      <c r="AA2224" s="20" t="n">
        <v>97.3853973287404</v>
      </c>
      <c r="AB2224" t="n">
        <v>0.2951473020261692</v>
      </c>
      <c r="AC2224" t="n">
        <v>103.6950245342452</v>
      </c>
      <c r="AD2224" t="n">
        <v>45.41213700295222</v>
      </c>
    </row>
    <row r="2225">
      <c r="A2225" t="n">
        <v>2224</v>
      </c>
      <c r="B2225" t="n">
        <v>47.7</v>
      </c>
      <c r="C2225" s="21">
        <f>B2225-20</f>
        <v/>
      </c>
      <c r="D2225" t="n">
        <v>112.2</v>
      </c>
      <c r="E2225" s="22">
        <f>D2225-90</f>
        <v/>
      </c>
      <c r="F2225" s="23" t="n">
        <v>0.008356000000000001</v>
      </c>
      <c r="G2225" s="22" t="n">
        <v>22.1</v>
      </c>
      <c r="H2225" s="22" t="n">
        <v>1.8</v>
      </c>
      <c r="I2225" s="24" t="n">
        <v>0.0470949932932853</v>
      </c>
      <c r="J2225" s="6" t="n">
        <v>71000</v>
      </c>
      <c r="K2225" s="25">
        <f>23*10^-6</f>
        <v/>
      </c>
      <c r="L2225" s="8">
        <f>H2225</f>
        <v/>
      </c>
      <c r="M2225" s="26">
        <f>H2225^2/6</f>
        <v/>
      </c>
      <c r="N2225" s="26">
        <f>H2225^3/12</f>
        <v/>
      </c>
      <c r="O2225" s="27">
        <f>-J2225*L2225*K2225*C2225</f>
        <v/>
      </c>
      <c r="P2225" s="28">
        <f>-(12*F2225*J2225*L2225*N2225+12*O2225*N2225*G2225*COS(RADIANS(E2225)))/(12*N2225*G2225*COS(RADIANS(E2225))^2+L2225*G2225^3*SIN(RADIANS(E2225))^2)</f>
        <v/>
      </c>
      <c r="Q2225" s="28">
        <f>-(6*F2225*J2225*L2225*N2225*SIN(RADIANS(E2225))+6*O2225*N2225*G2225*SIN(RADIANS(E2225))*COS(RADIANS(E2225)))/(12*N2225*COS(RADIANS(E2225))^2+L2225*G2225^2*SIN(RADIANS(E2225))^2)</f>
        <v/>
      </c>
      <c r="R2225" s="28">
        <f>-P2225*SIN(RADIANS(E2225))</f>
        <v/>
      </c>
      <c r="S2225" s="8">
        <f>(O2225+P2225*COS(RADIANS(E2225)))/L2225</f>
        <v/>
      </c>
      <c r="T2225" s="8">
        <f>R2225/L2225</f>
        <v/>
      </c>
      <c r="U2225" s="8">
        <f>(Q2225-P2225*G2225*SIN(RADIANS(E2225)))/M2225</f>
        <v/>
      </c>
      <c r="V2225" s="8">
        <f>SQRT((S2225+U2225)^2+3*T2225^2)</f>
        <v/>
      </c>
      <c r="W2225" s="8">
        <f>V2225/AA2225</f>
        <v/>
      </c>
      <c r="X2225" s="27">
        <f>((3*10+H2225/COS(RADIANS(E2225)))*(3+3)+3*G2225*H2225)*2</f>
        <v/>
      </c>
      <c r="Y2225" s="28">
        <f>Z2225/X2225</f>
        <v/>
      </c>
      <c r="Z2225" s="29" t="n">
        <v>627.364573035996</v>
      </c>
      <c r="AA2225" s="20" t="n">
        <v>46.905371808599</v>
      </c>
      <c r="AB2225" t="n">
        <v>0.05539761604423506</v>
      </c>
      <c r="AC2225" t="n">
        <v>44.38517379649187</v>
      </c>
      <c r="AD2225" t="n">
        <v>17.62952316235604</v>
      </c>
    </row>
    <row r="2226">
      <c r="A2226" t="n">
        <v>2225</v>
      </c>
      <c r="B2226" t="n">
        <v>62.3</v>
      </c>
      <c r="C2226" s="21">
        <f>B2226-20</f>
        <v/>
      </c>
      <c r="D2226" t="n">
        <v>101.2</v>
      </c>
      <c r="E2226" s="22">
        <f>D2226-90</f>
        <v/>
      </c>
      <c r="F2226" s="23" t="n">
        <v>0.013253</v>
      </c>
      <c r="G2226" s="22" t="n">
        <v>21.9</v>
      </c>
      <c r="H2226" s="22" t="n">
        <v>1.6</v>
      </c>
      <c r="I2226" s="24" t="n">
        <v>0.113604813814163</v>
      </c>
      <c r="J2226" s="6" t="n">
        <v>71000</v>
      </c>
      <c r="K2226" s="25">
        <f>23*10^-6</f>
        <v/>
      </c>
      <c r="L2226" s="8">
        <f>H2226</f>
        <v/>
      </c>
      <c r="M2226" s="26">
        <f>H2226^2/6</f>
        <v/>
      </c>
      <c r="N2226" s="26">
        <f>H2226^3/12</f>
        <v/>
      </c>
      <c r="O2226" s="27">
        <f>-J2226*L2226*K2226*C2226</f>
        <v/>
      </c>
      <c r="P2226" s="28">
        <f>-(12*F2226*J2226*L2226*N2226+12*O2226*N2226*G2226*COS(RADIANS(E2226)))/(12*N2226*G2226*COS(RADIANS(E2226))^2+L2226*G2226^3*SIN(RADIANS(E2226))^2)</f>
        <v/>
      </c>
      <c r="Q2226" s="28">
        <f>-(6*F2226*J2226*L2226*N2226*SIN(RADIANS(E2226))+6*O2226*N2226*G2226*SIN(RADIANS(E2226))*COS(RADIANS(E2226)))/(12*N2226*COS(RADIANS(E2226))^2+L2226*G2226^2*SIN(RADIANS(E2226))^2)</f>
        <v/>
      </c>
      <c r="R2226" s="28">
        <f>-P2226*SIN(RADIANS(E2226))</f>
        <v/>
      </c>
      <c r="S2226" s="8">
        <f>(O2226+P2226*COS(RADIANS(E2226)))/L2226</f>
        <v/>
      </c>
      <c r="T2226" s="8">
        <f>R2226/L2226</f>
        <v/>
      </c>
      <c r="U2226" s="8">
        <f>(Q2226-P2226*G2226*SIN(RADIANS(E2226)))/M2226</f>
        <v/>
      </c>
      <c r="V2226" s="8">
        <f>SQRT((S2226+U2226)^2+3*T2226^2)</f>
        <v/>
      </c>
      <c r="W2226" s="8">
        <f>V2226/AA2226</f>
        <v/>
      </c>
      <c r="X2226" s="27">
        <f>((3*10+H2226/COS(RADIANS(E2226)))*(3+3)+3*G2226*H2226)*2</f>
        <v/>
      </c>
      <c r="Y2226" s="28">
        <f>Z2226/X2226</f>
        <v/>
      </c>
      <c r="Z2226" s="29" t="n">
        <v>593.712339783795</v>
      </c>
      <c r="AA2226" s="20" t="n">
        <v>87.7296927718014</v>
      </c>
      <c r="AB2226" t="n">
        <v>0.1551469027174143</v>
      </c>
      <c r="AC2226" t="n">
        <v>74.58235999960644</v>
      </c>
      <c r="AD2226" t="n">
        <v>36.56719069247074</v>
      </c>
    </row>
    <row r="2227">
      <c r="A2227" t="n">
        <v>2226</v>
      </c>
      <c r="B2227" t="n">
        <v>58.3</v>
      </c>
      <c r="C2227" s="21">
        <f>B2227-20</f>
        <v/>
      </c>
      <c r="D2227" t="n">
        <v>114</v>
      </c>
      <c r="E2227" s="22">
        <f>D2227-90</f>
        <v/>
      </c>
      <c r="F2227" s="23" t="n">
        <v>0.015224</v>
      </c>
      <c r="G2227" s="22" t="n">
        <v>31.6</v>
      </c>
      <c r="H2227" s="22" t="n">
        <v>1.5</v>
      </c>
      <c r="I2227" s="24" t="n">
        <v>0.07879010587930679</v>
      </c>
      <c r="J2227" s="6" t="n">
        <v>71000</v>
      </c>
      <c r="K2227" s="25">
        <f>23*10^-6</f>
        <v/>
      </c>
      <c r="L2227" s="8">
        <f>H2227</f>
        <v/>
      </c>
      <c r="M2227" s="26">
        <f>H2227^2/6</f>
        <v/>
      </c>
      <c r="N2227" s="26">
        <f>H2227^3/12</f>
        <v/>
      </c>
      <c r="O2227" s="27">
        <f>-J2227*L2227*K2227*C2227</f>
        <v/>
      </c>
      <c r="P2227" s="28">
        <f>-(12*F2227*J2227*L2227*N2227+12*O2227*N2227*G2227*COS(RADIANS(E2227)))/(12*N2227*G2227*COS(RADIANS(E2227))^2+L2227*G2227^3*SIN(RADIANS(E2227))^2)</f>
        <v/>
      </c>
      <c r="Q2227" s="28">
        <f>-(6*F2227*J2227*L2227*N2227*SIN(RADIANS(E2227))+6*O2227*N2227*G2227*SIN(RADIANS(E2227))*COS(RADIANS(E2227)))/(12*N2227*COS(RADIANS(E2227))^2+L2227*G2227^2*SIN(RADIANS(E2227))^2)</f>
        <v/>
      </c>
      <c r="R2227" s="28">
        <f>-P2227*SIN(RADIANS(E2227))</f>
        <v/>
      </c>
      <c r="S2227" s="8">
        <f>(O2227+P2227*COS(RADIANS(E2227)))/L2227</f>
        <v/>
      </c>
      <c r="T2227" s="8">
        <f>R2227/L2227</f>
        <v/>
      </c>
      <c r="U2227" s="8">
        <f>(Q2227-P2227*G2227*SIN(RADIANS(E2227)))/M2227</f>
        <v/>
      </c>
      <c r="V2227" s="8">
        <f>SQRT((S2227+U2227)^2+3*T2227^2)</f>
        <v/>
      </c>
      <c r="W2227" s="8">
        <f>V2227/AA2227</f>
        <v/>
      </c>
      <c r="X2227" s="27">
        <f>((3*10+H2227/COS(RADIANS(E2227)))*(3+3)+3*G2227*H2227)*2</f>
        <v/>
      </c>
      <c r="Y2227" s="28">
        <f>Z2227/X2227</f>
        <v/>
      </c>
      <c r="Z2227" s="29" t="n">
        <v>669.808353082896</v>
      </c>
      <c r="AA2227" s="20" t="n">
        <v>57.6117172492065</v>
      </c>
      <c r="AB2227" t="n">
        <v>0.1014026530442995</v>
      </c>
      <c r="AC2227" t="n">
        <v>57.73880946613306</v>
      </c>
      <c r="AD2227" t="n">
        <v>28.69972937925905</v>
      </c>
    </row>
    <row r="2228">
      <c r="A2228" t="n">
        <v>2227</v>
      </c>
      <c r="B2228" t="n">
        <v>89.90000000000001</v>
      </c>
      <c r="C2228" s="21">
        <f>B2228-20</f>
        <v/>
      </c>
      <c r="D2228" t="n">
        <v>113.1</v>
      </c>
      <c r="E2228" s="22">
        <f>D2228-90</f>
        <v/>
      </c>
      <c r="F2228" s="23" t="n">
        <v>0.028383</v>
      </c>
      <c r="G2228" s="22" t="n">
        <v>32.2</v>
      </c>
      <c r="H2228" s="22" t="n">
        <v>1.6</v>
      </c>
      <c r="I2228" s="24" t="n">
        <v>0.149771094322204</v>
      </c>
      <c r="J2228" s="6" t="n">
        <v>71000</v>
      </c>
      <c r="K2228" s="25">
        <f>23*10^-6</f>
        <v/>
      </c>
      <c r="L2228" s="8">
        <f>H2228</f>
        <v/>
      </c>
      <c r="M2228" s="26">
        <f>H2228^2/6</f>
        <v/>
      </c>
      <c r="N2228" s="26">
        <f>H2228^3/12</f>
        <v/>
      </c>
      <c r="O2228" s="27">
        <f>-J2228*L2228*K2228*C2228</f>
        <v/>
      </c>
      <c r="P2228" s="28">
        <f>-(12*F2228*J2228*L2228*N2228+12*O2228*N2228*G2228*COS(RADIANS(E2228)))/(12*N2228*G2228*COS(RADIANS(E2228))^2+L2228*G2228^3*SIN(RADIANS(E2228))^2)</f>
        <v/>
      </c>
      <c r="Q2228" s="28">
        <f>-(6*F2228*J2228*L2228*N2228*SIN(RADIANS(E2228))+6*O2228*N2228*G2228*SIN(RADIANS(E2228))*COS(RADIANS(E2228)))/(12*N2228*COS(RADIANS(E2228))^2+L2228*G2228^2*SIN(RADIANS(E2228))^2)</f>
        <v/>
      </c>
      <c r="R2228" s="28">
        <f>-P2228*SIN(RADIANS(E2228))</f>
        <v/>
      </c>
      <c r="S2228" s="8">
        <f>(O2228+P2228*COS(RADIANS(E2228)))/L2228</f>
        <v/>
      </c>
      <c r="T2228" s="8">
        <f>R2228/L2228</f>
        <v/>
      </c>
      <c r="U2228" s="8">
        <f>(Q2228-P2228*G2228*SIN(RADIANS(E2228)))/M2228</f>
        <v/>
      </c>
      <c r="V2228" s="8">
        <f>SQRT((S2228+U2228)^2+3*T2228^2)</f>
        <v/>
      </c>
      <c r="W2228" s="8">
        <f>V2228/AA2228</f>
        <v/>
      </c>
      <c r="X2228" s="27">
        <f>((3*10+H2228/COS(RADIANS(E2228)))*(3+3)+3*G2228*H2228)*2</f>
        <v/>
      </c>
      <c r="Y2228" s="28">
        <f>Z2228/X2228</f>
        <v/>
      </c>
      <c r="Z2228" s="29" t="n">
        <v>695.519263615529</v>
      </c>
      <c r="AA2228" s="20" t="n">
        <v>107.23846291</v>
      </c>
      <c r="AB2228" t="n">
        <v>0.1956702822118438</v>
      </c>
      <c r="AC2228" t="n">
        <v>106.4533015797349</v>
      </c>
      <c r="AD2228" t="n">
        <v>30.64622589382728</v>
      </c>
    </row>
    <row r="2229">
      <c r="A2229" t="n">
        <v>2228</v>
      </c>
      <c r="B2229" t="n">
        <v>73.09999999999999</v>
      </c>
      <c r="C2229" s="21">
        <f>B2229-20</f>
        <v/>
      </c>
      <c r="D2229" t="n">
        <v>106.5</v>
      </c>
      <c r="E2229" s="22">
        <f>D2229-90</f>
        <v/>
      </c>
      <c r="F2229" s="23" t="n">
        <v>0.021393</v>
      </c>
      <c r="G2229" s="22" t="n">
        <v>30.6</v>
      </c>
      <c r="H2229" s="22" t="n">
        <v>1.4</v>
      </c>
      <c r="I2229" s="24" t="n">
        <v>0.141850024461746</v>
      </c>
      <c r="J2229" s="6" t="n">
        <v>71000</v>
      </c>
      <c r="K2229" s="25">
        <f>23*10^-6</f>
        <v/>
      </c>
      <c r="L2229" s="8">
        <f>H2229</f>
        <v/>
      </c>
      <c r="M2229" s="26">
        <f>H2229^2/6</f>
        <v/>
      </c>
      <c r="N2229" s="26">
        <f>H2229^3/12</f>
        <v/>
      </c>
      <c r="O2229" s="27">
        <f>-J2229*L2229*K2229*C2229</f>
        <v/>
      </c>
      <c r="P2229" s="28">
        <f>-(12*F2229*J2229*L2229*N2229+12*O2229*N2229*G2229*COS(RADIANS(E2229)))/(12*N2229*G2229*COS(RADIANS(E2229))^2+L2229*G2229^3*SIN(RADIANS(E2229))^2)</f>
        <v/>
      </c>
      <c r="Q2229" s="28">
        <f>-(6*F2229*J2229*L2229*N2229*SIN(RADIANS(E2229))+6*O2229*N2229*G2229*SIN(RADIANS(E2229))*COS(RADIANS(E2229)))/(12*N2229*COS(RADIANS(E2229))^2+L2229*G2229^2*SIN(RADIANS(E2229))^2)</f>
        <v/>
      </c>
      <c r="R2229" s="28">
        <f>-P2229*SIN(RADIANS(E2229))</f>
        <v/>
      </c>
      <c r="S2229" s="8">
        <f>(O2229+P2229*COS(RADIANS(E2229)))/L2229</f>
        <v/>
      </c>
      <c r="T2229" s="8">
        <f>R2229/L2229</f>
        <v/>
      </c>
      <c r="U2229" s="8">
        <f>(Q2229-P2229*G2229*SIN(RADIANS(E2229)))/M2229</f>
        <v/>
      </c>
      <c r="V2229" s="8">
        <f>SQRT((S2229+U2229)^2+3*T2229^2)</f>
        <v/>
      </c>
      <c r="W2229" s="8">
        <f>V2229/AA2229</f>
        <v/>
      </c>
      <c r="X2229" s="27">
        <f>((3*10+H2229/COS(RADIANS(E2229)))*(3+3)+3*G2229*H2229)*2</f>
        <v/>
      </c>
      <c r="Y2229" s="28">
        <f>Z2229/X2229</f>
        <v/>
      </c>
      <c r="Z2229" s="29" t="n">
        <v>639.025945025669</v>
      </c>
      <c r="AA2229" s="20" t="n">
        <v>81.3738989155806</v>
      </c>
      <c r="AB2229" t="n">
        <v>0.1989076473776217</v>
      </c>
      <c r="AC2229" t="n">
        <v>83.65796620762539</v>
      </c>
      <c r="AD2229" t="n">
        <v>40.22390770278859</v>
      </c>
    </row>
    <row r="2230">
      <c r="A2230" t="n">
        <v>2229</v>
      </c>
      <c r="B2230" t="n">
        <v>72.7</v>
      </c>
      <c r="C2230" s="21">
        <f>B2230-20</f>
        <v/>
      </c>
      <c r="D2230" t="n">
        <v>111.6</v>
      </c>
      <c r="E2230" s="22">
        <f>D2230-90</f>
        <v/>
      </c>
      <c r="F2230" s="23" t="n">
        <v>0.022206</v>
      </c>
      <c r="G2230" s="22" t="n">
        <v>33.3</v>
      </c>
      <c r="H2230" s="22" t="n">
        <v>1.3</v>
      </c>
      <c r="I2230" s="24" t="n">
        <v>0.121738605201244</v>
      </c>
      <c r="J2230" s="6" t="n">
        <v>71000</v>
      </c>
      <c r="K2230" s="25">
        <f>23*10^-6</f>
        <v/>
      </c>
      <c r="L2230" s="8">
        <f>H2230</f>
        <v/>
      </c>
      <c r="M2230" s="26">
        <f>H2230^2/6</f>
        <v/>
      </c>
      <c r="N2230" s="26">
        <f>H2230^3/12</f>
        <v/>
      </c>
      <c r="O2230" s="27">
        <f>-J2230*L2230*K2230*C2230</f>
        <v/>
      </c>
      <c r="P2230" s="28">
        <f>-(12*F2230*J2230*L2230*N2230+12*O2230*N2230*G2230*COS(RADIANS(E2230)))/(12*N2230*G2230*COS(RADIANS(E2230))^2+L2230*G2230^3*SIN(RADIANS(E2230))^2)</f>
        <v/>
      </c>
      <c r="Q2230" s="28">
        <f>-(6*F2230*J2230*L2230*N2230*SIN(RADIANS(E2230))+6*O2230*N2230*G2230*SIN(RADIANS(E2230))*COS(RADIANS(E2230)))/(12*N2230*COS(RADIANS(E2230))^2+L2230*G2230^2*SIN(RADIANS(E2230))^2)</f>
        <v/>
      </c>
      <c r="R2230" s="28">
        <f>-P2230*SIN(RADIANS(E2230))</f>
        <v/>
      </c>
      <c r="S2230" s="8">
        <f>(O2230+P2230*COS(RADIANS(E2230)))/L2230</f>
        <v/>
      </c>
      <c r="T2230" s="8">
        <f>R2230/L2230</f>
        <v/>
      </c>
      <c r="U2230" s="8">
        <f>(Q2230-P2230*G2230*SIN(RADIANS(E2230)))/M2230</f>
        <v/>
      </c>
      <c r="V2230" s="8">
        <f>SQRT((S2230+U2230)^2+3*T2230^2)</f>
        <v/>
      </c>
      <c r="W2230" s="8">
        <f>V2230/AA2230</f>
        <v/>
      </c>
      <c r="X2230" s="27">
        <f>((3*10+H2230/COS(RADIANS(E2230)))*(3+3)+3*G2230*H2230)*2</f>
        <v/>
      </c>
      <c r="Y2230" s="28">
        <f>Z2230/X2230</f>
        <v/>
      </c>
      <c r="Z2230" s="29" t="n">
        <v>641.764510743722</v>
      </c>
      <c r="AA2230" s="20" t="n">
        <v>75.9728837205588</v>
      </c>
      <c r="AB2230" t="n">
        <v>0.1640497176310101</v>
      </c>
      <c r="AC2230" t="n">
        <v>78.97090815100857</v>
      </c>
      <c r="AD2230" t="n">
        <v>34.75570658939485</v>
      </c>
    </row>
    <row r="2231">
      <c r="A2231" t="n">
        <v>2230</v>
      </c>
      <c r="B2231" t="n">
        <v>68.2</v>
      </c>
      <c r="C2231" s="21">
        <f>B2231-20</f>
        <v/>
      </c>
      <c r="D2231" t="n">
        <v>105.1</v>
      </c>
      <c r="E2231" s="22">
        <f>D2231-90</f>
        <v/>
      </c>
      <c r="F2231" s="23" t="n">
        <v>0.017992</v>
      </c>
      <c r="G2231" s="22" t="n">
        <v>27.7</v>
      </c>
      <c r="H2231" s="22" t="n">
        <v>1.9</v>
      </c>
      <c r="I2231" s="24" t="n">
        <v>0.125583410263061</v>
      </c>
      <c r="J2231" s="6" t="n">
        <v>71000</v>
      </c>
      <c r="K2231" s="25">
        <f>23*10^-6</f>
        <v/>
      </c>
      <c r="L2231" s="8">
        <f>H2231</f>
        <v/>
      </c>
      <c r="M2231" s="26">
        <f>H2231^2/6</f>
        <v/>
      </c>
      <c r="N2231" s="26">
        <f>H2231^3/12</f>
        <v/>
      </c>
      <c r="O2231" s="27">
        <f>-J2231*L2231*K2231*C2231</f>
        <v/>
      </c>
      <c r="P2231" s="28">
        <f>-(12*F2231*J2231*L2231*N2231+12*O2231*N2231*G2231*COS(RADIANS(E2231)))/(12*N2231*G2231*COS(RADIANS(E2231))^2+L2231*G2231^3*SIN(RADIANS(E2231))^2)</f>
        <v/>
      </c>
      <c r="Q2231" s="28">
        <f>-(6*F2231*J2231*L2231*N2231*SIN(RADIANS(E2231))+6*O2231*N2231*G2231*SIN(RADIANS(E2231))*COS(RADIANS(E2231)))/(12*N2231*COS(RADIANS(E2231))^2+L2231*G2231^2*SIN(RADIANS(E2231))^2)</f>
        <v/>
      </c>
      <c r="R2231" s="28">
        <f>-P2231*SIN(RADIANS(E2231))</f>
        <v/>
      </c>
      <c r="S2231" s="8">
        <f>(O2231+P2231*COS(RADIANS(E2231)))/L2231</f>
        <v/>
      </c>
      <c r="T2231" s="8">
        <f>R2231/L2231</f>
        <v/>
      </c>
      <c r="U2231" s="8">
        <f>(Q2231-P2231*G2231*SIN(RADIANS(E2231)))/M2231</f>
        <v/>
      </c>
      <c r="V2231" s="8">
        <f>SQRT((S2231+U2231)^2+3*T2231^2)</f>
        <v/>
      </c>
      <c r="W2231" s="8">
        <f>V2231/AA2231</f>
        <v/>
      </c>
      <c r="X2231" s="27">
        <f>((3*10+H2231/COS(RADIANS(E2231)))*(3+3)+3*G2231*H2231)*2</f>
        <v/>
      </c>
      <c r="Y2231" s="28">
        <f>Z2231/X2231</f>
        <v/>
      </c>
      <c r="Z2231" s="29" t="n">
        <v>703.687297621457</v>
      </c>
      <c r="AA2231" s="20" t="n">
        <v>84.2617744856996</v>
      </c>
      <c r="AB2231" t="n">
        <v>0.173063089831721</v>
      </c>
      <c r="AC2231" t="n">
        <v>81.42890992717295</v>
      </c>
      <c r="AD2231" t="n">
        <v>37.80728638376976</v>
      </c>
    </row>
    <row r="2232">
      <c r="A2232" t="n">
        <v>2231</v>
      </c>
      <c r="B2232" t="n">
        <v>84.3</v>
      </c>
      <c r="C2232" s="21">
        <f>B2232-20</f>
        <v/>
      </c>
      <c r="D2232" t="n">
        <v>114.3</v>
      </c>
      <c r="E2232" s="22">
        <f>D2232-90</f>
        <v/>
      </c>
      <c r="F2232" s="23" t="n">
        <v>0.025777</v>
      </c>
      <c r="G2232" s="22" t="n">
        <v>32</v>
      </c>
      <c r="H2232" s="22" t="n">
        <v>1.8</v>
      </c>
      <c r="I2232" s="24" t="n">
        <v>0.132112279534339</v>
      </c>
      <c r="J2232" s="6" t="n">
        <v>71000</v>
      </c>
      <c r="K2232" s="25">
        <f>23*10^-6</f>
        <v/>
      </c>
      <c r="L2232" s="8">
        <f>H2232</f>
        <v/>
      </c>
      <c r="M2232" s="26">
        <f>H2232^2/6</f>
        <v/>
      </c>
      <c r="N2232" s="26">
        <f>H2232^3/12</f>
        <v/>
      </c>
      <c r="O2232" s="27">
        <f>-J2232*L2232*K2232*C2232</f>
        <v/>
      </c>
      <c r="P2232" s="28">
        <f>-(12*F2232*J2232*L2232*N2232+12*O2232*N2232*G2232*COS(RADIANS(E2232)))/(12*N2232*G2232*COS(RADIANS(E2232))^2+L2232*G2232^3*SIN(RADIANS(E2232))^2)</f>
        <v/>
      </c>
      <c r="Q2232" s="28">
        <f>-(6*F2232*J2232*L2232*N2232*SIN(RADIANS(E2232))+6*O2232*N2232*G2232*SIN(RADIANS(E2232))*COS(RADIANS(E2232)))/(12*N2232*COS(RADIANS(E2232))^2+L2232*G2232^2*SIN(RADIANS(E2232))^2)</f>
        <v/>
      </c>
      <c r="R2232" s="28">
        <f>-P2232*SIN(RADIANS(E2232))</f>
        <v/>
      </c>
      <c r="S2232" s="8">
        <f>(O2232+P2232*COS(RADIANS(E2232)))/L2232</f>
        <v/>
      </c>
      <c r="T2232" s="8">
        <f>R2232/L2232</f>
        <v/>
      </c>
      <c r="U2232" s="8">
        <f>(Q2232-P2232*G2232*SIN(RADIANS(E2232)))/M2232</f>
        <v/>
      </c>
      <c r="V2232" s="8">
        <f>SQRT((S2232+U2232)^2+3*T2232^2)</f>
        <v/>
      </c>
      <c r="W2232" s="8">
        <f>V2232/AA2232</f>
        <v/>
      </c>
      <c r="X2232" s="27">
        <f>((3*10+H2232/COS(RADIANS(E2232)))*(3+3)+3*G2232*H2232)*2</f>
        <v/>
      </c>
      <c r="Y2232" s="28">
        <f>Z2232/X2232</f>
        <v/>
      </c>
      <c r="Z2232" s="29" t="n">
        <v>735.066365901948</v>
      </c>
      <c r="AA2232" s="20" t="n">
        <v>102.422739087696</v>
      </c>
      <c r="AB2232" t="n">
        <v>0.169282446382341</v>
      </c>
      <c r="AC2232" t="n">
        <v>98.62160923773885</v>
      </c>
      <c r="AD2232" t="n">
        <v>28.1352853640987</v>
      </c>
    </row>
    <row r="2233">
      <c r="A2233" t="n">
        <v>2232</v>
      </c>
      <c r="B2233" t="n">
        <v>64.2</v>
      </c>
      <c r="C2233" s="21">
        <f>B2233-20</f>
        <v/>
      </c>
      <c r="D2233" t="n">
        <v>115.5</v>
      </c>
      <c r="E2233" s="22">
        <f>D2233-90</f>
        <v/>
      </c>
      <c r="F2233" s="23" t="n">
        <v>0.012528</v>
      </c>
      <c r="G2233" s="22" t="n">
        <v>20.9</v>
      </c>
      <c r="H2233" s="22" t="n">
        <v>1.3</v>
      </c>
      <c r="I2233" s="24" t="n">
        <v>0.0665536746382713</v>
      </c>
      <c r="J2233" s="6" t="n">
        <v>71000</v>
      </c>
      <c r="K2233" s="25">
        <f>23*10^-6</f>
        <v/>
      </c>
      <c r="L2233" s="8">
        <f>H2233</f>
        <v/>
      </c>
      <c r="M2233" s="26">
        <f>H2233^2/6</f>
        <v/>
      </c>
      <c r="N2233" s="26">
        <f>H2233^3/12</f>
        <v/>
      </c>
      <c r="O2233" s="27">
        <f>-J2233*L2233*K2233*C2233</f>
        <v/>
      </c>
      <c r="P2233" s="28">
        <f>-(12*F2233*J2233*L2233*N2233+12*O2233*N2233*G2233*COS(RADIANS(E2233)))/(12*N2233*G2233*COS(RADIANS(E2233))^2+L2233*G2233^3*SIN(RADIANS(E2233))^2)</f>
        <v/>
      </c>
      <c r="Q2233" s="28">
        <f>-(6*F2233*J2233*L2233*N2233*SIN(RADIANS(E2233))+6*O2233*N2233*G2233*SIN(RADIANS(E2233))*COS(RADIANS(E2233)))/(12*N2233*COS(RADIANS(E2233))^2+L2233*G2233^2*SIN(RADIANS(E2233))^2)</f>
        <v/>
      </c>
      <c r="R2233" s="28">
        <f>-P2233*SIN(RADIANS(E2233))</f>
        <v/>
      </c>
      <c r="S2233" s="8">
        <f>(O2233+P2233*COS(RADIANS(E2233)))/L2233</f>
        <v/>
      </c>
      <c r="T2233" s="8">
        <f>R2233/L2233</f>
        <v/>
      </c>
      <c r="U2233" s="8">
        <f>(Q2233-P2233*G2233*SIN(RADIANS(E2233)))/M2233</f>
        <v/>
      </c>
      <c r="V2233" s="8">
        <f>SQRT((S2233+U2233)^2+3*T2233^2)</f>
        <v/>
      </c>
      <c r="W2233" s="8">
        <f>V2233/AA2233</f>
        <v/>
      </c>
      <c r="X2233" s="27">
        <f>((3*10+H2233/COS(RADIANS(E2233)))*(3+3)+3*G2233*H2233)*2</f>
        <v/>
      </c>
      <c r="Y2233" s="28">
        <f>Z2233/X2233</f>
        <v/>
      </c>
      <c r="Z2233" s="29" t="n">
        <v>546.327599731306</v>
      </c>
      <c r="AA2233" s="20" t="n">
        <v>67.0293909015539</v>
      </c>
      <c r="AB2233" t="n">
        <v>0.07425494743741945</v>
      </c>
      <c r="AC2233" t="n">
        <v>66.93986066099659</v>
      </c>
      <c r="AD2233" t="n">
        <v>11.57152154408552</v>
      </c>
    </row>
    <row r="2234">
      <c r="A2234" t="n">
        <v>2233</v>
      </c>
      <c r="B2234" t="n">
        <v>73.2</v>
      </c>
      <c r="C2234" s="21">
        <f>B2234-20</f>
        <v/>
      </c>
      <c r="D2234" t="n">
        <v>112.4</v>
      </c>
      <c r="E2234" s="22">
        <f>D2234-90</f>
        <v/>
      </c>
      <c r="F2234" s="23" t="n">
        <v>0.015526</v>
      </c>
      <c r="G2234" s="22" t="n">
        <v>21.2</v>
      </c>
      <c r="H2234" s="22" t="n">
        <v>1.4</v>
      </c>
      <c r="I2234" s="24" t="n">
        <v>0.0881797447800636</v>
      </c>
      <c r="J2234" s="6" t="n">
        <v>71000</v>
      </c>
      <c r="K2234" s="25">
        <f>23*10^-6</f>
        <v/>
      </c>
      <c r="L2234" s="8">
        <f>H2234</f>
        <v/>
      </c>
      <c r="M2234" s="26">
        <f>H2234^2/6</f>
        <v/>
      </c>
      <c r="N2234" s="26">
        <f>H2234^3/12</f>
        <v/>
      </c>
      <c r="O2234" s="27">
        <f>-J2234*L2234*K2234*C2234</f>
        <v/>
      </c>
      <c r="P2234" s="28">
        <f>-(12*F2234*J2234*L2234*N2234+12*O2234*N2234*G2234*COS(RADIANS(E2234)))/(12*N2234*G2234*COS(RADIANS(E2234))^2+L2234*G2234^3*SIN(RADIANS(E2234))^2)</f>
        <v/>
      </c>
      <c r="Q2234" s="28">
        <f>-(6*F2234*J2234*L2234*N2234*SIN(RADIANS(E2234))+6*O2234*N2234*G2234*SIN(RADIANS(E2234))*COS(RADIANS(E2234)))/(12*N2234*COS(RADIANS(E2234))^2+L2234*G2234^2*SIN(RADIANS(E2234))^2)</f>
        <v/>
      </c>
      <c r="R2234" s="28">
        <f>-P2234*SIN(RADIANS(E2234))</f>
        <v/>
      </c>
      <c r="S2234" s="8">
        <f>(O2234+P2234*COS(RADIANS(E2234)))/L2234</f>
        <v/>
      </c>
      <c r="T2234" s="8">
        <f>R2234/L2234</f>
        <v/>
      </c>
      <c r="U2234" s="8">
        <f>(Q2234-P2234*G2234*SIN(RADIANS(E2234)))/M2234</f>
        <v/>
      </c>
      <c r="V2234" s="8">
        <f>SQRT((S2234+U2234)^2+3*T2234^2)</f>
        <v/>
      </c>
      <c r="W2234" s="8">
        <f>V2234/AA2234</f>
        <v/>
      </c>
      <c r="X2234" s="27">
        <f>((3*10+H2234/COS(RADIANS(E2234)))*(3+3)+3*G2234*H2234)*2</f>
        <v/>
      </c>
      <c r="Y2234" s="28">
        <f>Z2234/X2234</f>
        <v/>
      </c>
      <c r="Z2234" s="29" t="n">
        <v>561.643395256344</v>
      </c>
      <c r="AA2234" s="20" t="n">
        <v>82.309540105208</v>
      </c>
      <c r="AB2234" t="n">
        <v>0.1029347940254492</v>
      </c>
      <c r="AC2234" t="n">
        <v>82.63228774780535</v>
      </c>
      <c r="AD2234" t="n">
        <v>16.73292351002756</v>
      </c>
    </row>
    <row r="2235">
      <c r="A2235" t="n">
        <v>2234</v>
      </c>
      <c r="B2235" t="n">
        <v>54.6</v>
      </c>
      <c r="C2235" s="21">
        <f>B2235-20</f>
        <v/>
      </c>
      <c r="D2235" t="n">
        <v>118.1</v>
      </c>
      <c r="E2235" s="22">
        <f>D2235-90</f>
        <v/>
      </c>
      <c r="F2235" s="23" t="n">
        <v>0.010056</v>
      </c>
      <c r="G2235" s="22" t="n">
        <v>22.1</v>
      </c>
      <c r="H2235" s="22" t="n">
        <v>1.4</v>
      </c>
      <c r="I2235" s="24" t="n">
        <v>0.0505005419254303</v>
      </c>
      <c r="J2235" s="6" t="n">
        <v>71000</v>
      </c>
      <c r="K2235" s="25">
        <f>23*10^-6</f>
        <v/>
      </c>
      <c r="L2235" s="8">
        <f>H2235</f>
        <v/>
      </c>
      <c r="M2235" s="26">
        <f>H2235^2/6</f>
        <v/>
      </c>
      <c r="N2235" s="26">
        <f>H2235^3/12</f>
        <v/>
      </c>
      <c r="O2235" s="27">
        <f>-J2235*L2235*K2235*C2235</f>
        <v/>
      </c>
      <c r="P2235" s="28">
        <f>-(12*F2235*J2235*L2235*N2235+12*O2235*N2235*G2235*COS(RADIANS(E2235)))/(12*N2235*G2235*COS(RADIANS(E2235))^2+L2235*G2235^3*SIN(RADIANS(E2235))^2)</f>
        <v/>
      </c>
      <c r="Q2235" s="28">
        <f>-(6*F2235*J2235*L2235*N2235*SIN(RADIANS(E2235))+6*O2235*N2235*G2235*SIN(RADIANS(E2235))*COS(RADIANS(E2235)))/(12*N2235*COS(RADIANS(E2235))^2+L2235*G2235^2*SIN(RADIANS(E2235))^2)</f>
        <v/>
      </c>
      <c r="R2235" s="28">
        <f>-P2235*SIN(RADIANS(E2235))</f>
        <v/>
      </c>
      <c r="S2235" s="8">
        <f>(O2235+P2235*COS(RADIANS(E2235)))/L2235</f>
        <v/>
      </c>
      <c r="T2235" s="8">
        <f>R2235/L2235</f>
        <v/>
      </c>
      <c r="U2235" s="8">
        <f>(Q2235-P2235*G2235*SIN(RADIANS(E2235)))/M2235</f>
        <v/>
      </c>
      <c r="V2235" s="8">
        <f>SQRT((S2235+U2235)^2+3*T2235^2)</f>
        <v/>
      </c>
      <c r="W2235" s="8">
        <f>V2235/AA2235</f>
        <v/>
      </c>
      <c r="X2235" s="27">
        <f>((3*10+H2235/COS(RADIANS(E2235)))*(3+3)+3*G2235*H2235)*2</f>
        <v/>
      </c>
      <c r="Y2235" s="28">
        <f>Z2235/X2235</f>
        <v/>
      </c>
      <c r="Z2235" s="29" t="n">
        <v>571.325479966034</v>
      </c>
      <c r="AA2235" s="20" t="n">
        <v>52.490445846614</v>
      </c>
      <c r="AB2235" t="n">
        <v>0.05531859656358828</v>
      </c>
      <c r="AC2235" t="n">
        <v>51.98364224336526</v>
      </c>
      <c r="AD2235" t="n">
        <v>9.540599871724895</v>
      </c>
    </row>
    <row r="2236">
      <c r="A2236" t="n">
        <v>2235</v>
      </c>
      <c r="B2236" t="n">
        <v>65.5</v>
      </c>
      <c r="C2236" s="21">
        <f>B2236-20</f>
        <v/>
      </c>
      <c r="D2236" t="n">
        <v>123.5</v>
      </c>
      <c r="E2236" s="22">
        <f>D2236-90</f>
        <v/>
      </c>
      <c r="F2236" s="23" t="n">
        <v>0.013017</v>
      </c>
      <c r="G2236" s="22" t="n">
        <v>22.9</v>
      </c>
      <c r="H2236" s="22" t="n">
        <v>1.8</v>
      </c>
      <c r="I2236" s="24" t="n">
        <v>0.0606459788978099</v>
      </c>
      <c r="J2236" s="6" t="n">
        <v>71000</v>
      </c>
      <c r="K2236" s="25">
        <f>23*10^-6</f>
        <v/>
      </c>
      <c r="L2236" s="8">
        <f>H2236</f>
        <v/>
      </c>
      <c r="M2236" s="26">
        <f>H2236^2/6</f>
        <v/>
      </c>
      <c r="N2236" s="26">
        <f>H2236^3/12</f>
        <v/>
      </c>
      <c r="O2236" s="27">
        <f>-J2236*L2236*K2236*C2236</f>
        <v/>
      </c>
      <c r="P2236" s="28">
        <f>-(12*F2236*J2236*L2236*N2236+12*O2236*N2236*G2236*COS(RADIANS(E2236)))/(12*N2236*G2236*COS(RADIANS(E2236))^2+L2236*G2236^3*SIN(RADIANS(E2236))^2)</f>
        <v/>
      </c>
      <c r="Q2236" s="28">
        <f>-(6*F2236*J2236*L2236*N2236*SIN(RADIANS(E2236))+6*O2236*N2236*G2236*SIN(RADIANS(E2236))*COS(RADIANS(E2236)))/(12*N2236*COS(RADIANS(E2236))^2+L2236*G2236^2*SIN(RADIANS(E2236))^2)</f>
        <v/>
      </c>
      <c r="R2236" s="28">
        <f>-P2236*SIN(RADIANS(E2236))</f>
        <v/>
      </c>
      <c r="S2236" s="8">
        <f>(O2236+P2236*COS(RADIANS(E2236)))/L2236</f>
        <v/>
      </c>
      <c r="T2236" s="8">
        <f>R2236/L2236</f>
        <v/>
      </c>
      <c r="U2236" s="8">
        <f>(Q2236-P2236*G2236*SIN(RADIANS(E2236)))/M2236</f>
        <v/>
      </c>
      <c r="V2236" s="8">
        <f>SQRT((S2236+U2236)^2+3*T2236^2)</f>
        <v/>
      </c>
      <c r="W2236" s="8">
        <f>V2236/AA2236</f>
        <v/>
      </c>
      <c r="X2236" s="27">
        <f>((3*10+H2236/COS(RADIANS(E2236)))*(3+3)+3*G2236*H2236)*2</f>
        <v/>
      </c>
      <c r="Y2236" s="28">
        <f>Z2236/X2236</f>
        <v/>
      </c>
      <c r="Z2236" s="29" t="n">
        <v>641.4373748017219</v>
      </c>
      <c r="AA2236" s="20" t="n">
        <v>73.6154069305838</v>
      </c>
      <c r="AB2236" t="n">
        <v>0.06208936656658308</v>
      </c>
      <c r="AC2236" t="n">
        <v>68.30106920810837</v>
      </c>
      <c r="AD2236" t="n">
        <v>2.380022047637036</v>
      </c>
    </row>
    <row r="2237">
      <c r="A2237" t="n">
        <v>2236</v>
      </c>
      <c r="B2237" t="n">
        <v>67.7</v>
      </c>
      <c r="C2237" s="21">
        <f>B2237-20</f>
        <v/>
      </c>
      <c r="D2237" t="n">
        <v>116.3</v>
      </c>
      <c r="E2237" s="22">
        <f>D2237-90</f>
        <v/>
      </c>
      <c r="F2237" s="23" t="n">
        <v>0.015304</v>
      </c>
      <c r="G2237" s="22" t="n">
        <v>24.7</v>
      </c>
      <c r="H2237" s="22" t="n">
        <v>1.5</v>
      </c>
      <c r="I2237" s="24" t="n">
        <v>0.0779955610632896</v>
      </c>
      <c r="J2237" s="6" t="n">
        <v>71000</v>
      </c>
      <c r="K2237" s="25">
        <f>23*10^-6</f>
        <v/>
      </c>
      <c r="L2237" s="8">
        <f>H2237</f>
        <v/>
      </c>
      <c r="M2237" s="26">
        <f>H2237^2/6</f>
        <v/>
      </c>
      <c r="N2237" s="26">
        <f>H2237^3/12</f>
        <v/>
      </c>
      <c r="O2237" s="27">
        <f>-J2237*L2237*K2237*C2237</f>
        <v/>
      </c>
      <c r="P2237" s="28">
        <f>-(12*F2237*J2237*L2237*N2237+12*O2237*N2237*G2237*COS(RADIANS(E2237)))/(12*N2237*G2237*COS(RADIANS(E2237))^2+L2237*G2237^3*SIN(RADIANS(E2237))^2)</f>
        <v/>
      </c>
      <c r="Q2237" s="28">
        <f>-(6*F2237*J2237*L2237*N2237*SIN(RADIANS(E2237))+6*O2237*N2237*G2237*SIN(RADIANS(E2237))*COS(RADIANS(E2237)))/(12*N2237*COS(RADIANS(E2237))^2+L2237*G2237^2*SIN(RADIANS(E2237))^2)</f>
        <v/>
      </c>
      <c r="R2237" s="28">
        <f>-P2237*SIN(RADIANS(E2237))</f>
        <v/>
      </c>
      <c r="S2237" s="8">
        <f>(O2237+P2237*COS(RADIANS(E2237)))/L2237</f>
        <v/>
      </c>
      <c r="T2237" s="8">
        <f>R2237/L2237</f>
        <v/>
      </c>
      <c r="U2237" s="8">
        <f>(Q2237-P2237*G2237*SIN(RADIANS(E2237)))/M2237</f>
        <v/>
      </c>
      <c r="V2237" s="8">
        <f>SQRT((S2237+U2237)^2+3*T2237^2)</f>
        <v/>
      </c>
      <c r="W2237" s="8">
        <f>V2237/AA2237</f>
        <v/>
      </c>
      <c r="X2237" s="27">
        <f>((3*10+H2237/COS(RADIANS(E2237)))*(3+3)+3*G2237*H2237)*2</f>
        <v/>
      </c>
      <c r="Y2237" s="28">
        <f>Z2237/X2237</f>
        <v/>
      </c>
      <c r="Z2237" s="29" t="n">
        <v>608.583195175539</v>
      </c>
      <c r="AA2237" s="20" t="n">
        <v>73.4383703762182</v>
      </c>
      <c r="AB2237" t="n">
        <v>0.09064228122879311</v>
      </c>
      <c r="AC2237" t="n">
        <v>72.32410699735442</v>
      </c>
      <c r="AD2237" t="n">
        <v>16.214666569603</v>
      </c>
    </row>
    <row r="2238">
      <c r="A2238" t="n">
        <v>2237</v>
      </c>
      <c r="B2238" t="n">
        <v>59</v>
      </c>
      <c r="C2238" s="21">
        <f>B2238-20</f>
        <v/>
      </c>
      <c r="D2238" t="n">
        <v>110.1</v>
      </c>
      <c r="E2238" s="22">
        <f>D2238-90</f>
        <v/>
      </c>
      <c r="F2238" s="23" t="n">
        <v>0.01106</v>
      </c>
      <c r="G2238" s="22" t="n">
        <v>20.1</v>
      </c>
      <c r="H2238" s="22" t="n">
        <v>1.5</v>
      </c>
      <c r="I2238" s="24" t="n">
        <v>0.0671154856681823</v>
      </c>
      <c r="J2238" s="6" t="n">
        <v>71000</v>
      </c>
      <c r="K2238" s="25">
        <f>23*10^-6</f>
        <v/>
      </c>
      <c r="L2238" s="8">
        <f>H2238</f>
        <v/>
      </c>
      <c r="M2238" s="26">
        <f>H2238^2/6</f>
        <v/>
      </c>
      <c r="N2238" s="26">
        <f>H2238^3/12</f>
        <v/>
      </c>
      <c r="O2238" s="27">
        <f>-J2238*L2238*K2238*C2238</f>
        <v/>
      </c>
      <c r="P2238" s="28">
        <f>-(12*F2238*J2238*L2238*N2238+12*O2238*N2238*G2238*COS(RADIANS(E2238)))/(12*N2238*G2238*COS(RADIANS(E2238))^2+L2238*G2238^3*SIN(RADIANS(E2238))^2)</f>
        <v/>
      </c>
      <c r="Q2238" s="28">
        <f>-(6*F2238*J2238*L2238*N2238*SIN(RADIANS(E2238))+6*O2238*N2238*G2238*SIN(RADIANS(E2238))*COS(RADIANS(E2238)))/(12*N2238*COS(RADIANS(E2238))^2+L2238*G2238^2*SIN(RADIANS(E2238))^2)</f>
        <v/>
      </c>
      <c r="R2238" s="28">
        <f>-P2238*SIN(RADIANS(E2238))</f>
        <v/>
      </c>
      <c r="S2238" s="8">
        <f>(O2238+P2238*COS(RADIANS(E2238)))/L2238</f>
        <v/>
      </c>
      <c r="T2238" s="8">
        <f>R2238/L2238</f>
        <v/>
      </c>
      <c r="U2238" s="8">
        <f>(Q2238-P2238*G2238*SIN(RADIANS(E2238)))/M2238</f>
        <v/>
      </c>
      <c r="V2238" s="8">
        <f>SQRT((S2238+U2238)^2+3*T2238^2)</f>
        <v/>
      </c>
      <c r="W2238" s="8">
        <f>V2238/AA2238</f>
        <v/>
      </c>
      <c r="X2238" s="27">
        <f>((3*10+H2238/COS(RADIANS(E2238)))*(3+3)+3*G2238*H2238)*2</f>
        <v/>
      </c>
      <c r="Y2238" s="28">
        <f>Z2238/X2238</f>
        <v/>
      </c>
      <c r="Z2238" s="29" t="n">
        <v>565.057574725862</v>
      </c>
      <c r="AA2238" s="20" t="n">
        <v>63.0696943459102</v>
      </c>
      <c r="AB2238" t="n">
        <v>0.07922316250490447</v>
      </c>
      <c r="AC2238" t="n">
        <v>62.32790161579938</v>
      </c>
      <c r="AD2238" t="n">
        <v>18.04006439971587</v>
      </c>
    </row>
    <row r="2239">
      <c r="A2239" t="n">
        <v>2238</v>
      </c>
      <c r="B2239" t="n">
        <v>47.4</v>
      </c>
      <c r="C2239" s="21">
        <f>B2239-20</f>
        <v/>
      </c>
      <c r="D2239" t="n">
        <v>112.3</v>
      </c>
      <c r="E2239" s="22">
        <f>D2239-90</f>
        <v/>
      </c>
      <c r="F2239" s="23" t="n">
        <v>0.010053</v>
      </c>
      <c r="G2239" s="22" t="n">
        <v>28.3</v>
      </c>
      <c r="H2239" s="22" t="n">
        <v>1.9</v>
      </c>
      <c r="I2239" s="24" t="n">
        <v>0.0548607781529426</v>
      </c>
      <c r="J2239" s="6" t="n">
        <v>71000</v>
      </c>
      <c r="K2239" s="25">
        <f>23*10^-6</f>
        <v/>
      </c>
      <c r="L2239" s="8">
        <f>H2239</f>
        <v/>
      </c>
      <c r="M2239" s="26">
        <f>H2239^2/6</f>
        <v/>
      </c>
      <c r="N2239" s="26">
        <f>H2239^3/12</f>
        <v/>
      </c>
      <c r="O2239" s="27">
        <f>-J2239*L2239*K2239*C2239</f>
        <v/>
      </c>
      <c r="P2239" s="28">
        <f>-(12*F2239*J2239*L2239*N2239+12*O2239*N2239*G2239*COS(RADIANS(E2239)))/(12*N2239*G2239*COS(RADIANS(E2239))^2+L2239*G2239^3*SIN(RADIANS(E2239))^2)</f>
        <v/>
      </c>
      <c r="Q2239" s="28">
        <f>-(6*F2239*J2239*L2239*N2239*SIN(RADIANS(E2239))+6*O2239*N2239*G2239*SIN(RADIANS(E2239))*COS(RADIANS(E2239)))/(12*N2239*COS(RADIANS(E2239))^2+L2239*G2239^2*SIN(RADIANS(E2239))^2)</f>
        <v/>
      </c>
      <c r="R2239" s="28">
        <f>-P2239*SIN(RADIANS(E2239))</f>
        <v/>
      </c>
      <c r="S2239" s="8">
        <f>(O2239+P2239*COS(RADIANS(E2239)))/L2239</f>
        <v/>
      </c>
      <c r="T2239" s="8">
        <f>R2239/L2239</f>
        <v/>
      </c>
      <c r="U2239" s="8">
        <f>(Q2239-P2239*G2239*SIN(RADIANS(E2239)))/M2239</f>
        <v/>
      </c>
      <c r="V2239" s="8">
        <f>SQRT((S2239+U2239)^2+3*T2239^2)</f>
        <v/>
      </c>
      <c r="W2239" s="8">
        <f>V2239/AA2239</f>
        <v/>
      </c>
      <c r="X2239" s="27">
        <f>((3*10+H2239/COS(RADIANS(E2239)))*(3+3)+3*G2239*H2239)*2</f>
        <v/>
      </c>
      <c r="Y2239" s="28">
        <f>Z2239/X2239</f>
        <v/>
      </c>
      <c r="Z2239" s="29" t="n">
        <v>712.636755643386</v>
      </c>
      <c r="AA2239" s="20" t="n">
        <v>45.4027838483624</v>
      </c>
      <c r="AB2239" t="n">
        <v>0.06953796750591841</v>
      </c>
      <c r="AC2239" t="n">
        <v>43.30509057981212</v>
      </c>
      <c r="AD2239" t="n">
        <v>26.75352017803736</v>
      </c>
    </row>
    <row r="2240">
      <c r="A2240" t="n">
        <v>2239</v>
      </c>
      <c r="B2240" t="n">
        <v>60.1</v>
      </c>
      <c r="C2240" s="21">
        <f>B2240-20</f>
        <v/>
      </c>
      <c r="D2240" t="n">
        <v>129.9</v>
      </c>
      <c r="E2240" s="22">
        <f>D2240-90</f>
        <v/>
      </c>
      <c r="F2240" s="23" t="n">
        <v>0.011475</v>
      </c>
      <c r="G2240" s="22" t="n">
        <v>24.9</v>
      </c>
      <c r="H2240" s="22" t="n">
        <v>1.4</v>
      </c>
      <c r="I2240" s="24" t="n">
        <v>0.0506038703024387</v>
      </c>
      <c r="J2240" s="6" t="n">
        <v>71000</v>
      </c>
      <c r="K2240" s="25">
        <f>23*10^-6</f>
        <v/>
      </c>
      <c r="L2240" s="8">
        <f>H2240</f>
        <v/>
      </c>
      <c r="M2240" s="26">
        <f>H2240^2/6</f>
        <v/>
      </c>
      <c r="N2240" s="26">
        <f>H2240^3/12</f>
        <v/>
      </c>
      <c r="O2240" s="27">
        <f>-J2240*L2240*K2240*C2240</f>
        <v/>
      </c>
      <c r="P2240" s="28">
        <f>-(12*F2240*J2240*L2240*N2240+12*O2240*N2240*G2240*COS(RADIANS(E2240)))/(12*N2240*G2240*COS(RADIANS(E2240))^2+L2240*G2240^3*SIN(RADIANS(E2240))^2)</f>
        <v/>
      </c>
      <c r="Q2240" s="28">
        <f>-(6*F2240*J2240*L2240*N2240*SIN(RADIANS(E2240))+6*O2240*N2240*G2240*SIN(RADIANS(E2240))*COS(RADIANS(E2240)))/(12*N2240*COS(RADIANS(E2240))^2+L2240*G2240^2*SIN(RADIANS(E2240))^2)</f>
        <v/>
      </c>
      <c r="R2240" s="28">
        <f>-P2240*SIN(RADIANS(E2240))</f>
        <v/>
      </c>
      <c r="S2240" s="8">
        <f>(O2240+P2240*COS(RADIANS(E2240)))/L2240</f>
        <v/>
      </c>
      <c r="T2240" s="8">
        <f>R2240/L2240</f>
        <v/>
      </c>
      <c r="U2240" s="8">
        <f>(Q2240-P2240*G2240*SIN(RADIANS(E2240)))/M2240</f>
        <v/>
      </c>
      <c r="V2240" s="8">
        <f>SQRT((S2240+U2240)^2+3*T2240^2)</f>
        <v/>
      </c>
      <c r="W2240" s="8">
        <f>V2240/AA2240</f>
        <v/>
      </c>
      <c r="X2240" s="27">
        <f>((3*10+H2240/COS(RADIANS(E2240)))*(3+3)+3*G2240*H2240)*2</f>
        <v/>
      </c>
      <c r="Y2240" s="28">
        <f>Z2240/X2240</f>
        <v/>
      </c>
      <c r="Z2240" s="29" t="n">
        <v>601.776441330966</v>
      </c>
      <c r="AA2240" s="20" t="n">
        <v>57.2332658178837</v>
      </c>
      <c r="AB2240" t="n">
        <v>0.04926033504510027</v>
      </c>
      <c r="AC2240" t="n">
        <v>57.54598730883063</v>
      </c>
      <c r="AD2240" t="n">
        <v>-2.655004941931646</v>
      </c>
    </row>
    <row r="2241">
      <c r="A2241" t="n">
        <v>2240</v>
      </c>
      <c r="B2241" t="n">
        <v>83.3</v>
      </c>
      <c r="C2241" s="21">
        <f>B2241-20</f>
        <v/>
      </c>
      <c r="D2241" t="n">
        <v>122.6</v>
      </c>
      <c r="E2241" s="22">
        <f>D2241-90</f>
        <v/>
      </c>
      <c r="F2241" s="23" t="n">
        <v>0.024391</v>
      </c>
      <c r="G2241" s="22" t="n">
        <v>33</v>
      </c>
      <c r="H2241" s="22" t="n">
        <v>1.6</v>
      </c>
      <c r="I2241" s="24" t="n">
        <v>0.108612693846225</v>
      </c>
      <c r="J2241" s="6" t="n">
        <v>71000</v>
      </c>
      <c r="K2241" s="25">
        <f>23*10^-6</f>
        <v/>
      </c>
      <c r="L2241" s="8">
        <f>H2241</f>
        <v/>
      </c>
      <c r="M2241" s="26">
        <f>H2241^2/6</f>
        <v/>
      </c>
      <c r="N2241" s="26">
        <f>H2241^3/12</f>
        <v/>
      </c>
      <c r="O2241" s="27">
        <f>-J2241*L2241*K2241*C2241</f>
        <v/>
      </c>
      <c r="P2241" s="28">
        <f>-(12*F2241*J2241*L2241*N2241+12*O2241*N2241*G2241*COS(RADIANS(E2241)))/(12*N2241*G2241*COS(RADIANS(E2241))^2+L2241*G2241^3*SIN(RADIANS(E2241))^2)</f>
        <v/>
      </c>
      <c r="Q2241" s="28">
        <f>-(6*F2241*J2241*L2241*N2241*SIN(RADIANS(E2241))+6*O2241*N2241*G2241*SIN(RADIANS(E2241))*COS(RADIANS(E2241)))/(12*N2241*COS(RADIANS(E2241))^2+L2241*G2241^2*SIN(RADIANS(E2241))^2)</f>
        <v/>
      </c>
      <c r="R2241" s="28">
        <f>-P2241*SIN(RADIANS(E2241))</f>
        <v/>
      </c>
      <c r="S2241" s="8">
        <f>(O2241+P2241*COS(RADIANS(E2241)))/L2241</f>
        <v/>
      </c>
      <c r="T2241" s="8">
        <f>R2241/L2241</f>
        <v/>
      </c>
      <c r="U2241" s="8">
        <f>(Q2241-P2241*G2241*SIN(RADIANS(E2241)))/M2241</f>
        <v/>
      </c>
      <c r="V2241" s="8">
        <f>SQRT((S2241+U2241)^2+3*T2241^2)</f>
        <v/>
      </c>
      <c r="W2241" s="8">
        <f>V2241/AA2241</f>
        <v/>
      </c>
      <c r="X2241" s="27">
        <f>((3*10+H2241/COS(RADIANS(E2241)))*(3+3)+3*G2241*H2241)*2</f>
        <v/>
      </c>
      <c r="Y2241" s="28">
        <f>Z2241/X2241</f>
        <v/>
      </c>
      <c r="Z2241" s="29" t="n">
        <v>707.512491139099</v>
      </c>
      <c r="AA2241" s="20" t="n">
        <v>93.5658324087677</v>
      </c>
      <c r="AB2241" t="n">
        <v>0.1264977371937624</v>
      </c>
      <c r="AC2241" t="n">
        <v>92.46683377458807</v>
      </c>
      <c r="AD2241" t="n">
        <v>16.46680762090221</v>
      </c>
    </row>
    <row r="2242">
      <c r="A2242" t="n">
        <v>2241</v>
      </c>
      <c r="B2242" t="n">
        <v>83.7</v>
      </c>
      <c r="C2242" s="21">
        <f>B2242-20</f>
        <v/>
      </c>
      <c r="D2242" t="n">
        <v>101.9</v>
      </c>
      <c r="E2242" s="22">
        <f>D2242-90</f>
        <v/>
      </c>
      <c r="F2242" s="23" t="n">
        <v>0.026953</v>
      </c>
      <c r="G2242" s="22" t="n">
        <v>31.8</v>
      </c>
      <c r="H2242" s="22" t="n">
        <v>1.2</v>
      </c>
      <c r="I2242" s="24" t="n">
        <v>0.228837922215461</v>
      </c>
      <c r="J2242" s="6" t="n">
        <v>71000</v>
      </c>
      <c r="K2242" s="25">
        <f>23*10^-6</f>
        <v/>
      </c>
      <c r="L2242" s="8">
        <f>H2242</f>
        <v/>
      </c>
      <c r="M2242" s="26">
        <f>H2242^2/6</f>
        <v/>
      </c>
      <c r="N2242" s="26">
        <f>H2242^3/12</f>
        <v/>
      </c>
      <c r="O2242" s="27">
        <f>-J2242*L2242*K2242*C2242</f>
        <v/>
      </c>
      <c r="P2242" s="28">
        <f>-(12*F2242*J2242*L2242*N2242+12*O2242*N2242*G2242*COS(RADIANS(E2242)))/(12*N2242*G2242*COS(RADIANS(E2242))^2+L2242*G2242^3*SIN(RADIANS(E2242))^2)</f>
        <v/>
      </c>
      <c r="Q2242" s="28">
        <f>-(6*F2242*J2242*L2242*N2242*SIN(RADIANS(E2242))+6*O2242*N2242*G2242*SIN(RADIANS(E2242))*COS(RADIANS(E2242)))/(12*N2242*COS(RADIANS(E2242))^2+L2242*G2242^2*SIN(RADIANS(E2242))^2)</f>
        <v/>
      </c>
      <c r="R2242" s="28">
        <f>-P2242*SIN(RADIANS(E2242))</f>
        <v/>
      </c>
      <c r="S2242" s="8">
        <f>(O2242+P2242*COS(RADIANS(E2242)))/L2242</f>
        <v/>
      </c>
      <c r="T2242" s="8">
        <f>R2242/L2242</f>
        <v/>
      </c>
      <c r="U2242" s="8">
        <f>(Q2242-P2242*G2242*SIN(RADIANS(E2242)))/M2242</f>
        <v/>
      </c>
      <c r="V2242" s="8">
        <f>SQRT((S2242+U2242)^2+3*T2242^2)</f>
        <v/>
      </c>
      <c r="W2242" s="8">
        <f>V2242/AA2242</f>
        <v/>
      </c>
      <c r="X2242" s="27">
        <f>((3*10+H2242/COS(RADIANS(E2242)))*(3+3)+3*G2242*H2242)*2</f>
        <v/>
      </c>
      <c r="Y2242" s="28">
        <f>Z2242/X2242</f>
        <v/>
      </c>
      <c r="Z2242" s="29" t="n">
        <v>607.637009451289</v>
      </c>
      <c r="AA2242" s="20" t="n">
        <v>95.03820966223709</v>
      </c>
      <c r="AB2242" t="n">
        <v>0.3426743686657803</v>
      </c>
      <c r="AC2242" t="n">
        <v>102.6752340341733</v>
      </c>
      <c r="AD2242" t="n">
        <v>49.74544662363138</v>
      </c>
    </row>
    <row r="2243">
      <c r="A2243" t="n">
        <v>2242</v>
      </c>
      <c r="B2243" t="n">
        <v>66.8</v>
      </c>
      <c r="C2243" s="21">
        <f>B2243-20</f>
        <v/>
      </c>
      <c r="D2243" t="n">
        <v>123.5</v>
      </c>
      <c r="E2243" s="22">
        <f>D2243-90</f>
        <v/>
      </c>
      <c r="F2243" s="23" t="n">
        <v>0.016192</v>
      </c>
      <c r="G2243" s="22" t="n">
        <v>29.2</v>
      </c>
      <c r="H2243" s="22" t="n">
        <v>1.1</v>
      </c>
      <c r="I2243" s="24" t="n">
        <v>0.0725569501519203</v>
      </c>
      <c r="J2243" s="6" t="n">
        <v>71000</v>
      </c>
      <c r="K2243" s="25">
        <f>23*10^-6</f>
        <v/>
      </c>
      <c r="L2243" s="8">
        <f>H2243</f>
        <v/>
      </c>
      <c r="M2243" s="26">
        <f>H2243^2/6</f>
        <v/>
      </c>
      <c r="N2243" s="26">
        <f>H2243^3/12</f>
        <v/>
      </c>
      <c r="O2243" s="27">
        <f>-J2243*L2243*K2243*C2243</f>
        <v/>
      </c>
      <c r="P2243" s="28">
        <f>-(12*F2243*J2243*L2243*N2243+12*O2243*N2243*G2243*COS(RADIANS(E2243)))/(12*N2243*G2243*COS(RADIANS(E2243))^2+L2243*G2243^3*SIN(RADIANS(E2243))^2)</f>
        <v/>
      </c>
      <c r="Q2243" s="28">
        <f>-(6*F2243*J2243*L2243*N2243*SIN(RADIANS(E2243))+6*O2243*N2243*G2243*SIN(RADIANS(E2243))*COS(RADIANS(E2243)))/(12*N2243*COS(RADIANS(E2243))^2+L2243*G2243^2*SIN(RADIANS(E2243))^2)</f>
        <v/>
      </c>
      <c r="R2243" s="28">
        <f>-P2243*SIN(RADIANS(E2243))</f>
        <v/>
      </c>
      <c r="S2243" s="8">
        <f>(O2243+P2243*COS(RADIANS(E2243)))/L2243</f>
        <v/>
      </c>
      <c r="T2243" s="8">
        <f>R2243/L2243</f>
        <v/>
      </c>
      <c r="U2243" s="8">
        <f>(Q2243-P2243*G2243*SIN(RADIANS(E2243)))/M2243</f>
        <v/>
      </c>
      <c r="V2243" s="8">
        <f>SQRT((S2243+U2243)^2+3*T2243^2)</f>
        <v/>
      </c>
      <c r="W2243" s="8">
        <f>V2243/AA2243</f>
        <v/>
      </c>
      <c r="X2243" s="27">
        <f>((3*10+H2243/COS(RADIANS(E2243)))*(3+3)+3*G2243*H2243)*2</f>
        <v/>
      </c>
      <c r="Y2243" s="28">
        <f>Z2243/X2243</f>
        <v/>
      </c>
      <c r="Z2243" s="29" t="n">
        <v>576.764053277707</v>
      </c>
      <c r="AA2243" s="20" t="n">
        <v>63.4917480074563</v>
      </c>
      <c r="AB2243" t="n">
        <v>0.08111254925354247</v>
      </c>
      <c r="AC2243" t="n">
        <v>66.86947102187609</v>
      </c>
      <c r="AD2243" t="n">
        <v>11.79156384565281</v>
      </c>
    </row>
    <row r="2244">
      <c r="A2244" t="n">
        <v>2243</v>
      </c>
      <c r="B2244" t="n">
        <v>40.5</v>
      </c>
      <c r="C2244" s="21">
        <f>B2244-20</f>
        <v/>
      </c>
      <c r="D2244" t="n">
        <v>117.6</v>
      </c>
      <c r="E2244" s="22">
        <f>D2244-90</f>
        <v/>
      </c>
      <c r="F2244" s="23" t="n">
        <v>0.007284</v>
      </c>
      <c r="G2244" s="22" t="n">
        <v>28.4</v>
      </c>
      <c r="H2244" s="22" t="n">
        <v>2</v>
      </c>
      <c r="I2244" s="24" t="n">
        <v>0.0354934632778167</v>
      </c>
      <c r="J2244" s="6" t="n">
        <v>71000</v>
      </c>
      <c r="K2244" s="25">
        <f>23*10^-6</f>
        <v/>
      </c>
      <c r="L2244" s="8">
        <f>H2244</f>
        <v/>
      </c>
      <c r="M2244" s="26">
        <f>H2244^2/6</f>
        <v/>
      </c>
      <c r="N2244" s="26">
        <f>H2244^3/12</f>
        <v/>
      </c>
      <c r="O2244" s="27">
        <f>-J2244*L2244*K2244*C2244</f>
        <v/>
      </c>
      <c r="P2244" s="28">
        <f>-(12*F2244*J2244*L2244*N2244+12*O2244*N2244*G2244*COS(RADIANS(E2244)))/(12*N2244*G2244*COS(RADIANS(E2244))^2+L2244*G2244^3*SIN(RADIANS(E2244))^2)</f>
        <v/>
      </c>
      <c r="Q2244" s="28">
        <f>-(6*F2244*J2244*L2244*N2244*SIN(RADIANS(E2244))+6*O2244*N2244*G2244*SIN(RADIANS(E2244))*COS(RADIANS(E2244)))/(12*N2244*COS(RADIANS(E2244))^2+L2244*G2244^2*SIN(RADIANS(E2244))^2)</f>
        <v/>
      </c>
      <c r="R2244" s="28">
        <f>-P2244*SIN(RADIANS(E2244))</f>
        <v/>
      </c>
      <c r="S2244" s="8">
        <f>(O2244+P2244*COS(RADIANS(E2244)))/L2244</f>
        <v/>
      </c>
      <c r="T2244" s="8">
        <f>R2244/L2244</f>
        <v/>
      </c>
      <c r="U2244" s="8">
        <f>(Q2244-P2244*G2244*SIN(RADIANS(E2244)))/M2244</f>
        <v/>
      </c>
      <c r="V2244" s="8">
        <f>SQRT((S2244+U2244)^2+3*T2244^2)</f>
        <v/>
      </c>
      <c r="W2244" s="8">
        <f>V2244/AA2244</f>
        <v/>
      </c>
      <c r="X2244" s="27">
        <f>((3*10+H2244/COS(RADIANS(E2244)))*(3+3)+3*G2244*H2244)*2</f>
        <v/>
      </c>
      <c r="Y2244" s="28">
        <f>Z2244/X2244</f>
        <v/>
      </c>
      <c r="Z2244" s="29" t="n">
        <v>734.397256259772</v>
      </c>
      <c r="AA2244" s="20" t="n">
        <v>33.858235694311</v>
      </c>
      <c r="AB2244" t="n">
        <v>0.042004616293594</v>
      </c>
      <c r="AC2244" t="n">
        <v>31.56542991906185</v>
      </c>
      <c r="AD2244" t="n">
        <v>18.34465395730133</v>
      </c>
    </row>
    <row r="2245">
      <c r="A2245" t="n">
        <v>2244</v>
      </c>
      <c r="B2245" t="n">
        <v>59.1</v>
      </c>
      <c r="C2245" s="21">
        <f>B2245-20</f>
        <v/>
      </c>
      <c r="D2245" t="n">
        <v>114.1</v>
      </c>
      <c r="E2245" s="22">
        <f>D2245-90</f>
        <v/>
      </c>
      <c r="F2245" s="23" t="n">
        <v>0.016346</v>
      </c>
      <c r="G2245" s="22" t="n">
        <v>33.6</v>
      </c>
      <c r="H2245" s="22" t="n">
        <v>1.9</v>
      </c>
      <c r="I2245" s="24" t="n">
        <v>0.0836252197623252</v>
      </c>
      <c r="J2245" s="6" t="n">
        <v>71000</v>
      </c>
      <c r="K2245" s="25">
        <f>23*10^-6</f>
        <v/>
      </c>
      <c r="L2245" s="8">
        <f>H2245</f>
        <v/>
      </c>
      <c r="M2245" s="26">
        <f>H2245^2/6</f>
        <v/>
      </c>
      <c r="N2245" s="26">
        <f>H2245^3/12</f>
        <v/>
      </c>
      <c r="O2245" s="27">
        <f>-J2245*L2245*K2245*C2245</f>
        <v/>
      </c>
      <c r="P2245" s="28">
        <f>-(12*F2245*J2245*L2245*N2245+12*O2245*N2245*G2245*COS(RADIANS(E2245)))/(12*N2245*G2245*COS(RADIANS(E2245))^2+L2245*G2245^3*SIN(RADIANS(E2245))^2)</f>
        <v/>
      </c>
      <c r="Q2245" s="28">
        <f>-(6*F2245*J2245*L2245*N2245*SIN(RADIANS(E2245))+6*O2245*N2245*G2245*SIN(RADIANS(E2245))*COS(RADIANS(E2245)))/(12*N2245*COS(RADIANS(E2245))^2+L2245*G2245^2*SIN(RADIANS(E2245))^2)</f>
        <v/>
      </c>
      <c r="R2245" s="28">
        <f>-P2245*SIN(RADIANS(E2245))</f>
        <v/>
      </c>
      <c r="S2245" s="8">
        <f>(O2245+P2245*COS(RADIANS(E2245)))/L2245</f>
        <v/>
      </c>
      <c r="T2245" s="8">
        <f>R2245/L2245</f>
        <v/>
      </c>
      <c r="U2245" s="8">
        <f>(Q2245-P2245*G2245*SIN(RADIANS(E2245)))/M2245</f>
        <v/>
      </c>
      <c r="V2245" s="8">
        <f>SQRT((S2245+U2245)^2+3*T2245^2)</f>
        <v/>
      </c>
      <c r="W2245" s="8">
        <f>V2245/AA2245</f>
        <v/>
      </c>
      <c r="X2245" s="27">
        <f>((3*10+H2245/COS(RADIANS(E2245)))*(3+3)+3*G2245*H2245)*2</f>
        <v/>
      </c>
      <c r="Y2245" s="28">
        <f>Z2245/X2245</f>
        <v/>
      </c>
      <c r="Z2245" s="29" t="n">
        <v>773.7425248403</v>
      </c>
      <c r="AA2245" s="20" t="n">
        <v>62.5490150647442</v>
      </c>
      <c r="AB2245" t="n">
        <v>0.1086879039581606</v>
      </c>
      <c r="AC2245" t="n">
        <v>60.16606939192148</v>
      </c>
      <c r="AD2245" t="n">
        <v>29.97024613754933</v>
      </c>
    </row>
    <row r="2246">
      <c r="A2246" t="n">
        <v>2245</v>
      </c>
      <c r="B2246" t="n">
        <v>61.7</v>
      </c>
      <c r="C2246" s="21">
        <f>B2246-20</f>
        <v/>
      </c>
      <c r="D2246" t="n">
        <v>101</v>
      </c>
      <c r="E2246" s="22">
        <f>D2246-90</f>
        <v/>
      </c>
      <c r="F2246" s="23" t="n">
        <v>0.015172</v>
      </c>
      <c r="G2246" s="22" t="n">
        <v>26.4</v>
      </c>
      <c r="H2246" s="22" t="n">
        <v>1.3</v>
      </c>
      <c r="I2246" s="24" t="n">
        <v>0.136618629097938</v>
      </c>
      <c r="J2246" s="6" t="n">
        <v>71000</v>
      </c>
      <c r="K2246" s="25">
        <f>23*10^-6</f>
        <v/>
      </c>
      <c r="L2246" s="8">
        <f>H2246</f>
        <v/>
      </c>
      <c r="M2246" s="26">
        <f>H2246^2/6</f>
        <v/>
      </c>
      <c r="N2246" s="26">
        <f>H2246^3/12</f>
        <v/>
      </c>
      <c r="O2246" s="27">
        <f>-J2246*L2246*K2246*C2246</f>
        <v/>
      </c>
      <c r="P2246" s="28">
        <f>-(12*F2246*J2246*L2246*N2246+12*O2246*N2246*G2246*COS(RADIANS(E2246)))/(12*N2246*G2246*COS(RADIANS(E2246))^2+L2246*G2246^3*SIN(RADIANS(E2246))^2)</f>
        <v/>
      </c>
      <c r="Q2246" s="28">
        <f>-(6*F2246*J2246*L2246*N2246*SIN(RADIANS(E2246))+6*O2246*N2246*G2246*SIN(RADIANS(E2246))*COS(RADIANS(E2246)))/(12*N2246*COS(RADIANS(E2246))^2+L2246*G2246^2*SIN(RADIANS(E2246))^2)</f>
        <v/>
      </c>
      <c r="R2246" s="28">
        <f>-P2246*SIN(RADIANS(E2246))</f>
        <v/>
      </c>
      <c r="S2246" s="8">
        <f>(O2246+P2246*COS(RADIANS(E2246)))/L2246</f>
        <v/>
      </c>
      <c r="T2246" s="8">
        <f>R2246/L2246</f>
        <v/>
      </c>
      <c r="U2246" s="8">
        <f>(Q2246-P2246*G2246*SIN(RADIANS(E2246)))/M2246</f>
        <v/>
      </c>
      <c r="V2246" s="8">
        <f>SQRT((S2246+U2246)^2+3*T2246^2)</f>
        <v/>
      </c>
      <c r="W2246" s="8">
        <f>V2246/AA2246</f>
        <v/>
      </c>
      <c r="X2246" s="27">
        <f>((3*10+H2246/COS(RADIANS(E2246)))*(3+3)+3*G2246*H2246)*2</f>
        <v/>
      </c>
      <c r="Y2246" s="28">
        <f>Z2246/X2246</f>
        <v/>
      </c>
      <c r="Z2246" s="29" t="n">
        <v>585.694810505866</v>
      </c>
      <c r="AA2246" s="20" t="n">
        <v>65.7384099552286</v>
      </c>
      <c r="AB2246" t="n">
        <v>0.1978637854999857</v>
      </c>
      <c r="AC2246" t="n">
        <v>70.27678176227016</v>
      </c>
      <c r="AD2246" t="n">
        <v>44.82928631800485</v>
      </c>
    </row>
    <row r="2247">
      <c r="A2247" t="n">
        <v>2246</v>
      </c>
      <c r="B2247" t="n">
        <v>45.7</v>
      </c>
      <c r="C2247" s="21">
        <f>B2247-20</f>
        <v/>
      </c>
      <c r="D2247" t="n">
        <v>108.3</v>
      </c>
      <c r="E2247" s="22">
        <f>D2247-90</f>
        <v/>
      </c>
      <c r="F2247" s="23" t="n">
        <v>0.009101</v>
      </c>
      <c r="G2247" s="22" t="n">
        <v>26.4</v>
      </c>
      <c r="H2247" s="22" t="n">
        <v>1.6</v>
      </c>
      <c r="I2247" s="24" t="n">
        <v>0.0567783117294311</v>
      </c>
      <c r="J2247" s="6" t="n">
        <v>71000</v>
      </c>
      <c r="K2247" s="25">
        <f>23*10^-6</f>
        <v/>
      </c>
      <c r="L2247" s="8">
        <f>H2247</f>
        <v/>
      </c>
      <c r="M2247" s="26">
        <f>H2247^2/6</f>
        <v/>
      </c>
      <c r="N2247" s="26">
        <f>H2247^3/12</f>
        <v/>
      </c>
      <c r="O2247" s="27">
        <f>-J2247*L2247*K2247*C2247</f>
        <v/>
      </c>
      <c r="P2247" s="28">
        <f>-(12*F2247*J2247*L2247*N2247+12*O2247*N2247*G2247*COS(RADIANS(E2247)))/(12*N2247*G2247*COS(RADIANS(E2247))^2+L2247*G2247^3*SIN(RADIANS(E2247))^2)</f>
        <v/>
      </c>
      <c r="Q2247" s="28">
        <f>-(6*F2247*J2247*L2247*N2247*SIN(RADIANS(E2247))+6*O2247*N2247*G2247*SIN(RADIANS(E2247))*COS(RADIANS(E2247)))/(12*N2247*COS(RADIANS(E2247))^2+L2247*G2247^2*SIN(RADIANS(E2247))^2)</f>
        <v/>
      </c>
      <c r="R2247" s="28">
        <f>-P2247*SIN(RADIANS(E2247))</f>
        <v/>
      </c>
      <c r="S2247" s="8">
        <f>(O2247+P2247*COS(RADIANS(E2247)))/L2247</f>
        <v/>
      </c>
      <c r="T2247" s="8">
        <f>R2247/L2247</f>
        <v/>
      </c>
      <c r="U2247" s="8">
        <f>(Q2247-P2247*G2247*SIN(RADIANS(E2247)))/M2247</f>
        <v/>
      </c>
      <c r="V2247" s="8">
        <f>SQRT((S2247+U2247)^2+3*T2247^2)</f>
        <v/>
      </c>
      <c r="W2247" s="8">
        <f>V2247/AA2247</f>
        <v/>
      </c>
      <c r="X2247" s="27">
        <f>((3*10+H2247/COS(RADIANS(E2247)))*(3+3)+3*G2247*H2247)*2</f>
        <v/>
      </c>
      <c r="Y2247" s="28">
        <f>Z2247/X2247</f>
        <v/>
      </c>
      <c r="Z2247" s="29" t="n">
        <v>638.374830919958</v>
      </c>
      <c r="AA2247" s="20" t="n">
        <v>41.1493892777975</v>
      </c>
      <c r="AB2247" t="n">
        <v>0.0746120321184751</v>
      </c>
      <c r="AC2247" t="n">
        <v>41.16795280532069</v>
      </c>
      <c r="AD2247" t="n">
        <v>31.40938827844695</v>
      </c>
    </row>
    <row r="2248">
      <c r="A2248" t="n">
        <v>2247</v>
      </c>
      <c r="B2248" t="n">
        <v>43.7</v>
      </c>
      <c r="C2248" s="21">
        <f>B2248-20</f>
        <v/>
      </c>
      <c r="D2248" t="n">
        <v>109.9</v>
      </c>
      <c r="E2248" s="22">
        <f>D2248-90</f>
        <v/>
      </c>
      <c r="F2248" s="23" t="n">
        <v>0.008734</v>
      </c>
      <c r="G2248" s="22" t="n">
        <v>28</v>
      </c>
      <c r="H2248" s="22" t="n">
        <v>1.3</v>
      </c>
      <c r="I2248" s="24" t="n">
        <v>0.0515411086380481</v>
      </c>
      <c r="J2248" s="6" t="n">
        <v>71000</v>
      </c>
      <c r="K2248" s="25">
        <f>23*10^-6</f>
        <v/>
      </c>
      <c r="L2248" s="8">
        <f>H2248</f>
        <v/>
      </c>
      <c r="M2248" s="26">
        <f>H2248^2/6</f>
        <v/>
      </c>
      <c r="N2248" s="26">
        <f>H2248^3/12</f>
        <v/>
      </c>
      <c r="O2248" s="27">
        <f>-J2248*L2248*K2248*C2248</f>
        <v/>
      </c>
      <c r="P2248" s="28">
        <f>-(12*F2248*J2248*L2248*N2248+12*O2248*N2248*G2248*COS(RADIANS(E2248)))/(12*N2248*G2248*COS(RADIANS(E2248))^2+L2248*G2248^3*SIN(RADIANS(E2248))^2)</f>
        <v/>
      </c>
      <c r="Q2248" s="28">
        <f>-(6*F2248*J2248*L2248*N2248*SIN(RADIANS(E2248))+6*O2248*N2248*G2248*SIN(RADIANS(E2248))*COS(RADIANS(E2248)))/(12*N2248*COS(RADIANS(E2248))^2+L2248*G2248^2*SIN(RADIANS(E2248))^2)</f>
        <v/>
      </c>
      <c r="R2248" s="28">
        <f>-P2248*SIN(RADIANS(E2248))</f>
        <v/>
      </c>
      <c r="S2248" s="8">
        <f>(O2248+P2248*COS(RADIANS(E2248)))/L2248</f>
        <v/>
      </c>
      <c r="T2248" s="8">
        <f>R2248/L2248</f>
        <v/>
      </c>
      <c r="U2248" s="8">
        <f>(Q2248-P2248*G2248*SIN(RADIANS(E2248)))/M2248</f>
        <v/>
      </c>
      <c r="V2248" s="8">
        <f>SQRT((S2248+U2248)^2+3*T2248^2)</f>
        <v/>
      </c>
      <c r="W2248" s="8">
        <f>V2248/AA2248</f>
        <v/>
      </c>
      <c r="X2248" s="27">
        <f>((3*10+H2248/COS(RADIANS(E2248)))*(3+3)+3*G2248*H2248)*2</f>
        <v/>
      </c>
      <c r="Y2248" s="28">
        <f>Z2248/X2248</f>
        <v/>
      </c>
      <c r="Z2248" s="29" t="n">
        <v>599.948380026921</v>
      </c>
      <c r="AA2248" s="20" t="n">
        <v>35.1572152703211</v>
      </c>
      <c r="AB2248" t="n">
        <v>0.06780168903689868</v>
      </c>
      <c r="AC2248" t="n">
        <v>36.34676244444721</v>
      </c>
      <c r="AD2248" t="n">
        <v>31.54875948253637</v>
      </c>
    </row>
    <row r="2249">
      <c r="A2249" t="n">
        <v>2248</v>
      </c>
      <c r="B2249" t="n">
        <v>73.5</v>
      </c>
      <c r="C2249" s="21">
        <f>B2249-20</f>
        <v/>
      </c>
      <c r="D2249" t="n">
        <v>123</v>
      </c>
      <c r="E2249" s="22">
        <f>D2249-90</f>
        <v/>
      </c>
      <c r="F2249" s="23" t="n">
        <v>0.02146</v>
      </c>
      <c r="G2249" s="22" t="n">
        <v>34.8</v>
      </c>
      <c r="H2249" s="22" t="n">
        <v>1.8</v>
      </c>
      <c r="I2249" s="24" t="n">
        <v>0.09452617913484571</v>
      </c>
      <c r="J2249" s="6" t="n">
        <v>71000</v>
      </c>
      <c r="K2249" s="25">
        <f>23*10^-6</f>
        <v/>
      </c>
      <c r="L2249" s="8">
        <f>H2249</f>
        <v/>
      </c>
      <c r="M2249" s="26">
        <f>H2249^2/6</f>
        <v/>
      </c>
      <c r="N2249" s="26">
        <f>H2249^3/12</f>
        <v/>
      </c>
      <c r="O2249" s="27">
        <f>-J2249*L2249*K2249*C2249</f>
        <v/>
      </c>
      <c r="P2249" s="28">
        <f>-(12*F2249*J2249*L2249*N2249+12*O2249*N2249*G2249*COS(RADIANS(E2249)))/(12*N2249*G2249*COS(RADIANS(E2249))^2+L2249*G2249^3*SIN(RADIANS(E2249))^2)</f>
        <v/>
      </c>
      <c r="Q2249" s="28">
        <f>-(6*F2249*J2249*L2249*N2249*SIN(RADIANS(E2249))+6*O2249*N2249*G2249*SIN(RADIANS(E2249))*COS(RADIANS(E2249)))/(12*N2249*COS(RADIANS(E2249))^2+L2249*G2249^2*SIN(RADIANS(E2249))^2)</f>
        <v/>
      </c>
      <c r="R2249" s="28">
        <f>-P2249*SIN(RADIANS(E2249))</f>
        <v/>
      </c>
      <c r="S2249" s="8">
        <f>(O2249+P2249*COS(RADIANS(E2249)))/L2249</f>
        <v/>
      </c>
      <c r="T2249" s="8">
        <f>R2249/L2249</f>
        <v/>
      </c>
      <c r="U2249" s="8">
        <f>(Q2249-P2249*G2249*SIN(RADIANS(E2249)))/M2249</f>
        <v/>
      </c>
      <c r="V2249" s="8">
        <f>SQRT((S2249+U2249)^2+3*T2249^2)</f>
        <v/>
      </c>
      <c r="W2249" s="8">
        <f>V2249/AA2249</f>
        <v/>
      </c>
      <c r="X2249" s="27">
        <f>((3*10+H2249/COS(RADIANS(E2249)))*(3+3)+3*G2249*H2249)*2</f>
        <v/>
      </c>
      <c r="Y2249" s="28">
        <f>Z2249/X2249</f>
        <v/>
      </c>
      <c r="Z2249" s="29" t="n">
        <v>769.645395538961</v>
      </c>
      <c r="AA2249" s="20" t="n">
        <v>80.7370199149869</v>
      </c>
      <c r="AB2249" t="n">
        <v>0.110876821131126</v>
      </c>
      <c r="AC2249" t="n">
        <v>78.5413944667326</v>
      </c>
      <c r="AD2249" t="n">
        <v>17.29747477992883</v>
      </c>
    </row>
    <row r="2250">
      <c r="A2250" t="n">
        <v>2249</v>
      </c>
      <c r="B2250" t="n">
        <v>62.4</v>
      </c>
      <c r="C2250" s="21">
        <f>B2250-20</f>
        <v/>
      </c>
      <c r="D2250" t="n">
        <v>110</v>
      </c>
      <c r="E2250" s="22">
        <f>D2250-90</f>
        <v/>
      </c>
      <c r="F2250" s="23" t="n">
        <v>0.017571</v>
      </c>
      <c r="G2250" s="22" t="n">
        <v>32.3</v>
      </c>
      <c r="H2250" s="22" t="n">
        <v>1.7</v>
      </c>
      <c r="I2250" s="24" t="n">
        <v>0.101245269179344</v>
      </c>
      <c r="J2250" s="6" t="n">
        <v>71000</v>
      </c>
      <c r="K2250" s="25">
        <f>23*10^-6</f>
        <v/>
      </c>
      <c r="L2250" s="8">
        <f>H2250</f>
        <v/>
      </c>
      <c r="M2250" s="26">
        <f>H2250^2/6</f>
        <v/>
      </c>
      <c r="N2250" s="26">
        <f>H2250^3/12</f>
        <v/>
      </c>
      <c r="O2250" s="27">
        <f>-J2250*L2250*K2250*C2250</f>
        <v/>
      </c>
      <c r="P2250" s="28">
        <f>-(12*F2250*J2250*L2250*N2250+12*O2250*N2250*G2250*COS(RADIANS(E2250)))/(12*N2250*G2250*COS(RADIANS(E2250))^2+L2250*G2250^3*SIN(RADIANS(E2250))^2)</f>
        <v/>
      </c>
      <c r="Q2250" s="28">
        <f>-(6*F2250*J2250*L2250*N2250*SIN(RADIANS(E2250))+6*O2250*N2250*G2250*SIN(RADIANS(E2250))*COS(RADIANS(E2250)))/(12*N2250*COS(RADIANS(E2250))^2+L2250*G2250^2*SIN(RADIANS(E2250))^2)</f>
        <v/>
      </c>
      <c r="R2250" s="28">
        <f>-P2250*SIN(RADIANS(E2250))</f>
        <v/>
      </c>
      <c r="S2250" s="8">
        <f>(O2250+P2250*COS(RADIANS(E2250)))/L2250</f>
        <v/>
      </c>
      <c r="T2250" s="8">
        <f>R2250/L2250</f>
        <v/>
      </c>
      <c r="U2250" s="8">
        <f>(Q2250-P2250*G2250*SIN(RADIANS(E2250)))/M2250</f>
        <v/>
      </c>
      <c r="V2250" s="8">
        <f>SQRT((S2250+U2250)^2+3*T2250^2)</f>
        <v/>
      </c>
      <c r="W2250" s="8">
        <f>V2250/AA2250</f>
        <v/>
      </c>
      <c r="X2250" s="27">
        <f>((3*10+H2250/COS(RADIANS(E2250)))*(3+3)+3*G2250*H2250)*2</f>
        <v/>
      </c>
      <c r="Y2250" s="28">
        <f>Z2250/X2250</f>
        <v/>
      </c>
      <c r="Z2250" s="29" t="n">
        <v>716.143122483572</v>
      </c>
      <c r="AA2250" s="20" t="n">
        <v>66.74727420356911</v>
      </c>
      <c r="AB2250" t="n">
        <v>0.1373669815181173</v>
      </c>
      <c r="AC2250" t="n">
        <v>66.30862727092133</v>
      </c>
      <c r="AD2250" t="n">
        <v>35.67743227072467</v>
      </c>
    </row>
    <row r="2251">
      <c r="A2251" t="n">
        <v>2250</v>
      </c>
      <c r="B2251" t="n">
        <v>75</v>
      </c>
      <c r="C2251" s="21">
        <f>B2251-20</f>
        <v/>
      </c>
      <c r="D2251" t="n">
        <v>102.5</v>
      </c>
      <c r="E2251" s="22">
        <f>D2251-90</f>
        <v/>
      </c>
      <c r="F2251" s="23" t="n">
        <v>0.021942</v>
      </c>
      <c r="G2251" s="22" t="n">
        <v>29.7</v>
      </c>
      <c r="H2251" s="22" t="n">
        <v>1.4</v>
      </c>
      <c r="I2251" s="24" t="n">
        <v>0.178424671292305</v>
      </c>
      <c r="J2251" s="6" t="n">
        <v>71000</v>
      </c>
      <c r="K2251" s="25">
        <f>23*10^-6</f>
        <v/>
      </c>
      <c r="L2251" s="8">
        <f>H2251</f>
        <v/>
      </c>
      <c r="M2251" s="26">
        <f>H2251^2/6</f>
        <v/>
      </c>
      <c r="N2251" s="26">
        <f>H2251^3/12</f>
        <v/>
      </c>
      <c r="O2251" s="27">
        <f>-J2251*L2251*K2251*C2251</f>
        <v/>
      </c>
      <c r="P2251" s="28">
        <f>-(12*F2251*J2251*L2251*N2251+12*O2251*N2251*G2251*COS(RADIANS(E2251)))/(12*N2251*G2251*COS(RADIANS(E2251))^2+L2251*G2251^3*SIN(RADIANS(E2251))^2)</f>
        <v/>
      </c>
      <c r="Q2251" s="28">
        <f>-(6*F2251*J2251*L2251*N2251*SIN(RADIANS(E2251))+6*O2251*N2251*G2251*SIN(RADIANS(E2251))*COS(RADIANS(E2251)))/(12*N2251*COS(RADIANS(E2251))^2+L2251*G2251^2*SIN(RADIANS(E2251))^2)</f>
        <v/>
      </c>
      <c r="R2251" s="28">
        <f>-P2251*SIN(RADIANS(E2251))</f>
        <v/>
      </c>
      <c r="S2251" s="8">
        <f>(O2251+P2251*COS(RADIANS(E2251)))/L2251</f>
        <v/>
      </c>
      <c r="T2251" s="8">
        <f>R2251/L2251</f>
        <v/>
      </c>
      <c r="U2251" s="8">
        <f>(Q2251-P2251*G2251*SIN(RADIANS(E2251)))/M2251</f>
        <v/>
      </c>
      <c r="V2251" s="8">
        <f>SQRT((S2251+U2251)^2+3*T2251^2)</f>
        <v/>
      </c>
      <c r="W2251" s="8">
        <f>V2251/AA2251</f>
        <v/>
      </c>
      <c r="X2251" s="27">
        <f>((3*10+H2251/COS(RADIANS(E2251)))*(3+3)+3*G2251*H2251)*2</f>
        <v/>
      </c>
      <c r="Y2251" s="28">
        <f>Z2251/X2251</f>
        <v/>
      </c>
      <c r="Z2251" s="29" t="n">
        <v>630.704233569673</v>
      </c>
      <c r="AA2251" s="20" t="n">
        <v>86.2610151046909</v>
      </c>
      <c r="AB2251" t="n">
        <v>0.2605605555236397</v>
      </c>
      <c r="AC2251" t="n">
        <v>90.70280148497044</v>
      </c>
      <c r="AD2251" t="n">
        <v>46.03392772783938</v>
      </c>
    </row>
    <row r="2252">
      <c r="A2252" t="n">
        <v>2251</v>
      </c>
      <c r="B2252" t="n">
        <v>66.09999999999999</v>
      </c>
      <c r="C2252" s="21">
        <f>B2252-20</f>
        <v/>
      </c>
      <c r="D2252" t="n">
        <v>117.7</v>
      </c>
      <c r="E2252" s="22">
        <f>D2252-90</f>
        <v/>
      </c>
      <c r="F2252" s="23" t="n">
        <v>0.014646</v>
      </c>
      <c r="G2252" s="22" t="n">
        <v>24.7</v>
      </c>
      <c r="H2252" s="22" t="n">
        <v>1.7</v>
      </c>
      <c r="I2252" s="24" t="n">
        <v>0.0727361142635345</v>
      </c>
      <c r="J2252" s="6" t="n">
        <v>71000</v>
      </c>
      <c r="K2252" s="25">
        <f>23*10^-6</f>
        <v/>
      </c>
      <c r="L2252" s="8">
        <f>H2252</f>
        <v/>
      </c>
      <c r="M2252" s="26">
        <f>H2252^2/6</f>
        <v/>
      </c>
      <c r="N2252" s="26">
        <f>H2252^3/12</f>
        <v/>
      </c>
      <c r="O2252" s="27">
        <f>-J2252*L2252*K2252*C2252</f>
        <v/>
      </c>
      <c r="P2252" s="28">
        <f>-(12*F2252*J2252*L2252*N2252+12*O2252*N2252*G2252*COS(RADIANS(E2252)))/(12*N2252*G2252*COS(RADIANS(E2252))^2+L2252*G2252^3*SIN(RADIANS(E2252))^2)</f>
        <v/>
      </c>
      <c r="Q2252" s="28">
        <f>-(6*F2252*J2252*L2252*N2252*SIN(RADIANS(E2252))+6*O2252*N2252*G2252*SIN(RADIANS(E2252))*COS(RADIANS(E2252)))/(12*N2252*COS(RADIANS(E2252))^2+L2252*G2252^2*SIN(RADIANS(E2252))^2)</f>
        <v/>
      </c>
      <c r="R2252" s="28">
        <f>-P2252*SIN(RADIANS(E2252))</f>
        <v/>
      </c>
      <c r="S2252" s="8">
        <f>(O2252+P2252*COS(RADIANS(E2252)))/L2252</f>
        <v/>
      </c>
      <c r="T2252" s="8">
        <f>R2252/L2252</f>
        <v/>
      </c>
      <c r="U2252" s="8">
        <f>(Q2252-P2252*G2252*SIN(RADIANS(E2252)))/M2252</f>
        <v/>
      </c>
      <c r="V2252" s="8">
        <f>SQRT((S2252+U2252)^2+3*T2252^2)</f>
        <v/>
      </c>
      <c r="W2252" s="8">
        <f>V2252/AA2252</f>
        <v/>
      </c>
      <c r="X2252" s="27">
        <f>((3*10+H2252/COS(RADIANS(E2252)))*(3+3)+3*G2252*H2252)*2</f>
        <v/>
      </c>
      <c r="Y2252" s="28">
        <f>Z2252/X2252</f>
        <v/>
      </c>
      <c r="Z2252" s="29" t="n">
        <v>641.520816702658</v>
      </c>
      <c r="AA2252" s="20" t="n">
        <v>73.4104602577525</v>
      </c>
      <c r="AB2252" t="n">
        <v>0.08268457673523633</v>
      </c>
      <c r="AC2252" t="n">
        <v>70.3518801581846</v>
      </c>
      <c r="AD2252" t="n">
        <v>13.67747311281568</v>
      </c>
    </row>
    <row r="2253">
      <c r="A2253" t="n">
        <v>2252</v>
      </c>
      <c r="B2253" t="n">
        <v>79.5</v>
      </c>
      <c r="C2253" s="21">
        <f>B2253-20</f>
        <v/>
      </c>
      <c r="D2253" t="n">
        <v>129.7</v>
      </c>
      <c r="E2253" s="22">
        <f>D2253-90</f>
        <v/>
      </c>
      <c r="F2253" s="23" t="n">
        <v>0.02124</v>
      </c>
      <c r="G2253" s="22" t="n">
        <v>32.9</v>
      </c>
      <c r="H2253" s="22" t="n">
        <v>1.6</v>
      </c>
      <c r="I2253" s="24" t="n">
        <v>0.0901881232857704</v>
      </c>
      <c r="J2253" s="6" t="n">
        <v>71000</v>
      </c>
      <c r="K2253" s="25">
        <f>23*10^-6</f>
        <v/>
      </c>
      <c r="L2253" s="8">
        <f>H2253</f>
        <v/>
      </c>
      <c r="M2253" s="26">
        <f>H2253^2/6</f>
        <v/>
      </c>
      <c r="N2253" s="26">
        <f>H2253^3/12</f>
        <v/>
      </c>
      <c r="O2253" s="27">
        <f>-J2253*L2253*K2253*C2253</f>
        <v/>
      </c>
      <c r="P2253" s="28">
        <f>-(12*F2253*J2253*L2253*N2253+12*O2253*N2253*G2253*COS(RADIANS(E2253)))/(12*N2253*G2253*COS(RADIANS(E2253))^2+L2253*G2253^3*SIN(RADIANS(E2253))^2)</f>
        <v/>
      </c>
      <c r="Q2253" s="28">
        <f>-(6*F2253*J2253*L2253*N2253*SIN(RADIANS(E2253))+6*O2253*N2253*G2253*SIN(RADIANS(E2253))*COS(RADIANS(E2253)))/(12*N2253*COS(RADIANS(E2253))^2+L2253*G2253^2*SIN(RADIANS(E2253))^2)</f>
        <v/>
      </c>
      <c r="R2253" s="28">
        <f>-P2253*SIN(RADIANS(E2253))</f>
        <v/>
      </c>
      <c r="S2253" s="8">
        <f>(O2253+P2253*COS(RADIANS(E2253)))/L2253</f>
        <v/>
      </c>
      <c r="T2253" s="8">
        <f>R2253/L2253</f>
        <v/>
      </c>
      <c r="U2253" s="8">
        <f>(Q2253-P2253*G2253*SIN(RADIANS(E2253)))/M2253</f>
        <v/>
      </c>
      <c r="V2253" s="8">
        <f>SQRT((S2253+U2253)^2+3*T2253^2)</f>
        <v/>
      </c>
      <c r="W2253" s="8">
        <f>V2253/AA2253</f>
        <v/>
      </c>
      <c r="X2253" s="27">
        <f>((3*10+H2253/COS(RADIANS(E2253)))*(3+3)+3*G2253*H2253)*2</f>
        <v/>
      </c>
      <c r="Y2253" s="28">
        <f>Z2253/X2253</f>
        <v/>
      </c>
      <c r="Z2253" s="29" t="n">
        <v>711.421309374054</v>
      </c>
      <c r="AA2253" s="20" t="n">
        <v>85.038765684537</v>
      </c>
      <c r="AB2253" t="n">
        <v>0.0956797702927846</v>
      </c>
      <c r="AC2253" t="n">
        <v>85.22457015982445</v>
      </c>
      <c r="AD2253" t="n">
        <v>6.08910220873911</v>
      </c>
    </row>
    <row r="2254">
      <c r="A2254" t="n">
        <v>2253</v>
      </c>
      <c r="B2254" t="n">
        <v>47.5</v>
      </c>
      <c r="C2254" s="21">
        <f>B2254-20</f>
        <v/>
      </c>
      <c r="D2254" t="n">
        <v>107.4</v>
      </c>
      <c r="E2254" s="22">
        <f>D2254-90</f>
        <v/>
      </c>
      <c r="F2254" s="23" t="n">
        <v>0.011125</v>
      </c>
      <c r="G2254" s="22" t="n">
        <v>30.9</v>
      </c>
      <c r="H2254" s="22" t="n">
        <v>1.7</v>
      </c>
      <c r="I2254" s="24" t="n">
        <v>0.0705960914492607</v>
      </c>
      <c r="J2254" s="6" t="n">
        <v>71000</v>
      </c>
      <c r="K2254" s="25">
        <f>23*10^-6</f>
        <v/>
      </c>
      <c r="L2254" s="8">
        <f>H2254</f>
        <v/>
      </c>
      <c r="M2254" s="26">
        <f>H2254^2/6</f>
        <v/>
      </c>
      <c r="N2254" s="26">
        <f>H2254^3/12</f>
        <v/>
      </c>
      <c r="O2254" s="27">
        <f>-J2254*L2254*K2254*C2254</f>
        <v/>
      </c>
      <c r="P2254" s="28">
        <f>-(12*F2254*J2254*L2254*N2254+12*O2254*N2254*G2254*COS(RADIANS(E2254)))/(12*N2254*G2254*COS(RADIANS(E2254))^2+L2254*G2254^3*SIN(RADIANS(E2254))^2)</f>
        <v/>
      </c>
      <c r="Q2254" s="28">
        <f>-(6*F2254*J2254*L2254*N2254*SIN(RADIANS(E2254))+6*O2254*N2254*G2254*SIN(RADIANS(E2254))*COS(RADIANS(E2254)))/(12*N2254*COS(RADIANS(E2254))^2+L2254*G2254^2*SIN(RADIANS(E2254))^2)</f>
        <v/>
      </c>
      <c r="R2254" s="28">
        <f>-P2254*SIN(RADIANS(E2254))</f>
        <v/>
      </c>
      <c r="S2254" s="8">
        <f>(O2254+P2254*COS(RADIANS(E2254)))/L2254</f>
        <v/>
      </c>
      <c r="T2254" s="8">
        <f>R2254/L2254</f>
        <v/>
      </c>
      <c r="U2254" s="8">
        <f>(Q2254-P2254*G2254*SIN(RADIANS(E2254)))/M2254</f>
        <v/>
      </c>
      <c r="V2254" s="8">
        <f>SQRT((S2254+U2254)^2+3*T2254^2)</f>
        <v/>
      </c>
      <c r="W2254" s="8">
        <f>V2254/AA2254</f>
        <v/>
      </c>
      <c r="X2254" s="27">
        <f>((3*10+H2254/COS(RADIANS(E2254)))*(3+3)+3*G2254*H2254)*2</f>
        <v/>
      </c>
      <c r="Y2254" s="28">
        <f>Z2254/X2254</f>
        <v/>
      </c>
      <c r="Z2254" s="29" t="n">
        <v>701.142788417346</v>
      </c>
      <c r="AA2254" s="20" t="n">
        <v>44.3765335994622</v>
      </c>
      <c r="AB2254" t="n">
        <v>0.09773626771363678</v>
      </c>
      <c r="AC2254" t="n">
        <v>44.105302461836</v>
      </c>
      <c r="AD2254" t="n">
        <v>38.44430436192413</v>
      </c>
    </row>
    <row r="2255">
      <c r="A2255" t="n">
        <v>2254</v>
      </c>
      <c r="B2255" t="n">
        <v>47.7</v>
      </c>
      <c r="C2255" s="21">
        <f>B2255-20</f>
        <v/>
      </c>
      <c r="D2255" t="n">
        <v>106.6</v>
      </c>
      <c r="E2255" s="22">
        <f>D2255-90</f>
        <v/>
      </c>
      <c r="F2255" s="23" t="n">
        <v>0.008914999999999999</v>
      </c>
      <c r="G2255" s="22" t="n">
        <v>23.2</v>
      </c>
      <c r="H2255" s="22" t="n">
        <v>1.9</v>
      </c>
      <c r="I2255" s="24" t="n">
        <v>0.0590042620897293</v>
      </c>
      <c r="J2255" s="6" t="n">
        <v>71000</v>
      </c>
      <c r="K2255" s="25">
        <f>23*10^-6</f>
        <v/>
      </c>
      <c r="L2255" s="8">
        <f>H2255</f>
        <v/>
      </c>
      <c r="M2255" s="26">
        <f>H2255^2/6</f>
        <v/>
      </c>
      <c r="N2255" s="26">
        <f>H2255^3/12</f>
        <v/>
      </c>
      <c r="O2255" s="27">
        <f>-J2255*L2255*K2255*C2255</f>
        <v/>
      </c>
      <c r="P2255" s="28">
        <f>-(12*F2255*J2255*L2255*N2255+12*O2255*N2255*G2255*COS(RADIANS(E2255)))/(12*N2255*G2255*COS(RADIANS(E2255))^2+L2255*G2255^3*SIN(RADIANS(E2255))^2)</f>
        <v/>
      </c>
      <c r="Q2255" s="28">
        <f>-(6*F2255*J2255*L2255*N2255*SIN(RADIANS(E2255))+6*O2255*N2255*G2255*SIN(RADIANS(E2255))*COS(RADIANS(E2255)))/(12*N2255*COS(RADIANS(E2255))^2+L2255*G2255^2*SIN(RADIANS(E2255))^2)</f>
        <v/>
      </c>
      <c r="R2255" s="28">
        <f>-P2255*SIN(RADIANS(E2255))</f>
        <v/>
      </c>
      <c r="S2255" s="8">
        <f>(O2255+P2255*COS(RADIANS(E2255)))/L2255</f>
        <v/>
      </c>
      <c r="T2255" s="8">
        <f>R2255/L2255</f>
        <v/>
      </c>
      <c r="U2255" s="8">
        <f>(Q2255-P2255*G2255*SIN(RADIANS(E2255)))/M2255</f>
        <v/>
      </c>
      <c r="V2255" s="8">
        <f>SQRT((S2255+U2255)^2+3*T2255^2)</f>
        <v/>
      </c>
      <c r="W2255" s="8">
        <f>V2255/AA2255</f>
        <v/>
      </c>
      <c r="X2255" s="27">
        <f>((3*10+H2255/COS(RADIANS(E2255)))*(3+3)+3*G2255*H2255)*2</f>
        <v/>
      </c>
      <c r="Y2255" s="28">
        <f>Z2255/X2255</f>
        <v/>
      </c>
      <c r="Z2255" s="29" t="n">
        <v>652.748960251263</v>
      </c>
      <c r="AA2255" s="20" t="n">
        <v>49.4258673396237</v>
      </c>
      <c r="AB2255" t="n">
        <v>0.07572777789402389</v>
      </c>
      <c r="AC2255" t="n">
        <v>46.80517464721272</v>
      </c>
      <c r="AD2255" t="n">
        <v>28.34289458422971</v>
      </c>
    </row>
    <row r="2256">
      <c r="A2256" t="n">
        <v>2255</v>
      </c>
      <c r="B2256" t="n">
        <v>57.3</v>
      </c>
      <c r="C2256" s="21">
        <f>B2256-20</f>
        <v/>
      </c>
      <c r="D2256" t="n">
        <v>102.9</v>
      </c>
      <c r="E2256" s="22">
        <f>D2256-90</f>
        <v/>
      </c>
      <c r="F2256" s="23" t="n">
        <v>0.012499</v>
      </c>
      <c r="G2256" s="22" t="n">
        <v>24</v>
      </c>
      <c r="H2256" s="22" t="n">
        <v>1.2</v>
      </c>
      <c r="I2256" s="24" t="n">
        <v>0.101310089230537</v>
      </c>
      <c r="J2256" s="6" t="n">
        <v>71000</v>
      </c>
      <c r="K2256" s="25">
        <f>23*10^-6</f>
        <v/>
      </c>
      <c r="L2256" s="8">
        <f>H2256</f>
        <v/>
      </c>
      <c r="M2256" s="26">
        <f>H2256^2/6</f>
        <v/>
      </c>
      <c r="N2256" s="26">
        <f>H2256^3/12</f>
        <v/>
      </c>
      <c r="O2256" s="27">
        <f>-J2256*L2256*K2256*C2256</f>
        <v/>
      </c>
      <c r="P2256" s="28">
        <f>-(12*F2256*J2256*L2256*N2256+12*O2256*N2256*G2256*COS(RADIANS(E2256)))/(12*N2256*G2256*COS(RADIANS(E2256))^2+L2256*G2256^3*SIN(RADIANS(E2256))^2)</f>
        <v/>
      </c>
      <c r="Q2256" s="28">
        <f>-(6*F2256*J2256*L2256*N2256*SIN(RADIANS(E2256))+6*O2256*N2256*G2256*SIN(RADIANS(E2256))*COS(RADIANS(E2256)))/(12*N2256*COS(RADIANS(E2256))^2+L2256*G2256^2*SIN(RADIANS(E2256))^2)</f>
        <v/>
      </c>
      <c r="R2256" s="28">
        <f>-P2256*SIN(RADIANS(E2256))</f>
        <v/>
      </c>
      <c r="S2256" s="8">
        <f>(O2256+P2256*COS(RADIANS(E2256)))/L2256</f>
        <v/>
      </c>
      <c r="T2256" s="8">
        <f>R2256/L2256</f>
        <v/>
      </c>
      <c r="U2256" s="8">
        <f>(Q2256-P2256*G2256*SIN(RADIANS(E2256)))/M2256</f>
        <v/>
      </c>
      <c r="V2256" s="8">
        <f>SQRT((S2256+U2256)^2+3*T2256^2)</f>
        <v/>
      </c>
      <c r="W2256" s="8">
        <f>V2256/AA2256</f>
        <v/>
      </c>
      <c r="X2256" s="27">
        <f>((3*10+H2256/COS(RADIANS(E2256)))*(3+3)+3*G2256*H2256)*2</f>
        <v/>
      </c>
      <c r="Y2256" s="28">
        <f>Z2256/X2256</f>
        <v/>
      </c>
      <c r="Z2256" s="29" t="n">
        <v>551.627893569352</v>
      </c>
      <c r="AA2256" s="20" t="n">
        <v>56.6392801354802</v>
      </c>
      <c r="AB2256" t="n">
        <v>0.1399918095476508</v>
      </c>
      <c r="AC2256" t="n">
        <v>61.05380874068733</v>
      </c>
      <c r="AD2256" t="n">
        <v>38.18150848637718</v>
      </c>
    </row>
    <row r="2257">
      <c r="A2257" t="n">
        <v>2256</v>
      </c>
      <c r="B2257" t="n">
        <v>55.2</v>
      </c>
      <c r="C2257" s="21">
        <f>B2257-20</f>
        <v/>
      </c>
      <c r="D2257" t="n">
        <v>118.4</v>
      </c>
      <c r="E2257" s="22">
        <f>D2257-90</f>
        <v/>
      </c>
      <c r="F2257" s="23" t="n">
        <v>0.011374</v>
      </c>
      <c r="G2257" s="22" t="n">
        <v>25.4</v>
      </c>
      <c r="H2257" s="22" t="n">
        <v>2</v>
      </c>
      <c r="I2257" s="24" t="n">
        <v>0.0555539466440677</v>
      </c>
      <c r="J2257" s="6" t="n">
        <v>71000</v>
      </c>
      <c r="K2257" s="25">
        <f>23*10^-6</f>
        <v/>
      </c>
      <c r="L2257" s="8">
        <f>H2257</f>
        <v/>
      </c>
      <c r="M2257" s="26">
        <f>H2257^2/6</f>
        <v/>
      </c>
      <c r="N2257" s="26">
        <f>H2257^3/12</f>
        <v/>
      </c>
      <c r="O2257" s="27">
        <f>-J2257*L2257*K2257*C2257</f>
        <v/>
      </c>
      <c r="P2257" s="28">
        <f>-(12*F2257*J2257*L2257*N2257+12*O2257*N2257*G2257*COS(RADIANS(E2257)))/(12*N2257*G2257*COS(RADIANS(E2257))^2+L2257*G2257^3*SIN(RADIANS(E2257))^2)</f>
        <v/>
      </c>
      <c r="Q2257" s="28">
        <f>-(6*F2257*J2257*L2257*N2257*SIN(RADIANS(E2257))+6*O2257*N2257*G2257*SIN(RADIANS(E2257))*COS(RADIANS(E2257)))/(12*N2257*COS(RADIANS(E2257))^2+L2257*G2257^2*SIN(RADIANS(E2257))^2)</f>
        <v/>
      </c>
      <c r="R2257" s="28">
        <f>-P2257*SIN(RADIANS(E2257))</f>
        <v/>
      </c>
      <c r="S2257" s="8">
        <f>(O2257+P2257*COS(RADIANS(E2257)))/L2257</f>
        <v/>
      </c>
      <c r="T2257" s="8">
        <f>R2257/L2257</f>
        <v/>
      </c>
      <c r="U2257" s="8">
        <f>(Q2257-P2257*G2257*SIN(RADIANS(E2257)))/M2257</f>
        <v/>
      </c>
      <c r="V2257" s="8">
        <f>SQRT((S2257+U2257)^2+3*T2257^2)</f>
        <v/>
      </c>
      <c r="W2257" s="8">
        <f>V2257/AA2257</f>
        <v/>
      </c>
      <c r="X2257" s="27">
        <f>((3*10+H2257/COS(RADIANS(E2257)))*(3+3)+3*G2257*H2257)*2</f>
        <v/>
      </c>
      <c r="Y2257" s="28">
        <f>Z2257/X2257</f>
        <v/>
      </c>
      <c r="Z2257" s="29" t="n">
        <v>698.800875307016</v>
      </c>
      <c r="AA2257" s="20" t="n">
        <v>59.194645905589</v>
      </c>
      <c r="AB2257" t="n">
        <v>0.06280794587201716</v>
      </c>
      <c r="AC2257" t="n">
        <v>54.42318364931491</v>
      </c>
      <c r="AD2257" t="n">
        <v>13.05757676304365</v>
      </c>
    </row>
    <row r="2258">
      <c r="A2258" t="n">
        <v>2257</v>
      </c>
      <c r="B2258" t="n">
        <v>43.6</v>
      </c>
      <c r="C2258" s="21">
        <f>B2258-20</f>
        <v/>
      </c>
      <c r="D2258" t="n">
        <v>104.6</v>
      </c>
      <c r="E2258" s="22">
        <f>D2258-90</f>
        <v/>
      </c>
      <c r="F2258" s="23" t="n">
        <v>0.010284</v>
      </c>
      <c r="G2258" s="22" t="n">
        <v>33.3</v>
      </c>
      <c r="H2258" s="22" t="n">
        <v>1.2</v>
      </c>
      <c r="I2258" s="24" t="n">
        <v>0.07435731589794151</v>
      </c>
      <c r="J2258" s="6" t="n">
        <v>71000</v>
      </c>
      <c r="K2258" s="25">
        <f>23*10^-6</f>
        <v/>
      </c>
      <c r="L2258" s="8">
        <f>H2258</f>
        <v/>
      </c>
      <c r="M2258" s="26">
        <f>H2258^2/6</f>
        <v/>
      </c>
      <c r="N2258" s="26">
        <f>H2258^3/12</f>
        <v/>
      </c>
      <c r="O2258" s="27">
        <f>-J2258*L2258*K2258*C2258</f>
        <v/>
      </c>
      <c r="P2258" s="28">
        <f>-(12*F2258*J2258*L2258*N2258+12*O2258*N2258*G2258*COS(RADIANS(E2258)))/(12*N2258*G2258*COS(RADIANS(E2258))^2+L2258*G2258^3*SIN(RADIANS(E2258))^2)</f>
        <v/>
      </c>
      <c r="Q2258" s="28">
        <f>-(6*F2258*J2258*L2258*N2258*SIN(RADIANS(E2258))+6*O2258*N2258*G2258*SIN(RADIANS(E2258))*COS(RADIANS(E2258)))/(12*N2258*COS(RADIANS(E2258))^2+L2258*G2258^2*SIN(RADIANS(E2258))^2)</f>
        <v/>
      </c>
      <c r="R2258" s="28">
        <f>-P2258*SIN(RADIANS(E2258))</f>
        <v/>
      </c>
      <c r="S2258" s="8">
        <f>(O2258+P2258*COS(RADIANS(E2258)))/L2258</f>
        <v/>
      </c>
      <c r="T2258" s="8">
        <f>R2258/L2258</f>
        <v/>
      </c>
      <c r="U2258" s="8">
        <f>(Q2258-P2258*G2258*SIN(RADIANS(E2258)))/M2258</f>
        <v/>
      </c>
      <c r="V2258" s="8">
        <f>SQRT((S2258+U2258)^2+3*T2258^2)</f>
        <v/>
      </c>
      <c r="W2258" s="8">
        <f>V2258/AA2258</f>
        <v/>
      </c>
      <c r="X2258" s="27">
        <f>((3*10+H2258/COS(RADIANS(E2258)))*(3+3)+3*G2258*H2258)*2</f>
        <v/>
      </c>
      <c r="Y2258" s="28">
        <f>Z2258/X2258</f>
        <v/>
      </c>
      <c r="Z2258" s="29" t="n">
        <v>618.87497288358</v>
      </c>
      <c r="AA2258" s="20" t="n">
        <v>34.8641716991844</v>
      </c>
      <c r="AB2258" t="n">
        <v>0.109049809175466</v>
      </c>
      <c r="AC2258" t="n">
        <v>36.77162783151177</v>
      </c>
      <c r="AD2258" t="n">
        <v>46.6564625935952</v>
      </c>
    </row>
    <row r="2259">
      <c r="A2259" t="n">
        <v>2258</v>
      </c>
      <c r="B2259" t="n">
        <v>53.7</v>
      </c>
      <c r="C2259" s="21">
        <f>B2259-20</f>
        <v/>
      </c>
      <c r="D2259" t="n">
        <v>109.1</v>
      </c>
      <c r="E2259" s="22">
        <f>D2259-90</f>
        <v/>
      </c>
      <c r="F2259" s="23" t="n">
        <v>0.014467</v>
      </c>
      <c r="G2259" s="22" t="n">
        <v>33.5</v>
      </c>
      <c r="H2259" s="22" t="n">
        <v>1.7</v>
      </c>
      <c r="I2259" s="24" t="n">
        <v>0.0855886489152908</v>
      </c>
      <c r="J2259" s="6" t="n">
        <v>71000</v>
      </c>
      <c r="K2259" s="25">
        <f>23*10^-6</f>
        <v/>
      </c>
      <c r="L2259" s="8">
        <f>H2259</f>
        <v/>
      </c>
      <c r="M2259" s="26">
        <f>H2259^2/6</f>
        <v/>
      </c>
      <c r="N2259" s="26">
        <f>H2259^3/12</f>
        <v/>
      </c>
      <c r="O2259" s="27">
        <f>-J2259*L2259*K2259*C2259</f>
        <v/>
      </c>
      <c r="P2259" s="28">
        <f>-(12*F2259*J2259*L2259*N2259+12*O2259*N2259*G2259*COS(RADIANS(E2259)))/(12*N2259*G2259*COS(RADIANS(E2259))^2+L2259*G2259^3*SIN(RADIANS(E2259))^2)</f>
        <v/>
      </c>
      <c r="Q2259" s="28">
        <f>-(6*F2259*J2259*L2259*N2259*SIN(RADIANS(E2259))+6*O2259*N2259*G2259*SIN(RADIANS(E2259))*COS(RADIANS(E2259)))/(12*N2259*COS(RADIANS(E2259))^2+L2259*G2259^2*SIN(RADIANS(E2259))^2)</f>
        <v/>
      </c>
      <c r="R2259" s="28">
        <f>-P2259*SIN(RADIANS(E2259))</f>
        <v/>
      </c>
      <c r="S2259" s="8">
        <f>(O2259+P2259*COS(RADIANS(E2259)))/L2259</f>
        <v/>
      </c>
      <c r="T2259" s="8">
        <f>R2259/L2259</f>
        <v/>
      </c>
      <c r="U2259" s="8">
        <f>(Q2259-P2259*G2259*SIN(RADIANS(E2259)))/M2259</f>
        <v/>
      </c>
      <c r="V2259" s="8">
        <f>SQRT((S2259+U2259)^2+3*T2259^2)</f>
        <v/>
      </c>
      <c r="W2259" s="8">
        <f>V2259/AA2259</f>
        <v/>
      </c>
      <c r="X2259" s="27">
        <f>((3*10+H2259/COS(RADIANS(E2259)))*(3+3)+3*G2259*H2259)*2</f>
        <v/>
      </c>
      <c r="Y2259" s="28">
        <f>Z2259/X2259</f>
        <v/>
      </c>
      <c r="Z2259" s="29" t="n">
        <v>728.1202965257989</v>
      </c>
      <c r="AA2259" s="20" t="n">
        <v>53.7232842931404</v>
      </c>
      <c r="AB2259" t="n">
        <v>0.1184784309340907</v>
      </c>
      <c r="AC2259" t="n">
        <v>52.86822965695623</v>
      </c>
      <c r="AD2259" t="n">
        <v>38.42773829897899</v>
      </c>
    </row>
    <row r="2260">
      <c r="A2260" t="n">
        <v>2259</v>
      </c>
      <c r="B2260" t="n">
        <v>74.40000000000001</v>
      </c>
      <c r="C2260" s="21">
        <f>B2260-20</f>
        <v/>
      </c>
      <c r="D2260" t="n">
        <v>125.1</v>
      </c>
      <c r="E2260" s="22">
        <f>D2260-90</f>
        <v/>
      </c>
      <c r="F2260" s="23" t="n">
        <v>0.020465</v>
      </c>
      <c r="G2260" s="22" t="n">
        <v>33</v>
      </c>
      <c r="H2260" s="22" t="n">
        <v>1.7</v>
      </c>
      <c r="I2260" s="24" t="n">
        <v>0.0890757963061332</v>
      </c>
      <c r="J2260" s="6" t="n">
        <v>71000</v>
      </c>
      <c r="K2260" s="25">
        <f>23*10^-6</f>
        <v/>
      </c>
      <c r="L2260" s="8">
        <f>H2260</f>
        <v/>
      </c>
      <c r="M2260" s="26">
        <f>H2260^2/6</f>
        <v/>
      </c>
      <c r="N2260" s="26">
        <f>H2260^3/12</f>
        <v/>
      </c>
      <c r="O2260" s="27">
        <f>-J2260*L2260*K2260*C2260</f>
        <v/>
      </c>
      <c r="P2260" s="28">
        <f>-(12*F2260*J2260*L2260*N2260+12*O2260*N2260*G2260*COS(RADIANS(E2260)))/(12*N2260*G2260*COS(RADIANS(E2260))^2+L2260*G2260^3*SIN(RADIANS(E2260))^2)</f>
        <v/>
      </c>
      <c r="Q2260" s="28">
        <f>-(6*F2260*J2260*L2260*N2260*SIN(RADIANS(E2260))+6*O2260*N2260*G2260*SIN(RADIANS(E2260))*COS(RADIANS(E2260)))/(12*N2260*COS(RADIANS(E2260))^2+L2260*G2260^2*SIN(RADIANS(E2260))^2)</f>
        <v/>
      </c>
      <c r="R2260" s="28">
        <f>-P2260*SIN(RADIANS(E2260))</f>
        <v/>
      </c>
      <c r="S2260" s="8">
        <f>(O2260+P2260*COS(RADIANS(E2260)))/L2260</f>
        <v/>
      </c>
      <c r="T2260" s="8">
        <f>R2260/L2260</f>
        <v/>
      </c>
      <c r="U2260" s="8">
        <f>(Q2260-P2260*G2260*SIN(RADIANS(E2260)))/M2260</f>
        <v/>
      </c>
      <c r="V2260" s="8">
        <f>SQRT((S2260+U2260)^2+3*T2260^2)</f>
        <v/>
      </c>
      <c r="W2260" s="8">
        <f>V2260/AA2260</f>
        <v/>
      </c>
      <c r="X2260" s="27">
        <f>((3*10+H2260/COS(RADIANS(E2260)))*(3+3)+3*G2260*H2260)*2</f>
        <v/>
      </c>
      <c r="Y2260" s="28">
        <f>Z2260/X2260</f>
        <v/>
      </c>
      <c r="Z2260" s="29" t="n">
        <v>730.302425248263</v>
      </c>
      <c r="AA2260" s="20" t="n">
        <v>81.58676586767901</v>
      </c>
      <c r="AB2260" t="n">
        <v>0.1003093519510854</v>
      </c>
      <c r="AC2260" t="n">
        <v>79.21175969241334</v>
      </c>
      <c r="AD2260" t="n">
        <v>12.61123235580741</v>
      </c>
    </row>
    <row r="2261">
      <c r="A2261" t="n">
        <v>2260</v>
      </c>
      <c r="B2261" t="n">
        <v>70.8</v>
      </c>
      <c r="C2261" s="21">
        <f>B2261-20</f>
        <v/>
      </c>
      <c r="D2261" t="n">
        <v>121.2</v>
      </c>
      <c r="E2261" s="22">
        <f>D2261-90</f>
        <v/>
      </c>
      <c r="F2261" s="23" t="n">
        <v>0.015809</v>
      </c>
      <c r="G2261" s="22" t="n">
        <v>24.9</v>
      </c>
      <c r="H2261" s="22" t="n">
        <v>1.2</v>
      </c>
      <c r="I2261" s="24" t="n">
        <v>0.07451169937849041</v>
      </c>
      <c r="J2261" s="6" t="n">
        <v>71000</v>
      </c>
      <c r="K2261" s="25">
        <f>23*10^-6</f>
        <v/>
      </c>
      <c r="L2261" s="8">
        <f>H2261</f>
        <v/>
      </c>
      <c r="M2261" s="26">
        <f>H2261^2/6</f>
        <v/>
      </c>
      <c r="N2261" s="26">
        <f>H2261^3/12</f>
        <v/>
      </c>
      <c r="O2261" s="27">
        <f>-J2261*L2261*K2261*C2261</f>
        <v/>
      </c>
      <c r="P2261" s="28">
        <f>-(12*F2261*J2261*L2261*N2261+12*O2261*N2261*G2261*COS(RADIANS(E2261)))/(12*N2261*G2261*COS(RADIANS(E2261))^2+L2261*G2261^3*SIN(RADIANS(E2261))^2)</f>
        <v/>
      </c>
      <c r="Q2261" s="28">
        <f>-(6*F2261*J2261*L2261*N2261*SIN(RADIANS(E2261))+6*O2261*N2261*G2261*SIN(RADIANS(E2261))*COS(RADIANS(E2261)))/(12*N2261*COS(RADIANS(E2261))^2+L2261*G2261^2*SIN(RADIANS(E2261))^2)</f>
        <v/>
      </c>
      <c r="R2261" s="28">
        <f>-P2261*SIN(RADIANS(E2261))</f>
        <v/>
      </c>
      <c r="S2261" s="8">
        <f>(O2261+P2261*COS(RADIANS(E2261)))/L2261</f>
        <v/>
      </c>
      <c r="T2261" s="8">
        <f>R2261/L2261</f>
        <v/>
      </c>
      <c r="U2261" s="8">
        <f>(Q2261-P2261*G2261*SIN(RADIANS(E2261)))/M2261</f>
        <v/>
      </c>
      <c r="V2261" s="8">
        <f>SQRT((S2261+U2261)^2+3*T2261^2)</f>
        <v/>
      </c>
      <c r="W2261" s="8">
        <f>V2261/AA2261</f>
        <v/>
      </c>
      <c r="X2261" s="27">
        <f>((3*10+H2261/COS(RADIANS(E2261)))*(3+3)+3*G2261*H2261)*2</f>
        <v/>
      </c>
      <c r="Y2261" s="28">
        <f>Z2261/X2261</f>
        <v/>
      </c>
      <c r="Z2261" s="29" t="n">
        <v>563.606784019895</v>
      </c>
      <c r="AA2261" s="20" t="n">
        <v>72.1512539936744</v>
      </c>
      <c r="AB2261" t="n">
        <v>0.08168758147023104</v>
      </c>
      <c r="AC2261" t="n">
        <v>73.9774519966704</v>
      </c>
      <c r="AD2261" t="n">
        <v>9.630544131452366</v>
      </c>
    </row>
    <row r="2262">
      <c r="A2262" t="n">
        <v>2261</v>
      </c>
      <c r="B2262" t="n">
        <v>55.3</v>
      </c>
      <c r="C2262" s="21">
        <f>B2262-20</f>
        <v/>
      </c>
      <c r="D2262" t="n">
        <v>104.6</v>
      </c>
      <c r="E2262" s="22">
        <f>D2262-90</f>
        <v/>
      </c>
      <c r="F2262" s="23" t="n">
        <v>0.013396</v>
      </c>
      <c r="G2262" s="22" t="n">
        <v>28.2</v>
      </c>
      <c r="H2262" s="22" t="n">
        <v>1.8</v>
      </c>
      <c r="I2262" s="24" t="n">
        <v>0.0959908291697502</v>
      </c>
      <c r="J2262" s="6" t="n">
        <v>71000</v>
      </c>
      <c r="K2262" s="25">
        <f>23*10^-6</f>
        <v/>
      </c>
      <c r="L2262" s="8">
        <f>H2262</f>
        <v/>
      </c>
      <c r="M2262" s="26">
        <f>H2262^2/6</f>
        <v/>
      </c>
      <c r="N2262" s="26">
        <f>H2262^3/12</f>
        <v/>
      </c>
      <c r="O2262" s="27">
        <f>-J2262*L2262*K2262*C2262</f>
        <v/>
      </c>
      <c r="P2262" s="28">
        <f>-(12*F2262*J2262*L2262*N2262+12*O2262*N2262*G2262*COS(RADIANS(E2262)))/(12*N2262*G2262*COS(RADIANS(E2262))^2+L2262*G2262^3*SIN(RADIANS(E2262))^2)</f>
        <v/>
      </c>
      <c r="Q2262" s="28">
        <f>-(6*F2262*J2262*L2262*N2262*SIN(RADIANS(E2262))+6*O2262*N2262*G2262*SIN(RADIANS(E2262))*COS(RADIANS(E2262)))/(12*N2262*COS(RADIANS(E2262))^2+L2262*G2262^2*SIN(RADIANS(E2262))^2)</f>
        <v/>
      </c>
      <c r="R2262" s="28">
        <f>-P2262*SIN(RADIANS(E2262))</f>
        <v/>
      </c>
      <c r="S2262" s="8">
        <f>(O2262+P2262*COS(RADIANS(E2262)))/L2262</f>
        <v/>
      </c>
      <c r="T2262" s="8">
        <f>R2262/L2262</f>
        <v/>
      </c>
      <c r="U2262" s="8">
        <f>(Q2262-P2262*G2262*SIN(RADIANS(E2262)))/M2262</f>
        <v/>
      </c>
      <c r="V2262" s="8">
        <f>SQRT((S2262+U2262)^2+3*T2262^2)</f>
        <v/>
      </c>
      <c r="W2262" s="8">
        <f>V2262/AA2262</f>
        <v/>
      </c>
      <c r="X2262" s="27">
        <f>((3*10+H2262/COS(RADIANS(E2262)))*(3+3)+3*G2262*H2262)*2</f>
        <v/>
      </c>
      <c r="Y2262" s="28">
        <f>Z2262/X2262</f>
        <v/>
      </c>
      <c r="Z2262" s="29" t="n">
        <v>691.115224789443</v>
      </c>
      <c r="AA2262" s="20" t="n">
        <v>59.9997899151482</v>
      </c>
      <c r="AB2262" t="n">
        <v>0.1340035971779309</v>
      </c>
      <c r="AC2262" t="n">
        <v>59.35209694659827</v>
      </c>
      <c r="AD2262" t="n">
        <v>39.6004163491066</v>
      </c>
    </row>
    <row r="2263">
      <c r="A2263" t="n">
        <v>2262</v>
      </c>
      <c r="B2263" t="n">
        <v>84.59999999999999</v>
      </c>
      <c r="C2263" s="21">
        <f>B2263-20</f>
        <v/>
      </c>
      <c r="D2263" t="n">
        <v>129</v>
      </c>
      <c r="E2263" s="22">
        <f>D2263-90</f>
        <v/>
      </c>
      <c r="F2263" s="23" t="n">
        <v>0.015922</v>
      </c>
      <c r="G2263" s="22" t="n">
        <v>20.1</v>
      </c>
      <c r="H2263" s="22" t="n">
        <v>1</v>
      </c>
      <c r="I2263" s="24" t="n">
        <v>0.0726883113384246</v>
      </c>
      <c r="J2263" s="6" t="n">
        <v>71000</v>
      </c>
      <c r="K2263" s="25">
        <f>23*10^-6</f>
        <v/>
      </c>
      <c r="L2263" s="8">
        <f>H2263</f>
        <v/>
      </c>
      <c r="M2263" s="26">
        <f>H2263^2/6</f>
        <v/>
      </c>
      <c r="N2263" s="26">
        <f>H2263^3/12</f>
        <v/>
      </c>
      <c r="O2263" s="27">
        <f>-J2263*L2263*K2263*C2263</f>
        <v/>
      </c>
      <c r="P2263" s="28">
        <f>-(12*F2263*J2263*L2263*N2263+12*O2263*N2263*G2263*COS(RADIANS(E2263)))/(12*N2263*G2263*COS(RADIANS(E2263))^2+L2263*G2263^3*SIN(RADIANS(E2263))^2)</f>
        <v/>
      </c>
      <c r="Q2263" s="28">
        <f>-(6*F2263*J2263*L2263*N2263*SIN(RADIANS(E2263))+6*O2263*N2263*G2263*SIN(RADIANS(E2263))*COS(RADIANS(E2263)))/(12*N2263*COS(RADIANS(E2263))^2+L2263*G2263^2*SIN(RADIANS(E2263))^2)</f>
        <v/>
      </c>
      <c r="R2263" s="28">
        <f>-P2263*SIN(RADIANS(E2263))</f>
        <v/>
      </c>
      <c r="S2263" s="8">
        <f>(O2263+P2263*COS(RADIANS(E2263)))/L2263</f>
        <v/>
      </c>
      <c r="T2263" s="8">
        <f>R2263/L2263</f>
        <v/>
      </c>
      <c r="U2263" s="8">
        <f>(Q2263-P2263*G2263*SIN(RADIANS(E2263)))/M2263</f>
        <v/>
      </c>
      <c r="V2263" s="8">
        <f>SQRT((S2263+U2263)^2+3*T2263^2)</f>
        <v/>
      </c>
      <c r="W2263" s="8">
        <f>V2263/AA2263</f>
        <v/>
      </c>
      <c r="X2263" s="27">
        <f>((3*10+H2263/COS(RADIANS(E2263)))*(3+3)+3*G2263*H2263)*2</f>
        <v/>
      </c>
      <c r="Y2263" s="28">
        <f>Z2263/X2263</f>
        <v/>
      </c>
      <c r="Z2263" s="29" t="n">
        <v>506.356973757794</v>
      </c>
      <c r="AA2263" s="20" t="n">
        <v>86.8010091290614</v>
      </c>
      <c r="AB2263" t="n">
        <v>0.06681681582352096</v>
      </c>
      <c r="AC2263" t="n">
        <v>91.66531825080479</v>
      </c>
      <c r="AD2263" t="n">
        <v>-8.077633675608363</v>
      </c>
    </row>
    <row r="2264">
      <c r="A2264" t="n">
        <v>2263</v>
      </c>
      <c r="B2264" t="n">
        <v>59.4</v>
      </c>
      <c r="C2264" s="21">
        <f>B2264-20</f>
        <v/>
      </c>
      <c r="D2264" t="n">
        <v>126.4</v>
      </c>
      <c r="E2264" s="22">
        <f>D2264-90</f>
        <v/>
      </c>
      <c r="F2264" s="23" t="n">
        <v>0.013179</v>
      </c>
      <c r="G2264" s="22" t="n">
        <v>29</v>
      </c>
      <c r="H2264" s="22" t="n">
        <v>1.3</v>
      </c>
      <c r="I2264" s="24" t="n">
        <v>0.0577861443161964</v>
      </c>
      <c r="J2264" s="6" t="n">
        <v>71000</v>
      </c>
      <c r="K2264" s="25">
        <f>23*10^-6</f>
        <v/>
      </c>
      <c r="L2264" s="8">
        <f>H2264</f>
        <v/>
      </c>
      <c r="M2264" s="26">
        <f>H2264^2/6</f>
        <v/>
      </c>
      <c r="N2264" s="26">
        <f>H2264^3/12</f>
        <v/>
      </c>
      <c r="O2264" s="27">
        <f>-J2264*L2264*K2264*C2264</f>
        <v/>
      </c>
      <c r="P2264" s="28">
        <f>-(12*F2264*J2264*L2264*N2264+12*O2264*N2264*G2264*COS(RADIANS(E2264)))/(12*N2264*G2264*COS(RADIANS(E2264))^2+L2264*G2264^3*SIN(RADIANS(E2264))^2)</f>
        <v/>
      </c>
      <c r="Q2264" s="28">
        <f>-(6*F2264*J2264*L2264*N2264*SIN(RADIANS(E2264))+6*O2264*N2264*G2264*SIN(RADIANS(E2264))*COS(RADIANS(E2264)))/(12*N2264*COS(RADIANS(E2264))^2+L2264*G2264^2*SIN(RADIANS(E2264))^2)</f>
        <v/>
      </c>
      <c r="R2264" s="28">
        <f>-P2264*SIN(RADIANS(E2264))</f>
        <v/>
      </c>
      <c r="S2264" s="8">
        <f>(O2264+P2264*COS(RADIANS(E2264)))/L2264</f>
        <v/>
      </c>
      <c r="T2264" s="8">
        <f>R2264/L2264</f>
        <v/>
      </c>
      <c r="U2264" s="8">
        <f>(Q2264-P2264*G2264*SIN(RADIANS(E2264)))/M2264</f>
        <v/>
      </c>
      <c r="V2264" s="8">
        <f>SQRT((S2264+U2264)^2+3*T2264^2)</f>
        <v/>
      </c>
      <c r="W2264" s="8">
        <f>V2264/AA2264</f>
        <v/>
      </c>
      <c r="X2264" s="27">
        <f>((3*10+H2264/COS(RADIANS(E2264)))*(3+3)+3*G2264*H2264)*2</f>
        <v/>
      </c>
      <c r="Y2264" s="28">
        <f>Z2264/X2264</f>
        <v/>
      </c>
      <c r="Z2264" s="29" t="n">
        <v>614.832666737012</v>
      </c>
      <c r="AA2264" s="20" t="n">
        <v>54.4394477071588</v>
      </c>
      <c r="AB2264" t="n">
        <v>0.06189651616010819</v>
      </c>
      <c r="AC2264" t="n">
        <v>56.47071412376332</v>
      </c>
      <c r="AD2264" t="n">
        <v>7.113075102260677</v>
      </c>
    </row>
    <row r="2265">
      <c r="A2265" t="n">
        <v>2264</v>
      </c>
      <c r="B2265" t="n">
        <v>75.5</v>
      </c>
      <c r="C2265" s="21">
        <f>B2265-20</f>
        <v/>
      </c>
      <c r="D2265" t="n">
        <v>127.6</v>
      </c>
      <c r="E2265" s="22">
        <f>D2265-90</f>
        <v/>
      </c>
      <c r="F2265" s="23" t="n">
        <v>0.014423</v>
      </c>
      <c r="G2265" s="22" t="n">
        <v>21.2</v>
      </c>
      <c r="H2265" s="22" t="n">
        <v>1.9</v>
      </c>
      <c r="I2265" s="24" t="n">
        <v>0.0659593269228935</v>
      </c>
      <c r="J2265" s="6" t="n">
        <v>71000</v>
      </c>
      <c r="K2265" s="25">
        <f>23*10^-6</f>
        <v/>
      </c>
      <c r="L2265" s="8">
        <f>H2265</f>
        <v/>
      </c>
      <c r="M2265" s="26">
        <f>H2265^2/6</f>
        <v/>
      </c>
      <c r="N2265" s="26">
        <f>H2265^3/12</f>
        <v/>
      </c>
      <c r="O2265" s="27">
        <f>-J2265*L2265*K2265*C2265</f>
        <v/>
      </c>
      <c r="P2265" s="28">
        <f>-(12*F2265*J2265*L2265*N2265+12*O2265*N2265*G2265*COS(RADIANS(E2265)))/(12*N2265*G2265*COS(RADIANS(E2265))^2+L2265*G2265^3*SIN(RADIANS(E2265))^2)</f>
        <v/>
      </c>
      <c r="Q2265" s="28">
        <f>-(6*F2265*J2265*L2265*N2265*SIN(RADIANS(E2265))+6*O2265*N2265*G2265*SIN(RADIANS(E2265))*COS(RADIANS(E2265)))/(12*N2265*COS(RADIANS(E2265))^2+L2265*G2265^2*SIN(RADIANS(E2265))^2)</f>
        <v/>
      </c>
      <c r="R2265" s="28">
        <f>-P2265*SIN(RADIANS(E2265))</f>
        <v/>
      </c>
      <c r="S2265" s="8">
        <f>(O2265+P2265*COS(RADIANS(E2265)))/L2265</f>
        <v/>
      </c>
      <c r="T2265" s="8">
        <f>R2265/L2265</f>
        <v/>
      </c>
      <c r="U2265" s="8">
        <f>(Q2265-P2265*G2265*SIN(RADIANS(E2265)))/M2265</f>
        <v/>
      </c>
      <c r="V2265" s="8">
        <f>SQRT((S2265+U2265)^2+3*T2265^2)</f>
        <v/>
      </c>
      <c r="W2265" s="8">
        <f>V2265/AA2265</f>
        <v/>
      </c>
      <c r="X2265" s="27">
        <f>((3*10+H2265/COS(RADIANS(E2265)))*(3+3)+3*G2265*H2265)*2</f>
        <v/>
      </c>
      <c r="Y2265" s="28">
        <f>Z2265/X2265</f>
        <v/>
      </c>
      <c r="Z2265" s="29" t="n">
        <v>640.182936163161</v>
      </c>
      <c r="AA2265" s="20" t="n">
        <v>91.63033986351429</v>
      </c>
      <c r="AB2265" t="n">
        <v>0.06209080561215799</v>
      </c>
      <c r="AC2265" t="n">
        <v>82.62243940721105</v>
      </c>
      <c r="AD2265" t="n">
        <v>-5.86501028923144</v>
      </c>
    </row>
    <row r="2266">
      <c r="A2266" t="n">
        <v>2265</v>
      </c>
      <c r="B2266" t="n">
        <v>56.6</v>
      </c>
      <c r="C2266" s="21">
        <f>B2266-20</f>
        <v/>
      </c>
      <c r="D2266" t="n">
        <v>116.3</v>
      </c>
      <c r="E2266" s="22">
        <f>D2266-90</f>
        <v/>
      </c>
      <c r="F2266" s="23" t="n">
        <v>0.011294</v>
      </c>
      <c r="G2266" s="22" t="n">
        <v>23.5</v>
      </c>
      <c r="H2266" s="22" t="n">
        <v>1.6</v>
      </c>
      <c r="I2266" s="24" t="n">
        <v>0.0579394325613975</v>
      </c>
      <c r="J2266" s="6" t="n">
        <v>71000</v>
      </c>
      <c r="K2266" s="25">
        <f>23*10^-6</f>
        <v/>
      </c>
      <c r="L2266" s="8">
        <f>H2266</f>
        <v/>
      </c>
      <c r="M2266" s="26">
        <f>H2266^2/6</f>
        <v/>
      </c>
      <c r="N2266" s="26">
        <f>H2266^3/12</f>
        <v/>
      </c>
      <c r="O2266" s="27">
        <f>-J2266*L2266*K2266*C2266</f>
        <v/>
      </c>
      <c r="P2266" s="28">
        <f>-(12*F2266*J2266*L2266*N2266+12*O2266*N2266*G2266*COS(RADIANS(E2266)))/(12*N2266*G2266*COS(RADIANS(E2266))^2+L2266*G2266^3*SIN(RADIANS(E2266))^2)</f>
        <v/>
      </c>
      <c r="Q2266" s="28">
        <f>-(6*F2266*J2266*L2266*N2266*SIN(RADIANS(E2266))+6*O2266*N2266*G2266*SIN(RADIANS(E2266))*COS(RADIANS(E2266)))/(12*N2266*COS(RADIANS(E2266))^2+L2266*G2266^2*SIN(RADIANS(E2266))^2)</f>
        <v/>
      </c>
      <c r="R2266" s="28">
        <f>-P2266*SIN(RADIANS(E2266))</f>
        <v/>
      </c>
      <c r="S2266" s="8">
        <f>(O2266+P2266*COS(RADIANS(E2266)))/L2266</f>
        <v/>
      </c>
      <c r="T2266" s="8">
        <f>R2266/L2266</f>
        <v/>
      </c>
      <c r="U2266" s="8">
        <f>(Q2266-P2266*G2266*SIN(RADIANS(E2266)))/M2266</f>
        <v/>
      </c>
      <c r="V2266" s="8">
        <f>SQRT((S2266+U2266)^2+3*T2266^2)</f>
        <v/>
      </c>
      <c r="W2266" s="8">
        <f>V2266/AA2266</f>
        <v/>
      </c>
      <c r="X2266" s="27">
        <f>((3*10+H2266/COS(RADIANS(E2266)))*(3+3)+3*G2266*H2266)*2</f>
        <v/>
      </c>
      <c r="Y2266" s="28">
        <f>Z2266/X2266</f>
        <v/>
      </c>
      <c r="Z2266" s="29" t="n">
        <v>613.221754198107</v>
      </c>
      <c r="AA2266" s="20" t="n">
        <v>57.9852909117522</v>
      </c>
      <c r="AB2266" t="n">
        <v>0.06613794672019056</v>
      </c>
      <c r="AC2266" t="n">
        <v>56.06752787196152</v>
      </c>
      <c r="AD2266" t="n">
        <v>14.15014575799518</v>
      </c>
    </row>
    <row r="2267">
      <c r="A2267" t="n">
        <v>2266</v>
      </c>
      <c r="B2267" t="n">
        <v>83.7</v>
      </c>
      <c r="C2267" s="21">
        <f>B2267-20</f>
        <v/>
      </c>
      <c r="D2267" t="n">
        <v>101.4</v>
      </c>
      <c r="E2267" s="22">
        <f>D2267-90</f>
        <v/>
      </c>
      <c r="F2267" s="23" t="n">
        <v>0.021014</v>
      </c>
      <c r="G2267" s="22" t="n">
        <v>23.4</v>
      </c>
      <c r="H2267" s="22" t="n">
        <v>1</v>
      </c>
      <c r="I2267" s="24" t="n">
        <v>0.189021334052085</v>
      </c>
      <c r="J2267" s="6" t="n">
        <v>71000</v>
      </c>
      <c r="K2267" s="25">
        <f>23*10^-6</f>
        <v/>
      </c>
      <c r="L2267" s="8">
        <f>H2267</f>
        <v/>
      </c>
      <c r="M2267" s="26">
        <f>H2267^2/6</f>
        <v/>
      </c>
      <c r="N2267" s="26">
        <f>H2267^3/12</f>
        <v/>
      </c>
      <c r="O2267" s="27">
        <f>-J2267*L2267*K2267*C2267</f>
        <v/>
      </c>
      <c r="P2267" s="28">
        <f>-(12*F2267*J2267*L2267*N2267+12*O2267*N2267*G2267*COS(RADIANS(E2267)))/(12*N2267*G2267*COS(RADIANS(E2267))^2+L2267*G2267^3*SIN(RADIANS(E2267))^2)</f>
        <v/>
      </c>
      <c r="Q2267" s="28">
        <f>-(6*F2267*J2267*L2267*N2267*SIN(RADIANS(E2267))+6*O2267*N2267*G2267*SIN(RADIANS(E2267))*COS(RADIANS(E2267)))/(12*N2267*COS(RADIANS(E2267))^2+L2267*G2267^2*SIN(RADIANS(E2267))^2)</f>
        <v/>
      </c>
      <c r="R2267" s="28">
        <f>-P2267*SIN(RADIANS(E2267))</f>
        <v/>
      </c>
      <c r="S2267" s="8">
        <f>(O2267+P2267*COS(RADIANS(E2267)))/L2267</f>
        <v/>
      </c>
      <c r="T2267" s="8">
        <f>R2267/L2267</f>
        <v/>
      </c>
      <c r="U2267" s="8">
        <f>(Q2267-P2267*G2267*SIN(RADIANS(E2267)))/M2267</f>
        <v/>
      </c>
      <c r="V2267" s="8">
        <f>SQRT((S2267+U2267)^2+3*T2267^2)</f>
        <v/>
      </c>
      <c r="W2267" s="8">
        <f>V2267/AA2267</f>
        <v/>
      </c>
      <c r="X2267" s="27">
        <f>((3*10+H2267/COS(RADIANS(E2267)))*(3+3)+3*G2267*H2267)*2</f>
        <v/>
      </c>
      <c r="Y2267" s="28">
        <f>Z2267/X2267</f>
        <v/>
      </c>
      <c r="Z2267" s="29" t="n">
        <v>516.5581612621301</v>
      </c>
      <c r="AA2267" s="20" t="n">
        <v>93.98853638850341</v>
      </c>
      <c r="AB2267" t="n">
        <v>0.2655497057264749</v>
      </c>
      <c r="AC2267" t="n">
        <v>103.6869240769155</v>
      </c>
      <c r="AD2267" t="n">
        <v>40.48663187050752</v>
      </c>
    </row>
    <row r="2268">
      <c r="A2268" t="n">
        <v>2267</v>
      </c>
      <c r="B2268" t="n">
        <v>84.40000000000001</v>
      </c>
      <c r="C2268" s="21">
        <f>B2268-20</f>
        <v/>
      </c>
      <c r="D2268" t="n">
        <v>112</v>
      </c>
      <c r="E2268" s="22">
        <f>D2268-90</f>
        <v/>
      </c>
      <c r="F2268" s="23" t="n">
        <v>0.02646</v>
      </c>
      <c r="G2268" s="22" t="n">
        <v>32.4</v>
      </c>
      <c r="H2268" s="22" t="n">
        <v>1.1</v>
      </c>
      <c r="I2268" s="24" t="n">
        <v>0.143962666392326</v>
      </c>
      <c r="J2268" s="6" t="n">
        <v>71000</v>
      </c>
      <c r="K2268" s="25">
        <f>23*10^-6</f>
        <v/>
      </c>
      <c r="L2268" s="8">
        <f>H2268</f>
        <v/>
      </c>
      <c r="M2268" s="26">
        <f>H2268^2/6</f>
        <v/>
      </c>
      <c r="N2268" s="26">
        <f>H2268^3/12</f>
        <v/>
      </c>
      <c r="O2268" s="27">
        <f>-J2268*L2268*K2268*C2268</f>
        <v/>
      </c>
      <c r="P2268" s="28">
        <f>-(12*F2268*J2268*L2268*N2268+12*O2268*N2268*G2268*COS(RADIANS(E2268)))/(12*N2268*G2268*COS(RADIANS(E2268))^2+L2268*G2268^3*SIN(RADIANS(E2268))^2)</f>
        <v/>
      </c>
      <c r="Q2268" s="28">
        <f>-(6*F2268*J2268*L2268*N2268*SIN(RADIANS(E2268))+6*O2268*N2268*G2268*SIN(RADIANS(E2268))*COS(RADIANS(E2268)))/(12*N2268*COS(RADIANS(E2268))^2+L2268*G2268^2*SIN(RADIANS(E2268))^2)</f>
        <v/>
      </c>
      <c r="R2268" s="28">
        <f>-P2268*SIN(RADIANS(E2268))</f>
        <v/>
      </c>
      <c r="S2268" s="8">
        <f>(O2268+P2268*COS(RADIANS(E2268)))/L2268</f>
        <v/>
      </c>
      <c r="T2268" s="8">
        <f>R2268/L2268</f>
        <v/>
      </c>
      <c r="U2268" s="8">
        <f>(Q2268-P2268*G2268*SIN(RADIANS(E2268)))/M2268</f>
        <v/>
      </c>
      <c r="V2268" s="8">
        <f>SQRT((S2268+U2268)^2+3*T2268^2)</f>
        <v/>
      </c>
      <c r="W2268" s="8">
        <f>V2268/AA2268</f>
        <v/>
      </c>
      <c r="X2268" s="27">
        <f>((3*10+H2268/COS(RADIANS(E2268)))*(3+3)+3*G2268*H2268)*2</f>
        <v/>
      </c>
      <c r="Y2268" s="28">
        <f>Z2268/X2268</f>
        <v/>
      </c>
      <c r="Z2268" s="29" t="n">
        <v>593.395121813247</v>
      </c>
      <c r="AA2268" s="20" t="n">
        <v>89.4568166467147</v>
      </c>
      <c r="AB2268" t="n">
        <v>0.1921676755407223</v>
      </c>
      <c r="AC2268" t="n">
        <v>95.02809985697412</v>
      </c>
      <c r="AD2268" t="n">
        <v>33.48438199736335</v>
      </c>
    </row>
    <row r="2269">
      <c r="A2269" t="n">
        <v>2268</v>
      </c>
      <c r="B2269" t="n">
        <v>46</v>
      </c>
      <c r="C2269" s="21">
        <f>B2269-20</f>
        <v/>
      </c>
      <c r="D2269" t="n">
        <v>124.9</v>
      </c>
      <c r="E2269" s="22">
        <f>D2269-90</f>
        <v/>
      </c>
      <c r="F2269" s="23" t="n">
        <v>0.008123</v>
      </c>
      <c r="G2269" s="22" t="n">
        <v>26.1</v>
      </c>
      <c r="H2269" s="22" t="n">
        <v>1.2</v>
      </c>
      <c r="I2269" s="24" t="n">
        <v>0.0365718863904476</v>
      </c>
      <c r="J2269" s="6" t="n">
        <v>71000</v>
      </c>
      <c r="K2269" s="25">
        <f>23*10^-6</f>
        <v/>
      </c>
      <c r="L2269" s="8">
        <f>H2269</f>
        <v/>
      </c>
      <c r="M2269" s="26">
        <f>H2269^2/6</f>
        <v/>
      </c>
      <c r="N2269" s="26">
        <f>H2269^3/12</f>
        <v/>
      </c>
      <c r="O2269" s="27">
        <f>-J2269*L2269*K2269*C2269</f>
        <v/>
      </c>
      <c r="P2269" s="28">
        <f>-(12*F2269*J2269*L2269*N2269+12*O2269*N2269*G2269*COS(RADIANS(E2269)))/(12*N2269*G2269*COS(RADIANS(E2269))^2+L2269*G2269^3*SIN(RADIANS(E2269))^2)</f>
        <v/>
      </c>
      <c r="Q2269" s="28">
        <f>-(6*F2269*J2269*L2269*N2269*SIN(RADIANS(E2269))+6*O2269*N2269*G2269*SIN(RADIANS(E2269))*COS(RADIANS(E2269)))/(12*N2269*COS(RADIANS(E2269))^2+L2269*G2269^2*SIN(RADIANS(E2269))^2)</f>
        <v/>
      </c>
      <c r="R2269" s="28">
        <f>-P2269*SIN(RADIANS(E2269))</f>
        <v/>
      </c>
      <c r="S2269" s="8">
        <f>(O2269+P2269*COS(RADIANS(E2269)))/L2269</f>
        <v/>
      </c>
      <c r="T2269" s="8">
        <f>R2269/L2269</f>
        <v/>
      </c>
      <c r="U2269" s="8">
        <f>(Q2269-P2269*G2269*SIN(RADIANS(E2269)))/M2269</f>
        <v/>
      </c>
      <c r="V2269" s="8">
        <f>SQRT((S2269+U2269)^2+3*T2269^2)</f>
        <v/>
      </c>
      <c r="W2269" s="8">
        <f>V2269/AA2269</f>
        <v/>
      </c>
      <c r="X2269" s="27">
        <f>((3*10+H2269/COS(RADIANS(E2269)))*(3+3)+3*G2269*H2269)*2</f>
        <v/>
      </c>
      <c r="Y2269" s="28">
        <f>Z2269/X2269</f>
        <v/>
      </c>
      <c r="Z2269" s="29" t="n">
        <v>574.1742258258899</v>
      </c>
      <c r="AA2269" s="20" t="n">
        <v>36.0086153138317</v>
      </c>
      <c r="AB2269" t="n">
        <v>0.03873078904318</v>
      </c>
      <c r="AC2269" t="n">
        <v>37.37816371559205</v>
      </c>
      <c r="AD2269" t="n">
        <v>5.903175542228237</v>
      </c>
    </row>
    <row r="2270">
      <c r="A2270" t="n">
        <v>2269</v>
      </c>
      <c r="B2270" t="n">
        <v>48.1</v>
      </c>
      <c r="C2270" s="21">
        <f>B2270-20</f>
        <v/>
      </c>
      <c r="D2270" t="n">
        <v>127.1</v>
      </c>
      <c r="E2270" s="22">
        <f>D2270-90</f>
        <v/>
      </c>
      <c r="F2270" s="23" t="n">
        <v>0.007313</v>
      </c>
      <c r="G2270" s="22" t="n">
        <v>21.1</v>
      </c>
      <c r="H2270" s="22" t="n">
        <v>1.7</v>
      </c>
      <c r="I2270" s="24" t="n">
        <v>0.033554445952177</v>
      </c>
      <c r="J2270" s="6" t="n">
        <v>71000</v>
      </c>
      <c r="K2270" s="25">
        <f>23*10^-6</f>
        <v/>
      </c>
      <c r="L2270" s="8">
        <f>H2270</f>
        <v/>
      </c>
      <c r="M2270" s="26">
        <f>H2270^2/6</f>
        <v/>
      </c>
      <c r="N2270" s="26">
        <f>H2270^3/12</f>
        <v/>
      </c>
      <c r="O2270" s="27">
        <f>-J2270*L2270*K2270*C2270</f>
        <v/>
      </c>
      <c r="P2270" s="28">
        <f>-(12*F2270*J2270*L2270*N2270+12*O2270*N2270*G2270*COS(RADIANS(E2270)))/(12*N2270*G2270*COS(RADIANS(E2270))^2+L2270*G2270^3*SIN(RADIANS(E2270))^2)</f>
        <v/>
      </c>
      <c r="Q2270" s="28">
        <f>-(6*F2270*J2270*L2270*N2270*SIN(RADIANS(E2270))+6*O2270*N2270*G2270*SIN(RADIANS(E2270))*COS(RADIANS(E2270)))/(12*N2270*COS(RADIANS(E2270))^2+L2270*G2270^2*SIN(RADIANS(E2270))^2)</f>
        <v/>
      </c>
      <c r="R2270" s="28">
        <f>-P2270*SIN(RADIANS(E2270))</f>
        <v/>
      </c>
      <c r="S2270" s="8">
        <f>(O2270+P2270*COS(RADIANS(E2270)))/L2270</f>
        <v/>
      </c>
      <c r="T2270" s="8">
        <f>R2270/L2270</f>
        <v/>
      </c>
      <c r="U2270" s="8">
        <f>(Q2270-P2270*G2270*SIN(RADIANS(E2270)))/M2270</f>
        <v/>
      </c>
      <c r="V2270" s="8">
        <f>SQRT((S2270+U2270)^2+3*T2270^2)</f>
        <v/>
      </c>
      <c r="W2270" s="8">
        <f>V2270/AA2270</f>
        <v/>
      </c>
      <c r="X2270" s="27">
        <f>((3*10+H2270/COS(RADIANS(E2270)))*(3+3)+3*G2270*H2270)*2</f>
        <v/>
      </c>
      <c r="Y2270" s="28">
        <f>Z2270/X2270</f>
        <v/>
      </c>
      <c r="Z2270" s="29" t="n">
        <v>610.321752068852</v>
      </c>
      <c r="AA2270" s="20" t="n">
        <v>44.8183175631821</v>
      </c>
      <c r="AB2270" t="n">
        <v>0.03185266744636196</v>
      </c>
      <c r="AC2270" t="n">
        <v>41.51090369099163</v>
      </c>
      <c r="AD2270" t="n">
        <v>-5.071693057428135</v>
      </c>
    </row>
    <row r="2271">
      <c r="A2271" t="n">
        <v>2270</v>
      </c>
      <c r="B2271" t="n">
        <v>40.7</v>
      </c>
      <c r="C2271" s="21">
        <f>B2271-20</f>
        <v/>
      </c>
      <c r="D2271" t="n">
        <v>107.9</v>
      </c>
      <c r="E2271" s="22">
        <f>D2271-90</f>
        <v/>
      </c>
      <c r="F2271" s="23" t="n">
        <v>0.006805</v>
      </c>
      <c r="G2271" s="22" t="n">
        <v>24</v>
      </c>
      <c r="H2271" s="22" t="n">
        <v>1.5</v>
      </c>
      <c r="I2271" s="24" t="n">
        <v>0.0435609146952629</v>
      </c>
      <c r="J2271" s="6" t="n">
        <v>71000</v>
      </c>
      <c r="K2271" s="25">
        <f>23*10^-6</f>
        <v/>
      </c>
      <c r="L2271" s="8">
        <f>H2271</f>
        <v/>
      </c>
      <c r="M2271" s="26">
        <f>H2271^2/6</f>
        <v/>
      </c>
      <c r="N2271" s="26">
        <f>H2271^3/12</f>
        <v/>
      </c>
      <c r="O2271" s="27">
        <f>-J2271*L2271*K2271*C2271</f>
        <v/>
      </c>
      <c r="P2271" s="28">
        <f>-(12*F2271*J2271*L2271*N2271+12*O2271*N2271*G2271*COS(RADIANS(E2271)))/(12*N2271*G2271*COS(RADIANS(E2271))^2+L2271*G2271^3*SIN(RADIANS(E2271))^2)</f>
        <v/>
      </c>
      <c r="Q2271" s="28">
        <f>-(6*F2271*J2271*L2271*N2271*SIN(RADIANS(E2271))+6*O2271*N2271*G2271*SIN(RADIANS(E2271))*COS(RADIANS(E2271)))/(12*N2271*COS(RADIANS(E2271))^2+L2271*G2271^2*SIN(RADIANS(E2271))^2)</f>
        <v/>
      </c>
      <c r="R2271" s="28">
        <f>-P2271*SIN(RADIANS(E2271))</f>
        <v/>
      </c>
      <c r="S2271" s="8">
        <f>(O2271+P2271*COS(RADIANS(E2271)))/L2271</f>
        <v/>
      </c>
      <c r="T2271" s="8">
        <f>R2271/L2271</f>
        <v/>
      </c>
      <c r="U2271" s="8">
        <f>(Q2271-P2271*G2271*SIN(RADIANS(E2271)))/M2271</f>
        <v/>
      </c>
      <c r="V2271" s="8">
        <f>SQRT((S2271+U2271)^2+3*T2271^2)</f>
        <v/>
      </c>
      <c r="W2271" s="8">
        <f>V2271/AA2271</f>
        <v/>
      </c>
      <c r="X2271" s="27">
        <f>((3*10+H2271/COS(RADIANS(E2271)))*(3+3)+3*G2271*H2271)*2</f>
        <v/>
      </c>
      <c r="Y2271" s="28">
        <f>Z2271/X2271</f>
        <v/>
      </c>
      <c r="Z2271" s="29" t="n">
        <v>599.5700806181979</v>
      </c>
      <c r="AA2271" s="20" t="n">
        <v>32.8283292211285</v>
      </c>
      <c r="AB2271" t="n">
        <v>0.05606427480493185</v>
      </c>
      <c r="AC2271" t="n">
        <v>33.24827724570722</v>
      </c>
      <c r="AD2271" t="n">
        <v>28.70316244995802</v>
      </c>
    </row>
    <row r="2272">
      <c r="A2272" t="n">
        <v>2271</v>
      </c>
      <c r="B2272" t="n">
        <v>76.8</v>
      </c>
      <c r="C2272" s="21">
        <f>B2272-20</f>
        <v/>
      </c>
      <c r="D2272" t="n">
        <v>119.7</v>
      </c>
      <c r="E2272" s="22">
        <f>D2272-90</f>
        <v/>
      </c>
      <c r="F2272" s="23" t="n">
        <v>0.022784</v>
      </c>
      <c r="G2272" s="22" t="n">
        <v>33.6</v>
      </c>
      <c r="H2272" s="22" t="n">
        <v>1</v>
      </c>
      <c r="I2272" s="24" t="n">
        <v>0.104773856699466</v>
      </c>
      <c r="J2272" s="6" t="n">
        <v>71000</v>
      </c>
      <c r="K2272" s="25">
        <f>23*10^-6</f>
        <v/>
      </c>
      <c r="L2272" s="8">
        <f>H2272</f>
        <v/>
      </c>
      <c r="M2272" s="26">
        <f>H2272^2/6</f>
        <v/>
      </c>
      <c r="N2272" s="26">
        <f>H2272^3/12</f>
        <v/>
      </c>
      <c r="O2272" s="27">
        <f>-J2272*L2272*K2272*C2272</f>
        <v/>
      </c>
      <c r="P2272" s="28">
        <f>-(12*F2272*J2272*L2272*N2272+12*O2272*N2272*G2272*COS(RADIANS(E2272)))/(12*N2272*G2272*COS(RADIANS(E2272))^2+L2272*G2272^3*SIN(RADIANS(E2272))^2)</f>
        <v/>
      </c>
      <c r="Q2272" s="28">
        <f>-(6*F2272*J2272*L2272*N2272*SIN(RADIANS(E2272))+6*O2272*N2272*G2272*SIN(RADIANS(E2272))*COS(RADIANS(E2272)))/(12*N2272*COS(RADIANS(E2272))^2+L2272*G2272^2*SIN(RADIANS(E2272))^2)</f>
        <v/>
      </c>
      <c r="R2272" s="28">
        <f>-P2272*SIN(RADIANS(E2272))</f>
        <v/>
      </c>
      <c r="S2272" s="8">
        <f>(O2272+P2272*COS(RADIANS(E2272)))/L2272</f>
        <v/>
      </c>
      <c r="T2272" s="8">
        <f>R2272/L2272</f>
        <v/>
      </c>
      <c r="U2272" s="8">
        <f>(Q2272-P2272*G2272*SIN(RADIANS(E2272)))/M2272</f>
        <v/>
      </c>
      <c r="V2272" s="8">
        <f>SQRT((S2272+U2272)^2+3*T2272^2)</f>
        <v/>
      </c>
      <c r="W2272" s="8">
        <f>V2272/AA2272</f>
        <v/>
      </c>
      <c r="X2272" s="27">
        <f>((3*10+H2272/COS(RADIANS(E2272)))*(3+3)+3*G2272*H2272)*2</f>
        <v/>
      </c>
      <c r="Y2272" s="28">
        <f>Z2272/X2272</f>
        <v/>
      </c>
      <c r="Z2272" s="29" t="n">
        <v>582.47813076697</v>
      </c>
      <c r="AA2272" s="20" t="n">
        <v>75.2605974005194</v>
      </c>
      <c r="AB2272" t="n">
        <v>0.1281544589458269</v>
      </c>
      <c r="AC2272" t="n">
        <v>80.99893828084267</v>
      </c>
      <c r="AD2272" t="n">
        <v>22.31530172018575</v>
      </c>
    </row>
    <row r="2273">
      <c r="A2273" t="n">
        <v>2272</v>
      </c>
      <c r="B2273" t="n">
        <v>70</v>
      </c>
      <c r="C2273" s="21">
        <f>B2273-20</f>
        <v/>
      </c>
      <c r="D2273" t="n">
        <v>112.6</v>
      </c>
      <c r="E2273" s="22">
        <f>D2273-90</f>
        <v/>
      </c>
      <c r="F2273" s="23" t="n">
        <v>0.021207</v>
      </c>
      <c r="G2273" s="22" t="n">
        <v>33.8</v>
      </c>
      <c r="H2273" s="22" t="n">
        <v>1</v>
      </c>
      <c r="I2273" s="24" t="n">
        <v>0.11286174505949</v>
      </c>
      <c r="J2273" s="6" t="n">
        <v>71000</v>
      </c>
      <c r="K2273" s="25">
        <f>23*10^-6</f>
        <v/>
      </c>
      <c r="L2273" s="8">
        <f>H2273</f>
        <v/>
      </c>
      <c r="M2273" s="26">
        <f>H2273^2/6</f>
        <v/>
      </c>
      <c r="N2273" s="26">
        <f>H2273^3/12</f>
        <v/>
      </c>
      <c r="O2273" s="27">
        <f>-J2273*L2273*K2273*C2273</f>
        <v/>
      </c>
      <c r="P2273" s="28">
        <f>-(12*F2273*J2273*L2273*N2273+12*O2273*N2273*G2273*COS(RADIANS(E2273)))/(12*N2273*G2273*COS(RADIANS(E2273))^2+L2273*G2273^3*SIN(RADIANS(E2273))^2)</f>
        <v/>
      </c>
      <c r="Q2273" s="28">
        <f>-(6*F2273*J2273*L2273*N2273*SIN(RADIANS(E2273))+6*O2273*N2273*G2273*SIN(RADIANS(E2273))*COS(RADIANS(E2273)))/(12*N2273*COS(RADIANS(E2273))^2+L2273*G2273^2*SIN(RADIANS(E2273))^2)</f>
        <v/>
      </c>
      <c r="R2273" s="28">
        <f>-P2273*SIN(RADIANS(E2273))</f>
        <v/>
      </c>
      <c r="S2273" s="8">
        <f>(O2273+P2273*COS(RADIANS(E2273)))/L2273</f>
        <v/>
      </c>
      <c r="T2273" s="8">
        <f>R2273/L2273</f>
        <v/>
      </c>
      <c r="U2273" s="8">
        <f>(Q2273-P2273*G2273*SIN(RADIANS(E2273)))/M2273</f>
        <v/>
      </c>
      <c r="V2273" s="8">
        <f>SQRT((S2273+U2273)^2+3*T2273^2)</f>
        <v/>
      </c>
      <c r="W2273" s="8">
        <f>V2273/AA2273</f>
        <v/>
      </c>
      <c r="X2273" s="27">
        <f>((3*10+H2273/COS(RADIANS(E2273)))*(3+3)+3*G2273*H2273)*2</f>
        <v/>
      </c>
      <c r="Y2273" s="28">
        <f>Z2273/X2273</f>
        <v/>
      </c>
      <c r="Z2273" s="29" t="n">
        <v>581.227998525724</v>
      </c>
      <c r="AA2273" s="20" t="n">
        <v>68.33631880239101</v>
      </c>
      <c r="AB2273" t="n">
        <v>0.1512828482648198</v>
      </c>
      <c r="AC2273" t="n">
        <v>72.84585981451644</v>
      </c>
      <c r="AD2273" t="n">
        <v>34.04262727381882</v>
      </c>
    </row>
    <row r="2274">
      <c r="A2274" t="n">
        <v>2273</v>
      </c>
      <c r="B2274" t="n">
        <v>87.09999999999999</v>
      </c>
      <c r="C2274" s="21">
        <f>B2274-20</f>
        <v/>
      </c>
      <c r="D2274" t="n">
        <v>117</v>
      </c>
      <c r="E2274" s="22">
        <f>D2274-90</f>
        <v/>
      </c>
      <c r="F2274" s="23" t="n">
        <v>0.02122</v>
      </c>
      <c r="G2274" s="22" t="n">
        <v>24.4</v>
      </c>
      <c r="H2274" s="22" t="n">
        <v>1.3</v>
      </c>
      <c r="I2274" s="24" t="n">
        <v>0.107003457844257</v>
      </c>
      <c r="J2274" s="6" t="n">
        <v>71000</v>
      </c>
      <c r="K2274" s="25">
        <f>23*10^-6</f>
        <v/>
      </c>
      <c r="L2274" s="8">
        <f>H2274</f>
        <v/>
      </c>
      <c r="M2274" s="26">
        <f>H2274^2/6</f>
        <v/>
      </c>
      <c r="N2274" s="26">
        <f>H2274^3/12</f>
        <v/>
      </c>
      <c r="O2274" s="27">
        <f>-J2274*L2274*K2274*C2274</f>
        <v/>
      </c>
      <c r="P2274" s="28">
        <f>-(12*F2274*J2274*L2274*N2274+12*O2274*N2274*G2274*COS(RADIANS(E2274)))/(12*N2274*G2274*COS(RADIANS(E2274))^2+L2274*G2274^3*SIN(RADIANS(E2274))^2)</f>
        <v/>
      </c>
      <c r="Q2274" s="28">
        <f>-(6*F2274*J2274*L2274*N2274*SIN(RADIANS(E2274))+6*O2274*N2274*G2274*SIN(RADIANS(E2274))*COS(RADIANS(E2274)))/(12*N2274*COS(RADIANS(E2274))^2+L2274*G2274^2*SIN(RADIANS(E2274))^2)</f>
        <v/>
      </c>
      <c r="R2274" s="28">
        <f>-P2274*SIN(RADIANS(E2274))</f>
        <v/>
      </c>
      <c r="S2274" s="8">
        <f>(O2274+P2274*COS(RADIANS(E2274)))/L2274</f>
        <v/>
      </c>
      <c r="T2274" s="8">
        <f>R2274/L2274</f>
        <v/>
      </c>
      <c r="U2274" s="8">
        <f>(Q2274-P2274*G2274*SIN(RADIANS(E2274)))/M2274</f>
        <v/>
      </c>
      <c r="V2274" s="8">
        <f>SQRT((S2274+U2274)^2+3*T2274^2)</f>
        <v/>
      </c>
      <c r="W2274" s="8">
        <f>V2274/AA2274</f>
        <v/>
      </c>
      <c r="X2274" s="27">
        <f>((3*10+H2274/COS(RADIANS(E2274)))*(3+3)+3*G2274*H2274)*2</f>
        <v/>
      </c>
      <c r="Y2274" s="28">
        <f>Z2274/X2274</f>
        <v/>
      </c>
      <c r="Z2274" s="29" t="n">
        <v>574.197748395962</v>
      </c>
      <c r="AA2274" s="20" t="n">
        <v>98.7490084665413</v>
      </c>
      <c r="AB2274" t="n">
        <v>0.123127457134742</v>
      </c>
      <c r="AC2274" t="n">
        <v>100.0445647519145</v>
      </c>
      <c r="AD2274" t="n">
        <v>15.06867125168366</v>
      </c>
    </row>
    <row r="2275">
      <c r="A2275" t="n">
        <v>2274</v>
      </c>
      <c r="B2275" t="n">
        <v>46.5</v>
      </c>
      <c r="C2275" s="21">
        <f>B2275-20</f>
        <v/>
      </c>
      <c r="D2275" t="n">
        <v>100.4</v>
      </c>
      <c r="E2275" s="22">
        <f>D2275-90</f>
        <v/>
      </c>
      <c r="F2275" s="23" t="n">
        <v>0.008676</v>
      </c>
      <c r="G2275" s="22" t="n">
        <v>23.1</v>
      </c>
      <c r="H2275" s="22" t="n">
        <v>1.2</v>
      </c>
      <c r="I2275" s="24" t="n">
        <v>0.08192279934883109</v>
      </c>
      <c r="J2275" s="6" t="n">
        <v>71000</v>
      </c>
      <c r="K2275" s="25">
        <f>23*10^-6</f>
        <v/>
      </c>
      <c r="L2275" s="8">
        <f>H2275</f>
        <v/>
      </c>
      <c r="M2275" s="26">
        <f>H2275^2/6</f>
        <v/>
      </c>
      <c r="N2275" s="26">
        <f>H2275^3/12</f>
        <v/>
      </c>
      <c r="O2275" s="27">
        <f>-J2275*L2275*K2275*C2275</f>
        <v/>
      </c>
      <c r="P2275" s="28">
        <f>-(12*F2275*J2275*L2275*N2275+12*O2275*N2275*G2275*COS(RADIANS(E2275)))/(12*N2275*G2275*COS(RADIANS(E2275))^2+L2275*G2275^3*SIN(RADIANS(E2275))^2)</f>
        <v/>
      </c>
      <c r="Q2275" s="28">
        <f>-(6*F2275*J2275*L2275*N2275*SIN(RADIANS(E2275))+6*O2275*N2275*G2275*SIN(RADIANS(E2275))*COS(RADIANS(E2275)))/(12*N2275*COS(RADIANS(E2275))^2+L2275*G2275^2*SIN(RADIANS(E2275))^2)</f>
        <v/>
      </c>
      <c r="R2275" s="28">
        <f>-P2275*SIN(RADIANS(E2275))</f>
        <v/>
      </c>
      <c r="S2275" s="8">
        <f>(O2275+P2275*COS(RADIANS(E2275)))/L2275</f>
        <v/>
      </c>
      <c r="T2275" s="8">
        <f>R2275/L2275</f>
        <v/>
      </c>
      <c r="U2275" s="8">
        <f>(Q2275-P2275*G2275*SIN(RADIANS(E2275)))/M2275</f>
        <v/>
      </c>
      <c r="V2275" s="8">
        <f>SQRT((S2275+U2275)^2+3*T2275^2)</f>
        <v/>
      </c>
      <c r="W2275" s="8">
        <f>V2275/AA2275</f>
        <v/>
      </c>
      <c r="X2275" s="27">
        <f>((3*10+H2275/COS(RADIANS(E2275)))*(3+3)+3*G2275*H2275)*2</f>
        <v/>
      </c>
      <c r="Y2275" s="28">
        <f>Z2275/X2275</f>
        <v/>
      </c>
      <c r="Z2275" s="29" t="n">
        <v>544.795022044422</v>
      </c>
      <c r="AA2275" s="20" t="n">
        <v>42.054538745146</v>
      </c>
      <c r="AB2275" t="n">
        <v>0.1158591357790876</v>
      </c>
      <c r="AC2275" t="n">
        <v>45.05761271538204</v>
      </c>
      <c r="AD2275" t="n">
        <v>41.42477637483312</v>
      </c>
    </row>
    <row r="2276">
      <c r="A2276" t="n">
        <v>2275</v>
      </c>
      <c r="B2276" t="n">
        <v>63.6</v>
      </c>
      <c r="C2276" s="21">
        <f>B2276-20</f>
        <v/>
      </c>
      <c r="D2276" t="n">
        <v>126.4</v>
      </c>
      <c r="E2276" s="22">
        <f>D2276-90</f>
        <v/>
      </c>
      <c r="F2276" s="23" t="n">
        <v>0.011384</v>
      </c>
      <c r="G2276" s="22" t="n">
        <v>21</v>
      </c>
      <c r="H2276" s="22" t="n">
        <v>1.7</v>
      </c>
      <c r="I2276" s="24" t="n">
        <v>0.0525043681263923</v>
      </c>
      <c r="J2276" s="6" t="n">
        <v>71000</v>
      </c>
      <c r="K2276" s="25">
        <f>23*10^-6</f>
        <v/>
      </c>
      <c r="L2276" s="8">
        <f>H2276</f>
        <v/>
      </c>
      <c r="M2276" s="26">
        <f>H2276^2/6</f>
        <v/>
      </c>
      <c r="N2276" s="26">
        <f>H2276^3/12</f>
        <v/>
      </c>
      <c r="O2276" s="27">
        <f>-J2276*L2276*K2276*C2276</f>
        <v/>
      </c>
      <c r="P2276" s="28">
        <f>-(12*F2276*J2276*L2276*N2276+12*O2276*N2276*G2276*COS(RADIANS(E2276)))/(12*N2276*G2276*COS(RADIANS(E2276))^2+L2276*G2276^3*SIN(RADIANS(E2276))^2)</f>
        <v/>
      </c>
      <c r="Q2276" s="28">
        <f>-(6*F2276*J2276*L2276*N2276*SIN(RADIANS(E2276))+6*O2276*N2276*G2276*SIN(RADIANS(E2276))*COS(RADIANS(E2276)))/(12*N2276*COS(RADIANS(E2276))^2+L2276*G2276^2*SIN(RADIANS(E2276))^2)</f>
        <v/>
      </c>
      <c r="R2276" s="28">
        <f>-P2276*SIN(RADIANS(E2276))</f>
        <v/>
      </c>
      <c r="S2276" s="8">
        <f>(O2276+P2276*COS(RADIANS(E2276)))/L2276</f>
        <v/>
      </c>
      <c r="T2276" s="8">
        <f>R2276/L2276</f>
        <v/>
      </c>
      <c r="U2276" s="8">
        <f>(Q2276-P2276*G2276*SIN(RADIANS(E2276)))/M2276</f>
        <v/>
      </c>
      <c r="V2276" s="8">
        <f>SQRT((S2276+U2276)^2+3*T2276^2)</f>
        <v/>
      </c>
      <c r="W2276" s="8">
        <f>V2276/AA2276</f>
        <v/>
      </c>
      <c r="X2276" s="27">
        <f>((3*10+H2276/COS(RADIANS(E2276)))*(3+3)+3*G2276*H2276)*2</f>
        <v/>
      </c>
      <c r="Y2276" s="28">
        <f>Z2276/X2276</f>
        <v/>
      </c>
      <c r="Z2276" s="29" t="n">
        <v>608.796186415964</v>
      </c>
      <c r="AA2276" s="20" t="n">
        <v>69.83031684692089</v>
      </c>
      <c r="AB2276" t="n">
        <v>0.05022090933038675</v>
      </c>
      <c r="AC2276" t="n">
        <v>64.59106735204321</v>
      </c>
      <c r="AD2276" t="n">
        <v>-4.349083471509739</v>
      </c>
    </row>
    <row r="2277">
      <c r="A2277" t="n">
        <v>2276</v>
      </c>
      <c r="B2277" t="n">
        <v>61.1</v>
      </c>
      <c r="C2277" s="21">
        <f>B2277-20</f>
        <v/>
      </c>
      <c r="D2277" t="n">
        <v>110.9</v>
      </c>
      <c r="E2277" s="22">
        <f>D2277-90</f>
        <v/>
      </c>
      <c r="F2277" s="23" t="n">
        <v>0.014323</v>
      </c>
      <c r="G2277" s="22" t="n">
        <v>26.3</v>
      </c>
      <c r="H2277" s="22" t="n">
        <v>1.9</v>
      </c>
      <c r="I2277" s="24" t="n">
        <v>0.08182829618453979</v>
      </c>
      <c r="J2277" s="6" t="n">
        <v>71000</v>
      </c>
      <c r="K2277" s="25">
        <f>23*10^-6</f>
        <v/>
      </c>
      <c r="L2277" s="8">
        <f>H2277</f>
        <v/>
      </c>
      <c r="M2277" s="26">
        <f>H2277^2/6</f>
        <v/>
      </c>
      <c r="N2277" s="26">
        <f>H2277^3/12</f>
        <v/>
      </c>
      <c r="O2277" s="27">
        <f>-J2277*L2277*K2277*C2277</f>
        <v/>
      </c>
      <c r="P2277" s="28">
        <f>-(12*F2277*J2277*L2277*N2277+12*O2277*N2277*G2277*COS(RADIANS(E2277)))/(12*N2277*G2277*COS(RADIANS(E2277))^2+L2277*G2277^3*SIN(RADIANS(E2277))^2)</f>
        <v/>
      </c>
      <c r="Q2277" s="28">
        <f>-(6*F2277*J2277*L2277*N2277*SIN(RADIANS(E2277))+6*O2277*N2277*G2277*SIN(RADIANS(E2277))*COS(RADIANS(E2277)))/(12*N2277*COS(RADIANS(E2277))^2+L2277*G2277^2*SIN(RADIANS(E2277))^2)</f>
        <v/>
      </c>
      <c r="R2277" s="28">
        <f>-P2277*SIN(RADIANS(E2277))</f>
        <v/>
      </c>
      <c r="S2277" s="8">
        <f>(O2277+P2277*COS(RADIANS(E2277)))/L2277</f>
        <v/>
      </c>
      <c r="T2277" s="8">
        <f>R2277/L2277</f>
        <v/>
      </c>
      <c r="U2277" s="8">
        <f>(Q2277-P2277*G2277*SIN(RADIANS(E2277)))/M2277</f>
        <v/>
      </c>
      <c r="V2277" s="8">
        <f>SQRT((S2277+U2277)^2+3*T2277^2)</f>
        <v/>
      </c>
      <c r="W2277" s="8">
        <f>V2277/AA2277</f>
        <v/>
      </c>
      <c r="X2277" s="27">
        <f>((3*10+H2277/COS(RADIANS(E2277)))*(3+3)+3*G2277*H2277)*2</f>
        <v/>
      </c>
      <c r="Y2277" s="28">
        <f>Z2277/X2277</f>
        <v/>
      </c>
      <c r="Z2277" s="29" t="n">
        <v>689.349728565655</v>
      </c>
      <c r="AA2277" s="20" t="n">
        <v>69.56629177986871</v>
      </c>
      <c r="AB2277" t="n">
        <v>0.1033060590959906</v>
      </c>
      <c r="AC2277" t="n">
        <v>66.06714044358399</v>
      </c>
      <c r="AD2277" t="n">
        <v>26.24735441516949</v>
      </c>
    </row>
    <row r="2278">
      <c r="A2278" t="n">
        <v>2277</v>
      </c>
      <c r="B2278" t="n">
        <v>50.6</v>
      </c>
      <c r="C2278" s="21">
        <f>B2278-20</f>
        <v/>
      </c>
      <c r="D2278" t="n">
        <v>104.4</v>
      </c>
      <c r="E2278" s="22">
        <f>D2278-90</f>
        <v/>
      </c>
      <c r="F2278" s="23" t="n">
        <v>0.01027</v>
      </c>
      <c r="G2278" s="22" t="n">
        <v>24.2</v>
      </c>
      <c r="H2278" s="22" t="n">
        <v>1.6</v>
      </c>
      <c r="I2278" s="24" t="n">
        <v>0.0753901153802871</v>
      </c>
      <c r="J2278" s="6" t="n">
        <v>71000</v>
      </c>
      <c r="K2278" s="25">
        <f>23*10^-6</f>
        <v/>
      </c>
      <c r="L2278" s="8">
        <f>H2278</f>
        <v/>
      </c>
      <c r="M2278" s="26">
        <f>H2278^2/6</f>
        <v/>
      </c>
      <c r="N2278" s="26">
        <f>H2278^3/12</f>
        <v/>
      </c>
      <c r="O2278" s="27">
        <f>-J2278*L2278*K2278*C2278</f>
        <v/>
      </c>
      <c r="P2278" s="28">
        <f>-(12*F2278*J2278*L2278*N2278+12*O2278*N2278*G2278*COS(RADIANS(E2278)))/(12*N2278*G2278*COS(RADIANS(E2278))^2+L2278*G2278^3*SIN(RADIANS(E2278))^2)</f>
        <v/>
      </c>
      <c r="Q2278" s="28">
        <f>-(6*F2278*J2278*L2278*N2278*SIN(RADIANS(E2278))+6*O2278*N2278*G2278*SIN(RADIANS(E2278))*COS(RADIANS(E2278)))/(12*N2278*COS(RADIANS(E2278))^2+L2278*G2278^2*SIN(RADIANS(E2278))^2)</f>
        <v/>
      </c>
      <c r="R2278" s="28">
        <f>-P2278*SIN(RADIANS(E2278))</f>
        <v/>
      </c>
      <c r="S2278" s="8">
        <f>(O2278+P2278*COS(RADIANS(E2278)))/L2278</f>
        <v/>
      </c>
      <c r="T2278" s="8">
        <f>R2278/L2278</f>
        <v/>
      </c>
      <c r="U2278" s="8">
        <f>(Q2278-P2278*G2278*SIN(RADIANS(E2278)))/M2278</f>
        <v/>
      </c>
      <c r="V2278" s="8">
        <f>SQRT((S2278+U2278)^2+3*T2278^2)</f>
        <v/>
      </c>
      <c r="W2278" s="8">
        <f>V2278/AA2278</f>
        <v/>
      </c>
      <c r="X2278" s="27">
        <f>((3*10+H2278/COS(RADIANS(E2278)))*(3+3)+3*G2278*H2278)*2</f>
        <v/>
      </c>
      <c r="Y2278" s="28">
        <f>Z2278/X2278</f>
        <v/>
      </c>
      <c r="Z2278" s="29" t="n">
        <v>616.354859030869</v>
      </c>
      <c r="AA2278" s="20" t="n">
        <v>50.9794433274035</v>
      </c>
      <c r="AB2278" t="n">
        <v>0.1015747022775977</v>
      </c>
      <c r="AC2278" t="n">
        <v>51.37598108670812</v>
      </c>
      <c r="AD2278" t="n">
        <v>34.73212206299038</v>
      </c>
    </row>
    <row r="2279">
      <c r="A2279" t="n">
        <v>2278</v>
      </c>
      <c r="B2279" t="n">
        <v>59.7</v>
      </c>
      <c r="C2279" s="21">
        <f>B2279-20</f>
        <v/>
      </c>
      <c r="D2279" t="n">
        <v>105.7</v>
      </c>
      <c r="E2279" s="22">
        <f>D2279-90</f>
        <v/>
      </c>
      <c r="F2279" s="23" t="n">
        <v>0.017616</v>
      </c>
      <c r="G2279" s="22" t="n">
        <v>34.2</v>
      </c>
      <c r="H2279" s="22" t="n">
        <v>1.4</v>
      </c>
      <c r="I2279" s="24" t="n">
        <v>0.11991262435913</v>
      </c>
      <c r="J2279" s="6" t="n">
        <v>71000</v>
      </c>
      <c r="K2279" s="25">
        <f>23*10^-6</f>
        <v/>
      </c>
      <c r="L2279" s="8">
        <f>H2279</f>
        <v/>
      </c>
      <c r="M2279" s="26">
        <f>H2279^2/6</f>
        <v/>
      </c>
      <c r="N2279" s="26">
        <f>H2279^3/12</f>
        <v/>
      </c>
      <c r="O2279" s="27">
        <f>-J2279*L2279*K2279*C2279</f>
        <v/>
      </c>
      <c r="P2279" s="28">
        <f>-(12*F2279*J2279*L2279*N2279+12*O2279*N2279*G2279*COS(RADIANS(E2279)))/(12*N2279*G2279*COS(RADIANS(E2279))^2+L2279*G2279^3*SIN(RADIANS(E2279))^2)</f>
        <v/>
      </c>
      <c r="Q2279" s="28">
        <f>-(6*F2279*J2279*L2279*N2279*SIN(RADIANS(E2279))+6*O2279*N2279*G2279*SIN(RADIANS(E2279))*COS(RADIANS(E2279)))/(12*N2279*COS(RADIANS(E2279))^2+L2279*G2279^2*SIN(RADIANS(E2279))^2)</f>
        <v/>
      </c>
      <c r="R2279" s="28">
        <f>-P2279*SIN(RADIANS(E2279))</f>
        <v/>
      </c>
      <c r="S2279" s="8">
        <f>(O2279+P2279*COS(RADIANS(E2279)))/L2279</f>
        <v/>
      </c>
      <c r="T2279" s="8">
        <f>R2279/L2279</f>
        <v/>
      </c>
      <c r="U2279" s="8">
        <f>(Q2279-P2279*G2279*SIN(RADIANS(E2279)))/M2279</f>
        <v/>
      </c>
      <c r="V2279" s="8">
        <f>SQRT((S2279+U2279)^2+3*T2279^2)</f>
        <v/>
      </c>
      <c r="W2279" s="8">
        <f>V2279/AA2279</f>
        <v/>
      </c>
      <c r="X2279" s="27">
        <f>((3*10+H2279/COS(RADIANS(E2279)))*(3+3)+3*G2279*H2279)*2</f>
        <v/>
      </c>
      <c r="Y2279" s="28">
        <f>Z2279/X2279</f>
        <v/>
      </c>
      <c r="Z2279" s="29" t="n">
        <v>669.09479672342</v>
      </c>
      <c r="AA2279" s="20" t="n">
        <v>60.1805830074925</v>
      </c>
      <c r="AB2279" t="n">
        <v>0.1742733045381923</v>
      </c>
      <c r="AC2279" t="n">
        <v>62.30865950679025</v>
      </c>
      <c r="AD2279" t="n">
        <v>45.33357556770324</v>
      </c>
    </row>
    <row r="2280">
      <c r="A2280" t="n">
        <v>2279</v>
      </c>
      <c r="B2280" t="n">
        <v>49.7</v>
      </c>
      <c r="C2280" s="21">
        <f>B2280-20</f>
        <v/>
      </c>
      <c r="D2280" t="n">
        <v>126</v>
      </c>
      <c r="E2280" s="22">
        <f>D2280-90</f>
        <v/>
      </c>
      <c r="F2280" s="23" t="n">
        <v>0.008933999999999999</v>
      </c>
      <c r="G2280" s="22" t="n">
        <v>25.2</v>
      </c>
      <c r="H2280" s="22" t="n">
        <v>1.7</v>
      </c>
      <c r="I2280" s="24" t="n">
        <v>0.0401778779923915</v>
      </c>
      <c r="J2280" s="6" t="n">
        <v>71000</v>
      </c>
      <c r="K2280" s="25">
        <f>23*10^-6</f>
        <v/>
      </c>
      <c r="L2280" s="8">
        <f>H2280</f>
        <v/>
      </c>
      <c r="M2280" s="26">
        <f>H2280^2/6</f>
        <v/>
      </c>
      <c r="N2280" s="26">
        <f>H2280^3/12</f>
        <v/>
      </c>
      <c r="O2280" s="27">
        <f>-J2280*L2280*K2280*C2280</f>
        <v/>
      </c>
      <c r="P2280" s="28">
        <f>-(12*F2280*J2280*L2280*N2280+12*O2280*N2280*G2280*COS(RADIANS(E2280)))/(12*N2280*G2280*COS(RADIANS(E2280))^2+L2280*G2280^3*SIN(RADIANS(E2280))^2)</f>
        <v/>
      </c>
      <c r="Q2280" s="28">
        <f>-(6*F2280*J2280*L2280*N2280*SIN(RADIANS(E2280))+6*O2280*N2280*G2280*SIN(RADIANS(E2280))*COS(RADIANS(E2280)))/(12*N2280*COS(RADIANS(E2280))^2+L2280*G2280^2*SIN(RADIANS(E2280))^2)</f>
        <v/>
      </c>
      <c r="R2280" s="28">
        <f>-P2280*SIN(RADIANS(E2280))</f>
        <v/>
      </c>
      <c r="S2280" s="8">
        <f>(O2280+P2280*COS(RADIANS(E2280)))/L2280</f>
        <v/>
      </c>
      <c r="T2280" s="8">
        <f>R2280/L2280</f>
        <v/>
      </c>
      <c r="U2280" s="8">
        <f>(Q2280-P2280*G2280*SIN(RADIANS(E2280)))/M2280</f>
        <v/>
      </c>
      <c r="V2280" s="8">
        <f>SQRT((S2280+U2280)^2+3*T2280^2)</f>
        <v/>
      </c>
      <c r="W2280" s="8">
        <f>V2280/AA2280</f>
        <v/>
      </c>
      <c r="X2280" s="27">
        <f>((3*10+H2280/COS(RADIANS(E2280)))*(3+3)+3*G2280*H2280)*2</f>
        <v/>
      </c>
      <c r="Y2280" s="28">
        <f>Z2280/X2280</f>
        <v/>
      </c>
      <c r="Z2280" s="29" t="n">
        <v>651.3550475866321</v>
      </c>
      <c r="AA2280" s="20" t="n">
        <v>46.0510407705197</v>
      </c>
      <c r="AB2280" t="n">
        <v>0.04117234229843791</v>
      </c>
      <c r="AC2280" t="n">
        <v>43.71795773875505</v>
      </c>
      <c r="AD2280" t="n">
        <v>2.475153880039989</v>
      </c>
    </row>
    <row r="2281">
      <c r="A2281" t="n">
        <v>2280</v>
      </c>
      <c r="B2281" t="n">
        <v>86.2</v>
      </c>
      <c r="C2281" s="21">
        <f>B2281-20</f>
        <v/>
      </c>
      <c r="D2281" t="n">
        <v>112.5</v>
      </c>
      <c r="E2281" s="22">
        <f>D2281-90</f>
        <v/>
      </c>
      <c r="F2281" s="23" t="n">
        <v>0.019449</v>
      </c>
      <c r="G2281" s="22" t="n">
        <v>21.4</v>
      </c>
      <c r="H2281" s="22" t="n">
        <v>1.8</v>
      </c>
      <c r="I2281" s="24" t="n">
        <v>0.109213769435882</v>
      </c>
      <c r="J2281" s="6" t="n">
        <v>71000</v>
      </c>
      <c r="K2281" s="25">
        <f>23*10^-6</f>
        <v/>
      </c>
      <c r="L2281" s="8">
        <f>H2281</f>
        <v/>
      </c>
      <c r="M2281" s="26">
        <f>H2281^2/6</f>
        <v/>
      </c>
      <c r="N2281" s="26">
        <f>H2281^3/12</f>
        <v/>
      </c>
      <c r="O2281" s="27">
        <f>-J2281*L2281*K2281*C2281</f>
        <v/>
      </c>
      <c r="P2281" s="28">
        <f>-(12*F2281*J2281*L2281*N2281+12*O2281*N2281*G2281*COS(RADIANS(E2281)))/(12*N2281*G2281*COS(RADIANS(E2281))^2+L2281*G2281^3*SIN(RADIANS(E2281))^2)</f>
        <v/>
      </c>
      <c r="Q2281" s="28">
        <f>-(6*F2281*J2281*L2281*N2281*SIN(RADIANS(E2281))+6*O2281*N2281*G2281*SIN(RADIANS(E2281))*COS(RADIANS(E2281)))/(12*N2281*COS(RADIANS(E2281))^2+L2281*G2281^2*SIN(RADIANS(E2281))^2)</f>
        <v/>
      </c>
      <c r="R2281" s="28">
        <f>-P2281*SIN(RADIANS(E2281))</f>
        <v/>
      </c>
      <c r="S2281" s="8">
        <f>(O2281+P2281*COS(RADIANS(E2281)))/L2281</f>
        <v/>
      </c>
      <c r="T2281" s="8">
        <f>R2281/L2281</f>
        <v/>
      </c>
      <c r="U2281" s="8">
        <f>(Q2281-P2281*G2281*SIN(RADIANS(E2281)))/M2281</f>
        <v/>
      </c>
      <c r="V2281" s="8">
        <f>SQRT((S2281+U2281)^2+3*T2281^2)</f>
        <v/>
      </c>
      <c r="W2281" s="8">
        <f>V2281/AA2281</f>
        <v/>
      </c>
      <c r="X2281" s="27">
        <f>((3*10+H2281/COS(RADIANS(E2281)))*(3+3)+3*G2281*H2281)*2</f>
        <v/>
      </c>
      <c r="Y2281" s="28">
        <f>Z2281/X2281</f>
        <v/>
      </c>
      <c r="Z2281" s="29" t="n">
        <v>619.9107137189731</v>
      </c>
      <c r="AA2281" s="20" t="n">
        <v>112.826466506485</v>
      </c>
      <c r="AB2281" t="n">
        <v>0.1265484421735816</v>
      </c>
      <c r="AC2281" t="n">
        <v>106.0839401980742</v>
      </c>
      <c r="AD2281" t="n">
        <v>15.8722410436319</v>
      </c>
    </row>
    <row r="2282">
      <c r="A2282" t="n">
        <v>2281</v>
      </c>
      <c r="B2282" t="n">
        <v>46.6</v>
      </c>
      <c r="C2282" s="21">
        <f>B2282-20</f>
        <v/>
      </c>
      <c r="D2282" t="n">
        <v>104</v>
      </c>
      <c r="E2282" s="22">
        <f>D2282-90</f>
        <v/>
      </c>
      <c r="F2282" s="23" t="n">
        <v>0.011147</v>
      </c>
      <c r="G2282" s="22" t="n">
        <v>31.7</v>
      </c>
      <c r="H2282" s="22" t="n">
        <v>1.7</v>
      </c>
      <c r="I2282" s="24" t="n">
        <v>0.0822011157870292</v>
      </c>
      <c r="J2282" s="6" t="n">
        <v>71000</v>
      </c>
      <c r="K2282" s="25">
        <f>23*10^-6</f>
        <v/>
      </c>
      <c r="L2282" s="8">
        <f>H2282</f>
        <v/>
      </c>
      <c r="M2282" s="26">
        <f>H2282^2/6</f>
        <v/>
      </c>
      <c r="N2282" s="26">
        <f>H2282^3/12</f>
        <v/>
      </c>
      <c r="O2282" s="27">
        <f>-J2282*L2282*K2282*C2282</f>
        <v/>
      </c>
      <c r="P2282" s="28">
        <f>-(12*F2282*J2282*L2282*N2282+12*O2282*N2282*G2282*COS(RADIANS(E2282)))/(12*N2282*G2282*COS(RADIANS(E2282))^2+L2282*G2282^3*SIN(RADIANS(E2282))^2)</f>
        <v/>
      </c>
      <c r="Q2282" s="28">
        <f>-(6*F2282*J2282*L2282*N2282*SIN(RADIANS(E2282))+6*O2282*N2282*G2282*SIN(RADIANS(E2282))*COS(RADIANS(E2282)))/(12*N2282*COS(RADIANS(E2282))^2+L2282*G2282^2*SIN(RADIANS(E2282))^2)</f>
        <v/>
      </c>
      <c r="R2282" s="28">
        <f>-P2282*SIN(RADIANS(E2282))</f>
        <v/>
      </c>
      <c r="S2282" s="8">
        <f>(O2282+P2282*COS(RADIANS(E2282)))/L2282</f>
        <v/>
      </c>
      <c r="T2282" s="8">
        <f>R2282/L2282</f>
        <v/>
      </c>
      <c r="U2282" s="8">
        <f>(Q2282-P2282*G2282*SIN(RADIANS(E2282)))/M2282</f>
        <v/>
      </c>
      <c r="V2282" s="8">
        <f>SQRT((S2282+U2282)^2+3*T2282^2)</f>
        <v/>
      </c>
      <c r="W2282" s="8">
        <f>V2282/AA2282</f>
        <v/>
      </c>
      <c r="X2282" s="27">
        <f>((3*10+H2282/COS(RADIANS(E2282)))*(3+3)+3*G2282*H2282)*2</f>
        <v/>
      </c>
      <c r="Y2282" s="28">
        <f>Z2282/X2282</f>
        <v/>
      </c>
      <c r="Z2282" s="29" t="n">
        <v>708.532874528776</v>
      </c>
      <c r="AA2282" s="20" t="n">
        <v>43.5249327988589</v>
      </c>
      <c r="AB2282" t="n">
        <v>0.1192287305834839</v>
      </c>
      <c r="AC2282" t="n">
        <v>44.06633888547982</v>
      </c>
      <c r="AD2282" t="n">
        <v>45.04514864784527</v>
      </c>
    </row>
    <row r="2283">
      <c r="A2283" t="n">
        <v>2282</v>
      </c>
      <c r="B2283" t="n">
        <v>84.7</v>
      </c>
      <c r="C2283" s="21">
        <f>B2283-20</f>
        <v/>
      </c>
      <c r="D2283" t="n">
        <v>112.9</v>
      </c>
      <c r="E2283" s="22">
        <f>D2283-90</f>
        <v/>
      </c>
      <c r="F2283" s="23" t="n">
        <v>0.023926</v>
      </c>
      <c r="G2283" s="22" t="n">
        <v>28.7</v>
      </c>
      <c r="H2283" s="22" t="n">
        <v>1.2</v>
      </c>
      <c r="I2283" s="24" t="n">
        <v>0.129012063145637</v>
      </c>
      <c r="J2283" s="6" t="n">
        <v>71000</v>
      </c>
      <c r="K2283" s="25">
        <f>23*10^-6</f>
        <v/>
      </c>
      <c r="L2283" s="8">
        <f>H2283</f>
        <v/>
      </c>
      <c r="M2283" s="26">
        <f>H2283^2/6</f>
        <v/>
      </c>
      <c r="N2283" s="26">
        <f>H2283^3/12</f>
        <v/>
      </c>
      <c r="O2283" s="27">
        <f>-J2283*L2283*K2283*C2283</f>
        <v/>
      </c>
      <c r="P2283" s="28">
        <f>-(12*F2283*J2283*L2283*N2283+12*O2283*N2283*G2283*COS(RADIANS(E2283)))/(12*N2283*G2283*COS(RADIANS(E2283))^2+L2283*G2283^3*SIN(RADIANS(E2283))^2)</f>
        <v/>
      </c>
      <c r="Q2283" s="28">
        <f>-(6*F2283*J2283*L2283*N2283*SIN(RADIANS(E2283))+6*O2283*N2283*G2283*SIN(RADIANS(E2283))*COS(RADIANS(E2283)))/(12*N2283*COS(RADIANS(E2283))^2+L2283*G2283^2*SIN(RADIANS(E2283))^2)</f>
        <v/>
      </c>
      <c r="R2283" s="28">
        <f>-P2283*SIN(RADIANS(E2283))</f>
        <v/>
      </c>
      <c r="S2283" s="8">
        <f>(O2283+P2283*COS(RADIANS(E2283)))/L2283</f>
        <v/>
      </c>
      <c r="T2283" s="8">
        <f>R2283/L2283</f>
        <v/>
      </c>
      <c r="U2283" s="8">
        <f>(Q2283-P2283*G2283*SIN(RADIANS(E2283)))/M2283</f>
        <v/>
      </c>
      <c r="V2283" s="8">
        <f>SQRT((S2283+U2283)^2+3*T2283^2)</f>
        <v/>
      </c>
      <c r="W2283" s="8">
        <f>V2283/AA2283</f>
        <v/>
      </c>
      <c r="X2283" s="27">
        <f>((3*10+H2283/COS(RADIANS(E2283)))*(3+3)+3*G2283*H2283)*2</f>
        <v/>
      </c>
      <c r="Y2283" s="28">
        <f>Z2283/X2283</f>
        <v/>
      </c>
      <c r="Z2283" s="29" t="n">
        <v>587.759048811514</v>
      </c>
      <c r="AA2283" s="20" t="n">
        <v>92.8080515659927</v>
      </c>
      <c r="AB2283" t="n">
        <v>0.1646828455030295</v>
      </c>
      <c r="AC2283" t="n">
        <v>96.58358453261503</v>
      </c>
      <c r="AD2283" t="n">
        <v>27.64918371790169</v>
      </c>
    </row>
    <row r="2284">
      <c r="A2284" t="n">
        <v>2283</v>
      </c>
      <c r="B2284" t="n">
        <v>62.1</v>
      </c>
      <c r="C2284" s="21">
        <f>B2284-20</f>
        <v/>
      </c>
      <c r="D2284" t="n">
        <v>124.3</v>
      </c>
      <c r="E2284" s="22">
        <f>D2284-90</f>
        <v/>
      </c>
      <c r="F2284" s="23" t="n">
        <v>0.014814</v>
      </c>
      <c r="G2284" s="22" t="n">
        <v>30.1</v>
      </c>
      <c r="H2284" s="22" t="n">
        <v>1.6</v>
      </c>
      <c r="I2284" s="24" t="n">
        <v>0.0657330676913261</v>
      </c>
      <c r="J2284" s="6" t="n">
        <v>71000</v>
      </c>
      <c r="K2284" s="25">
        <f>23*10^-6</f>
        <v/>
      </c>
      <c r="L2284" s="8">
        <f>H2284</f>
        <v/>
      </c>
      <c r="M2284" s="26">
        <f>H2284^2/6</f>
        <v/>
      </c>
      <c r="N2284" s="26">
        <f>H2284^3/12</f>
        <v/>
      </c>
      <c r="O2284" s="27">
        <f>-J2284*L2284*K2284*C2284</f>
        <v/>
      </c>
      <c r="P2284" s="28">
        <f>-(12*F2284*J2284*L2284*N2284+12*O2284*N2284*G2284*COS(RADIANS(E2284)))/(12*N2284*G2284*COS(RADIANS(E2284))^2+L2284*G2284^3*SIN(RADIANS(E2284))^2)</f>
        <v/>
      </c>
      <c r="Q2284" s="28">
        <f>-(6*F2284*J2284*L2284*N2284*SIN(RADIANS(E2284))+6*O2284*N2284*G2284*SIN(RADIANS(E2284))*COS(RADIANS(E2284)))/(12*N2284*COS(RADIANS(E2284))^2+L2284*G2284^2*SIN(RADIANS(E2284))^2)</f>
        <v/>
      </c>
      <c r="R2284" s="28">
        <f>-P2284*SIN(RADIANS(E2284))</f>
        <v/>
      </c>
      <c r="S2284" s="8">
        <f>(O2284+P2284*COS(RADIANS(E2284)))/L2284</f>
        <v/>
      </c>
      <c r="T2284" s="8">
        <f>R2284/L2284</f>
        <v/>
      </c>
      <c r="U2284" s="8">
        <f>(Q2284-P2284*G2284*SIN(RADIANS(E2284)))/M2284</f>
        <v/>
      </c>
      <c r="V2284" s="8">
        <f>SQRT((S2284+U2284)^2+3*T2284^2)</f>
        <v/>
      </c>
      <c r="W2284" s="8">
        <f>V2284/AA2284</f>
        <v/>
      </c>
      <c r="X2284" s="27">
        <f>((3*10+H2284/COS(RADIANS(E2284)))*(3+3)+3*G2284*H2284)*2</f>
        <v/>
      </c>
      <c r="Y2284" s="28">
        <f>Z2284/X2284</f>
        <v/>
      </c>
      <c r="Z2284" s="29" t="n">
        <v>680.687648496732</v>
      </c>
      <c r="AA2284" s="20" t="n">
        <v>62.6253067064735</v>
      </c>
      <c r="AB2284" t="n">
        <v>0.07293220028005928</v>
      </c>
      <c r="AC2284" t="n">
        <v>61.46945691529604</v>
      </c>
      <c r="AD2284" t="n">
        <v>10.95207152439526</v>
      </c>
    </row>
    <row r="2285">
      <c r="A2285" t="n">
        <v>2284</v>
      </c>
      <c r="B2285" t="n">
        <v>61.7</v>
      </c>
      <c r="C2285" s="21">
        <f>B2285-20</f>
        <v/>
      </c>
      <c r="D2285" t="n">
        <v>101.9</v>
      </c>
      <c r="E2285" s="22">
        <f>D2285-90</f>
        <v/>
      </c>
      <c r="F2285" s="23" t="n">
        <v>0.014016</v>
      </c>
      <c r="G2285" s="22" t="n">
        <v>24</v>
      </c>
      <c r="H2285" s="22" t="n">
        <v>1.2</v>
      </c>
      <c r="I2285" s="24" t="n">
        <v>0.120343923568725</v>
      </c>
      <c r="J2285" s="6" t="n">
        <v>71000</v>
      </c>
      <c r="K2285" s="25">
        <f>23*10^-6</f>
        <v/>
      </c>
      <c r="L2285" s="8">
        <f>H2285</f>
        <v/>
      </c>
      <c r="M2285" s="26">
        <f>H2285^2/6</f>
        <v/>
      </c>
      <c r="N2285" s="26">
        <f>H2285^3/12</f>
        <v/>
      </c>
      <c r="O2285" s="27">
        <f>-J2285*L2285*K2285*C2285</f>
        <v/>
      </c>
      <c r="P2285" s="28">
        <f>-(12*F2285*J2285*L2285*N2285+12*O2285*N2285*G2285*COS(RADIANS(E2285)))/(12*N2285*G2285*COS(RADIANS(E2285))^2+L2285*G2285^3*SIN(RADIANS(E2285))^2)</f>
        <v/>
      </c>
      <c r="Q2285" s="28">
        <f>-(6*F2285*J2285*L2285*N2285*SIN(RADIANS(E2285))+6*O2285*N2285*G2285*SIN(RADIANS(E2285))*COS(RADIANS(E2285)))/(12*N2285*COS(RADIANS(E2285))^2+L2285*G2285^2*SIN(RADIANS(E2285))^2)</f>
        <v/>
      </c>
      <c r="R2285" s="28">
        <f>-P2285*SIN(RADIANS(E2285))</f>
        <v/>
      </c>
      <c r="S2285" s="8">
        <f>(O2285+P2285*COS(RADIANS(E2285)))/L2285</f>
        <v/>
      </c>
      <c r="T2285" s="8">
        <f>R2285/L2285</f>
        <v/>
      </c>
      <c r="U2285" s="8">
        <f>(Q2285-P2285*G2285*SIN(RADIANS(E2285)))/M2285</f>
        <v/>
      </c>
      <c r="V2285" s="8">
        <f>SQRT((S2285+U2285)^2+3*T2285^2)</f>
        <v/>
      </c>
      <c r="W2285" s="8">
        <f>V2285/AA2285</f>
        <v/>
      </c>
      <c r="X2285" s="27">
        <f>((3*10+H2285/COS(RADIANS(E2285)))*(3+3)+3*G2285*H2285)*2</f>
        <v/>
      </c>
      <c r="Y2285" s="28">
        <f>Z2285/X2285</f>
        <v/>
      </c>
      <c r="Z2285" s="29" t="n">
        <v>551.477009451288</v>
      </c>
      <c r="AA2285" s="20" t="n">
        <v>64.1579789307375</v>
      </c>
      <c r="AB2285" t="n">
        <v>0.1684893335591278</v>
      </c>
      <c r="AC2285" t="n">
        <v>69.13752810393409</v>
      </c>
      <c r="AD2285" t="n">
        <v>40.00651512987135</v>
      </c>
    </row>
    <row r="2286">
      <c r="A2286" t="n">
        <v>2285</v>
      </c>
      <c r="B2286" t="n">
        <v>62.4</v>
      </c>
      <c r="C2286" s="21">
        <f>B2286-20</f>
        <v/>
      </c>
      <c r="D2286" t="n">
        <v>101</v>
      </c>
      <c r="E2286" s="22">
        <f>D2286-90</f>
        <v/>
      </c>
      <c r="F2286" s="23" t="n">
        <v>0.016565</v>
      </c>
      <c r="G2286" s="22" t="n">
        <v>28.8</v>
      </c>
      <c r="H2286" s="22" t="n">
        <v>1.3</v>
      </c>
      <c r="I2286" s="24" t="n">
        <v>0.149063855409622</v>
      </c>
      <c r="J2286" s="6" t="n">
        <v>71000</v>
      </c>
      <c r="K2286" s="25">
        <f>23*10^-6</f>
        <v/>
      </c>
      <c r="L2286" s="8">
        <f>H2286</f>
        <v/>
      </c>
      <c r="M2286" s="26">
        <f>H2286^2/6</f>
        <v/>
      </c>
      <c r="N2286" s="26">
        <f>H2286^3/12</f>
        <v/>
      </c>
      <c r="O2286" s="27">
        <f>-J2286*L2286*K2286*C2286</f>
        <v/>
      </c>
      <c r="P2286" s="28">
        <f>-(12*F2286*J2286*L2286*N2286+12*O2286*N2286*G2286*COS(RADIANS(E2286)))/(12*N2286*G2286*COS(RADIANS(E2286))^2+L2286*G2286^3*SIN(RADIANS(E2286))^2)</f>
        <v/>
      </c>
      <c r="Q2286" s="28">
        <f>-(6*F2286*J2286*L2286*N2286*SIN(RADIANS(E2286))+6*O2286*N2286*G2286*SIN(RADIANS(E2286))*COS(RADIANS(E2286)))/(12*N2286*COS(RADIANS(E2286))^2+L2286*G2286^2*SIN(RADIANS(E2286))^2)</f>
        <v/>
      </c>
      <c r="R2286" s="28">
        <f>-P2286*SIN(RADIANS(E2286))</f>
        <v/>
      </c>
      <c r="S2286" s="8">
        <f>(O2286+P2286*COS(RADIANS(E2286)))/L2286</f>
        <v/>
      </c>
      <c r="T2286" s="8">
        <f>R2286/L2286</f>
        <v/>
      </c>
      <c r="U2286" s="8">
        <f>(Q2286-P2286*G2286*SIN(RADIANS(E2286)))/M2286</f>
        <v/>
      </c>
      <c r="V2286" s="8">
        <f>SQRT((S2286+U2286)^2+3*T2286^2)</f>
        <v/>
      </c>
      <c r="W2286" s="8">
        <f>V2286/AA2286</f>
        <v/>
      </c>
      <c r="X2286" s="27">
        <f>((3*10+H2286/COS(RADIANS(E2286)))*(3+3)+3*G2286*H2286)*2</f>
        <v/>
      </c>
      <c r="Y2286" s="28">
        <f>Z2286/X2286</f>
        <v/>
      </c>
      <c r="Z2286" s="29" t="n">
        <v>604.414810505867</v>
      </c>
      <c r="AA2286" s="20" t="n">
        <v>66.10925469891259</v>
      </c>
      <c r="AB2286" t="n">
        <v>0.2203568680742674</v>
      </c>
      <c r="AC2286" t="n">
        <v>70.81191165266399</v>
      </c>
      <c r="AD2286" t="n">
        <v>47.82716270737452</v>
      </c>
    </row>
    <row r="2287">
      <c r="A2287" t="n">
        <v>2286</v>
      </c>
      <c r="B2287" t="n">
        <v>53.9</v>
      </c>
      <c r="C2287" s="21">
        <f>B2287-20</f>
        <v/>
      </c>
      <c r="D2287" t="n">
        <v>122.3</v>
      </c>
      <c r="E2287" s="22">
        <f>D2287-90</f>
        <v/>
      </c>
      <c r="F2287" s="23" t="n">
        <v>0.009701</v>
      </c>
      <c r="G2287" s="22" t="n">
        <v>22.6</v>
      </c>
      <c r="H2287" s="22" t="n">
        <v>1.9</v>
      </c>
      <c r="I2287" s="24" t="n">
        <v>0.0458347760140895</v>
      </c>
      <c r="J2287" s="6" t="n">
        <v>71000</v>
      </c>
      <c r="K2287" s="25">
        <f>23*10^-6</f>
        <v/>
      </c>
      <c r="L2287" s="8">
        <f>H2287</f>
        <v/>
      </c>
      <c r="M2287" s="26">
        <f>H2287^2/6</f>
        <v/>
      </c>
      <c r="N2287" s="26">
        <f>H2287^3/12</f>
        <v/>
      </c>
      <c r="O2287" s="27">
        <f>-J2287*L2287*K2287*C2287</f>
        <v/>
      </c>
      <c r="P2287" s="28">
        <f>-(12*F2287*J2287*L2287*N2287+12*O2287*N2287*G2287*COS(RADIANS(E2287)))/(12*N2287*G2287*COS(RADIANS(E2287))^2+L2287*G2287^3*SIN(RADIANS(E2287))^2)</f>
        <v/>
      </c>
      <c r="Q2287" s="28">
        <f>-(6*F2287*J2287*L2287*N2287*SIN(RADIANS(E2287))+6*O2287*N2287*G2287*SIN(RADIANS(E2287))*COS(RADIANS(E2287)))/(12*N2287*COS(RADIANS(E2287))^2+L2287*G2287^2*SIN(RADIANS(E2287))^2)</f>
        <v/>
      </c>
      <c r="R2287" s="28">
        <f>-P2287*SIN(RADIANS(E2287))</f>
        <v/>
      </c>
      <c r="S2287" s="8">
        <f>(O2287+P2287*COS(RADIANS(E2287)))/L2287</f>
        <v/>
      </c>
      <c r="T2287" s="8">
        <f>R2287/L2287</f>
        <v/>
      </c>
      <c r="U2287" s="8">
        <f>(Q2287-P2287*G2287*SIN(RADIANS(E2287)))/M2287</f>
        <v/>
      </c>
      <c r="V2287" s="8">
        <f>SQRT((S2287+U2287)^2+3*T2287^2)</f>
        <v/>
      </c>
      <c r="W2287" s="8">
        <f>V2287/AA2287</f>
        <v/>
      </c>
      <c r="X2287" s="27">
        <f>((3*10+H2287/COS(RADIANS(E2287)))*(3+3)+3*G2287*H2287)*2</f>
        <v/>
      </c>
      <c r="Y2287" s="28">
        <f>Z2287/X2287</f>
        <v/>
      </c>
      <c r="Z2287" s="29" t="n">
        <v>652.4410885096549</v>
      </c>
      <c r="AA2287" s="20" t="n">
        <v>56.4082630949905</v>
      </c>
      <c r="AB2287" t="n">
        <v>0.04737633979239595</v>
      </c>
      <c r="AC2287" t="n">
        <v>51.48043791411801</v>
      </c>
      <c r="AD2287" t="n">
        <v>3.363306014264315</v>
      </c>
    </row>
    <row r="2288">
      <c r="A2288" t="n">
        <v>2287</v>
      </c>
      <c r="B2288" t="n">
        <v>63.9</v>
      </c>
      <c r="C2288" s="21">
        <f>B2288-20</f>
        <v/>
      </c>
      <c r="D2288" t="n">
        <v>118.4</v>
      </c>
      <c r="E2288" s="22">
        <f>D2288-90</f>
        <v/>
      </c>
      <c r="F2288" s="23" t="n">
        <v>0.013612</v>
      </c>
      <c r="G2288" s="22" t="n">
        <v>24.1</v>
      </c>
      <c r="H2288" s="22" t="n">
        <v>1</v>
      </c>
      <c r="I2288" s="24" t="n">
        <v>0.0671239271759986</v>
      </c>
      <c r="J2288" s="6" t="n">
        <v>71000</v>
      </c>
      <c r="K2288" s="25">
        <f>23*10^-6</f>
        <v/>
      </c>
      <c r="L2288" s="8">
        <f>H2288</f>
        <v/>
      </c>
      <c r="M2288" s="26">
        <f>H2288^2/6</f>
        <v/>
      </c>
      <c r="N2288" s="26">
        <f>H2288^3/12</f>
        <v/>
      </c>
      <c r="O2288" s="27">
        <f>-J2288*L2288*K2288*C2288</f>
        <v/>
      </c>
      <c r="P2288" s="28">
        <f>-(12*F2288*J2288*L2288*N2288+12*O2288*N2288*G2288*COS(RADIANS(E2288)))/(12*N2288*G2288*COS(RADIANS(E2288))^2+L2288*G2288^3*SIN(RADIANS(E2288))^2)</f>
        <v/>
      </c>
      <c r="Q2288" s="28">
        <f>-(6*F2288*J2288*L2288*N2288*SIN(RADIANS(E2288))+6*O2288*N2288*G2288*SIN(RADIANS(E2288))*COS(RADIANS(E2288)))/(12*N2288*COS(RADIANS(E2288))^2+L2288*G2288^2*SIN(RADIANS(E2288))^2)</f>
        <v/>
      </c>
      <c r="R2288" s="28">
        <f>-P2288*SIN(RADIANS(E2288))</f>
        <v/>
      </c>
      <c r="S2288" s="8">
        <f>(O2288+P2288*COS(RADIANS(E2288)))/L2288</f>
        <v/>
      </c>
      <c r="T2288" s="8">
        <f>R2288/L2288</f>
        <v/>
      </c>
      <c r="U2288" s="8">
        <f>(Q2288-P2288*G2288*SIN(RADIANS(E2288)))/M2288</f>
        <v/>
      </c>
      <c r="V2288" s="8">
        <f>SQRT((S2288+U2288)^2+3*T2288^2)</f>
        <v/>
      </c>
      <c r="W2288" s="8">
        <f>V2288/AA2288</f>
        <v/>
      </c>
      <c r="X2288" s="27">
        <f>((3*10+H2288/COS(RADIANS(E2288)))*(3+3)+3*G2288*H2288)*2</f>
        <v/>
      </c>
      <c r="Y2288" s="28">
        <f>Z2288/X2288</f>
        <v/>
      </c>
      <c r="Z2288" s="29" t="n">
        <v>524.959063826671</v>
      </c>
      <c r="AA2288" s="20" t="n">
        <v>60.0697071274358</v>
      </c>
      <c r="AB2288" t="n">
        <v>0.07584711215748841</v>
      </c>
      <c r="AC2288" t="n">
        <v>63.75056526119483</v>
      </c>
      <c r="AD2288" t="n">
        <v>12.99564156700434</v>
      </c>
    </row>
    <row r="2289">
      <c r="A2289" t="n">
        <v>2288</v>
      </c>
      <c r="B2289" t="n">
        <v>50.4</v>
      </c>
      <c r="C2289" s="21">
        <f>B2289-20</f>
        <v/>
      </c>
      <c r="D2289" t="n">
        <v>124.8</v>
      </c>
      <c r="E2289" s="22">
        <f>D2289-90</f>
        <v/>
      </c>
      <c r="F2289" s="23" t="n">
        <v>0.00908</v>
      </c>
      <c r="G2289" s="22" t="n">
        <v>24.6</v>
      </c>
      <c r="H2289" s="22" t="n">
        <v>1.5</v>
      </c>
      <c r="I2289" s="24" t="n">
        <v>0.041337426751852</v>
      </c>
      <c r="J2289" s="6" t="n">
        <v>71000</v>
      </c>
      <c r="K2289" s="25">
        <f>23*10^-6</f>
        <v/>
      </c>
      <c r="L2289" s="8">
        <f>H2289</f>
        <v/>
      </c>
      <c r="M2289" s="26">
        <f>H2289^2/6</f>
        <v/>
      </c>
      <c r="N2289" s="26">
        <f>H2289^3/12</f>
        <v/>
      </c>
      <c r="O2289" s="27">
        <f>-J2289*L2289*K2289*C2289</f>
        <v/>
      </c>
      <c r="P2289" s="28">
        <f>-(12*F2289*J2289*L2289*N2289+12*O2289*N2289*G2289*COS(RADIANS(E2289)))/(12*N2289*G2289*COS(RADIANS(E2289))^2+L2289*G2289^3*SIN(RADIANS(E2289))^2)</f>
        <v/>
      </c>
      <c r="Q2289" s="28">
        <f>-(6*F2289*J2289*L2289*N2289*SIN(RADIANS(E2289))+6*O2289*N2289*G2289*SIN(RADIANS(E2289))*COS(RADIANS(E2289)))/(12*N2289*COS(RADIANS(E2289))^2+L2289*G2289^2*SIN(RADIANS(E2289))^2)</f>
        <v/>
      </c>
      <c r="R2289" s="28">
        <f>-P2289*SIN(RADIANS(E2289))</f>
        <v/>
      </c>
      <c r="S2289" s="8">
        <f>(O2289+P2289*COS(RADIANS(E2289)))/L2289</f>
        <v/>
      </c>
      <c r="T2289" s="8">
        <f>R2289/L2289</f>
        <v/>
      </c>
      <c r="U2289" s="8">
        <f>(Q2289-P2289*G2289*SIN(RADIANS(E2289)))/M2289</f>
        <v/>
      </c>
      <c r="V2289" s="8">
        <f>SQRT((S2289+U2289)^2+3*T2289^2)</f>
        <v/>
      </c>
      <c r="W2289" s="8">
        <f>V2289/AA2289</f>
        <v/>
      </c>
      <c r="X2289" s="27">
        <f>((3*10+H2289/COS(RADIANS(E2289)))*(3+3)+3*G2289*H2289)*2</f>
        <v/>
      </c>
      <c r="Y2289" s="28">
        <f>Z2289/X2289</f>
        <v/>
      </c>
      <c r="Z2289" s="29" t="n">
        <v>611.981459198823</v>
      </c>
      <c r="AA2289" s="20" t="n">
        <v>45.752203551028</v>
      </c>
      <c r="AB2289" t="n">
        <v>0.04282443707615061</v>
      </c>
      <c r="AC2289" t="n">
        <v>44.52826374252911</v>
      </c>
      <c r="AD2289" t="n">
        <v>3.59724937216125</v>
      </c>
    </row>
    <row r="2290">
      <c r="A2290" t="n">
        <v>2289</v>
      </c>
      <c r="B2290" t="n">
        <v>84.40000000000001</v>
      </c>
      <c r="C2290" s="21">
        <f>B2290-20</f>
        <v/>
      </c>
      <c r="D2290" t="n">
        <v>104.4</v>
      </c>
      <c r="E2290" s="22">
        <f>D2290-90</f>
        <v/>
      </c>
      <c r="F2290" s="23" t="n">
        <v>0.025951</v>
      </c>
      <c r="G2290" s="22" t="n">
        <v>30.3</v>
      </c>
      <c r="H2290" s="22" t="n">
        <v>2</v>
      </c>
      <c r="I2290" s="24" t="n">
        <v>0.185641646385192</v>
      </c>
      <c r="J2290" s="6" t="n">
        <v>71000</v>
      </c>
      <c r="K2290" s="25">
        <f>23*10^-6</f>
        <v/>
      </c>
      <c r="L2290" s="8">
        <f>H2290</f>
        <v/>
      </c>
      <c r="M2290" s="26">
        <f>H2290^2/6</f>
        <v/>
      </c>
      <c r="N2290" s="26">
        <f>H2290^3/12</f>
        <v/>
      </c>
      <c r="O2290" s="27">
        <f>-J2290*L2290*K2290*C2290</f>
        <v/>
      </c>
      <c r="P2290" s="28">
        <f>-(12*F2290*J2290*L2290*N2290+12*O2290*N2290*G2290*COS(RADIANS(E2290)))/(12*N2290*G2290*COS(RADIANS(E2290))^2+L2290*G2290^3*SIN(RADIANS(E2290))^2)</f>
        <v/>
      </c>
      <c r="Q2290" s="28">
        <f>-(6*F2290*J2290*L2290*N2290*SIN(RADIANS(E2290))+6*O2290*N2290*G2290*SIN(RADIANS(E2290))*COS(RADIANS(E2290)))/(12*N2290*COS(RADIANS(E2290))^2+L2290*G2290^2*SIN(RADIANS(E2290))^2)</f>
        <v/>
      </c>
      <c r="R2290" s="28">
        <f>-P2290*SIN(RADIANS(E2290))</f>
        <v/>
      </c>
      <c r="S2290" s="8">
        <f>(O2290+P2290*COS(RADIANS(E2290)))/L2290</f>
        <v/>
      </c>
      <c r="T2290" s="8">
        <f>R2290/L2290</f>
        <v/>
      </c>
      <c r="U2290" s="8">
        <f>(Q2290-P2290*G2290*SIN(RADIANS(E2290)))/M2290</f>
        <v/>
      </c>
      <c r="V2290" s="8">
        <f>SQRT((S2290+U2290)^2+3*T2290^2)</f>
        <v/>
      </c>
      <c r="W2290" s="8">
        <f>V2290/AA2290</f>
        <v/>
      </c>
      <c r="X2290" s="27">
        <f>((3*10+H2290/COS(RADIANS(E2290)))*(3+3)+3*G2290*H2290)*2</f>
        <v/>
      </c>
      <c r="Y2290" s="28">
        <f>Z2290/X2290</f>
        <v/>
      </c>
      <c r="Z2290" s="29" t="n">
        <v>752.590551213672</v>
      </c>
      <c r="AA2290" s="20" t="n">
        <v>113.784369519615</v>
      </c>
      <c r="AB2290" t="n">
        <v>0.2636737593934638</v>
      </c>
      <c r="AC2290" t="n">
        <v>109.558484837907</v>
      </c>
      <c r="AD2290" t="n">
        <v>42.03373247744271</v>
      </c>
    </row>
    <row r="2291">
      <c r="A2291" t="n">
        <v>2290</v>
      </c>
      <c r="B2291" t="n">
        <v>61.3</v>
      </c>
      <c r="C2291" s="21">
        <f>B2291-20</f>
        <v/>
      </c>
      <c r="D2291" t="n">
        <v>120.5</v>
      </c>
      <c r="E2291" s="22">
        <f>D2291-90</f>
        <v/>
      </c>
      <c r="F2291" s="23" t="n">
        <v>0.014752</v>
      </c>
      <c r="G2291" s="22" t="n">
        <v>29.4</v>
      </c>
      <c r="H2291" s="22" t="n">
        <v>1.7</v>
      </c>
      <c r="I2291" s="24" t="n">
        <v>0.068494513630867</v>
      </c>
      <c r="J2291" s="6" t="n">
        <v>71000</v>
      </c>
      <c r="K2291" s="25">
        <f>23*10^-6</f>
        <v/>
      </c>
      <c r="L2291" s="8">
        <f>H2291</f>
        <v/>
      </c>
      <c r="M2291" s="26">
        <f>H2291^2/6</f>
        <v/>
      </c>
      <c r="N2291" s="26">
        <f>H2291^3/12</f>
        <v/>
      </c>
      <c r="O2291" s="27">
        <f>-J2291*L2291*K2291*C2291</f>
        <v/>
      </c>
      <c r="P2291" s="28">
        <f>-(12*F2291*J2291*L2291*N2291+12*O2291*N2291*G2291*COS(RADIANS(E2291)))/(12*N2291*G2291*COS(RADIANS(E2291))^2+L2291*G2291^3*SIN(RADIANS(E2291))^2)</f>
        <v/>
      </c>
      <c r="Q2291" s="28">
        <f>-(6*F2291*J2291*L2291*N2291*SIN(RADIANS(E2291))+6*O2291*N2291*G2291*SIN(RADIANS(E2291))*COS(RADIANS(E2291)))/(12*N2291*COS(RADIANS(E2291))^2+L2291*G2291^2*SIN(RADIANS(E2291))^2)</f>
        <v/>
      </c>
      <c r="R2291" s="28">
        <f>-P2291*SIN(RADIANS(E2291))</f>
        <v/>
      </c>
      <c r="S2291" s="8">
        <f>(O2291+P2291*COS(RADIANS(E2291)))/L2291</f>
        <v/>
      </c>
      <c r="T2291" s="8">
        <f>R2291/L2291</f>
        <v/>
      </c>
      <c r="U2291" s="8">
        <f>(Q2291-P2291*G2291*SIN(RADIANS(E2291)))/M2291</f>
        <v/>
      </c>
      <c r="V2291" s="8">
        <f>SQRT((S2291+U2291)^2+3*T2291^2)</f>
        <v/>
      </c>
      <c r="W2291" s="8">
        <f>V2291/AA2291</f>
        <v/>
      </c>
      <c r="X2291" s="27">
        <f>((3*10+H2291/COS(RADIANS(E2291)))*(3+3)+3*G2291*H2291)*2</f>
        <v/>
      </c>
      <c r="Y2291" s="28">
        <f>Z2291/X2291</f>
        <v/>
      </c>
      <c r="Z2291" s="29" t="n">
        <v>690.843918793729</v>
      </c>
      <c r="AA2291" s="20" t="n">
        <v>63.598544412219</v>
      </c>
      <c r="AB2291" t="n">
        <v>0.07922079883079183</v>
      </c>
      <c r="AC2291" t="n">
        <v>61.52717142989137</v>
      </c>
      <c r="AD2291" t="n">
        <v>15.66006477209444</v>
      </c>
    </row>
    <row r="2292">
      <c r="A2292" t="n">
        <v>2291</v>
      </c>
      <c r="B2292" t="n">
        <v>65.40000000000001</v>
      </c>
      <c r="C2292" s="21">
        <f>B2292-20</f>
        <v/>
      </c>
      <c r="D2292" t="n">
        <v>109.8</v>
      </c>
      <c r="E2292" s="22">
        <f>D2292-90</f>
        <v/>
      </c>
      <c r="F2292" s="23" t="n">
        <v>0.01713</v>
      </c>
      <c r="G2292" s="22" t="n">
        <v>28.8</v>
      </c>
      <c r="H2292" s="22" t="n">
        <v>1.8</v>
      </c>
      <c r="I2292" s="24" t="n">
        <v>0.100379094481468</v>
      </c>
      <c r="J2292" s="6" t="n">
        <v>71000</v>
      </c>
      <c r="K2292" s="25">
        <f>23*10^-6</f>
        <v/>
      </c>
      <c r="L2292" s="8">
        <f>H2292</f>
        <v/>
      </c>
      <c r="M2292" s="26">
        <f>H2292^2/6</f>
        <v/>
      </c>
      <c r="N2292" s="26">
        <f>H2292^3/12</f>
        <v/>
      </c>
      <c r="O2292" s="27">
        <f>-J2292*L2292*K2292*C2292</f>
        <v/>
      </c>
      <c r="P2292" s="28">
        <f>-(12*F2292*J2292*L2292*N2292+12*O2292*N2292*G2292*COS(RADIANS(E2292)))/(12*N2292*G2292*COS(RADIANS(E2292))^2+L2292*G2292^3*SIN(RADIANS(E2292))^2)</f>
        <v/>
      </c>
      <c r="Q2292" s="28">
        <f>-(6*F2292*J2292*L2292*N2292*SIN(RADIANS(E2292))+6*O2292*N2292*G2292*SIN(RADIANS(E2292))*COS(RADIANS(E2292)))/(12*N2292*COS(RADIANS(E2292))^2+L2292*G2292^2*SIN(RADIANS(E2292))^2)</f>
        <v/>
      </c>
      <c r="R2292" s="28">
        <f>-P2292*SIN(RADIANS(E2292))</f>
        <v/>
      </c>
      <c r="S2292" s="8">
        <f>(O2292+P2292*COS(RADIANS(E2292)))/L2292</f>
        <v/>
      </c>
      <c r="T2292" s="8">
        <f>R2292/L2292</f>
        <v/>
      </c>
      <c r="U2292" s="8">
        <f>(Q2292-P2292*G2292*SIN(RADIANS(E2292)))/M2292</f>
        <v/>
      </c>
      <c r="V2292" s="8">
        <f>SQRT((S2292+U2292)^2+3*T2292^2)</f>
        <v/>
      </c>
      <c r="W2292" s="8">
        <f>V2292/AA2292</f>
        <v/>
      </c>
      <c r="X2292" s="27">
        <f>((3*10+H2292/COS(RADIANS(E2292)))*(3+3)+3*G2292*H2292)*2</f>
        <v/>
      </c>
      <c r="Y2292" s="28">
        <f>Z2292/X2292</f>
        <v/>
      </c>
      <c r="Z2292" s="29" t="n">
        <v>698.9388563353669</v>
      </c>
      <c r="AA2292" s="20" t="n">
        <v>74.3420697640405</v>
      </c>
      <c r="AB2292" t="n">
        <v>0.1321898055747613</v>
      </c>
      <c r="AC2292" t="n">
        <v>72.43983569712663</v>
      </c>
      <c r="AD2292" t="n">
        <v>31.69057387658167</v>
      </c>
    </row>
    <row r="2293">
      <c r="A2293" t="n">
        <v>2292</v>
      </c>
      <c r="B2293" t="n">
        <v>78.90000000000001</v>
      </c>
      <c r="C2293" s="21">
        <f>B2293-20</f>
        <v/>
      </c>
      <c r="D2293" t="n">
        <v>129.4</v>
      </c>
      <c r="E2293" s="22">
        <f>D2293-90</f>
        <v/>
      </c>
      <c r="F2293" s="23" t="n">
        <v>0.018661</v>
      </c>
      <c r="G2293" s="22" t="n">
        <v>28.2</v>
      </c>
      <c r="H2293" s="22" t="n">
        <v>1.1</v>
      </c>
      <c r="I2293" s="24" t="n">
        <v>0.0808145701885223</v>
      </c>
      <c r="J2293" s="6" t="n">
        <v>71000</v>
      </c>
      <c r="K2293" s="25">
        <f>23*10^-6</f>
        <v/>
      </c>
      <c r="L2293" s="8">
        <f>H2293</f>
        <v/>
      </c>
      <c r="M2293" s="26">
        <f>H2293^2/6</f>
        <v/>
      </c>
      <c r="N2293" s="26">
        <f>H2293^3/12</f>
        <v/>
      </c>
      <c r="O2293" s="27">
        <f>-J2293*L2293*K2293*C2293</f>
        <v/>
      </c>
      <c r="P2293" s="28">
        <f>-(12*F2293*J2293*L2293*N2293+12*O2293*N2293*G2293*COS(RADIANS(E2293)))/(12*N2293*G2293*COS(RADIANS(E2293))^2+L2293*G2293^3*SIN(RADIANS(E2293))^2)</f>
        <v/>
      </c>
      <c r="Q2293" s="28">
        <f>-(6*F2293*J2293*L2293*N2293*SIN(RADIANS(E2293))+6*O2293*N2293*G2293*SIN(RADIANS(E2293))*COS(RADIANS(E2293)))/(12*N2293*COS(RADIANS(E2293))^2+L2293*G2293^2*SIN(RADIANS(E2293))^2)</f>
        <v/>
      </c>
      <c r="R2293" s="28">
        <f>-P2293*SIN(RADIANS(E2293))</f>
        <v/>
      </c>
      <c r="S2293" s="8">
        <f>(O2293+P2293*COS(RADIANS(E2293)))/L2293</f>
        <v/>
      </c>
      <c r="T2293" s="8">
        <f>R2293/L2293</f>
        <v/>
      </c>
      <c r="U2293" s="8">
        <f>(Q2293-P2293*G2293*SIN(RADIANS(E2293)))/M2293</f>
        <v/>
      </c>
      <c r="V2293" s="8">
        <f>SQRT((S2293+U2293)^2+3*T2293^2)</f>
        <v/>
      </c>
      <c r="W2293" s="8">
        <f>V2293/AA2293</f>
        <v/>
      </c>
      <c r="X2293" s="27">
        <f>((3*10+H2293/COS(RADIANS(E2293)))*(3+3)+3*G2293*H2293)*2</f>
        <v/>
      </c>
      <c r="Y2293" s="28">
        <f>Z2293/X2293</f>
        <v/>
      </c>
      <c r="Z2293" s="29" t="n">
        <v>573.6944133192731</v>
      </c>
      <c r="AA2293" s="20" t="n">
        <v>77.0371451624647</v>
      </c>
      <c r="AB2293" t="n">
        <v>0.08268378559371181</v>
      </c>
      <c r="AC2293" t="n">
        <v>83.18110486413748</v>
      </c>
      <c r="AD2293" t="n">
        <v>2.312968318496347</v>
      </c>
    </row>
    <row r="2294">
      <c r="A2294" t="n">
        <v>2293</v>
      </c>
      <c r="B2294" t="n">
        <v>74.8</v>
      </c>
      <c r="C2294" s="21">
        <f>B2294-20</f>
        <v/>
      </c>
      <c r="D2294" t="n">
        <v>105</v>
      </c>
      <c r="E2294" s="22">
        <f>D2294-90</f>
        <v/>
      </c>
      <c r="F2294" s="23" t="n">
        <v>0.021007</v>
      </c>
      <c r="G2294" s="22" t="n">
        <v>28.6</v>
      </c>
      <c r="H2294" s="22" t="n">
        <v>1.7</v>
      </c>
      <c r="I2294" s="24" t="n">
        <v>0.148320227861404</v>
      </c>
      <c r="J2294" s="6" t="n">
        <v>71000</v>
      </c>
      <c r="K2294" s="25">
        <f>23*10^-6</f>
        <v/>
      </c>
      <c r="L2294" s="8">
        <f>H2294</f>
        <v/>
      </c>
      <c r="M2294" s="26">
        <f>H2294^2/6</f>
        <v/>
      </c>
      <c r="N2294" s="26">
        <f>H2294^3/12</f>
        <v/>
      </c>
      <c r="O2294" s="27">
        <f>-J2294*L2294*K2294*C2294</f>
        <v/>
      </c>
      <c r="P2294" s="28">
        <f>-(12*F2294*J2294*L2294*N2294+12*O2294*N2294*G2294*COS(RADIANS(E2294)))/(12*N2294*G2294*COS(RADIANS(E2294))^2+L2294*G2294^3*SIN(RADIANS(E2294))^2)</f>
        <v/>
      </c>
      <c r="Q2294" s="28">
        <f>-(6*F2294*J2294*L2294*N2294*SIN(RADIANS(E2294))+6*O2294*N2294*G2294*SIN(RADIANS(E2294))*COS(RADIANS(E2294)))/(12*N2294*COS(RADIANS(E2294))^2+L2294*G2294^2*SIN(RADIANS(E2294))^2)</f>
        <v/>
      </c>
      <c r="R2294" s="28">
        <f>-P2294*SIN(RADIANS(E2294))</f>
        <v/>
      </c>
      <c r="S2294" s="8">
        <f>(O2294+P2294*COS(RADIANS(E2294)))/L2294</f>
        <v/>
      </c>
      <c r="T2294" s="8">
        <f>R2294/L2294</f>
        <v/>
      </c>
      <c r="U2294" s="8">
        <f>(Q2294-P2294*G2294*SIN(RADIANS(E2294)))/M2294</f>
        <v/>
      </c>
      <c r="V2294" s="8">
        <f>SQRT((S2294+U2294)^2+3*T2294^2)</f>
        <v/>
      </c>
      <c r="W2294" s="8">
        <f>V2294/AA2294</f>
        <v/>
      </c>
      <c r="X2294" s="27">
        <f>((3*10+H2294/COS(RADIANS(E2294)))*(3+3)+3*G2294*H2294)*2</f>
        <v/>
      </c>
      <c r="Y2294" s="28">
        <f>Z2294/X2294</f>
        <v/>
      </c>
      <c r="Z2294" s="29" t="n">
        <v>677.119891795849</v>
      </c>
      <c r="AA2294" s="20" t="n">
        <v>91.0208984769538</v>
      </c>
      <c r="AB2294" t="n">
        <v>0.2072004686959583</v>
      </c>
      <c r="AC2294" t="n">
        <v>90.75586529210628</v>
      </c>
      <c r="AD2294" t="n">
        <v>39.69805176511341</v>
      </c>
    </row>
    <row r="2295">
      <c r="A2295" t="n">
        <v>2294</v>
      </c>
      <c r="B2295" t="n">
        <v>89.2</v>
      </c>
      <c r="C2295" s="21">
        <f>B2295-20</f>
        <v/>
      </c>
      <c r="D2295" t="n">
        <v>100.4</v>
      </c>
      <c r="E2295" s="22">
        <f>D2295-90</f>
        <v/>
      </c>
      <c r="F2295" s="23" t="n">
        <v>0.025683</v>
      </c>
      <c r="G2295" s="22" t="n">
        <v>27</v>
      </c>
      <c r="H2295" s="22" t="n">
        <v>1.2</v>
      </c>
      <c r="I2295" s="24" t="n">
        <v>0.242832705378532</v>
      </c>
      <c r="J2295" s="6" t="n">
        <v>71000</v>
      </c>
      <c r="K2295" s="25">
        <f>23*10^-6</f>
        <v/>
      </c>
      <c r="L2295" s="8">
        <f>H2295</f>
        <v/>
      </c>
      <c r="M2295" s="26">
        <f>H2295^2/6</f>
        <v/>
      </c>
      <c r="N2295" s="26">
        <f>H2295^3/12</f>
        <v/>
      </c>
      <c r="O2295" s="27">
        <f>-J2295*L2295*K2295*C2295</f>
        <v/>
      </c>
      <c r="P2295" s="28">
        <f>-(12*F2295*J2295*L2295*N2295+12*O2295*N2295*G2295*COS(RADIANS(E2295)))/(12*N2295*G2295*COS(RADIANS(E2295))^2+L2295*G2295^3*SIN(RADIANS(E2295))^2)</f>
        <v/>
      </c>
      <c r="Q2295" s="28">
        <f>-(6*F2295*J2295*L2295*N2295*SIN(RADIANS(E2295))+6*O2295*N2295*G2295*SIN(RADIANS(E2295))*COS(RADIANS(E2295)))/(12*N2295*COS(RADIANS(E2295))^2+L2295*G2295^2*SIN(RADIANS(E2295))^2)</f>
        <v/>
      </c>
      <c r="R2295" s="28">
        <f>-P2295*SIN(RADIANS(E2295))</f>
        <v/>
      </c>
      <c r="S2295" s="8">
        <f>(O2295+P2295*COS(RADIANS(E2295)))/L2295</f>
        <v/>
      </c>
      <c r="T2295" s="8">
        <f>R2295/L2295</f>
        <v/>
      </c>
      <c r="U2295" s="8">
        <f>(Q2295-P2295*G2295*SIN(RADIANS(E2295)))/M2295</f>
        <v/>
      </c>
      <c r="V2295" s="8">
        <f>SQRT((S2295+U2295)^2+3*T2295^2)</f>
        <v/>
      </c>
      <c r="W2295" s="8">
        <f>V2295/AA2295</f>
        <v/>
      </c>
      <c r="X2295" s="27">
        <f>((3*10+H2295/COS(RADIANS(E2295)))*(3+3)+3*G2295*H2295)*2</f>
        <v/>
      </c>
      <c r="Y2295" s="28">
        <f>Z2295/X2295</f>
        <v/>
      </c>
      <c r="Z2295" s="29" t="n">
        <v>572.875022044421</v>
      </c>
      <c r="AA2295" s="20" t="n">
        <v>106.776683433498</v>
      </c>
      <c r="AB2295" t="n">
        <v>0.3567907830431877</v>
      </c>
      <c r="AC2295" t="n">
        <v>115.9511511235645</v>
      </c>
      <c r="AD2295" t="n">
        <v>46.92863652242223</v>
      </c>
    </row>
    <row r="2296">
      <c r="A2296" t="n">
        <v>2295</v>
      </c>
      <c r="B2296" t="n">
        <v>73.59999999999999</v>
      </c>
      <c r="C2296" s="21">
        <f>B2296-20</f>
        <v/>
      </c>
      <c r="D2296" t="n">
        <v>106.4</v>
      </c>
      <c r="E2296" s="22">
        <f>D2296-90</f>
        <v/>
      </c>
      <c r="F2296" s="23" t="n">
        <v>0.020021</v>
      </c>
      <c r="G2296" s="22" t="n">
        <v>27.9</v>
      </c>
      <c r="H2296" s="22" t="n">
        <v>1.4</v>
      </c>
      <c r="I2296" s="24" t="n">
        <v>0.134425535798072</v>
      </c>
      <c r="J2296" s="6" t="n">
        <v>71000</v>
      </c>
      <c r="K2296" s="25">
        <f>23*10^-6</f>
        <v/>
      </c>
      <c r="L2296" s="8">
        <f>H2296</f>
        <v/>
      </c>
      <c r="M2296" s="26">
        <f>H2296^2/6</f>
        <v/>
      </c>
      <c r="N2296" s="26">
        <f>H2296^3/12</f>
        <v/>
      </c>
      <c r="O2296" s="27">
        <f>-J2296*L2296*K2296*C2296</f>
        <v/>
      </c>
      <c r="P2296" s="28">
        <f>-(12*F2296*J2296*L2296*N2296+12*O2296*N2296*G2296*COS(RADIANS(E2296)))/(12*N2296*G2296*COS(RADIANS(E2296))^2+L2296*G2296^3*SIN(RADIANS(E2296))^2)</f>
        <v/>
      </c>
      <c r="Q2296" s="28">
        <f>-(6*F2296*J2296*L2296*N2296*SIN(RADIANS(E2296))+6*O2296*N2296*G2296*SIN(RADIANS(E2296))*COS(RADIANS(E2296)))/(12*N2296*COS(RADIANS(E2296))^2+L2296*G2296^2*SIN(RADIANS(E2296))^2)</f>
        <v/>
      </c>
      <c r="R2296" s="28">
        <f>-P2296*SIN(RADIANS(E2296))</f>
        <v/>
      </c>
      <c r="S2296" s="8">
        <f>(O2296+P2296*COS(RADIANS(E2296)))/L2296</f>
        <v/>
      </c>
      <c r="T2296" s="8">
        <f>R2296/L2296</f>
        <v/>
      </c>
      <c r="U2296" s="8">
        <f>(Q2296-P2296*G2296*SIN(RADIANS(E2296)))/M2296</f>
        <v/>
      </c>
      <c r="V2296" s="8">
        <f>SQRT((S2296+U2296)^2+3*T2296^2)</f>
        <v/>
      </c>
      <c r="W2296" s="8">
        <f>V2296/AA2296</f>
        <v/>
      </c>
      <c r="X2296" s="27">
        <f>((3*10+H2296/COS(RADIANS(E2296)))*(3+3)+3*G2296*H2296)*2</f>
        <v/>
      </c>
      <c r="Y2296" s="28">
        <f>Z2296/X2296</f>
        <v/>
      </c>
      <c r="Z2296" s="29" t="n">
        <v>616.324022023319</v>
      </c>
      <c r="AA2296" s="20" t="n">
        <v>82.1216654365401</v>
      </c>
      <c r="AB2296" t="n">
        <v>0.1843162584071183</v>
      </c>
      <c r="AC2296" t="n">
        <v>85.26339683813056</v>
      </c>
      <c r="AD2296" t="n">
        <v>37.11402176145302</v>
      </c>
    </row>
    <row r="2297">
      <c r="A2297" t="n">
        <v>2296</v>
      </c>
      <c r="B2297" t="n">
        <v>85</v>
      </c>
      <c r="C2297" s="21">
        <f>B2297-20</f>
        <v/>
      </c>
      <c r="D2297" t="n">
        <v>107.4</v>
      </c>
      <c r="E2297" s="22">
        <f>D2297-90</f>
        <v/>
      </c>
      <c r="F2297" s="23" t="n">
        <v>0.024245</v>
      </c>
      <c r="G2297" s="22" t="n">
        <v>28</v>
      </c>
      <c r="H2297" s="22" t="n">
        <v>1.7</v>
      </c>
      <c r="I2297" s="24" t="n">
        <v>0.155113697052001</v>
      </c>
      <c r="J2297" s="6" t="n">
        <v>71000</v>
      </c>
      <c r="K2297" s="25">
        <f>23*10^-6</f>
        <v/>
      </c>
      <c r="L2297" s="8">
        <f>H2297</f>
        <v/>
      </c>
      <c r="M2297" s="26">
        <f>H2297^2/6</f>
        <v/>
      </c>
      <c r="N2297" s="26">
        <f>H2297^3/12</f>
        <v/>
      </c>
      <c r="O2297" s="27">
        <f>-J2297*L2297*K2297*C2297</f>
        <v/>
      </c>
      <c r="P2297" s="28">
        <f>-(12*F2297*J2297*L2297*N2297+12*O2297*N2297*G2297*COS(RADIANS(E2297)))/(12*N2297*G2297*COS(RADIANS(E2297))^2+L2297*G2297^3*SIN(RADIANS(E2297))^2)</f>
        <v/>
      </c>
      <c r="Q2297" s="28">
        <f>-(6*F2297*J2297*L2297*N2297*SIN(RADIANS(E2297))+6*O2297*N2297*G2297*SIN(RADIANS(E2297))*COS(RADIANS(E2297)))/(12*N2297*COS(RADIANS(E2297))^2+L2297*G2297^2*SIN(RADIANS(E2297))^2)</f>
        <v/>
      </c>
      <c r="R2297" s="28">
        <f>-P2297*SIN(RADIANS(E2297))</f>
        <v/>
      </c>
      <c r="S2297" s="8">
        <f>(O2297+P2297*COS(RADIANS(E2297)))/L2297</f>
        <v/>
      </c>
      <c r="T2297" s="8">
        <f>R2297/L2297</f>
        <v/>
      </c>
      <c r="U2297" s="8">
        <f>(Q2297-P2297*G2297*SIN(RADIANS(E2297)))/M2297</f>
        <v/>
      </c>
      <c r="V2297" s="8">
        <f>SQRT((S2297+U2297)^2+3*T2297^2)</f>
        <v/>
      </c>
      <c r="W2297" s="8">
        <f>V2297/AA2297</f>
        <v/>
      </c>
      <c r="X2297" s="27">
        <f>((3*10+H2297/COS(RADIANS(E2297)))*(3+3)+3*G2297*H2297)*2</f>
        <v/>
      </c>
      <c r="Y2297" s="28">
        <f>Z2297/X2297</f>
        <v/>
      </c>
      <c r="Z2297" s="29" t="n">
        <v>671.562788417345</v>
      </c>
      <c r="AA2297" s="20" t="n">
        <v>106.385714570199</v>
      </c>
      <c r="AB2297" t="n">
        <v>0.2092076533179774</v>
      </c>
      <c r="AC2297" t="n">
        <v>105.2859428678027</v>
      </c>
      <c r="AD2297" t="n">
        <v>34.87374570657138</v>
      </c>
    </row>
    <row r="2298">
      <c r="A2298" t="n">
        <v>2297</v>
      </c>
      <c r="B2298" t="n">
        <v>63</v>
      </c>
      <c r="C2298" s="21">
        <f>B2298-20</f>
        <v/>
      </c>
      <c r="D2298" t="n">
        <v>105.7</v>
      </c>
      <c r="E2298" s="22">
        <f>D2298-90</f>
        <v/>
      </c>
      <c r="F2298" s="23" t="n">
        <v>0.012615</v>
      </c>
      <c r="G2298" s="22" t="n">
        <v>20.5</v>
      </c>
      <c r="H2298" s="22" t="n">
        <v>1.6</v>
      </c>
      <c r="I2298" s="24" t="n">
        <v>0.0881676077842712</v>
      </c>
      <c r="J2298" s="6" t="n">
        <v>71000</v>
      </c>
      <c r="K2298" s="25">
        <f>23*10^-6</f>
        <v/>
      </c>
      <c r="L2298" s="8">
        <f>H2298</f>
        <v/>
      </c>
      <c r="M2298" s="26">
        <f>H2298^2/6</f>
        <v/>
      </c>
      <c r="N2298" s="26">
        <f>H2298^3/12</f>
        <v/>
      </c>
      <c r="O2298" s="27">
        <f>-J2298*L2298*K2298*C2298</f>
        <v/>
      </c>
      <c r="P2298" s="28">
        <f>-(12*F2298*J2298*L2298*N2298+12*O2298*N2298*G2298*COS(RADIANS(E2298)))/(12*N2298*G2298*COS(RADIANS(E2298))^2+L2298*G2298^3*SIN(RADIANS(E2298))^2)</f>
        <v/>
      </c>
      <c r="Q2298" s="28">
        <f>-(6*F2298*J2298*L2298*N2298*SIN(RADIANS(E2298))+6*O2298*N2298*G2298*SIN(RADIANS(E2298))*COS(RADIANS(E2298)))/(12*N2298*COS(RADIANS(E2298))^2+L2298*G2298^2*SIN(RADIANS(E2298))^2)</f>
        <v/>
      </c>
      <c r="R2298" s="28">
        <f>-P2298*SIN(RADIANS(E2298))</f>
        <v/>
      </c>
      <c r="S2298" s="8">
        <f>(O2298+P2298*COS(RADIANS(E2298)))/L2298</f>
        <v/>
      </c>
      <c r="T2298" s="8">
        <f>R2298/L2298</f>
        <v/>
      </c>
      <c r="U2298" s="8">
        <f>(Q2298-P2298*G2298*SIN(RADIANS(E2298)))/M2298</f>
        <v/>
      </c>
      <c r="V2298" s="8">
        <f>SQRT((S2298+U2298)^2+3*T2298^2)</f>
        <v/>
      </c>
      <c r="W2298" s="8">
        <f>V2298/AA2298</f>
        <v/>
      </c>
      <c r="X2298" s="27">
        <f>((3*10+H2298/COS(RADIANS(E2298)))*(3+3)+3*G2298*H2298)*2</f>
        <v/>
      </c>
      <c r="Y2298" s="28">
        <f>Z2298/X2298</f>
        <v/>
      </c>
      <c r="Z2298" s="29" t="n">
        <v>581.107806566818</v>
      </c>
      <c r="AA2298" s="20" t="n">
        <v>73.27131450752159</v>
      </c>
      <c r="AB2298" t="n">
        <v>0.1109752843500445</v>
      </c>
      <c r="AC2298" t="n">
        <v>72.09198919792657</v>
      </c>
      <c r="AD2298" t="n">
        <v>25.8685441727978</v>
      </c>
    </row>
    <row r="2299">
      <c r="A2299" t="n">
        <v>2298</v>
      </c>
      <c r="B2299" t="n">
        <v>51.7</v>
      </c>
      <c r="C2299" s="21">
        <f>B2299-20</f>
        <v/>
      </c>
      <c r="D2299" t="n">
        <v>118.1</v>
      </c>
      <c r="E2299" s="22">
        <f>D2299-90</f>
        <v/>
      </c>
      <c r="F2299" s="23" t="n">
        <v>0.008671</v>
      </c>
      <c r="G2299" s="22" t="n">
        <v>20.4</v>
      </c>
      <c r="H2299" s="22" t="n">
        <v>1.7</v>
      </c>
      <c r="I2299" s="24" t="n">
        <v>0.0439954623579978</v>
      </c>
      <c r="J2299" s="6" t="n">
        <v>71000</v>
      </c>
      <c r="K2299" s="25">
        <f>23*10^-6</f>
        <v/>
      </c>
      <c r="L2299" s="8">
        <f>H2299</f>
        <v/>
      </c>
      <c r="M2299" s="26">
        <f>H2299^2/6</f>
        <v/>
      </c>
      <c r="N2299" s="26">
        <f>H2299^3/12</f>
        <v/>
      </c>
      <c r="O2299" s="27">
        <f>-J2299*L2299*K2299*C2299</f>
        <v/>
      </c>
      <c r="P2299" s="28">
        <f>-(12*F2299*J2299*L2299*N2299+12*O2299*N2299*G2299*COS(RADIANS(E2299)))/(12*N2299*G2299*COS(RADIANS(E2299))^2+L2299*G2299^3*SIN(RADIANS(E2299))^2)</f>
        <v/>
      </c>
      <c r="Q2299" s="28">
        <f>-(6*F2299*J2299*L2299*N2299*SIN(RADIANS(E2299))+6*O2299*N2299*G2299*SIN(RADIANS(E2299))*COS(RADIANS(E2299)))/(12*N2299*COS(RADIANS(E2299))^2+L2299*G2299^2*SIN(RADIANS(E2299))^2)</f>
        <v/>
      </c>
      <c r="R2299" s="28">
        <f>-P2299*SIN(RADIANS(E2299))</f>
        <v/>
      </c>
      <c r="S2299" s="8">
        <f>(O2299+P2299*COS(RADIANS(E2299)))/L2299</f>
        <v/>
      </c>
      <c r="T2299" s="8">
        <f>R2299/L2299</f>
        <v/>
      </c>
      <c r="U2299" s="8">
        <f>(Q2299-P2299*G2299*SIN(RADIANS(E2299)))/M2299</f>
        <v/>
      </c>
      <c r="V2299" s="8">
        <f>SQRT((S2299+U2299)^2+3*T2299^2)</f>
        <v/>
      </c>
      <c r="W2299" s="8">
        <f>V2299/AA2299</f>
        <v/>
      </c>
      <c r="X2299" s="27">
        <f>((3*10+H2299/COS(RADIANS(E2299)))*(3+3)+3*G2299*H2299)*2</f>
        <v/>
      </c>
      <c r="Y2299" s="28">
        <f>Z2299/X2299</f>
        <v/>
      </c>
      <c r="Z2299" s="29" t="n">
        <v>597.846525605481</v>
      </c>
      <c r="AA2299" s="20" t="n">
        <v>51.6784453098362</v>
      </c>
      <c r="AB2299" t="n">
        <v>0.04657110289099746</v>
      </c>
      <c r="AC2299" t="n">
        <v>48.83360546392942</v>
      </c>
      <c r="AD2299" t="n">
        <v>5.854332230995283</v>
      </c>
    </row>
    <row r="2300">
      <c r="A2300" t="n">
        <v>2299</v>
      </c>
      <c r="B2300" t="n">
        <v>86.5</v>
      </c>
      <c r="C2300" s="21">
        <f>B2300-20</f>
        <v/>
      </c>
      <c r="D2300" t="n">
        <v>107.3</v>
      </c>
      <c r="E2300" s="22">
        <f>D2300-90</f>
        <v/>
      </c>
      <c r="F2300" s="23" t="n">
        <v>0.021848</v>
      </c>
      <c r="G2300" s="22" t="n">
        <v>23.9</v>
      </c>
      <c r="H2300" s="22" t="n">
        <v>1.9</v>
      </c>
      <c r="I2300" s="24" t="n">
        <v>0.140870049595832</v>
      </c>
      <c r="J2300" s="6" t="n">
        <v>71000</v>
      </c>
      <c r="K2300" s="25">
        <f>23*10^-6</f>
        <v/>
      </c>
      <c r="L2300" s="8">
        <f>H2300</f>
        <v/>
      </c>
      <c r="M2300" s="26">
        <f>H2300^2/6</f>
        <v/>
      </c>
      <c r="N2300" s="26">
        <f>H2300^3/12</f>
        <v/>
      </c>
      <c r="O2300" s="27">
        <f>-J2300*L2300*K2300*C2300</f>
        <v/>
      </c>
      <c r="P2300" s="28">
        <f>-(12*F2300*J2300*L2300*N2300+12*O2300*N2300*G2300*COS(RADIANS(E2300)))/(12*N2300*G2300*COS(RADIANS(E2300))^2+L2300*G2300^3*SIN(RADIANS(E2300))^2)</f>
        <v/>
      </c>
      <c r="Q2300" s="28">
        <f>-(6*F2300*J2300*L2300*N2300*SIN(RADIANS(E2300))+6*O2300*N2300*G2300*SIN(RADIANS(E2300))*COS(RADIANS(E2300)))/(12*N2300*COS(RADIANS(E2300))^2+L2300*G2300^2*SIN(RADIANS(E2300))^2)</f>
        <v/>
      </c>
      <c r="R2300" s="28">
        <f>-P2300*SIN(RADIANS(E2300))</f>
        <v/>
      </c>
      <c r="S2300" s="8">
        <f>(O2300+P2300*COS(RADIANS(E2300)))/L2300</f>
        <v/>
      </c>
      <c r="T2300" s="8">
        <f>R2300/L2300</f>
        <v/>
      </c>
      <c r="U2300" s="8">
        <f>(Q2300-P2300*G2300*SIN(RADIANS(E2300)))/M2300</f>
        <v/>
      </c>
      <c r="V2300" s="8">
        <f>SQRT((S2300+U2300)^2+3*T2300^2)</f>
        <v/>
      </c>
      <c r="W2300" s="8">
        <f>V2300/AA2300</f>
        <v/>
      </c>
      <c r="X2300" s="27">
        <f>((3*10+H2300/COS(RADIANS(E2300)))*(3+3)+3*G2300*H2300)*2</f>
        <v/>
      </c>
      <c r="Y2300" s="28">
        <f>Z2300/X2300</f>
        <v/>
      </c>
      <c r="Z2300" s="29" t="n">
        <v>660.911142488788</v>
      </c>
      <c r="AA2300" s="20" t="n">
        <v>117.322720528781</v>
      </c>
      <c r="AB2300" t="n">
        <v>0.1808453551744734</v>
      </c>
      <c r="AC2300" t="n">
        <v>111.2951724351851</v>
      </c>
      <c r="AD2300" t="n">
        <v>28.37743416243122</v>
      </c>
    </row>
    <row r="2301">
      <c r="A2301" t="n">
        <v>2300</v>
      </c>
      <c r="B2301" t="n">
        <v>50.6</v>
      </c>
      <c r="C2301" s="21">
        <f>B2301-20</f>
        <v/>
      </c>
      <c r="D2301" t="n">
        <v>125</v>
      </c>
      <c r="E2301" s="22">
        <f>D2301-90</f>
        <v/>
      </c>
      <c r="F2301" s="23" t="n">
        <v>0.008408000000000001</v>
      </c>
      <c r="G2301" s="22" t="n">
        <v>22.1</v>
      </c>
      <c r="H2301" s="22" t="n">
        <v>1.3</v>
      </c>
      <c r="I2301" s="24" t="n">
        <v>0.0388413146138191</v>
      </c>
      <c r="J2301" s="6" t="n">
        <v>71000</v>
      </c>
      <c r="K2301" s="25">
        <f>23*10^-6</f>
        <v/>
      </c>
      <c r="L2301" s="8">
        <f>H2301</f>
        <v/>
      </c>
      <c r="M2301" s="26">
        <f>H2301^2/6</f>
        <v/>
      </c>
      <c r="N2301" s="26">
        <f>H2301^3/12</f>
        <v/>
      </c>
      <c r="O2301" s="27">
        <f>-J2301*L2301*K2301*C2301</f>
        <v/>
      </c>
      <c r="P2301" s="28">
        <f>-(12*F2301*J2301*L2301*N2301+12*O2301*N2301*G2301*COS(RADIANS(E2301)))/(12*N2301*G2301*COS(RADIANS(E2301))^2+L2301*G2301^3*SIN(RADIANS(E2301))^2)</f>
        <v/>
      </c>
      <c r="Q2301" s="28">
        <f>-(6*F2301*J2301*L2301*N2301*SIN(RADIANS(E2301))+6*O2301*N2301*G2301*SIN(RADIANS(E2301))*COS(RADIANS(E2301)))/(12*N2301*COS(RADIANS(E2301))^2+L2301*G2301^2*SIN(RADIANS(E2301))^2)</f>
        <v/>
      </c>
      <c r="R2301" s="28">
        <f>-P2301*SIN(RADIANS(E2301))</f>
        <v/>
      </c>
      <c r="S2301" s="8">
        <f>(O2301+P2301*COS(RADIANS(E2301)))/L2301</f>
        <v/>
      </c>
      <c r="T2301" s="8">
        <f>R2301/L2301</f>
        <v/>
      </c>
      <c r="U2301" s="8">
        <f>(Q2301-P2301*G2301*SIN(RADIANS(E2301)))/M2301</f>
        <v/>
      </c>
      <c r="V2301" s="8">
        <f>SQRT((S2301+U2301)^2+3*T2301^2)</f>
        <v/>
      </c>
      <c r="W2301" s="8">
        <f>V2301/AA2301</f>
        <v/>
      </c>
      <c r="X2301" s="27">
        <f>((3*10+H2301/COS(RADIANS(E2301)))*(3+3)+3*G2301*H2301)*2</f>
        <v/>
      </c>
      <c r="Y2301" s="28">
        <f>Z2301/X2301</f>
        <v/>
      </c>
      <c r="Z2301" s="29" t="n">
        <v>560.156303100596</v>
      </c>
      <c r="AA2301" s="20" t="n">
        <v>44.6828221302768</v>
      </c>
      <c r="AB2301" t="n">
        <v>0.0388102116904146</v>
      </c>
      <c r="AC2301" t="n">
        <v>44.49954180588917</v>
      </c>
      <c r="AD2301" t="n">
        <v>-0.08007690706080751</v>
      </c>
    </row>
    <row r="2302">
      <c r="A2302" t="n">
        <v>2301</v>
      </c>
      <c r="B2302" t="n">
        <v>73.90000000000001</v>
      </c>
      <c r="C2302" s="21">
        <f>B2302-20</f>
        <v/>
      </c>
      <c r="D2302" t="n">
        <v>120.1</v>
      </c>
      <c r="E2302" s="22">
        <f>D2302-90</f>
        <v/>
      </c>
      <c r="F2302" s="23" t="n">
        <v>0.020857</v>
      </c>
      <c r="G2302" s="22" t="n">
        <v>32.3</v>
      </c>
      <c r="H2302" s="22" t="n">
        <v>1.9</v>
      </c>
      <c r="I2302" s="24" t="n">
        <v>0.0961146056652069</v>
      </c>
      <c r="J2302" s="6" t="n">
        <v>71000</v>
      </c>
      <c r="K2302" s="25">
        <f>23*10^-6</f>
        <v/>
      </c>
      <c r="L2302" s="8">
        <f>H2302</f>
        <v/>
      </c>
      <c r="M2302" s="26">
        <f>H2302^2/6</f>
        <v/>
      </c>
      <c r="N2302" s="26">
        <f>H2302^3/12</f>
        <v/>
      </c>
      <c r="O2302" s="27">
        <f>-J2302*L2302*K2302*C2302</f>
        <v/>
      </c>
      <c r="P2302" s="28">
        <f>-(12*F2302*J2302*L2302*N2302+12*O2302*N2302*G2302*COS(RADIANS(E2302)))/(12*N2302*G2302*COS(RADIANS(E2302))^2+L2302*G2302^3*SIN(RADIANS(E2302))^2)</f>
        <v/>
      </c>
      <c r="Q2302" s="28">
        <f>-(6*F2302*J2302*L2302*N2302*SIN(RADIANS(E2302))+6*O2302*N2302*G2302*SIN(RADIANS(E2302))*COS(RADIANS(E2302)))/(12*N2302*COS(RADIANS(E2302))^2+L2302*G2302^2*SIN(RADIANS(E2302))^2)</f>
        <v/>
      </c>
      <c r="R2302" s="28">
        <f>-P2302*SIN(RADIANS(E2302))</f>
        <v/>
      </c>
      <c r="S2302" s="8">
        <f>(O2302+P2302*COS(RADIANS(E2302)))/L2302</f>
        <v/>
      </c>
      <c r="T2302" s="8">
        <f>R2302/L2302</f>
        <v/>
      </c>
      <c r="U2302" s="8">
        <f>(Q2302-P2302*G2302*SIN(RADIANS(E2302)))/M2302</f>
        <v/>
      </c>
      <c r="V2302" s="8">
        <f>SQRT((S2302+U2302)^2+3*T2302^2)</f>
        <v/>
      </c>
      <c r="W2302" s="8">
        <f>V2302/AA2302</f>
        <v/>
      </c>
      <c r="X2302" s="27">
        <f>((3*10+H2302/COS(RADIANS(E2302)))*(3+3)+3*G2302*H2302)*2</f>
        <v/>
      </c>
      <c r="Y2302" s="28">
        <f>Z2302/X2302</f>
        <v/>
      </c>
      <c r="Z2302" s="29" t="n">
        <v>761.7482062276709</v>
      </c>
      <c r="AA2302" s="20" t="n">
        <v>85.60852614173329</v>
      </c>
      <c r="AB2302" t="n">
        <v>0.1145206377226624</v>
      </c>
      <c r="AC2302" t="n">
        <v>80.7815407809052</v>
      </c>
      <c r="AD2302" t="n">
        <v>19.15008851159275</v>
      </c>
    </row>
    <row r="2303">
      <c r="A2303" t="n">
        <v>2302</v>
      </c>
      <c r="B2303" t="n">
        <v>49.1</v>
      </c>
      <c r="C2303" s="21">
        <f>B2303-20</f>
        <v/>
      </c>
      <c r="D2303" t="n">
        <v>104.1</v>
      </c>
      <c r="E2303" s="22">
        <f>D2303-90</f>
        <v/>
      </c>
      <c r="F2303" s="23" t="n">
        <v>0.011643</v>
      </c>
      <c r="G2303" s="22" t="n">
        <v>30</v>
      </c>
      <c r="H2303" s="22" t="n">
        <v>1.6</v>
      </c>
      <c r="I2303" s="24" t="n">
        <v>0.08596713840961449</v>
      </c>
      <c r="J2303" s="6" t="n">
        <v>71000</v>
      </c>
      <c r="K2303" s="25">
        <f>23*10^-6</f>
        <v/>
      </c>
      <c r="L2303" s="8">
        <f>H2303</f>
        <v/>
      </c>
      <c r="M2303" s="26">
        <f>H2303^2/6</f>
        <v/>
      </c>
      <c r="N2303" s="26">
        <f>H2303^3/12</f>
        <v/>
      </c>
      <c r="O2303" s="27">
        <f>-J2303*L2303*K2303*C2303</f>
        <v/>
      </c>
      <c r="P2303" s="28">
        <f>-(12*F2303*J2303*L2303*N2303+12*O2303*N2303*G2303*COS(RADIANS(E2303)))/(12*N2303*G2303*COS(RADIANS(E2303))^2+L2303*G2303^3*SIN(RADIANS(E2303))^2)</f>
        <v/>
      </c>
      <c r="Q2303" s="28">
        <f>-(6*F2303*J2303*L2303*N2303*SIN(RADIANS(E2303))+6*O2303*N2303*G2303*SIN(RADIANS(E2303))*COS(RADIANS(E2303)))/(12*N2303*COS(RADIANS(E2303))^2+L2303*G2303^2*SIN(RADIANS(E2303))^2)</f>
        <v/>
      </c>
      <c r="R2303" s="28">
        <f>-P2303*SIN(RADIANS(E2303))</f>
        <v/>
      </c>
      <c r="S2303" s="8">
        <f>(O2303+P2303*COS(RADIANS(E2303)))/L2303</f>
        <v/>
      </c>
      <c r="T2303" s="8">
        <f>R2303/L2303</f>
        <v/>
      </c>
      <c r="U2303" s="8">
        <f>(Q2303-P2303*G2303*SIN(RADIANS(E2303)))/M2303</f>
        <v/>
      </c>
      <c r="V2303" s="8">
        <f>SQRT((S2303+U2303)^2+3*T2303^2)</f>
        <v/>
      </c>
      <c r="W2303" s="8">
        <f>V2303/AA2303</f>
        <v/>
      </c>
      <c r="X2303" s="27">
        <f>((3*10+H2303/COS(RADIANS(E2303)))*(3+3)+3*G2303*H2303)*2</f>
        <v/>
      </c>
      <c r="Y2303" s="28">
        <f>Z2303/X2303</f>
        <v/>
      </c>
      <c r="Z2303" s="29" t="n">
        <v>671.975588859867</v>
      </c>
      <c r="AA2303" s="20" t="n">
        <v>47.1873552388716</v>
      </c>
      <c r="AB2303" t="n">
        <v>0.1230917021245794</v>
      </c>
      <c r="AC2303" t="n">
        <v>47.9876220833835</v>
      </c>
      <c r="AD2303" t="n">
        <v>43.18459867545491</v>
      </c>
    </row>
    <row r="2304">
      <c r="A2304" t="n">
        <v>2303</v>
      </c>
      <c r="B2304" t="n">
        <v>65.3</v>
      </c>
      <c r="C2304" s="21">
        <f>B2304-20</f>
        <v/>
      </c>
      <c r="D2304" t="n">
        <v>127.6</v>
      </c>
      <c r="E2304" s="22">
        <f>D2304-90</f>
        <v/>
      </c>
      <c r="F2304" s="23" t="n">
        <v>0.013491</v>
      </c>
      <c r="G2304" s="22" t="n">
        <v>25.4</v>
      </c>
      <c r="H2304" s="22" t="n">
        <v>1.1</v>
      </c>
      <c r="I2304" s="24" t="n">
        <v>0.0598340407013893</v>
      </c>
      <c r="J2304" s="6" t="n">
        <v>71000</v>
      </c>
      <c r="K2304" s="25">
        <f>23*10^-6</f>
        <v/>
      </c>
      <c r="L2304" s="8">
        <f>H2304</f>
        <v/>
      </c>
      <c r="M2304" s="26">
        <f>H2304^2/6</f>
        <v/>
      </c>
      <c r="N2304" s="26">
        <f>H2304^3/12</f>
        <v/>
      </c>
      <c r="O2304" s="27">
        <f>-J2304*L2304*K2304*C2304</f>
        <v/>
      </c>
      <c r="P2304" s="28">
        <f>-(12*F2304*J2304*L2304*N2304+12*O2304*N2304*G2304*COS(RADIANS(E2304)))/(12*N2304*G2304*COS(RADIANS(E2304))^2+L2304*G2304^3*SIN(RADIANS(E2304))^2)</f>
        <v/>
      </c>
      <c r="Q2304" s="28">
        <f>-(6*F2304*J2304*L2304*N2304*SIN(RADIANS(E2304))+6*O2304*N2304*G2304*SIN(RADIANS(E2304))*COS(RADIANS(E2304)))/(12*N2304*COS(RADIANS(E2304))^2+L2304*G2304^2*SIN(RADIANS(E2304))^2)</f>
        <v/>
      </c>
      <c r="R2304" s="28">
        <f>-P2304*SIN(RADIANS(E2304))</f>
        <v/>
      </c>
      <c r="S2304" s="8">
        <f>(O2304+P2304*COS(RADIANS(E2304)))/L2304</f>
        <v/>
      </c>
      <c r="T2304" s="8">
        <f>R2304/L2304</f>
        <v/>
      </c>
      <c r="U2304" s="8">
        <f>(Q2304-P2304*G2304*SIN(RADIANS(E2304)))/M2304</f>
        <v/>
      </c>
      <c r="V2304" s="8">
        <f>SQRT((S2304+U2304)^2+3*T2304^2)</f>
        <v/>
      </c>
      <c r="W2304" s="8">
        <f>V2304/AA2304</f>
        <v/>
      </c>
      <c r="X2304" s="27">
        <f>((3*10+H2304/COS(RADIANS(E2304)))*(3+3)+3*G2304*H2304)*2</f>
        <v/>
      </c>
      <c r="Y2304" s="28">
        <f>Z2304/X2304</f>
        <v/>
      </c>
      <c r="Z2304" s="29" t="n">
        <v>554.026155285723</v>
      </c>
      <c r="AA2304" s="20" t="n">
        <v>60.6231713658279</v>
      </c>
      <c r="AB2304" t="n">
        <v>0.06066746778321067</v>
      </c>
      <c r="AC2304" t="n">
        <v>64.42356683734819</v>
      </c>
      <c r="AD2304" t="n">
        <v>1.392897875610155</v>
      </c>
    </row>
    <row r="2305">
      <c r="A2305" t="n">
        <v>2304</v>
      </c>
      <c r="B2305" t="n">
        <v>84.8</v>
      </c>
      <c r="C2305" s="21">
        <f>B2305-20</f>
        <v/>
      </c>
      <c r="D2305" t="n">
        <v>125.6</v>
      </c>
      <c r="E2305" s="22">
        <f>D2305-90</f>
        <v/>
      </c>
      <c r="F2305" s="23" t="n">
        <v>0.019389</v>
      </c>
      <c r="G2305" s="22" t="n">
        <v>24.9</v>
      </c>
      <c r="H2305" s="22" t="n">
        <v>1.2</v>
      </c>
      <c r="I2305" s="24" t="n">
        <v>0.0874414816498756</v>
      </c>
      <c r="J2305" s="6" t="n">
        <v>71000</v>
      </c>
      <c r="K2305" s="25">
        <f>23*10^-6</f>
        <v/>
      </c>
      <c r="L2305" s="8">
        <f>H2305</f>
        <v/>
      </c>
      <c r="M2305" s="26">
        <f>H2305^2/6</f>
        <v/>
      </c>
      <c r="N2305" s="26">
        <f>H2305^3/12</f>
        <v/>
      </c>
      <c r="O2305" s="27">
        <f>-J2305*L2305*K2305*C2305</f>
        <v/>
      </c>
      <c r="P2305" s="28">
        <f>-(12*F2305*J2305*L2305*N2305+12*O2305*N2305*G2305*COS(RADIANS(E2305)))/(12*N2305*G2305*COS(RADIANS(E2305))^2+L2305*G2305^3*SIN(RADIANS(E2305))^2)</f>
        <v/>
      </c>
      <c r="Q2305" s="28">
        <f>-(6*F2305*J2305*L2305*N2305*SIN(RADIANS(E2305))+6*O2305*N2305*G2305*SIN(RADIANS(E2305))*COS(RADIANS(E2305)))/(12*N2305*COS(RADIANS(E2305))^2+L2305*G2305^2*SIN(RADIANS(E2305))^2)</f>
        <v/>
      </c>
      <c r="R2305" s="28">
        <f>-P2305*SIN(RADIANS(E2305))</f>
        <v/>
      </c>
      <c r="S2305" s="8">
        <f>(O2305+P2305*COS(RADIANS(E2305)))/L2305</f>
        <v/>
      </c>
      <c r="T2305" s="8">
        <f>R2305/L2305</f>
        <v/>
      </c>
      <c r="U2305" s="8">
        <f>(Q2305-P2305*G2305*SIN(RADIANS(E2305)))/M2305</f>
        <v/>
      </c>
      <c r="V2305" s="8">
        <f>SQRT((S2305+U2305)^2+3*T2305^2)</f>
        <v/>
      </c>
      <c r="W2305" s="8">
        <f>V2305/AA2305</f>
        <v/>
      </c>
      <c r="X2305" s="27">
        <f>((3*10+H2305/COS(RADIANS(E2305)))*(3+3)+3*G2305*H2305)*2</f>
        <v/>
      </c>
      <c r="Y2305" s="28">
        <f>Z2305/X2305</f>
        <v/>
      </c>
      <c r="Z2305" s="29" t="n">
        <v>565.940248569408</v>
      </c>
      <c r="AA2305" s="20" t="n">
        <v>90.5337176084505</v>
      </c>
      <c r="AB2305" t="n">
        <v>0.09036042650599391</v>
      </c>
      <c r="AC2305" t="n">
        <v>93.14847210703128</v>
      </c>
      <c r="AD2305" t="n">
        <v>3.338169483227713</v>
      </c>
    </row>
    <row r="2306">
      <c r="A2306" t="n">
        <v>2305</v>
      </c>
      <c r="B2306" t="n">
        <v>87.40000000000001</v>
      </c>
      <c r="C2306" s="21">
        <f>B2306-20</f>
        <v/>
      </c>
      <c r="D2306" t="n">
        <v>123</v>
      </c>
      <c r="E2306" s="22">
        <f>D2306-90</f>
        <v/>
      </c>
      <c r="F2306" s="23" t="n">
        <v>0.019625</v>
      </c>
      <c r="G2306" s="22" t="n">
        <v>23.3</v>
      </c>
      <c r="H2306" s="22" t="n">
        <v>1.8</v>
      </c>
      <c r="I2306" s="24" t="n">
        <v>0.0916317254304885</v>
      </c>
      <c r="J2306" s="6" t="n">
        <v>71000</v>
      </c>
      <c r="K2306" s="25">
        <f>23*10^-6</f>
        <v/>
      </c>
      <c r="L2306" s="8">
        <f>H2306</f>
        <v/>
      </c>
      <c r="M2306" s="26">
        <f>H2306^2/6</f>
        <v/>
      </c>
      <c r="N2306" s="26">
        <f>H2306^3/12</f>
        <v/>
      </c>
      <c r="O2306" s="27">
        <f>-J2306*L2306*K2306*C2306</f>
        <v/>
      </c>
      <c r="P2306" s="28">
        <f>-(12*F2306*J2306*L2306*N2306+12*O2306*N2306*G2306*COS(RADIANS(E2306)))/(12*N2306*G2306*COS(RADIANS(E2306))^2+L2306*G2306^3*SIN(RADIANS(E2306))^2)</f>
        <v/>
      </c>
      <c r="Q2306" s="28">
        <f>-(6*F2306*J2306*L2306*N2306*SIN(RADIANS(E2306))+6*O2306*N2306*G2306*SIN(RADIANS(E2306))*COS(RADIANS(E2306)))/(12*N2306*COS(RADIANS(E2306))^2+L2306*G2306^2*SIN(RADIANS(E2306))^2)</f>
        <v/>
      </c>
      <c r="R2306" s="28">
        <f>-P2306*SIN(RADIANS(E2306))</f>
        <v/>
      </c>
      <c r="S2306" s="8">
        <f>(O2306+P2306*COS(RADIANS(E2306)))/L2306</f>
        <v/>
      </c>
      <c r="T2306" s="8">
        <f>R2306/L2306</f>
        <v/>
      </c>
      <c r="U2306" s="8">
        <f>(Q2306-P2306*G2306*SIN(RADIANS(E2306)))/M2306</f>
        <v/>
      </c>
      <c r="V2306" s="8">
        <f>SQRT((S2306+U2306)^2+3*T2306^2)</f>
        <v/>
      </c>
      <c r="W2306" s="8">
        <f>V2306/AA2306</f>
        <v/>
      </c>
      <c r="X2306" s="27">
        <f>((3*10+H2306/COS(RADIANS(E2306)))*(3+3)+3*G2306*H2306)*2</f>
        <v/>
      </c>
      <c r="Y2306" s="28">
        <f>Z2306/X2306</f>
        <v/>
      </c>
      <c r="Z2306" s="29" t="n">
        <v>645.44539553896</v>
      </c>
      <c r="AA2306" s="20" t="n">
        <v>108.564193437932</v>
      </c>
      <c r="AB2306" t="n">
        <v>0.09501300456581989</v>
      </c>
      <c r="AC2306" t="n">
        <v>101.3011609829597</v>
      </c>
      <c r="AD2306" t="n">
        <v>3.69007471969565</v>
      </c>
    </row>
    <row r="2307">
      <c r="A2307" t="n">
        <v>2306</v>
      </c>
      <c r="B2307" t="n">
        <v>55.6</v>
      </c>
      <c r="C2307" s="21">
        <f>B2307-20</f>
        <v/>
      </c>
      <c r="D2307" t="n">
        <v>119.9</v>
      </c>
      <c r="E2307" s="22">
        <f>D2307-90</f>
        <v/>
      </c>
      <c r="F2307" s="23" t="n">
        <v>0.009542</v>
      </c>
      <c r="G2307" s="22" t="n">
        <v>20.2</v>
      </c>
      <c r="H2307" s="22" t="n">
        <v>1.9</v>
      </c>
      <c r="I2307" s="24" t="n">
        <v>0.0471691899001598</v>
      </c>
      <c r="J2307" s="6" t="n">
        <v>71000</v>
      </c>
      <c r="K2307" s="25">
        <f>23*10^-6</f>
        <v/>
      </c>
      <c r="L2307" s="8">
        <f>H2307</f>
        <v/>
      </c>
      <c r="M2307" s="26">
        <f>H2307^2/6</f>
        <v/>
      </c>
      <c r="N2307" s="26">
        <f>H2307^3/12</f>
        <v/>
      </c>
      <c r="O2307" s="27">
        <f>-J2307*L2307*K2307*C2307</f>
        <v/>
      </c>
      <c r="P2307" s="28">
        <f>-(12*F2307*J2307*L2307*N2307+12*O2307*N2307*G2307*COS(RADIANS(E2307)))/(12*N2307*G2307*COS(RADIANS(E2307))^2+L2307*G2307^3*SIN(RADIANS(E2307))^2)</f>
        <v/>
      </c>
      <c r="Q2307" s="28">
        <f>-(6*F2307*J2307*L2307*N2307*SIN(RADIANS(E2307))+6*O2307*N2307*G2307*SIN(RADIANS(E2307))*COS(RADIANS(E2307)))/(12*N2307*COS(RADIANS(E2307))^2+L2307*G2307^2*SIN(RADIANS(E2307))^2)</f>
        <v/>
      </c>
      <c r="R2307" s="28">
        <f>-P2307*SIN(RADIANS(E2307))</f>
        <v/>
      </c>
      <c r="S2307" s="8">
        <f>(O2307+P2307*COS(RADIANS(E2307)))/L2307</f>
        <v/>
      </c>
      <c r="T2307" s="8">
        <f>R2307/L2307</f>
        <v/>
      </c>
      <c r="U2307" s="8">
        <f>(Q2307-P2307*G2307*SIN(RADIANS(E2307)))/M2307</f>
        <v/>
      </c>
      <c r="V2307" s="8">
        <f>SQRT((S2307+U2307)^2+3*T2307^2)</f>
        <v/>
      </c>
      <c r="W2307" s="8">
        <f>V2307/AA2307</f>
        <v/>
      </c>
      <c r="X2307" s="27">
        <f>((3*10+H2307/COS(RADIANS(E2307)))*(3+3)+3*G2307*H2307)*2</f>
        <v/>
      </c>
      <c r="Y2307" s="28">
        <f>Z2307/X2307</f>
        <v/>
      </c>
      <c r="Z2307" s="29" t="n">
        <v>623.699297295298</v>
      </c>
      <c r="AA2307" s="20" t="n">
        <v>61.0150992766542</v>
      </c>
      <c r="AB2307" t="n">
        <v>0.04833357927642713</v>
      </c>
      <c r="AC2307" t="n">
        <v>55.04445927713466</v>
      </c>
      <c r="AD2307" t="n">
        <v>2.468537998494182</v>
      </c>
    </row>
    <row r="2308">
      <c r="A2308" t="n">
        <v>2307</v>
      </c>
      <c r="B2308" t="n">
        <v>40.7</v>
      </c>
      <c r="C2308" s="21">
        <f>B2308-20</f>
        <v/>
      </c>
      <c r="D2308" t="n">
        <v>116.2</v>
      </c>
      <c r="E2308" s="22">
        <f>D2308-90</f>
        <v/>
      </c>
      <c r="F2308" s="23" t="n">
        <v>0.00709</v>
      </c>
      <c r="G2308" s="22" t="n">
        <v>26.8</v>
      </c>
      <c r="H2308" s="22" t="n">
        <v>1.8</v>
      </c>
      <c r="I2308" s="24" t="n">
        <v>0.0357411056756973</v>
      </c>
      <c r="J2308" s="6" t="n">
        <v>71000</v>
      </c>
      <c r="K2308" s="25">
        <f>23*10^-6</f>
        <v/>
      </c>
      <c r="L2308" s="8">
        <f>H2308</f>
        <v/>
      </c>
      <c r="M2308" s="26">
        <f>H2308^2/6</f>
        <v/>
      </c>
      <c r="N2308" s="26">
        <f>H2308^3/12</f>
        <v/>
      </c>
      <c r="O2308" s="27">
        <f>-J2308*L2308*K2308*C2308</f>
        <v/>
      </c>
      <c r="P2308" s="28">
        <f>-(12*F2308*J2308*L2308*N2308+12*O2308*N2308*G2308*COS(RADIANS(E2308)))/(12*N2308*G2308*COS(RADIANS(E2308))^2+L2308*G2308^3*SIN(RADIANS(E2308))^2)</f>
        <v/>
      </c>
      <c r="Q2308" s="28">
        <f>-(6*F2308*J2308*L2308*N2308*SIN(RADIANS(E2308))+6*O2308*N2308*G2308*SIN(RADIANS(E2308))*COS(RADIANS(E2308)))/(12*N2308*COS(RADIANS(E2308))^2+L2308*G2308^2*SIN(RADIANS(E2308))^2)</f>
        <v/>
      </c>
      <c r="R2308" s="28">
        <f>-P2308*SIN(RADIANS(E2308))</f>
        <v/>
      </c>
      <c r="S2308" s="8">
        <f>(O2308+P2308*COS(RADIANS(E2308)))/L2308</f>
        <v/>
      </c>
      <c r="T2308" s="8">
        <f>R2308/L2308</f>
        <v/>
      </c>
      <c r="U2308" s="8">
        <f>(Q2308-P2308*G2308*SIN(RADIANS(E2308)))/M2308</f>
        <v/>
      </c>
      <c r="V2308" s="8">
        <f>SQRT((S2308+U2308)^2+3*T2308^2)</f>
        <v/>
      </c>
      <c r="W2308" s="8">
        <f>V2308/AA2308</f>
        <v/>
      </c>
      <c r="X2308" s="27">
        <f>((3*10+H2308/COS(RADIANS(E2308)))*(3+3)+3*G2308*H2308)*2</f>
        <v/>
      </c>
      <c r="Y2308" s="28">
        <f>Z2308/X2308</f>
        <v/>
      </c>
      <c r="Z2308" s="29" t="n">
        <v>679.695111292297</v>
      </c>
      <c r="AA2308" s="20" t="n">
        <v>33.5157263875918</v>
      </c>
      <c r="AB2308" t="n">
        <v>0.04245350808267312</v>
      </c>
      <c r="AC2308" t="n">
        <v>31.86408187902685</v>
      </c>
      <c r="AD2308" t="n">
        <v>18.78062326297874</v>
      </c>
    </row>
    <row r="2309">
      <c r="A2309" t="n">
        <v>2308</v>
      </c>
      <c r="B2309" t="n">
        <v>50.5</v>
      </c>
      <c r="C2309" s="21">
        <f>B2309-20</f>
        <v/>
      </c>
      <c r="D2309" t="n">
        <v>121.5</v>
      </c>
      <c r="E2309" s="22">
        <f>D2309-90</f>
        <v/>
      </c>
      <c r="F2309" s="23" t="n">
        <v>0.008727</v>
      </c>
      <c r="G2309" s="22" t="n">
        <v>22.4</v>
      </c>
      <c r="H2309" s="22" t="n">
        <v>1.5</v>
      </c>
      <c r="I2309" s="24" t="n">
        <v>0.0416818968951702</v>
      </c>
      <c r="J2309" s="6" t="n">
        <v>71000</v>
      </c>
      <c r="K2309" s="25">
        <f>23*10^-6</f>
        <v/>
      </c>
      <c r="L2309" s="8">
        <f>H2309</f>
        <v/>
      </c>
      <c r="M2309" s="26">
        <f>H2309^2/6</f>
        <v/>
      </c>
      <c r="N2309" s="26">
        <f>H2309^3/12</f>
        <v/>
      </c>
      <c r="O2309" s="27">
        <f>-J2309*L2309*K2309*C2309</f>
        <v/>
      </c>
      <c r="P2309" s="28">
        <f>-(12*F2309*J2309*L2309*N2309+12*O2309*N2309*G2309*COS(RADIANS(E2309)))/(12*N2309*G2309*COS(RADIANS(E2309))^2+L2309*G2309^3*SIN(RADIANS(E2309))^2)</f>
        <v/>
      </c>
      <c r="Q2309" s="28">
        <f>-(6*F2309*J2309*L2309*N2309*SIN(RADIANS(E2309))+6*O2309*N2309*G2309*SIN(RADIANS(E2309))*COS(RADIANS(E2309)))/(12*N2309*COS(RADIANS(E2309))^2+L2309*G2309^2*SIN(RADIANS(E2309))^2)</f>
        <v/>
      </c>
      <c r="R2309" s="28">
        <f>-P2309*SIN(RADIANS(E2309))</f>
        <v/>
      </c>
      <c r="S2309" s="8">
        <f>(O2309+P2309*COS(RADIANS(E2309)))/L2309</f>
        <v/>
      </c>
      <c r="T2309" s="8">
        <f>R2309/L2309</f>
        <v/>
      </c>
      <c r="U2309" s="8">
        <f>(Q2309-P2309*G2309*SIN(RADIANS(E2309)))/M2309</f>
        <v/>
      </c>
      <c r="V2309" s="8">
        <f>SQRT((S2309+U2309)^2+3*T2309^2)</f>
        <v/>
      </c>
      <c r="W2309" s="8">
        <f>V2309/AA2309</f>
        <v/>
      </c>
      <c r="X2309" s="27">
        <f>((3*10+H2309/COS(RADIANS(E2309)))*(3+3)+3*G2309*H2309)*2</f>
        <v/>
      </c>
      <c r="Y2309" s="28">
        <f>Z2309/X2309</f>
        <v/>
      </c>
      <c r="Z2309" s="29" t="n">
        <v>590.292392643429</v>
      </c>
      <c r="AA2309" s="20" t="n">
        <v>46.9520656006808</v>
      </c>
      <c r="AB2309" t="n">
        <v>0.04372904297940798</v>
      </c>
      <c r="AC2309" t="n">
        <v>45.42379719668109</v>
      </c>
      <c r="AD2309" t="n">
        <v>4.911355376619129</v>
      </c>
    </row>
    <row r="2310">
      <c r="A2310" t="n">
        <v>2309</v>
      </c>
      <c r="B2310" t="n">
        <v>55.5</v>
      </c>
      <c r="C2310" s="21">
        <f>B2310-20</f>
        <v/>
      </c>
      <c r="D2310" t="n">
        <v>101</v>
      </c>
      <c r="E2310" s="22">
        <f>D2310-90</f>
        <v/>
      </c>
      <c r="F2310" s="23" t="n">
        <v>0.0124</v>
      </c>
      <c r="G2310" s="22" t="n">
        <v>25.1</v>
      </c>
      <c r="H2310" s="22" t="n">
        <v>1.1</v>
      </c>
      <c r="I2310" s="24" t="n">
        <v>0.11343964934349</v>
      </c>
      <c r="J2310" s="6" t="n">
        <v>71000</v>
      </c>
      <c r="K2310" s="25">
        <f>23*10^-6</f>
        <v/>
      </c>
      <c r="L2310" s="8">
        <f>H2310</f>
        <v/>
      </c>
      <c r="M2310" s="26">
        <f>H2310^2/6</f>
        <v/>
      </c>
      <c r="N2310" s="26">
        <f>H2310^3/12</f>
        <v/>
      </c>
      <c r="O2310" s="27">
        <f>-J2310*L2310*K2310*C2310</f>
        <v/>
      </c>
      <c r="P2310" s="28">
        <f>-(12*F2310*J2310*L2310*N2310+12*O2310*N2310*G2310*COS(RADIANS(E2310)))/(12*N2310*G2310*COS(RADIANS(E2310))^2+L2310*G2310^3*SIN(RADIANS(E2310))^2)</f>
        <v/>
      </c>
      <c r="Q2310" s="28">
        <f>-(6*F2310*J2310*L2310*N2310*SIN(RADIANS(E2310))+6*O2310*N2310*G2310*SIN(RADIANS(E2310))*COS(RADIANS(E2310)))/(12*N2310*COS(RADIANS(E2310))^2+L2310*G2310^2*SIN(RADIANS(E2310))^2)</f>
        <v/>
      </c>
      <c r="R2310" s="28">
        <f>-P2310*SIN(RADIANS(E2310))</f>
        <v/>
      </c>
      <c r="S2310" s="8">
        <f>(O2310+P2310*COS(RADIANS(E2310)))/L2310</f>
        <v/>
      </c>
      <c r="T2310" s="8">
        <f>R2310/L2310</f>
        <v/>
      </c>
      <c r="U2310" s="8">
        <f>(Q2310-P2310*G2310*SIN(RADIANS(E2310)))/M2310</f>
        <v/>
      </c>
      <c r="V2310" s="8">
        <f>SQRT((S2310+U2310)^2+3*T2310^2)</f>
        <v/>
      </c>
      <c r="W2310" s="8">
        <f>V2310/AA2310</f>
        <v/>
      </c>
      <c r="X2310" s="27">
        <f>((3*10+H2310/COS(RADIANS(E2310)))*(3+3)+3*G2310*H2310)*2</f>
        <v/>
      </c>
      <c r="Y2310" s="28">
        <f>Z2310/X2310</f>
        <v/>
      </c>
      <c r="Z2310" s="29" t="n">
        <v>542.9898904379741</v>
      </c>
      <c r="AA2310" s="20" t="n">
        <v>53.1570239176059</v>
      </c>
      <c r="AB2310" t="n">
        <v>0.1627988884119626</v>
      </c>
      <c r="AC2310" t="n">
        <v>58.57086344349005</v>
      </c>
      <c r="AD2310" t="n">
        <v>43.51145243671824</v>
      </c>
    </row>
    <row r="2311">
      <c r="A2311" t="n">
        <v>2310</v>
      </c>
      <c r="B2311" t="n">
        <v>70.5</v>
      </c>
      <c r="C2311" s="21">
        <f>B2311-20</f>
        <v/>
      </c>
      <c r="D2311" t="n">
        <v>112.1</v>
      </c>
      <c r="E2311" s="22">
        <f>D2311-90</f>
        <v/>
      </c>
      <c r="F2311" s="23" t="n">
        <v>0.019243</v>
      </c>
      <c r="G2311" s="22" t="n">
        <v>29.6</v>
      </c>
      <c r="H2311" s="22" t="n">
        <v>1.6</v>
      </c>
      <c r="I2311" s="24" t="n">
        <v>0.105330377817153</v>
      </c>
      <c r="J2311" s="6" t="n">
        <v>71000</v>
      </c>
      <c r="K2311" s="25">
        <f>23*10^-6</f>
        <v/>
      </c>
      <c r="L2311" s="8">
        <f>H2311</f>
        <v/>
      </c>
      <c r="M2311" s="26">
        <f>H2311^2/6</f>
        <v/>
      </c>
      <c r="N2311" s="26">
        <f>H2311^3/12</f>
        <v/>
      </c>
      <c r="O2311" s="27">
        <f>-J2311*L2311*K2311*C2311</f>
        <v/>
      </c>
      <c r="P2311" s="28">
        <f>-(12*F2311*J2311*L2311*N2311+12*O2311*N2311*G2311*COS(RADIANS(E2311)))/(12*N2311*G2311*COS(RADIANS(E2311))^2+L2311*G2311^3*SIN(RADIANS(E2311))^2)</f>
        <v/>
      </c>
      <c r="Q2311" s="28">
        <f>-(6*F2311*J2311*L2311*N2311*SIN(RADIANS(E2311))+6*O2311*N2311*G2311*SIN(RADIANS(E2311))*COS(RADIANS(E2311)))/(12*N2311*COS(RADIANS(E2311))^2+L2311*G2311^2*SIN(RADIANS(E2311))^2)</f>
        <v/>
      </c>
      <c r="R2311" s="28">
        <f>-P2311*SIN(RADIANS(E2311))</f>
        <v/>
      </c>
      <c r="S2311" s="8">
        <f>(O2311+P2311*COS(RADIANS(E2311)))/L2311</f>
        <v/>
      </c>
      <c r="T2311" s="8">
        <f>R2311/L2311</f>
        <v/>
      </c>
      <c r="U2311" s="8">
        <f>(Q2311-P2311*G2311*SIN(RADIANS(E2311)))/M2311</f>
        <v/>
      </c>
      <c r="V2311" s="8">
        <f>SQRT((S2311+U2311)^2+3*T2311^2)</f>
        <v/>
      </c>
      <c r="W2311" s="8">
        <f>V2311/AA2311</f>
        <v/>
      </c>
      <c r="X2311" s="27">
        <f>((3*10+H2311/COS(RADIANS(E2311)))*(3+3)+3*G2311*H2311)*2</f>
        <v/>
      </c>
      <c r="Y2311" s="28">
        <f>Z2311/X2311</f>
        <v/>
      </c>
      <c r="Z2311" s="29" t="n">
        <v>670.21927975475</v>
      </c>
      <c r="AA2311" s="20" t="n">
        <v>78.0822589021432</v>
      </c>
      <c r="AB2311" t="n">
        <v>0.136219938090575</v>
      </c>
      <c r="AC2311" t="n">
        <v>77.89819066376812</v>
      </c>
      <c r="AD2311" t="n">
        <v>29.32635476447672</v>
      </c>
    </row>
    <row r="2312">
      <c r="A2312" t="n">
        <v>2311</v>
      </c>
      <c r="B2312" t="n">
        <v>61.8</v>
      </c>
      <c r="C2312" s="21">
        <f>B2312-20</f>
        <v/>
      </c>
      <c r="D2312" t="n">
        <v>100.1</v>
      </c>
      <c r="E2312" s="22">
        <f>D2312-90</f>
        <v/>
      </c>
      <c r="F2312" s="23" t="n">
        <v>0.019091</v>
      </c>
      <c r="G2312" s="22" t="n">
        <v>34.6</v>
      </c>
      <c r="H2312" s="22" t="n">
        <v>1.9</v>
      </c>
      <c r="I2312" s="24" t="n">
        <v>0.175806656479835</v>
      </c>
      <c r="J2312" s="6" t="n">
        <v>71000</v>
      </c>
      <c r="K2312" s="25">
        <f>23*10^-6</f>
        <v/>
      </c>
      <c r="L2312" s="8">
        <f>H2312</f>
        <v/>
      </c>
      <c r="M2312" s="26">
        <f>H2312^2/6</f>
        <v/>
      </c>
      <c r="N2312" s="26">
        <f>H2312^3/12</f>
        <v/>
      </c>
      <c r="O2312" s="27">
        <f>-J2312*L2312*K2312*C2312</f>
        <v/>
      </c>
      <c r="P2312" s="28">
        <f>-(12*F2312*J2312*L2312*N2312+12*O2312*N2312*G2312*COS(RADIANS(E2312)))/(12*N2312*G2312*COS(RADIANS(E2312))^2+L2312*G2312^3*SIN(RADIANS(E2312))^2)</f>
        <v/>
      </c>
      <c r="Q2312" s="28">
        <f>-(6*F2312*J2312*L2312*N2312*SIN(RADIANS(E2312))+6*O2312*N2312*G2312*SIN(RADIANS(E2312))*COS(RADIANS(E2312)))/(12*N2312*COS(RADIANS(E2312))^2+L2312*G2312^2*SIN(RADIANS(E2312))^2)</f>
        <v/>
      </c>
      <c r="R2312" s="28">
        <f>-P2312*SIN(RADIANS(E2312))</f>
        <v/>
      </c>
      <c r="S2312" s="8">
        <f>(O2312+P2312*COS(RADIANS(E2312)))/L2312</f>
        <v/>
      </c>
      <c r="T2312" s="8">
        <f>R2312/L2312</f>
        <v/>
      </c>
      <c r="U2312" s="8">
        <f>(Q2312-P2312*G2312*SIN(RADIANS(E2312)))/M2312</f>
        <v/>
      </c>
      <c r="V2312" s="8">
        <f>SQRT((S2312+U2312)^2+3*T2312^2)</f>
        <v/>
      </c>
      <c r="W2312" s="8">
        <f>V2312/AA2312</f>
        <v/>
      </c>
      <c r="X2312" s="27">
        <f>((3*10+H2312/COS(RADIANS(E2312)))*(3+3)+3*G2312*H2312)*2</f>
        <v/>
      </c>
      <c r="Y2312" s="28">
        <f>Z2312/X2312</f>
        <v/>
      </c>
      <c r="Z2312" s="29" t="n">
        <v>781.41029656148</v>
      </c>
      <c r="AA2312" s="20" t="n">
        <v>74.391115681893</v>
      </c>
      <c r="AB2312" t="n">
        <v>0.2708028314442499</v>
      </c>
      <c r="AC2312" t="n">
        <v>73.88785714215126</v>
      </c>
      <c r="AD2312" t="n">
        <v>54.03445857313768</v>
      </c>
    </row>
    <row r="2313">
      <c r="A2313" t="n">
        <v>2312</v>
      </c>
      <c r="B2313" t="n">
        <v>71.8</v>
      </c>
      <c r="C2313" s="21">
        <f>B2313-20</f>
        <v/>
      </c>
      <c r="D2313" t="n">
        <v>126.6</v>
      </c>
      <c r="E2313" s="22">
        <f>D2313-90</f>
        <v/>
      </c>
      <c r="F2313" s="23" t="n">
        <v>0.013688</v>
      </c>
      <c r="G2313" s="22" t="n">
        <v>21.4</v>
      </c>
      <c r="H2313" s="22" t="n">
        <v>2</v>
      </c>
      <c r="I2313" s="24" t="n">
        <v>0.0628823041915893</v>
      </c>
      <c r="J2313" s="6" t="n">
        <v>71000</v>
      </c>
      <c r="K2313" s="25">
        <f>23*10^-6</f>
        <v/>
      </c>
      <c r="L2313" s="8">
        <f>H2313</f>
        <v/>
      </c>
      <c r="M2313" s="26">
        <f>H2313^2/6</f>
        <v/>
      </c>
      <c r="N2313" s="26">
        <f>H2313^3/12</f>
        <v/>
      </c>
      <c r="O2313" s="27">
        <f>-J2313*L2313*K2313*C2313</f>
        <v/>
      </c>
      <c r="P2313" s="28">
        <f>-(12*F2313*J2313*L2313*N2313+12*O2313*N2313*G2313*COS(RADIANS(E2313)))/(12*N2313*G2313*COS(RADIANS(E2313))^2+L2313*G2313^3*SIN(RADIANS(E2313))^2)</f>
        <v/>
      </c>
      <c r="Q2313" s="28">
        <f>-(6*F2313*J2313*L2313*N2313*SIN(RADIANS(E2313))+6*O2313*N2313*G2313*SIN(RADIANS(E2313))*COS(RADIANS(E2313)))/(12*N2313*COS(RADIANS(E2313))^2+L2313*G2313^2*SIN(RADIANS(E2313))^2)</f>
        <v/>
      </c>
      <c r="R2313" s="28">
        <f>-P2313*SIN(RADIANS(E2313))</f>
        <v/>
      </c>
      <c r="S2313" s="8">
        <f>(O2313+P2313*COS(RADIANS(E2313)))/L2313</f>
        <v/>
      </c>
      <c r="T2313" s="8">
        <f>R2313/L2313</f>
        <v/>
      </c>
      <c r="U2313" s="8">
        <f>(Q2313-P2313*G2313*SIN(RADIANS(E2313)))/M2313</f>
        <v/>
      </c>
      <c r="V2313" s="8">
        <f>SQRT((S2313+U2313)^2+3*T2313^2)</f>
        <v/>
      </c>
      <c r="W2313" s="8">
        <f>V2313/AA2313</f>
        <v/>
      </c>
      <c r="X2313" s="27">
        <f>((3*10+H2313/COS(RADIANS(E2313)))*(3+3)+3*G2313*H2313)*2</f>
        <v/>
      </c>
      <c r="Y2313" s="28">
        <f>Z2313/X2313</f>
        <v/>
      </c>
      <c r="Z2313" s="29" t="n">
        <v>656.023060337643</v>
      </c>
      <c r="AA2313" s="20" t="n">
        <v>87.8719481938053</v>
      </c>
      <c r="AB2313" t="n">
        <v>0.06008136757517617</v>
      </c>
      <c r="AC2313" t="n">
        <v>77.78057614652523</v>
      </c>
      <c r="AD2313" t="n">
        <v>-4.45425251574634</v>
      </c>
    </row>
    <row r="2314">
      <c r="A2314" t="n">
        <v>2313</v>
      </c>
      <c r="B2314" t="n">
        <v>69.09999999999999</v>
      </c>
      <c r="C2314" s="21">
        <f>B2314-20</f>
        <v/>
      </c>
      <c r="D2314" t="n">
        <v>122.6</v>
      </c>
      <c r="E2314" s="22">
        <f>D2314-90</f>
        <v/>
      </c>
      <c r="F2314" s="23" t="n">
        <v>0.014393</v>
      </c>
      <c r="G2314" s="22" t="n">
        <v>23.4</v>
      </c>
      <c r="H2314" s="22" t="n">
        <v>2</v>
      </c>
      <c r="I2314" s="24" t="n">
        <v>0.0674229860305786</v>
      </c>
      <c r="J2314" s="6" t="n">
        <v>71000</v>
      </c>
      <c r="K2314" s="25">
        <f>23*10^-6</f>
        <v/>
      </c>
      <c r="L2314" s="8">
        <f>H2314</f>
        <v/>
      </c>
      <c r="M2314" s="26">
        <f>H2314^2/6</f>
        <v/>
      </c>
      <c r="N2314" s="26">
        <f>H2314^3/12</f>
        <v/>
      </c>
      <c r="O2314" s="27">
        <f>-J2314*L2314*K2314*C2314</f>
        <v/>
      </c>
      <c r="P2314" s="28">
        <f>-(12*F2314*J2314*L2314*N2314+12*O2314*N2314*G2314*COS(RADIANS(E2314)))/(12*N2314*G2314*COS(RADIANS(E2314))^2+L2314*G2314^3*SIN(RADIANS(E2314))^2)</f>
        <v/>
      </c>
      <c r="Q2314" s="28">
        <f>-(6*F2314*J2314*L2314*N2314*SIN(RADIANS(E2314))+6*O2314*N2314*G2314*SIN(RADIANS(E2314))*COS(RADIANS(E2314)))/(12*N2314*COS(RADIANS(E2314))^2+L2314*G2314^2*SIN(RADIANS(E2314))^2)</f>
        <v/>
      </c>
      <c r="R2314" s="28">
        <f>-P2314*SIN(RADIANS(E2314))</f>
        <v/>
      </c>
      <c r="S2314" s="8">
        <f>(O2314+P2314*COS(RADIANS(E2314)))/L2314</f>
        <v/>
      </c>
      <c r="T2314" s="8">
        <f>R2314/L2314</f>
        <v/>
      </c>
      <c r="U2314" s="8">
        <f>(Q2314-P2314*G2314*SIN(RADIANS(E2314)))/M2314</f>
        <v/>
      </c>
      <c r="V2314" s="8">
        <f>SQRT((S2314+U2314)^2+3*T2314^2)</f>
        <v/>
      </c>
      <c r="W2314" s="8">
        <f>V2314/AA2314</f>
        <v/>
      </c>
      <c r="X2314" s="27">
        <f>((3*10+H2314/COS(RADIANS(E2314)))*(3+3)+3*G2314*H2314)*2</f>
        <v/>
      </c>
      <c r="Y2314" s="28">
        <f>Z2314/X2314</f>
        <v/>
      </c>
      <c r="Z2314" s="29" t="n">
        <v>677.21014244504</v>
      </c>
      <c r="AA2314" s="20" t="n">
        <v>83.0125319293038</v>
      </c>
      <c r="AB2314" t="n">
        <v>0.07013626943926406</v>
      </c>
      <c r="AC2314" t="n">
        <v>74.72205985231005</v>
      </c>
      <c r="AD2314" t="n">
        <v>4.024270606251244</v>
      </c>
    </row>
    <row r="2315">
      <c r="A2315" t="n">
        <v>2314</v>
      </c>
      <c r="B2315" t="n">
        <v>63.8</v>
      </c>
      <c r="C2315" s="21">
        <f>B2315-20</f>
        <v/>
      </c>
      <c r="D2315" t="n">
        <v>106</v>
      </c>
      <c r="E2315" s="22">
        <f>D2315-90</f>
        <v/>
      </c>
      <c r="F2315" s="23" t="n">
        <v>0.015955</v>
      </c>
      <c r="G2315" s="22" t="n">
        <v>27</v>
      </c>
      <c r="H2315" s="22" t="n">
        <v>1</v>
      </c>
      <c r="I2315" s="24" t="n">
        <v>0.110376149415969</v>
      </c>
      <c r="J2315" s="6" t="n">
        <v>71000</v>
      </c>
      <c r="K2315" s="25">
        <f>23*10^-6</f>
        <v/>
      </c>
      <c r="L2315" s="8">
        <f>H2315</f>
        <v/>
      </c>
      <c r="M2315" s="26">
        <f>H2315^2/6</f>
        <v/>
      </c>
      <c r="N2315" s="26">
        <f>H2315^3/12</f>
        <v/>
      </c>
      <c r="O2315" s="27">
        <f>-J2315*L2315*K2315*C2315</f>
        <v/>
      </c>
      <c r="P2315" s="28">
        <f>-(12*F2315*J2315*L2315*N2315+12*O2315*N2315*G2315*COS(RADIANS(E2315)))/(12*N2315*G2315*COS(RADIANS(E2315))^2+L2315*G2315^3*SIN(RADIANS(E2315))^2)</f>
        <v/>
      </c>
      <c r="Q2315" s="28">
        <f>-(6*F2315*J2315*L2315*N2315*SIN(RADIANS(E2315))+6*O2315*N2315*G2315*SIN(RADIANS(E2315))*COS(RADIANS(E2315)))/(12*N2315*COS(RADIANS(E2315))^2+L2315*G2315^2*SIN(RADIANS(E2315))^2)</f>
        <v/>
      </c>
      <c r="R2315" s="28">
        <f>-P2315*SIN(RADIANS(E2315))</f>
        <v/>
      </c>
      <c r="S2315" s="8">
        <f>(O2315+P2315*COS(RADIANS(E2315)))/L2315</f>
        <v/>
      </c>
      <c r="T2315" s="8">
        <f>R2315/L2315</f>
        <v/>
      </c>
      <c r="U2315" s="8">
        <f>(Q2315-P2315*G2315*SIN(RADIANS(E2315)))/M2315</f>
        <v/>
      </c>
      <c r="V2315" s="8">
        <f>SQRT((S2315+U2315)^2+3*T2315^2)</f>
        <v/>
      </c>
      <c r="W2315" s="8">
        <f>V2315/AA2315</f>
        <v/>
      </c>
      <c r="X2315" s="27">
        <f>((3*10+H2315/COS(RADIANS(E2315)))*(3+3)+3*G2315*H2315)*2</f>
        <v/>
      </c>
      <c r="Y2315" s="28">
        <f>Z2315/X2315</f>
        <v/>
      </c>
      <c r="Z2315" s="29" t="n">
        <v>538.884409076659</v>
      </c>
      <c r="AA2315" s="20" t="n">
        <v>62.2505961676779</v>
      </c>
      <c r="AB2315" t="n">
        <v>0.1517149955424995</v>
      </c>
      <c r="AC2315" t="n">
        <v>67.19178529405107</v>
      </c>
      <c r="AD2315" t="n">
        <v>37.45269820089385</v>
      </c>
    </row>
    <row r="2316">
      <c r="A2316" t="n">
        <v>2315</v>
      </c>
      <c r="B2316" t="n">
        <v>61.4</v>
      </c>
      <c r="C2316" s="21">
        <f>B2316-20</f>
        <v/>
      </c>
      <c r="D2316" t="n">
        <v>103.8</v>
      </c>
      <c r="E2316" s="22">
        <f>D2316-90</f>
        <v/>
      </c>
      <c r="F2316" s="23" t="n">
        <v>0.014153</v>
      </c>
      <c r="G2316" s="22" t="n">
        <v>24.7</v>
      </c>
      <c r="H2316" s="22" t="n">
        <v>1.2</v>
      </c>
      <c r="I2316" s="24" t="n">
        <v>0.109133973717689</v>
      </c>
      <c r="J2316" s="6" t="n">
        <v>71000</v>
      </c>
      <c r="K2316" s="25">
        <f>23*10^-6</f>
        <v/>
      </c>
      <c r="L2316" s="8">
        <f>H2316</f>
        <v/>
      </c>
      <c r="M2316" s="26">
        <f>H2316^2/6</f>
        <v/>
      </c>
      <c r="N2316" s="26">
        <f>H2316^3/12</f>
        <v/>
      </c>
      <c r="O2316" s="27">
        <f>-J2316*L2316*K2316*C2316</f>
        <v/>
      </c>
      <c r="P2316" s="28">
        <f>-(12*F2316*J2316*L2316*N2316+12*O2316*N2316*G2316*COS(RADIANS(E2316)))/(12*N2316*G2316*COS(RADIANS(E2316))^2+L2316*G2316^3*SIN(RADIANS(E2316))^2)</f>
        <v/>
      </c>
      <c r="Q2316" s="28">
        <f>-(6*F2316*J2316*L2316*N2316*SIN(RADIANS(E2316))+6*O2316*N2316*G2316*SIN(RADIANS(E2316))*COS(RADIANS(E2316)))/(12*N2316*COS(RADIANS(E2316))^2+L2316*G2316^2*SIN(RADIANS(E2316))^2)</f>
        <v/>
      </c>
      <c r="R2316" s="28">
        <f>-P2316*SIN(RADIANS(E2316))</f>
        <v/>
      </c>
      <c r="S2316" s="8">
        <f>(O2316+P2316*COS(RADIANS(E2316)))/L2316</f>
        <v/>
      </c>
      <c r="T2316" s="8">
        <f>R2316/L2316</f>
        <v/>
      </c>
      <c r="U2316" s="8">
        <f>(Q2316-P2316*G2316*SIN(RADIANS(E2316)))/M2316</f>
        <v/>
      </c>
      <c r="V2316" s="8">
        <f>SQRT((S2316+U2316)^2+3*T2316^2)</f>
        <v/>
      </c>
      <c r="W2316" s="8">
        <f>V2316/AA2316</f>
        <v/>
      </c>
      <c r="X2316" s="27">
        <f>((3*10+H2316/COS(RADIANS(E2316)))*(3+3)+3*G2316*H2316)*2</f>
        <v/>
      </c>
      <c r="Y2316" s="28">
        <f>Z2316/X2316</f>
        <v/>
      </c>
      <c r="Z2316" s="29" t="n">
        <v>556.815020102043</v>
      </c>
      <c r="AA2316" s="20" t="n">
        <v>62.5270557236566</v>
      </c>
      <c r="AB2316" t="n">
        <v>0.1502066290678978</v>
      </c>
      <c r="AC2316" t="n">
        <v>66.88754683286787</v>
      </c>
      <c r="AD2316" t="n">
        <v>37.63507728258545</v>
      </c>
    </row>
    <row r="2317">
      <c r="A2317" t="n">
        <v>2316</v>
      </c>
      <c r="B2317" t="n">
        <v>65.40000000000001</v>
      </c>
      <c r="C2317" s="21">
        <f>B2317-20</f>
        <v/>
      </c>
      <c r="D2317" t="n">
        <v>121.6</v>
      </c>
      <c r="E2317" s="22">
        <f>D2317-90</f>
        <v/>
      </c>
      <c r="F2317" s="23" t="n">
        <v>0.017079</v>
      </c>
      <c r="G2317" s="22" t="n">
        <v>31.7</v>
      </c>
      <c r="H2317" s="22" t="n">
        <v>1.2</v>
      </c>
      <c r="I2317" s="24" t="n">
        <v>0.0772514417767524</v>
      </c>
      <c r="J2317" s="6" t="n">
        <v>71000</v>
      </c>
      <c r="K2317" s="25">
        <f>23*10^-6</f>
        <v/>
      </c>
      <c r="L2317" s="8">
        <f>H2317</f>
        <v/>
      </c>
      <c r="M2317" s="26">
        <f>H2317^2/6</f>
        <v/>
      </c>
      <c r="N2317" s="26">
        <f>H2317^3/12</f>
        <v/>
      </c>
      <c r="O2317" s="27">
        <f>-J2317*L2317*K2317*C2317</f>
        <v/>
      </c>
      <c r="P2317" s="28">
        <f>-(12*F2317*J2317*L2317*N2317+12*O2317*N2317*G2317*COS(RADIANS(E2317)))/(12*N2317*G2317*COS(RADIANS(E2317))^2+L2317*G2317^3*SIN(RADIANS(E2317))^2)</f>
        <v/>
      </c>
      <c r="Q2317" s="28">
        <f>-(6*F2317*J2317*L2317*N2317*SIN(RADIANS(E2317))+6*O2317*N2317*G2317*SIN(RADIANS(E2317))*COS(RADIANS(E2317)))/(12*N2317*COS(RADIANS(E2317))^2+L2317*G2317^2*SIN(RADIANS(E2317))^2)</f>
        <v/>
      </c>
      <c r="R2317" s="28">
        <f>-P2317*SIN(RADIANS(E2317))</f>
        <v/>
      </c>
      <c r="S2317" s="8">
        <f>(O2317+P2317*COS(RADIANS(E2317)))/L2317</f>
        <v/>
      </c>
      <c r="T2317" s="8">
        <f>R2317/L2317</f>
        <v/>
      </c>
      <c r="U2317" s="8">
        <f>(Q2317-P2317*G2317*SIN(RADIANS(E2317)))/M2317</f>
        <v/>
      </c>
      <c r="V2317" s="8">
        <f>SQRT((S2317+U2317)^2+3*T2317^2)</f>
        <v/>
      </c>
      <c r="W2317" s="8">
        <f>V2317/AA2317</f>
        <v/>
      </c>
      <c r="X2317" s="27">
        <f>((3*10+H2317/COS(RADIANS(E2317)))*(3+3)+3*G2317*H2317)*2</f>
        <v/>
      </c>
      <c r="Y2317" s="28">
        <f>Z2317/X2317</f>
        <v/>
      </c>
      <c r="Z2317" s="29" t="n">
        <v>612.758501614833</v>
      </c>
      <c r="AA2317" s="20" t="n">
        <v>63.0335308886691</v>
      </c>
      <c r="AB2317" t="n">
        <v>0.09055126699971747</v>
      </c>
      <c r="AC2317" t="n">
        <v>65.30759494573398</v>
      </c>
      <c r="AD2317" t="n">
        <v>17.21628090955247</v>
      </c>
    </row>
    <row r="2318">
      <c r="A2318" t="n">
        <v>2317</v>
      </c>
      <c r="B2318" t="n">
        <v>79.90000000000001</v>
      </c>
      <c r="C2318" s="21">
        <f>B2318-20</f>
        <v/>
      </c>
      <c r="D2318" t="n">
        <v>124.5</v>
      </c>
      <c r="E2318" s="22">
        <f>D2318-90</f>
        <v/>
      </c>
      <c r="F2318" s="23" t="n">
        <v>0.018616</v>
      </c>
      <c r="G2318" s="22" t="n">
        <v>25.8</v>
      </c>
      <c r="H2318" s="22" t="n">
        <v>1.2</v>
      </c>
      <c r="I2318" s="24" t="n">
        <v>0.0842526257038116</v>
      </c>
      <c r="J2318" s="6" t="n">
        <v>71000</v>
      </c>
      <c r="K2318" s="25">
        <f>23*10^-6</f>
        <v/>
      </c>
      <c r="L2318" s="8">
        <f>H2318</f>
        <v/>
      </c>
      <c r="M2318" s="26">
        <f>H2318^2/6</f>
        <v/>
      </c>
      <c r="N2318" s="26">
        <f>H2318^3/12</f>
        <v/>
      </c>
      <c r="O2318" s="27">
        <f>-J2318*L2318*K2318*C2318</f>
        <v/>
      </c>
      <c r="P2318" s="28">
        <f>-(12*F2318*J2318*L2318*N2318+12*O2318*N2318*G2318*COS(RADIANS(E2318)))/(12*N2318*G2318*COS(RADIANS(E2318))^2+L2318*G2318^3*SIN(RADIANS(E2318))^2)</f>
        <v/>
      </c>
      <c r="Q2318" s="28">
        <f>-(6*F2318*J2318*L2318*N2318*SIN(RADIANS(E2318))+6*O2318*N2318*G2318*SIN(RADIANS(E2318))*COS(RADIANS(E2318)))/(12*N2318*COS(RADIANS(E2318))^2+L2318*G2318^2*SIN(RADIANS(E2318))^2)</f>
        <v/>
      </c>
      <c r="R2318" s="28">
        <f>-P2318*SIN(RADIANS(E2318))</f>
        <v/>
      </c>
      <c r="S2318" s="8">
        <f>(O2318+P2318*COS(RADIANS(E2318)))/L2318</f>
        <v/>
      </c>
      <c r="T2318" s="8">
        <f>R2318/L2318</f>
        <v/>
      </c>
      <c r="U2318" s="8">
        <f>(Q2318-P2318*G2318*SIN(RADIANS(E2318)))/M2318</f>
        <v/>
      </c>
      <c r="V2318" s="8">
        <f>SQRT((S2318+U2318)^2+3*T2318^2)</f>
        <v/>
      </c>
      <c r="W2318" s="8">
        <f>V2318/AA2318</f>
        <v/>
      </c>
      <c r="X2318" s="27">
        <f>((3*10+H2318/COS(RADIANS(E2318)))*(3+3)+3*G2318*H2318)*2</f>
        <v/>
      </c>
      <c r="Y2318" s="28">
        <f>Z2318/X2318</f>
        <v/>
      </c>
      <c r="Z2318" s="29" t="n">
        <v>571.788435533237</v>
      </c>
      <c r="AA2318" s="20" t="n">
        <v>84.352066951685</v>
      </c>
      <c r="AB2318" t="n">
        <v>0.08937388015551592</v>
      </c>
      <c r="AC2318" t="n">
        <v>86.24565338788823</v>
      </c>
      <c r="AD2318" t="n">
        <v>6.078450860045578</v>
      </c>
    </row>
    <row r="2319">
      <c r="A2319" t="n">
        <v>2318</v>
      </c>
      <c r="B2319" t="n">
        <v>48</v>
      </c>
      <c r="C2319" s="21">
        <f>B2319-20</f>
        <v/>
      </c>
      <c r="D2319" t="n">
        <v>109</v>
      </c>
      <c r="E2319" s="22">
        <f>D2319-90</f>
        <v/>
      </c>
      <c r="F2319" s="23" t="n">
        <v>0.008463999999999999</v>
      </c>
      <c r="G2319" s="22" t="n">
        <v>21.7</v>
      </c>
      <c r="H2319" s="22" t="n">
        <v>1.6</v>
      </c>
      <c r="I2319" s="24" t="n">
        <v>0.052532821893692</v>
      </c>
      <c r="J2319" s="6" t="n">
        <v>71000</v>
      </c>
      <c r="K2319" s="25">
        <f>23*10^-6</f>
        <v/>
      </c>
      <c r="L2319" s="8">
        <f>H2319</f>
        <v/>
      </c>
      <c r="M2319" s="26">
        <f>H2319^2/6</f>
        <v/>
      </c>
      <c r="N2319" s="26">
        <f>H2319^3/12</f>
        <v/>
      </c>
      <c r="O2319" s="27">
        <f>-J2319*L2319*K2319*C2319</f>
        <v/>
      </c>
      <c r="P2319" s="28">
        <f>-(12*F2319*J2319*L2319*N2319+12*O2319*N2319*G2319*COS(RADIANS(E2319)))/(12*N2319*G2319*COS(RADIANS(E2319))^2+L2319*G2319^3*SIN(RADIANS(E2319))^2)</f>
        <v/>
      </c>
      <c r="Q2319" s="28">
        <f>-(6*F2319*J2319*L2319*N2319*SIN(RADIANS(E2319))+6*O2319*N2319*G2319*SIN(RADIANS(E2319))*COS(RADIANS(E2319)))/(12*N2319*COS(RADIANS(E2319))^2+L2319*G2319^2*SIN(RADIANS(E2319))^2)</f>
        <v/>
      </c>
      <c r="R2319" s="28">
        <f>-P2319*SIN(RADIANS(E2319))</f>
        <v/>
      </c>
      <c r="S2319" s="8">
        <f>(O2319+P2319*COS(RADIANS(E2319)))/L2319</f>
        <v/>
      </c>
      <c r="T2319" s="8">
        <f>R2319/L2319</f>
        <v/>
      </c>
      <c r="U2319" s="8">
        <f>(Q2319-P2319*G2319*SIN(RADIANS(E2319)))/M2319</f>
        <v/>
      </c>
      <c r="V2319" s="8">
        <f>SQRT((S2319+U2319)^2+3*T2319^2)</f>
        <v/>
      </c>
      <c r="W2319" s="8">
        <f>V2319/AA2319</f>
        <v/>
      </c>
      <c r="X2319" s="27">
        <f>((3*10+H2319/COS(RADIANS(E2319)))*(3+3)+3*G2319*H2319)*2</f>
        <v/>
      </c>
      <c r="Y2319" s="28">
        <f>Z2319/X2319</f>
        <v/>
      </c>
      <c r="Z2319" s="29" t="n">
        <v>593.442842812905</v>
      </c>
      <c r="AA2319" s="20" t="n">
        <v>46.2356090247893</v>
      </c>
      <c r="AB2319" t="n">
        <v>0.06441941370841979</v>
      </c>
      <c r="AC2319" t="n">
        <v>45.31839471156188</v>
      </c>
      <c r="AD2319" t="n">
        <v>22.62698135421333</v>
      </c>
    </row>
    <row r="2320">
      <c r="A2320" t="n">
        <v>2319</v>
      </c>
      <c r="B2320" t="n">
        <v>78.8</v>
      </c>
      <c r="C2320" s="21">
        <f>B2320-20</f>
        <v/>
      </c>
      <c r="D2320" t="n">
        <v>110.3</v>
      </c>
      <c r="E2320" s="22">
        <f>D2320-90</f>
        <v/>
      </c>
      <c r="F2320" s="23" t="n">
        <v>0.020242</v>
      </c>
      <c r="G2320" s="22" t="n">
        <v>25.8</v>
      </c>
      <c r="H2320" s="22" t="n">
        <v>1.6</v>
      </c>
      <c r="I2320" s="24" t="n">
        <v>0.118561007082462</v>
      </c>
      <c r="J2320" s="6" t="n">
        <v>71000</v>
      </c>
      <c r="K2320" s="25">
        <f>23*10^-6</f>
        <v/>
      </c>
      <c r="L2320" s="8">
        <f>H2320</f>
        <v/>
      </c>
      <c r="M2320" s="26">
        <f>H2320^2/6</f>
        <v/>
      </c>
      <c r="N2320" s="26">
        <f>H2320^3/12</f>
        <v/>
      </c>
      <c r="O2320" s="27">
        <f>-J2320*L2320*K2320*C2320</f>
        <v/>
      </c>
      <c r="P2320" s="28">
        <f>-(12*F2320*J2320*L2320*N2320+12*O2320*N2320*G2320*COS(RADIANS(E2320)))/(12*N2320*G2320*COS(RADIANS(E2320))^2+L2320*G2320^3*SIN(RADIANS(E2320))^2)</f>
        <v/>
      </c>
      <c r="Q2320" s="28">
        <f>-(6*F2320*J2320*L2320*N2320*SIN(RADIANS(E2320))+6*O2320*N2320*G2320*SIN(RADIANS(E2320))*COS(RADIANS(E2320)))/(12*N2320*COS(RADIANS(E2320))^2+L2320*G2320^2*SIN(RADIANS(E2320))^2)</f>
        <v/>
      </c>
      <c r="R2320" s="28">
        <f>-P2320*SIN(RADIANS(E2320))</f>
        <v/>
      </c>
      <c r="S2320" s="8">
        <f>(O2320+P2320*COS(RADIANS(E2320)))/L2320</f>
        <v/>
      </c>
      <c r="T2320" s="8">
        <f>R2320/L2320</f>
        <v/>
      </c>
      <c r="U2320" s="8">
        <f>(Q2320-P2320*G2320*SIN(RADIANS(E2320)))/M2320</f>
        <v/>
      </c>
      <c r="V2320" s="8">
        <f>SQRT((S2320+U2320)^2+3*T2320^2)</f>
        <v/>
      </c>
      <c r="W2320" s="8">
        <f>V2320/AA2320</f>
        <v/>
      </c>
      <c r="X2320" s="27">
        <f>((3*10+H2320/COS(RADIANS(E2320)))*(3+3)+3*G2320*H2320)*2</f>
        <v/>
      </c>
      <c r="Y2320" s="28">
        <f>Z2320/X2320</f>
        <v/>
      </c>
      <c r="Z2320" s="29" t="n">
        <v>633.174520399219</v>
      </c>
      <c r="AA2320" s="20" t="n">
        <v>93.4701258703838</v>
      </c>
      <c r="AB2320" t="n">
        <v>0.1508428935516274</v>
      </c>
      <c r="AC2320" t="n">
        <v>92.89053321411392</v>
      </c>
      <c r="AD2320" t="n">
        <v>27.22808051614526</v>
      </c>
    </row>
    <row r="2321">
      <c r="A2321" t="n">
        <v>2320</v>
      </c>
      <c r="B2321" t="n">
        <v>87.09999999999999</v>
      </c>
      <c r="C2321" s="21">
        <f>B2321-20</f>
        <v/>
      </c>
      <c r="D2321" t="n">
        <v>124.5</v>
      </c>
      <c r="E2321" s="22">
        <f>D2321-90</f>
        <v/>
      </c>
      <c r="F2321" s="23" t="n">
        <v>0.025645</v>
      </c>
      <c r="G2321" s="22" t="n">
        <v>33.4</v>
      </c>
      <c r="H2321" s="22" t="n">
        <v>1.2</v>
      </c>
      <c r="I2321" s="24" t="n">
        <v>0.111734554171562</v>
      </c>
      <c r="J2321" s="6" t="n">
        <v>71000</v>
      </c>
      <c r="K2321" s="25">
        <f>23*10^-6</f>
        <v/>
      </c>
      <c r="L2321" s="8">
        <f>H2321</f>
        <v/>
      </c>
      <c r="M2321" s="26">
        <f>H2321^2/6</f>
        <v/>
      </c>
      <c r="N2321" s="26">
        <f>H2321^3/12</f>
        <v/>
      </c>
      <c r="O2321" s="27">
        <f>-J2321*L2321*K2321*C2321</f>
        <v/>
      </c>
      <c r="P2321" s="28">
        <f>-(12*F2321*J2321*L2321*N2321+12*O2321*N2321*G2321*COS(RADIANS(E2321)))/(12*N2321*G2321*COS(RADIANS(E2321))^2+L2321*G2321^3*SIN(RADIANS(E2321))^2)</f>
        <v/>
      </c>
      <c r="Q2321" s="28">
        <f>-(6*F2321*J2321*L2321*N2321*SIN(RADIANS(E2321))+6*O2321*N2321*G2321*SIN(RADIANS(E2321))*COS(RADIANS(E2321)))/(12*N2321*COS(RADIANS(E2321))^2+L2321*G2321^2*SIN(RADIANS(E2321))^2)</f>
        <v/>
      </c>
      <c r="R2321" s="28">
        <f>-P2321*SIN(RADIANS(E2321))</f>
        <v/>
      </c>
      <c r="S2321" s="8">
        <f>(O2321+P2321*COS(RADIANS(E2321)))/L2321</f>
        <v/>
      </c>
      <c r="T2321" s="8">
        <f>R2321/L2321</f>
        <v/>
      </c>
      <c r="U2321" s="8">
        <f>(Q2321-P2321*G2321*SIN(RADIANS(E2321)))/M2321</f>
        <v/>
      </c>
      <c r="V2321" s="8">
        <f>SQRT((S2321+U2321)^2+3*T2321^2)</f>
        <v/>
      </c>
      <c r="W2321" s="8">
        <f>V2321/AA2321</f>
        <v/>
      </c>
      <c r="X2321" s="27">
        <f>((3*10+H2321/COS(RADIANS(E2321)))*(3+3)+3*G2321*H2321)*2</f>
        <v/>
      </c>
      <c r="Y2321" s="28">
        <f>Z2321/X2321</f>
        <v/>
      </c>
      <c r="Z2321" s="29" t="n">
        <v>626.508435533238</v>
      </c>
      <c r="AA2321" s="20" t="n">
        <v>90.93692122396089</v>
      </c>
      <c r="AB2321" t="n">
        <v>0.1279220472168121</v>
      </c>
      <c r="AC2321" t="n">
        <v>95.61219585031394</v>
      </c>
      <c r="AD2321" t="n">
        <v>14.4874548122286</v>
      </c>
    </row>
    <row r="2322">
      <c r="A2322" t="n">
        <v>2321</v>
      </c>
      <c r="B2322" t="n">
        <v>59.6</v>
      </c>
      <c r="C2322" s="21">
        <f>B2322-20</f>
        <v/>
      </c>
      <c r="D2322" t="n">
        <v>117.5</v>
      </c>
      <c r="E2322" s="22">
        <f>D2322-90</f>
        <v/>
      </c>
      <c r="F2322" s="23" t="n">
        <v>0.014361</v>
      </c>
      <c r="G2322" s="22" t="n">
        <v>29.1</v>
      </c>
      <c r="H2322" s="22" t="n">
        <v>1.5</v>
      </c>
      <c r="I2322" s="24" t="n">
        <v>0.0699338763952255</v>
      </c>
      <c r="J2322" s="6" t="n">
        <v>71000</v>
      </c>
      <c r="K2322" s="25">
        <f>23*10^-6</f>
        <v/>
      </c>
      <c r="L2322" s="8">
        <f>H2322</f>
        <v/>
      </c>
      <c r="M2322" s="26">
        <f>H2322^2/6</f>
        <v/>
      </c>
      <c r="N2322" s="26">
        <f>H2322^3/12</f>
        <v/>
      </c>
      <c r="O2322" s="27">
        <f>-J2322*L2322*K2322*C2322</f>
        <v/>
      </c>
      <c r="P2322" s="28">
        <f>-(12*F2322*J2322*L2322*N2322+12*O2322*N2322*G2322*COS(RADIANS(E2322)))/(12*N2322*G2322*COS(RADIANS(E2322))^2+L2322*G2322^3*SIN(RADIANS(E2322))^2)</f>
        <v/>
      </c>
      <c r="Q2322" s="28">
        <f>-(6*F2322*J2322*L2322*N2322*SIN(RADIANS(E2322))+6*O2322*N2322*G2322*SIN(RADIANS(E2322))*COS(RADIANS(E2322)))/(12*N2322*COS(RADIANS(E2322))^2+L2322*G2322^2*SIN(RADIANS(E2322))^2)</f>
        <v/>
      </c>
      <c r="R2322" s="28">
        <f>-P2322*SIN(RADIANS(E2322))</f>
        <v/>
      </c>
      <c r="S2322" s="8">
        <f>(O2322+P2322*COS(RADIANS(E2322)))/L2322</f>
        <v/>
      </c>
      <c r="T2322" s="8">
        <f>R2322/L2322</f>
        <v/>
      </c>
      <c r="U2322" s="8">
        <f>(Q2322-P2322*G2322*SIN(RADIANS(E2322)))/M2322</f>
        <v/>
      </c>
      <c r="V2322" s="8">
        <f>SQRT((S2322+U2322)^2+3*T2322^2)</f>
        <v/>
      </c>
      <c r="W2322" s="8">
        <f>V2322/AA2322</f>
        <v/>
      </c>
      <c r="X2322" s="27">
        <f>((3*10+H2322/COS(RADIANS(E2322)))*(3+3)+3*G2322*H2322)*2</f>
        <v/>
      </c>
      <c r="Y2322" s="28">
        <f>Z2322/X2322</f>
        <v/>
      </c>
      <c r="Z2322" s="29" t="n">
        <v>648.683671154026</v>
      </c>
      <c r="AA2322" s="20" t="n">
        <v>59.7455302119938</v>
      </c>
      <c r="AB2322" t="n">
        <v>0.08408965192714593</v>
      </c>
      <c r="AC2322" t="n">
        <v>59.07545252912508</v>
      </c>
      <c r="AD2322" t="n">
        <v>20.24165720761744</v>
      </c>
    </row>
    <row r="2323">
      <c r="A2323" t="n">
        <v>2322</v>
      </c>
      <c r="B2323" t="n">
        <v>70.2</v>
      </c>
      <c r="C2323" s="21">
        <f>B2323-20</f>
        <v/>
      </c>
      <c r="D2323" t="n">
        <v>122.4</v>
      </c>
      <c r="E2323" s="22">
        <f>D2323-90</f>
        <v/>
      </c>
      <c r="F2323" s="23" t="n">
        <v>0.013532</v>
      </c>
      <c r="G2323" s="22" t="n">
        <v>20.9</v>
      </c>
      <c r="H2323" s="22" t="n">
        <v>1.6</v>
      </c>
      <c r="I2323" s="24" t="n">
        <v>0.0646699145436286</v>
      </c>
      <c r="J2323" s="6" t="n">
        <v>71000</v>
      </c>
      <c r="K2323" s="25">
        <f>23*10^-6</f>
        <v/>
      </c>
      <c r="L2323" s="8">
        <f>H2323</f>
        <v/>
      </c>
      <c r="M2323" s="26">
        <f>H2323^2/6</f>
        <v/>
      </c>
      <c r="N2323" s="26">
        <f>H2323^3/12</f>
        <v/>
      </c>
      <c r="O2323" s="27">
        <f>-J2323*L2323*K2323*C2323</f>
        <v/>
      </c>
      <c r="P2323" s="28">
        <f>-(12*F2323*J2323*L2323*N2323+12*O2323*N2323*G2323*COS(RADIANS(E2323)))/(12*N2323*G2323*COS(RADIANS(E2323))^2+L2323*G2323^3*SIN(RADIANS(E2323))^2)</f>
        <v/>
      </c>
      <c r="Q2323" s="28">
        <f>-(6*F2323*J2323*L2323*N2323*SIN(RADIANS(E2323))+6*O2323*N2323*G2323*SIN(RADIANS(E2323))*COS(RADIANS(E2323)))/(12*N2323*COS(RADIANS(E2323))^2+L2323*G2323^2*SIN(RADIANS(E2323))^2)</f>
        <v/>
      </c>
      <c r="R2323" s="28">
        <f>-P2323*SIN(RADIANS(E2323))</f>
        <v/>
      </c>
      <c r="S2323" s="8">
        <f>(O2323+P2323*COS(RADIANS(E2323)))/L2323</f>
        <v/>
      </c>
      <c r="T2323" s="8">
        <f>R2323/L2323</f>
        <v/>
      </c>
      <c r="U2323" s="8">
        <f>(Q2323-P2323*G2323*SIN(RADIANS(E2323)))/M2323</f>
        <v/>
      </c>
      <c r="V2323" s="8">
        <f>SQRT((S2323+U2323)^2+3*T2323^2)</f>
        <v/>
      </c>
      <c r="W2323" s="8">
        <f>V2323/AA2323</f>
        <v/>
      </c>
      <c r="X2323" s="27">
        <f>((3*10+H2323/COS(RADIANS(E2323)))*(3+3)+3*G2323*H2323)*2</f>
        <v/>
      </c>
      <c r="Y2323" s="28">
        <f>Z2323/X2323</f>
        <v/>
      </c>
      <c r="Z2323" s="29" t="n">
        <v>591.238584014275</v>
      </c>
      <c r="AA2323" s="20" t="n">
        <v>79.6149450832344</v>
      </c>
      <c r="AB2323" t="n">
        <v>0.06528399545562032</v>
      </c>
      <c r="AC2323" t="n">
        <v>75.17742603344237</v>
      </c>
      <c r="AD2323" t="n">
        <v>0.9495619660629683</v>
      </c>
    </row>
    <row r="2324">
      <c r="A2324" t="n">
        <v>2323</v>
      </c>
      <c r="B2324" t="n">
        <v>74.3</v>
      </c>
      <c r="C2324" s="21">
        <f>B2324-20</f>
        <v/>
      </c>
      <c r="D2324" t="n">
        <v>129.6</v>
      </c>
      <c r="E2324" s="22">
        <f>D2324-90</f>
        <v/>
      </c>
      <c r="F2324" s="23" t="n">
        <v>0.017689</v>
      </c>
      <c r="G2324" s="22" t="n">
        <v>29.3</v>
      </c>
      <c r="H2324" s="22" t="n">
        <v>1.3</v>
      </c>
      <c r="I2324" s="24" t="n">
        <v>0.07622196525335311</v>
      </c>
      <c r="J2324" s="6" t="n">
        <v>71000</v>
      </c>
      <c r="K2324" s="25">
        <f>23*10^-6</f>
        <v/>
      </c>
      <c r="L2324" s="8">
        <f>H2324</f>
        <v/>
      </c>
      <c r="M2324" s="26">
        <f>H2324^2/6</f>
        <v/>
      </c>
      <c r="N2324" s="26">
        <f>H2324^3/12</f>
        <v/>
      </c>
      <c r="O2324" s="27">
        <f>-J2324*L2324*K2324*C2324</f>
        <v/>
      </c>
      <c r="P2324" s="28">
        <f>-(12*F2324*J2324*L2324*N2324+12*O2324*N2324*G2324*COS(RADIANS(E2324)))/(12*N2324*G2324*COS(RADIANS(E2324))^2+L2324*G2324^3*SIN(RADIANS(E2324))^2)</f>
        <v/>
      </c>
      <c r="Q2324" s="28">
        <f>-(6*F2324*J2324*L2324*N2324*SIN(RADIANS(E2324))+6*O2324*N2324*G2324*SIN(RADIANS(E2324))*COS(RADIANS(E2324)))/(12*N2324*COS(RADIANS(E2324))^2+L2324*G2324^2*SIN(RADIANS(E2324))^2)</f>
        <v/>
      </c>
      <c r="R2324" s="28">
        <f>-P2324*SIN(RADIANS(E2324))</f>
        <v/>
      </c>
      <c r="S2324" s="8">
        <f>(O2324+P2324*COS(RADIANS(E2324)))/L2324</f>
        <v/>
      </c>
      <c r="T2324" s="8">
        <f>R2324/L2324</f>
        <v/>
      </c>
      <c r="U2324" s="8">
        <f>(Q2324-P2324*G2324*SIN(RADIANS(E2324)))/M2324</f>
        <v/>
      </c>
      <c r="V2324" s="8">
        <f>SQRT((S2324+U2324)^2+3*T2324^2)</f>
        <v/>
      </c>
      <c r="W2324" s="8">
        <f>V2324/AA2324</f>
        <v/>
      </c>
      <c r="X2324" s="27">
        <f>((3*10+H2324/COS(RADIANS(E2324)))*(3+3)+3*G2324*H2324)*2</f>
        <v/>
      </c>
      <c r="Y2324" s="28">
        <f>Z2324/X2324</f>
        <v/>
      </c>
      <c r="Z2324" s="29" t="n">
        <v>619.367943982155</v>
      </c>
      <c r="AA2324" s="20" t="n">
        <v>73.85492904415941</v>
      </c>
      <c r="AB2324" t="n">
        <v>0.07852180823495979</v>
      </c>
      <c r="AC2324" t="n">
        <v>77.213539521599</v>
      </c>
      <c r="AD2324" t="n">
        <v>3.017296882810967</v>
      </c>
    </row>
    <row r="2325">
      <c r="A2325" t="n">
        <v>2324</v>
      </c>
      <c r="B2325" t="n">
        <v>41.2</v>
      </c>
      <c r="C2325" s="21">
        <f>B2325-20</f>
        <v/>
      </c>
      <c r="D2325" t="n">
        <v>105.4</v>
      </c>
      <c r="E2325" s="22">
        <f>D2325-90</f>
        <v/>
      </c>
      <c r="F2325" s="23" t="n">
        <v>0.007112</v>
      </c>
      <c r="G2325" s="22" t="n">
        <v>24.3</v>
      </c>
      <c r="H2325" s="22" t="n">
        <v>1.8</v>
      </c>
      <c r="I2325" s="24" t="n">
        <v>0.0494606420397758</v>
      </c>
      <c r="J2325" s="6" t="n">
        <v>71000</v>
      </c>
      <c r="K2325" s="25">
        <f>23*10^-6</f>
        <v/>
      </c>
      <c r="L2325" s="8">
        <f>H2325</f>
        <v/>
      </c>
      <c r="M2325" s="26">
        <f>H2325^2/6</f>
        <v/>
      </c>
      <c r="N2325" s="26">
        <f>H2325^3/12</f>
        <v/>
      </c>
      <c r="O2325" s="27">
        <f>-J2325*L2325*K2325*C2325</f>
        <v/>
      </c>
      <c r="P2325" s="28">
        <f>-(12*F2325*J2325*L2325*N2325+12*O2325*N2325*G2325*COS(RADIANS(E2325)))/(12*N2325*G2325*COS(RADIANS(E2325))^2+L2325*G2325^3*SIN(RADIANS(E2325))^2)</f>
        <v/>
      </c>
      <c r="Q2325" s="28">
        <f>-(6*F2325*J2325*L2325*N2325*SIN(RADIANS(E2325))+6*O2325*N2325*G2325*SIN(RADIANS(E2325))*COS(RADIANS(E2325)))/(12*N2325*COS(RADIANS(E2325))^2+L2325*G2325^2*SIN(RADIANS(E2325))^2)</f>
        <v/>
      </c>
      <c r="R2325" s="28">
        <f>-P2325*SIN(RADIANS(E2325))</f>
        <v/>
      </c>
      <c r="S2325" s="8">
        <f>(O2325+P2325*COS(RADIANS(E2325)))/L2325</f>
        <v/>
      </c>
      <c r="T2325" s="8">
        <f>R2325/L2325</f>
        <v/>
      </c>
      <c r="U2325" s="8">
        <f>(Q2325-P2325*G2325*SIN(RADIANS(E2325)))/M2325</f>
        <v/>
      </c>
      <c r="V2325" s="8">
        <f>SQRT((S2325+U2325)^2+3*T2325^2)</f>
        <v/>
      </c>
      <c r="W2325" s="8">
        <f>V2325/AA2325</f>
        <v/>
      </c>
      <c r="X2325" s="27">
        <f>((3*10+H2325/COS(RADIANS(E2325)))*(3+3)+3*G2325*H2325)*2</f>
        <v/>
      </c>
      <c r="Y2325" s="28">
        <f>Z2325/X2325</f>
        <v/>
      </c>
      <c r="Z2325" s="29" t="n">
        <v>649.171852984398</v>
      </c>
      <c r="AA2325" s="20" t="n">
        <v>37.0386847205698</v>
      </c>
      <c r="AB2325" t="n">
        <v>0.06555578914221533</v>
      </c>
      <c r="AC2325" t="n">
        <v>35.83620092626313</v>
      </c>
      <c r="AD2325" t="n">
        <v>32.54132263284402</v>
      </c>
    </row>
    <row r="2326">
      <c r="A2326" t="n">
        <v>2325</v>
      </c>
      <c r="B2326" t="n">
        <v>73.3</v>
      </c>
      <c r="C2326" s="21">
        <f>B2326-20</f>
        <v/>
      </c>
      <c r="D2326" t="n">
        <v>111.9</v>
      </c>
      <c r="E2326" s="22">
        <f>D2326-90</f>
        <v/>
      </c>
      <c r="F2326" s="23" t="n">
        <v>0.017402</v>
      </c>
      <c r="G2326" s="22" t="n">
        <v>24.4</v>
      </c>
      <c r="H2326" s="22" t="n">
        <v>1.8</v>
      </c>
      <c r="I2326" s="24" t="n">
        <v>0.0977254286408424</v>
      </c>
      <c r="J2326" s="6" t="n">
        <v>71000</v>
      </c>
      <c r="K2326" s="25">
        <f>23*10^-6</f>
        <v/>
      </c>
      <c r="L2326" s="8">
        <f>H2326</f>
        <v/>
      </c>
      <c r="M2326" s="26">
        <f>H2326^2/6</f>
        <v/>
      </c>
      <c r="N2326" s="26">
        <f>H2326^3/12</f>
        <v/>
      </c>
      <c r="O2326" s="27">
        <f>-J2326*L2326*K2326*C2326</f>
        <v/>
      </c>
      <c r="P2326" s="28">
        <f>-(12*F2326*J2326*L2326*N2326+12*O2326*N2326*G2326*COS(RADIANS(E2326)))/(12*N2326*G2326*COS(RADIANS(E2326))^2+L2326*G2326^3*SIN(RADIANS(E2326))^2)</f>
        <v/>
      </c>
      <c r="Q2326" s="28">
        <f>-(6*F2326*J2326*L2326*N2326*SIN(RADIANS(E2326))+6*O2326*N2326*G2326*SIN(RADIANS(E2326))*COS(RADIANS(E2326)))/(12*N2326*COS(RADIANS(E2326))^2+L2326*G2326^2*SIN(RADIANS(E2326))^2)</f>
        <v/>
      </c>
      <c r="R2326" s="28">
        <f>-P2326*SIN(RADIANS(E2326))</f>
        <v/>
      </c>
      <c r="S2326" s="8">
        <f>(O2326+P2326*COS(RADIANS(E2326)))/L2326</f>
        <v/>
      </c>
      <c r="T2326" s="8">
        <f>R2326/L2326</f>
        <v/>
      </c>
      <c r="U2326" s="8">
        <f>(Q2326-P2326*G2326*SIN(RADIANS(E2326)))/M2326</f>
        <v/>
      </c>
      <c r="V2326" s="8">
        <f>SQRT((S2326+U2326)^2+3*T2326^2)</f>
        <v/>
      </c>
      <c r="W2326" s="8">
        <f>V2326/AA2326</f>
        <v/>
      </c>
      <c r="X2326" s="27">
        <f>((3*10+H2326/COS(RADIANS(E2326)))*(3+3)+3*G2326*H2326)*2</f>
        <v/>
      </c>
      <c r="Y2326" s="28">
        <f>Z2326/X2326</f>
        <v/>
      </c>
      <c r="Z2326" s="29" t="n">
        <v>652.100232364755</v>
      </c>
      <c r="AA2326" s="20" t="n">
        <v>89.1228837552774</v>
      </c>
      <c r="AB2326" t="n">
        <v>0.1192329201034806</v>
      </c>
      <c r="AC2326" t="n">
        <v>84.94164870371195</v>
      </c>
      <c r="AD2326" t="n">
        <v>22.00808096906065</v>
      </c>
    </row>
    <row r="2327">
      <c r="A2327" t="n">
        <v>2326</v>
      </c>
      <c r="B2327" t="n">
        <v>62.4</v>
      </c>
      <c r="C2327" s="21">
        <f>B2327-20</f>
        <v/>
      </c>
      <c r="D2327" t="n">
        <v>117.9</v>
      </c>
      <c r="E2327" s="22">
        <f>D2327-90</f>
        <v/>
      </c>
      <c r="F2327" s="23" t="n">
        <v>0.012939</v>
      </c>
      <c r="G2327" s="22" t="n">
        <v>23.5</v>
      </c>
      <c r="H2327" s="22" t="n">
        <v>1.7</v>
      </c>
      <c r="I2327" s="24" t="n">
        <v>0.0645077601075172</v>
      </c>
      <c r="J2327" s="6" t="n">
        <v>71000</v>
      </c>
      <c r="K2327" s="25">
        <f>23*10^-6</f>
        <v/>
      </c>
      <c r="L2327" s="8">
        <f>H2327</f>
        <v/>
      </c>
      <c r="M2327" s="26">
        <f>H2327^2/6</f>
        <v/>
      </c>
      <c r="N2327" s="26">
        <f>H2327^3/12</f>
        <v/>
      </c>
      <c r="O2327" s="27">
        <f>-J2327*L2327*K2327*C2327</f>
        <v/>
      </c>
      <c r="P2327" s="28">
        <f>-(12*F2327*J2327*L2327*N2327+12*O2327*N2327*G2327*COS(RADIANS(E2327)))/(12*N2327*G2327*COS(RADIANS(E2327))^2+L2327*G2327^3*SIN(RADIANS(E2327))^2)</f>
        <v/>
      </c>
      <c r="Q2327" s="28">
        <f>-(6*F2327*J2327*L2327*N2327*SIN(RADIANS(E2327))+6*O2327*N2327*G2327*SIN(RADIANS(E2327))*COS(RADIANS(E2327)))/(12*N2327*COS(RADIANS(E2327))^2+L2327*G2327^2*SIN(RADIANS(E2327))^2)</f>
        <v/>
      </c>
      <c r="R2327" s="28">
        <f>-P2327*SIN(RADIANS(E2327))</f>
        <v/>
      </c>
      <c r="S2327" s="8">
        <f>(O2327+P2327*COS(RADIANS(E2327)))/L2327</f>
        <v/>
      </c>
      <c r="T2327" s="8">
        <f>R2327/L2327</f>
        <v/>
      </c>
      <c r="U2327" s="8">
        <f>(Q2327-P2327*G2327*SIN(RADIANS(E2327)))/M2327</f>
        <v/>
      </c>
      <c r="V2327" s="8">
        <f>SQRT((S2327+U2327)^2+3*T2327^2)</f>
        <v/>
      </c>
      <c r="W2327" s="8">
        <f>V2327/AA2327</f>
        <v/>
      </c>
      <c r="X2327" s="27">
        <f>((3*10+H2327/COS(RADIANS(E2327)))*(3+3)+3*G2327*H2327)*2</f>
        <v/>
      </c>
      <c r="Y2327" s="28">
        <f>Z2327/X2327</f>
        <v/>
      </c>
      <c r="Z2327" s="29" t="n">
        <v>629.3731934605011</v>
      </c>
      <c r="AA2327" s="20" t="n">
        <v>68.22538638632059</v>
      </c>
      <c r="AB2327" t="n">
        <v>0.07194206966382748</v>
      </c>
      <c r="AC2327" t="n">
        <v>64.84796247980019</v>
      </c>
      <c r="AD2327" t="n">
        <v>11.52467477388653</v>
      </c>
    </row>
    <row r="2328">
      <c r="A2328" t="n">
        <v>2327</v>
      </c>
      <c r="B2328" t="n">
        <v>76.2</v>
      </c>
      <c r="C2328" s="21">
        <f>B2328-20</f>
        <v/>
      </c>
      <c r="D2328" t="n">
        <v>118.5</v>
      </c>
      <c r="E2328" s="22">
        <f>D2328-90</f>
        <v/>
      </c>
      <c r="F2328" s="23" t="n">
        <v>0.022987</v>
      </c>
      <c r="G2328" s="22" t="n">
        <v>34</v>
      </c>
      <c r="H2328" s="22" t="n">
        <v>1.7</v>
      </c>
      <c r="I2328" s="24" t="n">
        <v>0.107732057571411</v>
      </c>
      <c r="J2328" s="6" t="n">
        <v>71000</v>
      </c>
      <c r="K2328" s="25">
        <f>23*10^-6</f>
        <v/>
      </c>
      <c r="L2328" s="8">
        <f>H2328</f>
        <v/>
      </c>
      <c r="M2328" s="26">
        <f>H2328^2/6</f>
        <v/>
      </c>
      <c r="N2328" s="26">
        <f>H2328^3/12</f>
        <v/>
      </c>
      <c r="O2328" s="27">
        <f>-J2328*L2328*K2328*C2328</f>
        <v/>
      </c>
      <c r="P2328" s="28">
        <f>-(12*F2328*J2328*L2328*N2328+12*O2328*N2328*G2328*COS(RADIANS(E2328)))/(12*N2328*G2328*COS(RADIANS(E2328))^2+L2328*G2328^3*SIN(RADIANS(E2328))^2)</f>
        <v/>
      </c>
      <c r="Q2328" s="28">
        <f>-(6*F2328*J2328*L2328*N2328*SIN(RADIANS(E2328))+6*O2328*N2328*G2328*SIN(RADIANS(E2328))*COS(RADIANS(E2328)))/(12*N2328*COS(RADIANS(E2328))^2+L2328*G2328^2*SIN(RADIANS(E2328))^2)</f>
        <v/>
      </c>
      <c r="R2328" s="28">
        <f>-P2328*SIN(RADIANS(E2328))</f>
        <v/>
      </c>
      <c r="S2328" s="8">
        <f>(O2328+P2328*COS(RADIANS(E2328)))/L2328</f>
        <v/>
      </c>
      <c r="T2328" s="8">
        <f>R2328/L2328</f>
        <v/>
      </c>
      <c r="U2328" s="8">
        <f>(Q2328-P2328*G2328*SIN(RADIANS(E2328)))/M2328</f>
        <v/>
      </c>
      <c r="V2328" s="8">
        <f>SQRT((S2328+U2328)^2+3*T2328^2)</f>
        <v/>
      </c>
      <c r="W2328" s="8">
        <f>V2328/AA2328</f>
        <v/>
      </c>
      <c r="X2328" s="27">
        <f>((3*10+H2328/COS(RADIANS(E2328)))*(3+3)+3*G2328*H2328)*2</f>
        <v/>
      </c>
      <c r="Y2328" s="28">
        <f>Z2328/X2328</f>
        <v/>
      </c>
      <c r="Z2328" s="29" t="n">
        <v>736.756086629915</v>
      </c>
      <c r="AA2328" s="20" t="n">
        <v>85.83332291133689</v>
      </c>
      <c r="AB2328" t="n">
        <v>0.1332065120946562</v>
      </c>
      <c r="AC2328" t="n">
        <v>83.59766281390033</v>
      </c>
      <c r="AD2328" t="n">
        <v>23.64612270248278</v>
      </c>
    </row>
    <row r="2329">
      <c r="A2329" t="n">
        <v>2328</v>
      </c>
      <c r="B2329" t="n">
        <v>79</v>
      </c>
      <c r="C2329" s="21">
        <f>B2329-20</f>
        <v/>
      </c>
      <c r="D2329" t="n">
        <v>111.1</v>
      </c>
      <c r="E2329" s="22">
        <f>D2329-90</f>
        <v/>
      </c>
      <c r="F2329" s="23" t="n">
        <v>0.022861</v>
      </c>
      <c r="G2329" s="22" t="n">
        <v>30</v>
      </c>
      <c r="H2329" s="22" t="n">
        <v>1.1</v>
      </c>
      <c r="I2329" s="24" t="n">
        <v>0.128986686468124</v>
      </c>
      <c r="J2329" s="6" t="n">
        <v>71000</v>
      </c>
      <c r="K2329" s="25">
        <f>23*10^-6</f>
        <v/>
      </c>
      <c r="L2329" s="8">
        <f>H2329</f>
        <v/>
      </c>
      <c r="M2329" s="26">
        <f>H2329^2/6</f>
        <v/>
      </c>
      <c r="N2329" s="26">
        <f>H2329^3/12</f>
        <v/>
      </c>
      <c r="O2329" s="27">
        <f>-J2329*L2329*K2329*C2329</f>
        <v/>
      </c>
      <c r="P2329" s="28">
        <f>-(12*F2329*J2329*L2329*N2329+12*O2329*N2329*G2329*COS(RADIANS(E2329)))/(12*N2329*G2329*COS(RADIANS(E2329))^2+L2329*G2329^3*SIN(RADIANS(E2329))^2)</f>
        <v/>
      </c>
      <c r="Q2329" s="28">
        <f>-(6*F2329*J2329*L2329*N2329*SIN(RADIANS(E2329))+6*O2329*N2329*G2329*SIN(RADIANS(E2329))*COS(RADIANS(E2329)))/(12*N2329*COS(RADIANS(E2329))^2+L2329*G2329^2*SIN(RADIANS(E2329))^2)</f>
        <v/>
      </c>
      <c r="R2329" s="28">
        <f>-P2329*SIN(RADIANS(E2329))</f>
        <v/>
      </c>
      <c r="S2329" s="8">
        <f>(O2329+P2329*COS(RADIANS(E2329)))/L2329</f>
        <v/>
      </c>
      <c r="T2329" s="8">
        <f>R2329/L2329</f>
        <v/>
      </c>
      <c r="U2329" s="8">
        <f>(Q2329-P2329*G2329*SIN(RADIANS(E2329)))/M2329</f>
        <v/>
      </c>
      <c r="V2329" s="8">
        <f>SQRT((S2329+U2329)^2+3*T2329^2)</f>
        <v/>
      </c>
      <c r="W2329" s="8">
        <f>V2329/AA2329</f>
        <v/>
      </c>
      <c r="X2329" s="27">
        <f>((3*10+H2329/COS(RADIANS(E2329)))*(3+3)+3*G2329*H2329)*2</f>
        <v/>
      </c>
      <c r="Y2329" s="28">
        <f>Z2329/X2329</f>
        <v/>
      </c>
      <c r="Z2329" s="29" t="n">
        <v>577.306997791879</v>
      </c>
      <c r="AA2329" s="20" t="n">
        <v>83.0971474810266</v>
      </c>
      <c r="AB2329" t="n">
        <v>0.1707082507616355</v>
      </c>
      <c r="AC2329" t="n">
        <v>87.87457941984576</v>
      </c>
      <c r="AD2329" t="n">
        <v>32.34563615510968</v>
      </c>
    </row>
    <row r="2330">
      <c r="A2330" t="n">
        <v>2329</v>
      </c>
      <c r="B2330" t="n">
        <v>56.6</v>
      </c>
      <c r="C2330" s="21">
        <f>B2330-20</f>
        <v/>
      </c>
      <c r="D2330" t="n">
        <v>124.9</v>
      </c>
      <c r="E2330" s="22">
        <f>D2330-90</f>
        <v/>
      </c>
      <c r="F2330" s="23" t="n">
        <v>0.010442</v>
      </c>
      <c r="G2330" s="22" t="n">
        <v>23.2</v>
      </c>
      <c r="H2330" s="22" t="n">
        <v>1.6</v>
      </c>
      <c r="I2330" s="24" t="n">
        <v>0.0479450896382331</v>
      </c>
      <c r="J2330" s="6" t="n">
        <v>71000</v>
      </c>
      <c r="K2330" s="25">
        <f>23*10^-6</f>
        <v/>
      </c>
      <c r="L2330" s="8">
        <f>H2330</f>
        <v/>
      </c>
      <c r="M2330" s="26">
        <f>H2330^2/6</f>
        <v/>
      </c>
      <c r="N2330" s="26">
        <f>H2330^3/12</f>
        <v/>
      </c>
      <c r="O2330" s="27">
        <f>-J2330*L2330*K2330*C2330</f>
        <v/>
      </c>
      <c r="P2330" s="28">
        <f>-(12*F2330*J2330*L2330*N2330+12*O2330*N2330*G2330*COS(RADIANS(E2330)))/(12*N2330*G2330*COS(RADIANS(E2330))^2+L2330*G2330^3*SIN(RADIANS(E2330))^2)</f>
        <v/>
      </c>
      <c r="Q2330" s="28">
        <f>-(6*F2330*J2330*L2330*N2330*SIN(RADIANS(E2330))+6*O2330*N2330*G2330*SIN(RADIANS(E2330))*COS(RADIANS(E2330)))/(12*N2330*COS(RADIANS(E2330))^2+L2330*G2330^2*SIN(RADIANS(E2330))^2)</f>
        <v/>
      </c>
      <c r="R2330" s="28">
        <f>-P2330*SIN(RADIANS(E2330))</f>
        <v/>
      </c>
      <c r="S2330" s="8">
        <f>(O2330+P2330*COS(RADIANS(E2330)))/L2330</f>
        <v/>
      </c>
      <c r="T2330" s="8">
        <f>R2330/L2330</f>
        <v/>
      </c>
      <c r="U2330" s="8">
        <f>(Q2330-P2330*G2330*SIN(RADIANS(E2330)))/M2330</f>
        <v/>
      </c>
      <c r="V2330" s="8">
        <f>SQRT((S2330+U2330)^2+3*T2330^2)</f>
        <v/>
      </c>
      <c r="W2330" s="8">
        <f>V2330/AA2330</f>
        <v/>
      </c>
      <c r="X2330" s="27">
        <f>((3*10+H2330/COS(RADIANS(E2330)))*(3+3)+3*G2330*H2330)*2</f>
        <v/>
      </c>
      <c r="Y2330" s="28">
        <f>Z2330/X2330</f>
        <v/>
      </c>
      <c r="Z2330" s="29" t="n">
        <v>614.826800380921</v>
      </c>
      <c r="AA2330" s="20" t="n">
        <v>56.559832677813</v>
      </c>
      <c r="AB2330" t="n">
        <v>0.04855742188605468</v>
      </c>
      <c r="AC2330" t="n">
        <v>54.01824281800403</v>
      </c>
      <c r="AD2330" t="n">
        <v>1.277153202636392</v>
      </c>
    </row>
    <row r="2331">
      <c r="A2331" t="n">
        <v>2330</v>
      </c>
      <c r="B2331" t="n">
        <v>52.8</v>
      </c>
      <c r="C2331" s="21">
        <f>B2331-20</f>
        <v/>
      </c>
      <c r="D2331" t="n">
        <v>108.2</v>
      </c>
      <c r="E2331" s="22">
        <f>D2331-90</f>
        <v/>
      </c>
      <c r="F2331" s="23" t="n">
        <v>0.010165</v>
      </c>
      <c r="G2331" s="22" t="n">
        <v>22.3</v>
      </c>
      <c r="H2331" s="22" t="n">
        <v>2</v>
      </c>
      <c r="I2331" s="24" t="n">
        <v>0.0635788440704345</v>
      </c>
      <c r="J2331" s="6" t="n">
        <v>71000</v>
      </c>
      <c r="K2331" s="25">
        <f>23*10^-6</f>
        <v/>
      </c>
      <c r="L2331" s="8">
        <f>H2331</f>
        <v/>
      </c>
      <c r="M2331" s="26">
        <f>H2331^2/6</f>
        <v/>
      </c>
      <c r="N2331" s="26">
        <f>H2331^3/12</f>
        <v/>
      </c>
      <c r="O2331" s="27">
        <f>-J2331*L2331*K2331*C2331</f>
        <v/>
      </c>
      <c r="P2331" s="28">
        <f>-(12*F2331*J2331*L2331*N2331+12*O2331*N2331*G2331*COS(RADIANS(E2331)))/(12*N2331*G2331*COS(RADIANS(E2331))^2+L2331*G2331^3*SIN(RADIANS(E2331))^2)</f>
        <v/>
      </c>
      <c r="Q2331" s="28">
        <f>-(6*F2331*J2331*L2331*N2331*SIN(RADIANS(E2331))+6*O2331*N2331*G2331*SIN(RADIANS(E2331))*COS(RADIANS(E2331)))/(12*N2331*COS(RADIANS(E2331))^2+L2331*G2331^2*SIN(RADIANS(E2331))^2)</f>
        <v/>
      </c>
      <c r="R2331" s="28">
        <f>-P2331*SIN(RADIANS(E2331))</f>
        <v/>
      </c>
      <c r="S2331" s="8">
        <f>(O2331+P2331*COS(RADIANS(E2331)))/L2331</f>
        <v/>
      </c>
      <c r="T2331" s="8">
        <f>R2331/L2331</f>
        <v/>
      </c>
      <c r="U2331" s="8">
        <f>(Q2331-P2331*G2331*SIN(RADIANS(E2331)))/M2331</f>
        <v/>
      </c>
      <c r="V2331" s="8">
        <f>SQRT((S2331+U2331)^2+3*T2331^2)</f>
        <v/>
      </c>
      <c r="W2331" s="8">
        <f>V2331/AA2331</f>
        <v/>
      </c>
      <c r="X2331" s="27">
        <f>((3*10+H2331/COS(RADIANS(E2331)))*(3+3)+3*G2331*H2331)*2</f>
        <v/>
      </c>
      <c r="Y2331" s="28">
        <f>Z2331/X2331</f>
        <v/>
      </c>
      <c r="Z2331" s="29" t="n">
        <v>657.561431675153</v>
      </c>
      <c r="AA2331" s="20" t="n">
        <v>59.4352432082061</v>
      </c>
      <c r="AB2331" t="n">
        <v>0.0786758551132655</v>
      </c>
      <c r="AC2331" t="n">
        <v>55.16032120874883</v>
      </c>
      <c r="AD2331" t="n">
        <v>23.74533740516906</v>
      </c>
    </row>
    <row r="2332">
      <c r="A2332" t="n">
        <v>2331</v>
      </c>
      <c r="B2332" t="n">
        <v>63.3</v>
      </c>
      <c r="C2332" s="21">
        <f>B2332-20</f>
        <v/>
      </c>
      <c r="D2332" t="n">
        <v>116.3</v>
      </c>
      <c r="E2332" s="22">
        <f>D2332-90</f>
        <v/>
      </c>
      <c r="F2332" s="23" t="n">
        <v>0.015839</v>
      </c>
      <c r="G2332" s="22" t="n">
        <v>29.1</v>
      </c>
      <c r="H2332" s="22" t="n">
        <v>1</v>
      </c>
      <c r="I2332" s="24" t="n">
        <v>0.07885976135730741</v>
      </c>
      <c r="J2332" s="6" t="n">
        <v>71000</v>
      </c>
      <c r="K2332" s="25">
        <f>23*10^-6</f>
        <v/>
      </c>
      <c r="L2332" s="8">
        <f>H2332</f>
        <v/>
      </c>
      <c r="M2332" s="26">
        <f>H2332^2/6</f>
        <v/>
      </c>
      <c r="N2332" s="26">
        <f>H2332^3/12</f>
        <v/>
      </c>
      <c r="O2332" s="27">
        <f>-J2332*L2332*K2332*C2332</f>
        <v/>
      </c>
      <c r="P2332" s="28">
        <f>-(12*F2332*J2332*L2332*N2332+12*O2332*N2332*G2332*COS(RADIANS(E2332)))/(12*N2332*G2332*COS(RADIANS(E2332))^2+L2332*G2332^3*SIN(RADIANS(E2332))^2)</f>
        <v/>
      </c>
      <c r="Q2332" s="28">
        <f>-(6*F2332*J2332*L2332*N2332*SIN(RADIANS(E2332))+6*O2332*N2332*G2332*SIN(RADIANS(E2332))*COS(RADIANS(E2332)))/(12*N2332*COS(RADIANS(E2332))^2+L2332*G2332^2*SIN(RADIANS(E2332))^2)</f>
        <v/>
      </c>
      <c r="R2332" s="28">
        <f>-P2332*SIN(RADIANS(E2332))</f>
        <v/>
      </c>
      <c r="S2332" s="8">
        <f>(O2332+P2332*COS(RADIANS(E2332)))/L2332</f>
        <v/>
      </c>
      <c r="T2332" s="8">
        <f>R2332/L2332</f>
        <v/>
      </c>
      <c r="U2332" s="8">
        <f>(Q2332-P2332*G2332*SIN(RADIANS(E2332)))/M2332</f>
        <v/>
      </c>
      <c r="V2332" s="8">
        <f>SQRT((S2332+U2332)^2+3*T2332^2)</f>
        <v/>
      </c>
      <c r="W2332" s="8">
        <f>V2332/AA2332</f>
        <v/>
      </c>
      <c r="X2332" s="27">
        <f>((3*10+H2332/COS(RADIANS(E2332)))*(3+3)+3*G2332*H2332)*2</f>
        <v/>
      </c>
      <c r="Y2332" s="28">
        <f>Z2332/X2332</f>
        <v/>
      </c>
      <c r="Z2332" s="29" t="n">
        <v>554.190400062696</v>
      </c>
      <c r="AA2332" s="20" t="n">
        <v>58.5899201452653</v>
      </c>
      <c r="AB2332" t="n">
        <v>0.09695019921961759</v>
      </c>
      <c r="AC2332" t="n">
        <v>62.76059473035668</v>
      </c>
      <c r="AD2332" t="n">
        <v>22.94001091424031</v>
      </c>
    </row>
    <row r="2333">
      <c r="A2333" t="n">
        <v>2332</v>
      </c>
      <c r="B2333" t="n">
        <v>50.9</v>
      </c>
      <c r="C2333" s="21">
        <f>B2333-20</f>
        <v/>
      </c>
      <c r="D2333" t="n">
        <v>127.7</v>
      </c>
      <c r="E2333" s="22">
        <f>D2333-90</f>
        <v/>
      </c>
      <c r="F2333" s="23" t="n">
        <v>0.011172</v>
      </c>
      <c r="G2333" s="22" t="n">
        <v>32.5</v>
      </c>
      <c r="H2333" s="22" t="n">
        <v>1.6</v>
      </c>
      <c r="I2333" s="24" t="n">
        <v>0.047903586179018</v>
      </c>
      <c r="J2333" s="6" t="n">
        <v>71000</v>
      </c>
      <c r="K2333" s="25">
        <f>23*10^-6</f>
        <v/>
      </c>
      <c r="L2333" s="8">
        <f>H2333</f>
        <v/>
      </c>
      <c r="M2333" s="26">
        <f>H2333^2/6</f>
        <v/>
      </c>
      <c r="N2333" s="26">
        <f>H2333^3/12</f>
        <v/>
      </c>
      <c r="O2333" s="27">
        <f>-J2333*L2333*K2333*C2333</f>
        <v/>
      </c>
      <c r="P2333" s="28">
        <f>-(12*F2333*J2333*L2333*N2333+12*O2333*N2333*G2333*COS(RADIANS(E2333)))/(12*N2333*G2333*COS(RADIANS(E2333))^2+L2333*G2333^3*SIN(RADIANS(E2333))^2)</f>
        <v/>
      </c>
      <c r="Q2333" s="28">
        <f>-(6*F2333*J2333*L2333*N2333*SIN(RADIANS(E2333))+6*O2333*N2333*G2333*SIN(RADIANS(E2333))*COS(RADIANS(E2333)))/(12*N2333*COS(RADIANS(E2333))^2+L2333*G2333^2*SIN(RADIANS(E2333))^2)</f>
        <v/>
      </c>
      <c r="R2333" s="28">
        <f>-P2333*SIN(RADIANS(E2333))</f>
        <v/>
      </c>
      <c r="S2333" s="8">
        <f>(O2333+P2333*COS(RADIANS(E2333)))/L2333</f>
        <v/>
      </c>
      <c r="T2333" s="8">
        <f>R2333/L2333</f>
        <v/>
      </c>
      <c r="U2333" s="8">
        <f>(Q2333-P2333*G2333*SIN(RADIANS(E2333)))/M2333</f>
        <v/>
      </c>
      <c r="V2333" s="8">
        <f>SQRT((S2333+U2333)^2+3*T2333^2)</f>
        <v/>
      </c>
      <c r="W2333" s="8">
        <f>V2333/AA2333</f>
        <v/>
      </c>
      <c r="X2333" s="27">
        <f>((3*10+H2333/COS(RADIANS(E2333)))*(3+3)+3*G2333*H2333)*2</f>
        <v/>
      </c>
      <c r="Y2333" s="28">
        <f>Z2333/X2333</f>
        <v/>
      </c>
      <c r="Z2333" s="29" t="n">
        <v>706.032612100398</v>
      </c>
      <c r="AA2333" s="20" t="n">
        <v>44.5934061589843</v>
      </c>
      <c r="AB2333" t="n">
        <v>0.05197935618683023</v>
      </c>
      <c r="AC2333" t="n">
        <v>44.50754160503821</v>
      </c>
      <c r="AD2333" t="n">
        <v>8.508277423282843</v>
      </c>
    </row>
    <row r="2334">
      <c r="A2334" t="n">
        <v>2333</v>
      </c>
      <c r="B2334" t="n">
        <v>43.6</v>
      </c>
      <c r="C2334" s="21">
        <f>B2334-20</f>
        <v/>
      </c>
      <c r="D2334" t="n">
        <v>114.4</v>
      </c>
      <c r="E2334" s="22">
        <f>D2334-90</f>
        <v/>
      </c>
      <c r="F2334" s="23" t="n">
        <v>0.006931</v>
      </c>
      <c r="G2334" s="22" t="n">
        <v>21.7</v>
      </c>
      <c r="H2334" s="22" t="n">
        <v>1.1</v>
      </c>
      <c r="I2334" s="24" t="n">
        <v>0.0375308245420455</v>
      </c>
      <c r="J2334" s="6" t="n">
        <v>71000</v>
      </c>
      <c r="K2334" s="25">
        <f>23*10^-6</f>
        <v/>
      </c>
      <c r="L2334" s="8">
        <f>H2334</f>
        <v/>
      </c>
      <c r="M2334" s="26">
        <f>H2334^2/6</f>
        <v/>
      </c>
      <c r="N2334" s="26">
        <f>H2334^3/12</f>
        <v/>
      </c>
      <c r="O2334" s="27">
        <f>-J2334*L2334*K2334*C2334</f>
        <v/>
      </c>
      <c r="P2334" s="28">
        <f>-(12*F2334*J2334*L2334*N2334+12*O2334*N2334*G2334*COS(RADIANS(E2334)))/(12*N2334*G2334*COS(RADIANS(E2334))^2+L2334*G2334^3*SIN(RADIANS(E2334))^2)</f>
        <v/>
      </c>
      <c r="Q2334" s="28">
        <f>-(6*F2334*J2334*L2334*N2334*SIN(RADIANS(E2334))+6*O2334*N2334*G2334*SIN(RADIANS(E2334))*COS(RADIANS(E2334)))/(12*N2334*COS(RADIANS(E2334))^2+L2334*G2334^2*SIN(RADIANS(E2334))^2)</f>
        <v/>
      </c>
      <c r="R2334" s="28">
        <f>-P2334*SIN(RADIANS(E2334))</f>
        <v/>
      </c>
      <c r="S2334" s="8">
        <f>(O2334+P2334*COS(RADIANS(E2334)))/L2334</f>
        <v/>
      </c>
      <c r="T2334" s="8">
        <f>R2334/L2334</f>
        <v/>
      </c>
      <c r="U2334" s="8">
        <f>(Q2334-P2334*G2334*SIN(RADIANS(E2334)))/M2334</f>
        <v/>
      </c>
      <c r="V2334" s="8">
        <f>SQRT((S2334+U2334)^2+3*T2334^2)</f>
        <v/>
      </c>
      <c r="W2334" s="8">
        <f>V2334/AA2334</f>
        <v/>
      </c>
      <c r="X2334" s="27">
        <f>((3*10+H2334/COS(RADIANS(E2334)))*(3+3)+3*G2334*H2334)*2</f>
        <v/>
      </c>
      <c r="Y2334" s="28">
        <f>Z2334/X2334</f>
        <v/>
      </c>
      <c r="Z2334" s="29" t="n">
        <v>523.502061833707</v>
      </c>
      <c r="AA2334" s="20" t="n">
        <v>33.9253526133927</v>
      </c>
      <c r="AB2334" t="n">
        <v>0.04321312353267198</v>
      </c>
      <c r="AC2334" t="n">
        <v>35.27338169741201</v>
      </c>
      <c r="AD2334" t="n">
        <v>15.14035212378732</v>
      </c>
    </row>
    <row r="2335">
      <c r="A2335" t="n">
        <v>2334</v>
      </c>
      <c r="B2335" t="n">
        <v>64.2</v>
      </c>
      <c r="C2335" s="21">
        <f>B2335-20</f>
        <v/>
      </c>
      <c r="D2335" t="n">
        <v>125</v>
      </c>
      <c r="E2335" s="22">
        <f>D2335-90</f>
        <v/>
      </c>
      <c r="F2335" s="23" t="n">
        <v>0.012682</v>
      </c>
      <c r="G2335" s="22" t="n">
        <v>23.4</v>
      </c>
      <c r="H2335" s="22" t="n">
        <v>1.3</v>
      </c>
      <c r="I2335" s="24" t="n">
        <v>0.0580522529780864</v>
      </c>
      <c r="J2335" s="6" t="n">
        <v>71000</v>
      </c>
      <c r="K2335" s="25">
        <f>23*10^-6</f>
        <v/>
      </c>
      <c r="L2335" s="8">
        <f>H2335</f>
        <v/>
      </c>
      <c r="M2335" s="26">
        <f>H2335^2/6</f>
        <v/>
      </c>
      <c r="N2335" s="26">
        <f>H2335^3/12</f>
        <v/>
      </c>
      <c r="O2335" s="27">
        <f>-J2335*L2335*K2335*C2335</f>
        <v/>
      </c>
      <c r="P2335" s="28">
        <f>-(12*F2335*J2335*L2335*N2335+12*O2335*N2335*G2335*COS(RADIANS(E2335)))/(12*N2335*G2335*COS(RADIANS(E2335))^2+L2335*G2335^3*SIN(RADIANS(E2335))^2)</f>
        <v/>
      </c>
      <c r="Q2335" s="28">
        <f>-(6*F2335*J2335*L2335*N2335*SIN(RADIANS(E2335))+6*O2335*N2335*G2335*SIN(RADIANS(E2335))*COS(RADIANS(E2335)))/(12*N2335*COS(RADIANS(E2335))^2+L2335*G2335^2*SIN(RADIANS(E2335))^2)</f>
        <v/>
      </c>
      <c r="R2335" s="28">
        <f>-P2335*SIN(RADIANS(E2335))</f>
        <v/>
      </c>
      <c r="S2335" s="8">
        <f>(O2335+P2335*COS(RADIANS(E2335)))/L2335</f>
        <v/>
      </c>
      <c r="T2335" s="8">
        <f>R2335/L2335</f>
        <v/>
      </c>
      <c r="U2335" s="8">
        <f>(Q2335-P2335*G2335*SIN(RADIANS(E2335)))/M2335</f>
        <v/>
      </c>
      <c r="V2335" s="8">
        <f>SQRT((S2335+U2335)^2+3*T2335^2)</f>
        <v/>
      </c>
      <c r="W2335" s="8">
        <f>V2335/AA2335</f>
        <v/>
      </c>
      <c r="X2335" s="27">
        <f>((3*10+H2335/COS(RADIANS(E2335)))*(3+3)+3*G2335*H2335)*2</f>
        <v/>
      </c>
      <c r="Y2335" s="28">
        <f>Z2335/X2335</f>
        <v/>
      </c>
      <c r="Z2335" s="29" t="n">
        <v>570.296303100596</v>
      </c>
      <c r="AA2335" s="20" t="n">
        <v>64.1883665689878</v>
      </c>
      <c r="AB2335" t="n">
        <v>0.05915697150391731</v>
      </c>
      <c r="AC2335" t="n">
        <v>64.13995707838036</v>
      </c>
      <c r="AD2335" t="n">
        <v>1.902972699867332</v>
      </c>
    </row>
    <row r="2336">
      <c r="A2336" t="n">
        <v>2335</v>
      </c>
      <c r="B2336" t="n">
        <v>59.7</v>
      </c>
      <c r="C2336" s="21">
        <f>B2336-20</f>
        <v/>
      </c>
      <c r="D2336" t="n">
        <v>101.5</v>
      </c>
      <c r="E2336" s="22">
        <f>D2336-90</f>
        <v/>
      </c>
      <c r="F2336" s="23" t="n">
        <v>0.017617</v>
      </c>
      <c r="G2336" s="22" t="n">
        <v>33.6</v>
      </c>
      <c r="H2336" s="22" t="n">
        <v>1.8</v>
      </c>
      <c r="I2336" s="24" t="n">
        <v>0.148791283369064</v>
      </c>
      <c r="J2336" s="6" t="n">
        <v>71000</v>
      </c>
      <c r="K2336" s="25">
        <f>23*10^-6</f>
        <v/>
      </c>
      <c r="L2336" s="8">
        <f>H2336</f>
        <v/>
      </c>
      <c r="M2336" s="26">
        <f>H2336^2/6</f>
        <v/>
      </c>
      <c r="N2336" s="26">
        <f>H2336^3/12</f>
        <v/>
      </c>
      <c r="O2336" s="27">
        <f>-J2336*L2336*K2336*C2336</f>
        <v/>
      </c>
      <c r="P2336" s="28">
        <f>-(12*F2336*J2336*L2336*N2336+12*O2336*N2336*G2336*COS(RADIANS(E2336)))/(12*N2336*G2336*COS(RADIANS(E2336))^2+L2336*G2336^3*SIN(RADIANS(E2336))^2)</f>
        <v/>
      </c>
      <c r="Q2336" s="28">
        <f>-(6*F2336*J2336*L2336*N2336*SIN(RADIANS(E2336))+6*O2336*N2336*G2336*SIN(RADIANS(E2336))*COS(RADIANS(E2336)))/(12*N2336*COS(RADIANS(E2336))^2+L2336*G2336^2*SIN(RADIANS(E2336))^2)</f>
        <v/>
      </c>
      <c r="R2336" s="28">
        <f>-P2336*SIN(RADIANS(E2336))</f>
        <v/>
      </c>
      <c r="S2336" s="8">
        <f>(O2336+P2336*COS(RADIANS(E2336)))/L2336</f>
        <v/>
      </c>
      <c r="T2336" s="8">
        <f>R2336/L2336</f>
        <v/>
      </c>
      <c r="U2336" s="8">
        <f>(Q2336-P2336*G2336*SIN(RADIANS(E2336)))/M2336</f>
        <v/>
      </c>
      <c r="V2336" s="8">
        <f>SQRT((S2336+U2336)^2+3*T2336^2)</f>
        <v/>
      </c>
      <c r="W2336" s="8">
        <f>V2336/AA2336</f>
        <v/>
      </c>
      <c r="X2336" s="27">
        <f>((3*10+H2336/COS(RADIANS(E2336)))*(3+3)+3*G2336*H2336)*2</f>
        <v/>
      </c>
      <c r="Y2336" s="28">
        <f>Z2336/X2336</f>
        <v/>
      </c>
      <c r="Z2336" s="29" t="n">
        <v>748.847816946148</v>
      </c>
      <c r="AA2336" s="20" t="n">
        <v>68.3720486312518</v>
      </c>
      <c r="AB2336" t="n">
        <v>0.2246525281764569</v>
      </c>
      <c r="AC2336" t="n">
        <v>68.20075531657511</v>
      </c>
      <c r="AD2336" t="n">
        <v>50.98500603642595</v>
      </c>
    </row>
    <row r="2337">
      <c r="A2337" t="n">
        <v>2336</v>
      </c>
      <c r="B2337" t="n">
        <v>46.6</v>
      </c>
      <c r="C2337" s="21">
        <f>B2337-20</f>
        <v/>
      </c>
      <c r="D2337" t="n">
        <v>121.3</v>
      </c>
      <c r="E2337" s="22">
        <f>D2337-90</f>
        <v/>
      </c>
      <c r="F2337" s="23" t="n">
        <v>0.009074</v>
      </c>
      <c r="G2337" s="22" t="n">
        <v>28</v>
      </c>
      <c r="H2337" s="22" t="n">
        <v>1.2</v>
      </c>
      <c r="I2337" s="24" t="n">
        <v>0.0419543199241161</v>
      </c>
      <c r="J2337" s="6" t="n">
        <v>71000</v>
      </c>
      <c r="K2337" s="25">
        <f>23*10^-6</f>
        <v/>
      </c>
      <c r="L2337" s="8">
        <f>H2337</f>
        <v/>
      </c>
      <c r="M2337" s="26">
        <f>H2337^2/6</f>
        <v/>
      </c>
      <c r="N2337" s="26">
        <f>H2337^3/12</f>
        <v/>
      </c>
      <c r="O2337" s="27">
        <f>-J2337*L2337*K2337*C2337</f>
        <v/>
      </c>
      <c r="P2337" s="28">
        <f>-(12*F2337*J2337*L2337*N2337+12*O2337*N2337*G2337*COS(RADIANS(E2337)))/(12*N2337*G2337*COS(RADIANS(E2337))^2+L2337*G2337^3*SIN(RADIANS(E2337))^2)</f>
        <v/>
      </c>
      <c r="Q2337" s="28">
        <f>-(6*F2337*J2337*L2337*N2337*SIN(RADIANS(E2337))+6*O2337*N2337*G2337*SIN(RADIANS(E2337))*COS(RADIANS(E2337)))/(12*N2337*COS(RADIANS(E2337))^2+L2337*G2337^2*SIN(RADIANS(E2337))^2)</f>
        <v/>
      </c>
      <c r="R2337" s="28">
        <f>-P2337*SIN(RADIANS(E2337))</f>
        <v/>
      </c>
      <c r="S2337" s="8">
        <f>(O2337+P2337*COS(RADIANS(E2337)))/L2337</f>
        <v/>
      </c>
      <c r="T2337" s="8">
        <f>R2337/L2337</f>
        <v/>
      </c>
      <c r="U2337" s="8">
        <f>(Q2337-P2337*G2337*SIN(RADIANS(E2337)))/M2337</f>
        <v/>
      </c>
      <c r="V2337" s="8">
        <f>SQRT((S2337+U2337)^2+3*T2337^2)</f>
        <v/>
      </c>
      <c r="W2337" s="8">
        <f>V2337/AA2337</f>
        <v/>
      </c>
      <c r="X2337" s="27">
        <f>((3*10+H2337/COS(RADIANS(E2337)))*(3+3)+3*G2337*H2337)*2</f>
        <v/>
      </c>
      <c r="Y2337" s="28">
        <f>Z2337/X2337</f>
        <v/>
      </c>
      <c r="Z2337" s="29" t="n">
        <v>585.97435519455</v>
      </c>
      <c r="AA2337" s="20" t="n">
        <v>37.1164475794234</v>
      </c>
      <c r="AB2337" t="n">
        <v>0.04763427006722104</v>
      </c>
      <c r="AC2337" t="n">
        <v>38.51697286106913</v>
      </c>
      <c r="AD2337" t="n">
        <v>13.53841547992774</v>
      </c>
    </row>
    <row r="2338">
      <c r="A2338" t="n">
        <v>2337</v>
      </c>
      <c r="B2338" t="n">
        <v>50.6</v>
      </c>
      <c r="C2338" s="21">
        <f>B2338-20</f>
        <v/>
      </c>
      <c r="D2338" t="n">
        <v>105.1</v>
      </c>
      <c r="E2338" s="22">
        <f>D2338-90</f>
        <v/>
      </c>
      <c r="F2338" s="23" t="n">
        <v>0.010142</v>
      </c>
      <c r="G2338" s="22" t="n">
        <v>23.9</v>
      </c>
      <c r="H2338" s="22" t="n">
        <v>1.2</v>
      </c>
      <c r="I2338" s="24" t="n">
        <v>0.0735581666231155</v>
      </c>
      <c r="J2338" s="6" t="n">
        <v>71000</v>
      </c>
      <c r="K2338" s="25">
        <f>23*10^-6</f>
        <v/>
      </c>
      <c r="L2338" s="8">
        <f>H2338</f>
        <v/>
      </c>
      <c r="M2338" s="26">
        <f>H2338^2/6</f>
        <v/>
      </c>
      <c r="N2338" s="26">
        <f>H2338^3/12</f>
        <v/>
      </c>
      <c r="O2338" s="27">
        <f>-J2338*L2338*K2338*C2338</f>
        <v/>
      </c>
      <c r="P2338" s="28">
        <f>-(12*F2338*J2338*L2338*N2338+12*O2338*N2338*G2338*COS(RADIANS(E2338)))/(12*N2338*G2338*COS(RADIANS(E2338))^2+L2338*G2338^3*SIN(RADIANS(E2338))^2)</f>
        <v/>
      </c>
      <c r="Q2338" s="28">
        <f>-(6*F2338*J2338*L2338*N2338*SIN(RADIANS(E2338))+6*O2338*N2338*G2338*SIN(RADIANS(E2338))*COS(RADIANS(E2338)))/(12*N2338*COS(RADIANS(E2338))^2+L2338*G2338^2*SIN(RADIANS(E2338))^2)</f>
        <v/>
      </c>
      <c r="R2338" s="28">
        <f>-P2338*SIN(RADIANS(E2338))</f>
        <v/>
      </c>
      <c r="S2338" s="8">
        <f>(O2338+P2338*COS(RADIANS(E2338)))/L2338</f>
        <v/>
      </c>
      <c r="T2338" s="8">
        <f>R2338/L2338</f>
        <v/>
      </c>
      <c r="U2338" s="8">
        <f>(Q2338-P2338*G2338*SIN(RADIANS(E2338)))/M2338</f>
        <v/>
      </c>
      <c r="V2338" s="8">
        <f>SQRT((S2338+U2338)^2+3*T2338^2)</f>
        <v/>
      </c>
      <c r="W2338" s="8">
        <f>V2338/AA2338</f>
        <v/>
      </c>
      <c r="X2338" s="27">
        <f>((3*10+H2338/COS(RADIANS(E2338)))*(3+3)+3*G2338*H2338)*2</f>
        <v/>
      </c>
      <c r="Y2338" s="28">
        <f>Z2338/X2338</f>
        <v/>
      </c>
      <c r="Z2338" s="29" t="n">
        <v>551.286895630412</v>
      </c>
      <c r="AA2338" s="20" t="n">
        <v>46.1388240073132</v>
      </c>
      <c r="AB2338" t="n">
        <v>0.0986490724503786</v>
      </c>
      <c r="AC2338" t="n">
        <v>48.90994485950836</v>
      </c>
      <c r="AD2338" t="n">
        <v>34.11029254687588</v>
      </c>
    </row>
    <row r="2339">
      <c r="A2339" t="n">
        <v>2338</v>
      </c>
      <c r="B2339" t="n">
        <v>84.7</v>
      </c>
      <c r="C2339" s="21">
        <f>B2339-20</f>
        <v/>
      </c>
      <c r="D2339" t="n">
        <v>124</v>
      </c>
      <c r="E2339" s="22">
        <f>D2339-90</f>
        <v/>
      </c>
      <c r="F2339" s="23" t="n">
        <v>0.022525</v>
      </c>
      <c r="G2339" s="22" t="n">
        <v>29.6</v>
      </c>
      <c r="H2339" s="22" t="n">
        <v>1.8</v>
      </c>
      <c r="I2339" s="24" t="n">
        <v>0.100530408322811</v>
      </c>
      <c r="J2339" s="6" t="n">
        <v>71000</v>
      </c>
      <c r="K2339" s="25">
        <f>23*10^-6</f>
        <v/>
      </c>
      <c r="L2339" s="8">
        <f>H2339</f>
        <v/>
      </c>
      <c r="M2339" s="26">
        <f>H2339^2/6</f>
        <v/>
      </c>
      <c r="N2339" s="26">
        <f>H2339^3/12</f>
        <v/>
      </c>
      <c r="O2339" s="27">
        <f>-J2339*L2339*K2339*C2339</f>
        <v/>
      </c>
      <c r="P2339" s="28">
        <f>-(12*F2339*J2339*L2339*N2339+12*O2339*N2339*G2339*COS(RADIANS(E2339)))/(12*N2339*G2339*COS(RADIANS(E2339))^2+L2339*G2339^3*SIN(RADIANS(E2339))^2)</f>
        <v/>
      </c>
      <c r="Q2339" s="28">
        <f>-(6*F2339*J2339*L2339*N2339*SIN(RADIANS(E2339))+6*O2339*N2339*G2339*SIN(RADIANS(E2339))*COS(RADIANS(E2339)))/(12*N2339*COS(RADIANS(E2339))^2+L2339*G2339^2*SIN(RADIANS(E2339))^2)</f>
        <v/>
      </c>
      <c r="R2339" s="28">
        <f>-P2339*SIN(RADIANS(E2339))</f>
        <v/>
      </c>
      <c r="S2339" s="8">
        <f>(O2339+P2339*COS(RADIANS(E2339)))/L2339</f>
        <v/>
      </c>
      <c r="T2339" s="8">
        <f>R2339/L2339</f>
        <v/>
      </c>
      <c r="U2339" s="8">
        <f>(Q2339-P2339*G2339*SIN(RADIANS(E2339)))/M2339</f>
        <v/>
      </c>
      <c r="V2339" s="8">
        <f>SQRT((S2339+U2339)^2+3*T2339^2)</f>
        <v/>
      </c>
      <c r="W2339" s="8">
        <f>V2339/AA2339</f>
        <v/>
      </c>
      <c r="X2339" s="27">
        <f>((3*10+H2339/COS(RADIANS(E2339)))*(3+3)+3*G2339*H2339)*2</f>
        <v/>
      </c>
      <c r="Y2339" s="28">
        <f>Z2339/X2339</f>
        <v/>
      </c>
      <c r="Z2339" s="29" t="n">
        <v>714.11716783742</v>
      </c>
      <c r="AA2339" s="20" t="n">
        <v>101.075139900008</v>
      </c>
      <c r="AB2339" t="n">
        <v>0.1111385868904603</v>
      </c>
      <c r="AC2339" t="n">
        <v>95.56497325311376</v>
      </c>
      <c r="AD2339" t="n">
        <v>10.55220877407127</v>
      </c>
    </row>
    <row r="2340">
      <c r="A2340" t="n">
        <v>2339</v>
      </c>
      <c r="B2340" t="n">
        <v>46.4</v>
      </c>
      <c r="C2340" s="21">
        <f>B2340-20</f>
        <v/>
      </c>
      <c r="D2340" t="n">
        <v>120.3</v>
      </c>
      <c r="E2340" s="22">
        <f>D2340-90</f>
        <v/>
      </c>
      <c r="F2340" s="23" t="n">
        <v>0.007756</v>
      </c>
      <c r="G2340" s="22" t="n">
        <v>22.9</v>
      </c>
      <c r="H2340" s="22" t="n">
        <v>1.4</v>
      </c>
      <c r="I2340" s="24" t="n">
        <v>0.037487618625164</v>
      </c>
      <c r="J2340" s="6" t="n">
        <v>71000</v>
      </c>
      <c r="K2340" s="25">
        <f>23*10^-6</f>
        <v/>
      </c>
      <c r="L2340" s="8">
        <f>H2340</f>
        <v/>
      </c>
      <c r="M2340" s="26">
        <f>H2340^2/6</f>
        <v/>
      </c>
      <c r="N2340" s="26">
        <f>H2340^3/12</f>
        <v/>
      </c>
      <c r="O2340" s="27">
        <f>-J2340*L2340*K2340*C2340</f>
        <v/>
      </c>
      <c r="P2340" s="28">
        <f>-(12*F2340*J2340*L2340*N2340+12*O2340*N2340*G2340*COS(RADIANS(E2340)))/(12*N2340*G2340*COS(RADIANS(E2340))^2+L2340*G2340^3*SIN(RADIANS(E2340))^2)</f>
        <v/>
      </c>
      <c r="Q2340" s="28">
        <f>-(6*F2340*J2340*L2340*N2340*SIN(RADIANS(E2340))+6*O2340*N2340*G2340*SIN(RADIANS(E2340))*COS(RADIANS(E2340)))/(12*N2340*COS(RADIANS(E2340))^2+L2340*G2340^2*SIN(RADIANS(E2340))^2)</f>
        <v/>
      </c>
      <c r="R2340" s="28">
        <f>-P2340*SIN(RADIANS(E2340))</f>
        <v/>
      </c>
      <c r="S2340" s="8">
        <f>(O2340+P2340*COS(RADIANS(E2340)))/L2340</f>
        <v/>
      </c>
      <c r="T2340" s="8">
        <f>R2340/L2340</f>
        <v/>
      </c>
      <c r="U2340" s="8">
        <f>(Q2340-P2340*G2340*SIN(RADIANS(E2340)))/M2340</f>
        <v/>
      </c>
      <c r="V2340" s="8">
        <f>SQRT((S2340+U2340)^2+3*T2340^2)</f>
        <v/>
      </c>
      <c r="W2340" s="8">
        <f>V2340/AA2340</f>
        <v/>
      </c>
      <c r="X2340" s="27">
        <f>((3*10+H2340/COS(RADIANS(E2340)))*(3+3)+3*G2340*H2340)*2</f>
        <v/>
      </c>
      <c r="Y2340" s="28">
        <f>Z2340/X2340</f>
        <v/>
      </c>
      <c r="Z2340" s="29" t="n">
        <v>579.048911129132</v>
      </c>
      <c r="AA2340" s="20" t="n">
        <v>39.7626771082005</v>
      </c>
      <c r="AB2340" t="n">
        <v>0.0403422831145265</v>
      </c>
      <c r="AC2340" t="n">
        <v>39.21906682290228</v>
      </c>
      <c r="AD2340" t="n">
        <v>7.614952867254885</v>
      </c>
    </row>
    <row r="2341">
      <c r="A2341" t="n">
        <v>2340</v>
      </c>
      <c r="B2341" t="n">
        <v>73.2</v>
      </c>
      <c r="C2341" s="21">
        <f>B2341-20</f>
        <v/>
      </c>
      <c r="D2341" t="n">
        <v>110.8</v>
      </c>
      <c r="E2341" s="22">
        <f>D2341-90</f>
        <v/>
      </c>
      <c r="F2341" s="23" t="n">
        <v>0.015658</v>
      </c>
      <c r="G2341" s="22" t="n">
        <v>21.2</v>
      </c>
      <c r="H2341" s="22" t="n">
        <v>1.8</v>
      </c>
      <c r="I2341" s="24" t="n">
        <v>0.0918664634227752</v>
      </c>
      <c r="J2341" s="6" t="n">
        <v>71000</v>
      </c>
      <c r="K2341" s="25">
        <f>23*10^-6</f>
        <v/>
      </c>
      <c r="L2341" s="8">
        <f>H2341</f>
        <v/>
      </c>
      <c r="M2341" s="26">
        <f>H2341^2/6</f>
        <v/>
      </c>
      <c r="N2341" s="26">
        <f>H2341^3/12</f>
        <v/>
      </c>
      <c r="O2341" s="27">
        <f>-J2341*L2341*K2341*C2341</f>
        <v/>
      </c>
      <c r="P2341" s="28">
        <f>-(12*F2341*J2341*L2341*N2341+12*O2341*N2341*G2341*COS(RADIANS(E2341)))/(12*N2341*G2341*COS(RADIANS(E2341))^2+L2341*G2341^3*SIN(RADIANS(E2341))^2)</f>
        <v/>
      </c>
      <c r="Q2341" s="28">
        <f>-(6*F2341*J2341*L2341*N2341*SIN(RADIANS(E2341))+6*O2341*N2341*G2341*SIN(RADIANS(E2341))*COS(RADIANS(E2341)))/(12*N2341*COS(RADIANS(E2341))^2+L2341*G2341^2*SIN(RADIANS(E2341))^2)</f>
        <v/>
      </c>
      <c r="R2341" s="28">
        <f>-P2341*SIN(RADIANS(E2341))</f>
        <v/>
      </c>
      <c r="S2341" s="8">
        <f>(O2341+P2341*COS(RADIANS(E2341)))/L2341</f>
        <v/>
      </c>
      <c r="T2341" s="8">
        <f>R2341/L2341</f>
        <v/>
      </c>
      <c r="U2341" s="8">
        <f>(Q2341-P2341*G2341*SIN(RADIANS(E2341)))/M2341</f>
        <v/>
      </c>
      <c r="V2341" s="8">
        <f>SQRT((S2341+U2341)^2+3*T2341^2)</f>
        <v/>
      </c>
      <c r="W2341" s="8">
        <f>V2341/AA2341</f>
        <v/>
      </c>
      <c r="X2341" s="27">
        <f>((3*10+H2341/COS(RADIANS(E2341)))*(3+3)+3*G2341*H2341)*2</f>
        <v/>
      </c>
      <c r="Y2341" s="28">
        <f>Z2341/X2341</f>
        <v/>
      </c>
      <c r="Z2341" s="29" t="n">
        <v>617.172777360907</v>
      </c>
      <c r="AA2341" s="20" t="n">
        <v>91.56702374218339</v>
      </c>
      <c r="AB2341" t="n">
        <v>0.1085498112201357</v>
      </c>
      <c r="AC2341" t="n">
        <v>86.42053468980369</v>
      </c>
      <c r="AD2341" t="n">
        <v>18.16043328084011</v>
      </c>
    </row>
    <row r="2342">
      <c r="A2342" t="n">
        <v>2341</v>
      </c>
      <c r="B2342" t="n">
        <v>74.5</v>
      </c>
      <c r="C2342" s="21">
        <f>B2342-20</f>
        <v/>
      </c>
      <c r="D2342" t="n">
        <v>109.8</v>
      </c>
      <c r="E2342" s="22">
        <f>D2342-90</f>
        <v/>
      </c>
      <c r="F2342" s="23" t="n">
        <v>0.023077</v>
      </c>
      <c r="G2342" s="22" t="n">
        <v>33.1</v>
      </c>
      <c r="H2342" s="22" t="n">
        <v>1.7</v>
      </c>
      <c r="I2342" s="24" t="n">
        <v>0.13349974155426</v>
      </c>
      <c r="J2342" s="6" t="n">
        <v>71000</v>
      </c>
      <c r="K2342" s="25">
        <f>23*10^-6</f>
        <v/>
      </c>
      <c r="L2342" s="8">
        <f>H2342</f>
        <v/>
      </c>
      <c r="M2342" s="26">
        <f>H2342^2/6</f>
        <v/>
      </c>
      <c r="N2342" s="26">
        <f>H2342^3/12</f>
        <v/>
      </c>
      <c r="O2342" s="27">
        <f>-J2342*L2342*K2342*C2342</f>
        <v/>
      </c>
      <c r="P2342" s="28">
        <f>-(12*F2342*J2342*L2342*N2342+12*O2342*N2342*G2342*COS(RADIANS(E2342)))/(12*N2342*G2342*COS(RADIANS(E2342))^2+L2342*G2342^3*SIN(RADIANS(E2342))^2)</f>
        <v/>
      </c>
      <c r="Q2342" s="28">
        <f>-(6*F2342*J2342*L2342*N2342*SIN(RADIANS(E2342))+6*O2342*N2342*G2342*SIN(RADIANS(E2342))*COS(RADIANS(E2342)))/(12*N2342*COS(RADIANS(E2342))^2+L2342*G2342^2*SIN(RADIANS(E2342))^2)</f>
        <v/>
      </c>
      <c r="R2342" s="28">
        <f>-P2342*SIN(RADIANS(E2342))</f>
        <v/>
      </c>
      <c r="S2342" s="8">
        <f>(O2342+P2342*COS(RADIANS(E2342)))/L2342</f>
        <v/>
      </c>
      <c r="T2342" s="8">
        <f>R2342/L2342</f>
        <v/>
      </c>
      <c r="U2342" s="8">
        <f>(Q2342-P2342*G2342*SIN(RADIANS(E2342)))/M2342</f>
        <v/>
      </c>
      <c r="V2342" s="8">
        <f>SQRT((S2342+U2342)^2+3*T2342^2)</f>
        <v/>
      </c>
      <c r="W2342" s="8">
        <f>V2342/AA2342</f>
        <v/>
      </c>
      <c r="X2342" s="27">
        <f>((3*10+H2342/COS(RADIANS(E2342)))*(3+3)+3*G2342*H2342)*2</f>
        <v/>
      </c>
      <c r="Y2342" s="28">
        <f>Z2342/X2342</f>
        <v/>
      </c>
      <c r="Z2342" s="29" t="n">
        <v>724.243455626164</v>
      </c>
      <c r="AA2342" s="20" t="n">
        <v>85.66232032117981</v>
      </c>
      <c r="AB2342" t="n">
        <v>0.1826983750606572</v>
      </c>
      <c r="AC2342" t="n">
        <v>85.15691454917486</v>
      </c>
      <c r="AD2342" t="n">
        <v>36.85298033809357</v>
      </c>
    </row>
    <row r="2343">
      <c r="A2343" t="n">
        <v>2342</v>
      </c>
      <c r="B2343" t="n">
        <v>74.3</v>
      </c>
      <c r="C2343" s="21">
        <f>B2343-20</f>
        <v/>
      </c>
      <c r="D2343" t="n">
        <v>108.7</v>
      </c>
      <c r="E2343" s="22">
        <f>D2343-90</f>
        <v/>
      </c>
      <c r="F2343" s="23" t="n">
        <v>0.020484</v>
      </c>
      <c r="G2343" s="22" t="n">
        <v>28.6</v>
      </c>
      <c r="H2343" s="22" t="n">
        <v>1.1</v>
      </c>
      <c r="I2343" s="24" t="n">
        <v>0.125941261649131</v>
      </c>
      <c r="J2343" s="6" t="n">
        <v>71000</v>
      </c>
      <c r="K2343" s="25">
        <f>23*10^-6</f>
        <v/>
      </c>
      <c r="L2343" s="8">
        <f>H2343</f>
        <v/>
      </c>
      <c r="M2343" s="26">
        <f>H2343^2/6</f>
        <v/>
      </c>
      <c r="N2343" s="26">
        <f>H2343^3/12</f>
        <v/>
      </c>
      <c r="O2343" s="27">
        <f>-J2343*L2343*K2343*C2343</f>
        <v/>
      </c>
      <c r="P2343" s="28">
        <f>-(12*F2343*J2343*L2343*N2343+12*O2343*N2343*G2343*COS(RADIANS(E2343)))/(12*N2343*G2343*COS(RADIANS(E2343))^2+L2343*G2343^3*SIN(RADIANS(E2343))^2)</f>
        <v/>
      </c>
      <c r="Q2343" s="28">
        <f>-(6*F2343*J2343*L2343*N2343*SIN(RADIANS(E2343))+6*O2343*N2343*G2343*SIN(RADIANS(E2343))*COS(RADIANS(E2343)))/(12*N2343*COS(RADIANS(E2343))^2+L2343*G2343^2*SIN(RADIANS(E2343))^2)</f>
        <v/>
      </c>
      <c r="R2343" s="28">
        <f>-P2343*SIN(RADIANS(E2343))</f>
        <v/>
      </c>
      <c r="S2343" s="8">
        <f>(O2343+P2343*COS(RADIANS(E2343)))/L2343</f>
        <v/>
      </c>
      <c r="T2343" s="8">
        <f>R2343/L2343</f>
        <v/>
      </c>
      <c r="U2343" s="8">
        <f>(Q2343-P2343*G2343*SIN(RADIANS(E2343)))/M2343</f>
        <v/>
      </c>
      <c r="V2343" s="8">
        <f>SQRT((S2343+U2343)^2+3*T2343^2)</f>
        <v/>
      </c>
      <c r="W2343" s="8">
        <f>V2343/AA2343</f>
        <v/>
      </c>
      <c r="X2343" s="27">
        <f>((3*10+H2343/COS(RADIANS(E2343)))*(3+3)+3*G2343*H2343)*2</f>
        <v/>
      </c>
      <c r="Y2343" s="28">
        <f>Z2343/X2343</f>
        <v/>
      </c>
      <c r="Z2343" s="29" t="n">
        <v>567.466851893868</v>
      </c>
      <c r="AA2343" s="20" t="n">
        <v>77.597330129941</v>
      </c>
      <c r="AB2343" t="n">
        <v>0.1696430303550297</v>
      </c>
      <c r="AC2343" t="n">
        <v>82.24948627611734</v>
      </c>
      <c r="AD2343" t="n">
        <v>34.70011982859968</v>
      </c>
    </row>
    <row r="2344">
      <c r="A2344" t="n">
        <v>2343</v>
      </c>
      <c r="B2344" t="n">
        <v>73.3</v>
      </c>
      <c r="C2344" s="21">
        <f>B2344-20</f>
        <v/>
      </c>
      <c r="D2344" t="n">
        <v>115.8</v>
      </c>
      <c r="E2344" s="22">
        <f>D2344-90</f>
        <v/>
      </c>
      <c r="F2344" s="23" t="n">
        <v>0.015954</v>
      </c>
      <c r="G2344" s="22" t="n">
        <v>22.5</v>
      </c>
      <c r="H2344" s="22" t="n">
        <v>1.2</v>
      </c>
      <c r="I2344" s="24" t="n">
        <v>0.0833616405725479</v>
      </c>
      <c r="J2344" s="6" t="n">
        <v>71000</v>
      </c>
      <c r="K2344" s="25">
        <f>23*10^-6</f>
        <v/>
      </c>
      <c r="L2344" s="8">
        <f>H2344</f>
        <v/>
      </c>
      <c r="M2344" s="26">
        <f>H2344^2/6</f>
        <v/>
      </c>
      <c r="N2344" s="26">
        <f>H2344^3/12</f>
        <v/>
      </c>
      <c r="O2344" s="27">
        <f>-J2344*L2344*K2344*C2344</f>
        <v/>
      </c>
      <c r="P2344" s="28">
        <f>-(12*F2344*J2344*L2344*N2344+12*O2344*N2344*G2344*COS(RADIANS(E2344)))/(12*N2344*G2344*COS(RADIANS(E2344))^2+L2344*G2344^3*SIN(RADIANS(E2344))^2)</f>
        <v/>
      </c>
      <c r="Q2344" s="28">
        <f>-(6*F2344*J2344*L2344*N2344*SIN(RADIANS(E2344))+6*O2344*N2344*G2344*SIN(RADIANS(E2344))*COS(RADIANS(E2344)))/(12*N2344*COS(RADIANS(E2344))^2+L2344*G2344^2*SIN(RADIANS(E2344))^2)</f>
        <v/>
      </c>
      <c r="R2344" s="28">
        <f>-P2344*SIN(RADIANS(E2344))</f>
        <v/>
      </c>
      <c r="S2344" s="8">
        <f>(O2344+P2344*COS(RADIANS(E2344)))/L2344</f>
        <v/>
      </c>
      <c r="T2344" s="8">
        <f>R2344/L2344</f>
        <v/>
      </c>
      <c r="U2344" s="8">
        <f>(Q2344-P2344*G2344*SIN(RADIANS(E2344)))/M2344</f>
        <v/>
      </c>
      <c r="V2344" s="8">
        <f>SQRT((S2344+U2344)^2+3*T2344^2)</f>
        <v/>
      </c>
      <c r="W2344" s="8">
        <f>V2344/AA2344</f>
        <v/>
      </c>
      <c r="X2344" s="27">
        <f>((3*10+H2344/COS(RADIANS(E2344)))*(3+3)+3*G2344*H2344)*2</f>
        <v/>
      </c>
      <c r="Y2344" s="28">
        <f>Z2344/X2344</f>
        <v/>
      </c>
      <c r="Z2344" s="29" t="n">
        <v>544.085189277249</v>
      </c>
      <c r="AA2344" s="20" t="n">
        <v>77.9259278139866</v>
      </c>
      <c r="AB2344" t="n">
        <v>0.09512645463932037</v>
      </c>
      <c r="AC2344" t="n">
        <v>79.65063923874069</v>
      </c>
      <c r="AD2344" t="n">
        <v>14.11298288513624</v>
      </c>
    </row>
    <row r="2345">
      <c r="A2345" t="n">
        <v>2344</v>
      </c>
      <c r="B2345" t="n">
        <v>75.09999999999999</v>
      </c>
      <c r="C2345" s="21">
        <f>B2345-20</f>
        <v/>
      </c>
      <c r="D2345" t="n">
        <v>104.2</v>
      </c>
      <c r="E2345" s="22">
        <f>D2345-90</f>
        <v/>
      </c>
      <c r="F2345" s="23" t="n">
        <v>0.018444</v>
      </c>
      <c r="G2345" s="22" t="n">
        <v>24.1</v>
      </c>
      <c r="H2345" s="22" t="n">
        <v>1.3</v>
      </c>
      <c r="I2345" s="24" t="n">
        <v>0.138926014304161</v>
      </c>
      <c r="J2345" s="6" t="n">
        <v>71000</v>
      </c>
      <c r="K2345" s="25">
        <f>23*10^-6</f>
        <v/>
      </c>
      <c r="L2345" s="8">
        <f>H2345</f>
        <v/>
      </c>
      <c r="M2345" s="26">
        <f>H2345^2/6</f>
        <v/>
      </c>
      <c r="N2345" s="26">
        <f>H2345^3/12</f>
        <v/>
      </c>
      <c r="O2345" s="27">
        <f>-J2345*L2345*K2345*C2345</f>
        <v/>
      </c>
      <c r="P2345" s="28">
        <f>-(12*F2345*J2345*L2345*N2345+12*O2345*N2345*G2345*COS(RADIANS(E2345)))/(12*N2345*G2345*COS(RADIANS(E2345))^2+L2345*G2345^3*SIN(RADIANS(E2345))^2)</f>
        <v/>
      </c>
      <c r="Q2345" s="28">
        <f>-(6*F2345*J2345*L2345*N2345*SIN(RADIANS(E2345))+6*O2345*N2345*G2345*SIN(RADIANS(E2345))*COS(RADIANS(E2345)))/(12*N2345*COS(RADIANS(E2345))^2+L2345*G2345^2*SIN(RADIANS(E2345))^2)</f>
        <v/>
      </c>
      <c r="R2345" s="28">
        <f>-P2345*SIN(RADIANS(E2345))</f>
        <v/>
      </c>
      <c r="S2345" s="8">
        <f>(O2345+P2345*COS(RADIANS(E2345)))/L2345</f>
        <v/>
      </c>
      <c r="T2345" s="8">
        <f>R2345/L2345</f>
        <v/>
      </c>
      <c r="U2345" s="8">
        <f>(Q2345-P2345*G2345*SIN(RADIANS(E2345)))/M2345</f>
        <v/>
      </c>
      <c r="V2345" s="8">
        <f>SQRT((S2345+U2345)^2+3*T2345^2)</f>
        <v/>
      </c>
      <c r="W2345" s="8">
        <f>V2345/AA2345</f>
        <v/>
      </c>
      <c r="X2345" s="27">
        <f>((3*10+H2345/COS(RADIANS(E2345)))*(3+3)+3*G2345*H2345)*2</f>
        <v/>
      </c>
      <c r="Y2345" s="28">
        <f>Z2345/X2345</f>
        <v/>
      </c>
      <c r="Z2345" s="29" t="n">
        <v>568.261728769771</v>
      </c>
      <c r="AA2345" s="20" t="n">
        <v>85.9095537624934</v>
      </c>
      <c r="AB2345" t="n">
        <v>0.188613116505986</v>
      </c>
      <c r="AC2345" t="n">
        <v>89.86464994963008</v>
      </c>
      <c r="AD2345" t="n">
        <v>35.76515345285971</v>
      </c>
    </row>
    <row r="2346">
      <c r="A2346" t="n">
        <v>2345</v>
      </c>
      <c r="B2346" t="n">
        <v>84.90000000000001</v>
      </c>
      <c r="C2346" s="21">
        <f>B2346-20</f>
        <v/>
      </c>
      <c r="D2346" t="n">
        <v>112.8</v>
      </c>
      <c r="E2346" s="22">
        <f>D2346-90</f>
        <v/>
      </c>
      <c r="F2346" s="23" t="n">
        <v>0.018148</v>
      </c>
      <c r="G2346" s="22" t="n">
        <v>20.1</v>
      </c>
      <c r="H2346" s="22" t="n">
        <v>1.6</v>
      </c>
      <c r="I2346" s="24" t="n">
        <v>0.102381229400634</v>
      </c>
      <c r="J2346" s="6" t="n">
        <v>71000</v>
      </c>
      <c r="K2346" s="25">
        <f>23*10^-6</f>
        <v/>
      </c>
      <c r="L2346" s="8">
        <f>H2346</f>
        <v/>
      </c>
      <c r="M2346" s="26">
        <f>H2346^2/6</f>
        <v/>
      </c>
      <c r="N2346" s="26">
        <f>H2346^3/12</f>
        <v/>
      </c>
      <c r="O2346" s="27">
        <f>-J2346*L2346*K2346*C2346</f>
        <v/>
      </c>
      <c r="P2346" s="28">
        <f>-(12*F2346*J2346*L2346*N2346+12*O2346*N2346*G2346*COS(RADIANS(E2346)))/(12*N2346*G2346*COS(RADIANS(E2346))^2+L2346*G2346^3*SIN(RADIANS(E2346))^2)</f>
        <v/>
      </c>
      <c r="Q2346" s="28">
        <f>-(6*F2346*J2346*L2346*N2346*SIN(RADIANS(E2346))+6*O2346*N2346*G2346*SIN(RADIANS(E2346))*COS(RADIANS(E2346)))/(12*N2346*COS(RADIANS(E2346))^2+L2346*G2346^2*SIN(RADIANS(E2346))^2)</f>
        <v/>
      </c>
      <c r="R2346" s="28">
        <f>-P2346*SIN(RADIANS(E2346))</f>
        <v/>
      </c>
      <c r="S2346" s="8">
        <f>(O2346+P2346*COS(RADIANS(E2346)))/L2346</f>
        <v/>
      </c>
      <c r="T2346" s="8">
        <f>R2346/L2346</f>
        <v/>
      </c>
      <c r="U2346" s="8">
        <f>(Q2346-P2346*G2346*SIN(RADIANS(E2346)))/M2346</f>
        <v/>
      </c>
      <c r="V2346" s="8">
        <f>SQRT((S2346+U2346)^2+3*T2346^2)</f>
        <v/>
      </c>
      <c r="W2346" s="8">
        <f>V2346/AA2346</f>
        <v/>
      </c>
      <c r="X2346" s="27">
        <f>((3*10+H2346/COS(RADIANS(E2346)))*(3+3)+3*G2346*H2346)*2</f>
        <v/>
      </c>
      <c r="Y2346" s="28">
        <f>Z2346/X2346</f>
        <v/>
      </c>
      <c r="Z2346" s="29" t="n">
        <v>579.255248624418</v>
      </c>
      <c r="AA2346" s="20" t="n">
        <v>106.8337513376</v>
      </c>
      <c r="AB2346" t="n">
        <v>0.1161589666091905</v>
      </c>
      <c r="AC2346" t="n">
        <v>102.5718293550605</v>
      </c>
      <c r="AD2346" t="n">
        <v>13.45728830295834</v>
      </c>
    </row>
    <row r="2347">
      <c r="A2347" t="n">
        <v>2346</v>
      </c>
      <c r="B2347" t="n">
        <v>72.09999999999999</v>
      </c>
      <c r="C2347" s="21">
        <f>B2347-20</f>
        <v/>
      </c>
      <c r="D2347" t="n">
        <v>123.7</v>
      </c>
      <c r="E2347" s="22">
        <f>D2347-90</f>
        <v/>
      </c>
      <c r="F2347" s="23" t="n">
        <v>0.015126</v>
      </c>
      <c r="G2347" s="22" t="n">
        <v>23.4</v>
      </c>
      <c r="H2347" s="22" t="n">
        <v>1.7</v>
      </c>
      <c r="I2347" s="24" t="n">
        <v>0.07010554522275921</v>
      </c>
      <c r="J2347" s="6" t="n">
        <v>71000</v>
      </c>
      <c r="K2347" s="25">
        <f>23*10^-6</f>
        <v/>
      </c>
      <c r="L2347" s="8">
        <f>H2347</f>
        <v/>
      </c>
      <c r="M2347" s="26">
        <f>H2347^2/6</f>
        <v/>
      </c>
      <c r="N2347" s="26">
        <f>H2347^3/12</f>
        <v/>
      </c>
      <c r="O2347" s="27">
        <f>-J2347*L2347*K2347*C2347</f>
        <v/>
      </c>
      <c r="P2347" s="28">
        <f>-(12*F2347*J2347*L2347*N2347+12*O2347*N2347*G2347*COS(RADIANS(E2347)))/(12*N2347*G2347*COS(RADIANS(E2347))^2+L2347*G2347^3*SIN(RADIANS(E2347))^2)</f>
        <v/>
      </c>
      <c r="Q2347" s="28">
        <f>-(6*F2347*J2347*L2347*N2347*SIN(RADIANS(E2347))+6*O2347*N2347*G2347*SIN(RADIANS(E2347))*COS(RADIANS(E2347)))/(12*N2347*COS(RADIANS(E2347))^2+L2347*G2347^2*SIN(RADIANS(E2347))^2)</f>
        <v/>
      </c>
      <c r="R2347" s="28">
        <f>-P2347*SIN(RADIANS(E2347))</f>
        <v/>
      </c>
      <c r="S2347" s="8">
        <f>(O2347+P2347*COS(RADIANS(E2347)))/L2347</f>
        <v/>
      </c>
      <c r="T2347" s="8">
        <f>R2347/L2347</f>
        <v/>
      </c>
      <c r="U2347" s="8">
        <f>(Q2347-P2347*G2347*SIN(RADIANS(E2347)))/M2347</f>
        <v/>
      </c>
      <c r="V2347" s="8">
        <f>SQRT((S2347+U2347)^2+3*T2347^2)</f>
        <v/>
      </c>
      <c r="W2347" s="8">
        <f>V2347/AA2347</f>
        <v/>
      </c>
      <c r="X2347" s="27">
        <f>((3*10+H2347/COS(RADIANS(E2347)))*(3+3)+3*G2347*H2347)*2</f>
        <v/>
      </c>
      <c r="Y2347" s="28">
        <f>Z2347/X2347</f>
        <v/>
      </c>
      <c r="Z2347" s="29" t="n">
        <v>631.48195681973</v>
      </c>
      <c r="AA2347" s="20" t="n">
        <v>82.55956164049159</v>
      </c>
      <c r="AB2347" t="n">
        <v>0.07224106005166081</v>
      </c>
      <c r="AC2347" t="n">
        <v>77.63470415627096</v>
      </c>
      <c r="AD2347" t="n">
        <v>3.0461425299754</v>
      </c>
    </row>
    <row r="2348">
      <c r="A2348" t="n">
        <v>2347</v>
      </c>
      <c r="B2348" t="n">
        <v>58.7</v>
      </c>
      <c r="C2348" s="21">
        <f>B2348-20</f>
        <v/>
      </c>
      <c r="D2348" t="n">
        <v>108</v>
      </c>
      <c r="E2348" s="22">
        <f>D2348-90</f>
        <v/>
      </c>
      <c r="F2348" s="23" t="n">
        <v>0.01213</v>
      </c>
      <c r="G2348" s="22" t="n">
        <v>22.6</v>
      </c>
      <c r="H2348" s="22" t="n">
        <v>1.5</v>
      </c>
      <c r="I2348" s="24" t="n">
        <v>0.0777931064367294</v>
      </c>
      <c r="J2348" s="6" t="n">
        <v>71000</v>
      </c>
      <c r="K2348" s="25">
        <f>23*10^-6</f>
        <v/>
      </c>
      <c r="L2348" s="8">
        <f>H2348</f>
        <v/>
      </c>
      <c r="M2348" s="26">
        <f>H2348^2/6</f>
        <v/>
      </c>
      <c r="N2348" s="26">
        <f>H2348^3/12</f>
        <v/>
      </c>
      <c r="O2348" s="27">
        <f>-J2348*L2348*K2348*C2348</f>
        <v/>
      </c>
      <c r="P2348" s="28">
        <f>-(12*F2348*J2348*L2348*N2348+12*O2348*N2348*G2348*COS(RADIANS(E2348)))/(12*N2348*G2348*COS(RADIANS(E2348))^2+L2348*G2348^3*SIN(RADIANS(E2348))^2)</f>
        <v/>
      </c>
      <c r="Q2348" s="28">
        <f>-(6*F2348*J2348*L2348*N2348*SIN(RADIANS(E2348))+6*O2348*N2348*G2348*SIN(RADIANS(E2348))*COS(RADIANS(E2348)))/(12*N2348*COS(RADIANS(E2348))^2+L2348*G2348^2*SIN(RADIANS(E2348))^2)</f>
        <v/>
      </c>
      <c r="R2348" s="28">
        <f>-P2348*SIN(RADIANS(E2348))</f>
        <v/>
      </c>
      <c r="S2348" s="8">
        <f>(O2348+P2348*COS(RADIANS(E2348)))/L2348</f>
        <v/>
      </c>
      <c r="T2348" s="8">
        <f>R2348/L2348</f>
        <v/>
      </c>
      <c r="U2348" s="8">
        <f>(Q2348-P2348*G2348*SIN(RADIANS(E2348)))/M2348</f>
        <v/>
      </c>
      <c r="V2348" s="8">
        <f>SQRT((S2348+U2348)^2+3*T2348^2)</f>
        <v/>
      </c>
      <c r="W2348" s="8">
        <f>V2348/AA2348</f>
        <v/>
      </c>
      <c r="X2348" s="27">
        <f>((3*10+H2348/COS(RADIANS(E2348)))*(3+3)+3*G2348*H2348)*2</f>
        <v/>
      </c>
      <c r="Y2348" s="28">
        <f>Z2348/X2348</f>
        <v/>
      </c>
      <c r="Z2348" s="29" t="n">
        <v>586.9950428036479</v>
      </c>
      <c r="AA2348" s="20" t="n">
        <v>61.9134153210491</v>
      </c>
      <c r="AB2348" t="n">
        <v>0.09816842034241817</v>
      </c>
      <c r="AC2348" t="n">
        <v>62.40917279392614</v>
      </c>
      <c r="AD2348" t="n">
        <v>26.19167023785121</v>
      </c>
    </row>
    <row r="2349">
      <c r="A2349" t="n">
        <v>2348</v>
      </c>
      <c r="B2349" t="n">
        <v>42.4</v>
      </c>
      <c r="C2349" s="21">
        <f>B2349-20</f>
        <v/>
      </c>
      <c r="D2349" t="n">
        <v>109.2</v>
      </c>
      <c r="E2349" s="22">
        <f>D2349-90</f>
        <v/>
      </c>
      <c r="F2349" s="23" t="n">
        <v>0.008815</v>
      </c>
      <c r="G2349" s="22" t="n">
        <v>30.2</v>
      </c>
      <c r="H2349" s="22" t="n">
        <v>1.1</v>
      </c>
      <c r="I2349" s="24" t="n">
        <v>0.0528910756111145</v>
      </c>
      <c r="J2349" s="6" t="n">
        <v>71000</v>
      </c>
      <c r="K2349" s="25">
        <f>23*10^-6</f>
        <v/>
      </c>
      <c r="L2349" s="8">
        <f>H2349</f>
        <v/>
      </c>
      <c r="M2349" s="26">
        <f>H2349^2/6</f>
        <v/>
      </c>
      <c r="N2349" s="26">
        <f>H2349^3/12</f>
        <v/>
      </c>
      <c r="O2349" s="27">
        <f>-J2349*L2349*K2349*C2349</f>
        <v/>
      </c>
      <c r="P2349" s="28">
        <f>-(12*F2349*J2349*L2349*N2349+12*O2349*N2349*G2349*COS(RADIANS(E2349)))/(12*N2349*G2349*COS(RADIANS(E2349))^2+L2349*G2349^3*SIN(RADIANS(E2349))^2)</f>
        <v/>
      </c>
      <c r="Q2349" s="28">
        <f>-(6*F2349*J2349*L2349*N2349*SIN(RADIANS(E2349))+6*O2349*N2349*G2349*SIN(RADIANS(E2349))*COS(RADIANS(E2349)))/(12*N2349*COS(RADIANS(E2349))^2+L2349*G2349^2*SIN(RADIANS(E2349))^2)</f>
        <v/>
      </c>
      <c r="R2349" s="28">
        <f>-P2349*SIN(RADIANS(E2349))</f>
        <v/>
      </c>
      <c r="S2349" s="8">
        <f>(O2349+P2349*COS(RADIANS(E2349)))/L2349</f>
        <v/>
      </c>
      <c r="T2349" s="8">
        <f>R2349/L2349</f>
        <v/>
      </c>
      <c r="U2349" s="8">
        <f>(Q2349-P2349*G2349*SIN(RADIANS(E2349)))/M2349</f>
        <v/>
      </c>
      <c r="V2349" s="8">
        <f>SQRT((S2349+U2349)^2+3*T2349^2)</f>
        <v/>
      </c>
      <c r="W2349" s="8">
        <f>V2349/AA2349</f>
        <v/>
      </c>
      <c r="X2349" s="27">
        <f>((3*10+H2349/COS(RADIANS(E2349)))*(3+3)+3*G2349*H2349)*2</f>
        <v/>
      </c>
      <c r="Y2349" s="28">
        <f>Z2349/X2349</f>
        <v/>
      </c>
      <c r="Z2349" s="29" t="n">
        <v>578.144703932165</v>
      </c>
      <c r="AA2349" s="20" t="n">
        <v>31.7901253461921</v>
      </c>
      <c r="AB2349" t="n">
        <v>0.07180538085143597</v>
      </c>
      <c r="AC2349" t="n">
        <v>33.69176666864812</v>
      </c>
      <c r="AD2349" t="n">
        <v>35.76086328701324</v>
      </c>
    </row>
    <row r="2350">
      <c r="A2350" t="n">
        <v>2349</v>
      </c>
      <c r="B2350" t="n">
        <v>81.3</v>
      </c>
      <c r="C2350" s="21">
        <f>B2350-20</f>
        <v/>
      </c>
      <c r="D2350" t="n">
        <v>109.8</v>
      </c>
      <c r="E2350" s="22">
        <f>D2350-90</f>
        <v/>
      </c>
      <c r="F2350" s="23" t="n">
        <v>0.0196439999999999</v>
      </c>
      <c r="G2350" s="22" t="n">
        <v>23.5</v>
      </c>
      <c r="H2350" s="22" t="n">
        <v>1.7</v>
      </c>
      <c r="I2350" s="24" t="n">
        <v>0.117711402475833</v>
      </c>
      <c r="J2350" s="6" t="n">
        <v>71000</v>
      </c>
      <c r="K2350" s="25">
        <f>23*10^-6</f>
        <v/>
      </c>
      <c r="L2350" s="8">
        <f>H2350</f>
        <v/>
      </c>
      <c r="M2350" s="26">
        <f>H2350^2/6</f>
        <v/>
      </c>
      <c r="N2350" s="26">
        <f>H2350^3/12</f>
        <v/>
      </c>
      <c r="O2350" s="27">
        <f>-J2350*L2350*K2350*C2350</f>
        <v/>
      </c>
      <c r="P2350" s="28">
        <f>-(12*F2350*J2350*L2350*N2350+12*O2350*N2350*G2350*COS(RADIANS(E2350)))/(12*N2350*G2350*COS(RADIANS(E2350))^2+L2350*G2350^3*SIN(RADIANS(E2350))^2)</f>
        <v/>
      </c>
      <c r="Q2350" s="28">
        <f>-(6*F2350*J2350*L2350*N2350*SIN(RADIANS(E2350))+6*O2350*N2350*G2350*SIN(RADIANS(E2350))*COS(RADIANS(E2350)))/(12*N2350*COS(RADIANS(E2350))^2+L2350*G2350^2*SIN(RADIANS(E2350))^2)</f>
        <v/>
      </c>
      <c r="R2350" s="28">
        <f>-P2350*SIN(RADIANS(E2350))</f>
        <v/>
      </c>
      <c r="S2350" s="8">
        <f>(O2350+P2350*COS(RADIANS(E2350)))/L2350</f>
        <v/>
      </c>
      <c r="T2350" s="8">
        <f>R2350/L2350</f>
        <v/>
      </c>
      <c r="U2350" s="8">
        <f>(Q2350-P2350*G2350*SIN(RADIANS(E2350)))/M2350</f>
        <v/>
      </c>
      <c r="V2350" s="8">
        <f>SQRT((S2350+U2350)^2+3*T2350^2)</f>
        <v/>
      </c>
      <c r="W2350" s="8">
        <f>V2350/AA2350</f>
        <v/>
      </c>
      <c r="X2350" s="27">
        <f>((3*10+H2350/COS(RADIANS(E2350)))*(3+3)+3*G2350*H2350)*2</f>
        <v/>
      </c>
      <c r="Y2350" s="28">
        <f>Z2350/X2350</f>
        <v/>
      </c>
      <c r="Z2350" s="29" t="n">
        <v>626.323455626163</v>
      </c>
      <c r="AA2350" s="20" t="n">
        <v>101.952089524751</v>
      </c>
      <c r="AB2350" t="n">
        <v>0.1461884607312541</v>
      </c>
      <c r="AC2350" t="n">
        <v>98.79767977539723</v>
      </c>
      <c r="AD2350" t="n">
        <v>24.19226825648233</v>
      </c>
    </row>
    <row r="2351">
      <c r="A2351" t="n">
        <v>2350</v>
      </c>
      <c r="B2351" t="n">
        <v>75.40000000000001</v>
      </c>
      <c r="C2351" s="21">
        <f>B2351-20</f>
        <v/>
      </c>
      <c r="D2351" t="n">
        <v>120.1</v>
      </c>
      <c r="E2351" s="22">
        <f>D2351-90</f>
        <v/>
      </c>
      <c r="F2351" s="23" t="n">
        <v>0.015865</v>
      </c>
      <c r="G2351" s="22" t="n">
        <v>22.1</v>
      </c>
      <c r="H2351" s="22" t="n">
        <v>1.1</v>
      </c>
      <c r="I2351" s="24" t="n">
        <v>0.0773154199123382</v>
      </c>
      <c r="J2351" s="6" t="n">
        <v>71000</v>
      </c>
      <c r="K2351" s="25">
        <f>23*10^-6</f>
        <v/>
      </c>
      <c r="L2351" s="8">
        <f>H2351</f>
        <v/>
      </c>
      <c r="M2351" s="26">
        <f>H2351^2/6</f>
        <v/>
      </c>
      <c r="N2351" s="26">
        <f>H2351^3/12</f>
        <v/>
      </c>
      <c r="O2351" s="27">
        <f>-J2351*L2351*K2351*C2351</f>
        <v/>
      </c>
      <c r="P2351" s="28">
        <f>-(12*F2351*J2351*L2351*N2351+12*O2351*N2351*G2351*COS(RADIANS(E2351)))/(12*N2351*G2351*COS(RADIANS(E2351))^2+L2351*G2351^3*SIN(RADIANS(E2351))^2)</f>
        <v/>
      </c>
      <c r="Q2351" s="28">
        <f>-(6*F2351*J2351*L2351*N2351*SIN(RADIANS(E2351))+6*O2351*N2351*G2351*SIN(RADIANS(E2351))*COS(RADIANS(E2351)))/(12*N2351*COS(RADIANS(E2351))^2+L2351*G2351^2*SIN(RADIANS(E2351))^2)</f>
        <v/>
      </c>
      <c r="R2351" s="28">
        <f>-P2351*SIN(RADIANS(E2351))</f>
        <v/>
      </c>
      <c r="S2351" s="8">
        <f>(O2351+P2351*COS(RADIANS(E2351)))/L2351</f>
        <v/>
      </c>
      <c r="T2351" s="8">
        <f>R2351/L2351</f>
        <v/>
      </c>
      <c r="U2351" s="8">
        <f>(Q2351-P2351*G2351*SIN(RADIANS(E2351)))/M2351</f>
        <v/>
      </c>
      <c r="V2351" s="8">
        <f>SQRT((S2351+U2351)^2+3*T2351^2)</f>
        <v/>
      </c>
      <c r="W2351" s="8">
        <f>V2351/AA2351</f>
        <v/>
      </c>
      <c r="X2351" s="27">
        <f>((3*10+H2351/COS(RADIANS(E2351)))*(3+3)+3*G2351*H2351)*2</f>
        <v/>
      </c>
      <c r="Y2351" s="28">
        <f>Z2351/X2351</f>
        <v/>
      </c>
      <c r="Z2351" s="29" t="n">
        <v>528.291882772897</v>
      </c>
      <c r="AA2351" s="20" t="n">
        <v>78.3970370157078</v>
      </c>
      <c r="AB2351" t="n">
        <v>0.08283946096368623</v>
      </c>
      <c r="AC2351" t="n">
        <v>80.8558839129503</v>
      </c>
      <c r="AD2351" t="n">
        <v>7.144811549379543</v>
      </c>
    </row>
    <row r="2352">
      <c r="A2352" t="n">
        <v>2351</v>
      </c>
      <c r="B2352" t="n">
        <v>63</v>
      </c>
      <c r="C2352" s="21">
        <f>B2352-20</f>
        <v/>
      </c>
      <c r="D2352" t="n">
        <v>118.1</v>
      </c>
      <c r="E2352" s="22">
        <f>D2352-90</f>
        <v/>
      </c>
      <c r="F2352" s="23" t="n">
        <v>0.016087</v>
      </c>
      <c r="G2352" s="22" t="n">
        <v>30.4</v>
      </c>
      <c r="H2352" s="22" t="n">
        <v>1.4</v>
      </c>
      <c r="I2352" s="24" t="n">
        <v>0.0770477503538131</v>
      </c>
      <c r="J2352" s="6" t="n">
        <v>71000</v>
      </c>
      <c r="K2352" s="25">
        <f>23*10^-6</f>
        <v/>
      </c>
      <c r="L2352" s="8">
        <f>H2352</f>
        <v/>
      </c>
      <c r="M2352" s="26">
        <f>H2352^2/6</f>
        <v/>
      </c>
      <c r="N2352" s="26">
        <f>H2352^3/12</f>
        <v/>
      </c>
      <c r="O2352" s="27">
        <f>-J2352*L2352*K2352*C2352</f>
        <v/>
      </c>
      <c r="P2352" s="28">
        <f>-(12*F2352*J2352*L2352*N2352+12*O2352*N2352*G2352*COS(RADIANS(E2352)))/(12*N2352*G2352*COS(RADIANS(E2352))^2+L2352*G2352^3*SIN(RADIANS(E2352))^2)</f>
        <v/>
      </c>
      <c r="Q2352" s="28">
        <f>-(6*F2352*J2352*L2352*N2352*SIN(RADIANS(E2352))+6*O2352*N2352*G2352*SIN(RADIANS(E2352))*COS(RADIANS(E2352)))/(12*N2352*COS(RADIANS(E2352))^2+L2352*G2352^2*SIN(RADIANS(E2352))^2)</f>
        <v/>
      </c>
      <c r="R2352" s="28">
        <f>-P2352*SIN(RADIANS(E2352))</f>
        <v/>
      </c>
      <c r="S2352" s="8">
        <f>(O2352+P2352*COS(RADIANS(E2352)))/L2352</f>
        <v/>
      </c>
      <c r="T2352" s="8">
        <f>R2352/L2352</f>
        <v/>
      </c>
      <c r="U2352" s="8">
        <f>(Q2352-P2352*G2352*SIN(RADIANS(E2352)))/M2352</f>
        <v/>
      </c>
      <c r="V2352" s="8">
        <f>SQRT((S2352+U2352)^2+3*T2352^2)</f>
        <v/>
      </c>
      <c r="W2352" s="8">
        <f>V2352/AA2352</f>
        <v/>
      </c>
      <c r="X2352" s="27">
        <f>((3*10+H2352/COS(RADIANS(E2352)))*(3+3)+3*G2352*H2352)*2</f>
        <v/>
      </c>
      <c r="Y2352" s="28">
        <f>Z2352/X2352</f>
        <v/>
      </c>
      <c r="Z2352" s="29" t="n">
        <v>641.045479966035</v>
      </c>
      <c r="AA2352" s="20" t="n">
        <v>63.0487298625324</v>
      </c>
      <c r="AB2352" t="n">
        <v>0.09320247650423971</v>
      </c>
      <c r="AC2352" t="n">
        <v>63.42277889684508</v>
      </c>
      <c r="AD2352" t="n">
        <v>20.96716137232047</v>
      </c>
    </row>
    <row r="2353">
      <c r="A2353" t="n">
        <v>2352</v>
      </c>
      <c r="B2353" t="n">
        <v>80.2</v>
      </c>
      <c r="C2353" s="21">
        <f>B2353-20</f>
        <v/>
      </c>
      <c r="D2353" t="n">
        <v>112.8</v>
      </c>
      <c r="E2353" s="22">
        <f>D2353-90</f>
        <v/>
      </c>
      <c r="F2353" s="23" t="n">
        <v>0.025691</v>
      </c>
      <c r="G2353" s="22" t="n">
        <v>34.1</v>
      </c>
      <c r="H2353" s="22" t="n">
        <v>1.1</v>
      </c>
      <c r="I2353" s="24" t="n">
        <v>0.13583581149578</v>
      </c>
      <c r="J2353" s="6" t="n">
        <v>71000</v>
      </c>
      <c r="K2353" s="25">
        <f>23*10^-6</f>
        <v/>
      </c>
      <c r="L2353" s="8">
        <f>H2353</f>
        <v/>
      </c>
      <c r="M2353" s="26">
        <f>H2353^2/6</f>
        <v/>
      </c>
      <c r="N2353" s="26">
        <f>H2353^3/12</f>
        <v/>
      </c>
      <c r="O2353" s="27">
        <f>-J2353*L2353*K2353*C2353</f>
        <v/>
      </c>
      <c r="P2353" s="28">
        <f>-(12*F2353*J2353*L2353*N2353+12*O2353*N2353*G2353*COS(RADIANS(E2353)))/(12*N2353*G2353*COS(RADIANS(E2353))^2+L2353*G2353^3*SIN(RADIANS(E2353))^2)</f>
        <v/>
      </c>
      <c r="Q2353" s="28">
        <f>-(6*F2353*J2353*L2353*N2353*SIN(RADIANS(E2353))+6*O2353*N2353*G2353*SIN(RADIANS(E2353))*COS(RADIANS(E2353)))/(12*N2353*COS(RADIANS(E2353))^2+L2353*G2353^2*SIN(RADIANS(E2353))^2)</f>
        <v/>
      </c>
      <c r="R2353" s="28">
        <f>-P2353*SIN(RADIANS(E2353))</f>
        <v/>
      </c>
      <c r="S2353" s="8">
        <f>(O2353+P2353*COS(RADIANS(E2353)))/L2353</f>
        <v/>
      </c>
      <c r="T2353" s="8">
        <f>R2353/L2353</f>
        <v/>
      </c>
      <c r="U2353" s="8">
        <f>(Q2353-P2353*G2353*SIN(RADIANS(E2353)))/M2353</f>
        <v/>
      </c>
      <c r="V2353" s="8">
        <f>SQRT((S2353+U2353)^2+3*T2353^2)</f>
        <v/>
      </c>
      <c r="W2353" s="8">
        <f>V2353/AA2353</f>
        <v/>
      </c>
      <c r="X2353" s="27">
        <f>((3*10+H2353/COS(RADIANS(E2353)))*(3+3)+3*G2353*H2353)*2</f>
        <v/>
      </c>
      <c r="Y2353" s="28">
        <f>Z2353/X2353</f>
        <v/>
      </c>
      <c r="Z2353" s="29" t="n">
        <v>604.84669039681</v>
      </c>
      <c r="AA2353" s="20" t="n">
        <v>84.03715852887559</v>
      </c>
      <c r="AB2353" t="n">
        <v>0.1818226612244885</v>
      </c>
      <c r="AC2353" t="n">
        <v>88.24450478493362</v>
      </c>
      <c r="AD2353" t="n">
        <v>33.85473184303626</v>
      </c>
    </row>
    <row r="2354">
      <c r="A2354" t="n">
        <v>2353</v>
      </c>
      <c r="B2354" t="n">
        <v>49.4</v>
      </c>
      <c r="C2354" s="21">
        <f>B2354-20</f>
        <v/>
      </c>
      <c r="D2354" t="n">
        <v>129</v>
      </c>
      <c r="E2354" s="22">
        <f>D2354-90</f>
        <v/>
      </c>
      <c r="F2354" s="23" t="n">
        <v>0.010294</v>
      </c>
      <c r="G2354" s="22" t="n">
        <v>31.8</v>
      </c>
      <c r="H2354" s="22" t="n">
        <v>1.8</v>
      </c>
      <c r="I2354" s="24" t="n">
        <v>0.0440610833466053</v>
      </c>
      <c r="J2354" s="6" t="n">
        <v>71000</v>
      </c>
      <c r="K2354" s="25">
        <f>23*10^-6</f>
        <v/>
      </c>
      <c r="L2354" s="8">
        <f>H2354</f>
        <v/>
      </c>
      <c r="M2354" s="26">
        <f>H2354^2/6</f>
        <v/>
      </c>
      <c r="N2354" s="26">
        <f>H2354^3/12</f>
        <v/>
      </c>
      <c r="O2354" s="27">
        <f>-J2354*L2354*K2354*C2354</f>
        <v/>
      </c>
      <c r="P2354" s="28">
        <f>-(12*F2354*J2354*L2354*N2354+12*O2354*N2354*G2354*COS(RADIANS(E2354)))/(12*N2354*G2354*COS(RADIANS(E2354))^2+L2354*G2354^3*SIN(RADIANS(E2354))^2)</f>
        <v/>
      </c>
      <c r="Q2354" s="28">
        <f>-(6*F2354*J2354*L2354*N2354*SIN(RADIANS(E2354))+6*O2354*N2354*G2354*SIN(RADIANS(E2354))*COS(RADIANS(E2354)))/(12*N2354*COS(RADIANS(E2354))^2+L2354*G2354^2*SIN(RADIANS(E2354))^2)</f>
        <v/>
      </c>
      <c r="R2354" s="28">
        <f>-P2354*SIN(RADIANS(E2354))</f>
        <v/>
      </c>
      <c r="S2354" s="8">
        <f>(O2354+P2354*COS(RADIANS(E2354)))/L2354</f>
        <v/>
      </c>
      <c r="T2354" s="8">
        <f>R2354/L2354</f>
        <v/>
      </c>
      <c r="U2354" s="8">
        <f>(Q2354-P2354*G2354*SIN(RADIANS(E2354)))/M2354</f>
        <v/>
      </c>
      <c r="V2354" s="8">
        <f>SQRT((S2354+U2354)^2+3*T2354^2)</f>
        <v/>
      </c>
      <c r="W2354" s="8">
        <f>V2354/AA2354</f>
        <v/>
      </c>
      <c r="X2354" s="27">
        <f>((3*10+H2354/COS(RADIANS(E2354)))*(3+3)+3*G2354*H2354)*2</f>
        <v/>
      </c>
      <c r="Y2354" s="28">
        <f>Z2354/X2354</f>
        <v/>
      </c>
      <c r="Z2354" s="29" t="n">
        <v>741.549865590371</v>
      </c>
      <c r="AA2354" s="20" t="n">
        <v>44.0740941970507</v>
      </c>
      <c r="AB2354" t="n">
        <v>0.04661223024982524</v>
      </c>
      <c r="AC2354" t="n">
        <v>42.57851169353648</v>
      </c>
      <c r="AD2354" t="n">
        <v>5.790023098504895</v>
      </c>
    </row>
    <row r="2355">
      <c r="A2355" t="n">
        <v>2354</v>
      </c>
      <c r="B2355" t="n">
        <v>70.5</v>
      </c>
      <c r="C2355" s="21">
        <f>B2355-20</f>
        <v/>
      </c>
      <c r="D2355" t="n">
        <v>102.5</v>
      </c>
      <c r="E2355" s="22">
        <f>D2355-90</f>
        <v/>
      </c>
      <c r="F2355" s="23" t="n">
        <v>0.0161</v>
      </c>
      <c r="G2355" s="22" t="n">
        <v>22.5</v>
      </c>
      <c r="H2355" s="22" t="n">
        <v>1.8</v>
      </c>
      <c r="I2355" s="24" t="n">
        <v>0.126937627792358</v>
      </c>
      <c r="J2355" s="6" t="n">
        <v>71000</v>
      </c>
      <c r="K2355" s="25">
        <f>23*10^-6</f>
        <v/>
      </c>
      <c r="L2355" s="8">
        <f>H2355</f>
        <v/>
      </c>
      <c r="M2355" s="26">
        <f>H2355^2/6</f>
        <v/>
      </c>
      <c r="N2355" s="26">
        <f>H2355^3/12</f>
        <v/>
      </c>
      <c r="O2355" s="27">
        <f>-J2355*L2355*K2355*C2355</f>
        <v/>
      </c>
      <c r="P2355" s="28">
        <f>-(12*F2355*J2355*L2355*N2355+12*O2355*N2355*G2355*COS(RADIANS(E2355)))/(12*N2355*G2355*COS(RADIANS(E2355))^2+L2355*G2355^3*SIN(RADIANS(E2355))^2)</f>
        <v/>
      </c>
      <c r="Q2355" s="28">
        <f>-(6*F2355*J2355*L2355*N2355*SIN(RADIANS(E2355))+6*O2355*N2355*G2355*SIN(RADIANS(E2355))*COS(RADIANS(E2355)))/(12*N2355*COS(RADIANS(E2355))^2+L2355*G2355^2*SIN(RADIANS(E2355))^2)</f>
        <v/>
      </c>
      <c r="R2355" s="28">
        <f>-P2355*SIN(RADIANS(E2355))</f>
        <v/>
      </c>
      <c r="S2355" s="8">
        <f>(O2355+P2355*COS(RADIANS(E2355)))/L2355</f>
        <v/>
      </c>
      <c r="T2355" s="8">
        <f>R2355/L2355</f>
        <v/>
      </c>
      <c r="U2355" s="8">
        <f>(Q2355-P2355*G2355*SIN(RADIANS(E2355)))/M2355</f>
        <v/>
      </c>
      <c r="V2355" s="8">
        <f>SQRT((S2355+U2355)^2+3*T2355^2)</f>
        <v/>
      </c>
      <c r="W2355" s="8">
        <f>V2355/AA2355</f>
        <v/>
      </c>
      <c r="X2355" s="27">
        <f>((3*10+H2355/COS(RADIANS(E2355)))*(3+3)+3*G2355*H2355)*2</f>
        <v/>
      </c>
      <c r="Y2355" s="28">
        <f>Z2355/X2355</f>
        <v/>
      </c>
      <c r="Z2355" s="29" t="n">
        <v>629.140775238382</v>
      </c>
      <c r="AA2355" s="20" t="n">
        <v>101.867823901961</v>
      </c>
      <c r="AB2355" t="n">
        <v>0.1706780122225489</v>
      </c>
      <c r="AC2355" t="n">
        <v>88.92208500819159</v>
      </c>
      <c r="AD2355" t="n">
        <v>34.45817067082783</v>
      </c>
    </row>
    <row r="2356">
      <c r="A2356" t="n">
        <v>2355</v>
      </c>
      <c r="B2356" t="n">
        <v>79.3</v>
      </c>
      <c r="C2356" s="21">
        <f>B2356-20</f>
        <v/>
      </c>
      <c r="D2356" t="n">
        <v>106.5</v>
      </c>
      <c r="E2356" s="22">
        <f>D2356-90</f>
        <v/>
      </c>
      <c r="F2356" s="23" t="n">
        <v>0.020066</v>
      </c>
      <c r="G2356" s="22" t="n">
        <v>24.7</v>
      </c>
      <c r="H2356" s="22" t="n">
        <v>1.2</v>
      </c>
      <c r="I2356" s="24" t="n">
        <v>0.136418253183364</v>
      </c>
      <c r="J2356" s="6" t="n">
        <v>71000</v>
      </c>
      <c r="K2356" s="25">
        <f>23*10^-6</f>
        <v/>
      </c>
      <c r="L2356" s="8">
        <f>H2356</f>
        <v/>
      </c>
      <c r="M2356" s="26">
        <f>H2356^2/6</f>
        <v/>
      </c>
      <c r="N2356" s="26">
        <f>H2356^3/12</f>
        <v/>
      </c>
      <c r="O2356" s="27">
        <f>-J2356*L2356*K2356*C2356</f>
        <v/>
      </c>
      <c r="P2356" s="28">
        <f>-(12*F2356*J2356*L2356*N2356+12*O2356*N2356*G2356*COS(RADIANS(E2356)))/(12*N2356*G2356*COS(RADIANS(E2356))^2+L2356*G2356^3*SIN(RADIANS(E2356))^2)</f>
        <v/>
      </c>
      <c r="Q2356" s="28">
        <f>-(6*F2356*J2356*L2356*N2356*SIN(RADIANS(E2356))+6*O2356*N2356*G2356*SIN(RADIANS(E2356))*COS(RADIANS(E2356)))/(12*N2356*COS(RADIANS(E2356))^2+L2356*G2356^2*SIN(RADIANS(E2356))^2)</f>
        <v/>
      </c>
      <c r="R2356" s="28">
        <f>-P2356*SIN(RADIANS(E2356))</f>
        <v/>
      </c>
      <c r="S2356" s="8">
        <f>(O2356+P2356*COS(RADIANS(E2356)))/L2356</f>
        <v/>
      </c>
      <c r="T2356" s="8">
        <f>R2356/L2356</f>
        <v/>
      </c>
      <c r="U2356" s="8">
        <f>(Q2356-P2356*G2356*SIN(RADIANS(E2356)))/M2356</f>
        <v/>
      </c>
      <c r="V2356" s="8">
        <f>SQRT((S2356+U2356)^2+3*T2356^2)</f>
        <v/>
      </c>
      <c r="W2356" s="8">
        <f>V2356/AA2356</f>
        <v/>
      </c>
      <c r="X2356" s="27">
        <f>((3*10+H2356/COS(RADIANS(E2356)))*(3+3)+3*G2356*H2356)*2</f>
        <v/>
      </c>
      <c r="Y2356" s="28">
        <f>Z2356/X2356</f>
        <v/>
      </c>
      <c r="Z2356" s="29" t="n">
        <v>557.32286763508</v>
      </c>
      <c r="AA2356" s="20" t="n">
        <v>88.0259924388605</v>
      </c>
      <c r="AB2356" t="n">
        <v>0.1813193643387173</v>
      </c>
      <c r="AC2356" t="n">
        <v>93.31285119767446</v>
      </c>
      <c r="AD2356" t="n">
        <v>32.91429856897543</v>
      </c>
    </row>
    <row r="2357">
      <c r="A2357" t="n">
        <v>2356</v>
      </c>
      <c r="B2357" t="n">
        <v>47.8</v>
      </c>
      <c r="C2357" s="21">
        <f>B2357-20</f>
        <v/>
      </c>
      <c r="D2357" t="n">
        <v>113.8</v>
      </c>
      <c r="E2357" s="22">
        <f>D2357-90</f>
        <v/>
      </c>
      <c r="F2357" s="23" t="n">
        <v>0.009353999999999999</v>
      </c>
      <c r="G2357" s="22" t="n">
        <v>25.7</v>
      </c>
      <c r="H2357" s="22" t="n">
        <v>1.2</v>
      </c>
      <c r="I2357" s="24" t="n">
        <v>0.050074141472578</v>
      </c>
      <c r="J2357" s="6" t="n">
        <v>71000</v>
      </c>
      <c r="K2357" s="25">
        <f>23*10^-6</f>
        <v/>
      </c>
      <c r="L2357" s="8">
        <f>H2357</f>
        <v/>
      </c>
      <c r="M2357" s="26">
        <f>H2357^2/6</f>
        <v/>
      </c>
      <c r="N2357" s="26">
        <f>H2357^3/12</f>
        <v/>
      </c>
      <c r="O2357" s="27">
        <f>-J2357*L2357*K2357*C2357</f>
        <v/>
      </c>
      <c r="P2357" s="28">
        <f>-(12*F2357*J2357*L2357*N2357+12*O2357*N2357*G2357*COS(RADIANS(E2357)))/(12*N2357*G2357*COS(RADIANS(E2357))^2+L2357*G2357^3*SIN(RADIANS(E2357))^2)</f>
        <v/>
      </c>
      <c r="Q2357" s="28">
        <f>-(6*F2357*J2357*L2357*N2357*SIN(RADIANS(E2357))+6*O2357*N2357*G2357*SIN(RADIANS(E2357))*COS(RADIANS(E2357)))/(12*N2357*COS(RADIANS(E2357))^2+L2357*G2357^2*SIN(RADIANS(E2357))^2)</f>
        <v/>
      </c>
      <c r="R2357" s="28">
        <f>-P2357*SIN(RADIANS(E2357))</f>
        <v/>
      </c>
      <c r="S2357" s="8">
        <f>(O2357+P2357*COS(RADIANS(E2357)))/L2357</f>
        <v/>
      </c>
      <c r="T2357" s="8">
        <f>R2357/L2357</f>
        <v/>
      </c>
      <c r="U2357" s="8">
        <f>(Q2357-P2357*G2357*SIN(RADIANS(E2357)))/M2357</f>
        <v/>
      </c>
      <c r="V2357" s="8">
        <f>SQRT((S2357+U2357)^2+3*T2357^2)</f>
        <v/>
      </c>
      <c r="W2357" s="8">
        <f>V2357/AA2357</f>
        <v/>
      </c>
      <c r="X2357" s="27">
        <f>((3*10+H2357/COS(RADIANS(E2357)))*(3+3)+3*G2357*H2357)*2</f>
        <v/>
      </c>
      <c r="Y2357" s="28">
        <f>Z2357/X2357</f>
        <v/>
      </c>
      <c r="Z2357" s="29" t="n">
        <v>566.442692448541</v>
      </c>
      <c r="AA2357" s="20" t="n">
        <v>40.3889832177326</v>
      </c>
      <c r="AB2357" t="n">
        <v>0.06119616100582871</v>
      </c>
      <c r="AC2357" t="n">
        <v>41.61401920444552</v>
      </c>
      <c r="AD2357" t="n">
        <v>22.21110378765343</v>
      </c>
    </row>
    <row r="2358">
      <c r="A2358" t="n">
        <v>2357</v>
      </c>
      <c r="B2358" t="n">
        <v>51.6</v>
      </c>
      <c r="C2358" s="21">
        <f>B2358-20</f>
        <v/>
      </c>
      <c r="D2358" t="n">
        <v>102.5</v>
      </c>
      <c r="E2358" s="22">
        <f>D2358-90</f>
        <v/>
      </c>
      <c r="F2358" s="23" t="n">
        <v>0.013873</v>
      </c>
      <c r="G2358" s="22" t="n">
        <v>33.3</v>
      </c>
      <c r="H2358" s="22" t="n">
        <v>1.9</v>
      </c>
      <c r="I2358" s="24" t="n">
        <v>0.109812311828136</v>
      </c>
      <c r="J2358" s="6" t="n">
        <v>71000</v>
      </c>
      <c r="K2358" s="25">
        <f>23*10^-6</f>
        <v/>
      </c>
      <c r="L2358" s="8">
        <f>H2358</f>
        <v/>
      </c>
      <c r="M2358" s="26">
        <f>H2358^2/6</f>
        <v/>
      </c>
      <c r="N2358" s="26">
        <f>H2358^3/12</f>
        <v/>
      </c>
      <c r="O2358" s="27">
        <f>-J2358*L2358*K2358*C2358</f>
        <v/>
      </c>
      <c r="P2358" s="28">
        <f>-(12*F2358*J2358*L2358*N2358+12*O2358*N2358*G2358*COS(RADIANS(E2358)))/(12*N2358*G2358*COS(RADIANS(E2358))^2+L2358*G2358^3*SIN(RADIANS(E2358))^2)</f>
        <v/>
      </c>
      <c r="Q2358" s="28">
        <f>-(6*F2358*J2358*L2358*N2358*SIN(RADIANS(E2358))+6*O2358*N2358*G2358*SIN(RADIANS(E2358))*COS(RADIANS(E2358)))/(12*N2358*COS(RADIANS(E2358))^2+L2358*G2358^2*SIN(RADIANS(E2358))^2)</f>
        <v/>
      </c>
      <c r="R2358" s="28">
        <f>-P2358*SIN(RADIANS(E2358))</f>
        <v/>
      </c>
      <c r="S2358" s="8">
        <f>(O2358+P2358*COS(RADIANS(E2358)))/L2358</f>
        <v/>
      </c>
      <c r="T2358" s="8">
        <f>R2358/L2358</f>
        <v/>
      </c>
      <c r="U2358" s="8">
        <f>(Q2358-P2358*G2358*SIN(RADIANS(E2358)))/M2358</f>
        <v/>
      </c>
      <c r="V2358" s="8">
        <f>SQRT((S2358+U2358)^2+3*T2358^2)</f>
        <v/>
      </c>
      <c r="W2358" s="8">
        <f>V2358/AA2358</f>
        <v/>
      </c>
      <c r="X2358" s="27">
        <f>((3*10+H2358/COS(RADIANS(E2358)))*(3+3)+3*G2358*H2358)*2</f>
        <v/>
      </c>
      <c r="Y2358" s="28">
        <f>Z2358/X2358</f>
        <v/>
      </c>
      <c r="Z2358" s="29" t="n">
        <v>766.98991065556</v>
      </c>
      <c r="AA2358" s="20" t="n">
        <v>54.9221485286312</v>
      </c>
      <c r="AB2358" t="n">
        <v>0.1633729229382924</v>
      </c>
      <c r="AC2358" t="n">
        <v>54.04497759858204</v>
      </c>
      <c r="AD2358" t="n">
        <v>48.77468675277736</v>
      </c>
    </row>
    <row r="2359">
      <c r="A2359" t="n">
        <v>2358</v>
      </c>
      <c r="B2359" t="n">
        <v>50.1</v>
      </c>
      <c r="C2359" s="21">
        <f>B2359-20</f>
        <v/>
      </c>
      <c r="D2359" t="n">
        <v>125.2</v>
      </c>
      <c r="E2359" s="22">
        <f>D2359-90</f>
        <v/>
      </c>
      <c r="F2359" s="23" t="n">
        <v>0.010527</v>
      </c>
      <c r="G2359" s="22" t="n">
        <v>30.2</v>
      </c>
      <c r="H2359" s="22" t="n">
        <v>1</v>
      </c>
      <c r="I2359" s="24" t="n">
        <v>0.0462088286876678</v>
      </c>
      <c r="J2359" s="6" t="n">
        <v>71000</v>
      </c>
      <c r="K2359" s="25">
        <f>23*10^-6</f>
        <v/>
      </c>
      <c r="L2359" s="8">
        <f>H2359</f>
        <v/>
      </c>
      <c r="M2359" s="26">
        <f>H2359^2/6</f>
        <v/>
      </c>
      <c r="N2359" s="26">
        <f>H2359^3/12</f>
        <v/>
      </c>
      <c r="O2359" s="27">
        <f>-J2359*L2359*K2359*C2359</f>
        <v/>
      </c>
      <c r="P2359" s="28">
        <f>-(12*F2359*J2359*L2359*N2359+12*O2359*N2359*G2359*COS(RADIANS(E2359)))/(12*N2359*G2359*COS(RADIANS(E2359))^2+L2359*G2359^3*SIN(RADIANS(E2359))^2)</f>
        <v/>
      </c>
      <c r="Q2359" s="28">
        <f>-(6*F2359*J2359*L2359*N2359*SIN(RADIANS(E2359))+6*O2359*N2359*G2359*SIN(RADIANS(E2359))*COS(RADIANS(E2359)))/(12*N2359*COS(RADIANS(E2359))^2+L2359*G2359^2*SIN(RADIANS(E2359))^2)</f>
        <v/>
      </c>
      <c r="R2359" s="28">
        <f>-P2359*SIN(RADIANS(E2359))</f>
        <v/>
      </c>
      <c r="S2359" s="8">
        <f>(O2359+P2359*COS(RADIANS(E2359)))/L2359</f>
        <v/>
      </c>
      <c r="T2359" s="8">
        <f>R2359/L2359</f>
        <v/>
      </c>
      <c r="U2359" s="8">
        <f>(Q2359-P2359*G2359*SIN(RADIANS(E2359)))/M2359</f>
        <v/>
      </c>
      <c r="V2359" s="8">
        <f>SQRT((S2359+U2359)^2+3*T2359^2)</f>
        <v/>
      </c>
      <c r="W2359" s="8">
        <f>V2359/AA2359</f>
        <v/>
      </c>
      <c r="X2359" s="27">
        <f>((3*10+H2359/COS(RADIANS(E2359)))*(3+3)+3*G2359*H2359)*2</f>
        <v/>
      </c>
      <c r="Y2359" s="28">
        <f>Z2359/X2359</f>
        <v/>
      </c>
      <c r="Z2359" s="29" t="n">
        <v>564.68946339176</v>
      </c>
      <c r="AA2359" s="20" t="n">
        <v>39.4612129119873</v>
      </c>
      <c r="AB2359" t="n">
        <v>0.05106422621658414</v>
      </c>
      <c r="AC2359" t="n">
        <v>42.57425161033333</v>
      </c>
      <c r="AD2359" t="n">
        <v>10.50751050569725</v>
      </c>
    </row>
    <row r="2360">
      <c r="A2360" t="n">
        <v>2359</v>
      </c>
      <c r="B2360" t="n">
        <v>58.9</v>
      </c>
      <c r="C2360" s="21">
        <f>B2360-20</f>
        <v/>
      </c>
      <c r="D2360" t="n">
        <v>124.4</v>
      </c>
      <c r="E2360" s="22">
        <f>D2360-90</f>
        <v/>
      </c>
      <c r="F2360" s="23" t="n">
        <v>0.011442</v>
      </c>
      <c r="G2360" s="22" t="n">
        <v>24</v>
      </c>
      <c r="H2360" s="22" t="n">
        <v>1.2</v>
      </c>
      <c r="I2360" s="24" t="n">
        <v>0.0524178817868232</v>
      </c>
      <c r="J2360" s="6" t="n">
        <v>71000</v>
      </c>
      <c r="K2360" s="25">
        <f>23*10^-6</f>
        <v/>
      </c>
      <c r="L2360" s="8">
        <f>H2360</f>
        <v/>
      </c>
      <c r="M2360" s="26">
        <f>H2360^2/6</f>
        <v/>
      </c>
      <c r="N2360" s="26">
        <f>H2360^3/12</f>
        <v/>
      </c>
      <c r="O2360" s="27">
        <f>-J2360*L2360*K2360*C2360</f>
        <v/>
      </c>
      <c r="P2360" s="28">
        <f>-(12*F2360*J2360*L2360*N2360+12*O2360*N2360*G2360*COS(RADIANS(E2360)))/(12*N2360*G2360*COS(RADIANS(E2360))^2+L2360*G2360^3*SIN(RADIANS(E2360))^2)</f>
        <v/>
      </c>
      <c r="Q2360" s="28">
        <f>-(6*F2360*J2360*L2360*N2360*SIN(RADIANS(E2360))+6*O2360*N2360*G2360*SIN(RADIANS(E2360))*COS(RADIANS(E2360)))/(12*N2360*COS(RADIANS(E2360))^2+L2360*G2360^2*SIN(RADIANS(E2360))^2)</f>
        <v/>
      </c>
      <c r="R2360" s="28">
        <f>-P2360*SIN(RADIANS(E2360))</f>
        <v/>
      </c>
      <c r="S2360" s="8">
        <f>(O2360+P2360*COS(RADIANS(E2360)))/L2360</f>
        <v/>
      </c>
      <c r="T2360" s="8">
        <f>R2360/L2360</f>
        <v/>
      </c>
      <c r="U2360" s="8">
        <f>(Q2360-P2360*G2360*SIN(RADIANS(E2360)))/M2360</f>
        <v/>
      </c>
      <c r="V2360" s="8">
        <f>SQRT((S2360+U2360)^2+3*T2360^2)</f>
        <v/>
      </c>
      <c r="W2360" s="8">
        <f>V2360/AA2360</f>
        <v/>
      </c>
      <c r="X2360" s="27">
        <f>((3*10+H2360/COS(RADIANS(E2360)))*(3+3)+3*G2360*H2360)*2</f>
        <v/>
      </c>
      <c r="Y2360" s="28">
        <f>Z2360/X2360</f>
        <v/>
      </c>
      <c r="Z2360" s="29" t="n">
        <v>558.772681382882</v>
      </c>
      <c r="AA2360" s="20" t="n">
        <v>54.4366178792731</v>
      </c>
      <c r="AB2360" t="n">
        <v>0.05438670114889876</v>
      </c>
      <c r="AC2360" t="n">
        <v>56.18163837981508</v>
      </c>
      <c r="AD2360" t="n">
        <v>3.756007100940279</v>
      </c>
    </row>
    <row r="2361">
      <c r="A2361" t="n">
        <v>2360</v>
      </c>
      <c r="B2361" t="n">
        <v>45.2</v>
      </c>
      <c r="C2361" s="21">
        <f>B2361-20</f>
        <v/>
      </c>
      <c r="D2361" t="n">
        <v>115.3</v>
      </c>
      <c r="E2361" s="22">
        <f>D2361-90</f>
        <v/>
      </c>
      <c r="F2361" s="23" t="n">
        <v>0.007334</v>
      </c>
      <c r="G2361" s="22" t="n">
        <v>21.6</v>
      </c>
      <c r="H2361" s="22" t="n">
        <v>1.3</v>
      </c>
      <c r="I2361" s="24" t="n">
        <v>0.0389245711266994</v>
      </c>
      <c r="J2361" s="6" t="n">
        <v>71000</v>
      </c>
      <c r="K2361" s="25">
        <f>23*10^-6</f>
        <v/>
      </c>
      <c r="L2361" s="8">
        <f>H2361</f>
        <v/>
      </c>
      <c r="M2361" s="26">
        <f>H2361^2/6</f>
        <v/>
      </c>
      <c r="N2361" s="26">
        <f>H2361^3/12</f>
        <v/>
      </c>
      <c r="O2361" s="27">
        <f>-J2361*L2361*K2361*C2361</f>
        <v/>
      </c>
      <c r="P2361" s="28">
        <f>-(12*F2361*J2361*L2361*N2361+12*O2361*N2361*G2361*COS(RADIANS(E2361)))/(12*N2361*G2361*COS(RADIANS(E2361))^2+L2361*G2361^3*SIN(RADIANS(E2361))^2)</f>
        <v/>
      </c>
      <c r="Q2361" s="28">
        <f>-(6*F2361*J2361*L2361*N2361*SIN(RADIANS(E2361))+6*O2361*N2361*G2361*SIN(RADIANS(E2361))*COS(RADIANS(E2361)))/(12*N2361*COS(RADIANS(E2361))^2+L2361*G2361^2*SIN(RADIANS(E2361))^2)</f>
        <v/>
      </c>
      <c r="R2361" s="28">
        <f>-P2361*SIN(RADIANS(E2361))</f>
        <v/>
      </c>
      <c r="S2361" s="8">
        <f>(O2361+P2361*COS(RADIANS(E2361)))/L2361</f>
        <v/>
      </c>
      <c r="T2361" s="8">
        <f>R2361/L2361</f>
        <v/>
      </c>
      <c r="U2361" s="8">
        <f>(Q2361-P2361*G2361*SIN(RADIANS(E2361)))/M2361</f>
        <v/>
      </c>
      <c r="V2361" s="8">
        <f>SQRT((S2361+U2361)^2+3*T2361^2)</f>
        <v/>
      </c>
      <c r="W2361" s="8">
        <f>V2361/AA2361</f>
        <v/>
      </c>
      <c r="X2361" s="27">
        <f>((3*10+H2361/COS(RADIANS(E2361)))*(3+3)+3*G2361*H2361)*2</f>
        <v/>
      </c>
      <c r="Y2361" s="28">
        <f>Z2361/X2361</f>
        <v/>
      </c>
      <c r="Z2361" s="29" t="n">
        <v>551.7149393598889</v>
      </c>
      <c r="AA2361" s="20" t="n">
        <v>37.9458936410628</v>
      </c>
      <c r="AB2361" t="n">
        <v>0.04403930921811493</v>
      </c>
      <c r="AC2361" t="n">
        <v>38.13580814003306</v>
      </c>
      <c r="AD2361" t="n">
        <v>13.14012702867571</v>
      </c>
    </row>
    <row r="2362">
      <c r="A2362" t="n">
        <v>2361</v>
      </c>
      <c r="B2362" t="n">
        <v>40.4</v>
      </c>
      <c r="C2362" s="21">
        <f>B2362-20</f>
        <v/>
      </c>
      <c r="D2362" t="n">
        <v>102</v>
      </c>
      <c r="E2362" s="22">
        <f>D2362-90</f>
        <v/>
      </c>
      <c r="F2362" s="23" t="n">
        <v>0.007219</v>
      </c>
      <c r="G2362" s="22" t="n">
        <v>25.6</v>
      </c>
      <c r="H2362" s="22" t="n">
        <v>1.5</v>
      </c>
      <c r="I2362" s="24" t="n">
        <v>0.0602228976786136</v>
      </c>
      <c r="J2362" s="6" t="n">
        <v>71000</v>
      </c>
      <c r="K2362" s="25">
        <f>23*10^-6</f>
        <v/>
      </c>
      <c r="L2362" s="8">
        <f>H2362</f>
        <v/>
      </c>
      <c r="M2362" s="26">
        <f>H2362^2/6</f>
        <v/>
      </c>
      <c r="N2362" s="26">
        <f>H2362^3/12</f>
        <v/>
      </c>
      <c r="O2362" s="27">
        <f>-J2362*L2362*K2362*C2362</f>
        <v/>
      </c>
      <c r="P2362" s="28">
        <f>-(12*F2362*J2362*L2362*N2362+12*O2362*N2362*G2362*COS(RADIANS(E2362)))/(12*N2362*G2362*COS(RADIANS(E2362))^2+L2362*G2362^3*SIN(RADIANS(E2362))^2)</f>
        <v/>
      </c>
      <c r="Q2362" s="28">
        <f>-(6*F2362*J2362*L2362*N2362*SIN(RADIANS(E2362))+6*O2362*N2362*G2362*SIN(RADIANS(E2362))*COS(RADIANS(E2362)))/(12*N2362*COS(RADIANS(E2362))^2+L2362*G2362^2*SIN(RADIANS(E2362))^2)</f>
        <v/>
      </c>
      <c r="R2362" s="28">
        <f>-P2362*SIN(RADIANS(E2362))</f>
        <v/>
      </c>
      <c r="S2362" s="8">
        <f>(O2362+P2362*COS(RADIANS(E2362)))/L2362</f>
        <v/>
      </c>
      <c r="T2362" s="8">
        <f>R2362/L2362</f>
        <v/>
      </c>
      <c r="U2362" s="8">
        <f>(Q2362-P2362*G2362*SIN(RADIANS(E2362)))/M2362</f>
        <v/>
      </c>
      <c r="V2362" s="8">
        <f>SQRT((S2362+U2362)^2+3*T2362^2)</f>
        <v/>
      </c>
      <c r="W2362" s="8">
        <f>V2362/AA2362</f>
        <v/>
      </c>
      <c r="X2362" s="27">
        <f>((3*10+H2362/COS(RADIANS(E2362)))*(3+3)+3*G2362*H2362)*2</f>
        <v/>
      </c>
      <c r="Y2362" s="28">
        <f>Z2362/X2362</f>
        <v/>
      </c>
      <c r="Z2362" s="29" t="n">
        <v>612.7719343699709</v>
      </c>
      <c r="AA2362" s="20" t="n">
        <v>33.6375561195271</v>
      </c>
      <c r="AB2362" t="n">
        <v>0.08514710578150536</v>
      </c>
      <c r="AC2362" t="n">
        <v>34.77459399248326</v>
      </c>
      <c r="AD2362" t="n">
        <v>41.38659723067903</v>
      </c>
    </row>
    <row r="2363">
      <c r="A2363" t="n">
        <v>2362</v>
      </c>
      <c r="B2363" t="n">
        <v>62.1</v>
      </c>
      <c r="C2363" s="21">
        <f>B2363-20</f>
        <v/>
      </c>
      <c r="D2363" t="n">
        <v>104.8</v>
      </c>
      <c r="E2363" s="22">
        <f>D2363-90</f>
        <v/>
      </c>
      <c r="F2363" s="23" t="n">
        <v>0.012717</v>
      </c>
      <c r="G2363" s="22" t="n">
        <v>21.2</v>
      </c>
      <c r="H2363" s="22" t="n">
        <v>1.1</v>
      </c>
      <c r="I2363" s="24" t="n">
        <v>0.0948320180177688</v>
      </c>
      <c r="J2363" s="6" t="n">
        <v>71000</v>
      </c>
      <c r="K2363" s="25">
        <f>23*10^-6</f>
        <v/>
      </c>
      <c r="L2363" s="8">
        <f>H2363</f>
        <v/>
      </c>
      <c r="M2363" s="26">
        <f>H2363^2/6</f>
        <v/>
      </c>
      <c r="N2363" s="26">
        <f>H2363^3/12</f>
        <v/>
      </c>
      <c r="O2363" s="27">
        <f>-J2363*L2363*K2363*C2363</f>
        <v/>
      </c>
      <c r="P2363" s="28">
        <f>-(12*F2363*J2363*L2363*N2363+12*O2363*N2363*G2363*COS(RADIANS(E2363)))/(12*N2363*G2363*COS(RADIANS(E2363))^2+L2363*G2363^3*SIN(RADIANS(E2363))^2)</f>
        <v/>
      </c>
      <c r="Q2363" s="28">
        <f>-(6*F2363*J2363*L2363*N2363*SIN(RADIANS(E2363))+6*O2363*N2363*G2363*SIN(RADIANS(E2363))*COS(RADIANS(E2363)))/(12*N2363*COS(RADIANS(E2363))^2+L2363*G2363^2*SIN(RADIANS(E2363))^2)</f>
        <v/>
      </c>
      <c r="R2363" s="28">
        <f>-P2363*SIN(RADIANS(E2363))</f>
        <v/>
      </c>
      <c r="S2363" s="8">
        <f>(O2363+P2363*COS(RADIANS(E2363)))/L2363</f>
        <v/>
      </c>
      <c r="T2363" s="8">
        <f>R2363/L2363</f>
        <v/>
      </c>
      <c r="U2363" s="8">
        <f>(Q2363-P2363*G2363*SIN(RADIANS(E2363)))/M2363</f>
        <v/>
      </c>
      <c r="V2363" s="8">
        <f>SQRT((S2363+U2363)^2+3*T2363^2)</f>
        <v/>
      </c>
      <c r="W2363" s="8">
        <f>V2363/AA2363</f>
        <v/>
      </c>
      <c r="X2363" s="27">
        <f>((3*10+H2363/COS(RADIANS(E2363)))*(3+3)+3*G2363*H2363)*2</f>
        <v/>
      </c>
      <c r="Y2363" s="28">
        <f>Z2363/X2363</f>
        <v/>
      </c>
      <c r="Z2363" s="29" t="n">
        <v>517.830149956472</v>
      </c>
      <c r="AA2363" s="20" t="n">
        <v>62.4604534443784</v>
      </c>
      <c r="AB2363" t="n">
        <v>0.1235962430415992</v>
      </c>
      <c r="AC2363" t="n">
        <v>67.31562583532144</v>
      </c>
      <c r="AD2363" t="n">
        <v>30.33176518340129</v>
      </c>
    </row>
    <row r="2364">
      <c r="A2364" t="n">
        <v>2363</v>
      </c>
      <c r="B2364" t="n">
        <v>62.6</v>
      </c>
      <c r="C2364" s="21">
        <f>B2364-20</f>
        <v/>
      </c>
      <c r="D2364" t="n">
        <v>122.1</v>
      </c>
      <c r="E2364" s="22">
        <f>D2364-90</f>
        <v/>
      </c>
      <c r="F2364" s="23" t="n">
        <v>0.01468</v>
      </c>
      <c r="G2364" s="22" t="n">
        <v>28.6</v>
      </c>
      <c r="H2364" s="22" t="n">
        <v>1.2</v>
      </c>
      <c r="I2364" s="24" t="n">
        <v>0.06700703501701349</v>
      </c>
      <c r="J2364" s="6" t="n">
        <v>71000</v>
      </c>
      <c r="K2364" s="25">
        <f>23*10^-6</f>
        <v/>
      </c>
      <c r="L2364" s="8">
        <f>H2364</f>
        <v/>
      </c>
      <c r="M2364" s="26">
        <f>H2364^2/6</f>
        <v/>
      </c>
      <c r="N2364" s="26">
        <f>H2364^3/12</f>
        <v/>
      </c>
      <c r="O2364" s="27">
        <f>-J2364*L2364*K2364*C2364</f>
        <v/>
      </c>
      <c r="P2364" s="28">
        <f>-(12*F2364*J2364*L2364*N2364+12*O2364*N2364*G2364*COS(RADIANS(E2364)))/(12*N2364*G2364*COS(RADIANS(E2364))^2+L2364*G2364^3*SIN(RADIANS(E2364))^2)</f>
        <v/>
      </c>
      <c r="Q2364" s="28">
        <f>-(6*F2364*J2364*L2364*N2364*SIN(RADIANS(E2364))+6*O2364*N2364*G2364*SIN(RADIANS(E2364))*COS(RADIANS(E2364)))/(12*N2364*COS(RADIANS(E2364))^2+L2364*G2364^2*SIN(RADIANS(E2364))^2)</f>
        <v/>
      </c>
      <c r="R2364" s="28">
        <f>-P2364*SIN(RADIANS(E2364))</f>
        <v/>
      </c>
      <c r="S2364" s="8">
        <f>(O2364+P2364*COS(RADIANS(E2364)))/L2364</f>
        <v/>
      </c>
      <c r="T2364" s="8">
        <f>R2364/L2364</f>
        <v/>
      </c>
      <c r="U2364" s="8">
        <f>(Q2364-P2364*G2364*SIN(RADIANS(E2364)))/M2364</f>
        <v/>
      </c>
      <c r="V2364" s="8">
        <f>SQRT((S2364+U2364)^2+3*T2364^2)</f>
        <v/>
      </c>
      <c r="W2364" s="8">
        <f>V2364/AA2364</f>
        <v/>
      </c>
      <c r="X2364" s="27">
        <f>((3*10+H2364/COS(RADIANS(E2364)))*(3+3)+3*G2364*H2364)*2</f>
        <v/>
      </c>
      <c r="Y2364" s="28">
        <f>Z2364/X2364</f>
        <v/>
      </c>
      <c r="Z2364" s="29" t="n">
        <v>590.683586066903</v>
      </c>
      <c r="AA2364" s="20" t="n">
        <v>59.3947607134179</v>
      </c>
      <c r="AB2364" t="n">
        <v>0.07575452522383154</v>
      </c>
      <c r="AC2364" t="n">
        <v>61.48148550315992</v>
      </c>
      <c r="AD2364" t="n">
        <v>13.05458479784549</v>
      </c>
    </row>
    <row r="2365">
      <c r="A2365" t="n">
        <v>2364</v>
      </c>
      <c r="B2365" t="n">
        <v>79.09999999999999</v>
      </c>
      <c r="C2365" s="21">
        <f>B2365-20</f>
        <v/>
      </c>
      <c r="D2365" t="n">
        <v>120.4</v>
      </c>
      <c r="E2365" s="22">
        <f>D2365-90</f>
        <v/>
      </c>
      <c r="F2365" s="23" t="n">
        <v>0.01857</v>
      </c>
      <c r="G2365" s="22" t="n">
        <v>25</v>
      </c>
      <c r="H2365" s="22" t="n">
        <v>1.5</v>
      </c>
      <c r="I2365" s="24" t="n">
        <v>0.0884263217449188</v>
      </c>
      <c r="J2365" s="6" t="n">
        <v>71000</v>
      </c>
      <c r="K2365" s="25">
        <f>23*10^-6</f>
        <v/>
      </c>
      <c r="L2365" s="8">
        <f>H2365</f>
        <v/>
      </c>
      <c r="M2365" s="26">
        <f>H2365^2/6</f>
        <v/>
      </c>
      <c r="N2365" s="26">
        <f>H2365^3/12</f>
        <v/>
      </c>
      <c r="O2365" s="27">
        <f>-J2365*L2365*K2365*C2365</f>
        <v/>
      </c>
      <c r="P2365" s="28">
        <f>-(12*F2365*J2365*L2365*N2365+12*O2365*N2365*G2365*COS(RADIANS(E2365)))/(12*N2365*G2365*COS(RADIANS(E2365))^2+L2365*G2365^3*SIN(RADIANS(E2365))^2)</f>
        <v/>
      </c>
      <c r="Q2365" s="28">
        <f>-(6*F2365*J2365*L2365*N2365*SIN(RADIANS(E2365))+6*O2365*N2365*G2365*SIN(RADIANS(E2365))*COS(RADIANS(E2365)))/(12*N2365*COS(RADIANS(E2365))^2+L2365*G2365^2*SIN(RADIANS(E2365))^2)</f>
        <v/>
      </c>
      <c r="R2365" s="28">
        <f>-P2365*SIN(RADIANS(E2365))</f>
        <v/>
      </c>
      <c r="S2365" s="8">
        <f>(O2365+P2365*COS(RADIANS(E2365)))/L2365</f>
        <v/>
      </c>
      <c r="T2365" s="8">
        <f>R2365/L2365</f>
        <v/>
      </c>
      <c r="U2365" s="8">
        <f>(Q2365-P2365*G2365*SIN(RADIANS(E2365)))/M2365</f>
        <v/>
      </c>
      <c r="V2365" s="8">
        <f>SQRT((S2365+U2365)^2+3*T2365^2)</f>
        <v/>
      </c>
      <c r="W2365" s="8">
        <f>V2365/AA2365</f>
        <v/>
      </c>
      <c r="X2365" s="27">
        <f>((3*10+H2365/COS(RADIANS(E2365)))*(3+3)+3*G2365*H2365)*2</f>
        <v/>
      </c>
      <c r="Y2365" s="28">
        <f>Z2365/X2365</f>
        <v/>
      </c>
      <c r="Z2365" s="29" t="n">
        <v>613.128509825741</v>
      </c>
      <c r="AA2365" s="20" t="n">
        <v>89.8678010576057</v>
      </c>
      <c r="AB2365" t="n">
        <v>0.09767127371181725</v>
      </c>
      <c r="AC2365" t="n">
        <v>87.90938672173759</v>
      </c>
      <c r="AD2365" t="n">
        <v>10.45497741449332</v>
      </c>
    </row>
    <row r="2366">
      <c r="A2366" t="n">
        <v>2365</v>
      </c>
      <c r="B2366" t="n">
        <v>71.59999999999999</v>
      </c>
      <c r="C2366" s="21">
        <f>B2366-20</f>
        <v/>
      </c>
      <c r="D2366" t="n">
        <v>122.1</v>
      </c>
      <c r="E2366" s="22">
        <f>D2366-90</f>
        <v/>
      </c>
      <c r="F2366" s="23" t="n">
        <v>0.019575</v>
      </c>
      <c r="G2366" s="22" t="n">
        <v>32.2</v>
      </c>
      <c r="H2366" s="22" t="n">
        <v>1.2</v>
      </c>
      <c r="I2366" s="24" t="n">
        <v>0.087822750210762</v>
      </c>
      <c r="J2366" s="6" t="n">
        <v>71000</v>
      </c>
      <c r="K2366" s="25">
        <f>23*10^-6</f>
        <v/>
      </c>
      <c r="L2366" s="8">
        <f>H2366</f>
        <v/>
      </c>
      <c r="M2366" s="26">
        <f>H2366^2/6</f>
        <v/>
      </c>
      <c r="N2366" s="26">
        <f>H2366^3/12</f>
        <v/>
      </c>
      <c r="O2366" s="27">
        <f>-J2366*L2366*K2366*C2366</f>
        <v/>
      </c>
      <c r="P2366" s="28">
        <f>-(12*F2366*J2366*L2366*N2366+12*O2366*N2366*G2366*COS(RADIANS(E2366)))/(12*N2366*G2366*COS(RADIANS(E2366))^2+L2366*G2366^3*SIN(RADIANS(E2366))^2)</f>
        <v/>
      </c>
      <c r="Q2366" s="28">
        <f>-(6*F2366*J2366*L2366*N2366*SIN(RADIANS(E2366))+6*O2366*N2366*G2366*SIN(RADIANS(E2366))*COS(RADIANS(E2366)))/(12*N2366*COS(RADIANS(E2366))^2+L2366*G2366^2*SIN(RADIANS(E2366))^2)</f>
        <v/>
      </c>
      <c r="R2366" s="28">
        <f>-P2366*SIN(RADIANS(E2366))</f>
        <v/>
      </c>
      <c r="S2366" s="8">
        <f>(O2366+P2366*COS(RADIANS(E2366)))/L2366</f>
        <v/>
      </c>
      <c r="T2366" s="8">
        <f>R2366/L2366</f>
        <v/>
      </c>
      <c r="U2366" s="8">
        <f>(Q2366-P2366*G2366*SIN(RADIANS(E2366)))/M2366</f>
        <v/>
      </c>
      <c r="V2366" s="8">
        <f>SQRT((S2366+U2366)^2+3*T2366^2)</f>
        <v/>
      </c>
      <c r="W2366" s="8">
        <f>V2366/AA2366</f>
        <v/>
      </c>
      <c r="X2366" s="27">
        <f>((3*10+H2366/COS(RADIANS(E2366)))*(3+3)+3*G2366*H2366)*2</f>
        <v/>
      </c>
      <c r="Y2366" s="28">
        <f>Z2366/X2366</f>
        <v/>
      </c>
      <c r="Z2366" s="29" t="n">
        <v>616.603586066905</v>
      </c>
      <c r="AA2366" s="20" t="n">
        <v>71.1585590158856</v>
      </c>
      <c r="AB2366" t="n">
        <v>0.1027133832746446</v>
      </c>
      <c r="AC2366" t="n">
        <v>74.07459484093305</v>
      </c>
      <c r="AD2366" t="n">
        <v>16.95532538909026</v>
      </c>
    </row>
    <row r="2367">
      <c r="A2367" t="n">
        <v>2366</v>
      </c>
      <c r="B2367" t="n">
        <v>84.5</v>
      </c>
      <c r="C2367" s="21">
        <f>B2367-20</f>
        <v/>
      </c>
      <c r="D2367" t="n">
        <v>108.2</v>
      </c>
      <c r="E2367" s="22">
        <f>D2367-90</f>
        <v/>
      </c>
      <c r="F2367" s="23" t="n">
        <v>0.024669</v>
      </c>
      <c r="G2367" s="22" t="n">
        <v>29</v>
      </c>
      <c r="H2367" s="22" t="n">
        <v>1.3</v>
      </c>
      <c r="I2367" s="24" t="n">
        <v>0.153873816132545</v>
      </c>
      <c r="J2367" s="6" t="n">
        <v>71000</v>
      </c>
      <c r="K2367" s="25">
        <f>23*10^-6</f>
        <v/>
      </c>
      <c r="L2367" s="8">
        <f>H2367</f>
        <v/>
      </c>
      <c r="M2367" s="26">
        <f>H2367^2/6</f>
        <v/>
      </c>
      <c r="N2367" s="26">
        <f>H2367^3/12</f>
        <v/>
      </c>
      <c r="O2367" s="27">
        <f>-J2367*L2367*K2367*C2367</f>
        <v/>
      </c>
      <c r="P2367" s="28">
        <f>-(12*F2367*J2367*L2367*N2367+12*O2367*N2367*G2367*COS(RADIANS(E2367)))/(12*N2367*G2367*COS(RADIANS(E2367))^2+L2367*G2367^3*SIN(RADIANS(E2367))^2)</f>
        <v/>
      </c>
      <c r="Q2367" s="28">
        <f>-(6*F2367*J2367*L2367*N2367*SIN(RADIANS(E2367))+6*O2367*N2367*G2367*SIN(RADIANS(E2367))*COS(RADIANS(E2367)))/(12*N2367*COS(RADIANS(E2367))^2+L2367*G2367^2*SIN(RADIANS(E2367))^2)</f>
        <v/>
      </c>
      <c r="R2367" s="28">
        <f>-P2367*SIN(RADIANS(E2367))</f>
        <v/>
      </c>
      <c r="S2367" s="8">
        <f>(O2367+P2367*COS(RADIANS(E2367)))/L2367</f>
        <v/>
      </c>
      <c r="T2367" s="8">
        <f>R2367/L2367</f>
        <v/>
      </c>
      <c r="U2367" s="8">
        <f>(Q2367-P2367*G2367*SIN(RADIANS(E2367)))/M2367</f>
        <v/>
      </c>
      <c r="V2367" s="8">
        <f>SQRT((S2367+U2367)^2+3*T2367^2)</f>
        <v/>
      </c>
      <c r="W2367" s="8">
        <f>V2367/AA2367</f>
        <v/>
      </c>
      <c r="X2367" s="27">
        <f>((3*10+H2367/COS(RADIANS(E2367)))*(3+3)+3*G2367*H2367)*2</f>
        <v/>
      </c>
      <c r="Y2367" s="28">
        <f>Z2367/X2367</f>
        <v/>
      </c>
      <c r="Z2367" s="29" t="n">
        <v>607.319066274489</v>
      </c>
      <c r="AA2367" s="20" t="n">
        <v>97.2801602142402</v>
      </c>
      <c r="AB2367" t="n">
        <v>0.2087407069416599</v>
      </c>
      <c r="AC2367" t="n">
        <v>99.79520711400187</v>
      </c>
      <c r="AD2367" t="n">
        <v>35.65706771180178</v>
      </c>
    </row>
    <row r="2368">
      <c r="A2368" t="n">
        <v>2367</v>
      </c>
      <c r="B2368" t="n">
        <v>63.3</v>
      </c>
      <c r="C2368" s="21">
        <f>B2368-20</f>
        <v/>
      </c>
      <c r="D2368" t="n">
        <v>111.3</v>
      </c>
      <c r="E2368" s="22">
        <f>D2368-90</f>
        <v/>
      </c>
      <c r="F2368" s="23" t="n">
        <v>0.013677</v>
      </c>
      <c r="G2368" s="22" t="n">
        <v>23.3</v>
      </c>
      <c r="H2368" s="22" t="n">
        <v>1.8</v>
      </c>
      <c r="I2368" s="24" t="n">
        <v>0.0784325078129768</v>
      </c>
      <c r="J2368" s="6" t="n">
        <v>71000</v>
      </c>
      <c r="K2368" s="25">
        <f>23*10^-6</f>
        <v/>
      </c>
      <c r="L2368" s="8">
        <f>H2368</f>
        <v/>
      </c>
      <c r="M2368" s="26">
        <f>H2368^2/6</f>
        <v/>
      </c>
      <c r="N2368" s="26">
        <f>H2368^3/12</f>
        <v/>
      </c>
      <c r="O2368" s="27">
        <f>-J2368*L2368*K2368*C2368</f>
        <v/>
      </c>
      <c r="P2368" s="28">
        <f>-(12*F2368*J2368*L2368*N2368+12*O2368*N2368*G2368*COS(RADIANS(E2368)))/(12*N2368*G2368*COS(RADIANS(E2368))^2+L2368*G2368^3*SIN(RADIANS(E2368))^2)</f>
        <v/>
      </c>
      <c r="Q2368" s="28">
        <f>-(6*F2368*J2368*L2368*N2368*SIN(RADIANS(E2368))+6*O2368*N2368*G2368*SIN(RADIANS(E2368))*COS(RADIANS(E2368)))/(12*N2368*COS(RADIANS(E2368))^2+L2368*G2368^2*SIN(RADIANS(E2368))^2)</f>
        <v/>
      </c>
      <c r="R2368" s="28">
        <f>-P2368*SIN(RADIANS(E2368))</f>
        <v/>
      </c>
      <c r="S2368" s="8">
        <f>(O2368+P2368*COS(RADIANS(E2368)))/L2368</f>
        <v/>
      </c>
      <c r="T2368" s="8">
        <f>R2368/L2368</f>
        <v/>
      </c>
      <c r="U2368" s="8">
        <f>(Q2368-P2368*G2368*SIN(RADIANS(E2368)))/M2368</f>
        <v/>
      </c>
      <c r="V2368" s="8">
        <f>SQRT((S2368+U2368)^2+3*T2368^2)</f>
        <v/>
      </c>
      <c r="W2368" s="8">
        <f>V2368/AA2368</f>
        <v/>
      </c>
      <c r="X2368" s="27">
        <f>((3*10+H2368/COS(RADIANS(E2368)))*(3+3)+3*G2368*H2368)*2</f>
        <v/>
      </c>
      <c r="Y2368" s="28">
        <f>Z2368/X2368</f>
        <v/>
      </c>
      <c r="Z2368" s="29" t="n">
        <v>640.016882954927</v>
      </c>
      <c r="AA2368" s="20" t="n">
        <v>72.7660852170718</v>
      </c>
      <c r="AB2368" t="n">
        <v>0.09502073776364865</v>
      </c>
      <c r="AC2368" t="n">
        <v>69.57201939556208</v>
      </c>
      <c r="AD2368" t="n">
        <v>21.14968705351954</v>
      </c>
    </row>
    <row r="2369">
      <c r="A2369" t="n">
        <v>2368</v>
      </c>
      <c r="B2369" t="n">
        <v>62.4</v>
      </c>
      <c r="C2369" s="21">
        <f>B2369-20</f>
        <v/>
      </c>
      <c r="D2369" t="n">
        <v>114</v>
      </c>
      <c r="E2369" s="22">
        <f>D2369-90</f>
        <v/>
      </c>
      <c r="F2369" s="23" t="n">
        <v>0.01235</v>
      </c>
      <c r="G2369" s="22" t="n">
        <v>21.4</v>
      </c>
      <c r="H2369" s="22" t="n">
        <v>1.1</v>
      </c>
      <c r="I2369" s="24" t="n">
        <v>0.06762880831956861</v>
      </c>
      <c r="J2369" s="6" t="n">
        <v>71000</v>
      </c>
      <c r="K2369" s="25">
        <f>23*10^-6</f>
        <v/>
      </c>
      <c r="L2369" s="8">
        <f>H2369</f>
        <v/>
      </c>
      <c r="M2369" s="26">
        <f>H2369^2/6</f>
        <v/>
      </c>
      <c r="N2369" s="26">
        <f>H2369^3/12</f>
        <v/>
      </c>
      <c r="O2369" s="27">
        <f>-J2369*L2369*K2369*C2369</f>
        <v/>
      </c>
      <c r="P2369" s="28">
        <f>-(12*F2369*J2369*L2369*N2369+12*O2369*N2369*G2369*COS(RADIANS(E2369)))/(12*N2369*G2369*COS(RADIANS(E2369))^2+L2369*G2369^3*SIN(RADIANS(E2369))^2)</f>
        <v/>
      </c>
      <c r="Q2369" s="28">
        <f>-(6*F2369*J2369*L2369*N2369*SIN(RADIANS(E2369))+6*O2369*N2369*G2369*SIN(RADIANS(E2369))*COS(RADIANS(E2369)))/(12*N2369*COS(RADIANS(E2369))^2+L2369*G2369^2*SIN(RADIANS(E2369))^2)</f>
        <v/>
      </c>
      <c r="R2369" s="28">
        <f>-P2369*SIN(RADIANS(E2369))</f>
        <v/>
      </c>
      <c r="S2369" s="8">
        <f>(O2369+P2369*COS(RADIANS(E2369)))/L2369</f>
        <v/>
      </c>
      <c r="T2369" s="8">
        <f>R2369/L2369</f>
        <v/>
      </c>
      <c r="U2369" s="8">
        <f>(Q2369-P2369*G2369*SIN(RADIANS(E2369)))/M2369</f>
        <v/>
      </c>
      <c r="V2369" s="8">
        <f>SQRT((S2369+U2369)^2+3*T2369^2)</f>
        <v/>
      </c>
      <c r="W2369" s="8">
        <f>V2369/AA2369</f>
        <v/>
      </c>
      <c r="X2369" s="27">
        <f>((3*10+H2369/COS(RADIANS(E2369)))*(3+3)+3*G2369*H2369)*2</f>
        <v/>
      </c>
      <c r="Y2369" s="28">
        <f>Z2369/X2369</f>
        <v/>
      </c>
      <c r="Z2369" s="29" t="n">
        <v>521.394098946065</v>
      </c>
      <c r="AA2369" s="20" t="n">
        <v>60.7089942014995</v>
      </c>
      <c r="AB2369" t="n">
        <v>0.07793507692853607</v>
      </c>
      <c r="AC2369" t="n">
        <v>63.54082148114641</v>
      </c>
      <c r="AD2369" t="n">
        <v>15.23946505203363</v>
      </c>
    </row>
    <row r="2370">
      <c r="A2370" t="n">
        <v>2369</v>
      </c>
      <c r="B2370" t="n">
        <v>82.09999999999999</v>
      </c>
      <c r="C2370" s="21">
        <f>B2370-20</f>
        <v/>
      </c>
      <c r="D2370" t="n">
        <v>118</v>
      </c>
      <c r="E2370" s="22">
        <f>D2370-90</f>
        <v/>
      </c>
      <c r="F2370" s="23" t="n">
        <v>0.0235</v>
      </c>
      <c r="G2370" s="22" t="n">
        <v>30.8</v>
      </c>
      <c r="H2370" s="22" t="n">
        <v>1.2</v>
      </c>
      <c r="I2370" s="24" t="n">
        <v>0.11249878257513</v>
      </c>
      <c r="J2370" s="6" t="n">
        <v>71000</v>
      </c>
      <c r="K2370" s="25">
        <f>23*10^-6</f>
        <v/>
      </c>
      <c r="L2370" s="8">
        <f>H2370</f>
        <v/>
      </c>
      <c r="M2370" s="26">
        <f>H2370^2/6</f>
        <v/>
      </c>
      <c r="N2370" s="26">
        <f>H2370^3/12</f>
        <v/>
      </c>
      <c r="O2370" s="27">
        <f>-J2370*L2370*K2370*C2370</f>
        <v/>
      </c>
      <c r="P2370" s="28">
        <f>-(12*F2370*J2370*L2370*N2370+12*O2370*N2370*G2370*COS(RADIANS(E2370)))/(12*N2370*G2370*COS(RADIANS(E2370))^2+L2370*G2370^3*SIN(RADIANS(E2370))^2)</f>
        <v/>
      </c>
      <c r="Q2370" s="28">
        <f>-(6*F2370*J2370*L2370*N2370*SIN(RADIANS(E2370))+6*O2370*N2370*G2370*SIN(RADIANS(E2370))*COS(RADIANS(E2370)))/(12*N2370*COS(RADIANS(E2370))^2+L2370*G2370^2*SIN(RADIANS(E2370))^2)</f>
        <v/>
      </c>
      <c r="R2370" s="28">
        <f>-P2370*SIN(RADIANS(E2370))</f>
        <v/>
      </c>
      <c r="S2370" s="8">
        <f>(O2370+P2370*COS(RADIANS(E2370)))/L2370</f>
        <v/>
      </c>
      <c r="T2370" s="8">
        <f>R2370/L2370</f>
        <v/>
      </c>
      <c r="U2370" s="8">
        <f>(Q2370-P2370*G2370*SIN(RADIANS(E2370)))/M2370</f>
        <v/>
      </c>
      <c r="V2370" s="8">
        <f>SQRT((S2370+U2370)^2+3*T2370^2)</f>
        <v/>
      </c>
      <c r="W2370" s="8">
        <f>V2370/AA2370</f>
        <v/>
      </c>
      <c r="X2370" s="27">
        <f>((3*10+H2370/COS(RADIANS(E2370)))*(3+3)+3*G2370*H2370)*2</f>
        <v/>
      </c>
      <c r="Y2370" s="28">
        <f>Z2370/X2370</f>
        <v/>
      </c>
      <c r="Z2370" s="29" t="n">
        <v>604.684319332099</v>
      </c>
      <c r="AA2370" s="20" t="n">
        <v>85.8864466132698</v>
      </c>
      <c r="AB2370" t="n">
        <v>0.1370983024909686</v>
      </c>
      <c r="AC2370" t="n">
        <v>90.43554663800258</v>
      </c>
      <c r="AD2370" t="n">
        <v>21.86647655445546</v>
      </c>
    </row>
    <row r="2371">
      <c r="A2371" t="n">
        <v>2370</v>
      </c>
      <c r="B2371" t="n">
        <v>74.09999999999999</v>
      </c>
      <c r="C2371" s="21">
        <f>B2371-20</f>
        <v/>
      </c>
      <c r="D2371" t="n">
        <v>124.7</v>
      </c>
      <c r="E2371" s="22">
        <f>D2371-90</f>
        <v/>
      </c>
      <c r="F2371" s="23" t="n">
        <v>0.016579</v>
      </c>
      <c r="G2371" s="22" t="n">
        <v>25.4</v>
      </c>
      <c r="H2371" s="22" t="n">
        <v>1</v>
      </c>
      <c r="I2371" s="24" t="n">
        <v>0.0750159174203872</v>
      </c>
      <c r="J2371" s="6" t="n">
        <v>71000</v>
      </c>
      <c r="K2371" s="25">
        <f>23*10^-6</f>
        <v/>
      </c>
      <c r="L2371" s="8">
        <f>H2371</f>
        <v/>
      </c>
      <c r="M2371" s="26">
        <f>H2371^2/6</f>
        <v/>
      </c>
      <c r="N2371" s="26">
        <f>H2371^3/12</f>
        <v/>
      </c>
      <c r="O2371" s="27">
        <f>-J2371*L2371*K2371*C2371</f>
        <v/>
      </c>
      <c r="P2371" s="28">
        <f>-(12*F2371*J2371*L2371*N2371+12*O2371*N2371*G2371*COS(RADIANS(E2371)))/(12*N2371*G2371*COS(RADIANS(E2371))^2+L2371*G2371^3*SIN(RADIANS(E2371))^2)</f>
        <v/>
      </c>
      <c r="Q2371" s="28">
        <f>-(6*F2371*J2371*L2371*N2371*SIN(RADIANS(E2371))+6*O2371*N2371*G2371*SIN(RADIANS(E2371))*COS(RADIANS(E2371)))/(12*N2371*COS(RADIANS(E2371))^2+L2371*G2371^2*SIN(RADIANS(E2371))^2)</f>
        <v/>
      </c>
      <c r="R2371" s="28">
        <f>-P2371*SIN(RADIANS(E2371))</f>
        <v/>
      </c>
      <c r="S2371" s="8">
        <f>(O2371+P2371*COS(RADIANS(E2371)))/L2371</f>
        <v/>
      </c>
      <c r="T2371" s="8">
        <f>R2371/L2371</f>
        <v/>
      </c>
      <c r="U2371" s="8">
        <f>(Q2371-P2371*G2371*SIN(RADIANS(E2371)))/M2371</f>
        <v/>
      </c>
      <c r="V2371" s="8">
        <f>SQRT((S2371+U2371)^2+3*T2371^2)</f>
        <v/>
      </c>
      <c r="W2371" s="8">
        <f>V2371/AA2371</f>
        <v/>
      </c>
      <c r="X2371" s="27">
        <f>((3*10+H2371/COS(RADIANS(E2371)))*(3+3)+3*G2371*H2371)*2</f>
        <v/>
      </c>
      <c r="Y2371" s="28">
        <f>Z2371/X2371</f>
        <v/>
      </c>
      <c r="Z2371" s="29" t="n">
        <v>535.621576756599</v>
      </c>
      <c r="AA2371" s="20" t="n">
        <v>71.9392360131075</v>
      </c>
      <c r="AB2371" t="n">
        <v>0.07916870085327989</v>
      </c>
      <c r="AC2371" t="n">
        <v>77.0496408608122</v>
      </c>
      <c r="AD2371" t="n">
        <v>5.535869686990028</v>
      </c>
    </row>
    <row r="2372">
      <c r="A2372" t="n">
        <v>2371</v>
      </c>
      <c r="B2372" t="n">
        <v>51.9</v>
      </c>
      <c r="C2372" s="21">
        <f>B2372-20</f>
        <v/>
      </c>
      <c r="D2372" t="n">
        <v>113.5</v>
      </c>
      <c r="E2372" s="22">
        <f>D2372-90</f>
        <v/>
      </c>
      <c r="F2372" s="23" t="n">
        <v>0.013754</v>
      </c>
      <c r="G2372" s="22" t="n">
        <v>34.7</v>
      </c>
      <c r="H2372" s="22" t="n">
        <v>1.7</v>
      </c>
      <c r="I2372" s="24" t="n">
        <v>0.07117175310850141</v>
      </c>
      <c r="J2372" s="6" t="n">
        <v>71000</v>
      </c>
      <c r="K2372" s="25">
        <f>23*10^-6</f>
        <v/>
      </c>
      <c r="L2372" s="8">
        <f>H2372</f>
        <v/>
      </c>
      <c r="M2372" s="26">
        <f>H2372^2/6</f>
        <v/>
      </c>
      <c r="N2372" s="26">
        <f>H2372^3/12</f>
        <v/>
      </c>
      <c r="O2372" s="27">
        <f>-J2372*L2372*K2372*C2372</f>
        <v/>
      </c>
      <c r="P2372" s="28">
        <f>-(12*F2372*J2372*L2372*N2372+12*O2372*N2372*G2372*COS(RADIANS(E2372)))/(12*N2372*G2372*COS(RADIANS(E2372))^2+L2372*G2372^3*SIN(RADIANS(E2372))^2)</f>
        <v/>
      </c>
      <c r="Q2372" s="28">
        <f>-(6*F2372*J2372*L2372*N2372*SIN(RADIANS(E2372))+6*O2372*N2372*G2372*SIN(RADIANS(E2372))*COS(RADIANS(E2372)))/(12*N2372*COS(RADIANS(E2372))^2+L2372*G2372^2*SIN(RADIANS(E2372))^2)</f>
        <v/>
      </c>
      <c r="R2372" s="28">
        <f>-P2372*SIN(RADIANS(E2372))</f>
        <v/>
      </c>
      <c r="S2372" s="8">
        <f>(O2372+P2372*COS(RADIANS(E2372)))/L2372</f>
        <v/>
      </c>
      <c r="T2372" s="8">
        <f>R2372/L2372</f>
        <v/>
      </c>
      <c r="U2372" s="8">
        <f>(Q2372-P2372*G2372*SIN(RADIANS(E2372)))/M2372</f>
        <v/>
      </c>
      <c r="V2372" s="8">
        <f>SQRT((S2372+U2372)^2+3*T2372^2)</f>
        <v/>
      </c>
      <c r="W2372" s="8">
        <f>V2372/AA2372</f>
        <v/>
      </c>
      <c r="X2372" s="27">
        <f>((3*10+H2372/COS(RADIANS(E2372)))*(3+3)+3*G2372*H2372)*2</f>
        <v/>
      </c>
      <c r="Y2372" s="28">
        <f>Z2372/X2372</f>
        <v/>
      </c>
      <c r="Z2372" s="29" t="n">
        <v>741.789214405815</v>
      </c>
      <c r="AA2372" s="20" t="n">
        <v>49.1588063667195</v>
      </c>
      <c r="AB2372" t="n">
        <v>0.09420905792574054</v>
      </c>
      <c r="AC2372" t="n">
        <v>48.50131765865098</v>
      </c>
      <c r="AD2372" t="n">
        <v>32.36860666073342</v>
      </c>
    </row>
    <row r="2373">
      <c r="A2373" t="n">
        <v>2372</v>
      </c>
      <c r="B2373" t="n">
        <v>73.59999999999999</v>
      </c>
      <c r="C2373" s="21">
        <f>B2373-20</f>
        <v/>
      </c>
      <c r="D2373" t="n">
        <v>111</v>
      </c>
      <c r="E2373" s="22">
        <f>D2373-90</f>
        <v/>
      </c>
      <c r="F2373" s="23" t="n">
        <v>0.022662</v>
      </c>
      <c r="G2373" s="22" t="n">
        <v>33.3</v>
      </c>
      <c r="H2373" s="22" t="n">
        <v>1.8</v>
      </c>
      <c r="I2373" s="24" t="n">
        <v>0.126057058572769</v>
      </c>
      <c r="J2373" s="6" t="n">
        <v>71000</v>
      </c>
      <c r="K2373" s="25">
        <f>23*10^-6</f>
        <v/>
      </c>
      <c r="L2373" s="8">
        <f>H2373</f>
        <v/>
      </c>
      <c r="M2373" s="26">
        <f>H2373^2/6</f>
        <v/>
      </c>
      <c r="N2373" s="26">
        <f>H2373^3/12</f>
        <v/>
      </c>
      <c r="O2373" s="27">
        <f>-J2373*L2373*K2373*C2373</f>
        <v/>
      </c>
      <c r="P2373" s="28">
        <f>-(12*F2373*J2373*L2373*N2373+12*O2373*N2373*G2373*COS(RADIANS(E2373)))/(12*N2373*G2373*COS(RADIANS(E2373))^2+L2373*G2373^3*SIN(RADIANS(E2373))^2)</f>
        <v/>
      </c>
      <c r="Q2373" s="28">
        <f>-(6*F2373*J2373*L2373*N2373*SIN(RADIANS(E2373))+6*O2373*N2373*G2373*SIN(RADIANS(E2373))*COS(RADIANS(E2373)))/(12*N2373*COS(RADIANS(E2373))^2+L2373*G2373^2*SIN(RADIANS(E2373))^2)</f>
        <v/>
      </c>
      <c r="R2373" s="28">
        <f>-P2373*SIN(RADIANS(E2373))</f>
        <v/>
      </c>
      <c r="S2373" s="8">
        <f>(O2373+P2373*COS(RADIANS(E2373)))/L2373</f>
        <v/>
      </c>
      <c r="T2373" s="8">
        <f>R2373/L2373</f>
        <v/>
      </c>
      <c r="U2373" s="8">
        <f>(Q2373-P2373*G2373*SIN(RADIANS(E2373)))/M2373</f>
        <v/>
      </c>
      <c r="V2373" s="8">
        <f>SQRT((S2373+U2373)^2+3*T2373^2)</f>
        <v/>
      </c>
      <c r="W2373" s="8">
        <f>V2373/AA2373</f>
        <v/>
      </c>
      <c r="X2373" s="27">
        <f>((3*10+H2373/COS(RADIANS(E2373)))*(3+3)+3*G2373*H2373)*2</f>
        <v/>
      </c>
      <c r="Y2373" s="28">
        <f>Z2373/X2373</f>
        <v/>
      </c>
      <c r="Z2373" s="29" t="n">
        <v>747.917841095491</v>
      </c>
      <c r="AA2373" s="20" t="n">
        <v>85.896503067238</v>
      </c>
      <c r="AB2373" t="n">
        <v>0.1700465138478531</v>
      </c>
      <c r="AC2373" t="n">
        <v>83.60760542171907</v>
      </c>
      <c r="AD2373" t="n">
        <v>34.89646337391751</v>
      </c>
    </row>
    <row r="2374">
      <c r="A2374" t="n">
        <v>2373</v>
      </c>
      <c r="B2374" t="n">
        <v>63.3</v>
      </c>
      <c r="C2374" s="21">
        <f>B2374-20</f>
        <v/>
      </c>
      <c r="D2374" t="n">
        <v>112.8</v>
      </c>
      <c r="E2374" s="22">
        <f>D2374-90</f>
        <v/>
      </c>
      <c r="F2374" s="23" t="n">
        <v>0.018206</v>
      </c>
      <c r="G2374" s="22" t="n">
        <v>33.5</v>
      </c>
      <c r="H2374" s="22" t="n">
        <v>1.4</v>
      </c>
      <c r="I2374" s="24" t="n">
        <v>0.0964189544320106</v>
      </c>
      <c r="J2374" s="6" t="n">
        <v>71000</v>
      </c>
      <c r="K2374" s="25">
        <f>23*10^-6</f>
        <v/>
      </c>
      <c r="L2374" s="8">
        <f>H2374</f>
        <v/>
      </c>
      <c r="M2374" s="26">
        <f>H2374^2/6</f>
        <v/>
      </c>
      <c r="N2374" s="26">
        <f>H2374^3/12</f>
        <v/>
      </c>
      <c r="O2374" s="27">
        <f>-J2374*L2374*K2374*C2374</f>
        <v/>
      </c>
      <c r="P2374" s="28">
        <f>-(12*F2374*J2374*L2374*N2374+12*O2374*N2374*G2374*COS(RADIANS(E2374)))/(12*N2374*G2374*COS(RADIANS(E2374))^2+L2374*G2374^3*SIN(RADIANS(E2374))^2)</f>
        <v/>
      </c>
      <c r="Q2374" s="28">
        <f>-(6*F2374*J2374*L2374*N2374*SIN(RADIANS(E2374))+6*O2374*N2374*G2374*SIN(RADIANS(E2374))*COS(RADIANS(E2374)))/(12*N2374*COS(RADIANS(E2374))^2+L2374*G2374^2*SIN(RADIANS(E2374))^2)</f>
        <v/>
      </c>
      <c r="R2374" s="28">
        <f>-P2374*SIN(RADIANS(E2374))</f>
        <v/>
      </c>
      <c r="S2374" s="8">
        <f>(O2374+P2374*COS(RADIANS(E2374)))/L2374</f>
        <v/>
      </c>
      <c r="T2374" s="8">
        <f>R2374/L2374</f>
        <v/>
      </c>
      <c r="U2374" s="8">
        <f>(Q2374-P2374*G2374*SIN(RADIANS(E2374)))/M2374</f>
        <v/>
      </c>
      <c r="V2374" s="8">
        <f>SQRT((S2374+U2374)^2+3*T2374^2)</f>
        <v/>
      </c>
      <c r="W2374" s="8">
        <f>V2374/AA2374</f>
        <v/>
      </c>
      <c r="X2374" s="27">
        <f>((3*10+H2374/COS(RADIANS(E2374)))*(3+3)+3*G2374*H2374)*2</f>
        <v/>
      </c>
      <c r="Y2374" s="28">
        <f>Z2374/X2374</f>
        <v/>
      </c>
      <c r="Z2374" s="29" t="n">
        <v>665.091825333375</v>
      </c>
      <c r="AA2374" s="20" t="n">
        <v>64.154319695056</v>
      </c>
      <c r="AB2374" t="n">
        <v>0.1280624423888203</v>
      </c>
      <c r="AC2374" t="n">
        <v>64.93361742487157</v>
      </c>
      <c r="AD2374" t="n">
        <v>32.81874206499823</v>
      </c>
    </row>
    <row r="2375">
      <c r="A2375" t="n">
        <v>2374</v>
      </c>
      <c r="B2375" t="n">
        <v>74</v>
      </c>
      <c r="C2375" s="21">
        <f>B2375-20</f>
        <v/>
      </c>
      <c r="D2375" t="n">
        <v>105</v>
      </c>
      <c r="E2375" s="22">
        <f>D2375-90</f>
        <v/>
      </c>
      <c r="F2375" s="23" t="n">
        <v>0.021711</v>
      </c>
      <c r="G2375" s="22" t="n">
        <v>30.3</v>
      </c>
      <c r="H2375" s="22" t="n">
        <v>1.9</v>
      </c>
      <c r="I2375" s="24" t="n">
        <v>0.151718184351921</v>
      </c>
      <c r="J2375" s="6" t="n">
        <v>71000</v>
      </c>
      <c r="K2375" s="25">
        <f>23*10^-6</f>
        <v/>
      </c>
      <c r="L2375" s="8">
        <f>H2375</f>
        <v/>
      </c>
      <c r="M2375" s="26">
        <f>H2375^2/6</f>
        <v/>
      </c>
      <c r="N2375" s="26">
        <f>H2375^3/12</f>
        <v/>
      </c>
      <c r="O2375" s="27">
        <f>-J2375*L2375*K2375*C2375</f>
        <v/>
      </c>
      <c r="P2375" s="28">
        <f>-(12*F2375*J2375*L2375*N2375+12*O2375*N2375*G2375*COS(RADIANS(E2375)))/(12*N2375*G2375*COS(RADIANS(E2375))^2+L2375*G2375^3*SIN(RADIANS(E2375))^2)</f>
        <v/>
      </c>
      <c r="Q2375" s="28">
        <f>-(6*F2375*J2375*L2375*N2375*SIN(RADIANS(E2375))+6*O2375*N2375*G2375*SIN(RADIANS(E2375))*COS(RADIANS(E2375)))/(12*N2375*COS(RADIANS(E2375))^2+L2375*G2375^2*SIN(RADIANS(E2375))^2)</f>
        <v/>
      </c>
      <c r="R2375" s="28">
        <f>-P2375*SIN(RADIANS(E2375))</f>
        <v/>
      </c>
      <c r="S2375" s="8">
        <f>(O2375+P2375*COS(RADIANS(E2375)))/L2375</f>
        <v/>
      </c>
      <c r="T2375" s="8">
        <f>R2375/L2375</f>
        <v/>
      </c>
      <c r="U2375" s="8">
        <f>(Q2375-P2375*G2375*SIN(RADIANS(E2375)))/M2375</f>
        <v/>
      </c>
      <c r="V2375" s="8">
        <f>SQRT((S2375+U2375)^2+3*T2375^2)</f>
        <v/>
      </c>
      <c r="W2375" s="8">
        <f>V2375/AA2375</f>
        <v/>
      </c>
      <c r="X2375" s="27">
        <f>((3*10+H2375/COS(RADIANS(E2375)))*(3+3)+3*G2375*H2375)*2</f>
        <v/>
      </c>
      <c r="Y2375" s="28">
        <f>Z2375/X2375</f>
        <v/>
      </c>
      <c r="Z2375" s="29" t="n">
        <v>733.304554628834</v>
      </c>
      <c r="AA2375" s="20" t="n">
        <v>92.82121652033079</v>
      </c>
      <c r="AB2375" t="n">
        <v>0.2143678270303686</v>
      </c>
      <c r="AC2375" t="n">
        <v>90.45714035632339</v>
      </c>
      <c r="AD2375" t="n">
        <v>41.29343028066258</v>
      </c>
    </row>
    <row r="2376">
      <c r="A2376" t="n">
        <v>2375</v>
      </c>
      <c r="B2376" t="n">
        <v>78.40000000000001</v>
      </c>
      <c r="C2376" s="21">
        <f>B2376-20</f>
        <v/>
      </c>
      <c r="D2376" t="n">
        <v>115.5</v>
      </c>
      <c r="E2376" s="22">
        <f>D2376-90</f>
        <v/>
      </c>
      <c r="F2376" s="23" t="n">
        <v>0.018236</v>
      </c>
      <c r="G2376" s="22" t="n">
        <v>23.7</v>
      </c>
      <c r="H2376" s="22" t="n">
        <v>1.9</v>
      </c>
      <c r="I2376" s="24" t="n">
        <v>0.09464184939861291</v>
      </c>
      <c r="J2376" s="6" t="n">
        <v>71000</v>
      </c>
      <c r="K2376" s="25">
        <f>23*10^-6</f>
        <v/>
      </c>
      <c r="L2376" s="8">
        <f>H2376</f>
        <v/>
      </c>
      <c r="M2376" s="26">
        <f>H2376^2/6</f>
        <v/>
      </c>
      <c r="N2376" s="26">
        <f>H2376^3/12</f>
        <v/>
      </c>
      <c r="O2376" s="27">
        <f>-J2376*L2376*K2376*C2376</f>
        <v/>
      </c>
      <c r="P2376" s="28">
        <f>-(12*F2376*J2376*L2376*N2376+12*O2376*N2376*G2376*COS(RADIANS(E2376)))/(12*N2376*G2376*COS(RADIANS(E2376))^2+L2376*G2376^3*SIN(RADIANS(E2376))^2)</f>
        <v/>
      </c>
      <c r="Q2376" s="28">
        <f>-(6*F2376*J2376*L2376*N2376*SIN(RADIANS(E2376))+6*O2376*N2376*G2376*SIN(RADIANS(E2376))*COS(RADIANS(E2376)))/(12*N2376*COS(RADIANS(E2376))^2+L2376*G2376^2*SIN(RADIANS(E2376))^2)</f>
        <v/>
      </c>
      <c r="R2376" s="28">
        <f>-P2376*SIN(RADIANS(E2376))</f>
        <v/>
      </c>
      <c r="S2376" s="8">
        <f>(O2376+P2376*COS(RADIANS(E2376)))/L2376</f>
        <v/>
      </c>
      <c r="T2376" s="8">
        <f>R2376/L2376</f>
        <v/>
      </c>
      <c r="U2376" s="8">
        <f>(Q2376-P2376*G2376*SIN(RADIANS(E2376)))/M2376</f>
        <v/>
      </c>
      <c r="V2376" s="8">
        <f>SQRT((S2376+U2376)^2+3*T2376^2)</f>
        <v/>
      </c>
      <c r="W2376" s="8">
        <f>V2376/AA2376</f>
        <v/>
      </c>
      <c r="X2376" s="27">
        <f>((3*10+H2376/COS(RADIANS(E2376)))*(3+3)+3*G2376*H2376)*2</f>
        <v/>
      </c>
      <c r="Y2376" s="28">
        <f>Z2376/X2376</f>
        <v/>
      </c>
      <c r="Z2376" s="29" t="n">
        <v>661.464685248699</v>
      </c>
      <c r="AA2376" s="20" t="n">
        <v>98.34629322128789</v>
      </c>
      <c r="AB2376" t="n">
        <v>0.1088559890420446</v>
      </c>
      <c r="AC2376" t="n">
        <v>91.70524482329532</v>
      </c>
      <c r="AD2376" t="n">
        <v>15.01887350443089</v>
      </c>
    </row>
    <row r="2377">
      <c r="A2377" t="n">
        <v>2376</v>
      </c>
      <c r="B2377" t="n">
        <v>88.3</v>
      </c>
      <c r="C2377" s="21">
        <f>B2377-20</f>
        <v/>
      </c>
      <c r="D2377" t="n">
        <v>109.6</v>
      </c>
      <c r="E2377" s="22">
        <f>D2377-90</f>
        <v/>
      </c>
      <c r="F2377" s="23" t="n">
        <v>0.019929</v>
      </c>
      <c r="G2377" s="22" t="n">
        <v>20.8</v>
      </c>
      <c r="H2377" s="22" t="n">
        <v>1.3</v>
      </c>
      <c r="I2377" s="24" t="n">
        <v>0.123007766902446</v>
      </c>
      <c r="J2377" s="6" t="n">
        <v>71000</v>
      </c>
      <c r="K2377" s="25">
        <f>23*10^-6</f>
        <v/>
      </c>
      <c r="L2377" s="8">
        <f>H2377</f>
        <v/>
      </c>
      <c r="M2377" s="26">
        <f>H2377^2/6</f>
        <v/>
      </c>
      <c r="N2377" s="26">
        <f>H2377^3/12</f>
        <v/>
      </c>
      <c r="O2377" s="27">
        <f>-J2377*L2377*K2377*C2377</f>
        <v/>
      </c>
      <c r="P2377" s="28">
        <f>-(12*F2377*J2377*L2377*N2377+12*O2377*N2377*G2377*COS(RADIANS(E2377)))/(12*N2377*G2377*COS(RADIANS(E2377))^2+L2377*G2377^3*SIN(RADIANS(E2377))^2)</f>
        <v/>
      </c>
      <c r="Q2377" s="28">
        <f>-(6*F2377*J2377*L2377*N2377*SIN(RADIANS(E2377))+6*O2377*N2377*G2377*SIN(RADIANS(E2377))*COS(RADIANS(E2377)))/(12*N2377*COS(RADIANS(E2377))^2+L2377*G2377^2*SIN(RADIANS(E2377))^2)</f>
        <v/>
      </c>
      <c r="R2377" s="28">
        <f>-P2377*SIN(RADIANS(E2377))</f>
        <v/>
      </c>
      <c r="S2377" s="8">
        <f>(O2377+P2377*COS(RADIANS(E2377)))/L2377</f>
        <v/>
      </c>
      <c r="T2377" s="8">
        <f>R2377/L2377</f>
        <v/>
      </c>
      <c r="U2377" s="8">
        <f>(Q2377-P2377*G2377*SIN(RADIANS(E2377)))/M2377</f>
        <v/>
      </c>
      <c r="V2377" s="8">
        <f>SQRT((S2377+U2377)^2+3*T2377^2)</f>
        <v/>
      </c>
      <c r="W2377" s="8">
        <f>V2377/AA2377</f>
        <v/>
      </c>
      <c r="X2377" s="27">
        <f>((3*10+H2377/COS(RADIANS(E2377)))*(3+3)+3*G2377*H2377)*2</f>
        <v/>
      </c>
      <c r="Y2377" s="28">
        <f>Z2377/X2377</f>
        <v/>
      </c>
      <c r="Z2377" s="29" t="n">
        <v>543.709282182436</v>
      </c>
      <c r="AA2377" s="20" t="n">
        <v>104.452340973795</v>
      </c>
      <c r="AB2377" t="n">
        <v>0.1485754028752014</v>
      </c>
      <c r="AC2377" t="n">
        <v>107.2921089001198</v>
      </c>
      <c r="AD2377" t="n">
        <v>20.78538340837649</v>
      </c>
    </row>
    <row r="2378">
      <c r="A2378" t="n">
        <v>2377</v>
      </c>
      <c r="B2378" t="n">
        <v>56.1</v>
      </c>
      <c r="C2378" s="21">
        <f>B2378-20</f>
        <v/>
      </c>
      <c r="D2378" t="n">
        <v>113.8</v>
      </c>
      <c r="E2378" s="22">
        <f>D2378-90</f>
        <v/>
      </c>
      <c r="F2378" s="23" t="n">
        <v>0.015422</v>
      </c>
      <c r="G2378" s="22" t="n">
        <v>34.4</v>
      </c>
      <c r="H2378" s="22" t="n">
        <v>1.4</v>
      </c>
      <c r="I2378" s="24" t="n">
        <v>0.0793565586209297</v>
      </c>
      <c r="J2378" s="6" t="n">
        <v>71000</v>
      </c>
      <c r="K2378" s="25">
        <f>23*10^-6</f>
        <v/>
      </c>
      <c r="L2378" s="8">
        <f>H2378</f>
        <v/>
      </c>
      <c r="M2378" s="26">
        <f>H2378^2/6</f>
        <v/>
      </c>
      <c r="N2378" s="26">
        <f>H2378^3/12</f>
        <v/>
      </c>
      <c r="O2378" s="27">
        <f>-J2378*L2378*K2378*C2378</f>
        <v/>
      </c>
      <c r="P2378" s="28">
        <f>-(12*F2378*J2378*L2378*N2378+12*O2378*N2378*G2378*COS(RADIANS(E2378)))/(12*N2378*G2378*COS(RADIANS(E2378))^2+L2378*G2378^3*SIN(RADIANS(E2378))^2)</f>
        <v/>
      </c>
      <c r="Q2378" s="28">
        <f>-(6*F2378*J2378*L2378*N2378*SIN(RADIANS(E2378))+6*O2378*N2378*G2378*SIN(RADIANS(E2378))*COS(RADIANS(E2378)))/(12*N2378*COS(RADIANS(E2378))^2+L2378*G2378^2*SIN(RADIANS(E2378))^2)</f>
        <v/>
      </c>
      <c r="R2378" s="28">
        <f>-P2378*SIN(RADIANS(E2378))</f>
        <v/>
      </c>
      <c r="S2378" s="8">
        <f>(O2378+P2378*COS(RADIANS(E2378)))/L2378</f>
        <v/>
      </c>
      <c r="T2378" s="8">
        <f>R2378/L2378</f>
        <v/>
      </c>
      <c r="U2378" s="8">
        <f>(Q2378-P2378*G2378*SIN(RADIANS(E2378)))/M2378</f>
        <v/>
      </c>
      <c r="V2378" s="8">
        <f>SQRT((S2378+U2378)^2+3*T2378^2)</f>
        <v/>
      </c>
      <c r="W2378" s="8">
        <f>V2378/AA2378</f>
        <v/>
      </c>
      <c r="X2378" s="27">
        <f>((3*10+H2378/COS(RADIANS(E2378)))*(3+3)+3*G2378*H2378)*2</f>
        <v/>
      </c>
      <c r="Y2378" s="28">
        <f>Z2378/X2378</f>
        <v/>
      </c>
      <c r="Z2378" s="29" t="n">
        <v>672.985758889972</v>
      </c>
      <c r="AA2378" s="20" t="n">
        <v>52.7812637860498</v>
      </c>
      <c r="AB2378" t="n">
        <v>0.1047953186155505</v>
      </c>
      <c r="AC2378" t="n">
        <v>53.77382270148954</v>
      </c>
      <c r="AD2378" t="n">
        <v>32.05627919947565</v>
      </c>
    </row>
    <row r="2379">
      <c r="A2379" t="n">
        <v>2378</v>
      </c>
      <c r="B2379" t="n">
        <v>60</v>
      </c>
      <c r="C2379" s="21">
        <f>B2379-20</f>
        <v/>
      </c>
      <c r="D2379" t="n">
        <v>103.5</v>
      </c>
      <c r="E2379" s="22">
        <f>D2379-90</f>
        <v/>
      </c>
      <c r="F2379" s="23" t="n">
        <v>0.014043</v>
      </c>
      <c r="G2379" s="22" t="n">
        <v>25.5</v>
      </c>
      <c r="H2379" s="22" t="n">
        <v>1.6</v>
      </c>
      <c r="I2379" s="24" t="n">
        <v>0.107454262673854</v>
      </c>
      <c r="J2379" s="6" t="n">
        <v>71000</v>
      </c>
      <c r="K2379" s="25">
        <f>23*10^-6</f>
        <v/>
      </c>
      <c r="L2379" s="8">
        <f>H2379</f>
        <v/>
      </c>
      <c r="M2379" s="26">
        <f>H2379^2/6</f>
        <v/>
      </c>
      <c r="N2379" s="26">
        <f>H2379^3/12</f>
        <v/>
      </c>
      <c r="O2379" s="27">
        <f>-J2379*L2379*K2379*C2379</f>
        <v/>
      </c>
      <c r="P2379" s="28">
        <f>-(12*F2379*J2379*L2379*N2379+12*O2379*N2379*G2379*COS(RADIANS(E2379)))/(12*N2379*G2379*COS(RADIANS(E2379))^2+L2379*G2379^3*SIN(RADIANS(E2379))^2)</f>
        <v/>
      </c>
      <c r="Q2379" s="28">
        <f>-(6*F2379*J2379*L2379*N2379*SIN(RADIANS(E2379))+6*O2379*N2379*G2379*SIN(RADIANS(E2379))*COS(RADIANS(E2379)))/(12*N2379*COS(RADIANS(E2379))^2+L2379*G2379^2*SIN(RADIANS(E2379))^2)</f>
        <v/>
      </c>
      <c r="R2379" s="28">
        <f>-P2379*SIN(RADIANS(E2379))</f>
        <v/>
      </c>
      <c r="S2379" s="8">
        <f>(O2379+P2379*COS(RADIANS(E2379)))/L2379</f>
        <v/>
      </c>
      <c r="T2379" s="8">
        <f>R2379/L2379</f>
        <v/>
      </c>
      <c r="U2379" s="8">
        <f>(Q2379-P2379*G2379*SIN(RADIANS(E2379)))/M2379</f>
        <v/>
      </c>
      <c r="V2379" s="8">
        <f>SQRT((S2379+U2379)^2+3*T2379^2)</f>
        <v/>
      </c>
      <c r="W2379" s="8">
        <f>V2379/AA2379</f>
        <v/>
      </c>
      <c r="X2379" s="27">
        <f>((3*10+H2379/COS(RADIANS(E2379)))*(3+3)+3*G2379*H2379)*2</f>
        <v/>
      </c>
      <c r="Y2379" s="28">
        <f>Z2379/X2379</f>
        <v/>
      </c>
      <c r="Z2379" s="29" t="n">
        <v>628.661165751977</v>
      </c>
      <c r="AA2379" s="20" t="n">
        <v>66.597627611297</v>
      </c>
      <c r="AB2379" t="n">
        <v>0.1486059340984986</v>
      </c>
      <c r="AC2379" t="n">
        <v>67.56389136795801</v>
      </c>
      <c r="AD2379" t="n">
        <v>38.29691852202131</v>
      </c>
    </row>
    <row r="2380">
      <c r="A2380" t="n">
        <v>2379</v>
      </c>
      <c r="B2380" t="n">
        <v>75.3</v>
      </c>
      <c r="C2380" s="21">
        <f>B2380-20</f>
        <v/>
      </c>
      <c r="D2380" t="n">
        <v>104.8</v>
      </c>
      <c r="E2380" s="22">
        <f>D2380-90</f>
        <v/>
      </c>
      <c r="F2380" s="23" t="n">
        <v>0.019325</v>
      </c>
      <c r="G2380" s="22" t="n">
        <v>25.5</v>
      </c>
      <c r="H2380" s="22" t="n">
        <v>1.4</v>
      </c>
      <c r="I2380" s="24" t="n">
        <v>0.140307694673538</v>
      </c>
      <c r="J2380" s="6" t="n">
        <v>71000</v>
      </c>
      <c r="K2380" s="25">
        <f>23*10^-6</f>
        <v/>
      </c>
      <c r="L2380" s="8">
        <f>H2380</f>
        <v/>
      </c>
      <c r="M2380" s="26">
        <f>H2380^2/6</f>
        <v/>
      </c>
      <c r="N2380" s="26">
        <f>H2380^3/12</f>
        <v/>
      </c>
      <c r="O2380" s="27">
        <f>-J2380*L2380*K2380*C2380</f>
        <v/>
      </c>
      <c r="P2380" s="28">
        <f>-(12*F2380*J2380*L2380*N2380+12*O2380*N2380*G2380*COS(RADIANS(E2380)))/(12*N2380*G2380*COS(RADIANS(E2380))^2+L2380*G2380^3*SIN(RADIANS(E2380))^2)</f>
        <v/>
      </c>
      <c r="Q2380" s="28">
        <f>-(6*F2380*J2380*L2380*N2380*SIN(RADIANS(E2380))+6*O2380*N2380*G2380*SIN(RADIANS(E2380))*COS(RADIANS(E2380)))/(12*N2380*COS(RADIANS(E2380))^2+L2380*G2380^2*SIN(RADIANS(E2380))^2)</f>
        <v/>
      </c>
      <c r="R2380" s="28">
        <f>-P2380*SIN(RADIANS(E2380))</f>
        <v/>
      </c>
      <c r="S2380" s="8">
        <f>(O2380+P2380*COS(RADIANS(E2380)))/L2380</f>
        <v/>
      </c>
      <c r="T2380" s="8">
        <f>R2380/L2380</f>
        <v/>
      </c>
      <c r="U2380" s="8">
        <f>(Q2380-P2380*G2380*SIN(RADIANS(E2380)))/M2380</f>
        <v/>
      </c>
      <c r="V2380" s="8">
        <f>SQRT((S2380+U2380)^2+3*T2380^2)</f>
        <v/>
      </c>
      <c r="W2380" s="8">
        <f>V2380/AA2380</f>
        <v/>
      </c>
      <c r="X2380" s="27">
        <f>((3*10+H2380/COS(RADIANS(E2380)))*(3+3)+3*G2380*H2380)*2</f>
        <v/>
      </c>
      <c r="Y2380" s="28">
        <f>Z2380/X2380</f>
        <v/>
      </c>
      <c r="Z2380" s="29" t="n">
        <v>595.833684205262</v>
      </c>
      <c r="AA2380" s="20" t="n">
        <v>87.1882769042671</v>
      </c>
      <c r="AB2380" t="n">
        <v>0.1916155966843847</v>
      </c>
      <c r="AC2380" t="n">
        <v>90.12809546689014</v>
      </c>
      <c r="AD2380" t="n">
        <v>36.56813129901947</v>
      </c>
    </row>
    <row r="2381">
      <c r="A2381" t="n">
        <v>2380</v>
      </c>
      <c r="B2381" t="n">
        <v>76.7</v>
      </c>
      <c r="C2381" s="21">
        <f>B2381-20</f>
        <v/>
      </c>
      <c r="D2381" t="n">
        <v>118.6</v>
      </c>
      <c r="E2381" s="22">
        <f>D2381-90</f>
        <v/>
      </c>
      <c r="F2381" s="23" t="n">
        <v>0.021925</v>
      </c>
      <c r="G2381" s="22" t="n">
        <v>31.8</v>
      </c>
      <c r="H2381" s="22" t="n">
        <v>1.7</v>
      </c>
      <c r="I2381" s="24" t="n">
        <v>0.10352074354887</v>
      </c>
      <c r="J2381" s="6" t="n">
        <v>71000</v>
      </c>
      <c r="K2381" s="25">
        <f>23*10^-6</f>
        <v/>
      </c>
      <c r="L2381" s="8">
        <f>H2381</f>
        <v/>
      </c>
      <c r="M2381" s="26">
        <f>H2381^2/6</f>
        <v/>
      </c>
      <c r="N2381" s="26">
        <f>H2381^3/12</f>
        <v/>
      </c>
      <c r="O2381" s="27">
        <f>-J2381*L2381*K2381*C2381</f>
        <v/>
      </c>
      <c r="P2381" s="28">
        <f>-(12*F2381*J2381*L2381*N2381+12*O2381*N2381*G2381*COS(RADIANS(E2381)))/(12*N2381*G2381*COS(RADIANS(E2381))^2+L2381*G2381^3*SIN(RADIANS(E2381))^2)</f>
        <v/>
      </c>
      <c r="Q2381" s="28">
        <f>-(6*F2381*J2381*L2381*N2381*SIN(RADIANS(E2381))+6*O2381*N2381*G2381*SIN(RADIANS(E2381))*COS(RADIANS(E2381)))/(12*N2381*COS(RADIANS(E2381))^2+L2381*G2381^2*SIN(RADIANS(E2381))^2)</f>
        <v/>
      </c>
      <c r="R2381" s="28">
        <f>-P2381*SIN(RADIANS(E2381))</f>
        <v/>
      </c>
      <c r="S2381" s="8">
        <f>(O2381+P2381*COS(RADIANS(E2381)))/L2381</f>
        <v/>
      </c>
      <c r="T2381" s="8">
        <f>R2381/L2381</f>
        <v/>
      </c>
      <c r="U2381" s="8">
        <f>(Q2381-P2381*G2381*SIN(RADIANS(E2381)))/M2381</f>
        <v/>
      </c>
      <c r="V2381" s="8">
        <f>SQRT((S2381+U2381)^2+3*T2381^2)</f>
        <v/>
      </c>
      <c r="W2381" s="8">
        <f>V2381/AA2381</f>
        <v/>
      </c>
      <c r="X2381" s="27">
        <f>((3*10+H2381/COS(RADIANS(E2381)))*(3+3)+3*G2381*H2381)*2</f>
        <v/>
      </c>
      <c r="Y2381" s="28">
        <f>Z2381/X2381</f>
        <v/>
      </c>
      <c r="Z2381" s="29" t="n">
        <v>714.3640860375569</v>
      </c>
      <c r="AA2381" s="20" t="n">
        <v>86.89458476228219</v>
      </c>
      <c r="AB2381" t="n">
        <v>0.125524519410176</v>
      </c>
      <c r="AC2381" t="n">
        <v>84.69392902157388</v>
      </c>
      <c r="AD2381" t="n">
        <v>21.25542679368263</v>
      </c>
    </row>
    <row r="2382">
      <c r="A2382" t="n">
        <v>2381</v>
      </c>
      <c r="B2382" t="n">
        <v>86.59999999999999</v>
      </c>
      <c r="C2382" s="21">
        <f>B2382-20</f>
        <v/>
      </c>
      <c r="D2382" t="n">
        <v>121</v>
      </c>
      <c r="E2382" s="22">
        <f>D2382-90</f>
        <v/>
      </c>
      <c r="F2382" s="23" t="n">
        <v>0.025511</v>
      </c>
      <c r="G2382" s="22" t="n">
        <v>32.2</v>
      </c>
      <c r="H2382" s="22" t="n">
        <v>1.9</v>
      </c>
      <c r="I2382" s="24" t="n">
        <v>0.116222463548183</v>
      </c>
      <c r="J2382" s="6" t="n">
        <v>71000</v>
      </c>
      <c r="K2382" s="25">
        <f>23*10^-6</f>
        <v/>
      </c>
      <c r="L2382" s="8">
        <f>H2382</f>
        <v/>
      </c>
      <c r="M2382" s="26">
        <f>H2382^2/6</f>
        <v/>
      </c>
      <c r="N2382" s="26">
        <f>H2382^3/12</f>
        <v/>
      </c>
      <c r="O2382" s="27">
        <f>-J2382*L2382*K2382*C2382</f>
        <v/>
      </c>
      <c r="P2382" s="28">
        <f>-(12*F2382*J2382*L2382*N2382+12*O2382*N2382*G2382*COS(RADIANS(E2382)))/(12*N2382*G2382*COS(RADIANS(E2382))^2+L2382*G2382^3*SIN(RADIANS(E2382))^2)</f>
        <v/>
      </c>
      <c r="Q2382" s="28">
        <f>-(6*F2382*J2382*L2382*N2382*SIN(RADIANS(E2382))+6*O2382*N2382*G2382*SIN(RADIANS(E2382))*COS(RADIANS(E2382)))/(12*N2382*COS(RADIANS(E2382))^2+L2382*G2382^2*SIN(RADIANS(E2382))^2)</f>
        <v/>
      </c>
      <c r="R2382" s="28">
        <f>-P2382*SIN(RADIANS(E2382))</f>
        <v/>
      </c>
      <c r="S2382" s="8">
        <f>(O2382+P2382*COS(RADIANS(E2382)))/L2382</f>
        <v/>
      </c>
      <c r="T2382" s="8">
        <f>R2382/L2382</f>
        <v/>
      </c>
      <c r="U2382" s="8">
        <f>(Q2382-P2382*G2382*SIN(RADIANS(E2382)))/M2382</f>
        <v/>
      </c>
      <c r="V2382" s="8">
        <f>SQRT((S2382+U2382)^2+3*T2382^2)</f>
        <v/>
      </c>
      <c r="W2382" s="8">
        <f>V2382/AA2382</f>
        <v/>
      </c>
      <c r="X2382" s="27">
        <f>((3*10+H2382/COS(RADIANS(E2382)))*(3+3)+3*G2382*H2382)*2</f>
        <v/>
      </c>
      <c r="Y2382" s="28">
        <f>Z2382/X2382</f>
        <v/>
      </c>
      <c r="Z2382" s="29" t="n">
        <v>761.112072375318</v>
      </c>
      <c r="AA2382" s="20" t="n">
        <v>105.319345552217</v>
      </c>
      <c r="AB2382" t="n">
        <v>0.1367584395229975</v>
      </c>
      <c r="AC2382" t="n">
        <v>99.46549207815684</v>
      </c>
      <c r="AD2382" t="n">
        <v>17.66954110923729</v>
      </c>
    </row>
    <row r="2383">
      <c r="A2383" t="n">
        <v>2382</v>
      </c>
      <c r="B2383" t="n">
        <v>52.1</v>
      </c>
      <c r="C2383" s="21">
        <f>B2383-20</f>
        <v/>
      </c>
      <c r="D2383" t="n">
        <v>103.5</v>
      </c>
      <c r="E2383" s="22">
        <f>D2383-90</f>
        <v/>
      </c>
      <c r="F2383" s="23" t="n">
        <v>0.009561</v>
      </c>
      <c r="G2383" s="22" t="n">
        <v>20.7</v>
      </c>
      <c r="H2383" s="22" t="n">
        <v>1.4</v>
      </c>
      <c r="I2383" s="24" t="n">
        <v>0.07442489266395561</v>
      </c>
      <c r="J2383" s="6" t="n">
        <v>71000</v>
      </c>
      <c r="K2383" s="25">
        <f>23*10^-6</f>
        <v/>
      </c>
      <c r="L2383" s="8">
        <f>H2383</f>
        <v/>
      </c>
      <c r="M2383" s="26">
        <f>H2383^2/6</f>
        <v/>
      </c>
      <c r="N2383" s="26">
        <f>H2383^3/12</f>
        <v/>
      </c>
      <c r="O2383" s="27">
        <f>-J2383*L2383*K2383*C2383</f>
        <v/>
      </c>
      <c r="P2383" s="28">
        <f>-(12*F2383*J2383*L2383*N2383+12*O2383*N2383*G2383*COS(RADIANS(E2383)))/(12*N2383*G2383*COS(RADIANS(E2383))^2+L2383*G2383^3*SIN(RADIANS(E2383))^2)</f>
        <v/>
      </c>
      <c r="Q2383" s="28">
        <f>-(6*F2383*J2383*L2383*N2383*SIN(RADIANS(E2383))+6*O2383*N2383*G2383*SIN(RADIANS(E2383))*COS(RADIANS(E2383)))/(12*N2383*COS(RADIANS(E2383))^2+L2383*G2383^2*SIN(RADIANS(E2383))^2)</f>
        <v/>
      </c>
      <c r="R2383" s="28">
        <f>-P2383*SIN(RADIANS(E2383))</f>
        <v/>
      </c>
      <c r="S2383" s="8">
        <f>(O2383+P2383*COS(RADIANS(E2383)))/L2383</f>
        <v/>
      </c>
      <c r="T2383" s="8">
        <f>R2383/L2383</f>
        <v/>
      </c>
      <c r="U2383" s="8">
        <f>(Q2383-P2383*G2383*SIN(RADIANS(E2383)))/M2383</f>
        <v/>
      </c>
      <c r="V2383" s="8">
        <f>SQRT((S2383+U2383)^2+3*T2383^2)</f>
        <v/>
      </c>
      <c r="W2383" s="8">
        <f>V2383/AA2383</f>
        <v/>
      </c>
      <c r="X2383" s="27">
        <f>((3*10+H2383/COS(RADIANS(E2383)))*(3+3)+3*G2383*H2383)*2</f>
        <v/>
      </c>
      <c r="Y2383" s="28">
        <f>Z2383/X2383</f>
        <v/>
      </c>
      <c r="Z2383" s="29" t="n">
        <v>555.272969287181</v>
      </c>
      <c r="AA2383" s="20" t="n">
        <v>52.6660752080105</v>
      </c>
      <c r="AB2383" t="n">
        <v>0.09738153070620097</v>
      </c>
      <c r="AC2383" t="n">
        <v>54.02389146664876</v>
      </c>
      <c r="AD2383" t="n">
        <v>30.84537608391257</v>
      </c>
    </row>
    <row r="2384">
      <c r="A2384" t="n">
        <v>2383</v>
      </c>
      <c r="B2384" t="n">
        <v>61.1</v>
      </c>
      <c r="C2384" s="21">
        <f>B2384-20</f>
        <v/>
      </c>
      <c r="D2384" t="n">
        <v>126.8</v>
      </c>
      <c r="E2384" s="22">
        <f>D2384-90</f>
        <v/>
      </c>
      <c r="F2384" s="23" t="n">
        <v>0.012078</v>
      </c>
      <c r="G2384" s="22" t="n">
        <v>24.7</v>
      </c>
      <c r="H2384" s="22" t="n">
        <v>1.6</v>
      </c>
      <c r="I2384" s="24" t="n">
        <v>0.0541747957468032</v>
      </c>
      <c r="J2384" s="6" t="n">
        <v>71000</v>
      </c>
      <c r="K2384" s="25">
        <f>23*10^-6</f>
        <v/>
      </c>
      <c r="L2384" s="8">
        <f>H2384</f>
        <v/>
      </c>
      <c r="M2384" s="26">
        <f>H2384^2/6</f>
        <v/>
      </c>
      <c r="N2384" s="26">
        <f>H2384^3/12</f>
        <v/>
      </c>
      <c r="O2384" s="27">
        <f>-J2384*L2384*K2384*C2384</f>
        <v/>
      </c>
      <c r="P2384" s="28">
        <f>-(12*F2384*J2384*L2384*N2384+12*O2384*N2384*G2384*COS(RADIANS(E2384)))/(12*N2384*G2384*COS(RADIANS(E2384))^2+L2384*G2384^3*SIN(RADIANS(E2384))^2)</f>
        <v/>
      </c>
      <c r="Q2384" s="28">
        <f>-(6*F2384*J2384*L2384*N2384*SIN(RADIANS(E2384))+6*O2384*N2384*G2384*SIN(RADIANS(E2384))*COS(RADIANS(E2384)))/(12*N2384*COS(RADIANS(E2384))^2+L2384*G2384^2*SIN(RADIANS(E2384))^2)</f>
        <v/>
      </c>
      <c r="R2384" s="28">
        <f>-P2384*SIN(RADIANS(E2384))</f>
        <v/>
      </c>
      <c r="S2384" s="8">
        <f>(O2384+P2384*COS(RADIANS(E2384)))/L2384</f>
        <v/>
      </c>
      <c r="T2384" s="8">
        <f>R2384/L2384</f>
        <v/>
      </c>
      <c r="U2384" s="8">
        <f>(Q2384-P2384*G2384*SIN(RADIANS(E2384)))/M2384</f>
        <v/>
      </c>
      <c r="V2384" s="8">
        <f>SQRT((S2384+U2384)^2+3*T2384^2)</f>
        <v/>
      </c>
      <c r="W2384" s="8">
        <f>V2384/AA2384</f>
        <v/>
      </c>
      <c r="X2384" s="27">
        <f>((3*10+H2384/COS(RADIANS(E2384)))*(3+3)+3*G2384*H2384)*2</f>
        <v/>
      </c>
      <c r="Y2384" s="28">
        <f>Z2384/X2384</f>
        <v/>
      </c>
      <c r="Z2384" s="29" t="n">
        <v>630.504306937858</v>
      </c>
      <c r="AA2384" s="20" t="n">
        <v>62.3147579206699</v>
      </c>
      <c r="AB2384" t="n">
        <v>0.05464588105718274</v>
      </c>
      <c r="AC2384" t="n">
        <v>60.0954264696469</v>
      </c>
      <c r="AD2384" t="n">
        <v>0.8695654573046411</v>
      </c>
    </row>
    <row r="2385">
      <c r="A2385" t="n">
        <v>2384</v>
      </c>
      <c r="B2385" t="n">
        <v>52.3</v>
      </c>
      <c r="C2385" s="21">
        <f>B2385-20</f>
        <v/>
      </c>
      <c r="D2385" t="n">
        <v>103.8</v>
      </c>
      <c r="E2385" s="22">
        <f>D2385-90</f>
        <v/>
      </c>
      <c r="F2385" s="23" t="n">
        <v>0.011578</v>
      </c>
      <c r="G2385" s="22" t="n">
        <v>26.2</v>
      </c>
      <c r="H2385" s="22" t="n">
        <v>1.8</v>
      </c>
      <c r="I2385" s="24" t="n">
        <v>0.0862494334578514</v>
      </c>
      <c r="J2385" s="6" t="n">
        <v>71000</v>
      </c>
      <c r="K2385" s="25">
        <f>23*10^-6</f>
        <v/>
      </c>
      <c r="L2385" s="8">
        <f>H2385</f>
        <v/>
      </c>
      <c r="M2385" s="26">
        <f>H2385^2/6</f>
        <v/>
      </c>
      <c r="N2385" s="26">
        <f>H2385^3/12</f>
        <v/>
      </c>
      <c r="O2385" s="27">
        <f>-J2385*L2385*K2385*C2385</f>
        <v/>
      </c>
      <c r="P2385" s="28">
        <f>-(12*F2385*J2385*L2385*N2385+12*O2385*N2385*G2385*COS(RADIANS(E2385)))/(12*N2385*G2385*COS(RADIANS(E2385))^2+L2385*G2385^3*SIN(RADIANS(E2385))^2)</f>
        <v/>
      </c>
      <c r="Q2385" s="28">
        <f>-(6*F2385*J2385*L2385*N2385*SIN(RADIANS(E2385))+6*O2385*N2385*G2385*SIN(RADIANS(E2385))*COS(RADIANS(E2385)))/(12*N2385*COS(RADIANS(E2385))^2+L2385*G2385^2*SIN(RADIANS(E2385))^2)</f>
        <v/>
      </c>
      <c r="R2385" s="28">
        <f>-P2385*SIN(RADIANS(E2385))</f>
        <v/>
      </c>
      <c r="S2385" s="8">
        <f>(O2385+P2385*COS(RADIANS(E2385)))/L2385</f>
        <v/>
      </c>
      <c r="T2385" s="8">
        <f>R2385/L2385</f>
        <v/>
      </c>
      <c r="U2385" s="8">
        <f>(Q2385-P2385*G2385*SIN(RADIANS(E2385)))/M2385</f>
        <v/>
      </c>
      <c r="V2385" s="8">
        <f>SQRT((S2385+U2385)^2+3*T2385^2)</f>
        <v/>
      </c>
      <c r="W2385" s="8">
        <f>V2385/AA2385</f>
        <v/>
      </c>
      <c r="X2385" s="27">
        <f>((3*10+H2385/COS(RADIANS(E2385)))*(3+3)+3*G2385*H2385)*2</f>
        <v/>
      </c>
      <c r="Y2385" s="28">
        <f>Z2385/X2385</f>
        <v/>
      </c>
      <c r="Z2385" s="29" t="n">
        <v>669.349030861369</v>
      </c>
      <c r="AA2385" s="20" t="n">
        <v>56.2863551756707</v>
      </c>
      <c r="AB2385" t="n">
        <v>0.1191892519448236</v>
      </c>
      <c r="AC2385" t="n">
        <v>55.24714452405864</v>
      </c>
      <c r="AD2385" t="n">
        <v>38.19134476178247</v>
      </c>
    </row>
    <row r="2386">
      <c r="A2386" t="n">
        <v>2385</v>
      </c>
      <c r="B2386" t="n">
        <v>41.2</v>
      </c>
      <c r="C2386" s="21">
        <f>B2386-20</f>
        <v/>
      </c>
      <c r="D2386" t="n">
        <v>104.1</v>
      </c>
      <c r="E2386" s="22">
        <f>D2386-90</f>
        <v/>
      </c>
      <c r="F2386" s="23" t="n">
        <v>0.008973999999999999</v>
      </c>
      <c r="G2386" s="22" t="n">
        <v>32.1</v>
      </c>
      <c r="H2386" s="22" t="n">
        <v>1.8</v>
      </c>
      <c r="I2386" s="24" t="n">
        <v>0.0655661150813102</v>
      </c>
      <c r="J2386" s="6" t="n">
        <v>71000</v>
      </c>
      <c r="K2386" s="25">
        <f>23*10^-6</f>
        <v/>
      </c>
      <c r="L2386" s="8">
        <f>H2386</f>
        <v/>
      </c>
      <c r="M2386" s="26">
        <f>H2386^2/6</f>
        <v/>
      </c>
      <c r="N2386" s="26">
        <f>H2386^3/12</f>
        <v/>
      </c>
      <c r="O2386" s="27">
        <f>-J2386*L2386*K2386*C2386</f>
        <v/>
      </c>
      <c r="P2386" s="28">
        <f>-(12*F2386*J2386*L2386*N2386+12*O2386*N2386*G2386*COS(RADIANS(E2386)))/(12*N2386*G2386*COS(RADIANS(E2386))^2+L2386*G2386^3*SIN(RADIANS(E2386))^2)</f>
        <v/>
      </c>
      <c r="Q2386" s="28">
        <f>-(6*F2386*J2386*L2386*N2386*SIN(RADIANS(E2386))+6*O2386*N2386*G2386*SIN(RADIANS(E2386))*COS(RADIANS(E2386)))/(12*N2386*COS(RADIANS(E2386))^2+L2386*G2386^2*SIN(RADIANS(E2386))^2)</f>
        <v/>
      </c>
      <c r="R2386" s="28">
        <f>-P2386*SIN(RADIANS(E2386))</f>
        <v/>
      </c>
      <c r="S2386" s="8">
        <f>(O2386+P2386*COS(RADIANS(E2386)))/L2386</f>
        <v/>
      </c>
      <c r="T2386" s="8">
        <f>R2386/L2386</f>
        <v/>
      </c>
      <c r="U2386" s="8">
        <f>(Q2386-P2386*G2386*SIN(RADIANS(E2386)))/M2386</f>
        <v/>
      </c>
      <c r="V2386" s="8">
        <f>SQRT((S2386+U2386)^2+3*T2386^2)</f>
        <v/>
      </c>
      <c r="W2386" s="8">
        <f>V2386/AA2386</f>
        <v/>
      </c>
      <c r="X2386" s="27">
        <f>((3*10+H2386/COS(RADIANS(E2386)))*(3+3)+3*G2386*H2386)*2</f>
        <v/>
      </c>
      <c r="Y2386" s="28">
        <f>Z2386/X2386</f>
        <v/>
      </c>
      <c r="Z2386" s="29" t="n">
        <v>733.130142163991</v>
      </c>
      <c r="AA2386" s="20" t="n">
        <v>35.6721610355619</v>
      </c>
      <c r="AB2386" t="n">
        <v>0.09512377736643582</v>
      </c>
      <c r="AC2386" t="n">
        <v>35.3485361283302</v>
      </c>
      <c r="AD2386" t="n">
        <v>45.08069793134824</v>
      </c>
    </row>
    <row r="2387">
      <c r="A2387" t="n">
        <v>2386</v>
      </c>
      <c r="B2387" t="n">
        <v>45.1</v>
      </c>
      <c r="C2387" s="21">
        <f>B2387-20</f>
        <v/>
      </c>
      <c r="D2387" t="n">
        <v>125.5</v>
      </c>
      <c r="E2387" s="22">
        <f>D2387-90</f>
        <v/>
      </c>
      <c r="F2387" s="23" t="n">
        <v>0.006562</v>
      </c>
      <c r="G2387" s="22" t="n">
        <v>20.8</v>
      </c>
      <c r="H2387" s="22" t="n">
        <v>1.6</v>
      </c>
      <c r="I2387" s="24" t="n">
        <v>0.0305050369352102</v>
      </c>
      <c r="J2387" s="6" t="n">
        <v>71000</v>
      </c>
      <c r="K2387" s="25">
        <f>23*10^-6</f>
        <v/>
      </c>
      <c r="L2387" s="8">
        <f>H2387</f>
        <v/>
      </c>
      <c r="M2387" s="26">
        <f>H2387^2/6</f>
        <v/>
      </c>
      <c r="N2387" s="26">
        <f>H2387^3/12</f>
        <v/>
      </c>
      <c r="O2387" s="27">
        <f>-J2387*L2387*K2387*C2387</f>
        <v/>
      </c>
      <c r="P2387" s="28">
        <f>-(12*F2387*J2387*L2387*N2387+12*O2387*N2387*G2387*COS(RADIANS(E2387)))/(12*N2387*G2387*COS(RADIANS(E2387))^2+L2387*G2387^3*SIN(RADIANS(E2387))^2)</f>
        <v/>
      </c>
      <c r="Q2387" s="28">
        <f>-(6*F2387*J2387*L2387*N2387*SIN(RADIANS(E2387))+6*O2387*N2387*G2387*SIN(RADIANS(E2387))*COS(RADIANS(E2387)))/(12*N2387*COS(RADIANS(E2387))^2+L2387*G2387^2*SIN(RADIANS(E2387))^2)</f>
        <v/>
      </c>
      <c r="R2387" s="28">
        <f>-P2387*SIN(RADIANS(E2387))</f>
        <v/>
      </c>
      <c r="S2387" s="8">
        <f>(O2387+P2387*COS(RADIANS(E2387)))/L2387</f>
        <v/>
      </c>
      <c r="T2387" s="8">
        <f>R2387/L2387</f>
        <v/>
      </c>
      <c r="U2387" s="8">
        <f>(Q2387-P2387*G2387*SIN(RADIANS(E2387)))/M2387</f>
        <v/>
      </c>
      <c r="V2387" s="8">
        <f>SQRT((S2387+U2387)^2+3*T2387^2)</f>
        <v/>
      </c>
      <c r="W2387" s="8">
        <f>V2387/AA2387</f>
        <v/>
      </c>
      <c r="X2387" s="27">
        <f>((3*10+H2387/COS(RADIANS(E2387)))*(3+3)+3*G2387*H2387)*2</f>
        <v/>
      </c>
      <c r="Y2387" s="28">
        <f>Z2387/X2387</f>
        <v/>
      </c>
      <c r="Z2387" s="29" t="n">
        <v>592.177351948282</v>
      </c>
      <c r="AA2387" s="20" t="n">
        <v>39.5209797925785</v>
      </c>
      <c r="AB2387" t="n">
        <v>0.02948070939407792</v>
      </c>
      <c r="AC2387" t="n">
        <v>37.12940143067621</v>
      </c>
      <c r="AD2387" t="n">
        <v>-3.357896413329568</v>
      </c>
    </row>
    <row r="2388">
      <c r="A2388" t="n">
        <v>2387</v>
      </c>
      <c r="B2388" t="n">
        <v>48.6</v>
      </c>
      <c r="C2388" s="21">
        <f>B2388-20</f>
        <v/>
      </c>
      <c r="D2388" t="n">
        <v>118.8</v>
      </c>
      <c r="E2388" s="22">
        <f>D2388-90</f>
        <v/>
      </c>
      <c r="F2388" s="23" t="n">
        <v>0.009155999999999999</v>
      </c>
      <c r="G2388" s="22" t="n">
        <v>25.2</v>
      </c>
      <c r="H2388" s="22" t="n">
        <v>1.2</v>
      </c>
      <c r="I2388" s="24" t="n">
        <v>0.0445645712316036</v>
      </c>
      <c r="J2388" s="6" t="n">
        <v>71000</v>
      </c>
      <c r="K2388" s="25">
        <f>23*10^-6</f>
        <v/>
      </c>
      <c r="L2388" s="8">
        <f>H2388</f>
        <v/>
      </c>
      <c r="M2388" s="26">
        <f>H2388^2/6</f>
        <v/>
      </c>
      <c r="N2388" s="26">
        <f>H2388^3/12</f>
        <v/>
      </c>
      <c r="O2388" s="27">
        <f>-J2388*L2388*K2388*C2388</f>
        <v/>
      </c>
      <c r="P2388" s="28">
        <f>-(12*F2388*J2388*L2388*N2388+12*O2388*N2388*G2388*COS(RADIANS(E2388)))/(12*N2388*G2388*COS(RADIANS(E2388))^2+L2388*G2388^3*SIN(RADIANS(E2388))^2)</f>
        <v/>
      </c>
      <c r="Q2388" s="28">
        <f>-(6*F2388*J2388*L2388*N2388*SIN(RADIANS(E2388))+6*O2388*N2388*G2388*SIN(RADIANS(E2388))*COS(RADIANS(E2388)))/(12*N2388*COS(RADIANS(E2388))^2+L2388*G2388^2*SIN(RADIANS(E2388))^2)</f>
        <v/>
      </c>
      <c r="R2388" s="28">
        <f>-P2388*SIN(RADIANS(E2388))</f>
        <v/>
      </c>
      <c r="S2388" s="8">
        <f>(O2388+P2388*COS(RADIANS(E2388)))/L2388</f>
        <v/>
      </c>
      <c r="T2388" s="8">
        <f>R2388/L2388</f>
        <v/>
      </c>
      <c r="U2388" s="8">
        <f>(Q2388-P2388*G2388*SIN(RADIANS(E2388)))/M2388</f>
        <v/>
      </c>
      <c r="V2388" s="8">
        <f>SQRT((S2388+U2388)^2+3*T2388^2)</f>
        <v/>
      </c>
      <c r="W2388" s="8">
        <f>V2388/AA2388</f>
        <v/>
      </c>
      <c r="X2388" s="27">
        <f>((3*10+H2388/COS(RADIANS(E2388)))*(3+3)+3*G2388*H2388)*2</f>
        <v/>
      </c>
      <c r="Y2388" s="28">
        <f>Z2388/X2388</f>
        <v/>
      </c>
      <c r="Z2388" s="29" t="n">
        <v>564.693904723583</v>
      </c>
      <c r="AA2388" s="20" t="n">
        <v>40.9816834121264</v>
      </c>
      <c r="AB2388" t="n">
        <v>0.0506460238162218</v>
      </c>
      <c r="AC2388" t="n">
        <v>41.97023647130876</v>
      </c>
      <c r="AD2388" t="n">
        <v>13.64638414899738</v>
      </c>
    </row>
    <row r="2389">
      <c r="A2389" t="n">
        <v>2388</v>
      </c>
      <c r="B2389" t="n">
        <v>59.1</v>
      </c>
      <c r="C2389" s="21">
        <f>B2389-20</f>
        <v/>
      </c>
      <c r="D2389" t="n">
        <v>126.8</v>
      </c>
      <c r="E2389" s="22">
        <f>D2389-90</f>
        <v/>
      </c>
      <c r="F2389" s="23" t="n">
        <v>0.013739</v>
      </c>
      <c r="G2389" s="22" t="n">
        <v>31</v>
      </c>
      <c r="H2389" s="22" t="n">
        <v>2</v>
      </c>
      <c r="I2389" s="24" t="n">
        <v>0.059696115553379</v>
      </c>
      <c r="J2389" s="6" t="n">
        <v>71000</v>
      </c>
      <c r="K2389" s="25">
        <f>23*10^-6</f>
        <v/>
      </c>
      <c r="L2389" s="8">
        <f>H2389</f>
        <v/>
      </c>
      <c r="M2389" s="26">
        <f>H2389^2/6</f>
        <v/>
      </c>
      <c r="N2389" s="26">
        <f>H2389^3/12</f>
        <v/>
      </c>
      <c r="O2389" s="27">
        <f>-J2389*L2389*K2389*C2389</f>
        <v/>
      </c>
      <c r="P2389" s="28">
        <f>-(12*F2389*J2389*L2389*N2389+12*O2389*N2389*G2389*COS(RADIANS(E2389)))/(12*N2389*G2389*COS(RADIANS(E2389))^2+L2389*G2389^3*SIN(RADIANS(E2389))^2)</f>
        <v/>
      </c>
      <c r="Q2389" s="28">
        <f>-(6*F2389*J2389*L2389*N2389*SIN(RADIANS(E2389))+6*O2389*N2389*G2389*SIN(RADIANS(E2389))*COS(RADIANS(E2389)))/(12*N2389*COS(RADIANS(E2389))^2+L2389*G2389^2*SIN(RADIANS(E2389))^2)</f>
        <v/>
      </c>
      <c r="R2389" s="28">
        <f>-P2389*SIN(RADIANS(E2389))</f>
        <v/>
      </c>
      <c r="S2389" s="8">
        <f>(O2389+P2389*COS(RADIANS(E2389)))/L2389</f>
        <v/>
      </c>
      <c r="T2389" s="8">
        <f>R2389/L2389</f>
        <v/>
      </c>
      <c r="U2389" s="8">
        <f>(Q2389-P2389*G2389*SIN(RADIANS(E2389)))/M2389</f>
        <v/>
      </c>
      <c r="V2389" s="8">
        <f>SQRT((S2389+U2389)^2+3*T2389^2)</f>
        <v/>
      </c>
      <c r="W2389" s="8">
        <f>V2389/AA2389</f>
        <v/>
      </c>
      <c r="X2389" s="27">
        <f>((3*10+H2389/COS(RADIANS(E2389)))*(3+3)+3*G2389*H2389)*2</f>
        <v/>
      </c>
      <c r="Y2389" s="28">
        <f>Z2389/X2389</f>
        <v/>
      </c>
      <c r="Z2389" s="29" t="n">
        <v>771.378826665882</v>
      </c>
      <c r="AA2389" s="20" t="n">
        <v>61.7343054247912</v>
      </c>
      <c r="AB2389" t="n">
        <v>0.06434969516854805</v>
      </c>
      <c r="AC2389" t="n">
        <v>57.55346029073252</v>
      </c>
      <c r="AD2389" t="n">
        <v>7.795447948381018</v>
      </c>
    </row>
    <row r="2390">
      <c r="A2390" t="n">
        <v>2389</v>
      </c>
      <c r="B2390" t="n">
        <v>43.6</v>
      </c>
      <c r="C2390" s="21">
        <f>B2390-20</f>
        <v/>
      </c>
      <c r="D2390" t="n">
        <v>127.7</v>
      </c>
      <c r="E2390" s="22">
        <f>D2390-90</f>
        <v/>
      </c>
      <c r="F2390" s="23" t="n">
        <v>0.006127</v>
      </c>
      <c r="G2390" s="22" t="n">
        <v>21.2</v>
      </c>
      <c r="H2390" s="22" t="n">
        <v>1.2</v>
      </c>
      <c r="I2390" s="24" t="n">
        <v>0.0279501974582672</v>
      </c>
      <c r="J2390" s="6" t="n">
        <v>71000</v>
      </c>
      <c r="K2390" s="25">
        <f>23*10^-6</f>
        <v/>
      </c>
      <c r="L2390" s="8">
        <f>H2390</f>
        <v/>
      </c>
      <c r="M2390" s="26">
        <f>H2390^2/6</f>
        <v/>
      </c>
      <c r="N2390" s="26">
        <f>H2390^3/12</f>
        <v/>
      </c>
      <c r="O2390" s="27">
        <f>-J2390*L2390*K2390*C2390</f>
        <v/>
      </c>
      <c r="P2390" s="28">
        <f>-(12*F2390*J2390*L2390*N2390+12*O2390*N2390*G2390*COS(RADIANS(E2390)))/(12*N2390*G2390*COS(RADIANS(E2390))^2+L2390*G2390^3*SIN(RADIANS(E2390))^2)</f>
        <v/>
      </c>
      <c r="Q2390" s="28">
        <f>-(6*F2390*J2390*L2390*N2390*SIN(RADIANS(E2390))+6*O2390*N2390*G2390*SIN(RADIANS(E2390))*COS(RADIANS(E2390)))/(12*N2390*COS(RADIANS(E2390))^2+L2390*G2390^2*SIN(RADIANS(E2390))^2)</f>
        <v/>
      </c>
      <c r="R2390" s="28">
        <f>-P2390*SIN(RADIANS(E2390))</f>
        <v/>
      </c>
      <c r="S2390" s="8">
        <f>(O2390+P2390*COS(RADIANS(E2390)))/L2390</f>
        <v/>
      </c>
      <c r="T2390" s="8">
        <f>R2390/L2390</f>
        <v/>
      </c>
      <c r="U2390" s="8">
        <f>(Q2390-P2390*G2390*SIN(RADIANS(E2390)))/M2390</f>
        <v/>
      </c>
      <c r="V2390" s="8">
        <f>SQRT((S2390+U2390)^2+3*T2390^2)</f>
        <v/>
      </c>
      <c r="W2390" s="8">
        <f>V2390/AA2390</f>
        <v/>
      </c>
      <c r="X2390" s="27">
        <f>((3*10+H2390/COS(RADIANS(E2390)))*(3+3)+3*G2390*H2390)*2</f>
        <v/>
      </c>
      <c r="Y2390" s="28">
        <f>Z2390/X2390</f>
        <v/>
      </c>
      <c r="Z2390" s="29" t="n">
        <v>540.606058465424</v>
      </c>
      <c r="AA2390" s="20" t="n">
        <v>33.3867411165838</v>
      </c>
      <c r="AB2390" t="n">
        <v>0.02657701114972732</v>
      </c>
      <c r="AC2390" t="n">
        <v>33.90797366749208</v>
      </c>
      <c r="AD2390" t="n">
        <v>-4.912975339763539</v>
      </c>
    </row>
    <row r="2391">
      <c r="A2391" t="n">
        <v>2390</v>
      </c>
      <c r="B2391" t="n">
        <v>78.90000000000001</v>
      </c>
      <c r="C2391" s="21">
        <f>B2391-20</f>
        <v/>
      </c>
      <c r="D2391" t="n">
        <v>121.2</v>
      </c>
      <c r="E2391" s="22">
        <f>D2391-90</f>
        <v/>
      </c>
      <c r="F2391" s="23" t="n">
        <v>0.019766</v>
      </c>
      <c r="G2391" s="22" t="n">
        <v>27.4</v>
      </c>
      <c r="H2391" s="22" t="n">
        <v>1.1</v>
      </c>
      <c r="I2391" s="24" t="n">
        <v>0.0917679965496063</v>
      </c>
      <c r="J2391" s="6" t="n">
        <v>71000</v>
      </c>
      <c r="K2391" s="25">
        <f>23*10^-6</f>
        <v/>
      </c>
      <c r="L2391" s="8">
        <f>H2391</f>
        <v/>
      </c>
      <c r="M2391" s="26">
        <f>H2391^2/6</f>
        <v/>
      </c>
      <c r="N2391" s="26">
        <f>H2391^3/12</f>
        <v/>
      </c>
      <c r="O2391" s="27">
        <f>-J2391*L2391*K2391*C2391</f>
        <v/>
      </c>
      <c r="P2391" s="28">
        <f>-(12*F2391*J2391*L2391*N2391+12*O2391*N2391*G2391*COS(RADIANS(E2391)))/(12*N2391*G2391*COS(RADIANS(E2391))^2+L2391*G2391^3*SIN(RADIANS(E2391))^2)</f>
        <v/>
      </c>
      <c r="Q2391" s="28">
        <f>-(6*F2391*J2391*L2391*N2391*SIN(RADIANS(E2391))+6*O2391*N2391*G2391*SIN(RADIANS(E2391))*COS(RADIANS(E2391)))/(12*N2391*COS(RADIANS(E2391))^2+L2391*G2391^2*SIN(RADIANS(E2391))^2)</f>
        <v/>
      </c>
      <c r="R2391" s="28">
        <f>-P2391*SIN(RADIANS(E2391))</f>
        <v/>
      </c>
      <c r="S2391" s="8">
        <f>(O2391+P2391*COS(RADIANS(E2391)))/L2391</f>
        <v/>
      </c>
      <c r="T2391" s="8">
        <f>R2391/L2391</f>
        <v/>
      </c>
      <c r="U2391" s="8">
        <f>(Q2391-P2391*G2391*SIN(RADIANS(E2391)))/M2391</f>
        <v/>
      </c>
      <c r="V2391" s="8">
        <f>SQRT((S2391+U2391)^2+3*T2391^2)</f>
        <v/>
      </c>
      <c r="W2391" s="8">
        <f>V2391/AA2391</f>
        <v/>
      </c>
      <c r="X2391" s="27">
        <f>((3*10+H2391/COS(RADIANS(E2391)))*(3+3)+3*G2391*H2391)*2</f>
        <v/>
      </c>
      <c r="Y2391" s="28">
        <f>Z2391/X2391</f>
        <v/>
      </c>
      <c r="Z2391" s="29" t="n">
        <v>563.763872937574</v>
      </c>
      <c r="AA2391" s="20" t="n">
        <v>80.87581073591591</v>
      </c>
      <c r="AB2391" t="n">
        <v>0.1037826362826038</v>
      </c>
      <c r="AC2391" t="n">
        <v>84.89158842088747</v>
      </c>
      <c r="AD2391" t="n">
        <v>13.0924071405469</v>
      </c>
    </row>
    <row r="2392">
      <c r="A2392" t="n">
        <v>2391</v>
      </c>
      <c r="B2392" t="n">
        <v>64.2</v>
      </c>
      <c r="C2392" s="21">
        <f>B2392-20</f>
        <v/>
      </c>
      <c r="D2392" t="n">
        <v>104.4</v>
      </c>
      <c r="E2392" s="22">
        <f>D2392-90</f>
        <v/>
      </c>
      <c r="F2392" s="23" t="n">
        <v>0.017177</v>
      </c>
      <c r="G2392" s="22" t="n">
        <v>29</v>
      </c>
      <c r="H2392" s="22" t="n">
        <v>1.4</v>
      </c>
      <c r="I2392" s="24" t="n">
        <v>0.126099422574043</v>
      </c>
      <c r="J2392" s="6" t="n">
        <v>71000</v>
      </c>
      <c r="K2392" s="25">
        <f>23*10^-6</f>
        <v/>
      </c>
      <c r="L2392" s="8">
        <f>H2392</f>
        <v/>
      </c>
      <c r="M2392" s="26">
        <f>H2392^2/6</f>
        <v/>
      </c>
      <c r="N2392" s="26">
        <f>H2392^3/12</f>
        <v/>
      </c>
      <c r="O2392" s="27">
        <f>-J2392*L2392*K2392*C2392</f>
        <v/>
      </c>
      <c r="P2392" s="28">
        <f>-(12*F2392*J2392*L2392*N2392+12*O2392*N2392*G2392*COS(RADIANS(E2392)))/(12*N2392*G2392*COS(RADIANS(E2392))^2+L2392*G2392^3*SIN(RADIANS(E2392))^2)</f>
        <v/>
      </c>
      <c r="Q2392" s="28">
        <f>-(6*F2392*J2392*L2392*N2392*SIN(RADIANS(E2392))+6*O2392*N2392*G2392*SIN(RADIANS(E2392))*COS(RADIANS(E2392)))/(12*N2392*COS(RADIANS(E2392))^2+L2392*G2392^2*SIN(RADIANS(E2392))^2)</f>
        <v/>
      </c>
      <c r="R2392" s="28">
        <f>-P2392*SIN(RADIANS(E2392))</f>
        <v/>
      </c>
      <c r="S2392" s="8">
        <f>(O2392+P2392*COS(RADIANS(E2392)))/L2392</f>
        <v/>
      </c>
      <c r="T2392" s="8">
        <f>R2392/L2392</f>
        <v/>
      </c>
      <c r="U2392" s="8">
        <f>(Q2392-P2392*G2392*SIN(RADIANS(E2392)))/M2392</f>
        <v/>
      </c>
      <c r="V2392" s="8">
        <f>SQRT((S2392+U2392)^2+3*T2392^2)</f>
        <v/>
      </c>
      <c r="W2392" s="8">
        <f>V2392/AA2392</f>
        <v/>
      </c>
      <c r="X2392" s="27">
        <f>((3*10+H2392/COS(RADIANS(E2392)))*(3+3)+3*G2392*H2392)*2</f>
        <v/>
      </c>
      <c r="Y2392" s="28">
        <f>Z2392/X2392</f>
        <v/>
      </c>
      <c r="Z2392" s="29" t="n">
        <v>625.157012939468</v>
      </c>
      <c r="AA2392" s="20" t="n">
        <v>68.5848679720642</v>
      </c>
      <c r="AB2392" t="n">
        <v>0.1789630814966001</v>
      </c>
      <c r="AC2392" t="n">
        <v>71.44688711911019</v>
      </c>
      <c r="AD2392" t="n">
        <v>41.9222053864019</v>
      </c>
    </row>
    <row r="2393">
      <c r="A2393" t="n">
        <v>2392</v>
      </c>
      <c r="B2393" t="n">
        <v>61.1</v>
      </c>
      <c r="C2393" s="21">
        <f>B2393-20</f>
        <v/>
      </c>
      <c r="D2393" t="n">
        <v>116.2</v>
      </c>
      <c r="E2393" s="22">
        <f>D2393-90</f>
        <v/>
      </c>
      <c r="F2393" s="23" t="n">
        <v>0.012691</v>
      </c>
      <c r="G2393" s="22" t="n">
        <v>23.5</v>
      </c>
      <c r="H2393" s="22" t="n">
        <v>1.1</v>
      </c>
      <c r="I2393" s="24" t="n">
        <v>0.0653677806258201</v>
      </c>
      <c r="J2393" s="6" t="n">
        <v>71000</v>
      </c>
      <c r="K2393" s="25">
        <f>23*10^-6</f>
        <v/>
      </c>
      <c r="L2393" s="8">
        <f>H2393</f>
        <v/>
      </c>
      <c r="M2393" s="26">
        <f>H2393^2/6</f>
        <v/>
      </c>
      <c r="N2393" s="26">
        <f>H2393^3/12</f>
        <v/>
      </c>
      <c r="O2393" s="27">
        <f>-J2393*L2393*K2393*C2393</f>
        <v/>
      </c>
      <c r="P2393" s="28">
        <f>-(12*F2393*J2393*L2393*N2393+12*O2393*N2393*G2393*COS(RADIANS(E2393)))/(12*N2393*G2393*COS(RADIANS(E2393))^2+L2393*G2393^3*SIN(RADIANS(E2393))^2)</f>
        <v/>
      </c>
      <c r="Q2393" s="28">
        <f>-(6*F2393*J2393*L2393*N2393*SIN(RADIANS(E2393))+6*O2393*N2393*G2393*SIN(RADIANS(E2393))*COS(RADIANS(E2393)))/(12*N2393*COS(RADIANS(E2393))^2+L2393*G2393^2*SIN(RADIANS(E2393))^2)</f>
        <v/>
      </c>
      <c r="R2393" s="28">
        <f>-P2393*SIN(RADIANS(E2393))</f>
        <v/>
      </c>
      <c r="S2393" s="8">
        <f>(O2393+P2393*COS(RADIANS(E2393)))/L2393</f>
        <v/>
      </c>
      <c r="T2393" s="8">
        <f>R2393/L2393</f>
        <v/>
      </c>
      <c r="U2393" s="8">
        <f>(Q2393-P2393*G2393*SIN(RADIANS(E2393)))/M2393</f>
        <v/>
      </c>
      <c r="V2393" s="8">
        <f>SQRT((S2393+U2393)^2+3*T2393^2)</f>
        <v/>
      </c>
      <c r="W2393" s="8">
        <f>V2393/AA2393</f>
        <v/>
      </c>
      <c r="X2393" s="27">
        <f>((3*10+H2393/COS(RADIANS(E2393)))*(3+3)+3*G2393*H2393)*2</f>
        <v/>
      </c>
      <c r="Y2393" s="28">
        <f>Z2393/X2393</f>
        <v/>
      </c>
      <c r="Z2393" s="29" t="n">
        <v>535.993259362123</v>
      </c>
      <c r="AA2393" s="20" t="n">
        <v>58.1483848284821</v>
      </c>
      <c r="AB2393" t="n">
        <v>0.07536774019049547</v>
      </c>
      <c r="AC2393" t="n">
        <v>60.69472763378495</v>
      </c>
      <c r="AD2393" t="n">
        <v>15.29799462202547</v>
      </c>
    </row>
    <row r="2394">
      <c r="A2394" t="n">
        <v>2393</v>
      </c>
      <c r="B2394" t="n">
        <v>68.3</v>
      </c>
      <c r="C2394" s="21">
        <f>B2394-20</f>
        <v/>
      </c>
      <c r="D2394" t="n">
        <v>120.1</v>
      </c>
      <c r="E2394" s="22">
        <f>D2394-90</f>
        <v/>
      </c>
      <c r="F2394" s="23" t="n">
        <v>0.014165</v>
      </c>
      <c r="G2394" s="22" t="n">
        <v>22.8</v>
      </c>
      <c r="H2394" s="22" t="n">
        <v>1.3</v>
      </c>
      <c r="I2394" s="24" t="n">
        <v>0.0686946585774421</v>
      </c>
      <c r="J2394" s="6" t="n">
        <v>71000</v>
      </c>
      <c r="K2394" s="25">
        <f>23*10^-6</f>
        <v/>
      </c>
      <c r="L2394" s="8">
        <f>H2394</f>
        <v/>
      </c>
      <c r="M2394" s="26">
        <f>H2394^2/6</f>
        <v/>
      </c>
      <c r="N2394" s="26">
        <f>H2394^3/12</f>
        <v/>
      </c>
      <c r="O2394" s="27">
        <f>-J2394*L2394*K2394*C2394</f>
        <v/>
      </c>
      <c r="P2394" s="28">
        <f>-(12*F2394*J2394*L2394*N2394+12*O2394*N2394*G2394*COS(RADIANS(E2394)))/(12*N2394*G2394*COS(RADIANS(E2394))^2+L2394*G2394^3*SIN(RADIANS(E2394))^2)</f>
        <v/>
      </c>
      <c r="Q2394" s="28">
        <f>-(6*F2394*J2394*L2394*N2394*SIN(RADIANS(E2394))+6*O2394*N2394*G2394*SIN(RADIANS(E2394))*COS(RADIANS(E2394)))/(12*N2394*COS(RADIANS(E2394))^2+L2394*G2394^2*SIN(RADIANS(E2394))^2)</f>
        <v/>
      </c>
      <c r="R2394" s="28">
        <f>-P2394*SIN(RADIANS(E2394))</f>
        <v/>
      </c>
      <c r="S2394" s="8">
        <f>(O2394+P2394*COS(RADIANS(E2394)))/L2394</f>
        <v/>
      </c>
      <c r="T2394" s="8">
        <f>R2394/L2394</f>
        <v/>
      </c>
      <c r="U2394" s="8">
        <f>(Q2394-P2394*G2394*SIN(RADIANS(E2394)))/M2394</f>
        <v/>
      </c>
      <c r="V2394" s="8">
        <f>SQRT((S2394+U2394)^2+3*T2394^2)</f>
        <v/>
      </c>
      <c r="W2394" s="8">
        <f>V2394/AA2394</f>
        <v/>
      </c>
      <c r="X2394" s="27">
        <f>((3*10+H2394/COS(RADIANS(E2394)))*(3+3)+3*G2394*H2394)*2</f>
        <v/>
      </c>
      <c r="Y2394" s="28">
        <f>Z2394/X2394</f>
        <v/>
      </c>
      <c r="Z2394" s="29" t="n">
        <v>563.04596363659</v>
      </c>
      <c r="AA2394" s="20" t="n">
        <v>71.4076824312619</v>
      </c>
      <c r="AB2394" t="n">
        <v>0.07414349834459132</v>
      </c>
      <c r="AC2394" t="n">
        <v>71.35695919026716</v>
      </c>
      <c r="AD2394" t="n">
        <v>7.931970083243856</v>
      </c>
    </row>
    <row r="2395">
      <c r="A2395" t="n">
        <v>2394</v>
      </c>
      <c r="B2395" t="n">
        <v>61.6</v>
      </c>
      <c r="C2395" s="21">
        <f>B2395-20</f>
        <v/>
      </c>
      <c r="D2395" t="n">
        <v>111.4</v>
      </c>
      <c r="E2395" s="22">
        <f>D2395-90</f>
        <v/>
      </c>
      <c r="F2395" s="23" t="n">
        <v>0.016666</v>
      </c>
      <c r="G2395" s="22" t="n">
        <v>31.3</v>
      </c>
      <c r="H2395" s="22" t="n">
        <v>1.5</v>
      </c>
      <c r="I2395" s="24" t="n">
        <v>0.09248848259449</v>
      </c>
      <c r="J2395" s="6" t="n">
        <v>71000</v>
      </c>
      <c r="K2395" s="25">
        <f>23*10^-6</f>
        <v/>
      </c>
      <c r="L2395" s="8">
        <f>H2395</f>
        <v/>
      </c>
      <c r="M2395" s="26">
        <f>H2395^2/6</f>
        <v/>
      </c>
      <c r="N2395" s="26">
        <f>H2395^3/12</f>
        <v/>
      </c>
      <c r="O2395" s="27">
        <f>-J2395*L2395*K2395*C2395</f>
        <v/>
      </c>
      <c r="P2395" s="28">
        <f>-(12*F2395*J2395*L2395*N2395+12*O2395*N2395*G2395*COS(RADIANS(E2395)))/(12*N2395*G2395*COS(RADIANS(E2395))^2+L2395*G2395^3*SIN(RADIANS(E2395))^2)</f>
        <v/>
      </c>
      <c r="Q2395" s="28">
        <f>-(6*F2395*J2395*L2395*N2395*SIN(RADIANS(E2395))+6*O2395*N2395*G2395*SIN(RADIANS(E2395))*COS(RADIANS(E2395)))/(12*N2395*COS(RADIANS(E2395))^2+L2395*G2395^2*SIN(RADIANS(E2395))^2)</f>
        <v/>
      </c>
      <c r="R2395" s="28">
        <f>-P2395*SIN(RADIANS(E2395))</f>
        <v/>
      </c>
      <c r="S2395" s="8">
        <f>(O2395+P2395*COS(RADIANS(E2395)))/L2395</f>
        <v/>
      </c>
      <c r="T2395" s="8">
        <f>R2395/L2395</f>
        <v/>
      </c>
      <c r="U2395" s="8">
        <f>(Q2395-P2395*G2395*SIN(RADIANS(E2395)))/M2395</f>
        <v/>
      </c>
      <c r="V2395" s="8">
        <f>SQRT((S2395+U2395)^2+3*T2395^2)</f>
        <v/>
      </c>
      <c r="W2395" s="8">
        <f>V2395/AA2395</f>
        <v/>
      </c>
      <c r="X2395" s="27">
        <f>((3*10+H2395/COS(RADIANS(E2395)))*(3+3)+3*G2395*H2395)*2</f>
        <v/>
      </c>
      <c r="Y2395" s="28">
        <f>Z2395/X2395</f>
        <v/>
      </c>
      <c r="Z2395" s="29" t="n">
        <v>666.243706874486</v>
      </c>
      <c r="AA2395" s="20" t="n">
        <v>62.806867065387</v>
      </c>
      <c r="AB2395" t="n">
        <v>0.1226705391951938</v>
      </c>
      <c r="AC2395" t="n">
        <v>63.6677647142766</v>
      </c>
      <c r="AD2395" t="n">
        <v>32.63331363434208</v>
      </c>
    </row>
    <row r="2396">
      <c r="A2396" t="n">
        <v>2395</v>
      </c>
      <c r="B2396" t="n">
        <v>80.7</v>
      </c>
      <c r="C2396" s="21">
        <f>B2396-20</f>
        <v/>
      </c>
      <c r="D2396" t="n">
        <v>108.9</v>
      </c>
      <c r="E2396" s="22">
        <f>D2396-90</f>
        <v/>
      </c>
      <c r="F2396" s="23" t="n">
        <v>0.018751</v>
      </c>
      <c r="G2396" s="22" t="n">
        <v>22.3</v>
      </c>
      <c r="H2396" s="22" t="n">
        <v>1.3</v>
      </c>
      <c r="I2396" s="24" t="n">
        <v>0.117457926273345</v>
      </c>
      <c r="J2396" s="6" t="n">
        <v>71000</v>
      </c>
      <c r="K2396" s="25">
        <f>23*10^-6</f>
        <v/>
      </c>
      <c r="L2396" s="8">
        <f>H2396</f>
        <v/>
      </c>
      <c r="M2396" s="26">
        <f>H2396^2/6</f>
        <v/>
      </c>
      <c r="N2396" s="26">
        <f>H2396^3/12</f>
        <v/>
      </c>
      <c r="O2396" s="27">
        <f>-J2396*L2396*K2396*C2396</f>
        <v/>
      </c>
      <c r="P2396" s="28">
        <f>-(12*F2396*J2396*L2396*N2396+12*O2396*N2396*G2396*COS(RADIANS(E2396)))/(12*N2396*G2396*COS(RADIANS(E2396))^2+L2396*G2396^3*SIN(RADIANS(E2396))^2)</f>
        <v/>
      </c>
      <c r="Q2396" s="28">
        <f>-(6*F2396*J2396*L2396*N2396*SIN(RADIANS(E2396))+6*O2396*N2396*G2396*SIN(RADIANS(E2396))*COS(RADIANS(E2396)))/(12*N2396*COS(RADIANS(E2396))^2+L2396*G2396^2*SIN(RADIANS(E2396))^2)</f>
        <v/>
      </c>
      <c r="R2396" s="28">
        <f>-P2396*SIN(RADIANS(E2396))</f>
        <v/>
      </c>
      <c r="S2396" s="8">
        <f>(O2396+P2396*COS(RADIANS(E2396)))/L2396</f>
        <v/>
      </c>
      <c r="T2396" s="8">
        <f>R2396/L2396</f>
        <v/>
      </c>
      <c r="U2396" s="8">
        <f>(Q2396-P2396*G2396*SIN(RADIANS(E2396)))/M2396</f>
        <v/>
      </c>
      <c r="V2396" s="8">
        <f>SQRT((S2396+U2396)^2+3*T2396^2)</f>
        <v/>
      </c>
      <c r="W2396" s="8">
        <f>V2396/AA2396</f>
        <v/>
      </c>
      <c r="X2396" s="27">
        <f>((3*10+H2396/COS(RADIANS(E2396)))*(3+3)+3*G2396*H2396)*2</f>
        <v/>
      </c>
      <c r="Y2396" s="28">
        <f>Z2396/X2396</f>
        <v/>
      </c>
      <c r="Z2396" s="29" t="n">
        <v>555.230317717732</v>
      </c>
      <c r="AA2396" s="20" t="n">
        <v>92.6450751653134</v>
      </c>
      <c r="AB2396" t="n">
        <v>0.1464495875227195</v>
      </c>
      <c r="AC2396" t="n">
        <v>95.40084463415664</v>
      </c>
      <c r="AD2396" t="n">
        <v>24.68259245604748</v>
      </c>
    </row>
    <row r="2397">
      <c r="A2397" t="n">
        <v>2396</v>
      </c>
      <c r="B2397" t="n">
        <v>46.3</v>
      </c>
      <c r="C2397" s="21">
        <f>B2397-20</f>
        <v/>
      </c>
      <c r="D2397" t="n">
        <v>128</v>
      </c>
      <c r="E2397" s="22">
        <f>D2397-90</f>
        <v/>
      </c>
      <c r="F2397" s="23" t="n">
        <v>0.007941999999999999</v>
      </c>
      <c r="G2397" s="22" t="n">
        <v>26</v>
      </c>
      <c r="H2397" s="22" t="n">
        <v>1.6</v>
      </c>
      <c r="I2397" s="24" t="n">
        <v>0.0351087562739849</v>
      </c>
      <c r="J2397" s="6" t="n">
        <v>71000</v>
      </c>
      <c r="K2397" s="25">
        <f>23*10^-6</f>
        <v/>
      </c>
      <c r="L2397" s="8">
        <f>H2397</f>
        <v/>
      </c>
      <c r="M2397" s="26">
        <f>H2397^2/6</f>
        <v/>
      </c>
      <c r="N2397" s="26">
        <f>H2397^3/12</f>
        <v/>
      </c>
      <c r="O2397" s="27">
        <f>-J2397*L2397*K2397*C2397</f>
        <v/>
      </c>
      <c r="P2397" s="28">
        <f>-(12*F2397*J2397*L2397*N2397+12*O2397*N2397*G2397*COS(RADIANS(E2397)))/(12*N2397*G2397*COS(RADIANS(E2397))^2+L2397*G2397^3*SIN(RADIANS(E2397))^2)</f>
        <v/>
      </c>
      <c r="Q2397" s="28">
        <f>-(6*F2397*J2397*L2397*N2397*SIN(RADIANS(E2397))+6*O2397*N2397*G2397*SIN(RADIANS(E2397))*COS(RADIANS(E2397)))/(12*N2397*COS(RADIANS(E2397))^2+L2397*G2397^2*SIN(RADIANS(E2397))^2)</f>
        <v/>
      </c>
      <c r="R2397" s="28">
        <f>-P2397*SIN(RADIANS(E2397))</f>
        <v/>
      </c>
      <c r="S2397" s="8">
        <f>(O2397+P2397*COS(RADIANS(E2397)))/L2397</f>
        <v/>
      </c>
      <c r="T2397" s="8">
        <f>R2397/L2397</f>
        <v/>
      </c>
      <c r="U2397" s="8">
        <f>(Q2397-P2397*G2397*SIN(RADIANS(E2397)))/M2397</f>
        <v/>
      </c>
      <c r="V2397" s="8">
        <f>SQRT((S2397+U2397)^2+3*T2397^2)</f>
        <v/>
      </c>
      <c r="W2397" s="8">
        <f>V2397/AA2397</f>
        <v/>
      </c>
      <c r="X2397" s="27">
        <f>((3*10+H2397/COS(RADIANS(E2397)))*(3+3)+3*G2397*H2397)*2</f>
        <v/>
      </c>
      <c r="Y2397" s="28">
        <f>Z2397/X2397</f>
        <v/>
      </c>
      <c r="Z2397" s="29" t="n">
        <v>643.855216276776</v>
      </c>
      <c r="AA2397" s="20" t="n">
        <v>39.5710379665822</v>
      </c>
      <c r="AB2397" t="n">
        <v>0.03545202535221161</v>
      </c>
      <c r="AC2397" t="n">
        <v>38.22570046684817</v>
      </c>
      <c r="AD2397" t="n">
        <v>0.9777306707986908</v>
      </c>
    </row>
    <row r="2398">
      <c r="A2398" t="n">
        <v>2397</v>
      </c>
      <c r="B2398" t="n">
        <v>47.2</v>
      </c>
      <c r="C2398" s="21">
        <f>B2398-20</f>
        <v/>
      </c>
      <c r="D2398" t="n">
        <v>106</v>
      </c>
      <c r="E2398" s="22">
        <f>D2398-90</f>
        <v/>
      </c>
      <c r="F2398" s="23" t="n">
        <v>0.010803</v>
      </c>
      <c r="G2398" s="22" t="n">
        <v>30</v>
      </c>
      <c r="H2398" s="22" t="n">
        <v>2</v>
      </c>
      <c r="I2398" s="24" t="n">
        <v>0.0720675662159919</v>
      </c>
      <c r="J2398" s="6" t="n">
        <v>71000</v>
      </c>
      <c r="K2398" s="25">
        <f>23*10^-6</f>
        <v/>
      </c>
      <c r="L2398" s="8">
        <f>H2398</f>
        <v/>
      </c>
      <c r="M2398" s="26">
        <f>H2398^2/6</f>
        <v/>
      </c>
      <c r="N2398" s="26">
        <f>H2398^3/12</f>
        <v/>
      </c>
      <c r="O2398" s="27">
        <f>-J2398*L2398*K2398*C2398</f>
        <v/>
      </c>
      <c r="P2398" s="28">
        <f>-(12*F2398*J2398*L2398*N2398+12*O2398*N2398*G2398*COS(RADIANS(E2398)))/(12*N2398*G2398*COS(RADIANS(E2398))^2+L2398*G2398^3*SIN(RADIANS(E2398))^2)</f>
        <v/>
      </c>
      <c r="Q2398" s="28">
        <f>-(6*F2398*J2398*L2398*N2398*SIN(RADIANS(E2398))+6*O2398*N2398*G2398*SIN(RADIANS(E2398))*COS(RADIANS(E2398)))/(12*N2398*COS(RADIANS(E2398))^2+L2398*G2398^2*SIN(RADIANS(E2398))^2)</f>
        <v/>
      </c>
      <c r="R2398" s="28">
        <f>-P2398*SIN(RADIANS(E2398))</f>
        <v/>
      </c>
      <c r="S2398" s="8">
        <f>(O2398+P2398*COS(RADIANS(E2398)))/L2398</f>
        <v/>
      </c>
      <c r="T2398" s="8">
        <f>R2398/L2398</f>
        <v/>
      </c>
      <c r="U2398" s="8">
        <f>(Q2398-P2398*G2398*SIN(RADIANS(E2398)))/M2398</f>
        <v/>
      </c>
      <c r="V2398" s="8">
        <f>SQRT((S2398+U2398)^2+3*T2398^2)</f>
        <v/>
      </c>
      <c r="W2398" s="8">
        <f>V2398/AA2398</f>
        <v/>
      </c>
      <c r="X2398" s="27">
        <f>((3*10+H2398/COS(RADIANS(E2398)))*(3+3)+3*G2398*H2398)*2</f>
        <v/>
      </c>
      <c r="Y2398" s="28">
        <f>Z2398/X2398</f>
        <v/>
      </c>
      <c r="Z2398" s="29" t="n">
        <v>749.368002306999</v>
      </c>
      <c r="AA2398" s="20" t="n">
        <v>47.4332206024431</v>
      </c>
      <c r="AB2398" t="n">
        <v>0.1001798172246967</v>
      </c>
      <c r="AC2398" t="n">
        <v>45.48203286638709</v>
      </c>
      <c r="AD2398" t="n">
        <v>39.00818701779139</v>
      </c>
    </row>
    <row r="2399">
      <c r="A2399" t="n">
        <v>2398</v>
      </c>
      <c r="B2399" t="n">
        <v>77.5</v>
      </c>
      <c r="C2399" s="21">
        <f>B2399-20</f>
        <v/>
      </c>
      <c r="D2399" t="n">
        <v>102</v>
      </c>
      <c r="E2399" s="22">
        <f>D2399-90</f>
        <v/>
      </c>
      <c r="F2399" s="23" t="n">
        <v>0.019065</v>
      </c>
      <c r="G2399" s="22" t="n">
        <v>23.6</v>
      </c>
      <c r="H2399" s="22" t="n">
        <v>1.3</v>
      </c>
      <c r="I2399" s="24" t="n">
        <v>0.16155357658863</v>
      </c>
      <c r="J2399" s="6" t="n">
        <v>71000</v>
      </c>
      <c r="K2399" s="25">
        <f>23*10^-6</f>
        <v/>
      </c>
      <c r="L2399" s="8">
        <f>H2399</f>
        <v/>
      </c>
      <c r="M2399" s="26">
        <f>H2399^2/6</f>
        <v/>
      </c>
      <c r="N2399" s="26">
        <f>H2399^3/12</f>
        <v/>
      </c>
      <c r="O2399" s="27">
        <f>-J2399*L2399*K2399*C2399</f>
        <v/>
      </c>
      <c r="P2399" s="28">
        <f>-(12*F2399*J2399*L2399*N2399+12*O2399*N2399*G2399*COS(RADIANS(E2399)))/(12*N2399*G2399*COS(RADIANS(E2399))^2+L2399*G2399^3*SIN(RADIANS(E2399))^2)</f>
        <v/>
      </c>
      <c r="Q2399" s="28">
        <f>-(6*F2399*J2399*L2399*N2399*SIN(RADIANS(E2399))+6*O2399*N2399*G2399*SIN(RADIANS(E2399))*COS(RADIANS(E2399)))/(12*N2399*COS(RADIANS(E2399))^2+L2399*G2399^2*SIN(RADIANS(E2399))^2)</f>
        <v/>
      </c>
      <c r="R2399" s="28">
        <f>-P2399*SIN(RADIANS(E2399))</f>
        <v/>
      </c>
      <c r="S2399" s="8">
        <f>(O2399+P2399*COS(RADIANS(E2399)))/L2399</f>
        <v/>
      </c>
      <c r="T2399" s="8">
        <f>R2399/L2399</f>
        <v/>
      </c>
      <c r="U2399" s="8">
        <f>(Q2399-P2399*G2399*SIN(RADIANS(E2399)))/M2399</f>
        <v/>
      </c>
      <c r="V2399" s="8">
        <f>SQRT((S2399+U2399)^2+3*T2399^2)</f>
        <v/>
      </c>
      <c r="W2399" s="8">
        <f>V2399/AA2399</f>
        <v/>
      </c>
      <c r="X2399" s="27">
        <f>((3*10+H2399/COS(RADIANS(E2399)))*(3+3)+3*G2399*H2399)*2</f>
        <v/>
      </c>
      <c r="Y2399" s="28">
        <f>Z2399/X2399</f>
        <v/>
      </c>
      <c r="Z2399" s="29" t="n">
        <v>563.998316942295</v>
      </c>
      <c r="AA2399" s="20" t="n">
        <v>90.66246933040701</v>
      </c>
      <c r="AB2399" t="n">
        <v>0.224462071965174</v>
      </c>
      <c r="AC2399" t="n">
        <v>96.53488147037341</v>
      </c>
      <c r="AD2399" t="n">
        <v>38.93971071697796</v>
      </c>
    </row>
    <row r="2400">
      <c r="A2400" t="n">
        <v>2399</v>
      </c>
      <c r="B2400" t="n">
        <v>45.8</v>
      </c>
      <c r="C2400" s="21">
        <f>B2400-20</f>
        <v/>
      </c>
      <c r="D2400" t="n">
        <v>126.7</v>
      </c>
      <c r="E2400" s="22">
        <f>D2400-90</f>
        <v/>
      </c>
      <c r="F2400" s="23" t="n">
        <v>0.0095</v>
      </c>
      <c r="G2400" s="22" t="n">
        <v>32.8</v>
      </c>
      <c r="H2400" s="22" t="n">
        <v>1.8</v>
      </c>
      <c r="I2400" s="24" t="n">
        <v>0.0409443750977516</v>
      </c>
      <c r="J2400" s="6" t="n">
        <v>71000</v>
      </c>
      <c r="K2400" s="25">
        <f>23*10^-6</f>
        <v/>
      </c>
      <c r="L2400" s="8">
        <f>H2400</f>
        <v/>
      </c>
      <c r="M2400" s="26">
        <f>H2400^2/6</f>
        <v/>
      </c>
      <c r="N2400" s="26">
        <f>H2400^3/12</f>
        <v/>
      </c>
      <c r="O2400" s="27">
        <f>-J2400*L2400*K2400*C2400</f>
        <v/>
      </c>
      <c r="P2400" s="28">
        <f>-(12*F2400*J2400*L2400*N2400+12*O2400*N2400*G2400*COS(RADIANS(E2400)))/(12*N2400*G2400*COS(RADIANS(E2400))^2+L2400*G2400^3*SIN(RADIANS(E2400))^2)</f>
        <v/>
      </c>
      <c r="Q2400" s="28">
        <f>-(6*F2400*J2400*L2400*N2400*SIN(RADIANS(E2400))+6*O2400*N2400*G2400*SIN(RADIANS(E2400))*COS(RADIANS(E2400)))/(12*N2400*COS(RADIANS(E2400))^2+L2400*G2400^2*SIN(RADIANS(E2400))^2)</f>
        <v/>
      </c>
      <c r="R2400" s="28">
        <f>-P2400*SIN(RADIANS(E2400))</f>
        <v/>
      </c>
      <c r="S2400" s="8">
        <f>(O2400+P2400*COS(RADIANS(E2400)))/L2400</f>
        <v/>
      </c>
      <c r="T2400" s="8">
        <f>R2400/L2400</f>
        <v/>
      </c>
      <c r="U2400" s="8">
        <f>(Q2400-P2400*G2400*SIN(RADIANS(E2400)))/M2400</f>
        <v/>
      </c>
      <c r="V2400" s="8">
        <f>SQRT((S2400+U2400)^2+3*T2400^2)</f>
        <v/>
      </c>
      <c r="W2400" s="8">
        <f>V2400/AA2400</f>
        <v/>
      </c>
      <c r="X2400" s="27">
        <f>((3*10+H2400/COS(RADIANS(E2400)))*(3+3)+3*G2400*H2400)*2</f>
        <v/>
      </c>
      <c r="Y2400" s="28">
        <f>Z2400/X2400</f>
        <v/>
      </c>
      <c r="Z2400" s="29" t="n">
        <v>750.547394917656</v>
      </c>
      <c r="AA2400" s="20" t="n">
        <v>39.0841624658006</v>
      </c>
      <c r="AB2400" t="n">
        <v>0.04503027145764544</v>
      </c>
      <c r="AC2400" t="n">
        <v>37.55805606833177</v>
      </c>
      <c r="AD2400" t="n">
        <v>9.979139625746086</v>
      </c>
    </row>
    <row r="2401">
      <c r="A2401" t="n">
        <v>2400</v>
      </c>
      <c r="B2401" t="n">
        <v>80.40000000000001</v>
      </c>
      <c r="C2401" s="21">
        <f>B2401-20</f>
        <v/>
      </c>
      <c r="D2401" t="n">
        <v>107.3</v>
      </c>
      <c r="E2401" s="22">
        <f>D2401-90</f>
        <v/>
      </c>
      <c r="F2401" s="23" t="n">
        <v>0.025957</v>
      </c>
      <c r="G2401" s="22" t="n">
        <v>33.2</v>
      </c>
      <c r="H2401" s="22" t="n">
        <v>1.9</v>
      </c>
      <c r="I2401" s="24" t="n">
        <v>0.16373187303543</v>
      </c>
      <c r="J2401" s="6" t="n">
        <v>71000</v>
      </c>
      <c r="K2401" s="25">
        <f>23*10^-6</f>
        <v/>
      </c>
      <c r="L2401" s="8">
        <f>H2401</f>
        <v/>
      </c>
      <c r="M2401" s="26">
        <f>H2401^2/6</f>
        <v/>
      </c>
      <c r="N2401" s="26">
        <f>H2401^3/12</f>
        <v/>
      </c>
      <c r="O2401" s="27">
        <f>-J2401*L2401*K2401*C2401</f>
        <v/>
      </c>
      <c r="P2401" s="28">
        <f>-(12*F2401*J2401*L2401*N2401+12*O2401*N2401*G2401*COS(RADIANS(E2401)))/(12*N2401*G2401*COS(RADIANS(E2401))^2+L2401*G2401^3*SIN(RADIANS(E2401))^2)</f>
        <v/>
      </c>
      <c r="Q2401" s="28">
        <f>-(6*F2401*J2401*L2401*N2401*SIN(RADIANS(E2401))+6*O2401*N2401*G2401*SIN(RADIANS(E2401))*COS(RADIANS(E2401)))/(12*N2401*COS(RADIANS(E2401))^2+L2401*G2401^2*SIN(RADIANS(E2401))^2)</f>
        <v/>
      </c>
      <c r="R2401" s="28">
        <f>-P2401*SIN(RADIANS(E2401))</f>
        <v/>
      </c>
      <c r="S2401" s="8">
        <f>(O2401+P2401*COS(RADIANS(E2401)))/L2401</f>
        <v/>
      </c>
      <c r="T2401" s="8">
        <f>R2401/L2401</f>
        <v/>
      </c>
      <c r="U2401" s="8">
        <f>(Q2401-P2401*G2401*SIN(RADIANS(E2401)))/M2401</f>
        <v/>
      </c>
      <c r="V2401" s="8">
        <f>SQRT((S2401+U2401)^2+3*T2401^2)</f>
        <v/>
      </c>
      <c r="W2401" s="8">
        <f>V2401/AA2401</f>
        <v/>
      </c>
      <c r="X2401" s="27">
        <f>((3*10+H2401/COS(RADIANS(E2401)))*(3+3)+3*G2401*H2401)*2</f>
        <v/>
      </c>
      <c r="Y2401" s="28">
        <f>Z2401/X2401</f>
        <v/>
      </c>
      <c r="Z2401" s="29" t="n">
        <v>766.9311424887881</v>
      </c>
      <c r="AA2401" s="20" t="n">
        <v>100.952870782064</v>
      </c>
      <c r="AB2401" t="n">
        <v>0.2303839427565283</v>
      </c>
      <c r="AC2401" t="n">
        <v>97.79691950510214</v>
      </c>
      <c r="AD2401" t="n">
        <v>40.70806037055196</v>
      </c>
    </row>
    <row r="2402">
      <c r="A2402" t="n">
        <v>2401</v>
      </c>
      <c r="B2402" t="n">
        <v>76.2</v>
      </c>
      <c r="C2402" s="21">
        <f>B2402-20</f>
        <v/>
      </c>
      <c r="D2402" t="n">
        <v>105.5</v>
      </c>
      <c r="E2402" s="22">
        <f>D2402-90</f>
        <v/>
      </c>
      <c r="F2402" s="23" t="n">
        <v>0.022057</v>
      </c>
      <c r="G2402" s="22" t="n">
        <v>29.5</v>
      </c>
      <c r="H2402" s="22" t="n">
        <v>1.3</v>
      </c>
      <c r="I2402" s="24" t="n">
        <v>0.153789192438125</v>
      </c>
      <c r="J2402" s="6" t="n">
        <v>71000</v>
      </c>
      <c r="K2402" s="25">
        <f>23*10^-6</f>
        <v/>
      </c>
      <c r="L2402" s="8">
        <f>H2402</f>
        <v/>
      </c>
      <c r="M2402" s="26">
        <f>H2402^2/6</f>
        <v/>
      </c>
      <c r="N2402" s="26">
        <f>H2402^3/12</f>
        <v/>
      </c>
      <c r="O2402" s="27">
        <f>-J2402*L2402*K2402*C2402</f>
        <v/>
      </c>
      <c r="P2402" s="28">
        <f>-(12*F2402*J2402*L2402*N2402+12*O2402*N2402*G2402*COS(RADIANS(E2402)))/(12*N2402*G2402*COS(RADIANS(E2402))^2+L2402*G2402^3*SIN(RADIANS(E2402))^2)</f>
        <v/>
      </c>
      <c r="Q2402" s="28">
        <f>-(6*F2402*J2402*L2402*N2402*SIN(RADIANS(E2402))+6*O2402*N2402*G2402*SIN(RADIANS(E2402))*COS(RADIANS(E2402)))/(12*N2402*COS(RADIANS(E2402))^2+L2402*G2402^2*SIN(RADIANS(E2402))^2)</f>
        <v/>
      </c>
      <c r="R2402" s="28">
        <f>-P2402*SIN(RADIANS(E2402))</f>
        <v/>
      </c>
      <c r="S2402" s="8">
        <f>(O2402+P2402*COS(RADIANS(E2402)))/L2402</f>
        <v/>
      </c>
      <c r="T2402" s="8">
        <f>R2402/L2402</f>
        <v/>
      </c>
      <c r="U2402" s="8">
        <f>(Q2402-P2402*G2402*SIN(RADIANS(E2402)))/M2402</f>
        <v/>
      </c>
      <c r="V2402" s="8">
        <f>SQRT((S2402+U2402)^2+3*T2402^2)</f>
        <v/>
      </c>
      <c r="W2402" s="8">
        <f>V2402/AA2402</f>
        <v/>
      </c>
      <c r="X2402" s="27">
        <f>((3*10+H2402/COS(RADIANS(E2402)))*(3+3)+3*G2402*H2402)*2</f>
        <v/>
      </c>
      <c r="Y2402" s="28">
        <f>Z2402/X2402</f>
        <v/>
      </c>
      <c r="Z2402" s="29" t="n">
        <v>610.62822106043</v>
      </c>
      <c r="AA2402" s="20" t="n">
        <v>84.43115750981281</v>
      </c>
      <c r="AB2402" t="n">
        <v>0.216598426095875</v>
      </c>
      <c r="AC2402" t="n">
        <v>88.77058111717967</v>
      </c>
      <c r="AD2402" t="n">
        <v>40.84112326880215</v>
      </c>
    </row>
    <row r="2403">
      <c r="A2403" t="n">
        <v>2402</v>
      </c>
      <c r="B2403" t="n">
        <v>63.5</v>
      </c>
      <c r="C2403" s="21">
        <f>B2403-20</f>
        <v/>
      </c>
      <c r="D2403" t="n">
        <v>117.1</v>
      </c>
      <c r="E2403" s="22">
        <f>D2403-90</f>
        <v/>
      </c>
      <c r="F2403" s="23" t="n">
        <v>0.017632</v>
      </c>
      <c r="G2403" s="22" t="n">
        <v>33.2</v>
      </c>
      <c r="H2403" s="22" t="n">
        <v>1.5</v>
      </c>
      <c r="I2403" s="24" t="n">
        <v>0.0849218368530273</v>
      </c>
      <c r="J2403" s="6" t="n">
        <v>71000</v>
      </c>
      <c r="K2403" s="25">
        <f>23*10^-6</f>
        <v/>
      </c>
      <c r="L2403" s="8">
        <f>H2403</f>
        <v/>
      </c>
      <c r="M2403" s="26">
        <f>H2403^2/6</f>
        <v/>
      </c>
      <c r="N2403" s="26">
        <f>H2403^3/12</f>
        <v/>
      </c>
      <c r="O2403" s="27">
        <f>-J2403*L2403*K2403*C2403</f>
        <v/>
      </c>
      <c r="P2403" s="28">
        <f>-(12*F2403*J2403*L2403*N2403+12*O2403*N2403*G2403*COS(RADIANS(E2403)))/(12*N2403*G2403*COS(RADIANS(E2403))^2+L2403*G2403^3*SIN(RADIANS(E2403))^2)</f>
        <v/>
      </c>
      <c r="Q2403" s="28">
        <f>-(6*F2403*J2403*L2403*N2403*SIN(RADIANS(E2403))+6*O2403*N2403*G2403*SIN(RADIANS(E2403))*COS(RADIANS(E2403)))/(12*N2403*COS(RADIANS(E2403))^2+L2403*G2403^2*SIN(RADIANS(E2403))^2)</f>
        <v/>
      </c>
      <c r="R2403" s="28">
        <f>-P2403*SIN(RADIANS(E2403))</f>
        <v/>
      </c>
      <c r="S2403" s="8">
        <f>(O2403+P2403*COS(RADIANS(E2403)))/L2403</f>
        <v/>
      </c>
      <c r="T2403" s="8">
        <f>R2403/L2403</f>
        <v/>
      </c>
      <c r="U2403" s="8">
        <f>(Q2403-P2403*G2403*SIN(RADIANS(E2403)))/M2403</f>
        <v/>
      </c>
      <c r="V2403" s="8">
        <f>SQRT((S2403+U2403)^2+3*T2403^2)</f>
        <v/>
      </c>
      <c r="W2403" s="8">
        <f>V2403/AA2403</f>
        <v/>
      </c>
      <c r="X2403" s="27">
        <f>((3*10+H2403/COS(RADIANS(E2403)))*(3+3)+3*G2403*H2403)*2</f>
        <v/>
      </c>
      <c r="Y2403" s="28">
        <f>Z2403/X2403</f>
        <v/>
      </c>
      <c r="Z2403" s="29" t="n">
        <v>685.413359650639</v>
      </c>
      <c r="AA2403" s="20" t="n">
        <v>64.64082789245521</v>
      </c>
      <c r="AB2403" t="n">
        <v>0.1064713583107304</v>
      </c>
      <c r="AC2403" t="n">
        <v>64.44297552606675</v>
      </c>
      <c r="AD2403" t="n">
        <v>25.37571283932363</v>
      </c>
    </row>
    <row r="2404">
      <c r="A2404" t="n">
        <v>2403</v>
      </c>
      <c r="B2404" t="n">
        <v>78.59999999999999</v>
      </c>
      <c r="C2404" s="21">
        <f>B2404-20</f>
        <v/>
      </c>
      <c r="D2404" t="n">
        <v>126.9</v>
      </c>
      <c r="E2404" s="22">
        <f>D2404-90</f>
        <v/>
      </c>
      <c r="F2404" s="23" t="n">
        <v>0.020409</v>
      </c>
      <c r="G2404" s="22" t="n">
        <v>30.7</v>
      </c>
      <c r="H2404" s="22" t="n">
        <v>1.3</v>
      </c>
      <c r="I2404" s="24" t="n">
        <v>0.0884711593389511</v>
      </c>
      <c r="J2404" s="6" t="n">
        <v>71000</v>
      </c>
      <c r="K2404" s="25">
        <f>23*10^-6</f>
        <v/>
      </c>
      <c r="L2404" s="8">
        <f>H2404</f>
        <v/>
      </c>
      <c r="M2404" s="26">
        <f>H2404^2/6</f>
        <v/>
      </c>
      <c r="N2404" s="26">
        <f>H2404^3/12</f>
        <v/>
      </c>
      <c r="O2404" s="27">
        <f>-J2404*L2404*K2404*C2404</f>
        <v/>
      </c>
      <c r="P2404" s="28">
        <f>-(12*F2404*J2404*L2404*N2404+12*O2404*N2404*G2404*COS(RADIANS(E2404)))/(12*N2404*G2404*COS(RADIANS(E2404))^2+L2404*G2404^3*SIN(RADIANS(E2404))^2)</f>
        <v/>
      </c>
      <c r="Q2404" s="28">
        <f>-(6*F2404*J2404*L2404*N2404*SIN(RADIANS(E2404))+6*O2404*N2404*G2404*SIN(RADIANS(E2404))*COS(RADIANS(E2404)))/(12*N2404*COS(RADIANS(E2404))^2+L2404*G2404^2*SIN(RADIANS(E2404))^2)</f>
        <v/>
      </c>
      <c r="R2404" s="28">
        <f>-P2404*SIN(RADIANS(E2404))</f>
        <v/>
      </c>
      <c r="S2404" s="8">
        <f>(O2404+P2404*COS(RADIANS(E2404)))/L2404</f>
        <v/>
      </c>
      <c r="T2404" s="8">
        <f>R2404/L2404</f>
        <v/>
      </c>
      <c r="U2404" s="8">
        <f>(Q2404-P2404*G2404*SIN(RADIANS(E2404)))/M2404</f>
        <v/>
      </c>
      <c r="V2404" s="8">
        <f>SQRT((S2404+U2404)^2+3*T2404^2)</f>
        <v/>
      </c>
      <c r="W2404" s="8">
        <f>V2404/AA2404</f>
        <v/>
      </c>
      <c r="X2404" s="27">
        <f>((3*10+H2404/COS(RADIANS(E2404)))*(3+3)+3*G2404*H2404)*2</f>
        <v/>
      </c>
      <c r="Y2404" s="28">
        <f>Z2404/X2404</f>
        <v/>
      </c>
      <c r="Z2404" s="29" t="n">
        <v>628.4131488358699</v>
      </c>
      <c r="AA2404" s="20" t="n">
        <v>81.39749806692799</v>
      </c>
      <c r="AB2404" t="n">
        <v>0.09574290375649117</v>
      </c>
      <c r="AC2404" t="n">
        <v>83.69834576499235</v>
      </c>
      <c r="AD2404" t="n">
        <v>8.219338903066173</v>
      </c>
    </row>
    <row r="2405">
      <c r="A2405" t="n">
        <v>2404</v>
      </c>
      <c r="B2405" t="n">
        <v>90</v>
      </c>
      <c r="C2405" s="21">
        <f>B2405-20</f>
        <v/>
      </c>
      <c r="D2405" t="n">
        <v>105.7</v>
      </c>
      <c r="E2405" s="22">
        <f>D2405-90</f>
        <v/>
      </c>
      <c r="F2405" s="23" t="n">
        <v>0.022227</v>
      </c>
      <c r="G2405" s="22" t="n">
        <v>22.7</v>
      </c>
      <c r="H2405" s="22" t="n">
        <v>1.4</v>
      </c>
      <c r="I2405" s="24" t="n">
        <v>0.156240329146385</v>
      </c>
      <c r="J2405" s="6" t="n">
        <v>71000</v>
      </c>
      <c r="K2405" s="25">
        <f>23*10^-6</f>
        <v/>
      </c>
      <c r="L2405" s="8">
        <f>H2405</f>
        <v/>
      </c>
      <c r="M2405" s="26">
        <f>H2405^2/6</f>
        <v/>
      </c>
      <c r="N2405" s="26">
        <f>H2405^3/12</f>
        <v/>
      </c>
      <c r="O2405" s="27">
        <f>-J2405*L2405*K2405*C2405</f>
        <v/>
      </c>
      <c r="P2405" s="28">
        <f>-(12*F2405*J2405*L2405*N2405+12*O2405*N2405*G2405*COS(RADIANS(E2405)))/(12*N2405*G2405*COS(RADIANS(E2405))^2+L2405*G2405^3*SIN(RADIANS(E2405))^2)</f>
        <v/>
      </c>
      <c r="Q2405" s="28">
        <f>-(6*F2405*J2405*L2405*N2405*SIN(RADIANS(E2405))+6*O2405*N2405*G2405*SIN(RADIANS(E2405))*COS(RADIANS(E2405)))/(12*N2405*COS(RADIANS(E2405))^2+L2405*G2405^2*SIN(RADIANS(E2405))^2)</f>
        <v/>
      </c>
      <c r="R2405" s="28">
        <f>-P2405*SIN(RADIANS(E2405))</f>
        <v/>
      </c>
      <c r="S2405" s="8">
        <f>(O2405+P2405*COS(RADIANS(E2405)))/L2405</f>
        <v/>
      </c>
      <c r="T2405" s="8">
        <f>R2405/L2405</f>
        <v/>
      </c>
      <c r="U2405" s="8">
        <f>(Q2405-P2405*G2405*SIN(RADIANS(E2405)))/M2405</f>
        <v/>
      </c>
      <c r="V2405" s="8">
        <f>SQRT((S2405+U2405)^2+3*T2405^2)</f>
        <v/>
      </c>
      <c r="W2405" s="8">
        <f>V2405/AA2405</f>
        <v/>
      </c>
      <c r="X2405" s="27">
        <f>((3*10+H2405/COS(RADIANS(E2405)))*(3+3)+3*G2405*H2405)*2</f>
        <v/>
      </c>
      <c r="Y2405" s="28">
        <f>Z2405/X2405</f>
        <v/>
      </c>
      <c r="Z2405" s="29" t="n">
        <v>572.49479672342</v>
      </c>
      <c r="AA2405" s="20" t="n">
        <v>111.332538144131</v>
      </c>
      <c r="AB2405" t="n">
        <v>0.2040109615305141</v>
      </c>
      <c r="AC2405" t="n">
        <v>114.1744001275819</v>
      </c>
      <c r="AD2405" t="n">
        <v>30.57509712448937</v>
      </c>
    </row>
    <row r="2406">
      <c r="A2406" t="n">
        <v>2405</v>
      </c>
      <c r="B2406" t="n">
        <v>78</v>
      </c>
      <c r="C2406" s="21">
        <f>B2406-20</f>
        <v/>
      </c>
      <c r="D2406" t="n">
        <v>109.7</v>
      </c>
      <c r="E2406" s="22">
        <f>D2406-90</f>
        <v/>
      </c>
      <c r="F2406" s="23" t="n">
        <v>0.024136</v>
      </c>
      <c r="G2406" s="22" t="n">
        <v>32.4</v>
      </c>
      <c r="H2406" s="22" t="n">
        <v>1.1</v>
      </c>
      <c r="I2406" s="24" t="n">
        <v>0.141141340136528</v>
      </c>
      <c r="J2406" s="6" t="n">
        <v>71000</v>
      </c>
      <c r="K2406" s="25">
        <f>23*10^-6</f>
        <v/>
      </c>
      <c r="L2406" s="8">
        <f>H2406</f>
        <v/>
      </c>
      <c r="M2406" s="26">
        <f>H2406^2/6</f>
        <v/>
      </c>
      <c r="N2406" s="26">
        <f>H2406^3/12</f>
        <v/>
      </c>
      <c r="O2406" s="27">
        <f>-J2406*L2406*K2406*C2406</f>
        <v/>
      </c>
      <c r="P2406" s="28">
        <f>-(12*F2406*J2406*L2406*N2406+12*O2406*N2406*G2406*COS(RADIANS(E2406)))/(12*N2406*G2406*COS(RADIANS(E2406))^2+L2406*G2406^3*SIN(RADIANS(E2406))^2)</f>
        <v/>
      </c>
      <c r="Q2406" s="28">
        <f>-(6*F2406*J2406*L2406*N2406*SIN(RADIANS(E2406))+6*O2406*N2406*G2406*SIN(RADIANS(E2406))*COS(RADIANS(E2406)))/(12*N2406*COS(RADIANS(E2406))^2+L2406*G2406^2*SIN(RADIANS(E2406))^2)</f>
        <v/>
      </c>
      <c r="R2406" s="28">
        <f>-P2406*SIN(RADIANS(E2406))</f>
        <v/>
      </c>
      <c r="S2406" s="8">
        <f>(O2406+P2406*COS(RADIANS(E2406)))/L2406</f>
        <v/>
      </c>
      <c r="T2406" s="8">
        <f>R2406/L2406</f>
        <v/>
      </c>
      <c r="U2406" s="8">
        <f>(Q2406-P2406*G2406*SIN(RADIANS(E2406)))/M2406</f>
        <v/>
      </c>
      <c r="V2406" s="8">
        <f>SQRT((S2406+U2406)^2+3*T2406^2)</f>
        <v/>
      </c>
      <c r="W2406" s="8">
        <f>V2406/AA2406</f>
        <v/>
      </c>
      <c r="X2406" s="27">
        <f>((3*10+H2406/COS(RADIANS(E2406)))*(3+3)+3*G2406*H2406)*2</f>
        <v/>
      </c>
      <c r="Y2406" s="28">
        <f>Z2406/X2406</f>
        <v/>
      </c>
      <c r="Z2406" s="29" t="n">
        <v>592.786283504233</v>
      </c>
      <c r="AA2406" s="20" t="n">
        <v>81.2353464026652</v>
      </c>
      <c r="AB2406" t="n">
        <v>0.1938073809858185</v>
      </c>
      <c r="AC2406" t="n">
        <v>86.55423162852087</v>
      </c>
      <c r="AD2406" t="n">
        <v>37.31439760905336</v>
      </c>
    </row>
    <row r="2407">
      <c r="A2407" t="n">
        <v>2406</v>
      </c>
      <c r="B2407" t="n">
        <v>84.40000000000001</v>
      </c>
      <c r="C2407" s="21">
        <f>B2407-20</f>
        <v/>
      </c>
      <c r="D2407" t="n">
        <v>129.3</v>
      </c>
      <c r="E2407" s="22">
        <f>D2407-90</f>
        <v/>
      </c>
      <c r="F2407" s="23" t="n">
        <v>0.02196</v>
      </c>
      <c r="G2407" s="22" t="n">
        <v>30.9</v>
      </c>
      <c r="H2407" s="22" t="n">
        <v>1.6</v>
      </c>
      <c r="I2407" s="24" t="n">
        <v>0.09417203813791269</v>
      </c>
      <c r="J2407" s="6" t="n">
        <v>71000</v>
      </c>
      <c r="K2407" s="25">
        <f>23*10^-6</f>
        <v/>
      </c>
      <c r="L2407" s="8">
        <f>H2407</f>
        <v/>
      </c>
      <c r="M2407" s="26">
        <f>H2407^2/6</f>
        <v/>
      </c>
      <c r="N2407" s="26">
        <f>H2407^3/12</f>
        <v/>
      </c>
      <c r="O2407" s="27">
        <f>-J2407*L2407*K2407*C2407</f>
        <v/>
      </c>
      <c r="P2407" s="28">
        <f>-(12*F2407*J2407*L2407*N2407+12*O2407*N2407*G2407*COS(RADIANS(E2407)))/(12*N2407*G2407*COS(RADIANS(E2407))^2+L2407*G2407^3*SIN(RADIANS(E2407))^2)</f>
        <v/>
      </c>
      <c r="Q2407" s="28">
        <f>-(6*F2407*J2407*L2407*N2407*SIN(RADIANS(E2407))+6*O2407*N2407*G2407*SIN(RADIANS(E2407))*COS(RADIANS(E2407)))/(12*N2407*COS(RADIANS(E2407))^2+L2407*G2407^2*SIN(RADIANS(E2407))^2)</f>
        <v/>
      </c>
      <c r="R2407" s="28">
        <f>-P2407*SIN(RADIANS(E2407))</f>
        <v/>
      </c>
      <c r="S2407" s="8">
        <f>(O2407+P2407*COS(RADIANS(E2407)))/L2407</f>
        <v/>
      </c>
      <c r="T2407" s="8">
        <f>R2407/L2407</f>
        <v/>
      </c>
      <c r="U2407" s="8">
        <f>(Q2407-P2407*G2407*SIN(RADIANS(E2407)))/M2407</f>
        <v/>
      </c>
      <c r="V2407" s="8">
        <f>SQRT((S2407+U2407)^2+3*T2407^2)</f>
        <v/>
      </c>
      <c r="W2407" s="8">
        <f>V2407/AA2407</f>
        <v/>
      </c>
      <c r="X2407" s="27">
        <f>((3*10+H2407/COS(RADIANS(E2407)))*(3+3)+3*G2407*H2407)*2</f>
        <v/>
      </c>
      <c r="Y2407" s="28">
        <f>Z2407/X2407</f>
        <v/>
      </c>
      <c r="Z2407" s="29" t="n">
        <v>691.899107897888</v>
      </c>
      <c r="AA2407" s="20" t="n">
        <v>92.9076807232418</v>
      </c>
      <c r="AB2407" t="n">
        <v>0.09862470759363665</v>
      </c>
      <c r="AC2407" t="n">
        <v>92.57902371625761</v>
      </c>
      <c r="AD2407" t="n">
        <v>4.728228828607408</v>
      </c>
    </row>
    <row r="2408">
      <c r="A2408" t="n">
        <v>2407</v>
      </c>
      <c r="B2408" t="n">
        <v>68.90000000000001</v>
      </c>
      <c r="C2408" s="21">
        <f>B2408-20</f>
        <v/>
      </c>
      <c r="D2408" t="n">
        <v>122.9</v>
      </c>
      <c r="E2408" s="22">
        <f>D2408-90</f>
        <v/>
      </c>
      <c r="F2408" s="23" t="n">
        <v>0.019399</v>
      </c>
      <c r="G2408" s="22" t="n">
        <v>34.3</v>
      </c>
      <c r="H2408" s="22" t="n">
        <v>1</v>
      </c>
      <c r="I2408" s="24" t="n">
        <v>0.08542291074991221</v>
      </c>
      <c r="J2408" s="6" t="n">
        <v>71000</v>
      </c>
      <c r="K2408" s="25">
        <f>23*10^-6</f>
        <v/>
      </c>
      <c r="L2408" s="8">
        <f>H2408</f>
        <v/>
      </c>
      <c r="M2408" s="26">
        <f>H2408^2/6</f>
        <v/>
      </c>
      <c r="N2408" s="26">
        <f>H2408^3/12</f>
        <v/>
      </c>
      <c r="O2408" s="27">
        <f>-J2408*L2408*K2408*C2408</f>
        <v/>
      </c>
      <c r="P2408" s="28">
        <f>-(12*F2408*J2408*L2408*N2408+12*O2408*N2408*G2408*COS(RADIANS(E2408)))/(12*N2408*G2408*COS(RADIANS(E2408))^2+L2408*G2408^3*SIN(RADIANS(E2408))^2)</f>
        <v/>
      </c>
      <c r="Q2408" s="28">
        <f>-(6*F2408*J2408*L2408*N2408*SIN(RADIANS(E2408))+6*O2408*N2408*G2408*SIN(RADIANS(E2408))*COS(RADIANS(E2408)))/(12*N2408*COS(RADIANS(E2408))^2+L2408*G2408^2*SIN(RADIANS(E2408))^2)</f>
        <v/>
      </c>
      <c r="R2408" s="28">
        <f>-P2408*SIN(RADIANS(E2408))</f>
        <v/>
      </c>
      <c r="S2408" s="8">
        <f>(O2408+P2408*COS(RADIANS(E2408)))/L2408</f>
        <v/>
      </c>
      <c r="T2408" s="8">
        <f>R2408/L2408</f>
        <v/>
      </c>
      <c r="U2408" s="8">
        <f>(Q2408-P2408*G2408*SIN(RADIANS(E2408)))/M2408</f>
        <v/>
      </c>
      <c r="V2408" s="8">
        <f>SQRT((S2408+U2408)^2+3*T2408^2)</f>
        <v/>
      </c>
      <c r="W2408" s="8">
        <f>V2408/AA2408</f>
        <v/>
      </c>
      <c r="X2408" s="27">
        <f>((3*10+H2408/COS(RADIANS(E2408)))*(3+3)+3*G2408*H2408)*2</f>
        <v/>
      </c>
      <c r="Y2408" s="28">
        <f>Z2408/X2408</f>
        <v/>
      </c>
      <c r="Z2408" s="29" t="n">
        <v>588.110175690274</v>
      </c>
      <c r="AA2408" s="20" t="n">
        <v>63.9245487124799</v>
      </c>
      <c r="AB2408" t="n">
        <v>0.1007779391550681</v>
      </c>
      <c r="AC2408" t="n">
        <v>69.17948670891153</v>
      </c>
      <c r="AD2408" t="n">
        <v>17.9753045996172</v>
      </c>
    </row>
    <row r="2409">
      <c r="A2409" t="n">
        <v>2408</v>
      </c>
      <c r="B2409" t="n">
        <v>79.8</v>
      </c>
      <c r="C2409" s="21">
        <f>B2409-20</f>
        <v/>
      </c>
      <c r="D2409" t="n">
        <v>109.9</v>
      </c>
      <c r="E2409" s="22">
        <f>D2409-90</f>
        <v/>
      </c>
      <c r="F2409" s="23" t="n">
        <v>0.024218</v>
      </c>
      <c r="G2409" s="22" t="n">
        <v>31.4</v>
      </c>
      <c r="H2409" s="22" t="n">
        <v>2</v>
      </c>
      <c r="I2409" s="24" t="n">
        <v>0.139825969934463</v>
      </c>
      <c r="J2409" s="6" t="n">
        <v>71000</v>
      </c>
      <c r="K2409" s="25">
        <f>23*10^-6</f>
        <v/>
      </c>
      <c r="L2409" s="8">
        <f>H2409</f>
        <v/>
      </c>
      <c r="M2409" s="26">
        <f>H2409^2/6</f>
        <v/>
      </c>
      <c r="N2409" s="26">
        <f>H2409^3/12</f>
        <v/>
      </c>
      <c r="O2409" s="27">
        <f>-J2409*L2409*K2409*C2409</f>
        <v/>
      </c>
      <c r="P2409" s="28">
        <f>-(12*F2409*J2409*L2409*N2409+12*O2409*N2409*G2409*COS(RADIANS(E2409)))/(12*N2409*G2409*COS(RADIANS(E2409))^2+L2409*G2409^3*SIN(RADIANS(E2409))^2)</f>
        <v/>
      </c>
      <c r="Q2409" s="28">
        <f>-(6*F2409*J2409*L2409*N2409*SIN(RADIANS(E2409))+6*O2409*N2409*G2409*SIN(RADIANS(E2409))*COS(RADIANS(E2409)))/(12*N2409*COS(RADIANS(E2409))^2+L2409*G2409^2*SIN(RADIANS(E2409))^2)</f>
        <v/>
      </c>
      <c r="R2409" s="28">
        <f>-P2409*SIN(RADIANS(E2409))</f>
        <v/>
      </c>
      <c r="S2409" s="8">
        <f>(O2409+P2409*COS(RADIANS(E2409)))/L2409</f>
        <v/>
      </c>
      <c r="T2409" s="8">
        <f>R2409/L2409</f>
        <v/>
      </c>
      <c r="U2409" s="8">
        <f>(Q2409-P2409*G2409*SIN(RADIANS(E2409)))/M2409</f>
        <v/>
      </c>
      <c r="V2409" s="8">
        <f>SQRT((S2409+U2409)^2+3*T2409^2)</f>
        <v/>
      </c>
      <c r="W2409" s="8">
        <f>V2409/AA2409</f>
        <v/>
      </c>
      <c r="X2409" s="27">
        <f>((3*10+H2409/COS(RADIANS(E2409)))*(3+3)+3*G2409*H2409)*2</f>
        <v/>
      </c>
      <c r="Y2409" s="28">
        <f>Z2409/X2409</f>
        <v/>
      </c>
      <c r="Z2409" s="29" t="n">
        <v>767.281811981132</v>
      </c>
      <c r="AA2409" s="20" t="n">
        <v>101.06201042564</v>
      </c>
      <c r="AB2409" t="n">
        <v>0.1876999181819227</v>
      </c>
      <c r="AC2409" t="n">
        <v>95.94555715124395</v>
      </c>
      <c r="AD2409" t="n">
        <v>34.23823791095349</v>
      </c>
    </row>
    <row r="2410">
      <c r="A2410" t="n">
        <v>2409</v>
      </c>
      <c r="B2410" t="n">
        <v>64.09999999999999</v>
      </c>
      <c r="C2410" s="21">
        <f>B2410-20</f>
        <v/>
      </c>
      <c r="D2410" t="n">
        <v>108.6</v>
      </c>
      <c r="E2410" s="22">
        <f>D2410-90</f>
        <v/>
      </c>
      <c r="F2410" s="23" t="n">
        <v>0.016024</v>
      </c>
      <c r="G2410" s="22" t="n">
        <v>27.3</v>
      </c>
      <c r="H2410" s="22" t="n">
        <v>1.9</v>
      </c>
      <c r="I2410" s="24" t="n">
        <v>0.0979208722710609</v>
      </c>
      <c r="J2410" s="6" t="n">
        <v>71000</v>
      </c>
      <c r="K2410" s="25">
        <f>23*10^-6</f>
        <v/>
      </c>
      <c r="L2410" s="8">
        <f>H2410</f>
        <v/>
      </c>
      <c r="M2410" s="26">
        <f>H2410^2/6</f>
        <v/>
      </c>
      <c r="N2410" s="26">
        <f>H2410^3/12</f>
        <v/>
      </c>
      <c r="O2410" s="27">
        <f>-J2410*L2410*K2410*C2410</f>
        <v/>
      </c>
      <c r="P2410" s="28">
        <f>-(12*F2410*J2410*L2410*N2410+12*O2410*N2410*G2410*COS(RADIANS(E2410)))/(12*N2410*G2410*COS(RADIANS(E2410))^2+L2410*G2410^3*SIN(RADIANS(E2410))^2)</f>
        <v/>
      </c>
      <c r="Q2410" s="28">
        <f>-(6*F2410*J2410*L2410*N2410*SIN(RADIANS(E2410))+6*O2410*N2410*G2410*SIN(RADIANS(E2410))*COS(RADIANS(E2410)))/(12*N2410*COS(RADIANS(E2410))^2+L2410*G2410^2*SIN(RADIANS(E2410))^2)</f>
        <v/>
      </c>
      <c r="R2410" s="28">
        <f>-P2410*SIN(RADIANS(E2410))</f>
        <v/>
      </c>
      <c r="S2410" s="8">
        <f>(O2410+P2410*COS(RADIANS(E2410)))/L2410</f>
        <v/>
      </c>
      <c r="T2410" s="8">
        <f>R2410/L2410</f>
        <v/>
      </c>
      <c r="U2410" s="8">
        <f>(Q2410-P2410*G2410*SIN(RADIANS(E2410)))/M2410</f>
        <v/>
      </c>
      <c r="V2410" s="8">
        <f>SQRT((S2410+U2410)^2+3*T2410^2)</f>
        <v/>
      </c>
      <c r="W2410" s="8">
        <f>V2410/AA2410</f>
        <v/>
      </c>
      <c r="X2410" s="27">
        <f>((3*10+H2410/COS(RADIANS(E2410)))*(3+3)+3*G2410*H2410)*2</f>
        <v/>
      </c>
      <c r="Y2410" s="28">
        <f>Z2410/X2410</f>
        <v/>
      </c>
      <c r="Z2410" s="29" t="n">
        <v>700.032780986111</v>
      </c>
      <c r="AA2410" s="20" t="n">
        <v>74.9904690199795</v>
      </c>
      <c r="AB2410" t="n">
        <v>0.1286956156326305</v>
      </c>
      <c r="AC2410" t="n">
        <v>72.01084045304664</v>
      </c>
      <c r="AD2410" t="n">
        <v>31.42817526827186</v>
      </c>
    </row>
    <row r="2411">
      <c r="A2411" t="n">
        <v>2410</v>
      </c>
      <c r="B2411" t="n">
        <v>45.9</v>
      </c>
      <c r="C2411" s="21">
        <f>B2411-20</f>
        <v/>
      </c>
      <c r="D2411" t="n">
        <v>129.1</v>
      </c>
      <c r="E2411" s="22">
        <f>D2411-90</f>
        <v/>
      </c>
      <c r="F2411" s="23" t="n">
        <v>0.007179</v>
      </c>
      <c r="G2411" s="22" t="n">
        <v>23.6</v>
      </c>
      <c r="H2411" s="22" t="n">
        <v>1.4</v>
      </c>
      <c r="I2411" s="24" t="n">
        <v>0.0320119373500347</v>
      </c>
      <c r="J2411" s="6" t="n">
        <v>71000</v>
      </c>
      <c r="K2411" s="25">
        <f>23*10^-6</f>
        <v/>
      </c>
      <c r="L2411" s="8">
        <f>H2411</f>
        <v/>
      </c>
      <c r="M2411" s="26">
        <f>H2411^2/6</f>
        <v/>
      </c>
      <c r="N2411" s="26">
        <f>H2411^3/12</f>
        <v/>
      </c>
      <c r="O2411" s="27">
        <f>-J2411*L2411*K2411*C2411</f>
        <v/>
      </c>
      <c r="P2411" s="28">
        <f>-(12*F2411*J2411*L2411*N2411+12*O2411*N2411*G2411*COS(RADIANS(E2411)))/(12*N2411*G2411*COS(RADIANS(E2411))^2+L2411*G2411^3*SIN(RADIANS(E2411))^2)</f>
        <v/>
      </c>
      <c r="Q2411" s="28">
        <f>-(6*F2411*J2411*L2411*N2411*SIN(RADIANS(E2411))+6*O2411*N2411*G2411*SIN(RADIANS(E2411))*COS(RADIANS(E2411)))/(12*N2411*COS(RADIANS(E2411))^2+L2411*G2411^2*SIN(RADIANS(E2411))^2)</f>
        <v/>
      </c>
      <c r="R2411" s="28">
        <f>-P2411*SIN(RADIANS(E2411))</f>
        <v/>
      </c>
      <c r="S2411" s="8">
        <f>(O2411+P2411*COS(RADIANS(E2411)))/L2411</f>
        <v/>
      </c>
      <c r="T2411" s="8">
        <f>R2411/L2411</f>
        <v/>
      </c>
      <c r="U2411" s="8">
        <f>(Q2411-P2411*G2411*SIN(RADIANS(E2411)))/M2411</f>
        <v/>
      </c>
      <c r="V2411" s="8">
        <f>SQRT((S2411+U2411)^2+3*T2411^2)</f>
        <v/>
      </c>
      <c r="W2411" s="8">
        <f>V2411/AA2411</f>
        <v/>
      </c>
      <c r="X2411" s="27">
        <f>((3*10+H2411/COS(RADIANS(E2411)))*(3+3)+3*G2411*H2411)*2</f>
        <v/>
      </c>
      <c r="Y2411" s="28">
        <f>Z2411/X2411</f>
        <v/>
      </c>
      <c r="Z2411" s="29" t="n">
        <v>590.247804884016</v>
      </c>
      <c r="AA2411" s="20" t="n">
        <v>37.4828619492396</v>
      </c>
      <c r="AB2411" t="n">
        <v>0.03092925930402423</v>
      </c>
      <c r="AC2411" t="n">
        <v>37.31515305323787</v>
      </c>
      <c r="AD2411" t="n">
        <v>-3.38210722510145</v>
      </c>
    </row>
    <row r="2412">
      <c r="A2412" t="n">
        <v>2411</v>
      </c>
      <c r="B2412" t="n">
        <v>78.5</v>
      </c>
      <c r="C2412" s="21">
        <f>B2412-20</f>
        <v/>
      </c>
      <c r="D2412" t="n">
        <v>106.8</v>
      </c>
      <c r="E2412" s="22">
        <f>D2412-90</f>
        <v/>
      </c>
      <c r="F2412" s="23" t="n">
        <v>0.020792</v>
      </c>
      <c r="G2412" s="22" t="n">
        <v>26.3</v>
      </c>
      <c r="H2412" s="22" t="n">
        <v>1.7</v>
      </c>
      <c r="I2412" s="24" t="n">
        <v>0.136772885918617</v>
      </c>
      <c r="J2412" s="6" t="n">
        <v>71000</v>
      </c>
      <c r="K2412" s="25">
        <f>23*10^-6</f>
        <v/>
      </c>
      <c r="L2412" s="8">
        <f>H2412</f>
        <v/>
      </c>
      <c r="M2412" s="26">
        <f>H2412^2/6</f>
        <v/>
      </c>
      <c r="N2412" s="26">
        <f>H2412^3/12</f>
        <v/>
      </c>
      <c r="O2412" s="27">
        <f>-J2412*L2412*K2412*C2412</f>
        <v/>
      </c>
      <c r="P2412" s="28">
        <f>-(12*F2412*J2412*L2412*N2412+12*O2412*N2412*G2412*COS(RADIANS(E2412)))/(12*N2412*G2412*COS(RADIANS(E2412))^2+L2412*G2412^3*SIN(RADIANS(E2412))^2)</f>
        <v/>
      </c>
      <c r="Q2412" s="28">
        <f>-(6*F2412*J2412*L2412*N2412*SIN(RADIANS(E2412))+6*O2412*N2412*G2412*SIN(RADIANS(E2412))*COS(RADIANS(E2412)))/(12*N2412*COS(RADIANS(E2412))^2+L2412*G2412^2*SIN(RADIANS(E2412))^2)</f>
        <v/>
      </c>
      <c r="R2412" s="28">
        <f>-P2412*SIN(RADIANS(E2412))</f>
        <v/>
      </c>
      <c r="S2412" s="8">
        <f>(O2412+P2412*COS(RADIANS(E2412)))/L2412</f>
        <v/>
      </c>
      <c r="T2412" s="8">
        <f>R2412/L2412</f>
        <v/>
      </c>
      <c r="U2412" s="8">
        <f>(Q2412-P2412*G2412*SIN(RADIANS(E2412)))/M2412</f>
        <v/>
      </c>
      <c r="V2412" s="8">
        <f>SQRT((S2412+U2412)^2+3*T2412^2)</f>
        <v/>
      </c>
      <c r="W2412" s="8">
        <f>V2412/AA2412</f>
        <v/>
      </c>
      <c r="X2412" s="27">
        <f>((3*10+H2412/COS(RADIANS(E2412)))*(3+3)+3*G2412*H2412)*2</f>
        <v/>
      </c>
      <c r="Y2412" s="28">
        <f>Z2412/X2412</f>
        <v/>
      </c>
      <c r="Z2412" s="29" t="n">
        <v>654.07312976609</v>
      </c>
      <c r="AA2412" s="20" t="n">
        <v>96.9286466709957</v>
      </c>
      <c r="AB2412" t="n">
        <v>0.182639769467134</v>
      </c>
      <c r="AC2412" t="n">
        <v>95.88217824578108</v>
      </c>
      <c r="AD2412" t="n">
        <v>33.53507037630897</v>
      </c>
    </row>
    <row r="2413">
      <c r="A2413" t="n">
        <v>2412</v>
      </c>
      <c r="B2413" t="n">
        <v>61.4</v>
      </c>
      <c r="C2413" s="21">
        <f>B2413-20</f>
        <v/>
      </c>
      <c r="D2413" t="n">
        <v>113.1</v>
      </c>
      <c r="E2413" s="22">
        <f>D2413-90</f>
        <v/>
      </c>
      <c r="F2413" s="23" t="n">
        <v>0.017071</v>
      </c>
      <c r="G2413" s="22" t="n">
        <v>32.8</v>
      </c>
      <c r="H2413" s="22" t="n">
        <v>1.6</v>
      </c>
      <c r="I2413" s="24" t="n">
        <v>0.0898763388395309</v>
      </c>
      <c r="J2413" s="6" t="n">
        <v>71000</v>
      </c>
      <c r="K2413" s="25">
        <f>23*10^-6</f>
        <v/>
      </c>
      <c r="L2413" s="8">
        <f>H2413</f>
        <v/>
      </c>
      <c r="M2413" s="26">
        <f>H2413^2/6</f>
        <v/>
      </c>
      <c r="N2413" s="26">
        <f>H2413^3/12</f>
        <v/>
      </c>
      <c r="O2413" s="27">
        <f>-J2413*L2413*K2413*C2413</f>
        <v/>
      </c>
      <c r="P2413" s="28">
        <f>-(12*F2413*J2413*L2413*N2413+12*O2413*N2413*G2413*COS(RADIANS(E2413)))/(12*N2413*G2413*COS(RADIANS(E2413))^2+L2413*G2413^3*SIN(RADIANS(E2413))^2)</f>
        <v/>
      </c>
      <c r="Q2413" s="28">
        <f>-(6*F2413*J2413*L2413*N2413*SIN(RADIANS(E2413))+6*O2413*N2413*G2413*SIN(RADIANS(E2413))*COS(RADIANS(E2413)))/(12*N2413*COS(RADIANS(E2413))^2+L2413*G2413^2*SIN(RADIANS(E2413))^2)</f>
        <v/>
      </c>
      <c r="R2413" s="28">
        <f>-P2413*SIN(RADIANS(E2413))</f>
        <v/>
      </c>
      <c r="S2413" s="8">
        <f>(O2413+P2413*COS(RADIANS(E2413)))/L2413</f>
        <v/>
      </c>
      <c r="T2413" s="8">
        <f>R2413/L2413</f>
        <v/>
      </c>
      <c r="U2413" s="8">
        <f>(Q2413-P2413*G2413*SIN(RADIANS(E2413)))/M2413</f>
        <v/>
      </c>
      <c r="V2413" s="8">
        <f>SQRT((S2413+U2413)^2+3*T2413^2)</f>
        <v/>
      </c>
      <c r="W2413" s="8">
        <f>V2413/AA2413</f>
        <v/>
      </c>
      <c r="X2413" s="27">
        <f>((3*10+H2413/COS(RADIANS(E2413)))*(3+3)+3*G2413*H2413)*2</f>
        <v/>
      </c>
      <c r="Y2413" s="28">
        <f>Z2413/X2413</f>
        <v/>
      </c>
      <c r="Z2413" s="29" t="n">
        <v>701.279263615529</v>
      </c>
      <c r="AA2413" s="20" t="n">
        <v>63.2940789425876</v>
      </c>
      <c r="AB2413" t="n">
        <v>0.1179890583294895</v>
      </c>
      <c r="AC2413" t="n">
        <v>62.95562239369637</v>
      </c>
      <c r="AD2413" t="n">
        <v>31.279333195973</v>
      </c>
    </row>
    <row r="2414">
      <c r="A2414" t="n">
        <v>2413</v>
      </c>
      <c r="B2414" t="n">
        <v>58</v>
      </c>
      <c r="C2414" s="21">
        <f>B2414-20</f>
        <v/>
      </c>
      <c r="D2414" t="n">
        <v>102.7</v>
      </c>
      <c r="E2414" s="22">
        <f>D2414-90</f>
        <v/>
      </c>
      <c r="F2414" s="23" t="n">
        <v>0.013418</v>
      </c>
      <c r="G2414" s="22" t="n">
        <v>25.6</v>
      </c>
      <c r="H2414" s="22" t="n">
        <v>1.2</v>
      </c>
      <c r="I2414" s="24" t="n">
        <v>0.109649278223514</v>
      </c>
      <c r="J2414" s="6" t="n">
        <v>71000</v>
      </c>
      <c r="K2414" s="25">
        <f>23*10^-6</f>
        <v/>
      </c>
      <c r="L2414" s="8">
        <f>H2414</f>
        <v/>
      </c>
      <c r="M2414" s="26">
        <f>H2414^2/6</f>
        <v/>
      </c>
      <c r="N2414" s="26">
        <f>H2414^3/12</f>
        <v/>
      </c>
      <c r="O2414" s="27">
        <f>-J2414*L2414*K2414*C2414</f>
        <v/>
      </c>
      <c r="P2414" s="28">
        <f>-(12*F2414*J2414*L2414*N2414+12*O2414*N2414*G2414*COS(RADIANS(E2414)))/(12*N2414*G2414*COS(RADIANS(E2414))^2+L2414*G2414^3*SIN(RADIANS(E2414))^2)</f>
        <v/>
      </c>
      <c r="Q2414" s="28">
        <f>-(6*F2414*J2414*L2414*N2414*SIN(RADIANS(E2414))+6*O2414*N2414*G2414*SIN(RADIANS(E2414))*COS(RADIANS(E2414)))/(12*N2414*COS(RADIANS(E2414))^2+L2414*G2414^2*SIN(RADIANS(E2414))^2)</f>
        <v/>
      </c>
      <c r="R2414" s="28">
        <f>-P2414*SIN(RADIANS(E2414))</f>
        <v/>
      </c>
      <c r="S2414" s="8">
        <f>(O2414+P2414*COS(RADIANS(E2414)))/L2414</f>
        <v/>
      </c>
      <c r="T2414" s="8">
        <f>R2414/L2414</f>
        <v/>
      </c>
      <c r="U2414" s="8">
        <f>(Q2414-P2414*G2414*SIN(RADIANS(E2414)))/M2414</f>
        <v/>
      </c>
      <c r="V2414" s="8">
        <f>SQRT((S2414+U2414)^2+3*T2414^2)</f>
        <v/>
      </c>
      <c r="W2414" s="8">
        <f>V2414/AA2414</f>
        <v/>
      </c>
      <c r="X2414" s="27">
        <f>((3*10+H2414/COS(RADIANS(E2414)))*(3+3)+3*G2414*H2414)*2</f>
        <v/>
      </c>
      <c r="Y2414" s="28">
        <f>Z2414/X2414</f>
        <v/>
      </c>
      <c r="Z2414" s="29" t="n">
        <v>563.116663978633</v>
      </c>
      <c r="AA2414" s="20" t="n">
        <v>57.5037258117071</v>
      </c>
      <c r="AB2414" t="n">
        <v>0.1544973899250832</v>
      </c>
      <c r="AC2414" t="n">
        <v>61.98514682702211</v>
      </c>
      <c r="AD2414" t="n">
        <v>40.901419898222</v>
      </c>
    </row>
    <row r="2415">
      <c r="A2415" t="n">
        <v>2414</v>
      </c>
      <c r="B2415" t="n">
        <v>57.6</v>
      </c>
      <c r="C2415" s="21">
        <f>B2415-20</f>
        <v/>
      </c>
      <c r="D2415" t="n">
        <v>126.3</v>
      </c>
      <c r="E2415" s="22">
        <f>D2415-90</f>
        <v/>
      </c>
      <c r="F2415" s="23" t="n">
        <v>0.009757</v>
      </c>
      <c r="G2415" s="22" t="n">
        <v>20.8</v>
      </c>
      <c r="H2415" s="22" t="n">
        <v>1.9</v>
      </c>
      <c r="I2415" s="24" t="n">
        <v>0.0451042465865612</v>
      </c>
      <c r="J2415" s="6" t="n">
        <v>71000</v>
      </c>
      <c r="K2415" s="25">
        <f>23*10^-6</f>
        <v/>
      </c>
      <c r="L2415" s="8">
        <f>H2415</f>
        <v/>
      </c>
      <c r="M2415" s="26">
        <f>H2415^2/6</f>
        <v/>
      </c>
      <c r="N2415" s="26">
        <f>H2415^3/12</f>
        <v/>
      </c>
      <c r="O2415" s="27">
        <f>-J2415*L2415*K2415*C2415</f>
        <v/>
      </c>
      <c r="P2415" s="28">
        <f>-(12*F2415*J2415*L2415*N2415+12*O2415*N2415*G2415*COS(RADIANS(E2415)))/(12*N2415*G2415*COS(RADIANS(E2415))^2+L2415*G2415^3*SIN(RADIANS(E2415))^2)</f>
        <v/>
      </c>
      <c r="Q2415" s="28">
        <f>-(6*F2415*J2415*L2415*N2415*SIN(RADIANS(E2415))+6*O2415*N2415*G2415*SIN(RADIANS(E2415))*COS(RADIANS(E2415)))/(12*N2415*COS(RADIANS(E2415))^2+L2415*G2415^2*SIN(RADIANS(E2415))^2)</f>
        <v/>
      </c>
      <c r="R2415" s="28">
        <f>-P2415*SIN(RADIANS(E2415))</f>
        <v/>
      </c>
      <c r="S2415" s="8">
        <f>(O2415+P2415*COS(RADIANS(E2415)))/L2415</f>
        <v/>
      </c>
      <c r="T2415" s="8">
        <f>R2415/L2415</f>
        <v/>
      </c>
      <c r="U2415" s="8">
        <f>(Q2415-P2415*G2415*SIN(RADIANS(E2415)))/M2415</f>
        <v/>
      </c>
      <c r="V2415" s="8">
        <f>SQRT((S2415+U2415)^2+3*T2415^2)</f>
        <v/>
      </c>
      <c r="W2415" s="8">
        <f>V2415/AA2415</f>
        <v/>
      </c>
      <c r="X2415" s="27">
        <f>((3*10+H2415/COS(RADIANS(E2415)))*(3+3)+3*G2415*H2415)*2</f>
        <v/>
      </c>
      <c r="Y2415" s="28">
        <f>Z2415/X2415</f>
        <v/>
      </c>
      <c r="Z2415" s="29" t="n">
        <v>634.623312545821</v>
      </c>
      <c r="AA2415" s="20" t="n">
        <v>62.5683260254386</v>
      </c>
      <c r="AB2415" t="n">
        <v>0.04289298042829861</v>
      </c>
      <c r="AC2415" t="n">
        <v>56.31658015576416</v>
      </c>
      <c r="AD2415" t="n">
        <v>-4.902567553187864</v>
      </c>
    </row>
    <row r="2416">
      <c r="A2416" t="n">
        <v>2415</v>
      </c>
      <c r="B2416" t="n">
        <v>62.4</v>
      </c>
      <c r="C2416" s="21">
        <f>B2416-20</f>
        <v/>
      </c>
      <c r="D2416" t="n">
        <v>103.8</v>
      </c>
      <c r="E2416" s="22">
        <f>D2416-90</f>
        <v/>
      </c>
      <c r="F2416" s="23" t="n">
        <v>0.014964</v>
      </c>
      <c r="G2416" s="22" t="n">
        <v>25.7</v>
      </c>
      <c r="H2416" s="22" t="n">
        <v>2</v>
      </c>
      <c r="I2416" s="24" t="n">
        <v>0.110044002532958</v>
      </c>
      <c r="J2416" s="6" t="n">
        <v>71000</v>
      </c>
      <c r="K2416" s="25">
        <f>23*10^-6</f>
        <v/>
      </c>
      <c r="L2416" s="8">
        <f>H2416</f>
        <v/>
      </c>
      <c r="M2416" s="26">
        <f>H2416^2/6</f>
        <v/>
      </c>
      <c r="N2416" s="26">
        <f>H2416^3/12</f>
        <v/>
      </c>
      <c r="O2416" s="27">
        <f>-J2416*L2416*K2416*C2416</f>
        <v/>
      </c>
      <c r="P2416" s="28">
        <f>-(12*F2416*J2416*L2416*N2416+12*O2416*N2416*G2416*COS(RADIANS(E2416)))/(12*N2416*G2416*COS(RADIANS(E2416))^2+L2416*G2416^3*SIN(RADIANS(E2416))^2)</f>
        <v/>
      </c>
      <c r="Q2416" s="28">
        <f>-(6*F2416*J2416*L2416*N2416*SIN(RADIANS(E2416))+6*O2416*N2416*G2416*SIN(RADIANS(E2416))*COS(RADIANS(E2416)))/(12*N2416*COS(RADIANS(E2416))^2+L2416*G2416^2*SIN(RADIANS(E2416))^2)</f>
        <v/>
      </c>
      <c r="R2416" s="28">
        <f>-P2416*SIN(RADIANS(E2416))</f>
        <v/>
      </c>
      <c r="S2416" s="8">
        <f>(O2416+P2416*COS(RADIANS(E2416)))/L2416</f>
        <v/>
      </c>
      <c r="T2416" s="8">
        <f>R2416/L2416</f>
        <v/>
      </c>
      <c r="U2416" s="8">
        <f>(Q2416-P2416*G2416*SIN(RADIANS(E2416)))/M2416</f>
        <v/>
      </c>
      <c r="V2416" s="8">
        <f>SQRT((S2416+U2416)^2+3*T2416^2)</f>
        <v/>
      </c>
      <c r="W2416" s="8">
        <f>V2416/AA2416</f>
        <v/>
      </c>
      <c r="X2416" s="27">
        <f>((3*10+H2416/COS(RADIANS(E2416)))*(3+3)+3*G2416*H2416)*2</f>
        <v/>
      </c>
      <c r="Y2416" s="28">
        <f>Z2416/X2416</f>
        <v/>
      </c>
      <c r="Z2416" s="29" t="n">
        <v>697.2603677811441</v>
      </c>
      <c r="AA2416" s="20" t="n">
        <v>78.4368834506861</v>
      </c>
      <c r="AB2416" t="n">
        <v>0.1505141352566817</v>
      </c>
      <c r="AC2416" t="n">
        <v>73.90010069064644</v>
      </c>
      <c r="AD2416" t="n">
        <v>36.7763183746456</v>
      </c>
    </row>
    <row r="2417">
      <c r="A2417" t="n">
        <v>2416</v>
      </c>
      <c r="B2417" t="n">
        <v>87.7</v>
      </c>
      <c r="C2417" s="21">
        <f>B2417-20</f>
        <v/>
      </c>
      <c r="D2417" t="n">
        <v>106.8</v>
      </c>
      <c r="E2417" s="22">
        <f>D2417-90</f>
        <v/>
      </c>
      <c r="F2417" s="23" t="n">
        <v>0.022584</v>
      </c>
      <c r="G2417" s="22" t="n">
        <v>24.3</v>
      </c>
      <c r="H2417" s="22" t="n">
        <v>1.9</v>
      </c>
      <c r="I2417" s="24" t="n">
        <v>0.148110449314117</v>
      </c>
      <c r="J2417" s="6" t="n">
        <v>71000</v>
      </c>
      <c r="K2417" s="25">
        <f>23*10^-6</f>
        <v/>
      </c>
      <c r="L2417" s="8">
        <f>H2417</f>
        <v/>
      </c>
      <c r="M2417" s="26">
        <f>H2417^2/6</f>
        <v/>
      </c>
      <c r="N2417" s="26">
        <f>H2417^3/12</f>
        <v/>
      </c>
      <c r="O2417" s="27">
        <f>-J2417*L2417*K2417*C2417</f>
        <v/>
      </c>
      <c r="P2417" s="28">
        <f>-(12*F2417*J2417*L2417*N2417+12*O2417*N2417*G2417*COS(RADIANS(E2417)))/(12*N2417*G2417*COS(RADIANS(E2417))^2+L2417*G2417^3*SIN(RADIANS(E2417))^2)</f>
        <v/>
      </c>
      <c r="Q2417" s="28">
        <f>-(6*F2417*J2417*L2417*N2417*SIN(RADIANS(E2417))+6*O2417*N2417*G2417*SIN(RADIANS(E2417))*COS(RADIANS(E2417)))/(12*N2417*COS(RADIANS(E2417))^2+L2417*G2417^2*SIN(RADIANS(E2417))^2)</f>
        <v/>
      </c>
      <c r="R2417" s="28">
        <f>-P2417*SIN(RADIANS(E2417))</f>
        <v/>
      </c>
      <c r="S2417" s="8">
        <f>(O2417+P2417*COS(RADIANS(E2417)))/L2417</f>
        <v/>
      </c>
      <c r="T2417" s="8">
        <f>R2417/L2417</f>
        <v/>
      </c>
      <c r="U2417" s="8">
        <f>(Q2417-P2417*G2417*SIN(RADIANS(E2417)))/M2417</f>
        <v/>
      </c>
      <c r="V2417" s="8">
        <f>SQRT((S2417+U2417)^2+3*T2417^2)</f>
        <v/>
      </c>
      <c r="W2417" s="8">
        <f>V2417/AA2417</f>
        <v/>
      </c>
      <c r="X2417" s="27">
        <f>((3*10+H2417/COS(RADIANS(E2417)))*(3+3)+3*G2417*H2417)*2</f>
        <v/>
      </c>
      <c r="Y2417" s="28">
        <f>Z2417/X2417</f>
        <v/>
      </c>
      <c r="Z2417" s="29" t="n">
        <v>665.340129786655</v>
      </c>
      <c r="AA2417" s="20" t="n">
        <v>119.08418703692</v>
      </c>
      <c r="AB2417" t="n">
        <v>0.192356423911855</v>
      </c>
      <c r="AC2417" t="n">
        <v>113.7098019178561</v>
      </c>
      <c r="AD2417" t="n">
        <v>29.87363471155223</v>
      </c>
    </row>
    <row r="2418">
      <c r="A2418" t="n">
        <v>2417</v>
      </c>
      <c r="B2418" t="n">
        <v>57.8</v>
      </c>
      <c r="C2418" s="21">
        <f>B2418-20</f>
        <v/>
      </c>
      <c r="D2418" t="n">
        <v>125.7</v>
      </c>
      <c r="E2418" s="22">
        <f>D2418-90</f>
        <v/>
      </c>
      <c r="F2418" s="23" t="n">
        <v>0.010039</v>
      </c>
      <c r="G2418" s="22" t="n">
        <v>21.3</v>
      </c>
      <c r="H2418" s="22" t="n">
        <v>1.5</v>
      </c>
      <c r="I2418" s="24" t="n">
        <v>0.0464147366583347</v>
      </c>
      <c r="J2418" s="6" t="n">
        <v>71000</v>
      </c>
      <c r="K2418" s="25">
        <f>23*10^-6</f>
        <v/>
      </c>
      <c r="L2418" s="8">
        <f>H2418</f>
        <v/>
      </c>
      <c r="M2418" s="26">
        <f>H2418^2/6</f>
        <v/>
      </c>
      <c r="N2418" s="26">
        <f>H2418^3/12</f>
        <v/>
      </c>
      <c r="O2418" s="27">
        <f>-J2418*L2418*K2418*C2418</f>
        <v/>
      </c>
      <c r="P2418" s="28">
        <f>-(12*F2418*J2418*L2418*N2418+12*O2418*N2418*G2418*COS(RADIANS(E2418)))/(12*N2418*G2418*COS(RADIANS(E2418))^2+L2418*G2418^3*SIN(RADIANS(E2418))^2)</f>
        <v/>
      </c>
      <c r="Q2418" s="28">
        <f>-(6*F2418*J2418*L2418*N2418*SIN(RADIANS(E2418))+6*O2418*N2418*G2418*SIN(RADIANS(E2418))*COS(RADIANS(E2418)))/(12*N2418*COS(RADIANS(E2418))^2+L2418*G2418^2*SIN(RADIANS(E2418))^2)</f>
        <v/>
      </c>
      <c r="R2418" s="28">
        <f>-P2418*SIN(RADIANS(E2418))</f>
        <v/>
      </c>
      <c r="S2418" s="8">
        <f>(O2418+P2418*COS(RADIANS(E2418)))/L2418</f>
        <v/>
      </c>
      <c r="T2418" s="8">
        <f>R2418/L2418</f>
        <v/>
      </c>
      <c r="U2418" s="8">
        <f>(Q2418-P2418*G2418*SIN(RADIANS(E2418)))/M2418</f>
        <v/>
      </c>
      <c r="V2418" s="8">
        <f>SQRT((S2418+U2418)^2+3*T2418^2)</f>
        <v/>
      </c>
      <c r="W2418" s="8">
        <f>V2418/AA2418</f>
        <v/>
      </c>
      <c r="X2418" s="27">
        <f>((3*10+H2418/COS(RADIANS(E2418)))*(3+3)+3*G2418*H2418)*2</f>
        <v/>
      </c>
      <c r="Y2418" s="28">
        <f>Z2418/X2418</f>
        <v/>
      </c>
      <c r="Z2418" s="29" t="n">
        <v>582.852447227879</v>
      </c>
      <c r="AA2418" s="20" t="n">
        <v>58.0399951831229</v>
      </c>
      <c r="AB2418" t="n">
        <v>0.04520194794199894</v>
      </c>
      <c r="AC2418" t="n">
        <v>55.52454570109865</v>
      </c>
      <c r="AD2418" t="n">
        <v>-2.612938914774546</v>
      </c>
    </row>
    <row r="2419">
      <c r="A2419" t="n">
        <v>2418</v>
      </c>
      <c r="B2419" t="n">
        <v>46.3</v>
      </c>
      <c r="C2419" s="21">
        <f>B2419-20</f>
        <v/>
      </c>
      <c r="D2419" t="n">
        <v>113</v>
      </c>
      <c r="E2419" s="22">
        <f>D2419-90</f>
        <v/>
      </c>
      <c r="F2419" s="23" t="n">
        <v>0.007374</v>
      </c>
      <c r="G2419" s="22" t="n">
        <v>20.2</v>
      </c>
      <c r="H2419" s="22" t="n">
        <v>1.3</v>
      </c>
      <c r="I2419" s="24" t="n">
        <v>0.0416006334125995</v>
      </c>
      <c r="J2419" s="6" t="n">
        <v>71000</v>
      </c>
      <c r="K2419" s="25">
        <f>23*10^-6</f>
        <v/>
      </c>
      <c r="L2419" s="8">
        <f>H2419</f>
        <v/>
      </c>
      <c r="M2419" s="26">
        <f>H2419^2/6</f>
        <v/>
      </c>
      <c r="N2419" s="26">
        <f>H2419^3/12</f>
        <v/>
      </c>
      <c r="O2419" s="27">
        <f>-J2419*L2419*K2419*C2419</f>
        <v/>
      </c>
      <c r="P2419" s="28">
        <f>-(12*F2419*J2419*L2419*N2419+12*O2419*N2419*G2419*COS(RADIANS(E2419)))/(12*N2419*G2419*COS(RADIANS(E2419))^2+L2419*G2419^3*SIN(RADIANS(E2419))^2)</f>
        <v/>
      </c>
      <c r="Q2419" s="28">
        <f>-(6*F2419*J2419*L2419*N2419*SIN(RADIANS(E2419))+6*O2419*N2419*G2419*SIN(RADIANS(E2419))*COS(RADIANS(E2419)))/(12*N2419*COS(RADIANS(E2419))^2+L2419*G2419^2*SIN(RADIANS(E2419))^2)</f>
        <v/>
      </c>
      <c r="R2419" s="28">
        <f>-P2419*SIN(RADIANS(E2419))</f>
        <v/>
      </c>
      <c r="S2419" s="8">
        <f>(O2419+P2419*COS(RADIANS(E2419)))/L2419</f>
        <v/>
      </c>
      <c r="T2419" s="8">
        <f>R2419/L2419</f>
        <v/>
      </c>
      <c r="U2419" s="8">
        <f>(Q2419-P2419*G2419*SIN(RADIANS(E2419)))/M2419</f>
        <v/>
      </c>
      <c r="V2419" s="8">
        <f>SQRT((S2419+U2419)^2+3*T2419^2)</f>
        <v/>
      </c>
      <c r="W2419" s="8">
        <f>V2419/AA2419</f>
        <v/>
      </c>
      <c r="X2419" s="27">
        <f>((3*10+H2419/COS(RADIANS(E2419)))*(3+3)+3*G2419*H2419)*2</f>
        <v/>
      </c>
      <c r="Y2419" s="28">
        <f>Z2419/X2419</f>
        <v/>
      </c>
      <c r="Z2419" s="29" t="n">
        <v>540.01350033089</v>
      </c>
      <c r="AA2419" s="20" t="n">
        <v>40.0415294594495</v>
      </c>
      <c r="AB2419" t="n">
        <v>0.0474803781134225</v>
      </c>
      <c r="AC2419" t="n">
        <v>40.46046244453743</v>
      </c>
      <c r="AD2419" t="n">
        <v>14.13378647990061</v>
      </c>
    </row>
    <row r="2420">
      <c r="A2420" t="n">
        <v>2419</v>
      </c>
      <c r="B2420" t="n">
        <v>45.3</v>
      </c>
      <c r="C2420" s="21">
        <f>B2420-20</f>
        <v/>
      </c>
      <c r="D2420" t="n">
        <v>129.9</v>
      </c>
      <c r="E2420" s="22">
        <f>D2420-90</f>
        <v/>
      </c>
      <c r="F2420" s="23" t="n">
        <v>0.00693</v>
      </c>
      <c r="G2420" s="22" t="n">
        <v>23.5</v>
      </c>
      <c r="H2420" s="22" t="n">
        <v>1.8</v>
      </c>
      <c r="I2420" s="24" t="n">
        <v>0.0308793168514967</v>
      </c>
      <c r="J2420" s="6" t="n">
        <v>71000</v>
      </c>
      <c r="K2420" s="25">
        <f>23*10^-6</f>
        <v/>
      </c>
      <c r="L2420" s="8">
        <f>H2420</f>
        <v/>
      </c>
      <c r="M2420" s="26">
        <f>H2420^2/6</f>
        <v/>
      </c>
      <c r="N2420" s="26">
        <f>H2420^3/12</f>
        <v/>
      </c>
      <c r="O2420" s="27">
        <f>-J2420*L2420*K2420*C2420</f>
        <v/>
      </c>
      <c r="P2420" s="28">
        <f>-(12*F2420*J2420*L2420*N2420+12*O2420*N2420*G2420*COS(RADIANS(E2420)))/(12*N2420*G2420*COS(RADIANS(E2420))^2+L2420*G2420^3*SIN(RADIANS(E2420))^2)</f>
        <v/>
      </c>
      <c r="Q2420" s="28">
        <f>-(6*F2420*J2420*L2420*N2420*SIN(RADIANS(E2420))+6*O2420*N2420*G2420*SIN(RADIANS(E2420))*COS(RADIANS(E2420)))/(12*N2420*COS(RADIANS(E2420))^2+L2420*G2420^2*SIN(RADIANS(E2420))^2)</f>
        <v/>
      </c>
      <c r="R2420" s="28">
        <f>-P2420*SIN(RADIANS(E2420))</f>
        <v/>
      </c>
      <c r="S2420" s="8">
        <f>(O2420+P2420*COS(RADIANS(E2420)))/L2420</f>
        <v/>
      </c>
      <c r="T2420" s="8">
        <f>R2420/L2420</f>
        <v/>
      </c>
      <c r="U2420" s="8">
        <f>(Q2420-P2420*G2420*SIN(RADIANS(E2420)))/M2420</f>
        <v/>
      </c>
      <c r="V2420" s="8">
        <f>SQRT((S2420+U2420)^2+3*T2420^2)</f>
        <v/>
      </c>
      <c r="W2420" s="8">
        <f>V2420/AA2420</f>
        <v/>
      </c>
      <c r="X2420" s="27">
        <f>((3*10+H2420/COS(RADIANS(E2420)))*(3+3)+3*G2420*H2420)*2</f>
        <v/>
      </c>
      <c r="Y2420" s="28">
        <f>Z2420/X2420</f>
        <v/>
      </c>
      <c r="Z2420" s="29" t="n">
        <v>652.673242736298</v>
      </c>
      <c r="AA2420" s="20" t="n">
        <v>39.6797153641322</v>
      </c>
      <c r="AB2420" t="n">
        <v>0.02931224402247005</v>
      </c>
      <c r="AC2420" t="n">
        <v>37.02833804003772</v>
      </c>
      <c r="AD2420" t="n">
        <v>-5.07482997944204</v>
      </c>
    </row>
    <row r="2421">
      <c r="A2421" t="n">
        <v>2420</v>
      </c>
      <c r="B2421" t="n">
        <v>46.9</v>
      </c>
      <c r="C2421" s="21">
        <f>B2421-20</f>
        <v/>
      </c>
      <c r="D2421" t="n">
        <v>117.1</v>
      </c>
      <c r="E2421" s="22">
        <f>D2421-90</f>
        <v/>
      </c>
      <c r="F2421" s="23" t="n">
        <v>0.007327</v>
      </c>
      <c r="G2421" s="22" t="n">
        <v>20.1</v>
      </c>
      <c r="H2421" s="22" t="n">
        <v>1.4</v>
      </c>
      <c r="I2421" s="24" t="n">
        <v>0.037970021367073</v>
      </c>
      <c r="J2421" s="6" t="n">
        <v>71000</v>
      </c>
      <c r="K2421" s="25">
        <f>23*10^-6</f>
        <v/>
      </c>
      <c r="L2421" s="8">
        <f>H2421</f>
        <v/>
      </c>
      <c r="M2421" s="26">
        <f>H2421^2/6</f>
        <v/>
      </c>
      <c r="N2421" s="26">
        <f>H2421^3/12</f>
        <v/>
      </c>
      <c r="O2421" s="27">
        <f>-J2421*L2421*K2421*C2421</f>
        <v/>
      </c>
      <c r="P2421" s="28">
        <f>-(12*F2421*J2421*L2421*N2421+12*O2421*N2421*G2421*COS(RADIANS(E2421)))/(12*N2421*G2421*COS(RADIANS(E2421))^2+L2421*G2421^3*SIN(RADIANS(E2421))^2)</f>
        <v/>
      </c>
      <c r="Q2421" s="28">
        <f>-(6*F2421*J2421*L2421*N2421*SIN(RADIANS(E2421))+6*O2421*N2421*G2421*SIN(RADIANS(E2421))*COS(RADIANS(E2421)))/(12*N2421*COS(RADIANS(E2421))^2+L2421*G2421^2*SIN(RADIANS(E2421))^2)</f>
        <v/>
      </c>
      <c r="R2421" s="28">
        <f>-P2421*SIN(RADIANS(E2421))</f>
        <v/>
      </c>
      <c r="S2421" s="8">
        <f>(O2421+P2421*COS(RADIANS(E2421)))/L2421</f>
        <v/>
      </c>
      <c r="T2421" s="8">
        <f>R2421/L2421</f>
        <v/>
      </c>
      <c r="U2421" s="8">
        <f>(Q2421-P2421*G2421*SIN(RADIANS(E2421)))/M2421</f>
        <v/>
      </c>
      <c r="V2421" s="8">
        <f>SQRT((S2421+U2421)^2+3*T2421^2)</f>
        <v/>
      </c>
      <c r="W2421" s="8">
        <f>V2421/AA2421</f>
        <v/>
      </c>
      <c r="X2421" s="27">
        <f>((3*10+H2421/COS(RADIANS(E2421)))*(3+3)+3*G2421*H2421)*2</f>
        <v/>
      </c>
      <c r="Y2421" s="28">
        <f>Z2421/X2421</f>
        <v/>
      </c>
      <c r="Z2421" s="29" t="n">
        <v>554.105367357352</v>
      </c>
      <c r="AA2421" s="20" t="n">
        <v>41.1627796071356</v>
      </c>
      <c r="AB2421" t="n">
        <v>0.0407921303511362</v>
      </c>
      <c r="AC2421" t="n">
        <v>40.8061465565555</v>
      </c>
      <c r="AD2421" t="n">
        <v>7.432466146859984</v>
      </c>
    </row>
    <row r="2422">
      <c r="A2422" t="n">
        <v>2421</v>
      </c>
      <c r="B2422" t="n">
        <v>75.40000000000001</v>
      </c>
      <c r="C2422" s="21">
        <f>B2422-20</f>
        <v/>
      </c>
      <c r="D2422" t="n">
        <v>119</v>
      </c>
      <c r="E2422" s="22">
        <f>D2422-90</f>
        <v/>
      </c>
      <c r="F2422" s="23" t="n">
        <v>0.022294</v>
      </c>
      <c r="G2422" s="22" t="n">
        <v>33.5</v>
      </c>
      <c r="H2422" s="22" t="n">
        <v>1.9</v>
      </c>
      <c r="I2422" s="24" t="n">
        <v>0.103878058493137</v>
      </c>
      <c r="J2422" s="6" t="n">
        <v>71000</v>
      </c>
      <c r="K2422" s="25">
        <f>23*10^-6</f>
        <v/>
      </c>
      <c r="L2422" s="8">
        <f>H2422</f>
        <v/>
      </c>
      <c r="M2422" s="26">
        <f>H2422^2/6</f>
        <v/>
      </c>
      <c r="N2422" s="26">
        <f>H2422^3/12</f>
        <v/>
      </c>
      <c r="O2422" s="27">
        <f>-J2422*L2422*K2422*C2422</f>
        <v/>
      </c>
      <c r="P2422" s="28">
        <f>-(12*F2422*J2422*L2422*N2422+12*O2422*N2422*G2422*COS(RADIANS(E2422)))/(12*N2422*G2422*COS(RADIANS(E2422))^2+L2422*G2422^3*SIN(RADIANS(E2422))^2)</f>
        <v/>
      </c>
      <c r="Q2422" s="28">
        <f>-(6*F2422*J2422*L2422*N2422*SIN(RADIANS(E2422))+6*O2422*N2422*G2422*SIN(RADIANS(E2422))*COS(RADIANS(E2422)))/(12*N2422*COS(RADIANS(E2422))^2+L2422*G2422^2*SIN(RADIANS(E2422))^2)</f>
        <v/>
      </c>
      <c r="R2422" s="28">
        <f>-P2422*SIN(RADIANS(E2422))</f>
        <v/>
      </c>
      <c r="S2422" s="8">
        <f>(O2422+P2422*COS(RADIANS(E2422)))/L2422</f>
        <v/>
      </c>
      <c r="T2422" s="8">
        <f>R2422/L2422</f>
        <v/>
      </c>
      <c r="U2422" s="8">
        <f>(Q2422-P2422*G2422*SIN(RADIANS(E2422)))/M2422</f>
        <v/>
      </c>
      <c r="V2422" s="8">
        <f>SQRT((S2422+U2422)^2+3*T2422^2)</f>
        <v/>
      </c>
      <c r="W2422" s="8">
        <f>V2422/AA2422</f>
        <v/>
      </c>
      <c r="X2422" s="27">
        <f>((3*10+H2422/COS(RADIANS(E2422)))*(3+3)+3*G2422*H2422)*2</f>
        <v/>
      </c>
      <c r="Y2422" s="28">
        <f>Z2422/X2422</f>
        <v/>
      </c>
      <c r="Z2422" s="29" t="n">
        <v>774.8425997621119</v>
      </c>
      <c r="AA2422" s="20" t="n">
        <v>88.3549252506113</v>
      </c>
      <c r="AB2422" t="n">
        <v>0.1268086429970631</v>
      </c>
      <c r="AC2422" t="n">
        <v>83.20472228212999</v>
      </c>
      <c r="AD2422" t="n">
        <v>22.07452164254791</v>
      </c>
    </row>
    <row r="2423">
      <c r="A2423" t="n">
        <v>2422</v>
      </c>
      <c r="B2423" t="n">
        <v>86.59999999999999</v>
      </c>
      <c r="C2423" s="21">
        <f>B2423-20</f>
        <v/>
      </c>
      <c r="D2423" t="n">
        <v>104.9</v>
      </c>
      <c r="E2423" s="22">
        <f>D2423-90</f>
        <v/>
      </c>
      <c r="F2423" s="23" t="n">
        <v>0.025393</v>
      </c>
      <c r="G2423" s="22" t="n">
        <v>28.4</v>
      </c>
      <c r="H2423" s="22" t="n">
        <v>1.1</v>
      </c>
      <c r="I2423" s="24" t="n">
        <v>0.183753997087478</v>
      </c>
      <c r="J2423" s="6" t="n">
        <v>71000</v>
      </c>
      <c r="K2423" s="25">
        <f>23*10^-6</f>
        <v/>
      </c>
      <c r="L2423" s="8">
        <f>H2423</f>
        <v/>
      </c>
      <c r="M2423" s="26">
        <f>H2423^2/6</f>
        <v/>
      </c>
      <c r="N2423" s="26">
        <f>H2423^3/12</f>
        <v/>
      </c>
      <c r="O2423" s="27">
        <f>-J2423*L2423*K2423*C2423</f>
        <v/>
      </c>
      <c r="P2423" s="28">
        <f>-(12*F2423*J2423*L2423*N2423+12*O2423*N2423*G2423*COS(RADIANS(E2423)))/(12*N2423*G2423*COS(RADIANS(E2423))^2+L2423*G2423^3*SIN(RADIANS(E2423))^2)</f>
        <v/>
      </c>
      <c r="Q2423" s="28">
        <f>-(6*F2423*J2423*L2423*N2423*SIN(RADIANS(E2423))+6*O2423*N2423*G2423*SIN(RADIANS(E2423))*COS(RADIANS(E2423)))/(12*N2423*COS(RADIANS(E2423))^2+L2423*G2423^2*SIN(RADIANS(E2423))^2)</f>
        <v/>
      </c>
      <c r="R2423" s="28">
        <f>-P2423*SIN(RADIANS(E2423))</f>
        <v/>
      </c>
      <c r="S2423" s="8">
        <f>(O2423+P2423*COS(RADIANS(E2423)))/L2423</f>
        <v/>
      </c>
      <c r="T2423" s="8">
        <f>R2423/L2423</f>
        <v/>
      </c>
      <c r="U2423" s="8">
        <f>(Q2423-P2423*G2423*SIN(RADIANS(E2423)))/M2423</f>
        <v/>
      </c>
      <c r="V2423" s="8">
        <f>SQRT((S2423+U2423)^2+3*T2423^2)</f>
        <v/>
      </c>
      <c r="W2423" s="8">
        <f>V2423/AA2423</f>
        <v/>
      </c>
      <c r="X2423" s="27">
        <f>((3*10+H2423/COS(RADIANS(E2423)))*(3+3)+3*G2423*H2423)*2</f>
        <v/>
      </c>
      <c r="Y2423" s="28">
        <f>Z2423/X2423</f>
        <v/>
      </c>
      <c r="Z2423" s="29" t="n">
        <v>565.367959694526</v>
      </c>
      <c r="AA2423" s="20" t="n">
        <v>95.94403419326321</v>
      </c>
      <c r="AB2423" t="n">
        <v>0.2589876848343791</v>
      </c>
      <c r="AC2423" t="n">
        <v>103.865214916747</v>
      </c>
      <c r="AD2423" t="n">
        <v>40.94261291692353</v>
      </c>
    </row>
    <row r="2424">
      <c r="A2424" t="n">
        <v>2423</v>
      </c>
      <c r="B2424" t="n">
        <v>66.5</v>
      </c>
      <c r="C2424" s="21">
        <f>B2424-20</f>
        <v/>
      </c>
      <c r="D2424" t="n">
        <v>116.6</v>
      </c>
      <c r="E2424" s="22">
        <f>D2424-90</f>
        <v/>
      </c>
      <c r="F2424" s="23" t="n">
        <v>0.016263</v>
      </c>
      <c r="G2424" s="22" t="n">
        <v>27.6</v>
      </c>
      <c r="H2424" s="22" t="n">
        <v>1.2</v>
      </c>
      <c r="I2424" s="24" t="n">
        <v>0.0811286717653274</v>
      </c>
      <c r="J2424" s="6" t="n">
        <v>71000</v>
      </c>
      <c r="K2424" s="25">
        <f>23*10^-6</f>
        <v/>
      </c>
      <c r="L2424" s="8">
        <f>H2424</f>
        <v/>
      </c>
      <c r="M2424" s="26">
        <f>H2424^2/6</f>
        <v/>
      </c>
      <c r="N2424" s="26">
        <f>H2424^3/12</f>
        <v/>
      </c>
      <c r="O2424" s="27">
        <f>-J2424*L2424*K2424*C2424</f>
        <v/>
      </c>
      <c r="P2424" s="28">
        <f>-(12*F2424*J2424*L2424*N2424+12*O2424*N2424*G2424*COS(RADIANS(E2424)))/(12*N2424*G2424*COS(RADIANS(E2424))^2+L2424*G2424^3*SIN(RADIANS(E2424))^2)</f>
        <v/>
      </c>
      <c r="Q2424" s="28">
        <f>-(6*F2424*J2424*L2424*N2424*SIN(RADIANS(E2424))+6*O2424*N2424*G2424*SIN(RADIANS(E2424))*COS(RADIANS(E2424)))/(12*N2424*COS(RADIANS(E2424))^2+L2424*G2424^2*SIN(RADIANS(E2424))^2)</f>
        <v/>
      </c>
      <c r="R2424" s="28">
        <f>-P2424*SIN(RADIANS(E2424))</f>
        <v/>
      </c>
      <c r="S2424" s="8">
        <f>(O2424+P2424*COS(RADIANS(E2424)))/L2424</f>
        <v/>
      </c>
      <c r="T2424" s="8">
        <f>R2424/L2424</f>
        <v/>
      </c>
      <c r="U2424" s="8">
        <f>(Q2424-P2424*G2424*SIN(RADIANS(E2424)))/M2424</f>
        <v/>
      </c>
      <c r="V2424" s="8">
        <f>SQRT((S2424+U2424)^2+3*T2424^2)</f>
        <v/>
      </c>
      <c r="W2424" s="8">
        <f>V2424/AA2424</f>
        <v/>
      </c>
      <c r="X2424" s="27">
        <f>((3*10+H2424/COS(RADIANS(E2424)))*(3+3)+3*G2424*H2424)*2</f>
        <v/>
      </c>
      <c r="Y2424" s="28">
        <f>Z2424/X2424</f>
        <v/>
      </c>
      <c r="Z2424" s="29" t="n">
        <v>581.099240352867</v>
      </c>
      <c r="AA2424" s="20" t="n">
        <v>66.12983573185539</v>
      </c>
      <c r="AB2424" t="n">
        <v>0.09760309897394974</v>
      </c>
      <c r="AC2424" t="n">
        <v>68.47348541945973</v>
      </c>
      <c r="AD2424" t="n">
        <v>20.30654126358217</v>
      </c>
    </row>
    <row r="2425">
      <c r="A2425" t="n">
        <v>2424</v>
      </c>
      <c r="B2425" t="n">
        <v>65</v>
      </c>
      <c r="C2425" s="21">
        <f>B2425-20</f>
        <v/>
      </c>
      <c r="D2425" t="n">
        <v>119.7</v>
      </c>
      <c r="E2425" s="22">
        <f>D2425-90</f>
        <v/>
      </c>
      <c r="F2425" s="23" t="n">
        <v>0.015199</v>
      </c>
      <c r="G2425" s="22" t="n">
        <v>27.2</v>
      </c>
      <c r="H2425" s="22" t="n">
        <v>1.7</v>
      </c>
      <c r="I2425" s="24" t="n">
        <v>0.0721590146422386</v>
      </c>
      <c r="J2425" s="6" t="n">
        <v>71000</v>
      </c>
      <c r="K2425" s="25">
        <f>23*10^-6</f>
        <v/>
      </c>
      <c r="L2425" s="8">
        <f>H2425</f>
        <v/>
      </c>
      <c r="M2425" s="26">
        <f>H2425^2/6</f>
        <v/>
      </c>
      <c r="N2425" s="26">
        <f>H2425^3/12</f>
        <v/>
      </c>
      <c r="O2425" s="27">
        <f>-J2425*L2425*K2425*C2425</f>
        <v/>
      </c>
      <c r="P2425" s="28">
        <f>-(12*F2425*J2425*L2425*N2425+12*O2425*N2425*G2425*COS(RADIANS(E2425)))/(12*N2425*G2425*COS(RADIANS(E2425))^2+L2425*G2425^3*SIN(RADIANS(E2425))^2)</f>
        <v/>
      </c>
      <c r="Q2425" s="28">
        <f>-(6*F2425*J2425*L2425*N2425*SIN(RADIANS(E2425))+6*O2425*N2425*G2425*SIN(RADIANS(E2425))*COS(RADIANS(E2425)))/(12*N2425*COS(RADIANS(E2425))^2+L2425*G2425^2*SIN(RADIANS(E2425))^2)</f>
        <v/>
      </c>
      <c r="R2425" s="28">
        <f>-P2425*SIN(RADIANS(E2425))</f>
        <v/>
      </c>
      <c r="S2425" s="8">
        <f>(O2425+P2425*COS(RADIANS(E2425)))/L2425</f>
        <v/>
      </c>
      <c r="T2425" s="8">
        <f>R2425/L2425</f>
        <v/>
      </c>
      <c r="U2425" s="8">
        <f>(Q2425-P2425*G2425*SIN(RADIANS(E2425)))/M2425</f>
        <v/>
      </c>
      <c r="V2425" s="8">
        <f>SQRT((S2425+U2425)^2+3*T2425^2)</f>
        <v/>
      </c>
      <c r="W2425" s="8">
        <f>V2425/AA2425</f>
        <v/>
      </c>
      <c r="X2425" s="27">
        <f>((3*10+H2425/COS(RADIANS(E2425)))*(3+3)+3*G2425*H2425)*2</f>
        <v/>
      </c>
      <c r="Y2425" s="28">
        <f>Z2425/X2425</f>
        <v/>
      </c>
      <c r="Z2425" s="29" t="n">
        <v>667.988514422613</v>
      </c>
      <c r="AA2425" s="20" t="n">
        <v>70.14108095265961</v>
      </c>
      <c r="AB2425" t="n">
        <v>0.08237285409523259</v>
      </c>
      <c r="AC2425" t="n">
        <v>67.59999526765787</v>
      </c>
      <c r="AD2425" t="n">
        <v>14.15462711573015</v>
      </c>
    </row>
    <row r="2426">
      <c r="A2426" t="n">
        <v>2425</v>
      </c>
      <c r="B2426" t="n">
        <v>50.4</v>
      </c>
      <c r="C2426" s="21">
        <f>B2426-20</f>
        <v/>
      </c>
      <c r="D2426" t="n">
        <v>102</v>
      </c>
      <c r="E2426" s="22">
        <f>D2426-90</f>
        <v/>
      </c>
      <c r="F2426" s="23" t="n">
        <v>0.013063</v>
      </c>
      <c r="G2426" s="22" t="n">
        <v>32.4</v>
      </c>
      <c r="H2426" s="22" t="n">
        <v>1.4</v>
      </c>
      <c r="I2426" s="24" t="n">
        <v>0.109164714813232</v>
      </c>
      <c r="J2426" s="6" t="n">
        <v>71000</v>
      </c>
      <c r="K2426" s="25">
        <f>23*10^-6</f>
        <v/>
      </c>
      <c r="L2426" s="8">
        <f>H2426</f>
        <v/>
      </c>
      <c r="M2426" s="26">
        <f>H2426^2/6</f>
        <v/>
      </c>
      <c r="N2426" s="26">
        <f>H2426^3/12</f>
        <v/>
      </c>
      <c r="O2426" s="27">
        <f>-J2426*L2426*K2426*C2426</f>
        <v/>
      </c>
      <c r="P2426" s="28">
        <f>-(12*F2426*J2426*L2426*N2426+12*O2426*N2426*G2426*COS(RADIANS(E2426)))/(12*N2426*G2426*COS(RADIANS(E2426))^2+L2426*G2426^3*SIN(RADIANS(E2426))^2)</f>
        <v/>
      </c>
      <c r="Q2426" s="28">
        <f>-(6*F2426*J2426*L2426*N2426*SIN(RADIANS(E2426))+6*O2426*N2426*G2426*SIN(RADIANS(E2426))*COS(RADIANS(E2426)))/(12*N2426*COS(RADIANS(E2426))^2+L2426*G2426^2*SIN(RADIANS(E2426))^2)</f>
        <v/>
      </c>
      <c r="R2426" s="28">
        <f>-P2426*SIN(RADIANS(E2426))</f>
        <v/>
      </c>
      <c r="S2426" s="8">
        <f>(O2426+P2426*COS(RADIANS(E2426)))/L2426</f>
        <v/>
      </c>
      <c r="T2426" s="8">
        <f>R2426/L2426</f>
        <v/>
      </c>
      <c r="U2426" s="8">
        <f>(Q2426-P2426*G2426*SIN(RADIANS(E2426)))/M2426</f>
        <v/>
      </c>
      <c r="V2426" s="8">
        <f>SQRT((S2426+U2426)^2+3*T2426^2)</f>
        <v/>
      </c>
      <c r="W2426" s="8">
        <f>V2426/AA2426</f>
        <v/>
      </c>
      <c r="X2426" s="27">
        <f>((3*10+H2426/COS(RADIANS(E2426)))*(3+3)+3*G2426*H2426)*2</f>
        <v/>
      </c>
      <c r="Y2426" s="28">
        <f>Z2426/X2426</f>
        <v/>
      </c>
      <c r="Z2426" s="29" t="n">
        <v>653.305125656134</v>
      </c>
      <c r="AA2426" s="20" t="n">
        <v>47.7183387793029</v>
      </c>
      <c r="AB2426" t="n">
        <v>0.1635413426915722</v>
      </c>
      <c r="AC2426" t="n">
        <v>49.98275797905923</v>
      </c>
      <c r="AD2426" t="n">
        <v>49.81154210073488</v>
      </c>
    </row>
    <row r="2427">
      <c r="A2427" t="n">
        <v>2426</v>
      </c>
      <c r="B2427" t="n">
        <v>63.5</v>
      </c>
      <c r="C2427" s="21">
        <f>B2427-20</f>
        <v/>
      </c>
      <c r="D2427" t="n">
        <v>118.9</v>
      </c>
      <c r="E2427" s="22">
        <f>D2427-90</f>
        <v/>
      </c>
      <c r="F2427" s="23" t="n">
        <v>0.016651</v>
      </c>
      <c r="G2427" s="22" t="n">
        <v>31.5</v>
      </c>
      <c r="H2427" s="22" t="n">
        <v>1.6</v>
      </c>
      <c r="I2427" s="24" t="n">
        <v>0.0783446878194809</v>
      </c>
      <c r="J2427" s="6" t="n">
        <v>71000</v>
      </c>
      <c r="K2427" s="25">
        <f>23*10^-6</f>
        <v/>
      </c>
      <c r="L2427" s="8">
        <f>H2427</f>
        <v/>
      </c>
      <c r="M2427" s="26">
        <f>H2427^2/6</f>
        <v/>
      </c>
      <c r="N2427" s="26">
        <f>H2427^3/12</f>
        <v/>
      </c>
      <c r="O2427" s="27">
        <f>-J2427*L2427*K2427*C2427</f>
        <v/>
      </c>
      <c r="P2427" s="28">
        <f>-(12*F2427*J2427*L2427*N2427+12*O2427*N2427*G2427*COS(RADIANS(E2427)))/(12*N2427*G2427*COS(RADIANS(E2427))^2+L2427*G2427^3*SIN(RADIANS(E2427))^2)</f>
        <v/>
      </c>
      <c r="Q2427" s="28">
        <f>-(6*F2427*J2427*L2427*N2427*SIN(RADIANS(E2427))+6*O2427*N2427*G2427*SIN(RADIANS(E2427))*COS(RADIANS(E2427)))/(12*N2427*COS(RADIANS(E2427))^2+L2427*G2427^2*SIN(RADIANS(E2427))^2)</f>
        <v/>
      </c>
      <c r="R2427" s="28">
        <f>-P2427*SIN(RADIANS(E2427))</f>
        <v/>
      </c>
      <c r="S2427" s="8">
        <f>(O2427+P2427*COS(RADIANS(E2427)))/L2427</f>
        <v/>
      </c>
      <c r="T2427" s="8">
        <f>R2427/L2427</f>
        <v/>
      </c>
      <c r="U2427" s="8">
        <f>(Q2427-P2427*G2427*SIN(RADIANS(E2427)))/M2427</f>
        <v/>
      </c>
      <c r="V2427" s="8">
        <f>SQRT((S2427+U2427)^2+3*T2427^2)</f>
        <v/>
      </c>
      <c r="W2427" s="8">
        <f>V2427/AA2427</f>
        <v/>
      </c>
      <c r="X2427" s="27">
        <f>((3*10+H2427/COS(RADIANS(E2427)))*(3+3)+3*G2427*H2427)*2</f>
        <v/>
      </c>
      <c r="Y2427" s="28">
        <f>Z2427/X2427</f>
        <v/>
      </c>
      <c r="Z2427" s="29" t="n">
        <v>691.178861165659</v>
      </c>
      <c r="AA2427" s="20" t="n">
        <v>65.2792923104163</v>
      </c>
      <c r="AB2427" t="n">
        <v>0.09449706591988119</v>
      </c>
      <c r="AC2427" t="n">
        <v>64.57261258372166</v>
      </c>
      <c r="AD2427" t="n">
        <v>20.61706868705386</v>
      </c>
    </row>
    <row r="2428">
      <c r="A2428" t="n">
        <v>2427</v>
      </c>
      <c r="B2428" t="n">
        <v>56</v>
      </c>
      <c r="C2428" s="21">
        <f>B2428-20</f>
        <v/>
      </c>
      <c r="D2428" t="n">
        <v>117.8</v>
      </c>
      <c r="E2428" s="22">
        <f>D2428-90</f>
        <v/>
      </c>
      <c r="F2428" s="23" t="n">
        <v>0.010703</v>
      </c>
      <c r="G2428" s="22" t="n">
        <v>22.7</v>
      </c>
      <c r="H2428" s="22" t="n">
        <v>1.9</v>
      </c>
      <c r="I2428" s="24" t="n">
        <v>0.0536450371146202</v>
      </c>
      <c r="J2428" s="6" t="n">
        <v>71000</v>
      </c>
      <c r="K2428" s="25">
        <f>23*10^-6</f>
        <v/>
      </c>
      <c r="L2428" s="8">
        <f>H2428</f>
        <v/>
      </c>
      <c r="M2428" s="26">
        <f>H2428^2/6</f>
        <v/>
      </c>
      <c r="N2428" s="26">
        <f>H2428^3/12</f>
        <v/>
      </c>
      <c r="O2428" s="27">
        <f>-J2428*L2428*K2428*C2428</f>
        <v/>
      </c>
      <c r="P2428" s="28">
        <f>-(12*F2428*J2428*L2428*N2428+12*O2428*N2428*G2428*COS(RADIANS(E2428)))/(12*N2428*G2428*COS(RADIANS(E2428))^2+L2428*G2428^3*SIN(RADIANS(E2428))^2)</f>
        <v/>
      </c>
      <c r="Q2428" s="28">
        <f>-(6*F2428*J2428*L2428*N2428*SIN(RADIANS(E2428))+6*O2428*N2428*G2428*SIN(RADIANS(E2428))*COS(RADIANS(E2428)))/(12*N2428*COS(RADIANS(E2428))^2+L2428*G2428^2*SIN(RADIANS(E2428))^2)</f>
        <v/>
      </c>
      <c r="R2428" s="28">
        <f>-P2428*SIN(RADIANS(E2428))</f>
        <v/>
      </c>
      <c r="S2428" s="8">
        <f>(O2428+P2428*COS(RADIANS(E2428)))/L2428</f>
        <v/>
      </c>
      <c r="T2428" s="8">
        <f>R2428/L2428</f>
        <v/>
      </c>
      <c r="U2428" s="8">
        <f>(Q2428-P2428*G2428*SIN(RADIANS(E2428)))/M2428</f>
        <v/>
      </c>
      <c r="V2428" s="8">
        <f>SQRT((S2428+U2428)^2+3*T2428^2)</f>
        <v/>
      </c>
      <c r="W2428" s="8">
        <f>V2428/AA2428</f>
        <v/>
      </c>
      <c r="X2428" s="27">
        <f>((3*10+H2428/COS(RADIANS(E2428)))*(3+3)+3*G2428*H2428)*2</f>
        <v/>
      </c>
      <c r="Y2428" s="28">
        <f>Z2428/X2428</f>
        <v/>
      </c>
      <c r="Z2428" s="29" t="n">
        <v>651.120035143034</v>
      </c>
      <c r="AA2428" s="20" t="n">
        <v>60.7919113107577</v>
      </c>
      <c r="AB2428" t="n">
        <v>0.05897248805102644</v>
      </c>
      <c r="AC2428" t="n">
        <v>55.93220639652625</v>
      </c>
      <c r="AD2428" t="n">
        <v>9.930929724260201</v>
      </c>
    </row>
    <row r="2429">
      <c r="A2429" t="n">
        <v>2428</v>
      </c>
      <c r="B2429" t="n">
        <v>49.1</v>
      </c>
      <c r="C2429" s="21">
        <f>B2429-20</f>
        <v/>
      </c>
      <c r="D2429" t="n">
        <v>122.5</v>
      </c>
      <c r="E2429" s="22">
        <f>D2429-90</f>
        <v/>
      </c>
      <c r="F2429" s="23" t="n">
        <v>0.008174000000000001</v>
      </c>
      <c r="G2429" s="22" t="n">
        <v>22.1</v>
      </c>
      <c r="H2429" s="22" t="n">
        <v>1.8</v>
      </c>
      <c r="I2429" s="24" t="n">
        <v>0.0386746302247047</v>
      </c>
      <c r="J2429" s="6" t="n">
        <v>71000</v>
      </c>
      <c r="K2429" s="25">
        <f>23*10^-6</f>
        <v/>
      </c>
      <c r="L2429" s="8">
        <f>H2429</f>
        <v/>
      </c>
      <c r="M2429" s="26">
        <f>H2429^2/6</f>
        <v/>
      </c>
      <c r="N2429" s="26">
        <f>H2429^3/12</f>
        <v/>
      </c>
      <c r="O2429" s="27">
        <f>-J2429*L2429*K2429*C2429</f>
        <v/>
      </c>
      <c r="P2429" s="28">
        <f>-(12*F2429*J2429*L2429*N2429+12*O2429*N2429*G2429*COS(RADIANS(E2429)))/(12*N2429*G2429*COS(RADIANS(E2429))^2+L2429*G2429^3*SIN(RADIANS(E2429))^2)</f>
        <v/>
      </c>
      <c r="Q2429" s="28">
        <f>-(6*F2429*J2429*L2429*N2429*SIN(RADIANS(E2429))+6*O2429*N2429*G2429*SIN(RADIANS(E2429))*COS(RADIANS(E2429)))/(12*N2429*COS(RADIANS(E2429))^2+L2429*G2429^2*SIN(RADIANS(E2429))^2)</f>
        <v/>
      </c>
      <c r="R2429" s="28">
        <f>-P2429*SIN(RADIANS(E2429))</f>
        <v/>
      </c>
      <c r="S2429" s="8">
        <f>(O2429+P2429*COS(RADIANS(E2429)))/L2429</f>
        <v/>
      </c>
      <c r="T2429" s="8">
        <f>R2429/L2429</f>
        <v/>
      </c>
      <c r="U2429" s="8">
        <f>(Q2429-P2429*G2429*SIN(RADIANS(E2429)))/M2429</f>
        <v/>
      </c>
      <c r="V2429" s="8">
        <f>SQRT((S2429+U2429)^2+3*T2429^2)</f>
        <v/>
      </c>
      <c r="W2429" s="8">
        <f>V2429/AA2429</f>
        <v/>
      </c>
      <c r="X2429" s="27">
        <f>((3*10+H2429/COS(RADIANS(E2429)))*(3+3)+3*G2429*H2429)*2</f>
        <v/>
      </c>
      <c r="Y2429" s="28">
        <f>Z2429/X2429</f>
        <v/>
      </c>
      <c r="Z2429" s="29" t="n">
        <v>632.181049948638</v>
      </c>
      <c r="AA2429" s="20" t="n">
        <v>47.3491630788462</v>
      </c>
      <c r="AB2429" t="n">
        <v>0.03962675521795088</v>
      </c>
      <c r="AC2429" t="n">
        <v>43.95432245748881</v>
      </c>
      <c r="AD2429" t="n">
        <v>2.461885188595745</v>
      </c>
    </row>
    <row r="2430">
      <c r="A2430" t="n">
        <v>2429</v>
      </c>
      <c r="B2430" t="n">
        <v>74.09999999999999</v>
      </c>
      <c r="C2430" s="21">
        <f>B2430-20</f>
        <v/>
      </c>
      <c r="D2430" t="n">
        <v>110.5</v>
      </c>
      <c r="E2430" s="22">
        <f>D2430-90</f>
        <v/>
      </c>
      <c r="F2430" s="23" t="n">
        <v>0.022706</v>
      </c>
      <c r="G2430" s="22" t="n">
        <v>32.9</v>
      </c>
      <c r="H2430" s="22" t="n">
        <v>1.6</v>
      </c>
      <c r="I2430" s="24" t="n">
        <v>0.128648594021797</v>
      </c>
      <c r="J2430" s="6" t="n">
        <v>71000</v>
      </c>
      <c r="K2430" s="25">
        <f>23*10^-6</f>
        <v/>
      </c>
      <c r="L2430" s="8">
        <f>H2430</f>
        <v/>
      </c>
      <c r="M2430" s="26">
        <f>H2430^2/6</f>
        <v/>
      </c>
      <c r="N2430" s="26">
        <f>H2430^3/12</f>
        <v/>
      </c>
      <c r="O2430" s="27">
        <f>-J2430*L2430*K2430*C2430</f>
        <v/>
      </c>
      <c r="P2430" s="28">
        <f>-(12*F2430*J2430*L2430*N2430+12*O2430*N2430*G2430*COS(RADIANS(E2430)))/(12*N2430*G2430*COS(RADIANS(E2430))^2+L2430*G2430^3*SIN(RADIANS(E2430))^2)</f>
        <v/>
      </c>
      <c r="Q2430" s="28">
        <f>-(6*F2430*J2430*L2430*N2430*SIN(RADIANS(E2430))+6*O2430*N2430*G2430*SIN(RADIANS(E2430))*COS(RADIANS(E2430)))/(12*N2430*COS(RADIANS(E2430))^2+L2430*G2430^2*SIN(RADIANS(E2430))^2)</f>
        <v/>
      </c>
      <c r="R2430" s="28">
        <f>-P2430*SIN(RADIANS(E2430))</f>
        <v/>
      </c>
      <c r="S2430" s="8">
        <f>(O2430+P2430*COS(RADIANS(E2430)))/L2430</f>
        <v/>
      </c>
      <c r="T2430" s="8">
        <f>R2430/L2430</f>
        <v/>
      </c>
      <c r="U2430" s="8">
        <f>(Q2430-P2430*G2430*SIN(RADIANS(E2430)))/M2430</f>
        <v/>
      </c>
      <c r="V2430" s="8">
        <f>SQRT((S2430+U2430)^2+3*T2430^2)</f>
        <v/>
      </c>
      <c r="W2430" s="8">
        <f>V2430/AA2430</f>
        <v/>
      </c>
      <c r="X2430" s="27">
        <f>((3*10+H2430/COS(RADIANS(E2430)))*(3+3)+3*G2430*H2430)*2</f>
        <v/>
      </c>
      <c r="Y2430" s="28">
        <f>Z2430/X2430</f>
        <v/>
      </c>
      <c r="Z2430" s="29" t="n">
        <v>701.394353899373</v>
      </c>
      <c r="AA2430" s="20" t="n">
        <v>83.326413111283</v>
      </c>
      <c r="AB2430" t="n">
        <v>0.1745289981468785</v>
      </c>
      <c r="AC2430" t="n">
        <v>83.54215020201943</v>
      </c>
      <c r="AD2430" t="n">
        <v>35.66335448431558</v>
      </c>
    </row>
    <row r="2431">
      <c r="A2431" t="n">
        <v>2430</v>
      </c>
      <c r="B2431" t="n">
        <v>40.3</v>
      </c>
      <c r="C2431" s="21">
        <f>B2431-20</f>
        <v/>
      </c>
      <c r="D2431" t="n">
        <v>128.7</v>
      </c>
      <c r="E2431" s="22">
        <f>D2431-90</f>
        <v/>
      </c>
      <c r="F2431" s="23" t="n">
        <v>0.007439</v>
      </c>
      <c r="G2431" s="22" t="n">
        <v>33.5</v>
      </c>
      <c r="H2431" s="22" t="n">
        <v>1.7</v>
      </c>
      <c r="I2431" s="24" t="n">
        <v>0.0316368304193019</v>
      </c>
      <c r="J2431" s="6" t="n">
        <v>71000</v>
      </c>
      <c r="K2431" s="25">
        <f>23*10^-6</f>
        <v/>
      </c>
      <c r="L2431" s="8">
        <f>H2431</f>
        <v/>
      </c>
      <c r="M2431" s="26">
        <f>H2431^2/6</f>
        <v/>
      </c>
      <c r="N2431" s="26">
        <f>H2431^3/12</f>
        <v/>
      </c>
      <c r="O2431" s="27">
        <f>-J2431*L2431*K2431*C2431</f>
        <v/>
      </c>
      <c r="P2431" s="28">
        <f>-(12*F2431*J2431*L2431*N2431+12*O2431*N2431*G2431*COS(RADIANS(E2431)))/(12*N2431*G2431*COS(RADIANS(E2431))^2+L2431*G2431^3*SIN(RADIANS(E2431))^2)</f>
        <v/>
      </c>
      <c r="Q2431" s="28">
        <f>-(6*F2431*J2431*L2431*N2431*SIN(RADIANS(E2431))+6*O2431*N2431*G2431*SIN(RADIANS(E2431))*COS(RADIANS(E2431)))/(12*N2431*COS(RADIANS(E2431))^2+L2431*G2431^2*SIN(RADIANS(E2431))^2)</f>
        <v/>
      </c>
      <c r="R2431" s="28">
        <f>-P2431*SIN(RADIANS(E2431))</f>
        <v/>
      </c>
      <c r="S2431" s="8">
        <f>(O2431+P2431*COS(RADIANS(E2431)))/L2431</f>
        <v/>
      </c>
      <c r="T2431" s="8">
        <f>R2431/L2431</f>
        <v/>
      </c>
      <c r="U2431" s="8">
        <f>(Q2431-P2431*G2431*SIN(RADIANS(E2431)))/M2431</f>
        <v/>
      </c>
      <c r="V2431" s="8">
        <f>SQRT((S2431+U2431)^2+3*T2431^2)</f>
        <v/>
      </c>
      <c r="W2431" s="8">
        <f>V2431/AA2431</f>
        <v/>
      </c>
      <c r="X2431" s="27">
        <f>((3*10+H2431/COS(RADIANS(E2431)))*(3+3)+3*G2431*H2431)*2</f>
        <v/>
      </c>
      <c r="Y2431" s="28">
        <f>Z2431/X2431</f>
        <v/>
      </c>
      <c r="Z2431" s="29" t="n">
        <v>738.025313234079</v>
      </c>
      <c r="AA2431" s="20" t="n">
        <v>29.6370814025482</v>
      </c>
      <c r="AB2431" t="n">
        <v>0.03414045579073716</v>
      </c>
      <c r="AC2431" t="n">
        <v>29.2384951303738</v>
      </c>
      <c r="AD2431" t="n">
        <v>7.913641595106726</v>
      </c>
    </row>
    <row r="2432">
      <c r="A2432" t="n">
        <v>2431</v>
      </c>
      <c r="B2432" t="n">
        <v>47.8</v>
      </c>
      <c r="C2432" s="21">
        <f>B2432-20</f>
        <v/>
      </c>
      <c r="D2432" t="n">
        <v>100.5</v>
      </c>
      <c r="E2432" s="22">
        <f>D2432-90</f>
        <v/>
      </c>
      <c r="F2432" s="23" t="n">
        <v>0.011281</v>
      </c>
      <c r="G2432" s="22" t="n">
        <v>30.1</v>
      </c>
      <c r="H2432" s="22" t="n">
        <v>1.1</v>
      </c>
      <c r="I2432" s="24" t="n">
        <v>0.106374457478523</v>
      </c>
      <c r="J2432" s="6" t="n">
        <v>71000</v>
      </c>
      <c r="K2432" s="25">
        <f>23*10^-6</f>
        <v/>
      </c>
      <c r="L2432" s="8">
        <f>H2432</f>
        <v/>
      </c>
      <c r="M2432" s="26">
        <f>H2432^2/6</f>
        <v/>
      </c>
      <c r="N2432" s="26">
        <f>H2432^3/12</f>
        <v/>
      </c>
      <c r="O2432" s="27">
        <f>-J2432*L2432*K2432*C2432</f>
        <v/>
      </c>
      <c r="P2432" s="28">
        <f>-(12*F2432*J2432*L2432*N2432+12*O2432*N2432*G2432*COS(RADIANS(E2432)))/(12*N2432*G2432*COS(RADIANS(E2432))^2+L2432*G2432^3*SIN(RADIANS(E2432))^2)</f>
        <v/>
      </c>
      <c r="Q2432" s="28">
        <f>-(6*F2432*J2432*L2432*N2432*SIN(RADIANS(E2432))+6*O2432*N2432*G2432*SIN(RADIANS(E2432))*COS(RADIANS(E2432)))/(12*N2432*COS(RADIANS(E2432))^2+L2432*G2432^2*SIN(RADIANS(E2432))^2)</f>
        <v/>
      </c>
      <c r="R2432" s="28">
        <f>-P2432*SIN(RADIANS(E2432))</f>
        <v/>
      </c>
      <c r="S2432" s="8">
        <f>(O2432+P2432*COS(RADIANS(E2432)))/L2432</f>
        <v/>
      </c>
      <c r="T2432" s="8">
        <f>R2432/L2432</f>
        <v/>
      </c>
      <c r="U2432" s="8">
        <f>(Q2432-P2432*G2432*SIN(RADIANS(E2432)))/M2432</f>
        <v/>
      </c>
      <c r="V2432" s="8">
        <f>SQRT((S2432+U2432)^2+3*T2432^2)</f>
        <v/>
      </c>
      <c r="W2432" s="8">
        <f>V2432/AA2432</f>
        <v/>
      </c>
      <c r="X2432" s="27">
        <f>((3*10+H2432/COS(RADIANS(E2432)))*(3+3)+3*G2432*H2432)*2</f>
        <v/>
      </c>
      <c r="Y2432" s="28">
        <f>Z2432/X2432</f>
        <v/>
      </c>
      <c r="Z2432" s="29" t="n">
        <v>575.9271552738199</v>
      </c>
      <c r="AA2432" s="20" t="n">
        <v>41.5408043131866</v>
      </c>
      <c r="AB2432" t="n">
        <v>0.1601689431821796</v>
      </c>
      <c r="AC2432" t="n">
        <v>45.36115713204822</v>
      </c>
      <c r="AD2432" t="n">
        <v>50.57086727282971</v>
      </c>
    </row>
    <row r="2433">
      <c r="A2433" t="n">
        <v>2432</v>
      </c>
      <c r="B2433" t="n">
        <v>56.8</v>
      </c>
      <c r="C2433" s="21">
        <f>B2433-20</f>
        <v/>
      </c>
      <c r="D2433" t="n">
        <v>116.6</v>
      </c>
      <c r="E2433" s="22">
        <f>D2433-90</f>
        <v/>
      </c>
      <c r="F2433" s="23" t="n">
        <v>0.013733</v>
      </c>
      <c r="G2433" s="22" t="n">
        <v>29.9</v>
      </c>
      <c r="H2433" s="22" t="n">
        <v>1.1</v>
      </c>
      <c r="I2433" s="24" t="n">
        <v>0.0677172020077705</v>
      </c>
      <c r="J2433" s="6" t="n">
        <v>71000</v>
      </c>
      <c r="K2433" s="25">
        <f>23*10^-6</f>
        <v/>
      </c>
      <c r="L2433" s="8">
        <f>H2433</f>
        <v/>
      </c>
      <c r="M2433" s="26">
        <f>H2433^2/6</f>
        <v/>
      </c>
      <c r="N2433" s="26">
        <f>H2433^3/12</f>
        <v/>
      </c>
      <c r="O2433" s="27">
        <f>-J2433*L2433*K2433*C2433</f>
        <v/>
      </c>
      <c r="P2433" s="28">
        <f>-(12*F2433*J2433*L2433*N2433+12*O2433*N2433*G2433*COS(RADIANS(E2433)))/(12*N2433*G2433*COS(RADIANS(E2433))^2+L2433*G2433^3*SIN(RADIANS(E2433))^2)</f>
        <v/>
      </c>
      <c r="Q2433" s="28">
        <f>-(6*F2433*J2433*L2433*N2433*SIN(RADIANS(E2433))+6*O2433*N2433*G2433*SIN(RADIANS(E2433))*COS(RADIANS(E2433)))/(12*N2433*COS(RADIANS(E2433))^2+L2433*G2433^2*SIN(RADIANS(E2433))^2)</f>
        <v/>
      </c>
      <c r="R2433" s="28">
        <f>-P2433*SIN(RADIANS(E2433))</f>
        <v/>
      </c>
      <c r="S2433" s="8">
        <f>(O2433+P2433*COS(RADIANS(E2433)))/L2433</f>
        <v/>
      </c>
      <c r="T2433" s="8">
        <f>R2433/L2433</f>
        <v/>
      </c>
      <c r="U2433" s="8">
        <f>(Q2433-P2433*G2433*SIN(RADIANS(E2433)))/M2433</f>
        <v/>
      </c>
      <c r="V2433" s="8">
        <f>SQRT((S2433+U2433)^2+3*T2433^2)</f>
        <v/>
      </c>
      <c r="W2433" s="8">
        <f>V2433/AA2433</f>
        <v/>
      </c>
      <c r="X2433" s="27">
        <f>((3*10+H2433/COS(RADIANS(E2433)))*(3+3)+3*G2433*H2433)*2</f>
        <v/>
      </c>
      <c r="Y2433" s="28">
        <f>Z2433/X2433</f>
        <v/>
      </c>
      <c r="Z2433" s="29" t="n">
        <v>578.377190010141</v>
      </c>
      <c r="AA2433" s="20" t="n">
        <v>51.1573344711666</v>
      </c>
      <c r="AB2433" t="n">
        <v>0.08345679415035791</v>
      </c>
      <c r="AC2433" t="n">
        <v>53.582048385871</v>
      </c>
      <c r="AD2433" t="n">
        <v>23.24312239123717</v>
      </c>
    </row>
    <row r="2434">
      <c r="A2434" t="n">
        <v>2433</v>
      </c>
      <c r="B2434" t="n">
        <v>74.90000000000001</v>
      </c>
      <c r="C2434" s="21">
        <f>B2434-20</f>
        <v/>
      </c>
      <c r="D2434" t="n">
        <v>118.6</v>
      </c>
      <c r="E2434" s="22">
        <f>D2434-90</f>
        <v/>
      </c>
      <c r="F2434" s="23" t="n">
        <v>0.021394</v>
      </c>
      <c r="G2434" s="22" t="n">
        <v>32.1</v>
      </c>
      <c r="H2434" s="22" t="n">
        <v>1.2</v>
      </c>
      <c r="I2434" s="24" t="n">
        <v>0.100800670683383</v>
      </c>
      <c r="J2434" s="6" t="n">
        <v>71000</v>
      </c>
      <c r="K2434" s="25">
        <f>23*10^-6</f>
        <v/>
      </c>
      <c r="L2434" s="8">
        <f>H2434</f>
        <v/>
      </c>
      <c r="M2434" s="26">
        <f>H2434^2/6</f>
        <v/>
      </c>
      <c r="N2434" s="26">
        <f>H2434^3/12</f>
        <v/>
      </c>
      <c r="O2434" s="27">
        <f>-J2434*L2434*K2434*C2434</f>
        <v/>
      </c>
      <c r="P2434" s="28">
        <f>-(12*F2434*J2434*L2434*N2434+12*O2434*N2434*G2434*COS(RADIANS(E2434)))/(12*N2434*G2434*COS(RADIANS(E2434))^2+L2434*G2434^3*SIN(RADIANS(E2434))^2)</f>
        <v/>
      </c>
      <c r="Q2434" s="28">
        <f>-(6*F2434*J2434*L2434*N2434*SIN(RADIANS(E2434))+6*O2434*N2434*G2434*SIN(RADIANS(E2434))*COS(RADIANS(E2434)))/(12*N2434*COS(RADIANS(E2434))^2+L2434*G2434^2*SIN(RADIANS(E2434))^2)</f>
        <v/>
      </c>
      <c r="R2434" s="28">
        <f>-P2434*SIN(RADIANS(E2434))</f>
        <v/>
      </c>
      <c r="S2434" s="8">
        <f>(O2434+P2434*COS(RADIANS(E2434)))/L2434</f>
        <v/>
      </c>
      <c r="T2434" s="8">
        <f>R2434/L2434</f>
        <v/>
      </c>
      <c r="U2434" s="8">
        <f>(Q2434-P2434*G2434*SIN(RADIANS(E2434)))/M2434</f>
        <v/>
      </c>
      <c r="V2434" s="8">
        <f>SQRT((S2434+U2434)^2+3*T2434^2)</f>
        <v/>
      </c>
      <c r="W2434" s="8">
        <f>V2434/AA2434</f>
        <v/>
      </c>
      <c r="X2434" s="27">
        <f>((3*10+H2434/COS(RADIANS(E2434)))*(3+3)+3*G2434*H2434)*2</f>
        <v/>
      </c>
      <c r="Y2434" s="28">
        <f>Z2434/X2434</f>
        <v/>
      </c>
      <c r="Z2434" s="29" t="n">
        <v>614.290240544054</v>
      </c>
      <c r="AA2434" s="20" t="n">
        <v>76.1857097395786</v>
      </c>
      <c r="AB2434" t="n">
        <v>0.1232786693365675</v>
      </c>
      <c r="AC2434" t="n">
        <v>79.62074481638115</v>
      </c>
      <c r="AD2434" t="n">
        <v>22.29945346672179</v>
      </c>
    </row>
    <row r="2435">
      <c r="A2435" t="n">
        <v>2434</v>
      </c>
      <c r="B2435" t="n">
        <v>88.40000000000001</v>
      </c>
      <c r="C2435" s="21">
        <f>B2435-20</f>
        <v/>
      </c>
      <c r="D2435" t="n">
        <v>124.2</v>
      </c>
      <c r="E2435" s="22">
        <f>D2435-90</f>
        <v/>
      </c>
      <c r="F2435" s="23" t="n">
        <v>0.018415</v>
      </c>
      <c r="G2435" s="22" t="n">
        <v>21.3</v>
      </c>
      <c r="H2435" s="22" t="n">
        <v>1.9</v>
      </c>
      <c r="I2435" s="24" t="n">
        <v>0.0861952677369117</v>
      </c>
      <c r="J2435" s="6" t="n">
        <v>71000</v>
      </c>
      <c r="K2435" s="25">
        <f>23*10^-6</f>
        <v/>
      </c>
      <c r="L2435" s="8">
        <f>H2435</f>
        <v/>
      </c>
      <c r="M2435" s="26">
        <f>H2435^2/6</f>
        <v/>
      </c>
      <c r="N2435" s="26">
        <f>H2435^3/12</f>
        <v/>
      </c>
      <c r="O2435" s="27">
        <f>-J2435*L2435*K2435*C2435</f>
        <v/>
      </c>
      <c r="P2435" s="28">
        <f>-(12*F2435*J2435*L2435*N2435+12*O2435*N2435*G2435*COS(RADIANS(E2435)))/(12*N2435*G2435*COS(RADIANS(E2435))^2+L2435*G2435^3*SIN(RADIANS(E2435))^2)</f>
        <v/>
      </c>
      <c r="Q2435" s="28">
        <f>-(6*F2435*J2435*L2435*N2435*SIN(RADIANS(E2435))+6*O2435*N2435*G2435*SIN(RADIANS(E2435))*COS(RADIANS(E2435)))/(12*N2435*COS(RADIANS(E2435))^2+L2435*G2435^2*SIN(RADIANS(E2435))^2)</f>
        <v/>
      </c>
      <c r="R2435" s="28">
        <f>-P2435*SIN(RADIANS(E2435))</f>
        <v/>
      </c>
      <c r="S2435" s="8">
        <f>(O2435+P2435*COS(RADIANS(E2435)))/L2435</f>
        <v/>
      </c>
      <c r="T2435" s="8">
        <f>R2435/L2435</f>
        <v/>
      </c>
      <c r="U2435" s="8">
        <f>(Q2435-P2435*G2435*SIN(RADIANS(E2435)))/M2435</f>
        <v/>
      </c>
      <c r="V2435" s="8">
        <f>SQRT((S2435+U2435)^2+3*T2435^2)</f>
        <v/>
      </c>
      <c r="W2435" s="8">
        <f>V2435/AA2435</f>
        <v/>
      </c>
      <c r="X2435" s="27">
        <f>((3*10+H2435/COS(RADIANS(E2435)))*(3+3)+3*G2435*H2435)*2</f>
        <v/>
      </c>
      <c r="Y2435" s="28">
        <f>Z2435/X2435</f>
        <v/>
      </c>
      <c r="Z2435" s="29" t="n">
        <v>638.8382010170679</v>
      </c>
      <c r="AA2435" s="20" t="n">
        <v>115.825913394048</v>
      </c>
      <c r="AB2435" t="n">
        <v>0.0850329191261395</v>
      </c>
      <c r="AC2435" t="n">
        <v>103.2818127067838</v>
      </c>
      <c r="AD2435" t="n">
        <v>-1.348506294243399</v>
      </c>
    </row>
    <row r="2436">
      <c r="A2436" t="n">
        <v>2435</v>
      </c>
      <c r="B2436" t="n">
        <v>76.7</v>
      </c>
      <c r="C2436" s="21">
        <f>B2436-20</f>
        <v/>
      </c>
      <c r="D2436" t="n">
        <v>111.6</v>
      </c>
      <c r="E2436" s="22">
        <f>D2436-90</f>
        <v/>
      </c>
      <c r="F2436" s="23" t="n">
        <v>0.02305</v>
      </c>
      <c r="G2436" s="22" t="n">
        <v>31.9</v>
      </c>
      <c r="H2436" s="22" t="n">
        <v>1.7</v>
      </c>
      <c r="I2436" s="24" t="n">
        <v>0.126706704497337</v>
      </c>
      <c r="J2436" s="6" t="n">
        <v>71000</v>
      </c>
      <c r="K2436" s="25">
        <f>23*10^-6</f>
        <v/>
      </c>
      <c r="L2436" s="8">
        <f>H2436</f>
        <v/>
      </c>
      <c r="M2436" s="26">
        <f>H2436^2/6</f>
        <v/>
      </c>
      <c r="N2436" s="26">
        <f>H2436^3/12</f>
        <v/>
      </c>
      <c r="O2436" s="27">
        <f>-J2436*L2436*K2436*C2436</f>
        <v/>
      </c>
      <c r="P2436" s="28">
        <f>-(12*F2436*J2436*L2436*N2436+12*O2436*N2436*G2436*COS(RADIANS(E2436)))/(12*N2436*G2436*COS(RADIANS(E2436))^2+L2436*G2436^3*SIN(RADIANS(E2436))^2)</f>
        <v/>
      </c>
      <c r="Q2436" s="28">
        <f>-(6*F2436*J2436*L2436*N2436*SIN(RADIANS(E2436))+6*O2436*N2436*G2436*SIN(RADIANS(E2436))*COS(RADIANS(E2436)))/(12*N2436*COS(RADIANS(E2436))^2+L2436*G2436^2*SIN(RADIANS(E2436))^2)</f>
        <v/>
      </c>
      <c r="R2436" s="28">
        <f>-P2436*SIN(RADIANS(E2436))</f>
        <v/>
      </c>
      <c r="S2436" s="8">
        <f>(O2436+P2436*COS(RADIANS(E2436)))/L2436</f>
        <v/>
      </c>
      <c r="T2436" s="8">
        <f>R2436/L2436</f>
        <v/>
      </c>
      <c r="U2436" s="8">
        <f>(Q2436-P2436*G2436*SIN(RADIANS(E2436)))/M2436</f>
        <v/>
      </c>
      <c r="V2436" s="8">
        <f>SQRT((S2436+U2436)^2+3*T2436^2)</f>
        <v/>
      </c>
      <c r="W2436" s="8">
        <f>V2436/AA2436</f>
        <v/>
      </c>
      <c r="X2436" s="27">
        <f>((3*10+H2436/COS(RADIANS(E2436)))*(3+3)+3*G2436*H2436)*2</f>
        <v/>
      </c>
      <c r="Y2436" s="28">
        <f>Z2436/X2436</f>
        <v/>
      </c>
      <c r="Z2436" s="29" t="n">
        <v>712.567041817429</v>
      </c>
      <c r="AA2436" s="20" t="n">
        <v>88.88681386307211</v>
      </c>
      <c r="AB2436" t="n">
        <v>0.168015339204855</v>
      </c>
      <c r="AC2436" t="n">
        <v>87.81299257174501</v>
      </c>
      <c r="AD2436" t="n">
        <v>32.60177499793328</v>
      </c>
    </row>
    <row r="2437">
      <c r="A2437" t="n">
        <v>2436</v>
      </c>
      <c r="B2437" t="n">
        <v>78.59999999999999</v>
      </c>
      <c r="C2437" s="21">
        <f>B2437-20</f>
        <v/>
      </c>
      <c r="D2437" t="n">
        <v>117.5</v>
      </c>
      <c r="E2437" s="22">
        <f>D2437-90</f>
        <v/>
      </c>
      <c r="F2437" s="23" t="n">
        <v>0.022496</v>
      </c>
      <c r="G2437" s="22" t="n">
        <v>31.2</v>
      </c>
      <c r="H2437" s="22" t="n">
        <v>1.3</v>
      </c>
      <c r="I2437" s="24" t="n">
        <v>0.108460113406181</v>
      </c>
      <c r="J2437" s="6" t="n">
        <v>71000</v>
      </c>
      <c r="K2437" s="25">
        <f>23*10^-6</f>
        <v/>
      </c>
      <c r="L2437" s="8">
        <f>H2437</f>
        <v/>
      </c>
      <c r="M2437" s="26">
        <f>H2437^2/6</f>
        <v/>
      </c>
      <c r="N2437" s="26">
        <f>H2437^3/12</f>
        <v/>
      </c>
      <c r="O2437" s="27">
        <f>-J2437*L2437*K2437*C2437</f>
        <v/>
      </c>
      <c r="P2437" s="28">
        <f>-(12*F2437*J2437*L2437*N2437+12*O2437*N2437*G2437*COS(RADIANS(E2437)))/(12*N2437*G2437*COS(RADIANS(E2437))^2+L2437*G2437^3*SIN(RADIANS(E2437))^2)</f>
        <v/>
      </c>
      <c r="Q2437" s="28">
        <f>-(6*F2437*J2437*L2437*N2437*SIN(RADIANS(E2437))+6*O2437*N2437*G2437*SIN(RADIANS(E2437))*COS(RADIANS(E2437)))/(12*N2437*COS(RADIANS(E2437))^2+L2437*G2437^2*SIN(RADIANS(E2437))^2)</f>
        <v/>
      </c>
      <c r="R2437" s="28">
        <f>-P2437*SIN(RADIANS(E2437))</f>
        <v/>
      </c>
      <c r="S2437" s="8">
        <f>(O2437+P2437*COS(RADIANS(E2437)))/L2437</f>
        <v/>
      </c>
      <c r="T2437" s="8">
        <f>R2437/L2437</f>
        <v/>
      </c>
      <c r="U2437" s="8">
        <f>(Q2437-P2437*G2437*SIN(RADIANS(E2437)))/M2437</f>
        <v/>
      </c>
      <c r="V2437" s="8">
        <f>SQRT((S2437+U2437)^2+3*T2437^2)</f>
        <v/>
      </c>
      <c r="W2437" s="8">
        <f>V2437/AA2437</f>
        <v/>
      </c>
      <c r="X2437" s="27">
        <f>((3*10+H2437/COS(RADIANS(E2437)))*(3+3)+3*G2437*H2437)*2</f>
        <v/>
      </c>
      <c r="Y2437" s="28">
        <f>Z2437/X2437</f>
        <v/>
      </c>
      <c r="Z2437" s="29" t="n">
        <v>627.437954481548</v>
      </c>
      <c r="AA2437" s="20" t="n">
        <v>84.1466407755735</v>
      </c>
      <c r="AB2437" t="n">
        <v>0.1333549948860979</v>
      </c>
      <c r="AC2437" t="n">
        <v>85.96137740635561</v>
      </c>
      <c r="AD2437" t="n">
        <v>22.95302918104651</v>
      </c>
    </row>
    <row r="2438">
      <c r="A2438" t="n">
        <v>2437</v>
      </c>
      <c r="B2438" t="n">
        <v>55.2</v>
      </c>
      <c r="C2438" s="21">
        <f>B2438-20</f>
        <v/>
      </c>
      <c r="D2438" t="n">
        <v>111.3</v>
      </c>
      <c r="E2438" s="22">
        <f>D2438-90</f>
        <v/>
      </c>
      <c r="F2438" s="23" t="n">
        <v>0.010857</v>
      </c>
      <c r="G2438" s="22" t="n">
        <v>22.6</v>
      </c>
      <c r="H2438" s="22" t="n">
        <v>1.1</v>
      </c>
      <c r="I2438" s="24" t="n">
        <v>0.06324329972267149</v>
      </c>
      <c r="J2438" s="6" t="n">
        <v>71000</v>
      </c>
      <c r="K2438" s="25">
        <f>23*10^-6</f>
        <v/>
      </c>
      <c r="L2438" s="8">
        <f>H2438</f>
        <v/>
      </c>
      <c r="M2438" s="26">
        <f>H2438^2/6</f>
        <v/>
      </c>
      <c r="N2438" s="26">
        <f>H2438^3/12</f>
        <v/>
      </c>
      <c r="O2438" s="27">
        <f>-J2438*L2438*K2438*C2438</f>
        <v/>
      </c>
      <c r="P2438" s="28">
        <f>-(12*F2438*J2438*L2438*N2438+12*O2438*N2438*G2438*COS(RADIANS(E2438)))/(12*N2438*G2438*COS(RADIANS(E2438))^2+L2438*G2438^3*SIN(RADIANS(E2438))^2)</f>
        <v/>
      </c>
      <c r="Q2438" s="28">
        <f>-(6*F2438*J2438*L2438*N2438*SIN(RADIANS(E2438))+6*O2438*N2438*G2438*SIN(RADIANS(E2438))*COS(RADIANS(E2438)))/(12*N2438*COS(RADIANS(E2438))^2+L2438*G2438^2*SIN(RADIANS(E2438))^2)</f>
        <v/>
      </c>
      <c r="R2438" s="28">
        <f>-P2438*SIN(RADIANS(E2438))</f>
        <v/>
      </c>
      <c r="S2438" s="8">
        <f>(O2438+P2438*COS(RADIANS(E2438)))/L2438</f>
        <v/>
      </c>
      <c r="T2438" s="8">
        <f>R2438/L2438</f>
        <v/>
      </c>
      <c r="U2438" s="8">
        <f>(Q2438-P2438*G2438*SIN(RADIANS(E2438)))/M2438</f>
        <v/>
      </c>
      <c r="V2438" s="8">
        <f>SQRT((S2438+U2438)^2+3*T2438^2)</f>
        <v/>
      </c>
      <c r="W2438" s="8">
        <f>V2438/AA2438</f>
        <v/>
      </c>
      <c r="X2438" s="27">
        <f>((3*10+H2438/COS(RADIANS(E2438)))*(3+3)+3*G2438*H2438)*2</f>
        <v/>
      </c>
      <c r="Y2438" s="28">
        <f>Z2438/X2438</f>
        <v/>
      </c>
      <c r="Z2438" s="29" t="n">
        <v>528.5210204553219</v>
      </c>
      <c r="AA2438" s="20" t="n">
        <v>50.8698095193132</v>
      </c>
      <c r="AB2438" t="n">
        <v>0.07695182123912661</v>
      </c>
      <c r="AC2438" t="n">
        <v>53.34540390213284</v>
      </c>
      <c r="AD2438" t="n">
        <v>21.67584799744546</v>
      </c>
    </row>
    <row r="2439">
      <c r="A2439" t="n">
        <v>2438</v>
      </c>
      <c r="B2439" t="n">
        <v>75.09999999999999</v>
      </c>
      <c r="C2439" s="21">
        <f>B2439-20</f>
        <v/>
      </c>
      <c r="D2439" t="n">
        <v>125.9</v>
      </c>
      <c r="E2439" s="22">
        <f>D2439-90</f>
        <v/>
      </c>
      <c r="F2439" s="23" t="n">
        <v>0.018321</v>
      </c>
      <c r="G2439" s="22" t="n">
        <v>28.6</v>
      </c>
      <c r="H2439" s="22" t="n">
        <v>2</v>
      </c>
      <c r="I2439" s="24" t="n">
        <v>0.0809906870126724</v>
      </c>
      <c r="J2439" s="6" t="n">
        <v>71000</v>
      </c>
      <c r="K2439" s="25">
        <f>23*10^-6</f>
        <v/>
      </c>
      <c r="L2439" s="8">
        <f>H2439</f>
        <v/>
      </c>
      <c r="M2439" s="26">
        <f>H2439^2/6</f>
        <v/>
      </c>
      <c r="N2439" s="26">
        <f>H2439^3/12</f>
        <v/>
      </c>
      <c r="O2439" s="27">
        <f>-J2439*L2439*K2439*C2439</f>
        <v/>
      </c>
      <c r="P2439" s="28">
        <f>-(12*F2439*J2439*L2439*N2439+12*O2439*N2439*G2439*COS(RADIANS(E2439)))/(12*N2439*G2439*COS(RADIANS(E2439))^2+L2439*G2439^3*SIN(RADIANS(E2439))^2)</f>
        <v/>
      </c>
      <c r="Q2439" s="28">
        <f>-(6*F2439*J2439*L2439*N2439*SIN(RADIANS(E2439))+6*O2439*N2439*G2439*SIN(RADIANS(E2439))*COS(RADIANS(E2439)))/(12*N2439*COS(RADIANS(E2439))^2+L2439*G2439^2*SIN(RADIANS(E2439))^2)</f>
        <v/>
      </c>
      <c r="R2439" s="28">
        <f>-P2439*SIN(RADIANS(E2439))</f>
        <v/>
      </c>
      <c r="S2439" s="8">
        <f>(O2439+P2439*COS(RADIANS(E2439)))/L2439</f>
        <v/>
      </c>
      <c r="T2439" s="8">
        <f>R2439/L2439</f>
        <v/>
      </c>
      <c r="U2439" s="8">
        <f>(Q2439-P2439*G2439*SIN(RADIANS(E2439)))/M2439</f>
        <v/>
      </c>
      <c r="V2439" s="8">
        <f>SQRT((S2439+U2439)^2+3*T2439^2)</f>
        <v/>
      </c>
      <c r="W2439" s="8">
        <f>V2439/AA2439</f>
        <v/>
      </c>
      <c r="X2439" s="27">
        <f>((3*10+H2439/COS(RADIANS(E2439)))*(3+3)+3*G2439*H2439)*2</f>
        <v/>
      </c>
      <c r="Y2439" s="28">
        <f>Z2439/X2439</f>
        <v/>
      </c>
      <c r="Z2439" s="29" t="n">
        <v>741.889842404002</v>
      </c>
      <c r="AA2439" s="20" t="n">
        <v>89.600611717248</v>
      </c>
      <c r="AB2439" t="n">
        <v>0.08619329837888789</v>
      </c>
      <c r="AC2439" t="n">
        <v>81.73876315265316</v>
      </c>
      <c r="AD2439" t="n">
        <v>6.423715563002275</v>
      </c>
    </row>
    <row r="2440">
      <c r="A2440" t="n">
        <v>2439</v>
      </c>
      <c r="B2440" t="n">
        <v>55.6</v>
      </c>
      <c r="C2440" s="21">
        <f>B2440-20</f>
        <v/>
      </c>
      <c r="D2440" t="n">
        <v>115.4</v>
      </c>
      <c r="E2440" s="22">
        <f>D2440-90</f>
        <v/>
      </c>
      <c r="F2440" s="23" t="n">
        <v>0.010867</v>
      </c>
      <c r="G2440" s="22" t="n">
        <v>23</v>
      </c>
      <c r="H2440" s="22" t="n">
        <v>1.5</v>
      </c>
      <c r="I2440" s="24" t="n">
        <v>0.0569531247019767</v>
      </c>
      <c r="J2440" s="6" t="n">
        <v>71000</v>
      </c>
      <c r="K2440" s="25">
        <f>23*10^-6</f>
        <v/>
      </c>
      <c r="L2440" s="8">
        <f>H2440</f>
        <v/>
      </c>
      <c r="M2440" s="26">
        <f>H2440^2/6</f>
        <v/>
      </c>
      <c r="N2440" s="26">
        <f>H2440^3/12</f>
        <v/>
      </c>
      <c r="O2440" s="27">
        <f>-J2440*L2440*K2440*C2440</f>
        <v/>
      </c>
      <c r="P2440" s="28">
        <f>-(12*F2440*J2440*L2440*N2440+12*O2440*N2440*G2440*COS(RADIANS(E2440)))/(12*N2440*G2440*COS(RADIANS(E2440))^2+L2440*G2440^3*SIN(RADIANS(E2440))^2)</f>
        <v/>
      </c>
      <c r="Q2440" s="28">
        <f>-(6*F2440*J2440*L2440*N2440*SIN(RADIANS(E2440))+6*O2440*N2440*G2440*SIN(RADIANS(E2440))*COS(RADIANS(E2440)))/(12*N2440*COS(RADIANS(E2440))^2+L2440*G2440^2*SIN(RADIANS(E2440))^2)</f>
        <v/>
      </c>
      <c r="R2440" s="28">
        <f>-P2440*SIN(RADIANS(E2440))</f>
        <v/>
      </c>
      <c r="S2440" s="8">
        <f>(O2440+P2440*COS(RADIANS(E2440)))/L2440</f>
        <v/>
      </c>
      <c r="T2440" s="8">
        <f>R2440/L2440</f>
        <v/>
      </c>
      <c r="U2440" s="8">
        <f>(Q2440-P2440*G2440*SIN(RADIANS(E2440)))/M2440</f>
        <v/>
      </c>
      <c r="V2440" s="8">
        <f>SQRT((S2440+U2440)^2+3*T2440^2)</f>
        <v/>
      </c>
      <c r="W2440" s="8">
        <f>V2440/AA2440</f>
        <v/>
      </c>
      <c r="X2440" s="27">
        <f>((3*10+H2440/COS(RADIANS(E2440)))*(3+3)+3*G2440*H2440)*2</f>
        <v/>
      </c>
      <c r="Y2440" s="28">
        <f>Z2440/X2440</f>
        <v/>
      </c>
      <c r="Z2440" s="29" t="n">
        <v>592.9279934737229</v>
      </c>
      <c r="AA2440" s="20" t="n">
        <v>55.3689349070673</v>
      </c>
      <c r="AB2440" t="n">
        <v>0.06545880545712005</v>
      </c>
      <c r="AC2440" t="n">
        <v>54.48071617663093</v>
      </c>
      <c r="AD2440" t="n">
        <v>14.93452870172044</v>
      </c>
    </row>
    <row r="2441">
      <c r="A2441" t="n">
        <v>2440</v>
      </c>
      <c r="B2441" t="n">
        <v>76.8</v>
      </c>
      <c r="C2441" s="21">
        <f>B2441-20</f>
        <v/>
      </c>
      <c r="D2441" t="n">
        <v>122.8</v>
      </c>
      <c r="E2441" s="22">
        <f>D2441-90</f>
        <v/>
      </c>
      <c r="F2441" s="23" t="n">
        <v>0.016404</v>
      </c>
      <c r="G2441" s="22" t="n">
        <v>23</v>
      </c>
      <c r="H2441" s="22" t="n">
        <v>1.8</v>
      </c>
      <c r="I2441" s="24" t="n">
        <v>0.0769001692533493</v>
      </c>
      <c r="J2441" s="6" t="n">
        <v>71000</v>
      </c>
      <c r="K2441" s="25">
        <f>23*10^-6</f>
        <v/>
      </c>
      <c r="L2441" s="8">
        <f>H2441</f>
        <v/>
      </c>
      <c r="M2441" s="26">
        <f>H2441^2/6</f>
        <v/>
      </c>
      <c r="N2441" s="26">
        <f>H2441^3/12</f>
        <v/>
      </c>
      <c r="O2441" s="27">
        <f>-J2441*L2441*K2441*C2441</f>
        <v/>
      </c>
      <c r="P2441" s="28">
        <f>-(12*F2441*J2441*L2441*N2441+12*O2441*N2441*G2441*COS(RADIANS(E2441)))/(12*N2441*G2441*COS(RADIANS(E2441))^2+L2441*G2441^3*SIN(RADIANS(E2441))^2)</f>
        <v/>
      </c>
      <c r="Q2441" s="28">
        <f>-(6*F2441*J2441*L2441*N2441*SIN(RADIANS(E2441))+6*O2441*N2441*G2441*SIN(RADIANS(E2441))*COS(RADIANS(E2441)))/(12*N2441*COS(RADIANS(E2441))^2+L2441*G2441^2*SIN(RADIANS(E2441))^2)</f>
        <v/>
      </c>
      <c r="R2441" s="28">
        <f>-P2441*SIN(RADIANS(E2441))</f>
        <v/>
      </c>
      <c r="S2441" s="8">
        <f>(O2441+P2441*COS(RADIANS(E2441)))/L2441</f>
        <v/>
      </c>
      <c r="T2441" s="8">
        <f>R2441/L2441</f>
        <v/>
      </c>
      <c r="U2441" s="8">
        <f>(Q2441-P2441*G2441*SIN(RADIANS(E2441)))/M2441</f>
        <v/>
      </c>
      <c r="V2441" s="8">
        <f>SQRT((S2441+U2441)^2+3*T2441^2)</f>
        <v/>
      </c>
      <c r="W2441" s="8">
        <f>V2441/AA2441</f>
        <v/>
      </c>
      <c r="X2441" s="27">
        <f>((3*10+H2441/COS(RADIANS(E2441)))*(3+3)+3*G2441*H2441)*2</f>
        <v/>
      </c>
      <c r="Y2441" s="28">
        <f>Z2441/X2441</f>
        <v/>
      </c>
      <c r="Z2441" s="29" t="n">
        <v>642.082751121339</v>
      </c>
      <c r="AA2441" s="20" t="n">
        <v>91.9102082849885</v>
      </c>
      <c r="AB2441" t="n">
        <v>0.07959134636963136</v>
      </c>
      <c r="AC2441" t="n">
        <v>85.50224199781923</v>
      </c>
      <c r="AD2441" t="n">
        <v>3.499572422806917</v>
      </c>
    </row>
    <row r="2442">
      <c r="A2442" t="n">
        <v>2441</v>
      </c>
      <c r="B2442" t="n">
        <v>47.5</v>
      </c>
      <c r="C2442" s="21">
        <f>B2442-20</f>
        <v/>
      </c>
      <c r="D2442" t="n">
        <v>112</v>
      </c>
      <c r="E2442" s="22">
        <f>D2442-90</f>
        <v/>
      </c>
      <c r="F2442" s="23" t="n">
        <v>0.011619</v>
      </c>
      <c r="G2442" s="22" t="n">
        <v>33.5</v>
      </c>
      <c r="H2442" s="22" t="n">
        <v>1.4</v>
      </c>
      <c r="I2442" s="24" t="n">
        <v>0.0628935545682907</v>
      </c>
      <c r="J2442" s="6" t="n">
        <v>71000</v>
      </c>
      <c r="K2442" s="25">
        <f>23*10^-6</f>
        <v/>
      </c>
      <c r="L2442" s="8">
        <f>H2442</f>
        <v/>
      </c>
      <c r="M2442" s="26">
        <f>H2442^2/6</f>
        <v/>
      </c>
      <c r="N2442" s="26">
        <f>H2442^3/12</f>
        <v/>
      </c>
      <c r="O2442" s="27">
        <f>-J2442*L2442*K2442*C2442</f>
        <v/>
      </c>
      <c r="P2442" s="28">
        <f>-(12*F2442*J2442*L2442*N2442+12*O2442*N2442*G2442*COS(RADIANS(E2442)))/(12*N2442*G2442*COS(RADIANS(E2442))^2+L2442*G2442^3*SIN(RADIANS(E2442))^2)</f>
        <v/>
      </c>
      <c r="Q2442" s="28">
        <f>-(6*F2442*J2442*L2442*N2442*SIN(RADIANS(E2442))+6*O2442*N2442*G2442*SIN(RADIANS(E2442))*COS(RADIANS(E2442)))/(12*N2442*COS(RADIANS(E2442))^2+L2442*G2442^2*SIN(RADIANS(E2442))^2)</f>
        <v/>
      </c>
      <c r="R2442" s="28">
        <f>-P2442*SIN(RADIANS(E2442))</f>
        <v/>
      </c>
      <c r="S2442" s="8">
        <f>(O2442+P2442*COS(RADIANS(E2442)))/L2442</f>
        <v/>
      </c>
      <c r="T2442" s="8">
        <f>R2442/L2442</f>
        <v/>
      </c>
      <c r="U2442" s="8">
        <f>(Q2442-P2442*G2442*SIN(RADIANS(E2442)))/M2442</f>
        <v/>
      </c>
      <c r="V2442" s="8">
        <f>SQRT((S2442+U2442)^2+3*T2442^2)</f>
        <v/>
      </c>
      <c r="W2442" s="8">
        <f>V2442/AA2442</f>
        <v/>
      </c>
      <c r="X2442" s="27">
        <f>((3*10+H2442/COS(RADIANS(E2442)))*(3+3)+3*G2442*H2442)*2</f>
        <v/>
      </c>
      <c r="Y2442" s="28">
        <f>Z2442/X2442</f>
        <v/>
      </c>
      <c r="Z2442" s="29" t="n">
        <v>664.837846886886</v>
      </c>
      <c r="AA2442" s="20" t="n">
        <v>40.6499845978815</v>
      </c>
      <c r="AB2442" t="n">
        <v>0.08436663924126468</v>
      </c>
      <c r="AC2442" t="n">
        <v>41.40984394986312</v>
      </c>
      <c r="AD2442" t="n">
        <v>34.14194796329759</v>
      </c>
    </row>
    <row r="2443">
      <c r="A2443" t="n">
        <v>2442</v>
      </c>
      <c r="B2443" t="n">
        <v>89.09999999999999</v>
      </c>
      <c r="C2443" s="21">
        <f>B2443-20</f>
        <v/>
      </c>
      <c r="D2443" t="n">
        <v>123.8</v>
      </c>
      <c r="E2443" s="22">
        <f>D2443-90</f>
        <v/>
      </c>
      <c r="F2443" s="23" t="n">
        <v>0.022466</v>
      </c>
      <c r="G2443" s="22" t="n">
        <v>27.1</v>
      </c>
      <c r="H2443" s="22" t="n">
        <v>1.8</v>
      </c>
      <c r="I2443" s="24" t="n">
        <v>0.101751506328582</v>
      </c>
      <c r="J2443" s="6" t="n">
        <v>71000</v>
      </c>
      <c r="K2443" s="25">
        <f>23*10^-6</f>
        <v/>
      </c>
      <c r="L2443" s="8">
        <f>H2443</f>
        <v/>
      </c>
      <c r="M2443" s="26">
        <f>H2443^2/6</f>
        <v/>
      </c>
      <c r="N2443" s="26">
        <f>H2443^3/12</f>
        <v/>
      </c>
      <c r="O2443" s="27">
        <f>-J2443*L2443*K2443*C2443</f>
        <v/>
      </c>
      <c r="P2443" s="28">
        <f>-(12*F2443*J2443*L2443*N2443+12*O2443*N2443*G2443*COS(RADIANS(E2443)))/(12*N2443*G2443*COS(RADIANS(E2443))^2+L2443*G2443^3*SIN(RADIANS(E2443))^2)</f>
        <v/>
      </c>
      <c r="Q2443" s="28">
        <f>-(6*F2443*J2443*L2443*N2443*SIN(RADIANS(E2443))+6*O2443*N2443*G2443*SIN(RADIANS(E2443))*COS(RADIANS(E2443)))/(12*N2443*COS(RADIANS(E2443))^2+L2443*G2443^2*SIN(RADIANS(E2443))^2)</f>
        <v/>
      </c>
      <c r="R2443" s="28">
        <f>-P2443*SIN(RADIANS(E2443))</f>
        <v/>
      </c>
      <c r="S2443" s="8">
        <f>(O2443+P2443*COS(RADIANS(E2443)))/L2443</f>
        <v/>
      </c>
      <c r="T2443" s="8">
        <f>R2443/L2443</f>
        <v/>
      </c>
      <c r="U2443" s="8">
        <f>(Q2443-P2443*G2443*SIN(RADIANS(E2443)))/M2443</f>
        <v/>
      </c>
      <c r="V2443" s="8">
        <f>SQRT((S2443+U2443)^2+3*T2443^2)</f>
        <v/>
      </c>
      <c r="W2443" s="8">
        <f>V2443/AA2443</f>
        <v/>
      </c>
      <c r="X2443" s="27">
        <f>((3*10+H2443/COS(RADIANS(E2443)))*(3+3)+3*G2443*H2443)*2</f>
        <v/>
      </c>
      <c r="Y2443" s="28">
        <f>Z2443/X2443</f>
        <v/>
      </c>
      <c r="Z2443" s="29" t="n">
        <v>686.988301158774</v>
      </c>
      <c r="AA2443" s="20" t="n">
        <v>107.821038336805</v>
      </c>
      <c r="AB2443" t="n">
        <v>0.1097538711497731</v>
      </c>
      <c r="AC2443" t="n">
        <v>102.6578633823892</v>
      </c>
      <c r="AD2443" t="n">
        <v>7.864615581561446</v>
      </c>
    </row>
    <row r="2444">
      <c r="A2444" t="n">
        <v>2443</v>
      </c>
      <c r="B2444" t="n">
        <v>49</v>
      </c>
      <c r="C2444" s="21">
        <f>B2444-20</f>
        <v/>
      </c>
      <c r="D2444" t="n">
        <v>128.3</v>
      </c>
      <c r="E2444" s="22">
        <f>D2444-90</f>
        <v/>
      </c>
      <c r="F2444" s="23" t="n">
        <v>0.008029</v>
      </c>
      <c r="G2444" s="22" t="n">
        <v>23.3</v>
      </c>
      <c r="H2444" s="22" t="n">
        <v>1.7</v>
      </c>
      <c r="I2444" s="24" t="n">
        <v>0.0360433682799339</v>
      </c>
      <c r="J2444" s="6" t="n">
        <v>71000</v>
      </c>
      <c r="K2444" s="25">
        <f>23*10^-6</f>
        <v/>
      </c>
      <c r="L2444" s="8">
        <f>H2444</f>
        <v/>
      </c>
      <c r="M2444" s="26">
        <f>H2444^2/6</f>
        <v/>
      </c>
      <c r="N2444" s="26">
        <f>H2444^3/12</f>
        <v/>
      </c>
      <c r="O2444" s="27">
        <f>-J2444*L2444*K2444*C2444</f>
        <v/>
      </c>
      <c r="P2444" s="28">
        <f>-(12*F2444*J2444*L2444*N2444+12*O2444*N2444*G2444*COS(RADIANS(E2444)))/(12*N2444*G2444*COS(RADIANS(E2444))^2+L2444*G2444^3*SIN(RADIANS(E2444))^2)</f>
        <v/>
      </c>
      <c r="Q2444" s="28">
        <f>-(6*F2444*J2444*L2444*N2444*SIN(RADIANS(E2444))+6*O2444*N2444*G2444*SIN(RADIANS(E2444))*COS(RADIANS(E2444)))/(12*N2444*COS(RADIANS(E2444))^2+L2444*G2444^2*SIN(RADIANS(E2444))^2)</f>
        <v/>
      </c>
      <c r="R2444" s="28">
        <f>-P2444*SIN(RADIANS(E2444))</f>
        <v/>
      </c>
      <c r="S2444" s="8">
        <f>(O2444+P2444*COS(RADIANS(E2444)))/L2444</f>
        <v/>
      </c>
      <c r="T2444" s="8">
        <f>R2444/L2444</f>
        <v/>
      </c>
      <c r="U2444" s="8">
        <f>(Q2444-P2444*G2444*SIN(RADIANS(E2444)))/M2444</f>
        <v/>
      </c>
      <c r="V2444" s="8">
        <f>SQRT((S2444+U2444)^2+3*T2444^2)</f>
        <v/>
      </c>
      <c r="W2444" s="8">
        <f>V2444/AA2444</f>
        <v/>
      </c>
      <c r="X2444" s="27">
        <f>((3*10+H2444/COS(RADIANS(E2444)))*(3+3)+3*G2444*H2444)*2</f>
        <v/>
      </c>
      <c r="Y2444" s="28">
        <f>Z2444/X2444</f>
        <v/>
      </c>
      <c r="Z2444" s="29" t="n">
        <v>633.670256393205</v>
      </c>
      <c r="AA2444" s="20" t="n">
        <v>45.3164720028879</v>
      </c>
      <c r="AB2444" t="n">
        <v>0.03488944600892599</v>
      </c>
      <c r="AC2444" t="n">
        <v>42.49578186716619</v>
      </c>
      <c r="AD2444" t="n">
        <v>-3.201482897064104</v>
      </c>
    </row>
    <row r="2445">
      <c r="A2445" t="n">
        <v>2444</v>
      </c>
      <c r="B2445" t="n">
        <v>58</v>
      </c>
      <c r="C2445" s="21">
        <f>B2445-20</f>
        <v/>
      </c>
      <c r="D2445" t="n">
        <v>105.9</v>
      </c>
      <c r="E2445" s="22">
        <f>D2445-90</f>
        <v/>
      </c>
      <c r="F2445" s="23" t="n">
        <v>0.01189</v>
      </c>
      <c r="G2445" s="22" t="n">
        <v>22.3</v>
      </c>
      <c r="H2445" s="22" t="n">
        <v>1.1</v>
      </c>
      <c r="I2445" s="24" t="n">
        <v>0.084017775952816</v>
      </c>
      <c r="J2445" s="6" t="n">
        <v>71000</v>
      </c>
      <c r="K2445" s="25">
        <f>23*10^-6</f>
        <v/>
      </c>
      <c r="L2445" s="8">
        <f>H2445</f>
        <v/>
      </c>
      <c r="M2445" s="26">
        <f>H2445^2/6</f>
        <v/>
      </c>
      <c r="N2445" s="26">
        <f>H2445^3/12</f>
        <v/>
      </c>
      <c r="O2445" s="27">
        <f>-J2445*L2445*K2445*C2445</f>
        <v/>
      </c>
      <c r="P2445" s="28">
        <f>-(12*F2445*J2445*L2445*N2445+12*O2445*N2445*G2445*COS(RADIANS(E2445)))/(12*N2445*G2445*COS(RADIANS(E2445))^2+L2445*G2445^3*SIN(RADIANS(E2445))^2)</f>
        <v/>
      </c>
      <c r="Q2445" s="28">
        <f>-(6*F2445*J2445*L2445*N2445*SIN(RADIANS(E2445))+6*O2445*N2445*G2445*SIN(RADIANS(E2445))*COS(RADIANS(E2445)))/(12*N2445*COS(RADIANS(E2445))^2+L2445*G2445^2*SIN(RADIANS(E2445))^2)</f>
        <v/>
      </c>
      <c r="R2445" s="28">
        <f>-P2445*SIN(RADIANS(E2445))</f>
        <v/>
      </c>
      <c r="S2445" s="8">
        <f>(O2445+P2445*COS(RADIANS(E2445)))/L2445</f>
        <v/>
      </c>
      <c r="T2445" s="8">
        <f>R2445/L2445</f>
        <v/>
      </c>
      <c r="U2445" s="8">
        <f>(Q2445-P2445*G2445*SIN(RADIANS(E2445)))/M2445</f>
        <v/>
      </c>
      <c r="V2445" s="8">
        <f>SQRT((S2445+U2445)^2+3*T2445^2)</f>
        <v/>
      </c>
      <c r="W2445" s="8">
        <f>V2445/AA2445</f>
        <v/>
      </c>
      <c r="X2445" s="27">
        <f>((3*10+H2445/COS(RADIANS(E2445)))*(3+3)+3*G2445*H2445)*2</f>
        <v/>
      </c>
      <c r="Y2445" s="28">
        <f>Z2445/X2445</f>
        <v/>
      </c>
      <c r="Z2445" s="29" t="n">
        <v>525.293469411891</v>
      </c>
      <c r="AA2445" s="20" t="n">
        <v>56.1195862141567</v>
      </c>
      <c r="AB2445" t="n">
        <v>0.1094977842329101</v>
      </c>
      <c r="AC2445" t="n">
        <v>59.90938218628477</v>
      </c>
      <c r="AD2445" t="n">
        <v>30.32692545254184</v>
      </c>
    </row>
    <row r="2446">
      <c r="A2446" t="n">
        <v>2445</v>
      </c>
      <c r="B2446" t="n">
        <v>72.5</v>
      </c>
      <c r="C2446" s="21">
        <f>B2446-20</f>
        <v/>
      </c>
      <c r="D2446" t="n">
        <v>120.4</v>
      </c>
      <c r="E2446" s="22">
        <f>D2446-90</f>
        <v/>
      </c>
      <c r="F2446" s="23" t="n">
        <v>0.021142</v>
      </c>
      <c r="G2446" s="22" t="n">
        <v>34</v>
      </c>
      <c r="H2446" s="22" t="n">
        <v>1.4</v>
      </c>
      <c r="I2446" s="24" t="n">
        <v>0.0962444469332695</v>
      </c>
      <c r="J2446" s="6" t="n">
        <v>71000</v>
      </c>
      <c r="K2446" s="25">
        <f>23*10^-6</f>
        <v/>
      </c>
      <c r="L2446" s="8">
        <f>H2446</f>
        <v/>
      </c>
      <c r="M2446" s="26">
        <f>H2446^2/6</f>
        <v/>
      </c>
      <c r="N2446" s="26">
        <f>H2446^3/12</f>
        <v/>
      </c>
      <c r="O2446" s="27">
        <f>-J2446*L2446*K2446*C2446</f>
        <v/>
      </c>
      <c r="P2446" s="28">
        <f>-(12*F2446*J2446*L2446*N2446+12*O2446*N2446*G2446*COS(RADIANS(E2446)))/(12*N2446*G2446*COS(RADIANS(E2446))^2+L2446*G2446^3*SIN(RADIANS(E2446))^2)</f>
        <v/>
      </c>
      <c r="Q2446" s="28">
        <f>-(6*F2446*J2446*L2446*N2446*SIN(RADIANS(E2446))+6*O2446*N2446*G2446*SIN(RADIANS(E2446))*COS(RADIANS(E2446)))/(12*N2446*COS(RADIANS(E2446))^2+L2446*G2446^2*SIN(RADIANS(E2446))^2)</f>
        <v/>
      </c>
      <c r="R2446" s="28">
        <f>-P2446*SIN(RADIANS(E2446))</f>
        <v/>
      </c>
      <c r="S2446" s="8">
        <f>(O2446+P2446*COS(RADIANS(E2446)))/L2446</f>
        <v/>
      </c>
      <c r="T2446" s="8">
        <f>R2446/L2446</f>
        <v/>
      </c>
      <c r="U2446" s="8">
        <f>(Q2446-P2446*G2446*SIN(RADIANS(E2446)))/M2446</f>
        <v/>
      </c>
      <c r="V2446" s="8">
        <f>SQRT((S2446+U2446)^2+3*T2446^2)</f>
        <v/>
      </c>
      <c r="W2446" s="8">
        <f>V2446/AA2446</f>
        <v/>
      </c>
      <c r="X2446" s="27">
        <f>((3*10+H2446/COS(RADIANS(E2446)))*(3+3)+3*G2446*H2446)*2</f>
        <v/>
      </c>
      <c r="Y2446" s="28">
        <f>Z2446/X2446</f>
        <v/>
      </c>
      <c r="Z2446" s="29" t="n">
        <v>672.337227527452</v>
      </c>
      <c r="AA2446" s="20" t="n">
        <v>75.36946178527</v>
      </c>
      <c r="AB2446" t="n">
        <v>0.1165320065522666</v>
      </c>
      <c r="AC2446" t="n">
        <v>76.32768590615807</v>
      </c>
      <c r="AD2446" t="n">
        <v>21.0792001673233</v>
      </c>
    </row>
    <row r="2447">
      <c r="A2447" t="n">
        <v>2446</v>
      </c>
      <c r="B2447" t="n">
        <v>68.40000000000001</v>
      </c>
      <c r="C2447" s="21">
        <f>B2447-20</f>
        <v/>
      </c>
      <c r="D2447" t="n">
        <v>111.5</v>
      </c>
      <c r="E2447" s="22">
        <f>D2447-90</f>
        <v/>
      </c>
      <c r="F2447" s="23" t="n">
        <v>0.01979</v>
      </c>
      <c r="G2447" s="22" t="n">
        <v>32.1</v>
      </c>
      <c r="H2447" s="22" t="n">
        <v>1.6</v>
      </c>
      <c r="I2447" s="24" t="n">
        <v>0.109102234244346</v>
      </c>
      <c r="J2447" s="6" t="n">
        <v>71000</v>
      </c>
      <c r="K2447" s="25">
        <f>23*10^-6</f>
        <v/>
      </c>
      <c r="L2447" s="8">
        <f>H2447</f>
        <v/>
      </c>
      <c r="M2447" s="26">
        <f>H2447^2/6</f>
        <v/>
      </c>
      <c r="N2447" s="26">
        <f>H2447^3/12</f>
        <v/>
      </c>
      <c r="O2447" s="27">
        <f>-J2447*L2447*K2447*C2447</f>
        <v/>
      </c>
      <c r="P2447" s="28">
        <f>-(12*F2447*J2447*L2447*N2447+12*O2447*N2447*G2447*COS(RADIANS(E2447)))/(12*N2447*G2447*COS(RADIANS(E2447))^2+L2447*G2447^3*SIN(RADIANS(E2447))^2)</f>
        <v/>
      </c>
      <c r="Q2447" s="28">
        <f>-(6*F2447*J2447*L2447*N2447*SIN(RADIANS(E2447))+6*O2447*N2447*G2447*SIN(RADIANS(E2447))*COS(RADIANS(E2447)))/(12*N2447*COS(RADIANS(E2447))^2+L2447*G2447^2*SIN(RADIANS(E2447))^2)</f>
        <v/>
      </c>
      <c r="R2447" s="28">
        <f>-P2447*SIN(RADIANS(E2447))</f>
        <v/>
      </c>
      <c r="S2447" s="8">
        <f>(O2447+P2447*COS(RADIANS(E2447)))/L2447</f>
        <v/>
      </c>
      <c r="T2447" s="8">
        <f>R2447/L2447</f>
        <v/>
      </c>
      <c r="U2447" s="8">
        <f>(Q2447-P2447*G2447*SIN(RADIANS(E2447)))/M2447</f>
        <v/>
      </c>
      <c r="V2447" s="8">
        <f>SQRT((S2447+U2447)^2+3*T2447^2)</f>
        <v/>
      </c>
      <c r="W2447" s="8">
        <f>V2447/AA2447</f>
        <v/>
      </c>
      <c r="X2447" s="27">
        <f>((3*10+H2447/COS(RADIANS(E2447)))*(3+3)+3*G2447*H2447)*2</f>
        <v/>
      </c>
      <c r="Y2447" s="28">
        <f>Z2447/X2447</f>
        <v/>
      </c>
      <c r="Z2447" s="29" t="n">
        <v>694.024394975865</v>
      </c>
      <c r="AA2447" s="20" t="n">
        <v>74.94317676438681</v>
      </c>
      <c r="AB2447" t="n">
        <v>0.1452874366573533</v>
      </c>
      <c r="AC2447" t="n">
        <v>74.42425180623063</v>
      </c>
      <c r="AD2447" t="n">
        <v>33.1663257527492</v>
      </c>
    </row>
    <row r="2448">
      <c r="A2448" t="n">
        <v>2447</v>
      </c>
      <c r="B2448" t="n">
        <v>43.2</v>
      </c>
      <c r="C2448" s="21">
        <f>B2448-20</f>
        <v/>
      </c>
      <c r="D2448" t="n">
        <v>110.3</v>
      </c>
      <c r="E2448" s="22">
        <f>D2448-90</f>
        <v/>
      </c>
      <c r="F2448" s="23" t="n">
        <v>0.007317</v>
      </c>
      <c r="G2448" s="22" t="n">
        <v>23.1</v>
      </c>
      <c r="H2448" s="22" t="n">
        <v>1.8</v>
      </c>
      <c r="I2448" s="24" t="n">
        <v>0.043166272342205</v>
      </c>
      <c r="J2448" s="6" t="n">
        <v>71000</v>
      </c>
      <c r="K2448" s="25">
        <f>23*10^-6</f>
        <v/>
      </c>
      <c r="L2448" s="8">
        <f>H2448</f>
        <v/>
      </c>
      <c r="M2448" s="26">
        <f>H2448^2/6</f>
        <v/>
      </c>
      <c r="N2448" s="26">
        <f>H2448^3/12</f>
        <v/>
      </c>
      <c r="O2448" s="27">
        <f>-J2448*L2448*K2448*C2448</f>
        <v/>
      </c>
      <c r="P2448" s="28">
        <f>-(12*F2448*J2448*L2448*N2448+12*O2448*N2448*G2448*COS(RADIANS(E2448)))/(12*N2448*G2448*COS(RADIANS(E2448))^2+L2448*G2448^3*SIN(RADIANS(E2448))^2)</f>
        <v/>
      </c>
      <c r="Q2448" s="28">
        <f>-(6*F2448*J2448*L2448*N2448*SIN(RADIANS(E2448))+6*O2448*N2448*G2448*SIN(RADIANS(E2448))*COS(RADIANS(E2448)))/(12*N2448*COS(RADIANS(E2448))^2+L2448*G2448^2*SIN(RADIANS(E2448))^2)</f>
        <v/>
      </c>
      <c r="R2448" s="28">
        <f>-P2448*SIN(RADIANS(E2448))</f>
        <v/>
      </c>
      <c r="S2448" s="8">
        <f>(O2448+P2448*COS(RADIANS(E2448)))/L2448</f>
        <v/>
      </c>
      <c r="T2448" s="8">
        <f>R2448/L2448</f>
        <v/>
      </c>
      <c r="U2448" s="8">
        <f>(Q2448-P2448*G2448*SIN(RADIANS(E2448)))/M2448</f>
        <v/>
      </c>
      <c r="V2448" s="8">
        <f>SQRT((S2448+U2448)^2+3*T2448^2)</f>
        <v/>
      </c>
      <c r="W2448" s="8">
        <f>V2448/AA2448</f>
        <v/>
      </c>
      <c r="X2448" s="27">
        <f>((3*10+H2448/COS(RADIANS(E2448)))*(3+3)+3*G2448*H2448)*2</f>
        <v/>
      </c>
      <c r="Y2448" s="28">
        <f>Z2448/X2448</f>
        <v/>
      </c>
      <c r="Z2448" s="29" t="n">
        <v>637.533458788862</v>
      </c>
      <c r="AA2448" s="20" t="n">
        <v>39.4912305522823</v>
      </c>
      <c r="AB2448" t="n">
        <v>0.05284383687950554</v>
      </c>
      <c r="AC2448" t="n">
        <v>37.59708516241775</v>
      </c>
      <c r="AD2448" t="n">
        <v>22.41927322466175</v>
      </c>
    </row>
    <row r="2449">
      <c r="A2449" t="n">
        <v>2448</v>
      </c>
      <c r="B2449" t="n">
        <v>61.6</v>
      </c>
      <c r="C2449" s="21">
        <f>B2449-20</f>
        <v/>
      </c>
      <c r="D2449" t="n">
        <v>106.7</v>
      </c>
      <c r="E2449" s="22">
        <f>D2449-90</f>
        <v/>
      </c>
      <c r="F2449" s="23" t="n">
        <v>0.014429</v>
      </c>
      <c r="G2449" s="22" t="n">
        <v>25.5</v>
      </c>
      <c r="H2449" s="22" t="n">
        <v>1.7</v>
      </c>
      <c r="I2449" s="24" t="n">
        <v>0.0954788774251937</v>
      </c>
      <c r="J2449" s="6" t="n">
        <v>71000</v>
      </c>
      <c r="K2449" s="25">
        <f>23*10^-6</f>
        <v/>
      </c>
      <c r="L2449" s="8">
        <f>H2449</f>
        <v/>
      </c>
      <c r="M2449" s="26">
        <f>H2449^2/6</f>
        <v/>
      </c>
      <c r="N2449" s="26">
        <f>H2449^3/12</f>
        <v/>
      </c>
      <c r="O2449" s="27">
        <f>-J2449*L2449*K2449*C2449</f>
        <v/>
      </c>
      <c r="P2449" s="28">
        <f>-(12*F2449*J2449*L2449*N2449+12*O2449*N2449*G2449*COS(RADIANS(E2449)))/(12*N2449*G2449*COS(RADIANS(E2449))^2+L2449*G2449^3*SIN(RADIANS(E2449))^2)</f>
        <v/>
      </c>
      <c r="Q2449" s="28">
        <f>-(6*F2449*J2449*L2449*N2449*SIN(RADIANS(E2449))+6*O2449*N2449*G2449*SIN(RADIANS(E2449))*COS(RADIANS(E2449)))/(12*N2449*COS(RADIANS(E2449))^2+L2449*G2449^2*SIN(RADIANS(E2449))^2)</f>
        <v/>
      </c>
      <c r="R2449" s="28">
        <f>-P2449*SIN(RADIANS(E2449))</f>
        <v/>
      </c>
      <c r="S2449" s="8">
        <f>(O2449+P2449*COS(RADIANS(E2449)))/L2449</f>
        <v/>
      </c>
      <c r="T2449" s="8">
        <f>R2449/L2449</f>
        <v/>
      </c>
      <c r="U2449" s="8">
        <f>(Q2449-P2449*G2449*SIN(RADIANS(E2449)))/M2449</f>
        <v/>
      </c>
      <c r="V2449" s="8">
        <f>SQRT((S2449+U2449)^2+3*T2449^2)</f>
        <v/>
      </c>
      <c r="W2449" s="8">
        <f>V2449/AA2449</f>
        <v/>
      </c>
      <c r="X2449" s="27">
        <f>((3*10+H2449/COS(RADIANS(E2449)))*(3+3)+3*G2449*H2449)*2</f>
        <v/>
      </c>
      <c r="Y2449" s="28">
        <f>Z2449/X2449</f>
        <v/>
      </c>
      <c r="Z2449" s="29" t="n">
        <v>645.888773724958</v>
      </c>
      <c r="AA2449" s="20" t="n">
        <v>69.3119714924816</v>
      </c>
      <c r="AB2449" t="n">
        <v>0.1265360541451122</v>
      </c>
      <c r="AC2449" t="n">
        <v>68.44983216604193</v>
      </c>
      <c r="AD2449" t="n">
        <v>32.5277983544071</v>
      </c>
    </row>
    <row r="2450">
      <c r="A2450" t="n">
        <v>2449</v>
      </c>
      <c r="B2450" t="n">
        <v>43.3</v>
      </c>
      <c r="C2450" s="21">
        <f>B2450-20</f>
        <v/>
      </c>
      <c r="D2450" t="n">
        <v>112.1</v>
      </c>
      <c r="E2450" s="22">
        <f>D2450-90</f>
        <v/>
      </c>
      <c r="F2450" s="23" t="n">
        <v>0.006934</v>
      </c>
      <c r="G2450" s="22" t="n">
        <v>21.7</v>
      </c>
      <c r="H2450" s="22" t="n">
        <v>1.9</v>
      </c>
      <c r="I2450" s="24" t="n">
        <v>0.0391644686460495</v>
      </c>
      <c r="J2450" s="6" t="n">
        <v>71000</v>
      </c>
      <c r="K2450" s="25">
        <f>23*10^-6</f>
        <v/>
      </c>
      <c r="L2450" s="8">
        <f>H2450</f>
        <v/>
      </c>
      <c r="M2450" s="26">
        <f>H2450^2/6</f>
        <v/>
      </c>
      <c r="N2450" s="26">
        <f>H2450^3/12</f>
        <v/>
      </c>
      <c r="O2450" s="27">
        <f>-J2450*L2450*K2450*C2450</f>
        <v/>
      </c>
      <c r="P2450" s="28">
        <f>-(12*F2450*J2450*L2450*N2450+12*O2450*N2450*G2450*COS(RADIANS(E2450)))/(12*N2450*G2450*COS(RADIANS(E2450))^2+L2450*G2450^3*SIN(RADIANS(E2450))^2)</f>
        <v/>
      </c>
      <c r="Q2450" s="28">
        <f>-(6*F2450*J2450*L2450*N2450*SIN(RADIANS(E2450))+6*O2450*N2450*G2450*SIN(RADIANS(E2450))*COS(RADIANS(E2450)))/(12*N2450*COS(RADIANS(E2450))^2+L2450*G2450^2*SIN(RADIANS(E2450))^2)</f>
        <v/>
      </c>
      <c r="R2450" s="28">
        <f>-P2450*SIN(RADIANS(E2450))</f>
        <v/>
      </c>
      <c r="S2450" s="8">
        <f>(O2450+P2450*COS(RADIANS(E2450)))/L2450</f>
        <v/>
      </c>
      <c r="T2450" s="8">
        <f>R2450/L2450</f>
        <v/>
      </c>
      <c r="U2450" s="8">
        <f>(Q2450-P2450*G2450*SIN(RADIANS(E2450)))/M2450</f>
        <v/>
      </c>
      <c r="V2450" s="8">
        <f>SQRT((S2450+U2450)^2+3*T2450^2)</f>
        <v/>
      </c>
      <c r="W2450" s="8">
        <f>V2450/AA2450</f>
        <v/>
      </c>
      <c r="X2450" s="27">
        <f>((3*10+H2450/COS(RADIANS(E2450)))*(3+3)+3*G2450*H2450)*2</f>
        <v/>
      </c>
      <c r="Y2450" s="28">
        <f>Z2450/X2450</f>
        <v/>
      </c>
      <c r="Z2450" s="29" t="n">
        <v>637.324750618842</v>
      </c>
      <c r="AA2450" s="20" t="n">
        <v>40.529392695194</v>
      </c>
      <c r="AB2450" t="n">
        <v>0.04572954286785761</v>
      </c>
      <c r="AC2450" t="n">
        <v>37.69581567976336</v>
      </c>
      <c r="AD2450" t="n">
        <v>16.76283235485776</v>
      </c>
    </row>
    <row r="2451">
      <c r="A2451" t="n">
        <v>2450</v>
      </c>
      <c r="B2451" t="n">
        <v>54</v>
      </c>
      <c r="C2451" s="21">
        <f>B2451-20</f>
        <v/>
      </c>
      <c r="D2451" t="n">
        <v>104.5</v>
      </c>
      <c r="E2451" s="22">
        <f>D2451-90</f>
        <v/>
      </c>
      <c r="F2451" s="23" t="n">
        <v>0.010844</v>
      </c>
      <c r="G2451" s="22" t="n">
        <v>22.7</v>
      </c>
      <c r="H2451" s="22" t="n">
        <v>1.2</v>
      </c>
      <c r="I2451" s="24" t="n">
        <v>0.08120574057102201</v>
      </c>
      <c r="J2451" s="6" t="n">
        <v>71000</v>
      </c>
      <c r="K2451" s="25">
        <f>23*10^-6</f>
        <v/>
      </c>
      <c r="L2451" s="8">
        <f>H2451</f>
        <v/>
      </c>
      <c r="M2451" s="26">
        <f>H2451^2/6</f>
        <v/>
      </c>
      <c r="N2451" s="26">
        <f>H2451^3/12</f>
        <v/>
      </c>
      <c r="O2451" s="27">
        <f>-J2451*L2451*K2451*C2451</f>
        <v/>
      </c>
      <c r="P2451" s="28">
        <f>-(12*F2451*J2451*L2451*N2451+12*O2451*N2451*G2451*COS(RADIANS(E2451)))/(12*N2451*G2451*COS(RADIANS(E2451))^2+L2451*G2451^3*SIN(RADIANS(E2451))^2)</f>
        <v/>
      </c>
      <c r="Q2451" s="28">
        <f>-(6*F2451*J2451*L2451*N2451*SIN(RADIANS(E2451))+6*O2451*N2451*G2451*SIN(RADIANS(E2451))*COS(RADIANS(E2451)))/(12*N2451*COS(RADIANS(E2451))^2+L2451*G2451^2*SIN(RADIANS(E2451))^2)</f>
        <v/>
      </c>
      <c r="R2451" s="28">
        <f>-P2451*SIN(RADIANS(E2451))</f>
        <v/>
      </c>
      <c r="S2451" s="8">
        <f>(O2451+P2451*COS(RADIANS(E2451)))/L2451</f>
        <v/>
      </c>
      <c r="T2451" s="8">
        <f>R2451/L2451</f>
        <v/>
      </c>
      <c r="U2451" s="8">
        <f>(Q2451-P2451*G2451*SIN(RADIANS(E2451)))/M2451</f>
        <v/>
      </c>
      <c r="V2451" s="8">
        <f>SQRT((S2451+U2451)^2+3*T2451^2)</f>
        <v/>
      </c>
      <c r="W2451" s="8">
        <f>V2451/AA2451</f>
        <v/>
      </c>
      <c r="X2451" s="27">
        <f>((3*10+H2451/COS(RADIANS(E2451)))*(3+3)+3*G2451*H2451)*2</f>
        <v/>
      </c>
      <c r="Y2451" s="28">
        <f>Z2451/X2451</f>
        <v/>
      </c>
      <c r="Z2451" s="29" t="n">
        <v>542.537001374031</v>
      </c>
      <c r="AA2451" s="20" t="n">
        <v>51.425791521545</v>
      </c>
      <c r="AB2451" t="n">
        <v>0.108190314289395</v>
      </c>
      <c r="AC2451" t="n">
        <v>54.91067761164292</v>
      </c>
      <c r="AD2451" t="n">
        <v>33.22988440056461</v>
      </c>
    </row>
    <row r="2452">
      <c r="A2452" t="n">
        <v>2451</v>
      </c>
      <c r="B2452" t="n">
        <v>54.2</v>
      </c>
      <c r="C2452" s="21">
        <f>B2452-20</f>
        <v/>
      </c>
      <c r="D2452" t="n">
        <v>123.4</v>
      </c>
      <c r="E2452" s="22">
        <f>D2452-90</f>
        <v/>
      </c>
      <c r="F2452" s="23" t="n">
        <v>0.009923</v>
      </c>
      <c r="G2452" s="22" t="n">
        <v>23.3</v>
      </c>
      <c r="H2452" s="22" t="n">
        <v>1</v>
      </c>
      <c r="I2452" s="24" t="n">
        <v>0.0460736975073814</v>
      </c>
      <c r="J2452" s="6" t="n">
        <v>71000</v>
      </c>
      <c r="K2452" s="25">
        <f>23*10^-6</f>
        <v/>
      </c>
      <c r="L2452" s="8">
        <f>H2452</f>
        <v/>
      </c>
      <c r="M2452" s="26">
        <f>H2452^2/6</f>
        <v/>
      </c>
      <c r="N2452" s="26">
        <f>H2452^3/12</f>
        <v/>
      </c>
      <c r="O2452" s="27">
        <f>-J2452*L2452*K2452*C2452</f>
        <v/>
      </c>
      <c r="P2452" s="28">
        <f>-(12*F2452*J2452*L2452*N2452+12*O2452*N2452*G2452*COS(RADIANS(E2452)))/(12*N2452*G2452*COS(RADIANS(E2452))^2+L2452*G2452^3*SIN(RADIANS(E2452))^2)</f>
        <v/>
      </c>
      <c r="Q2452" s="28">
        <f>-(6*F2452*J2452*L2452*N2452*SIN(RADIANS(E2452))+6*O2452*N2452*G2452*SIN(RADIANS(E2452))*COS(RADIANS(E2452)))/(12*N2452*COS(RADIANS(E2452))^2+L2452*G2452^2*SIN(RADIANS(E2452))^2)</f>
        <v/>
      </c>
      <c r="R2452" s="28">
        <f>-P2452*SIN(RADIANS(E2452))</f>
        <v/>
      </c>
      <c r="S2452" s="8">
        <f>(O2452+P2452*COS(RADIANS(E2452)))/L2452</f>
        <v/>
      </c>
      <c r="T2452" s="8">
        <f>R2452/L2452</f>
        <v/>
      </c>
      <c r="U2452" s="8">
        <f>(Q2452-P2452*G2452*SIN(RADIANS(E2452)))/M2452</f>
        <v/>
      </c>
      <c r="V2452" s="8">
        <f>SQRT((S2452+U2452)^2+3*T2452^2)</f>
        <v/>
      </c>
      <c r="W2452" s="8">
        <f>V2452/AA2452</f>
        <v/>
      </c>
      <c r="X2452" s="27">
        <f>((3*10+H2452/COS(RADIANS(E2452)))*(3+3)+3*G2452*H2452)*2</f>
        <v/>
      </c>
      <c r="Y2452" s="28">
        <f>Z2452/X2452</f>
        <v/>
      </c>
      <c r="Z2452" s="29" t="n">
        <v>522.355258587969</v>
      </c>
      <c r="AA2452" s="20" t="n">
        <v>46.3727646415143</v>
      </c>
      <c r="AB2452" t="n">
        <v>0.04811191792529831</v>
      </c>
      <c r="AC2452" t="n">
        <v>49.00585349701783</v>
      </c>
      <c r="AD2452" t="n">
        <v>4.423826452370958</v>
      </c>
    </row>
    <row r="2453">
      <c r="A2453" t="n">
        <v>2452</v>
      </c>
      <c r="B2453" t="n">
        <v>57.5</v>
      </c>
      <c r="C2453" s="21">
        <f>B2453-20</f>
        <v/>
      </c>
      <c r="D2453" t="n">
        <v>102.9</v>
      </c>
      <c r="E2453" s="22">
        <f>D2453-90</f>
        <v/>
      </c>
      <c r="F2453" s="23" t="n">
        <v>0.014691</v>
      </c>
      <c r="G2453" s="22" t="n">
        <v>29.1</v>
      </c>
      <c r="H2453" s="22" t="n">
        <v>1.1</v>
      </c>
      <c r="I2453" s="24" t="n">
        <v>0.118276879191398</v>
      </c>
      <c r="J2453" s="6" t="n">
        <v>71000</v>
      </c>
      <c r="K2453" s="25">
        <f>23*10^-6</f>
        <v/>
      </c>
      <c r="L2453" s="8">
        <f>H2453</f>
        <v/>
      </c>
      <c r="M2453" s="26">
        <f>H2453^2/6</f>
        <v/>
      </c>
      <c r="N2453" s="26">
        <f>H2453^3/12</f>
        <v/>
      </c>
      <c r="O2453" s="27">
        <f>-J2453*L2453*K2453*C2453</f>
        <v/>
      </c>
      <c r="P2453" s="28">
        <f>-(12*F2453*J2453*L2453*N2453+12*O2453*N2453*G2453*COS(RADIANS(E2453)))/(12*N2453*G2453*COS(RADIANS(E2453))^2+L2453*G2453^3*SIN(RADIANS(E2453))^2)</f>
        <v/>
      </c>
      <c r="Q2453" s="28">
        <f>-(6*F2453*J2453*L2453*N2453*SIN(RADIANS(E2453))+6*O2453*N2453*G2453*SIN(RADIANS(E2453))*COS(RADIANS(E2453)))/(12*N2453*COS(RADIANS(E2453))^2+L2453*G2453^2*SIN(RADIANS(E2453))^2)</f>
        <v/>
      </c>
      <c r="R2453" s="28">
        <f>-P2453*SIN(RADIANS(E2453))</f>
        <v/>
      </c>
      <c r="S2453" s="8">
        <f>(O2453+P2453*COS(RADIANS(E2453)))/L2453</f>
        <v/>
      </c>
      <c r="T2453" s="8">
        <f>R2453/L2453</f>
        <v/>
      </c>
      <c r="U2453" s="8">
        <f>(Q2453-P2453*G2453*SIN(RADIANS(E2453)))/M2453</f>
        <v/>
      </c>
      <c r="V2453" s="8">
        <f>SQRT((S2453+U2453)^2+3*T2453^2)</f>
        <v/>
      </c>
      <c r="W2453" s="8">
        <f>V2453/AA2453</f>
        <v/>
      </c>
      <c r="X2453" s="27">
        <f>((3*10+H2453/COS(RADIANS(E2453)))*(3+3)+3*G2453*H2453)*2</f>
        <v/>
      </c>
      <c r="Y2453" s="28">
        <f>Z2453/X2453</f>
        <v/>
      </c>
      <c r="Z2453" s="29" t="n">
        <v>569.656822813613</v>
      </c>
      <c r="AA2453" s="20" t="n">
        <v>55.1505867330309</v>
      </c>
      <c r="AB2453" t="n">
        <v>0.1717983188683679</v>
      </c>
      <c r="AC2453" t="n">
        <v>59.53275500230728</v>
      </c>
      <c r="AD2453" t="n">
        <v>45.25097385293742</v>
      </c>
    </row>
    <row r="2454">
      <c r="A2454" t="n">
        <v>2453</v>
      </c>
      <c r="B2454" t="n">
        <v>54.7</v>
      </c>
      <c r="C2454" s="21">
        <f>B2454-20</f>
        <v/>
      </c>
      <c r="D2454" t="n">
        <v>119.3</v>
      </c>
      <c r="E2454" s="22">
        <f>D2454-90</f>
        <v/>
      </c>
      <c r="F2454" s="23" t="n">
        <v>0.01393</v>
      </c>
      <c r="G2454" s="22" t="n">
        <v>33.5</v>
      </c>
      <c r="H2454" s="22" t="n">
        <v>1.4</v>
      </c>
      <c r="I2454" s="24" t="n">
        <v>0.0645626038312912</v>
      </c>
      <c r="J2454" s="6" t="n">
        <v>71000</v>
      </c>
      <c r="K2454" s="25">
        <f>23*10^-6</f>
        <v/>
      </c>
      <c r="L2454" s="8">
        <f>H2454</f>
        <v/>
      </c>
      <c r="M2454" s="26">
        <f>H2454^2/6</f>
        <v/>
      </c>
      <c r="N2454" s="26">
        <f>H2454^3/12</f>
        <v/>
      </c>
      <c r="O2454" s="27">
        <f>-J2454*L2454*K2454*C2454</f>
        <v/>
      </c>
      <c r="P2454" s="28">
        <f>-(12*F2454*J2454*L2454*N2454+12*O2454*N2454*G2454*COS(RADIANS(E2454)))/(12*N2454*G2454*COS(RADIANS(E2454))^2+L2454*G2454^3*SIN(RADIANS(E2454))^2)</f>
        <v/>
      </c>
      <c r="Q2454" s="28">
        <f>-(6*F2454*J2454*L2454*N2454*SIN(RADIANS(E2454))+6*O2454*N2454*G2454*SIN(RADIANS(E2454))*COS(RADIANS(E2454)))/(12*N2454*COS(RADIANS(E2454))^2+L2454*G2454^2*SIN(RADIANS(E2454))^2)</f>
        <v/>
      </c>
      <c r="R2454" s="28">
        <f>-P2454*SIN(RADIANS(E2454))</f>
        <v/>
      </c>
      <c r="S2454" s="8">
        <f>(O2454+P2454*COS(RADIANS(E2454)))/L2454</f>
        <v/>
      </c>
      <c r="T2454" s="8">
        <f>R2454/L2454</f>
        <v/>
      </c>
      <c r="U2454" s="8">
        <f>(Q2454-P2454*G2454*SIN(RADIANS(E2454)))/M2454</f>
        <v/>
      </c>
      <c r="V2454" s="8">
        <f>SQRT((S2454+U2454)^2+3*T2454^2)</f>
        <v/>
      </c>
      <c r="W2454" s="8">
        <f>V2454/AA2454</f>
        <v/>
      </c>
      <c r="X2454" s="27">
        <f>((3*10+H2454/COS(RADIANS(E2454)))*(3+3)+3*G2454*H2454)*2</f>
        <v/>
      </c>
      <c r="Y2454" s="28">
        <f>Z2454/X2454</f>
        <v/>
      </c>
      <c r="Z2454" s="29" t="n">
        <v>667.618903548796</v>
      </c>
      <c r="AA2454" s="20" t="n">
        <v>49.8794170074385</v>
      </c>
      <c r="AB2454" t="n">
        <v>0.07897460756848622</v>
      </c>
      <c r="AC2454" t="n">
        <v>50.6713305904935</v>
      </c>
      <c r="AD2454" t="n">
        <v>22.32252555187378</v>
      </c>
    </row>
    <row r="2455">
      <c r="A2455" t="n">
        <v>2454</v>
      </c>
      <c r="B2455" t="n">
        <v>85.40000000000001</v>
      </c>
      <c r="C2455" s="21">
        <f>B2455-20</f>
        <v/>
      </c>
      <c r="D2455" t="n">
        <v>108.8</v>
      </c>
      <c r="E2455" s="22">
        <f>D2455-90</f>
        <v/>
      </c>
      <c r="F2455" s="23" t="n">
        <v>0.023388</v>
      </c>
      <c r="G2455" s="22" t="n">
        <v>26.8</v>
      </c>
      <c r="H2455" s="22" t="n">
        <v>1</v>
      </c>
      <c r="I2455" s="24" t="n">
        <v>0.144576460123062</v>
      </c>
      <c r="J2455" s="6" t="n">
        <v>71000</v>
      </c>
      <c r="K2455" s="25">
        <f>23*10^-6</f>
        <v/>
      </c>
      <c r="L2455" s="8">
        <f>H2455</f>
        <v/>
      </c>
      <c r="M2455" s="26">
        <f>H2455^2/6</f>
        <v/>
      </c>
      <c r="N2455" s="26">
        <f>H2455^3/12</f>
        <v/>
      </c>
      <c r="O2455" s="27">
        <f>-J2455*L2455*K2455*C2455</f>
        <v/>
      </c>
      <c r="P2455" s="28">
        <f>-(12*F2455*J2455*L2455*N2455+12*O2455*N2455*G2455*COS(RADIANS(E2455)))/(12*N2455*G2455*COS(RADIANS(E2455))^2+L2455*G2455^3*SIN(RADIANS(E2455))^2)</f>
        <v/>
      </c>
      <c r="Q2455" s="28">
        <f>-(6*F2455*J2455*L2455*N2455*SIN(RADIANS(E2455))+6*O2455*N2455*G2455*SIN(RADIANS(E2455))*COS(RADIANS(E2455)))/(12*N2455*COS(RADIANS(E2455))^2+L2455*G2455^2*SIN(RADIANS(E2455))^2)</f>
        <v/>
      </c>
      <c r="R2455" s="28">
        <f>-P2455*SIN(RADIANS(E2455))</f>
        <v/>
      </c>
      <c r="S2455" s="8">
        <f>(O2455+P2455*COS(RADIANS(E2455)))/L2455</f>
        <v/>
      </c>
      <c r="T2455" s="8">
        <f>R2455/L2455</f>
        <v/>
      </c>
      <c r="U2455" s="8">
        <f>(Q2455-P2455*G2455*SIN(RADIANS(E2455)))/M2455</f>
        <v/>
      </c>
      <c r="V2455" s="8">
        <f>SQRT((S2455+U2455)^2+3*T2455^2)</f>
        <v/>
      </c>
      <c r="W2455" s="8">
        <f>V2455/AA2455</f>
        <v/>
      </c>
      <c r="X2455" s="27">
        <f>((3*10+H2455/COS(RADIANS(E2455)))*(3+3)+3*G2455*H2455)*2</f>
        <v/>
      </c>
      <c r="Y2455" s="28">
        <f>Z2455/X2455</f>
        <v/>
      </c>
      <c r="Z2455" s="29" t="n">
        <v>538.262497644197</v>
      </c>
      <c r="AA2455" s="20" t="n">
        <v>91.5727911368032</v>
      </c>
      <c r="AB2455" t="n">
        <v>0.1913988606195225</v>
      </c>
      <c r="AC2455" t="n">
        <v>98.48566206583718</v>
      </c>
      <c r="AD2455" t="n">
        <v>32.38590878252637</v>
      </c>
    </row>
    <row r="2456">
      <c r="A2456" t="n">
        <v>2455</v>
      </c>
      <c r="B2456" t="n">
        <v>53.6</v>
      </c>
      <c r="C2456" s="21">
        <f>B2456-20</f>
        <v/>
      </c>
      <c r="D2456" t="n">
        <v>105.8</v>
      </c>
      <c r="E2456" s="22">
        <f>D2456-90</f>
        <v/>
      </c>
      <c r="F2456" s="23" t="n">
        <v>0.011881</v>
      </c>
      <c r="G2456" s="22" t="n">
        <v>26</v>
      </c>
      <c r="H2456" s="22" t="n">
        <v>2</v>
      </c>
      <c r="I2456" s="24" t="n">
        <v>0.0803496837615966</v>
      </c>
      <c r="J2456" s="6" t="n">
        <v>71000</v>
      </c>
      <c r="K2456" s="25">
        <f>23*10^-6</f>
        <v/>
      </c>
      <c r="L2456" s="8">
        <f>H2456</f>
        <v/>
      </c>
      <c r="M2456" s="26">
        <f>H2456^2/6</f>
        <v/>
      </c>
      <c r="N2456" s="26">
        <f>H2456^3/12</f>
        <v/>
      </c>
      <c r="O2456" s="27">
        <f>-J2456*L2456*K2456*C2456</f>
        <v/>
      </c>
      <c r="P2456" s="28">
        <f>-(12*F2456*J2456*L2456*N2456+12*O2456*N2456*G2456*COS(RADIANS(E2456)))/(12*N2456*G2456*COS(RADIANS(E2456))^2+L2456*G2456^3*SIN(RADIANS(E2456))^2)</f>
        <v/>
      </c>
      <c r="Q2456" s="28">
        <f>-(6*F2456*J2456*L2456*N2456*SIN(RADIANS(E2456))+6*O2456*N2456*G2456*SIN(RADIANS(E2456))*COS(RADIANS(E2456)))/(12*N2456*COS(RADIANS(E2456))^2+L2456*G2456^2*SIN(RADIANS(E2456))^2)</f>
        <v/>
      </c>
      <c r="R2456" s="28">
        <f>-P2456*SIN(RADIANS(E2456))</f>
        <v/>
      </c>
      <c r="S2456" s="8">
        <f>(O2456+P2456*COS(RADIANS(E2456)))/L2456</f>
        <v/>
      </c>
      <c r="T2456" s="8">
        <f>R2456/L2456</f>
        <v/>
      </c>
      <c r="U2456" s="8">
        <f>(Q2456-P2456*G2456*SIN(RADIANS(E2456)))/M2456</f>
        <v/>
      </c>
      <c r="V2456" s="8">
        <f>SQRT((S2456+U2456)^2+3*T2456^2)</f>
        <v/>
      </c>
      <c r="W2456" s="8">
        <f>V2456/AA2456</f>
        <v/>
      </c>
      <c r="X2456" s="27">
        <f>((3*10+H2456/COS(RADIANS(E2456)))*(3+3)+3*G2456*H2456)*2</f>
        <v/>
      </c>
      <c r="Y2456" s="28">
        <f>Z2456/X2456</f>
        <v/>
      </c>
      <c r="Z2456" s="29" t="n">
        <v>701.318375173799</v>
      </c>
      <c r="AA2456" s="20" t="n">
        <v>60.0028033982644</v>
      </c>
      <c r="AB2456" t="n">
        <v>0.1075826488778199</v>
      </c>
      <c r="AC2456" t="n">
        <v>57.14543523608268</v>
      </c>
      <c r="AD2456" t="n">
        <v>33.89305824404431</v>
      </c>
    </row>
    <row r="2457">
      <c r="A2457" t="n">
        <v>2456</v>
      </c>
      <c r="B2457" t="n">
        <v>86.90000000000001</v>
      </c>
      <c r="C2457" s="21">
        <f>B2457-20</f>
        <v/>
      </c>
      <c r="D2457" t="n">
        <v>123.9</v>
      </c>
      <c r="E2457" s="22">
        <f>D2457-90</f>
        <v/>
      </c>
      <c r="F2457" s="23" t="n">
        <v>0.025909</v>
      </c>
      <c r="G2457" s="22" t="n">
        <v>33.7</v>
      </c>
      <c r="H2457" s="22" t="n">
        <v>1.2</v>
      </c>
      <c r="I2457" s="24" t="n">
        <v>0.113347567617893</v>
      </c>
      <c r="J2457" s="6" t="n">
        <v>71000</v>
      </c>
      <c r="K2457" s="25">
        <f>23*10^-6</f>
        <v/>
      </c>
      <c r="L2457" s="8">
        <f>H2457</f>
        <v/>
      </c>
      <c r="M2457" s="26">
        <f>H2457^2/6</f>
        <v/>
      </c>
      <c r="N2457" s="26">
        <f>H2457^3/12</f>
        <v/>
      </c>
      <c r="O2457" s="27">
        <f>-J2457*L2457*K2457*C2457</f>
        <v/>
      </c>
      <c r="P2457" s="28">
        <f>-(12*F2457*J2457*L2457*N2457+12*O2457*N2457*G2457*COS(RADIANS(E2457)))/(12*N2457*G2457*COS(RADIANS(E2457))^2+L2457*G2457^3*SIN(RADIANS(E2457))^2)</f>
        <v/>
      </c>
      <c r="Q2457" s="28">
        <f>-(6*F2457*J2457*L2457*N2457*SIN(RADIANS(E2457))+6*O2457*N2457*G2457*SIN(RADIANS(E2457))*COS(RADIANS(E2457)))/(12*N2457*COS(RADIANS(E2457))^2+L2457*G2457^2*SIN(RADIANS(E2457))^2)</f>
        <v/>
      </c>
      <c r="R2457" s="28">
        <f>-P2457*SIN(RADIANS(E2457))</f>
        <v/>
      </c>
      <c r="S2457" s="8">
        <f>(O2457+P2457*COS(RADIANS(E2457)))/L2457</f>
        <v/>
      </c>
      <c r="T2457" s="8">
        <f>R2457/L2457</f>
        <v/>
      </c>
      <c r="U2457" s="8">
        <f>(Q2457-P2457*G2457*SIN(RADIANS(E2457)))/M2457</f>
        <v/>
      </c>
      <c r="V2457" s="8">
        <f>SQRT((S2457+U2457)^2+3*T2457^2)</f>
        <v/>
      </c>
      <c r="W2457" s="8">
        <f>V2457/AA2457</f>
        <v/>
      </c>
      <c r="X2457" s="27">
        <f>((3*10+H2457/COS(RADIANS(E2457)))*(3+3)+3*G2457*H2457)*2</f>
        <v/>
      </c>
      <c r="Y2457" s="28">
        <f>Z2457/X2457</f>
        <v/>
      </c>
      <c r="Z2457" s="29" t="n">
        <v>628.338004852792</v>
      </c>
      <c r="AA2457" s="20" t="n">
        <v>90.4071640342726</v>
      </c>
      <c r="AB2457" t="n">
        <v>0.1311101989693243</v>
      </c>
      <c r="AC2457" t="n">
        <v>95.42438078576656</v>
      </c>
      <c r="AD2457" t="n">
        <v>15.67094179851397</v>
      </c>
    </row>
    <row r="2458">
      <c r="A2458" t="n">
        <v>2457</v>
      </c>
      <c r="B2458" t="n">
        <v>48</v>
      </c>
      <c r="C2458" s="21">
        <f>B2458-20</f>
        <v/>
      </c>
      <c r="D2458" t="n">
        <v>122.1</v>
      </c>
      <c r="E2458" s="22">
        <f>D2458-90</f>
        <v/>
      </c>
      <c r="F2458" s="23" t="n">
        <v>0.010947</v>
      </c>
      <c r="G2458" s="22" t="n">
        <v>33.4</v>
      </c>
      <c r="H2458" s="22" t="n">
        <v>1.7</v>
      </c>
      <c r="I2458" s="24" t="n">
        <v>0.0489468052983284</v>
      </c>
      <c r="J2458" s="6" t="n">
        <v>71000</v>
      </c>
      <c r="K2458" s="25">
        <f>23*10^-6</f>
        <v/>
      </c>
      <c r="L2458" s="8">
        <f>H2458</f>
        <v/>
      </c>
      <c r="M2458" s="26">
        <f>H2458^2/6</f>
        <v/>
      </c>
      <c r="N2458" s="26">
        <f>H2458^3/12</f>
        <v/>
      </c>
      <c r="O2458" s="27">
        <f>-J2458*L2458*K2458*C2458</f>
        <v/>
      </c>
      <c r="P2458" s="28">
        <f>-(12*F2458*J2458*L2458*N2458+12*O2458*N2458*G2458*COS(RADIANS(E2458)))/(12*N2458*G2458*COS(RADIANS(E2458))^2+L2458*G2458^3*SIN(RADIANS(E2458))^2)</f>
        <v/>
      </c>
      <c r="Q2458" s="28">
        <f>-(6*F2458*J2458*L2458*N2458*SIN(RADIANS(E2458))+6*O2458*N2458*G2458*SIN(RADIANS(E2458))*COS(RADIANS(E2458)))/(12*N2458*COS(RADIANS(E2458))^2+L2458*G2458^2*SIN(RADIANS(E2458))^2)</f>
        <v/>
      </c>
      <c r="R2458" s="28">
        <f>-P2458*SIN(RADIANS(E2458))</f>
        <v/>
      </c>
      <c r="S2458" s="8">
        <f>(O2458+P2458*COS(RADIANS(E2458)))/L2458</f>
        <v/>
      </c>
      <c r="T2458" s="8">
        <f>R2458/L2458</f>
        <v/>
      </c>
      <c r="U2458" s="8">
        <f>(Q2458-P2458*G2458*SIN(RADIANS(E2458)))/M2458</f>
        <v/>
      </c>
      <c r="V2458" s="8">
        <f>SQRT((S2458+U2458)^2+3*T2458^2)</f>
        <v/>
      </c>
      <c r="W2458" s="8">
        <f>V2458/AA2458</f>
        <v/>
      </c>
      <c r="X2458" s="27">
        <f>((3*10+H2458/COS(RADIANS(E2458)))*(3+3)+3*G2458*H2458)*2</f>
        <v/>
      </c>
      <c r="Y2458" s="28">
        <f>Z2458/X2458</f>
        <v/>
      </c>
      <c r="Z2458" s="29" t="n">
        <v>732.526391798351</v>
      </c>
      <c r="AA2458" s="20" t="n">
        <v>42.6197857490671</v>
      </c>
      <c r="AB2458" t="n">
        <v>0.05750393632602342</v>
      </c>
      <c r="AC2458" t="n">
        <v>41.14015243973024</v>
      </c>
      <c r="AD2458" t="n">
        <v>17.48251183205875</v>
      </c>
    </row>
    <row r="2459">
      <c r="A2459" t="n">
        <v>2458</v>
      </c>
      <c r="B2459" t="n">
        <v>72.2</v>
      </c>
      <c r="C2459" s="21">
        <f>B2459-20</f>
        <v/>
      </c>
      <c r="D2459" t="n">
        <v>118.6</v>
      </c>
      <c r="E2459" s="22">
        <f>D2459-90</f>
        <v/>
      </c>
      <c r="F2459" s="23" t="n">
        <v>0.016841</v>
      </c>
      <c r="G2459" s="22" t="n">
        <v>25.4</v>
      </c>
      <c r="H2459" s="22" t="n">
        <v>1.9</v>
      </c>
      <c r="I2459" s="24" t="n">
        <v>0.0820415616035461</v>
      </c>
      <c r="J2459" s="6" t="n">
        <v>71000</v>
      </c>
      <c r="K2459" s="25">
        <f>23*10^-6</f>
        <v/>
      </c>
      <c r="L2459" s="8">
        <f>H2459</f>
        <v/>
      </c>
      <c r="M2459" s="26">
        <f>H2459^2/6</f>
        <v/>
      </c>
      <c r="N2459" s="26">
        <f>H2459^3/12</f>
        <v/>
      </c>
      <c r="O2459" s="27">
        <f>-J2459*L2459*K2459*C2459</f>
        <v/>
      </c>
      <c r="P2459" s="28">
        <f>-(12*F2459*J2459*L2459*N2459+12*O2459*N2459*G2459*COS(RADIANS(E2459)))/(12*N2459*G2459*COS(RADIANS(E2459))^2+L2459*G2459^3*SIN(RADIANS(E2459))^2)</f>
        <v/>
      </c>
      <c r="Q2459" s="28">
        <f>-(6*F2459*J2459*L2459*N2459*SIN(RADIANS(E2459))+6*O2459*N2459*G2459*SIN(RADIANS(E2459))*COS(RADIANS(E2459)))/(12*N2459*COS(RADIANS(E2459))^2+L2459*G2459^2*SIN(RADIANS(E2459))^2)</f>
        <v/>
      </c>
      <c r="R2459" s="28">
        <f>-P2459*SIN(RADIANS(E2459))</f>
        <v/>
      </c>
      <c r="S2459" s="8">
        <f>(O2459+P2459*COS(RADIANS(E2459)))/L2459</f>
        <v/>
      </c>
      <c r="T2459" s="8">
        <f>R2459/L2459</f>
        <v/>
      </c>
      <c r="U2459" s="8">
        <f>(Q2459-P2459*G2459*SIN(RADIANS(E2459)))/M2459</f>
        <v/>
      </c>
      <c r="V2459" s="8">
        <f>SQRT((S2459+U2459)^2+3*T2459^2)</f>
        <v/>
      </c>
      <c r="W2459" s="8">
        <f>V2459/AA2459</f>
        <v/>
      </c>
      <c r="X2459" s="27">
        <f>((3*10+H2459/COS(RADIANS(E2459)))*(3+3)+3*G2459*H2459)*2</f>
        <v/>
      </c>
      <c r="Y2459" s="28">
        <f>Z2459/X2459</f>
        <v/>
      </c>
      <c r="Z2459" s="29" t="n">
        <v>682.2976242349559</v>
      </c>
      <c r="AA2459" s="20" t="n">
        <v>86.1231687760895</v>
      </c>
      <c r="AB2459" t="n">
        <v>0.09267700665798212</v>
      </c>
      <c r="AC2459" t="n">
        <v>80.13970862521879</v>
      </c>
      <c r="AD2459" t="n">
        <v>12.96348441760563</v>
      </c>
    </row>
    <row r="2460">
      <c r="A2460" t="n">
        <v>2459</v>
      </c>
      <c r="B2460" t="n">
        <v>52.4</v>
      </c>
      <c r="C2460" s="21">
        <f>B2460-20</f>
        <v/>
      </c>
      <c r="D2460" t="n">
        <v>101.1</v>
      </c>
      <c r="E2460" s="22">
        <f>D2460-90</f>
        <v/>
      </c>
      <c r="F2460" s="23" t="n">
        <v>0.009719</v>
      </c>
      <c r="G2460" s="22" t="n">
        <v>20.7</v>
      </c>
      <c r="H2460" s="22" t="n">
        <v>1.2</v>
      </c>
      <c r="I2460" s="24" t="n">
        <v>0.0875622779130935</v>
      </c>
      <c r="J2460" s="6" t="n">
        <v>71000</v>
      </c>
      <c r="K2460" s="25">
        <f>23*10^-6</f>
        <v/>
      </c>
      <c r="L2460" s="8">
        <f>H2460</f>
        <v/>
      </c>
      <c r="M2460" s="26">
        <f>H2460^2/6</f>
        <v/>
      </c>
      <c r="N2460" s="26">
        <f>H2460^3/12</f>
        <v/>
      </c>
      <c r="O2460" s="27">
        <f>-J2460*L2460*K2460*C2460</f>
        <v/>
      </c>
      <c r="P2460" s="28">
        <f>-(12*F2460*J2460*L2460*N2460+12*O2460*N2460*G2460*COS(RADIANS(E2460)))/(12*N2460*G2460*COS(RADIANS(E2460))^2+L2460*G2460^3*SIN(RADIANS(E2460))^2)</f>
        <v/>
      </c>
      <c r="Q2460" s="28">
        <f>-(6*F2460*J2460*L2460*N2460*SIN(RADIANS(E2460))+6*O2460*N2460*G2460*SIN(RADIANS(E2460))*COS(RADIANS(E2460)))/(12*N2460*COS(RADIANS(E2460))^2+L2460*G2460^2*SIN(RADIANS(E2460))^2)</f>
        <v/>
      </c>
      <c r="R2460" s="28">
        <f>-P2460*SIN(RADIANS(E2460))</f>
        <v/>
      </c>
      <c r="S2460" s="8">
        <f>(O2460+P2460*COS(RADIANS(E2460)))/L2460</f>
        <v/>
      </c>
      <c r="T2460" s="8">
        <f>R2460/L2460</f>
        <v/>
      </c>
      <c r="U2460" s="8">
        <f>(Q2460-P2460*G2460*SIN(RADIANS(E2460)))/M2460</f>
        <v/>
      </c>
      <c r="V2460" s="8">
        <f>SQRT((S2460+U2460)^2+3*T2460^2)</f>
        <v/>
      </c>
      <c r="W2460" s="8">
        <f>V2460/AA2460</f>
        <v/>
      </c>
      <c r="X2460" s="27">
        <f>((3*10+H2460/COS(RADIANS(E2460)))*(3+3)+3*G2460*H2460)*2</f>
        <v/>
      </c>
      <c r="Y2460" s="28">
        <f>Z2460/X2460</f>
        <v/>
      </c>
      <c r="Z2460" s="29" t="n">
        <v>527.605685915825</v>
      </c>
      <c r="AA2460" s="20" t="n">
        <v>55.5027932295004</v>
      </c>
      <c r="AB2460" t="n">
        <v>0.1190969057354877</v>
      </c>
      <c r="AC2460" t="n">
        <v>54.96699279632863</v>
      </c>
      <c r="AD2460" t="n">
        <v>36.0139418182938</v>
      </c>
    </row>
    <row r="2461">
      <c r="A2461" t="n">
        <v>2460</v>
      </c>
      <c r="B2461" t="n">
        <v>41.6</v>
      </c>
      <c r="C2461" s="21">
        <f>B2461-20</f>
        <v/>
      </c>
      <c r="D2461" t="n">
        <v>111.1</v>
      </c>
      <c r="E2461" s="22">
        <f>D2461-90</f>
        <v/>
      </c>
      <c r="F2461" s="23" t="n">
        <v>0.006233</v>
      </c>
      <c r="G2461" s="22" t="n">
        <v>20.7</v>
      </c>
      <c r="H2461" s="22" t="n">
        <v>1.3</v>
      </c>
      <c r="I2461" s="24" t="n">
        <v>0.0368243195116519</v>
      </c>
      <c r="J2461" s="6" t="n">
        <v>71000</v>
      </c>
      <c r="K2461" s="25">
        <f>23*10^-6</f>
        <v/>
      </c>
      <c r="L2461" s="8">
        <f>H2461</f>
        <v/>
      </c>
      <c r="M2461" s="26">
        <f>H2461^2/6</f>
        <v/>
      </c>
      <c r="N2461" s="26">
        <f>H2461^3/12</f>
        <v/>
      </c>
      <c r="O2461" s="27">
        <f>-J2461*L2461*K2461*C2461</f>
        <v/>
      </c>
      <c r="P2461" s="28">
        <f>-(12*F2461*J2461*L2461*N2461+12*O2461*N2461*G2461*COS(RADIANS(E2461)))/(12*N2461*G2461*COS(RADIANS(E2461))^2+L2461*G2461^3*SIN(RADIANS(E2461))^2)</f>
        <v/>
      </c>
      <c r="Q2461" s="28">
        <f>-(6*F2461*J2461*L2461*N2461*SIN(RADIANS(E2461))+6*O2461*N2461*G2461*SIN(RADIANS(E2461))*COS(RADIANS(E2461)))/(12*N2461*COS(RADIANS(E2461))^2+L2461*G2461^2*SIN(RADIANS(E2461))^2)</f>
        <v/>
      </c>
      <c r="R2461" s="28">
        <f>-P2461*SIN(RADIANS(E2461))</f>
        <v/>
      </c>
      <c r="S2461" s="8">
        <f>(O2461+P2461*COS(RADIANS(E2461)))/L2461</f>
        <v/>
      </c>
      <c r="T2461" s="8">
        <f>R2461/L2461</f>
        <v/>
      </c>
      <c r="U2461" s="8">
        <f>(Q2461-P2461*G2461*SIN(RADIANS(E2461)))/M2461</f>
        <v/>
      </c>
      <c r="V2461" s="8">
        <f>SQRT((S2461+U2461)^2+3*T2461^2)</f>
        <v/>
      </c>
      <c r="W2461" s="8">
        <f>V2461/AA2461</f>
        <v/>
      </c>
      <c r="X2461" s="27">
        <f>((3*10+H2461/COS(RADIANS(E2461)))*(3+3)+3*G2461*H2461)*2</f>
        <v/>
      </c>
      <c r="Y2461" s="28">
        <f>Z2461/X2461</f>
        <v/>
      </c>
      <c r="Z2461" s="29" t="n">
        <v>543.339473172928</v>
      </c>
      <c r="AA2461" s="20" t="n">
        <v>33.0304684302666</v>
      </c>
      <c r="AB2461" t="n">
        <v>0.04350302175799309</v>
      </c>
      <c r="AC2461" t="n">
        <v>33.58438002183031</v>
      </c>
      <c r="AD2461" t="n">
        <v>18.13666168149537</v>
      </c>
    </row>
    <row r="2462">
      <c r="A2462" t="n">
        <v>2461</v>
      </c>
      <c r="B2462" t="n">
        <v>80.5</v>
      </c>
      <c r="C2462" s="21">
        <f>B2462-20</f>
        <v/>
      </c>
      <c r="D2462" t="n">
        <v>101.4</v>
      </c>
      <c r="E2462" s="22">
        <f>D2462-90</f>
        <v/>
      </c>
      <c r="F2462" s="23" t="n">
        <v>0.023677</v>
      </c>
      <c r="G2462" s="22" t="n">
        <v>28.9</v>
      </c>
      <c r="H2462" s="22" t="n">
        <v>1.9</v>
      </c>
      <c r="I2462" s="24" t="n">
        <v>0.198822274804115</v>
      </c>
      <c r="J2462" s="6" t="n">
        <v>71000</v>
      </c>
      <c r="K2462" s="25">
        <f>23*10^-6</f>
        <v/>
      </c>
      <c r="L2462" s="8">
        <f>H2462</f>
        <v/>
      </c>
      <c r="M2462" s="26">
        <f>H2462^2/6</f>
        <v/>
      </c>
      <c r="N2462" s="26">
        <f>H2462^3/12</f>
        <v/>
      </c>
      <c r="O2462" s="27">
        <f>-J2462*L2462*K2462*C2462</f>
        <v/>
      </c>
      <c r="P2462" s="28">
        <f>-(12*F2462*J2462*L2462*N2462+12*O2462*N2462*G2462*COS(RADIANS(E2462)))/(12*N2462*G2462*COS(RADIANS(E2462))^2+L2462*G2462^3*SIN(RADIANS(E2462))^2)</f>
        <v/>
      </c>
      <c r="Q2462" s="28">
        <f>-(6*F2462*J2462*L2462*N2462*SIN(RADIANS(E2462))+6*O2462*N2462*G2462*SIN(RADIANS(E2462))*COS(RADIANS(E2462)))/(12*N2462*COS(RADIANS(E2462))^2+L2462*G2462^2*SIN(RADIANS(E2462))^2)</f>
        <v/>
      </c>
      <c r="R2462" s="28">
        <f>-P2462*SIN(RADIANS(E2462))</f>
        <v/>
      </c>
      <c r="S2462" s="8">
        <f>(O2462+P2462*COS(RADIANS(E2462)))/L2462</f>
        <v/>
      </c>
      <c r="T2462" s="8">
        <f>R2462/L2462</f>
        <v/>
      </c>
      <c r="U2462" s="8">
        <f>(Q2462-P2462*G2462*SIN(RADIANS(E2462)))/M2462</f>
        <v/>
      </c>
      <c r="V2462" s="8">
        <f>SQRT((S2462+U2462)^2+3*T2462^2)</f>
        <v/>
      </c>
      <c r="W2462" s="8">
        <f>V2462/AA2462</f>
        <v/>
      </c>
      <c r="X2462" s="27">
        <f>((3*10+H2462/COS(RADIANS(E2462)))*(3+3)+3*G2462*H2462)*2</f>
        <v/>
      </c>
      <c r="Y2462" s="28">
        <f>Z2462/X2462</f>
        <v/>
      </c>
      <c r="Z2462" s="29" t="n">
        <v>716.6355208250779</v>
      </c>
      <c r="AA2462" s="20" t="n">
        <v>110.218769549623</v>
      </c>
      <c r="AB2462" t="n">
        <v>0.2895872900740037</v>
      </c>
      <c r="AC2462" t="n">
        <v>106.8392538510084</v>
      </c>
      <c r="AD2462" t="n">
        <v>45.65133125013929</v>
      </c>
    </row>
    <row r="2463">
      <c r="A2463" t="n">
        <v>2462</v>
      </c>
      <c r="B2463" t="n">
        <v>41.5</v>
      </c>
      <c r="C2463" s="21">
        <f>B2463-20</f>
        <v/>
      </c>
      <c r="D2463" t="n">
        <v>101.5</v>
      </c>
      <c r="E2463" s="22">
        <f>D2463-90</f>
        <v/>
      </c>
      <c r="F2463" s="23" t="n">
        <v>0.008460000000000001</v>
      </c>
      <c r="G2463" s="22" t="n">
        <v>29.1</v>
      </c>
      <c r="H2463" s="22" t="n">
        <v>1</v>
      </c>
      <c r="I2463" s="24" t="n">
        <v>0.07475920021533961</v>
      </c>
      <c r="J2463" s="6" t="n">
        <v>71000</v>
      </c>
      <c r="K2463" s="25">
        <f>23*10^-6</f>
        <v/>
      </c>
      <c r="L2463" s="8">
        <f>H2463</f>
        <v/>
      </c>
      <c r="M2463" s="26">
        <f>H2463^2/6</f>
        <v/>
      </c>
      <c r="N2463" s="26">
        <f>H2463^3/12</f>
        <v/>
      </c>
      <c r="O2463" s="27">
        <f>-J2463*L2463*K2463*C2463</f>
        <v/>
      </c>
      <c r="P2463" s="28">
        <f>-(12*F2463*J2463*L2463*N2463+12*O2463*N2463*G2463*COS(RADIANS(E2463)))/(12*N2463*G2463*COS(RADIANS(E2463))^2+L2463*G2463^3*SIN(RADIANS(E2463))^2)</f>
        <v/>
      </c>
      <c r="Q2463" s="28">
        <f>-(6*F2463*J2463*L2463*N2463*SIN(RADIANS(E2463))+6*O2463*N2463*G2463*SIN(RADIANS(E2463))*COS(RADIANS(E2463)))/(12*N2463*COS(RADIANS(E2463))^2+L2463*G2463^2*SIN(RADIANS(E2463))^2)</f>
        <v/>
      </c>
      <c r="R2463" s="28">
        <f>-P2463*SIN(RADIANS(E2463))</f>
        <v/>
      </c>
      <c r="S2463" s="8">
        <f>(O2463+P2463*COS(RADIANS(E2463)))/L2463</f>
        <v/>
      </c>
      <c r="T2463" s="8">
        <f>R2463/L2463</f>
        <v/>
      </c>
      <c r="U2463" s="8">
        <f>(Q2463-P2463*G2463*SIN(RADIANS(E2463)))/M2463</f>
        <v/>
      </c>
      <c r="V2463" s="8">
        <f>SQRT((S2463+U2463)^2+3*T2463^2)</f>
        <v/>
      </c>
      <c r="W2463" s="8">
        <f>V2463/AA2463</f>
        <v/>
      </c>
      <c r="X2463" s="27">
        <f>((3*10+H2463/COS(RADIANS(E2463)))*(3+3)+3*G2463*H2463)*2</f>
        <v/>
      </c>
      <c r="Y2463" s="28">
        <f>Z2463/X2463</f>
        <v/>
      </c>
      <c r="Z2463" s="29" t="n">
        <v>550.771145880778</v>
      </c>
      <c r="AA2463" s="20" t="n">
        <v>31.1563194837362</v>
      </c>
      <c r="AB2463" t="n">
        <v>0.1105560493163134</v>
      </c>
      <c r="AC2463" t="n">
        <v>34.24832281797474</v>
      </c>
      <c r="AD2463" t="n">
        <v>47.88286792510227</v>
      </c>
    </row>
    <row r="2464">
      <c r="A2464" t="n">
        <v>2463</v>
      </c>
      <c r="B2464" t="n">
        <v>40.3</v>
      </c>
      <c r="C2464" s="21">
        <f>B2464-20</f>
        <v/>
      </c>
      <c r="D2464" t="n">
        <v>106.7</v>
      </c>
      <c r="E2464" s="22">
        <f>D2464-90</f>
        <v/>
      </c>
      <c r="F2464" s="23" t="n">
        <v>0.006465</v>
      </c>
      <c r="G2464" s="22" t="n">
        <v>22.9</v>
      </c>
      <c r="H2464" s="22" t="n">
        <v>1.5</v>
      </c>
      <c r="I2464" s="24" t="n">
        <v>0.0434375926852226</v>
      </c>
      <c r="J2464" s="6" t="n">
        <v>71000</v>
      </c>
      <c r="K2464" s="25">
        <f>23*10^-6</f>
        <v/>
      </c>
      <c r="L2464" s="8">
        <f>H2464</f>
        <v/>
      </c>
      <c r="M2464" s="26">
        <f>H2464^2/6</f>
        <v/>
      </c>
      <c r="N2464" s="26">
        <f>H2464^3/12</f>
        <v/>
      </c>
      <c r="O2464" s="27">
        <f>-J2464*L2464*K2464*C2464</f>
        <v/>
      </c>
      <c r="P2464" s="28">
        <f>-(12*F2464*J2464*L2464*N2464+12*O2464*N2464*G2464*COS(RADIANS(E2464)))/(12*N2464*G2464*COS(RADIANS(E2464))^2+L2464*G2464^3*SIN(RADIANS(E2464))^2)</f>
        <v/>
      </c>
      <c r="Q2464" s="28">
        <f>-(6*F2464*J2464*L2464*N2464*SIN(RADIANS(E2464))+6*O2464*N2464*G2464*SIN(RADIANS(E2464))*COS(RADIANS(E2464)))/(12*N2464*COS(RADIANS(E2464))^2+L2464*G2464^2*SIN(RADIANS(E2464))^2)</f>
        <v/>
      </c>
      <c r="R2464" s="28">
        <f>-P2464*SIN(RADIANS(E2464))</f>
        <v/>
      </c>
      <c r="S2464" s="8">
        <f>(O2464+P2464*COS(RADIANS(E2464)))/L2464</f>
        <v/>
      </c>
      <c r="T2464" s="8">
        <f>R2464/L2464</f>
        <v/>
      </c>
      <c r="U2464" s="8">
        <f>(Q2464-P2464*G2464*SIN(RADIANS(E2464)))/M2464</f>
        <v/>
      </c>
      <c r="V2464" s="8">
        <f>SQRT((S2464+U2464)^2+3*T2464^2)</f>
        <v/>
      </c>
      <c r="W2464" s="8">
        <f>V2464/AA2464</f>
        <v/>
      </c>
      <c r="X2464" s="27">
        <f>((3*10+H2464/COS(RADIANS(E2464)))*(3+3)+3*G2464*H2464)*2</f>
        <v/>
      </c>
      <c r="Y2464" s="28">
        <f>Z2464/X2464</f>
        <v/>
      </c>
      <c r="Z2464" s="29" t="n">
        <v>589.383090247158</v>
      </c>
      <c r="AA2464" s="20" t="n">
        <v>32.7281163523169</v>
      </c>
      <c r="AB2464" t="n">
        <v>0.05599346136564083</v>
      </c>
      <c r="AC2464" t="n">
        <v>33.0946840416397</v>
      </c>
      <c r="AD2464" t="n">
        <v>28.90553528462391</v>
      </c>
    </row>
    <row r="2465">
      <c r="A2465" t="n">
        <v>2464</v>
      </c>
      <c r="B2465" t="n">
        <v>57.3</v>
      </c>
      <c r="C2465" s="21">
        <f>B2465-20</f>
        <v/>
      </c>
      <c r="D2465" t="n">
        <v>122.6</v>
      </c>
      <c r="E2465" s="22">
        <f>D2465-90</f>
        <v/>
      </c>
      <c r="F2465" s="23" t="n">
        <v>0.012188</v>
      </c>
      <c r="G2465" s="22" t="n">
        <v>26.9</v>
      </c>
      <c r="H2465" s="22" t="n">
        <v>1.6</v>
      </c>
      <c r="I2465" s="24" t="n">
        <v>0.055901650339365</v>
      </c>
      <c r="J2465" s="6" t="n">
        <v>71000</v>
      </c>
      <c r="K2465" s="25">
        <f>23*10^-6</f>
        <v/>
      </c>
      <c r="L2465" s="8">
        <f>H2465</f>
        <v/>
      </c>
      <c r="M2465" s="26">
        <f>H2465^2/6</f>
        <v/>
      </c>
      <c r="N2465" s="26">
        <f>H2465^3/12</f>
        <v/>
      </c>
      <c r="O2465" s="27">
        <f>-J2465*L2465*K2465*C2465</f>
        <v/>
      </c>
      <c r="P2465" s="28">
        <f>-(12*F2465*J2465*L2465*N2465+12*O2465*N2465*G2465*COS(RADIANS(E2465)))/(12*N2465*G2465*COS(RADIANS(E2465))^2+L2465*G2465^3*SIN(RADIANS(E2465))^2)</f>
        <v/>
      </c>
      <c r="Q2465" s="28">
        <f>-(6*F2465*J2465*L2465*N2465*SIN(RADIANS(E2465))+6*O2465*N2465*G2465*SIN(RADIANS(E2465))*COS(RADIANS(E2465)))/(12*N2465*COS(RADIANS(E2465))^2+L2465*G2465^2*SIN(RADIANS(E2465))^2)</f>
        <v/>
      </c>
      <c r="R2465" s="28">
        <f>-P2465*SIN(RADIANS(E2465))</f>
        <v/>
      </c>
      <c r="S2465" s="8">
        <f>(O2465+P2465*COS(RADIANS(E2465)))/L2465</f>
        <v/>
      </c>
      <c r="T2465" s="8">
        <f>R2465/L2465</f>
        <v/>
      </c>
      <c r="U2465" s="8">
        <f>(Q2465-P2465*G2465*SIN(RADIANS(E2465)))/M2465</f>
        <v/>
      </c>
      <c r="V2465" s="8">
        <f>SQRT((S2465+U2465)^2+3*T2465^2)</f>
        <v/>
      </c>
      <c r="W2465" s="8">
        <f>V2465/AA2465</f>
        <v/>
      </c>
      <c r="X2465" s="27">
        <f>((3*10+H2465/COS(RADIANS(E2465)))*(3+3)+3*G2465*H2465)*2</f>
        <v/>
      </c>
      <c r="Y2465" s="28">
        <f>Z2465/X2465</f>
        <v/>
      </c>
      <c r="Z2465" s="29" t="n">
        <v>648.952491139099</v>
      </c>
      <c r="AA2465" s="20" t="n">
        <v>56.8298828838549</v>
      </c>
      <c r="AB2465" t="n">
        <v>0.06129330785027189</v>
      </c>
      <c r="AC2465" t="n">
        <v>55.10921772087909</v>
      </c>
      <c r="AD2465" t="n">
        <v>9.644898635685131</v>
      </c>
    </row>
    <row r="2466">
      <c r="A2466" t="n">
        <v>2465</v>
      </c>
      <c r="B2466" t="n">
        <v>71.40000000000001</v>
      </c>
      <c r="C2466" s="21">
        <f>B2466-20</f>
        <v/>
      </c>
      <c r="D2466" t="n">
        <v>113.2</v>
      </c>
      <c r="E2466" s="22">
        <f>D2466-90</f>
        <v/>
      </c>
      <c r="F2466" s="23" t="n">
        <v>0.020319</v>
      </c>
      <c r="G2466" s="22" t="n">
        <v>31.2</v>
      </c>
      <c r="H2466" s="22" t="n">
        <v>1.8</v>
      </c>
      <c r="I2466" s="24" t="n">
        <v>0.107243455946445</v>
      </c>
      <c r="J2466" s="6" t="n">
        <v>71000</v>
      </c>
      <c r="K2466" s="25">
        <f>23*10^-6</f>
        <v/>
      </c>
      <c r="L2466" s="8">
        <f>H2466</f>
        <v/>
      </c>
      <c r="M2466" s="26">
        <f>H2466^2/6</f>
        <v/>
      </c>
      <c r="N2466" s="26">
        <f>H2466^3/12</f>
        <v/>
      </c>
      <c r="O2466" s="27">
        <f>-J2466*L2466*K2466*C2466</f>
        <v/>
      </c>
      <c r="P2466" s="28">
        <f>-(12*F2466*J2466*L2466*N2466+12*O2466*N2466*G2466*COS(RADIANS(E2466)))/(12*N2466*G2466*COS(RADIANS(E2466))^2+L2466*G2466^3*SIN(RADIANS(E2466))^2)</f>
        <v/>
      </c>
      <c r="Q2466" s="28">
        <f>-(6*F2466*J2466*L2466*N2466*SIN(RADIANS(E2466))+6*O2466*N2466*G2466*SIN(RADIANS(E2466))*COS(RADIANS(E2466)))/(12*N2466*COS(RADIANS(E2466))^2+L2466*G2466^2*SIN(RADIANS(E2466))^2)</f>
        <v/>
      </c>
      <c r="R2466" s="28">
        <f>-P2466*SIN(RADIANS(E2466))</f>
        <v/>
      </c>
      <c r="S2466" s="8">
        <f>(O2466+P2466*COS(RADIANS(E2466)))/L2466</f>
        <v/>
      </c>
      <c r="T2466" s="8">
        <f>R2466/L2466</f>
        <v/>
      </c>
      <c r="U2466" s="8">
        <f>(Q2466-P2466*G2466*SIN(RADIANS(E2466)))/M2466</f>
        <v/>
      </c>
      <c r="V2466" s="8">
        <f>SQRT((S2466+U2466)^2+3*T2466^2)</f>
        <v/>
      </c>
      <c r="W2466" s="8">
        <f>V2466/AA2466</f>
        <v/>
      </c>
      <c r="X2466" s="27">
        <f>((3*10+H2466/COS(RADIANS(E2466)))*(3+3)+3*G2466*H2466)*2</f>
        <v/>
      </c>
      <c r="Y2466" s="28">
        <f>Z2466/X2466</f>
        <v/>
      </c>
      <c r="Z2466" s="29" t="n">
        <v>726.005474401793</v>
      </c>
      <c r="AA2466" s="20" t="n">
        <v>82.0989670033719</v>
      </c>
      <c r="AB2466" t="n">
        <v>0.1383732752774525</v>
      </c>
      <c r="AC2466" t="n">
        <v>79.51547732071433</v>
      </c>
      <c r="AD2466" t="n">
        <v>29.02724371970353</v>
      </c>
    </row>
    <row r="2467">
      <c r="A2467" t="n">
        <v>2466</v>
      </c>
      <c r="B2467" t="n">
        <v>80.09999999999999</v>
      </c>
      <c r="C2467" s="21">
        <f>B2467-20</f>
        <v/>
      </c>
      <c r="D2467" t="n">
        <v>102.9</v>
      </c>
      <c r="E2467" s="22">
        <f>D2467-90</f>
        <v/>
      </c>
      <c r="F2467" s="23" t="n">
        <v>0.019071</v>
      </c>
      <c r="G2467" s="22" t="n">
        <v>22.4</v>
      </c>
      <c r="H2467" s="22" t="n">
        <v>1.4</v>
      </c>
      <c r="I2467" s="24" t="n">
        <v>0.152760878205299</v>
      </c>
      <c r="J2467" s="6" t="n">
        <v>71000</v>
      </c>
      <c r="K2467" s="25">
        <f>23*10^-6</f>
        <v/>
      </c>
      <c r="L2467" s="8">
        <f>H2467</f>
        <v/>
      </c>
      <c r="M2467" s="26">
        <f>H2467^2/6</f>
        <v/>
      </c>
      <c r="N2467" s="26">
        <f>H2467^3/12</f>
        <v/>
      </c>
      <c r="O2467" s="27">
        <f>-J2467*L2467*K2467*C2467</f>
        <v/>
      </c>
      <c r="P2467" s="28">
        <f>-(12*F2467*J2467*L2467*N2467+12*O2467*N2467*G2467*COS(RADIANS(E2467)))/(12*N2467*G2467*COS(RADIANS(E2467))^2+L2467*G2467^3*SIN(RADIANS(E2467))^2)</f>
        <v/>
      </c>
      <c r="Q2467" s="28">
        <f>-(6*F2467*J2467*L2467*N2467*SIN(RADIANS(E2467))+6*O2467*N2467*G2467*SIN(RADIANS(E2467))*COS(RADIANS(E2467)))/(12*N2467*COS(RADIANS(E2467))^2+L2467*G2467^2*SIN(RADIANS(E2467))^2)</f>
        <v/>
      </c>
      <c r="R2467" s="28">
        <f>-P2467*SIN(RADIANS(E2467))</f>
        <v/>
      </c>
      <c r="S2467" s="8">
        <f>(O2467+P2467*COS(RADIANS(E2467)))/L2467</f>
        <v/>
      </c>
      <c r="T2467" s="8">
        <f>R2467/L2467</f>
        <v/>
      </c>
      <c r="U2467" s="8">
        <f>(Q2467-P2467*G2467*SIN(RADIANS(E2467)))/M2467</f>
        <v/>
      </c>
      <c r="V2467" s="8">
        <f>SQRT((S2467+U2467)^2+3*T2467^2)</f>
        <v/>
      </c>
      <c r="W2467" s="8">
        <f>V2467/AA2467</f>
        <v/>
      </c>
      <c r="X2467" s="27">
        <f>((3*10+H2467/COS(RADIANS(E2467)))*(3+3)+3*G2467*H2467)*2</f>
        <v/>
      </c>
      <c r="Y2467" s="28">
        <f>Z2467/X2467</f>
        <v/>
      </c>
      <c r="Z2467" s="29" t="n">
        <v>569.4500350808351</v>
      </c>
      <c r="AA2467" s="20" t="n">
        <v>97.7009995062801</v>
      </c>
      <c r="AB2467" t="n">
        <v>0.2062748069383383</v>
      </c>
      <c r="AC2467" t="n">
        <v>101.3077031125169</v>
      </c>
      <c r="AD2467" t="n">
        <v>35.03117379380385</v>
      </c>
    </row>
    <row r="2468">
      <c r="A2468" t="n">
        <v>2467</v>
      </c>
      <c r="B2468" t="n">
        <v>54</v>
      </c>
      <c r="C2468" s="21">
        <f>B2468-20</f>
        <v/>
      </c>
      <c r="D2468" t="n">
        <v>129.6</v>
      </c>
      <c r="E2468" s="22">
        <f>D2468-90</f>
        <v/>
      </c>
      <c r="F2468" s="23" t="n">
        <v>0.011733</v>
      </c>
      <c r="G2468" s="22" t="n">
        <v>31.5</v>
      </c>
      <c r="H2468" s="22" t="n">
        <v>1.5</v>
      </c>
      <c r="I2468" s="24" t="n">
        <v>0.0501042753458023</v>
      </c>
      <c r="J2468" s="6" t="n">
        <v>71000</v>
      </c>
      <c r="K2468" s="25">
        <f>23*10^-6</f>
        <v/>
      </c>
      <c r="L2468" s="8">
        <f>H2468</f>
        <v/>
      </c>
      <c r="M2468" s="26">
        <f>H2468^2/6</f>
        <v/>
      </c>
      <c r="N2468" s="26">
        <f>H2468^3/12</f>
        <v/>
      </c>
      <c r="O2468" s="27">
        <f>-J2468*L2468*K2468*C2468</f>
        <v/>
      </c>
      <c r="P2468" s="28">
        <f>-(12*F2468*J2468*L2468*N2468+12*O2468*N2468*G2468*COS(RADIANS(E2468)))/(12*N2468*G2468*COS(RADIANS(E2468))^2+L2468*G2468^3*SIN(RADIANS(E2468))^2)</f>
        <v/>
      </c>
      <c r="Q2468" s="28">
        <f>-(6*F2468*J2468*L2468*N2468*SIN(RADIANS(E2468))+6*O2468*N2468*G2468*SIN(RADIANS(E2468))*COS(RADIANS(E2468)))/(12*N2468*COS(RADIANS(E2468))^2+L2468*G2468^2*SIN(RADIANS(E2468))^2)</f>
        <v/>
      </c>
      <c r="R2468" s="28">
        <f>-P2468*SIN(RADIANS(E2468))</f>
        <v/>
      </c>
      <c r="S2468" s="8">
        <f>(O2468+P2468*COS(RADIANS(E2468)))/L2468</f>
        <v/>
      </c>
      <c r="T2468" s="8">
        <f>R2468/L2468</f>
        <v/>
      </c>
      <c r="U2468" s="8">
        <f>(Q2468-P2468*G2468*SIN(RADIANS(E2468)))/M2468</f>
        <v/>
      </c>
      <c r="V2468" s="8">
        <f>SQRT((S2468+U2468)^2+3*T2468^2)</f>
        <v/>
      </c>
      <c r="W2468" s="8">
        <f>V2468/AA2468</f>
        <v/>
      </c>
      <c r="X2468" s="27">
        <f>((3*10+H2468/COS(RADIANS(E2468)))*(3+3)+3*G2468*H2468)*2</f>
        <v/>
      </c>
      <c r="Y2468" s="28">
        <f>Z2468/X2468</f>
        <v/>
      </c>
      <c r="Z2468" s="29" t="n">
        <v>677.4427509273989</v>
      </c>
      <c r="AA2468" s="20" t="n">
        <v>47.9050068493356</v>
      </c>
      <c r="AB2468" t="n">
        <v>0.05262098302115252</v>
      </c>
      <c r="AC2468" t="n">
        <v>48.60961353157629</v>
      </c>
      <c r="AD2468" t="n">
        <v>5.022939974644435</v>
      </c>
    </row>
    <row r="2469">
      <c r="A2469" t="n">
        <v>2468</v>
      </c>
      <c r="B2469" t="n">
        <v>56.8</v>
      </c>
      <c r="C2469" s="21">
        <f>B2469-20</f>
        <v/>
      </c>
      <c r="D2469" t="n">
        <v>101.8</v>
      </c>
      <c r="E2469" s="22">
        <f>D2469-90</f>
        <v/>
      </c>
      <c r="F2469" s="23" t="n">
        <v>0.010812</v>
      </c>
      <c r="G2469" s="22" t="n">
        <v>20.2</v>
      </c>
      <c r="H2469" s="22" t="n">
        <v>1.3</v>
      </c>
      <c r="I2469" s="24" t="n">
        <v>0.092535987496376</v>
      </c>
      <c r="J2469" s="6" t="n">
        <v>71000</v>
      </c>
      <c r="K2469" s="25">
        <f>23*10^-6</f>
        <v/>
      </c>
      <c r="L2469" s="8">
        <f>H2469</f>
        <v/>
      </c>
      <c r="M2469" s="26">
        <f>H2469^2/6</f>
        <v/>
      </c>
      <c r="N2469" s="26">
        <f>H2469^3/12</f>
        <v/>
      </c>
      <c r="O2469" s="27">
        <f>-J2469*L2469*K2469*C2469</f>
        <v/>
      </c>
      <c r="P2469" s="28">
        <f>-(12*F2469*J2469*L2469*N2469+12*O2469*N2469*G2469*COS(RADIANS(E2469)))/(12*N2469*G2469*COS(RADIANS(E2469))^2+L2469*G2469^3*SIN(RADIANS(E2469))^2)</f>
        <v/>
      </c>
      <c r="Q2469" s="28">
        <f>-(6*F2469*J2469*L2469*N2469*SIN(RADIANS(E2469))+6*O2469*N2469*G2469*SIN(RADIANS(E2469))*COS(RADIANS(E2469)))/(12*N2469*COS(RADIANS(E2469))^2+L2469*G2469^2*SIN(RADIANS(E2469))^2)</f>
        <v/>
      </c>
      <c r="R2469" s="28">
        <f>-P2469*SIN(RADIANS(E2469))</f>
        <v/>
      </c>
      <c r="S2469" s="8">
        <f>(O2469+P2469*COS(RADIANS(E2469)))/L2469</f>
        <v/>
      </c>
      <c r="T2469" s="8">
        <f>R2469/L2469</f>
        <v/>
      </c>
      <c r="U2469" s="8">
        <f>(Q2469-P2469*G2469*SIN(RADIANS(E2469)))/M2469</f>
        <v/>
      </c>
      <c r="V2469" s="8">
        <f>SQRT((S2469+U2469)^2+3*T2469^2)</f>
        <v/>
      </c>
      <c r="W2469" s="8">
        <f>V2469/AA2469</f>
        <v/>
      </c>
      <c r="X2469" s="27">
        <f>((3*10+H2469/COS(RADIANS(E2469)))*(3+3)+3*G2469*H2469)*2</f>
        <v/>
      </c>
      <c r="Y2469" s="28">
        <f>Z2469/X2469</f>
        <v/>
      </c>
      <c r="Z2469" s="29" t="n">
        <v>537.448547441595</v>
      </c>
      <c r="AA2469" s="20" t="n">
        <v>66.0030233947971</v>
      </c>
      <c r="AB2469" t="n">
        <v>0.1234344740509144</v>
      </c>
      <c r="AC2469" t="n">
        <v>62.67945078937874</v>
      </c>
      <c r="AD2469" t="n">
        <v>33.39077843174092</v>
      </c>
    </row>
    <row r="2470">
      <c r="A2470" t="n">
        <v>2469</v>
      </c>
      <c r="B2470" t="n">
        <v>60.4</v>
      </c>
      <c r="C2470" s="21">
        <f>B2470-20</f>
        <v/>
      </c>
      <c r="D2470" t="n">
        <v>109.2</v>
      </c>
      <c r="E2470" s="22">
        <f>D2470-90</f>
        <v/>
      </c>
      <c r="F2470" s="23" t="n">
        <v>0.017812</v>
      </c>
      <c r="G2470" s="22" t="n">
        <v>34.6</v>
      </c>
      <c r="H2470" s="22" t="n">
        <v>1.3</v>
      </c>
      <c r="I2470" s="24" t="n">
        <v>0.105069637298583</v>
      </c>
      <c r="J2470" s="6" t="n">
        <v>71000</v>
      </c>
      <c r="K2470" s="25">
        <f>23*10^-6</f>
        <v/>
      </c>
      <c r="L2470" s="8">
        <f>H2470</f>
        <v/>
      </c>
      <c r="M2470" s="26">
        <f>H2470^2/6</f>
        <v/>
      </c>
      <c r="N2470" s="26">
        <f>H2470^3/12</f>
        <v/>
      </c>
      <c r="O2470" s="27">
        <f>-J2470*L2470*K2470*C2470</f>
        <v/>
      </c>
      <c r="P2470" s="28">
        <f>-(12*F2470*J2470*L2470*N2470+12*O2470*N2470*G2470*COS(RADIANS(E2470)))/(12*N2470*G2470*COS(RADIANS(E2470))^2+L2470*G2470^3*SIN(RADIANS(E2470))^2)</f>
        <v/>
      </c>
      <c r="Q2470" s="28">
        <f>-(6*F2470*J2470*L2470*N2470*SIN(RADIANS(E2470))+6*O2470*N2470*G2470*SIN(RADIANS(E2470))*COS(RADIANS(E2470)))/(12*N2470*COS(RADIANS(E2470))^2+L2470*G2470^2*SIN(RADIANS(E2470))^2)</f>
        <v/>
      </c>
      <c r="R2470" s="28">
        <f>-P2470*SIN(RADIANS(E2470))</f>
        <v/>
      </c>
      <c r="S2470" s="8">
        <f>(O2470+P2470*COS(RADIANS(E2470)))/L2470</f>
        <v/>
      </c>
      <c r="T2470" s="8">
        <f>R2470/L2470</f>
        <v/>
      </c>
      <c r="U2470" s="8">
        <f>(Q2470-P2470*G2470*SIN(RADIANS(E2470)))/M2470</f>
        <v/>
      </c>
      <c r="V2470" s="8">
        <f>SQRT((S2470+U2470)^2+3*T2470^2)</f>
        <v/>
      </c>
      <c r="W2470" s="8">
        <f>V2470/AA2470</f>
        <v/>
      </c>
      <c r="X2470" s="27">
        <f>((3*10+H2470/COS(RADIANS(E2470)))*(3+3)+3*G2470*H2470)*2</f>
        <v/>
      </c>
      <c r="Y2470" s="28">
        <f>Z2470/X2470</f>
        <v/>
      </c>
      <c r="Z2470" s="29" t="n">
        <v>651.246063580327</v>
      </c>
      <c r="AA2470" s="20" t="n">
        <v>59.1110041539364</v>
      </c>
      <c r="AB2470" t="n">
        <v>0.1471261891098187</v>
      </c>
      <c r="AC2470" t="n">
        <v>61.18023809250594</v>
      </c>
      <c r="AD2470" t="n">
        <v>40.02731225931708</v>
      </c>
    </row>
    <row r="2471">
      <c r="A2471" t="n">
        <v>2470</v>
      </c>
      <c r="B2471" t="n">
        <v>41.6</v>
      </c>
      <c r="C2471" s="21">
        <f>B2471-20</f>
        <v/>
      </c>
      <c r="D2471" t="n">
        <v>113.6</v>
      </c>
      <c r="E2471" s="22">
        <f>D2471-90</f>
        <v/>
      </c>
      <c r="F2471" s="23" t="n">
        <v>0.007389</v>
      </c>
      <c r="G2471" s="22" t="n">
        <v>26.2</v>
      </c>
      <c r="H2471" s="22" t="n">
        <v>1.5</v>
      </c>
      <c r="I2471" s="24" t="n">
        <v>0.0395713597536087</v>
      </c>
      <c r="J2471" s="6" t="n">
        <v>71000</v>
      </c>
      <c r="K2471" s="25">
        <f>23*10^-6</f>
        <v/>
      </c>
      <c r="L2471" s="8">
        <f>H2471</f>
        <v/>
      </c>
      <c r="M2471" s="26">
        <f>H2471^2/6</f>
        <v/>
      </c>
      <c r="N2471" s="26">
        <f>H2471^3/12</f>
        <v/>
      </c>
      <c r="O2471" s="27">
        <f>-J2471*L2471*K2471*C2471</f>
        <v/>
      </c>
      <c r="P2471" s="28">
        <f>-(12*F2471*J2471*L2471*N2471+12*O2471*N2471*G2471*COS(RADIANS(E2471)))/(12*N2471*G2471*COS(RADIANS(E2471))^2+L2471*G2471^3*SIN(RADIANS(E2471))^2)</f>
        <v/>
      </c>
      <c r="Q2471" s="28">
        <f>-(6*F2471*J2471*L2471*N2471*SIN(RADIANS(E2471))+6*O2471*N2471*G2471*SIN(RADIANS(E2471))*COS(RADIANS(E2471)))/(12*N2471*COS(RADIANS(E2471))^2+L2471*G2471^2*SIN(RADIANS(E2471))^2)</f>
        <v/>
      </c>
      <c r="R2471" s="28">
        <f>-P2471*SIN(RADIANS(E2471))</f>
        <v/>
      </c>
      <c r="S2471" s="8">
        <f>(O2471+P2471*COS(RADIANS(E2471)))/L2471</f>
        <v/>
      </c>
      <c r="T2471" s="8">
        <f>R2471/L2471</f>
        <v/>
      </c>
      <c r="U2471" s="8">
        <f>(Q2471-P2471*G2471*SIN(RADIANS(E2471)))/M2471</f>
        <v/>
      </c>
      <c r="V2471" s="8">
        <f>SQRT((S2471+U2471)^2+3*T2471^2)</f>
        <v/>
      </c>
      <c r="W2471" s="8">
        <f>V2471/AA2471</f>
        <v/>
      </c>
      <c r="X2471" s="27">
        <f>((3*10+H2471/COS(RADIANS(E2471)))*(3+3)+3*G2471*H2471)*2</f>
        <v/>
      </c>
      <c r="Y2471" s="28">
        <f>Z2471/X2471</f>
        <v/>
      </c>
      <c r="Z2471" s="29" t="n">
        <v>621.067008074082</v>
      </c>
      <c r="AA2471" s="20" t="n">
        <v>33.2355403787326</v>
      </c>
      <c r="AB2471" t="n">
        <v>0.04853662765096114</v>
      </c>
      <c r="AC2471" t="n">
        <v>33.09159470111925</v>
      </c>
      <c r="AD2471" t="n">
        <v>22.65595105443617</v>
      </c>
    </row>
    <row r="2472">
      <c r="A2472" t="n">
        <v>2471</v>
      </c>
      <c r="B2472" t="n">
        <v>56.7</v>
      </c>
      <c r="C2472" s="21">
        <f>B2472-20</f>
        <v/>
      </c>
      <c r="D2472" t="n">
        <v>113.1</v>
      </c>
      <c r="E2472" s="22">
        <f>D2472-90</f>
        <v/>
      </c>
      <c r="F2472" s="23" t="n">
        <v>0.011708</v>
      </c>
      <c r="G2472" s="22" t="n">
        <v>23.9</v>
      </c>
      <c r="H2472" s="22" t="n">
        <v>1.8</v>
      </c>
      <c r="I2472" s="24" t="n">
        <v>0.0639852285385131</v>
      </c>
      <c r="J2472" s="6" t="n">
        <v>71000</v>
      </c>
      <c r="K2472" s="25">
        <f>23*10^-6</f>
        <v/>
      </c>
      <c r="L2472" s="8">
        <f>H2472</f>
        <v/>
      </c>
      <c r="M2472" s="26">
        <f>H2472^2/6</f>
        <v/>
      </c>
      <c r="N2472" s="26">
        <f>H2472^3/12</f>
        <v/>
      </c>
      <c r="O2472" s="27">
        <f>-J2472*L2472*K2472*C2472</f>
        <v/>
      </c>
      <c r="P2472" s="28">
        <f>-(12*F2472*J2472*L2472*N2472+12*O2472*N2472*G2472*COS(RADIANS(E2472)))/(12*N2472*G2472*COS(RADIANS(E2472))^2+L2472*G2472^3*SIN(RADIANS(E2472))^2)</f>
        <v/>
      </c>
      <c r="Q2472" s="28">
        <f>-(6*F2472*J2472*L2472*N2472*SIN(RADIANS(E2472))+6*O2472*N2472*G2472*SIN(RADIANS(E2472))*COS(RADIANS(E2472)))/(12*N2472*COS(RADIANS(E2472))^2+L2472*G2472^2*SIN(RADIANS(E2472))^2)</f>
        <v/>
      </c>
      <c r="R2472" s="28">
        <f>-P2472*SIN(RADIANS(E2472))</f>
        <v/>
      </c>
      <c r="S2472" s="8">
        <f>(O2472+P2472*COS(RADIANS(E2472)))/L2472</f>
        <v/>
      </c>
      <c r="T2472" s="8">
        <f>R2472/L2472</f>
        <v/>
      </c>
      <c r="U2472" s="8">
        <f>(Q2472-P2472*G2472*SIN(RADIANS(E2472)))/M2472</f>
        <v/>
      </c>
      <c r="V2472" s="8">
        <f>SQRT((S2472+U2472)^2+3*T2472^2)</f>
        <v/>
      </c>
      <c r="W2472" s="8">
        <f>V2472/AA2472</f>
        <v/>
      </c>
      <c r="X2472" s="27">
        <f>((3*10+H2472/COS(RADIANS(E2472)))*(3+3)+3*G2472*H2472)*2</f>
        <v/>
      </c>
      <c r="Y2472" s="28">
        <f>Z2472/X2472</f>
        <v/>
      </c>
      <c r="Z2472" s="29" t="n">
        <v>647.1284655171891</v>
      </c>
      <c r="AA2472" s="20" t="n">
        <v>60.8422538582066</v>
      </c>
      <c r="AB2472" t="n">
        <v>0.07633312467233123</v>
      </c>
      <c r="AC2472" t="n">
        <v>58.08928282941552</v>
      </c>
      <c r="AD2472" t="n">
        <v>19.29804177597937</v>
      </c>
    </row>
    <row r="2473">
      <c r="A2473" t="n">
        <v>2472</v>
      </c>
      <c r="B2473" t="n">
        <v>58.2</v>
      </c>
      <c r="C2473" s="21">
        <f>B2473-20</f>
        <v/>
      </c>
      <c r="D2473" t="n">
        <v>116.2</v>
      </c>
      <c r="E2473" s="22">
        <f>D2473-90</f>
        <v/>
      </c>
      <c r="F2473" s="23" t="n">
        <v>0.010545</v>
      </c>
      <c r="G2473" s="22" t="n">
        <v>20.3</v>
      </c>
      <c r="H2473" s="22" t="n">
        <v>1</v>
      </c>
      <c r="I2473" s="24" t="n">
        <v>0.0555941313505172</v>
      </c>
      <c r="J2473" s="6" t="n">
        <v>71000</v>
      </c>
      <c r="K2473" s="25">
        <f>23*10^-6</f>
        <v/>
      </c>
      <c r="L2473" s="8">
        <f>H2473</f>
        <v/>
      </c>
      <c r="M2473" s="26">
        <f>H2473^2/6</f>
        <v/>
      </c>
      <c r="N2473" s="26">
        <f>H2473^3/12</f>
        <v/>
      </c>
      <c r="O2473" s="27">
        <f>-J2473*L2473*K2473*C2473</f>
        <v/>
      </c>
      <c r="P2473" s="28">
        <f>-(12*F2473*J2473*L2473*N2473+12*O2473*N2473*G2473*COS(RADIANS(E2473)))/(12*N2473*G2473*COS(RADIANS(E2473))^2+L2473*G2473^3*SIN(RADIANS(E2473))^2)</f>
        <v/>
      </c>
      <c r="Q2473" s="28">
        <f>-(6*F2473*J2473*L2473*N2473*SIN(RADIANS(E2473))+6*O2473*N2473*G2473*SIN(RADIANS(E2473))*COS(RADIANS(E2473)))/(12*N2473*COS(RADIANS(E2473))^2+L2473*G2473^2*SIN(RADIANS(E2473))^2)</f>
        <v/>
      </c>
      <c r="R2473" s="28">
        <f>-P2473*SIN(RADIANS(E2473))</f>
        <v/>
      </c>
      <c r="S2473" s="8">
        <f>(O2473+P2473*COS(RADIANS(E2473)))/L2473</f>
        <v/>
      </c>
      <c r="T2473" s="8">
        <f>R2473/L2473</f>
        <v/>
      </c>
      <c r="U2473" s="8">
        <f>(Q2473-P2473*G2473*SIN(RADIANS(E2473)))/M2473</f>
        <v/>
      </c>
      <c r="V2473" s="8">
        <f>SQRT((S2473+U2473)^2+3*T2473^2)</f>
        <v/>
      </c>
      <c r="W2473" s="8">
        <f>V2473/AA2473</f>
        <v/>
      </c>
      <c r="X2473" s="27">
        <f>((3*10+H2473/COS(RADIANS(E2473)))*(3+3)+3*G2473*H2473)*2</f>
        <v/>
      </c>
      <c r="Y2473" s="28">
        <f>Z2473/X2473</f>
        <v/>
      </c>
      <c r="Z2473" s="29" t="n">
        <v>501.355851943528</v>
      </c>
      <c r="AA2473" s="20" t="n">
        <v>53.3077999734579</v>
      </c>
      <c r="AB2473" t="n">
        <v>0.06116215295761615</v>
      </c>
      <c r="AC2473" t="n">
        <v>56.33735144765761</v>
      </c>
      <c r="AD2473" t="n">
        <v>10.0154844978024</v>
      </c>
    </row>
    <row r="2474">
      <c r="A2474" t="n">
        <v>2473</v>
      </c>
      <c r="B2474" t="n">
        <v>74.7</v>
      </c>
      <c r="C2474" s="21">
        <f>B2474-20</f>
        <v/>
      </c>
      <c r="D2474" t="n">
        <v>122.8</v>
      </c>
      <c r="E2474" s="22">
        <f>D2474-90</f>
        <v/>
      </c>
      <c r="F2474" s="23" t="n">
        <v>0.015588</v>
      </c>
      <c r="G2474" s="22" t="n">
        <v>22.6</v>
      </c>
      <c r="H2474" s="22" t="n">
        <v>1.8</v>
      </c>
      <c r="I2474" s="24" t="n">
        <v>0.0732707753777504</v>
      </c>
      <c r="J2474" s="6" t="n">
        <v>71000</v>
      </c>
      <c r="K2474" s="25">
        <f>23*10^-6</f>
        <v/>
      </c>
      <c r="L2474" s="8">
        <f>H2474</f>
        <v/>
      </c>
      <c r="M2474" s="26">
        <f>H2474^2/6</f>
        <v/>
      </c>
      <c r="N2474" s="26">
        <f>H2474^3/12</f>
        <v/>
      </c>
      <c r="O2474" s="27">
        <f>-J2474*L2474*K2474*C2474</f>
        <v/>
      </c>
      <c r="P2474" s="28">
        <f>-(12*F2474*J2474*L2474*N2474+12*O2474*N2474*G2474*COS(RADIANS(E2474)))/(12*N2474*G2474*COS(RADIANS(E2474))^2+L2474*G2474^3*SIN(RADIANS(E2474))^2)</f>
        <v/>
      </c>
      <c r="Q2474" s="28">
        <f>-(6*F2474*J2474*L2474*N2474*SIN(RADIANS(E2474))+6*O2474*N2474*G2474*SIN(RADIANS(E2474))*COS(RADIANS(E2474)))/(12*N2474*COS(RADIANS(E2474))^2+L2474*G2474^2*SIN(RADIANS(E2474))^2)</f>
        <v/>
      </c>
      <c r="R2474" s="28">
        <f>-P2474*SIN(RADIANS(E2474))</f>
        <v/>
      </c>
      <c r="S2474" s="8">
        <f>(O2474+P2474*COS(RADIANS(E2474)))/L2474</f>
        <v/>
      </c>
      <c r="T2474" s="8">
        <f>R2474/L2474</f>
        <v/>
      </c>
      <c r="U2474" s="8">
        <f>(Q2474-P2474*G2474*SIN(RADIANS(E2474)))/M2474</f>
        <v/>
      </c>
      <c r="V2474" s="8">
        <f>SQRT((S2474+U2474)^2+3*T2474^2)</f>
        <v/>
      </c>
      <c r="W2474" s="8">
        <f>V2474/AA2474</f>
        <v/>
      </c>
      <c r="X2474" s="27">
        <f>((3*10+H2474/COS(RADIANS(E2474)))*(3+3)+3*G2474*H2474)*2</f>
        <v/>
      </c>
      <c r="Y2474" s="28">
        <f>Z2474/X2474</f>
        <v/>
      </c>
      <c r="Z2474" s="29" t="n">
        <v>637.762751121339</v>
      </c>
      <c r="AA2474" s="20" t="n">
        <v>89.2211465523667</v>
      </c>
      <c r="AB2474" t="n">
        <v>0.07537024917721799</v>
      </c>
      <c r="AC2474" t="n">
        <v>82.4166822878519</v>
      </c>
      <c r="AD2474" t="n">
        <v>2.865363152830952</v>
      </c>
    </row>
    <row r="2475">
      <c r="A2475" t="n">
        <v>2474</v>
      </c>
      <c r="B2475" t="n">
        <v>51.2</v>
      </c>
      <c r="C2475" s="21">
        <f>B2475-20</f>
        <v/>
      </c>
      <c r="D2475" t="n">
        <v>129</v>
      </c>
      <c r="E2475" s="22">
        <f>D2475-90</f>
        <v/>
      </c>
      <c r="F2475" s="23" t="n">
        <v>0.010261</v>
      </c>
      <c r="G2475" s="22" t="n">
        <v>29.4</v>
      </c>
      <c r="H2475" s="22" t="n">
        <v>1.5</v>
      </c>
      <c r="I2475" s="24" t="n">
        <v>0.0443362817168235</v>
      </c>
      <c r="J2475" s="6" t="n">
        <v>71000</v>
      </c>
      <c r="K2475" s="25">
        <f>23*10^-6</f>
        <v/>
      </c>
      <c r="L2475" s="8">
        <f>H2475</f>
        <v/>
      </c>
      <c r="M2475" s="26">
        <f>H2475^2/6</f>
        <v/>
      </c>
      <c r="N2475" s="26">
        <f>H2475^3/12</f>
        <v/>
      </c>
      <c r="O2475" s="27">
        <f>-J2475*L2475*K2475*C2475</f>
        <v/>
      </c>
      <c r="P2475" s="28">
        <f>-(12*F2475*J2475*L2475*N2475+12*O2475*N2475*G2475*COS(RADIANS(E2475)))/(12*N2475*G2475*COS(RADIANS(E2475))^2+L2475*G2475^3*SIN(RADIANS(E2475))^2)</f>
        <v/>
      </c>
      <c r="Q2475" s="28">
        <f>-(6*F2475*J2475*L2475*N2475*SIN(RADIANS(E2475))+6*O2475*N2475*G2475*SIN(RADIANS(E2475))*COS(RADIANS(E2475)))/(12*N2475*COS(RADIANS(E2475))^2+L2475*G2475^2*SIN(RADIANS(E2475))^2)</f>
        <v/>
      </c>
      <c r="R2475" s="28">
        <f>-P2475*SIN(RADIANS(E2475))</f>
        <v/>
      </c>
      <c r="S2475" s="8">
        <f>(O2475+P2475*COS(RADIANS(E2475)))/L2475</f>
        <v/>
      </c>
      <c r="T2475" s="8">
        <f>R2475/L2475</f>
        <v/>
      </c>
      <c r="U2475" s="8">
        <f>(Q2475-P2475*G2475*SIN(RADIANS(E2475)))/M2475</f>
        <v/>
      </c>
      <c r="V2475" s="8">
        <f>SQRT((S2475+U2475)^2+3*T2475^2)</f>
        <v/>
      </c>
      <c r="W2475" s="8">
        <f>V2475/AA2475</f>
        <v/>
      </c>
      <c r="X2475" s="27">
        <f>((3*10+H2475/COS(RADIANS(E2475)))*(3+3)+3*G2475*H2475)*2</f>
        <v/>
      </c>
      <c r="Y2475" s="28">
        <f>Z2475/X2475</f>
        <v/>
      </c>
      <c r="Z2475" s="29" t="n">
        <v>658.077531153155</v>
      </c>
      <c r="AA2475" s="20" t="n">
        <v>44.6585088750484</v>
      </c>
      <c r="AB2475" t="n">
        <v>0.0459795548453991</v>
      </c>
      <c r="AC2475" t="n">
        <v>44.79557492680834</v>
      </c>
      <c r="AD2475" t="n">
        <v>3.706384624383281</v>
      </c>
    </row>
    <row r="2476">
      <c r="A2476" t="n">
        <v>2475</v>
      </c>
      <c r="B2476" t="n">
        <v>56.9</v>
      </c>
      <c r="C2476" s="21">
        <f>B2476-20</f>
        <v/>
      </c>
      <c r="D2476" t="n">
        <v>119.4</v>
      </c>
      <c r="E2476" s="22">
        <f>D2476-90</f>
        <v/>
      </c>
      <c r="F2476" s="23" t="n">
        <v>0.012566</v>
      </c>
      <c r="G2476" s="22" t="n">
        <v>27.4</v>
      </c>
      <c r="H2476" s="22" t="n">
        <v>1.7</v>
      </c>
      <c r="I2476" s="24" t="n">
        <v>0.0598537884652614</v>
      </c>
      <c r="J2476" s="6" t="n">
        <v>71000</v>
      </c>
      <c r="K2476" s="25">
        <f>23*10^-6</f>
        <v/>
      </c>
      <c r="L2476" s="8">
        <f>H2476</f>
        <v/>
      </c>
      <c r="M2476" s="26">
        <f>H2476^2/6</f>
        <v/>
      </c>
      <c r="N2476" s="26">
        <f>H2476^3/12</f>
        <v/>
      </c>
      <c r="O2476" s="27">
        <f>-J2476*L2476*K2476*C2476</f>
        <v/>
      </c>
      <c r="P2476" s="28">
        <f>-(12*F2476*J2476*L2476*N2476+12*O2476*N2476*G2476*COS(RADIANS(E2476)))/(12*N2476*G2476*COS(RADIANS(E2476))^2+L2476*G2476^3*SIN(RADIANS(E2476))^2)</f>
        <v/>
      </c>
      <c r="Q2476" s="28">
        <f>-(6*F2476*J2476*L2476*N2476*SIN(RADIANS(E2476))+6*O2476*N2476*G2476*SIN(RADIANS(E2476))*COS(RADIANS(E2476)))/(12*N2476*COS(RADIANS(E2476))^2+L2476*G2476^2*SIN(RADIANS(E2476))^2)</f>
        <v/>
      </c>
      <c r="R2476" s="28">
        <f>-P2476*SIN(RADIANS(E2476))</f>
        <v/>
      </c>
      <c r="S2476" s="8">
        <f>(O2476+P2476*COS(RADIANS(E2476)))/L2476</f>
        <v/>
      </c>
      <c r="T2476" s="8">
        <f>R2476/L2476</f>
        <v/>
      </c>
      <c r="U2476" s="8">
        <f>(Q2476-P2476*G2476*SIN(RADIANS(E2476)))/M2476</f>
        <v/>
      </c>
      <c r="V2476" s="8">
        <f>SQRT((S2476+U2476)^2+3*T2476^2)</f>
        <v/>
      </c>
      <c r="W2476" s="8">
        <f>V2476/AA2476</f>
        <v/>
      </c>
      <c r="X2476" s="27">
        <f>((3*10+H2476/COS(RADIANS(E2476)))*(3+3)+3*G2476*H2476)*2</f>
        <v/>
      </c>
      <c r="Y2476" s="28">
        <f>Z2476/X2476</f>
        <v/>
      </c>
      <c r="Z2476" s="29" t="n">
        <v>669.877008791794</v>
      </c>
      <c r="AA2476" s="20" t="n">
        <v>57.6558696105587</v>
      </c>
      <c r="AB2476" t="n">
        <v>0.06875157053629909</v>
      </c>
      <c r="AC2476" t="n">
        <v>55.47901083301071</v>
      </c>
      <c r="AD2476" t="n">
        <v>14.86586279530473</v>
      </c>
    </row>
    <row r="2477">
      <c r="A2477" t="n">
        <v>2476</v>
      </c>
      <c r="B2477" t="n">
        <v>40.4</v>
      </c>
      <c r="C2477" s="21">
        <f>B2477-20</f>
        <v/>
      </c>
      <c r="D2477" t="n">
        <v>122.4</v>
      </c>
      <c r="E2477" s="22">
        <f>D2477-90</f>
        <v/>
      </c>
      <c r="F2477" s="23" t="n">
        <v>0.005342</v>
      </c>
      <c r="G2477" s="22" t="n">
        <v>20.1</v>
      </c>
      <c r="H2477" s="22" t="n">
        <v>1.7</v>
      </c>
      <c r="I2477" s="24" t="n">
        <v>0.0256812963634729</v>
      </c>
      <c r="J2477" s="6" t="n">
        <v>71000</v>
      </c>
      <c r="K2477" s="25">
        <f>23*10^-6</f>
        <v/>
      </c>
      <c r="L2477" s="8">
        <f>H2477</f>
        <v/>
      </c>
      <c r="M2477" s="26">
        <f>H2477^2/6</f>
        <v/>
      </c>
      <c r="N2477" s="26">
        <f>H2477^3/12</f>
        <v/>
      </c>
      <c r="O2477" s="27">
        <f>-J2477*L2477*K2477*C2477</f>
        <v/>
      </c>
      <c r="P2477" s="28">
        <f>-(12*F2477*J2477*L2477*N2477+12*O2477*N2477*G2477*COS(RADIANS(E2477)))/(12*N2477*G2477*COS(RADIANS(E2477))^2+L2477*G2477^3*SIN(RADIANS(E2477))^2)</f>
        <v/>
      </c>
      <c r="Q2477" s="28">
        <f>-(6*F2477*J2477*L2477*N2477*SIN(RADIANS(E2477))+6*O2477*N2477*G2477*SIN(RADIANS(E2477))*COS(RADIANS(E2477)))/(12*N2477*COS(RADIANS(E2477))^2+L2477*G2477^2*SIN(RADIANS(E2477))^2)</f>
        <v/>
      </c>
      <c r="R2477" s="28">
        <f>-P2477*SIN(RADIANS(E2477))</f>
        <v/>
      </c>
      <c r="S2477" s="8">
        <f>(O2477+P2477*COS(RADIANS(E2477)))/L2477</f>
        <v/>
      </c>
      <c r="T2477" s="8">
        <f>R2477/L2477</f>
        <v/>
      </c>
      <c r="U2477" s="8">
        <f>(Q2477-P2477*G2477*SIN(RADIANS(E2477)))/M2477</f>
        <v/>
      </c>
      <c r="V2477" s="8">
        <f>SQRT((S2477+U2477)^2+3*T2477^2)</f>
        <v/>
      </c>
      <c r="W2477" s="8">
        <f>V2477/AA2477</f>
        <v/>
      </c>
      <c r="X2477" s="27">
        <f>((3*10+H2477/COS(RADIANS(E2477)))*(3+3)+3*G2477*H2477)*2</f>
        <v/>
      </c>
      <c r="Y2477" s="28">
        <f>Z2477/X2477</f>
        <v/>
      </c>
      <c r="Z2477" s="29" t="n">
        <v>597.03983275396</v>
      </c>
      <c r="AA2477" s="20" t="n">
        <v>33.4862056291981</v>
      </c>
      <c r="AB2477" t="n">
        <v>0.02550531581938834</v>
      </c>
      <c r="AC2477" t="n">
        <v>30.78523708791655</v>
      </c>
      <c r="AD2477" t="n">
        <v>-0.6852479002378788</v>
      </c>
    </row>
    <row r="2478">
      <c r="A2478" t="n">
        <v>2477</v>
      </c>
      <c r="B2478" t="n">
        <v>52.5</v>
      </c>
      <c r="C2478" s="21">
        <f>B2478-20</f>
        <v/>
      </c>
      <c r="D2478" t="n">
        <v>108.2</v>
      </c>
      <c r="E2478" s="22">
        <f>D2478-90</f>
        <v/>
      </c>
      <c r="F2478" s="23" t="n">
        <v>0.01236</v>
      </c>
      <c r="G2478" s="22" t="n">
        <v>28.8</v>
      </c>
      <c r="H2478" s="22" t="n">
        <v>1.8</v>
      </c>
      <c r="I2478" s="24" t="n">
        <v>0.07641652226448049</v>
      </c>
      <c r="J2478" s="6" t="n">
        <v>71000</v>
      </c>
      <c r="K2478" s="25">
        <f>23*10^-6</f>
        <v/>
      </c>
      <c r="L2478" s="8">
        <f>H2478</f>
        <v/>
      </c>
      <c r="M2478" s="26">
        <f>H2478^2/6</f>
        <v/>
      </c>
      <c r="N2478" s="26">
        <f>H2478^3/12</f>
        <v/>
      </c>
      <c r="O2478" s="27">
        <f>-J2478*L2478*K2478*C2478</f>
        <v/>
      </c>
      <c r="P2478" s="28">
        <f>-(12*F2478*J2478*L2478*N2478+12*O2478*N2478*G2478*COS(RADIANS(E2478)))/(12*N2478*G2478*COS(RADIANS(E2478))^2+L2478*G2478^3*SIN(RADIANS(E2478))^2)</f>
        <v/>
      </c>
      <c r="Q2478" s="28">
        <f>-(6*F2478*J2478*L2478*N2478*SIN(RADIANS(E2478))+6*O2478*N2478*G2478*SIN(RADIANS(E2478))*COS(RADIANS(E2478)))/(12*N2478*COS(RADIANS(E2478))^2+L2478*G2478^2*SIN(RADIANS(E2478))^2)</f>
        <v/>
      </c>
      <c r="R2478" s="28">
        <f>-P2478*SIN(RADIANS(E2478))</f>
        <v/>
      </c>
      <c r="S2478" s="8">
        <f>(O2478+P2478*COS(RADIANS(E2478)))/L2478</f>
        <v/>
      </c>
      <c r="T2478" s="8">
        <f>R2478/L2478</f>
        <v/>
      </c>
      <c r="U2478" s="8">
        <f>(Q2478-P2478*G2478*SIN(RADIANS(E2478)))/M2478</f>
        <v/>
      </c>
      <c r="V2478" s="8">
        <f>SQRT((S2478+U2478)^2+3*T2478^2)</f>
        <v/>
      </c>
      <c r="W2478" s="8">
        <f>V2478/AA2478</f>
        <v/>
      </c>
      <c r="X2478" s="27">
        <f>((3*10+H2478/COS(RADIANS(E2478)))*(3+3)+3*G2478*H2478)*2</f>
        <v/>
      </c>
      <c r="Y2478" s="28">
        <f>Z2478/X2478</f>
        <v/>
      </c>
      <c r="Z2478" s="29" t="n">
        <v>698.4750415606781</v>
      </c>
      <c r="AA2478" s="20" t="n">
        <v>53.6546377380621</v>
      </c>
      <c r="AB2478" t="n">
        <v>0.1026612767113649</v>
      </c>
      <c r="AC2478" t="n">
        <v>52.55589759883035</v>
      </c>
      <c r="AD2478" t="n">
        <v>34.34434552785623</v>
      </c>
    </row>
    <row r="2479">
      <c r="A2479" t="n">
        <v>2478</v>
      </c>
      <c r="B2479" t="n">
        <v>57</v>
      </c>
      <c r="C2479" s="21">
        <f>B2479-20</f>
        <v/>
      </c>
      <c r="D2479" t="n">
        <v>119</v>
      </c>
      <c r="E2479" s="22">
        <f>D2479-90</f>
        <v/>
      </c>
      <c r="F2479" s="23" t="n">
        <v>0.014557</v>
      </c>
      <c r="G2479" s="22" t="n">
        <v>32.6</v>
      </c>
      <c r="H2479" s="22" t="n">
        <v>1.4</v>
      </c>
      <c r="I2479" s="24" t="n">
        <v>0.06803992390632629</v>
      </c>
      <c r="J2479" s="6" t="n">
        <v>71000</v>
      </c>
      <c r="K2479" s="25">
        <f>23*10^-6</f>
        <v/>
      </c>
      <c r="L2479" s="8">
        <f>H2479</f>
        <v/>
      </c>
      <c r="M2479" s="26">
        <f>H2479^2/6</f>
        <v/>
      </c>
      <c r="N2479" s="26">
        <f>H2479^3/12</f>
        <v/>
      </c>
      <c r="O2479" s="27">
        <f>-J2479*L2479*K2479*C2479</f>
        <v/>
      </c>
      <c r="P2479" s="28">
        <f>-(12*F2479*J2479*L2479*N2479+12*O2479*N2479*G2479*COS(RADIANS(E2479)))/(12*N2479*G2479*COS(RADIANS(E2479))^2+L2479*G2479^3*SIN(RADIANS(E2479))^2)</f>
        <v/>
      </c>
      <c r="Q2479" s="28">
        <f>-(6*F2479*J2479*L2479*N2479*SIN(RADIANS(E2479))+6*O2479*N2479*G2479*SIN(RADIANS(E2479))*COS(RADIANS(E2479)))/(12*N2479*COS(RADIANS(E2479))^2+L2479*G2479^2*SIN(RADIANS(E2479))^2)</f>
        <v/>
      </c>
      <c r="R2479" s="28">
        <f>-P2479*SIN(RADIANS(E2479))</f>
        <v/>
      </c>
      <c r="S2479" s="8">
        <f>(O2479+P2479*COS(RADIANS(E2479)))/L2479</f>
        <v/>
      </c>
      <c r="T2479" s="8">
        <f>R2479/L2479</f>
        <v/>
      </c>
      <c r="U2479" s="8">
        <f>(Q2479-P2479*G2479*SIN(RADIANS(E2479)))/M2479</f>
        <v/>
      </c>
      <c r="V2479" s="8">
        <f>SQRT((S2479+U2479)^2+3*T2479^2)</f>
        <v/>
      </c>
      <c r="W2479" s="8">
        <f>V2479/AA2479</f>
        <v/>
      </c>
      <c r="X2479" s="27">
        <f>((3*10+H2479/COS(RADIANS(E2479)))*(3+3)+3*G2479*H2479)*2</f>
        <v/>
      </c>
      <c r="Y2479" s="28">
        <f>Z2479/X2479</f>
        <v/>
      </c>
      <c r="Z2479" s="29" t="n">
        <v>659.922475354871</v>
      </c>
      <c r="AA2479" s="20" t="n">
        <v>53.7812424848964</v>
      </c>
      <c r="AB2479" t="n">
        <v>0.08293971013364751</v>
      </c>
      <c r="AC2479" t="n">
        <v>54.1700886375773</v>
      </c>
      <c r="AD2479" t="n">
        <v>21.89859331388207</v>
      </c>
    </row>
    <row r="2480">
      <c r="A2480" t="n">
        <v>2479</v>
      </c>
      <c r="B2480" t="n">
        <v>45.8</v>
      </c>
      <c r="C2480" s="21">
        <f>B2480-20</f>
        <v/>
      </c>
      <c r="D2480" t="n">
        <v>116.7</v>
      </c>
      <c r="E2480" s="22">
        <f>D2480-90</f>
        <v/>
      </c>
      <c r="F2480" s="23" t="n">
        <v>0.008149999999999999</v>
      </c>
      <c r="G2480" s="22" t="n">
        <v>24.3</v>
      </c>
      <c r="H2480" s="22" t="n">
        <v>1.7</v>
      </c>
      <c r="I2480" s="24" t="n">
        <v>0.0412799641489982</v>
      </c>
      <c r="J2480" s="6" t="n">
        <v>71000</v>
      </c>
      <c r="K2480" s="25">
        <f>23*10^-6</f>
        <v/>
      </c>
      <c r="L2480" s="8">
        <f>H2480</f>
        <v/>
      </c>
      <c r="M2480" s="26">
        <f>H2480^2/6</f>
        <v/>
      </c>
      <c r="N2480" s="26">
        <f>H2480^3/12</f>
        <v/>
      </c>
      <c r="O2480" s="27">
        <f>-J2480*L2480*K2480*C2480</f>
        <v/>
      </c>
      <c r="P2480" s="28">
        <f>-(12*F2480*J2480*L2480*N2480+12*O2480*N2480*G2480*COS(RADIANS(E2480)))/(12*N2480*G2480*COS(RADIANS(E2480))^2+L2480*G2480^3*SIN(RADIANS(E2480))^2)</f>
        <v/>
      </c>
      <c r="Q2480" s="28">
        <f>-(6*F2480*J2480*L2480*N2480*SIN(RADIANS(E2480))+6*O2480*N2480*G2480*SIN(RADIANS(E2480))*COS(RADIANS(E2480)))/(12*N2480*COS(RADIANS(E2480))^2+L2480*G2480^2*SIN(RADIANS(E2480))^2)</f>
        <v/>
      </c>
      <c r="R2480" s="28">
        <f>-P2480*SIN(RADIANS(E2480))</f>
        <v/>
      </c>
      <c r="S2480" s="8">
        <f>(O2480+P2480*COS(RADIANS(E2480)))/L2480</f>
        <v/>
      </c>
      <c r="T2480" s="8">
        <f>R2480/L2480</f>
        <v/>
      </c>
      <c r="U2480" s="8">
        <f>(Q2480-P2480*G2480*SIN(RADIANS(E2480)))/M2480</f>
        <v/>
      </c>
      <c r="V2480" s="8">
        <f>SQRT((S2480+U2480)^2+3*T2480^2)</f>
        <v/>
      </c>
      <c r="W2480" s="8">
        <f>V2480/AA2480</f>
        <v/>
      </c>
      <c r="X2480" s="27">
        <f>((3*10+H2480/COS(RADIANS(E2480)))*(3+3)+3*G2480*H2480)*2</f>
        <v/>
      </c>
      <c r="Y2480" s="28">
        <f>Z2480/X2480</f>
        <v/>
      </c>
      <c r="Z2480" s="29" t="n">
        <v>636.9930047855009</v>
      </c>
      <c r="AA2480" s="20" t="n">
        <v>40.9643122837045</v>
      </c>
      <c r="AB2480" t="n">
        <v>0.04730163238678962</v>
      </c>
      <c r="AC2480" t="n">
        <v>39.62270404022072</v>
      </c>
      <c r="AD2480" t="n">
        <v>14.58738727595906</v>
      </c>
    </row>
    <row r="2481">
      <c r="A2481" t="n">
        <v>2480</v>
      </c>
      <c r="B2481" t="n">
        <v>60.4</v>
      </c>
      <c r="C2481" s="21">
        <f>B2481-20</f>
        <v/>
      </c>
      <c r="D2481" t="n">
        <v>126.6</v>
      </c>
      <c r="E2481" s="22">
        <f>D2481-90</f>
        <v/>
      </c>
      <c r="F2481" s="23" t="n">
        <v>0.015113</v>
      </c>
      <c r="G2481" s="22" t="n">
        <v>33.4</v>
      </c>
      <c r="H2481" s="22" t="n">
        <v>1</v>
      </c>
      <c r="I2481" s="24" t="n">
        <v>0.0647517666220665</v>
      </c>
      <c r="J2481" s="6" t="n">
        <v>71000</v>
      </c>
      <c r="K2481" s="25">
        <f>23*10^-6</f>
        <v/>
      </c>
      <c r="L2481" s="8">
        <f>H2481</f>
        <v/>
      </c>
      <c r="M2481" s="26">
        <f>H2481^2/6</f>
        <v/>
      </c>
      <c r="N2481" s="26">
        <f>H2481^3/12</f>
        <v/>
      </c>
      <c r="O2481" s="27">
        <f>-J2481*L2481*K2481*C2481</f>
        <v/>
      </c>
      <c r="P2481" s="28">
        <f>-(12*F2481*J2481*L2481*N2481+12*O2481*N2481*G2481*COS(RADIANS(E2481)))/(12*N2481*G2481*COS(RADIANS(E2481))^2+L2481*G2481^3*SIN(RADIANS(E2481))^2)</f>
        <v/>
      </c>
      <c r="Q2481" s="28">
        <f>-(6*F2481*J2481*L2481*N2481*SIN(RADIANS(E2481))+6*O2481*N2481*G2481*SIN(RADIANS(E2481))*COS(RADIANS(E2481)))/(12*N2481*COS(RADIANS(E2481))^2+L2481*G2481^2*SIN(RADIANS(E2481))^2)</f>
        <v/>
      </c>
      <c r="R2481" s="28">
        <f>-P2481*SIN(RADIANS(E2481))</f>
        <v/>
      </c>
      <c r="S2481" s="8">
        <f>(O2481+P2481*COS(RADIANS(E2481)))/L2481</f>
        <v/>
      </c>
      <c r="T2481" s="8">
        <f>R2481/L2481</f>
        <v/>
      </c>
      <c r="U2481" s="8">
        <f>(Q2481-P2481*G2481*SIN(RADIANS(E2481)))/M2481</f>
        <v/>
      </c>
      <c r="V2481" s="8">
        <f>SQRT((S2481+U2481)^2+3*T2481^2)</f>
        <v/>
      </c>
      <c r="W2481" s="8">
        <f>V2481/AA2481</f>
        <v/>
      </c>
      <c r="X2481" s="27">
        <f>((3*10+H2481/COS(RADIANS(E2481)))*(3+3)+3*G2481*H2481)*2</f>
        <v/>
      </c>
      <c r="Y2481" s="28">
        <f>Z2481/X2481</f>
        <v/>
      </c>
      <c r="Z2481" s="29" t="n">
        <v>584.675702599644</v>
      </c>
      <c r="AA2481" s="20" t="n">
        <v>51.7884816771241</v>
      </c>
      <c r="AB2481" t="n">
        <v>0.07226677241495717</v>
      </c>
      <c r="AC2481" t="n">
        <v>56.80526149251975</v>
      </c>
      <c r="AD2481" t="n">
        <v>11.60586990120771</v>
      </c>
    </row>
    <row r="2482">
      <c r="A2482" t="n">
        <v>2481</v>
      </c>
      <c r="B2482" t="n">
        <v>57</v>
      </c>
      <c r="C2482" s="21">
        <f>B2482-20</f>
        <v/>
      </c>
      <c r="D2482" t="n">
        <v>124.4</v>
      </c>
      <c r="E2482" s="22">
        <f>D2482-90</f>
        <v/>
      </c>
      <c r="F2482" s="23" t="n">
        <v>0.013041</v>
      </c>
      <c r="G2482" s="22" t="n">
        <v>30.2</v>
      </c>
      <c r="H2482" s="22" t="n">
        <v>1.8</v>
      </c>
      <c r="I2482" s="24" t="n">
        <v>0.0578327737748622</v>
      </c>
      <c r="J2482" s="6" t="n">
        <v>71000</v>
      </c>
      <c r="K2482" s="25">
        <f>23*10^-6</f>
        <v/>
      </c>
      <c r="L2482" s="8">
        <f>H2482</f>
        <v/>
      </c>
      <c r="M2482" s="26">
        <f>H2482^2/6</f>
        <v/>
      </c>
      <c r="N2482" s="26">
        <f>H2482^3/12</f>
        <v/>
      </c>
      <c r="O2482" s="27">
        <f>-J2482*L2482*K2482*C2482</f>
        <v/>
      </c>
      <c r="P2482" s="28">
        <f>-(12*F2482*J2482*L2482*N2482+12*O2482*N2482*G2482*COS(RADIANS(E2482)))/(12*N2482*G2482*COS(RADIANS(E2482))^2+L2482*G2482^3*SIN(RADIANS(E2482))^2)</f>
        <v/>
      </c>
      <c r="Q2482" s="28">
        <f>-(6*F2482*J2482*L2482*N2482*SIN(RADIANS(E2482))+6*O2482*N2482*G2482*SIN(RADIANS(E2482))*COS(RADIANS(E2482)))/(12*N2482*COS(RADIANS(E2482))^2+L2482*G2482^2*SIN(RADIANS(E2482))^2)</f>
        <v/>
      </c>
      <c r="R2482" s="28">
        <f>-P2482*SIN(RADIANS(E2482))</f>
        <v/>
      </c>
      <c r="S2482" s="8">
        <f>(O2482+P2482*COS(RADIANS(E2482)))/L2482</f>
        <v/>
      </c>
      <c r="T2482" s="8">
        <f>R2482/L2482</f>
        <v/>
      </c>
      <c r="U2482" s="8">
        <f>(Q2482-P2482*G2482*SIN(RADIANS(E2482)))/M2482</f>
        <v/>
      </c>
      <c r="V2482" s="8">
        <f>SQRT((S2482+U2482)^2+3*T2482^2)</f>
        <v/>
      </c>
      <c r="W2482" s="8">
        <f>V2482/AA2482</f>
        <v/>
      </c>
      <c r="X2482" s="27">
        <f>((3*10+H2482/COS(RADIANS(E2482)))*(3+3)+3*G2482*H2482)*2</f>
        <v/>
      </c>
      <c r="Y2482" s="28">
        <f>Z2482/X2482</f>
        <v/>
      </c>
      <c r="Z2482" s="29" t="n">
        <v>720.8587536323651</v>
      </c>
      <c r="AA2482" s="20" t="n">
        <v>57.4012503830321</v>
      </c>
      <c r="AB2482" t="n">
        <v>0.06398372644285107</v>
      </c>
      <c r="AC2482" t="n">
        <v>54.51067431809226</v>
      </c>
      <c r="AD2482" t="n">
        <v>10.63575593301814</v>
      </c>
    </row>
    <row r="2483">
      <c r="A2483" t="n">
        <v>2482</v>
      </c>
      <c r="B2483" t="n">
        <v>61.2</v>
      </c>
      <c r="C2483" s="21">
        <f>B2483-20</f>
        <v/>
      </c>
      <c r="D2483" t="n">
        <v>106.2</v>
      </c>
      <c r="E2483" s="22">
        <f>D2483-90</f>
        <v/>
      </c>
      <c r="F2483" s="23" t="n">
        <v>0.013598</v>
      </c>
      <c r="G2483" s="22" t="n">
        <v>23.9</v>
      </c>
      <c r="H2483" s="22" t="n">
        <v>1.4</v>
      </c>
      <c r="I2483" s="24" t="n">
        <v>0.09326150268316261</v>
      </c>
      <c r="J2483" s="6" t="n">
        <v>71000</v>
      </c>
      <c r="K2483" s="25">
        <f>23*10^-6</f>
        <v/>
      </c>
      <c r="L2483" s="8">
        <f>H2483</f>
        <v/>
      </c>
      <c r="M2483" s="26">
        <f>H2483^2/6</f>
        <v/>
      </c>
      <c r="N2483" s="26">
        <f>H2483^3/12</f>
        <v/>
      </c>
      <c r="O2483" s="27">
        <f>-J2483*L2483*K2483*C2483</f>
        <v/>
      </c>
      <c r="P2483" s="28">
        <f>-(12*F2483*J2483*L2483*N2483+12*O2483*N2483*G2483*COS(RADIANS(E2483)))/(12*N2483*G2483*COS(RADIANS(E2483))^2+L2483*G2483^3*SIN(RADIANS(E2483))^2)</f>
        <v/>
      </c>
      <c r="Q2483" s="28">
        <f>-(6*F2483*J2483*L2483*N2483*SIN(RADIANS(E2483))+6*O2483*N2483*G2483*SIN(RADIANS(E2483))*COS(RADIANS(E2483)))/(12*N2483*COS(RADIANS(E2483))^2+L2483*G2483^2*SIN(RADIANS(E2483))^2)</f>
        <v/>
      </c>
      <c r="R2483" s="28">
        <f>-P2483*SIN(RADIANS(E2483))</f>
        <v/>
      </c>
      <c r="S2483" s="8">
        <f>(O2483+P2483*COS(RADIANS(E2483)))/L2483</f>
        <v/>
      </c>
      <c r="T2483" s="8">
        <f>R2483/L2483</f>
        <v/>
      </c>
      <c r="U2483" s="8">
        <f>(Q2483-P2483*G2483*SIN(RADIANS(E2483)))/M2483</f>
        <v/>
      </c>
      <c r="V2483" s="8">
        <f>SQRT((S2483+U2483)^2+3*T2483^2)</f>
        <v/>
      </c>
      <c r="W2483" s="8">
        <f>V2483/AA2483</f>
        <v/>
      </c>
      <c r="X2483" s="27">
        <f>((3*10+H2483/COS(RADIANS(E2483)))*(3+3)+3*G2483*H2483)*2</f>
        <v/>
      </c>
      <c r="Y2483" s="28">
        <f>Z2483/X2483</f>
        <v/>
      </c>
      <c r="Z2483" s="29" t="n">
        <v>582.680631652284</v>
      </c>
      <c r="AA2483" s="20" t="n">
        <v>64.5051748525309</v>
      </c>
      <c r="AB2483" t="n">
        <v>0.1228267481194991</v>
      </c>
      <c r="AC2483" t="n">
        <v>66.58186984981934</v>
      </c>
      <c r="AD2483" t="n">
        <v>31.7014465623383</v>
      </c>
    </row>
    <row r="2484">
      <c r="A2484" t="n">
        <v>2483</v>
      </c>
      <c r="B2484" t="n">
        <v>45.8</v>
      </c>
      <c r="C2484" s="21">
        <f>B2484-20</f>
        <v/>
      </c>
      <c r="D2484" t="n">
        <v>109.8</v>
      </c>
      <c r="E2484" s="22">
        <f>D2484-90</f>
        <v/>
      </c>
      <c r="F2484" s="23" t="n">
        <v>0.00979</v>
      </c>
      <c r="G2484" s="22" t="n">
        <v>29</v>
      </c>
      <c r="H2484" s="22" t="n">
        <v>1.8</v>
      </c>
      <c r="I2484" s="24" t="n">
        <v>0.0573269091546535</v>
      </c>
      <c r="J2484" s="6" t="n">
        <v>71000</v>
      </c>
      <c r="K2484" s="25">
        <f>23*10^-6</f>
        <v/>
      </c>
      <c r="L2484" s="8">
        <f>H2484</f>
        <v/>
      </c>
      <c r="M2484" s="26">
        <f>H2484^2/6</f>
        <v/>
      </c>
      <c r="N2484" s="26">
        <f>H2484^3/12</f>
        <v/>
      </c>
      <c r="O2484" s="27">
        <f>-J2484*L2484*K2484*C2484</f>
        <v/>
      </c>
      <c r="P2484" s="28">
        <f>-(12*F2484*J2484*L2484*N2484+12*O2484*N2484*G2484*COS(RADIANS(E2484)))/(12*N2484*G2484*COS(RADIANS(E2484))^2+L2484*G2484^3*SIN(RADIANS(E2484))^2)</f>
        <v/>
      </c>
      <c r="Q2484" s="28">
        <f>-(6*F2484*J2484*L2484*N2484*SIN(RADIANS(E2484))+6*O2484*N2484*G2484*SIN(RADIANS(E2484))*COS(RADIANS(E2484)))/(12*N2484*COS(RADIANS(E2484))^2+L2484*G2484^2*SIN(RADIANS(E2484))^2)</f>
        <v/>
      </c>
      <c r="R2484" s="28">
        <f>-P2484*SIN(RADIANS(E2484))</f>
        <v/>
      </c>
      <c r="S2484" s="8">
        <f>(O2484+P2484*COS(RADIANS(E2484)))/L2484</f>
        <v/>
      </c>
      <c r="T2484" s="8">
        <f>R2484/L2484</f>
        <v/>
      </c>
      <c r="U2484" s="8">
        <f>(Q2484-P2484*G2484*SIN(RADIANS(E2484)))/M2484</f>
        <v/>
      </c>
      <c r="V2484" s="8">
        <f>SQRT((S2484+U2484)^2+3*T2484^2)</f>
        <v/>
      </c>
      <c r="W2484" s="8">
        <f>V2484/AA2484</f>
        <v/>
      </c>
      <c r="X2484" s="27">
        <f>((3*10+H2484/COS(RADIANS(E2484)))*(3+3)+3*G2484*H2484)*2</f>
        <v/>
      </c>
      <c r="Y2484" s="28">
        <f>Z2484/X2484</f>
        <v/>
      </c>
      <c r="Z2484" s="29" t="n">
        <v>701.098856335367</v>
      </c>
      <c r="AA2484" s="20" t="n">
        <v>42.2622229056272</v>
      </c>
      <c r="AB2484" t="n">
        <v>0.07564167371863528</v>
      </c>
      <c r="AC2484" t="n">
        <v>41.13907622284053</v>
      </c>
      <c r="AD2484" t="n">
        <v>31.94793655205304</v>
      </c>
    </row>
    <row r="2485">
      <c r="A2485" t="n">
        <v>2484</v>
      </c>
      <c r="B2485" t="n">
        <v>80.5</v>
      </c>
      <c r="C2485" s="21">
        <f>B2485-20</f>
        <v/>
      </c>
      <c r="D2485" t="n">
        <v>115.5</v>
      </c>
      <c r="E2485" s="22">
        <f>D2485-90</f>
        <v/>
      </c>
      <c r="F2485" s="23" t="n">
        <v>0.025055</v>
      </c>
      <c r="G2485" s="22" t="n">
        <v>33.6</v>
      </c>
      <c r="H2485" s="22" t="n">
        <v>1.6</v>
      </c>
      <c r="I2485" s="24" t="n">
        <v>0.124358519911766</v>
      </c>
      <c r="J2485" s="6" t="n">
        <v>71000</v>
      </c>
      <c r="K2485" s="25">
        <f>23*10^-6</f>
        <v/>
      </c>
      <c r="L2485" s="8">
        <f>H2485</f>
        <v/>
      </c>
      <c r="M2485" s="26">
        <f>H2485^2/6</f>
        <v/>
      </c>
      <c r="N2485" s="26">
        <f>H2485^3/12</f>
        <v/>
      </c>
      <c r="O2485" s="27">
        <f>-J2485*L2485*K2485*C2485</f>
        <v/>
      </c>
      <c r="P2485" s="28">
        <f>-(12*F2485*J2485*L2485*N2485+12*O2485*N2485*G2485*COS(RADIANS(E2485)))/(12*N2485*G2485*COS(RADIANS(E2485))^2+L2485*G2485^3*SIN(RADIANS(E2485))^2)</f>
        <v/>
      </c>
      <c r="Q2485" s="28">
        <f>-(6*F2485*J2485*L2485*N2485*SIN(RADIANS(E2485))+6*O2485*N2485*G2485*SIN(RADIANS(E2485))*COS(RADIANS(E2485)))/(12*N2485*COS(RADIANS(E2485))^2+L2485*G2485^2*SIN(RADIANS(E2485))^2)</f>
        <v/>
      </c>
      <c r="R2485" s="28">
        <f>-P2485*SIN(RADIANS(E2485))</f>
        <v/>
      </c>
      <c r="S2485" s="8">
        <f>(O2485+P2485*COS(RADIANS(E2485)))/L2485</f>
        <v/>
      </c>
      <c r="T2485" s="8">
        <f>R2485/L2485</f>
        <v/>
      </c>
      <c r="U2485" s="8">
        <f>(Q2485-P2485*G2485*SIN(RADIANS(E2485)))/M2485</f>
        <v/>
      </c>
      <c r="V2485" s="8">
        <f>SQRT((S2485+U2485)^2+3*T2485^2)</f>
        <v/>
      </c>
      <c r="W2485" s="8">
        <f>V2485/AA2485</f>
        <v/>
      </c>
      <c r="X2485" s="27">
        <f>((3*10+H2485/COS(RADIANS(E2485)))*(3+3)+3*G2485*H2485)*2</f>
        <v/>
      </c>
      <c r="Y2485" s="28">
        <f>Z2485/X2485</f>
        <v/>
      </c>
      <c r="Z2485" s="29" t="n">
        <v>709.856142490004</v>
      </c>
      <c r="AA2485" s="20" t="n">
        <v>91.7230488736158</v>
      </c>
      <c r="AB2485" t="n">
        <v>0.1594221328369396</v>
      </c>
      <c r="AC2485" t="n">
        <v>90.72380105626544</v>
      </c>
      <c r="AD2485" t="n">
        <v>28.19558559401615</v>
      </c>
    </row>
    <row r="2486">
      <c r="A2486" t="n">
        <v>2485</v>
      </c>
      <c r="B2486" t="n">
        <v>79</v>
      </c>
      <c r="C2486" s="21">
        <f>B2486-20</f>
        <v/>
      </c>
      <c r="D2486" t="n">
        <v>126</v>
      </c>
      <c r="E2486" s="22">
        <f>D2486-90</f>
        <v/>
      </c>
      <c r="F2486" s="23" t="n">
        <v>0.015844</v>
      </c>
      <c r="G2486" s="22" t="n">
        <v>21.7</v>
      </c>
      <c r="H2486" s="22" t="n">
        <v>1.7</v>
      </c>
      <c r="I2486" s="24" t="n">
        <v>0.07290454208850861</v>
      </c>
      <c r="J2486" s="6" t="n">
        <v>71000</v>
      </c>
      <c r="K2486" s="25">
        <f>23*10^-6</f>
        <v/>
      </c>
      <c r="L2486" s="8">
        <f>H2486</f>
        <v/>
      </c>
      <c r="M2486" s="26">
        <f>H2486^2/6</f>
        <v/>
      </c>
      <c r="N2486" s="26">
        <f>H2486^3/12</f>
        <v/>
      </c>
      <c r="O2486" s="27">
        <f>-J2486*L2486*K2486*C2486</f>
        <v/>
      </c>
      <c r="P2486" s="28">
        <f>-(12*F2486*J2486*L2486*N2486+12*O2486*N2486*G2486*COS(RADIANS(E2486)))/(12*N2486*G2486*COS(RADIANS(E2486))^2+L2486*G2486^3*SIN(RADIANS(E2486))^2)</f>
        <v/>
      </c>
      <c r="Q2486" s="28">
        <f>-(6*F2486*J2486*L2486*N2486*SIN(RADIANS(E2486))+6*O2486*N2486*G2486*SIN(RADIANS(E2486))*COS(RADIANS(E2486)))/(12*N2486*COS(RADIANS(E2486))^2+L2486*G2486^2*SIN(RADIANS(E2486))^2)</f>
        <v/>
      </c>
      <c r="R2486" s="28">
        <f>-P2486*SIN(RADIANS(E2486))</f>
        <v/>
      </c>
      <c r="S2486" s="8">
        <f>(O2486+P2486*COS(RADIANS(E2486)))/L2486</f>
        <v/>
      </c>
      <c r="T2486" s="8">
        <f>R2486/L2486</f>
        <v/>
      </c>
      <c r="U2486" s="8">
        <f>(Q2486-P2486*G2486*SIN(RADIANS(E2486)))/M2486</f>
        <v/>
      </c>
      <c r="V2486" s="8">
        <f>SQRT((S2486+U2486)^2+3*T2486^2)</f>
        <v/>
      </c>
      <c r="W2486" s="8">
        <f>V2486/AA2486</f>
        <v/>
      </c>
      <c r="X2486" s="27">
        <f>((3*10+H2486/COS(RADIANS(E2486)))*(3+3)+3*G2486*H2486)*2</f>
        <v/>
      </c>
      <c r="Y2486" s="28">
        <f>Z2486/X2486</f>
        <v/>
      </c>
      <c r="Z2486" s="29" t="n">
        <v>615.655047586631</v>
      </c>
      <c r="AA2486" s="20" t="n">
        <v>93.6748676673203</v>
      </c>
      <c r="AB2486" t="n">
        <v>0.07094612055995805</v>
      </c>
      <c r="AC2486" t="n">
        <v>87.42730830326704</v>
      </c>
      <c r="AD2486" t="n">
        <v>-2.686281913921031</v>
      </c>
    </row>
    <row r="2487">
      <c r="A2487" t="n">
        <v>2486</v>
      </c>
      <c r="B2487" t="n">
        <v>49.8</v>
      </c>
      <c r="C2487" s="21">
        <f>B2487-20</f>
        <v/>
      </c>
      <c r="D2487" t="n">
        <v>110.4</v>
      </c>
      <c r="E2487" s="22">
        <f>D2487-90</f>
        <v/>
      </c>
      <c r="F2487" s="23" t="n">
        <v>0.01296</v>
      </c>
      <c r="G2487" s="22" t="n">
        <v>34.3</v>
      </c>
      <c r="H2487" s="22" t="n">
        <v>1.9</v>
      </c>
      <c r="I2487" s="24" t="n">
        <v>0.07311964780092239</v>
      </c>
      <c r="J2487" s="6" t="n">
        <v>71000</v>
      </c>
      <c r="K2487" s="25">
        <f>23*10^-6</f>
        <v/>
      </c>
      <c r="L2487" s="8">
        <f>H2487</f>
        <v/>
      </c>
      <c r="M2487" s="26">
        <f>H2487^2/6</f>
        <v/>
      </c>
      <c r="N2487" s="26">
        <f>H2487^3/12</f>
        <v/>
      </c>
      <c r="O2487" s="27">
        <f>-J2487*L2487*K2487*C2487</f>
        <v/>
      </c>
      <c r="P2487" s="28">
        <f>-(12*F2487*J2487*L2487*N2487+12*O2487*N2487*G2487*COS(RADIANS(E2487)))/(12*N2487*G2487*COS(RADIANS(E2487))^2+L2487*G2487^3*SIN(RADIANS(E2487))^2)</f>
        <v/>
      </c>
      <c r="Q2487" s="28">
        <f>-(6*F2487*J2487*L2487*N2487*SIN(RADIANS(E2487))+6*O2487*N2487*G2487*SIN(RADIANS(E2487))*COS(RADIANS(E2487)))/(12*N2487*COS(RADIANS(E2487))^2+L2487*G2487^2*SIN(RADIANS(E2487))^2)</f>
        <v/>
      </c>
      <c r="R2487" s="28">
        <f>-P2487*SIN(RADIANS(E2487))</f>
        <v/>
      </c>
      <c r="S2487" s="8">
        <f>(O2487+P2487*COS(RADIANS(E2487)))/L2487</f>
        <v/>
      </c>
      <c r="T2487" s="8">
        <f>R2487/L2487</f>
        <v/>
      </c>
      <c r="U2487" s="8">
        <f>(Q2487-P2487*G2487*SIN(RADIANS(E2487)))/M2487</f>
        <v/>
      </c>
      <c r="V2487" s="8">
        <f>SQRT((S2487+U2487)^2+3*T2487^2)</f>
        <v/>
      </c>
      <c r="W2487" s="8">
        <f>V2487/AA2487</f>
        <v/>
      </c>
      <c r="X2487" s="27">
        <f>((3*10+H2487/COS(RADIANS(E2487)))*(3+3)+3*G2487*H2487)*2</f>
        <v/>
      </c>
      <c r="Y2487" s="28">
        <f>Z2487/X2487</f>
        <v/>
      </c>
      <c r="Z2487" s="29" t="n">
        <v>780.385240709327</v>
      </c>
      <c r="AA2487" s="20" t="n">
        <v>48.5330783617607</v>
      </c>
      <c r="AB2487" t="n">
        <v>0.09996769777974432</v>
      </c>
      <c r="AC2487" t="n">
        <v>46.87374985916026</v>
      </c>
      <c r="AD2487" t="n">
        <v>36.71796950105556</v>
      </c>
    </row>
    <row r="2488">
      <c r="A2488" t="n">
        <v>2487</v>
      </c>
      <c r="B2488" t="n">
        <v>72.8</v>
      </c>
      <c r="C2488" s="21">
        <f>B2488-20</f>
        <v/>
      </c>
      <c r="D2488" t="n">
        <v>100.5</v>
      </c>
      <c r="E2488" s="22">
        <f>D2488-90</f>
        <v/>
      </c>
      <c r="F2488" s="23" t="n">
        <v>0.018644</v>
      </c>
      <c r="G2488" s="22" t="n">
        <v>25.4</v>
      </c>
      <c r="H2488" s="22" t="n">
        <v>1.3</v>
      </c>
      <c r="I2488" s="24" t="n">
        <v>0.173501104116439</v>
      </c>
      <c r="J2488" s="6" t="n">
        <v>71000</v>
      </c>
      <c r="K2488" s="25">
        <f>23*10^-6</f>
        <v/>
      </c>
      <c r="L2488" s="8">
        <f>H2488</f>
        <v/>
      </c>
      <c r="M2488" s="26">
        <f>H2488^2/6</f>
        <v/>
      </c>
      <c r="N2488" s="26">
        <f>H2488^3/12</f>
        <v/>
      </c>
      <c r="O2488" s="27">
        <f>-J2488*L2488*K2488*C2488</f>
        <v/>
      </c>
      <c r="P2488" s="28">
        <f>-(12*F2488*J2488*L2488*N2488+12*O2488*N2488*G2488*COS(RADIANS(E2488)))/(12*N2488*G2488*COS(RADIANS(E2488))^2+L2488*G2488^3*SIN(RADIANS(E2488))^2)</f>
        <v/>
      </c>
      <c r="Q2488" s="28">
        <f>-(6*F2488*J2488*L2488*N2488*SIN(RADIANS(E2488))+6*O2488*N2488*G2488*SIN(RADIANS(E2488))*COS(RADIANS(E2488)))/(12*N2488*COS(RADIANS(E2488))^2+L2488*G2488^2*SIN(RADIANS(E2488))^2)</f>
        <v/>
      </c>
      <c r="R2488" s="28">
        <f>-P2488*SIN(RADIANS(E2488))</f>
        <v/>
      </c>
      <c r="S2488" s="8">
        <f>(O2488+P2488*COS(RADIANS(E2488)))/L2488</f>
        <v/>
      </c>
      <c r="T2488" s="8">
        <f>R2488/L2488</f>
        <v/>
      </c>
      <c r="U2488" s="8">
        <f>(Q2488-P2488*G2488*SIN(RADIANS(E2488)))/M2488</f>
        <v/>
      </c>
      <c r="V2488" s="8">
        <f>SQRT((S2488+U2488)^2+3*T2488^2)</f>
        <v/>
      </c>
      <c r="W2488" s="8">
        <f>V2488/AA2488</f>
        <v/>
      </c>
      <c r="X2488" s="27">
        <f>((3*10+H2488/COS(RADIANS(E2488)))*(3+3)+3*G2488*H2488)*2</f>
        <v/>
      </c>
      <c r="Y2488" s="28">
        <f>Z2488/X2488</f>
        <v/>
      </c>
      <c r="Z2488" s="29" t="n">
        <v>577.828027911766</v>
      </c>
      <c r="AA2488" s="20" t="n">
        <v>84.055985642862</v>
      </c>
      <c r="AB2488" t="n">
        <v>0.2504930564661292</v>
      </c>
      <c r="AC2488" t="n">
        <v>90.01414105117261</v>
      </c>
      <c r="AD2488" t="n">
        <v>44.37548264708438</v>
      </c>
    </row>
    <row r="2489">
      <c r="A2489" t="n">
        <v>2488</v>
      </c>
      <c r="B2489" t="n">
        <v>48.9</v>
      </c>
      <c r="C2489" s="21">
        <f>B2489-20</f>
        <v/>
      </c>
      <c r="D2489" t="n">
        <v>103.6</v>
      </c>
      <c r="E2489" s="22">
        <f>D2489-90</f>
        <v/>
      </c>
      <c r="F2489" s="23" t="n">
        <v>0.013153</v>
      </c>
      <c r="G2489" s="22" t="n">
        <v>34.9</v>
      </c>
      <c r="H2489" s="22" t="n">
        <v>1.3</v>
      </c>
      <c r="I2489" s="24" t="n">
        <v>0.0998091623187065</v>
      </c>
      <c r="J2489" s="6" t="n">
        <v>71000</v>
      </c>
      <c r="K2489" s="25">
        <f>23*10^-6</f>
        <v/>
      </c>
      <c r="L2489" s="8">
        <f>H2489</f>
        <v/>
      </c>
      <c r="M2489" s="26">
        <f>H2489^2/6</f>
        <v/>
      </c>
      <c r="N2489" s="26">
        <f>H2489^3/12</f>
        <v/>
      </c>
      <c r="O2489" s="27">
        <f>-J2489*L2489*K2489*C2489</f>
        <v/>
      </c>
      <c r="P2489" s="28">
        <f>-(12*F2489*J2489*L2489*N2489+12*O2489*N2489*G2489*COS(RADIANS(E2489)))/(12*N2489*G2489*COS(RADIANS(E2489))^2+L2489*G2489^3*SIN(RADIANS(E2489))^2)</f>
        <v/>
      </c>
      <c r="Q2489" s="28">
        <f>-(6*F2489*J2489*L2489*N2489*SIN(RADIANS(E2489))+6*O2489*N2489*G2489*SIN(RADIANS(E2489))*COS(RADIANS(E2489)))/(12*N2489*COS(RADIANS(E2489))^2+L2489*G2489^2*SIN(RADIANS(E2489))^2)</f>
        <v/>
      </c>
      <c r="R2489" s="28">
        <f>-P2489*SIN(RADIANS(E2489))</f>
        <v/>
      </c>
      <c r="S2489" s="8">
        <f>(O2489+P2489*COS(RADIANS(E2489)))/L2489</f>
        <v/>
      </c>
      <c r="T2489" s="8">
        <f>R2489/L2489</f>
        <v/>
      </c>
      <c r="U2489" s="8">
        <f>(Q2489-P2489*G2489*SIN(RADIANS(E2489)))/M2489</f>
        <v/>
      </c>
      <c r="V2489" s="8">
        <f>SQRT((S2489+U2489)^2+3*T2489^2)</f>
        <v/>
      </c>
      <c r="W2489" s="8">
        <f>V2489/AA2489</f>
        <v/>
      </c>
      <c r="X2489" s="27">
        <f>((3*10+H2489/COS(RADIANS(E2489)))*(3+3)+3*G2489*H2489)*2</f>
        <v/>
      </c>
      <c r="Y2489" s="28">
        <f>Z2489/X2489</f>
        <v/>
      </c>
      <c r="Z2489" s="29" t="n">
        <v>652.3960048270731</v>
      </c>
      <c r="AA2489" s="20" t="n">
        <v>43.6702147629341</v>
      </c>
      <c r="AB2489" t="n">
        <v>0.1494040283069465</v>
      </c>
      <c r="AC2489" t="n">
        <v>45.73975445312715</v>
      </c>
      <c r="AD2489" t="n">
        <v>49.68969264552661</v>
      </c>
    </row>
    <row r="2490">
      <c r="A2490" t="n">
        <v>2489</v>
      </c>
      <c r="B2490" t="n">
        <v>68.8</v>
      </c>
      <c r="C2490" s="21">
        <f>B2490-20</f>
        <v/>
      </c>
      <c r="D2490" t="n">
        <v>102.7</v>
      </c>
      <c r="E2490" s="22">
        <f>D2490-90</f>
        <v/>
      </c>
      <c r="F2490" s="23" t="n">
        <v>0.0162</v>
      </c>
      <c r="G2490" s="22" t="n">
        <v>23.7</v>
      </c>
      <c r="H2490" s="22" t="n">
        <v>1.2</v>
      </c>
      <c r="I2490" s="24" t="n">
        <v>0.132851600646972</v>
      </c>
      <c r="J2490" s="6" t="n">
        <v>71000</v>
      </c>
      <c r="K2490" s="25">
        <f>23*10^-6</f>
        <v/>
      </c>
      <c r="L2490" s="8">
        <f>H2490</f>
        <v/>
      </c>
      <c r="M2490" s="26">
        <f>H2490^2/6</f>
        <v/>
      </c>
      <c r="N2490" s="26">
        <f>H2490^3/12</f>
        <v/>
      </c>
      <c r="O2490" s="27">
        <f>-J2490*L2490*K2490*C2490</f>
        <v/>
      </c>
      <c r="P2490" s="28">
        <f>-(12*F2490*J2490*L2490*N2490+12*O2490*N2490*G2490*COS(RADIANS(E2490)))/(12*N2490*G2490*COS(RADIANS(E2490))^2+L2490*G2490^3*SIN(RADIANS(E2490))^2)</f>
        <v/>
      </c>
      <c r="Q2490" s="28">
        <f>-(6*F2490*J2490*L2490*N2490*SIN(RADIANS(E2490))+6*O2490*N2490*G2490*SIN(RADIANS(E2490))*COS(RADIANS(E2490)))/(12*N2490*COS(RADIANS(E2490))^2+L2490*G2490^2*SIN(RADIANS(E2490))^2)</f>
        <v/>
      </c>
      <c r="R2490" s="28">
        <f>-P2490*SIN(RADIANS(E2490))</f>
        <v/>
      </c>
      <c r="S2490" s="8">
        <f>(O2490+P2490*COS(RADIANS(E2490)))/L2490</f>
        <v/>
      </c>
      <c r="T2490" s="8">
        <f>R2490/L2490</f>
        <v/>
      </c>
      <c r="U2490" s="8">
        <f>(Q2490-P2490*G2490*SIN(RADIANS(E2490)))/M2490</f>
        <v/>
      </c>
      <c r="V2490" s="8">
        <f>SQRT((S2490+U2490)^2+3*T2490^2)</f>
        <v/>
      </c>
      <c r="W2490" s="8">
        <f>V2490/AA2490</f>
        <v/>
      </c>
      <c r="X2490" s="27">
        <f>((3*10+H2490/COS(RADIANS(E2490)))*(3+3)+3*G2490*H2490)*2</f>
        <v/>
      </c>
      <c r="Y2490" s="28">
        <f>Z2490/X2490</f>
        <v/>
      </c>
      <c r="Z2490" s="29" t="n">
        <v>549.436663978633</v>
      </c>
      <c r="AA2490" s="20" t="n">
        <v>74.6038002949401</v>
      </c>
      <c r="AB2490" t="n">
        <v>0.1834391631671537</v>
      </c>
      <c r="AC2490" t="n">
        <v>80.16339488955282</v>
      </c>
      <c r="AD2490" t="n">
        <v>38.07824841689982</v>
      </c>
    </row>
    <row r="2491">
      <c r="A2491" t="n">
        <v>2490</v>
      </c>
      <c r="B2491" t="n">
        <v>56</v>
      </c>
      <c r="C2491" s="21">
        <f>B2491-20</f>
        <v/>
      </c>
      <c r="D2491" t="n">
        <v>111.5</v>
      </c>
      <c r="E2491" s="22">
        <f>D2491-90</f>
        <v/>
      </c>
      <c r="F2491" s="23" t="n">
        <v>0.015254</v>
      </c>
      <c r="G2491" s="22" t="n">
        <v>33.5</v>
      </c>
      <c r="H2491" s="22" t="n">
        <v>1.8</v>
      </c>
      <c r="I2491" s="24" t="n">
        <v>0.0835639014840126</v>
      </c>
      <c r="J2491" s="6" t="n">
        <v>71000</v>
      </c>
      <c r="K2491" s="25">
        <f>23*10^-6</f>
        <v/>
      </c>
      <c r="L2491" s="8">
        <f>H2491</f>
        <v/>
      </c>
      <c r="M2491" s="26">
        <f>H2491^2/6</f>
        <v/>
      </c>
      <c r="N2491" s="26">
        <f>H2491^3/12</f>
        <v/>
      </c>
      <c r="O2491" s="27">
        <f>-J2491*L2491*K2491*C2491</f>
        <v/>
      </c>
      <c r="P2491" s="28">
        <f>-(12*F2491*J2491*L2491*N2491+12*O2491*N2491*G2491*COS(RADIANS(E2491)))/(12*N2491*G2491*COS(RADIANS(E2491))^2+L2491*G2491^3*SIN(RADIANS(E2491))^2)</f>
        <v/>
      </c>
      <c r="Q2491" s="28">
        <f>-(6*F2491*J2491*L2491*N2491*SIN(RADIANS(E2491))+6*O2491*N2491*G2491*SIN(RADIANS(E2491))*COS(RADIANS(E2491)))/(12*N2491*COS(RADIANS(E2491))^2+L2491*G2491^2*SIN(RADIANS(E2491))^2)</f>
        <v/>
      </c>
      <c r="R2491" s="28">
        <f>-P2491*SIN(RADIANS(E2491))</f>
        <v/>
      </c>
      <c r="S2491" s="8">
        <f>(O2491+P2491*COS(RADIANS(E2491)))/L2491</f>
        <v/>
      </c>
      <c r="T2491" s="8">
        <f>R2491/L2491</f>
        <v/>
      </c>
      <c r="U2491" s="8">
        <f>(Q2491-P2491*G2491*SIN(RADIANS(E2491)))/M2491</f>
        <v/>
      </c>
      <c r="V2491" s="8">
        <f>SQRT((S2491+U2491)^2+3*T2491^2)</f>
        <v/>
      </c>
      <c r="W2491" s="8">
        <f>V2491/AA2491</f>
        <v/>
      </c>
      <c r="X2491" s="27">
        <f>((3*10+H2491/COS(RADIANS(E2491)))*(3+3)+3*G2491*H2491)*2</f>
        <v/>
      </c>
      <c r="Y2491" s="28">
        <f>Z2491/X2491</f>
        <v/>
      </c>
      <c r="Z2491" s="29" t="n">
        <v>750.243881953101</v>
      </c>
      <c r="AA2491" s="20" t="n">
        <v>57.4496415649128</v>
      </c>
      <c r="AB2491" t="n">
        <v>0.1122085733457956</v>
      </c>
      <c r="AC2491" t="n">
        <v>55.935304063744</v>
      </c>
      <c r="AD2491" t="n">
        <v>34.27876314183735</v>
      </c>
    </row>
    <row r="2492">
      <c r="A2492" t="n">
        <v>2491</v>
      </c>
      <c r="B2492" t="n">
        <v>80.8</v>
      </c>
      <c r="C2492" s="21">
        <f>B2492-20</f>
        <v/>
      </c>
      <c r="D2492" t="n">
        <v>107.8</v>
      </c>
      <c r="E2492" s="22">
        <f>D2492-90</f>
        <v/>
      </c>
      <c r="F2492" s="23" t="n">
        <v>0.020723</v>
      </c>
      <c r="G2492" s="22" t="n">
        <v>25.1</v>
      </c>
      <c r="H2492" s="22" t="n">
        <v>1.3</v>
      </c>
      <c r="I2492" s="24" t="n">
        <v>0.133263602852821</v>
      </c>
      <c r="J2492" s="6" t="n">
        <v>71000</v>
      </c>
      <c r="K2492" s="25">
        <f>23*10^-6</f>
        <v/>
      </c>
      <c r="L2492" s="8">
        <f>H2492</f>
        <v/>
      </c>
      <c r="M2492" s="26">
        <f>H2492^2/6</f>
        <v/>
      </c>
      <c r="N2492" s="26">
        <f>H2492^3/12</f>
        <v/>
      </c>
      <c r="O2492" s="27">
        <f>-J2492*L2492*K2492*C2492</f>
        <v/>
      </c>
      <c r="P2492" s="28">
        <f>-(12*F2492*J2492*L2492*N2492+12*O2492*N2492*G2492*COS(RADIANS(E2492)))/(12*N2492*G2492*COS(RADIANS(E2492))^2+L2492*G2492^3*SIN(RADIANS(E2492))^2)</f>
        <v/>
      </c>
      <c r="Q2492" s="28">
        <f>-(6*F2492*J2492*L2492*N2492*SIN(RADIANS(E2492))+6*O2492*N2492*G2492*SIN(RADIANS(E2492))*COS(RADIANS(E2492)))/(12*N2492*COS(RADIANS(E2492))^2+L2492*G2492^2*SIN(RADIANS(E2492))^2)</f>
        <v/>
      </c>
      <c r="R2492" s="28">
        <f>-P2492*SIN(RADIANS(E2492))</f>
        <v/>
      </c>
      <c r="S2492" s="8">
        <f>(O2492+P2492*COS(RADIANS(E2492)))/L2492</f>
        <v/>
      </c>
      <c r="T2492" s="8">
        <f>R2492/L2492</f>
        <v/>
      </c>
      <c r="U2492" s="8">
        <f>(Q2492-P2492*G2492*SIN(RADIANS(E2492)))/M2492</f>
        <v/>
      </c>
      <c r="V2492" s="8">
        <f>SQRT((S2492+U2492)^2+3*T2492^2)</f>
        <v/>
      </c>
      <c r="W2492" s="8">
        <f>V2492/AA2492</f>
        <v/>
      </c>
      <c r="X2492" s="27">
        <f>((3*10+H2492/COS(RADIANS(E2492)))*(3+3)+3*G2492*H2492)*2</f>
        <v/>
      </c>
      <c r="Y2492" s="28">
        <f>Z2492/X2492</f>
        <v/>
      </c>
      <c r="Z2492" s="29" t="n">
        <v>576.80461512966</v>
      </c>
      <c r="AA2492" s="20" t="n">
        <v>91.9349639860249</v>
      </c>
      <c r="AB2492" t="n">
        <v>0.1746469952504492</v>
      </c>
      <c r="AC2492" t="n">
        <v>95.50906011363119</v>
      </c>
      <c r="AD2492" t="n">
        <v>31.05378476322065</v>
      </c>
    </row>
    <row r="2493">
      <c r="A2493" t="n">
        <v>2492</v>
      </c>
      <c r="B2493" t="n">
        <v>62.4</v>
      </c>
      <c r="C2493" s="21">
        <f>B2493-20</f>
        <v/>
      </c>
      <c r="D2493" t="n">
        <v>102.3</v>
      </c>
      <c r="E2493" s="22">
        <f>D2493-90</f>
        <v/>
      </c>
      <c r="F2493" s="23" t="n">
        <v>0.013715</v>
      </c>
      <c r="G2493" s="22" t="n">
        <v>22.9</v>
      </c>
      <c r="H2493" s="22" t="n">
        <v>1.3</v>
      </c>
      <c r="I2493" s="24" t="n">
        <v>0.114304944872856</v>
      </c>
      <c r="J2493" s="6" t="n">
        <v>71000</v>
      </c>
      <c r="K2493" s="25">
        <f>23*10^-6</f>
        <v/>
      </c>
      <c r="L2493" s="8">
        <f>H2493</f>
        <v/>
      </c>
      <c r="M2493" s="26">
        <f>H2493^2/6</f>
        <v/>
      </c>
      <c r="N2493" s="26">
        <f>H2493^3/12</f>
        <v/>
      </c>
      <c r="O2493" s="27">
        <f>-J2493*L2493*K2493*C2493</f>
        <v/>
      </c>
      <c r="P2493" s="28">
        <f>-(12*F2493*J2493*L2493*N2493+12*O2493*N2493*G2493*COS(RADIANS(E2493)))/(12*N2493*G2493*COS(RADIANS(E2493))^2+L2493*G2493^3*SIN(RADIANS(E2493))^2)</f>
        <v/>
      </c>
      <c r="Q2493" s="28">
        <f>-(6*F2493*J2493*L2493*N2493*SIN(RADIANS(E2493))+6*O2493*N2493*G2493*SIN(RADIANS(E2493))*COS(RADIANS(E2493)))/(12*N2493*COS(RADIANS(E2493))^2+L2493*G2493^2*SIN(RADIANS(E2493))^2)</f>
        <v/>
      </c>
      <c r="R2493" s="28">
        <f>-P2493*SIN(RADIANS(E2493))</f>
        <v/>
      </c>
      <c r="S2493" s="8">
        <f>(O2493+P2493*COS(RADIANS(E2493)))/L2493</f>
        <v/>
      </c>
      <c r="T2493" s="8">
        <f>R2493/L2493</f>
        <v/>
      </c>
      <c r="U2493" s="8">
        <f>(Q2493-P2493*G2493*SIN(RADIANS(E2493)))/M2493</f>
        <v/>
      </c>
      <c r="V2493" s="8">
        <f>SQRT((S2493+U2493)^2+3*T2493^2)</f>
        <v/>
      </c>
      <c r="W2493" s="8">
        <f>V2493/AA2493</f>
        <v/>
      </c>
      <c r="X2493" s="27">
        <f>((3*10+H2493/COS(RADIANS(E2493)))*(3+3)+3*G2493*H2493)*2</f>
        <v/>
      </c>
      <c r="Y2493" s="28">
        <f>Z2493/X2493</f>
        <v/>
      </c>
      <c r="Z2493" s="29" t="n">
        <v>558.583980309024</v>
      </c>
      <c r="AA2493" s="20" t="n">
        <v>66.9501041444508</v>
      </c>
      <c r="AB2493" t="n">
        <v>0.1568947383469504</v>
      </c>
      <c r="AC2493" t="n">
        <v>71.08032250605076</v>
      </c>
      <c r="AD2493" t="n">
        <v>37.25979967136859</v>
      </c>
    </row>
    <row r="2494">
      <c r="A2494" t="n">
        <v>2493</v>
      </c>
      <c r="B2494" t="n">
        <v>81.7</v>
      </c>
      <c r="C2494" s="21">
        <f>B2494-20</f>
        <v/>
      </c>
      <c r="D2494" t="n">
        <v>121.7</v>
      </c>
      <c r="E2494" s="22">
        <f>D2494-90</f>
        <v/>
      </c>
      <c r="F2494" s="23" t="n">
        <v>0.024687</v>
      </c>
      <c r="G2494" s="22" t="n">
        <v>34.2</v>
      </c>
      <c r="H2494" s="22" t="n">
        <v>1.3</v>
      </c>
      <c r="I2494" s="24" t="n">
        <v>0.110388606786727</v>
      </c>
      <c r="J2494" s="6" t="n">
        <v>71000</v>
      </c>
      <c r="K2494" s="25">
        <f>23*10^-6</f>
        <v/>
      </c>
      <c r="L2494" s="8">
        <f>H2494</f>
        <v/>
      </c>
      <c r="M2494" s="26">
        <f>H2494^2/6</f>
        <v/>
      </c>
      <c r="N2494" s="26">
        <f>H2494^3/12</f>
        <v/>
      </c>
      <c r="O2494" s="27">
        <f>-J2494*L2494*K2494*C2494</f>
        <v/>
      </c>
      <c r="P2494" s="28">
        <f>-(12*F2494*J2494*L2494*N2494+12*O2494*N2494*G2494*COS(RADIANS(E2494)))/(12*N2494*G2494*COS(RADIANS(E2494))^2+L2494*G2494^3*SIN(RADIANS(E2494))^2)</f>
        <v/>
      </c>
      <c r="Q2494" s="28">
        <f>-(6*F2494*J2494*L2494*N2494*SIN(RADIANS(E2494))+6*O2494*N2494*G2494*SIN(RADIANS(E2494))*COS(RADIANS(E2494)))/(12*N2494*COS(RADIANS(E2494))^2+L2494*G2494^2*SIN(RADIANS(E2494))^2)</f>
        <v/>
      </c>
      <c r="R2494" s="28">
        <f>-P2494*SIN(RADIANS(E2494))</f>
        <v/>
      </c>
      <c r="S2494" s="8">
        <f>(O2494+P2494*COS(RADIANS(E2494)))/L2494</f>
        <v/>
      </c>
      <c r="T2494" s="8">
        <f>R2494/L2494</f>
        <v/>
      </c>
      <c r="U2494" s="8">
        <f>(Q2494-P2494*G2494*SIN(RADIANS(E2494)))/M2494</f>
        <v/>
      </c>
      <c r="V2494" s="8">
        <f>SQRT((S2494+U2494)^2+3*T2494^2)</f>
        <v/>
      </c>
      <c r="W2494" s="8">
        <f>V2494/AA2494</f>
        <v/>
      </c>
      <c r="X2494" s="27">
        <f>((3*10+H2494/COS(RADIANS(E2494)))*(3+3)+3*G2494*H2494)*2</f>
        <v/>
      </c>
      <c r="Y2494" s="28">
        <f>Z2494/X2494</f>
        <v/>
      </c>
      <c r="Z2494" s="29" t="n">
        <v>652.737450406981</v>
      </c>
      <c r="AA2494" s="20" t="n">
        <v>87.10814630013989</v>
      </c>
      <c r="AB2494" t="n">
        <v>0.1317760768353714</v>
      </c>
      <c r="AC2494" t="n">
        <v>88.87490961327856</v>
      </c>
      <c r="AD2494" t="n">
        <v>19.37470783553362</v>
      </c>
    </row>
    <row r="2495">
      <c r="A2495" t="n">
        <v>2494</v>
      </c>
      <c r="B2495" t="n">
        <v>74.7</v>
      </c>
      <c r="C2495" s="21">
        <f>B2495-20</f>
        <v/>
      </c>
      <c r="D2495" t="n">
        <v>125.6</v>
      </c>
      <c r="E2495" s="22">
        <f>D2495-90</f>
        <v/>
      </c>
      <c r="F2495" s="23" t="n">
        <v>0.018952</v>
      </c>
      <c r="G2495" s="22" t="n">
        <v>30</v>
      </c>
      <c r="H2495" s="22" t="n">
        <v>1.4</v>
      </c>
      <c r="I2495" s="24" t="n">
        <v>0.0831960141658783</v>
      </c>
      <c r="J2495" s="6" t="n">
        <v>71000</v>
      </c>
      <c r="K2495" s="25">
        <f>23*10^-6</f>
        <v/>
      </c>
      <c r="L2495" s="8">
        <f>H2495</f>
        <v/>
      </c>
      <c r="M2495" s="26">
        <f>H2495^2/6</f>
        <v/>
      </c>
      <c r="N2495" s="26">
        <f>H2495^3/12</f>
        <v/>
      </c>
      <c r="O2495" s="27">
        <f>-J2495*L2495*K2495*C2495</f>
        <v/>
      </c>
      <c r="P2495" s="28">
        <f>-(12*F2495*J2495*L2495*N2495+12*O2495*N2495*G2495*COS(RADIANS(E2495)))/(12*N2495*G2495*COS(RADIANS(E2495))^2+L2495*G2495^3*SIN(RADIANS(E2495))^2)</f>
        <v/>
      </c>
      <c r="Q2495" s="28">
        <f>-(6*F2495*J2495*L2495*N2495*SIN(RADIANS(E2495))+6*O2495*N2495*G2495*SIN(RADIANS(E2495))*COS(RADIANS(E2495)))/(12*N2495*COS(RADIANS(E2495))^2+L2495*G2495^2*SIN(RADIANS(E2495))^2)</f>
        <v/>
      </c>
      <c r="R2495" s="28">
        <f>-P2495*SIN(RADIANS(E2495))</f>
        <v/>
      </c>
      <c r="S2495" s="8">
        <f>(O2495+P2495*COS(RADIANS(E2495)))/L2495</f>
        <v/>
      </c>
      <c r="T2495" s="8">
        <f>R2495/L2495</f>
        <v/>
      </c>
      <c r="U2495" s="8">
        <f>(Q2495-P2495*G2495*SIN(RADIANS(E2495)))/M2495</f>
        <v/>
      </c>
      <c r="V2495" s="8">
        <f>SQRT((S2495+U2495)^2+3*T2495^2)</f>
        <v/>
      </c>
      <c r="W2495" s="8">
        <f>V2495/AA2495</f>
        <v/>
      </c>
      <c r="X2495" s="27">
        <f>((3*10+H2495/COS(RADIANS(E2495)))*(3+3)+3*G2495*H2495)*2</f>
        <v/>
      </c>
      <c r="Y2495" s="28">
        <f>Z2495/X2495</f>
        <v/>
      </c>
      <c r="Z2495" s="29" t="n">
        <v>641.611912268394</v>
      </c>
      <c r="AA2495" s="20" t="n">
        <v>77.2438084928789</v>
      </c>
      <c r="AB2495" t="n">
        <v>0.09086563471649427</v>
      </c>
      <c r="AC2495" t="n">
        <v>78.82103623922673</v>
      </c>
      <c r="AD2495" t="n">
        <v>9.218735569860462</v>
      </c>
    </row>
    <row r="2496">
      <c r="A2496" t="n">
        <v>2495</v>
      </c>
      <c r="B2496" t="n">
        <v>84</v>
      </c>
      <c r="C2496" s="21">
        <f>B2496-20</f>
        <v/>
      </c>
      <c r="D2496" t="n">
        <v>121.8</v>
      </c>
      <c r="E2496" s="22">
        <f>D2496-90</f>
        <v/>
      </c>
      <c r="F2496" s="23" t="n">
        <v>0.024282</v>
      </c>
      <c r="G2496" s="22" t="n">
        <v>32.1</v>
      </c>
      <c r="H2496" s="22" t="n">
        <v>1.5</v>
      </c>
      <c r="I2496" s="24" t="n">
        <v>0.109491929411888</v>
      </c>
      <c r="J2496" s="6" t="n">
        <v>71000</v>
      </c>
      <c r="K2496" s="25">
        <f>23*10^-6</f>
        <v/>
      </c>
      <c r="L2496" s="8">
        <f>H2496</f>
        <v/>
      </c>
      <c r="M2496" s="26">
        <f>H2496^2/6</f>
        <v/>
      </c>
      <c r="N2496" s="26">
        <f>H2496^3/12</f>
        <v/>
      </c>
      <c r="O2496" s="27">
        <f>-J2496*L2496*K2496*C2496</f>
        <v/>
      </c>
      <c r="P2496" s="28">
        <f>-(12*F2496*J2496*L2496*N2496+12*O2496*N2496*G2496*COS(RADIANS(E2496)))/(12*N2496*G2496*COS(RADIANS(E2496))^2+L2496*G2496^3*SIN(RADIANS(E2496))^2)</f>
        <v/>
      </c>
      <c r="Q2496" s="28">
        <f>-(6*F2496*J2496*L2496*N2496*SIN(RADIANS(E2496))+6*O2496*N2496*G2496*SIN(RADIANS(E2496))*COS(RADIANS(E2496)))/(12*N2496*COS(RADIANS(E2496))^2+L2496*G2496^2*SIN(RADIANS(E2496))^2)</f>
        <v/>
      </c>
      <c r="R2496" s="28">
        <f>-P2496*SIN(RADIANS(E2496))</f>
        <v/>
      </c>
      <c r="S2496" s="8">
        <f>(O2496+P2496*COS(RADIANS(E2496)))/L2496</f>
        <v/>
      </c>
      <c r="T2496" s="8">
        <f>R2496/L2496</f>
        <v/>
      </c>
      <c r="U2496" s="8">
        <f>(Q2496-P2496*G2496*SIN(RADIANS(E2496)))/M2496</f>
        <v/>
      </c>
      <c r="V2496" s="8">
        <f>SQRT((S2496+U2496)^2+3*T2496^2)</f>
        <v/>
      </c>
      <c r="W2496" s="8">
        <f>V2496/AA2496</f>
        <v/>
      </c>
      <c r="X2496" s="27">
        <f>((3*10+H2496/COS(RADIANS(E2496)))*(3+3)+3*G2496*H2496)*2</f>
        <v/>
      </c>
      <c r="Y2496" s="28">
        <f>Z2496/X2496</f>
        <v/>
      </c>
      <c r="Z2496" s="29" t="n">
        <v>677.751632795454</v>
      </c>
      <c r="AA2496" s="20" t="n">
        <v>94.4786459902402</v>
      </c>
      <c r="AB2496" t="n">
        <v>0.1280187886514009</v>
      </c>
      <c r="AC2496" t="n">
        <v>93.40818684331563</v>
      </c>
      <c r="AD2496" t="n">
        <v>16.92075328202353</v>
      </c>
    </row>
    <row r="2497">
      <c r="A2497" t="n">
        <v>2496</v>
      </c>
      <c r="B2497" t="n">
        <v>76.3</v>
      </c>
      <c r="C2497" s="21">
        <f>B2497-20</f>
        <v/>
      </c>
      <c r="D2497" t="n">
        <v>119.2</v>
      </c>
      <c r="E2497" s="22">
        <f>D2497-90</f>
        <v/>
      </c>
      <c r="F2497" s="23" t="n">
        <v>0.020883</v>
      </c>
      <c r="G2497" s="22" t="n">
        <v>30.4</v>
      </c>
      <c r="H2497" s="22" t="n">
        <v>1.4</v>
      </c>
      <c r="I2497" s="24" t="n">
        <v>0.0982619002461433</v>
      </c>
      <c r="J2497" s="6" t="n">
        <v>71000</v>
      </c>
      <c r="K2497" s="25">
        <f>23*10^-6</f>
        <v/>
      </c>
      <c r="L2497" s="8">
        <f>H2497</f>
        <v/>
      </c>
      <c r="M2497" s="26">
        <f>H2497^2/6</f>
        <v/>
      </c>
      <c r="N2497" s="26">
        <f>H2497^3/12</f>
        <v/>
      </c>
      <c r="O2497" s="27">
        <f>-J2497*L2497*K2497*C2497</f>
        <v/>
      </c>
      <c r="P2497" s="28">
        <f>-(12*F2497*J2497*L2497*N2497+12*O2497*N2497*G2497*COS(RADIANS(E2497)))/(12*N2497*G2497*COS(RADIANS(E2497))^2+L2497*G2497^3*SIN(RADIANS(E2497))^2)</f>
        <v/>
      </c>
      <c r="Q2497" s="28">
        <f>-(6*F2497*J2497*L2497*N2497*SIN(RADIANS(E2497))+6*O2497*N2497*G2497*SIN(RADIANS(E2497))*COS(RADIANS(E2497)))/(12*N2497*COS(RADIANS(E2497))^2+L2497*G2497^2*SIN(RADIANS(E2497))^2)</f>
        <v/>
      </c>
      <c r="R2497" s="28">
        <f>-P2497*SIN(RADIANS(E2497))</f>
        <v/>
      </c>
      <c r="S2497" s="8">
        <f>(O2497+P2497*COS(RADIANS(E2497)))/L2497</f>
        <v/>
      </c>
      <c r="T2497" s="8">
        <f>R2497/L2497</f>
        <v/>
      </c>
      <c r="U2497" s="8">
        <f>(Q2497-P2497*G2497*SIN(RADIANS(E2497)))/M2497</f>
        <v/>
      </c>
      <c r="V2497" s="8">
        <f>SQRT((S2497+U2497)^2+3*T2497^2)</f>
        <v/>
      </c>
      <c r="W2497" s="8">
        <f>V2497/AA2497</f>
        <v/>
      </c>
      <c r="X2497" s="27">
        <f>((3*10+H2497/COS(RADIANS(E2497)))*(3+3)+3*G2497*H2497)*2</f>
        <v/>
      </c>
      <c r="Y2497" s="28">
        <f>Z2497/X2497</f>
        <v/>
      </c>
      <c r="Z2497" s="29" t="n">
        <v>641.53319648149</v>
      </c>
      <c r="AA2497" s="20" t="n">
        <v>82.0808439773572</v>
      </c>
      <c r="AB2497" t="n">
        <v>0.117179561933624</v>
      </c>
      <c r="AC2497" t="n">
        <v>82.70132454712176</v>
      </c>
      <c r="AD2497" t="n">
        <v>19.25228561639099</v>
      </c>
    </row>
    <row r="2498">
      <c r="A2498" t="n">
        <v>2497</v>
      </c>
      <c r="B2498" t="n">
        <v>55.7</v>
      </c>
      <c r="C2498" s="21">
        <f>B2498-20</f>
        <v/>
      </c>
      <c r="D2498" t="n">
        <v>126.8</v>
      </c>
      <c r="E2498" s="22">
        <f>D2498-90</f>
        <v/>
      </c>
      <c r="F2498" s="23" t="n">
        <v>0.009579000000000001</v>
      </c>
      <c r="G2498" s="22" t="n">
        <v>21.9</v>
      </c>
      <c r="H2498" s="22" t="n">
        <v>1.1</v>
      </c>
      <c r="I2498" s="24" t="n">
        <v>0.0436887927353382</v>
      </c>
      <c r="J2498" s="6" t="n">
        <v>71000</v>
      </c>
      <c r="K2498" s="25">
        <f>23*10^-6</f>
        <v/>
      </c>
      <c r="L2498" s="8">
        <f>H2498</f>
        <v/>
      </c>
      <c r="M2498" s="26">
        <f>H2498^2/6</f>
        <v/>
      </c>
      <c r="N2498" s="26">
        <f>H2498^3/12</f>
        <v/>
      </c>
      <c r="O2498" s="27">
        <f>-J2498*L2498*K2498*C2498</f>
        <v/>
      </c>
      <c r="P2498" s="28">
        <f>-(12*F2498*J2498*L2498*N2498+12*O2498*N2498*G2498*COS(RADIANS(E2498)))/(12*N2498*G2498*COS(RADIANS(E2498))^2+L2498*G2498^3*SIN(RADIANS(E2498))^2)</f>
        <v/>
      </c>
      <c r="Q2498" s="28">
        <f>-(6*F2498*J2498*L2498*N2498*SIN(RADIANS(E2498))+6*O2498*N2498*G2498*SIN(RADIANS(E2498))*COS(RADIANS(E2498)))/(12*N2498*COS(RADIANS(E2498))^2+L2498*G2498^2*SIN(RADIANS(E2498))^2)</f>
        <v/>
      </c>
      <c r="R2498" s="28">
        <f>-P2498*SIN(RADIANS(E2498))</f>
        <v/>
      </c>
      <c r="S2498" s="8">
        <f>(O2498+P2498*COS(RADIANS(E2498)))/L2498</f>
        <v/>
      </c>
      <c r="T2498" s="8">
        <f>R2498/L2498</f>
        <v/>
      </c>
      <c r="U2498" s="8">
        <f>(Q2498-P2498*G2498*SIN(RADIANS(E2498)))/M2498</f>
        <v/>
      </c>
      <c r="V2498" s="8">
        <f>SQRT((S2498+U2498)^2+3*T2498^2)</f>
        <v/>
      </c>
      <c r="W2498" s="8">
        <f>V2498/AA2498</f>
        <v/>
      </c>
      <c r="X2498" s="27">
        <f>((3*10+H2498/COS(RADIANS(E2498)))*(3+3)+3*G2498*H2498)*2</f>
        <v/>
      </c>
      <c r="Y2498" s="28">
        <f>Z2498/X2498</f>
        <v/>
      </c>
      <c r="Z2498" s="29" t="n">
        <v>530.431157277827</v>
      </c>
      <c r="AA2498" s="20" t="n">
        <v>49.50008600965</v>
      </c>
      <c r="AB2498" t="n">
        <v>0.04259875976294127</v>
      </c>
      <c r="AC2498" t="n">
        <v>51.09611850743135</v>
      </c>
      <c r="AD2498" t="n">
        <v>-2.494994492066258</v>
      </c>
    </row>
    <row r="2499">
      <c r="A2499" t="n">
        <v>2498</v>
      </c>
      <c r="B2499" t="n">
        <v>56.2</v>
      </c>
      <c r="C2499" s="21">
        <f>B2499-20</f>
        <v/>
      </c>
      <c r="D2499" t="n">
        <v>108.9</v>
      </c>
      <c r="E2499" s="22">
        <f>D2499-90</f>
        <v/>
      </c>
      <c r="F2499" s="23" t="n">
        <v>0.010753</v>
      </c>
      <c r="G2499" s="22" t="n">
        <v>21.2</v>
      </c>
      <c r="H2499" s="22" t="n">
        <v>1.5</v>
      </c>
      <c r="I2499" s="24" t="n">
        <v>0.0673203021287918</v>
      </c>
      <c r="J2499" s="6" t="n">
        <v>71000</v>
      </c>
      <c r="K2499" s="25">
        <f>23*10^-6</f>
        <v/>
      </c>
      <c r="L2499" s="8">
        <f>H2499</f>
        <v/>
      </c>
      <c r="M2499" s="26">
        <f>H2499^2/6</f>
        <v/>
      </c>
      <c r="N2499" s="26">
        <f>H2499^3/12</f>
        <v/>
      </c>
      <c r="O2499" s="27">
        <f>-J2499*L2499*K2499*C2499</f>
        <v/>
      </c>
      <c r="P2499" s="28">
        <f>-(12*F2499*J2499*L2499*N2499+12*O2499*N2499*G2499*COS(RADIANS(E2499)))/(12*N2499*G2499*COS(RADIANS(E2499))^2+L2499*G2499^3*SIN(RADIANS(E2499))^2)</f>
        <v/>
      </c>
      <c r="Q2499" s="28">
        <f>-(6*F2499*J2499*L2499*N2499*SIN(RADIANS(E2499))+6*O2499*N2499*G2499*SIN(RADIANS(E2499))*COS(RADIANS(E2499)))/(12*N2499*COS(RADIANS(E2499))^2+L2499*G2499^2*SIN(RADIANS(E2499))^2)</f>
        <v/>
      </c>
      <c r="R2499" s="28">
        <f>-P2499*SIN(RADIANS(E2499))</f>
        <v/>
      </c>
      <c r="S2499" s="8">
        <f>(O2499+P2499*COS(RADIANS(E2499)))/L2499</f>
        <v/>
      </c>
      <c r="T2499" s="8">
        <f>R2499/L2499</f>
        <v/>
      </c>
      <c r="U2499" s="8">
        <f>(Q2499-P2499*G2499*SIN(RADIANS(E2499)))/M2499</f>
        <v/>
      </c>
      <c r="V2499" s="8">
        <f>SQRT((S2499+U2499)^2+3*T2499^2)</f>
        <v/>
      </c>
      <c r="W2499" s="8">
        <f>V2499/AA2499</f>
        <v/>
      </c>
      <c r="X2499" s="27">
        <f>((3*10+H2499/COS(RADIANS(E2499)))*(3+3)+3*G2499*H2499)*2</f>
        <v/>
      </c>
      <c r="Y2499" s="28">
        <f>Z2499/X2499</f>
        <v/>
      </c>
      <c r="Z2499" s="29" t="n">
        <v>574.627086707556</v>
      </c>
      <c r="AA2499" s="20" t="n">
        <v>58.5592880867033</v>
      </c>
      <c r="AB2499" t="n">
        <v>0.0822310941216431</v>
      </c>
      <c r="AC2499" t="n">
        <v>58.20717905816603</v>
      </c>
      <c r="AD2499" t="n">
        <v>22.14902714537017</v>
      </c>
    </row>
    <row r="2500">
      <c r="A2500" t="n">
        <v>2499</v>
      </c>
      <c r="B2500" t="n">
        <v>81.40000000000001</v>
      </c>
      <c r="C2500" s="21">
        <f>B2500-20</f>
        <v/>
      </c>
      <c r="D2500" t="n">
        <v>122.5</v>
      </c>
      <c r="E2500" s="22">
        <f>D2500-90</f>
        <v/>
      </c>
      <c r="F2500" s="23" t="n">
        <v>0.020552</v>
      </c>
      <c r="G2500" s="22" t="n">
        <v>27.7</v>
      </c>
      <c r="H2500" s="22" t="n">
        <v>1.8</v>
      </c>
      <c r="I2500" s="24" t="n">
        <v>0.0939945951104164</v>
      </c>
      <c r="J2500" s="6" t="n">
        <v>71000</v>
      </c>
      <c r="K2500" s="25">
        <f>23*10^-6</f>
        <v/>
      </c>
      <c r="L2500" s="8">
        <f>H2500</f>
        <v/>
      </c>
      <c r="M2500" s="26">
        <f>H2500^2/6</f>
        <v/>
      </c>
      <c r="N2500" s="26">
        <f>H2500^3/12</f>
        <v/>
      </c>
      <c r="O2500" s="27">
        <f>-J2500*L2500*K2500*C2500</f>
        <v/>
      </c>
      <c r="P2500" s="28">
        <f>-(12*F2500*J2500*L2500*N2500+12*O2500*N2500*G2500*COS(RADIANS(E2500)))/(12*N2500*G2500*COS(RADIANS(E2500))^2+L2500*G2500^3*SIN(RADIANS(E2500))^2)</f>
        <v/>
      </c>
      <c r="Q2500" s="28">
        <f>-(6*F2500*J2500*L2500*N2500*SIN(RADIANS(E2500))+6*O2500*N2500*G2500*SIN(RADIANS(E2500))*COS(RADIANS(E2500)))/(12*N2500*COS(RADIANS(E2500))^2+L2500*G2500^2*SIN(RADIANS(E2500))^2)</f>
        <v/>
      </c>
      <c r="R2500" s="28">
        <f>-P2500*SIN(RADIANS(E2500))</f>
        <v/>
      </c>
      <c r="S2500" s="8">
        <f>(O2500+P2500*COS(RADIANS(E2500)))/L2500</f>
        <v/>
      </c>
      <c r="T2500" s="8">
        <f>R2500/L2500</f>
        <v/>
      </c>
      <c r="U2500" s="8">
        <f>(Q2500-P2500*G2500*SIN(RADIANS(E2500)))/M2500</f>
        <v/>
      </c>
      <c r="V2500" s="8">
        <f>SQRT((S2500+U2500)^2+3*T2500^2)</f>
        <v/>
      </c>
      <c r="W2500" s="8">
        <f>V2500/AA2500</f>
        <v/>
      </c>
      <c r="X2500" s="27">
        <f>((3*10+H2500/COS(RADIANS(E2500)))*(3+3)+3*G2500*H2500)*2</f>
        <v/>
      </c>
      <c r="Y2500" s="28">
        <f>Z2500/X2500</f>
        <v/>
      </c>
      <c r="Z2500" s="29" t="n">
        <v>692.6610499486389</v>
      </c>
      <c r="AA2500" s="20" t="n">
        <v>96.7871070389691</v>
      </c>
      <c r="AB2500" t="n">
        <v>0.103848484904476</v>
      </c>
      <c r="AC2500" t="n">
        <v>91.56515230847089</v>
      </c>
      <c r="AD2500" t="n">
        <v>10.48346426992333</v>
      </c>
    </row>
    <row r="2501">
      <c r="A2501" t="n">
        <v>2500</v>
      </c>
      <c r="B2501" t="n">
        <v>65.8</v>
      </c>
      <c r="C2501" s="21">
        <f>B2501-20</f>
        <v/>
      </c>
      <c r="D2501" t="n">
        <v>124.6</v>
      </c>
      <c r="E2501" s="22">
        <f>D2501-90</f>
        <v/>
      </c>
      <c r="F2501" s="23" t="n">
        <v>0.015209</v>
      </c>
      <c r="G2501" s="22" t="n">
        <v>28.1</v>
      </c>
      <c r="H2501" s="22" t="n">
        <v>1.5</v>
      </c>
      <c r="I2501" s="24" t="n">
        <v>0.06797266751527779</v>
      </c>
      <c r="J2501" s="6" t="n">
        <v>71000</v>
      </c>
      <c r="K2501" s="25">
        <f>23*10^-6</f>
        <v/>
      </c>
      <c r="L2501" s="8">
        <f>H2501</f>
        <v/>
      </c>
      <c r="M2501" s="26">
        <f>H2501^2/6</f>
        <v/>
      </c>
      <c r="N2501" s="26">
        <f>H2501^3/12</f>
        <v/>
      </c>
      <c r="O2501" s="27">
        <f>-J2501*L2501*K2501*C2501</f>
        <v/>
      </c>
      <c r="P2501" s="28">
        <f>-(12*F2501*J2501*L2501*N2501+12*O2501*N2501*G2501*COS(RADIANS(E2501)))/(12*N2501*G2501*COS(RADIANS(E2501))^2+L2501*G2501^3*SIN(RADIANS(E2501))^2)</f>
        <v/>
      </c>
      <c r="Q2501" s="28">
        <f>-(6*F2501*J2501*L2501*N2501*SIN(RADIANS(E2501))+6*O2501*N2501*G2501*SIN(RADIANS(E2501))*COS(RADIANS(E2501)))/(12*N2501*COS(RADIANS(E2501))^2+L2501*G2501^2*SIN(RADIANS(E2501))^2)</f>
        <v/>
      </c>
      <c r="R2501" s="28">
        <f>-P2501*SIN(RADIANS(E2501))</f>
        <v/>
      </c>
      <c r="S2501" s="8">
        <f>(O2501+P2501*COS(RADIANS(E2501)))/L2501</f>
        <v/>
      </c>
      <c r="T2501" s="8">
        <f>R2501/L2501</f>
        <v/>
      </c>
      <c r="U2501" s="8">
        <f>(Q2501-P2501*G2501*SIN(RADIANS(E2501)))/M2501</f>
        <v/>
      </c>
      <c r="V2501" s="8">
        <f>SQRT((S2501+U2501)^2+3*T2501^2)</f>
        <v/>
      </c>
      <c r="W2501" s="8">
        <f>V2501/AA2501</f>
        <v/>
      </c>
      <c r="X2501" s="27">
        <f>((3*10+H2501/COS(RADIANS(E2501)))*(3+3)+3*G2501*H2501)*2</f>
        <v/>
      </c>
      <c r="Y2501" s="28">
        <f>Z2501/X2501</f>
        <v/>
      </c>
      <c r="Z2501" s="29" t="n">
        <v>643.357981613911</v>
      </c>
      <c r="AA2501" s="20" t="n">
        <v>67.03554273183271</v>
      </c>
      <c r="AB2501" t="n">
        <v>0.07367134136693208</v>
      </c>
      <c r="AC2501" t="n">
        <v>66.71168955975944</v>
      </c>
      <c r="AD2501" t="n">
        <v>8.383772566191308</v>
      </c>
    </row>
    <row r="2502">
      <c r="A2502" t="n">
        <v>2501</v>
      </c>
      <c r="B2502" t="n">
        <v>67.90000000000001</v>
      </c>
      <c r="C2502" s="21">
        <f>B2502-20</f>
        <v/>
      </c>
      <c r="D2502" t="n">
        <v>105.7</v>
      </c>
      <c r="E2502" s="22">
        <f>D2502-90</f>
        <v/>
      </c>
      <c r="F2502" s="23" t="n">
        <v>0.018364</v>
      </c>
      <c r="G2502" s="22" t="n">
        <v>28.7</v>
      </c>
      <c r="H2502" s="22" t="n">
        <v>1.7</v>
      </c>
      <c r="I2502" s="24" t="n">
        <v>0.125654995441436</v>
      </c>
      <c r="J2502" s="6" t="n">
        <v>71000</v>
      </c>
      <c r="K2502" s="25">
        <f>23*10^-6</f>
        <v/>
      </c>
      <c r="L2502" s="8">
        <f>H2502</f>
        <v/>
      </c>
      <c r="M2502" s="26">
        <f>H2502^2/6</f>
        <v/>
      </c>
      <c r="N2502" s="26">
        <f>H2502^3/12</f>
        <v/>
      </c>
      <c r="O2502" s="27">
        <f>-J2502*L2502*K2502*C2502</f>
        <v/>
      </c>
      <c r="P2502" s="28">
        <f>-(12*F2502*J2502*L2502*N2502+12*O2502*N2502*G2502*COS(RADIANS(E2502)))/(12*N2502*G2502*COS(RADIANS(E2502))^2+L2502*G2502^3*SIN(RADIANS(E2502))^2)</f>
        <v/>
      </c>
      <c r="Q2502" s="28">
        <f>-(6*F2502*J2502*L2502*N2502*SIN(RADIANS(E2502))+6*O2502*N2502*G2502*SIN(RADIANS(E2502))*COS(RADIANS(E2502)))/(12*N2502*COS(RADIANS(E2502))^2+L2502*G2502^2*SIN(RADIANS(E2502))^2)</f>
        <v/>
      </c>
      <c r="R2502" s="28">
        <f>-P2502*SIN(RADIANS(E2502))</f>
        <v/>
      </c>
      <c r="S2502" s="8">
        <f>(O2502+P2502*COS(RADIANS(E2502)))/L2502</f>
        <v/>
      </c>
      <c r="T2502" s="8">
        <f>R2502/L2502</f>
        <v/>
      </c>
      <c r="U2502" s="8">
        <f>(Q2502-P2502*G2502*SIN(RADIANS(E2502)))/M2502</f>
        <v/>
      </c>
      <c r="V2502" s="8">
        <f>SQRT((S2502+U2502)^2+3*T2502^2)</f>
        <v/>
      </c>
      <c r="W2502" s="8">
        <f>V2502/AA2502</f>
        <v/>
      </c>
      <c r="X2502" s="27">
        <f>((3*10+H2502/COS(RADIANS(E2502)))*(3+3)+3*G2502*H2502)*2</f>
        <v/>
      </c>
      <c r="Y2502" s="28">
        <f>Z2502/X2502</f>
        <v/>
      </c>
      <c r="Z2502" s="29" t="n">
        <v>678.294311488518</v>
      </c>
      <c r="AA2502" s="20" t="n">
        <v>78.8306286456059</v>
      </c>
      <c r="AB2502" t="n">
        <v>0.1742118814592287</v>
      </c>
      <c r="AC2502" t="n">
        <v>78.70114058191841</v>
      </c>
      <c r="AD2502" t="n">
        <v>38.64302079452435</v>
      </c>
    </row>
    <row r="2503">
      <c r="A2503" t="n">
        <v>2502</v>
      </c>
      <c r="B2503" t="n">
        <v>44.7</v>
      </c>
      <c r="C2503" s="21">
        <f>B2503-20</f>
        <v/>
      </c>
      <c r="D2503" t="n">
        <v>117.1</v>
      </c>
      <c r="E2503" s="22">
        <f>D2503-90</f>
        <v/>
      </c>
      <c r="F2503" s="23" t="n">
        <v>0.008833000000000001</v>
      </c>
      <c r="G2503" s="22" t="n">
        <v>28.5</v>
      </c>
      <c r="H2503" s="22" t="n">
        <v>1.1</v>
      </c>
      <c r="I2503" s="24" t="n">
        <v>0.0434447266161441</v>
      </c>
      <c r="J2503" s="6" t="n">
        <v>71000</v>
      </c>
      <c r="K2503" s="25">
        <f>23*10^-6</f>
        <v/>
      </c>
      <c r="L2503" s="8">
        <f>H2503</f>
        <v/>
      </c>
      <c r="M2503" s="26">
        <f>H2503^2/6</f>
        <v/>
      </c>
      <c r="N2503" s="26">
        <f>H2503^3/12</f>
        <v/>
      </c>
      <c r="O2503" s="27">
        <f>-J2503*L2503*K2503*C2503</f>
        <v/>
      </c>
      <c r="P2503" s="28">
        <f>-(12*F2503*J2503*L2503*N2503+12*O2503*N2503*G2503*COS(RADIANS(E2503)))/(12*N2503*G2503*COS(RADIANS(E2503))^2+L2503*G2503^3*SIN(RADIANS(E2503))^2)</f>
        <v/>
      </c>
      <c r="Q2503" s="28">
        <f>-(6*F2503*J2503*L2503*N2503*SIN(RADIANS(E2503))+6*O2503*N2503*G2503*SIN(RADIANS(E2503))*COS(RADIANS(E2503)))/(12*N2503*COS(RADIANS(E2503))^2+L2503*G2503^2*SIN(RADIANS(E2503))^2)</f>
        <v/>
      </c>
      <c r="R2503" s="28">
        <f>-P2503*SIN(RADIANS(E2503))</f>
        <v/>
      </c>
      <c r="S2503" s="8">
        <f>(O2503+P2503*COS(RADIANS(E2503)))/L2503</f>
        <v/>
      </c>
      <c r="T2503" s="8">
        <f>R2503/L2503</f>
        <v/>
      </c>
      <c r="U2503" s="8">
        <f>(Q2503-P2503*G2503*SIN(RADIANS(E2503)))/M2503</f>
        <v/>
      </c>
      <c r="V2503" s="8">
        <f>SQRT((S2503+U2503)^2+3*T2503^2)</f>
        <v/>
      </c>
      <c r="W2503" s="8">
        <f>V2503/AA2503</f>
        <v/>
      </c>
      <c r="X2503" s="27">
        <f>((3*10+H2503/COS(RADIANS(E2503)))*(3+3)+3*G2503*H2503)*2</f>
        <v/>
      </c>
      <c r="Y2503" s="28">
        <f>Z2503/X2503</f>
        <v/>
      </c>
      <c r="Z2503" s="29" t="n">
        <v>569.321390477496</v>
      </c>
      <c r="AA2503" s="20" t="n">
        <v>34.1556238210791</v>
      </c>
      <c r="AB2503" t="n">
        <v>0.05247956306174811</v>
      </c>
      <c r="AC2503" t="n">
        <v>35.99209430361451</v>
      </c>
      <c r="AD2503" t="n">
        <v>20.796163652798</v>
      </c>
    </row>
    <row r="2504">
      <c r="A2504" t="n">
        <v>2503</v>
      </c>
      <c r="B2504" t="n">
        <v>60.2</v>
      </c>
      <c r="C2504" s="21">
        <f>B2504-20</f>
        <v/>
      </c>
      <c r="D2504" t="n">
        <v>123.2</v>
      </c>
      <c r="E2504" s="22">
        <f>D2504-90</f>
        <v/>
      </c>
      <c r="F2504" s="23" t="n">
        <v>0.014829</v>
      </c>
      <c r="G2504" s="22" t="n">
        <v>31.5</v>
      </c>
      <c r="H2504" s="22" t="n">
        <v>1.5</v>
      </c>
      <c r="I2504" s="24" t="n">
        <v>0.0660284012556076</v>
      </c>
      <c r="J2504" s="6" t="n">
        <v>71000</v>
      </c>
      <c r="K2504" s="25">
        <f>23*10^-6</f>
        <v/>
      </c>
      <c r="L2504" s="8">
        <f>H2504</f>
        <v/>
      </c>
      <c r="M2504" s="26">
        <f>H2504^2/6</f>
        <v/>
      </c>
      <c r="N2504" s="26">
        <f>H2504^3/12</f>
        <v/>
      </c>
      <c r="O2504" s="27">
        <f>-J2504*L2504*K2504*C2504</f>
        <v/>
      </c>
      <c r="P2504" s="28">
        <f>-(12*F2504*J2504*L2504*N2504+12*O2504*N2504*G2504*COS(RADIANS(E2504)))/(12*N2504*G2504*COS(RADIANS(E2504))^2+L2504*G2504^3*SIN(RADIANS(E2504))^2)</f>
        <v/>
      </c>
      <c r="Q2504" s="28">
        <f>-(6*F2504*J2504*L2504*N2504*SIN(RADIANS(E2504))+6*O2504*N2504*G2504*SIN(RADIANS(E2504))*COS(RADIANS(E2504)))/(12*N2504*COS(RADIANS(E2504))^2+L2504*G2504^2*SIN(RADIANS(E2504))^2)</f>
        <v/>
      </c>
      <c r="R2504" s="28">
        <f>-P2504*SIN(RADIANS(E2504))</f>
        <v/>
      </c>
      <c r="S2504" s="8">
        <f>(O2504+P2504*COS(RADIANS(E2504)))/L2504</f>
        <v/>
      </c>
      <c r="T2504" s="8">
        <f>R2504/L2504</f>
        <v/>
      </c>
      <c r="U2504" s="8">
        <f>(Q2504-P2504*G2504*SIN(RADIANS(E2504)))/M2504</f>
        <v/>
      </c>
      <c r="V2504" s="8">
        <f>SQRT((S2504+U2504)^2+3*T2504^2)</f>
        <v/>
      </c>
      <c r="W2504" s="8">
        <f>V2504/AA2504</f>
        <v/>
      </c>
      <c r="X2504" s="27">
        <f>((3*10+H2504/COS(RADIANS(E2504)))*(3+3)+3*G2504*H2504)*2</f>
        <v/>
      </c>
      <c r="Y2504" s="28">
        <f>Z2504/X2504</f>
        <v/>
      </c>
      <c r="Z2504" s="29" t="n">
        <v>673.126974542037</v>
      </c>
      <c r="AA2504" s="20" t="n">
        <v>58.5050039550775</v>
      </c>
      <c r="AB2504" t="n">
        <v>0.07540053738421369</v>
      </c>
      <c r="AC2504" t="n">
        <v>58.47287136278008</v>
      </c>
      <c r="AD2504" t="n">
        <v>14.19409822195284</v>
      </c>
    </row>
    <row r="2505">
      <c r="A2505" t="n">
        <v>2504</v>
      </c>
      <c r="B2505" t="n">
        <v>61.2</v>
      </c>
      <c r="C2505" s="21">
        <f>B2505-20</f>
        <v/>
      </c>
      <c r="D2505" t="n">
        <v>129.2</v>
      </c>
      <c r="E2505" s="22">
        <f>D2505-90</f>
        <v/>
      </c>
      <c r="F2505" s="23" t="n">
        <v>0.012645</v>
      </c>
      <c r="G2505" s="22" t="n">
        <v>27</v>
      </c>
      <c r="H2505" s="22" t="n">
        <v>1.6</v>
      </c>
      <c r="I2505" s="24" t="n">
        <v>0.0552996955811977</v>
      </c>
      <c r="J2505" s="6" t="n">
        <v>71000</v>
      </c>
      <c r="K2505" s="25">
        <f>23*10^-6</f>
        <v/>
      </c>
      <c r="L2505" s="8">
        <f>H2505</f>
        <v/>
      </c>
      <c r="M2505" s="26">
        <f>H2505^2/6</f>
        <v/>
      </c>
      <c r="N2505" s="26">
        <f>H2505^3/12</f>
        <v/>
      </c>
      <c r="O2505" s="27">
        <f>-J2505*L2505*K2505*C2505</f>
        <v/>
      </c>
      <c r="P2505" s="28">
        <f>-(12*F2505*J2505*L2505*N2505+12*O2505*N2505*G2505*COS(RADIANS(E2505)))/(12*N2505*G2505*COS(RADIANS(E2505))^2+L2505*G2505^3*SIN(RADIANS(E2505))^2)</f>
        <v/>
      </c>
      <c r="Q2505" s="28">
        <f>-(6*F2505*J2505*L2505*N2505*SIN(RADIANS(E2505))+6*O2505*N2505*G2505*SIN(RADIANS(E2505))*COS(RADIANS(E2505)))/(12*N2505*COS(RADIANS(E2505))^2+L2505*G2505^2*SIN(RADIANS(E2505))^2)</f>
        <v/>
      </c>
      <c r="R2505" s="28">
        <f>-P2505*SIN(RADIANS(E2505))</f>
        <v/>
      </c>
      <c r="S2505" s="8">
        <f>(O2505+P2505*COS(RADIANS(E2505)))/L2505</f>
        <v/>
      </c>
      <c r="T2505" s="8">
        <f>R2505/L2505</f>
        <v/>
      </c>
      <c r="U2505" s="8">
        <f>(Q2505-P2505*G2505*SIN(RADIANS(E2505)))/M2505</f>
        <v/>
      </c>
      <c r="V2505" s="8">
        <f>SQRT((S2505+U2505)^2+3*T2505^2)</f>
        <v/>
      </c>
      <c r="W2505" s="8">
        <f>V2505/AA2505</f>
        <v/>
      </c>
      <c r="X2505" s="27">
        <f>((3*10+H2505/COS(RADIANS(E2505)))*(3+3)+3*G2505*H2505)*2</f>
        <v/>
      </c>
      <c r="Y2505" s="28">
        <f>Z2505/X2505</f>
        <v/>
      </c>
      <c r="Z2505" s="29" t="n">
        <v>654.3795578098</v>
      </c>
      <c r="AA2505" s="20" t="n">
        <v>61.0129673576249</v>
      </c>
      <c r="AB2505" t="n">
        <v>0.05563768592866943</v>
      </c>
      <c r="AC2505" t="n">
        <v>59.5776309634342</v>
      </c>
      <c r="AD2505" t="n">
        <v>0.6111974829507877</v>
      </c>
    </row>
    <row r="2506">
      <c r="A2506" t="n">
        <v>2505</v>
      </c>
      <c r="B2506" t="n">
        <v>63.7</v>
      </c>
      <c r="C2506" s="21">
        <f>B2506-20</f>
        <v/>
      </c>
      <c r="D2506" t="n">
        <v>102.2</v>
      </c>
      <c r="E2506" s="22">
        <f>D2506-90</f>
        <v/>
      </c>
      <c r="F2506" s="23" t="n">
        <v>0.018473</v>
      </c>
      <c r="G2506" s="22" t="n">
        <v>31.8</v>
      </c>
      <c r="H2506" s="22" t="n">
        <v>2</v>
      </c>
      <c r="I2506" s="24" t="n">
        <v>0.147806614637374</v>
      </c>
      <c r="J2506" s="6" t="n">
        <v>71000</v>
      </c>
      <c r="K2506" s="25">
        <f>23*10^-6</f>
        <v/>
      </c>
      <c r="L2506" s="8">
        <f>H2506</f>
        <v/>
      </c>
      <c r="M2506" s="26">
        <f>H2506^2/6</f>
        <v/>
      </c>
      <c r="N2506" s="26">
        <f>H2506^3/12</f>
        <v/>
      </c>
      <c r="O2506" s="27">
        <f>-J2506*L2506*K2506*C2506</f>
        <v/>
      </c>
      <c r="P2506" s="28">
        <f>-(12*F2506*J2506*L2506*N2506+12*O2506*N2506*G2506*COS(RADIANS(E2506)))/(12*N2506*G2506*COS(RADIANS(E2506))^2+L2506*G2506^3*SIN(RADIANS(E2506))^2)</f>
        <v/>
      </c>
      <c r="Q2506" s="28">
        <f>-(6*F2506*J2506*L2506*N2506*SIN(RADIANS(E2506))+6*O2506*N2506*G2506*SIN(RADIANS(E2506))*COS(RADIANS(E2506)))/(12*N2506*COS(RADIANS(E2506))^2+L2506*G2506^2*SIN(RADIANS(E2506))^2)</f>
        <v/>
      </c>
      <c r="R2506" s="28">
        <f>-P2506*SIN(RADIANS(E2506))</f>
        <v/>
      </c>
      <c r="S2506" s="8">
        <f>(O2506+P2506*COS(RADIANS(E2506)))/L2506</f>
        <v/>
      </c>
      <c r="T2506" s="8">
        <f>R2506/L2506</f>
        <v/>
      </c>
      <c r="U2506" s="8">
        <f>(Q2506-P2506*G2506*SIN(RADIANS(E2506)))/M2506</f>
        <v/>
      </c>
      <c r="V2506" s="8">
        <f>SQRT((S2506+U2506)^2+3*T2506^2)</f>
        <v/>
      </c>
      <c r="W2506" s="8">
        <f>V2506/AA2506</f>
        <v/>
      </c>
      <c r="X2506" s="27">
        <f>((3*10+H2506/COS(RADIANS(E2506)))*(3+3)+3*G2506*H2506)*2</f>
        <v/>
      </c>
      <c r="Y2506" s="28">
        <f>Z2506/X2506</f>
        <v/>
      </c>
      <c r="Z2506" s="29" t="n">
        <v>770.142714147413</v>
      </c>
      <c r="AA2506" s="20" t="n">
        <v>78.5395804605071</v>
      </c>
      <c r="AB2506" t="n">
        <v>0.2179123599745283</v>
      </c>
      <c r="AC2506" t="n">
        <v>76.12562235295516</v>
      </c>
      <c r="AD2506" t="n">
        <v>47.43072257567798</v>
      </c>
    </row>
    <row r="2507">
      <c r="A2507" t="n">
        <v>2506</v>
      </c>
      <c r="B2507" t="n">
        <v>57</v>
      </c>
      <c r="C2507" s="21">
        <f>B2507-20</f>
        <v/>
      </c>
      <c r="D2507" t="n">
        <v>122.5</v>
      </c>
      <c r="E2507" s="22">
        <f>D2507-90</f>
        <v/>
      </c>
      <c r="F2507" s="23" t="n">
        <v>0.012456</v>
      </c>
      <c r="G2507" s="22" t="n">
        <v>27.9</v>
      </c>
      <c r="H2507" s="22" t="n">
        <v>1.3</v>
      </c>
      <c r="I2507" s="24" t="n">
        <v>0.0568349547684192</v>
      </c>
      <c r="J2507" s="6" t="n">
        <v>71000</v>
      </c>
      <c r="K2507" s="25">
        <f>23*10^-6</f>
        <v/>
      </c>
      <c r="L2507" s="8">
        <f>H2507</f>
        <v/>
      </c>
      <c r="M2507" s="26">
        <f>H2507^2/6</f>
        <v/>
      </c>
      <c r="N2507" s="26">
        <f>H2507^3/12</f>
        <v/>
      </c>
      <c r="O2507" s="27">
        <f>-J2507*L2507*K2507*C2507</f>
        <v/>
      </c>
      <c r="P2507" s="28">
        <f>-(12*F2507*J2507*L2507*N2507+12*O2507*N2507*G2507*COS(RADIANS(E2507)))/(12*N2507*G2507*COS(RADIANS(E2507))^2+L2507*G2507^3*SIN(RADIANS(E2507))^2)</f>
        <v/>
      </c>
      <c r="Q2507" s="28">
        <f>-(6*F2507*J2507*L2507*N2507*SIN(RADIANS(E2507))+6*O2507*N2507*G2507*SIN(RADIANS(E2507))*COS(RADIANS(E2507)))/(12*N2507*COS(RADIANS(E2507))^2+L2507*G2507^2*SIN(RADIANS(E2507))^2)</f>
        <v/>
      </c>
      <c r="R2507" s="28">
        <f>-P2507*SIN(RADIANS(E2507))</f>
        <v/>
      </c>
      <c r="S2507" s="8">
        <f>(O2507+P2507*COS(RADIANS(E2507)))/L2507</f>
        <v/>
      </c>
      <c r="T2507" s="8">
        <f>R2507/L2507</f>
        <v/>
      </c>
      <c r="U2507" s="8">
        <f>(Q2507-P2507*G2507*SIN(RADIANS(E2507)))/M2507</f>
        <v/>
      </c>
      <c r="V2507" s="8">
        <f>SQRT((S2507+U2507)^2+3*T2507^2)</f>
        <v/>
      </c>
      <c r="W2507" s="8">
        <f>V2507/AA2507</f>
        <v/>
      </c>
      <c r="X2507" s="27">
        <f>((3*10+H2507/COS(RADIANS(E2507)))*(3+3)+3*G2507*H2507)*2</f>
        <v/>
      </c>
      <c r="Y2507" s="28">
        <f>Z2507/X2507</f>
        <v/>
      </c>
      <c r="Z2507" s="29" t="n">
        <v>604.006915664033</v>
      </c>
      <c r="AA2507" s="20" t="n">
        <v>52.8357766451692</v>
      </c>
      <c r="AB2507" t="n">
        <v>0.06335995485347759</v>
      </c>
      <c r="AC2507" t="n">
        <v>53.6950550534312</v>
      </c>
      <c r="AD2507" t="n">
        <v>11.48061102827525</v>
      </c>
    </row>
    <row r="2508">
      <c r="A2508" t="n">
        <v>2507</v>
      </c>
      <c r="B2508" t="n">
        <v>70.7</v>
      </c>
      <c r="C2508" s="21">
        <f>B2508-20</f>
        <v/>
      </c>
      <c r="D2508" t="n">
        <v>101.5</v>
      </c>
      <c r="E2508" s="22">
        <f>D2508-90</f>
        <v/>
      </c>
      <c r="F2508" s="23" t="n">
        <v>0.023008</v>
      </c>
      <c r="G2508" s="22" t="n">
        <v>34.5</v>
      </c>
      <c r="H2508" s="22" t="n">
        <v>2</v>
      </c>
      <c r="I2508" s="24" t="n">
        <v>0.192152559757232</v>
      </c>
      <c r="J2508" s="6" t="n">
        <v>71000</v>
      </c>
      <c r="K2508" s="25">
        <f>23*10^-6</f>
        <v/>
      </c>
      <c r="L2508" s="8">
        <f>H2508</f>
        <v/>
      </c>
      <c r="M2508" s="26">
        <f>H2508^2/6</f>
        <v/>
      </c>
      <c r="N2508" s="26">
        <f>H2508^3/12</f>
        <v/>
      </c>
      <c r="O2508" s="27">
        <f>-J2508*L2508*K2508*C2508</f>
        <v/>
      </c>
      <c r="P2508" s="28">
        <f>-(12*F2508*J2508*L2508*N2508+12*O2508*N2508*G2508*COS(RADIANS(E2508)))/(12*N2508*G2508*COS(RADIANS(E2508))^2+L2508*G2508^3*SIN(RADIANS(E2508))^2)</f>
        <v/>
      </c>
      <c r="Q2508" s="28">
        <f>-(6*F2508*J2508*L2508*N2508*SIN(RADIANS(E2508))+6*O2508*N2508*G2508*SIN(RADIANS(E2508))*COS(RADIANS(E2508)))/(12*N2508*COS(RADIANS(E2508))^2+L2508*G2508^2*SIN(RADIANS(E2508))^2)</f>
        <v/>
      </c>
      <c r="R2508" s="28">
        <f>-P2508*SIN(RADIANS(E2508))</f>
        <v/>
      </c>
      <c r="S2508" s="8">
        <f>(O2508+P2508*COS(RADIANS(E2508)))/L2508</f>
        <v/>
      </c>
      <c r="T2508" s="8">
        <f>R2508/L2508</f>
        <v/>
      </c>
      <c r="U2508" s="8">
        <f>(Q2508-P2508*G2508*SIN(RADIANS(E2508)))/M2508</f>
        <v/>
      </c>
      <c r="V2508" s="8">
        <f>SQRT((S2508+U2508)^2+3*T2508^2)</f>
        <v/>
      </c>
      <c r="W2508" s="8">
        <f>V2508/AA2508</f>
        <v/>
      </c>
      <c r="X2508" s="27">
        <f>((3*10+H2508/COS(RADIANS(E2508)))*(3+3)+3*G2508*H2508)*2</f>
        <v/>
      </c>
      <c r="Y2508" s="28">
        <f>Z2508/X2508</f>
        <v/>
      </c>
      <c r="Z2508" s="29" t="n">
        <v>802.4169847124909</v>
      </c>
      <c r="AA2508" s="20" t="n">
        <v>90.7373150172015</v>
      </c>
      <c r="AB2508" t="n">
        <v>0.2908809783236699</v>
      </c>
      <c r="AC2508" t="n">
        <v>88.38749471811343</v>
      </c>
      <c r="AD2508" t="n">
        <v>51.38022553078277</v>
      </c>
    </row>
    <row r="2509">
      <c r="A2509" t="n">
        <v>2508</v>
      </c>
      <c r="B2509" t="n">
        <v>49.1</v>
      </c>
      <c r="C2509" s="21">
        <f>B2509-20</f>
        <v/>
      </c>
      <c r="D2509" t="n">
        <v>116.4</v>
      </c>
      <c r="E2509" s="22">
        <f>D2509-90</f>
        <v/>
      </c>
      <c r="F2509" s="23" t="n">
        <v>0.008082000000000001</v>
      </c>
      <c r="G2509" s="22" t="n">
        <v>20.5</v>
      </c>
      <c r="H2509" s="22" t="n">
        <v>1.7</v>
      </c>
      <c r="I2509" s="24" t="n">
        <v>0.0421585068106651</v>
      </c>
      <c r="J2509" s="6" t="n">
        <v>71000</v>
      </c>
      <c r="K2509" s="25">
        <f>23*10^-6</f>
        <v/>
      </c>
      <c r="L2509" s="8">
        <f>H2509</f>
        <v/>
      </c>
      <c r="M2509" s="26">
        <f>H2509^2/6</f>
        <v/>
      </c>
      <c r="N2509" s="26">
        <f>H2509^3/12</f>
        <v/>
      </c>
      <c r="O2509" s="27">
        <f>-J2509*L2509*K2509*C2509</f>
        <v/>
      </c>
      <c r="P2509" s="28">
        <f>-(12*F2509*J2509*L2509*N2509+12*O2509*N2509*G2509*COS(RADIANS(E2509)))/(12*N2509*G2509*COS(RADIANS(E2509))^2+L2509*G2509^3*SIN(RADIANS(E2509))^2)</f>
        <v/>
      </c>
      <c r="Q2509" s="28">
        <f>-(6*F2509*J2509*L2509*N2509*SIN(RADIANS(E2509))+6*O2509*N2509*G2509*SIN(RADIANS(E2509))*COS(RADIANS(E2509)))/(12*N2509*COS(RADIANS(E2509))^2+L2509*G2509^2*SIN(RADIANS(E2509))^2)</f>
        <v/>
      </c>
      <c r="R2509" s="28">
        <f>-P2509*SIN(RADIANS(E2509))</f>
        <v/>
      </c>
      <c r="S2509" s="8">
        <f>(O2509+P2509*COS(RADIANS(E2509)))/L2509</f>
        <v/>
      </c>
      <c r="T2509" s="8">
        <f>R2509/L2509</f>
        <v/>
      </c>
      <c r="U2509" s="8">
        <f>(Q2509-P2509*G2509*SIN(RADIANS(E2509)))/M2509</f>
        <v/>
      </c>
      <c r="V2509" s="8">
        <f>SQRT((S2509+U2509)^2+3*T2509^2)</f>
        <v/>
      </c>
      <c r="W2509" s="8">
        <f>V2509/AA2509</f>
        <v/>
      </c>
      <c r="X2509" s="27">
        <f>((3*10+H2509/COS(RADIANS(E2509)))*(3+3)+3*G2509*H2509)*2</f>
        <v/>
      </c>
      <c r="Y2509" s="28">
        <f>Z2509/X2509</f>
        <v/>
      </c>
      <c r="Z2509" s="29" t="n">
        <v>598.1031471377941</v>
      </c>
      <c r="AA2509" s="20" t="n">
        <v>48.1441413093991</v>
      </c>
      <c r="AB2509" t="n">
        <v>0.04575032871666374</v>
      </c>
      <c r="AC2509" t="n">
        <v>45.24716997887013</v>
      </c>
      <c r="AD2509" t="n">
        <v>8.519803422188534</v>
      </c>
    </row>
    <row r="2510">
      <c r="A2510" t="n">
        <v>2509</v>
      </c>
      <c r="B2510" t="n">
        <v>57.1</v>
      </c>
      <c r="C2510" s="21">
        <f>B2510-20</f>
        <v/>
      </c>
      <c r="D2510" t="n">
        <v>129.7</v>
      </c>
      <c r="E2510" s="22">
        <f>D2510-90</f>
        <v/>
      </c>
      <c r="F2510" s="23" t="n">
        <v>0.013016</v>
      </c>
      <c r="G2510" s="22" t="n">
        <v>32.2</v>
      </c>
      <c r="H2510" s="22" t="n">
        <v>1.4</v>
      </c>
      <c r="I2510" s="24" t="n">
        <v>0.0553664751350879</v>
      </c>
      <c r="J2510" s="6" t="n">
        <v>71000</v>
      </c>
      <c r="K2510" s="25">
        <f>23*10^-6</f>
        <v/>
      </c>
      <c r="L2510" s="8">
        <f>H2510</f>
        <v/>
      </c>
      <c r="M2510" s="26">
        <f>H2510^2/6</f>
        <v/>
      </c>
      <c r="N2510" s="26">
        <f>H2510^3/12</f>
        <v/>
      </c>
      <c r="O2510" s="27">
        <f>-J2510*L2510*K2510*C2510</f>
        <v/>
      </c>
      <c r="P2510" s="28">
        <f>-(12*F2510*J2510*L2510*N2510+12*O2510*N2510*G2510*COS(RADIANS(E2510)))/(12*N2510*G2510*COS(RADIANS(E2510))^2+L2510*G2510^3*SIN(RADIANS(E2510))^2)</f>
        <v/>
      </c>
      <c r="Q2510" s="28">
        <f>-(6*F2510*J2510*L2510*N2510*SIN(RADIANS(E2510))+6*O2510*N2510*G2510*SIN(RADIANS(E2510))*COS(RADIANS(E2510)))/(12*N2510*COS(RADIANS(E2510))^2+L2510*G2510^2*SIN(RADIANS(E2510))^2)</f>
        <v/>
      </c>
      <c r="R2510" s="28">
        <f>-P2510*SIN(RADIANS(E2510))</f>
        <v/>
      </c>
      <c r="S2510" s="8">
        <f>(O2510+P2510*COS(RADIANS(E2510)))/L2510</f>
        <v/>
      </c>
      <c r="T2510" s="8">
        <f>R2510/L2510</f>
        <v/>
      </c>
      <c r="U2510" s="8">
        <f>(Q2510-P2510*G2510*SIN(RADIANS(E2510)))/M2510</f>
        <v/>
      </c>
      <c r="V2510" s="8">
        <f>SQRT((S2510+U2510)^2+3*T2510^2)</f>
        <v/>
      </c>
      <c r="W2510" s="8">
        <f>V2510/AA2510</f>
        <v/>
      </c>
      <c r="X2510" s="27">
        <f>((3*10+H2510/COS(RADIANS(E2510)))*(3+3)+3*G2510*H2510)*2</f>
        <v/>
      </c>
      <c r="Y2510" s="28">
        <f>Z2510/X2510</f>
        <v/>
      </c>
      <c r="Z2510" s="29" t="n">
        <v>662.941993819142</v>
      </c>
      <c r="AA2510" s="20" t="n">
        <v>51.0677125777438</v>
      </c>
      <c r="AB2510" t="n">
        <v>0.05850203897556661</v>
      </c>
      <c r="AC2510" t="n">
        <v>52.77788101865594</v>
      </c>
      <c r="AD2510" t="n">
        <v>5.663289622155446</v>
      </c>
    </row>
    <row r="2511">
      <c r="A2511" t="n">
        <v>2510</v>
      </c>
      <c r="B2511" t="n">
        <v>74.40000000000001</v>
      </c>
      <c r="C2511" s="21">
        <f>B2511-20</f>
        <v/>
      </c>
      <c r="D2511" t="n">
        <v>125.3</v>
      </c>
      <c r="E2511" s="22">
        <f>D2511-90</f>
        <v/>
      </c>
      <c r="F2511" s="23" t="n">
        <v>0.020019</v>
      </c>
      <c r="G2511" s="22" t="n">
        <v>32.2</v>
      </c>
      <c r="H2511" s="22" t="n">
        <v>1.2</v>
      </c>
      <c r="I2511" s="24" t="n">
        <v>0.0870960429310798</v>
      </c>
      <c r="J2511" s="6" t="n">
        <v>71000</v>
      </c>
      <c r="K2511" s="25">
        <f>23*10^-6</f>
        <v/>
      </c>
      <c r="L2511" s="8">
        <f>H2511</f>
        <v/>
      </c>
      <c r="M2511" s="26">
        <f>H2511^2/6</f>
        <v/>
      </c>
      <c r="N2511" s="26">
        <f>H2511^3/12</f>
        <v/>
      </c>
      <c r="O2511" s="27">
        <f>-J2511*L2511*K2511*C2511</f>
        <v/>
      </c>
      <c r="P2511" s="28">
        <f>-(12*F2511*J2511*L2511*N2511+12*O2511*N2511*G2511*COS(RADIANS(E2511)))/(12*N2511*G2511*COS(RADIANS(E2511))^2+L2511*G2511^3*SIN(RADIANS(E2511))^2)</f>
        <v/>
      </c>
      <c r="Q2511" s="28">
        <f>-(6*F2511*J2511*L2511*N2511*SIN(RADIANS(E2511))+6*O2511*N2511*G2511*SIN(RADIANS(E2511))*COS(RADIANS(E2511)))/(12*N2511*COS(RADIANS(E2511))^2+L2511*G2511^2*SIN(RADIANS(E2511))^2)</f>
        <v/>
      </c>
      <c r="R2511" s="28">
        <f>-P2511*SIN(RADIANS(E2511))</f>
        <v/>
      </c>
      <c r="S2511" s="8">
        <f>(O2511+P2511*COS(RADIANS(E2511)))/L2511</f>
        <v/>
      </c>
      <c r="T2511" s="8">
        <f>R2511/L2511</f>
        <v/>
      </c>
      <c r="U2511" s="8">
        <f>(Q2511-P2511*G2511*SIN(RADIANS(E2511)))/M2511</f>
        <v/>
      </c>
      <c r="V2511" s="8">
        <f>SQRT((S2511+U2511)^2+3*T2511^2)</f>
        <v/>
      </c>
      <c r="W2511" s="8">
        <f>V2511/AA2511</f>
        <v/>
      </c>
      <c r="X2511" s="27">
        <f>((3*10+H2511/COS(RADIANS(E2511)))*(3+3)+3*G2511*H2511)*2</f>
        <v/>
      </c>
      <c r="Y2511" s="28">
        <f>Z2511/X2511</f>
        <v/>
      </c>
      <c r="Z2511" s="29" t="n">
        <v>618.324519415383</v>
      </c>
      <c r="AA2511" s="20" t="n">
        <v>74.27982615591969</v>
      </c>
      <c r="AB2511" t="n">
        <v>0.09768400860896516</v>
      </c>
      <c r="AC2511" t="n">
        <v>77.48758815254091</v>
      </c>
      <c r="AD2511" t="n">
        <v>12.15665525271195</v>
      </c>
    </row>
    <row r="2512">
      <c r="A2512" t="n">
        <v>2511</v>
      </c>
      <c r="B2512" t="n">
        <v>48.3</v>
      </c>
      <c r="C2512" s="21">
        <f>B2512-20</f>
        <v/>
      </c>
      <c r="D2512" t="n">
        <v>101.2</v>
      </c>
      <c r="E2512" s="22">
        <f>D2512-90</f>
        <v/>
      </c>
      <c r="F2512" s="23" t="n">
        <v>0.012949</v>
      </c>
      <c r="G2512" s="22" t="n">
        <v>34.8</v>
      </c>
      <c r="H2512" s="22" t="n">
        <v>1.4</v>
      </c>
      <c r="I2512" s="24" t="n">
        <v>0.113848984241485</v>
      </c>
      <c r="J2512" s="6" t="n">
        <v>71000</v>
      </c>
      <c r="K2512" s="25">
        <f>23*10^-6</f>
        <v/>
      </c>
      <c r="L2512" s="8">
        <f>H2512</f>
        <v/>
      </c>
      <c r="M2512" s="26">
        <f>H2512^2/6</f>
        <v/>
      </c>
      <c r="N2512" s="26">
        <f>H2512^3/12</f>
        <v/>
      </c>
      <c r="O2512" s="27">
        <f>-J2512*L2512*K2512*C2512</f>
        <v/>
      </c>
      <c r="P2512" s="28">
        <f>-(12*F2512*J2512*L2512*N2512+12*O2512*N2512*G2512*COS(RADIANS(E2512)))/(12*N2512*G2512*COS(RADIANS(E2512))^2+L2512*G2512^3*SIN(RADIANS(E2512))^2)</f>
        <v/>
      </c>
      <c r="Q2512" s="28">
        <f>-(6*F2512*J2512*L2512*N2512*SIN(RADIANS(E2512))+6*O2512*N2512*G2512*SIN(RADIANS(E2512))*COS(RADIANS(E2512)))/(12*N2512*COS(RADIANS(E2512))^2+L2512*G2512^2*SIN(RADIANS(E2512))^2)</f>
        <v/>
      </c>
      <c r="R2512" s="28">
        <f>-P2512*SIN(RADIANS(E2512))</f>
        <v/>
      </c>
      <c r="S2512" s="8">
        <f>(O2512+P2512*COS(RADIANS(E2512)))/L2512</f>
        <v/>
      </c>
      <c r="T2512" s="8">
        <f>R2512/L2512</f>
        <v/>
      </c>
      <c r="U2512" s="8">
        <f>(Q2512-P2512*G2512*SIN(RADIANS(E2512)))/M2512</f>
        <v/>
      </c>
      <c r="V2512" s="8">
        <f>SQRT((S2512+U2512)^2+3*T2512^2)</f>
        <v/>
      </c>
      <c r="W2512" s="8">
        <f>V2512/AA2512</f>
        <v/>
      </c>
      <c r="X2512" s="27">
        <f>((3*10+H2512/COS(RADIANS(E2512)))*(3+3)+3*G2512*H2512)*2</f>
        <v/>
      </c>
      <c r="Y2512" s="28">
        <f>Z2512/X2512</f>
        <v/>
      </c>
      <c r="Z2512" s="29" t="n">
        <v>673.345744761677</v>
      </c>
      <c r="AA2512" s="20" t="n">
        <v>44.2846190570022</v>
      </c>
      <c r="AB2512" t="n">
        <v>0.1746986492006262</v>
      </c>
      <c r="AC2512" t="n">
        <v>46.66543315159121</v>
      </c>
      <c r="AD2512" t="n">
        <v>53.44770123734529</v>
      </c>
    </row>
    <row r="2513">
      <c r="A2513" t="n">
        <v>2512</v>
      </c>
      <c r="B2513" t="n">
        <v>53.3</v>
      </c>
      <c r="C2513" s="21">
        <f>B2513-20</f>
        <v/>
      </c>
      <c r="D2513" t="n">
        <v>113.9</v>
      </c>
      <c r="E2513" s="22">
        <f>D2513-90</f>
        <v/>
      </c>
      <c r="F2513" s="23" t="n">
        <v>0.011163</v>
      </c>
      <c r="G2513" s="22" t="n">
        <v>25.6</v>
      </c>
      <c r="H2513" s="22" t="n">
        <v>1</v>
      </c>
      <c r="I2513" s="24" t="n">
        <v>0.0596847720444202</v>
      </c>
      <c r="J2513" s="6" t="n">
        <v>71000</v>
      </c>
      <c r="K2513" s="25">
        <f>23*10^-6</f>
        <v/>
      </c>
      <c r="L2513" s="8">
        <f>H2513</f>
        <v/>
      </c>
      <c r="M2513" s="26">
        <f>H2513^2/6</f>
        <v/>
      </c>
      <c r="N2513" s="26">
        <f>H2513^3/12</f>
        <v/>
      </c>
      <c r="O2513" s="27">
        <f>-J2513*L2513*K2513*C2513</f>
        <v/>
      </c>
      <c r="P2513" s="28">
        <f>-(12*F2513*J2513*L2513*N2513+12*O2513*N2513*G2513*COS(RADIANS(E2513)))/(12*N2513*G2513*COS(RADIANS(E2513))^2+L2513*G2513^3*SIN(RADIANS(E2513))^2)</f>
        <v/>
      </c>
      <c r="Q2513" s="28">
        <f>-(6*F2513*J2513*L2513*N2513*SIN(RADIANS(E2513))+6*O2513*N2513*G2513*SIN(RADIANS(E2513))*COS(RADIANS(E2513)))/(12*N2513*COS(RADIANS(E2513))^2+L2513*G2513^2*SIN(RADIANS(E2513))^2)</f>
        <v/>
      </c>
      <c r="R2513" s="28">
        <f>-P2513*SIN(RADIANS(E2513))</f>
        <v/>
      </c>
      <c r="S2513" s="8">
        <f>(O2513+P2513*COS(RADIANS(E2513)))/L2513</f>
        <v/>
      </c>
      <c r="T2513" s="8">
        <f>R2513/L2513</f>
        <v/>
      </c>
      <c r="U2513" s="8">
        <f>(Q2513-P2513*G2513*SIN(RADIANS(E2513)))/M2513</f>
        <v/>
      </c>
      <c r="V2513" s="8">
        <f>SQRT((S2513+U2513)^2+3*T2513^2)</f>
        <v/>
      </c>
      <c r="W2513" s="8">
        <f>V2513/AA2513</f>
        <v/>
      </c>
      <c r="X2513" s="27">
        <f>((3*10+H2513/COS(RADIANS(E2513)))*(3+3)+3*G2513*H2513)*2</f>
        <v/>
      </c>
      <c r="Y2513" s="28">
        <f>Z2513/X2513</f>
        <v/>
      </c>
      <c r="Z2513" s="29" t="n">
        <v>532.409997181365</v>
      </c>
      <c r="AA2513" s="20" t="n">
        <v>46.1863587886916</v>
      </c>
      <c r="AB2513" t="n">
        <v>0.07298004728068727</v>
      </c>
      <c r="AC2513" t="n">
        <v>49.02391332950954</v>
      </c>
      <c r="AD2513" t="n">
        <v>22.27582477214138</v>
      </c>
    </row>
    <row r="2514">
      <c r="A2514" t="n">
        <v>2513</v>
      </c>
      <c r="B2514" t="n">
        <v>86.09999999999999</v>
      </c>
      <c r="C2514" s="21">
        <f>B2514-20</f>
        <v/>
      </c>
      <c r="D2514" t="n">
        <v>107.4</v>
      </c>
      <c r="E2514" s="22">
        <f>D2514-90</f>
        <v/>
      </c>
      <c r="F2514" s="23" t="n">
        <v>0.021203</v>
      </c>
      <c r="G2514" s="22" t="n">
        <v>23.2</v>
      </c>
      <c r="H2514" s="22" t="n">
        <v>1.2</v>
      </c>
      <c r="I2514" s="24" t="n">
        <v>0.13993127644062</v>
      </c>
      <c r="J2514" s="6" t="n">
        <v>71000</v>
      </c>
      <c r="K2514" s="25">
        <f>23*10^-6</f>
        <v/>
      </c>
      <c r="L2514" s="8">
        <f>H2514</f>
        <v/>
      </c>
      <c r="M2514" s="26">
        <f>H2514^2/6</f>
        <v/>
      </c>
      <c r="N2514" s="26">
        <f>H2514^3/12</f>
        <v/>
      </c>
      <c r="O2514" s="27">
        <f>-J2514*L2514*K2514*C2514</f>
        <v/>
      </c>
      <c r="P2514" s="28">
        <f>-(12*F2514*J2514*L2514*N2514+12*O2514*N2514*G2514*COS(RADIANS(E2514)))/(12*N2514*G2514*COS(RADIANS(E2514))^2+L2514*G2514^3*SIN(RADIANS(E2514))^2)</f>
        <v/>
      </c>
      <c r="Q2514" s="28">
        <f>-(6*F2514*J2514*L2514*N2514*SIN(RADIANS(E2514))+6*O2514*N2514*G2514*SIN(RADIANS(E2514))*COS(RADIANS(E2514)))/(12*N2514*COS(RADIANS(E2514))^2+L2514*G2514^2*SIN(RADIANS(E2514))^2)</f>
        <v/>
      </c>
      <c r="R2514" s="28">
        <f>-P2514*SIN(RADIANS(E2514))</f>
        <v/>
      </c>
      <c r="S2514" s="8">
        <f>(O2514+P2514*COS(RADIANS(E2514)))/L2514</f>
        <v/>
      </c>
      <c r="T2514" s="8">
        <f>R2514/L2514</f>
        <v/>
      </c>
      <c r="U2514" s="8">
        <f>(Q2514-P2514*G2514*SIN(RADIANS(E2514)))/M2514</f>
        <v/>
      </c>
      <c r="V2514" s="8">
        <f>SQRT((S2514+U2514)^2+3*T2514^2)</f>
        <v/>
      </c>
      <c r="W2514" s="8">
        <f>V2514/AA2514</f>
        <v/>
      </c>
      <c r="X2514" s="27">
        <f>((3*10+H2514/COS(RADIANS(E2514)))*(3+3)+3*G2514*H2514)*2</f>
        <v/>
      </c>
      <c r="Y2514" s="28">
        <f>Z2514/X2514</f>
        <v/>
      </c>
      <c r="Z2514" s="29" t="n">
        <v>546.715064223872</v>
      </c>
      <c r="AA2514" s="20" t="n">
        <v>99.4951953468039</v>
      </c>
      <c r="AB2514" t="n">
        <v>0.1805086323254259</v>
      </c>
      <c r="AC2514" t="n">
        <v>103.7447002519106</v>
      </c>
      <c r="AD2514" t="n">
        <v>28.99806027426967</v>
      </c>
    </row>
    <row r="2515">
      <c r="A2515" t="n">
        <v>2514</v>
      </c>
      <c r="B2515" t="n">
        <v>67.40000000000001</v>
      </c>
      <c r="C2515" s="21">
        <f>B2515-20</f>
        <v/>
      </c>
      <c r="D2515" t="n">
        <v>116.7</v>
      </c>
      <c r="E2515" s="22">
        <f>D2515-90</f>
        <v/>
      </c>
      <c r="F2515" s="23" t="n">
        <v>0.016083</v>
      </c>
      <c r="G2515" s="22" t="n">
        <v>26.6</v>
      </c>
      <c r="H2515" s="22" t="n">
        <v>1.8</v>
      </c>
      <c r="I2515" s="24" t="n">
        <v>0.0803974941372871</v>
      </c>
      <c r="J2515" s="6" t="n">
        <v>71000</v>
      </c>
      <c r="K2515" s="25">
        <f>23*10^-6</f>
        <v/>
      </c>
      <c r="L2515" s="8">
        <f>H2515</f>
        <v/>
      </c>
      <c r="M2515" s="26">
        <f>H2515^2/6</f>
        <v/>
      </c>
      <c r="N2515" s="26">
        <f>H2515^3/12</f>
        <v/>
      </c>
      <c r="O2515" s="27">
        <f>-J2515*L2515*K2515*C2515</f>
        <v/>
      </c>
      <c r="P2515" s="28">
        <f>-(12*F2515*J2515*L2515*N2515+12*O2515*N2515*G2515*COS(RADIANS(E2515)))/(12*N2515*G2515*COS(RADIANS(E2515))^2+L2515*G2515^3*SIN(RADIANS(E2515))^2)</f>
        <v/>
      </c>
      <c r="Q2515" s="28">
        <f>-(6*F2515*J2515*L2515*N2515*SIN(RADIANS(E2515))+6*O2515*N2515*G2515*SIN(RADIANS(E2515))*COS(RADIANS(E2515)))/(12*N2515*COS(RADIANS(E2515))^2+L2515*G2515^2*SIN(RADIANS(E2515))^2)</f>
        <v/>
      </c>
      <c r="R2515" s="28">
        <f>-P2515*SIN(RADIANS(E2515))</f>
        <v/>
      </c>
      <c r="S2515" s="8">
        <f>(O2515+P2515*COS(RADIANS(E2515)))/L2515</f>
        <v/>
      </c>
      <c r="T2515" s="8">
        <f>R2515/L2515</f>
        <v/>
      </c>
      <c r="U2515" s="8">
        <f>(Q2515-P2515*G2515*SIN(RADIANS(E2515)))/M2515</f>
        <v/>
      </c>
      <c r="V2515" s="8">
        <f>SQRT((S2515+U2515)^2+3*T2515^2)</f>
        <v/>
      </c>
      <c r="W2515" s="8">
        <f>V2515/AA2515</f>
        <v/>
      </c>
      <c r="X2515" s="27">
        <f>((3*10+H2515/COS(RADIANS(E2515)))*(3+3)+3*G2515*H2515)*2</f>
        <v/>
      </c>
      <c r="Y2515" s="28">
        <f>Z2515/X2515</f>
        <v/>
      </c>
      <c r="Z2515" s="29" t="n">
        <v>677.7562311476599</v>
      </c>
      <c r="AA2515" s="20" t="n">
        <v>76.5441533277686</v>
      </c>
      <c r="AB2515" t="n">
        <v>0.09465832027449245</v>
      </c>
      <c r="AC2515" t="n">
        <v>72.80674901239921</v>
      </c>
      <c r="AD2515" t="n">
        <v>17.73789878681231</v>
      </c>
    </row>
    <row r="2516">
      <c r="A2516" t="n">
        <v>2515</v>
      </c>
      <c r="B2516" t="n">
        <v>56.4</v>
      </c>
      <c r="C2516" s="21">
        <f>B2516-20</f>
        <v/>
      </c>
      <c r="D2516" t="n">
        <v>124.8</v>
      </c>
      <c r="E2516" s="22">
        <f>D2516-90</f>
        <v/>
      </c>
      <c r="F2516" s="23" t="n">
        <v>0.013087</v>
      </c>
      <c r="G2516" s="22" t="n">
        <v>31.1</v>
      </c>
      <c r="H2516" s="22" t="n">
        <v>1.4</v>
      </c>
      <c r="I2516" s="24" t="n">
        <v>0.0575068071484565</v>
      </c>
      <c r="J2516" s="6" t="n">
        <v>71000</v>
      </c>
      <c r="K2516" s="25">
        <f>23*10^-6</f>
        <v/>
      </c>
      <c r="L2516" s="8">
        <f>H2516</f>
        <v/>
      </c>
      <c r="M2516" s="26">
        <f>H2516^2/6</f>
        <v/>
      </c>
      <c r="N2516" s="26">
        <f>H2516^3/12</f>
        <v/>
      </c>
      <c r="O2516" s="27">
        <f>-J2516*L2516*K2516*C2516</f>
        <v/>
      </c>
      <c r="P2516" s="28">
        <f>-(12*F2516*J2516*L2516*N2516+12*O2516*N2516*G2516*COS(RADIANS(E2516)))/(12*N2516*G2516*COS(RADIANS(E2516))^2+L2516*G2516^3*SIN(RADIANS(E2516))^2)</f>
        <v/>
      </c>
      <c r="Q2516" s="28">
        <f>-(6*F2516*J2516*L2516*N2516*SIN(RADIANS(E2516))+6*O2516*N2516*G2516*SIN(RADIANS(E2516))*COS(RADIANS(E2516)))/(12*N2516*COS(RADIANS(E2516))^2+L2516*G2516^2*SIN(RADIANS(E2516))^2)</f>
        <v/>
      </c>
      <c r="R2516" s="28">
        <f>-P2516*SIN(RADIANS(E2516))</f>
        <v/>
      </c>
      <c r="S2516" s="8">
        <f>(O2516+P2516*COS(RADIANS(E2516)))/L2516</f>
        <v/>
      </c>
      <c r="T2516" s="8">
        <f>R2516/L2516</f>
        <v/>
      </c>
      <c r="U2516" s="8">
        <f>(Q2516-P2516*G2516*SIN(RADIANS(E2516)))/M2516</f>
        <v/>
      </c>
      <c r="V2516" s="8">
        <f>SQRT((S2516+U2516)^2+3*T2516^2)</f>
        <v/>
      </c>
      <c r="W2516" s="8">
        <f>V2516/AA2516</f>
        <v/>
      </c>
      <c r="X2516" s="27">
        <f>((3*10+H2516/COS(RADIANS(E2516)))*(3+3)+3*G2516*H2516)*2</f>
        <v/>
      </c>
      <c r="Y2516" s="28">
        <f>Z2516/X2516</f>
        <v/>
      </c>
      <c r="Z2516" s="29" t="n">
        <v>650.3600926327319</v>
      </c>
      <c r="AA2516" s="20" t="n">
        <v>52.0587841044406</v>
      </c>
      <c r="AB2516" t="n">
        <v>0.06414402871813103</v>
      </c>
      <c r="AC2516" t="n">
        <v>52.47995494577086</v>
      </c>
      <c r="AD2516" t="n">
        <v>11.54162767642488</v>
      </c>
    </row>
    <row r="2517">
      <c r="A2517" t="n">
        <v>2516</v>
      </c>
      <c r="B2517" t="n">
        <v>77.09999999999999</v>
      </c>
      <c r="C2517" s="21">
        <f>B2517-20</f>
        <v/>
      </c>
      <c r="D2517" t="n">
        <v>116.9</v>
      </c>
      <c r="E2517" s="22">
        <f>D2517-90</f>
        <v/>
      </c>
      <c r="F2517" s="23" t="n">
        <v>0.018592</v>
      </c>
      <c r="G2517" s="22" t="n">
        <v>25.3</v>
      </c>
      <c r="H2517" s="22" t="n">
        <v>1.5</v>
      </c>
      <c r="I2517" s="24" t="n">
        <v>0.0933749005198478</v>
      </c>
      <c r="J2517" s="6" t="n">
        <v>71000</v>
      </c>
      <c r="K2517" s="25">
        <f>23*10^-6</f>
        <v/>
      </c>
      <c r="L2517" s="8">
        <f>H2517</f>
        <v/>
      </c>
      <c r="M2517" s="26">
        <f>H2517^2/6</f>
        <v/>
      </c>
      <c r="N2517" s="26">
        <f>H2517^3/12</f>
        <v/>
      </c>
      <c r="O2517" s="27">
        <f>-J2517*L2517*K2517*C2517</f>
        <v/>
      </c>
      <c r="P2517" s="28">
        <f>-(12*F2517*J2517*L2517*N2517+12*O2517*N2517*G2517*COS(RADIANS(E2517)))/(12*N2517*G2517*COS(RADIANS(E2517))^2+L2517*G2517^3*SIN(RADIANS(E2517))^2)</f>
        <v/>
      </c>
      <c r="Q2517" s="28">
        <f>-(6*F2517*J2517*L2517*N2517*SIN(RADIANS(E2517))+6*O2517*N2517*G2517*SIN(RADIANS(E2517))*COS(RADIANS(E2517)))/(12*N2517*COS(RADIANS(E2517))^2+L2517*G2517^2*SIN(RADIANS(E2517))^2)</f>
        <v/>
      </c>
      <c r="R2517" s="28">
        <f>-P2517*SIN(RADIANS(E2517))</f>
        <v/>
      </c>
      <c r="S2517" s="8">
        <f>(O2517+P2517*COS(RADIANS(E2517)))/L2517</f>
        <v/>
      </c>
      <c r="T2517" s="8">
        <f>R2517/L2517</f>
        <v/>
      </c>
      <c r="U2517" s="8">
        <f>(Q2517-P2517*G2517*SIN(RADIANS(E2517)))/M2517</f>
        <v/>
      </c>
      <c r="V2517" s="8">
        <f>SQRT((S2517+U2517)^2+3*T2517^2)</f>
        <v/>
      </c>
      <c r="W2517" s="8">
        <f>V2517/AA2517</f>
        <v/>
      </c>
      <c r="X2517" s="27">
        <f>((3*10+H2517/COS(RADIANS(E2517)))*(3+3)+3*G2517*H2517)*2</f>
        <v/>
      </c>
      <c r="Y2517" s="28">
        <f>Z2517/X2517</f>
        <v/>
      </c>
      <c r="Z2517" s="29" t="n">
        <v>614.229521228482</v>
      </c>
      <c r="AA2517" s="20" t="n">
        <v>87.591251388928</v>
      </c>
      <c r="AB2517" t="n">
        <v>0.1084767308296745</v>
      </c>
      <c r="AC2517" t="n">
        <v>86.18969676825419</v>
      </c>
      <c r="AD2517" t="n">
        <v>16.17332947692579</v>
      </c>
    </row>
    <row r="2518">
      <c r="A2518" t="n">
        <v>2517</v>
      </c>
      <c r="B2518" t="n">
        <v>40.4</v>
      </c>
      <c r="C2518" s="21">
        <f>B2518-20</f>
        <v/>
      </c>
      <c r="D2518" t="n">
        <v>123.4</v>
      </c>
      <c r="E2518" s="22">
        <f>D2518-90</f>
        <v/>
      </c>
      <c r="F2518" s="23" t="n">
        <v>0.008055</v>
      </c>
      <c r="G2518" s="22" t="n">
        <v>34.3</v>
      </c>
      <c r="H2518" s="22" t="n">
        <v>1.9</v>
      </c>
      <c r="I2518" s="24" t="n">
        <v>0.0354191772639751</v>
      </c>
      <c r="J2518" s="6" t="n">
        <v>71000</v>
      </c>
      <c r="K2518" s="25">
        <f>23*10^-6</f>
        <v/>
      </c>
      <c r="L2518" s="8">
        <f>H2518</f>
        <v/>
      </c>
      <c r="M2518" s="26">
        <f>H2518^2/6</f>
        <v/>
      </c>
      <c r="N2518" s="26">
        <f>H2518^3/12</f>
        <v/>
      </c>
      <c r="O2518" s="27">
        <f>-J2518*L2518*K2518*C2518</f>
        <v/>
      </c>
      <c r="P2518" s="28">
        <f>-(12*F2518*J2518*L2518*N2518+12*O2518*N2518*G2518*COS(RADIANS(E2518)))/(12*N2518*G2518*COS(RADIANS(E2518))^2+L2518*G2518^3*SIN(RADIANS(E2518))^2)</f>
        <v/>
      </c>
      <c r="Q2518" s="28">
        <f>-(6*F2518*J2518*L2518*N2518*SIN(RADIANS(E2518))+6*O2518*N2518*G2518*SIN(RADIANS(E2518))*COS(RADIANS(E2518)))/(12*N2518*COS(RADIANS(E2518))^2+L2518*G2518^2*SIN(RADIANS(E2518))^2)</f>
        <v/>
      </c>
      <c r="R2518" s="28">
        <f>-P2518*SIN(RADIANS(E2518))</f>
        <v/>
      </c>
      <c r="S2518" s="8">
        <f>(O2518+P2518*COS(RADIANS(E2518)))/L2518</f>
        <v/>
      </c>
      <c r="T2518" s="8">
        <f>R2518/L2518</f>
        <v/>
      </c>
      <c r="U2518" s="8">
        <f>(Q2518-P2518*G2518*SIN(RADIANS(E2518)))/M2518</f>
        <v/>
      </c>
      <c r="V2518" s="8">
        <f>SQRT((S2518+U2518)^2+3*T2518^2)</f>
        <v/>
      </c>
      <c r="W2518" s="8">
        <f>V2518/AA2518</f>
        <v/>
      </c>
      <c r="X2518" s="27">
        <f>((3*10+H2518/COS(RADIANS(E2518)))*(3+3)+3*G2518*H2518)*2</f>
        <v/>
      </c>
      <c r="Y2518" s="28">
        <f>Z2518/X2518</f>
        <v/>
      </c>
      <c r="Z2518" s="29" t="n">
        <v>786.5117473486659</v>
      </c>
      <c r="AA2518" s="20" t="n">
        <v>31.7989518930306</v>
      </c>
      <c r="AB2518" t="n">
        <v>0.04112346982229807</v>
      </c>
      <c r="AC2518" t="n">
        <v>30.06908758421357</v>
      </c>
      <c r="AD2518" t="n">
        <v>16.10509616248149</v>
      </c>
    </row>
    <row r="2519">
      <c r="A2519" t="n">
        <v>2518</v>
      </c>
      <c r="B2519" t="n">
        <v>59.5</v>
      </c>
      <c r="C2519" s="21">
        <f>B2519-20</f>
        <v/>
      </c>
      <c r="D2519" t="n">
        <v>127.5</v>
      </c>
      <c r="E2519" s="22">
        <f>D2519-90</f>
        <v/>
      </c>
      <c r="F2519" s="23" t="n">
        <v>0.012276</v>
      </c>
      <c r="G2519" s="22" t="n">
        <v>26.8</v>
      </c>
      <c r="H2519" s="22" t="n">
        <v>1.3</v>
      </c>
      <c r="I2519" s="24" t="n">
        <v>0.0540962591767311</v>
      </c>
      <c r="J2519" s="6" t="n">
        <v>71000</v>
      </c>
      <c r="K2519" s="25">
        <f>23*10^-6</f>
        <v/>
      </c>
      <c r="L2519" s="8">
        <f>H2519</f>
        <v/>
      </c>
      <c r="M2519" s="26">
        <f>H2519^2/6</f>
        <v/>
      </c>
      <c r="N2519" s="26">
        <f>H2519^3/12</f>
        <v/>
      </c>
      <c r="O2519" s="27">
        <f>-J2519*L2519*K2519*C2519</f>
        <v/>
      </c>
      <c r="P2519" s="28">
        <f>-(12*F2519*J2519*L2519*N2519+12*O2519*N2519*G2519*COS(RADIANS(E2519)))/(12*N2519*G2519*COS(RADIANS(E2519))^2+L2519*G2519^3*SIN(RADIANS(E2519))^2)</f>
        <v/>
      </c>
      <c r="Q2519" s="28">
        <f>-(6*F2519*J2519*L2519*N2519*SIN(RADIANS(E2519))+6*O2519*N2519*G2519*SIN(RADIANS(E2519))*COS(RADIANS(E2519)))/(12*N2519*COS(RADIANS(E2519))^2+L2519*G2519^2*SIN(RADIANS(E2519))^2)</f>
        <v/>
      </c>
      <c r="R2519" s="28">
        <f>-P2519*SIN(RADIANS(E2519))</f>
        <v/>
      </c>
      <c r="S2519" s="8">
        <f>(O2519+P2519*COS(RADIANS(E2519)))/L2519</f>
        <v/>
      </c>
      <c r="T2519" s="8">
        <f>R2519/L2519</f>
        <v/>
      </c>
      <c r="U2519" s="8">
        <f>(Q2519-P2519*G2519*SIN(RADIANS(E2519)))/M2519</f>
        <v/>
      </c>
      <c r="V2519" s="8">
        <f>SQRT((S2519+U2519)^2+3*T2519^2)</f>
        <v/>
      </c>
      <c r="W2519" s="8">
        <f>V2519/AA2519</f>
        <v/>
      </c>
      <c r="X2519" s="27">
        <f>((3*10+H2519/COS(RADIANS(E2519)))*(3+3)+3*G2519*H2519)*2</f>
        <v/>
      </c>
      <c r="Y2519" s="28">
        <f>Z2519/X2519</f>
        <v/>
      </c>
      <c r="Z2519" s="29" t="n">
        <v>598.388336980447</v>
      </c>
      <c r="AA2519" s="20" t="n">
        <v>55.1423353199838</v>
      </c>
      <c r="AB2519" t="n">
        <v>0.05573368426806624</v>
      </c>
      <c r="AC2519" t="n">
        <v>56.62897350788312</v>
      </c>
      <c r="AD2519" t="n">
        <v>3.026873052322736</v>
      </c>
    </row>
    <row r="2520">
      <c r="A2520" t="n">
        <v>2519</v>
      </c>
      <c r="B2520" t="n">
        <v>76.59999999999999</v>
      </c>
      <c r="C2520" s="21">
        <f>B2520-20</f>
        <v/>
      </c>
      <c r="D2520" t="n">
        <v>127.2</v>
      </c>
      <c r="E2520" s="22">
        <f>D2520-90</f>
        <v/>
      </c>
      <c r="F2520" s="23" t="n">
        <v>0.018262</v>
      </c>
      <c r="G2520" s="22" t="n">
        <v>28</v>
      </c>
      <c r="H2520" s="22" t="n">
        <v>1.6</v>
      </c>
      <c r="I2520" s="24" t="n">
        <v>0.0802024826407432</v>
      </c>
      <c r="J2520" s="6" t="n">
        <v>71000</v>
      </c>
      <c r="K2520" s="25">
        <f>23*10^-6</f>
        <v/>
      </c>
      <c r="L2520" s="8">
        <f>H2520</f>
        <v/>
      </c>
      <c r="M2520" s="26">
        <f>H2520^2/6</f>
        <v/>
      </c>
      <c r="N2520" s="26">
        <f>H2520^3/12</f>
        <v/>
      </c>
      <c r="O2520" s="27">
        <f>-J2520*L2520*K2520*C2520</f>
        <v/>
      </c>
      <c r="P2520" s="28">
        <f>-(12*F2520*J2520*L2520*N2520+12*O2520*N2520*G2520*COS(RADIANS(E2520)))/(12*N2520*G2520*COS(RADIANS(E2520))^2+L2520*G2520^3*SIN(RADIANS(E2520))^2)</f>
        <v/>
      </c>
      <c r="Q2520" s="28">
        <f>-(6*F2520*J2520*L2520*N2520*SIN(RADIANS(E2520))+6*O2520*N2520*G2520*SIN(RADIANS(E2520))*COS(RADIANS(E2520)))/(12*N2520*COS(RADIANS(E2520))^2+L2520*G2520^2*SIN(RADIANS(E2520))^2)</f>
        <v/>
      </c>
      <c r="R2520" s="28">
        <f>-P2520*SIN(RADIANS(E2520))</f>
        <v/>
      </c>
      <c r="S2520" s="8">
        <f>(O2520+P2520*COS(RADIANS(E2520)))/L2520</f>
        <v/>
      </c>
      <c r="T2520" s="8">
        <f>R2520/L2520</f>
        <v/>
      </c>
      <c r="U2520" s="8">
        <f>(Q2520-P2520*G2520*SIN(RADIANS(E2520)))/M2520</f>
        <v/>
      </c>
      <c r="V2520" s="8">
        <f>SQRT((S2520+U2520)^2+3*T2520^2)</f>
        <v/>
      </c>
      <c r="W2520" s="8">
        <f>V2520/AA2520</f>
        <v/>
      </c>
      <c r="X2520" s="27">
        <f>((3*10+H2520/COS(RADIANS(E2520)))*(3+3)+3*G2520*H2520)*2</f>
        <v/>
      </c>
      <c r="Y2520" s="28">
        <f>Z2520/X2520</f>
        <v/>
      </c>
      <c r="Z2520" s="29" t="n">
        <v>662.468880344147</v>
      </c>
      <c r="AA2520" s="20" t="n">
        <v>84.7034658668962</v>
      </c>
      <c r="AB2520" t="n">
        <v>0.08379453327411657</v>
      </c>
      <c r="AC2520" t="n">
        <v>82.19591102250757</v>
      </c>
      <c r="AD2520" t="n">
        <v>4.478727484613538</v>
      </c>
    </row>
    <row r="2521">
      <c r="A2521" t="n">
        <v>2520</v>
      </c>
      <c r="B2521" t="n">
        <v>43.1</v>
      </c>
      <c r="C2521" s="21">
        <f>B2521-20</f>
        <v/>
      </c>
      <c r="D2521" t="n">
        <v>105.7</v>
      </c>
      <c r="E2521" s="22">
        <f>D2521-90</f>
        <v/>
      </c>
      <c r="F2521" s="23" t="n">
        <v>0.007969</v>
      </c>
      <c r="G2521" s="22" t="n">
        <v>25.2</v>
      </c>
      <c r="H2521" s="22" t="n">
        <v>1.8</v>
      </c>
      <c r="I2521" s="24" t="n">
        <v>0.0546731166541576</v>
      </c>
      <c r="J2521" s="6" t="n">
        <v>71000</v>
      </c>
      <c r="K2521" s="25">
        <f>23*10^-6</f>
        <v/>
      </c>
      <c r="L2521" s="8">
        <f>H2521</f>
        <v/>
      </c>
      <c r="M2521" s="26">
        <f>H2521^2/6</f>
        <v/>
      </c>
      <c r="N2521" s="26">
        <f>H2521^3/12</f>
        <v/>
      </c>
      <c r="O2521" s="27">
        <f>-J2521*L2521*K2521*C2521</f>
        <v/>
      </c>
      <c r="P2521" s="28">
        <f>-(12*F2521*J2521*L2521*N2521+12*O2521*N2521*G2521*COS(RADIANS(E2521)))/(12*N2521*G2521*COS(RADIANS(E2521))^2+L2521*G2521^3*SIN(RADIANS(E2521))^2)</f>
        <v/>
      </c>
      <c r="Q2521" s="28">
        <f>-(6*F2521*J2521*L2521*N2521*SIN(RADIANS(E2521))+6*O2521*N2521*G2521*SIN(RADIANS(E2521))*COS(RADIANS(E2521)))/(12*N2521*COS(RADIANS(E2521))^2+L2521*G2521^2*SIN(RADIANS(E2521))^2)</f>
        <v/>
      </c>
      <c r="R2521" s="28">
        <f>-P2521*SIN(RADIANS(E2521))</f>
        <v/>
      </c>
      <c r="S2521" s="8">
        <f>(O2521+P2521*COS(RADIANS(E2521)))/L2521</f>
        <v/>
      </c>
      <c r="T2521" s="8">
        <f>R2521/L2521</f>
        <v/>
      </c>
      <c r="U2521" s="8">
        <f>(Q2521-P2521*G2521*SIN(RADIANS(E2521)))/M2521</f>
        <v/>
      </c>
      <c r="V2521" s="8">
        <f>SQRT((S2521+U2521)^2+3*T2521^2)</f>
        <v/>
      </c>
      <c r="W2521" s="8">
        <f>V2521/AA2521</f>
        <v/>
      </c>
      <c r="X2521" s="27">
        <f>((3*10+H2521/COS(RADIANS(E2521)))*(3+3)+3*G2521*H2521)*2</f>
        <v/>
      </c>
      <c r="Y2521" s="28">
        <f>Z2521/X2521</f>
        <v/>
      </c>
      <c r="Z2521" s="29" t="n">
        <v>658.96081641022</v>
      </c>
      <c r="AA2521" s="20" t="n">
        <v>39.6057584254567</v>
      </c>
      <c r="AB2521" t="n">
        <v>0.07297056944559822</v>
      </c>
      <c r="AC2521" t="n">
        <v>38.79114900791389</v>
      </c>
      <c r="AD2521" t="n">
        <v>33.46700153785581</v>
      </c>
    </row>
    <row r="2522">
      <c r="A2522" t="n">
        <v>2521</v>
      </c>
      <c r="B2522" t="n">
        <v>49.2</v>
      </c>
      <c r="C2522" s="21">
        <f>B2522-20</f>
        <v/>
      </c>
      <c r="D2522" t="n">
        <v>118.2</v>
      </c>
      <c r="E2522" s="22">
        <f>D2522-90</f>
        <v/>
      </c>
      <c r="F2522" s="23" t="n">
        <v>0.011649</v>
      </c>
      <c r="G2522" s="22" t="n">
        <v>32.9</v>
      </c>
      <c r="H2522" s="22" t="n">
        <v>1.8</v>
      </c>
      <c r="I2522" s="24" t="n">
        <v>0.0551071465015411</v>
      </c>
      <c r="J2522" s="6" t="n">
        <v>71000</v>
      </c>
      <c r="K2522" s="25">
        <f>23*10^-6</f>
        <v/>
      </c>
      <c r="L2522" s="8">
        <f>H2522</f>
        <v/>
      </c>
      <c r="M2522" s="26">
        <f>H2522^2/6</f>
        <v/>
      </c>
      <c r="N2522" s="26">
        <f>H2522^3/12</f>
        <v/>
      </c>
      <c r="O2522" s="27">
        <f>-J2522*L2522*K2522*C2522</f>
        <v/>
      </c>
      <c r="P2522" s="28">
        <f>-(12*F2522*J2522*L2522*N2522+12*O2522*N2522*G2522*COS(RADIANS(E2522)))/(12*N2522*G2522*COS(RADIANS(E2522))^2+L2522*G2522^3*SIN(RADIANS(E2522))^2)</f>
        <v/>
      </c>
      <c r="Q2522" s="28">
        <f>-(6*F2522*J2522*L2522*N2522*SIN(RADIANS(E2522))+6*O2522*N2522*G2522*SIN(RADIANS(E2522))*COS(RADIANS(E2522)))/(12*N2522*COS(RADIANS(E2522))^2+L2522*G2522^2*SIN(RADIANS(E2522))^2)</f>
        <v/>
      </c>
      <c r="R2522" s="28">
        <f>-P2522*SIN(RADIANS(E2522))</f>
        <v/>
      </c>
      <c r="S2522" s="8">
        <f>(O2522+P2522*COS(RADIANS(E2522)))/L2522</f>
        <v/>
      </c>
      <c r="T2522" s="8">
        <f>R2522/L2522</f>
        <v/>
      </c>
      <c r="U2522" s="8">
        <f>(Q2522-P2522*G2522*SIN(RADIANS(E2522)))/M2522</f>
        <v/>
      </c>
      <c r="V2522" s="8">
        <f>SQRT((S2522+U2522)^2+3*T2522^2)</f>
        <v/>
      </c>
      <c r="W2522" s="8">
        <f>V2522/AA2522</f>
        <v/>
      </c>
      <c r="X2522" s="27">
        <f>((3*10+H2522/COS(RADIANS(E2522)))*(3+3)+3*G2522*H2522)*2</f>
        <v/>
      </c>
      <c r="Y2522" s="28">
        <f>Z2522/X2522</f>
        <v/>
      </c>
      <c r="Z2522" s="29" t="n">
        <v>746.495171862474</v>
      </c>
      <c r="AA2522" s="20" t="n">
        <v>45.9642742732232</v>
      </c>
      <c r="AB2522" t="n">
        <v>0.067713686933279</v>
      </c>
      <c r="AC2522" t="n">
        <v>43.83081564386439</v>
      </c>
      <c r="AD2522" t="n">
        <v>22.8764166393289</v>
      </c>
    </row>
    <row r="2523">
      <c r="A2523" t="n">
        <v>2522</v>
      </c>
      <c r="B2523" t="n">
        <v>48.8</v>
      </c>
      <c r="C2523" s="21">
        <f>B2523-20</f>
        <v/>
      </c>
      <c r="D2523" t="n">
        <v>118</v>
      </c>
      <c r="E2523" s="22">
        <f>D2523-90</f>
        <v/>
      </c>
      <c r="F2523" s="23" t="n">
        <v>0.009913</v>
      </c>
      <c r="G2523" s="22" t="n">
        <v>27.4</v>
      </c>
      <c r="H2523" s="22" t="n">
        <v>1.4</v>
      </c>
      <c r="I2523" s="24" t="n">
        <v>0.0482749678194522</v>
      </c>
      <c r="J2523" s="6" t="n">
        <v>71000</v>
      </c>
      <c r="K2523" s="25">
        <f>23*10^-6</f>
        <v/>
      </c>
      <c r="L2523" s="8">
        <f>H2523</f>
        <v/>
      </c>
      <c r="M2523" s="26">
        <f>H2523^2/6</f>
        <v/>
      </c>
      <c r="N2523" s="26">
        <f>H2523^3/12</f>
        <v/>
      </c>
      <c r="O2523" s="27">
        <f>-J2523*L2523*K2523*C2523</f>
        <v/>
      </c>
      <c r="P2523" s="28">
        <f>-(12*F2523*J2523*L2523*N2523+12*O2523*N2523*G2523*COS(RADIANS(E2523)))/(12*N2523*G2523*COS(RADIANS(E2523))^2+L2523*G2523^3*SIN(RADIANS(E2523))^2)</f>
        <v/>
      </c>
      <c r="Q2523" s="28">
        <f>-(6*F2523*J2523*L2523*N2523*SIN(RADIANS(E2523))+6*O2523*N2523*G2523*SIN(RADIANS(E2523))*COS(RADIANS(E2523)))/(12*N2523*COS(RADIANS(E2523))^2+L2523*G2523^2*SIN(RADIANS(E2523))^2)</f>
        <v/>
      </c>
      <c r="R2523" s="28">
        <f>-P2523*SIN(RADIANS(E2523))</f>
        <v/>
      </c>
      <c r="S2523" s="8">
        <f>(O2523+P2523*COS(RADIANS(E2523)))/L2523</f>
        <v/>
      </c>
      <c r="T2523" s="8">
        <f>R2523/L2523</f>
        <v/>
      </c>
      <c r="U2523" s="8">
        <f>(Q2523-P2523*G2523*SIN(RADIANS(E2523)))/M2523</f>
        <v/>
      </c>
      <c r="V2523" s="8">
        <f>SQRT((S2523+U2523)^2+3*T2523^2)</f>
        <v/>
      </c>
      <c r="W2523" s="8">
        <f>V2523/AA2523</f>
        <v/>
      </c>
      <c r="X2523" s="27">
        <f>((3*10+H2523/COS(RADIANS(E2523)))*(3+3)+3*G2523*H2523)*2</f>
        <v/>
      </c>
      <c r="Y2523" s="28">
        <f>Z2523/X2523</f>
        <v/>
      </c>
      <c r="Z2523" s="29" t="n">
        <v>615.802487453754</v>
      </c>
      <c r="AA2523" s="20" t="n">
        <v>42.3410060911615</v>
      </c>
      <c r="AB2523" t="n">
        <v>0.05673086404464623</v>
      </c>
      <c r="AC2523" t="n">
        <v>42.7615569140749</v>
      </c>
      <c r="AD2523" t="n">
        <v>17.51610950175871</v>
      </c>
    </row>
    <row r="2524">
      <c r="A2524" t="n">
        <v>2523</v>
      </c>
      <c r="B2524" t="n">
        <v>72.3</v>
      </c>
      <c r="C2524" s="21">
        <f>B2524-20</f>
        <v/>
      </c>
      <c r="D2524" t="n">
        <v>125.1</v>
      </c>
      <c r="E2524" s="22">
        <f>D2524-90</f>
        <v/>
      </c>
      <c r="F2524" s="23" t="n">
        <v>0.017675</v>
      </c>
      <c r="G2524" s="22" t="n">
        <v>28.9</v>
      </c>
      <c r="H2524" s="22" t="n">
        <v>1.9</v>
      </c>
      <c r="I2524" s="24" t="n">
        <v>0.0784509479999542</v>
      </c>
      <c r="J2524" s="6" t="n">
        <v>71000</v>
      </c>
      <c r="K2524" s="25">
        <f>23*10^-6</f>
        <v/>
      </c>
      <c r="L2524" s="8">
        <f>H2524</f>
        <v/>
      </c>
      <c r="M2524" s="26">
        <f>H2524^2/6</f>
        <v/>
      </c>
      <c r="N2524" s="26">
        <f>H2524^3/12</f>
        <v/>
      </c>
      <c r="O2524" s="27">
        <f>-J2524*L2524*K2524*C2524</f>
        <v/>
      </c>
      <c r="P2524" s="28">
        <f>-(12*F2524*J2524*L2524*N2524+12*O2524*N2524*G2524*COS(RADIANS(E2524)))/(12*N2524*G2524*COS(RADIANS(E2524))^2+L2524*G2524^3*SIN(RADIANS(E2524))^2)</f>
        <v/>
      </c>
      <c r="Q2524" s="28">
        <f>-(6*F2524*J2524*L2524*N2524*SIN(RADIANS(E2524))+6*O2524*N2524*G2524*SIN(RADIANS(E2524))*COS(RADIANS(E2524)))/(12*N2524*COS(RADIANS(E2524))^2+L2524*G2524^2*SIN(RADIANS(E2524))^2)</f>
        <v/>
      </c>
      <c r="R2524" s="28">
        <f>-P2524*SIN(RADIANS(E2524))</f>
        <v/>
      </c>
      <c r="S2524" s="8">
        <f>(O2524+P2524*COS(RADIANS(E2524)))/L2524</f>
        <v/>
      </c>
      <c r="T2524" s="8">
        <f>R2524/L2524</f>
        <v/>
      </c>
      <c r="U2524" s="8">
        <f>(Q2524-P2524*G2524*SIN(RADIANS(E2524)))/M2524</f>
        <v/>
      </c>
      <c r="V2524" s="8">
        <f>SQRT((S2524+U2524)^2+3*T2524^2)</f>
        <v/>
      </c>
      <c r="W2524" s="8">
        <f>V2524/AA2524</f>
        <v/>
      </c>
      <c r="X2524" s="27">
        <f>((3*10+H2524/COS(RADIANS(E2524)))*(3+3)+3*G2524*H2524)*2</f>
        <v/>
      </c>
      <c r="Y2524" s="28">
        <f>Z2524/X2524</f>
        <v/>
      </c>
      <c r="Z2524" s="29" t="n">
        <v>726.095873673268</v>
      </c>
      <c r="AA2524" s="20" t="n">
        <v>82.8160728683394</v>
      </c>
      <c r="AB2524" t="n">
        <v>0.08475638461417859</v>
      </c>
      <c r="AC2524" t="n">
        <v>77.41312622501765</v>
      </c>
      <c r="AD2524" t="n">
        <v>8.037425646186037</v>
      </c>
    </row>
    <row r="2525">
      <c r="A2525" t="n">
        <v>2524</v>
      </c>
      <c r="B2525" t="n">
        <v>89.90000000000001</v>
      </c>
      <c r="C2525" s="21">
        <f>B2525-20</f>
        <v/>
      </c>
      <c r="D2525" t="n">
        <v>122.7</v>
      </c>
      <c r="E2525" s="22">
        <f>D2525-90</f>
        <v/>
      </c>
      <c r="F2525" s="23" t="n">
        <v>0.025971</v>
      </c>
      <c r="G2525" s="22" t="n">
        <v>31.6</v>
      </c>
      <c r="H2525" s="22" t="n">
        <v>1.7</v>
      </c>
      <c r="I2525" s="24" t="n">
        <v>0.116265587508678</v>
      </c>
      <c r="J2525" s="6" t="n">
        <v>71000</v>
      </c>
      <c r="K2525" s="25">
        <f>23*10^-6</f>
        <v/>
      </c>
      <c r="L2525" s="8">
        <f>H2525</f>
        <v/>
      </c>
      <c r="M2525" s="26">
        <f>H2525^2/6</f>
        <v/>
      </c>
      <c r="N2525" s="26">
        <f>H2525^3/12</f>
        <v/>
      </c>
      <c r="O2525" s="27">
        <f>-J2525*L2525*K2525*C2525</f>
        <v/>
      </c>
      <c r="P2525" s="28">
        <f>-(12*F2525*J2525*L2525*N2525+12*O2525*N2525*G2525*COS(RADIANS(E2525)))/(12*N2525*G2525*COS(RADIANS(E2525))^2+L2525*G2525^3*SIN(RADIANS(E2525))^2)</f>
        <v/>
      </c>
      <c r="Q2525" s="28">
        <f>-(6*F2525*J2525*L2525*N2525*SIN(RADIANS(E2525))+6*O2525*N2525*G2525*SIN(RADIANS(E2525))*COS(RADIANS(E2525)))/(12*N2525*COS(RADIANS(E2525))^2+L2525*G2525^2*SIN(RADIANS(E2525))^2)</f>
        <v/>
      </c>
      <c r="R2525" s="28">
        <f>-P2525*SIN(RADIANS(E2525))</f>
        <v/>
      </c>
      <c r="S2525" s="8">
        <f>(O2525+P2525*COS(RADIANS(E2525)))/L2525</f>
        <v/>
      </c>
      <c r="T2525" s="8">
        <f>R2525/L2525</f>
        <v/>
      </c>
      <c r="U2525" s="8">
        <f>(Q2525-P2525*G2525*SIN(RADIANS(E2525)))/M2525</f>
        <v/>
      </c>
      <c r="V2525" s="8">
        <f>SQRT((S2525+U2525)^2+3*T2525^2)</f>
        <v/>
      </c>
      <c r="W2525" s="8">
        <f>V2525/AA2525</f>
        <v/>
      </c>
      <c r="X2525" s="27">
        <f>((3*10+H2525/COS(RADIANS(E2525)))*(3+3)+3*G2525*H2525)*2</f>
        <v/>
      </c>
      <c r="Y2525" s="28">
        <f>Z2525/X2525</f>
        <v/>
      </c>
      <c r="Z2525" s="29" t="n">
        <v>714.515876706302</v>
      </c>
      <c r="AA2525" s="20" t="n">
        <v>105.148760891072</v>
      </c>
      <c r="AB2525" t="n">
        <v>0.1334383437813632</v>
      </c>
      <c r="AC2525" t="n">
        <v>102.8270194612033</v>
      </c>
      <c r="AD2525" t="n">
        <v>14.77028297079171</v>
      </c>
    </row>
    <row r="2526">
      <c r="A2526" t="n">
        <v>2525</v>
      </c>
      <c r="B2526" t="n">
        <v>52.2</v>
      </c>
      <c r="C2526" s="21">
        <f>B2526-20</f>
        <v/>
      </c>
      <c r="D2526" t="n">
        <v>115</v>
      </c>
      <c r="E2526" s="22">
        <f>D2526-90</f>
        <v/>
      </c>
      <c r="F2526" s="23" t="n">
        <v>0.009554999999999999</v>
      </c>
      <c r="G2526" s="22" t="n">
        <v>22.1</v>
      </c>
      <c r="H2526" s="22" t="n">
        <v>1</v>
      </c>
      <c r="I2526" s="24" t="n">
        <v>0.0509396977722644</v>
      </c>
      <c r="J2526" s="6" t="n">
        <v>71000</v>
      </c>
      <c r="K2526" s="25">
        <f>23*10^-6</f>
        <v/>
      </c>
      <c r="L2526" s="8">
        <f>H2526</f>
        <v/>
      </c>
      <c r="M2526" s="26">
        <f>H2526^2/6</f>
        <v/>
      </c>
      <c r="N2526" s="26">
        <f>H2526^3/12</f>
        <v/>
      </c>
      <c r="O2526" s="27">
        <f>-J2526*L2526*K2526*C2526</f>
        <v/>
      </c>
      <c r="P2526" s="28">
        <f>-(12*F2526*J2526*L2526*N2526+12*O2526*N2526*G2526*COS(RADIANS(E2526)))/(12*N2526*G2526*COS(RADIANS(E2526))^2+L2526*G2526^3*SIN(RADIANS(E2526))^2)</f>
        <v/>
      </c>
      <c r="Q2526" s="28">
        <f>-(6*F2526*J2526*L2526*N2526*SIN(RADIANS(E2526))+6*O2526*N2526*G2526*SIN(RADIANS(E2526))*COS(RADIANS(E2526)))/(12*N2526*COS(RADIANS(E2526))^2+L2526*G2526^2*SIN(RADIANS(E2526))^2)</f>
        <v/>
      </c>
      <c r="R2526" s="28">
        <f>-P2526*SIN(RADIANS(E2526))</f>
        <v/>
      </c>
      <c r="S2526" s="8">
        <f>(O2526+P2526*COS(RADIANS(E2526)))/L2526</f>
        <v/>
      </c>
      <c r="T2526" s="8">
        <f>R2526/L2526</f>
        <v/>
      </c>
      <c r="U2526" s="8">
        <f>(Q2526-P2526*G2526*SIN(RADIANS(E2526)))/M2526</f>
        <v/>
      </c>
      <c r="V2526" s="8">
        <f>SQRT((S2526+U2526)^2+3*T2526^2)</f>
        <v/>
      </c>
      <c r="W2526" s="8">
        <f>V2526/AA2526</f>
        <v/>
      </c>
      <c r="X2526" s="27">
        <f>((3*10+H2526/COS(RADIANS(E2526)))*(3+3)+3*G2526*H2526)*2</f>
        <v/>
      </c>
      <c r="Y2526" s="28">
        <f>Z2526/X2526</f>
        <v/>
      </c>
      <c r="Z2526" s="29" t="n">
        <v>511.755234468289</v>
      </c>
      <c r="AA2526" s="20" t="n">
        <v>45.0395868076035</v>
      </c>
      <c r="AB2526" t="n">
        <v>0.05862475847121412</v>
      </c>
      <c r="AC2526" t="n">
        <v>47.54369078782994</v>
      </c>
      <c r="AD2526" t="n">
        <v>15.08658479543252</v>
      </c>
    </row>
    <row r="2527">
      <c r="A2527" t="n">
        <v>2526</v>
      </c>
      <c r="B2527" t="n">
        <v>78.2</v>
      </c>
      <c r="C2527" s="21">
        <f>B2527-20</f>
        <v/>
      </c>
      <c r="D2527" t="n">
        <v>114.9</v>
      </c>
      <c r="E2527" s="22">
        <f>D2527-90</f>
        <v/>
      </c>
      <c r="F2527" s="23" t="n">
        <v>0.017582</v>
      </c>
      <c r="G2527" s="22" t="n">
        <v>22.6</v>
      </c>
      <c r="H2527" s="22" t="n">
        <v>1.4</v>
      </c>
      <c r="I2527" s="24" t="n">
        <v>0.0934122428297996</v>
      </c>
      <c r="J2527" s="6" t="n">
        <v>71000</v>
      </c>
      <c r="K2527" s="25">
        <f>23*10^-6</f>
        <v/>
      </c>
      <c r="L2527" s="8">
        <f>H2527</f>
        <v/>
      </c>
      <c r="M2527" s="26">
        <f>H2527^2/6</f>
        <v/>
      </c>
      <c r="N2527" s="26">
        <f>H2527^3/12</f>
        <v/>
      </c>
      <c r="O2527" s="27">
        <f>-J2527*L2527*K2527*C2527</f>
        <v/>
      </c>
      <c r="P2527" s="28">
        <f>-(12*F2527*J2527*L2527*N2527+12*O2527*N2527*G2527*COS(RADIANS(E2527)))/(12*N2527*G2527*COS(RADIANS(E2527))^2+L2527*G2527^3*SIN(RADIANS(E2527))^2)</f>
        <v/>
      </c>
      <c r="Q2527" s="28">
        <f>-(6*F2527*J2527*L2527*N2527*SIN(RADIANS(E2527))+6*O2527*N2527*G2527*SIN(RADIANS(E2527))*COS(RADIANS(E2527)))/(12*N2527*COS(RADIANS(E2527))^2+L2527*G2527^2*SIN(RADIANS(E2527))^2)</f>
        <v/>
      </c>
      <c r="R2527" s="28">
        <f>-P2527*SIN(RADIANS(E2527))</f>
        <v/>
      </c>
      <c r="S2527" s="8">
        <f>(O2527+P2527*COS(RADIANS(E2527)))/L2527</f>
        <v/>
      </c>
      <c r="T2527" s="8">
        <f>R2527/L2527</f>
        <v/>
      </c>
      <c r="U2527" s="8">
        <f>(Q2527-P2527*G2527*SIN(RADIANS(E2527)))/M2527</f>
        <v/>
      </c>
      <c r="V2527" s="8">
        <f>SQRT((S2527+U2527)^2+3*T2527^2)</f>
        <v/>
      </c>
      <c r="W2527" s="8">
        <f>V2527/AA2527</f>
        <v/>
      </c>
      <c r="X2527" s="27">
        <f>((3*10+H2527/COS(RADIANS(E2527)))*(3+3)+3*G2527*H2527)*2</f>
        <v/>
      </c>
      <c r="Y2527" s="28">
        <f>Z2527/X2527</f>
        <v/>
      </c>
      <c r="Z2527" s="29" t="n">
        <v>574.254908526622</v>
      </c>
      <c r="AA2527" s="20" t="n">
        <v>89.1740789910633</v>
      </c>
      <c r="AB2527" t="n">
        <v>0.1076658741820128</v>
      </c>
      <c r="AC2527" t="n">
        <v>88.72613816551812</v>
      </c>
      <c r="AD2527" t="n">
        <v>15.25884714938684</v>
      </c>
    </row>
    <row r="2528">
      <c r="A2528" t="n">
        <v>2527</v>
      </c>
      <c r="B2528" t="n">
        <v>49</v>
      </c>
      <c r="C2528" s="21">
        <f>B2528-20</f>
        <v/>
      </c>
      <c r="D2528" t="n">
        <v>115.9</v>
      </c>
      <c r="E2528" s="22">
        <f>D2528-90</f>
        <v/>
      </c>
      <c r="F2528" s="23" t="n">
        <v>0.009865000000000001</v>
      </c>
      <c r="G2528" s="22" t="n">
        <v>26.5</v>
      </c>
      <c r="H2528" s="22" t="n">
        <v>1.9</v>
      </c>
      <c r="I2528" s="24" t="n">
        <v>0.0500551201403141</v>
      </c>
      <c r="J2528" s="6" t="n">
        <v>71000</v>
      </c>
      <c r="K2528" s="25">
        <f>23*10^-6</f>
        <v/>
      </c>
      <c r="L2528" s="8">
        <f>H2528</f>
        <v/>
      </c>
      <c r="M2528" s="26">
        <f>H2528^2/6</f>
        <v/>
      </c>
      <c r="N2528" s="26">
        <f>H2528^3/12</f>
        <v/>
      </c>
      <c r="O2528" s="27">
        <f>-J2528*L2528*K2528*C2528</f>
        <v/>
      </c>
      <c r="P2528" s="28">
        <f>-(12*F2528*J2528*L2528*N2528+12*O2528*N2528*G2528*COS(RADIANS(E2528)))/(12*N2528*G2528*COS(RADIANS(E2528))^2+L2528*G2528^3*SIN(RADIANS(E2528))^2)</f>
        <v/>
      </c>
      <c r="Q2528" s="28">
        <f>-(6*F2528*J2528*L2528*N2528*SIN(RADIANS(E2528))+6*O2528*N2528*G2528*SIN(RADIANS(E2528))*COS(RADIANS(E2528)))/(12*N2528*COS(RADIANS(E2528))^2+L2528*G2528^2*SIN(RADIANS(E2528))^2)</f>
        <v/>
      </c>
      <c r="R2528" s="28">
        <f>-P2528*SIN(RADIANS(E2528))</f>
        <v/>
      </c>
      <c r="S2528" s="8">
        <f>(O2528+P2528*COS(RADIANS(E2528)))/L2528</f>
        <v/>
      </c>
      <c r="T2528" s="8">
        <f>R2528/L2528</f>
        <v/>
      </c>
      <c r="U2528" s="8">
        <f>(Q2528-P2528*G2528*SIN(RADIANS(E2528)))/M2528</f>
        <v/>
      </c>
      <c r="V2528" s="8">
        <f>SQRT((S2528+U2528)^2+3*T2528^2)</f>
        <v/>
      </c>
      <c r="W2528" s="8">
        <f>V2528/AA2528</f>
        <v/>
      </c>
      <c r="X2528" s="27">
        <f>((3*10+H2528/COS(RADIANS(E2528)))*(3+3)+3*G2528*H2528)*2</f>
        <v/>
      </c>
      <c r="Y2528" s="28">
        <f>Z2528/X2528</f>
        <v/>
      </c>
      <c r="Z2528" s="29" t="n">
        <v>693.559192495503</v>
      </c>
      <c r="AA2528" s="20" t="n">
        <v>47.969127029943</v>
      </c>
      <c r="AB2528" t="n">
        <v>0.05938183157547507</v>
      </c>
      <c r="AC2528" t="n">
        <v>45.04552726438624</v>
      </c>
      <c r="AD2528" t="n">
        <v>18.6328819289943</v>
      </c>
    </row>
    <row r="2529">
      <c r="A2529" t="n">
        <v>2528</v>
      </c>
      <c r="B2529" t="n">
        <v>85</v>
      </c>
      <c r="C2529" s="21">
        <f>B2529-20</f>
        <v/>
      </c>
      <c r="D2529" t="n">
        <v>116.1</v>
      </c>
      <c r="E2529" s="22">
        <f>D2529-90</f>
        <v/>
      </c>
      <c r="F2529" s="23" t="n">
        <v>0.02747</v>
      </c>
      <c r="G2529" s="22" t="n">
        <v>34.6</v>
      </c>
      <c r="H2529" s="22" t="n">
        <v>1.1</v>
      </c>
      <c r="I2529" s="24" t="n">
        <v>0.134094312787055</v>
      </c>
      <c r="J2529" s="6" t="n">
        <v>71000</v>
      </c>
      <c r="K2529" s="25">
        <f>23*10^-6</f>
        <v/>
      </c>
      <c r="L2529" s="8">
        <f>H2529</f>
        <v/>
      </c>
      <c r="M2529" s="26">
        <f>H2529^2/6</f>
        <v/>
      </c>
      <c r="N2529" s="26">
        <f>H2529^3/12</f>
        <v/>
      </c>
      <c r="O2529" s="27">
        <f>-J2529*L2529*K2529*C2529</f>
        <v/>
      </c>
      <c r="P2529" s="28">
        <f>-(12*F2529*J2529*L2529*N2529+12*O2529*N2529*G2529*COS(RADIANS(E2529)))/(12*N2529*G2529*COS(RADIANS(E2529))^2+L2529*G2529^3*SIN(RADIANS(E2529))^2)</f>
        <v/>
      </c>
      <c r="Q2529" s="28">
        <f>-(6*F2529*J2529*L2529*N2529*SIN(RADIANS(E2529))+6*O2529*N2529*G2529*SIN(RADIANS(E2529))*COS(RADIANS(E2529)))/(12*N2529*COS(RADIANS(E2529))^2+L2529*G2529^2*SIN(RADIANS(E2529))^2)</f>
        <v/>
      </c>
      <c r="R2529" s="28">
        <f>-P2529*SIN(RADIANS(E2529))</f>
        <v/>
      </c>
      <c r="S2529" s="8">
        <f>(O2529+P2529*COS(RADIANS(E2529)))/L2529</f>
        <v/>
      </c>
      <c r="T2529" s="8">
        <f>R2529/L2529</f>
        <v/>
      </c>
      <c r="U2529" s="8">
        <f>(Q2529-P2529*G2529*SIN(RADIANS(E2529)))/M2529</f>
        <v/>
      </c>
      <c r="V2529" s="8">
        <f>SQRT((S2529+U2529)^2+3*T2529^2)</f>
        <v/>
      </c>
      <c r="W2529" s="8">
        <f>V2529/AA2529</f>
        <v/>
      </c>
      <c r="X2529" s="27">
        <f>((3*10+H2529/COS(RADIANS(E2529)))*(3+3)+3*G2529*H2529)*2</f>
        <v/>
      </c>
      <c r="Y2529" s="28">
        <f>Z2529/X2529</f>
        <v/>
      </c>
      <c r="Z2529" s="29" t="n">
        <v>609.217747089924</v>
      </c>
      <c r="AA2529" s="20" t="n">
        <v>89.01496822607901</v>
      </c>
      <c r="AB2529" t="n">
        <v>0.1728665255011335</v>
      </c>
      <c r="AC2529" t="n">
        <v>94.06964802114811</v>
      </c>
      <c r="AD2529" t="n">
        <v>28.9141365567455</v>
      </c>
    </row>
    <row r="2530">
      <c r="A2530" t="n">
        <v>2529</v>
      </c>
      <c r="B2530" t="n">
        <v>75.7</v>
      </c>
      <c r="C2530" s="21">
        <f>B2530-20</f>
        <v/>
      </c>
      <c r="D2530" t="n">
        <v>122.8</v>
      </c>
      <c r="E2530" s="22">
        <f>D2530-90</f>
        <v/>
      </c>
      <c r="F2530" s="23" t="n">
        <v>0.018434</v>
      </c>
      <c r="G2530" s="22" t="n">
        <v>27.4</v>
      </c>
      <c r="H2530" s="22" t="n">
        <v>1.5</v>
      </c>
      <c r="I2530" s="24" t="n">
        <v>0.0841238051652908</v>
      </c>
      <c r="J2530" s="6" t="n">
        <v>71000</v>
      </c>
      <c r="K2530" s="25">
        <f>23*10^-6</f>
        <v/>
      </c>
      <c r="L2530" s="8">
        <f>H2530</f>
        <v/>
      </c>
      <c r="M2530" s="26">
        <f>H2530^2/6</f>
        <v/>
      </c>
      <c r="N2530" s="26">
        <f>H2530^3/12</f>
        <v/>
      </c>
      <c r="O2530" s="27">
        <f>-J2530*L2530*K2530*C2530</f>
        <v/>
      </c>
      <c r="P2530" s="28">
        <f>-(12*F2530*J2530*L2530*N2530+12*O2530*N2530*G2530*COS(RADIANS(E2530)))/(12*N2530*G2530*COS(RADIANS(E2530))^2+L2530*G2530^3*SIN(RADIANS(E2530))^2)</f>
        <v/>
      </c>
      <c r="Q2530" s="28">
        <f>-(6*F2530*J2530*L2530*N2530*SIN(RADIANS(E2530))+6*O2530*N2530*G2530*SIN(RADIANS(E2530))*COS(RADIANS(E2530)))/(12*N2530*COS(RADIANS(E2530))^2+L2530*G2530^2*SIN(RADIANS(E2530))^2)</f>
        <v/>
      </c>
      <c r="R2530" s="28">
        <f>-P2530*SIN(RADIANS(E2530))</f>
        <v/>
      </c>
      <c r="S2530" s="8">
        <f>(O2530+P2530*COS(RADIANS(E2530)))/L2530</f>
        <v/>
      </c>
      <c r="T2530" s="8">
        <f>R2530/L2530</f>
        <v/>
      </c>
      <c r="U2530" s="8">
        <f>(Q2530-P2530*G2530*SIN(RADIANS(E2530)))/M2530</f>
        <v/>
      </c>
      <c r="V2530" s="8">
        <f>SQRT((S2530+U2530)^2+3*T2530^2)</f>
        <v/>
      </c>
      <c r="W2530" s="8">
        <f>V2530/AA2530</f>
        <v/>
      </c>
      <c r="X2530" s="27">
        <f>((3*10+H2530/COS(RADIANS(E2530)))*(3+3)+3*G2530*H2530)*2</f>
        <v/>
      </c>
      <c r="Y2530" s="28">
        <f>Z2530/X2530</f>
        <v/>
      </c>
      <c r="Z2530" s="29" t="n">
        <v>635.999925721153</v>
      </c>
      <c r="AA2530" s="20" t="n">
        <v>82.7963695703305</v>
      </c>
      <c r="AB2530" t="n">
        <v>0.09264934684375882</v>
      </c>
      <c r="AC2530" t="n">
        <v>81.71345769196876</v>
      </c>
      <c r="AD2530" t="n">
        <v>10.1345174076667</v>
      </c>
    </row>
    <row r="2531">
      <c r="A2531" t="n">
        <v>2530</v>
      </c>
      <c r="B2531" t="n">
        <v>62.2</v>
      </c>
      <c r="C2531" s="21">
        <f>B2531-20</f>
        <v/>
      </c>
      <c r="D2531" t="n">
        <v>121.2</v>
      </c>
      <c r="E2531" s="22">
        <f>D2531-90</f>
        <v/>
      </c>
      <c r="F2531" s="23" t="n">
        <v>0.014614</v>
      </c>
      <c r="G2531" s="22" t="n">
        <v>28.5</v>
      </c>
      <c r="H2531" s="22" t="n">
        <v>1.7</v>
      </c>
      <c r="I2531" s="24" t="n">
        <v>0.0675544068217277</v>
      </c>
      <c r="J2531" s="6" t="n">
        <v>71000</v>
      </c>
      <c r="K2531" s="25">
        <f>23*10^-6</f>
        <v/>
      </c>
      <c r="L2531" s="8">
        <f>H2531</f>
        <v/>
      </c>
      <c r="M2531" s="26">
        <f>H2531^2/6</f>
        <v/>
      </c>
      <c r="N2531" s="26">
        <f>H2531^3/12</f>
        <v/>
      </c>
      <c r="O2531" s="27">
        <f>-J2531*L2531*K2531*C2531</f>
        <v/>
      </c>
      <c r="P2531" s="28">
        <f>-(12*F2531*J2531*L2531*N2531+12*O2531*N2531*G2531*COS(RADIANS(E2531)))/(12*N2531*G2531*COS(RADIANS(E2531))^2+L2531*G2531^3*SIN(RADIANS(E2531))^2)</f>
        <v/>
      </c>
      <c r="Q2531" s="28">
        <f>-(6*F2531*J2531*L2531*N2531*SIN(RADIANS(E2531))+6*O2531*N2531*G2531*SIN(RADIANS(E2531))*COS(RADIANS(E2531)))/(12*N2531*COS(RADIANS(E2531))^2+L2531*G2531^2*SIN(RADIANS(E2531))^2)</f>
        <v/>
      </c>
      <c r="R2531" s="28">
        <f>-P2531*SIN(RADIANS(E2531))</f>
        <v/>
      </c>
      <c r="S2531" s="8">
        <f>(O2531+P2531*COS(RADIANS(E2531)))/L2531</f>
        <v/>
      </c>
      <c r="T2531" s="8">
        <f>R2531/L2531</f>
        <v/>
      </c>
      <c r="U2531" s="8">
        <f>(Q2531-P2531*G2531*SIN(RADIANS(E2531)))/M2531</f>
        <v/>
      </c>
      <c r="V2531" s="8">
        <f>SQRT((S2531+U2531)^2+3*T2531^2)</f>
        <v/>
      </c>
      <c r="W2531" s="8">
        <f>V2531/AA2531</f>
        <v/>
      </c>
      <c r="X2531" s="27">
        <f>((3*10+H2531/COS(RADIANS(E2531)))*(3+3)+3*G2531*H2531)*2</f>
        <v/>
      </c>
      <c r="Y2531" s="28">
        <f>Z2531/X2531</f>
        <v/>
      </c>
      <c r="Z2531" s="29" t="n">
        <v>682.041339431498</v>
      </c>
      <c r="AA2531" s="20" t="n">
        <v>65.1746939120074</v>
      </c>
      <c r="AB2531" t="n">
        <v>0.07669994546324624</v>
      </c>
      <c r="AC2531" t="n">
        <v>62.81386216328286</v>
      </c>
      <c r="AD2531" t="n">
        <v>13.53803411471454</v>
      </c>
    </row>
    <row r="2532">
      <c r="A2532" t="n">
        <v>2531</v>
      </c>
      <c r="B2532" t="n">
        <v>68.90000000000001</v>
      </c>
      <c r="C2532" s="21">
        <f>B2532-20</f>
        <v/>
      </c>
      <c r="D2532" t="n">
        <v>105.5</v>
      </c>
      <c r="E2532" s="22">
        <f>D2532-90</f>
        <v/>
      </c>
      <c r="F2532" s="23" t="n">
        <v>0.014948</v>
      </c>
      <c r="G2532" s="22" t="n">
        <v>21.6</v>
      </c>
      <c r="H2532" s="22" t="n">
        <v>1.1</v>
      </c>
      <c r="I2532" s="24" t="n">
        <v>0.107808254659175</v>
      </c>
      <c r="J2532" s="6" t="n">
        <v>71000</v>
      </c>
      <c r="K2532" s="25">
        <f>23*10^-6</f>
        <v/>
      </c>
      <c r="L2532" s="8">
        <f>H2532</f>
        <v/>
      </c>
      <c r="M2532" s="26">
        <f>H2532^2/6</f>
        <v/>
      </c>
      <c r="N2532" s="26">
        <f>H2532^3/12</f>
        <v/>
      </c>
      <c r="O2532" s="27">
        <f>-J2532*L2532*K2532*C2532</f>
        <v/>
      </c>
      <c r="P2532" s="28">
        <f>-(12*F2532*J2532*L2532*N2532+12*O2532*N2532*G2532*COS(RADIANS(E2532)))/(12*N2532*G2532*COS(RADIANS(E2532))^2+L2532*G2532^3*SIN(RADIANS(E2532))^2)</f>
        <v/>
      </c>
      <c r="Q2532" s="28">
        <f>-(6*F2532*J2532*L2532*N2532*SIN(RADIANS(E2532))+6*O2532*N2532*G2532*SIN(RADIANS(E2532))*COS(RADIANS(E2532)))/(12*N2532*COS(RADIANS(E2532))^2+L2532*G2532^2*SIN(RADIANS(E2532))^2)</f>
        <v/>
      </c>
      <c r="R2532" s="28">
        <f>-P2532*SIN(RADIANS(E2532))</f>
        <v/>
      </c>
      <c r="S2532" s="8">
        <f>(O2532+P2532*COS(RADIANS(E2532)))/L2532</f>
        <v/>
      </c>
      <c r="T2532" s="8">
        <f>R2532/L2532</f>
        <v/>
      </c>
      <c r="U2532" s="8">
        <f>(Q2532-P2532*G2532*SIN(RADIANS(E2532)))/M2532</f>
        <v/>
      </c>
      <c r="V2532" s="8">
        <f>SQRT((S2532+U2532)^2+3*T2532^2)</f>
        <v/>
      </c>
      <c r="W2532" s="8">
        <f>V2532/AA2532</f>
        <v/>
      </c>
      <c r="X2532" s="27">
        <f>((3*10+H2532/COS(RADIANS(E2532)))*(3+3)+3*G2532*H2532)*2</f>
        <v/>
      </c>
      <c r="Y2532" s="28">
        <f>Z2532/X2532</f>
        <v/>
      </c>
      <c r="Z2532" s="29" t="n">
        <v>520.597639746806</v>
      </c>
      <c r="AA2532" s="20" t="n">
        <v>72.3333524916814</v>
      </c>
      <c r="AB2532" t="n">
        <v>0.139947462110363</v>
      </c>
      <c r="AC2532" t="n">
        <v>77.55721464550322</v>
      </c>
      <c r="AD2532" t="n">
        <v>29.81145326282568</v>
      </c>
    </row>
    <row r="2533">
      <c r="A2533" t="n">
        <v>2532</v>
      </c>
      <c r="B2533" t="n">
        <v>60.1</v>
      </c>
      <c r="C2533" s="21">
        <f>B2533-20</f>
        <v/>
      </c>
      <c r="D2533" t="n">
        <v>114.6</v>
      </c>
      <c r="E2533" s="22">
        <f>D2533-90</f>
        <v/>
      </c>
      <c r="F2533" s="23" t="n">
        <v>0.014506</v>
      </c>
      <c r="G2533" s="22" t="n">
        <v>28.3</v>
      </c>
      <c r="H2533" s="22" t="n">
        <v>1.6</v>
      </c>
      <c r="I2533" s="24" t="n">
        <v>0.0750910714268684</v>
      </c>
      <c r="J2533" s="6" t="n">
        <v>71000</v>
      </c>
      <c r="K2533" s="25">
        <f>23*10^-6</f>
        <v/>
      </c>
      <c r="L2533" s="8">
        <f>H2533</f>
        <v/>
      </c>
      <c r="M2533" s="26">
        <f>H2533^2/6</f>
        <v/>
      </c>
      <c r="N2533" s="26">
        <f>H2533^3/12</f>
        <v/>
      </c>
      <c r="O2533" s="27">
        <f>-J2533*L2533*K2533*C2533</f>
        <v/>
      </c>
      <c r="P2533" s="28">
        <f>-(12*F2533*J2533*L2533*N2533+12*O2533*N2533*G2533*COS(RADIANS(E2533)))/(12*N2533*G2533*COS(RADIANS(E2533))^2+L2533*G2533^3*SIN(RADIANS(E2533))^2)</f>
        <v/>
      </c>
      <c r="Q2533" s="28">
        <f>-(6*F2533*J2533*L2533*N2533*SIN(RADIANS(E2533))+6*O2533*N2533*G2533*SIN(RADIANS(E2533))*COS(RADIANS(E2533)))/(12*N2533*COS(RADIANS(E2533))^2+L2533*G2533^2*SIN(RADIANS(E2533))^2)</f>
        <v/>
      </c>
      <c r="R2533" s="28">
        <f>-P2533*SIN(RADIANS(E2533))</f>
        <v/>
      </c>
      <c r="S2533" s="8">
        <f>(O2533+P2533*COS(RADIANS(E2533)))/L2533</f>
        <v/>
      </c>
      <c r="T2533" s="8">
        <f>R2533/L2533</f>
        <v/>
      </c>
      <c r="U2533" s="8">
        <f>(Q2533-P2533*G2533*SIN(RADIANS(E2533)))/M2533</f>
        <v/>
      </c>
      <c r="V2533" s="8">
        <f>SQRT((S2533+U2533)^2+3*T2533^2)</f>
        <v/>
      </c>
      <c r="W2533" s="8">
        <f>V2533/AA2533</f>
        <v/>
      </c>
      <c r="X2533" s="27">
        <f>((3*10+H2533/COS(RADIANS(E2533)))*(3+3)+3*G2533*H2533)*2</f>
        <v/>
      </c>
      <c r="Y2533" s="28">
        <f>Z2533/X2533</f>
        <v/>
      </c>
      <c r="Z2533" s="29" t="n">
        <v>658.626040705596</v>
      </c>
      <c r="AA2533" s="20" t="n">
        <v>62.1436483493499</v>
      </c>
      <c r="AB2533" t="n">
        <v>0.09286643028817169</v>
      </c>
      <c r="AC2533" t="n">
        <v>61.18574207188546</v>
      </c>
      <c r="AD2533" t="n">
        <v>23.67173423356306</v>
      </c>
    </row>
    <row r="2534">
      <c r="A2534" t="n">
        <v>2533</v>
      </c>
      <c r="B2534" t="n">
        <v>89.7</v>
      </c>
      <c r="C2534" s="21">
        <f>B2534-20</f>
        <v/>
      </c>
      <c r="D2534" t="n">
        <v>102.7</v>
      </c>
      <c r="E2534" s="22">
        <f>D2534-90</f>
        <v/>
      </c>
      <c r="F2534" s="23" t="n">
        <v>0.020658</v>
      </c>
      <c r="G2534" s="22" t="n">
        <v>20.5</v>
      </c>
      <c r="H2534" s="22" t="n">
        <v>1.2</v>
      </c>
      <c r="I2534" s="24" t="n">
        <v>0.170177370309829</v>
      </c>
      <c r="J2534" s="6" t="n">
        <v>71000</v>
      </c>
      <c r="K2534" s="25">
        <f>23*10^-6</f>
        <v/>
      </c>
      <c r="L2534" s="8">
        <f>H2534</f>
        <v/>
      </c>
      <c r="M2534" s="26">
        <f>H2534^2/6</f>
        <v/>
      </c>
      <c r="N2534" s="26">
        <f>H2534^3/12</f>
        <v/>
      </c>
      <c r="O2534" s="27">
        <f>-J2534*L2534*K2534*C2534</f>
        <v/>
      </c>
      <c r="P2534" s="28">
        <f>-(12*F2534*J2534*L2534*N2534+12*O2534*N2534*G2534*COS(RADIANS(E2534)))/(12*N2534*G2534*COS(RADIANS(E2534))^2+L2534*G2534^3*SIN(RADIANS(E2534))^2)</f>
        <v/>
      </c>
      <c r="Q2534" s="28">
        <f>-(6*F2534*J2534*L2534*N2534*SIN(RADIANS(E2534))+6*O2534*N2534*G2534*SIN(RADIANS(E2534))*COS(RADIANS(E2534)))/(12*N2534*COS(RADIANS(E2534))^2+L2534*G2534^2*SIN(RADIANS(E2534))^2)</f>
        <v/>
      </c>
      <c r="R2534" s="28">
        <f>-P2534*SIN(RADIANS(E2534))</f>
        <v/>
      </c>
      <c r="S2534" s="8">
        <f>(O2534+P2534*COS(RADIANS(E2534)))/L2534</f>
        <v/>
      </c>
      <c r="T2534" s="8">
        <f>R2534/L2534</f>
        <v/>
      </c>
      <c r="U2534" s="8">
        <f>(Q2534-P2534*G2534*SIN(RADIANS(E2534)))/M2534</f>
        <v/>
      </c>
      <c r="V2534" s="8">
        <f>SQRT((S2534+U2534)^2+3*T2534^2)</f>
        <v/>
      </c>
      <c r="W2534" s="8">
        <f>V2534/AA2534</f>
        <v/>
      </c>
      <c r="X2534" s="27">
        <f>((3*10+H2534/COS(RADIANS(E2534)))*(3+3)+3*G2534*H2534)*2</f>
        <v/>
      </c>
      <c r="Y2534" s="28">
        <f>Z2534/X2534</f>
        <v/>
      </c>
      <c r="Z2534" s="29" t="n">
        <v>526.396663978633</v>
      </c>
      <c r="AA2534" s="20" t="n">
        <v>108.813379261029</v>
      </c>
      <c r="AB2534" t="n">
        <v>0.2256144041127575</v>
      </c>
      <c r="AC2534" t="n">
        <v>115.8180637974172</v>
      </c>
      <c r="AD2534" t="n">
        <v>32.57603152640009</v>
      </c>
    </row>
    <row r="2535">
      <c r="A2535" t="n">
        <v>2534</v>
      </c>
      <c r="B2535" t="n">
        <v>42.9</v>
      </c>
      <c r="C2535" s="21">
        <f>B2535-20</f>
        <v/>
      </c>
      <c r="D2535" t="n">
        <v>113.2</v>
      </c>
      <c r="E2535" s="22">
        <f>D2535-90</f>
        <v/>
      </c>
      <c r="F2535" s="23" t="n">
        <v>0.007301</v>
      </c>
      <c r="G2535" s="22" t="n">
        <v>23.9</v>
      </c>
      <c r="H2535" s="22" t="n">
        <v>1.2</v>
      </c>
      <c r="I2535" s="24" t="n">
        <v>0.0400735065340995</v>
      </c>
      <c r="J2535" s="6" t="n">
        <v>71000</v>
      </c>
      <c r="K2535" s="25">
        <f>23*10^-6</f>
        <v/>
      </c>
      <c r="L2535" s="8">
        <f>H2535</f>
        <v/>
      </c>
      <c r="M2535" s="26">
        <f>H2535^2/6</f>
        <v/>
      </c>
      <c r="N2535" s="26">
        <f>H2535^3/12</f>
        <v/>
      </c>
      <c r="O2535" s="27">
        <f>-J2535*L2535*K2535*C2535</f>
        <v/>
      </c>
      <c r="P2535" s="28">
        <f>-(12*F2535*J2535*L2535*N2535+12*O2535*N2535*G2535*COS(RADIANS(E2535)))/(12*N2535*G2535*COS(RADIANS(E2535))^2+L2535*G2535^3*SIN(RADIANS(E2535))^2)</f>
        <v/>
      </c>
      <c r="Q2535" s="28">
        <f>-(6*F2535*J2535*L2535*N2535*SIN(RADIANS(E2535))+6*O2535*N2535*G2535*SIN(RADIANS(E2535))*COS(RADIANS(E2535)))/(12*N2535*COS(RADIANS(E2535))^2+L2535*G2535^2*SIN(RADIANS(E2535))^2)</f>
        <v/>
      </c>
      <c r="R2535" s="28">
        <f>-P2535*SIN(RADIANS(E2535))</f>
        <v/>
      </c>
      <c r="S2535" s="8">
        <f>(O2535+P2535*COS(RADIANS(E2535)))/L2535</f>
        <v/>
      </c>
      <c r="T2535" s="8">
        <f>R2535/L2535</f>
        <v/>
      </c>
      <c r="U2535" s="8">
        <f>(Q2535-P2535*G2535*SIN(RADIANS(E2535)))/M2535</f>
        <v/>
      </c>
      <c r="V2535" s="8">
        <f>SQRT((S2535+U2535)^2+3*T2535^2)</f>
        <v/>
      </c>
      <c r="W2535" s="8">
        <f>V2535/AA2535</f>
        <v/>
      </c>
      <c r="X2535" s="27">
        <f>((3*10+H2535/COS(RADIANS(E2535)))*(3+3)+3*G2535*H2535)*2</f>
        <v/>
      </c>
      <c r="Y2535" s="28">
        <f>Z2535/X2535</f>
        <v/>
      </c>
      <c r="Z2535" s="29" t="n">
        <v>553.292025188716</v>
      </c>
      <c r="AA2535" s="20" t="n">
        <v>33.4734631237338</v>
      </c>
      <c r="AB2535" t="n">
        <v>0.04828358604913877</v>
      </c>
      <c r="AC2535" t="n">
        <v>34.53836913681464</v>
      </c>
      <c r="AD2535" t="n">
        <v>20.48754956857373</v>
      </c>
    </row>
    <row r="2536">
      <c r="A2536" t="n">
        <v>2535</v>
      </c>
      <c r="B2536" t="n">
        <v>69.8</v>
      </c>
      <c r="C2536" s="21">
        <f>B2536-20</f>
        <v/>
      </c>
      <c r="D2536" t="n">
        <v>106.5</v>
      </c>
      <c r="E2536" s="22">
        <f>D2536-90</f>
        <v/>
      </c>
      <c r="F2536" s="23" t="n">
        <v>0.019464</v>
      </c>
      <c r="G2536" s="22" t="n">
        <v>29.5</v>
      </c>
      <c r="H2536" s="22" t="n">
        <v>1.8</v>
      </c>
      <c r="I2536" s="24" t="n">
        <v>0.12815973162651</v>
      </c>
      <c r="J2536" s="6" t="n">
        <v>71000</v>
      </c>
      <c r="K2536" s="25">
        <f>23*10^-6</f>
        <v/>
      </c>
      <c r="L2536" s="8">
        <f>H2536</f>
        <v/>
      </c>
      <c r="M2536" s="26">
        <f>H2536^2/6</f>
        <v/>
      </c>
      <c r="N2536" s="26">
        <f>H2536^3/12</f>
        <v/>
      </c>
      <c r="O2536" s="27">
        <f>-J2536*L2536*K2536*C2536</f>
        <v/>
      </c>
      <c r="P2536" s="28">
        <f>-(12*F2536*J2536*L2536*N2536+12*O2536*N2536*G2536*COS(RADIANS(E2536)))/(12*N2536*G2536*COS(RADIANS(E2536))^2+L2536*G2536^3*SIN(RADIANS(E2536))^2)</f>
        <v/>
      </c>
      <c r="Q2536" s="28">
        <f>-(6*F2536*J2536*L2536*N2536*SIN(RADIANS(E2536))+6*O2536*N2536*G2536*SIN(RADIANS(E2536))*COS(RADIANS(E2536)))/(12*N2536*COS(RADIANS(E2536))^2+L2536*G2536^2*SIN(RADIANS(E2536))^2)</f>
        <v/>
      </c>
      <c r="R2536" s="28">
        <f>-P2536*SIN(RADIANS(E2536))</f>
        <v/>
      </c>
      <c r="S2536" s="8">
        <f>(O2536+P2536*COS(RADIANS(E2536)))/L2536</f>
        <v/>
      </c>
      <c r="T2536" s="8">
        <f>R2536/L2536</f>
        <v/>
      </c>
      <c r="U2536" s="8">
        <f>(Q2536-P2536*G2536*SIN(RADIANS(E2536)))/M2536</f>
        <v/>
      </c>
      <c r="V2536" s="8">
        <f>SQRT((S2536+U2536)^2+3*T2536^2)</f>
        <v/>
      </c>
      <c r="W2536" s="8">
        <f>V2536/AA2536</f>
        <v/>
      </c>
      <c r="X2536" s="27">
        <f>((3*10+H2536/COS(RADIANS(E2536)))*(3+3)+3*G2536*H2536)*2</f>
        <v/>
      </c>
      <c r="Y2536" s="28">
        <f>Z2536/X2536</f>
        <v/>
      </c>
      <c r="Z2536" s="29" t="n">
        <v>705.592099806849</v>
      </c>
      <c r="AA2536" s="20" t="n">
        <v>83.2678852336111</v>
      </c>
      <c r="AB2536" t="n">
        <v>0.1769285969386022</v>
      </c>
      <c r="AC2536" t="n">
        <v>81.6317483157142</v>
      </c>
      <c r="AD2536" t="n">
        <v>38.05318932331803</v>
      </c>
    </row>
    <row r="2537">
      <c r="A2537" t="n">
        <v>2536</v>
      </c>
      <c r="B2537" t="n">
        <v>55.6</v>
      </c>
      <c r="C2537" s="21">
        <f>B2537-20</f>
        <v/>
      </c>
      <c r="D2537" t="n">
        <v>120.1</v>
      </c>
      <c r="E2537" s="22">
        <f>D2537-90</f>
        <v/>
      </c>
      <c r="F2537" s="23" t="n">
        <v>0.012266</v>
      </c>
      <c r="G2537" s="22" t="n">
        <v>28</v>
      </c>
      <c r="H2537" s="22" t="n">
        <v>1.9</v>
      </c>
      <c r="I2537" s="24" t="n">
        <v>0.0576658211648464</v>
      </c>
      <c r="J2537" s="6" t="n">
        <v>71000</v>
      </c>
      <c r="K2537" s="25">
        <f>23*10^-6</f>
        <v/>
      </c>
      <c r="L2537" s="8">
        <f>H2537</f>
        <v/>
      </c>
      <c r="M2537" s="26">
        <f>H2537^2/6</f>
        <v/>
      </c>
      <c r="N2537" s="26">
        <f>H2537^3/12</f>
        <v/>
      </c>
      <c r="O2537" s="27">
        <f>-J2537*L2537*K2537*C2537</f>
        <v/>
      </c>
      <c r="P2537" s="28">
        <f>-(12*F2537*J2537*L2537*N2537+12*O2537*N2537*G2537*COS(RADIANS(E2537)))/(12*N2537*G2537*COS(RADIANS(E2537))^2+L2537*G2537^3*SIN(RADIANS(E2537))^2)</f>
        <v/>
      </c>
      <c r="Q2537" s="28">
        <f>-(6*F2537*J2537*L2537*N2537*SIN(RADIANS(E2537))+6*O2537*N2537*G2537*SIN(RADIANS(E2537))*COS(RADIANS(E2537)))/(12*N2537*COS(RADIANS(E2537))^2+L2537*G2537^2*SIN(RADIANS(E2537))^2)</f>
        <v/>
      </c>
      <c r="R2537" s="28">
        <f>-P2537*SIN(RADIANS(E2537))</f>
        <v/>
      </c>
      <c r="S2537" s="8">
        <f>(O2537+P2537*COS(RADIANS(E2537)))/L2537</f>
        <v/>
      </c>
      <c r="T2537" s="8">
        <f>R2537/L2537</f>
        <v/>
      </c>
      <c r="U2537" s="8">
        <f>(Q2537-P2537*G2537*SIN(RADIANS(E2537)))/M2537</f>
        <v/>
      </c>
      <c r="V2537" s="8">
        <f>SQRT((S2537+U2537)^2+3*T2537^2)</f>
        <v/>
      </c>
      <c r="W2537" s="8">
        <f>V2537/AA2537</f>
        <v/>
      </c>
      <c r="X2537" s="27">
        <f>((3*10+H2537/COS(RADIANS(E2537)))*(3+3)+3*G2537*H2537)*2</f>
        <v/>
      </c>
      <c r="Y2537" s="28">
        <f>Z2537/X2537</f>
        <v/>
      </c>
      <c r="Z2537" s="29" t="n">
        <v>712.728206227672</v>
      </c>
      <c r="AA2537" s="20" t="n">
        <v>57.7478646092147</v>
      </c>
      <c r="AB2537" t="n">
        <v>0.06587487265707553</v>
      </c>
      <c r="AC2537" t="n">
        <v>53.88981184666447</v>
      </c>
      <c r="AD2537" t="n">
        <v>14.23555812855301</v>
      </c>
    </row>
    <row r="2538">
      <c r="A2538" t="n">
        <v>2537</v>
      </c>
      <c r="B2538" t="n">
        <v>75.7</v>
      </c>
      <c r="C2538" s="21">
        <f>B2538-20</f>
        <v/>
      </c>
      <c r="D2538" t="n">
        <v>129.9</v>
      </c>
      <c r="E2538" s="22">
        <f>D2538-90</f>
        <v/>
      </c>
      <c r="F2538" s="23" t="n">
        <v>0.016914</v>
      </c>
      <c r="G2538" s="22" t="n">
        <v>26.9</v>
      </c>
      <c r="H2538" s="22" t="n">
        <v>1</v>
      </c>
      <c r="I2538" s="24" t="n">
        <v>0.0735770836472511</v>
      </c>
      <c r="J2538" s="6" t="n">
        <v>71000</v>
      </c>
      <c r="K2538" s="25">
        <f>23*10^-6</f>
        <v/>
      </c>
      <c r="L2538" s="8">
        <f>H2538</f>
        <v/>
      </c>
      <c r="M2538" s="26">
        <f>H2538^2/6</f>
        <v/>
      </c>
      <c r="N2538" s="26">
        <f>H2538^3/12</f>
        <v/>
      </c>
      <c r="O2538" s="27">
        <f>-J2538*L2538*K2538*C2538</f>
        <v/>
      </c>
      <c r="P2538" s="28">
        <f>-(12*F2538*J2538*L2538*N2538+12*O2538*N2538*G2538*COS(RADIANS(E2538)))/(12*N2538*G2538*COS(RADIANS(E2538))^2+L2538*G2538^3*SIN(RADIANS(E2538))^2)</f>
        <v/>
      </c>
      <c r="Q2538" s="28">
        <f>-(6*F2538*J2538*L2538*N2538*SIN(RADIANS(E2538))+6*O2538*N2538*G2538*SIN(RADIANS(E2538))*COS(RADIANS(E2538)))/(12*N2538*COS(RADIANS(E2538))^2+L2538*G2538^2*SIN(RADIANS(E2538))^2)</f>
        <v/>
      </c>
      <c r="R2538" s="28">
        <f>-P2538*SIN(RADIANS(E2538))</f>
        <v/>
      </c>
      <c r="S2538" s="8">
        <f>(O2538+P2538*COS(RADIANS(E2538)))/L2538</f>
        <v/>
      </c>
      <c r="T2538" s="8">
        <f>R2538/L2538</f>
        <v/>
      </c>
      <c r="U2538" s="8">
        <f>(Q2538-P2538*G2538*SIN(RADIANS(E2538)))/M2538</f>
        <v/>
      </c>
      <c r="V2538" s="8">
        <f>SQRT((S2538+U2538)^2+3*T2538^2)</f>
        <v/>
      </c>
      <c r="W2538" s="8">
        <f>V2538/AA2538</f>
        <v/>
      </c>
      <c r="X2538" s="27">
        <f>((3*10+H2538/COS(RADIANS(E2538)))*(3+3)+3*G2538*H2538)*2</f>
        <v/>
      </c>
      <c r="Y2538" s="28">
        <f>Z2538/X2538</f>
        <v/>
      </c>
      <c r="Z2538" s="29" t="n">
        <v>547.759639925635</v>
      </c>
      <c r="AA2538" s="20" t="n">
        <v>71.0514133411222</v>
      </c>
      <c r="AB2538" t="n">
        <v>0.07377942457983877</v>
      </c>
      <c r="AC2538" t="n">
        <v>78.34626173675265</v>
      </c>
      <c r="AD2538" t="n">
        <v>0.275005371995644</v>
      </c>
    </row>
    <row r="2539">
      <c r="A2539" t="n">
        <v>2538</v>
      </c>
      <c r="B2539" t="n">
        <v>57.9</v>
      </c>
      <c r="C2539" s="21">
        <f>B2539-20</f>
        <v/>
      </c>
      <c r="D2539" t="n">
        <v>129.4</v>
      </c>
      <c r="E2539" s="22">
        <f>D2539-90</f>
        <v/>
      </c>
      <c r="F2539" s="23" t="n">
        <v>0.012408</v>
      </c>
      <c r="G2539" s="22" t="n">
        <v>29.4</v>
      </c>
      <c r="H2539" s="22" t="n">
        <v>1.2</v>
      </c>
      <c r="I2539" s="24" t="n">
        <v>0.0534474216401577</v>
      </c>
      <c r="J2539" s="6" t="n">
        <v>71000</v>
      </c>
      <c r="K2539" s="25">
        <f>23*10^-6</f>
        <v/>
      </c>
      <c r="L2539" s="8">
        <f>H2539</f>
        <v/>
      </c>
      <c r="M2539" s="26">
        <f>H2539^2/6</f>
        <v/>
      </c>
      <c r="N2539" s="26">
        <f>H2539^3/12</f>
        <v/>
      </c>
      <c r="O2539" s="27">
        <f>-J2539*L2539*K2539*C2539</f>
        <v/>
      </c>
      <c r="P2539" s="28">
        <f>-(12*F2539*J2539*L2539*N2539+12*O2539*N2539*G2539*COS(RADIANS(E2539)))/(12*N2539*G2539*COS(RADIANS(E2539))^2+L2539*G2539^3*SIN(RADIANS(E2539))^2)</f>
        <v/>
      </c>
      <c r="Q2539" s="28">
        <f>-(6*F2539*J2539*L2539*N2539*SIN(RADIANS(E2539))+6*O2539*N2539*G2539*SIN(RADIANS(E2539))*COS(RADIANS(E2539)))/(12*N2539*COS(RADIANS(E2539))^2+L2539*G2539^2*SIN(RADIANS(E2539))^2)</f>
        <v/>
      </c>
      <c r="R2539" s="28">
        <f>-P2539*SIN(RADIANS(E2539))</f>
        <v/>
      </c>
      <c r="S2539" s="8">
        <f>(O2539+P2539*COS(RADIANS(E2539)))/L2539</f>
        <v/>
      </c>
      <c r="T2539" s="8">
        <f>R2539/L2539</f>
        <v/>
      </c>
      <c r="U2539" s="8">
        <f>(Q2539-P2539*G2539*SIN(RADIANS(E2539)))/M2539</f>
        <v/>
      </c>
      <c r="V2539" s="8">
        <f>SQRT((S2539+U2539)^2+3*T2539^2)</f>
        <v/>
      </c>
      <c r="W2539" s="8">
        <f>V2539/AA2539</f>
        <v/>
      </c>
      <c r="X2539" s="27">
        <f>((3*10+H2539/COS(RADIANS(E2539)))*(3+3)+3*G2539*H2539)*2</f>
        <v/>
      </c>
      <c r="Y2539" s="28">
        <f>Z2539/X2539</f>
        <v/>
      </c>
      <c r="Z2539" s="29" t="n">
        <v>600.807341833261</v>
      </c>
      <c r="AA2539" s="20" t="n">
        <v>50.8743616141666</v>
      </c>
      <c r="AB2539" t="n">
        <v>0.05532021528906957</v>
      </c>
      <c r="AC2539" t="n">
        <v>53.68435734320362</v>
      </c>
      <c r="AD2539" t="n">
        <v>3.50399250598226</v>
      </c>
    </row>
    <row r="2540">
      <c r="A2540" t="n">
        <v>2539</v>
      </c>
      <c r="B2540" t="n">
        <v>61.2</v>
      </c>
      <c r="C2540" s="21">
        <f>B2540-20</f>
        <v/>
      </c>
      <c r="D2540" t="n">
        <v>100.3</v>
      </c>
      <c r="E2540" s="22">
        <f>D2540-90</f>
        <v/>
      </c>
      <c r="F2540" s="23" t="n">
        <v>0.012107</v>
      </c>
      <c r="G2540" s="22" t="n">
        <v>20.1</v>
      </c>
      <c r="H2540" s="22" t="n">
        <v>1.2</v>
      </c>
      <c r="I2540" s="24" t="n">
        <v>0.114345602691173</v>
      </c>
      <c r="J2540" s="6" t="n">
        <v>71000</v>
      </c>
      <c r="K2540" s="25">
        <f>23*10^-6</f>
        <v/>
      </c>
      <c r="L2540" s="8">
        <f>H2540</f>
        <v/>
      </c>
      <c r="M2540" s="26">
        <f>H2540^2/6</f>
        <v/>
      </c>
      <c r="N2540" s="26">
        <f>H2540^3/12</f>
        <v/>
      </c>
      <c r="O2540" s="27">
        <f>-J2540*L2540*K2540*C2540</f>
        <v/>
      </c>
      <c r="P2540" s="28">
        <f>-(12*F2540*J2540*L2540*N2540+12*O2540*N2540*G2540*COS(RADIANS(E2540)))/(12*N2540*G2540*COS(RADIANS(E2540))^2+L2540*G2540^3*SIN(RADIANS(E2540))^2)</f>
        <v/>
      </c>
      <c r="Q2540" s="28">
        <f>-(6*F2540*J2540*L2540*N2540*SIN(RADIANS(E2540))+6*O2540*N2540*G2540*SIN(RADIANS(E2540))*COS(RADIANS(E2540)))/(12*N2540*COS(RADIANS(E2540))^2+L2540*G2540^2*SIN(RADIANS(E2540))^2)</f>
        <v/>
      </c>
      <c r="R2540" s="28">
        <f>-P2540*SIN(RADIANS(E2540))</f>
        <v/>
      </c>
      <c r="S2540" s="8">
        <f>(O2540+P2540*COS(RADIANS(E2540)))/L2540</f>
        <v/>
      </c>
      <c r="T2540" s="8">
        <f>R2540/L2540</f>
        <v/>
      </c>
      <c r="U2540" s="8">
        <f>(Q2540-P2540*G2540*SIN(RADIANS(E2540)))/M2540</f>
        <v/>
      </c>
      <c r="V2540" s="8">
        <f>SQRT((S2540+U2540)^2+3*T2540^2)</f>
        <v/>
      </c>
      <c r="W2540" s="8">
        <f>V2540/AA2540</f>
        <v/>
      </c>
      <c r="X2540" s="27">
        <f>((3*10+H2540/COS(RADIANS(E2540)))*(3+3)+3*G2540*H2540)*2</f>
        <v/>
      </c>
      <c r="Y2540" s="28">
        <f>Z2540/X2540</f>
        <v/>
      </c>
      <c r="Z2540" s="29" t="n">
        <v>523.182579435182</v>
      </c>
      <c r="AA2540" s="20" t="n">
        <v>79.1445812633699</v>
      </c>
      <c r="AB2540" t="n">
        <v>0.1560619362809321</v>
      </c>
      <c r="AC2540" t="n">
        <v>70.85501054898691</v>
      </c>
      <c r="AD2540" t="n">
        <v>36.48267411071981</v>
      </c>
    </row>
    <row r="2541">
      <c r="A2541" t="n">
        <v>2540</v>
      </c>
      <c r="B2541" t="n">
        <v>89.7</v>
      </c>
      <c r="C2541" s="21">
        <f>B2541-20</f>
        <v/>
      </c>
      <c r="D2541" t="n">
        <v>115.6</v>
      </c>
      <c r="E2541" s="22">
        <f>D2541-90</f>
        <v/>
      </c>
      <c r="F2541" s="23" t="n">
        <v>0.02605</v>
      </c>
      <c r="G2541" s="22" t="n">
        <v>29.7</v>
      </c>
      <c r="H2541" s="22" t="n">
        <v>1.9</v>
      </c>
      <c r="I2541" s="24" t="n">
        <v>0.130998075008392</v>
      </c>
      <c r="J2541" s="6" t="n">
        <v>71000</v>
      </c>
      <c r="K2541" s="25">
        <f>23*10^-6</f>
        <v/>
      </c>
      <c r="L2541" s="8">
        <f>H2541</f>
        <v/>
      </c>
      <c r="M2541" s="26">
        <f>H2541^2/6</f>
        <v/>
      </c>
      <c r="N2541" s="26">
        <f>H2541^3/12</f>
        <v/>
      </c>
      <c r="O2541" s="27">
        <f>-J2541*L2541*K2541*C2541</f>
        <v/>
      </c>
      <c r="P2541" s="28">
        <f>-(12*F2541*J2541*L2541*N2541+12*O2541*N2541*G2541*COS(RADIANS(E2541)))/(12*N2541*G2541*COS(RADIANS(E2541))^2+L2541*G2541^3*SIN(RADIANS(E2541))^2)</f>
        <v/>
      </c>
      <c r="Q2541" s="28">
        <f>-(6*F2541*J2541*L2541*N2541*SIN(RADIANS(E2541))+6*O2541*N2541*G2541*SIN(RADIANS(E2541))*COS(RADIANS(E2541)))/(12*N2541*COS(RADIANS(E2541))^2+L2541*G2541^2*SIN(RADIANS(E2541))^2)</f>
        <v/>
      </c>
      <c r="R2541" s="28">
        <f>-P2541*SIN(RADIANS(E2541))</f>
        <v/>
      </c>
      <c r="S2541" s="8">
        <f>(O2541+P2541*COS(RADIANS(E2541)))/L2541</f>
        <v/>
      </c>
      <c r="T2541" s="8">
        <f>R2541/L2541</f>
        <v/>
      </c>
      <c r="U2541" s="8">
        <f>(Q2541-P2541*G2541*SIN(RADIANS(E2541)))/M2541</f>
        <v/>
      </c>
      <c r="V2541" s="8">
        <f>SQRT((S2541+U2541)^2+3*T2541^2)</f>
        <v/>
      </c>
      <c r="W2541" s="8">
        <f>V2541/AA2541</f>
        <v/>
      </c>
      <c r="X2541" s="27">
        <f>((3*10+H2541/COS(RADIANS(E2541)))*(3+3)+3*G2541*H2541)*2</f>
        <v/>
      </c>
      <c r="Y2541" s="28">
        <f>Z2541/X2541</f>
        <v/>
      </c>
      <c r="Z2541" s="29" t="n">
        <v>729.907965229298</v>
      </c>
      <c r="AA2541" s="20" t="n">
        <v>112.976270892227</v>
      </c>
      <c r="AB2541" t="n">
        <v>0.1614604290917844</v>
      </c>
      <c r="AC2541" t="n">
        <v>107.46261921377</v>
      </c>
      <c r="AD2541" t="n">
        <v>23.25404711591441</v>
      </c>
    </row>
    <row r="2542">
      <c r="A2542" t="n">
        <v>2541</v>
      </c>
      <c r="B2542" t="n">
        <v>63.4</v>
      </c>
      <c r="C2542" s="21">
        <f>B2542-20</f>
        <v/>
      </c>
      <c r="D2542" t="n">
        <v>119.8</v>
      </c>
      <c r="E2542" s="22">
        <f>D2542-90</f>
        <v/>
      </c>
      <c r="F2542" s="23" t="n">
        <v>0.014303</v>
      </c>
      <c r="G2542" s="22" t="n">
        <v>26.4</v>
      </c>
      <c r="H2542" s="22" t="n">
        <v>1.6</v>
      </c>
      <c r="I2542" s="24" t="n">
        <v>0.0681109428405761</v>
      </c>
      <c r="J2542" s="6" t="n">
        <v>71000</v>
      </c>
      <c r="K2542" s="25">
        <f>23*10^-6</f>
        <v/>
      </c>
      <c r="L2542" s="8">
        <f>H2542</f>
        <v/>
      </c>
      <c r="M2542" s="26">
        <f>H2542^2/6</f>
        <v/>
      </c>
      <c r="N2542" s="26">
        <f>H2542^3/12</f>
        <v/>
      </c>
      <c r="O2542" s="27">
        <f>-J2542*L2542*K2542*C2542</f>
        <v/>
      </c>
      <c r="P2542" s="28">
        <f>-(12*F2542*J2542*L2542*N2542+12*O2542*N2542*G2542*COS(RADIANS(E2542)))/(12*N2542*G2542*COS(RADIANS(E2542))^2+L2542*G2542^3*SIN(RADIANS(E2542))^2)</f>
        <v/>
      </c>
      <c r="Q2542" s="28">
        <f>-(6*F2542*J2542*L2542*N2542*SIN(RADIANS(E2542))+6*O2542*N2542*G2542*SIN(RADIANS(E2542))*COS(RADIANS(E2542)))/(12*N2542*COS(RADIANS(E2542))^2+L2542*G2542^2*SIN(RADIANS(E2542))^2)</f>
        <v/>
      </c>
      <c r="R2542" s="28">
        <f>-P2542*SIN(RADIANS(E2542))</f>
        <v/>
      </c>
      <c r="S2542" s="8">
        <f>(O2542+P2542*COS(RADIANS(E2542)))/L2542</f>
        <v/>
      </c>
      <c r="T2542" s="8">
        <f>R2542/L2542</f>
        <v/>
      </c>
      <c r="U2542" s="8">
        <f>(Q2542-P2542*G2542*SIN(RADIANS(E2542)))/M2542</f>
        <v/>
      </c>
      <c r="V2542" s="8">
        <f>SQRT((S2542+U2542)^2+3*T2542^2)</f>
        <v/>
      </c>
      <c r="W2542" s="8">
        <f>V2542/AA2542</f>
        <v/>
      </c>
      <c r="X2542" s="27">
        <f>((3*10+H2542/COS(RADIANS(E2542)))*(3+3)+3*G2542*H2542)*2</f>
        <v/>
      </c>
      <c r="Y2542" s="28">
        <f>Z2542/X2542</f>
        <v/>
      </c>
      <c r="Z2542" s="29" t="n">
        <v>642.656666763177</v>
      </c>
      <c r="AA2542" s="20" t="n">
        <v>66.79402076681831</v>
      </c>
      <c r="AB2542" t="n">
        <v>0.07704580848518292</v>
      </c>
      <c r="AC2542" t="n">
        <v>64.90443143950753</v>
      </c>
      <c r="AD2542" t="n">
        <v>13.11810594887845</v>
      </c>
    </row>
    <row r="2543">
      <c r="A2543" t="n">
        <v>2542</v>
      </c>
      <c r="B2543" t="n">
        <v>69.59999999999999</v>
      </c>
      <c r="C2543" s="21">
        <f>B2543-20</f>
        <v/>
      </c>
      <c r="D2543" t="n">
        <v>123.2</v>
      </c>
      <c r="E2543" s="22">
        <f>D2543-90</f>
        <v/>
      </c>
      <c r="F2543" s="23" t="n">
        <v>0.012997</v>
      </c>
      <c r="G2543" s="22" t="n">
        <v>20.3</v>
      </c>
      <c r="H2543" s="22" t="n">
        <v>1.4</v>
      </c>
      <c r="I2543" s="24" t="n">
        <v>0.0618955567479133</v>
      </c>
      <c r="J2543" s="6" t="n">
        <v>71000</v>
      </c>
      <c r="K2543" s="25">
        <f>23*10^-6</f>
        <v/>
      </c>
      <c r="L2543" s="8">
        <f>H2543</f>
        <v/>
      </c>
      <c r="M2543" s="26">
        <f>H2543^2/6</f>
        <v/>
      </c>
      <c r="N2543" s="26">
        <f>H2543^3/12</f>
        <v/>
      </c>
      <c r="O2543" s="27">
        <f>-J2543*L2543*K2543*C2543</f>
        <v/>
      </c>
      <c r="P2543" s="28">
        <f>-(12*F2543*J2543*L2543*N2543+12*O2543*N2543*G2543*COS(RADIANS(E2543)))/(12*N2543*G2543*COS(RADIANS(E2543))^2+L2543*G2543^3*SIN(RADIANS(E2543))^2)</f>
        <v/>
      </c>
      <c r="Q2543" s="28">
        <f>-(6*F2543*J2543*L2543*N2543*SIN(RADIANS(E2543))+6*O2543*N2543*G2543*SIN(RADIANS(E2543))*COS(RADIANS(E2543)))/(12*N2543*COS(RADIANS(E2543))^2+L2543*G2543^2*SIN(RADIANS(E2543))^2)</f>
        <v/>
      </c>
      <c r="R2543" s="28">
        <f>-P2543*SIN(RADIANS(E2543))</f>
        <v/>
      </c>
      <c r="S2543" s="8">
        <f>(O2543+P2543*COS(RADIANS(E2543)))/L2543</f>
        <v/>
      </c>
      <c r="T2543" s="8">
        <f>R2543/L2543</f>
        <v/>
      </c>
      <c r="U2543" s="8">
        <f>(Q2543-P2543*G2543*SIN(RADIANS(E2543)))/M2543</f>
        <v/>
      </c>
      <c r="V2543" s="8">
        <f>SQRT((S2543+U2543)^2+3*T2543^2)</f>
        <v/>
      </c>
      <c r="W2543" s="8">
        <f>V2543/AA2543</f>
        <v/>
      </c>
      <c r="X2543" s="27">
        <f>((3*10+H2543/COS(RADIANS(E2543)))*(3+3)+3*G2543*H2543)*2</f>
        <v/>
      </c>
      <c r="Y2543" s="28">
        <f>Z2543/X2543</f>
        <v/>
      </c>
      <c r="Z2543" s="29" t="n">
        <v>558.712878966139</v>
      </c>
      <c r="AA2543" s="20" t="n">
        <v>75.2574362543351</v>
      </c>
      <c r="AB2543" t="n">
        <v>0.06137913858844276</v>
      </c>
      <c r="AC2543" t="n">
        <v>73.23755619217917</v>
      </c>
      <c r="AD2543" t="n">
        <v>-0.8343380148817365</v>
      </c>
    </row>
    <row r="2544">
      <c r="A2544" t="n">
        <v>2543</v>
      </c>
      <c r="B2544" t="n">
        <v>49.6</v>
      </c>
      <c r="C2544" s="21">
        <f>B2544-20</f>
        <v/>
      </c>
      <c r="D2544" t="n">
        <v>125.4</v>
      </c>
      <c r="E2544" s="22">
        <f>D2544-90</f>
        <v/>
      </c>
      <c r="F2544" s="23" t="n">
        <v>0.011157</v>
      </c>
      <c r="G2544" s="22" t="n">
        <v>33.2</v>
      </c>
      <c r="H2544" s="22" t="n">
        <v>1.8</v>
      </c>
      <c r="I2544" s="24" t="n">
        <v>0.0484275557100772</v>
      </c>
      <c r="J2544" s="6" t="n">
        <v>71000</v>
      </c>
      <c r="K2544" s="25">
        <f>23*10^-6</f>
        <v/>
      </c>
      <c r="L2544" s="8">
        <f>H2544</f>
        <v/>
      </c>
      <c r="M2544" s="26">
        <f>H2544^2/6</f>
        <v/>
      </c>
      <c r="N2544" s="26">
        <f>H2544^3/12</f>
        <v/>
      </c>
      <c r="O2544" s="27">
        <f>-J2544*L2544*K2544*C2544</f>
        <v/>
      </c>
      <c r="P2544" s="28">
        <f>-(12*F2544*J2544*L2544*N2544+12*O2544*N2544*G2544*COS(RADIANS(E2544)))/(12*N2544*G2544*COS(RADIANS(E2544))^2+L2544*G2544^3*SIN(RADIANS(E2544))^2)</f>
        <v/>
      </c>
      <c r="Q2544" s="28">
        <f>-(6*F2544*J2544*L2544*N2544*SIN(RADIANS(E2544))+6*O2544*N2544*G2544*SIN(RADIANS(E2544))*COS(RADIANS(E2544)))/(12*N2544*COS(RADIANS(E2544))^2+L2544*G2544^2*SIN(RADIANS(E2544))^2)</f>
        <v/>
      </c>
      <c r="R2544" s="28">
        <f>-P2544*SIN(RADIANS(E2544))</f>
        <v/>
      </c>
      <c r="S2544" s="8">
        <f>(O2544+P2544*COS(RADIANS(E2544)))/L2544</f>
        <v/>
      </c>
      <c r="T2544" s="8">
        <f>R2544/L2544</f>
        <v/>
      </c>
      <c r="U2544" s="8">
        <f>(Q2544-P2544*G2544*SIN(RADIANS(E2544)))/M2544</f>
        <v/>
      </c>
      <c r="V2544" s="8">
        <f>SQRT((S2544+U2544)^2+3*T2544^2)</f>
        <v/>
      </c>
      <c r="W2544" s="8">
        <f>V2544/AA2544</f>
        <v/>
      </c>
      <c r="X2544" s="27">
        <f>((3*10+H2544/COS(RADIANS(E2544)))*(3+3)+3*G2544*H2544)*2</f>
        <v/>
      </c>
      <c r="Y2544" s="28">
        <f>Z2544/X2544</f>
        <v/>
      </c>
      <c r="Z2544" s="29" t="n">
        <v>753.935777646263</v>
      </c>
      <c r="AA2544" s="20" t="n">
        <v>44.761481025142</v>
      </c>
      <c r="AB2544" t="n">
        <v>0.05435453905630797</v>
      </c>
      <c r="AC2544" t="n">
        <v>43.23420239296434</v>
      </c>
      <c r="AD2544" t="n">
        <v>12.2388653718433</v>
      </c>
    </row>
    <row r="2545">
      <c r="A2545" t="n">
        <v>2544</v>
      </c>
      <c r="B2545" t="n">
        <v>74</v>
      </c>
      <c r="C2545" s="21">
        <f>B2545-20</f>
        <v/>
      </c>
      <c r="D2545" t="n">
        <v>111</v>
      </c>
      <c r="E2545" s="22">
        <f>D2545-90</f>
        <v/>
      </c>
      <c r="F2545" s="23" t="n">
        <v>0.02036</v>
      </c>
      <c r="G2545" s="22" t="n">
        <v>29</v>
      </c>
      <c r="H2545" s="22" t="n">
        <v>2</v>
      </c>
      <c r="I2545" s="24" t="n">
        <v>0.114636428654193</v>
      </c>
      <c r="J2545" s="6" t="n">
        <v>71000</v>
      </c>
      <c r="K2545" s="25">
        <f>23*10^-6</f>
        <v/>
      </c>
      <c r="L2545" s="8">
        <f>H2545</f>
        <v/>
      </c>
      <c r="M2545" s="26">
        <f>H2545^2/6</f>
        <v/>
      </c>
      <c r="N2545" s="26">
        <f>H2545^3/12</f>
        <v/>
      </c>
      <c r="O2545" s="27">
        <f>-J2545*L2545*K2545*C2545</f>
        <v/>
      </c>
      <c r="P2545" s="28">
        <f>-(12*F2545*J2545*L2545*N2545+12*O2545*N2545*G2545*COS(RADIANS(E2545)))/(12*N2545*G2545*COS(RADIANS(E2545))^2+L2545*G2545^3*SIN(RADIANS(E2545))^2)</f>
        <v/>
      </c>
      <c r="Q2545" s="28">
        <f>-(6*F2545*J2545*L2545*N2545*SIN(RADIANS(E2545))+6*O2545*N2545*G2545*SIN(RADIANS(E2545))*COS(RADIANS(E2545)))/(12*N2545*COS(RADIANS(E2545))^2+L2545*G2545^2*SIN(RADIANS(E2545))^2)</f>
        <v/>
      </c>
      <c r="R2545" s="28">
        <f>-P2545*SIN(RADIANS(E2545))</f>
        <v/>
      </c>
      <c r="S2545" s="8">
        <f>(O2545+P2545*COS(RADIANS(E2545)))/L2545</f>
        <v/>
      </c>
      <c r="T2545" s="8">
        <f>R2545/L2545</f>
        <v/>
      </c>
      <c r="U2545" s="8">
        <f>(Q2545-P2545*G2545*SIN(RADIANS(E2545)))/M2545</f>
        <v/>
      </c>
      <c r="V2545" s="8">
        <f>SQRT((S2545+U2545)^2+3*T2545^2)</f>
        <v/>
      </c>
      <c r="W2545" s="8">
        <f>V2545/AA2545</f>
        <v/>
      </c>
      <c r="X2545" s="27">
        <f>((3*10+H2545/COS(RADIANS(E2545)))*(3+3)+3*G2545*H2545)*2</f>
        <v/>
      </c>
      <c r="Y2545" s="28">
        <f>Z2545/X2545</f>
        <v/>
      </c>
      <c r="Z2545" s="29" t="n">
        <v>738.848589080219</v>
      </c>
      <c r="AA2545" s="20" t="n">
        <v>91.7756969473792</v>
      </c>
      <c r="AB2545" t="n">
        <v>0.148500313985709</v>
      </c>
      <c r="AC2545" t="n">
        <v>86.57545916490177</v>
      </c>
      <c r="AD2545" t="n">
        <v>29.54024800761046</v>
      </c>
    </row>
    <row r="2546">
      <c r="A2546" t="n">
        <v>2545</v>
      </c>
      <c r="B2546" t="n">
        <v>86.90000000000001</v>
      </c>
      <c r="C2546" s="21">
        <f>B2546-20</f>
        <v/>
      </c>
      <c r="D2546" t="n">
        <v>104.7</v>
      </c>
      <c r="E2546" s="22">
        <f>D2546-90</f>
        <v/>
      </c>
      <c r="F2546" s="23" t="n">
        <v>0.024936</v>
      </c>
      <c r="G2546" s="22" t="n">
        <v>27.6</v>
      </c>
      <c r="H2546" s="22" t="n">
        <v>1.8</v>
      </c>
      <c r="I2546" s="24" t="n">
        <v>0.177993163466453</v>
      </c>
      <c r="J2546" s="6" t="n">
        <v>71000</v>
      </c>
      <c r="K2546" s="25">
        <f>23*10^-6</f>
        <v/>
      </c>
      <c r="L2546" s="8">
        <f>H2546</f>
        <v/>
      </c>
      <c r="M2546" s="26">
        <f>H2546^2/6</f>
        <v/>
      </c>
      <c r="N2546" s="26">
        <f>H2546^3/12</f>
        <v/>
      </c>
      <c r="O2546" s="27">
        <f>-J2546*L2546*K2546*C2546</f>
        <v/>
      </c>
      <c r="P2546" s="28">
        <f>-(12*F2546*J2546*L2546*N2546+12*O2546*N2546*G2546*COS(RADIANS(E2546)))/(12*N2546*G2546*COS(RADIANS(E2546))^2+L2546*G2546^3*SIN(RADIANS(E2546))^2)</f>
        <v/>
      </c>
      <c r="Q2546" s="28">
        <f>-(6*F2546*J2546*L2546*N2546*SIN(RADIANS(E2546))+6*O2546*N2546*G2546*SIN(RADIANS(E2546))*COS(RADIANS(E2546)))/(12*N2546*COS(RADIANS(E2546))^2+L2546*G2546^2*SIN(RADIANS(E2546))^2)</f>
        <v/>
      </c>
      <c r="R2546" s="28">
        <f>-P2546*SIN(RADIANS(E2546))</f>
        <v/>
      </c>
      <c r="S2546" s="8">
        <f>(O2546+P2546*COS(RADIANS(E2546)))/L2546</f>
        <v/>
      </c>
      <c r="T2546" s="8">
        <f>R2546/L2546</f>
        <v/>
      </c>
      <c r="U2546" s="8">
        <f>(Q2546-P2546*G2546*SIN(RADIANS(E2546)))/M2546</f>
        <v/>
      </c>
      <c r="V2546" s="8">
        <f>SQRT((S2546+U2546)^2+3*T2546^2)</f>
        <v/>
      </c>
      <c r="W2546" s="8">
        <f>V2546/AA2546</f>
        <v/>
      </c>
      <c r="X2546" s="27">
        <f>((3*10+H2546/COS(RADIANS(E2546)))*(3+3)+3*G2546*H2546)*2</f>
        <v/>
      </c>
      <c r="Y2546" s="28">
        <f>Z2546/X2546</f>
        <v/>
      </c>
      <c r="Z2546" s="29" t="n">
        <v>684.656728976357</v>
      </c>
      <c r="AA2546" s="20" t="n">
        <v>114.40049605157</v>
      </c>
      <c r="AB2546" t="n">
        <v>0.2467551519649474</v>
      </c>
      <c r="AC2546" t="n">
        <v>112.6034726623255</v>
      </c>
      <c r="AD2546" t="n">
        <v>38.63181436822668</v>
      </c>
    </row>
    <row r="2547">
      <c r="A2547" t="n">
        <v>2546</v>
      </c>
      <c r="B2547" t="n">
        <v>54.1</v>
      </c>
      <c r="C2547" s="21">
        <f>B2547-20</f>
        <v/>
      </c>
      <c r="D2547" t="n">
        <v>112.4</v>
      </c>
      <c r="E2547" s="22">
        <f>D2547-90</f>
        <v/>
      </c>
      <c r="F2547" s="23" t="n">
        <v>0.014013</v>
      </c>
      <c r="G2547" s="22" t="n">
        <v>32.5</v>
      </c>
      <c r="H2547" s="22" t="n">
        <v>2</v>
      </c>
      <c r="I2547" s="24" t="n">
        <v>0.07501741498708719</v>
      </c>
      <c r="J2547" s="6" t="n">
        <v>71000</v>
      </c>
      <c r="K2547" s="25">
        <f>23*10^-6</f>
        <v/>
      </c>
      <c r="L2547" s="8">
        <f>H2547</f>
        <v/>
      </c>
      <c r="M2547" s="26">
        <f>H2547^2/6</f>
        <v/>
      </c>
      <c r="N2547" s="26">
        <f>H2547^3/12</f>
        <v/>
      </c>
      <c r="O2547" s="27">
        <f>-J2547*L2547*K2547*C2547</f>
        <v/>
      </c>
      <c r="P2547" s="28">
        <f>-(12*F2547*J2547*L2547*N2547+12*O2547*N2547*G2547*COS(RADIANS(E2547)))/(12*N2547*G2547*COS(RADIANS(E2547))^2+L2547*G2547^3*SIN(RADIANS(E2547))^2)</f>
        <v/>
      </c>
      <c r="Q2547" s="28">
        <f>-(6*F2547*J2547*L2547*N2547*SIN(RADIANS(E2547))+6*O2547*N2547*G2547*SIN(RADIANS(E2547))*COS(RADIANS(E2547)))/(12*N2547*COS(RADIANS(E2547))^2+L2547*G2547^2*SIN(RADIANS(E2547))^2)</f>
        <v/>
      </c>
      <c r="R2547" s="28">
        <f>-P2547*SIN(RADIANS(E2547))</f>
        <v/>
      </c>
      <c r="S2547" s="8">
        <f>(O2547+P2547*COS(RADIANS(E2547)))/L2547</f>
        <v/>
      </c>
      <c r="T2547" s="8">
        <f>R2547/L2547</f>
        <v/>
      </c>
      <c r="U2547" s="8">
        <f>(Q2547-P2547*G2547*SIN(RADIANS(E2547)))/M2547</f>
        <v/>
      </c>
      <c r="V2547" s="8">
        <f>SQRT((S2547+U2547)^2+3*T2547^2)</f>
        <v/>
      </c>
      <c r="W2547" s="8">
        <f>V2547/AA2547</f>
        <v/>
      </c>
      <c r="X2547" s="27">
        <f>((3*10+H2547/COS(RADIANS(E2547)))*(3+3)+3*G2547*H2547)*2</f>
        <v/>
      </c>
      <c r="Y2547" s="28">
        <f>Z2547/X2547</f>
        <v/>
      </c>
      <c r="Z2547" s="29" t="n">
        <v>781.351000998236</v>
      </c>
      <c r="AA2547" s="20" t="n">
        <v>56.4785677600936</v>
      </c>
      <c r="AB2547" t="n">
        <v>0.09856258570398732</v>
      </c>
      <c r="AC2547" t="n">
        <v>53.53107310433955</v>
      </c>
      <c r="AD2547" t="n">
        <v>31.38627306866409</v>
      </c>
    </row>
    <row r="2548">
      <c r="A2548" t="n">
        <v>2547</v>
      </c>
      <c r="B2548" t="n">
        <v>76.8</v>
      </c>
      <c r="C2548" s="21">
        <f>B2548-20</f>
        <v/>
      </c>
      <c r="D2548" t="n">
        <v>100.4</v>
      </c>
      <c r="E2548" s="22">
        <f>D2548-90</f>
        <v/>
      </c>
      <c r="F2548" s="23" t="n">
        <v>0.0221</v>
      </c>
      <c r="G2548" s="22" t="n">
        <v>28.6</v>
      </c>
      <c r="H2548" s="22" t="n">
        <v>1.3</v>
      </c>
      <c r="I2548" s="24" t="n">
        <v>0.20733667910099</v>
      </c>
      <c r="J2548" s="6" t="n">
        <v>71000</v>
      </c>
      <c r="K2548" s="25">
        <f>23*10^-6</f>
        <v/>
      </c>
      <c r="L2548" s="8">
        <f>H2548</f>
        <v/>
      </c>
      <c r="M2548" s="26">
        <f>H2548^2/6</f>
        <v/>
      </c>
      <c r="N2548" s="26">
        <f>H2548^3/12</f>
        <v/>
      </c>
      <c r="O2548" s="27">
        <f>-J2548*L2548*K2548*C2548</f>
        <v/>
      </c>
      <c r="P2548" s="28">
        <f>-(12*F2548*J2548*L2548*N2548+12*O2548*N2548*G2548*COS(RADIANS(E2548)))/(12*N2548*G2548*COS(RADIANS(E2548))^2+L2548*G2548^3*SIN(RADIANS(E2548))^2)</f>
        <v/>
      </c>
      <c r="Q2548" s="28">
        <f>-(6*F2548*J2548*L2548*N2548*SIN(RADIANS(E2548))+6*O2548*N2548*G2548*SIN(RADIANS(E2548))*COS(RADIANS(E2548)))/(12*N2548*COS(RADIANS(E2548))^2+L2548*G2548^2*SIN(RADIANS(E2548))^2)</f>
        <v/>
      </c>
      <c r="R2548" s="28">
        <f>-P2548*SIN(RADIANS(E2548))</f>
        <v/>
      </c>
      <c r="S2548" s="8">
        <f>(O2548+P2548*COS(RADIANS(E2548)))/L2548</f>
        <v/>
      </c>
      <c r="T2548" s="8">
        <f>R2548/L2548</f>
        <v/>
      </c>
      <c r="U2548" s="8">
        <f>(Q2548-P2548*G2548*SIN(RADIANS(E2548)))/M2548</f>
        <v/>
      </c>
      <c r="V2548" s="8">
        <f>SQRT((S2548+U2548)^2+3*T2548^2)</f>
        <v/>
      </c>
      <c r="W2548" s="8">
        <f>V2548/AA2548</f>
        <v/>
      </c>
      <c r="X2548" s="27">
        <f>((3*10+H2548/COS(RADIANS(E2548)))*(3+3)+3*G2548*H2548)*2</f>
        <v/>
      </c>
      <c r="Y2548" s="28">
        <f>Z2548/X2548</f>
        <v/>
      </c>
      <c r="Z2548" s="29" t="n">
        <v>602.775065565008</v>
      </c>
      <c r="AA2548" s="20" t="n">
        <v>89.08608394122599</v>
      </c>
      <c r="AB2548" t="n">
        <v>0.3082338462066078</v>
      </c>
      <c r="AC2548" t="n">
        <v>95.82257395351225</v>
      </c>
      <c r="AD2548" t="n">
        <v>48.66344321858872</v>
      </c>
    </row>
    <row r="2549">
      <c r="A2549" t="n">
        <v>2548</v>
      </c>
      <c r="B2549" t="n">
        <v>48.5</v>
      </c>
      <c r="C2549" s="21">
        <f>B2549-20</f>
        <v/>
      </c>
      <c r="D2549" t="n">
        <v>120.9</v>
      </c>
      <c r="E2549" s="22">
        <f>D2549-90</f>
        <v/>
      </c>
      <c r="F2549" s="23" t="n">
        <v>0.010536</v>
      </c>
      <c r="G2549" s="22" t="n">
        <v>30.8</v>
      </c>
      <c r="H2549" s="22" t="n">
        <v>1.2</v>
      </c>
      <c r="I2549" s="24" t="n">
        <v>0.0482769720256328</v>
      </c>
      <c r="J2549" s="6" t="n">
        <v>71000</v>
      </c>
      <c r="K2549" s="25">
        <f>23*10^-6</f>
        <v/>
      </c>
      <c r="L2549" s="8">
        <f>H2549</f>
        <v/>
      </c>
      <c r="M2549" s="26">
        <f>H2549^2/6</f>
        <v/>
      </c>
      <c r="N2549" s="26">
        <f>H2549^3/12</f>
        <v/>
      </c>
      <c r="O2549" s="27">
        <f>-J2549*L2549*K2549*C2549</f>
        <v/>
      </c>
      <c r="P2549" s="28">
        <f>-(12*F2549*J2549*L2549*N2549+12*O2549*N2549*G2549*COS(RADIANS(E2549)))/(12*N2549*G2549*COS(RADIANS(E2549))^2+L2549*G2549^3*SIN(RADIANS(E2549))^2)</f>
        <v/>
      </c>
      <c r="Q2549" s="28">
        <f>-(6*F2549*J2549*L2549*N2549*SIN(RADIANS(E2549))+6*O2549*N2549*G2549*SIN(RADIANS(E2549))*COS(RADIANS(E2549)))/(12*N2549*COS(RADIANS(E2549))^2+L2549*G2549^2*SIN(RADIANS(E2549))^2)</f>
        <v/>
      </c>
      <c r="R2549" s="28">
        <f>-P2549*SIN(RADIANS(E2549))</f>
        <v/>
      </c>
      <c r="S2549" s="8">
        <f>(O2549+P2549*COS(RADIANS(E2549)))/L2549</f>
        <v/>
      </c>
      <c r="T2549" s="8">
        <f>R2549/L2549</f>
        <v/>
      </c>
      <c r="U2549" s="8">
        <f>(Q2549-P2549*G2549*SIN(RADIANS(E2549)))/M2549</f>
        <v/>
      </c>
      <c r="V2549" s="8">
        <f>SQRT((S2549+U2549)^2+3*T2549^2)</f>
        <v/>
      </c>
      <c r="W2549" s="8">
        <f>V2549/AA2549</f>
        <v/>
      </c>
      <c r="X2549" s="27">
        <f>((3*10+H2549/COS(RADIANS(E2549)))*(3+3)+3*G2549*H2549)*2</f>
        <v/>
      </c>
      <c r="Y2549" s="28">
        <f>Z2549/X2549</f>
        <v/>
      </c>
      <c r="Z2549" s="29" t="n">
        <v>605.945488765807</v>
      </c>
      <c r="AA2549" s="20" t="n">
        <v>39.3559295861707</v>
      </c>
      <c r="AB2549" t="n">
        <v>0.05665162097431046</v>
      </c>
      <c r="AC2549" t="n">
        <v>41.13250346505389</v>
      </c>
      <c r="AD2549" t="n">
        <v>17.34708826442369</v>
      </c>
    </row>
    <row r="2550">
      <c r="A2550" t="n">
        <v>2549</v>
      </c>
      <c r="B2550" t="n">
        <v>62.9</v>
      </c>
      <c r="C2550" s="21">
        <f>B2550-20</f>
        <v/>
      </c>
      <c r="D2550" t="n">
        <v>123.8</v>
      </c>
      <c r="E2550" s="22">
        <f>D2550-90</f>
        <v/>
      </c>
      <c r="F2550" s="23" t="n">
        <v>0.013623</v>
      </c>
      <c r="G2550" s="22" t="n">
        <v>26.3</v>
      </c>
      <c r="H2550" s="22" t="n">
        <v>1</v>
      </c>
      <c r="I2550" s="24" t="n">
        <v>0.0618089027702808</v>
      </c>
      <c r="J2550" s="6" t="n">
        <v>71000</v>
      </c>
      <c r="K2550" s="25">
        <f>23*10^-6</f>
        <v/>
      </c>
      <c r="L2550" s="8">
        <f>H2550</f>
        <v/>
      </c>
      <c r="M2550" s="26">
        <f>H2550^2/6</f>
        <v/>
      </c>
      <c r="N2550" s="26">
        <f>H2550^3/12</f>
        <v/>
      </c>
      <c r="O2550" s="27">
        <f>-J2550*L2550*K2550*C2550</f>
        <v/>
      </c>
      <c r="P2550" s="28">
        <f>-(12*F2550*J2550*L2550*N2550+12*O2550*N2550*G2550*COS(RADIANS(E2550)))/(12*N2550*G2550*COS(RADIANS(E2550))^2+L2550*G2550^3*SIN(RADIANS(E2550))^2)</f>
        <v/>
      </c>
      <c r="Q2550" s="28">
        <f>-(6*F2550*J2550*L2550*N2550*SIN(RADIANS(E2550))+6*O2550*N2550*G2550*SIN(RADIANS(E2550))*COS(RADIANS(E2550)))/(12*N2550*COS(RADIANS(E2550))^2+L2550*G2550^2*SIN(RADIANS(E2550))^2)</f>
        <v/>
      </c>
      <c r="R2550" s="28">
        <f>-P2550*SIN(RADIANS(E2550))</f>
        <v/>
      </c>
      <c r="S2550" s="8">
        <f>(O2550+P2550*COS(RADIANS(E2550)))/L2550</f>
        <v/>
      </c>
      <c r="T2550" s="8">
        <f>R2550/L2550</f>
        <v/>
      </c>
      <c r="U2550" s="8">
        <f>(Q2550-P2550*G2550*SIN(RADIANS(E2550)))/M2550</f>
        <v/>
      </c>
      <c r="V2550" s="8">
        <f>SQRT((S2550+U2550)^2+3*T2550^2)</f>
        <v/>
      </c>
      <c r="W2550" s="8">
        <f>V2550/AA2550</f>
        <v/>
      </c>
      <c r="X2550" s="27">
        <f>((3*10+H2550/COS(RADIANS(E2550)))*(3+3)+3*G2550*H2550)*2</f>
        <v/>
      </c>
      <c r="Y2550" s="28">
        <f>Z2550/X2550</f>
        <v/>
      </c>
      <c r="Z2550" s="29" t="n">
        <v>540.55573868022</v>
      </c>
      <c r="AA2550" s="20" t="n">
        <v>57.0379499907064</v>
      </c>
      <c r="AB2550" t="n">
        <v>0.06675283984164979</v>
      </c>
      <c r="AC2550" t="n">
        <v>61.15578560696562</v>
      </c>
      <c r="AD2550" t="n">
        <v>7.998745892227917</v>
      </c>
    </row>
    <row r="2551">
      <c r="A2551" t="n">
        <v>2550</v>
      </c>
      <c r="B2551" t="n">
        <v>48.2</v>
      </c>
      <c r="C2551" s="21">
        <f>B2551-20</f>
        <v/>
      </c>
      <c r="D2551" t="n">
        <v>125.3</v>
      </c>
      <c r="E2551" s="22">
        <f>D2551-90</f>
        <v/>
      </c>
      <c r="F2551" s="23" t="n">
        <v>0.010325</v>
      </c>
      <c r="G2551" s="22" t="n">
        <v>32</v>
      </c>
      <c r="H2551" s="22" t="n">
        <v>1.4</v>
      </c>
      <c r="I2551" s="24" t="n">
        <v>0.0450051687657833</v>
      </c>
      <c r="J2551" s="6" t="n">
        <v>71000</v>
      </c>
      <c r="K2551" s="25">
        <f>23*10^-6</f>
        <v/>
      </c>
      <c r="L2551" s="8">
        <f>H2551</f>
        <v/>
      </c>
      <c r="M2551" s="26">
        <f>H2551^2/6</f>
        <v/>
      </c>
      <c r="N2551" s="26">
        <f>H2551^3/12</f>
        <v/>
      </c>
      <c r="O2551" s="27">
        <f>-J2551*L2551*K2551*C2551</f>
        <v/>
      </c>
      <c r="P2551" s="28">
        <f>-(12*F2551*J2551*L2551*N2551+12*O2551*N2551*G2551*COS(RADIANS(E2551)))/(12*N2551*G2551*COS(RADIANS(E2551))^2+L2551*G2551^3*SIN(RADIANS(E2551))^2)</f>
        <v/>
      </c>
      <c r="Q2551" s="28">
        <f>-(6*F2551*J2551*L2551*N2551*SIN(RADIANS(E2551))+6*O2551*N2551*G2551*SIN(RADIANS(E2551))*COS(RADIANS(E2551)))/(12*N2551*COS(RADIANS(E2551))^2+L2551*G2551^2*SIN(RADIANS(E2551))^2)</f>
        <v/>
      </c>
      <c r="R2551" s="28">
        <f>-P2551*SIN(RADIANS(E2551))</f>
        <v/>
      </c>
      <c r="S2551" s="8">
        <f>(O2551+P2551*COS(RADIANS(E2551)))/L2551</f>
        <v/>
      </c>
      <c r="T2551" s="8">
        <f>R2551/L2551</f>
        <v/>
      </c>
      <c r="U2551" s="8">
        <f>(Q2551-P2551*G2551*SIN(RADIANS(E2551)))/M2551</f>
        <v/>
      </c>
      <c r="V2551" s="8">
        <f>SQRT((S2551+U2551)^2+3*T2551^2)</f>
        <v/>
      </c>
      <c r="W2551" s="8">
        <f>V2551/AA2551</f>
        <v/>
      </c>
      <c r="X2551" s="27">
        <f>((3*10+H2551/COS(RADIANS(E2551)))*(3+3)+3*G2551*H2551)*2</f>
        <v/>
      </c>
      <c r="Y2551" s="28">
        <f>Z2551/X2551</f>
        <v/>
      </c>
      <c r="Z2551" s="29" t="n">
        <v>658.225200042241</v>
      </c>
      <c r="AA2551" s="20" t="n">
        <v>39.8603160714269</v>
      </c>
      <c r="AB2551" t="n">
        <v>0.0502798273268401</v>
      </c>
      <c r="AC2551" t="n">
        <v>40.55096195796679</v>
      </c>
      <c r="AD2551" t="n">
        <v>11.72011727921134</v>
      </c>
    </row>
    <row r="2552">
      <c r="A2552" t="n">
        <v>2551</v>
      </c>
      <c r="B2552" t="n">
        <v>85.2</v>
      </c>
      <c r="C2552" s="21">
        <f>B2552-20</f>
        <v/>
      </c>
      <c r="D2552" t="n">
        <v>130</v>
      </c>
      <c r="E2552" s="22">
        <f>D2552-90</f>
        <v/>
      </c>
      <c r="F2552" s="23" t="n">
        <v>0.024274</v>
      </c>
      <c r="G2552" s="22" t="n">
        <v>34.8</v>
      </c>
      <c r="H2552" s="22" t="n">
        <v>1.5</v>
      </c>
      <c r="I2552" s="24" t="n">
        <v>0.102158427238464</v>
      </c>
      <c r="J2552" s="6" t="n">
        <v>71000</v>
      </c>
      <c r="K2552" s="25">
        <f>23*10^-6</f>
        <v/>
      </c>
      <c r="L2552" s="8">
        <f>H2552</f>
        <v/>
      </c>
      <c r="M2552" s="26">
        <f>H2552^2/6</f>
        <v/>
      </c>
      <c r="N2552" s="26">
        <f>H2552^3/12</f>
        <v/>
      </c>
      <c r="O2552" s="27">
        <f>-J2552*L2552*K2552*C2552</f>
        <v/>
      </c>
      <c r="P2552" s="28">
        <f>-(12*F2552*J2552*L2552*N2552+12*O2552*N2552*G2552*COS(RADIANS(E2552)))/(12*N2552*G2552*COS(RADIANS(E2552))^2+L2552*G2552^3*SIN(RADIANS(E2552))^2)</f>
        <v/>
      </c>
      <c r="Q2552" s="28">
        <f>-(6*F2552*J2552*L2552*N2552*SIN(RADIANS(E2552))+6*O2552*N2552*G2552*SIN(RADIANS(E2552))*COS(RADIANS(E2552)))/(12*N2552*COS(RADIANS(E2552))^2+L2552*G2552^2*SIN(RADIANS(E2552))^2)</f>
        <v/>
      </c>
      <c r="R2552" s="28">
        <f>-P2552*SIN(RADIANS(E2552))</f>
        <v/>
      </c>
      <c r="S2552" s="8">
        <f>(O2552+P2552*COS(RADIANS(E2552)))/L2552</f>
        <v/>
      </c>
      <c r="T2552" s="8">
        <f>R2552/L2552</f>
        <v/>
      </c>
      <c r="U2552" s="8">
        <f>(Q2552-P2552*G2552*SIN(RADIANS(E2552)))/M2552</f>
        <v/>
      </c>
      <c r="V2552" s="8">
        <f>SQRT((S2552+U2552)^2+3*T2552^2)</f>
        <v/>
      </c>
      <c r="W2552" s="8">
        <f>V2552/AA2552</f>
        <v/>
      </c>
      <c r="X2552" s="27">
        <f>((3*10+H2552/COS(RADIANS(E2552)))*(3+3)+3*G2552*H2552)*2</f>
        <v/>
      </c>
      <c r="Y2552" s="28">
        <f>Z2552/X2552</f>
        <v/>
      </c>
      <c r="Z2552" s="29" t="n">
        <v>707.460735537598</v>
      </c>
      <c r="AA2552" s="20" t="n">
        <v>90.4867023961088</v>
      </c>
      <c r="AB2552" t="n">
        <v>0.1097726981880372</v>
      </c>
      <c r="AC2552" t="n">
        <v>92.76792247332062</v>
      </c>
      <c r="AD2552" t="n">
        <v>7.453394845047402</v>
      </c>
    </row>
    <row r="2553">
      <c r="A2553" t="n">
        <v>2552</v>
      </c>
      <c r="B2553" t="n">
        <v>49.5</v>
      </c>
      <c r="C2553" s="21">
        <f>B2553-20</f>
        <v/>
      </c>
      <c r="D2553" t="n">
        <v>105.7</v>
      </c>
      <c r="E2553" s="22">
        <f>D2553-90</f>
        <v/>
      </c>
      <c r="F2553" s="23" t="n">
        <v>0.011051</v>
      </c>
      <c r="G2553" s="22" t="n">
        <v>27.9</v>
      </c>
      <c r="H2553" s="22" t="n">
        <v>1.3</v>
      </c>
      <c r="I2553" s="24" t="n">
        <v>0.07670903205871581</v>
      </c>
      <c r="J2553" s="6" t="n">
        <v>71000</v>
      </c>
      <c r="K2553" s="25">
        <f>23*10^-6</f>
        <v/>
      </c>
      <c r="L2553" s="8">
        <f>H2553</f>
        <v/>
      </c>
      <c r="M2553" s="26">
        <f>H2553^2/6</f>
        <v/>
      </c>
      <c r="N2553" s="26">
        <f>H2553^3/12</f>
        <v/>
      </c>
      <c r="O2553" s="27">
        <f>-J2553*L2553*K2553*C2553</f>
        <v/>
      </c>
      <c r="P2553" s="28">
        <f>-(12*F2553*J2553*L2553*N2553+12*O2553*N2553*G2553*COS(RADIANS(E2553)))/(12*N2553*G2553*COS(RADIANS(E2553))^2+L2553*G2553^3*SIN(RADIANS(E2553))^2)</f>
        <v/>
      </c>
      <c r="Q2553" s="28">
        <f>-(6*F2553*J2553*L2553*N2553*SIN(RADIANS(E2553))+6*O2553*N2553*G2553*SIN(RADIANS(E2553))*COS(RADIANS(E2553)))/(12*N2553*COS(RADIANS(E2553))^2+L2553*G2553^2*SIN(RADIANS(E2553))^2)</f>
        <v/>
      </c>
      <c r="R2553" s="28">
        <f>-P2553*SIN(RADIANS(E2553))</f>
        <v/>
      </c>
      <c r="S2553" s="8">
        <f>(O2553+P2553*COS(RADIANS(E2553)))/L2553</f>
        <v/>
      </c>
      <c r="T2553" s="8">
        <f>R2553/L2553</f>
        <v/>
      </c>
      <c r="U2553" s="8">
        <f>(Q2553-P2553*G2553*SIN(RADIANS(E2553)))/M2553</f>
        <v/>
      </c>
      <c r="V2553" s="8">
        <f>SQRT((S2553+U2553)^2+3*T2553^2)</f>
        <v/>
      </c>
      <c r="W2553" s="8">
        <f>V2553/AA2553</f>
        <v/>
      </c>
      <c r="X2553" s="27">
        <f>((3*10+H2553/COS(RADIANS(E2553)))*(3+3)+3*G2553*H2553)*2</f>
        <v/>
      </c>
      <c r="Y2553" s="28">
        <f>Z2553/X2553</f>
        <v/>
      </c>
      <c r="Z2553" s="29" t="n">
        <v>598.188291801723</v>
      </c>
      <c r="AA2553" s="20" t="n">
        <v>44.6203288573484</v>
      </c>
      <c r="AB2553" t="n">
        <v>0.1062642006192471</v>
      </c>
      <c r="AC2553" t="n">
        <v>46.75399615818637</v>
      </c>
      <c r="AD2553" t="n">
        <v>38.52892908087895</v>
      </c>
    </row>
    <row r="2554">
      <c r="A2554" t="n">
        <v>2553</v>
      </c>
      <c r="B2554" t="n">
        <v>78.59999999999999</v>
      </c>
      <c r="C2554" s="21">
        <f>B2554-20</f>
        <v/>
      </c>
      <c r="D2554" t="n">
        <v>115.9</v>
      </c>
      <c r="E2554" s="22">
        <f>D2554-90</f>
        <v/>
      </c>
      <c r="F2554" s="23" t="n">
        <v>0.021135</v>
      </c>
      <c r="G2554" s="22" t="n">
        <v>28.5</v>
      </c>
      <c r="H2554" s="22" t="n">
        <v>1.5</v>
      </c>
      <c r="I2554" s="24" t="n">
        <v>0.106381729245185</v>
      </c>
      <c r="J2554" s="6" t="n">
        <v>71000</v>
      </c>
      <c r="K2554" s="25">
        <f>23*10^-6</f>
        <v/>
      </c>
      <c r="L2554" s="8">
        <f>H2554</f>
        <v/>
      </c>
      <c r="M2554" s="26">
        <f>H2554^2/6</f>
        <v/>
      </c>
      <c r="N2554" s="26">
        <f>H2554^3/12</f>
        <v/>
      </c>
      <c r="O2554" s="27">
        <f>-J2554*L2554*K2554*C2554</f>
        <v/>
      </c>
      <c r="P2554" s="28">
        <f>-(12*F2554*J2554*L2554*N2554+12*O2554*N2554*G2554*COS(RADIANS(E2554)))/(12*N2554*G2554*COS(RADIANS(E2554))^2+L2554*G2554^3*SIN(RADIANS(E2554))^2)</f>
        <v/>
      </c>
      <c r="Q2554" s="28">
        <f>-(6*F2554*J2554*L2554*N2554*SIN(RADIANS(E2554))+6*O2554*N2554*G2554*SIN(RADIANS(E2554))*COS(RADIANS(E2554)))/(12*N2554*COS(RADIANS(E2554))^2+L2554*G2554^2*SIN(RADIANS(E2554))^2)</f>
        <v/>
      </c>
      <c r="R2554" s="28">
        <f>-P2554*SIN(RADIANS(E2554))</f>
        <v/>
      </c>
      <c r="S2554" s="8">
        <f>(O2554+P2554*COS(RADIANS(E2554)))/L2554</f>
        <v/>
      </c>
      <c r="T2554" s="8">
        <f>R2554/L2554</f>
        <v/>
      </c>
      <c r="U2554" s="8">
        <f>(Q2554-P2554*G2554*SIN(RADIANS(E2554)))/M2554</f>
        <v/>
      </c>
      <c r="V2554" s="8">
        <f>SQRT((S2554+U2554)^2+3*T2554^2)</f>
        <v/>
      </c>
      <c r="W2554" s="8">
        <f>V2554/AA2554</f>
        <v/>
      </c>
      <c r="X2554" s="27">
        <f>((3*10+H2554/COS(RADIANS(E2554)))*(3+3)+3*G2554*H2554)*2</f>
        <v/>
      </c>
      <c r="Y2554" s="28">
        <f>Z2554/X2554</f>
        <v/>
      </c>
      <c r="Z2554" s="29" t="n">
        <v>642.623237304747</v>
      </c>
      <c r="AA2554" s="20" t="n">
        <v>88.79687633630959</v>
      </c>
      <c r="AB2554" t="n">
        <v>0.1298200375474511</v>
      </c>
      <c r="AC2554" t="n">
        <v>88.17613351895731</v>
      </c>
      <c r="AD2554" t="n">
        <v>22.03226857522337</v>
      </c>
    </row>
    <row r="2555">
      <c r="A2555" t="n">
        <v>2554</v>
      </c>
      <c r="B2555" t="n">
        <v>56.3</v>
      </c>
      <c r="C2555" s="21">
        <f>B2555-20</f>
        <v/>
      </c>
      <c r="D2555" t="n">
        <v>109.3</v>
      </c>
      <c r="E2555" s="22">
        <f>D2555-90</f>
        <v/>
      </c>
      <c r="F2555" s="23" t="n">
        <v>0.010489</v>
      </c>
      <c r="G2555" s="22" t="n">
        <v>20.5</v>
      </c>
      <c r="H2555" s="22" t="n">
        <v>1.7</v>
      </c>
      <c r="I2555" s="24" t="n">
        <v>0.06459663063287729</v>
      </c>
      <c r="J2555" s="6" t="n">
        <v>71000</v>
      </c>
      <c r="K2555" s="25">
        <f>23*10^-6</f>
        <v/>
      </c>
      <c r="L2555" s="8">
        <f>H2555</f>
        <v/>
      </c>
      <c r="M2555" s="26">
        <f>H2555^2/6</f>
        <v/>
      </c>
      <c r="N2555" s="26">
        <f>H2555^3/12</f>
        <v/>
      </c>
      <c r="O2555" s="27">
        <f>-J2555*L2555*K2555*C2555</f>
        <v/>
      </c>
      <c r="P2555" s="28">
        <f>-(12*F2555*J2555*L2555*N2555+12*O2555*N2555*G2555*COS(RADIANS(E2555)))/(12*N2555*G2555*COS(RADIANS(E2555))^2+L2555*G2555^3*SIN(RADIANS(E2555))^2)</f>
        <v/>
      </c>
      <c r="Q2555" s="28">
        <f>-(6*F2555*J2555*L2555*N2555*SIN(RADIANS(E2555))+6*O2555*N2555*G2555*SIN(RADIANS(E2555))*COS(RADIANS(E2555)))/(12*N2555*COS(RADIANS(E2555))^2+L2555*G2555^2*SIN(RADIANS(E2555))^2)</f>
        <v/>
      </c>
      <c r="R2555" s="28">
        <f>-P2555*SIN(RADIANS(E2555))</f>
        <v/>
      </c>
      <c r="S2555" s="8">
        <f>(O2555+P2555*COS(RADIANS(E2555)))/L2555</f>
        <v/>
      </c>
      <c r="T2555" s="8">
        <f>R2555/L2555</f>
        <v/>
      </c>
      <c r="U2555" s="8">
        <f>(Q2555-P2555*G2555*SIN(RADIANS(E2555)))/M2555</f>
        <v/>
      </c>
      <c r="V2555" s="8">
        <f>SQRT((S2555+U2555)^2+3*T2555^2)</f>
        <v/>
      </c>
      <c r="W2555" s="8">
        <f>V2555/AA2555</f>
        <v/>
      </c>
      <c r="X2555" s="27">
        <f>((3*10+H2555/COS(RADIANS(E2555)))*(3+3)+3*G2555*H2555)*2</f>
        <v/>
      </c>
      <c r="Y2555" s="28">
        <f>Z2555/X2555</f>
        <v/>
      </c>
      <c r="Z2555" s="29" t="n">
        <v>595.5774471795499</v>
      </c>
      <c r="AA2555" s="20" t="n">
        <v>62.1874671342198</v>
      </c>
      <c r="AB2555" t="n">
        <v>0.07720240402384389</v>
      </c>
      <c r="AC2555" t="n">
        <v>59.35004057881714</v>
      </c>
      <c r="AD2555" t="n">
        <v>19.51459893103267</v>
      </c>
    </row>
    <row r="2556">
      <c r="A2556" t="n">
        <v>2555</v>
      </c>
      <c r="B2556" t="n">
        <v>78.7</v>
      </c>
      <c r="C2556" s="21">
        <f>B2556-20</f>
        <v/>
      </c>
      <c r="D2556" t="n">
        <v>129.7</v>
      </c>
      <c r="E2556" s="22">
        <f>D2556-90</f>
        <v/>
      </c>
      <c r="F2556" s="23" t="n">
        <v>0.016372</v>
      </c>
      <c r="G2556" s="22" t="n">
        <v>24</v>
      </c>
      <c r="H2556" s="22" t="n">
        <v>1.8</v>
      </c>
      <c r="I2556" s="24" t="n">
        <v>0.07277063280344009</v>
      </c>
      <c r="J2556" s="6" t="n">
        <v>71000</v>
      </c>
      <c r="K2556" s="25">
        <f>23*10^-6</f>
        <v/>
      </c>
      <c r="L2556" s="8">
        <f>H2556</f>
        <v/>
      </c>
      <c r="M2556" s="26">
        <f>H2556^2/6</f>
        <v/>
      </c>
      <c r="N2556" s="26">
        <f>H2556^3/12</f>
        <v/>
      </c>
      <c r="O2556" s="27">
        <f>-J2556*L2556*K2556*C2556</f>
        <v/>
      </c>
      <c r="P2556" s="28">
        <f>-(12*F2556*J2556*L2556*N2556+12*O2556*N2556*G2556*COS(RADIANS(E2556)))/(12*N2556*G2556*COS(RADIANS(E2556))^2+L2556*G2556^3*SIN(RADIANS(E2556))^2)</f>
        <v/>
      </c>
      <c r="Q2556" s="28">
        <f>-(6*F2556*J2556*L2556*N2556*SIN(RADIANS(E2556))+6*O2556*N2556*G2556*SIN(RADIANS(E2556))*COS(RADIANS(E2556)))/(12*N2556*COS(RADIANS(E2556))^2+L2556*G2556^2*SIN(RADIANS(E2556))^2)</f>
        <v/>
      </c>
      <c r="R2556" s="28">
        <f>-P2556*SIN(RADIANS(E2556))</f>
        <v/>
      </c>
      <c r="S2556" s="8">
        <f>(O2556+P2556*COS(RADIANS(E2556)))/L2556</f>
        <v/>
      </c>
      <c r="T2556" s="8">
        <f>R2556/L2556</f>
        <v/>
      </c>
      <c r="U2556" s="8">
        <f>(Q2556-P2556*G2556*SIN(RADIANS(E2556)))/M2556</f>
        <v/>
      </c>
      <c r="V2556" s="8">
        <f>SQRT((S2556+U2556)^2+3*T2556^2)</f>
        <v/>
      </c>
      <c r="W2556" s="8">
        <f>V2556/AA2556</f>
        <v/>
      </c>
      <c r="X2556" s="27">
        <f>((3*10+H2556/COS(RADIANS(E2556)))*(3+3)+3*G2556*H2556)*2</f>
        <v/>
      </c>
      <c r="Y2556" s="28">
        <f>Z2556/X2556</f>
        <v/>
      </c>
      <c r="Z2556" s="29" t="n">
        <v>657.900624928965</v>
      </c>
      <c r="AA2556" s="20" t="n">
        <v>92.1637410336881</v>
      </c>
      <c r="AB2556" t="n">
        <v>0.06976615848343422</v>
      </c>
      <c r="AC2556" t="n">
        <v>85.89851986029416</v>
      </c>
      <c r="AD2556" t="n">
        <v>-4.128690660312418</v>
      </c>
    </row>
    <row r="2557">
      <c r="A2557" t="n">
        <v>2556</v>
      </c>
      <c r="B2557" t="n">
        <v>70</v>
      </c>
      <c r="C2557" s="21">
        <f>B2557-20</f>
        <v/>
      </c>
      <c r="D2557" t="n">
        <v>105.8</v>
      </c>
      <c r="E2557" s="22">
        <f>D2557-90</f>
        <v/>
      </c>
      <c r="F2557" s="23" t="n">
        <v>0.018119</v>
      </c>
      <c r="G2557" s="22" t="n">
        <v>26.8</v>
      </c>
      <c r="H2557" s="22" t="n">
        <v>1.7</v>
      </c>
      <c r="I2557" s="24" t="n">
        <v>0.12395329773426</v>
      </c>
      <c r="J2557" s="6" t="n">
        <v>71000</v>
      </c>
      <c r="K2557" s="25">
        <f>23*10^-6</f>
        <v/>
      </c>
      <c r="L2557" s="8">
        <f>H2557</f>
        <v/>
      </c>
      <c r="M2557" s="26">
        <f>H2557^2/6</f>
        <v/>
      </c>
      <c r="N2557" s="26">
        <f>H2557^3/12</f>
        <v/>
      </c>
      <c r="O2557" s="27">
        <f>-J2557*L2557*K2557*C2557</f>
        <v/>
      </c>
      <c r="P2557" s="28">
        <f>-(12*F2557*J2557*L2557*N2557+12*O2557*N2557*G2557*COS(RADIANS(E2557)))/(12*N2557*G2557*COS(RADIANS(E2557))^2+L2557*G2557^3*SIN(RADIANS(E2557))^2)</f>
        <v/>
      </c>
      <c r="Q2557" s="28">
        <f>-(6*F2557*J2557*L2557*N2557*SIN(RADIANS(E2557))+6*O2557*N2557*G2557*SIN(RADIANS(E2557))*COS(RADIANS(E2557)))/(12*N2557*COS(RADIANS(E2557))^2+L2557*G2557^2*SIN(RADIANS(E2557))^2)</f>
        <v/>
      </c>
      <c r="R2557" s="28">
        <f>-P2557*SIN(RADIANS(E2557))</f>
        <v/>
      </c>
      <c r="S2557" s="8">
        <f>(O2557+P2557*COS(RADIANS(E2557)))/L2557</f>
        <v/>
      </c>
      <c r="T2557" s="8">
        <f>R2557/L2557</f>
        <v/>
      </c>
      <c r="U2557" s="8">
        <f>(Q2557-P2557*G2557*SIN(RADIANS(E2557)))/M2557</f>
        <v/>
      </c>
      <c r="V2557" s="8">
        <f>SQRT((S2557+U2557)^2+3*T2557^2)</f>
        <v/>
      </c>
      <c r="W2557" s="8">
        <f>V2557/AA2557</f>
        <v/>
      </c>
      <c r="X2557" s="27">
        <f>((3*10+H2557/COS(RADIANS(E2557)))*(3+3)+3*G2557*H2557)*2</f>
        <v/>
      </c>
      <c r="Y2557" s="28">
        <f>Z2557/X2557</f>
        <v/>
      </c>
      <c r="Z2557" s="29" t="n">
        <v>658.9370192396869</v>
      </c>
      <c r="AA2557" s="20" t="n">
        <v>83.04006026997919</v>
      </c>
      <c r="AB2557" t="n">
        <v>0.1684980283478238</v>
      </c>
      <c r="AC2557" t="n">
        <v>82.63695423133747</v>
      </c>
      <c r="AD2557" t="n">
        <v>35.93670473298906</v>
      </c>
    </row>
    <row r="2558">
      <c r="A2558" t="n">
        <v>2557</v>
      </c>
      <c r="B2558" t="n">
        <v>70.40000000000001</v>
      </c>
      <c r="C2558" s="21">
        <f>B2558-20</f>
        <v/>
      </c>
      <c r="D2558" t="n">
        <v>125.8</v>
      </c>
      <c r="E2558" s="22">
        <f>D2558-90</f>
        <v/>
      </c>
      <c r="F2558" s="23" t="n">
        <v>0.014072</v>
      </c>
      <c r="G2558" s="22" t="n">
        <v>22.8</v>
      </c>
      <c r="H2558" s="22" t="n">
        <v>1.4</v>
      </c>
      <c r="I2558" s="24" t="n">
        <v>0.064301498234272</v>
      </c>
      <c r="J2558" s="6" t="n">
        <v>71000</v>
      </c>
      <c r="K2558" s="25">
        <f>23*10^-6</f>
        <v/>
      </c>
      <c r="L2558" s="8">
        <f>H2558</f>
        <v/>
      </c>
      <c r="M2558" s="26">
        <f>H2558^2/6</f>
        <v/>
      </c>
      <c r="N2558" s="26">
        <f>H2558^3/12</f>
        <v/>
      </c>
      <c r="O2558" s="27">
        <f>-J2558*L2558*K2558*C2558</f>
        <v/>
      </c>
      <c r="P2558" s="28">
        <f>-(12*F2558*J2558*L2558*N2558+12*O2558*N2558*G2558*COS(RADIANS(E2558)))/(12*N2558*G2558*COS(RADIANS(E2558))^2+L2558*G2558^3*SIN(RADIANS(E2558))^2)</f>
        <v/>
      </c>
      <c r="Q2558" s="28">
        <f>-(6*F2558*J2558*L2558*N2558*SIN(RADIANS(E2558))+6*O2558*N2558*G2558*SIN(RADIANS(E2558))*COS(RADIANS(E2558)))/(12*N2558*COS(RADIANS(E2558))^2+L2558*G2558^2*SIN(RADIANS(E2558))^2)</f>
        <v/>
      </c>
      <c r="R2558" s="28">
        <f>-P2558*SIN(RADIANS(E2558))</f>
        <v/>
      </c>
      <c r="S2558" s="8">
        <f>(O2558+P2558*COS(RADIANS(E2558)))/L2558</f>
        <v/>
      </c>
      <c r="T2558" s="8">
        <f>R2558/L2558</f>
        <v/>
      </c>
      <c r="U2558" s="8">
        <f>(Q2558-P2558*G2558*SIN(RADIANS(E2558)))/M2558</f>
        <v/>
      </c>
      <c r="V2558" s="8">
        <f>SQRT((S2558+U2558)^2+3*T2558^2)</f>
        <v/>
      </c>
      <c r="W2558" s="8">
        <f>V2558/AA2558</f>
        <v/>
      </c>
      <c r="X2558" s="27">
        <f>((3*10+H2558/COS(RADIANS(E2558)))*(3+3)+3*G2558*H2558)*2</f>
        <v/>
      </c>
      <c r="Y2558" s="28">
        <f>Z2558/X2558</f>
        <v/>
      </c>
      <c r="Z2558" s="29" t="n">
        <v>581.257932258923</v>
      </c>
      <c r="AA2558" s="20" t="n">
        <v>73.7276182045775</v>
      </c>
      <c r="AB2558" t="n">
        <v>0.06415543285510808</v>
      </c>
      <c r="AC2558" t="n">
        <v>73.42303953167003</v>
      </c>
      <c r="AD2558" t="n">
        <v>-0.227157038599253</v>
      </c>
    </row>
    <row r="2559">
      <c r="A2559" t="n">
        <v>2558</v>
      </c>
      <c r="B2559" t="n">
        <v>51.9</v>
      </c>
      <c r="C2559" s="21">
        <f>B2559-20</f>
        <v/>
      </c>
      <c r="D2559" t="n">
        <v>106.2</v>
      </c>
      <c r="E2559" s="22">
        <f>D2559-90</f>
        <v/>
      </c>
      <c r="F2559" s="23" t="n">
        <v>0.010004</v>
      </c>
      <c r="G2559" s="22" t="n">
        <v>22.4</v>
      </c>
      <c r="H2559" s="22" t="n">
        <v>1.8</v>
      </c>
      <c r="I2559" s="24" t="n">
        <v>0.06762102246284479</v>
      </c>
      <c r="J2559" s="6" t="n">
        <v>71000</v>
      </c>
      <c r="K2559" s="25">
        <f>23*10^-6</f>
        <v/>
      </c>
      <c r="L2559" s="8">
        <f>H2559</f>
        <v/>
      </c>
      <c r="M2559" s="26">
        <f>H2559^2/6</f>
        <v/>
      </c>
      <c r="N2559" s="26">
        <f>H2559^3/12</f>
        <v/>
      </c>
      <c r="O2559" s="27">
        <f>-J2559*L2559*K2559*C2559</f>
        <v/>
      </c>
      <c r="P2559" s="28">
        <f>-(12*F2559*J2559*L2559*N2559+12*O2559*N2559*G2559*COS(RADIANS(E2559)))/(12*N2559*G2559*COS(RADIANS(E2559))^2+L2559*G2559^3*SIN(RADIANS(E2559))^2)</f>
        <v/>
      </c>
      <c r="Q2559" s="28">
        <f>-(6*F2559*J2559*L2559*N2559*SIN(RADIANS(E2559))+6*O2559*N2559*G2559*SIN(RADIANS(E2559))*COS(RADIANS(E2559)))/(12*N2559*COS(RADIANS(E2559))^2+L2559*G2559^2*SIN(RADIANS(E2559))^2)</f>
        <v/>
      </c>
      <c r="R2559" s="28">
        <f>-P2559*SIN(RADIANS(E2559))</f>
        <v/>
      </c>
      <c r="S2559" s="8">
        <f>(O2559+P2559*COS(RADIANS(E2559)))/L2559</f>
        <v/>
      </c>
      <c r="T2559" s="8">
        <f>R2559/L2559</f>
        <v/>
      </c>
      <c r="U2559" s="8">
        <f>(Q2559-P2559*G2559*SIN(RADIANS(E2559)))/M2559</f>
        <v/>
      </c>
      <c r="V2559" s="8">
        <f>SQRT((S2559+U2559)^2+3*T2559^2)</f>
        <v/>
      </c>
      <c r="W2559" s="8">
        <f>V2559/AA2559</f>
        <v/>
      </c>
      <c r="X2559" s="27">
        <f>((3*10+H2559/COS(RADIANS(E2559)))*(3+3)+3*G2559*H2559)*2</f>
        <v/>
      </c>
      <c r="Y2559" s="28">
        <f>Z2559/X2559</f>
        <v/>
      </c>
      <c r="Z2559" s="29" t="n">
        <v>628.839102507184</v>
      </c>
      <c r="AA2559" s="20" t="n">
        <v>56.3385201327974</v>
      </c>
      <c r="AB2559" t="n">
        <v>0.08650383057696921</v>
      </c>
      <c r="AC2559" t="n">
        <v>53.82423649462316</v>
      </c>
      <c r="AD2559" t="n">
        <v>27.92446405923515</v>
      </c>
    </row>
    <row r="2560">
      <c r="A2560" t="n">
        <v>2559</v>
      </c>
      <c r="B2560" t="n">
        <v>48.3</v>
      </c>
      <c r="C2560" s="21">
        <f>B2560-20</f>
        <v/>
      </c>
      <c r="D2560" t="n">
        <v>126.5</v>
      </c>
      <c r="E2560" s="22">
        <f>D2560-90</f>
        <v/>
      </c>
      <c r="F2560" s="23" t="n">
        <v>0.010079</v>
      </c>
      <c r="G2560" s="22" t="n">
        <v>31.4</v>
      </c>
      <c r="H2560" s="22" t="n">
        <v>1.7</v>
      </c>
      <c r="I2560" s="24" t="n">
        <v>0.0437437109649181</v>
      </c>
      <c r="J2560" s="6" t="n">
        <v>71000</v>
      </c>
      <c r="K2560" s="25">
        <f>23*10^-6</f>
        <v/>
      </c>
      <c r="L2560" s="8">
        <f>H2560</f>
        <v/>
      </c>
      <c r="M2560" s="26">
        <f>H2560^2/6</f>
        <v/>
      </c>
      <c r="N2560" s="26">
        <f>H2560^3/12</f>
        <v/>
      </c>
      <c r="O2560" s="27">
        <f>-J2560*L2560*K2560*C2560</f>
        <v/>
      </c>
      <c r="P2560" s="28">
        <f>-(12*F2560*J2560*L2560*N2560+12*O2560*N2560*G2560*COS(RADIANS(E2560)))/(12*N2560*G2560*COS(RADIANS(E2560))^2+L2560*G2560^3*SIN(RADIANS(E2560))^2)</f>
        <v/>
      </c>
      <c r="Q2560" s="28">
        <f>-(6*F2560*J2560*L2560*N2560*SIN(RADIANS(E2560))+6*O2560*N2560*G2560*SIN(RADIANS(E2560))*COS(RADIANS(E2560)))/(12*N2560*COS(RADIANS(E2560))^2+L2560*G2560^2*SIN(RADIANS(E2560))^2)</f>
        <v/>
      </c>
      <c r="R2560" s="28">
        <f>-P2560*SIN(RADIANS(E2560))</f>
        <v/>
      </c>
      <c r="S2560" s="8">
        <f>(O2560+P2560*COS(RADIANS(E2560)))/L2560</f>
        <v/>
      </c>
      <c r="T2560" s="8">
        <f>R2560/L2560</f>
        <v/>
      </c>
      <c r="U2560" s="8">
        <f>(Q2560-P2560*G2560*SIN(RADIANS(E2560)))/M2560</f>
        <v/>
      </c>
      <c r="V2560" s="8">
        <f>SQRT((S2560+U2560)^2+3*T2560^2)</f>
        <v/>
      </c>
      <c r="W2560" s="8">
        <f>V2560/AA2560</f>
        <v/>
      </c>
      <c r="X2560" s="27">
        <f>((3*10+H2560/COS(RADIANS(E2560)))*(3+3)+3*G2560*H2560)*2</f>
        <v/>
      </c>
      <c r="Y2560" s="28">
        <f>Z2560/X2560</f>
        <v/>
      </c>
      <c r="Z2560" s="29" t="n">
        <v>714.9473434649231</v>
      </c>
      <c r="AA2560" s="20" t="n">
        <v>42.3159460061798</v>
      </c>
      <c r="AB2560" t="n">
        <v>0.04768604221515334</v>
      </c>
      <c r="AC2560" t="n">
        <v>41.13991604730128</v>
      </c>
      <c r="AD2560" t="n">
        <v>9.012338375674014</v>
      </c>
    </row>
    <row r="2561">
      <c r="A2561" t="n">
        <v>2560</v>
      </c>
      <c r="B2561" t="n">
        <v>70.3</v>
      </c>
      <c r="C2561" s="21">
        <f>B2561-20</f>
        <v/>
      </c>
      <c r="D2561" t="n">
        <v>115.9</v>
      </c>
      <c r="E2561" s="22">
        <f>D2561-90</f>
        <v/>
      </c>
      <c r="F2561" s="23" t="n">
        <v>0.021494</v>
      </c>
      <c r="G2561" s="22" t="n">
        <v>35</v>
      </c>
      <c r="H2561" s="22" t="n">
        <v>1.7</v>
      </c>
      <c r="I2561" s="24" t="n">
        <v>0.105245187878608</v>
      </c>
      <c r="J2561" s="6" t="n">
        <v>71000</v>
      </c>
      <c r="K2561" s="25">
        <f>23*10^-6</f>
        <v/>
      </c>
      <c r="L2561" s="8">
        <f>H2561</f>
        <v/>
      </c>
      <c r="M2561" s="26">
        <f>H2561^2/6</f>
        <v/>
      </c>
      <c r="N2561" s="26">
        <f>H2561^3/12</f>
        <v/>
      </c>
      <c r="O2561" s="27">
        <f>-J2561*L2561*K2561*C2561</f>
        <v/>
      </c>
      <c r="P2561" s="28">
        <f>-(12*F2561*J2561*L2561*N2561+12*O2561*N2561*G2561*COS(RADIANS(E2561)))/(12*N2561*G2561*COS(RADIANS(E2561))^2+L2561*G2561^3*SIN(RADIANS(E2561))^2)</f>
        <v/>
      </c>
      <c r="Q2561" s="28">
        <f>-(6*F2561*J2561*L2561*N2561*SIN(RADIANS(E2561))+6*O2561*N2561*G2561*SIN(RADIANS(E2561))*COS(RADIANS(E2561)))/(12*N2561*COS(RADIANS(E2561))^2+L2561*G2561^2*SIN(RADIANS(E2561))^2)</f>
        <v/>
      </c>
      <c r="R2561" s="28">
        <f>-P2561*SIN(RADIANS(E2561))</f>
        <v/>
      </c>
      <c r="S2561" s="8">
        <f>(O2561+P2561*COS(RADIANS(E2561)))/L2561</f>
        <v/>
      </c>
      <c r="T2561" s="8">
        <f>R2561/L2561</f>
        <v/>
      </c>
      <c r="U2561" s="8">
        <f>(Q2561-P2561*G2561*SIN(RADIANS(E2561)))/M2561</f>
        <v/>
      </c>
      <c r="V2561" s="8">
        <f>SQRT((S2561+U2561)^2+3*T2561^2)</f>
        <v/>
      </c>
      <c r="W2561" s="8">
        <f>V2561/AA2561</f>
        <v/>
      </c>
      <c r="X2561" s="27">
        <f>((3*10+H2561/COS(RADIANS(E2561)))*(3+3)+3*G2561*H2561)*2</f>
        <v/>
      </c>
      <c r="Y2561" s="28">
        <f>Z2561/X2561</f>
        <v/>
      </c>
      <c r="Z2561" s="29" t="n">
        <v>745.791214900126</v>
      </c>
      <c r="AA2561" s="20" t="n">
        <v>76.5731548879221</v>
      </c>
      <c r="AB2561" t="n">
        <v>0.1355055877860659</v>
      </c>
      <c r="AC2561" t="n">
        <v>75.51262403496379</v>
      </c>
      <c r="AD2561" t="n">
        <v>28.75228836339853</v>
      </c>
    </row>
    <row r="2562">
      <c r="A2562" t="n">
        <v>2561</v>
      </c>
      <c r="B2562" t="n">
        <v>85.2</v>
      </c>
      <c r="C2562" s="21">
        <f>B2562-20</f>
        <v/>
      </c>
      <c r="D2562" t="n">
        <v>116.8</v>
      </c>
      <c r="E2562" s="22">
        <f>D2562-90</f>
        <v/>
      </c>
      <c r="F2562" s="23" t="n">
        <v>0.027149</v>
      </c>
      <c r="G2562" s="22" t="n">
        <v>34.2</v>
      </c>
      <c r="H2562" s="22" t="n">
        <v>1.7</v>
      </c>
      <c r="I2562" s="24" t="n">
        <v>0.130988270044326</v>
      </c>
      <c r="J2562" s="6" t="n">
        <v>71000</v>
      </c>
      <c r="K2562" s="25">
        <f>23*10^-6</f>
        <v/>
      </c>
      <c r="L2562" s="8">
        <f>H2562</f>
        <v/>
      </c>
      <c r="M2562" s="26">
        <f>H2562^2/6</f>
        <v/>
      </c>
      <c r="N2562" s="26">
        <f>H2562^3/12</f>
        <v/>
      </c>
      <c r="O2562" s="27">
        <f>-J2562*L2562*K2562*C2562</f>
        <v/>
      </c>
      <c r="P2562" s="28">
        <f>-(12*F2562*J2562*L2562*N2562+12*O2562*N2562*G2562*COS(RADIANS(E2562)))/(12*N2562*G2562*COS(RADIANS(E2562))^2+L2562*G2562^3*SIN(RADIANS(E2562))^2)</f>
        <v/>
      </c>
      <c r="Q2562" s="28">
        <f>-(6*F2562*J2562*L2562*N2562*SIN(RADIANS(E2562))+6*O2562*N2562*G2562*SIN(RADIANS(E2562))*COS(RADIANS(E2562)))/(12*N2562*COS(RADIANS(E2562))^2+L2562*G2562^2*SIN(RADIANS(E2562))^2)</f>
        <v/>
      </c>
      <c r="R2562" s="28">
        <f>-P2562*SIN(RADIANS(E2562))</f>
        <v/>
      </c>
      <c r="S2562" s="8">
        <f>(O2562+P2562*COS(RADIANS(E2562)))/L2562</f>
        <v/>
      </c>
      <c r="T2562" s="8">
        <f>R2562/L2562</f>
        <v/>
      </c>
      <c r="U2562" s="8">
        <f>(Q2562-P2562*G2562*SIN(RADIANS(E2562)))/M2562</f>
        <v/>
      </c>
      <c r="V2562" s="8">
        <f>SQRT((S2562+U2562)^2+3*T2562^2)</f>
        <v/>
      </c>
      <c r="W2562" s="8">
        <f>V2562/AA2562</f>
        <v/>
      </c>
      <c r="X2562" s="27">
        <f>((3*10+H2562/COS(RADIANS(E2562)))*(3+3)+3*G2562*H2562)*2</f>
        <v/>
      </c>
      <c r="Y2562" s="28">
        <f>Z2562/X2562</f>
        <v/>
      </c>
      <c r="Z2562" s="29" t="n">
        <v>738.0167454895879</v>
      </c>
      <c r="AA2562" s="20" t="n">
        <v>99.800576393623</v>
      </c>
      <c r="AB2562" t="n">
        <v>0.1657565080205016</v>
      </c>
      <c r="AC2562" t="n">
        <v>97.64924757806028</v>
      </c>
      <c r="AD2562" t="n">
        <v>26.54301638185628</v>
      </c>
    </row>
    <row r="2563">
      <c r="A2563" t="n">
        <v>2562</v>
      </c>
      <c r="B2563" t="n">
        <v>63.1</v>
      </c>
      <c r="C2563" s="21">
        <f>B2563-20</f>
        <v/>
      </c>
      <c r="D2563" t="n">
        <v>129.9</v>
      </c>
      <c r="E2563" s="22">
        <f>D2563-90</f>
        <v/>
      </c>
      <c r="F2563" s="23" t="n">
        <v>0.012522</v>
      </c>
      <c r="G2563" s="22" t="n">
        <v>25.4</v>
      </c>
      <c r="H2563" s="22" t="n">
        <v>1.9</v>
      </c>
      <c r="I2563" s="24" t="n">
        <v>0.0551865026354789</v>
      </c>
      <c r="J2563" s="6" t="n">
        <v>71000</v>
      </c>
      <c r="K2563" s="25">
        <f>23*10^-6</f>
        <v/>
      </c>
      <c r="L2563" s="8">
        <f>H2563</f>
        <v/>
      </c>
      <c r="M2563" s="26">
        <f>H2563^2/6</f>
        <v/>
      </c>
      <c r="N2563" s="26">
        <f>H2563^3/12</f>
        <v/>
      </c>
      <c r="O2563" s="27">
        <f>-J2563*L2563*K2563*C2563</f>
        <v/>
      </c>
      <c r="P2563" s="28">
        <f>-(12*F2563*J2563*L2563*N2563+12*O2563*N2563*G2563*COS(RADIANS(E2563)))/(12*N2563*G2563*COS(RADIANS(E2563))^2+L2563*G2563^3*SIN(RADIANS(E2563))^2)</f>
        <v/>
      </c>
      <c r="Q2563" s="28">
        <f>-(6*F2563*J2563*L2563*N2563*SIN(RADIANS(E2563))+6*O2563*N2563*G2563*SIN(RADIANS(E2563))*COS(RADIANS(E2563)))/(12*N2563*COS(RADIANS(E2563))^2+L2563*G2563^2*SIN(RADIANS(E2563))^2)</f>
        <v/>
      </c>
      <c r="R2563" s="28">
        <f>-P2563*SIN(RADIANS(E2563))</f>
        <v/>
      </c>
      <c r="S2563" s="8">
        <f>(O2563+P2563*COS(RADIANS(E2563)))/L2563</f>
        <v/>
      </c>
      <c r="T2563" s="8">
        <f>R2563/L2563</f>
        <v/>
      </c>
      <c r="U2563" s="8">
        <f>(Q2563-P2563*G2563*SIN(RADIANS(E2563)))/M2563</f>
        <v/>
      </c>
      <c r="V2563" s="8">
        <f>SQRT((S2563+U2563)^2+3*T2563^2)</f>
        <v/>
      </c>
      <c r="W2563" s="8">
        <f>V2563/AA2563</f>
        <v/>
      </c>
      <c r="X2563" s="27">
        <f>((3*10+H2563/COS(RADIANS(E2563)))*(3+3)+3*G2563*H2563)*2</f>
        <v/>
      </c>
      <c r="Y2563" s="28">
        <f>Z2563/X2563</f>
        <v/>
      </c>
      <c r="Z2563" s="29" t="n">
        <v>689.997443087632</v>
      </c>
      <c r="AA2563" s="20" t="n">
        <v>68.1406393216112</v>
      </c>
      <c r="AB2563" t="n">
        <v>0.0537160673694889</v>
      </c>
      <c r="AC2563" t="n">
        <v>63.14860985209302</v>
      </c>
      <c r="AD2563" t="n">
        <v>-2.664483516381891</v>
      </c>
    </row>
    <row r="2564">
      <c r="A2564" t="n">
        <v>2563</v>
      </c>
      <c r="B2564" t="n">
        <v>49.9</v>
      </c>
      <c r="C2564" s="21">
        <f>B2564-20</f>
        <v/>
      </c>
      <c r="D2564" t="n">
        <v>108.9</v>
      </c>
      <c r="E2564" s="22">
        <f>D2564-90</f>
        <v/>
      </c>
      <c r="F2564" s="23" t="n">
        <v>0.010107</v>
      </c>
      <c r="G2564" s="22" t="n">
        <v>25</v>
      </c>
      <c r="H2564" s="22" t="n">
        <v>1.7</v>
      </c>
      <c r="I2564" s="24" t="n">
        <v>0.06193782761693</v>
      </c>
      <c r="J2564" s="6" t="n">
        <v>71000</v>
      </c>
      <c r="K2564" s="25">
        <f>23*10^-6</f>
        <v/>
      </c>
      <c r="L2564" s="8">
        <f>H2564</f>
        <v/>
      </c>
      <c r="M2564" s="26">
        <f>H2564^2/6</f>
        <v/>
      </c>
      <c r="N2564" s="26">
        <f>H2564^3/12</f>
        <v/>
      </c>
      <c r="O2564" s="27">
        <f>-J2564*L2564*K2564*C2564</f>
        <v/>
      </c>
      <c r="P2564" s="28">
        <f>-(12*F2564*J2564*L2564*N2564+12*O2564*N2564*G2564*COS(RADIANS(E2564)))/(12*N2564*G2564*COS(RADIANS(E2564))^2+L2564*G2564^3*SIN(RADIANS(E2564))^2)</f>
        <v/>
      </c>
      <c r="Q2564" s="28">
        <f>-(6*F2564*J2564*L2564*N2564*SIN(RADIANS(E2564))+6*O2564*N2564*G2564*SIN(RADIANS(E2564))*COS(RADIANS(E2564)))/(12*N2564*COS(RADIANS(E2564))^2+L2564*G2564^2*SIN(RADIANS(E2564))^2)</f>
        <v/>
      </c>
      <c r="R2564" s="28">
        <f>-P2564*SIN(RADIANS(E2564))</f>
        <v/>
      </c>
      <c r="S2564" s="8">
        <f>(O2564+P2564*COS(RADIANS(E2564)))/L2564</f>
        <v/>
      </c>
      <c r="T2564" s="8">
        <f>R2564/L2564</f>
        <v/>
      </c>
      <c r="U2564" s="8">
        <f>(Q2564-P2564*G2564*SIN(RADIANS(E2564)))/M2564</f>
        <v/>
      </c>
      <c r="V2564" s="8">
        <f>SQRT((S2564+U2564)^2+3*T2564^2)</f>
        <v/>
      </c>
      <c r="W2564" s="8">
        <f>V2564/AA2564</f>
        <v/>
      </c>
      <c r="X2564" s="27">
        <f>((3*10+H2564/COS(RADIANS(E2564)))*(3+3)+3*G2564*H2564)*2</f>
        <v/>
      </c>
      <c r="Y2564" s="28">
        <f>Z2564/X2564</f>
        <v/>
      </c>
      <c r="Z2564" s="29" t="n">
        <v>641.36385569738</v>
      </c>
      <c r="AA2564" s="20" t="n">
        <v>49.4709092420173</v>
      </c>
      <c r="AB2564" t="n">
        <v>0.0793317196360806</v>
      </c>
      <c r="AC2564" t="n">
        <v>48.299259503897</v>
      </c>
      <c r="AD2564" t="n">
        <v>28.08282545317456</v>
      </c>
    </row>
    <row r="2565">
      <c r="A2565" t="n">
        <v>2564</v>
      </c>
      <c r="B2565" t="n">
        <v>54.2</v>
      </c>
      <c r="C2565" s="21">
        <f>B2565-20</f>
        <v/>
      </c>
      <c r="D2565" t="n">
        <v>100.2</v>
      </c>
      <c r="E2565" s="22">
        <f>D2565-90</f>
        <v/>
      </c>
      <c r="F2565" s="23" t="n">
        <v>0.015386</v>
      </c>
      <c r="G2565" s="22" t="n">
        <v>34</v>
      </c>
      <c r="H2565" s="22" t="n">
        <v>1.5</v>
      </c>
      <c r="I2565" s="24" t="n">
        <v>0.144573584198951</v>
      </c>
      <c r="J2565" s="6" t="n">
        <v>71000</v>
      </c>
      <c r="K2565" s="25">
        <f>23*10^-6</f>
        <v/>
      </c>
      <c r="L2565" s="8">
        <f>H2565</f>
        <v/>
      </c>
      <c r="M2565" s="26">
        <f>H2565^2/6</f>
        <v/>
      </c>
      <c r="N2565" s="26">
        <f>H2565^3/12</f>
        <v/>
      </c>
      <c r="O2565" s="27">
        <f>-J2565*L2565*K2565*C2565</f>
        <v/>
      </c>
      <c r="P2565" s="28">
        <f>-(12*F2565*J2565*L2565*N2565+12*O2565*N2565*G2565*COS(RADIANS(E2565)))/(12*N2565*G2565*COS(RADIANS(E2565))^2+L2565*G2565^3*SIN(RADIANS(E2565))^2)</f>
        <v/>
      </c>
      <c r="Q2565" s="28">
        <f>-(6*F2565*J2565*L2565*N2565*SIN(RADIANS(E2565))+6*O2565*N2565*G2565*SIN(RADIANS(E2565))*COS(RADIANS(E2565)))/(12*N2565*COS(RADIANS(E2565))^2+L2565*G2565^2*SIN(RADIANS(E2565))^2)</f>
        <v/>
      </c>
      <c r="R2565" s="28">
        <f>-P2565*SIN(RADIANS(E2565))</f>
        <v/>
      </c>
      <c r="S2565" s="8">
        <f>(O2565+P2565*COS(RADIANS(E2565)))/L2565</f>
        <v/>
      </c>
      <c r="T2565" s="8">
        <f>R2565/L2565</f>
        <v/>
      </c>
      <c r="U2565" s="8">
        <f>(Q2565-P2565*G2565*SIN(RADIANS(E2565)))/M2565</f>
        <v/>
      </c>
      <c r="V2565" s="8">
        <f>SQRT((S2565+U2565)^2+3*T2565^2)</f>
        <v/>
      </c>
      <c r="W2565" s="8">
        <f>V2565/AA2565</f>
        <v/>
      </c>
      <c r="X2565" s="27">
        <f>((3*10+H2565/COS(RADIANS(E2565)))*(3+3)+3*G2565*H2565)*2</f>
        <v/>
      </c>
      <c r="Y2565" s="28">
        <f>Z2565/X2565</f>
        <v/>
      </c>
      <c r="Z2565" s="29" t="n">
        <v>688.108073022573</v>
      </c>
      <c r="AA2565" s="20" t="n">
        <v>55.6574303371996</v>
      </c>
      <c r="AB2565" t="n">
        <v>0.2229648416199626</v>
      </c>
      <c r="AC2565" t="n">
        <v>58.09572883572572</v>
      </c>
      <c r="AD2565" t="n">
        <v>54.22239329221827</v>
      </c>
    </row>
    <row r="2566">
      <c r="A2566" t="n">
        <v>2565</v>
      </c>
      <c r="B2566" t="n">
        <v>77.5</v>
      </c>
      <c r="C2566" s="21">
        <f>B2566-20</f>
        <v/>
      </c>
      <c r="D2566" t="n">
        <v>127.6</v>
      </c>
      <c r="E2566" s="22">
        <f>D2566-90</f>
        <v/>
      </c>
      <c r="F2566" s="23" t="n">
        <v>0.021798</v>
      </c>
      <c r="G2566" s="22" t="n">
        <v>34.4</v>
      </c>
      <c r="H2566" s="22" t="n">
        <v>1.9</v>
      </c>
      <c r="I2566" s="24" t="n">
        <v>0.0929242670536041</v>
      </c>
      <c r="J2566" s="6" t="n">
        <v>71000</v>
      </c>
      <c r="K2566" s="25">
        <f>23*10^-6</f>
        <v/>
      </c>
      <c r="L2566" s="8">
        <f>H2566</f>
        <v/>
      </c>
      <c r="M2566" s="26">
        <f>H2566^2/6</f>
        <v/>
      </c>
      <c r="N2566" s="26">
        <f>H2566^3/12</f>
        <v/>
      </c>
      <c r="O2566" s="27">
        <f>-J2566*L2566*K2566*C2566</f>
        <v/>
      </c>
      <c r="P2566" s="28">
        <f>-(12*F2566*J2566*L2566*N2566+12*O2566*N2566*G2566*COS(RADIANS(E2566)))/(12*N2566*G2566*COS(RADIANS(E2566))^2+L2566*G2566^3*SIN(RADIANS(E2566))^2)</f>
        <v/>
      </c>
      <c r="Q2566" s="28">
        <f>-(6*F2566*J2566*L2566*N2566*SIN(RADIANS(E2566))+6*O2566*N2566*G2566*SIN(RADIANS(E2566))*COS(RADIANS(E2566)))/(12*N2566*COS(RADIANS(E2566))^2+L2566*G2566^2*SIN(RADIANS(E2566))^2)</f>
        <v/>
      </c>
      <c r="R2566" s="28">
        <f>-P2566*SIN(RADIANS(E2566))</f>
        <v/>
      </c>
      <c r="S2566" s="8">
        <f>(O2566+P2566*COS(RADIANS(E2566)))/L2566</f>
        <v/>
      </c>
      <c r="T2566" s="8">
        <f>R2566/L2566</f>
        <v/>
      </c>
      <c r="U2566" s="8">
        <f>(Q2566-P2566*G2566*SIN(RADIANS(E2566)))/M2566</f>
        <v/>
      </c>
      <c r="V2566" s="8">
        <f>SQRT((S2566+U2566)^2+3*T2566^2)</f>
        <v/>
      </c>
      <c r="W2566" s="8">
        <f>V2566/AA2566</f>
        <v/>
      </c>
      <c r="X2566" s="27">
        <f>((3*10+H2566/COS(RADIANS(E2566)))*(3+3)+3*G2566*H2566)*2</f>
        <v/>
      </c>
      <c r="Y2566" s="28">
        <f>Z2566/X2566</f>
        <v/>
      </c>
      <c r="Z2566" s="29" t="n">
        <v>790.662936163161</v>
      </c>
      <c r="AA2566" s="20" t="n">
        <v>87.7890040336917</v>
      </c>
      <c r="AB2566" t="n">
        <v>0.1022561641935451</v>
      </c>
      <c r="AC2566" t="n">
        <v>83.60742613830169</v>
      </c>
      <c r="AD2566" t="n">
        <v>10.04247591703662</v>
      </c>
    </row>
    <row r="2567">
      <c r="A2567" t="n">
        <v>2566</v>
      </c>
      <c r="B2567" t="n">
        <v>54.6</v>
      </c>
      <c r="C2567" s="21">
        <f>B2567-20</f>
        <v/>
      </c>
      <c r="D2567" t="n">
        <v>119.4</v>
      </c>
      <c r="E2567" s="22">
        <f>D2567-90</f>
        <v/>
      </c>
      <c r="F2567" s="23" t="n">
        <v>0.009446</v>
      </c>
      <c r="G2567" s="22" t="n">
        <v>20.6</v>
      </c>
      <c r="H2567" s="22" t="n">
        <v>1.3</v>
      </c>
      <c r="I2567" s="24" t="n">
        <v>0.0470189712941646</v>
      </c>
      <c r="J2567" s="6" t="n">
        <v>71000</v>
      </c>
      <c r="K2567" s="25">
        <f>23*10^-6</f>
        <v/>
      </c>
      <c r="L2567" s="8">
        <f>H2567</f>
        <v/>
      </c>
      <c r="M2567" s="26">
        <f>H2567^2/6</f>
        <v/>
      </c>
      <c r="N2567" s="26">
        <f>H2567^3/12</f>
        <v/>
      </c>
      <c r="O2567" s="27">
        <f>-J2567*L2567*K2567*C2567</f>
        <v/>
      </c>
      <c r="P2567" s="28">
        <f>-(12*F2567*J2567*L2567*N2567+12*O2567*N2567*G2567*COS(RADIANS(E2567)))/(12*N2567*G2567*COS(RADIANS(E2567))^2+L2567*G2567^3*SIN(RADIANS(E2567))^2)</f>
        <v/>
      </c>
      <c r="Q2567" s="28">
        <f>-(6*F2567*J2567*L2567*N2567*SIN(RADIANS(E2567))+6*O2567*N2567*G2567*SIN(RADIANS(E2567))*COS(RADIANS(E2567)))/(12*N2567*COS(RADIANS(E2567))^2+L2567*G2567^2*SIN(RADIANS(E2567))^2)</f>
        <v/>
      </c>
      <c r="R2567" s="28">
        <f>-P2567*SIN(RADIANS(E2567))</f>
        <v/>
      </c>
      <c r="S2567" s="8">
        <f>(O2567+P2567*COS(RADIANS(E2567)))/L2567</f>
        <v/>
      </c>
      <c r="T2567" s="8">
        <f>R2567/L2567</f>
        <v/>
      </c>
      <c r="U2567" s="8">
        <f>(Q2567-P2567*G2567*SIN(RADIANS(E2567)))/M2567</f>
        <v/>
      </c>
      <c r="V2567" s="8">
        <f>SQRT((S2567+U2567)^2+3*T2567^2)</f>
        <v/>
      </c>
      <c r="W2567" s="8">
        <f>V2567/AA2567</f>
        <v/>
      </c>
      <c r="X2567" s="27">
        <f>((3*10+H2567/COS(RADIANS(E2567)))*(3+3)+3*G2567*H2567)*2</f>
        <v/>
      </c>
      <c r="Y2567" s="28">
        <f>Z2567/X2567</f>
        <v/>
      </c>
      <c r="Z2567" s="29" t="n">
        <v>545.5674542614</v>
      </c>
      <c r="AA2567" s="20" t="n">
        <v>51.947638793644</v>
      </c>
      <c r="AB2567" t="n">
        <v>0.04947054918688436</v>
      </c>
      <c r="AC2567" t="n">
        <v>51.49947368266304</v>
      </c>
      <c r="AD2567" t="n">
        <v>5.214018565786901</v>
      </c>
    </row>
    <row r="2568">
      <c r="A2568" t="n">
        <v>2567</v>
      </c>
      <c r="B2568" t="n">
        <v>89.8</v>
      </c>
      <c r="C2568" s="21">
        <f>B2568-20</f>
        <v/>
      </c>
      <c r="D2568" t="n">
        <v>118.6</v>
      </c>
      <c r="E2568" s="22">
        <f>D2568-90</f>
        <v/>
      </c>
      <c r="F2568" s="23" t="n">
        <v>0.026991</v>
      </c>
      <c r="G2568" s="22" t="n">
        <v>31.8</v>
      </c>
      <c r="H2568" s="22" t="n">
        <v>1.6</v>
      </c>
      <c r="I2568" s="24" t="n">
        <v>0.127430498600006</v>
      </c>
      <c r="J2568" s="6" t="n">
        <v>71000</v>
      </c>
      <c r="K2568" s="25">
        <f>23*10^-6</f>
        <v/>
      </c>
      <c r="L2568" s="8">
        <f>H2568</f>
        <v/>
      </c>
      <c r="M2568" s="26">
        <f>H2568^2/6</f>
        <v/>
      </c>
      <c r="N2568" s="26">
        <f>H2568^3/12</f>
        <v/>
      </c>
      <c r="O2568" s="27">
        <f>-J2568*L2568*K2568*C2568</f>
        <v/>
      </c>
      <c r="P2568" s="28">
        <f>-(12*F2568*J2568*L2568*N2568+12*O2568*N2568*G2568*COS(RADIANS(E2568)))/(12*N2568*G2568*COS(RADIANS(E2568))^2+L2568*G2568^3*SIN(RADIANS(E2568))^2)</f>
        <v/>
      </c>
      <c r="Q2568" s="28">
        <f>-(6*F2568*J2568*L2568*N2568*SIN(RADIANS(E2568))+6*O2568*N2568*G2568*SIN(RADIANS(E2568))*COS(RADIANS(E2568)))/(12*N2568*COS(RADIANS(E2568))^2+L2568*G2568^2*SIN(RADIANS(E2568))^2)</f>
        <v/>
      </c>
      <c r="R2568" s="28">
        <f>-P2568*SIN(RADIANS(E2568))</f>
        <v/>
      </c>
      <c r="S2568" s="8">
        <f>(O2568+P2568*COS(RADIANS(E2568)))/L2568</f>
        <v/>
      </c>
      <c r="T2568" s="8">
        <f>R2568/L2568</f>
        <v/>
      </c>
      <c r="U2568" s="8">
        <f>(Q2568-P2568*G2568*SIN(RADIANS(E2568)))/M2568</f>
        <v/>
      </c>
      <c r="V2568" s="8">
        <f>SQRT((S2568+U2568)^2+3*T2568^2)</f>
        <v/>
      </c>
      <c r="W2568" s="8">
        <f>V2568/AA2568</f>
        <v/>
      </c>
      <c r="X2568" s="27">
        <f>((3*10+H2568/COS(RADIANS(E2568)))*(3+3)+3*G2568*H2568)*2</f>
        <v/>
      </c>
      <c r="Y2568" s="28">
        <f>Z2568/X2568</f>
        <v/>
      </c>
      <c r="Z2568" s="29" t="n">
        <v>693.917316938855</v>
      </c>
      <c r="AA2568" s="20" t="n">
        <v>105.090551281219</v>
      </c>
      <c r="AB2568" t="n">
        <v>0.1547099982899373</v>
      </c>
      <c r="AC2568" t="n">
        <v>103.6736905821214</v>
      </c>
      <c r="AD2568" t="n">
        <v>21.40735537381791</v>
      </c>
    </row>
    <row r="2569">
      <c r="A2569" t="n">
        <v>2568</v>
      </c>
      <c r="B2569" t="n">
        <v>69.3</v>
      </c>
      <c r="C2569" s="21">
        <f>B2569-20</f>
        <v/>
      </c>
      <c r="D2569" t="n">
        <v>128.8</v>
      </c>
      <c r="E2569" s="22">
        <f>D2569-90</f>
        <v/>
      </c>
      <c r="F2569" s="23" t="n">
        <v>0.014804</v>
      </c>
      <c r="G2569" s="22" t="n">
        <v>26.1</v>
      </c>
      <c r="H2569" s="22" t="n">
        <v>1.2</v>
      </c>
      <c r="I2569" s="24" t="n">
        <v>0.06503816694021219</v>
      </c>
      <c r="J2569" s="6" t="n">
        <v>71000</v>
      </c>
      <c r="K2569" s="25">
        <f>23*10^-6</f>
        <v/>
      </c>
      <c r="L2569" s="8">
        <f>H2569</f>
        <v/>
      </c>
      <c r="M2569" s="26">
        <f>H2569^2/6</f>
        <v/>
      </c>
      <c r="N2569" s="26">
        <f>H2569^3/12</f>
        <v/>
      </c>
      <c r="O2569" s="27">
        <f>-J2569*L2569*K2569*C2569</f>
        <v/>
      </c>
      <c r="P2569" s="28">
        <f>-(12*F2569*J2569*L2569*N2569+12*O2569*N2569*G2569*COS(RADIANS(E2569)))/(12*N2569*G2569*COS(RADIANS(E2569))^2+L2569*G2569^3*SIN(RADIANS(E2569))^2)</f>
        <v/>
      </c>
      <c r="Q2569" s="28">
        <f>-(6*F2569*J2569*L2569*N2569*SIN(RADIANS(E2569))+6*O2569*N2569*G2569*SIN(RADIANS(E2569))*COS(RADIANS(E2569)))/(12*N2569*COS(RADIANS(E2569))^2+L2569*G2569^2*SIN(RADIANS(E2569))^2)</f>
        <v/>
      </c>
      <c r="R2569" s="28">
        <f>-P2569*SIN(RADIANS(E2569))</f>
        <v/>
      </c>
      <c r="S2569" s="8">
        <f>(O2569+P2569*COS(RADIANS(E2569)))/L2569</f>
        <v/>
      </c>
      <c r="T2569" s="8">
        <f>R2569/L2569</f>
        <v/>
      </c>
      <c r="U2569" s="8">
        <f>(Q2569-P2569*G2569*SIN(RADIANS(E2569)))/M2569</f>
        <v/>
      </c>
      <c r="V2569" s="8">
        <f>SQRT((S2569+U2569)^2+3*T2569^2)</f>
        <v/>
      </c>
      <c r="W2569" s="8">
        <f>V2569/AA2569</f>
        <v/>
      </c>
      <c r="X2569" s="27">
        <f>((3*10+H2569/COS(RADIANS(E2569)))*(3+3)+3*G2569*H2569)*2</f>
        <v/>
      </c>
      <c r="Y2569" s="28">
        <f>Z2569/X2569</f>
        <v/>
      </c>
      <c r="Z2569" s="29" t="n">
        <v>576.626219363181</v>
      </c>
      <c r="AA2569" s="20" t="n">
        <v>66.81851211266211</v>
      </c>
      <c r="AB2569" t="n">
        <v>0.06539019595769614</v>
      </c>
      <c r="AC2569" t="n">
        <v>70.19368245501074</v>
      </c>
      <c r="AD2569" t="n">
        <v>0.5412652816730815</v>
      </c>
    </row>
    <row r="2570">
      <c r="A2570" t="n">
        <v>2569</v>
      </c>
      <c r="B2570" t="n">
        <v>54.1</v>
      </c>
      <c r="C2570" s="21">
        <f>B2570-20</f>
        <v/>
      </c>
      <c r="D2570" t="n">
        <v>122</v>
      </c>
      <c r="E2570" s="22">
        <f>D2570-90</f>
        <v/>
      </c>
      <c r="F2570" s="23" t="n">
        <v>0.013212</v>
      </c>
      <c r="G2570" s="22" t="n">
        <v>33</v>
      </c>
      <c r="H2570" s="22" t="n">
        <v>1.2</v>
      </c>
      <c r="I2570" s="24" t="n">
        <v>0.0591348595917224</v>
      </c>
      <c r="J2570" s="6" t="n">
        <v>71000</v>
      </c>
      <c r="K2570" s="25">
        <f>23*10^-6</f>
        <v/>
      </c>
      <c r="L2570" s="8">
        <f>H2570</f>
        <v/>
      </c>
      <c r="M2570" s="26">
        <f>H2570^2/6</f>
        <v/>
      </c>
      <c r="N2570" s="26">
        <f>H2570^3/12</f>
        <v/>
      </c>
      <c r="O2570" s="27">
        <f>-J2570*L2570*K2570*C2570</f>
        <v/>
      </c>
      <c r="P2570" s="28">
        <f>-(12*F2570*J2570*L2570*N2570+12*O2570*N2570*G2570*COS(RADIANS(E2570)))/(12*N2570*G2570*COS(RADIANS(E2570))^2+L2570*G2570^3*SIN(RADIANS(E2570))^2)</f>
        <v/>
      </c>
      <c r="Q2570" s="28">
        <f>-(6*F2570*J2570*L2570*N2570*SIN(RADIANS(E2570))+6*O2570*N2570*G2570*SIN(RADIANS(E2570))*COS(RADIANS(E2570)))/(12*N2570*COS(RADIANS(E2570))^2+L2570*G2570^2*SIN(RADIANS(E2570))^2)</f>
        <v/>
      </c>
      <c r="R2570" s="28">
        <f>-P2570*SIN(RADIANS(E2570))</f>
        <v/>
      </c>
      <c r="S2570" s="8">
        <f>(O2570+P2570*COS(RADIANS(E2570)))/L2570</f>
        <v/>
      </c>
      <c r="T2570" s="8">
        <f>R2570/L2570</f>
        <v/>
      </c>
      <c r="U2570" s="8">
        <f>(Q2570-P2570*G2570*SIN(RADIANS(E2570)))/M2570</f>
        <v/>
      </c>
      <c r="V2570" s="8">
        <f>SQRT((S2570+U2570)^2+3*T2570^2)</f>
        <v/>
      </c>
      <c r="W2570" s="8">
        <f>V2570/AA2570</f>
        <v/>
      </c>
      <c r="X2570" s="27">
        <f>((3*10+H2570/COS(RADIANS(E2570)))*(3+3)+3*G2570*H2570)*2</f>
        <v/>
      </c>
      <c r="Y2570" s="28">
        <f>Z2570/X2570</f>
        <v/>
      </c>
      <c r="Z2570" s="29" t="n">
        <v>622.314080074745</v>
      </c>
      <c r="AA2570" s="20" t="n">
        <v>46.9146729009887</v>
      </c>
      <c r="AB2570" t="n">
        <v>0.06972005744189527</v>
      </c>
      <c r="AC2570" t="n">
        <v>48.91121728272589</v>
      </c>
      <c r="AD2570" t="n">
        <v>17.9000980525784</v>
      </c>
    </row>
    <row r="2571">
      <c r="A2571" t="n">
        <v>2570</v>
      </c>
      <c r="B2571" t="n">
        <v>57.7</v>
      </c>
      <c r="C2571" s="21">
        <f>B2571-20</f>
        <v/>
      </c>
      <c r="D2571" t="n">
        <v>116.7</v>
      </c>
      <c r="E2571" s="22">
        <f>D2571-90</f>
        <v/>
      </c>
      <c r="F2571" s="23" t="n">
        <v>0.011486</v>
      </c>
      <c r="G2571" s="22" t="n">
        <v>23.2</v>
      </c>
      <c r="H2571" s="22" t="n">
        <v>1.6</v>
      </c>
      <c r="I2571" s="24" t="n">
        <v>0.0586039088666439</v>
      </c>
      <c r="J2571" s="6" t="n">
        <v>71000</v>
      </c>
      <c r="K2571" s="25">
        <f>23*10^-6</f>
        <v/>
      </c>
      <c r="L2571" s="8">
        <f>H2571</f>
        <v/>
      </c>
      <c r="M2571" s="26">
        <f>H2571^2/6</f>
        <v/>
      </c>
      <c r="N2571" s="26">
        <f>H2571^3/12</f>
        <v/>
      </c>
      <c r="O2571" s="27">
        <f>-J2571*L2571*K2571*C2571</f>
        <v/>
      </c>
      <c r="P2571" s="28">
        <f>-(12*F2571*J2571*L2571*N2571+12*O2571*N2571*G2571*COS(RADIANS(E2571)))/(12*N2571*G2571*COS(RADIANS(E2571))^2+L2571*G2571^3*SIN(RADIANS(E2571))^2)</f>
        <v/>
      </c>
      <c r="Q2571" s="28">
        <f>-(6*F2571*J2571*L2571*N2571*SIN(RADIANS(E2571))+6*O2571*N2571*G2571*SIN(RADIANS(E2571))*COS(RADIANS(E2571)))/(12*N2571*COS(RADIANS(E2571))^2+L2571*G2571^2*SIN(RADIANS(E2571))^2)</f>
        <v/>
      </c>
      <c r="R2571" s="28">
        <f>-P2571*SIN(RADIANS(E2571))</f>
        <v/>
      </c>
      <c r="S2571" s="8">
        <f>(O2571+P2571*COS(RADIANS(E2571)))/L2571</f>
        <v/>
      </c>
      <c r="T2571" s="8">
        <f>R2571/L2571</f>
        <v/>
      </c>
      <c r="U2571" s="8">
        <f>(Q2571-P2571*G2571*SIN(RADIANS(E2571)))/M2571</f>
        <v/>
      </c>
      <c r="V2571" s="8">
        <f>SQRT((S2571+U2571)^2+3*T2571^2)</f>
        <v/>
      </c>
      <c r="W2571" s="8">
        <f>V2571/AA2571</f>
        <v/>
      </c>
      <c r="X2571" s="27">
        <f>((3*10+H2571/COS(RADIANS(E2571)))*(3+3)+3*G2571*H2571)*2</f>
        <v/>
      </c>
      <c r="Y2571" s="28">
        <f>Z2571/X2571</f>
        <v/>
      </c>
      <c r="Z2571" s="29" t="n">
        <v>610.5097784233431</v>
      </c>
      <c r="AA2571" s="20" t="n">
        <v>59.2855335799176</v>
      </c>
      <c r="AB2571" t="n">
        <v>0.06625532949516827</v>
      </c>
      <c r="AC2571" t="n">
        <v>57.67716429339932</v>
      </c>
      <c r="AD2571" t="n">
        <v>13.05616088840688</v>
      </c>
    </row>
    <row r="2572">
      <c r="A2572" t="n">
        <v>2571</v>
      </c>
      <c r="B2572" t="n">
        <v>70.7</v>
      </c>
      <c r="C2572" s="21">
        <f>B2572-20</f>
        <v/>
      </c>
      <c r="D2572" t="n">
        <v>119.1</v>
      </c>
      <c r="E2572" s="22">
        <f>D2572-90</f>
        <v/>
      </c>
      <c r="F2572" s="23" t="n">
        <v>0.016295</v>
      </c>
      <c r="G2572" s="22" t="n">
        <v>25.4</v>
      </c>
      <c r="H2572" s="22" t="n">
        <v>1.1</v>
      </c>
      <c r="I2572" s="24" t="n">
        <v>0.078833520412445</v>
      </c>
      <c r="J2572" s="6" t="n">
        <v>71000</v>
      </c>
      <c r="K2572" s="25">
        <f>23*10^-6</f>
        <v/>
      </c>
      <c r="L2572" s="8">
        <f>H2572</f>
        <v/>
      </c>
      <c r="M2572" s="26">
        <f>H2572^2/6</f>
        <v/>
      </c>
      <c r="N2572" s="26">
        <f>H2572^3/12</f>
        <v/>
      </c>
      <c r="O2572" s="27">
        <f>-J2572*L2572*K2572*C2572</f>
        <v/>
      </c>
      <c r="P2572" s="28">
        <f>-(12*F2572*J2572*L2572*N2572+12*O2572*N2572*G2572*COS(RADIANS(E2572)))/(12*N2572*G2572*COS(RADIANS(E2572))^2+L2572*G2572^3*SIN(RADIANS(E2572))^2)</f>
        <v/>
      </c>
      <c r="Q2572" s="28">
        <f>-(6*F2572*J2572*L2572*N2572*SIN(RADIANS(E2572))+6*O2572*N2572*G2572*SIN(RADIANS(E2572))*COS(RADIANS(E2572)))/(12*N2572*COS(RADIANS(E2572))^2+L2572*G2572^2*SIN(RADIANS(E2572))^2)</f>
        <v/>
      </c>
      <c r="R2572" s="28">
        <f>-P2572*SIN(RADIANS(E2572))</f>
        <v/>
      </c>
      <c r="S2572" s="8">
        <f>(O2572+P2572*COS(RADIANS(E2572)))/L2572</f>
        <v/>
      </c>
      <c r="T2572" s="8">
        <f>R2572/L2572</f>
        <v/>
      </c>
      <c r="U2572" s="8">
        <f>(Q2572-P2572*G2572*SIN(RADIANS(E2572)))/M2572</f>
        <v/>
      </c>
      <c r="V2572" s="8">
        <f>SQRT((S2572+U2572)^2+3*T2572^2)</f>
        <v/>
      </c>
      <c r="W2572" s="8">
        <f>V2572/AA2572</f>
        <v/>
      </c>
      <c r="X2572" s="27">
        <f>((3*10+H2572/COS(RADIANS(E2572)))*(3+3)+3*G2572*H2572)*2</f>
        <v/>
      </c>
      <c r="Y2572" s="28">
        <f>Z2572/X2572</f>
        <v/>
      </c>
      <c r="Z2572" s="29" t="n">
        <v>549.64765385024</v>
      </c>
      <c r="AA2572" s="20" t="n">
        <v>70.739825383854</v>
      </c>
      <c r="AB2572" t="n">
        <v>0.08958221764176376</v>
      </c>
      <c r="AC2572" t="n">
        <v>73.79597154877445</v>
      </c>
      <c r="AD2572" t="n">
        <v>13.63467871672254</v>
      </c>
    </row>
    <row r="2573">
      <c r="A2573" t="n">
        <v>2572</v>
      </c>
      <c r="B2573" t="n">
        <v>73.2</v>
      </c>
      <c r="C2573" s="21">
        <f>B2573-20</f>
        <v/>
      </c>
      <c r="D2573" t="n">
        <v>114</v>
      </c>
      <c r="E2573" s="22">
        <f>D2573-90</f>
        <v/>
      </c>
      <c r="F2573" s="23" t="n">
        <v>0.020759</v>
      </c>
      <c r="G2573" s="22" t="n">
        <v>30.9</v>
      </c>
      <c r="H2573" s="22" t="n">
        <v>1.5</v>
      </c>
      <c r="I2573" s="24" t="n">
        <v>0.107747413218021</v>
      </c>
      <c r="J2573" s="6" t="n">
        <v>71000</v>
      </c>
      <c r="K2573" s="25">
        <f>23*10^-6</f>
        <v/>
      </c>
      <c r="L2573" s="8">
        <f>H2573</f>
        <v/>
      </c>
      <c r="M2573" s="26">
        <f>H2573^2/6</f>
        <v/>
      </c>
      <c r="N2573" s="26">
        <f>H2573^3/12</f>
        <v/>
      </c>
      <c r="O2573" s="27">
        <f>-J2573*L2573*K2573*C2573</f>
        <v/>
      </c>
      <c r="P2573" s="28">
        <f>-(12*F2573*J2573*L2573*N2573+12*O2573*N2573*G2573*COS(RADIANS(E2573)))/(12*N2573*G2573*COS(RADIANS(E2573))^2+L2573*G2573^3*SIN(RADIANS(E2573))^2)</f>
        <v/>
      </c>
      <c r="Q2573" s="28">
        <f>-(6*F2573*J2573*L2573*N2573*SIN(RADIANS(E2573))+6*O2573*N2573*G2573*SIN(RADIANS(E2573))*COS(RADIANS(E2573)))/(12*N2573*COS(RADIANS(E2573))^2+L2573*G2573^2*SIN(RADIANS(E2573))^2)</f>
        <v/>
      </c>
      <c r="R2573" s="28">
        <f>-P2573*SIN(RADIANS(E2573))</f>
        <v/>
      </c>
      <c r="S2573" s="8">
        <f>(O2573+P2573*COS(RADIANS(E2573)))/L2573</f>
        <v/>
      </c>
      <c r="T2573" s="8">
        <f>R2573/L2573</f>
        <v/>
      </c>
      <c r="U2573" s="8">
        <f>(Q2573-P2573*G2573*SIN(RADIANS(E2573)))/M2573</f>
        <v/>
      </c>
      <c r="V2573" s="8">
        <f>SQRT((S2573+U2573)^2+3*T2573^2)</f>
        <v/>
      </c>
      <c r="W2573" s="8">
        <f>V2573/AA2573</f>
        <v/>
      </c>
      <c r="X2573" s="27">
        <f>((3*10+H2573/COS(RADIANS(E2573)))*(3+3)+3*G2573*H2573)*2</f>
        <v/>
      </c>
      <c r="Y2573" s="28">
        <f>Z2573/X2573</f>
        <v/>
      </c>
      <c r="Z2573" s="29" t="n">
        <v>663.508353082896</v>
      </c>
      <c r="AA2573" s="20" t="n">
        <v>80.02737335008609</v>
      </c>
      <c r="AB2573" t="n">
        <v>0.1378344619252644</v>
      </c>
      <c r="AC2573" t="n">
        <v>80.33533154148986</v>
      </c>
      <c r="AD2573" t="n">
        <v>27.92368541262695</v>
      </c>
    </row>
    <row r="2574">
      <c r="A2574" t="n">
        <v>2573</v>
      </c>
      <c r="B2574" t="n">
        <v>59.7</v>
      </c>
      <c r="C2574" s="21">
        <f>B2574-20</f>
        <v/>
      </c>
      <c r="D2574" t="n">
        <v>102</v>
      </c>
      <c r="E2574" s="22">
        <f>D2574-90</f>
        <v/>
      </c>
      <c r="F2574" s="23" t="n">
        <v>0.012499</v>
      </c>
      <c r="G2574" s="22" t="n">
        <v>22.1</v>
      </c>
      <c r="H2574" s="22" t="n">
        <v>1.7</v>
      </c>
      <c r="I2574" s="24" t="n">
        <v>0.101821891963481</v>
      </c>
      <c r="J2574" s="6" t="n">
        <v>71000</v>
      </c>
      <c r="K2574" s="25">
        <f>23*10^-6</f>
        <v/>
      </c>
      <c r="L2574" s="8">
        <f>H2574</f>
        <v/>
      </c>
      <c r="M2574" s="26">
        <f>H2574^2/6</f>
        <v/>
      </c>
      <c r="N2574" s="26">
        <f>H2574^3/12</f>
        <v/>
      </c>
      <c r="O2574" s="27">
        <f>-J2574*L2574*K2574*C2574</f>
        <v/>
      </c>
      <c r="P2574" s="28">
        <f>-(12*F2574*J2574*L2574*N2574+12*O2574*N2574*G2574*COS(RADIANS(E2574)))/(12*N2574*G2574*COS(RADIANS(E2574))^2+L2574*G2574^3*SIN(RADIANS(E2574))^2)</f>
        <v/>
      </c>
      <c r="Q2574" s="28">
        <f>-(6*F2574*J2574*L2574*N2574*SIN(RADIANS(E2574))+6*O2574*N2574*G2574*SIN(RADIANS(E2574))*COS(RADIANS(E2574)))/(12*N2574*COS(RADIANS(E2574))^2+L2574*G2574^2*SIN(RADIANS(E2574))^2)</f>
        <v/>
      </c>
      <c r="R2574" s="28">
        <f>-P2574*SIN(RADIANS(E2574))</f>
        <v/>
      </c>
      <c r="S2574" s="8">
        <f>(O2574+P2574*COS(RADIANS(E2574)))/L2574</f>
        <v/>
      </c>
      <c r="T2574" s="8">
        <f>R2574/L2574</f>
        <v/>
      </c>
      <c r="U2574" s="8">
        <f>(Q2574-P2574*G2574*SIN(RADIANS(E2574)))/M2574</f>
        <v/>
      </c>
      <c r="V2574" s="8">
        <f>SQRT((S2574+U2574)^2+3*T2574^2)</f>
        <v/>
      </c>
      <c r="W2574" s="8">
        <f>V2574/AA2574</f>
        <v/>
      </c>
      <c r="X2574" s="27">
        <f>((3*10+H2574/COS(RADIANS(E2574)))*(3+3)+3*G2574*H2574)*2</f>
        <v/>
      </c>
      <c r="Y2574" s="28">
        <f>Z2574/X2574</f>
        <v/>
      </c>
      <c r="Z2574" s="29" t="n">
        <v>610.245551797648</v>
      </c>
      <c r="AA2574" s="20" t="n">
        <v>80.3729279714359</v>
      </c>
      <c r="AB2574" t="n">
        <v>0.1375043477429173</v>
      </c>
      <c r="AC2574" t="n">
        <v>69.83621233887855</v>
      </c>
      <c r="AD2574" t="n">
        <v>35.04399210361758</v>
      </c>
    </row>
    <row r="2575">
      <c r="A2575" t="n">
        <v>2574</v>
      </c>
      <c r="B2575" t="n">
        <v>52.6</v>
      </c>
      <c r="C2575" s="21">
        <f>B2575-20</f>
        <v/>
      </c>
      <c r="D2575" t="n">
        <v>113.9</v>
      </c>
      <c r="E2575" s="22">
        <f>D2575-90</f>
        <v/>
      </c>
      <c r="F2575" s="23" t="n">
        <v>0.011268</v>
      </c>
      <c r="G2575" s="22" t="n">
        <v>26.6</v>
      </c>
      <c r="H2575" s="22" t="n">
        <v>1.4</v>
      </c>
      <c r="I2575" s="24" t="n">
        <v>0.0598312690854072</v>
      </c>
      <c r="J2575" s="6" t="n">
        <v>71000</v>
      </c>
      <c r="K2575" s="25">
        <f>23*10^-6</f>
        <v/>
      </c>
      <c r="L2575" s="8">
        <f>H2575</f>
        <v/>
      </c>
      <c r="M2575" s="26">
        <f>H2575^2/6</f>
        <v/>
      </c>
      <c r="N2575" s="26">
        <f>H2575^3/12</f>
        <v/>
      </c>
      <c r="O2575" s="27">
        <f>-J2575*L2575*K2575*C2575</f>
        <v/>
      </c>
      <c r="P2575" s="28">
        <f>-(12*F2575*J2575*L2575*N2575+12*O2575*N2575*G2575*COS(RADIANS(E2575)))/(12*N2575*G2575*COS(RADIANS(E2575))^2+L2575*G2575^3*SIN(RADIANS(E2575))^2)</f>
        <v/>
      </c>
      <c r="Q2575" s="28">
        <f>-(6*F2575*J2575*L2575*N2575*SIN(RADIANS(E2575))+6*O2575*N2575*G2575*SIN(RADIANS(E2575))*COS(RADIANS(E2575)))/(12*N2575*COS(RADIANS(E2575))^2+L2575*G2575^2*SIN(RADIANS(E2575))^2)</f>
        <v/>
      </c>
      <c r="R2575" s="28">
        <f>-P2575*SIN(RADIANS(E2575))</f>
        <v/>
      </c>
      <c r="S2575" s="8">
        <f>(O2575+P2575*COS(RADIANS(E2575)))/L2575</f>
        <v/>
      </c>
      <c r="T2575" s="8">
        <f>R2575/L2575</f>
        <v/>
      </c>
      <c r="U2575" s="8">
        <f>(Q2575-P2575*G2575*SIN(RADIANS(E2575)))/M2575</f>
        <v/>
      </c>
      <c r="V2575" s="8">
        <f>SQRT((S2575+U2575)^2+3*T2575^2)</f>
        <v/>
      </c>
      <c r="W2575" s="8">
        <f>V2575/AA2575</f>
        <v/>
      </c>
      <c r="X2575" s="27">
        <f>((3*10+H2575/COS(RADIANS(E2575)))*(3+3)+3*G2575*H2575)*2</f>
        <v/>
      </c>
      <c r="Y2575" s="28">
        <f>Z2575/X2575</f>
        <v/>
      </c>
      <c r="Z2575" s="29" t="n">
        <v>607.500179554128</v>
      </c>
      <c r="AA2575" s="20" t="n">
        <v>48.967773835917</v>
      </c>
      <c r="AB2575" t="n">
        <v>0.07354824500046894</v>
      </c>
      <c r="AC2575" t="n">
        <v>49.43108835082223</v>
      </c>
      <c r="AD2575" t="n">
        <v>22.92609888565325</v>
      </c>
    </row>
    <row r="2576">
      <c r="A2576" t="n">
        <v>2575</v>
      </c>
      <c r="B2576" t="n">
        <v>51.5</v>
      </c>
      <c r="C2576" s="21">
        <f>B2576-20</f>
        <v/>
      </c>
      <c r="D2576" t="n">
        <v>128.6</v>
      </c>
      <c r="E2576" s="22">
        <f>D2576-90</f>
        <v/>
      </c>
      <c r="F2576" s="23" t="n">
        <v>0.010406</v>
      </c>
      <c r="G2576" s="22" t="n">
        <v>29.4</v>
      </c>
      <c r="H2576" s="22" t="n">
        <v>1.9</v>
      </c>
      <c r="I2576" s="24" t="n">
        <v>0.0451213754713535</v>
      </c>
      <c r="J2576" s="6" t="n">
        <v>71000</v>
      </c>
      <c r="K2576" s="25">
        <f>23*10^-6</f>
        <v/>
      </c>
      <c r="L2576" s="8">
        <f>H2576</f>
        <v/>
      </c>
      <c r="M2576" s="26">
        <f>H2576^2/6</f>
        <v/>
      </c>
      <c r="N2576" s="26">
        <f>H2576^3/12</f>
        <v/>
      </c>
      <c r="O2576" s="27">
        <f>-J2576*L2576*K2576*C2576</f>
        <v/>
      </c>
      <c r="P2576" s="28">
        <f>-(12*F2576*J2576*L2576*N2576+12*O2576*N2576*G2576*COS(RADIANS(E2576)))/(12*N2576*G2576*COS(RADIANS(E2576))^2+L2576*G2576^3*SIN(RADIANS(E2576))^2)</f>
        <v/>
      </c>
      <c r="Q2576" s="28">
        <f>-(6*F2576*J2576*L2576*N2576*SIN(RADIANS(E2576))+6*O2576*N2576*G2576*SIN(RADIANS(E2576))*COS(RADIANS(E2576)))/(12*N2576*COS(RADIANS(E2576))^2+L2576*G2576^2*SIN(RADIANS(E2576))^2)</f>
        <v/>
      </c>
      <c r="R2576" s="28">
        <f>-P2576*SIN(RADIANS(E2576))</f>
        <v/>
      </c>
      <c r="S2576" s="8">
        <f>(O2576+P2576*COS(RADIANS(E2576)))/L2576</f>
        <v/>
      </c>
      <c r="T2576" s="8">
        <f>R2576/L2576</f>
        <v/>
      </c>
      <c r="U2576" s="8">
        <f>(Q2576-P2576*G2576*SIN(RADIANS(E2576)))/M2576</f>
        <v/>
      </c>
      <c r="V2576" s="8">
        <f>SQRT((S2576+U2576)^2+3*T2576^2)</f>
        <v/>
      </c>
      <c r="W2576" s="8">
        <f>V2576/AA2576</f>
        <v/>
      </c>
      <c r="X2576" s="27">
        <f>((3*10+H2576/COS(RADIANS(E2576)))*(3+3)+3*G2576*H2576)*2</f>
        <v/>
      </c>
      <c r="Y2576" s="28">
        <f>Z2576/X2576</f>
        <v/>
      </c>
      <c r="Z2576" s="29" t="n">
        <v>734.476897516997</v>
      </c>
      <c r="AA2576" s="20" t="n">
        <v>48.4532698743689</v>
      </c>
      <c r="AB2576" t="n">
        <v>0.04681521449895279</v>
      </c>
      <c r="AC2576" t="n">
        <v>46.03252210679035</v>
      </c>
      <c r="AD2576" t="n">
        <v>3.75396142051269</v>
      </c>
    </row>
    <row r="2577">
      <c r="A2577" t="n">
        <v>2576</v>
      </c>
      <c r="B2577" t="n">
        <v>90</v>
      </c>
      <c r="C2577" s="21">
        <f>B2577-20</f>
        <v/>
      </c>
      <c r="D2577" t="n">
        <v>128.6</v>
      </c>
      <c r="E2577" s="22">
        <f>D2577-90</f>
        <v/>
      </c>
      <c r="F2577" s="23" t="n">
        <v>0.02568</v>
      </c>
      <c r="G2577" s="22" t="n">
        <v>33.5</v>
      </c>
      <c r="H2577" s="22" t="n">
        <v>1.9</v>
      </c>
      <c r="I2577" s="24" t="n">
        <v>0.109365925192832</v>
      </c>
      <c r="J2577" s="6" t="n">
        <v>71000</v>
      </c>
      <c r="K2577" s="25">
        <f>23*10^-6</f>
        <v/>
      </c>
      <c r="L2577" s="8">
        <f>H2577</f>
        <v/>
      </c>
      <c r="M2577" s="26">
        <f>H2577^2/6</f>
        <v/>
      </c>
      <c r="N2577" s="26">
        <f>H2577^3/12</f>
        <v/>
      </c>
      <c r="O2577" s="27">
        <f>-J2577*L2577*K2577*C2577</f>
        <v/>
      </c>
      <c r="P2577" s="28">
        <f>-(12*F2577*J2577*L2577*N2577+12*O2577*N2577*G2577*COS(RADIANS(E2577)))/(12*N2577*G2577*COS(RADIANS(E2577))^2+L2577*G2577^3*SIN(RADIANS(E2577))^2)</f>
        <v/>
      </c>
      <c r="Q2577" s="28">
        <f>-(6*F2577*J2577*L2577*N2577*SIN(RADIANS(E2577))+6*O2577*N2577*G2577*SIN(RADIANS(E2577))*COS(RADIANS(E2577)))/(12*N2577*COS(RADIANS(E2577))^2+L2577*G2577^2*SIN(RADIANS(E2577))^2)</f>
        <v/>
      </c>
      <c r="R2577" s="28">
        <f>-P2577*SIN(RADIANS(E2577))</f>
        <v/>
      </c>
      <c r="S2577" s="8">
        <f>(O2577+P2577*COS(RADIANS(E2577)))/L2577</f>
        <v/>
      </c>
      <c r="T2577" s="8">
        <f>R2577/L2577</f>
        <v/>
      </c>
      <c r="U2577" s="8">
        <f>(Q2577-P2577*G2577*SIN(RADIANS(E2577)))/M2577</f>
        <v/>
      </c>
      <c r="V2577" s="8">
        <f>SQRT((S2577+U2577)^2+3*T2577^2)</f>
        <v/>
      </c>
      <c r="W2577" s="8">
        <f>V2577/AA2577</f>
        <v/>
      </c>
      <c r="X2577" s="27">
        <f>((3*10+H2577/COS(RADIANS(E2577)))*(3+3)+3*G2577*H2577)*2</f>
        <v/>
      </c>
      <c r="Y2577" s="28">
        <f>Z2577/X2577</f>
        <v/>
      </c>
      <c r="Z2577" s="29" t="n">
        <v>781.2168975169971</v>
      </c>
      <c r="AA2577" s="20" t="n">
        <v>106.368272552785</v>
      </c>
      <c r="AB2577" t="n">
        <v>0.1179215234219955</v>
      </c>
      <c r="AC2577" t="n">
        <v>101.6254307862307</v>
      </c>
      <c r="AD2577" t="n">
        <v>7.822910302343676</v>
      </c>
    </row>
    <row r="2578">
      <c r="A2578" t="n">
        <v>2577</v>
      </c>
      <c r="B2578" t="n">
        <v>76</v>
      </c>
      <c r="C2578" s="21">
        <f>B2578-20</f>
        <v/>
      </c>
      <c r="D2578" t="n">
        <v>119</v>
      </c>
      <c r="E2578" s="22">
        <f>D2578-90</f>
        <v/>
      </c>
      <c r="F2578" s="23" t="n">
        <v>0.01952</v>
      </c>
      <c r="G2578" s="22" t="n">
        <v>28.1</v>
      </c>
      <c r="H2578" s="22" t="n">
        <v>1.1</v>
      </c>
      <c r="I2578" s="24" t="n">
        <v>0.0931378975510597</v>
      </c>
      <c r="J2578" s="6" t="n">
        <v>71000</v>
      </c>
      <c r="K2578" s="25">
        <f>23*10^-6</f>
        <v/>
      </c>
      <c r="L2578" s="8">
        <f>H2578</f>
        <v/>
      </c>
      <c r="M2578" s="26">
        <f>H2578^2/6</f>
        <v/>
      </c>
      <c r="N2578" s="26">
        <f>H2578^3/12</f>
        <v/>
      </c>
      <c r="O2578" s="27">
        <f>-J2578*L2578*K2578*C2578</f>
        <v/>
      </c>
      <c r="P2578" s="28">
        <f>-(12*F2578*J2578*L2578*N2578+12*O2578*N2578*G2578*COS(RADIANS(E2578)))/(12*N2578*G2578*COS(RADIANS(E2578))^2+L2578*G2578^3*SIN(RADIANS(E2578))^2)</f>
        <v/>
      </c>
      <c r="Q2578" s="28">
        <f>-(6*F2578*J2578*L2578*N2578*SIN(RADIANS(E2578))+6*O2578*N2578*G2578*SIN(RADIANS(E2578))*COS(RADIANS(E2578)))/(12*N2578*COS(RADIANS(E2578))^2+L2578*G2578^2*SIN(RADIANS(E2578))^2)</f>
        <v/>
      </c>
      <c r="R2578" s="28">
        <f>-P2578*SIN(RADIANS(E2578))</f>
        <v/>
      </c>
      <c r="S2578" s="8">
        <f>(O2578+P2578*COS(RADIANS(E2578)))/L2578</f>
        <v/>
      </c>
      <c r="T2578" s="8">
        <f>R2578/L2578</f>
        <v/>
      </c>
      <c r="U2578" s="8">
        <f>(Q2578-P2578*G2578*SIN(RADIANS(E2578)))/M2578</f>
        <v/>
      </c>
      <c r="V2578" s="8">
        <f>SQRT((S2578+U2578)^2+3*T2578^2)</f>
        <v/>
      </c>
      <c r="W2578" s="8">
        <f>V2578/AA2578</f>
        <v/>
      </c>
      <c r="X2578" s="27">
        <f>((3*10+H2578/COS(RADIANS(E2578)))*(3+3)+3*G2578*H2578)*2</f>
        <v/>
      </c>
      <c r="Y2578" s="28">
        <f>Z2578/X2578</f>
        <v/>
      </c>
      <c r="Z2578" s="29" t="n">
        <v>567.426400710528</v>
      </c>
      <c r="AA2578" s="20" t="n">
        <v>77.4553196091473</v>
      </c>
      <c r="AB2578" t="n">
        <v>0.1092701441479283</v>
      </c>
      <c r="AC2578" t="n">
        <v>81.15014093007585</v>
      </c>
      <c r="AD2578" t="n">
        <v>17.3208189373447</v>
      </c>
    </row>
    <row r="2579">
      <c r="A2579" t="n">
        <v>2578</v>
      </c>
      <c r="B2579" t="n">
        <v>45</v>
      </c>
      <c r="C2579" s="21">
        <f>B2579-20</f>
        <v/>
      </c>
      <c r="D2579" t="n">
        <v>100.4</v>
      </c>
      <c r="E2579" s="22">
        <f>D2579-90</f>
        <v/>
      </c>
      <c r="F2579" s="23" t="n">
        <v>0.009783</v>
      </c>
      <c r="G2579" s="22" t="n">
        <v>28.8</v>
      </c>
      <c r="H2579" s="22" t="n">
        <v>1.2</v>
      </c>
      <c r="I2579" s="24" t="n">
        <v>0.0924484357237815</v>
      </c>
      <c r="J2579" s="6" t="n">
        <v>71000</v>
      </c>
      <c r="K2579" s="25">
        <f>23*10^-6</f>
        <v/>
      </c>
      <c r="L2579" s="8">
        <f>H2579</f>
        <v/>
      </c>
      <c r="M2579" s="26">
        <f>H2579^2/6</f>
        <v/>
      </c>
      <c r="N2579" s="26">
        <f>H2579^3/12</f>
        <v/>
      </c>
      <c r="O2579" s="27">
        <f>-J2579*L2579*K2579*C2579</f>
        <v/>
      </c>
      <c r="P2579" s="28">
        <f>-(12*F2579*J2579*L2579*N2579+12*O2579*N2579*G2579*COS(RADIANS(E2579)))/(12*N2579*G2579*COS(RADIANS(E2579))^2+L2579*G2579^3*SIN(RADIANS(E2579))^2)</f>
        <v/>
      </c>
      <c r="Q2579" s="28">
        <f>-(6*F2579*J2579*L2579*N2579*SIN(RADIANS(E2579))+6*O2579*N2579*G2579*SIN(RADIANS(E2579))*COS(RADIANS(E2579)))/(12*N2579*COS(RADIANS(E2579))^2+L2579*G2579^2*SIN(RADIANS(E2579))^2)</f>
        <v/>
      </c>
      <c r="R2579" s="28">
        <f>-P2579*SIN(RADIANS(E2579))</f>
        <v/>
      </c>
      <c r="S2579" s="8">
        <f>(O2579+P2579*COS(RADIANS(E2579)))/L2579</f>
        <v/>
      </c>
      <c r="T2579" s="8">
        <f>R2579/L2579</f>
        <v/>
      </c>
      <c r="U2579" s="8">
        <f>(Q2579-P2579*G2579*SIN(RADIANS(E2579)))/M2579</f>
        <v/>
      </c>
      <c r="V2579" s="8">
        <f>SQRT((S2579+U2579)^2+3*T2579^2)</f>
        <v/>
      </c>
      <c r="W2579" s="8">
        <f>V2579/AA2579</f>
        <v/>
      </c>
      <c r="X2579" s="27">
        <f>((3*10+H2579/COS(RADIANS(E2579)))*(3+3)+3*G2579*H2579)*2</f>
        <v/>
      </c>
      <c r="Y2579" s="28">
        <f>Z2579/X2579</f>
        <v/>
      </c>
      <c r="Z2579" s="29" t="n">
        <v>585.835022044421</v>
      </c>
      <c r="AA2579" s="20" t="n">
        <v>38.1623958535579</v>
      </c>
      <c r="AB2579" t="n">
        <v>0.1378427103702752</v>
      </c>
      <c r="AC2579" t="n">
        <v>41.60666306681684</v>
      </c>
      <c r="AD2579" t="n">
        <v>49.10226364686501</v>
      </c>
    </row>
    <row r="2580">
      <c r="A2580" t="n">
        <v>2579</v>
      </c>
      <c r="B2580" t="n">
        <v>44.4</v>
      </c>
      <c r="C2580" s="21">
        <f>B2580-20</f>
        <v/>
      </c>
      <c r="D2580" t="n">
        <v>124.6</v>
      </c>
      <c r="E2580" s="22">
        <f>D2580-90</f>
        <v/>
      </c>
      <c r="F2580" s="23" t="n">
        <v>0.009225000000000001</v>
      </c>
      <c r="G2580" s="22" t="n">
        <v>33</v>
      </c>
      <c r="H2580" s="22" t="n">
        <v>1.3</v>
      </c>
      <c r="I2580" s="24" t="n">
        <v>0.0402447246015071</v>
      </c>
      <c r="J2580" s="6" t="n">
        <v>71000</v>
      </c>
      <c r="K2580" s="25">
        <f>23*10^-6</f>
        <v/>
      </c>
      <c r="L2580" s="8">
        <f>H2580</f>
        <v/>
      </c>
      <c r="M2580" s="26">
        <f>H2580^2/6</f>
        <v/>
      </c>
      <c r="N2580" s="26">
        <f>H2580^3/12</f>
        <v/>
      </c>
      <c r="O2580" s="27">
        <f>-J2580*L2580*K2580*C2580</f>
        <v/>
      </c>
      <c r="P2580" s="28">
        <f>-(12*F2580*J2580*L2580*N2580+12*O2580*N2580*G2580*COS(RADIANS(E2580)))/(12*N2580*G2580*COS(RADIANS(E2580))^2+L2580*G2580^3*SIN(RADIANS(E2580))^2)</f>
        <v/>
      </c>
      <c r="Q2580" s="28">
        <f>-(6*F2580*J2580*L2580*N2580*SIN(RADIANS(E2580))+6*O2580*N2580*G2580*SIN(RADIANS(E2580))*COS(RADIANS(E2580)))/(12*N2580*COS(RADIANS(E2580))^2+L2580*G2580^2*SIN(RADIANS(E2580))^2)</f>
        <v/>
      </c>
      <c r="R2580" s="28">
        <f>-P2580*SIN(RADIANS(E2580))</f>
        <v/>
      </c>
      <c r="S2580" s="8">
        <f>(O2580+P2580*COS(RADIANS(E2580)))/L2580</f>
        <v/>
      </c>
      <c r="T2580" s="8">
        <f>R2580/L2580</f>
        <v/>
      </c>
      <c r="U2580" s="8">
        <f>(Q2580-P2580*G2580*SIN(RADIANS(E2580)))/M2580</f>
        <v/>
      </c>
      <c r="V2580" s="8">
        <f>SQRT((S2580+U2580)^2+3*T2580^2)</f>
        <v/>
      </c>
      <c r="W2580" s="8">
        <f>V2580/AA2580</f>
        <v/>
      </c>
      <c r="X2580" s="27">
        <f>((3*10+H2580/COS(RADIANS(E2580)))*(3+3)+3*G2580*H2580)*2</f>
        <v/>
      </c>
      <c r="Y2580" s="28">
        <f>Z2580/X2580</f>
        <v/>
      </c>
      <c r="Z2580" s="29" t="n">
        <v>644.942304343725</v>
      </c>
      <c r="AA2580" s="20" t="n">
        <v>34.0408593677745</v>
      </c>
      <c r="AB2580" t="n">
        <v>0.04581579620897233</v>
      </c>
      <c r="AC2580" t="n">
        <v>34.9398251030967</v>
      </c>
      <c r="AD2580" t="n">
        <v>13.84298603761996</v>
      </c>
    </row>
    <row r="2581">
      <c r="A2581" t="n">
        <v>2580</v>
      </c>
      <c r="B2581" t="n">
        <v>55.2</v>
      </c>
      <c r="C2581" s="21">
        <f>B2581-20</f>
        <v/>
      </c>
      <c r="D2581" t="n">
        <v>115.9</v>
      </c>
      <c r="E2581" s="22">
        <f>D2581-90</f>
        <v/>
      </c>
      <c r="F2581" s="23" t="n">
        <v>0.011937</v>
      </c>
      <c r="G2581" s="22" t="n">
        <v>26.4</v>
      </c>
      <c r="H2581" s="22" t="n">
        <v>1.3</v>
      </c>
      <c r="I2581" s="24" t="n">
        <v>0.0607688724994659</v>
      </c>
      <c r="J2581" s="6" t="n">
        <v>71000</v>
      </c>
      <c r="K2581" s="25">
        <f>23*10^-6</f>
        <v/>
      </c>
      <c r="L2581" s="8">
        <f>H2581</f>
        <v/>
      </c>
      <c r="M2581" s="26">
        <f>H2581^2/6</f>
        <v/>
      </c>
      <c r="N2581" s="26">
        <f>H2581^3/12</f>
        <v/>
      </c>
      <c r="O2581" s="27">
        <f>-J2581*L2581*K2581*C2581</f>
        <v/>
      </c>
      <c r="P2581" s="28">
        <f>-(12*F2581*J2581*L2581*N2581+12*O2581*N2581*G2581*COS(RADIANS(E2581)))/(12*N2581*G2581*COS(RADIANS(E2581))^2+L2581*G2581^3*SIN(RADIANS(E2581))^2)</f>
        <v/>
      </c>
      <c r="Q2581" s="28">
        <f>-(6*F2581*J2581*L2581*N2581*SIN(RADIANS(E2581))+6*O2581*N2581*G2581*SIN(RADIANS(E2581))*COS(RADIANS(E2581)))/(12*N2581*COS(RADIANS(E2581))^2+L2581*G2581^2*SIN(RADIANS(E2581))^2)</f>
        <v/>
      </c>
      <c r="R2581" s="28">
        <f>-P2581*SIN(RADIANS(E2581))</f>
        <v/>
      </c>
      <c r="S2581" s="8">
        <f>(O2581+P2581*COS(RADIANS(E2581)))/L2581</f>
        <v/>
      </c>
      <c r="T2581" s="8">
        <f>R2581/L2581</f>
        <v/>
      </c>
      <c r="U2581" s="8">
        <f>(Q2581-P2581*G2581*SIN(RADIANS(E2581)))/M2581</f>
        <v/>
      </c>
      <c r="V2581" s="8">
        <f>SQRT((S2581+U2581)^2+3*T2581^2)</f>
        <v/>
      </c>
      <c r="W2581" s="8">
        <f>V2581/AA2581</f>
        <v/>
      </c>
      <c r="X2581" s="27">
        <f>((3*10+H2581/COS(RADIANS(E2581)))*(3+3)+3*G2581*H2581)*2</f>
        <v/>
      </c>
      <c r="Y2581" s="28">
        <f>Z2581/X2581</f>
        <v/>
      </c>
      <c r="Z2581" s="29" t="n">
        <v>589.37525970937</v>
      </c>
      <c r="AA2581" s="20" t="n">
        <v>51.1545375943842</v>
      </c>
      <c r="AB2581" t="n">
        <v>0.0727084332757757</v>
      </c>
      <c r="AC2581" t="n">
        <v>52.49318437523245</v>
      </c>
      <c r="AD2581" t="n">
        <v>19.64749432600503</v>
      </c>
    </row>
    <row r="2582">
      <c r="A2582" t="n">
        <v>2581</v>
      </c>
      <c r="B2582" t="n">
        <v>69</v>
      </c>
      <c r="C2582" s="21">
        <f>B2582-20</f>
        <v/>
      </c>
      <c r="D2582" t="n">
        <v>105</v>
      </c>
      <c r="E2582" s="22">
        <f>D2582-90</f>
        <v/>
      </c>
      <c r="F2582" s="23" t="n">
        <v>0.01506</v>
      </c>
      <c r="G2582" s="22" t="n">
        <v>21.7</v>
      </c>
      <c r="H2582" s="22" t="n">
        <v>1.4</v>
      </c>
      <c r="I2582" s="24" t="n">
        <v>0.109370745718479</v>
      </c>
      <c r="J2582" s="6" t="n">
        <v>71000</v>
      </c>
      <c r="K2582" s="25">
        <f>23*10^-6</f>
        <v/>
      </c>
      <c r="L2582" s="8">
        <f>H2582</f>
        <v/>
      </c>
      <c r="M2582" s="26">
        <f>H2582^2/6</f>
        <v/>
      </c>
      <c r="N2582" s="26">
        <f>H2582^3/12</f>
        <v/>
      </c>
      <c r="O2582" s="27">
        <f>-J2582*L2582*K2582*C2582</f>
        <v/>
      </c>
      <c r="P2582" s="28">
        <f>-(12*F2582*J2582*L2582*N2582+12*O2582*N2582*G2582*COS(RADIANS(E2582)))/(12*N2582*G2582*COS(RADIANS(E2582))^2+L2582*G2582^3*SIN(RADIANS(E2582))^2)</f>
        <v/>
      </c>
      <c r="Q2582" s="28">
        <f>-(6*F2582*J2582*L2582*N2582*SIN(RADIANS(E2582))+6*O2582*N2582*G2582*SIN(RADIANS(E2582))*COS(RADIANS(E2582)))/(12*N2582*COS(RADIANS(E2582))^2+L2582*G2582^2*SIN(RADIANS(E2582))^2)</f>
        <v/>
      </c>
      <c r="R2582" s="28">
        <f>-P2582*SIN(RADIANS(E2582))</f>
        <v/>
      </c>
      <c r="S2582" s="8">
        <f>(O2582+P2582*COS(RADIANS(E2582)))/L2582</f>
        <v/>
      </c>
      <c r="T2582" s="8">
        <f>R2582/L2582</f>
        <v/>
      </c>
      <c r="U2582" s="8">
        <f>(Q2582-P2582*G2582*SIN(RADIANS(E2582)))/M2582</f>
        <v/>
      </c>
      <c r="V2582" s="8">
        <f>SQRT((S2582+U2582)^2+3*T2582^2)</f>
        <v/>
      </c>
      <c r="W2582" s="8">
        <f>V2582/AA2582</f>
        <v/>
      </c>
      <c r="X2582" s="27">
        <f>((3*10+H2582/COS(RADIANS(E2582)))*(3+3)+3*G2582*H2582)*2</f>
        <v/>
      </c>
      <c r="Y2582" s="28">
        <f>Z2582/X2582</f>
        <v/>
      </c>
      <c r="Z2582" s="29" t="n">
        <v>563.952897546372</v>
      </c>
      <c r="AA2582" s="20" t="n">
        <v>78.52423692653259</v>
      </c>
      <c r="AB2582" t="n">
        <v>0.1422169208925837</v>
      </c>
      <c r="AC2582" t="n">
        <v>80.7950234029459</v>
      </c>
      <c r="AD2582" t="n">
        <v>30.03195686225911</v>
      </c>
    </row>
    <row r="2583">
      <c r="A2583" t="n">
        <v>2582</v>
      </c>
      <c r="B2583" t="n">
        <v>87.90000000000001</v>
      </c>
      <c r="C2583" s="21">
        <f>B2583-20</f>
        <v/>
      </c>
      <c r="D2583" t="n">
        <v>107.3</v>
      </c>
      <c r="E2583" s="22">
        <f>D2583-90</f>
        <v/>
      </c>
      <c r="F2583" s="23" t="n">
        <v>0.024081</v>
      </c>
      <c r="G2583" s="22" t="n">
        <v>26.3</v>
      </c>
      <c r="H2583" s="22" t="n">
        <v>1.8</v>
      </c>
      <c r="I2583" s="24" t="n">
        <v>0.154930353164672</v>
      </c>
      <c r="J2583" s="6" t="n">
        <v>71000</v>
      </c>
      <c r="K2583" s="25">
        <f>23*10^-6</f>
        <v/>
      </c>
      <c r="L2583" s="8">
        <f>H2583</f>
        <v/>
      </c>
      <c r="M2583" s="26">
        <f>H2583^2/6</f>
        <v/>
      </c>
      <c r="N2583" s="26">
        <f>H2583^3/12</f>
        <v/>
      </c>
      <c r="O2583" s="27">
        <f>-J2583*L2583*K2583*C2583</f>
        <v/>
      </c>
      <c r="P2583" s="28">
        <f>-(12*F2583*J2583*L2583*N2583+12*O2583*N2583*G2583*COS(RADIANS(E2583)))/(12*N2583*G2583*COS(RADIANS(E2583))^2+L2583*G2583^3*SIN(RADIANS(E2583))^2)</f>
        <v/>
      </c>
      <c r="Q2583" s="28">
        <f>-(6*F2583*J2583*L2583*N2583*SIN(RADIANS(E2583))+6*O2583*N2583*G2583*SIN(RADIANS(E2583))*COS(RADIANS(E2583)))/(12*N2583*COS(RADIANS(E2583))^2+L2583*G2583^2*SIN(RADIANS(E2583))^2)</f>
        <v/>
      </c>
      <c r="R2583" s="28">
        <f>-P2583*SIN(RADIANS(E2583))</f>
        <v/>
      </c>
      <c r="S2583" s="8">
        <f>(O2583+P2583*COS(RADIANS(E2583)))/L2583</f>
        <v/>
      </c>
      <c r="T2583" s="8">
        <f>R2583/L2583</f>
        <v/>
      </c>
      <c r="U2583" s="8">
        <f>(Q2583-P2583*G2583*SIN(RADIANS(E2583)))/M2583</f>
        <v/>
      </c>
      <c r="V2583" s="8">
        <f>SQRT((S2583+U2583)^2+3*T2583^2)</f>
        <v/>
      </c>
      <c r="W2583" s="8">
        <f>V2583/AA2583</f>
        <v/>
      </c>
      <c r="X2583" s="27">
        <f>((3*10+H2583/COS(RADIANS(E2583)))*(3+3)+3*G2583*H2583)*2</f>
        <v/>
      </c>
      <c r="Y2583" s="28">
        <f>Z2583/X2583</f>
        <v/>
      </c>
      <c r="Z2583" s="29" t="n">
        <v>671.234283178453</v>
      </c>
      <c r="AA2583" s="20" t="n">
        <v>114.418413061217</v>
      </c>
      <c r="AB2583" t="n">
        <v>0.205164766204719</v>
      </c>
      <c r="AC2583" t="n">
        <v>111.7123707338666</v>
      </c>
      <c r="AD2583" t="n">
        <v>32.42386789543683</v>
      </c>
    </row>
    <row r="2584">
      <c r="A2584" t="n">
        <v>2583</v>
      </c>
      <c r="B2584" t="n">
        <v>84.3</v>
      </c>
      <c r="C2584" s="21">
        <f>B2584-20</f>
        <v/>
      </c>
      <c r="D2584" t="n">
        <v>115</v>
      </c>
      <c r="E2584" s="22">
        <f>D2584-90</f>
        <v/>
      </c>
      <c r="F2584" s="23" t="n">
        <v>0.026786</v>
      </c>
      <c r="G2584" s="22" t="n">
        <v>33.7</v>
      </c>
      <c r="H2584" s="22" t="n">
        <v>1.3</v>
      </c>
      <c r="I2584" s="24" t="n">
        <v>0.134370625019073</v>
      </c>
      <c r="J2584" s="6" t="n">
        <v>71000</v>
      </c>
      <c r="K2584" s="25">
        <f>23*10^-6</f>
        <v/>
      </c>
      <c r="L2584" s="8">
        <f>H2584</f>
        <v/>
      </c>
      <c r="M2584" s="26">
        <f>H2584^2/6</f>
        <v/>
      </c>
      <c r="N2584" s="26">
        <f>H2584^3/12</f>
        <v/>
      </c>
      <c r="O2584" s="27">
        <f>-J2584*L2584*K2584*C2584</f>
        <v/>
      </c>
      <c r="P2584" s="28">
        <f>-(12*F2584*J2584*L2584*N2584+12*O2584*N2584*G2584*COS(RADIANS(E2584)))/(12*N2584*G2584*COS(RADIANS(E2584))^2+L2584*G2584^3*SIN(RADIANS(E2584))^2)</f>
        <v/>
      </c>
      <c r="Q2584" s="28">
        <f>-(6*F2584*J2584*L2584*N2584*SIN(RADIANS(E2584))+6*O2584*N2584*G2584*SIN(RADIANS(E2584))*COS(RADIANS(E2584)))/(12*N2584*COS(RADIANS(E2584))^2+L2584*G2584^2*SIN(RADIANS(E2584))^2)</f>
        <v/>
      </c>
      <c r="R2584" s="28">
        <f>-P2584*SIN(RADIANS(E2584))</f>
        <v/>
      </c>
      <c r="S2584" s="8">
        <f>(O2584+P2584*COS(RADIANS(E2584)))/L2584</f>
        <v/>
      </c>
      <c r="T2584" s="8">
        <f>R2584/L2584</f>
        <v/>
      </c>
      <c r="U2584" s="8">
        <f>(Q2584-P2584*G2584*SIN(RADIANS(E2584)))/M2584</f>
        <v/>
      </c>
      <c r="V2584" s="8">
        <f>SQRT((S2584+U2584)^2+3*T2584^2)</f>
        <v/>
      </c>
      <c r="W2584" s="8">
        <f>V2584/AA2584</f>
        <v/>
      </c>
      <c r="X2584" s="27">
        <f>((3*10+H2584/COS(RADIANS(E2584)))*(3+3)+3*G2584*H2584)*2</f>
        <v/>
      </c>
      <c r="Y2584" s="28">
        <f>Z2584/X2584</f>
        <v/>
      </c>
      <c r="Z2584" s="29" t="n">
        <v>645.987394976555</v>
      </c>
      <c r="AA2584" s="20" t="n">
        <v>92.5721523281689</v>
      </c>
      <c r="AB2584" t="n">
        <v>0.174095738557781</v>
      </c>
      <c r="AC2584" t="n">
        <v>94.7875425211507</v>
      </c>
      <c r="AD2584" t="n">
        <v>29.56383773095443</v>
      </c>
    </row>
    <row r="2585">
      <c r="A2585" t="n">
        <v>2584</v>
      </c>
      <c r="B2585" t="n">
        <v>61.1</v>
      </c>
      <c r="C2585" s="21">
        <f>B2585-20</f>
        <v/>
      </c>
      <c r="D2585" t="n">
        <v>125.4</v>
      </c>
      <c r="E2585" s="22">
        <f>D2585-90</f>
        <v/>
      </c>
      <c r="F2585" s="23" t="n">
        <v>0.014001</v>
      </c>
      <c r="G2585" s="22" t="n">
        <v>29.3</v>
      </c>
      <c r="H2585" s="22" t="n">
        <v>1.2</v>
      </c>
      <c r="I2585" s="24" t="n">
        <v>0.0617027767002582</v>
      </c>
      <c r="J2585" s="6" t="n">
        <v>71000</v>
      </c>
      <c r="K2585" s="25">
        <f>23*10^-6</f>
        <v/>
      </c>
      <c r="L2585" s="8">
        <f>H2585</f>
        <v/>
      </c>
      <c r="M2585" s="26">
        <f>H2585^2/6</f>
        <v/>
      </c>
      <c r="N2585" s="26">
        <f>H2585^3/12</f>
        <v/>
      </c>
      <c r="O2585" s="27">
        <f>-J2585*L2585*K2585*C2585</f>
        <v/>
      </c>
      <c r="P2585" s="28">
        <f>-(12*F2585*J2585*L2585*N2585+12*O2585*N2585*G2585*COS(RADIANS(E2585)))/(12*N2585*G2585*COS(RADIANS(E2585))^2+L2585*G2585^3*SIN(RADIANS(E2585))^2)</f>
        <v/>
      </c>
      <c r="Q2585" s="28">
        <f>-(6*F2585*J2585*L2585*N2585*SIN(RADIANS(E2585))+6*O2585*N2585*G2585*SIN(RADIANS(E2585))*COS(RADIANS(E2585)))/(12*N2585*COS(RADIANS(E2585))^2+L2585*G2585^2*SIN(RADIANS(E2585))^2)</f>
        <v/>
      </c>
      <c r="R2585" s="28">
        <f>-P2585*SIN(RADIANS(E2585))</f>
        <v/>
      </c>
      <c r="S2585" s="8">
        <f>(O2585+P2585*COS(RADIANS(E2585)))/L2585</f>
        <v/>
      </c>
      <c r="T2585" s="8">
        <f>R2585/L2585</f>
        <v/>
      </c>
      <c r="U2585" s="8">
        <f>(Q2585-P2585*G2585*SIN(RADIANS(E2585)))/M2585</f>
        <v/>
      </c>
      <c r="V2585" s="8">
        <f>SQRT((S2585+U2585)^2+3*T2585^2)</f>
        <v/>
      </c>
      <c r="W2585" s="8">
        <f>V2585/AA2585</f>
        <v/>
      </c>
      <c r="X2585" s="27">
        <f>((3*10+H2585/COS(RADIANS(E2585)))*(3+3)+3*G2585*H2585)*2</f>
        <v/>
      </c>
      <c r="Y2585" s="28">
        <f>Z2585/X2585</f>
        <v/>
      </c>
      <c r="Z2585" s="29" t="n">
        <v>597.50280686827</v>
      </c>
      <c r="AA2585" s="20" t="n">
        <v>56.4234320136999</v>
      </c>
      <c r="AB2585" t="n">
        <v>0.06725879403903287</v>
      </c>
      <c r="AC2585" t="n">
        <v>58.74598577609443</v>
      </c>
      <c r="AD2585" t="n">
        <v>9.00448510731515</v>
      </c>
    </row>
    <row r="2586">
      <c r="A2586" t="n">
        <v>2585</v>
      </c>
      <c r="B2586" t="n">
        <v>70</v>
      </c>
      <c r="C2586" s="21">
        <f>B2586-20</f>
        <v/>
      </c>
      <c r="D2586" t="n">
        <v>110.8</v>
      </c>
      <c r="E2586" s="22">
        <f>D2586-90</f>
        <v/>
      </c>
      <c r="F2586" s="23" t="n">
        <v>0.016688</v>
      </c>
      <c r="G2586" s="22" t="n">
        <v>24.9</v>
      </c>
      <c r="H2586" s="22" t="n">
        <v>1.9</v>
      </c>
      <c r="I2586" s="24" t="n">
        <v>0.0961309969425201</v>
      </c>
      <c r="J2586" s="6" t="n">
        <v>71000</v>
      </c>
      <c r="K2586" s="25">
        <f>23*10^-6</f>
        <v/>
      </c>
      <c r="L2586" s="8">
        <f>H2586</f>
        <v/>
      </c>
      <c r="M2586" s="26">
        <f>H2586^2/6</f>
        <v/>
      </c>
      <c r="N2586" s="26">
        <f>H2586^3/12</f>
        <v/>
      </c>
      <c r="O2586" s="27">
        <f>-J2586*L2586*K2586*C2586</f>
        <v/>
      </c>
      <c r="P2586" s="28">
        <f>-(12*F2586*J2586*L2586*N2586+12*O2586*N2586*G2586*COS(RADIANS(E2586)))/(12*N2586*G2586*COS(RADIANS(E2586))^2+L2586*G2586^3*SIN(RADIANS(E2586))^2)</f>
        <v/>
      </c>
      <c r="Q2586" s="28">
        <f>-(6*F2586*J2586*L2586*N2586*SIN(RADIANS(E2586))+6*O2586*N2586*G2586*SIN(RADIANS(E2586))*COS(RADIANS(E2586)))/(12*N2586*COS(RADIANS(E2586))^2+L2586*G2586^2*SIN(RADIANS(E2586))^2)</f>
        <v/>
      </c>
      <c r="R2586" s="28">
        <f>-P2586*SIN(RADIANS(E2586))</f>
        <v/>
      </c>
      <c r="S2586" s="8">
        <f>(O2586+P2586*COS(RADIANS(E2586)))/L2586</f>
        <v/>
      </c>
      <c r="T2586" s="8">
        <f>R2586/L2586</f>
        <v/>
      </c>
      <c r="U2586" s="8">
        <f>(Q2586-P2586*G2586*SIN(RADIANS(E2586)))/M2586</f>
        <v/>
      </c>
      <c r="V2586" s="8">
        <f>SQRT((S2586+U2586)^2+3*T2586^2)</f>
        <v/>
      </c>
      <c r="W2586" s="8">
        <f>V2586/AA2586</f>
        <v/>
      </c>
      <c r="X2586" s="27">
        <f>((3*10+H2586/COS(RADIANS(E2586)))*(3+3)+3*G2586*H2586)*2</f>
        <v/>
      </c>
      <c r="Y2586" s="28">
        <f>Z2586/X2586</f>
        <v/>
      </c>
      <c r="Z2586" s="29" t="n">
        <v>673.35643914973</v>
      </c>
      <c r="AA2586" s="20" t="n">
        <v>86.0053546793625</v>
      </c>
      <c r="AB2586" t="n">
        <v>0.1194917265542484</v>
      </c>
      <c r="AC2586" t="n">
        <v>80.82703688758589</v>
      </c>
      <c r="AD2586" t="n">
        <v>24.30093347070606</v>
      </c>
    </row>
    <row r="2587">
      <c r="A2587" t="n">
        <v>2586</v>
      </c>
      <c r="B2587" t="n">
        <v>68.40000000000001</v>
      </c>
      <c r="C2587" s="21">
        <f>B2587-20</f>
        <v/>
      </c>
      <c r="D2587" t="n">
        <v>107.7</v>
      </c>
      <c r="E2587" s="22">
        <f>D2587-90</f>
        <v/>
      </c>
      <c r="F2587" s="23" t="n">
        <v>0.014086</v>
      </c>
      <c r="G2587" s="22" t="n">
        <v>20.5</v>
      </c>
      <c r="H2587" s="22" t="n">
        <v>1.4</v>
      </c>
      <c r="I2587" s="24" t="n">
        <v>0.0924227312207222</v>
      </c>
      <c r="J2587" s="6" t="n">
        <v>71000</v>
      </c>
      <c r="K2587" s="25">
        <f>23*10^-6</f>
        <v/>
      </c>
      <c r="L2587" s="8">
        <f>H2587</f>
        <v/>
      </c>
      <c r="M2587" s="26">
        <f>H2587^2/6</f>
        <v/>
      </c>
      <c r="N2587" s="26">
        <f>H2587^3/12</f>
        <v/>
      </c>
      <c r="O2587" s="27">
        <f>-J2587*L2587*K2587*C2587</f>
        <v/>
      </c>
      <c r="P2587" s="28">
        <f>-(12*F2587*J2587*L2587*N2587+12*O2587*N2587*G2587*COS(RADIANS(E2587)))/(12*N2587*G2587*COS(RADIANS(E2587))^2+L2587*G2587^3*SIN(RADIANS(E2587))^2)</f>
        <v/>
      </c>
      <c r="Q2587" s="28">
        <f>-(6*F2587*J2587*L2587*N2587*SIN(RADIANS(E2587))+6*O2587*N2587*G2587*SIN(RADIANS(E2587))*COS(RADIANS(E2587)))/(12*N2587*COS(RADIANS(E2587))^2+L2587*G2587^2*SIN(RADIANS(E2587))^2)</f>
        <v/>
      </c>
      <c r="R2587" s="28">
        <f>-P2587*SIN(RADIANS(E2587))</f>
        <v/>
      </c>
      <c r="S2587" s="8">
        <f>(O2587+P2587*COS(RADIANS(E2587)))/L2587</f>
        <v/>
      </c>
      <c r="T2587" s="8">
        <f>R2587/L2587</f>
        <v/>
      </c>
      <c r="U2587" s="8">
        <f>(Q2587-P2587*G2587*SIN(RADIANS(E2587)))/M2587</f>
        <v/>
      </c>
      <c r="V2587" s="8">
        <f>SQRT((S2587+U2587)^2+3*T2587^2)</f>
        <v/>
      </c>
      <c r="W2587" s="8">
        <f>V2587/AA2587</f>
        <v/>
      </c>
      <c r="X2587" s="27">
        <f>((3*10+H2587/COS(RADIANS(E2587)))*(3+3)+3*G2587*H2587)*2</f>
        <v/>
      </c>
      <c r="Y2587" s="28">
        <f>Z2587/X2587</f>
        <v/>
      </c>
      <c r="Z2587" s="29" t="n">
        <v>554.461014351717</v>
      </c>
      <c r="AA2587" s="20" t="n">
        <v>77.02525205517679</v>
      </c>
      <c r="AB2587" t="n">
        <v>0.1137814032162248</v>
      </c>
      <c r="AC2587" t="n">
        <v>78.05627512971319</v>
      </c>
      <c r="AD2587" t="n">
        <v>23.10976067618498</v>
      </c>
    </row>
    <row r="2588">
      <c r="A2588" t="n">
        <v>2587</v>
      </c>
      <c r="B2588" t="n">
        <v>85.3</v>
      </c>
      <c r="C2588" s="21">
        <f>B2588-20</f>
        <v/>
      </c>
      <c r="D2588" t="n">
        <v>129.6</v>
      </c>
      <c r="E2588" s="22">
        <f>D2588-90</f>
        <v/>
      </c>
      <c r="F2588" s="23" t="n">
        <v>0.019265</v>
      </c>
      <c r="G2588" s="22" t="n">
        <v>25.8</v>
      </c>
      <c r="H2588" s="22" t="n">
        <v>1.8</v>
      </c>
      <c r="I2588" s="24" t="n">
        <v>0.08475736528635019</v>
      </c>
      <c r="J2588" s="6" t="n">
        <v>71000</v>
      </c>
      <c r="K2588" s="25">
        <f>23*10^-6</f>
        <v/>
      </c>
      <c r="L2588" s="8">
        <f>H2588</f>
        <v/>
      </c>
      <c r="M2588" s="26">
        <f>H2588^2/6</f>
        <v/>
      </c>
      <c r="N2588" s="26">
        <f>H2588^3/12</f>
        <v/>
      </c>
      <c r="O2588" s="27">
        <f>-J2588*L2588*K2588*C2588</f>
        <v/>
      </c>
      <c r="P2588" s="28">
        <f>-(12*F2588*J2588*L2588*N2588+12*O2588*N2588*G2588*COS(RADIANS(E2588)))/(12*N2588*G2588*COS(RADIANS(E2588))^2+L2588*G2588^3*SIN(RADIANS(E2588))^2)</f>
        <v/>
      </c>
      <c r="Q2588" s="28">
        <f>-(6*F2588*J2588*L2588*N2588*SIN(RADIANS(E2588))+6*O2588*N2588*G2588*SIN(RADIANS(E2588))*COS(RADIANS(E2588)))/(12*N2588*COS(RADIANS(E2588))^2+L2588*G2588^2*SIN(RADIANS(E2588))^2)</f>
        <v/>
      </c>
      <c r="R2588" s="28">
        <f>-P2588*SIN(RADIANS(E2588))</f>
        <v/>
      </c>
      <c r="S2588" s="8">
        <f>(O2588+P2588*COS(RADIANS(E2588)))/L2588</f>
        <v/>
      </c>
      <c r="T2588" s="8">
        <f>R2588/L2588</f>
        <v/>
      </c>
      <c r="U2588" s="8">
        <f>(Q2588-P2588*G2588*SIN(RADIANS(E2588)))/M2588</f>
        <v/>
      </c>
      <c r="V2588" s="8">
        <f>SQRT((S2588+U2588)^2+3*T2588^2)</f>
        <v/>
      </c>
      <c r="W2588" s="8">
        <f>V2588/AA2588</f>
        <v/>
      </c>
      <c r="X2588" s="27">
        <f>((3*10+H2588/COS(RADIANS(E2588)))*(3+3)+3*G2588*H2588)*2</f>
        <v/>
      </c>
      <c r="Y2588" s="28">
        <f>Z2588/X2588</f>
        <v/>
      </c>
      <c r="Z2588" s="29" t="n">
        <v>677.254961345266</v>
      </c>
      <c r="AA2588" s="20" t="n">
        <v>100.45308276939</v>
      </c>
      <c r="AB2588" t="n">
        <v>0.08337112909071311</v>
      </c>
      <c r="AC2588" t="n">
        <v>95.30280607548035</v>
      </c>
      <c r="AD2588" t="n">
        <v>-1.635534789164023</v>
      </c>
    </row>
    <row r="2589">
      <c r="A2589" t="n">
        <v>2588</v>
      </c>
      <c r="B2589" t="n">
        <v>85.59999999999999</v>
      </c>
      <c r="C2589" s="21">
        <f>B2589-20</f>
        <v/>
      </c>
      <c r="D2589" t="n">
        <v>107.6</v>
      </c>
      <c r="E2589" s="22">
        <f>D2589-90</f>
        <v/>
      </c>
      <c r="F2589" s="23" t="n">
        <v>0.025017</v>
      </c>
      <c r="G2589" s="22" t="n">
        <v>28.8</v>
      </c>
      <c r="H2589" s="22" t="n">
        <v>1.8</v>
      </c>
      <c r="I2589" s="24" t="n">
        <v>0.158087074756622</v>
      </c>
      <c r="J2589" s="6" t="n">
        <v>71000</v>
      </c>
      <c r="K2589" s="25">
        <f>23*10^-6</f>
        <v/>
      </c>
      <c r="L2589" s="8">
        <f>H2589</f>
        <v/>
      </c>
      <c r="M2589" s="26">
        <f>H2589^2/6</f>
        <v/>
      </c>
      <c r="N2589" s="26">
        <f>H2589^3/12</f>
        <v/>
      </c>
      <c r="O2589" s="27">
        <f>-J2589*L2589*K2589*C2589</f>
        <v/>
      </c>
      <c r="P2589" s="28">
        <f>-(12*F2589*J2589*L2589*N2589+12*O2589*N2589*G2589*COS(RADIANS(E2589)))/(12*N2589*G2589*COS(RADIANS(E2589))^2+L2589*G2589^3*SIN(RADIANS(E2589))^2)</f>
        <v/>
      </c>
      <c r="Q2589" s="28">
        <f>-(6*F2589*J2589*L2589*N2589*SIN(RADIANS(E2589))+6*O2589*N2589*G2589*SIN(RADIANS(E2589))*COS(RADIANS(E2589)))/(12*N2589*COS(RADIANS(E2589))^2+L2589*G2589^2*SIN(RADIANS(E2589))^2)</f>
        <v/>
      </c>
      <c r="R2589" s="28">
        <f>-P2589*SIN(RADIANS(E2589))</f>
        <v/>
      </c>
      <c r="S2589" s="8">
        <f>(O2589+P2589*COS(RADIANS(E2589)))/L2589</f>
        <v/>
      </c>
      <c r="T2589" s="8">
        <f>R2589/L2589</f>
        <v/>
      </c>
      <c r="U2589" s="8">
        <f>(Q2589-P2589*G2589*SIN(RADIANS(E2589)))/M2589</f>
        <v/>
      </c>
      <c r="V2589" s="8">
        <f>SQRT((S2589+U2589)^2+3*T2589^2)</f>
        <v/>
      </c>
      <c r="W2589" s="8">
        <f>V2589/AA2589</f>
        <v/>
      </c>
      <c r="X2589" s="27">
        <f>((3*10+H2589/COS(RADIANS(E2589)))*(3+3)+3*G2589*H2589)*2</f>
        <v/>
      </c>
      <c r="Y2589" s="28">
        <f>Z2589/X2589</f>
        <v/>
      </c>
      <c r="Z2589" s="29" t="n">
        <v>698.312956333296</v>
      </c>
      <c r="AA2589" s="20" t="n">
        <v>108.986532728056</v>
      </c>
      <c r="AB2589" t="n">
        <v>0.2139583864592295</v>
      </c>
      <c r="AC2589" t="n">
        <v>106.660631191689</v>
      </c>
      <c r="AD2589" t="n">
        <v>35.34211243305147</v>
      </c>
    </row>
    <row r="2590">
      <c r="A2590" t="n">
        <v>2589</v>
      </c>
      <c r="B2590" t="n">
        <v>63</v>
      </c>
      <c r="C2590" s="21">
        <f>B2590-20</f>
        <v/>
      </c>
      <c r="D2590" t="n">
        <v>118.3</v>
      </c>
      <c r="E2590" s="22">
        <f>D2590-90</f>
        <v/>
      </c>
      <c r="F2590" s="23" t="n">
        <v>0.016451</v>
      </c>
      <c r="G2590" s="22" t="n">
        <v>31.3</v>
      </c>
      <c r="H2590" s="22" t="n">
        <v>1.4</v>
      </c>
      <c r="I2590" s="24" t="n">
        <v>0.0782029181718826</v>
      </c>
      <c r="J2590" s="6" t="n">
        <v>71000</v>
      </c>
      <c r="K2590" s="25">
        <f>23*10^-6</f>
        <v/>
      </c>
      <c r="L2590" s="8">
        <f>H2590</f>
        <v/>
      </c>
      <c r="M2590" s="26">
        <f>H2590^2/6</f>
        <v/>
      </c>
      <c r="N2590" s="26">
        <f>H2590^3/12</f>
        <v/>
      </c>
      <c r="O2590" s="27">
        <f>-J2590*L2590*K2590*C2590</f>
        <v/>
      </c>
      <c r="P2590" s="28">
        <f>-(12*F2590*J2590*L2590*N2590+12*O2590*N2590*G2590*COS(RADIANS(E2590)))/(12*N2590*G2590*COS(RADIANS(E2590))^2+L2590*G2590^3*SIN(RADIANS(E2590))^2)</f>
        <v/>
      </c>
      <c r="Q2590" s="28">
        <f>-(6*F2590*J2590*L2590*N2590*SIN(RADIANS(E2590))+6*O2590*N2590*G2590*SIN(RADIANS(E2590))*COS(RADIANS(E2590)))/(12*N2590*COS(RADIANS(E2590))^2+L2590*G2590^2*SIN(RADIANS(E2590))^2)</f>
        <v/>
      </c>
      <c r="R2590" s="28">
        <f>-P2590*SIN(RADIANS(E2590))</f>
        <v/>
      </c>
      <c r="S2590" s="8">
        <f>(O2590+P2590*COS(RADIANS(E2590)))/L2590</f>
        <v/>
      </c>
      <c r="T2590" s="8">
        <f>R2590/L2590</f>
        <v/>
      </c>
      <c r="U2590" s="8">
        <f>(Q2590-P2590*G2590*SIN(RADIANS(E2590)))/M2590</f>
        <v/>
      </c>
      <c r="V2590" s="8">
        <f>SQRT((S2590+U2590)^2+3*T2590^2)</f>
        <v/>
      </c>
      <c r="W2590" s="8">
        <f>V2590/AA2590</f>
        <v/>
      </c>
      <c r="X2590" s="27">
        <f>((3*10+H2590/COS(RADIANS(E2590)))*(3+3)+3*G2590*H2590)*2</f>
        <v/>
      </c>
      <c r="Y2590" s="28">
        <f>Z2590/X2590</f>
        <v/>
      </c>
      <c r="Z2590" s="29" t="n">
        <v>648.692129561019</v>
      </c>
      <c r="AA2590" s="20" t="n">
        <v>62.7801856307032</v>
      </c>
      <c r="AB2590" t="n">
        <v>0.09512972591917492</v>
      </c>
      <c r="AC2590" t="n">
        <v>63.26421003176343</v>
      </c>
      <c r="AD2590" t="n">
        <v>21.64472649228868</v>
      </c>
    </row>
    <row r="2591">
      <c r="A2591" t="n">
        <v>2590</v>
      </c>
      <c r="B2591" t="n">
        <v>64.3</v>
      </c>
      <c r="C2591" s="21">
        <f>B2591-20</f>
        <v/>
      </c>
      <c r="D2591" t="n">
        <v>107.1</v>
      </c>
      <c r="E2591" s="22">
        <f>D2591-90</f>
        <v/>
      </c>
      <c r="F2591" s="23" t="n">
        <v>0.012781</v>
      </c>
      <c r="G2591" s="22" t="n">
        <v>20.2</v>
      </c>
      <c r="H2591" s="22" t="n">
        <v>1.3</v>
      </c>
      <c r="I2591" s="24" t="n">
        <v>0.0861620530486106</v>
      </c>
      <c r="J2591" s="6" t="n">
        <v>71000</v>
      </c>
      <c r="K2591" s="25">
        <f>23*10^-6</f>
        <v/>
      </c>
      <c r="L2591" s="8">
        <f>H2591</f>
        <v/>
      </c>
      <c r="M2591" s="26">
        <f>H2591^2/6</f>
        <v/>
      </c>
      <c r="N2591" s="26">
        <f>H2591^3/12</f>
        <v/>
      </c>
      <c r="O2591" s="27">
        <f>-J2591*L2591*K2591*C2591</f>
        <v/>
      </c>
      <c r="P2591" s="28">
        <f>-(12*F2591*J2591*L2591*N2591+12*O2591*N2591*G2591*COS(RADIANS(E2591)))/(12*N2591*G2591*COS(RADIANS(E2591))^2+L2591*G2591^3*SIN(RADIANS(E2591))^2)</f>
        <v/>
      </c>
      <c r="Q2591" s="28">
        <f>-(6*F2591*J2591*L2591*N2591*SIN(RADIANS(E2591))+6*O2591*N2591*G2591*SIN(RADIANS(E2591))*COS(RADIANS(E2591)))/(12*N2591*COS(RADIANS(E2591))^2+L2591*G2591^2*SIN(RADIANS(E2591))^2)</f>
        <v/>
      </c>
      <c r="R2591" s="28">
        <f>-P2591*SIN(RADIANS(E2591))</f>
        <v/>
      </c>
      <c r="S2591" s="8">
        <f>(O2591+P2591*COS(RADIANS(E2591)))/L2591</f>
        <v/>
      </c>
      <c r="T2591" s="8">
        <f>R2591/L2591</f>
        <v/>
      </c>
      <c r="U2591" s="8">
        <f>(Q2591-P2591*G2591*SIN(RADIANS(E2591)))/M2591</f>
        <v/>
      </c>
      <c r="V2591" s="8">
        <f>SQRT((S2591+U2591)^2+3*T2591^2)</f>
        <v/>
      </c>
      <c r="W2591" s="8">
        <f>V2591/AA2591</f>
        <v/>
      </c>
      <c r="X2591" s="27">
        <f>((3*10+H2591/COS(RADIANS(E2591)))*(3+3)+3*G2591*H2591)*2</f>
        <v/>
      </c>
      <c r="Y2591" s="28">
        <f>Z2591/X2591</f>
        <v/>
      </c>
      <c r="Z2591" s="29" t="n">
        <v>538.42519394709</v>
      </c>
      <c r="AA2591" s="20" t="n">
        <v>69.0433762192535</v>
      </c>
      <c r="AB2591" t="n">
        <v>0.1066988556833233</v>
      </c>
      <c r="AC2591" t="n">
        <v>71.16059578521565</v>
      </c>
      <c r="AD2591" t="n">
        <v>23.83508970373106</v>
      </c>
    </row>
    <row r="2592">
      <c r="A2592" t="n">
        <v>2591</v>
      </c>
      <c r="B2592" t="n">
        <v>53.9</v>
      </c>
      <c r="C2592" s="21">
        <f>B2592-20</f>
        <v/>
      </c>
      <c r="D2592" t="n">
        <v>126.8</v>
      </c>
      <c r="E2592" s="22">
        <f>D2592-90</f>
        <v/>
      </c>
      <c r="F2592" s="23" t="n">
        <v>0.010334</v>
      </c>
      <c r="G2592" s="22" t="n">
        <v>25.9</v>
      </c>
      <c r="H2592" s="22" t="n">
        <v>1.3</v>
      </c>
      <c r="I2592" s="24" t="n">
        <v>0.0459608770906925</v>
      </c>
      <c r="J2592" s="6" t="n">
        <v>71000</v>
      </c>
      <c r="K2592" s="25">
        <f>23*10^-6</f>
        <v/>
      </c>
      <c r="L2592" s="8">
        <f>H2592</f>
        <v/>
      </c>
      <c r="M2592" s="26">
        <f>H2592^2/6</f>
        <v/>
      </c>
      <c r="N2592" s="26">
        <f>H2592^3/12</f>
        <v/>
      </c>
      <c r="O2592" s="27">
        <f>-J2592*L2592*K2592*C2592</f>
        <v/>
      </c>
      <c r="P2592" s="28">
        <f>-(12*F2592*J2592*L2592*N2592+12*O2592*N2592*G2592*COS(RADIANS(E2592)))/(12*N2592*G2592*COS(RADIANS(E2592))^2+L2592*G2592^3*SIN(RADIANS(E2592))^2)</f>
        <v/>
      </c>
      <c r="Q2592" s="28">
        <f>-(6*F2592*J2592*L2592*N2592*SIN(RADIANS(E2592))+6*O2592*N2592*G2592*SIN(RADIANS(E2592))*COS(RADIANS(E2592)))/(12*N2592*COS(RADIANS(E2592))^2+L2592*G2592^2*SIN(RADIANS(E2592))^2)</f>
        <v/>
      </c>
      <c r="R2592" s="28">
        <f>-P2592*SIN(RADIANS(E2592))</f>
        <v/>
      </c>
      <c r="S2592" s="8">
        <f>(O2592+P2592*COS(RADIANS(E2592)))/L2592</f>
        <v/>
      </c>
      <c r="T2592" s="8">
        <f>R2592/L2592</f>
        <v/>
      </c>
      <c r="U2592" s="8">
        <f>(Q2592-P2592*G2592*SIN(RADIANS(E2592)))/M2592</f>
        <v/>
      </c>
      <c r="V2592" s="8">
        <f>SQRT((S2592+U2592)^2+3*T2592^2)</f>
        <v/>
      </c>
      <c r="W2592" s="8">
        <f>V2592/AA2592</f>
        <v/>
      </c>
      <c r="X2592" s="27">
        <f>((3*10+H2592/COS(RADIANS(E2592)))*(3+3)+3*G2592*H2592)*2</f>
        <v/>
      </c>
      <c r="Y2592" s="28">
        <f>Z2592/X2592</f>
        <v/>
      </c>
      <c r="Z2592" s="29" t="n">
        <v>590.90841714184</v>
      </c>
      <c r="AA2592" s="20" t="n">
        <v>47.6627106578705</v>
      </c>
      <c r="AB2592" t="n">
        <v>0.04727740064451265</v>
      </c>
      <c r="AC2592" t="n">
        <v>48.75144326480697</v>
      </c>
      <c r="AD2592" t="n">
        <v>2.864443929610642</v>
      </c>
    </row>
    <row r="2593">
      <c r="A2593" t="n">
        <v>2592</v>
      </c>
      <c r="B2593" t="n">
        <v>47.3</v>
      </c>
      <c r="C2593" s="21">
        <f>B2593-20</f>
        <v/>
      </c>
      <c r="D2593" t="n">
        <v>123.1</v>
      </c>
      <c r="E2593" s="22">
        <f>D2593-90</f>
        <v/>
      </c>
      <c r="F2593" s="23" t="n">
        <v>0.007837999999999999</v>
      </c>
      <c r="G2593" s="22" t="n">
        <v>22.9</v>
      </c>
      <c r="H2593" s="22" t="n">
        <v>1.1</v>
      </c>
      <c r="I2593" s="24" t="n">
        <v>0.0366165675222873</v>
      </c>
      <c r="J2593" s="6" t="n">
        <v>71000</v>
      </c>
      <c r="K2593" s="25">
        <f>23*10^-6</f>
        <v/>
      </c>
      <c r="L2593" s="8">
        <f>H2593</f>
        <v/>
      </c>
      <c r="M2593" s="26">
        <f>H2593^2/6</f>
        <v/>
      </c>
      <c r="N2593" s="26">
        <f>H2593^3/12</f>
        <v/>
      </c>
      <c r="O2593" s="27">
        <f>-J2593*L2593*K2593*C2593</f>
        <v/>
      </c>
      <c r="P2593" s="28">
        <f>-(12*F2593*J2593*L2593*N2593+12*O2593*N2593*G2593*COS(RADIANS(E2593)))/(12*N2593*G2593*COS(RADIANS(E2593))^2+L2593*G2593^3*SIN(RADIANS(E2593))^2)</f>
        <v/>
      </c>
      <c r="Q2593" s="28">
        <f>-(6*F2593*J2593*L2593*N2593*SIN(RADIANS(E2593))+6*O2593*N2593*G2593*SIN(RADIANS(E2593))*COS(RADIANS(E2593)))/(12*N2593*COS(RADIANS(E2593))^2+L2593*G2593^2*SIN(RADIANS(E2593))^2)</f>
        <v/>
      </c>
      <c r="R2593" s="28">
        <f>-P2593*SIN(RADIANS(E2593))</f>
        <v/>
      </c>
      <c r="S2593" s="8">
        <f>(O2593+P2593*COS(RADIANS(E2593)))/L2593</f>
        <v/>
      </c>
      <c r="T2593" s="8">
        <f>R2593/L2593</f>
        <v/>
      </c>
      <c r="U2593" s="8">
        <f>(Q2593-P2593*G2593*SIN(RADIANS(E2593)))/M2593</f>
        <v/>
      </c>
      <c r="V2593" s="8">
        <f>SQRT((S2593+U2593)^2+3*T2593^2)</f>
        <v/>
      </c>
      <c r="W2593" s="8">
        <f>V2593/AA2593</f>
        <v/>
      </c>
      <c r="X2593" s="27">
        <f>((3*10+H2593/COS(RADIANS(E2593)))*(3+3)+3*G2593*H2593)*2</f>
        <v/>
      </c>
      <c r="Y2593" s="28">
        <f>Z2593/X2593</f>
        <v/>
      </c>
      <c r="Z2593" s="29" t="n">
        <v>534.97994293928</v>
      </c>
      <c r="AA2593" s="20" t="n">
        <v>38.0860566815576</v>
      </c>
      <c r="AB2593" t="n">
        <v>0.0381183675971562</v>
      </c>
      <c r="AC2593" t="n">
        <v>39.41427516126211</v>
      </c>
      <c r="AD2593" t="n">
        <v>4.10142232462069</v>
      </c>
    </row>
    <row r="2594">
      <c r="A2594" t="n">
        <v>2593</v>
      </c>
      <c r="B2594" t="n">
        <v>56.5</v>
      </c>
      <c r="C2594" s="21">
        <f>B2594-20</f>
        <v/>
      </c>
      <c r="D2594" t="n">
        <v>122.5</v>
      </c>
      <c r="E2594" s="22">
        <f>D2594-90</f>
        <v/>
      </c>
      <c r="F2594" s="23" t="n">
        <v>0.011691</v>
      </c>
      <c r="G2594" s="22" t="n">
        <v>26.2</v>
      </c>
      <c r="H2594" s="22" t="n">
        <v>1.2</v>
      </c>
      <c r="I2594" s="24" t="n">
        <v>0.0538378208875656</v>
      </c>
      <c r="J2594" s="6" t="n">
        <v>71000</v>
      </c>
      <c r="K2594" s="25">
        <f>23*10^-6</f>
        <v/>
      </c>
      <c r="L2594" s="8">
        <f>H2594</f>
        <v/>
      </c>
      <c r="M2594" s="26">
        <f>H2594^2/6</f>
        <v/>
      </c>
      <c r="N2594" s="26">
        <f>H2594^3/12</f>
        <v/>
      </c>
      <c r="O2594" s="27">
        <f>-J2594*L2594*K2594*C2594</f>
        <v/>
      </c>
      <c r="P2594" s="28">
        <f>-(12*F2594*J2594*L2594*N2594+12*O2594*N2594*G2594*COS(RADIANS(E2594)))/(12*N2594*G2594*COS(RADIANS(E2594))^2+L2594*G2594^3*SIN(RADIANS(E2594))^2)</f>
        <v/>
      </c>
      <c r="Q2594" s="28">
        <f>-(6*F2594*J2594*L2594*N2594*SIN(RADIANS(E2594))+6*O2594*N2594*G2594*SIN(RADIANS(E2594))*COS(RADIANS(E2594)))/(12*N2594*COS(RADIANS(E2594))^2+L2594*G2594^2*SIN(RADIANS(E2594))^2)</f>
        <v/>
      </c>
      <c r="R2594" s="28">
        <f>-P2594*SIN(RADIANS(E2594))</f>
        <v/>
      </c>
      <c r="S2594" s="8">
        <f>(O2594+P2594*COS(RADIANS(E2594)))/L2594</f>
        <v/>
      </c>
      <c r="T2594" s="8">
        <f>R2594/L2594</f>
        <v/>
      </c>
      <c r="U2594" s="8">
        <f>(Q2594-P2594*G2594*SIN(RADIANS(E2594)))/M2594</f>
        <v/>
      </c>
      <c r="V2594" s="8">
        <f>SQRT((S2594+U2594)^2+3*T2594^2)</f>
        <v/>
      </c>
      <c r="W2594" s="8">
        <f>V2594/AA2594</f>
        <v/>
      </c>
      <c r="X2594" s="27">
        <f>((3*10+H2594/COS(RADIANS(E2594)))*(3+3)+3*G2594*H2594)*2</f>
        <v/>
      </c>
      <c r="Y2594" s="28">
        <f>Z2594/X2594</f>
        <v/>
      </c>
      <c r="Z2594" s="29" t="n">
        <v>573.604088807112</v>
      </c>
      <c r="AA2594" s="20" t="n">
        <v>51.42575112652</v>
      </c>
      <c r="AB2594" t="n">
        <v>0.0589441950748426</v>
      </c>
      <c r="AC2594" t="n">
        <v>52.82040051560781</v>
      </c>
      <c r="AD2594" t="n">
        <v>9.484734157314985</v>
      </c>
    </row>
    <row r="2595">
      <c r="A2595" t="n">
        <v>2594</v>
      </c>
      <c r="B2595" t="n">
        <v>62</v>
      </c>
      <c r="C2595" s="21">
        <f>B2595-20</f>
        <v/>
      </c>
      <c r="D2595" t="n">
        <v>110.8</v>
      </c>
      <c r="E2595" s="22">
        <f>D2595-90</f>
        <v/>
      </c>
      <c r="F2595" s="23" t="n">
        <v>0.018001</v>
      </c>
      <c r="G2595" s="22" t="n">
        <v>33.8</v>
      </c>
      <c r="H2595" s="22" t="n">
        <v>1.6</v>
      </c>
      <c r="I2595" s="24" t="n">
        <v>0.10074283927679</v>
      </c>
      <c r="J2595" s="6" t="n">
        <v>71000</v>
      </c>
      <c r="K2595" s="25">
        <f>23*10^-6</f>
        <v/>
      </c>
      <c r="L2595" s="8">
        <f>H2595</f>
        <v/>
      </c>
      <c r="M2595" s="26">
        <f>H2595^2/6</f>
        <v/>
      </c>
      <c r="N2595" s="26">
        <f>H2595^3/12</f>
        <v/>
      </c>
      <c r="O2595" s="27">
        <f>-J2595*L2595*K2595*C2595</f>
        <v/>
      </c>
      <c r="P2595" s="28">
        <f>-(12*F2595*J2595*L2595*N2595+12*O2595*N2595*G2595*COS(RADIANS(E2595)))/(12*N2595*G2595*COS(RADIANS(E2595))^2+L2595*G2595^3*SIN(RADIANS(E2595))^2)</f>
        <v/>
      </c>
      <c r="Q2595" s="28">
        <f>-(6*F2595*J2595*L2595*N2595*SIN(RADIANS(E2595))+6*O2595*N2595*G2595*SIN(RADIANS(E2595))*COS(RADIANS(E2595)))/(12*N2595*COS(RADIANS(E2595))^2+L2595*G2595^2*SIN(RADIANS(E2595))^2)</f>
        <v/>
      </c>
      <c r="R2595" s="28">
        <f>-P2595*SIN(RADIANS(E2595))</f>
        <v/>
      </c>
      <c r="S2595" s="8">
        <f>(O2595+P2595*COS(RADIANS(E2595)))/L2595</f>
        <v/>
      </c>
      <c r="T2595" s="8">
        <f>R2595/L2595</f>
        <v/>
      </c>
      <c r="U2595" s="8">
        <f>(Q2595-P2595*G2595*SIN(RADIANS(E2595)))/M2595</f>
        <v/>
      </c>
      <c r="V2595" s="8">
        <f>SQRT((S2595+U2595)^2+3*T2595^2)</f>
        <v/>
      </c>
      <c r="W2595" s="8">
        <f>V2595/AA2595</f>
        <v/>
      </c>
      <c r="X2595" s="27">
        <f>((3*10+H2595/COS(RADIANS(E2595)))*(3+3)+3*G2595*H2595)*2</f>
        <v/>
      </c>
      <c r="Y2595" s="28">
        <f>Z2595/X2595</f>
        <v/>
      </c>
      <c r="Z2595" s="29" t="n">
        <v>710.125453783263</v>
      </c>
      <c r="AA2595" s="20" t="n">
        <v>64.46313351290939</v>
      </c>
      <c r="AB2595" t="n">
        <v>0.1371003994535129</v>
      </c>
      <c r="AC2595" t="n">
        <v>64.57670927743895</v>
      </c>
      <c r="AD2595" t="n">
        <v>36.08947339356883</v>
      </c>
    </row>
    <row r="2596">
      <c r="A2596" t="n">
        <v>2595</v>
      </c>
      <c r="B2596" t="n">
        <v>77.3</v>
      </c>
      <c r="C2596" s="21">
        <f>B2596-20</f>
        <v/>
      </c>
      <c r="D2596" t="n">
        <v>121</v>
      </c>
      <c r="E2596" s="22">
        <f>D2596-90</f>
        <v/>
      </c>
      <c r="F2596" s="23" t="n">
        <v>0.018365</v>
      </c>
      <c r="G2596" s="22" t="n">
        <v>25.8</v>
      </c>
      <c r="H2596" s="22" t="n">
        <v>1.1</v>
      </c>
      <c r="I2596" s="24" t="n">
        <v>0.08627771586179731</v>
      </c>
      <c r="J2596" s="6" t="n">
        <v>71000</v>
      </c>
      <c r="K2596" s="25">
        <f>23*10^-6</f>
        <v/>
      </c>
      <c r="L2596" s="8">
        <f>H2596</f>
        <v/>
      </c>
      <c r="M2596" s="26">
        <f>H2596^2/6</f>
        <v/>
      </c>
      <c r="N2596" s="26">
        <f>H2596^3/12</f>
        <v/>
      </c>
      <c r="O2596" s="27">
        <f>-J2596*L2596*K2596*C2596</f>
        <v/>
      </c>
      <c r="P2596" s="28">
        <f>-(12*F2596*J2596*L2596*N2596+12*O2596*N2596*G2596*COS(RADIANS(E2596)))/(12*N2596*G2596*COS(RADIANS(E2596))^2+L2596*G2596^3*SIN(RADIANS(E2596))^2)</f>
        <v/>
      </c>
      <c r="Q2596" s="28">
        <f>-(6*F2596*J2596*L2596*N2596*SIN(RADIANS(E2596))+6*O2596*N2596*G2596*SIN(RADIANS(E2596))*COS(RADIANS(E2596)))/(12*N2596*COS(RADIANS(E2596))^2+L2596*G2596^2*SIN(RADIANS(E2596))^2)</f>
        <v/>
      </c>
      <c r="R2596" s="28">
        <f>-P2596*SIN(RADIANS(E2596))</f>
        <v/>
      </c>
      <c r="S2596" s="8">
        <f>(O2596+P2596*COS(RADIANS(E2596)))/L2596</f>
        <v/>
      </c>
      <c r="T2596" s="8">
        <f>R2596/L2596</f>
        <v/>
      </c>
      <c r="U2596" s="8">
        <f>(Q2596-P2596*G2596*SIN(RADIANS(E2596)))/M2596</f>
        <v/>
      </c>
      <c r="V2596" s="8">
        <f>SQRT((S2596+U2596)^2+3*T2596^2)</f>
        <v/>
      </c>
      <c r="W2596" s="8">
        <f>V2596/AA2596</f>
        <v/>
      </c>
      <c r="X2596" s="27">
        <f>((3*10+H2596/COS(RADIANS(E2596)))*(3+3)+3*G2596*H2596)*2</f>
        <v/>
      </c>
      <c r="Y2596" s="28">
        <f>Z2596/X2596</f>
        <v/>
      </c>
      <c r="Z2596" s="29" t="n">
        <v>553.11239176205</v>
      </c>
      <c r="AA2596" s="20" t="n">
        <v>79.3943195606976</v>
      </c>
      <c r="AB2596" t="n">
        <v>0.09604379866343492</v>
      </c>
      <c r="AC2596" t="n">
        <v>82.84756187978995</v>
      </c>
      <c r="AD2596" t="n">
        <v>11.31935715275688</v>
      </c>
    </row>
    <row r="2597">
      <c r="A2597" t="n">
        <v>2596</v>
      </c>
      <c r="B2597" t="n">
        <v>73.09999999999999</v>
      </c>
      <c r="C2597" s="21">
        <f>B2597-20</f>
        <v/>
      </c>
      <c r="D2597" t="n">
        <v>101.4</v>
      </c>
      <c r="E2597" s="22">
        <f>D2597-90</f>
        <v/>
      </c>
      <c r="F2597" s="23" t="n">
        <v>0.019001</v>
      </c>
      <c r="G2597" s="22" t="n">
        <v>25.9</v>
      </c>
      <c r="H2597" s="22" t="n">
        <v>1.4</v>
      </c>
      <c r="I2597" s="24" t="n">
        <v>0.165520563721656</v>
      </c>
      <c r="J2597" s="6" t="n">
        <v>71000</v>
      </c>
      <c r="K2597" s="25">
        <f>23*10^-6</f>
        <v/>
      </c>
      <c r="L2597" s="8">
        <f>H2597</f>
        <v/>
      </c>
      <c r="M2597" s="26">
        <f>H2597^2/6</f>
        <v/>
      </c>
      <c r="N2597" s="26">
        <f>H2597^3/12</f>
        <v/>
      </c>
      <c r="O2597" s="27">
        <f>-J2597*L2597*K2597*C2597</f>
        <v/>
      </c>
      <c r="P2597" s="28">
        <f>-(12*F2597*J2597*L2597*N2597+12*O2597*N2597*G2597*COS(RADIANS(E2597)))/(12*N2597*G2597*COS(RADIANS(E2597))^2+L2597*G2597^3*SIN(RADIANS(E2597))^2)</f>
        <v/>
      </c>
      <c r="Q2597" s="28">
        <f>-(6*F2597*J2597*L2597*N2597*SIN(RADIANS(E2597))+6*O2597*N2597*G2597*SIN(RADIANS(E2597))*COS(RADIANS(E2597)))/(12*N2597*COS(RADIANS(E2597))^2+L2597*G2597^2*SIN(RADIANS(E2597))^2)</f>
        <v/>
      </c>
      <c r="R2597" s="28">
        <f>-P2597*SIN(RADIANS(E2597))</f>
        <v/>
      </c>
      <c r="S2597" s="8">
        <f>(O2597+P2597*COS(RADIANS(E2597)))/L2597</f>
        <v/>
      </c>
      <c r="T2597" s="8">
        <f>R2597/L2597</f>
        <v/>
      </c>
      <c r="U2597" s="8">
        <f>(Q2597-P2597*G2597*SIN(RADIANS(E2597)))/M2597</f>
        <v/>
      </c>
      <c r="V2597" s="8">
        <f>SQRT((S2597+U2597)^2+3*T2597^2)</f>
        <v/>
      </c>
      <c r="W2597" s="8">
        <f>V2597/AA2597</f>
        <v/>
      </c>
      <c r="X2597" s="27">
        <f>((3*10+H2597/COS(RADIANS(E2597)))*(3+3)+3*G2597*H2597)*2</f>
        <v/>
      </c>
      <c r="Y2597" s="28">
        <f>Z2597/X2597</f>
        <v/>
      </c>
      <c r="Z2597" s="29" t="n">
        <v>598.61476551233</v>
      </c>
      <c r="AA2597" s="20" t="n">
        <v>85.62452459222099</v>
      </c>
      <c r="AB2597" t="n">
        <v>0.2369625992304699</v>
      </c>
      <c r="AC2597" t="n">
        <v>90.19107759977652</v>
      </c>
      <c r="AD2597" t="n">
        <v>43.1620300840401</v>
      </c>
    </row>
    <row r="2598">
      <c r="A2598" t="n">
        <v>2597</v>
      </c>
      <c r="B2598" t="n">
        <v>83.59999999999999</v>
      </c>
      <c r="C2598" s="21">
        <f>B2598-20</f>
        <v/>
      </c>
      <c r="D2598" t="n">
        <v>120.4</v>
      </c>
      <c r="E2598" s="22">
        <f>D2598-90</f>
        <v/>
      </c>
      <c r="F2598" s="23" t="n">
        <v>0.019234</v>
      </c>
      <c r="G2598" s="22" t="n">
        <v>23.8</v>
      </c>
      <c r="H2598" s="22" t="n">
        <v>2</v>
      </c>
      <c r="I2598" s="24" t="n">
        <v>0.0921834409236908</v>
      </c>
      <c r="J2598" s="6" t="n">
        <v>71000</v>
      </c>
      <c r="K2598" s="25">
        <f>23*10^-6</f>
        <v/>
      </c>
      <c r="L2598" s="8">
        <f>H2598</f>
        <v/>
      </c>
      <c r="M2598" s="26">
        <f>H2598^2/6</f>
        <v/>
      </c>
      <c r="N2598" s="26">
        <f>H2598^3/12</f>
        <v/>
      </c>
      <c r="O2598" s="27">
        <f>-J2598*L2598*K2598*C2598</f>
        <v/>
      </c>
      <c r="P2598" s="28">
        <f>-(12*F2598*J2598*L2598*N2598+12*O2598*N2598*G2598*COS(RADIANS(E2598)))/(12*N2598*G2598*COS(RADIANS(E2598))^2+L2598*G2598^3*SIN(RADIANS(E2598))^2)</f>
        <v/>
      </c>
      <c r="Q2598" s="28">
        <f>-(6*F2598*J2598*L2598*N2598*SIN(RADIANS(E2598))+6*O2598*N2598*G2598*SIN(RADIANS(E2598))*COS(RADIANS(E2598)))/(12*N2598*COS(RADIANS(E2598))^2+L2598*G2598^2*SIN(RADIANS(E2598))^2)</f>
        <v/>
      </c>
      <c r="R2598" s="28">
        <f>-P2598*SIN(RADIANS(E2598))</f>
        <v/>
      </c>
      <c r="S2598" s="8">
        <f>(O2598+P2598*COS(RADIANS(E2598)))/L2598</f>
        <v/>
      </c>
      <c r="T2598" s="8">
        <f>R2598/L2598</f>
        <v/>
      </c>
      <c r="U2598" s="8">
        <f>(Q2598-P2598*G2598*SIN(RADIANS(E2598)))/M2598</f>
        <v/>
      </c>
      <c r="V2598" s="8">
        <f>SQRT((S2598+U2598)^2+3*T2598^2)</f>
        <v/>
      </c>
      <c r="W2598" s="8">
        <f>V2598/AA2598</f>
        <v/>
      </c>
      <c r="X2598" s="27">
        <f>((3*10+H2598/COS(RADIANS(E2598)))*(3+3)+3*G2598*H2598)*2</f>
        <v/>
      </c>
      <c r="Y2598" s="28">
        <f>Z2598/X2598</f>
        <v/>
      </c>
      <c r="Z2598" s="29" t="n">
        <v>680.684921317184</v>
      </c>
      <c r="AA2598" s="20" t="n">
        <v>107.364505189653</v>
      </c>
      <c r="AB2598" t="n">
        <v>0.09931320379013078</v>
      </c>
      <c r="AC2598" t="n">
        <v>97.73671595564154</v>
      </c>
      <c r="AD2598" t="n">
        <v>7.734320605738709</v>
      </c>
    </row>
    <row r="2599">
      <c r="A2599" t="n">
        <v>2598</v>
      </c>
      <c r="B2599" t="n">
        <v>79.59999999999999</v>
      </c>
      <c r="C2599" s="21">
        <f>B2599-20</f>
        <v/>
      </c>
      <c r="D2599" t="n">
        <v>118.4</v>
      </c>
      <c r="E2599" s="22">
        <f>D2599-90</f>
        <v/>
      </c>
      <c r="F2599" s="23" t="n">
        <v>0.016687</v>
      </c>
      <c r="G2599" s="22" t="n">
        <v>21.1</v>
      </c>
      <c r="H2599" s="22" t="n">
        <v>1.1</v>
      </c>
      <c r="I2599" s="24" t="n">
        <v>0.084060326218605</v>
      </c>
      <c r="J2599" s="6" t="n">
        <v>71000</v>
      </c>
      <c r="K2599" s="25">
        <f>23*10^-6</f>
        <v/>
      </c>
      <c r="L2599" s="8">
        <f>H2599</f>
        <v/>
      </c>
      <c r="M2599" s="26">
        <f>H2599^2/6</f>
        <v/>
      </c>
      <c r="N2599" s="26">
        <f>H2599^3/12</f>
        <v/>
      </c>
      <c r="O2599" s="27">
        <f>-J2599*L2599*K2599*C2599</f>
        <v/>
      </c>
      <c r="P2599" s="28">
        <f>-(12*F2599*J2599*L2599*N2599+12*O2599*N2599*G2599*COS(RADIANS(E2599)))/(12*N2599*G2599*COS(RADIANS(E2599))^2+L2599*G2599^3*SIN(RADIANS(E2599))^2)</f>
        <v/>
      </c>
      <c r="Q2599" s="28">
        <f>-(6*F2599*J2599*L2599*N2599*SIN(RADIANS(E2599))+6*O2599*N2599*G2599*SIN(RADIANS(E2599))*COS(RADIANS(E2599)))/(12*N2599*COS(RADIANS(E2599))^2+L2599*G2599^2*SIN(RADIANS(E2599))^2)</f>
        <v/>
      </c>
      <c r="R2599" s="28">
        <f>-P2599*SIN(RADIANS(E2599))</f>
        <v/>
      </c>
      <c r="S2599" s="8">
        <f>(O2599+P2599*COS(RADIANS(E2599)))/L2599</f>
        <v/>
      </c>
      <c r="T2599" s="8">
        <f>R2599/L2599</f>
        <v/>
      </c>
      <c r="U2599" s="8">
        <f>(Q2599-P2599*G2599*SIN(RADIANS(E2599)))/M2599</f>
        <v/>
      </c>
      <c r="V2599" s="8">
        <f>SQRT((S2599+U2599)^2+3*T2599^2)</f>
        <v/>
      </c>
      <c r="W2599" s="8">
        <f>V2599/AA2599</f>
        <v/>
      </c>
      <c r="X2599" s="27">
        <f>((3*10+H2599/COS(RADIANS(E2599)))*(3+3)+3*G2599*H2599)*2</f>
        <v/>
      </c>
      <c r="Y2599" s="28">
        <f>Z2599/X2599</f>
        <v/>
      </c>
      <c r="Z2599" s="29" t="n">
        <v>520.9832449747061</v>
      </c>
      <c r="AA2599" s="20" t="n">
        <v>84.834675243631</v>
      </c>
      <c r="AB2599" t="n">
        <v>0.09074774614766004</v>
      </c>
      <c r="AC2599" t="n">
        <v>87.69118837382105</v>
      </c>
      <c r="AD2599" t="n">
        <v>7.955500805057452</v>
      </c>
    </row>
    <row r="2600">
      <c r="A2600" t="n">
        <v>2599</v>
      </c>
      <c r="B2600" t="n">
        <v>85.5</v>
      </c>
      <c r="C2600" s="21">
        <f>B2600-20</f>
        <v/>
      </c>
      <c r="D2600" t="n">
        <v>108.8</v>
      </c>
      <c r="E2600" s="22">
        <f>D2600-90</f>
        <v/>
      </c>
      <c r="F2600" s="23" t="n">
        <v>0.024909</v>
      </c>
      <c r="G2600" s="22" t="n">
        <v>28.9</v>
      </c>
      <c r="H2600" s="22" t="n">
        <v>1.4</v>
      </c>
      <c r="I2600" s="24" t="n">
        <v>0.151840791106224</v>
      </c>
      <c r="J2600" s="6" t="n">
        <v>71000</v>
      </c>
      <c r="K2600" s="25">
        <f>23*10^-6</f>
        <v/>
      </c>
      <c r="L2600" s="8">
        <f>H2600</f>
        <v/>
      </c>
      <c r="M2600" s="26">
        <f>H2600^2/6</f>
        <v/>
      </c>
      <c r="N2600" s="26">
        <f>H2600^3/12</f>
        <v/>
      </c>
      <c r="O2600" s="27">
        <f>-J2600*L2600*K2600*C2600</f>
        <v/>
      </c>
      <c r="P2600" s="28">
        <f>-(12*F2600*J2600*L2600*N2600+12*O2600*N2600*G2600*COS(RADIANS(E2600)))/(12*N2600*G2600*COS(RADIANS(E2600))^2+L2600*G2600^3*SIN(RADIANS(E2600))^2)</f>
        <v/>
      </c>
      <c r="Q2600" s="28">
        <f>-(6*F2600*J2600*L2600*N2600*SIN(RADIANS(E2600))+6*O2600*N2600*G2600*SIN(RADIANS(E2600))*COS(RADIANS(E2600)))/(12*N2600*COS(RADIANS(E2600))^2+L2600*G2600^2*SIN(RADIANS(E2600))^2)</f>
        <v/>
      </c>
      <c r="R2600" s="28">
        <f>-P2600*SIN(RADIANS(E2600))</f>
        <v/>
      </c>
      <c r="S2600" s="8">
        <f>(O2600+P2600*COS(RADIANS(E2600)))/L2600</f>
        <v/>
      </c>
      <c r="T2600" s="8">
        <f>R2600/L2600</f>
        <v/>
      </c>
      <c r="U2600" s="8">
        <f>(Q2600-P2600*G2600*SIN(RADIANS(E2600)))/M2600</f>
        <v/>
      </c>
      <c r="V2600" s="8">
        <f>SQRT((S2600+U2600)^2+3*T2600^2)</f>
        <v/>
      </c>
      <c r="W2600" s="8">
        <f>V2600/AA2600</f>
        <v/>
      </c>
      <c r="X2600" s="27">
        <f>((3*10+H2600/COS(RADIANS(E2600)))*(3+3)+3*G2600*H2600)*2</f>
        <v/>
      </c>
      <c r="Y2600" s="28">
        <f>Z2600/X2600</f>
        <v/>
      </c>
      <c r="Z2600" s="29" t="n">
        <v>625.293013412006</v>
      </c>
      <c r="AA2600" s="20" t="n">
        <v>99.98890555878221</v>
      </c>
      <c r="AB2600" t="n">
        <v>0.2039657238549079</v>
      </c>
      <c r="AC2600" t="n">
        <v>101.8484479197451</v>
      </c>
      <c r="AD2600" t="n">
        <v>34.32867569309397</v>
      </c>
    </row>
    <row r="2601">
      <c r="A2601" t="n">
        <v>2600</v>
      </c>
      <c r="B2601" t="n">
        <v>85.59999999999999</v>
      </c>
      <c r="C2601" s="21">
        <f>B2601-20</f>
        <v/>
      </c>
      <c r="D2601" t="n">
        <v>113.2</v>
      </c>
      <c r="E2601" s="22">
        <f>D2601-90</f>
        <v/>
      </c>
      <c r="F2601" s="23" t="n">
        <v>0.026483</v>
      </c>
      <c r="G2601" s="22" t="n">
        <v>32</v>
      </c>
      <c r="H2601" s="22" t="n">
        <v>1.9</v>
      </c>
      <c r="I2601" s="24" t="n">
        <v>0.139260128140449</v>
      </c>
      <c r="J2601" s="6" t="n">
        <v>71000</v>
      </c>
      <c r="K2601" s="25">
        <f>23*10^-6</f>
        <v/>
      </c>
      <c r="L2601" s="8">
        <f>H2601</f>
        <v/>
      </c>
      <c r="M2601" s="26">
        <f>H2601^2/6</f>
        <v/>
      </c>
      <c r="N2601" s="26">
        <f>H2601^3/12</f>
        <v/>
      </c>
      <c r="O2601" s="27">
        <f>-J2601*L2601*K2601*C2601</f>
        <v/>
      </c>
      <c r="P2601" s="28">
        <f>-(12*F2601*J2601*L2601*N2601+12*O2601*N2601*G2601*COS(RADIANS(E2601)))/(12*N2601*G2601*COS(RADIANS(E2601))^2+L2601*G2601^3*SIN(RADIANS(E2601))^2)</f>
        <v/>
      </c>
      <c r="Q2601" s="28">
        <f>-(6*F2601*J2601*L2601*N2601*SIN(RADIANS(E2601))+6*O2601*N2601*G2601*SIN(RADIANS(E2601))*COS(RADIANS(E2601)))/(12*N2601*COS(RADIANS(E2601))^2+L2601*G2601^2*SIN(RADIANS(E2601))^2)</f>
        <v/>
      </c>
      <c r="R2601" s="28">
        <f>-P2601*SIN(RADIANS(E2601))</f>
        <v/>
      </c>
      <c r="S2601" s="8">
        <f>(O2601+P2601*COS(RADIANS(E2601)))/L2601</f>
        <v/>
      </c>
      <c r="T2601" s="8">
        <f>R2601/L2601</f>
        <v/>
      </c>
      <c r="U2601" s="8">
        <f>(Q2601-P2601*G2601*SIN(RADIANS(E2601)))/M2601</f>
        <v/>
      </c>
      <c r="V2601" s="8">
        <f>SQRT((S2601+U2601)^2+3*T2601^2)</f>
        <v/>
      </c>
      <c r="W2601" s="8">
        <f>V2601/AA2601</f>
        <v/>
      </c>
      <c r="X2601" s="27">
        <f>((3*10+H2601/COS(RADIANS(E2601)))*(3+3)+3*G2601*H2601)*2</f>
        <v/>
      </c>
      <c r="Y2601" s="28">
        <f>Z2601/X2601</f>
        <v/>
      </c>
      <c r="Z2601" s="29" t="n">
        <v>755.151049270641</v>
      </c>
      <c r="AA2601" s="20" t="n">
        <v>106.321434827772</v>
      </c>
      <c r="AB2601" t="n">
        <v>0.1806641160465113</v>
      </c>
      <c r="AC2601" t="n">
        <v>101.9284996746968</v>
      </c>
      <c r="AD2601" t="n">
        <v>29.73140155687984</v>
      </c>
    </row>
    <row r="2602">
      <c r="A2602" t="n">
        <v>2601</v>
      </c>
      <c r="B2602" t="n">
        <v>63.9</v>
      </c>
      <c r="C2602" s="21">
        <f>B2602-20</f>
        <v/>
      </c>
      <c r="D2602" t="n">
        <v>113.9</v>
      </c>
      <c r="E2602" s="22">
        <f>D2602-90</f>
        <v/>
      </c>
      <c r="F2602" s="23" t="n">
        <v>0.016043</v>
      </c>
      <c r="G2602" s="22" t="n">
        <v>28.5</v>
      </c>
      <c r="H2602" s="22" t="n">
        <v>1.8</v>
      </c>
      <c r="I2602" s="24" t="n">
        <v>0.08419559895992269</v>
      </c>
      <c r="J2602" s="6" t="n">
        <v>71000</v>
      </c>
      <c r="K2602" s="25">
        <f>23*10^-6</f>
        <v/>
      </c>
      <c r="L2602" s="8">
        <f>H2602</f>
        <v/>
      </c>
      <c r="M2602" s="26">
        <f>H2602^2/6</f>
        <v/>
      </c>
      <c r="N2602" s="26">
        <f>H2602^3/12</f>
        <v/>
      </c>
      <c r="O2602" s="27">
        <f>-J2602*L2602*K2602*C2602</f>
        <v/>
      </c>
      <c r="P2602" s="28">
        <f>-(12*F2602*J2602*L2602*N2602+12*O2602*N2602*G2602*COS(RADIANS(E2602)))/(12*N2602*G2602*COS(RADIANS(E2602))^2+L2602*G2602^3*SIN(RADIANS(E2602))^2)</f>
        <v/>
      </c>
      <c r="Q2602" s="28">
        <f>-(6*F2602*J2602*L2602*N2602*SIN(RADIANS(E2602))+6*O2602*N2602*G2602*SIN(RADIANS(E2602))*COS(RADIANS(E2602)))/(12*N2602*COS(RADIANS(E2602))^2+L2602*G2602^2*SIN(RADIANS(E2602))^2)</f>
        <v/>
      </c>
      <c r="R2602" s="28">
        <f>-P2602*SIN(RADIANS(E2602))</f>
        <v/>
      </c>
      <c r="S2602" s="8">
        <f>(O2602+P2602*COS(RADIANS(E2602)))/L2602</f>
        <v/>
      </c>
      <c r="T2602" s="8">
        <f>R2602/L2602</f>
        <v/>
      </c>
      <c r="U2602" s="8">
        <f>(Q2602-P2602*G2602*SIN(RADIANS(E2602)))/M2602</f>
        <v/>
      </c>
      <c r="V2602" s="8">
        <f>SQRT((S2602+U2602)^2+3*T2602^2)</f>
        <v/>
      </c>
      <c r="W2602" s="8">
        <f>V2602/AA2602</f>
        <v/>
      </c>
      <c r="X2602" s="27">
        <f>((3*10+H2602/COS(RADIANS(E2602)))*(3+3)+3*G2602*H2602)*2</f>
        <v/>
      </c>
      <c r="Y2602" s="28">
        <f>Z2602/X2602</f>
        <v/>
      </c>
      <c r="Z2602" s="29" t="n">
        <v>697.110361926891</v>
      </c>
      <c r="AA2602" s="20" t="n">
        <v>70.8562571937197</v>
      </c>
      <c r="AB2602" t="n">
        <v>0.1049545556127099</v>
      </c>
      <c r="AC2602" t="n">
        <v>68.14762708285808</v>
      </c>
      <c r="AD2602" t="n">
        <v>24.65563154039501</v>
      </c>
    </row>
    <row r="2603">
      <c r="A2603" t="n">
        <v>2602</v>
      </c>
      <c r="B2603" t="n">
        <v>45.3</v>
      </c>
      <c r="C2603" s="21">
        <f>B2603-20</f>
        <v/>
      </c>
      <c r="D2603" t="n">
        <v>109.7</v>
      </c>
      <c r="E2603" s="22">
        <f>D2603-90</f>
        <v/>
      </c>
      <c r="F2603" s="23" t="n">
        <v>0.011044</v>
      </c>
      <c r="G2603" s="22" t="n">
        <v>34.3</v>
      </c>
      <c r="H2603" s="22" t="n">
        <v>1.8</v>
      </c>
      <c r="I2603" s="24" t="n">
        <v>0.0638003870844841</v>
      </c>
      <c r="J2603" s="6" t="n">
        <v>71000</v>
      </c>
      <c r="K2603" s="25">
        <f>23*10^-6</f>
        <v/>
      </c>
      <c r="L2603" s="8">
        <f>H2603</f>
        <v/>
      </c>
      <c r="M2603" s="26">
        <f>H2603^2/6</f>
        <v/>
      </c>
      <c r="N2603" s="26">
        <f>H2603^3/12</f>
        <v/>
      </c>
      <c r="O2603" s="27">
        <f>-J2603*L2603*K2603*C2603</f>
        <v/>
      </c>
      <c r="P2603" s="28">
        <f>-(12*F2603*J2603*L2603*N2603+12*O2603*N2603*G2603*COS(RADIANS(E2603)))/(12*N2603*G2603*COS(RADIANS(E2603))^2+L2603*G2603^3*SIN(RADIANS(E2603))^2)</f>
        <v/>
      </c>
      <c r="Q2603" s="28">
        <f>-(6*F2603*J2603*L2603*N2603*SIN(RADIANS(E2603))+6*O2603*N2603*G2603*SIN(RADIANS(E2603))*COS(RADIANS(E2603)))/(12*N2603*COS(RADIANS(E2603))^2+L2603*G2603^2*SIN(RADIANS(E2603))^2)</f>
        <v/>
      </c>
      <c r="R2603" s="28">
        <f>-P2603*SIN(RADIANS(E2603))</f>
        <v/>
      </c>
      <c r="S2603" s="8">
        <f>(O2603+P2603*COS(RADIANS(E2603)))/L2603</f>
        <v/>
      </c>
      <c r="T2603" s="8">
        <f>R2603/L2603</f>
        <v/>
      </c>
      <c r="U2603" s="8">
        <f>(Q2603-P2603*G2603*SIN(RADIANS(E2603)))/M2603</f>
        <v/>
      </c>
      <c r="V2603" s="8">
        <f>SQRT((S2603+U2603)^2+3*T2603^2)</f>
        <v/>
      </c>
      <c r="W2603" s="8">
        <f>V2603/AA2603</f>
        <v/>
      </c>
      <c r="X2603" s="27">
        <f>((3*10+H2603/COS(RADIANS(E2603)))*(3+3)+3*G2603*H2603)*2</f>
        <v/>
      </c>
      <c r="Y2603" s="28">
        <f>Z2603/X2603</f>
        <v/>
      </c>
      <c r="Z2603" s="29" t="n">
        <v>758.30849572456</v>
      </c>
      <c r="AA2603" s="20" t="n">
        <v>40.6409983702352</v>
      </c>
      <c r="AB2603" t="n">
        <v>0.0880778432106903</v>
      </c>
      <c r="AC2603" t="n">
        <v>39.71687103809018</v>
      </c>
      <c r="AD2603" t="n">
        <v>38.05220820064639</v>
      </c>
    </row>
    <row r="2604">
      <c r="A2604" t="n">
        <v>2603</v>
      </c>
      <c r="B2604" t="n">
        <v>82.7</v>
      </c>
      <c r="C2604" s="21">
        <f>B2604-20</f>
        <v/>
      </c>
      <c r="D2604" t="n">
        <v>117.6</v>
      </c>
      <c r="E2604" s="22">
        <f>D2604-90</f>
        <v/>
      </c>
      <c r="F2604" s="23" t="n">
        <v>0.026142</v>
      </c>
      <c r="G2604" s="22" t="n">
        <v>34.5</v>
      </c>
      <c r="H2604" s="22" t="n">
        <v>1.7</v>
      </c>
      <c r="I2604" s="24" t="n">
        <v>0.124161303043365</v>
      </c>
      <c r="J2604" s="6" t="n">
        <v>71000</v>
      </c>
      <c r="K2604" s="25">
        <f>23*10^-6</f>
        <v/>
      </c>
      <c r="L2604" s="8">
        <f>H2604</f>
        <v/>
      </c>
      <c r="M2604" s="26">
        <f>H2604^2/6</f>
        <v/>
      </c>
      <c r="N2604" s="26">
        <f>H2604^3/12</f>
        <v/>
      </c>
      <c r="O2604" s="27">
        <f>-J2604*L2604*K2604*C2604</f>
        <v/>
      </c>
      <c r="P2604" s="28">
        <f>-(12*F2604*J2604*L2604*N2604+12*O2604*N2604*G2604*COS(RADIANS(E2604)))/(12*N2604*G2604*COS(RADIANS(E2604))^2+L2604*G2604^3*SIN(RADIANS(E2604))^2)</f>
        <v/>
      </c>
      <c r="Q2604" s="28">
        <f>-(6*F2604*J2604*L2604*N2604*SIN(RADIANS(E2604))+6*O2604*N2604*G2604*SIN(RADIANS(E2604))*COS(RADIANS(E2604)))/(12*N2604*COS(RADIANS(E2604))^2+L2604*G2604^2*SIN(RADIANS(E2604))^2)</f>
        <v/>
      </c>
      <c r="R2604" s="28">
        <f>-P2604*SIN(RADIANS(E2604))</f>
        <v/>
      </c>
      <c r="S2604" s="8">
        <f>(O2604+P2604*COS(RADIANS(E2604)))/L2604</f>
        <v/>
      </c>
      <c r="T2604" s="8">
        <f>R2604/L2604</f>
        <v/>
      </c>
      <c r="U2604" s="8">
        <f>(Q2604-P2604*G2604*SIN(RADIANS(E2604)))/M2604</f>
        <v/>
      </c>
      <c r="V2604" s="8">
        <f>SQRT((S2604+U2604)^2+3*T2604^2)</f>
        <v/>
      </c>
      <c r="W2604" s="8">
        <f>V2604/AA2604</f>
        <v/>
      </c>
      <c r="X2604" s="27">
        <f>((3*10+H2604/COS(RADIANS(E2604)))*(3+3)+3*G2604*H2604)*2</f>
        <v/>
      </c>
      <c r="Y2604" s="28">
        <f>Z2604/X2604</f>
        <v/>
      </c>
      <c r="Z2604" s="29" t="n">
        <v>741.434984244213</v>
      </c>
      <c r="AA2604" s="20" t="n">
        <v>95.11064909027751</v>
      </c>
      <c r="AB2604" t="n">
        <v>0.155887470666864</v>
      </c>
      <c r="AC2604" t="n">
        <v>93.52047192003178</v>
      </c>
      <c r="AD2604" t="n">
        <v>25.5523797236714</v>
      </c>
    </row>
    <row r="2605">
      <c r="A2605" t="n">
        <v>2604</v>
      </c>
      <c r="B2605" t="n">
        <v>70.7</v>
      </c>
      <c r="C2605" s="21">
        <f>B2605-20</f>
        <v/>
      </c>
      <c r="D2605" t="n">
        <v>106.7</v>
      </c>
      <c r="E2605" s="22">
        <f>D2605-90</f>
        <v/>
      </c>
      <c r="F2605" s="23" t="n">
        <v>0.015647</v>
      </c>
      <c r="G2605" s="22" t="n">
        <v>22</v>
      </c>
      <c r="H2605" s="22" t="n">
        <v>1.4</v>
      </c>
      <c r="I2605" s="24" t="n">
        <v>0.105889789760112</v>
      </c>
      <c r="J2605" s="6" t="n">
        <v>71000</v>
      </c>
      <c r="K2605" s="25">
        <f>23*10^-6</f>
        <v/>
      </c>
      <c r="L2605" s="8">
        <f>H2605</f>
        <v/>
      </c>
      <c r="M2605" s="26">
        <f>H2605^2/6</f>
        <v/>
      </c>
      <c r="N2605" s="26">
        <f>H2605^3/12</f>
        <v/>
      </c>
      <c r="O2605" s="27">
        <f>-J2605*L2605*K2605*C2605</f>
        <v/>
      </c>
      <c r="P2605" s="28">
        <f>-(12*F2605*J2605*L2605*N2605+12*O2605*N2605*G2605*COS(RADIANS(E2605)))/(12*N2605*G2605*COS(RADIANS(E2605))^2+L2605*G2605^3*SIN(RADIANS(E2605))^2)</f>
        <v/>
      </c>
      <c r="Q2605" s="28">
        <f>-(6*F2605*J2605*L2605*N2605*SIN(RADIANS(E2605))+6*O2605*N2605*G2605*SIN(RADIANS(E2605))*COS(RADIANS(E2605)))/(12*N2605*COS(RADIANS(E2605))^2+L2605*G2605^2*SIN(RADIANS(E2605))^2)</f>
        <v/>
      </c>
      <c r="R2605" s="28">
        <f>-P2605*SIN(RADIANS(E2605))</f>
        <v/>
      </c>
      <c r="S2605" s="8">
        <f>(O2605+P2605*COS(RADIANS(E2605)))/L2605</f>
        <v/>
      </c>
      <c r="T2605" s="8">
        <f>R2605/L2605</f>
        <v/>
      </c>
      <c r="U2605" s="8">
        <f>(Q2605-P2605*G2605*SIN(RADIANS(E2605)))/M2605</f>
        <v/>
      </c>
      <c r="V2605" s="8">
        <f>SQRT((S2605+U2605)^2+3*T2605^2)</f>
        <v/>
      </c>
      <c r="W2605" s="8">
        <f>V2605/AA2605</f>
        <v/>
      </c>
      <c r="X2605" s="27">
        <f>((3*10+H2605/COS(RADIANS(E2605)))*(3+3)+3*G2605*H2605)*2</f>
        <v/>
      </c>
      <c r="Y2605" s="28">
        <f>Z2605/X2605</f>
        <v/>
      </c>
      <c r="Z2605" s="29" t="n">
        <v>566.830248508256</v>
      </c>
      <c r="AA2605" s="20" t="n">
        <v>80.10167968181121</v>
      </c>
      <c r="AB2605" t="n">
        <v>0.1351386688152685</v>
      </c>
      <c r="AC2605" t="n">
        <v>82.09447114618997</v>
      </c>
      <c r="AD2605" t="n">
        <v>27.62200125377371</v>
      </c>
    </row>
    <row r="2606">
      <c r="A2606" t="n">
        <v>2605</v>
      </c>
      <c r="B2606" t="n">
        <v>74</v>
      </c>
      <c r="C2606" s="21">
        <f>B2606-20</f>
        <v/>
      </c>
      <c r="D2606" t="n">
        <v>100.8</v>
      </c>
      <c r="E2606" s="22">
        <f>D2606-90</f>
        <v/>
      </c>
      <c r="F2606" s="23" t="n">
        <v>0.023709</v>
      </c>
      <c r="G2606" s="22" t="n">
        <v>33.1</v>
      </c>
      <c r="H2606" s="22" t="n">
        <v>1.6</v>
      </c>
      <c r="I2606" s="24" t="n">
        <v>0.212097272276878</v>
      </c>
      <c r="J2606" s="6" t="n">
        <v>71000</v>
      </c>
      <c r="K2606" s="25">
        <f>23*10^-6</f>
        <v/>
      </c>
      <c r="L2606" s="8">
        <f>H2606</f>
        <v/>
      </c>
      <c r="M2606" s="26">
        <f>H2606^2/6</f>
        <v/>
      </c>
      <c r="N2606" s="26">
        <f>H2606^3/12</f>
        <v/>
      </c>
      <c r="O2606" s="27">
        <f>-J2606*L2606*K2606*C2606</f>
        <v/>
      </c>
      <c r="P2606" s="28">
        <f>-(12*F2606*J2606*L2606*N2606+12*O2606*N2606*G2606*COS(RADIANS(E2606)))/(12*N2606*G2606*COS(RADIANS(E2606))^2+L2606*G2606^3*SIN(RADIANS(E2606))^2)</f>
        <v/>
      </c>
      <c r="Q2606" s="28">
        <f>-(6*F2606*J2606*L2606*N2606*SIN(RADIANS(E2606))+6*O2606*N2606*G2606*SIN(RADIANS(E2606))*COS(RADIANS(E2606)))/(12*N2606*COS(RADIANS(E2606))^2+L2606*G2606^2*SIN(RADIANS(E2606))^2)</f>
        <v/>
      </c>
      <c r="R2606" s="28">
        <f>-P2606*SIN(RADIANS(E2606))</f>
        <v/>
      </c>
      <c r="S2606" s="8">
        <f>(O2606+P2606*COS(RADIANS(E2606)))/L2606</f>
        <v/>
      </c>
      <c r="T2606" s="8">
        <f>R2606/L2606</f>
        <v/>
      </c>
      <c r="U2606" s="8">
        <f>(Q2606-P2606*G2606*SIN(RADIANS(E2606)))/M2606</f>
        <v/>
      </c>
      <c r="V2606" s="8">
        <f>SQRT((S2606+U2606)^2+3*T2606^2)</f>
        <v/>
      </c>
      <c r="W2606" s="8">
        <f>V2606/AA2606</f>
        <v/>
      </c>
      <c r="X2606" s="27">
        <f>((3*10+H2606/COS(RADIANS(E2606)))*(3+3)+3*G2606*H2606)*2</f>
        <v/>
      </c>
      <c r="Y2606" s="28">
        <f>Z2606/X2606</f>
        <v/>
      </c>
      <c r="Z2606" s="29" t="n">
        <v>701.172618187495</v>
      </c>
      <c r="AA2606" s="20" t="n">
        <v>88.7372199151482</v>
      </c>
      <c r="AB2606" t="n">
        <v>0.322671016796079</v>
      </c>
      <c r="AC2606" t="n">
        <v>92.11467507176472</v>
      </c>
      <c r="AD2606" t="n">
        <v>52.13350616544222</v>
      </c>
    </row>
    <row r="2607">
      <c r="A2607" t="n">
        <v>2606</v>
      </c>
      <c r="B2607" t="n">
        <v>75.3</v>
      </c>
      <c r="C2607" s="21">
        <f>B2607-20</f>
        <v/>
      </c>
      <c r="D2607" t="n">
        <v>117</v>
      </c>
      <c r="E2607" s="22">
        <f>D2607-90</f>
        <v/>
      </c>
      <c r="F2607" s="23" t="n">
        <v>0.021083</v>
      </c>
      <c r="G2607" s="22" t="n">
        <v>30.8</v>
      </c>
      <c r="H2607" s="22" t="n">
        <v>1.5</v>
      </c>
      <c r="I2607" s="24" t="n">
        <v>0.10277984291315</v>
      </c>
      <c r="J2607" s="6" t="n">
        <v>71000</v>
      </c>
      <c r="K2607" s="25">
        <f>23*10^-6</f>
        <v/>
      </c>
      <c r="L2607" s="8">
        <f>H2607</f>
        <v/>
      </c>
      <c r="M2607" s="26">
        <f>H2607^2/6</f>
        <v/>
      </c>
      <c r="N2607" s="26">
        <f>H2607^3/12</f>
        <v/>
      </c>
      <c r="O2607" s="27">
        <f>-J2607*L2607*K2607*C2607</f>
        <v/>
      </c>
      <c r="P2607" s="28">
        <f>-(12*F2607*J2607*L2607*N2607+12*O2607*N2607*G2607*COS(RADIANS(E2607)))/(12*N2607*G2607*COS(RADIANS(E2607))^2+L2607*G2607^3*SIN(RADIANS(E2607))^2)</f>
        <v/>
      </c>
      <c r="Q2607" s="28">
        <f>-(6*F2607*J2607*L2607*N2607*SIN(RADIANS(E2607))+6*O2607*N2607*G2607*SIN(RADIANS(E2607))*COS(RADIANS(E2607)))/(12*N2607*COS(RADIANS(E2607))^2+L2607*G2607^2*SIN(RADIANS(E2607))^2)</f>
        <v/>
      </c>
      <c r="R2607" s="28">
        <f>-P2607*SIN(RADIANS(E2607))</f>
        <v/>
      </c>
      <c r="S2607" s="8">
        <f>(O2607+P2607*COS(RADIANS(E2607)))/L2607</f>
        <v/>
      </c>
      <c r="T2607" s="8">
        <f>R2607/L2607</f>
        <v/>
      </c>
      <c r="U2607" s="8">
        <f>(Q2607-P2607*G2607*SIN(RADIANS(E2607)))/M2607</f>
        <v/>
      </c>
      <c r="V2607" s="8">
        <f>SQRT((S2607+U2607)^2+3*T2607^2)</f>
        <v/>
      </c>
      <c r="W2607" s="8">
        <f>V2607/AA2607</f>
        <v/>
      </c>
      <c r="X2607" s="27">
        <f>((3*10+H2607/COS(RADIANS(E2607)))*(3+3)+3*G2607*H2607)*2</f>
        <v/>
      </c>
      <c r="Y2607" s="28">
        <f>Z2607/X2607</f>
        <v/>
      </c>
      <c r="Z2607" s="29" t="n">
        <v>663.771331366284</v>
      </c>
      <c r="AA2607" s="20" t="n">
        <v>82.32729020641909</v>
      </c>
      <c r="AB2607" t="n">
        <v>0.1264142366803353</v>
      </c>
      <c r="AC2607" t="n">
        <v>82.36584587161275</v>
      </c>
      <c r="AD2607" t="n">
        <v>22.99516432142884</v>
      </c>
    </row>
    <row r="2608">
      <c r="A2608" t="n">
        <v>2607</v>
      </c>
      <c r="B2608" t="n">
        <v>70.40000000000001</v>
      </c>
      <c r="C2608" s="21">
        <f>B2608-20</f>
        <v/>
      </c>
      <c r="D2608" t="n">
        <v>122.3</v>
      </c>
      <c r="E2608" s="22">
        <f>D2608-90</f>
        <v/>
      </c>
      <c r="F2608" s="23" t="n">
        <v>0.016706</v>
      </c>
      <c r="G2608" s="22" t="n">
        <v>27.3</v>
      </c>
      <c r="H2608" s="22" t="n">
        <v>1.3</v>
      </c>
      <c r="I2608" s="24" t="n">
        <v>0.07664605230093</v>
      </c>
      <c r="J2608" s="6" t="n">
        <v>71000</v>
      </c>
      <c r="K2608" s="25">
        <f>23*10^-6</f>
        <v/>
      </c>
      <c r="L2608" s="8">
        <f>H2608</f>
        <v/>
      </c>
      <c r="M2608" s="26">
        <f>H2608^2/6</f>
        <v/>
      </c>
      <c r="N2608" s="26">
        <f>H2608^3/12</f>
        <v/>
      </c>
      <c r="O2608" s="27">
        <f>-J2608*L2608*K2608*C2608</f>
        <v/>
      </c>
      <c r="P2608" s="28">
        <f>-(12*F2608*J2608*L2608*N2608+12*O2608*N2608*G2608*COS(RADIANS(E2608)))/(12*N2608*G2608*COS(RADIANS(E2608))^2+L2608*G2608^3*SIN(RADIANS(E2608))^2)</f>
        <v/>
      </c>
      <c r="Q2608" s="28">
        <f>-(6*F2608*J2608*L2608*N2608*SIN(RADIANS(E2608))+6*O2608*N2608*G2608*SIN(RADIANS(E2608))*COS(RADIANS(E2608)))/(12*N2608*COS(RADIANS(E2608))^2+L2608*G2608^2*SIN(RADIANS(E2608))^2)</f>
        <v/>
      </c>
      <c r="R2608" s="28">
        <f>-P2608*SIN(RADIANS(E2608))</f>
        <v/>
      </c>
      <c r="S2608" s="8">
        <f>(O2608+P2608*COS(RADIANS(E2608)))/L2608</f>
        <v/>
      </c>
      <c r="T2608" s="8">
        <f>R2608/L2608</f>
        <v/>
      </c>
      <c r="U2608" s="8">
        <f>(Q2608-P2608*G2608*SIN(RADIANS(E2608)))/M2608</f>
        <v/>
      </c>
      <c r="V2608" s="8">
        <f>SQRT((S2608+U2608)^2+3*T2608^2)</f>
        <v/>
      </c>
      <c r="W2608" s="8">
        <f>V2608/AA2608</f>
        <v/>
      </c>
      <c r="X2608" s="27">
        <f>((3*10+H2608/COS(RADIANS(E2608)))*(3+3)+3*G2608*H2608)*2</f>
        <v/>
      </c>
      <c r="Y2608" s="28">
        <f>Z2608/X2608</f>
        <v/>
      </c>
      <c r="Z2608" s="29" t="n">
        <v>599.223017875191</v>
      </c>
      <c r="AA2608" s="20" t="n">
        <v>72.0938105065855</v>
      </c>
      <c r="AB2608" t="n">
        <v>0.08510639048733795</v>
      </c>
      <c r="AC2608" t="n">
        <v>73.26129251061201</v>
      </c>
      <c r="AD2608" t="n">
        <v>11.03819170384761</v>
      </c>
    </row>
    <row r="2609">
      <c r="A2609" t="n">
        <v>2608</v>
      </c>
      <c r="B2609" t="n">
        <v>87.8</v>
      </c>
      <c r="C2609" s="21">
        <f>B2609-20</f>
        <v/>
      </c>
      <c r="D2609" t="n">
        <v>111.8</v>
      </c>
      <c r="E2609" s="22">
        <f>D2609-90</f>
        <v/>
      </c>
      <c r="F2609" s="23" t="n">
        <v>0.023296</v>
      </c>
      <c r="G2609" s="22" t="n">
        <v>26</v>
      </c>
      <c r="H2609" s="22" t="n">
        <v>1.3</v>
      </c>
      <c r="I2609" s="24" t="n">
        <v>0.131030097603797</v>
      </c>
      <c r="J2609" s="6" t="n">
        <v>71000</v>
      </c>
      <c r="K2609" s="25">
        <f>23*10^-6</f>
        <v/>
      </c>
      <c r="L2609" s="8">
        <f>H2609</f>
        <v/>
      </c>
      <c r="M2609" s="26">
        <f>H2609^2/6</f>
        <v/>
      </c>
      <c r="N2609" s="26">
        <f>H2609^3/12</f>
        <v/>
      </c>
      <c r="O2609" s="27">
        <f>-J2609*L2609*K2609*C2609</f>
        <v/>
      </c>
      <c r="P2609" s="28">
        <f>-(12*F2609*J2609*L2609*N2609+12*O2609*N2609*G2609*COS(RADIANS(E2609)))/(12*N2609*G2609*COS(RADIANS(E2609))^2+L2609*G2609^3*SIN(RADIANS(E2609))^2)</f>
        <v/>
      </c>
      <c r="Q2609" s="28">
        <f>-(6*F2609*J2609*L2609*N2609*SIN(RADIANS(E2609))+6*O2609*N2609*G2609*SIN(RADIANS(E2609))*COS(RADIANS(E2609)))/(12*N2609*COS(RADIANS(E2609))^2+L2609*G2609^2*SIN(RADIANS(E2609))^2)</f>
        <v/>
      </c>
      <c r="R2609" s="28">
        <f>-P2609*SIN(RADIANS(E2609))</f>
        <v/>
      </c>
      <c r="S2609" s="8">
        <f>(O2609+P2609*COS(RADIANS(E2609)))/L2609</f>
        <v/>
      </c>
      <c r="T2609" s="8">
        <f>R2609/L2609</f>
        <v/>
      </c>
      <c r="U2609" s="8">
        <f>(Q2609-P2609*G2609*SIN(RADIANS(E2609)))/M2609</f>
        <v/>
      </c>
      <c r="V2609" s="8">
        <f>SQRT((S2609+U2609)^2+3*T2609^2)</f>
        <v/>
      </c>
      <c r="W2609" s="8">
        <f>V2609/AA2609</f>
        <v/>
      </c>
      <c r="X2609" s="27">
        <f>((3*10+H2609/COS(RADIANS(E2609)))*(3+3)+3*G2609*H2609)*2</f>
        <v/>
      </c>
      <c r="Y2609" s="28">
        <f>Z2609/X2609</f>
        <v/>
      </c>
      <c r="Z2609" s="29" t="n">
        <v>584.883714991179</v>
      </c>
      <c r="AA2609" s="20" t="n">
        <v>100.627203370441</v>
      </c>
      <c r="AB2609" t="n">
        <v>0.1647013123565925</v>
      </c>
      <c r="AC2609" t="n">
        <v>103.346879450665</v>
      </c>
      <c r="AD2609" t="n">
        <v>25.69731334140422</v>
      </c>
    </row>
    <row r="2610">
      <c r="A2610" t="n">
        <v>2609</v>
      </c>
      <c r="B2610" t="n">
        <v>75.40000000000001</v>
      </c>
      <c r="C2610" s="21">
        <f>B2610-20</f>
        <v/>
      </c>
      <c r="D2610" t="n">
        <v>108.2</v>
      </c>
      <c r="E2610" s="22">
        <f>D2610-90</f>
        <v/>
      </c>
      <c r="F2610" s="23" t="n">
        <v>0.018908</v>
      </c>
      <c r="G2610" s="22" t="n">
        <v>25.2</v>
      </c>
      <c r="H2610" s="22" t="n">
        <v>1.8</v>
      </c>
      <c r="I2610" s="24" t="n">
        <v>0.118199169635772</v>
      </c>
      <c r="J2610" s="6" t="n">
        <v>71000</v>
      </c>
      <c r="K2610" s="25">
        <f>23*10^-6</f>
        <v/>
      </c>
      <c r="L2610" s="8">
        <f>H2610</f>
        <v/>
      </c>
      <c r="M2610" s="26">
        <f>H2610^2/6</f>
        <v/>
      </c>
      <c r="N2610" s="26">
        <f>H2610^3/12</f>
        <v/>
      </c>
      <c r="O2610" s="27">
        <f>-J2610*L2610*K2610*C2610</f>
        <v/>
      </c>
      <c r="P2610" s="28">
        <f>-(12*F2610*J2610*L2610*N2610+12*O2610*N2610*G2610*COS(RADIANS(E2610)))/(12*N2610*G2610*COS(RADIANS(E2610))^2+L2610*G2610^3*SIN(RADIANS(E2610))^2)</f>
        <v/>
      </c>
      <c r="Q2610" s="28">
        <f>-(6*F2610*J2610*L2610*N2610*SIN(RADIANS(E2610))+6*O2610*N2610*G2610*SIN(RADIANS(E2610))*COS(RADIANS(E2610)))/(12*N2610*COS(RADIANS(E2610))^2+L2610*G2610^2*SIN(RADIANS(E2610))^2)</f>
        <v/>
      </c>
      <c r="R2610" s="28">
        <f>-P2610*SIN(RADIANS(E2610))</f>
        <v/>
      </c>
      <c r="S2610" s="8">
        <f>(O2610+P2610*COS(RADIANS(E2610)))/L2610</f>
        <v/>
      </c>
      <c r="T2610" s="8">
        <f>R2610/L2610</f>
        <v/>
      </c>
      <c r="U2610" s="8">
        <f>(Q2610-P2610*G2610*SIN(RADIANS(E2610)))/M2610</f>
        <v/>
      </c>
      <c r="V2610" s="8">
        <f>SQRT((S2610+U2610)^2+3*T2610^2)</f>
        <v/>
      </c>
      <c r="W2610" s="8">
        <f>V2610/AA2610</f>
        <v/>
      </c>
      <c r="X2610" s="27">
        <f>((3*10+H2610/COS(RADIANS(E2610)))*(3+3)+3*G2610*H2610)*2</f>
        <v/>
      </c>
      <c r="Y2610" s="28">
        <f>Z2610/X2610</f>
        <v/>
      </c>
      <c r="Z2610" s="29" t="n">
        <v>659.595041560677</v>
      </c>
      <c r="AA2610" s="20" t="n">
        <v>93.3822537603246</v>
      </c>
      <c r="AB2610" t="n">
        <v>0.1528104268280925</v>
      </c>
      <c r="AC2610" t="n">
        <v>90.74056781259198</v>
      </c>
      <c r="AD2610" t="n">
        <v>29.28214918850469</v>
      </c>
    </row>
    <row r="2611">
      <c r="A2611" t="n">
        <v>2610</v>
      </c>
      <c r="B2611" t="n">
        <v>62.6</v>
      </c>
      <c r="C2611" s="21">
        <f>B2611-20</f>
        <v/>
      </c>
      <c r="D2611" t="n">
        <v>121.5</v>
      </c>
      <c r="E2611" s="22">
        <f>D2611-90</f>
        <v/>
      </c>
      <c r="F2611" s="23" t="n">
        <v>0.01397</v>
      </c>
      <c r="G2611" s="22" t="n">
        <v>26.7</v>
      </c>
      <c r="H2611" s="22" t="n">
        <v>1</v>
      </c>
      <c r="I2611" s="24" t="n">
        <v>0.0648434460163116</v>
      </c>
      <c r="J2611" s="6" t="n">
        <v>71000</v>
      </c>
      <c r="K2611" s="25">
        <f>23*10^-6</f>
        <v/>
      </c>
      <c r="L2611" s="8">
        <f>H2611</f>
        <v/>
      </c>
      <c r="M2611" s="26">
        <f>H2611^2/6</f>
        <v/>
      </c>
      <c r="N2611" s="26">
        <f>H2611^3/12</f>
        <v/>
      </c>
      <c r="O2611" s="27">
        <f>-J2611*L2611*K2611*C2611</f>
        <v/>
      </c>
      <c r="P2611" s="28">
        <f>-(12*F2611*J2611*L2611*N2611+12*O2611*N2611*G2611*COS(RADIANS(E2611)))/(12*N2611*G2611*COS(RADIANS(E2611))^2+L2611*G2611^3*SIN(RADIANS(E2611))^2)</f>
        <v/>
      </c>
      <c r="Q2611" s="28">
        <f>-(6*F2611*J2611*L2611*N2611*SIN(RADIANS(E2611))+6*O2611*N2611*G2611*SIN(RADIANS(E2611))*COS(RADIANS(E2611)))/(12*N2611*COS(RADIANS(E2611))^2+L2611*G2611^2*SIN(RADIANS(E2611))^2)</f>
        <v/>
      </c>
      <c r="R2611" s="28">
        <f>-P2611*SIN(RADIANS(E2611))</f>
        <v/>
      </c>
      <c r="S2611" s="8">
        <f>(O2611+P2611*COS(RADIANS(E2611)))/L2611</f>
        <v/>
      </c>
      <c r="T2611" s="8">
        <f>R2611/L2611</f>
        <v/>
      </c>
      <c r="U2611" s="8">
        <f>(Q2611-P2611*G2611*SIN(RADIANS(E2611)))/M2611</f>
        <v/>
      </c>
      <c r="V2611" s="8">
        <f>SQRT((S2611+U2611)^2+3*T2611^2)</f>
        <v/>
      </c>
      <c r="W2611" s="8">
        <f>V2611/AA2611</f>
        <v/>
      </c>
      <c r="X2611" s="27">
        <f>((3*10+H2611/COS(RADIANS(E2611)))*(3+3)+3*G2611*H2611)*2</f>
        <v/>
      </c>
      <c r="Y2611" s="28">
        <f>Z2611/X2611</f>
        <v/>
      </c>
      <c r="Z2611" s="29" t="n">
        <v>541.855426463746</v>
      </c>
      <c r="AA2611" s="20" t="n">
        <v>57.24546241602</v>
      </c>
      <c r="AB2611" t="n">
        <v>0.07256179606548049</v>
      </c>
      <c r="AC2611" t="n">
        <v>61.04346828754948</v>
      </c>
      <c r="AD2611" t="n">
        <v>11.90305346700314</v>
      </c>
    </row>
    <row r="2612">
      <c r="A2612" t="n">
        <v>2611</v>
      </c>
      <c r="B2612" t="n">
        <v>73.3</v>
      </c>
      <c r="C2612" s="21">
        <f>B2612-20</f>
        <v/>
      </c>
      <c r="D2612" t="n">
        <v>102.9</v>
      </c>
      <c r="E2612" s="22">
        <f>D2612-90</f>
        <v/>
      </c>
      <c r="F2612" s="23" t="n">
        <v>0.022303</v>
      </c>
      <c r="G2612" s="22" t="n">
        <v>31.5</v>
      </c>
      <c r="H2612" s="22" t="n">
        <v>1</v>
      </c>
      <c r="I2612" s="24" t="n">
        <v>0.179075360298156</v>
      </c>
      <c r="J2612" s="6" t="n">
        <v>71000</v>
      </c>
      <c r="K2612" s="25">
        <f>23*10^-6</f>
        <v/>
      </c>
      <c r="L2612" s="8">
        <f>H2612</f>
        <v/>
      </c>
      <c r="M2612" s="26">
        <f>H2612^2/6</f>
        <v/>
      </c>
      <c r="N2612" s="26">
        <f>H2612^3/12</f>
        <v/>
      </c>
      <c r="O2612" s="27">
        <f>-J2612*L2612*K2612*C2612</f>
        <v/>
      </c>
      <c r="P2612" s="28">
        <f>-(12*F2612*J2612*L2612*N2612+12*O2612*N2612*G2612*COS(RADIANS(E2612)))/(12*N2612*G2612*COS(RADIANS(E2612))^2+L2612*G2612^3*SIN(RADIANS(E2612))^2)</f>
        <v/>
      </c>
      <c r="Q2612" s="28">
        <f>-(6*F2612*J2612*L2612*N2612*SIN(RADIANS(E2612))+6*O2612*N2612*G2612*SIN(RADIANS(E2612))*COS(RADIANS(E2612)))/(12*N2612*COS(RADIANS(E2612))^2+L2612*G2612^2*SIN(RADIANS(E2612))^2)</f>
        <v/>
      </c>
      <c r="R2612" s="28">
        <f>-P2612*SIN(RADIANS(E2612))</f>
        <v/>
      </c>
      <c r="S2612" s="8">
        <f>(O2612+P2612*COS(RADIANS(E2612)))/L2612</f>
        <v/>
      </c>
      <c r="T2612" s="8">
        <f>R2612/L2612</f>
        <v/>
      </c>
      <c r="U2612" s="8">
        <f>(Q2612-P2612*G2612*SIN(RADIANS(E2612)))/M2612</f>
        <v/>
      </c>
      <c r="V2612" s="8">
        <f>SQRT((S2612+U2612)^2+3*T2612^2)</f>
        <v/>
      </c>
      <c r="W2612" s="8">
        <f>V2612/AA2612</f>
        <v/>
      </c>
      <c r="X2612" s="27">
        <f>((3*10+H2612/COS(RADIANS(E2612)))*(3+3)+3*G2612*H2612)*2</f>
        <v/>
      </c>
      <c r="Y2612" s="28">
        <f>Z2612/X2612</f>
        <v/>
      </c>
      <c r="Z2612" s="29" t="n">
        <v>565.365752057871</v>
      </c>
      <c r="AA2612" s="20" t="n">
        <v>75.8394694920276</v>
      </c>
      <c r="AB2612" t="n">
        <v>0.265157282331527</v>
      </c>
      <c r="AC2612" t="n">
        <v>82.94058412683312</v>
      </c>
      <c r="AD2612" t="n">
        <v>48.07022132472426</v>
      </c>
    </row>
    <row r="2613">
      <c r="A2613" t="n">
        <v>2612</v>
      </c>
      <c r="B2613" t="n">
        <v>40.8</v>
      </c>
      <c r="C2613" s="21">
        <f>B2613-20</f>
        <v/>
      </c>
      <c r="D2613" t="n">
        <v>103.1</v>
      </c>
      <c r="E2613" s="22">
        <f>D2613-90</f>
        <v/>
      </c>
      <c r="F2613" s="23" t="n">
        <v>0.006758</v>
      </c>
      <c r="G2613" s="22" t="n">
        <v>23.1</v>
      </c>
      <c r="H2613" s="22" t="n">
        <v>1.7</v>
      </c>
      <c r="I2613" s="24" t="n">
        <v>0.0523406416177749</v>
      </c>
      <c r="J2613" s="6" t="n">
        <v>71000</v>
      </c>
      <c r="K2613" s="25">
        <f>23*10^-6</f>
        <v/>
      </c>
      <c r="L2613" s="8">
        <f>H2613</f>
        <v/>
      </c>
      <c r="M2613" s="26">
        <f>H2613^2/6</f>
        <v/>
      </c>
      <c r="N2613" s="26">
        <f>H2613^3/12</f>
        <v/>
      </c>
      <c r="O2613" s="27">
        <f>-J2613*L2613*K2613*C2613</f>
        <v/>
      </c>
      <c r="P2613" s="28">
        <f>-(12*F2613*J2613*L2613*N2613+12*O2613*N2613*G2613*COS(RADIANS(E2613)))/(12*N2613*G2613*COS(RADIANS(E2613))^2+L2613*G2613^3*SIN(RADIANS(E2613))^2)</f>
        <v/>
      </c>
      <c r="Q2613" s="28">
        <f>-(6*F2613*J2613*L2613*N2613*SIN(RADIANS(E2613))+6*O2613*N2613*G2613*SIN(RADIANS(E2613))*COS(RADIANS(E2613)))/(12*N2613*COS(RADIANS(E2613))^2+L2613*G2613^2*SIN(RADIANS(E2613))^2)</f>
        <v/>
      </c>
      <c r="R2613" s="28">
        <f>-P2613*SIN(RADIANS(E2613))</f>
        <v/>
      </c>
      <c r="S2613" s="8">
        <f>(O2613+P2613*COS(RADIANS(E2613)))/L2613</f>
        <v/>
      </c>
      <c r="T2613" s="8">
        <f>R2613/L2613</f>
        <v/>
      </c>
      <c r="U2613" s="8">
        <f>(Q2613-P2613*G2613*SIN(RADIANS(E2613)))/M2613</f>
        <v/>
      </c>
      <c r="V2613" s="8">
        <f>SQRT((S2613+U2613)^2+3*T2613^2)</f>
        <v/>
      </c>
      <c r="W2613" s="8">
        <f>V2613/AA2613</f>
        <v/>
      </c>
      <c r="X2613" s="27">
        <f>((3*10+H2613/COS(RADIANS(E2613)))*(3+3)+3*G2613*H2613)*2</f>
        <v/>
      </c>
      <c r="Y2613" s="28">
        <f>Z2613/X2613</f>
        <v/>
      </c>
      <c r="Z2613" s="29" t="n">
        <v>620.639969800218</v>
      </c>
      <c r="AA2613" s="20" t="n">
        <v>36.6242738433651</v>
      </c>
      <c r="AB2613" t="n">
        <v>0.07058090464938714</v>
      </c>
      <c r="AC2613" t="n">
        <v>35.96103320995466</v>
      </c>
      <c r="AD2613" t="n">
        <v>34.84913915426257</v>
      </c>
    </row>
    <row r="2614">
      <c r="A2614" t="n">
        <v>2613</v>
      </c>
      <c r="B2614" t="n">
        <v>75.5</v>
      </c>
      <c r="C2614" s="21">
        <f>B2614-20</f>
        <v/>
      </c>
      <c r="D2614" t="n">
        <v>115.1</v>
      </c>
      <c r="E2614" s="22">
        <f>D2614-90</f>
        <v/>
      </c>
      <c r="F2614" s="23" t="n">
        <v>0.01749</v>
      </c>
      <c r="G2614" s="22" t="n">
        <v>23.9</v>
      </c>
      <c r="H2614" s="22" t="n">
        <v>1.6</v>
      </c>
      <c r="I2614" s="24" t="n">
        <v>0.09165534377098079</v>
      </c>
      <c r="J2614" s="6" t="n">
        <v>71000</v>
      </c>
      <c r="K2614" s="25">
        <f>23*10^-6</f>
        <v/>
      </c>
      <c r="L2614" s="8">
        <f>H2614</f>
        <v/>
      </c>
      <c r="M2614" s="26">
        <f>H2614^2/6</f>
        <v/>
      </c>
      <c r="N2614" s="26">
        <f>H2614^3/12</f>
        <v/>
      </c>
      <c r="O2614" s="27">
        <f>-J2614*L2614*K2614*C2614</f>
        <v/>
      </c>
      <c r="P2614" s="28">
        <f>-(12*F2614*J2614*L2614*N2614+12*O2614*N2614*G2614*COS(RADIANS(E2614)))/(12*N2614*G2614*COS(RADIANS(E2614))^2+L2614*G2614^3*SIN(RADIANS(E2614))^2)</f>
        <v/>
      </c>
      <c r="Q2614" s="28">
        <f>-(6*F2614*J2614*L2614*N2614*SIN(RADIANS(E2614))+6*O2614*N2614*G2614*SIN(RADIANS(E2614))*COS(RADIANS(E2614)))/(12*N2614*COS(RADIANS(E2614))^2+L2614*G2614^2*SIN(RADIANS(E2614))^2)</f>
        <v/>
      </c>
      <c r="R2614" s="28">
        <f>-P2614*SIN(RADIANS(E2614))</f>
        <v/>
      </c>
      <c r="S2614" s="8">
        <f>(O2614+P2614*COS(RADIANS(E2614)))/L2614</f>
        <v/>
      </c>
      <c r="T2614" s="8">
        <f>R2614/L2614</f>
        <v/>
      </c>
      <c r="U2614" s="8">
        <f>(Q2614-P2614*G2614*SIN(RADIANS(E2614)))/M2614</f>
        <v/>
      </c>
      <c r="V2614" s="8">
        <f>SQRT((S2614+U2614)^2+3*T2614^2)</f>
        <v/>
      </c>
      <c r="W2614" s="8">
        <f>V2614/AA2614</f>
        <v/>
      </c>
      <c r="X2614" s="27">
        <f>((3*10+H2614/COS(RADIANS(E2614)))*(3+3)+3*G2614*H2614)*2</f>
        <v/>
      </c>
      <c r="Y2614" s="28">
        <f>Z2614/X2614</f>
        <v/>
      </c>
      <c r="Z2614" s="29" t="n">
        <v>616.578453190495</v>
      </c>
      <c r="AA2614" s="20" t="n">
        <v>87.971664487007</v>
      </c>
      <c r="AB2614" t="n">
        <v>0.1069057181690687</v>
      </c>
      <c r="AC2614" t="n">
        <v>85.48946449619538</v>
      </c>
      <c r="AD2614" t="n">
        <v>16.6388273401647</v>
      </c>
    </row>
    <row r="2615">
      <c r="A2615" t="n">
        <v>2614</v>
      </c>
      <c r="B2615" t="n">
        <v>79.59999999999999</v>
      </c>
      <c r="C2615" s="21">
        <f>B2615-20</f>
        <v/>
      </c>
      <c r="D2615" t="n">
        <v>115.6</v>
      </c>
      <c r="E2615" s="22">
        <f>D2615-90</f>
        <v/>
      </c>
      <c r="F2615" s="23" t="n">
        <v>0.019211</v>
      </c>
      <c r="G2615" s="22" t="n">
        <v>24.7</v>
      </c>
      <c r="H2615" s="22" t="n">
        <v>1.6</v>
      </c>
      <c r="I2615" s="24" t="n">
        <v>0.0992030352354049</v>
      </c>
      <c r="J2615" s="6" t="n">
        <v>71000</v>
      </c>
      <c r="K2615" s="25">
        <f>23*10^-6</f>
        <v/>
      </c>
      <c r="L2615" s="8">
        <f>H2615</f>
        <v/>
      </c>
      <c r="M2615" s="26">
        <f>H2615^2/6</f>
        <v/>
      </c>
      <c r="N2615" s="26">
        <f>H2615^3/12</f>
        <v/>
      </c>
      <c r="O2615" s="27">
        <f>-J2615*L2615*K2615*C2615</f>
        <v/>
      </c>
      <c r="P2615" s="28">
        <f>-(12*F2615*J2615*L2615*N2615+12*O2615*N2615*G2615*COS(RADIANS(E2615)))/(12*N2615*G2615*COS(RADIANS(E2615))^2+L2615*G2615^3*SIN(RADIANS(E2615))^2)</f>
        <v/>
      </c>
      <c r="Q2615" s="28">
        <f>-(6*F2615*J2615*L2615*N2615*SIN(RADIANS(E2615))+6*O2615*N2615*G2615*SIN(RADIANS(E2615))*COS(RADIANS(E2615)))/(12*N2615*COS(RADIANS(E2615))^2+L2615*G2615^2*SIN(RADIANS(E2615))^2)</f>
        <v/>
      </c>
      <c r="R2615" s="28">
        <f>-P2615*SIN(RADIANS(E2615))</f>
        <v/>
      </c>
      <c r="S2615" s="8">
        <f>(O2615+P2615*COS(RADIANS(E2615)))/L2615</f>
        <v/>
      </c>
      <c r="T2615" s="8">
        <f>R2615/L2615</f>
        <v/>
      </c>
      <c r="U2615" s="8">
        <f>(Q2615-P2615*G2615*SIN(RADIANS(E2615)))/M2615</f>
        <v/>
      </c>
      <c r="V2615" s="8">
        <f>SQRT((S2615+U2615)^2+3*T2615^2)</f>
        <v/>
      </c>
      <c r="W2615" s="8">
        <f>V2615/AA2615</f>
        <v/>
      </c>
      <c r="X2615" s="27">
        <f>((3*10+H2615/COS(RADIANS(E2615)))*(3+3)+3*G2615*H2615)*2</f>
        <v/>
      </c>
      <c r="Y2615" s="28">
        <f>Z2615/X2615</f>
        <v/>
      </c>
      <c r="Z2615" s="29" t="n">
        <v>624.4560932413229</v>
      </c>
      <c r="AA2615" s="20" t="n">
        <v>93.7177297695028</v>
      </c>
      <c r="AB2615" t="n">
        <v>0.1161666855260345</v>
      </c>
      <c r="AC2615" t="n">
        <v>91.34264506980969</v>
      </c>
      <c r="AD2615" t="n">
        <v>17.09993071318385</v>
      </c>
    </row>
    <row r="2616">
      <c r="A2616" t="n">
        <v>2615</v>
      </c>
      <c r="B2616" t="n">
        <v>48.5</v>
      </c>
      <c r="C2616" s="21">
        <f>B2616-20</f>
        <v/>
      </c>
      <c r="D2616" t="n">
        <v>101</v>
      </c>
      <c r="E2616" s="22">
        <f>D2616-90</f>
        <v/>
      </c>
      <c r="F2616" s="23" t="n">
        <v>0.008711</v>
      </c>
      <c r="G2616" s="22" t="n">
        <v>21.2</v>
      </c>
      <c r="H2616" s="22" t="n">
        <v>2</v>
      </c>
      <c r="I2616" s="24" t="n">
        <v>0.07103446125984191</v>
      </c>
      <c r="J2616" s="6" t="n">
        <v>71000</v>
      </c>
      <c r="K2616" s="25">
        <f>23*10^-6</f>
        <v/>
      </c>
      <c r="L2616" s="8">
        <f>H2616</f>
        <v/>
      </c>
      <c r="M2616" s="26">
        <f>H2616^2/6</f>
        <v/>
      </c>
      <c r="N2616" s="26">
        <f>H2616^3/12</f>
        <v/>
      </c>
      <c r="O2616" s="27">
        <f>-J2616*L2616*K2616*C2616</f>
        <v/>
      </c>
      <c r="P2616" s="28">
        <f>-(12*F2616*J2616*L2616*N2616+12*O2616*N2616*G2616*COS(RADIANS(E2616)))/(12*N2616*G2616*COS(RADIANS(E2616))^2+L2616*G2616^3*SIN(RADIANS(E2616))^2)</f>
        <v/>
      </c>
      <c r="Q2616" s="28">
        <f>-(6*F2616*J2616*L2616*N2616*SIN(RADIANS(E2616))+6*O2616*N2616*G2616*SIN(RADIANS(E2616))*COS(RADIANS(E2616)))/(12*N2616*COS(RADIANS(E2616))^2+L2616*G2616^2*SIN(RADIANS(E2616))^2)</f>
        <v/>
      </c>
      <c r="R2616" s="28">
        <f>-P2616*SIN(RADIANS(E2616))</f>
        <v/>
      </c>
      <c r="S2616" s="8">
        <f>(O2616+P2616*COS(RADIANS(E2616)))/L2616</f>
        <v/>
      </c>
      <c r="T2616" s="8">
        <f>R2616/L2616</f>
        <v/>
      </c>
      <c r="U2616" s="8">
        <f>(Q2616-P2616*G2616*SIN(RADIANS(E2616)))/M2616</f>
        <v/>
      </c>
      <c r="V2616" s="8">
        <f>SQRT((S2616+U2616)^2+3*T2616^2)</f>
        <v/>
      </c>
      <c r="W2616" s="8">
        <f>V2616/AA2616</f>
        <v/>
      </c>
      <c r="X2616" s="27">
        <f>((3*10+H2616/COS(RADIANS(E2616)))*(3+3)+3*G2616*H2616)*2</f>
        <v/>
      </c>
      <c r="Y2616" s="28">
        <f>Z2616/X2616</f>
        <v/>
      </c>
      <c r="Z2616" s="29" t="n">
        <v>642.73203074349</v>
      </c>
      <c r="AA2616" s="20" t="n">
        <v>75.3673394907955</v>
      </c>
      <c r="AB2616" t="n">
        <v>0.09489203783839005</v>
      </c>
      <c r="AC2616" t="n">
        <v>51.95316871550301</v>
      </c>
      <c r="AD2616" t="n">
        <v>33.58591894049545</v>
      </c>
    </row>
    <row r="2617">
      <c r="A2617" t="n">
        <v>2616</v>
      </c>
      <c r="B2617" t="n">
        <v>73.09999999999999</v>
      </c>
      <c r="C2617" s="21">
        <f>B2617-20</f>
        <v/>
      </c>
      <c r="D2617" t="n">
        <v>120.5</v>
      </c>
      <c r="E2617" s="22">
        <f>D2617-90</f>
        <v/>
      </c>
      <c r="F2617" s="23" t="n">
        <v>0.015889</v>
      </c>
      <c r="G2617" s="22" t="n">
        <v>23.5</v>
      </c>
      <c r="H2617" s="22" t="n">
        <v>1.9</v>
      </c>
      <c r="I2617" s="24" t="n">
        <v>0.0762231647968292</v>
      </c>
      <c r="J2617" s="6" t="n">
        <v>71000</v>
      </c>
      <c r="K2617" s="25">
        <f>23*10^-6</f>
        <v/>
      </c>
      <c r="L2617" s="8">
        <f>H2617</f>
        <v/>
      </c>
      <c r="M2617" s="26">
        <f>H2617^2/6</f>
        <v/>
      </c>
      <c r="N2617" s="26">
        <f>H2617^3/12</f>
        <v/>
      </c>
      <c r="O2617" s="27">
        <f>-J2617*L2617*K2617*C2617</f>
        <v/>
      </c>
      <c r="P2617" s="28">
        <f>-(12*F2617*J2617*L2617*N2617+12*O2617*N2617*G2617*COS(RADIANS(E2617)))/(12*N2617*G2617*COS(RADIANS(E2617))^2+L2617*G2617^3*SIN(RADIANS(E2617))^2)</f>
        <v/>
      </c>
      <c r="Q2617" s="28">
        <f>-(6*F2617*J2617*L2617*N2617*SIN(RADIANS(E2617))+6*O2617*N2617*G2617*SIN(RADIANS(E2617))*COS(RADIANS(E2617)))/(12*N2617*COS(RADIANS(E2617))^2+L2617*G2617^2*SIN(RADIANS(E2617))^2)</f>
        <v/>
      </c>
      <c r="R2617" s="28">
        <f>-P2617*SIN(RADIANS(E2617))</f>
        <v/>
      </c>
      <c r="S2617" s="8">
        <f>(O2617+P2617*COS(RADIANS(E2617)))/L2617</f>
        <v/>
      </c>
      <c r="T2617" s="8">
        <f>R2617/L2617</f>
        <v/>
      </c>
      <c r="U2617" s="8">
        <f>(Q2617-P2617*G2617*SIN(RADIANS(E2617)))/M2617</f>
        <v/>
      </c>
      <c r="V2617" s="8">
        <f>SQRT((S2617+U2617)^2+3*T2617^2)</f>
        <v/>
      </c>
      <c r="W2617" s="8">
        <f>V2617/AA2617</f>
        <v/>
      </c>
      <c r="X2617" s="27">
        <f>((3*10+H2617/COS(RADIANS(E2617)))*(3+3)+3*G2617*H2617)*2</f>
        <v/>
      </c>
      <c r="Y2617" s="28">
        <f>Z2617/X2617</f>
        <v/>
      </c>
      <c r="Z2617" s="29" t="n">
        <v>661.6493398428159</v>
      </c>
      <c r="AA2617" s="20" t="n">
        <v>87.5487848837857</v>
      </c>
      <c r="AB2617" t="n">
        <v>0.08180541500400042</v>
      </c>
      <c r="AC2617" t="n">
        <v>81.15376127920074</v>
      </c>
      <c r="AD2617" t="n">
        <v>7.323561311119212</v>
      </c>
    </row>
    <row r="2618">
      <c r="A2618" t="n">
        <v>2617</v>
      </c>
      <c r="B2618" t="n">
        <v>88.3</v>
      </c>
      <c r="C2618" s="21">
        <f>B2618-20</f>
        <v/>
      </c>
      <c r="D2618" t="n">
        <v>101.6</v>
      </c>
      <c r="E2618" s="22">
        <f>D2618-90</f>
        <v/>
      </c>
      <c r="F2618" s="23" t="n">
        <v>0.027248</v>
      </c>
      <c r="G2618" s="22" t="n">
        <v>29.6</v>
      </c>
      <c r="H2618" s="22" t="n">
        <v>1.7</v>
      </c>
      <c r="I2618" s="24" t="n">
        <v>0.22975431382656</v>
      </c>
      <c r="J2618" s="6" t="n">
        <v>71000</v>
      </c>
      <c r="K2618" s="25">
        <f>23*10^-6</f>
        <v/>
      </c>
      <c r="L2618" s="8">
        <f>H2618</f>
        <v/>
      </c>
      <c r="M2618" s="26">
        <f>H2618^2/6</f>
        <v/>
      </c>
      <c r="N2618" s="26">
        <f>H2618^3/12</f>
        <v/>
      </c>
      <c r="O2618" s="27">
        <f>-J2618*L2618*K2618*C2618</f>
        <v/>
      </c>
      <c r="P2618" s="28">
        <f>-(12*F2618*J2618*L2618*N2618+12*O2618*N2618*G2618*COS(RADIANS(E2618)))/(12*N2618*G2618*COS(RADIANS(E2618))^2+L2618*G2618^3*SIN(RADIANS(E2618))^2)</f>
        <v/>
      </c>
      <c r="Q2618" s="28">
        <f>-(6*F2618*J2618*L2618*N2618*SIN(RADIANS(E2618))+6*O2618*N2618*G2618*SIN(RADIANS(E2618))*COS(RADIANS(E2618)))/(12*N2618*COS(RADIANS(E2618))^2+L2618*G2618^2*SIN(RADIANS(E2618))^2)</f>
        <v/>
      </c>
      <c r="R2618" s="28">
        <f>-P2618*SIN(RADIANS(E2618))</f>
        <v/>
      </c>
      <c r="S2618" s="8">
        <f>(O2618+P2618*COS(RADIANS(E2618)))/L2618</f>
        <v/>
      </c>
      <c r="T2618" s="8">
        <f>R2618/L2618</f>
        <v/>
      </c>
      <c r="U2618" s="8">
        <f>(Q2618-P2618*G2618*SIN(RADIANS(E2618)))/M2618</f>
        <v/>
      </c>
      <c r="V2618" s="8">
        <f>SQRT((S2618+U2618)^2+3*T2618^2)</f>
        <v/>
      </c>
      <c r="W2618" s="8">
        <f>V2618/AA2618</f>
        <v/>
      </c>
      <c r="X2618" s="27">
        <f>((3*10+H2618/COS(RADIANS(E2618)))*(3+3)+3*G2618*H2618)*2</f>
        <v/>
      </c>
      <c r="Y2618" s="28">
        <f>Z2618/X2618</f>
        <v/>
      </c>
      <c r="Z2618" s="29" t="n">
        <v>686.679396873295</v>
      </c>
      <c r="AA2618" s="20" t="n">
        <v>116.824975732038</v>
      </c>
      <c r="AB2618" t="n">
        <v>0.3371582268087284</v>
      </c>
      <c r="AC2618" t="n">
        <v>117.7542486834377</v>
      </c>
      <c r="AD2618" t="n">
        <v>46.74728895982641</v>
      </c>
    </row>
    <row r="2619">
      <c r="A2619" t="n">
        <v>2618</v>
      </c>
      <c r="B2619" t="n">
        <v>68.09999999999999</v>
      </c>
      <c r="C2619" s="21">
        <f>B2619-20</f>
        <v/>
      </c>
      <c r="D2619" t="n">
        <v>121</v>
      </c>
      <c r="E2619" s="22">
        <f>D2619-90</f>
        <v/>
      </c>
      <c r="F2619" s="23" t="n">
        <v>0.014147</v>
      </c>
      <c r="G2619" s="22" t="n">
        <v>23.1</v>
      </c>
      <c r="H2619" s="22" t="n">
        <v>1.3</v>
      </c>
      <c r="I2619" s="24" t="n">
        <v>0.0676551908254623</v>
      </c>
      <c r="J2619" s="6" t="n">
        <v>71000</v>
      </c>
      <c r="K2619" s="25">
        <f>23*10^-6</f>
        <v/>
      </c>
      <c r="L2619" s="8">
        <f>H2619</f>
        <v/>
      </c>
      <c r="M2619" s="26">
        <f>H2619^2/6</f>
        <v/>
      </c>
      <c r="N2619" s="26">
        <f>H2619^3/12</f>
        <v/>
      </c>
      <c r="O2619" s="27">
        <f>-J2619*L2619*K2619*C2619</f>
        <v/>
      </c>
      <c r="P2619" s="28">
        <f>-(12*F2619*J2619*L2619*N2619+12*O2619*N2619*G2619*COS(RADIANS(E2619)))/(12*N2619*G2619*COS(RADIANS(E2619))^2+L2619*G2619^3*SIN(RADIANS(E2619))^2)</f>
        <v/>
      </c>
      <c r="Q2619" s="28">
        <f>-(6*F2619*J2619*L2619*N2619*SIN(RADIANS(E2619))+6*O2619*N2619*G2619*SIN(RADIANS(E2619))*COS(RADIANS(E2619)))/(12*N2619*COS(RADIANS(E2619))^2+L2619*G2619^2*SIN(RADIANS(E2619))^2)</f>
        <v/>
      </c>
      <c r="R2619" s="28">
        <f>-P2619*SIN(RADIANS(E2619))</f>
        <v/>
      </c>
      <c r="S2619" s="8">
        <f>(O2619+P2619*COS(RADIANS(E2619)))/L2619</f>
        <v/>
      </c>
      <c r="T2619" s="8">
        <f>R2619/L2619</f>
        <v/>
      </c>
      <c r="U2619" s="8">
        <f>(Q2619-P2619*G2619*SIN(RADIANS(E2619)))/M2619</f>
        <v/>
      </c>
      <c r="V2619" s="8">
        <f>SQRT((S2619+U2619)^2+3*T2619^2)</f>
        <v/>
      </c>
      <c r="W2619" s="8">
        <f>V2619/AA2619</f>
        <v/>
      </c>
      <c r="X2619" s="27">
        <f>((3*10+H2619/COS(RADIANS(E2619)))*(3+3)+3*G2619*H2619)*2</f>
        <v/>
      </c>
      <c r="Y2619" s="28">
        <f>Z2619/X2619</f>
        <v/>
      </c>
      <c r="Z2619" s="29" t="n">
        <v>565.812311915368</v>
      </c>
      <c r="AA2619" s="20" t="n">
        <v>70.86843884969809</v>
      </c>
      <c r="AB2619" t="n">
        <v>0.07245392248201947</v>
      </c>
      <c r="AC2619" t="n">
        <v>70.77836822709287</v>
      </c>
      <c r="AD2619" t="n">
        <v>7.092924575347068</v>
      </c>
    </row>
    <row r="2620">
      <c r="A2620" t="n">
        <v>2619</v>
      </c>
      <c r="B2620" t="n">
        <v>46.6</v>
      </c>
      <c r="C2620" s="21">
        <f>B2620-20</f>
        <v/>
      </c>
      <c r="D2620" t="n">
        <v>107.5</v>
      </c>
      <c r="E2620" s="22">
        <f>D2620-90</f>
        <v/>
      </c>
      <c r="F2620" s="23" t="n">
        <v>0.00769</v>
      </c>
      <c r="G2620" s="22" t="n">
        <v>20.3</v>
      </c>
      <c r="H2620" s="22" t="n">
        <v>1.7</v>
      </c>
      <c r="I2620" s="24" t="n">
        <v>0.0501398146152496</v>
      </c>
      <c r="J2620" s="6" t="n">
        <v>71000</v>
      </c>
      <c r="K2620" s="25">
        <f>23*10^-6</f>
        <v/>
      </c>
      <c r="L2620" s="8">
        <f>H2620</f>
        <v/>
      </c>
      <c r="M2620" s="26">
        <f>H2620^2/6</f>
        <v/>
      </c>
      <c r="N2620" s="26">
        <f>H2620^3/12</f>
        <v/>
      </c>
      <c r="O2620" s="27">
        <f>-J2620*L2620*K2620*C2620</f>
        <v/>
      </c>
      <c r="P2620" s="28">
        <f>-(12*F2620*J2620*L2620*N2620+12*O2620*N2620*G2620*COS(RADIANS(E2620)))/(12*N2620*G2620*COS(RADIANS(E2620))^2+L2620*G2620^3*SIN(RADIANS(E2620))^2)</f>
        <v/>
      </c>
      <c r="Q2620" s="28">
        <f>-(6*F2620*J2620*L2620*N2620*SIN(RADIANS(E2620))+6*O2620*N2620*G2620*SIN(RADIANS(E2620))*COS(RADIANS(E2620)))/(12*N2620*COS(RADIANS(E2620))^2+L2620*G2620^2*SIN(RADIANS(E2620))^2)</f>
        <v/>
      </c>
      <c r="R2620" s="28">
        <f>-P2620*SIN(RADIANS(E2620))</f>
        <v/>
      </c>
      <c r="S2620" s="8">
        <f>(O2620+P2620*COS(RADIANS(E2620)))/L2620</f>
        <v/>
      </c>
      <c r="T2620" s="8">
        <f>R2620/L2620</f>
        <v/>
      </c>
      <c r="U2620" s="8">
        <f>(Q2620-P2620*G2620*SIN(RADIANS(E2620)))/M2620</f>
        <v/>
      </c>
      <c r="V2620" s="8">
        <f>SQRT((S2620+U2620)^2+3*T2620^2)</f>
        <v/>
      </c>
      <c r="W2620" s="8">
        <f>V2620/AA2620</f>
        <v/>
      </c>
      <c r="X2620" s="27">
        <f>((3*10+H2620/COS(RADIANS(E2620)))*(3+3)+3*G2620*H2620)*2</f>
        <v/>
      </c>
      <c r="Y2620" s="28">
        <f>Z2620/X2620</f>
        <v/>
      </c>
      <c r="Z2620" s="29" t="n">
        <v>593.048322541892</v>
      </c>
      <c r="AA2620" s="20" t="n">
        <v>45.9976833278544</v>
      </c>
      <c r="AB2620" t="n">
        <v>0.06120324319854534</v>
      </c>
      <c r="AC2620" t="n">
        <v>44.23031119670632</v>
      </c>
      <c r="AD2620" t="n">
        <v>22.06515653915261</v>
      </c>
    </row>
    <row r="2621">
      <c r="A2621" t="n">
        <v>2620</v>
      </c>
      <c r="B2621" t="n">
        <v>89.09999999999999</v>
      </c>
      <c r="C2621" s="21">
        <f>B2621-20</f>
        <v/>
      </c>
      <c r="D2621" t="n">
        <v>101.7</v>
      </c>
      <c r="E2621" s="22">
        <f>D2621-90</f>
        <v/>
      </c>
      <c r="F2621" s="23" t="n">
        <v>0.023471</v>
      </c>
      <c r="G2621" s="22" t="n">
        <v>24.3</v>
      </c>
      <c r="H2621" s="22" t="n">
        <v>1.1</v>
      </c>
      <c r="I2621" s="24" t="n">
        <v>0.205372124910354</v>
      </c>
      <c r="J2621" s="6" t="n">
        <v>71000</v>
      </c>
      <c r="K2621" s="25">
        <f>23*10^-6</f>
        <v/>
      </c>
      <c r="L2621" s="8">
        <f>H2621</f>
        <v/>
      </c>
      <c r="M2621" s="26">
        <f>H2621^2/6</f>
        <v/>
      </c>
      <c r="N2621" s="26">
        <f>H2621^3/12</f>
        <v/>
      </c>
      <c r="O2621" s="27">
        <f>-J2621*L2621*K2621*C2621</f>
        <v/>
      </c>
      <c r="P2621" s="28">
        <f>-(12*F2621*J2621*L2621*N2621+12*O2621*N2621*G2621*COS(RADIANS(E2621)))/(12*N2621*G2621*COS(RADIANS(E2621))^2+L2621*G2621^3*SIN(RADIANS(E2621))^2)</f>
        <v/>
      </c>
      <c r="Q2621" s="28">
        <f>-(6*F2621*J2621*L2621*N2621*SIN(RADIANS(E2621))+6*O2621*N2621*G2621*SIN(RADIANS(E2621))*COS(RADIANS(E2621)))/(12*N2621*COS(RADIANS(E2621))^2+L2621*G2621^2*SIN(RADIANS(E2621))^2)</f>
        <v/>
      </c>
      <c r="R2621" s="28">
        <f>-P2621*SIN(RADIANS(E2621))</f>
        <v/>
      </c>
      <c r="S2621" s="8">
        <f>(O2621+P2621*COS(RADIANS(E2621)))/L2621</f>
        <v/>
      </c>
      <c r="T2621" s="8">
        <f>R2621/L2621</f>
        <v/>
      </c>
      <c r="U2621" s="8">
        <f>(Q2621-P2621*G2621*SIN(RADIANS(E2621)))/M2621</f>
        <v/>
      </c>
      <c r="V2621" s="8">
        <f>SQRT((S2621+U2621)^2+3*T2621^2)</f>
        <v/>
      </c>
      <c r="W2621" s="8">
        <f>V2621/AA2621</f>
        <v/>
      </c>
      <c r="X2621" s="27">
        <f>((3*10+H2621/COS(RADIANS(E2621)))*(3+3)+3*G2621*H2621)*2</f>
        <v/>
      </c>
      <c r="Y2621" s="28">
        <f>Z2621/X2621</f>
        <v/>
      </c>
      <c r="Z2621" s="29" t="n">
        <v>537.802940496949</v>
      </c>
      <c r="AA2621" s="20" t="n">
        <v>103.438970114632</v>
      </c>
      <c r="AB2621" t="n">
        <v>0.2897073087480957</v>
      </c>
      <c r="AC2621" t="n">
        <v>113.2414470979042</v>
      </c>
      <c r="AD2621" t="n">
        <v>41.06457187145259</v>
      </c>
    </row>
    <row r="2622">
      <c r="A2622" t="n">
        <v>2621</v>
      </c>
      <c r="B2622" t="n">
        <v>40.1</v>
      </c>
      <c r="C2622" s="21">
        <f>B2622-20</f>
        <v/>
      </c>
      <c r="D2622" t="n">
        <v>121.8</v>
      </c>
      <c r="E2622" s="22">
        <f>D2622-90</f>
        <v/>
      </c>
      <c r="F2622" s="23" t="n">
        <v>0.005912</v>
      </c>
      <c r="G2622" s="22" t="n">
        <v>23.3</v>
      </c>
      <c r="H2622" s="22" t="n">
        <v>1.8</v>
      </c>
      <c r="I2622" s="24" t="n">
        <v>0.0279635321348905</v>
      </c>
      <c r="J2622" s="6" t="n">
        <v>71000</v>
      </c>
      <c r="K2622" s="25">
        <f>23*10^-6</f>
        <v/>
      </c>
      <c r="L2622" s="8">
        <f>H2622</f>
        <v/>
      </c>
      <c r="M2622" s="26">
        <f>H2622^2/6</f>
        <v/>
      </c>
      <c r="N2622" s="26">
        <f>H2622^3/12</f>
        <v/>
      </c>
      <c r="O2622" s="27">
        <f>-J2622*L2622*K2622*C2622</f>
        <v/>
      </c>
      <c r="P2622" s="28">
        <f>-(12*F2622*J2622*L2622*N2622+12*O2622*N2622*G2622*COS(RADIANS(E2622)))/(12*N2622*G2622*COS(RADIANS(E2622))^2+L2622*G2622^3*SIN(RADIANS(E2622))^2)</f>
        <v/>
      </c>
      <c r="Q2622" s="28">
        <f>-(6*F2622*J2622*L2622*N2622*SIN(RADIANS(E2622))+6*O2622*N2622*G2622*SIN(RADIANS(E2622))*COS(RADIANS(E2622)))/(12*N2622*COS(RADIANS(E2622))^2+L2622*G2622^2*SIN(RADIANS(E2622))^2)</f>
        <v/>
      </c>
      <c r="R2622" s="28">
        <f>-P2622*SIN(RADIANS(E2622))</f>
        <v/>
      </c>
      <c r="S2622" s="8">
        <f>(O2622+P2622*COS(RADIANS(E2622)))/L2622</f>
        <v/>
      </c>
      <c r="T2622" s="8">
        <f>R2622/L2622</f>
        <v/>
      </c>
      <c r="U2622" s="8">
        <f>(Q2622-P2622*G2622*SIN(RADIANS(E2622)))/M2622</f>
        <v/>
      </c>
      <c r="V2622" s="8">
        <f>SQRT((S2622+U2622)^2+3*T2622^2)</f>
        <v/>
      </c>
      <c r="W2622" s="8">
        <f>V2622/AA2622</f>
        <v/>
      </c>
      <c r="X2622" s="27">
        <f>((3*10+H2622/COS(RADIANS(E2622)))*(3+3)+3*G2622*H2622)*2</f>
        <v/>
      </c>
      <c r="Y2622" s="28">
        <f>Z2622/X2622</f>
        <v/>
      </c>
      <c r="Z2622" s="29" t="n">
        <v>644.727461659151</v>
      </c>
      <c r="AA2622" s="20" t="n">
        <v>32.5711208241196</v>
      </c>
      <c r="AB2622" t="n">
        <v>0.02946256839732441</v>
      </c>
      <c r="AC2622" t="n">
        <v>30.37029130066782</v>
      </c>
      <c r="AD2622" t="n">
        <v>5.36068281790317</v>
      </c>
    </row>
    <row r="2623">
      <c r="A2623" t="n">
        <v>2622</v>
      </c>
      <c r="B2623" t="n">
        <v>75.8</v>
      </c>
      <c r="C2623" s="21">
        <f>B2623-20</f>
        <v/>
      </c>
      <c r="D2623" t="n">
        <v>111.5</v>
      </c>
      <c r="E2623" s="22">
        <f>D2623-90</f>
        <v/>
      </c>
      <c r="F2623" s="23" t="n">
        <v>0.017193</v>
      </c>
      <c r="G2623" s="22" t="n">
        <v>22.6</v>
      </c>
      <c r="H2623" s="22" t="n">
        <v>1.4</v>
      </c>
      <c r="I2623" s="24" t="n">
        <v>0.0991635471582412</v>
      </c>
      <c r="J2623" s="6" t="n">
        <v>71000</v>
      </c>
      <c r="K2623" s="25">
        <f>23*10^-6</f>
        <v/>
      </c>
      <c r="L2623" s="8">
        <f>H2623</f>
        <v/>
      </c>
      <c r="M2623" s="26">
        <f>H2623^2/6</f>
        <v/>
      </c>
      <c r="N2623" s="26">
        <f>H2623^3/12</f>
        <v/>
      </c>
      <c r="O2623" s="27">
        <f>-J2623*L2623*K2623*C2623</f>
        <v/>
      </c>
      <c r="P2623" s="28">
        <f>-(12*F2623*J2623*L2623*N2623+12*O2623*N2623*G2623*COS(RADIANS(E2623)))/(12*N2623*G2623*COS(RADIANS(E2623))^2+L2623*G2623^3*SIN(RADIANS(E2623))^2)</f>
        <v/>
      </c>
      <c r="Q2623" s="28">
        <f>-(6*F2623*J2623*L2623*N2623*SIN(RADIANS(E2623))+6*O2623*N2623*G2623*SIN(RADIANS(E2623))*COS(RADIANS(E2623)))/(12*N2623*COS(RADIANS(E2623))^2+L2623*G2623^2*SIN(RADIANS(E2623))^2)</f>
        <v/>
      </c>
      <c r="R2623" s="28">
        <f>-P2623*SIN(RADIANS(E2623))</f>
        <v/>
      </c>
      <c r="S2623" s="8">
        <f>(O2623+P2623*COS(RADIANS(E2623)))/L2623</f>
        <v/>
      </c>
      <c r="T2623" s="8">
        <f>R2623/L2623</f>
        <v/>
      </c>
      <c r="U2623" s="8">
        <f>(Q2623-P2623*G2623*SIN(RADIANS(E2623)))/M2623</f>
        <v/>
      </c>
      <c r="V2623" s="8">
        <f>SQRT((S2623+U2623)^2+3*T2623^2)</f>
        <v/>
      </c>
      <c r="W2623" s="8">
        <f>V2623/AA2623</f>
        <v/>
      </c>
      <c r="X2623" s="27">
        <f>((3*10+H2623/COS(RADIANS(E2623)))*(3+3)+3*G2623*H2623)*2</f>
        <v/>
      </c>
      <c r="Y2623" s="28">
        <f>Z2623/X2623</f>
        <v/>
      </c>
      <c r="Z2623" s="29" t="n">
        <v>573.12490799863</v>
      </c>
      <c r="AA2623" s="20" t="n">
        <v>86.3564885630941</v>
      </c>
      <c r="AB2623" t="n">
        <v>0.1196592140252127</v>
      </c>
      <c r="AC2623" t="n">
        <v>86.81335070426904</v>
      </c>
      <c r="AD2623" t="n">
        <v>20.66854953692345</v>
      </c>
    </row>
    <row r="2624">
      <c r="A2624" t="n">
        <v>2623</v>
      </c>
      <c r="B2624" t="n">
        <v>84.40000000000001</v>
      </c>
      <c r="C2624" s="21">
        <f>B2624-20</f>
        <v/>
      </c>
      <c r="D2624" t="n">
        <v>119.9</v>
      </c>
      <c r="E2624" s="22">
        <f>D2624-90</f>
        <v/>
      </c>
      <c r="F2624" s="23" t="n">
        <v>0.017898</v>
      </c>
      <c r="G2624" s="22" t="n">
        <v>21.2</v>
      </c>
      <c r="H2624" s="22" t="n">
        <v>1.9</v>
      </c>
      <c r="I2624" s="24" t="n">
        <v>0.0878550261259079</v>
      </c>
      <c r="J2624" s="6" t="n">
        <v>71000</v>
      </c>
      <c r="K2624" s="25">
        <f>23*10^-6</f>
        <v/>
      </c>
      <c r="L2624" s="8">
        <f>H2624</f>
        <v/>
      </c>
      <c r="M2624" s="26">
        <f>H2624^2/6</f>
        <v/>
      </c>
      <c r="N2624" s="26">
        <f>H2624^3/12</f>
        <v/>
      </c>
      <c r="O2624" s="27">
        <f>-J2624*L2624*K2624*C2624</f>
        <v/>
      </c>
      <c r="P2624" s="28">
        <f>-(12*F2624*J2624*L2624*N2624+12*O2624*N2624*G2624*COS(RADIANS(E2624)))/(12*N2624*G2624*COS(RADIANS(E2624))^2+L2624*G2624^3*SIN(RADIANS(E2624))^2)</f>
        <v/>
      </c>
      <c r="Q2624" s="28">
        <f>-(6*F2624*J2624*L2624*N2624*SIN(RADIANS(E2624))+6*O2624*N2624*G2624*SIN(RADIANS(E2624))*COS(RADIANS(E2624)))/(12*N2624*COS(RADIANS(E2624))^2+L2624*G2624^2*SIN(RADIANS(E2624))^2)</f>
        <v/>
      </c>
      <c r="R2624" s="28">
        <f>-P2624*SIN(RADIANS(E2624))</f>
        <v/>
      </c>
      <c r="S2624" s="8">
        <f>(O2624+P2624*COS(RADIANS(E2624)))/L2624</f>
        <v/>
      </c>
      <c r="T2624" s="8">
        <f>R2624/L2624</f>
        <v/>
      </c>
      <c r="U2624" s="8">
        <f>(Q2624-P2624*G2624*SIN(RADIANS(E2624)))/M2624</f>
        <v/>
      </c>
      <c r="V2624" s="8">
        <f>SQRT((S2624+U2624)^2+3*T2624^2)</f>
        <v/>
      </c>
      <c r="W2624" s="8">
        <f>V2624/AA2624</f>
        <v/>
      </c>
      <c r="X2624" s="27">
        <f>((3*10+H2624/COS(RADIANS(E2624)))*(3+3)+3*G2624*H2624)*2</f>
        <v/>
      </c>
      <c r="Y2624" s="28">
        <f>Z2624/X2624</f>
        <v/>
      </c>
      <c r="Z2624" s="29" t="n">
        <v>635.099297295299</v>
      </c>
      <c r="AA2624" s="20" t="n">
        <v>108.621667897172</v>
      </c>
      <c r="AB2624" t="n">
        <v>0.09164196731937448</v>
      </c>
      <c r="AC2624" t="n">
        <v>99.32151462422617</v>
      </c>
      <c r="AD2624" t="n">
        <v>4.310443420777531</v>
      </c>
    </row>
    <row r="2625">
      <c r="A2625" t="n">
        <v>2624</v>
      </c>
      <c r="B2625" t="n">
        <v>48</v>
      </c>
      <c r="C2625" s="21">
        <f>B2625-20</f>
        <v/>
      </c>
      <c r="D2625" t="n">
        <v>127.3</v>
      </c>
      <c r="E2625" s="22">
        <f>D2625-90</f>
        <v/>
      </c>
      <c r="F2625" s="23" t="n">
        <v>0.009431</v>
      </c>
      <c r="G2625" s="22" t="n">
        <v>29.6</v>
      </c>
      <c r="H2625" s="22" t="n">
        <v>1.8</v>
      </c>
      <c r="I2625" s="24" t="n">
        <v>0.0410991758108139</v>
      </c>
      <c r="J2625" s="6" t="n">
        <v>71000</v>
      </c>
      <c r="K2625" s="25">
        <f>23*10^-6</f>
        <v/>
      </c>
      <c r="L2625" s="8">
        <f>H2625</f>
        <v/>
      </c>
      <c r="M2625" s="26">
        <f>H2625^2/6</f>
        <v/>
      </c>
      <c r="N2625" s="26">
        <f>H2625^3/12</f>
        <v/>
      </c>
      <c r="O2625" s="27">
        <f>-J2625*L2625*K2625*C2625</f>
        <v/>
      </c>
      <c r="P2625" s="28">
        <f>-(12*F2625*J2625*L2625*N2625+12*O2625*N2625*G2625*COS(RADIANS(E2625)))/(12*N2625*G2625*COS(RADIANS(E2625))^2+L2625*G2625^3*SIN(RADIANS(E2625))^2)</f>
        <v/>
      </c>
      <c r="Q2625" s="28">
        <f>-(6*F2625*J2625*L2625*N2625*SIN(RADIANS(E2625))+6*O2625*N2625*G2625*SIN(RADIANS(E2625))*COS(RADIANS(E2625)))/(12*N2625*COS(RADIANS(E2625))^2+L2625*G2625^2*SIN(RADIANS(E2625))^2)</f>
        <v/>
      </c>
      <c r="R2625" s="28">
        <f>-P2625*SIN(RADIANS(E2625))</f>
        <v/>
      </c>
      <c r="S2625" s="8">
        <f>(O2625+P2625*COS(RADIANS(E2625)))/L2625</f>
        <v/>
      </c>
      <c r="T2625" s="8">
        <f>R2625/L2625</f>
        <v/>
      </c>
      <c r="U2625" s="8">
        <f>(Q2625-P2625*G2625*SIN(RADIANS(E2625)))/M2625</f>
        <v/>
      </c>
      <c r="V2625" s="8">
        <f>SQRT((S2625+U2625)^2+3*T2625^2)</f>
        <v/>
      </c>
      <c r="W2625" s="8">
        <f>V2625/AA2625</f>
        <v/>
      </c>
      <c r="X2625" s="27">
        <f>((3*10+H2625/COS(RADIANS(E2625)))*(3+3)+3*G2625*H2625)*2</f>
        <v/>
      </c>
      <c r="Y2625" s="28">
        <f>Z2625/X2625</f>
        <v/>
      </c>
      <c r="Z2625" s="29" t="n">
        <v>716.437979093683</v>
      </c>
      <c r="AA2625" s="20" t="n">
        <v>42.7479681483642</v>
      </c>
      <c r="AB2625" t="n">
        <v>0.0435137244548506</v>
      </c>
      <c r="AC2625" t="n">
        <v>40.90068953231341</v>
      </c>
      <c r="AD2625" t="n">
        <v>5.874932030635496</v>
      </c>
    </row>
    <row r="2626">
      <c r="A2626" t="n">
        <v>2625</v>
      </c>
      <c r="B2626" t="n">
        <v>47.4</v>
      </c>
      <c r="C2626" s="21">
        <f>B2626-20</f>
        <v/>
      </c>
      <c r="D2626" t="n">
        <v>102.9</v>
      </c>
      <c r="E2626" s="22">
        <f>D2626-90</f>
        <v/>
      </c>
      <c r="F2626" s="23" t="n">
        <v>0.0118</v>
      </c>
      <c r="G2626" s="22" t="n">
        <v>32.6</v>
      </c>
      <c r="H2626" s="22" t="n">
        <v>1.1</v>
      </c>
      <c r="I2626" s="24" t="n">
        <v>0.09424487501382819</v>
      </c>
      <c r="J2626" s="6" t="n">
        <v>71000</v>
      </c>
      <c r="K2626" s="25">
        <f>23*10^-6</f>
        <v/>
      </c>
      <c r="L2626" s="8">
        <f>H2626</f>
        <v/>
      </c>
      <c r="M2626" s="26">
        <f>H2626^2/6</f>
        <v/>
      </c>
      <c r="N2626" s="26">
        <f>H2626^3/12</f>
        <v/>
      </c>
      <c r="O2626" s="27">
        <f>-J2626*L2626*K2626*C2626</f>
        <v/>
      </c>
      <c r="P2626" s="28">
        <f>-(12*F2626*J2626*L2626*N2626+12*O2626*N2626*G2626*COS(RADIANS(E2626)))/(12*N2626*G2626*COS(RADIANS(E2626))^2+L2626*G2626^3*SIN(RADIANS(E2626))^2)</f>
        <v/>
      </c>
      <c r="Q2626" s="28">
        <f>-(6*F2626*J2626*L2626*N2626*SIN(RADIANS(E2626))+6*O2626*N2626*G2626*SIN(RADIANS(E2626))*COS(RADIANS(E2626)))/(12*N2626*COS(RADIANS(E2626))^2+L2626*G2626^2*SIN(RADIANS(E2626))^2)</f>
        <v/>
      </c>
      <c r="R2626" s="28">
        <f>-P2626*SIN(RADIANS(E2626))</f>
        <v/>
      </c>
      <c r="S2626" s="8">
        <f>(O2626+P2626*COS(RADIANS(E2626)))/L2626</f>
        <v/>
      </c>
      <c r="T2626" s="8">
        <f>R2626/L2626</f>
        <v/>
      </c>
      <c r="U2626" s="8">
        <f>(Q2626-P2626*G2626*SIN(RADIANS(E2626)))/M2626</f>
        <v/>
      </c>
      <c r="V2626" s="8">
        <f>SQRT((S2626+U2626)^2+3*T2626^2)</f>
        <v/>
      </c>
      <c r="W2626" s="8">
        <f>V2626/AA2626</f>
        <v/>
      </c>
      <c r="X2626" s="27">
        <f>((3*10+H2626/COS(RADIANS(E2626)))*(3+3)+3*G2626*H2626)*2</f>
        <v/>
      </c>
      <c r="Y2626" s="28">
        <f>Z2626/X2626</f>
        <v/>
      </c>
      <c r="Z2626" s="29" t="n">
        <v>592.756822813613</v>
      </c>
      <c r="AA2626" s="20" t="n">
        <v>39.8006354692849</v>
      </c>
      <c r="AB2626" t="n">
        <v>0.1404396531419933</v>
      </c>
      <c r="AC2626" t="n">
        <v>43.01987854182192</v>
      </c>
      <c r="AD2626" t="n">
        <v>49.01569249403439</v>
      </c>
    </row>
    <row r="2627">
      <c r="A2627" t="n">
        <v>2626</v>
      </c>
      <c r="B2627" t="n">
        <v>44.8</v>
      </c>
      <c r="C2627" s="21">
        <f>B2627-20</f>
        <v/>
      </c>
      <c r="D2627" t="n">
        <v>114.3</v>
      </c>
      <c r="E2627" s="22">
        <f>D2627-90</f>
        <v/>
      </c>
      <c r="F2627" s="23" t="n">
        <v>0.009865000000000001</v>
      </c>
      <c r="G2627" s="22" t="n">
        <v>31.7</v>
      </c>
      <c r="H2627" s="22" t="n">
        <v>1.5</v>
      </c>
      <c r="I2627" s="24" t="n">
        <v>0.0506710037589073</v>
      </c>
      <c r="J2627" s="6" t="n">
        <v>71000</v>
      </c>
      <c r="K2627" s="25">
        <f>23*10^-6</f>
        <v/>
      </c>
      <c r="L2627" s="8">
        <f>H2627</f>
        <v/>
      </c>
      <c r="M2627" s="26">
        <f>H2627^2/6</f>
        <v/>
      </c>
      <c r="N2627" s="26">
        <f>H2627^3/12</f>
        <v/>
      </c>
      <c r="O2627" s="27">
        <f>-J2627*L2627*K2627*C2627</f>
        <v/>
      </c>
      <c r="P2627" s="28">
        <f>-(12*F2627*J2627*L2627*N2627+12*O2627*N2627*G2627*COS(RADIANS(E2627)))/(12*N2627*G2627*COS(RADIANS(E2627))^2+L2627*G2627^3*SIN(RADIANS(E2627))^2)</f>
        <v/>
      </c>
      <c r="Q2627" s="28">
        <f>-(6*F2627*J2627*L2627*N2627*SIN(RADIANS(E2627))+6*O2627*N2627*G2627*SIN(RADIANS(E2627))*COS(RADIANS(E2627)))/(12*N2627*COS(RADIANS(E2627))^2+L2627*G2627^2*SIN(RADIANS(E2627))^2)</f>
        <v/>
      </c>
      <c r="R2627" s="28">
        <f>-P2627*SIN(RADIANS(E2627))</f>
        <v/>
      </c>
      <c r="S2627" s="8">
        <f>(O2627+P2627*COS(RADIANS(E2627)))/L2627</f>
        <v/>
      </c>
      <c r="T2627" s="8">
        <f>R2627/L2627</f>
        <v/>
      </c>
      <c r="U2627" s="8">
        <f>(Q2627-P2627*G2627*SIN(RADIANS(E2627)))/M2627</f>
        <v/>
      </c>
      <c r="V2627" s="8">
        <f>SQRT((S2627+U2627)^2+3*T2627^2)</f>
        <v/>
      </c>
      <c r="W2627" s="8">
        <f>V2627/AA2627</f>
        <v/>
      </c>
      <c r="X2627" s="27">
        <f>((3*10+H2627/COS(RADIANS(E2627)))*(3+3)+3*G2627*H2627)*2</f>
        <v/>
      </c>
      <c r="Y2627" s="28">
        <f>Z2627/X2627</f>
        <v/>
      </c>
      <c r="Z2627" s="29" t="n">
        <v>670.816413019081</v>
      </c>
      <c r="AA2627" s="20" t="n">
        <v>37.1675780591853</v>
      </c>
      <c r="AB2627" t="n">
        <v>0.06502379229361678</v>
      </c>
      <c r="AC2627" t="n">
        <v>37.32240572542619</v>
      </c>
      <c r="AD2627" t="n">
        <v>28.32544743538152</v>
      </c>
    </row>
    <row r="2628">
      <c r="A2628" t="n">
        <v>2627</v>
      </c>
      <c r="B2628" t="n">
        <v>40.7</v>
      </c>
      <c r="C2628" s="21">
        <f>B2628-20</f>
        <v/>
      </c>
      <c r="D2628" t="n">
        <v>115.9</v>
      </c>
      <c r="E2628" s="22">
        <f>D2628-90</f>
        <v/>
      </c>
      <c r="F2628" s="23" t="n">
        <v>0.008208999999999999</v>
      </c>
      <c r="G2628" s="22" t="n">
        <v>32</v>
      </c>
      <c r="H2628" s="22" t="n">
        <v>1.6</v>
      </c>
      <c r="I2628" s="24" t="n">
        <v>0.0406668148934841</v>
      </c>
      <c r="J2628" s="6" t="n">
        <v>71000</v>
      </c>
      <c r="K2628" s="25">
        <f>23*10^-6</f>
        <v/>
      </c>
      <c r="L2628" s="8">
        <f>H2628</f>
        <v/>
      </c>
      <c r="M2628" s="26">
        <f>H2628^2/6</f>
        <v/>
      </c>
      <c r="N2628" s="26">
        <f>H2628^3/12</f>
        <v/>
      </c>
      <c r="O2628" s="27">
        <f>-J2628*L2628*K2628*C2628</f>
        <v/>
      </c>
      <c r="P2628" s="28">
        <f>-(12*F2628*J2628*L2628*N2628+12*O2628*N2628*G2628*COS(RADIANS(E2628)))/(12*N2628*G2628*COS(RADIANS(E2628))^2+L2628*G2628^3*SIN(RADIANS(E2628))^2)</f>
        <v/>
      </c>
      <c r="Q2628" s="28">
        <f>-(6*F2628*J2628*L2628*N2628*SIN(RADIANS(E2628))+6*O2628*N2628*G2628*SIN(RADIANS(E2628))*COS(RADIANS(E2628)))/(12*N2628*COS(RADIANS(E2628))^2+L2628*G2628^2*SIN(RADIANS(E2628))^2)</f>
        <v/>
      </c>
      <c r="R2628" s="28">
        <f>-P2628*SIN(RADIANS(E2628))</f>
        <v/>
      </c>
      <c r="S2628" s="8">
        <f>(O2628+P2628*COS(RADIANS(E2628)))/L2628</f>
        <v/>
      </c>
      <c r="T2628" s="8">
        <f>R2628/L2628</f>
        <v/>
      </c>
      <c r="U2628" s="8">
        <f>(Q2628-P2628*G2628*SIN(RADIANS(E2628)))/M2628</f>
        <v/>
      </c>
      <c r="V2628" s="8">
        <f>SQRT((S2628+U2628)^2+3*T2628^2)</f>
        <v/>
      </c>
      <c r="W2628" s="8">
        <f>V2628/AA2628</f>
        <v/>
      </c>
      <c r="X2628" s="27">
        <f>((3*10+H2628/COS(RADIANS(E2628)))*(3+3)+3*G2628*H2628)*2</f>
        <v/>
      </c>
      <c r="Y2628" s="28">
        <f>Z2628/X2628</f>
        <v/>
      </c>
      <c r="Z2628" s="29" t="n">
        <v>694.657226102436</v>
      </c>
      <c r="AA2628" s="20" t="n">
        <v>31.4435134616486</v>
      </c>
      <c r="AB2628" t="n">
        <v>0.05119913328738639</v>
      </c>
      <c r="AC2628" t="n">
        <v>31.09396727723198</v>
      </c>
      <c r="AD2628" t="n">
        <v>25.89904919155556</v>
      </c>
    </row>
    <row r="2629">
      <c r="A2629" t="n">
        <v>2628</v>
      </c>
      <c r="B2629" t="n">
        <v>80.40000000000001</v>
      </c>
      <c r="C2629" s="21">
        <f>B2629-20</f>
        <v/>
      </c>
      <c r="D2629" t="n">
        <v>110.2</v>
      </c>
      <c r="E2629" s="22">
        <f>D2629-90</f>
        <v/>
      </c>
      <c r="F2629" s="23" t="n">
        <v>0.025715</v>
      </c>
      <c r="G2629" s="22" t="n">
        <v>33.4</v>
      </c>
      <c r="H2629" s="22" t="n">
        <v>1.6</v>
      </c>
      <c r="I2629" s="24" t="n">
        <v>0.146841004490852</v>
      </c>
      <c r="J2629" s="6" t="n">
        <v>71000</v>
      </c>
      <c r="K2629" s="25">
        <f>23*10^-6</f>
        <v/>
      </c>
      <c r="L2629" s="8">
        <f>H2629</f>
        <v/>
      </c>
      <c r="M2629" s="26">
        <f>H2629^2/6</f>
        <v/>
      </c>
      <c r="N2629" s="26">
        <f>H2629^3/12</f>
        <v/>
      </c>
      <c r="O2629" s="27">
        <f>-J2629*L2629*K2629*C2629</f>
        <v/>
      </c>
      <c r="P2629" s="28">
        <f>-(12*F2629*J2629*L2629*N2629+12*O2629*N2629*G2629*COS(RADIANS(E2629)))/(12*N2629*G2629*COS(RADIANS(E2629))^2+L2629*G2629^3*SIN(RADIANS(E2629))^2)</f>
        <v/>
      </c>
      <c r="Q2629" s="28">
        <f>-(6*F2629*J2629*L2629*N2629*SIN(RADIANS(E2629))+6*O2629*N2629*G2629*SIN(RADIANS(E2629))*COS(RADIANS(E2629)))/(12*N2629*COS(RADIANS(E2629))^2+L2629*G2629^2*SIN(RADIANS(E2629))^2)</f>
        <v/>
      </c>
      <c r="R2629" s="28">
        <f>-P2629*SIN(RADIANS(E2629))</f>
        <v/>
      </c>
      <c r="S2629" s="8">
        <f>(O2629+P2629*COS(RADIANS(E2629)))/L2629</f>
        <v/>
      </c>
      <c r="T2629" s="8">
        <f>R2629/L2629</f>
        <v/>
      </c>
      <c r="U2629" s="8">
        <f>(Q2629-P2629*G2629*SIN(RADIANS(E2629)))/M2629</f>
        <v/>
      </c>
      <c r="V2629" s="8">
        <f>SQRT((S2629+U2629)^2+3*T2629^2)</f>
        <v/>
      </c>
      <c r="W2629" s="8">
        <f>V2629/AA2629</f>
        <v/>
      </c>
      <c r="X2629" s="27">
        <f>((3*10+H2629/COS(RADIANS(E2629)))*(3+3)+3*G2629*H2629)*2</f>
        <v/>
      </c>
      <c r="Y2629" s="28">
        <f>Z2629/X2629</f>
        <v/>
      </c>
      <c r="Z2629" s="29" t="n">
        <v>706.104871975995</v>
      </c>
      <c r="AA2629" s="20" t="n">
        <v>93.619113668948</v>
      </c>
      <c r="AB2629" t="n">
        <v>0.2007024270560342</v>
      </c>
      <c r="AC2629" t="n">
        <v>93.330188130077</v>
      </c>
      <c r="AD2629" t="n">
        <v>36.68009678355049</v>
      </c>
    </row>
    <row r="2630">
      <c r="A2630" t="n">
        <v>2629</v>
      </c>
      <c r="B2630" t="n">
        <v>78.3</v>
      </c>
      <c r="C2630" s="21">
        <f>B2630-20</f>
        <v/>
      </c>
      <c r="D2630" t="n">
        <v>105.4</v>
      </c>
      <c r="E2630" s="22">
        <f>D2630-90</f>
        <v/>
      </c>
      <c r="F2630" s="23" t="n">
        <v>0.022826</v>
      </c>
      <c r="G2630" s="22" t="n">
        <v>29.4</v>
      </c>
      <c r="H2630" s="22" t="n">
        <v>1.3</v>
      </c>
      <c r="I2630" s="24" t="n">
        <v>0.159945145249366</v>
      </c>
      <c r="J2630" s="6" t="n">
        <v>71000</v>
      </c>
      <c r="K2630" s="25">
        <f>23*10^-6</f>
        <v/>
      </c>
      <c r="L2630" s="8">
        <f>H2630</f>
        <v/>
      </c>
      <c r="M2630" s="26">
        <f>H2630^2/6</f>
        <v/>
      </c>
      <c r="N2630" s="26">
        <f>H2630^3/12</f>
        <v/>
      </c>
      <c r="O2630" s="27">
        <f>-J2630*L2630*K2630*C2630</f>
        <v/>
      </c>
      <c r="P2630" s="28">
        <f>-(12*F2630*J2630*L2630*N2630+12*O2630*N2630*G2630*COS(RADIANS(E2630)))/(12*N2630*G2630*COS(RADIANS(E2630))^2+L2630*G2630^3*SIN(RADIANS(E2630))^2)</f>
        <v/>
      </c>
      <c r="Q2630" s="28">
        <f>-(6*F2630*J2630*L2630*N2630*SIN(RADIANS(E2630))+6*O2630*N2630*G2630*SIN(RADIANS(E2630))*COS(RADIANS(E2630)))/(12*N2630*COS(RADIANS(E2630))^2+L2630*G2630^2*SIN(RADIANS(E2630))^2)</f>
        <v/>
      </c>
      <c r="R2630" s="28">
        <f>-P2630*SIN(RADIANS(E2630))</f>
        <v/>
      </c>
      <c r="S2630" s="8">
        <f>(O2630+P2630*COS(RADIANS(E2630)))/L2630</f>
        <v/>
      </c>
      <c r="T2630" s="8">
        <f>R2630/L2630</f>
        <v/>
      </c>
      <c r="U2630" s="8">
        <f>(Q2630-P2630*G2630*SIN(RADIANS(E2630)))/M2630</f>
        <v/>
      </c>
      <c r="V2630" s="8">
        <f>SQRT((S2630+U2630)^2+3*T2630^2)</f>
        <v/>
      </c>
      <c r="W2630" s="8">
        <f>V2630/AA2630</f>
        <v/>
      </c>
      <c r="X2630" s="27">
        <f>((3*10+H2630/COS(RADIANS(E2630)))*(3+3)+3*G2630*H2630)*2</f>
        <v/>
      </c>
      <c r="Y2630" s="28">
        <f>Z2630/X2630</f>
        <v/>
      </c>
      <c r="Z2630" s="29" t="n">
        <v>609.828402510878</v>
      </c>
      <c r="AA2630" s="20" t="n">
        <v>87.74665204800959</v>
      </c>
      <c r="AB2630" t="n">
        <v>0.2253522354377382</v>
      </c>
      <c r="AC2630" t="n">
        <v>92.20320105077091</v>
      </c>
      <c r="AD2630" t="n">
        <v>40.89345136821619</v>
      </c>
    </row>
    <row r="2631">
      <c r="A2631" t="n">
        <v>2630</v>
      </c>
      <c r="B2631" t="n">
        <v>60.7</v>
      </c>
      <c r="C2631" s="21">
        <f>B2631-20</f>
        <v/>
      </c>
      <c r="D2631" t="n">
        <v>107</v>
      </c>
      <c r="E2631" s="22">
        <f>D2631-90</f>
        <v/>
      </c>
      <c r="F2631" s="23" t="n">
        <v>0.017604</v>
      </c>
      <c r="G2631" s="22" t="n">
        <v>33.4</v>
      </c>
      <c r="H2631" s="22" t="n">
        <v>1</v>
      </c>
      <c r="I2631" s="24" t="n">
        <v>0.113893702626228</v>
      </c>
      <c r="J2631" s="6" t="n">
        <v>71000</v>
      </c>
      <c r="K2631" s="25">
        <f>23*10^-6</f>
        <v/>
      </c>
      <c r="L2631" s="8">
        <f>H2631</f>
        <v/>
      </c>
      <c r="M2631" s="26">
        <f>H2631^2/6</f>
        <v/>
      </c>
      <c r="N2631" s="26">
        <f>H2631^3/12</f>
        <v/>
      </c>
      <c r="O2631" s="27">
        <f>-J2631*L2631*K2631*C2631</f>
        <v/>
      </c>
      <c r="P2631" s="28">
        <f>-(12*F2631*J2631*L2631*N2631+12*O2631*N2631*G2631*COS(RADIANS(E2631)))/(12*N2631*G2631*COS(RADIANS(E2631))^2+L2631*G2631^3*SIN(RADIANS(E2631))^2)</f>
        <v/>
      </c>
      <c r="Q2631" s="28">
        <f>-(6*F2631*J2631*L2631*N2631*SIN(RADIANS(E2631))+6*O2631*N2631*G2631*SIN(RADIANS(E2631))*COS(RADIANS(E2631)))/(12*N2631*COS(RADIANS(E2631))^2+L2631*G2631^2*SIN(RADIANS(E2631))^2)</f>
        <v/>
      </c>
      <c r="R2631" s="28">
        <f>-P2631*SIN(RADIANS(E2631))</f>
        <v/>
      </c>
      <c r="S2631" s="8">
        <f>(O2631+P2631*COS(RADIANS(E2631)))/L2631</f>
        <v/>
      </c>
      <c r="T2631" s="8">
        <f>R2631/L2631</f>
        <v/>
      </c>
      <c r="U2631" s="8">
        <f>(Q2631-P2631*G2631*SIN(RADIANS(E2631)))/M2631</f>
        <v/>
      </c>
      <c r="V2631" s="8">
        <f>SQRT((S2631+U2631)^2+3*T2631^2)</f>
        <v/>
      </c>
      <c r="W2631" s="8">
        <f>V2631/AA2631</f>
        <v/>
      </c>
      <c r="X2631" s="27">
        <f>((3*10+H2631/COS(RADIANS(E2631)))*(3+3)+3*G2631*H2631)*2</f>
        <v/>
      </c>
      <c r="Y2631" s="28">
        <f>Z2631/X2631</f>
        <v/>
      </c>
      <c r="Z2631" s="29" t="n">
        <v>577.478532619179</v>
      </c>
      <c r="AA2631" s="20" t="n">
        <v>57.2186309472156</v>
      </c>
      <c r="AB2631" t="n">
        <v>0.1629034372190228</v>
      </c>
      <c r="AC2631" t="n">
        <v>60.99334921934259</v>
      </c>
      <c r="AD2631" t="n">
        <v>43.03111889656716</v>
      </c>
    </row>
    <row r="2632">
      <c r="A2632" t="n">
        <v>2631</v>
      </c>
      <c r="B2632" t="n">
        <v>77.8</v>
      </c>
      <c r="C2632" s="21">
        <f>B2632-20</f>
        <v/>
      </c>
      <c r="D2632" t="n">
        <v>124.2</v>
      </c>
      <c r="E2632" s="22">
        <f>D2632-90</f>
        <v/>
      </c>
      <c r="F2632" s="23" t="n">
        <v>0.018341</v>
      </c>
      <c r="G2632" s="22" t="n">
        <v>26.4</v>
      </c>
      <c r="H2632" s="22" t="n">
        <v>1.9</v>
      </c>
      <c r="I2632" s="24" t="n">
        <v>0.0831084102392196</v>
      </c>
      <c r="J2632" s="6" t="n">
        <v>71000</v>
      </c>
      <c r="K2632" s="25">
        <f>23*10^-6</f>
        <v/>
      </c>
      <c r="L2632" s="8">
        <f>H2632</f>
        <v/>
      </c>
      <c r="M2632" s="26">
        <f>H2632^2/6</f>
        <v/>
      </c>
      <c r="N2632" s="26">
        <f>H2632^3/12</f>
        <v/>
      </c>
      <c r="O2632" s="27">
        <f>-J2632*L2632*K2632*C2632</f>
        <v/>
      </c>
      <c r="P2632" s="28">
        <f>-(12*F2632*J2632*L2632*N2632+12*O2632*N2632*G2632*COS(RADIANS(E2632)))/(12*N2632*G2632*COS(RADIANS(E2632))^2+L2632*G2632^3*SIN(RADIANS(E2632))^2)</f>
        <v/>
      </c>
      <c r="Q2632" s="28">
        <f>-(6*F2632*J2632*L2632*N2632*SIN(RADIANS(E2632))+6*O2632*N2632*G2632*SIN(RADIANS(E2632))*COS(RADIANS(E2632)))/(12*N2632*COS(RADIANS(E2632))^2+L2632*G2632^2*SIN(RADIANS(E2632))^2)</f>
        <v/>
      </c>
      <c r="R2632" s="28">
        <f>-P2632*SIN(RADIANS(E2632))</f>
        <v/>
      </c>
      <c r="S2632" s="8">
        <f>(O2632+P2632*COS(RADIANS(E2632)))/L2632</f>
        <v/>
      </c>
      <c r="T2632" s="8">
        <f>R2632/L2632</f>
        <v/>
      </c>
      <c r="U2632" s="8">
        <f>(Q2632-P2632*G2632*SIN(RADIANS(E2632)))/M2632</f>
        <v/>
      </c>
      <c r="V2632" s="8">
        <f>SQRT((S2632+U2632)^2+3*T2632^2)</f>
        <v/>
      </c>
      <c r="W2632" s="8">
        <f>V2632/AA2632</f>
        <v/>
      </c>
      <c r="X2632" s="27">
        <f>((3*10+H2632/COS(RADIANS(E2632)))*(3+3)+3*G2632*H2632)*2</f>
        <v/>
      </c>
      <c r="Y2632" s="28">
        <f>Z2632/X2632</f>
        <v/>
      </c>
      <c r="Z2632" s="29" t="n">
        <v>696.978201017066</v>
      </c>
      <c r="AA2632" s="20" t="n">
        <v>93.0331031593709</v>
      </c>
      <c r="AB2632" t="n">
        <v>0.08829733808581344</v>
      </c>
      <c r="AC2632" t="n">
        <v>86.29546447153743</v>
      </c>
      <c r="AD2632" t="n">
        <v>6.243565280166009</v>
      </c>
    </row>
    <row r="2633">
      <c r="A2633" t="n">
        <v>2632</v>
      </c>
      <c r="B2633" t="n">
        <v>59.7</v>
      </c>
      <c r="C2633" s="21">
        <f>B2633-20</f>
        <v/>
      </c>
      <c r="D2633" t="n">
        <v>101.3</v>
      </c>
      <c r="E2633" s="22">
        <f>D2633-90</f>
        <v/>
      </c>
      <c r="F2633" s="23" t="n">
        <v>0.018204</v>
      </c>
      <c r="G2633" s="22" t="n">
        <v>34.9</v>
      </c>
      <c r="H2633" s="22" t="n">
        <v>1.2</v>
      </c>
      <c r="I2633" s="24" t="n">
        <v>0.160265982151031</v>
      </c>
      <c r="J2633" s="6" t="n">
        <v>71000</v>
      </c>
      <c r="K2633" s="25">
        <f>23*10^-6</f>
        <v/>
      </c>
      <c r="L2633" s="8">
        <f>H2633</f>
        <v/>
      </c>
      <c r="M2633" s="26">
        <f>H2633^2/6</f>
        <v/>
      </c>
      <c r="N2633" s="26">
        <f>H2633^3/12</f>
        <v/>
      </c>
      <c r="O2633" s="27">
        <f>-J2633*L2633*K2633*C2633</f>
        <v/>
      </c>
      <c r="P2633" s="28">
        <f>-(12*F2633*J2633*L2633*N2633+12*O2633*N2633*G2633*COS(RADIANS(E2633)))/(12*N2633*G2633*COS(RADIANS(E2633))^2+L2633*G2633^3*SIN(RADIANS(E2633))^2)</f>
        <v/>
      </c>
      <c r="Q2633" s="28">
        <f>-(6*F2633*J2633*L2633*N2633*SIN(RADIANS(E2633))+6*O2633*N2633*G2633*SIN(RADIANS(E2633))*COS(RADIANS(E2633)))/(12*N2633*COS(RADIANS(E2633))^2+L2633*G2633^2*SIN(RADIANS(E2633))^2)</f>
        <v/>
      </c>
      <c r="R2633" s="28">
        <f>-P2633*SIN(RADIANS(E2633))</f>
        <v/>
      </c>
      <c r="S2633" s="8">
        <f>(O2633+P2633*COS(RADIANS(E2633)))/L2633</f>
        <v/>
      </c>
      <c r="T2633" s="8">
        <f>R2633/L2633</f>
        <v/>
      </c>
      <c r="U2633" s="8">
        <f>(Q2633-P2633*G2633*SIN(RADIANS(E2633)))/M2633</f>
        <v/>
      </c>
      <c r="V2633" s="8">
        <f>SQRT((S2633+U2633)^2+3*T2633^2)</f>
        <v/>
      </c>
      <c r="W2633" s="8">
        <f>V2633/AA2633</f>
        <v/>
      </c>
      <c r="X2633" s="27">
        <f>((3*10+H2633/COS(RADIANS(E2633)))*(3+3)+3*G2633*H2633)*2</f>
        <v/>
      </c>
      <c r="Y2633" s="28">
        <f>Z2633/X2633</f>
        <v/>
      </c>
      <c r="Z2633" s="29" t="n">
        <v>629.87274215774</v>
      </c>
      <c r="AA2633" s="20" t="n">
        <v>58.9207852754167</v>
      </c>
      <c r="AB2633" t="n">
        <v>0.2463345459072964</v>
      </c>
      <c r="AC2633" t="n">
        <v>63.84247033705811</v>
      </c>
      <c r="AD2633" t="n">
        <v>53.70357614328684</v>
      </c>
    </row>
    <row r="2634">
      <c r="A2634" t="n">
        <v>2633</v>
      </c>
      <c r="B2634" t="n">
        <v>42</v>
      </c>
      <c r="C2634" s="21">
        <f>B2634-20</f>
        <v/>
      </c>
      <c r="D2634" t="n">
        <v>113.1</v>
      </c>
      <c r="E2634" s="22">
        <f>D2634-90</f>
        <v/>
      </c>
      <c r="F2634" s="23" t="n">
        <v>0.008795000000000001</v>
      </c>
      <c r="G2634" s="22" t="n">
        <v>31.6</v>
      </c>
      <c r="H2634" s="22" t="n">
        <v>1.2</v>
      </c>
      <c r="I2634" s="24" t="n">
        <v>0.0465776585042476</v>
      </c>
      <c r="J2634" s="6" t="n">
        <v>71000</v>
      </c>
      <c r="K2634" s="25">
        <f>23*10^-6</f>
        <v/>
      </c>
      <c r="L2634" s="8">
        <f>H2634</f>
        <v/>
      </c>
      <c r="M2634" s="26">
        <f>H2634^2/6</f>
        <v/>
      </c>
      <c r="N2634" s="26">
        <f>H2634^3/12</f>
        <v/>
      </c>
      <c r="O2634" s="27">
        <f>-J2634*L2634*K2634*C2634</f>
        <v/>
      </c>
      <c r="P2634" s="28">
        <f>-(12*F2634*J2634*L2634*N2634+12*O2634*N2634*G2634*COS(RADIANS(E2634)))/(12*N2634*G2634*COS(RADIANS(E2634))^2+L2634*G2634^3*SIN(RADIANS(E2634))^2)</f>
        <v/>
      </c>
      <c r="Q2634" s="28">
        <f>-(6*F2634*J2634*L2634*N2634*SIN(RADIANS(E2634))+6*O2634*N2634*G2634*SIN(RADIANS(E2634))*COS(RADIANS(E2634)))/(12*N2634*COS(RADIANS(E2634))^2+L2634*G2634^2*SIN(RADIANS(E2634))^2)</f>
        <v/>
      </c>
      <c r="R2634" s="28">
        <f>-P2634*SIN(RADIANS(E2634))</f>
        <v/>
      </c>
      <c r="S2634" s="8">
        <f>(O2634+P2634*COS(RADIANS(E2634)))/L2634</f>
        <v/>
      </c>
      <c r="T2634" s="8">
        <f>R2634/L2634</f>
        <v/>
      </c>
      <c r="U2634" s="8">
        <f>(Q2634-P2634*G2634*SIN(RADIANS(E2634)))/M2634</f>
        <v/>
      </c>
      <c r="V2634" s="8">
        <f>SQRT((S2634+U2634)^2+3*T2634^2)</f>
        <v/>
      </c>
      <c r="W2634" s="8">
        <f>V2634/AA2634</f>
        <v/>
      </c>
      <c r="X2634" s="27">
        <f>((3*10+H2634/COS(RADIANS(E2634)))*(3+3)+3*G2634*H2634)*2</f>
        <v/>
      </c>
      <c r="Y2634" s="28">
        <f>Z2634/X2634</f>
        <v/>
      </c>
      <c r="Z2634" s="29" t="n">
        <v>608.700859812208</v>
      </c>
      <c r="AA2634" s="20" t="n">
        <v>31.1548148504736</v>
      </c>
      <c r="AB2634" t="n">
        <v>0.0608613529732348</v>
      </c>
      <c r="AC2634" t="n">
        <v>32.60327660501495</v>
      </c>
      <c r="AD2634" t="n">
        <v>30.66640730272993</v>
      </c>
    </row>
    <row r="2635">
      <c r="A2635" t="n">
        <v>2634</v>
      </c>
      <c r="B2635" t="n">
        <v>86.8</v>
      </c>
      <c r="C2635" s="21">
        <f>B2635-20</f>
        <v/>
      </c>
      <c r="D2635" t="n">
        <v>106.1</v>
      </c>
      <c r="E2635" s="22">
        <f>D2635-90</f>
        <v/>
      </c>
      <c r="F2635" s="23" t="n">
        <v>0.024177</v>
      </c>
      <c r="G2635" s="22" t="n">
        <v>26.8</v>
      </c>
      <c r="H2635" s="22" t="n">
        <v>1.1</v>
      </c>
      <c r="I2635" s="24" t="n">
        <v>0.166285753250122</v>
      </c>
      <c r="J2635" s="6" t="n">
        <v>71000</v>
      </c>
      <c r="K2635" s="25">
        <f>23*10^-6</f>
        <v/>
      </c>
      <c r="L2635" s="8">
        <f>H2635</f>
        <v/>
      </c>
      <c r="M2635" s="26">
        <f>H2635^2/6</f>
        <v/>
      </c>
      <c r="N2635" s="26">
        <f>H2635^3/12</f>
        <v/>
      </c>
      <c r="O2635" s="27">
        <f>-J2635*L2635*K2635*C2635</f>
        <v/>
      </c>
      <c r="P2635" s="28">
        <f>-(12*F2635*J2635*L2635*N2635+12*O2635*N2635*G2635*COS(RADIANS(E2635)))/(12*N2635*G2635*COS(RADIANS(E2635))^2+L2635*G2635^3*SIN(RADIANS(E2635))^2)</f>
        <v/>
      </c>
      <c r="Q2635" s="28">
        <f>-(6*F2635*J2635*L2635*N2635*SIN(RADIANS(E2635))+6*O2635*N2635*G2635*SIN(RADIANS(E2635))*COS(RADIANS(E2635)))/(12*N2635*COS(RADIANS(E2635))^2+L2635*G2635^2*SIN(RADIANS(E2635))^2)</f>
        <v/>
      </c>
      <c r="R2635" s="28">
        <f>-P2635*SIN(RADIANS(E2635))</f>
        <v/>
      </c>
      <c r="S2635" s="8">
        <f>(O2635+P2635*COS(RADIANS(E2635)))/L2635</f>
        <v/>
      </c>
      <c r="T2635" s="8">
        <f>R2635/L2635</f>
        <v/>
      </c>
      <c r="U2635" s="8">
        <f>(Q2635-P2635*G2635*SIN(RADIANS(E2635)))/M2635</f>
        <v/>
      </c>
      <c r="V2635" s="8">
        <f>SQRT((S2635+U2635)^2+3*T2635^2)</f>
        <v/>
      </c>
      <c r="W2635" s="8">
        <f>V2635/AA2635</f>
        <v/>
      </c>
      <c r="X2635" s="27">
        <f>((3*10+H2635/COS(RADIANS(E2635)))*(3+3)+3*G2635*H2635)*2</f>
        <v/>
      </c>
      <c r="Y2635" s="28">
        <f>Z2635/X2635</f>
        <v/>
      </c>
      <c r="Z2635" s="29" t="n">
        <v>555.032204657621</v>
      </c>
      <c r="AA2635" s="20" t="n">
        <v>95.9949225695993</v>
      </c>
      <c r="AB2635" t="n">
        <v>0.2275024216139902</v>
      </c>
      <c r="AC2635" t="n">
        <v>103.6180167026512</v>
      </c>
      <c r="AD2635" t="n">
        <v>36.81413901513737</v>
      </c>
    </row>
    <row r="2636">
      <c r="A2636" t="n">
        <v>2635</v>
      </c>
      <c r="B2636" t="n">
        <v>50</v>
      </c>
      <c r="C2636" s="21">
        <f>B2636-20</f>
        <v/>
      </c>
      <c r="D2636" t="n">
        <v>104.2</v>
      </c>
      <c r="E2636" s="22">
        <f>D2636-90</f>
        <v/>
      </c>
      <c r="F2636" s="23" t="n">
        <v>0.012496</v>
      </c>
      <c r="G2636" s="22" t="n">
        <v>31.5</v>
      </c>
      <c r="H2636" s="22" t="n">
        <v>1.4</v>
      </c>
      <c r="I2636" s="24" t="n">
        <v>0.09217452257871619</v>
      </c>
      <c r="J2636" s="6" t="n">
        <v>71000</v>
      </c>
      <c r="K2636" s="25">
        <f>23*10^-6</f>
        <v/>
      </c>
      <c r="L2636" s="8">
        <f>H2636</f>
        <v/>
      </c>
      <c r="M2636" s="26">
        <f>H2636^2/6</f>
        <v/>
      </c>
      <c r="N2636" s="26">
        <f>H2636^3/12</f>
        <v/>
      </c>
      <c r="O2636" s="27">
        <f>-J2636*L2636*K2636*C2636</f>
        <v/>
      </c>
      <c r="P2636" s="28">
        <f>-(12*F2636*J2636*L2636*N2636+12*O2636*N2636*G2636*COS(RADIANS(E2636)))/(12*N2636*G2636*COS(RADIANS(E2636))^2+L2636*G2636^3*SIN(RADIANS(E2636))^2)</f>
        <v/>
      </c>
      <c r="Q2636" s="28">
        <f>-(6*F2636*J2636*L2636*N2636*SIN(RADIANS(E2636))+6*O2636*N2636*G2636*SIN(RADIANS(E2636))*COS(RADIANS(E2636)))/(12*N2636*COS(RADIANS(E2636))^2+L2636*G2636^2*SIN(RADIANS(E2636))^2)</f>
        <v/>
      </c>
      <c r="R2636" s="28">
        <f>-P2636*SIN(RADIANS(E2636))</f>
        <v/>
      </c>
      <c r="S2636" s="8">
        <f>(O2636+P2636*COS(RADIANS(E2636)))/L2636</f>
        <v/>
      </c>
      <c r="T2636" s="8">
        <f>R2636/L2636</f>
        <v/>
      </c>
      <c r="U2636" s="8">
        <f>(Q2636-P2636*G2636*SIN(RADIANS(E2636)))/M2636</f>
        <v/>
      </c>
      <c r="V2636" s="8">
        <f>SQRT((S2636+U2636)^2+3*T2636^2)</f>
        <v/>
      </c>
      <c r="W2636" s="8">
        <f>V2636/AA2636</f>
        <v/>
      </c>
      <c r="X2636" s="27">
        <f>((3*10+H2636/COS(RADIANS(E2636)))*(3+3)+3*G2636*H2636)*2</f>
        <v/>
      </c>
      <c r="Y2636" s="28">
        <f>Z2636/X2636</f>
        <v/>
      </c>
      <c r="Z2636" s="29" t="n">
        <v>646.11954996323</v>
      </c>
      <c r="AA2636" s="20" t="n">
        <v>45.849234737209</v>
      </c>
      <c r="AB2636" t="n">
        <v>0.1337620244134618</v>
      </c>
      <c r="AC2636" t="n">
        <v>48.18533201444664</v>
      </c>
      <c r="AD2636" t="n">
        <v>45.11821778000563</v>
      </c>
    </row>
    <row r="2637">
      <c r="A2637" t="n">
        <v>2636</v>
      </c>
      <c r="B2637" t="n">
        <v>78.90000000000001</v>
      </c>
      <c r="C2637" s="21">
        <f>B2637-20</f>
        <v/>
      </c>
      <c r="D2637" t="n">
        <v>109.9</v>
      </c>
      <c r="E2637" s="22">
        <f>D2637-90</f>
        <v/>
      </c>
      <c r="F2637" s="23" t="n">
        <v>0.02297</v>
      </c>
      <c r="G2637" s="22" t="n">
        <v>30</v>
      </c>
      <c r="H2637" s="22" t="n">
        <v>1.5</v>
      </c>
      <c r="I2637" s="24" t="n">
        <v>0.134159639477729</v>
      </c>
      <c r="J2637" s="6" t="n">
        <v>71000</v>
      </c>
      <c r="K2637" s="25">
        <f>23*10^-6</f>
        <v/>
      </c>
      <c r="L2637" s="8">
        <f>H2637</f>
        <v/>
      </c>
      <c r="M2637" s="26">
        <f>H2637^2/6</f>
        <v/>
      </c>
      <c r="N2637" s="26">
        <f>H2637^3/12</f>
        <v/>
      </c>
      <c r="O2637" s="27">
        <f>-J2637*L2637*K2637*C2637</f>
        <v/>
      </c>
      <c r="P2637" s="28">
        <f>-(12*F2637*J2637*L2637*N2637+12*O2637*N2637*G2637*COS(RADIANS(E2637)))/(12*N2637*G2637*COS(RADIANS(E2637))^2+L2637*G2637^3*SIN(RADIANS(E2637))^2)</f>
        <v/>
      </c>
      <c r="Q2637" s="28">
        <f>-(6*F2637*J2637*L2637*N2637*SIN(RADIANS(E2637))+6*O2637*N2637*G2637*SIN(RADIANS(E2637))*COS(RADIANS(E2637)))/(12*N2637*COS(RADIANS(E2637))^2+L2637*G2637^2*SIN(RADIANS(E2637))^2)</f>
        <v/>
      </c>
      <c r="R2637" s="28">
        <f>-P2637*SIN(RADIANS(E2637))</f>
        <v/>
      </c>
      <c r="S2637" s="8">
        <f>(O2637+P2637*COS(RADIANS(E2637)))/L2637</f>
        <v/>
      </c>
      <c r="T2637" s="8">
        <f>R2637/L2637</f>
        <v/>
      </c>
      <c r="U2637" s="8">
        <f>(Q2637-P2637*G2637*SIN(RADIANS(E2637)))/M2637</f>
        <v/>
      </c>
      <c r="V2637" s="8">
        <f>SQRT((S2637+U2637)^2+3*T2637^2)</f>
        <v/>
      </c>
      <c r="W2637" s="8">
        <f>V2637/AA2637</f>
        <v/>
      </c>
      <c r="X2637" s="27">
        <f>((3*10+H2637/COS(RADIANS(E2637)))*(3+3)+3*G2637*H2637)*2</f>
        <v/>
      </c>
      <c r="Y2637" s="28">
        <f>Z2637/X2637</f>
        <v/>
      </c>
      <c r="Z2637" s="29" t="n">
        <v>654.100789156695</v>
      </c>
      <c r="AA2637" s="20" t="n">
        <v>90.44758899046271</v>
      </c>
      <c r="AB2637" t="n">
        <v>0.1792734315675774</v>
      </c>
      <c r="AC2637" t="n">
        <v>91.35191829825756</v>
      </c>
      <c r="AD2637" t="n">
        <v>33.62694791479178</v>
      </c>
    </row>
    <row r="2638">
      <c r="A2638" t="n">
        <v>2637</v>
      </c>
      <c r="B2638" t="n">
        <v>69.2</v>
      </c>
      <c r="C2638" s="21">
        <f>B2638-20</f>
        <v/>
      </c>
      <c r="D2638" t="n">
        <v>117.3</v>
      </c>
      <c r="E2638" s="22">
        <f>D2638-90</f>
        <v/>
      </c>
      <c r="F2638" s="23" t="n">
        <v>0.016025</v>
      </c>
      <c r="G2638" s="22" t="n">
        <v>25.4</v>
      </c>
      <c r="H2638" s="22" t="n">
        <v>1.8</v>
      </c>
      <c r="I2638" s="24" t="n">
        <v>0.0797709748148918</v>
      </c>
      <c r="J2638" s="6" t="n">
        <v>71000</v>
      </c>
      <c r="K2638" s="25">
        <f>23*10^-6</f>
        <v/>
      </c>
      <c r="L2638" s="8">
        <f>H2638</f>
        <v/>
      </c>
      <c r="M2638" s="26">
        <f>H2638^2/6</f>
        <v/>
      </c>
      <c r="N2638" s="26">
        <f>H2638^3/12</f>
        <v/>
      </c>
      <c r="O2638" s="27">
        <f>-J2638*L2638*K2638*C2638</f>
        <v/>
      </c>
      <c r="P2638" s="28">
        <f>-(12*F2638*J2638*L2638*N2638+12*O2638*N2638*G2638*COS(RADIANS(E2638)))/(12*N2638*G2638*COS(RADIANS(E2638))^2+L2638*G2638^3*SIN(RADIANS(E2638))^2)</f>
        <v/>
      </c>
      <c r="Q2638" s="28">
        <f>-(6*F2638*J2638*L2638*N2638*SIN(RADIANS(E2638))+6*O2638*N2638*G2638*SIN(RADIANS(E2638))*COS(RADIANS(E2638)))/(12*N2638*COS(RADIANS(E2638))^2+L2638*G2638^2*SIN(RADIANS(E2638))^2)</f>
        <v/>
      </c>
      <c r="R2638" s="28">
        <f>-P2638*SIN(RADIANS(E2638))</f>
        <v/>
      </c>
      <c r="S2638" s="8">
        <f>(O2638+P2638*COS(RADIANS(E2638)))/L2638</f>
        <v/>
      </c>
      <c r="T2638" s="8">
        <f>R2638/L2638</f>
        <v/>
      </c>
      <c r="U2638" s="8">
        <f>(Q2638-P2638*G2638*SIN(RADIANS(E2638)))/M2638</f>
        <v/>
      </c>
      <c r="V2638" s="8">
        <f>SQRT((S2638+U2638)^2+3*T2638^2)</f>
        <v/>
      </c>
      <c r="W2638" s="8">
        <f>V2638/AA2638</f>
        <v/>
      </c>
      <c r="X2638" s="27">
        <f>((3*10+H2638/COS(RADIANS(E2638)))*(3+3)+3*G2638*H2638)*2</f>
        <v/>
      </c>
      <c r="Y2638" s="28">
        <f>Z2638/X2638</f>
        <v/>
      </c>
      <c r="Z2638" s="29" t="n">
        <v>665.069312138899</v>
      </c>
      <c r="AA2638" s="20" t="n">
        <v>79.789058631692</v>
      </c>
      <c r="AB2638" t="n">
        <v>0.09182850166423762</v>
      </c>
      <c r="AC2638" t="n">
        <v>75.58097448166862</v>
      </c>
      <c r="AD2638" t="n">
        <v>15.11518052440158</v>
      </c>
    </row>
    <row r="2639">
      <c r="A2639" t="n">
        <v>2638</v>
      </c>
      <c r="B2639" t="n">
        <v>78.40000000000001</v>
      </c>
      <c r="C2639" s="21">
        <f>B2639-20</f>
        <v/>
      </c>
      <c r="D2639" t="n">
        <v>119.8</v>
      </c>
      <c r="E2639" s="22">
        <f>D2639-90</f>
        <v/>
      </c>
      <c r="F2639" s="23" t="n">
        <v>0.020806</v>
      </c>
      <c r="G2639" s="22" t="n">
        <v>29.1</v>
      </c>
      <c r="H2639" s="22" t="n">
        <v>1.8</v>
      </c>
      <c r="I2639" s="24" t="n">
        <v>0.097685270011425</v>
      </c>
      <c r="J2639" s="6" t="n">
        <v>71000</v>
      </c>
      <c r="K2639" s="25">
        <f>23*10^-6</f>
        <v/>
      </c>
      <c r="L2639" s="8">
        <f>H2639</f>
        <v/>
      </c>
      <c r="M2639" s="26">
        <f>H2639^2/6</f>
        <v/>
      </c>
      <c r="N2639" s="26">
        <f>H2639^3/12</f>
        <v/>
      </c>
      <c r="O2639" s="27">
        <f>-J2639*L2639*K2639*C2639</f>
        <v/>
      </c>
      <c r="P2639" s="28">
        <f>-(12*F2639*J2639*L2639*N2639+12*O2639*N2639*G2639*COS(RADIANS(E2639)))/(12*N2639*G2639*COS(RADIANS(E2639))^2+L2639*G2639^3*SIN(RADIANS(E2639))^2)</f>
        <v/>
      </c>
      <c r="Q2639" s="28">
        <f>-(6*F2639*J2639*L2639*N2639*SIN(RADIANS(E2639))+6*O2639*N2639*G2639*SIN(RADIANS(E2639))*COS(RADIANS(E2639)))/(12*N2639*COS(RADIANS(E2639))^2+L2639*G2639^2*SIN(RADIANS(E2639))^2)</f>
        <v/>
      </c>
      <c r="R2639" s="28">
        <f>-P2639*SIN(RADIANS(E2639))</f>
        <v/>
      </c>
      <c r="S2639" s="8">
        <f>(O2639+P2639*COS(RADIANS(E2639)))/L2639</f>
        <v/>
      </c>
      <c r="T2639" s="8">
        <f>R2639/L2639</f>
        <v/>
      </c>
      <c r="U2639" s="8">
        <f>(Q2639-P2639*G2639*SIN(RADIANS(E2639)))/M2639</f>
        <v/>
      </c>
      <c r="V2639" s="8">
        <f>SQRT((S2639+U2639)^2+3*T2639^2)</f>
        <v/>
      </c>
      <c r="W2639" s="8">
        <f>V2639/AA2639</f>
        <v/>
      </c>
      <c r="X2639" s="27">
        <f>((3*10+H2639/COS(RADIANS(E2639)))*(3+3)+3*G2639*H2639)*2</f>
        <v/>
      </c>
      <c r="Y2639" s="28">
        <f>Z2639/X2639</f>
        <v/>
      </c>
      <c r="Z2639" s="29" t="n">
        <v>706.26239106193</v>
      </c>
      <c r="AA2639" s="20" t="n">
        <v>92.2254624051386</v>
      </c>
      <c r="AB2639" t="n">
        <v>0.1135168977752012</v>
      </c>
      <c r="AC2639" t="n">
        <v>87.80105471512829</v>
      </c>
      <c r="AD2639" t="n">
        <v>16.20677074642321</v>
      </c>
    </row>
    <row r="2640">
      <c r="A2640" t="n">
        <v>2639</v>
      </c>
      <c r="B2640" t="n">
        <v>44.3</v>
      </c>
      <c r="C2640" s="21">
        <f>B2640-20</f>
        <v/>
      </c>
      <c r="D2640" t="n">
        <v>125.8</v>
      </c>
      <c r="E2640" s="22">
        <f>D2640-90</f>
        <v/>
      </c>
      <c r="F2640" s="23" t="n">
        <v>0.007369</v>
      </c>
      <c r="G2640" s="22" t="n">
        <v>25.4</v>
      </c>
      <c r="H2640" s="22" t="n">
        <v>1.6</v>
      </c>
      <c r="I2640" s="24" t="n">
        <v>0.0331370905041694</v>
      </c>
      <c r="J2640" s="6" t="n">
        <v>71000</v>
      </c>
      <c r="K2640" s="25">
        <f>23*10^-6</f>
        <v/>
      </c>
      <c r="L2640" s="8">
        <f>H2640</f>
        <v/>
      </c>
      <c r="M2640" s="26">
        <f>H2640^2/6</f>
        <v/>
      </c>
      <c r="N2640" s="26">
        <f>H2640^3/12</f>
        <v/>
      </c>
      <c r="O2640" s="27">
        <f>-J2640*L2640*K2640*C2640</f>
        <v/>
      </c>
      <c r="P2640" s="28">
        <f>-(12*F2640*J2640*L2640*N2640+12*O2640*N2640*G2640*COS(RADIANS(E2640)))/(12*N2640*G2640*COS(RADIANS(E2640))^2+L2640*G2640^3*SIN(RADIANS(E2640))^2)</f>
        <v/>
      </c>
      <c r="Q2640" s="28">
        <f>-(6*F2640*J2640*L2640*N2640*SIN(RADIANS(E2640))+6*O2640*N2640*G2640*SIN(RADIANS(E2640))*COS(RADIANS(E2640)))/(12*N2640*COS(RADIANS(E2640))^2+L2640*G2640^2*SIN(RADIANS(E2640))^2)</f>
        <v/>
      </c>
      <c r="R2640" s="28">
        <f>-P2640*SIN(RADIANS(E2640))</f>
        <v/>
      </c>
      <c r="S2640" s="8">
        <f>(O2640+P2640*COS(RADIANS(E2640)))/L2640</f>
        <v/>
      </c>
      <c r="T2640" s="8">
        <f>R2640/L2640</f>
        <v/>
      </c>
      <c r="U2640" s="8">
        <f>(Q2640-P2640*G2640*SIN(RADIANS(E2640)))/M2640</f>
        <v/>
      </c>
      <c r="V2640" s="8">
        <f>SQRT((S2640+U2640)^2+3*T2640^2)</f>
        <v/>
      </c>
      <c r="W2640" s="8">
        <f>V2640/AA2640</f>
        <v/>
      </c>
      <c r="X2640" s="27">
        <f>((3*10+H2640/COS(RADIANS(E2640)))*(3+3)+3*G2640*H2640)*2</f>
        <v/>
      </c>
      <c r="Y2640" s="28">
        <f>Z2640/X2640</f>
        <v/>
      </c>
      <c r="Z2640" s="29" t="n">
        <v>636.537008898527</v>
      </c>
      <c r="AA2640" s="20" t="n">
        <v>36.9402660725068</v>
      </c>
      <c r="AB2640" t="n">
        <v>0.03418459949172502</v>
      </c>
      <c r="AC2640" t="n">
        <v>35.60432892880959</v>
      </c>
      <c r="AD2640" t="n">
        <v>3.161137479537667</v>
      </c>
    </row>
    <row r="2641">
      <c r="A2641" t="n">
        <v>2640</v>
      </c>
      <c r="B2641" t="n">
        <v>52.4</v>
      </c>
      <c r="C2641" s="21">
        <f>B2641-20</f>
        <v/>
      </c>
      <c r="D2641" t="n">
        <v>118.5</v>
      </c>
      <c r="E2641" s="22">
        <f>D2641-90</f>
        <v/>
      </c>
      <c r="F2641" s="23" t="n">
        <v>0.011597</v>
      </c>
      <c r="G2641" s="22" t="n">
        <v>28.9</v>
      </c>
      <c r="H2641" s="22" t="n">
        <v>1</v>
      </c>
      <c r="I2641" s="24" t="n">
        <v>0.0555295571684837</v>
      </c>
      <c r="J2641" s="6" t="n">
        <v>71000</v>
      </c>
      <c r="K2641" s="25">
        <f>23*10^-6</f>
        <v/>
      </c>
      <c r="L2641" s="8">
        <f>H2641</f>
        <v/>
      </c>
      <c r="M2641" s="26">
        <f>H2641^2/6</f>
        <v/>
      </c>
      <c r="N2641" s="26">
        <f>H2641^3/12</f>
        <v/>
      </c>
      <c r="O2641" s="27">
        <f>-J2641*L2641*K2641*C2641</f>
        <v/>
      </c>
      <c r="P2641" s="28">
        <f>-(12*F2641*J2641*L2641*N2641+12*O2641*N2641*G2641*COS(RADIANS(E2641)))/(12*N2641*G2641*COS(RADIANS(E2641))^2+L2641*G2641^3*SIN(RADIANS(E2641))^2)</f>
        <v/>
      </c>
      <c r="Q2641" s="28">
        <f>-(6*F2641*J2641*L2641*N2641*SIN(RADIANS(E2641))+6*O2641*N2641*G2641*SIN(RADIANS(E2641))*COS(RADIANS(E2641)))/(12*N2641*COS(RADIANS(E2641))^2+L2641*G2641^2*SIN(RADIANS(E2641))^2)</f>
        <v/>
      </c>
      <c r="R2641" s="28">
        <f>-P2641*SIN(RADIANS(E2641))</f>
        <v/>
      </c>
      <c r="S2641" s="8">
        <f>(O2641+P2641*COS(RADIANS(E2641)))/L2641</f>
        <v/>
      </c>
      <c r="T2641" s="8">
        <f>R2641/L2641</f>
        <v/>
      </c>
      <c r="U2641" s="8">
        <f>(Q2641-P2641*G2641*SIN(RADIANS(E2641)))/M2641</f>
        <v/>
      </c>
      <c r="V2641" s="8">
        <f>SQRT((S2641+U2641)^2+3*T2641^2)</f>
        <v/>
      </c>
      <c r="W2641" s="8">
        <f>V2641/AA2641</f>
        <v/>
      </c>
      <c r="X2641" s="27">
        <f>((3*10+H2641/COS(RADIANS(E2641)))*(3+3)+3*G2641*H2641)*2</f>
        <v/>
      </c>
      <c r="Y2641" s="28">
        <f>Z2641/X2641</f>
        <v/>
      </c>
      <c r="Z2641" s="29" t="n">
        <v>553.797783908026</v>
      </c>
      <c r="AA2641" s="20" t="n">
        <v>43.7661858993361</v>
      </c>
      <c r="AB2641" t="n">
        <v>0.06619917245139176</v>
      </c>
      <c r="AC2641" t="n">
        <v>46.65788328387271</v>
      </c>
      <c r="AD2641" t="n">
        <v>19.21429924343732</v>
      </c>
    </row>
    <row r="2642">
      <c r="A2642" t="n">
        <v>2641</v>
      </c>
      <c r="B2642" t="n">
        <v>88.90000000000001</v>
      </c>
      <c r="C2642" s="21">
        <f>B2642-20</f>
        <v/>
      </c>
      <c r="D2642" t="n">
        <v>126.6</v>
      </c>
      <c r="E2642" s="22">
        <f>D2642-90</f>
        <v/>
      </c>
      <c r="F2642" s="23" t="n">
        <v>0.026468</v>
      </c>
      <c r="G2642" s="22" t="n">
        <v>34.5</v>
      </c>
      <c r="H2642" s="22" t="n">
        <v>1.1</v>
      </c>
      <c r="I2642" s="24" t="n">
        <v>0.112964205443859</v>
      </c>
      <c r="J2642" s="6" t="n">
        <v>71000</v>
      </c>
      <c r="K2642" s="25">
        <f>23*10^-6</f>
        <v/>
      </c>
      <c r="L2642" s="8">
        <f>H2642</f>
        <v/>
      </c>
      <c r="M2642" s="26">
        <f>H2642^2/6</f>
        <v/>
      </c>
      <c r="N2642" s="26">
        <f>H2642^3/12</f>
        <v/>
      </c>
      <c r="O2642" s="27">
        <f>-J2642*L2642*K2642*C2642</f>
        <v/>
      </c>
      <c r="P2642" s="28">
        <f>-(12*F2642*J2642*L2642*N2642+12*O2642*N2642*G2642*COS(RADIANS(E2642)))/(12*N2642*G2642*COS(RADIANS(E2642))^2+L2642*G2642^3*SIN(RADIANS(E2642))^2)</f>
        <v/>
      </c>
      <c r="Q2642" s="28">
        <f>-(6*F2642*J2642*L2642*N2642*SIN(RADIANS(E2642))+6*O2642*N2642*G2642*SIN(RADIANS(E2642))*COS(RADIANS(E2642)))/(12*N2642*COS(RADIANS(E2642))^2+L2642*G2642^2*SIN(RADIANS(E2642))^2)</f>
        <v/>
      </c>
      <c r="R2642" s="28">
        <f>-P2642*SIN(RADIANS(E2642))</f>
        <v/>
      </c>
      <c r="S2642" s="8">
        <f>(O2642+P2642*COS(RADIANS(E2642)))/L2642</f>
        <v/>
      </c>
      <c r="T2642" s="8">
        <f>R2642/L2642</f>
        <v/>
      </c>
      <c r="U2642" s="8">
        <f>(Q2642-P2642*G2642*SIN(RADIANS(E2642)))/M2642</f>
        <v/>
      </c>
      <c r="V2642" s="8">
        <f>SQRT((S2642+U2642)^2+3*T2642^2)</f>
        <v/>
      </c>
      <c r="W2642" s="8">
        <f>V2642/AA2642</f>
        <v/>
      </c>
      <c r="X2642" s="27">
        <f>((3*10+H2642/COS(RADIANS(E2642)))*(3+3)+3*G2642*H2642)*2</f>
        <v/>
      </c>
      <c r="Y2642" s="28">
        <f>Z2642/X2642</f>
        <v/>
      </c>
      <c r="Z2642" s="29" t="n">
        <v>613.470438373441</v>
      </c>
      <c r="AA2642" s="20" t="n">
        <v>89.7520106174461</v>
      </c>
      <c r="AB2642" t="n">
        <v>0.127065695551845</v>
      </c>
      <c r="AC2642" t="n">
        <v>97.19627454345806</v>
      </c>
      <c r="AD2642" t="n">
        <v>12.48314902280628</v>
      </c>
    </row>
    <row r="2643">
      <c r="A2643" t="n">
        <v>2642</v>
      </c>
      <c r="B2643" t="n">
        <v>67.8</v>
      </c>
      <c r="C2643" s="21">
        <f>B2643-20</f>
        <v/>
      </c>
      <c r="D2643" t="n">
        <v>112</v>
      </c>
      <c r="E2643" s="22">
        <f>D2643-90</f>
        <v/>
      </c>
      <c r="F2643" s="23" t="n">
        <v>0.01484</v>
      </c>
      <c r="G2643" s="22" t="n">
        <v>22.9</v>
      </c>
      <c r="H2643" s="22" t="n">
        <v>1.9</v>
      </c>
      <c r="I2643" s="24" t="n">
        <v>0.083542600274086</v>
      </c>
      <c r="J2643" s="6" t="n">
        <v>71000</v>
      </c>
      <c r="K2643" s="25">
        <f>23*10^-6</f>
        <v/>
      </c>
      <c r="L2643" s="8">
        <f>H2643</f>
        <v/>
      </c>
      <c r="M2643" s="26">
        <f>H2643^2/6</f>
        <v/>
      </c>
      <c r="N2643" s="26">
        <f>H2643^3/12</f>
        <v/>
      </c>
      <c r="O2643" s="27">
        <f>-J2643*L2643*K2643*C2643</f>
        <v/>
      </c>
      <c r="P2643" s="28">
        <f>-(12*F2643*J2643*L2643*N2643+12*O2643*N2643*G2643*COS(RADIANS(E2643)))/(12*N2643*G2643*COS(RADIANS(E2643))^2+L2643*G2643^3*SIN(RADIANS(E2643))^2)</f>
        <v/>
      </c>
      <c r="Q2643" s="28">
        <f>-(6*F2643*J2643*L2643*N2643*SIN(RADIANS(E2643))+6*O2643*N2643*G2643*SIN(RADIANS(E2643))*COS(RADIANS(E2643)))/(12*N2643*COS(RADIANS(E2643))^2+L2643*G2643^2*SIN(RADIANS(E2643))^2)</f>
        <v/>
      </c>
      <c r="R2643" s="28">
        <f>-P2643*SIN(RADIANS(E2643))</f>
        <v/>
      </c>
      <c r="S2643" s="8">
        <f>(O2643+P2643*COS(RADIANS(E2643)))/L2643</f>
        <v/>
      </c>
      <c r="T2643" s="8">
        <f>R2643/L2643</f>
        <v/>
      </c>
      <c r="U2643" s="8">
        <f>(Q2643-P2643*G2643*SIN(RADIANS(E2643)))/M2643</f>
        <v/>
      </c>
      <c r="V2643" s="8">
        <f>SQRT((S2643+U2643)^2+3*T2643^2)</f>
        <v/>
      </c>
      <c r="W2643" s="8">
        <f>V2643/AA2643</f>
        <v/>
      </c>
      <c r="X2643" s="27">
        <f>((3*10+H2643/COS(RADIANS(E2643)))*(3+3)+3*G2643*H2643)*2</f>
        <v/>
      </c>
      <c r="Y2643" s="28">
        <f>Z2643/X2643</f>
        <v/>
      </c>
      <c r="Z2643" s="29" t="n">
        <v>650.9690553429519</v>
      </c>
      <c r="AA2643" s="20" t="n">
        <v>82.3491366544213</v>
      </c>
      <c r="AB2643" t="n">
        <v>0.09948796938627089</v>
      </c>
      <c r="AC2643" t="n">
        <v>77.0829096726476</v>
      </c>
      <c r="AD2643" t="n">
        <v>19.08651282085</v>
      </c>
    </row>
    <row r="2644">
      <c r="A2644" t="n">
        <v>2643</v>
      </c>
      <c r="B2644" t="n">
        <v>76</v>
      </c>
      <c r="C2644" s="21">
        <f>B2644-20</f>
        <v/>
      </c>
      <c r="D2644" t="n">
        <v>110</v>
      </c>
      <c r="E2644" s="22">
        <f>D2644-90</f>
        <v/>
      </c>
      <c r="F2644" s="23" t="n">
        <v>0.017868</v>
      </c>
      <c r="G2644" s="22" t="n">
        <v>23.4</v>
      </c>
      <c r="H2644" s="22" t="n">
        <v>1.9</v>
      </c>
      <c r="I2644" s="24" t="n">
        <v>0.105905935168266</v>
      </c>
      <c r="J2644" s="6" t="n">
        <v>71000</v>
      </c>
      <c r="K2644" s="25">
        <f>23*10^-6</f>
        <v/>
      </c>
      <c r="L2644" s="8">
        <f>H2644</f>
        <v/>
      </c>
      <c r="M2644" s="26">
        <f>H2644^2/6</f>
        <v/>
      </c>
      <c r="N2644" s="26">
        <f>H2644^3/12</f>
        <v/>
      </c>
      <c r="O2644" s="27">
        <f>-J2644*L2644*K2644*C2644</f>
        <v/>
      </c>
      <c r="P2644" s="28">
        <f>-(12*F2644*J2644*L2644*N2644+12*O2644*N2644*G2644*COS(RADIANS(E2644)))/(12*N2644*G2644*COS(RADIANS(E2644))^2+L2644*G2644^3*SIN(RADIANS(E2644))^2)</f>
        <v/>
      </c>
      <c r="Q2644" s="28">
        <f>-(6*F2644*J2644*L2644*N2644*SIN(RADIANS(E2644))+6*O2644*N2644*G2644*SIN(RADIANS(E2644))*COS(RADIANS(E2644)))/(12*N2644*COS(RADIANS(E2644))^2+L2644*G2644^2*SIN(RADIANS(E2644))^2)</f>
        <v/>
      </c>
      <c r="R2644" s="28">
        <f>-P2644*SIN(RADIANS(E2644))</f>
        <v/>
      </c>
      <c r="S2644" s="8">
        <f>(O2644+P2644*COS(RADIANS(E2644)))/L2644</f>
        <v/>
      </c>
      <c r="T2644" s="8">
        <f>R2644/L2644</f>
        <v/>
      </c>
      <c r="U2644" s="8">
        <f>(Q2644-P2644*G2644*SIN(RADIANS(E2644)))/M2644</f>
        <v/>
      </c>
      <c r="V2644" s="8">
        <f>SQRT((S2644+U2644)^2+3*T2644^2)</f>
        <v/>
      </c>
      <c r="W2644" s="8">
        <f>V2644/AA2644</f>
        <v/>
      </c>
      <c r="X2644" s="27">
        <f>((3*10+H2644/COS(RADIANS(E2644)))*(3+3)+3*G2644*H2644)*2</f>
        <v/>
      </c>
      <c r="Y2644" s="28">
        <f>Z2644/X2644</f>
        <v/>
      </c>
      <c r="Z2644" s="29" t="n">
        <v>655.997149137514</v>
      </c>
      <c r="AA2644" s="20" t="n">
        <v>96.5260108442483</v>
      </c>
      <c r="AB2644" t="n">
        <v>0.1303998977925987</v>
      </c>
      <c r="AC2644" t="n">
        <v>91.60138229812338</v>
      </c>
      <c r="AD2644" t="n">
        <v>23.12803582293674</v>
      </c>
    </row>
    <row r="2645">
      <c r="A2645" t="n">
        <v>2644</v>
      </c>
      <c r="B2645" t="n">
        <v>40.6</v>
      </c>
      <c r="C2645" s="21">
        <f>B2645-20</f>
        <v/>
      </c>
      <c r="D2645" t="n">
        <v>117.4</v>
      </c>
      <c r="E2645" s="22">
        <f>D2645-90</f>
        <v/>
      </c>
      <c r="F2645" s="23" t="n">
        <v>0.006434</v>
      </c>
      <c r="G2645" s="22" t="n">
        <v>24.1</v>
      </c>
      <c r="H2645" s="22" t="n">
        <v>1.5</v>
      </c>
      <c r="I2645" s="24" t="n">
        <v>0.0322546139359474</v>
      </c>
      <c r="J2645" s="6" t="n">
        <v>71000</v>
      </c>
      <c r="K2645" s="25">
        <f>23*10^-6</f>
        <v/>
      </c>
      <c r="L2645" s="8">
        <f>H2645</f>
        <v/>
      </c>
      <c r="M2645" s="26">
        <f>H2645^2/6</f>
        <v/>
      </c>
      <c r="N2645" s="26">
        <f>H2645^3/12</f>
        <v/>
      </c>
      <c r="O2645" s="27">
        <f>-J2645*L2645*K2645*C2645</f>
        <v/>
      </c>
      <c r="P2645" s="28">
        <f>-(12*F2645*J2645*L2645*N2645+12*O2645*N2645*G2645*COS(RADIANS(E2645)))/(12*N2645*G2645*COS(RADIANS(E2645))^2+L2645*G2645^3*SIN(RADIANS(E2645))^2)</f>
        <v/>
      </c>
      <c r="Q2645" s="28">
        <f>-(6*F2645*J2645*L2645*N2645*SIN(RADIANS(E2645))+6*O2645*N2645*G2645*SIN(RADIANS(E2645))*COS(RADIANS(E2645)))/(12*N2645*COS(RADIANS(E2645))^2+L2645*G2645^2*SIN(RADIANS(E2645))^2)</f>
        <v/>
      </c>
      <c r="R2645" s="28">
        <f>-P2645*SIN(RADIANS(E2645))</f>
        <v/>
      </c>
      <c r="S2645" s="8">
        <f>(O2645+P2645*COS(RADIANS(E2645)))/L2645</f>
        <v/>
      </c>
      <c r="T2645" s="8">
        <f>R2645/L2645</f>
        <v/>
      </c>
      <c r="U2645" s="8">
        <f>(Q2645-P2645*G2645*SIN(RADIANS(E2645)))/M2645</f>
        <v/>
      </c>
      <c r="V2645" s="8">
        <f>SQRT((S2645+U2645)^2+3*T2645^2)</f>
        <v/>
      </c>
      <c r="W2645" s="8">
        <f>V2645/AA2645</f>
        <v/>
      </c>
      <c r="X2645" s="27">
        <f>((3*10+H2645/COS(RADIANS(E2645)))*(3+3)+3*G2645*H2645)*2</f>
        <v/>
      </c>
      <c r="Y2645" s="28">
        <f>Z2645/X2645</f>
        <v/>
      </c>
      <c r="Z2645" s="29" t="n">
        <v>603.640761817849</v>
      </c>
      <c r="AA2645" s="20" t="n">
        <v>31.7735656533897</v>
      </c>
      <c r="AB2645" t="n">
        <v>0.03664773816847814</v>
      </c>
      <c r="AC2645" t="n">
        <v>31.11454168379508</v>
      </c>
      <c r="AD2645" t="n">
        <v>13.62014204000332</v>
      </c>
    </row>
    <row r="2646">
      <c r="A2646" t="n">
        <v>2645</v>
      </c>
      <c r="B2646" t="n">
        <v>57.5</v>
      </c>
      <c r="C2646" s="21">
        <f>B2646-20</f>
        <v/>
      </c>
      <c r="D2646" t="n">
        <v>113.1</v>
      </c>
      <c r="E2646" s="22">
        <f>D2646-90</f>
        <v/>
      </c>
      <c r="F2646" s="23" t="n">
        <v>0.01212</v>
      </c>
      <c r="G2646" s="22" t="n">
        <v>24.3</v>
      </c>
      <c r="H2646" s="22" t="n">
        <v>1.6</v>
      </c>
      <c r="I2646" s="24" t="n">
        <v>0.0662812665104866</v>
      </c>
      <c r="J2646" s="6" t="n">
        <v>71000</v>
      </c>
      <c r="K2646" s="25">
        <f>23*10^-6</f>
        <v/>
      </c>
      <c r="L2646" s="8">
        <f>H2646</f>
        <v/>
      </c>
      <c r="M2646" s="26">
        <f>H2646^2/6</f>
        <v/>
      </c>
      <c r="N2646" s="26">
        <f>H2646^3/12</f>
        <v/>
      </c>
      <c r="O2646" s="27">
        <f>-J2646*L2646*K2646*C2646</f>
        <v/>
      </c>
      <c r="P2646" s="28">
        <f>-(12*F2646*J2646*L2646*N2646+12*O2646*N2646*G2646*COS(RADIANS(E2646)))/(12*N2646*G2646*COS(RADIANS(E2646))^2+L2646*G2646^3*SIN(RADIANS(E2646))^2)</f>
        <v/>
      </c>
      <c r="Q2646" s="28">
        <f>-(6*F2646*J2646*L2646*N2646*SIN(RADIANS(E2646))+6*O2646*N2646*G2646*SIN(RADIANS(E2646))*COS(RADIANS(E2646)))/(12*N2646*COS(RADIANS(E2646))^2+L2646*G2646^2*SIN(RADIANS(E2646))^2)</f>
        <v/>
      </c>
      <c r="R2646" s="28">
        <f>-P2646*SIN(RADIANS(E2646))</f>
        <v/>
      </c>
      <c r="S2646" s="8">
        <f>(O2646+P2646*COS(RADIANS(E2646)))/L2646</f>
        <v/>
      </c>
      <c r="T2646" s="8">
        <f>R2646/L2646</f>
        <v/>
      </c>
      <c r="U2646" s="8">
        <f>(Q2646-P2646*G2646*SIN(RADIANS(E2646)))/M2646</f>
        <v/>
      </c>
      <c r="V2646" s="8">
        <f>SQRT((S2646+U2646)^2+3*T2646^2)</f>
        <v/>
      </c>
      <c r="W2646" s="8">
        <f>V2646/AA2646</f>
        <v/>
      </c>
      <c r="X2646" s="27">
        <f>((3*10+H2646/COS(RADIANS(E2646)))*(3+3)+3*G2646*H2646)*2</f>
        <v/>
      </c>
      <c r="Y2646" s="28">
        <f>Z2646/X2646</f>
        <v/>
      </c>
      <c r="Z2646" s="29" t="n">
        <v>619.679263615528</v>
      </c>
      <c r="AA2646" s="20" t="n">
        <v>59.5254363887032</v>
      </c>
      <c r="AB2646" t="n">
        <v>0.07981093604156841</v>
      </c>
      <c r="AC2646" t="n">
        <v>58.39164443236233</v>
      </c>
      <c r="AD2646" t="n">
        <v>20.41250905931502</v>
      </c>
    </row>
    <row r="2647">
      <c r="A2647" t="n">
        <v>2646</v>
      </c>
      <c r="B2647" t="n">
        <v>69.5</v>
      </c>
      <c r="C2647" s="21">
        <f>B2647-20</f>
        <v/>
      </c>
      <c r="D2647" t="n">
        <v>109.7</v>
      </c>
      <c r="E2647" s="22">
        <f>D2647-90</f>
        <v/>
      </c>
      <c r="F2647" s="23" t="n">
        <v>0.016136</v>
      </c>
      <c r="G2647" s="22" t="n">
        <v>24</v>
      </c>
      <c r="H2647" s="22" t="n">
        <v>2</v>
      </c>
      <c r="I2647" s="24" t="n">
        <v>0.0959919169545173</v>
      </c>
      <c r="J2647" s="6" t="n">
        <v>71000</v>
      </c>
      <c r="K2647" s="25">
        <f>23*10^-6</f>
        <v/>
      </c>
      <c r="L2647" s="8">
        <f>H2647</f>
        <v/>
      </c>
      <c r="M2647" s="26">
        <f>H2647^2/6</f>
        <v/>
      </c>
      <c r="N2647" s="26">
        <f>H2647^3/12</f>
        <v/>
      </c>
      <c r="O2647" s="27">
        <f>-J2647*L2647*K2647*C2647</f>
        <v/>
      </c>
      <c r="P2647" s="28">
        <f>-(12*F2647*J2647*L2647*N2647+12*O2647*N2647*G2647*COS(RADIANS(E2647)))/(12*N2647*G2647*COS(RADIANS(E2647))^2+L2647*G2647^3*SIN(RADIANS(E2647))^2)</f>
        <v/>
      </c>
      <c r="Q2647" s="28">
        <f>-(6*F2647*J2647*L2647*N2647*SIN(RADIANS(E2647))+6*O2647*N2647*G2647*SIN(RADIANS(E2647))*COS(RADIANS(E2647)))/(12*N2647*COS(RADIANS(E2647))^2+L2647*G2647^2*SIN(RADIANS(E2647))^2)</f>
        <v/>
      </c>
      <c r="R2647" s="28">
        <f>-P2647*SIN(RADIANS(E2647))</f>
        <v/>
      </c>
      <c r="S2647" s="8">
        <f>(O2647+P2647*COS(RADIANS(E2647)))/L2647</f>
        <v/>
      </c>
      <c r="T2647" s="8">
        <f>R2647/L2647</f>
        <v/>
      </c>
      <c r="U2647" s="8">
        <f>(Q2647-P2647*G2647*SIN(RADIANS(E2647)))/M2647</f>
        <v/>
      </c>
      <c r="V2647" s="8">
        <f>SQRT((S2647+U2647)^2+3*T2647^2)</f>
        <v/>
      </c>
      <c r="W2647" s="8">
        <f>V2647/AA2647</f>
        <v/>
      </c>
      <c r="X2647" s="27">
        <f>((3*10+H2647/COS(RADIANS(E2647)))*(3+3)+3*G2647*H2647)*2</f>
        <v/>
      </c>
      <c r="Y2647" s="28">
        <f>Z2647/X2647</f>
        <v/>
      </c>
      <c r="Z2647" s="29" t="n">
        <v>678.417699216081</v>
      </c>
      <c r="AA2647" s="20" t="n">
        <v>87.47484608146191</v>
      </c>
      <c r="AB2647" t="n">
        <v>0.1193464447971893</v>
      </c>
      <c r="AC2647" t="n">
        <v>81.62840032396959</v>
      </c>
      <c r="AD2647" t="n">
        <v>24.32968168948828</v>
      </c>
    </row>
    <row r="2648">
      <c r="A2648" t="n">
        <v>2647</v>
      </c>
      <c r="B2648" t="n">
        <v>61.7</v>
      </c>
      <c r="C2648" s="21">
        <f>B2648-20</f>
        <v/>
      </c>
      <c r="D2648" t="n">
        <v>104.1</v>
      </c>
      <c r="E2648" s="22">
        <f>D2648-90</f>
        <v/>
      </c>
      <c r="F2648" s="23" t="n">
        <v>0.014655</v>
      </c>
      <c r="G2648" s="22" t="n">
        <v>25.6</v>
      </c>
      <c r="H2648" s="22" t="n">
        <v>1.4</v>
      </c>
      <c r="I2648" s="24" t="n">
        <v>0.110029235482215</v>
      </c>
      <c r="J2648" s="6" t="n">
        <v>71000</v>
      </c>
      <c r="K2648" s="25">
        <f>23*10^-6</f>
        <v/>
      </c>
      <c r="L2648" s="8">
        <f>H2648</f>
        <v/>
      </c>
      <c r="M2648" s="26">
        <f>H2648^2/6</f>
        <v/>
      </c>
      <c r="N2648" s="26">
        <f>H2648^3/12</f>
        <v/>
      </c>
      <c r="O2648" s="27">
        <f>-J2648*L2648*K2648*C2648</f>
        <v/>
      </c>
      <c r="P2648" s="28">
        <f>-(12*F2648*J2648*L2648*N2648+12*O2648*N2648*G2648*COS(RADIANS(E2648)))/(12*N2648*G2648*COS(RADIANS(E2648))^2+L2648*G2648^3*SIN(RADIANS(E2648))^2)</f>
        <v/>
      </c>
      <c r="Q2648" s="28">
        <f>-(6*F2648*J2648*L2648*N2648*SIN(RADIANS(E2648))+6*O2648*N2648*G2648*SIN(RADIANS(E2648))*COS(RADIANS(E2648)))/(12*N2648*COS(RADIANS(E2648))^2+L2648*G2648^2*SIN(RADIANS(E2648))^2)</f>
        <v/>
      </c>
      <c r="R2648" s="28">
        <f>-P2648*SIN(RADIANS(E2648))</f>
        <v/>
      </c>
      <c r="S2648" s="8">
        <f>(O2648+P2648*COS(RADIANS(E2648)))/L2648</f>
        <v/>
      </c>
      <c r="T2648" s="8">
        <f>R2648/L2648</f>
        <v/>
      </c>
      <c r="U2648" s="8">
        <f>(Q2648-P2648*G2648*SIN(RADIANS(E2648)))/M2648</f>
        <v/>
      </c>
      <c r="V2648" s="8">
        <f>SQRT((S2648+U2648)^2+3*T2648^2)</f>
        <v/>
      </c>
      <c r="W2648" s="8">
        <f>V2648/AA2648</f>
        <v/>
      </c>
      <c r="X2648" s="27">
        <f>((3*10+H2648/COS(RADIANS(E2648)))*(3+3)+3*G2648*H2648)*2</f>
        <v/>
      </c>
      <c r="Y2648" s="28">
        <f>Z2648/X2648</f>
        <v/>
      </c>
      <c r="Z2648" s="29" t="n">
        <v>596.541035555744</v>
      </c>
      <c r="AA2648" s="20" t="n">
        <v>65.5321753001962</v>
      </c>
      <c r="AB2648" t="n">
        <v>0.1517629684330957</v>
      </c>
      <c r="AC2648" t="n">
        <v>68.4664400891202</v>
      </c>
      <c r="AD2648" t="n">
        <v>37.92967638826003</v>
      </c>
    </row>
    <row r="2649">
      <c r="A2649" t="n">
        <v>2648</v>
      </c>
      <c r="B2649" t="n">
        <v>64.3</v>
      </c>
      <c r="C2649" s="21">
        <f>B2649-20</f>
        <v/>
      </c>
      <c r="D2649" t="n">
        <v>127.8</v>
      </c>
      <c r="E2649" s="22">
        <f>D2649-90</f>
        <v/>
      </c>
      <c r="F2649" s="23" t="n">
        <v>0.014922</v>
      </c>
      <c r="G2649" s="22" t="n">
        <v>29.8</v>
      </c>
      <c r="H2649" s="22" t="n">
        <v>1.7</v>
      </c>
      <c r="I2649" s="24" t="n">
        <v>0.0647623166441917</v>
      </c>
      <c r="J2649" s="6" t="n">
        <v>71000</v>
      </c>
      <c r="K2649" s="25">
        <f>23*10^-6</f>
        <v/>
      </c>
      <c r="L2649" s="8">
        <f>H2649</f>
        <v/>
      </c>
      <c r="M2649" s="26">
        <f>H2649^2/6</f>
        <v/>
      </c>
      <c r="N2649" s="26">
        <f>H2649^3/12</f>
        <v/>
      </c>
      <c r="O2649" s="27">
        <f>-J2649*L2649*K2649*C2649</f>
        <v/>
      </c>
      <c r="P2649" s="28">
        <f>-(12*F2649*J2649*L2649*N2649+12*O2649*N2649*G2649*COS(RADIANS(E2649)))/(12*N2649*G2649*COS(RADIANS(E2649))^2+L2649*G2649^3*SIN(RADIANS(E2649))^2)</f>
        <v/>
      </c>
      <c r="Q2649" s="28">
        <f>-(6*F2649*J2649*L2649*N2649*SIN(RADIANS(E2649))+6*O2649*N2649*G2649*SIN(RADIANS(E2649))*COS(RADIANS(E2649)))/(12*N2649*COS(RADIANS(E2649))^2+L2649*G2649^2*SIN(RADIANS(E2649))^2)</f>
        <v/>
      </c>
      <c r="R2649" s="28">
        <f>-P2649*SIN(RADIANS(E2649))</f>
        <v/>
      </c>
      <c r="S2649" s="8">
        <f>(O2649+P2649*COS(RADIANS(E2649)))/L2649</f>
        <v/>
      </c>
      <c r="T2649" s="8">
        <f>R2649/L2649</f>
        <v/>
      </c>
      <c r="U2649" s="8">
        <f>(Q2649-P2649*G2649*SIN(RADIANS(E2649)))/M2649</f>
        <v/>
      </c>
      <c r="V2649" s="8">
        <f>SQRT((S2649+U2649)^2+3*T2649^2)</f>
        <v/>
      </c>
      <c r="W2649" s="8">
        <f>V2649/AA2649</f>
        <v/>
      </c>
      <c r="X2649" s="27">
        <f>((3*10+H2649/COS(RADIANS(E2649)))*(3+3)+3*G2649*H2649)*2</f>
        <v/>
      </c>
      <c r="Y2649" s="28">
        <f>Z2649/X2649</f>
        <v/>
      </c>
      <c r="Z2649" s="29" t="n">
        <v>699.585135235242</v>
      </c>
      <c r="AA2649" s="20" t="n">
        <v>66.5314136223994</v>
      </c>
      <c r="AB2649" t="n">
        <v>0.06834427150552419</v>
      </c>
      <c r="AC2649" t="n">
        <v>64.31567643275908</v>
      </c>
      <c r="AD2649" t="n">
        <v>5.530924535964299</v>
      </c>
    </row>
    <row r="2650">
      <c r="A2650" t="n">
        <v>2649</v>
      </c>
      <c r="B2650" t="n">
        <v>70.2</v>
      </c>
      <c r="C2650" s="21">
        <f>B2650-20</f>
        <v/>
      </c>
      <c r="D2650" t="n">
        <v>102.2</v>
      </c>
      <c r="E2650" s="22">
        <f>D2650-90</f>
        <v/>
      </c>
      <c r="F2650" s="23" t="n">
        <v>0.016914</v>
      </c>
      <c r="G2650" s="22" t="n">
        <v>24.1</v>
      </c>
      <c r="H2650" s="22" t="n">
        <v>1.5</v>
      </c>
      <c r="I2650" s="24" t="n">
        <v>0.139477923512458</v>
      </c>
      <c r="J2650" s="6" t="n">
        <v>71000</v>
      </c>
      <c r="K2650" s="25">
        <f>23*10^-6</f>
        <v/>
      </c>
      <c r="L2650" s="8">
        <f>H2650</f>
        <v/>
      </c>
      <c r="M2650" s="26">
        <f>H2650^2/6</f>
        <v/>
      </c>
      <c r="N2650" s="26">
        <f>H2650^3/12</f>
        <v/>
      </c>
      <c r="O2650" s="27">
        <f>-J2650*L2650*K2650*C2650</f>
        <v/>
      </c>
      <c r="P2650" s="28">
        <f>-(12*F2650*J2650*L2650*N2650+12*O2650*N2650*G2650*COS(RADIANS(E2650)))/(12*N2650*G2650*COS(RADIANS(E2650))^2+L2650*G2650^3*SIN(RADIANS(E2650))^2)</f>
        <v/>
      </c>
      <c r="Q2650" s="28">
        <f>-(6*F2650*J2650*L2650*N2650*SIN(RADIANS(E2650))+6*O2650*N2650*G2650*SIN(RADIANS(E2650))*COS(RADIANS(E2650)))/(12*N2650*COS(RADIANS(E2650))^2+L2650*G2650^2*SIN(RADIANS(E2650))^2)</f>
        <v/>
      </c>
      <c r="R2650" s="28">
        <f>-P2650*SIN(RADIANS(E2650))</f>
        <v/>
      </c>
      <c r="S2650" s="8">
        <f>(O2650+P2650*COS(RADIANS(E2650)))/L2650</f>
        <v/>
      </c>
      <c r="T2650" s="8">
        <f>R2650/L2650</f>
        <v/>
      </c>
      <c r="U2650" s="8">
        <f>(Q2650-P2650*G2650*SIN(RADIANS(E2650)))/M2650</f>
        <v/>
      </c>
      <c r="V2650" s="8">
        <f>SQRT((S2650+U2650)^2+3*T2650^2)</f>
        <v/>
      </c>
      <c r="W2650" s="8">
        <f>V2650/AA2650</f>
        <v/>
      </c>
      <c r="X2650" s="27">
        <f>((3*10+H2650/COS(RADIANS(E2650)))*(3+3)+3*G2650*H2650)*2</f>
        <v/>
      </c>
      <c r="Y2650" s="28">
        <f>Z2650/X2650</f>
        <v/>
      </c>
      <c r="Z2650" s="29" t="n">
        <v>599.304078552192</v>
      </c>
      <c r="AA2650" s="20" t="n">
        <v>83.7567959371336</v>
      </c>
      <c r="AB2650" t="n">
        <v>0.1935606989454111</v>
      </c>
      <c r="AC2650" t="n">
        <v>85.80833161486349</v>
      </c>
      <c r="AD2650" t="n">
        <v>38.77515098518262</v>
      </c>
    </row>
    <row r="2651">
      <c r="A2651" t="n">
        <v>2650</v>
      </c>
      <c r="B2651" t="n">
        <v>74</v>
      </c>
      <c r="C2651" s="21">
        <f>B2651-20</f>
        <v/>
      </c>
      <c r="D2651" t="n">
        <v>105.1</v>
      </c>
      <c r="E2651" s="22">
        <f>D2651-90</f>
        <v/>
      </c>
      <c r="F2651" s="23" t="n">
        <v>0.019979</v>
      </c>
      <c r="G2651" s="22" t="n">
        <v>27.4</v>
      </c>
      <c r="H2651" s="22" t="n">
        <v>1.6</v>
      </c>
      <c r="I2651" s="24" t="n">
        <v>0.141295731067657</v>
      </c>
      <c r="J2651" s="6" t="n">
        <v>71000</v>
      </c>
      <c r="K2651" s="25">
        <f>23*10^-6</f>
        <v/>
      </c>
      <c r="L2651" s="8">
        <f>H2651</f>
        <v/>
      </c>
      <c r="M2651" s="26">
        <f>H2651^2/6</f>
        <v/>
      </c>
      <c r="N2651" s="26">
        <f>H2651^3/12</f>
        <v/>
      </c>
      <c r="O2651" s="27">
        <f>-J2651*L2651*K2651*C2651</f>
        <v/>
      </c>
      <c r="P2651" s="28">
        <f>-(12*F2651*J2651*L2651*N2651+12*O2651*N2651*G2651*COS(RADIANS(E2651)))/(12*N2651*G2651*COS(RADIANS(E2651))^2+L2651*G2651^3*SIN(RADIANS(E2651))^2)</f>
        <v/>
      </c>
      <c r="Q2651" s="28">
        <f>-(6*F2651*J2651*L2651*N2651*SIN(RADIANS(E2651))+6*O2651*N2651*G2651*SIN(RADIANS(E2651))*COS(RADIANS(E2651)))/(12*N2651*COS(RADIANS(E2651))^2+L2651*G2651^2*SIN(RADIANS(E2651))^2)</f>
        <v/>
      </c>
      <c r="R2651" s="28">
        <f>-P2651*SIN(RADIANS(E2651))</f>
        <v/>
      </c>
      <c r="S2651" s="8">
        <f>(O2651+P2651*COS(RADIANS(E2651)))/L2651</f>
        <v/>
      </c>
      <c r="T2651" s="8">
        <f>R2651/L2651</f>
        <v/>
      </c>
      <c r="U2651" s="8">
        <f>(Q2651-P2651*G2651*SIN(RADIANS(E2651)))/M2651</f>
        <v/>
      </c>
      <c r="V2651" s="8">
        <f>SQRT((S2651+U2651)^2+3*T2651^2)</f>
        <v/>
      </c>
      <c r="W2651" s="8">
        <f>V2651/AA2651</f>
        <v/>
      </c>
      <c r="X2651" s="27">
        <f>((3*10+H2651/COS(RADIANS(E2651)))*(3+3)+3*G2651*H2651)*2</f>
        <v/>
      </c>
      <c r="Y2651" s="28">
        <f>Z2651/X2651</f>
        <v/>
      </c>
      <c r="Z2651" s="29" t="n">
        <v>647.21855391101</v>
      </c>
      <c r="AA2651" s="20" t="n">
        <v>88.3795331117088</v>
      </c>
      <c r="AB2651" t="n">
        <v>0.1952796062345369</v>
      </c>
      <c r="AC2651" t="n">
        <v>88.88871296118701</v>
      </c>
      <c r="AD2651" t="n">
        <v>38.20630302059919</v>
      </c>
    </row>
    <row r="2652">
      <c r="A2652" t="n">
        <v>2651</v>
      </c>
      <c r="B2652" t="n">
        <v>81.7</v>
      </c>
      <c r="C2652" s="21">
        <f>B2652-20</f>
        <v/>
      </c>
      <c r="D2652" t="n">
        <v>113.9</v>
      </c>
      <c r="E2652" s="22">
        <f>D2652-90</f>
        <v/>
      </c>
      <c r="F2652" s="23" t="n">
        <v>0.023126</v>
      </c>
      <c r="G2652" s="22" t="n">
        <v>29.4</v>
      </c>
      <c r="H2652" s="22" t="n">
        <v>1.9</v>
      </c>
      <c r="I2652" s="24" t="n">
        <v>0.120806969702243</v>
      </c>
      <c r="J2652" s="6" t="n">
        <v>71000</v>
      </c>
      <c r="K2652" s="25">
        <f>23*10^-6</f>
        <v/>
      </c>
      <c r="L2652" s="8">
        <f>H2652</f>
        <v/>
      </c>
      <c r="M2652" s="26">
        <f>H2652^2/6</f>
        <v/>
      </c>
      <c r="N2652" s="26">
        <f>H2652^3/12</f>
        <v/>
      </c>
      <c r="O2652" s="27">
        <f>-J2652*L2652*K2652*C2652</f>
        <v/>
      </c>
      <c r="P2652" s="28">
        <f>-(12*F2652*J2652*L2652*N2652+12*O2652*N2652*G2652*COS(RADIANS(E2652)))/(12*N2652*G2652*COS(RADIANS(E2652))^2+L2652*G2652^3*SIN(RADIANS(E2652))^2)</f>
        <v/>
      </c>
      <c r="Q2652" s="28">
        <f>-(6*F2652*J2652*L2652*N2652*SIN(RADIANS(E2652))+6*O2652*N2652*G2652*SIN(RADIANS(E2652))*COS(RADIANS(E2652)))/(12*N2652*COS(RADIANS(E2652))^2+L2652*G2652^2*SIN(RADIANS(E2652))^2)</f>
        <v/>
      </c>
      <c r="R2652" s="28">
        <f>-P2652*SIN(RADIANS(E2652))</f>
        <v/>
      </c>
      <c r="S2652" s="8">
        <f>(O2652+P2652*COS(RADIANS(E2652)))/L2652</f>
        <v/>
      </c>
      <c r="T2652" s="8">
        <f>R2652/L2652</f>
        <v/>
      </c>
      <c r="U2652" s="8">
        <f>(Q2652-P2652*G2652*SIN(RADIANS(E2652)))/M2652</f>
        <v/>
      </c>
      <c r="V2652" s="8">
        <f>SQRT((S2652+U2652)^2+3*T2652^2)</f>
        <v/>
      </c>
      <c r="W2652" s="8">
        <f>V2652/AA2652</f>
        <v/>
      </c>
      <c r="X2652" s="27">
        <f>((3*10+H2652/COS(RADIANS(E2652)))*(3+3)+3*G2652*H2652)*2</f>
        <v/>
      </c>
      <c r="Y2652" s="28">
        <f>Z2652/X2652</f>
        <v/>
      </c>
      <c r="Z2652" s="29" t="n">
        <v>725.7829075200819</v>
      </c>
      <c r="AA2652" s="20" t="n">
        <v>101.385376344247</v>
      </c>
      <c r="AB2652" t="n">
        <v>0.1517231548720736</v>
      </c>
      <c r="AC2652" t="n">
        <v>96.16973998257237</v>
      </c>
      <c r="AD2652" t="n">
        <v>25.59139199172921</v>
      </c>
    </row>
    <row r="2653">
      <c r="A2653" t="n">
        <v>2652</v>
      </c>
      <c r="B2653" t="n">
        <v>74.3</v>
      </c>
      <c r="C2653" s="21">
        <f>B2653-20</f>
        <v/>
      </c>
      <c r="D2653" t="n">
        <v>115.7</v>
      </c>
      <c r="E2653" s="22">
        <f>D2653-90</f>
        <v/>
      </c>
      <c r="F2653" s="23" t="n">
        <v>0.01738</v>
      </c>
      <c r="G2653" s="22" t="n">
        <v>24.5</v>
      </c>
      <c r="H2653" s="22" t="n">
        <v>1.3</v>
      </c>
      <c r="I2653" s="24" t="n">
        <v>0.0898078605532646</v>
      </c>
      <c r="J2653" s="6" t="n">
        <v>71000</v>
      </c>
      <c r="K2653" s="25">
        <f>23*10^-6</f>
        <v/>
      </c>
      <c r="L2653" s="8">
        <f>H2653</f>
        <v/>
      </c>
      <c r="M2653" s="26">
        <f>H2653^2/6</f>
        <v/>
      </c>
      <c r="N2653" s="26">
        <f>H2653^3/12</f>
        <v/>
      </c>
      <c r="O2653" s="27">
        <f>-J2653*L2653*K2653*C2653</f>
        <v/>
      </c>
      <c r="P2653" s="28">
        <f>-(12*F2653*J2653*L2653*N2653+12*O2653*N2653*G2653*COS(RADIANS(E2653)))/(12*N2653*G2653*COS(RADIANS(E2653))^2+L2653*G2653^3*SIN(RADIANS(E2653))^2)</f>
        <v/>
      </c>
      <c r="Q2653" s="28">
        <f>-(6*F2653*J2653*L2653*N2653*SIN(RADIANS(E2653))+6*O2653*N2653*G2653*SIN(RADIANS(E2653))*COS(RADIANS(E2653)))/(12*N2653*COS(RADIANS(E2653))^2+L2653*G2653^2*SIN(RADIANS(E2653))^2)</f>
        <v/>
      </c>
      <c r="R2653" s="28">
        <f>-P2653*SIN(RADIANS(E2653))</f>
        <v/>
      </c>
      <c r="S2653" s="8">
        <f>(O2653+P2653*COS(RADIANS(E2653)))/L2653</f>
        <v/>
      </c>
      <c r="T2653" s="8">
        <f>R2653/L2653</f>
        <v/>
      </c>
      <c r="U2653" s="8">
        <f>(Q2653-P2653*G2653*SIN(RADIANS(E2653)))/M2653</f>
        <v/>
      </c>
      <c r="V2653" s="8">
        <f>SQRT((S2653+U2653)^2+3*T2653^2)</f>
        <v/>
      </c>
      <c r="W2653" s="8">
        <f>V2653/AA2653</f>
        <v/>
      </c>
      <c r="X2653" s="27">
        <f>((3*10+H2653/COS(RADIANS(E2653)))*(3+3)+3*G2653*H2653)*2</f>
        <v/>
      </c>
      <c r="Y2653" s="28">
        <f>Z2653/X2653</f>
        <v/>
      </c>
      <c r="Z2653" s="29" t="n">
        <v>574.481037945563</v>
      </c>
      <c r="AA2653" s="20" t="n">
        <v>80.129109980706</v>
      </c>
      <c r="AB2653" t="n">
        <v>0.1052889543368245</v>
      </c>
      <c r="AC2653" t="n">
        <v>81.41773373242951</v>
      </c>
      <c r="AD2653" t="n">
        <v>17.23801645890246</v>
      </c>
    </row>
    <row r="2654">
      <c r="A2654" t="n">
        <v>2653</v>
      </c>
      <c r="B2654" t="n">
        <v>72.59999999999999</v>
      </c>
      <c r="C2654" s="21">
        <f>B2654-20</f>
        <v/>
      </c>
      <c r="D2654" t="n">
        <v>122.5</v>
      </c>
      <c r="E2654" s="22">
        <f>D2654-90</f>
        <v/>
      </c>
      <c r="F2654" s="23" t="n">
        <v>0.017708</v>
      </c>
      <c r="G2654" s="22" t="n">
        <v>27.9</v>
      </c>
      <c r="H2654" s="22" t="n">
        <v>1.1</v>
      </c>
      <c r="I2654" s="24" t="n">
        <v>0.08072977513074869</v>
      </c>
      <c r="J2654" s="6" t="n">
        <v>71000</v>
      </c>
      <c r="K2654" s="25">
        <f>23*10^-6</f>
        <v/>
      </c>
      <c r="L2654" s="8">
        <f>H2654</f>
        <v/>
      </c>
      <c r="M2654" s="26">
        <f>H2654^2/6</f>
        <v/>
      </c>
      <c r="N2654" s="26">
        <f>H2654^3/12</f>
        <v/>
      </c>
      <c r="O2654" s="27">
        <f>-J2654*L2654*K2654*C2654</f>
        <v/>
      </c>
      <c r="P2654" s="28">
        <f>-(12*F2654*J2654*L2654*N2654+12*O2654*N2654*G2654*COS(RADIANS(E2654)))/(12*N2654*G2654*COS(RADIANS(E2654))^2+L2654*G2654^3*SIN(RADIANS(E2654))^2)</f>
        <v/>
      </c>
      <c r="Q2654" s="28">
        <f>-(6*F2654*J2654*L2654*N2654*SIN(RADIANS(E2654))+6*O2654*N2654*G2654*SIN(RADIANS(E2654))*COS(RADIANS(E2654)))/(12*N2654*COS(RADIANS(E2654))^2+L2654*G2654^2*SIN(RADIANS(E2654))^2)</f>
        <v/>
      </c>
      <c r="R2654" s="28">
        <f>-P2654*SIN(RADIANS(E2654))</f>
        <v/>
      </c>
      <c r="S2654" s="8">
        <f>(O2654+P2654*COS(RADIANS(E2654)))/L2654</f>
        <v/>
      </c>
      <c r="T2654" s="8">
        <f>R2654/L2654</f>
        <v/>
      </c>
      <c r="U2654" s="8">
        <f>(Q2654-P2654*G2654*SIN(RADIANS(E2654)))/M2654</f>
        <v/>
      </c>
      <c r="V2654" s="8">
        <f>SQRT((S2654+U2654)^2+3*T2654^2)</f>
        <v/>
      </c>
      <c r="W2654" s="8">
        <f>V2654/AA2654</f>
        <v/>
      </c>
      <c r="X2654" s="27">
        <f>((3*10+H2654/COS(RADIANS(E2654)))*(3+3)+3*G2654*H2654)*2</f>
        <v/>
      </c>
      <c r="Y2654" s="28">
        <f>Z2654/X2654</f>
        <v/>
      </c>
      <c r="Z2654" s="29" t="n">
        <v>567.681261950191</v>
      </c>
      <c r="AA2654" s="20" t="n">
        <v>71.87637698204441</v>
      </c>
      <c r="AB2654" t="n">
        <v>0.0902272879878952</v>
      </c>
      <c r="AC2654" t="n">
        <v>75.48505033921393</v>
      </c>
      <c r="AD2654" t="n">
        <v>11.76457241676257</v>
      </c>
    </row>
    <row r="2655">
      <c r="A2655" t="n">
        <v>2654</v>
      </c>
      <c r="B2655" t="n">
        <v>46.5</v>
      </c>
      <c r="C2655" s="21">
        <f>B2655-20</f>
        <v/>
      </c>
      <c r="D2655" t="n">
        <v>108.5</v>
      </c>
      <c r="E2655" s="22">
        <f>D2655-90</f>
        <v/>
      </c>
      <c r="F2655" s="23" t="n">
        <v>0.010694</v>
      </c>
      <c r="G2655" s="22" t="n">
        <v>31</v>
      </c>
      <c r="H2655" s="22" t="n">
        <v>2</v>
      </c>
      <c r="I2655" s="24" t="n">
        <v>0.06474434584379191</v>
      </c>
      <c r="J2655" s="6" t="n">
        <v>71000</v>
      </c>
      <c r="K2655" s="25">
        <f>23*10^-6</f>
        <v/>
      </c>
      <c r="L2655" s="8">
        <f>H2655</f>
        <v/>
      </c>
      <c r="M2655" s="26">
        <f>H2655^2/6</f>
        <v/>
      </c>
      <c r="N2655" s="26">
        <f>H2655^3/12</f>
        <v/>
      </c>
      <c r="O2655" s="27">
        <f>-J2655*L2655*K2655*C2655</f>
        <v/>
      </c>
      <c r="P2655" s="28">
        <f>-(12*F2655*J2655*L2655*N2655+12*O2655*N2655*G2655*COS(RADIANS(E2655)))/(12*N2655*G2655*COS(RADIANS(E2655))^2+L2655*G2655^3*SIN(RADIANS(E2655))^2)</f>
        <v/>
      </c>
      <c r="Q2655" s="28">
        <f>-(6*F2655*J2655*L2655*N2655*SIN(RADIANS(E2655))+6*O2655*N2655*G2655*SIN(RADIANS(E2655))*COS(RADIANS(E2655)))/(12*N2655*COS(RADIANS(E2655))^2+L2655*G2655^2*SIN(RADIANS(E2655))^2)</f>
        <v/>
      </c>
      <c r="R2655" s="28">
        <f>-P2655*SIN(RADIANS(E2655))</f>
        <v/>
      </c>
      <c r="S2655" s="8">
        <f>(O2655+P2655*COS(RADIANS(E2655)))/L2655</f>
        <v/>
      </c>
      <c r="T2655" s="8">
        <f>R2655/L2655</f>
        <v/>
      </c>
      <c r="U2655" s="8">
        <f>(Q2655-P2655*G2655*SIN(RADIANS(E2655)))/M2655</f>
        <v/>
      </c>
      <c r="V2655" s="8">
        <f>SQRT((S2655+U2655)^2+3*T2655^2)</f>
        <v/>
      </c>
      <c r="W2655" s="8">
        <f>V2655/AA2655</f>
        <v/>
      </c>
      <c r="X2655" s="27">
        <f>((3*10+H2655/COS(RADIANS(E2655)))*(3+3)+3*G2655*H2655)*2</f>
        <v/>
      </c>
      <c r="Y2655" s="28">
        <f>Z2655/X2655</f>
        <v/>
      </c>
      <c r="Z2655" s="29" t="n">
        <v>762.0492601742289</v>
      </c>
      <c r="AA2655" s="20" t="n">
        <v>44.9696650228127</v>
      </c>
      <c r="AB2655" t="n">
        <v>0.08809866700227026</v>
      </c>
      <c r="AC2655" t="n">
        <v>43.08289463127905</v>
      </c>
      <c r="AD2655" t="n">
        <v>36.07159954141032</v>
      </c>
    </row>
    <row r="2656">
      <c r="A2656" t="n">
        <v>2655</v>
      </c>
      <c r="B2656" t="n">
        <v>59.1</v>
      </c>
      <c r="C2656" s="21">
        <f>B2656-20</f>
        <v/>
      </c>
      <c r="D2656" t="n">
        <v>104.1</v>
      </c>
      <c r="E2656" s="22">
        <f>D2656-90</f>
        <v/>
      </c>
      <c r="F2656" s="23" t="n">
        <v>0.014693</v>
      </c>
      <c r="G2656" s="22" t="n">
        <v>27.8</v>
      </c>
      <c r="H2656" s="22" t="n">
        <v>1.1</v>
      </c>
      <c r="I2656" s="24" t="n">
        <v>0.110982209444046</v>
      </c>
      <c r="J2656" s="6" t="n">
        <v>71000</v>
      </c>
      <c r="K2656" s="25">
        <f>23*10^-6</f>
        <v/>
      </c>
      <c r="L2656" s="8">
        <f>H2656</f>
        <v/>
      </c>
      <c r="M2656" s="26">
        <f>H2656^2/6</f>
        <v/>
      </c>
      <c r="N2656" s="26">
        <f>H2656^3/12</f>
        <v/>
      </c>
      <c r="O2656" s="27">
        <f>-J2656*L2656*K2656*C2656</f>
        <v/>
      </c>
      <c r="P2656" s="28">
        <f>-(12*F2656*J2656*L2656*N2656+12*O2656*N2656*G2656*COS(RADIANS(E2656)))/(12*N2656*G2656*COS(RADIANS(E2656))^2+L2656*G2656^3*SIN(RADIANS(E2656))^2)</f>
        <v/>
      </c>
      <c r="Q2656" s="28">
        <f>-(6*F2656*J2656*L2656*N2656*SIN(RADIANS(E2656))+6*O2656*N2656*G2656*SIN(RADIANS(E2656))*COS(RADIANS(E2656)))/(12*N2656*COS(RADIANS(E2656))^2+L2656*G2656^2*SIN(RADIANS(E2656))^2)</f>
        <v/>
      </c>
      <c r="R2656" s="28">
        <f>-P2656*SIN(RADIANS(E2656))</f>
        <v/>
      </c>
      <c r="S2656" s="8">
        <f>(O2656+P2656*COS(RADIANS(E2656)))/L2656</f>
        <v/>
      </c>
      <c r="T2656" s="8">
        <f>R2656/L2656</f>
        <v/>
      </c>
      <c r="U2656" s="8">
        <f>(Q2656-P2656*G2656*SIN(RADIANS(E2656)))/M2656</f>
        <v/>
      </c>
      <c r="V2656" s="8">
        <f>SQRT((S2656+U2656)^2+3*T2656^2)</f>
        <v/>
      </c>
      <c r="W2656" s="8">
        <f>V2656/AA2656</f>
        <v/>
      </c>
      <c r="X2656" s="27">
        <f>((3*10+H2656/COS(RADIANS(E2656)))*(3+3)+3*G2656*H2656)*2</f>
        <v/>
      </c>
      <c r="Y2656" s="28">
        <f>Z2656/X2656</f>
        <v/>
      </c>
      <c r="Z2656" s="29" t="n">
        <v>561.269205599559</v>
      </c>
      <c r="AA2656" s="20" t="n">
        <v>57.1385853292537</v>
      </c>
      <c r="AB2656" t="n">
        <v>0.1571264621578136</v>
      </c>
      <c r="AC2656" t="n">
        <v>61.55813568264507</v>
      </c>
      <c r="AD2656" t="n">
        <v>41.57806277683827</v>
      </c>
    </row>
    <row r="2657">
      <c r="A2657" t="n">
        <v>2656</v>
      </c>
      <c r="B2657" t="n">
        <v>76</v>
      </c>
      <c r="C2657" s="21">
        <f>B2657-20</f>
        <v/>
      </c>
      <c r="D2657" t="n">
        <v>117</v>
      </c>
      <c r="E2657" s="22">
        <f>D2657-90</f>
        <v/>
      </c>
      <c r="F2657" s="23" t="n">
        <v>0.023512</v>
      </c>
      <c r="G2657" s="22" t="n">
        <v>34.6</v>
      </c>
      <c r="H2657" s="22" t="n">
        <v>1.5</v>
      </c>
      <c r="I2657" s="24" t="n">
        <v>0.112830758094787</v>
      </c>
      <c r="J2657" s="6" t="n">
        <v>71000</v>
      </c>
      <c r="K2657" s="25">
        <f>23*10^-6</f>
        <v/>
      </c>
      <c r="L2657" s="8">
        <f>H2657</f>
        <v/>
      </c>
      <c r="M2657" s="26">
        <f>H2657^2/6</f>
        <v/>
      </c>
      <c r="N2657" s="26">
        <f>H2657^3/12</f>
        <v/>
      </c>
      <c r="O2657" s="27">
        <f>-J2657*L2657*K2657*C2657</f>
        <v/>
      </c>
      <c r="P2657" s="28">
        <f>-(12*F2657*J2657*L2657*N2657+12*O2657*N2657*G2657*COS(RADIANS(E2657)))/(12*N2657*G2657*COS(RADIANS(E2657))^2+L2657*G2657^3*SIN(RADIANS(E2657))^2)</f>
        <v/>
      </c>
      <c r="Q2657" s="28">
        <f>-(6*F2657*J2657*L2657*N2657*SIN(RADIANS(E2657))+6*O2657*N2657*G2657*SIN(RADIANS(E2657))*COS(RADIANS(E2657)))/(12*N2657*COS(RADIANS(E2657))^2+L2657*G2657^2*SIN(RADIANS(E2657))^2)</f>
        <v/>
      </c>
      <c r="R2657" s="28">
        <f>-P2657*SIN(RADIANS(E2657))</f>
        <v/>
      </c>
      <c r="S2657" s="8">
        <f>(O2657+P2657*COS(RADIANS(E2657)))/L2657</f>
        <v/>
      </c>
      <c r="T2657" s="8">
        <f>R2657/L2657</f>
        <v/>
      </c>
      <c r="U2657" s="8">
        <f>(Q2657-P2657*G2657*SIN(RADIANS(E2657)))/M2657</f>
        <v/>
      </c>
      <c r="V2657" s="8">
        <f>SQRT((S2657+U2657)^2+3*T2657^2)</f>
        <v/>
      </c>
      <c r="W2657" s="8">
        <f>V2657/AA2657</f>
        <v/>
      </c>
      <c r="X2657" s="27">
        <f>((3*10+H2657/COS(RADIANS(E2657)))*(3+3)+3*G2657*H2657)*2</f>
        <v/>
      </c>
      <c r="Y2657" s="28">
        <f>Z2657/X2657</f>
        <v/>
      </c>
      <c r="Z2657" s="29" t="n">
        <v>697.971331366285</v>
      </c>
      <c r="AA2657" s="20" t="n">
        <v>82.6579192570201</v>
      </c>
      <c r="AB2657" t="n">
        <v>0.1431830920329299</v>
      </c>
      <c r="AC2657" t="n">
        <v>82.76905585180995</v>
      </c>
      <c r="AD2657" t="n">
        <v>26.90076221294598</v>
      </c>
    </row>
    <row r="2658">
      <c r="A2658" t="n">
        <v>2657</v>
      </c>
      <c r="B2658" t="n">
        <v>42.3</v>
      </c>
      <c r="C2658" s="21">
        <f>B2658-20</f>
        <v/>
      </c>
      <c r="D2658" t="n">
        <v>116</v>
      </c>
      <c r="E2658" s="22">
        <f>D2658-90</f>
        <v/>
      </c>
      <c r="F2658" s="23" t="n">
        <v>0.008174000000000001</v>
      </c>
      <c r="G2658" s="22" t="n">
        <v>29.1</v>
      </c>
      <c r="H2658" s="22" t="n">
        <v>1.7</v>
      </c>
      <c r="I2658" s="24" t="n">
        <v>0.0409237369894981</v>
      </c>
      <c r="J2658" s="6" t="n">
        <v>71000</v>
      </c>
      <c r="K2658" s="25">
        <f>23*10^-6</f>
        <v/>
      </c>
      <c r="L2658" s="8">
        <f>H2658</f>
        <v/>
      </c>
      <c r="M2658" s="26">
        <f>H2658^2/6</f>
        <v/>
      </c>
      <c r="N2658" s="26">
        <f>H2658^3/12</f>
        <v/>
      </c>
      <c r="O2658" s="27">
        <f>-J2658*L2658*K2658*C2658</f>
        <v/>
      </c>
      <c r="P2658" s="28">
        <f>-(12*F2658*J2658*L2658*N2658+12*O2658*N2658*G2658*COS(RADIANS(E2658)))/(12*N2658*G2658*COS(RADIANS(E2658))^2+L2658*G2658^3*SIN(RADIANS(E2658))^2)</f>
        <v/>
      </c>
      <c r="Q2658" s="28">
        <f>-(6*F2658*J2658*L2658*N2658*SIN(RADIANS(E2658))+6*O2658*N2658*G2658*SIN(RADIANS(E2658))*COS(RADIANS(E2658)))/(12*N2658*COS(RADIANS(E2658))^2+L2658*G2658^2*SIN(RADIANS(E2658))^2)</f>
        <v/>
      </c>
      <c r="R2658" s="28">
        <f>-P2658*SIN(RADIANS(E2658))</f>
        <v/>
      </c>
      <c r="S2658" s="8">
        <f>(O2658+P2658*COS(RADIANS(E2658)))/L2658</f>
        <v/>
      </c>
      <c r="T2658" s="8">
        <f>R2658/L2658</f>
        <v/>
      </c>
      <c r="U2658" s="8">
        <f>(Q2658-P2658*G2658*SIN(RADIANS(E2658)))/M2658</f>
        <v/>
      </c>
      <c r="V2658" s="8">
        <f>SQRT((S2658+U2658)^2+3*T2658^2)</f>
        <v/>
      </c>
      <c r="W2658" s="8">
        <f>V2658/AA2658</f>
        <v/>
      </c>
      <c r="X2658" s="27">
        <f>((3*10+H2658/COS(RADIANS(E2658)))*(3+3)+3*G2658*H2658)*2</f>
        <v/>
      </c>
      <c r="Y2658" s="28">
        <f>Z2658/X2658</f>
        <v/>
      </c>
      <c r="Z2658" s="29" t="n">
        <v>685.65315554274</v>
      </c>
      <c r="AA2658" s="20" t="n">
        <v>35.0948687229186</v>
      </c>
      <c r="AB2658" t="n">
        <v>0.05003243474764114</v>
      </c>
      <c r="AC2658" t="n">
        <v>33.93125626121938</v>
      </c>
      <c r="AD2658" t="n">
        <v>22.25773702064532</v>
      </c>
    </row>
    <row r="2659">
      <c r="A2659" t="n">
        <v>2658</v>
      </c>
      <c r="B2659" t="n">
        <v>42.2</v>
      </c>
      <c r="C2659" s="21">
        <f>B2659-20</f>
        <v/>
      </c>
      <c r="D2659" t="n">
        <v>128.8</v>
      </c>
      <c r="E2659" s="22">
        <f>D2659-90</f>
        <v/>
      </c>
      <c r="F2659" s="23" t="n">
        <v>0.00572</v>
      </c>
      <c r="G2659" s="22" t="n">
        <v>21.3</v>
      </c>
      <c r="H2659" s="22" t="n">
        <v>1.5</v>
      </c>
      <c r="I2659" s="24" t="n">
        <v>0.0259530898183584</v>
      </c>
      <c r="J2659" s="6" t="n">
        <v>71000</v>
      </c>
      <c r="K2659" s="25">
        <f>23*10^-6</f>
        <v/>
      </c>
      <c r="L2659" s="8">
        <f>H2659</f>
        <v/>
      </c>
      <c r="M2659" s="26">
        <f>H2659^2/6</f>
        <v/>
      </c>
      <c r="N2659" s="26">
        <f>H2659^3/12</f>
        <v/>
      </c>
      <c r="O2659" s="27">
        <f>-J2659*L2659*K2659*C2659</f>
        <v/>
      </c>
      <c r="P2659" s="28">
        <f>-(12*F2659*J2659*L2659*N2659+12*O2659*N2659*G2659*COS(RADIANS(E2659)))/(12*N2659*G2659*COS(RADIANS(E2659))^2+L2659*G2659^3*SIN(RADIANS(E2659))^2)</f>
        <v/>
      </c>
      <c r="Q2659" s="28">
        <f>-(6*F2659*J2659*L2659*N2659*SIN(RADIANS(E2659))+6*O2659*N2659*G2659*SIN(RADIANS(E2659))*COS(RADIANS(E2659)))/(12*N2659*COS(RADIANS(E2659))^2+L2659*G2659^2*SIN(RADIANS(E2659))^2)</f>
        <v/>
      </c>
      <c r="R2659" s="28">
        <f>-P2659*SIN(RADIANS(E2659))</f>
        <v/>
      </c>
      <c r="S2659" s="8">
        <f>(O2659+P2659*COS(RADIANS(E2659)))/L2659</f>
        <v/>
      </c>
      <c r="T2659" s="8">
        <f>R2659/L2659</f>
        <v/>
      </c>
      <c r="U2659" s="8">
        <f>(Q2659-P2659*G2659*SIN(RADIANS(E2659)))/M2659</f>
        <v/>
      </c>
      <c r="V2659" s="8">
        <f>SQRT((S2659+U2659)^2+3*T2659^2)</f>
        <v/>
      </c>
      <c r="W2659" s="8">
        <f>V2659/AA2659</f>
        <v/>
      </c>
      <c r="X2659" s="27">
        <f>((3*10+H2659/COS(RADIANS(E2659)))*(3+3)+3*G2659*H2659)*2</f>
        <v/>
      </c>
      <c r="Y2659" s="28">
        <f>Z2659/X2659</f>
        <v/>
      </c>
      <c r="Z2659" s="29" t="n">
        <v>585.025524673576</v>
      </c>
      <c r="AA2659" s="20" t="n">
        <v>33.4437459824756</v>
      </c>
      <c r="AB2659" t="n">
        <v>0.02424912454245122</v>
      </c>
      <c r="AC2659" t="n">
        <v>32.27209988190071</v>
      </c>
      <c r="AD2659" t="n">
        <v>-6.565558428044454</v>
      </c>
    </row>
    <row r="2660">
      <c r="A2660" t="n">
        <v>2659</v>
      </c>
      <c r="B2660" t="n">
        <v>84.5</v>
      </c>
      <c r="C2660" s="21">
        <f>B2660-20</f>
        <v/>
      </c>
      <c r="D2660" t="n">
        <v>110.3</v>
      </c>
      <c r="E2660" s="22">
        <f>D2660-90</f>
        <v/>
      </c>
      <c r="F2660" s="23" t="n">
        <v>0.020204</v>
      </c>
      <c r="G2660" s="22" t="n">
        <v>22.9</v>
      </c>
      <c r="H2660" s="22" t="n">
        <v>1.7</v>
      </c>
      <c r="I2660" s="24" t="n">
        <v>0.119606189429759</v>
      </c>
      <c r="J2660" s="6" t="n">
        <v>71000</v>
      </c>
      <c r="K2660" s="25">
        <f>23*10^-6</f>
        <v/>
      </c>
      <c r="L2660" s="8">
        <f>H2660</f>
        <v/>
      </c>
      <c r="M2660" s="26">
        <f>H2660^2/6</f>
        <v/>
      </c>
      <c r="N2660" s="26">
        <f>H2660^3/12</f>
        <v/>
      </c>
      <c r="O2660" s="27">
        <f>-J2660*L2660*K2660*C2660</f>
        <v/>
      </c>
      <c r="P2660" s="28">
        <f>-(12*F2660*J2660*L2660*N2660+12*O2660*N2660*G2660*COS(RADIANS(E2660)))/(12*N2660*G2660*COS(RADIANS(E2660))^2+L2660*G2660^3*SIN(RADIANS(E2660))^2)</f>
        <v/>
      </c>
      <c r="Q2660" s="28">
        <f>-(6*F2660*J2660*L2660*N2660*SIN(RADIANS(E2660))+6*O2660*N2660*G2660*SIN(RADIANS(E2660))*COS(RADIANS(E2660)))/(12*N2660*COS(RADIANS(E2660))^2+L2660*G2660^2*SIN(RADIANS(E2660))^2)</f>
        <v/>
      </c>
      <c r="R2660" s="28">
        <f>-P2660*SIN(RADIANS(E2660))</f>
        <v/>
      </c>
      <c r="S2660" s="8">
        <f>(O2660+P2660*COS(RADIANS(E2660)))/L2660</f>
        <v/>
      </c>
      <c r="T2660" s="8">
        <f>R2660/L2660</f>
        <v/>
      </c>
      <c r="U2660" s="8">
        <f>(Q2660-P2660*G2660*SIN(RADIANS(E2660)))/M2660</f>
        <v/>
      </c>
      <c r="V2660" s="8">
        <f>SQRT((S2660+U2660)^2+3*T2660^2)</f>
        <v/>
      </c>
      <c r="W2660" s="8">
        <f>V2660/AA2660</f>
        <v/>
      </c>
      <c r="X2660" s="27">
        <f>((3*10+H2660/COS(RADIANS(E2660)))*(3+3)+3*G2660*H2660)*2</f>
        <v/>
      </c>
      <c r="Y2660" s="28">
        <f>Z2660/X2660</f>
        <v/>
      </c>
      <c r="Z2660" s="29" t="n">
        <v>620.353989594041</v>
      </c>
      <c r="AA2660" s="20" t="n">
        <v>107.223558093911</v>
      </c>
      <c r="AB2660" t="n">
        <v>0.1463449858501132</v>
      </c>
      <c r="AC2660" t="n">
        <v>103.7515914158929</v>
      </c>
      <c r="AD2660" t="n">
        <v>22.35569626273984</v>
      </c>
    </row>
    <row r="2661">
      <c r="A2661" t="n">
        <v>2660</v>
      </c>
      <c r="B2661" t="n">
        <v>59.6</v>
      </c>
      <c r="C2661" s="21">
        <f>B2661-20</f>
        <v/>
      </c>
      <c r="D2661" t="n">
        <v>112.7</v>
      </c>
      <c r="E2661" s="22">
        <f>D2661-90</f>
        <v/>
      </c>
      <c r="F2661" s="23" t="n">
        <v>0.013703</v>
      </c>
      <c r="G2661" s="22" t="n">
        <v>26.4</v>
      </c>
      <c r="H2661" s="22" t="n">
        <v>1.2</v>
      </c>
      <c r="I2661" s="24" t="n">
        <v>0.0751289054751396</v>
      </c>
      <c r="J2661" s="6" t="n">
        <v>71000</v>
      </c>
      <c r="K2661" s="25">
        <f>23*10^-6</f>
        <v/>
      </c>
      <c r="L2661" s="8">
        <f>H2661</f>
        <v/>
      </c>
      <c r="M2661" s="26">
        <f>H2661^2/6</f>
        <v/>
      </c>
      <c r="N2661" s="26">
        <f>H2661^3/12</f>
        <v/>
      </c>
      <c r="O2661" s="27">
        <f>-J2661*L2661*K2661*C2661</f>
        <v/>
      </c>
      <c r="P2661" s="28">
        <f>-(12*F2661*J2661*L2661*N2661+12*O2661*N2661*G2661*COS(RADIANS(E2661)))/(12*N2661*G2661*COS(RADIANS(E2661))^2+L2661*G2661^3*SIN(RADIANS(E2661))^2)</f>
        <v/>
      </c>
      <c r="Q2661" s="28">
        <f>-(6*F2661*J2661*L2661*N2661*SIN(RADIANS(E2661))+6*O2661*N2661*G2661*SIN(RADIANS(E2661))*COS(RADIANS(E2661)))/(12*N2661*COS(RADIANS(E2661))^2+L2661*G2661^2*SIN(RADIANS(E2661))^2)</f>
        <v/>
      </c>
      <c r="R2661" s="28">
        <f>-P2661*SIN(RADIANS(E2661))</f>
        <v/>
      </c>
      <c r="S2661" s="8">
        <f>(O2661+P2661*COS(RADIANS(E2661)))/L2661</f>
        <v/>
      </c>
      <c r="T2661" s="8">
        <f>R2661/L2661</f>
        <v/>
      </c>
      <c r="U2661" s="8">
        <f>(Q2661-P2661*G2661*SIN(RADIANS(E2661)))/M2661</f>
        <v/>
      </c>
      <c r="V2661" s="8">
        <f>SQRT((S2661+U2661)^2+3*T2661^2)</f>
        <v/>
      </c>
      <c r="W2661" s="8">
        <f>V2661/AA2661</f>
        <v/>
      </c>
      <c r="X2661" s="27">
        <f>((3*10+H2661/COS(RADIANS(E2661)))*(3+3)+3*G2661*H2661)*2</f>
        <v/>
      </c>
      <c r="Y2661" s="28">
        <f>Z2661/X2661</f>
        <v/>
      </c>
      <c r="Z2661" s="29" t="n">
        <v>571.137927004217</v>
      </c>
      <c r="AA2661" s="20" t="n">
        <v>57.4711530787661</v>
      </c>
      <c r="AB2661" t="n">
        <v>0.09389109926229884</v>
      </c>
      <c r="AC2661" t="n">
        <v>59.5007220311823</v>
      </c>
      <c r="AD2661" t="n">
        <v>24.97333572012134</v>
      </c>
    </row>
    <row r="2662">
      <c r="A2662" t="n">
        <v>2661</v>
      </c>
      <c r="B2662" t="n">
        <v>44.7</v>
      </c>
      <c r="C2662" s="21">
        <f>B2662-20</f>
        <v/>
      </c>
      <c r="D2662" t="n">
        <v>120.4</v>
      </c>
      <c r="E2662" s="22">
        <f>D2662-90</f>
        <v/>
      </c>
      <c r="F2662" s="23" t="n">
        <v>0.008247000000000001</v>
      </c>
      <c r="G2662" s="22" t="n">
        <v>27</v>
      </c>
      <c r="H2662" s="22" t="n">
        <v>1.4</v>
      </c>
      <c r="I2662" s="24" t="n">
        <v>0.0388106293976306</v>
      </c>
      <c r="J2662" s="6" t="n">
        <v>71000</v>
      </c>
      <c r="K2662" s="25">
        <f>23*10^-6</f>
        <v/>
      </c>
      <c r="L2662" s="8">
        <f>H2662</f>
        <v/>
      </c>
      <c r="M2662" s="26">
        <f>H2662^2/6</f>
        <v/>
      </c>
      <c r="N2662" s="26">
        <f>H2662^3/12</f>
        <v/>
      </c>
      <c r="O2662" s="27">
        <f>-J2662*L2662*K2662*C2662</f>
        <v/>
      </c>
      <c r="P2662" s="28">
        <f>-(12*F2662*J2662*L2662*N2662+12*O2662*N2662*G2662*COS(RADIANS(E2662)))/(12*N2662*G2662*COS(RADIANS(E2662))^2+L2662*G2662^3*SIN(RADIANS(E2662))^2)</f>
        <v/>
      </c>
      <c r="Q2662" s="28">
        <f>-(6*F2662*J2662*L2662*N2662*SIN(RADIANS(E2662))+6*O2662*N2662*G2662*SIN(RADIANS(E2662))*COS(RADIANS(E2662)))/(12*N2662*COS(RADIANS(E2662))^2+L2662*G2662^2*SIN(RADIANS(E2662))^2)</f>
        <v/>
      </c>
      <c r="R2662" s="28">
        <f>-P2662*SIN(RADIANS(E2662))</f>
        <v/>
      </c>
      <c r="S2662" s="8">
        <f>(O2662+P2662*COS(RADIANS(E2662)))/L2662</f>
        <v/>
      </c>
      <c r="T2662" s="8">
        <f>R2662/L2662</f>
        <v/>
      </c>
      <c r="U2662" s="8">
        <f>(Q2662-P2662*G2662*SIN(RADIANS(E2662)))/M2662</f>
        <v/>
      </c>
      <c r="V2662" s="8">
        <f>SQRT((S2662+U2662)^2+3*T2662^2)</f>
        <v/>
      </c>
      <c r="W2662" s="8">
        <f>V2662/AA2662</f>
        <v/>
      </c>
      <c r="X2662" s="27">
        <f>((3*10+H2662/COS(RADIANS(E2662)))*(3+3)+3*G2662*H2662)*2</f>
        <v/>
      </c>
      <c r="Y2662" s="28">
        <f>Z2662/X2662</f>
        <v/>
      </c>
      <c r="Z2662" s="29" t="n">
        <v>613.537227527454</v>
      </c>
      <c r="AA2662" s="20" t="n">
        <v>36.3276507317837</v>
      </c>
      <c r="AB2662" t="n">
        <v>0.0439867087284754</v>
      </c>
      <c r="AC2662" t="n">
        <v>36.36566142015869</v>
      </c>
      <c r="AD2662" t="n">
        <v>13.33675699462066</v>
      </c>
    </row>
    <row r="2663">
      <c r="A2663" t="n">
        <v>2662</v>
      </c>
      <c r="B2663" t="n">
        <v>64.40000000000001</v>
      </c>
      <c r="C2663" s="21">
        <f>B2663-20</f>
        <v/>
      </c>
      <c r="D2663" t="n">
        <v>120.6</v>
      </c>
      <c r="E2663" s="22">
        <f>D2663-90</f>
        <v/>
      </c>
      <c r="F2663" s="23" t="n">
        <v>0.01236</v>
      </c>
      <c r="G2663" s="22" t="n">
        <v>21.4</v>
      </c>
      <c r="H2663" s="22" t="n">
        <v>1.3</v>
      </c>
      <c r="I2663" s="24" t="n">
        <v>0.0601477101445198</v>
      </c>
      <c r="J2663" s="6" t="n">
        <v>71000</v>
      </c>
      <c r="K2663" s="25">
        <f>23*10^-6</f>
        <v/>
      </c>
      <c r="L2663" s="8">
        <f>H2663</f>
        <v/>
      </c>
      <c r="M2663" s="26">
        <f>H2663^2/6</f>
        <v/>
      </c>
      <c r="N2663" s="26">
        <f>H2663^3/12</f>
        <v/>
      </c>
      <c r="O2663" s="27">
        <f>-J2663*L2663*K2663*C2663</f>
        <v/>
      </c>
      <c r="P2663" s="28">
        <f>-(12*F2663*J2663*L2663*N2663+12*O2663*N2663*G2663*COS(RADIANS(E2663)))/(12*N2663*G2663*COS(RADIANS(E2663))^2+L2663*G2663^3*SIN(RADIANS(E2663))^2)</f>
        <v/>
      </c>
      <c r="Q2663" s="28">
        <f>-(6*F2663*J2663*L2663*N2663*SIN(RADIANS(E2663))+6*O2663*N2663*G2663*SIN(RADIANS(E2663))*COS(RADIANS(E2663)))/(12*N2663*COS(RADIANS(E2663))^2+L2663*G2663^2*SIN(RADIANS(E2663))^2)</f>
        <v/>
      </c>
      <c r="R2663" s="28">
        <f>-P2663*SIN(RADIANS(E2663))</f>
        <v/>
      </c>
      <c r="S2663" s="8">
        <f>(O2663+P2663*COS(RADIANS(E2663)))/L2663</f>
        <v/>
      </c>
      <c r="T2663" s="8">
        <f>R2663/L2663</f>
        <v/>
      </c>
      <c r="U2663" s="8">
        <f>(Q2663-P2663*G2663*SIN(RADIANS(E2663)))/M2663</f>
        <v/>
      </c>
      <c r="V2663" s="8">
        <f>SQRT((S2663+U2663)^2+3*T2663^2)</f>
        <v/>
      </c>
      <c r="W2663" s="8">
        <f>V2663/AA2663</f>
        <v/>
      </c>
      <c r="X2663" s="27">
        <f>((3*10+H2663/COS(RADIANS(E2663)))*(3+3)+3*G2663*H2663)*2</f>
        <v/>
      </c>
      <c r="Y2663" s="28">
        <f>Z2663/X2663</f>
        <v/>
      </c>
      <c r="Z2663" s="29" t="n">
        <v>552.360445316123</v>
      </c>
      <c r="AA2663" s="20" t="n">
        <v>65.8652554093127</v>
      </c>
      <c r="AB2663" t="n">
        <v>0.06308850027426392</v>
      </c>
      <c r="AC2663" t="n">
        <v>65.6569560993568</v>
      </c>
      <c r="AD2663" t="n">
        <v>4.889280277965937</v>
      </c>
    </row>
    <row r="2664">
      <c r="A2664" t="n">
        <v>2663</v>
      </c>
      <c r="B2664" t="n">
        <v>57.4</v>
      </c>
      <c r="C2664" s="21">
        <f>B2664-20</f>
        <v/>
      </c>
      <c r="D2664" t="n">
        <v>114.8</v>
      </c>
      <c r="E2664" s="22">
        <f>D2664-90</f>
        <v/>
      </c>
      <c r="F2664" s="23" t="n">
        <v>0.012466</v>
      </c>
      <c r="G2664" s="22" t="n">
        <v>25.6</v>
      </c>
      <c r="H2664" s="22" t="n">
        <v>1.2</v>
      </c>
      <c r="I2664" s="24" t="n">
        <v>0.0652563422918319</v>
      </c>
      <c r="J2664" s="6" t="n">
        <v>71000</v>
      </c>
      <c r="K2664" s="25">
        <f>23*10^-6</f>
        <v/>
      </c>
      <c r="L2664" s="8">
        <f>H2664</f>
        <v/>
      </c>
      <c r="M2664" s="26">
        <f>H2664^2/6</f>
        <v/>
      </c>
      <c r="N2664" s="26">
        <f>H2664^3/12</f>
        <v/>
      </c>
      <c r="O2664" s="27">
        <f>-J2664*L2664*K2664*C2664</f>
        <v/>
      </c>
      <c r="P2664" s="28">
        <f>-(12*F2664*J2664*L2664*N2664+12*O2664*N2664*G2664*COS(RADIANS(E2664)))/(12*N2664*G2664*COS(RADIANS(E2664))^2+L2664*G2664^3*SIN(RADIANS(E2664))^2)</f>
        <v/>
      </c>
      <c r="Q2664" s="28">
        <f>-(6*F2664*J2664*L2664*N2664*SIN(RADIANS(E2664))+6*O2664*N2664*G2664*SIN(RADIANS(E2664))*COS(RADIANS(E2664)))/(12*N2664*COS(RADIANS(E2664))^2+L2664*G2664^2*SIN(RADIANS(E2664))^2)</f>
        <v/>
      </c>
      <c r="R2664" s="28">
        <f>-P2664*SIN(RADIANS(E2664))</f>
        <v/>
      </c>
      <c r="S2664" s="8">
        <f>(O2664+P2664*COS(RADIANS(E2664)))/L2664</f>
        <v/>
      </c>
      <c r="T2664" s="8">
        <f>R2664/L2664</f>
        <v/>
      </c>
      <c r="U2664" s="8">
        <f>(Q2664-P2664*G2664*SIN(RADIANS(E2664)))/M2664</f>
        <v/>
      </c>
      <c r="V2664" s="8">
        <f>SQRT((S2664+U2664)^2+3*T2664^2)</f>
        <v/>
      </c>
      <c r="W2664" s="8">
        <f>V2664/AA2664</f>
        <v/>
      </c>
      <c r="X2664" s="27">
        <f>((3*10+H2664/COS(RADIANS(E2664)))*(3+3)+3*G2664*H2664)*2</f>
        <v/>
      </c>
      <c r="Y2664" s="28">
        <f>Z2664/X2664</f>
        <v/>
      </c>
      <c r="Z2664" s="29" t="n">
        <v>566.0547449212009</v>
      </c>
      <c r="AA2664" s="20" t="n">
        <v>53.9643325538495</v>
      </c>
      <c r="AB2664" t="n">
        <v>0.0786111501387132</v>
      </c>
      <c r="AC2664" t="n">
        <v>55.73572429416745</v>
      </c>
      <c r="AD2664" t="n">
        <v>20.46514925270782</v>
      </c>
    </row>
    <row r="2665">
      <c r="A2665" t="n">
        <v>2664</v>
      </c>
      <c r="B2665" t="n">
        <v>44.3</v>
      </c>
      <c r="C2665" s="21">
        <f>B2665-20</f>
        <v/>
      </c>
      <c r="D2665" t="n">
        <v>111.2</v>
      </c>
      <c r="E2665" s="22">
        <f>D2665-90</f>
        <v/>
      </c>
      <c r="F2665" s="23" t="n">
        <v>0.008789999999999999</v>
      </c>
      <c r="G2665" s="22" t="n">
        <v>27.6</v>
      </c>
      <c r="H2665" s="22" t="n">
        <v>1.8</v>
      </c>
      <c r="I2665" s="24" t="n">
        <v>0.049622144550085</v>
      </c>
      <c r="J2665" s="6" t="n">
        <v>71000</v>
      </c>
      <c r="K2665" s="25">
        <f>23*10^-6</f>
        <v/>
      </c>
      <c r="L2665" s="8">
        <f>H2665</f>
        <v/>
      </c>
      <c r="M2665" s="26">
        <f>H2665^2/6</f>
        <v/>
      </c>
      <c r="N2665" s="26">
        <f>H2665^3/12</f>
        <v/>
      </c>
      <c r="O2665" s="27">
        <f>-J2665*L2665*K2665*C2665</f>
        <v/>
      </c>
      <c r="P2665" s="28">
        <f>-(12*F2665*J2665*L2665*N2665+12*O2665*N2665*G2665*COS(RADIANS(E2665)))/(12*N2665*G2665*COS(RADIANS(E2665))^2+L2665*G2665^3*SIN(RADIANS(E2665))^2)</f>
        <v/>
      </c>
      <c r="Q2665" s="28">
        <f>-(6*F2665*J2665*L2665*N2665*SIN(RADIANS(E2665))+6*O2665*N2665*G2665*SIN(RADIANS(E2665))*COS(RADIANS(E2665)))/(12*N2665*COS(RADIANS(E2665))^2+L2665*G2665^2*SIN(RADIANS(E2665))^2)</f>
        <v/>
      </c>
      <c r="R2665" s="28">
        <f>-P2665*SIN(RADIANS(E2665))</f>
        <v/>
      </c>
      <c r="S2665" s="8">
        <f>(O2665+P2665*COS(RADIANS(E2665)))/L2665</f>
        <v/>
      </c>
      <c r="T2665" s="8">
        <f>R2665/L2665</f>
        <v/>
      </c>
      <c r="U2665" s="8">
        <f>(Q2665-P2665*G2665*SIN(RADIANS(E2665)))/M2665</f>
        <v/>
      </c>
      <c r="V2665" s="8">
        <f>SQRT((S2665+U2665)^2+3*T2665^2)</f>
        <v/>
      </c>
      <c r="W2665" s="8">
        <f>V2665/AA2665</f>
        <v/>
      </c>
      <c r="X2665" s="27">
        <f>((3*10+H2665/COS(RADIANS(E2665)))*(3+3)+3*G2665*H2665)*2</f>
        <v/>
      </c>
      <c r="Y2665" s="28">
        <f>Z2665/X2665</f>
        <v/>
      </c>
      <c r="Z2665" s="29" t="n">
        <v>686.423675380979</v>
      </c>
      <c r="AA2665" s="20" t="n">
        <v>39.7239993871547</v>
      </c>
      <c r="AB2665" t="n">
        <v>0.06342996707092939</v>
      </c>
      <c r="AC2665" t="n">
        <v>38.51421094428601</v>
      </c>
      <c r="AD2665" t="n">
        <v>27.8259286172281</v>
      </c>
    </row>
    <row r="2666">
      <c r="A2666" t="n">
        <v>2665</v>
      </c>
      <c r="B2666" t="n">
        <v>53.8</v>
      </c>
      <c r="C2666" s="21">
        <f>B2666-20</f>
        <v/>
      </c>
      <c r="D2666" t="n">
        <v>104.6</v>
      </c>
      <c r="E2666" s="22">
        <f>D2666-90</f>
        <v/>
      </c>
      <c r="F2666" s="23" t="n">
        <v>0.013163</v>
      </c>
      <c r="G2666" s="22" t="n">
        <v>29.1</v>
      </c>
      <c r="H2666" s="22" t="n">
        <v>1.1</v>
      </c>
      <c r="I2666" s="24" t="n">
        <v>0.0964899063110351</v>
      </c>
      <c r="J2666" s="6" t="n">
        <v>71000</v>
      </c>
      <c r="K2666" s="25">
        <f>23*10^-6</f>
        <v/>
      </c>
      <c r="L2666" s="8">
        <f>H2666</f>
        <v/>
      </c>
      <c r="M2666" s="26">
        <f>H2666^2/6</f>
        <v/>
      </c>
      <c r="N2666" s="26">
        <f>H2666^3/12</f>
        <v/>
      </c>
      <c r="O2666" s="27">
        <f>-J2666*L2666*K2666*C2666</f>
        <v/>
      </c>
      <c r="P2666" s="28">
        <f>-(12*F2666*J2666*L2666*N2666+12*O2666*N2666*G2666*COS(RADIANS(E2666)))/(12*N2666*G2666*COS(RADIANS(E2666))^2+L2666*G2666^3*SIN(RADIANS(E2666))^2)</f>
        <v/>
      </c>
      <c r="Q2666" s="28">
        <f>-(6*F2666*J2666*L2666*N2666*SIN(RADIANS(E2666))+6*O2666*N2666*G2666*SIN(RADIANS(E2666))*COS(RADIANS(E2666)))/(12*N2666*COS(RADIANS(E2666))^2+L2666*G2666^2*SIN(RADIANS(E2666))^2)</f>
        <v/>
      </c>
      <c r="R2666" s="28">
        <f>-P2666*SIN(RADIANS(E2666))</f>
        <v/>
      </c>
      <c r="S2666" s="8">
        <f>(O2666+P2666*COS(RADIANS(E2666)))/L2666</f>
        <v/>
      </c>
      <c r="T2666" s="8">
        <f>R2666/L2666</f>
        <v/>
      </c>
      <c r="U2666" s="8">
        <f>(Q2666-P2666*G2666*SIN(RADIANS(E2666)))/M2666</f>
        <v/>
      </c>
      <c r="V2666" s="8">
        <f>SQRT((S2666+U2666)^2+3*T2666^2)</f>
        <v/>
      </c>
      <c r="W2666" s="8">
        <f>V2666/AA2666</f>
        <v/>
      </c>
      <c r="X2666" s="27">
        <f>((3*10+H2666/COS(RADIANS(E2666)))*(3+3)+3*G2666*H2666)*2</f>
        <v/>
      </c>
      <c r="Y2666" s="28">
        <f>Z2666/X2666</f>
        <v/>
      </c>
      <c r="Z2666" s="29" t="n">
        <v>569.934930899268</v>
      </c>
      <c r="AA2666" s="20" t="n">
        <v>49.0428983562785</v>
      </c>
      <c r="AB2666" t="n">
        <v>0.1373147323413201</v>
      </c>
      <c r="AC2666" t="n">
        <v>52.74262644720012</v>
      </c>
      <c r="AD2666" t="n">
        <v>42.30994473005939</v>
      </c>
    </row>
    <row r="2667">
      <c r="A2667" t="n">
        <v>2666</v>
      </c>
      <c r="B2667" t="n">
        <v>80.8</v>
      </c>
      <c r="C2667" s="21">
        <f>B2667-20</f>
        <v/>
      </c>
      <c r="D2667" t="n">
        <v>101</v>
      </c>
      <c r="E2667" s="22">
        <f>D2667-90</f>
        <v/>
      </c>
      <c r="F2667" s="23" t="n">
        <v>0.025523</v>
      </c>
      <c r="G2667" s="22" t="n">
        <v>31.4</v>
      </c>
      <c r="H2667" s="22" t="n">
        <v>1.6</v>
      </c>
      <c r="I2667" s="24" t="n">
        <v>0.225156515836715</v>
      </c>
      <c r="J2667" s="6" t="n">
        <v>71000</v>
      </c>
      <c r="K2667" s="25">
        <f>23*10^-6</f>
        <v/>
      </c>
      <c r="L2667" s="8">
        <f>H2667</f>
        <v/>
      </c>
      <c r="M2667" s="26">
        <f>H2667^2/6</f>
        <v/>
      </c>
      <c r="N2667" s="26">
        <f>H2667^3/12</f>
        <v/>
      </c>
      <c r="O2667" s="27">
        <f>-J2667*L2667*K2667*C2667</f>
        <v/>
      </c>
      <c r="P2667" s="28">
        <f>-(12*F2667*J2667*L2667*N2667+12*O2667*N2667*G2667*COS(RADIANS(E2667)))/(12*N2667*G2667*COS(RADIANS(E2667))^2+L2667*G2667^3*SIN(RADIANS(E2667))^2)</f>
        <v/>
      </c>
      <c r="Q2667" s="28">
        <f>-(6*F2667*J2667*L2667*N2667*SIN(RADIANS(E2667))+6*O2667*N2667*G2667*SIN(RADIANS(E2667))*COS(RADIANS(E2667)))/(12*N2667*COS(RADIANS(E2667))^2+L2667*G2667^2*SIN(RADIANS(E2667))^2)</f>
        <v/>
      </c>
      <c r="R2667" s="28">
        <f>-P2667*SIN(RADIANS(E2667))</f>
        <v/>
      </c>
      <c r="S2667" s="8">
        <f>(O2667+P2667*COS(RADIANS(E2667)))/L2667</f>
        <v/>
      </c>
      <c r="T2667" s="8">
        <f>R2667/L2667</f>
        <v/>
      </c>
      <c r="U2667" s="8">
        <f>(Q2667-P2667*G2667*SIN(RADIANS(E2667)))/M2667</f>
        <v/>
      </c>
      <c r="V2667" s="8">
        <f>SQRT((S2667+U2667)^2+3*T2667^2)</f>
        <v/>
      </c>
      <c r="W2667" s="8">
        <f>V2667/AA2667</f>
        <v/>
      </c>
      <c r="X2667" s="27">
        <f>((3*10+H2667/COS(RADIANS(E2667)))*(3+3)+3*G2667*H2667)*2</f>
        <v/>
      </c>
      <c r="Y2667" s="28">
        <f>Z2667/X2667</f>
        <v/>
      </c>
      <c r="Z2667" s="29" t="n">
        <v>684.882190607706</v>
      </c>
      <c r="AA2667" s="20" t="n">
        <v>101.502466645541</v>
      </c>
      <c r="AB2667" t="n">
        <v>0.3378688078202139</v>
      </c>
      <c r="AC2667" t="n">
        <v>104.0318691097972</v>
      </c>
      <c r="AD2667" t="n">
        <v>50.05952928550315</v>
      </c>
    </row>
    <row r="2668">
      <c r="A2668" t="n">
        <v>2667</v>
      </c>
      <c r="B2668" t="n">
        <v>79.5</v>
      </c>
      <c r="C2668" s="21">
        <f>B2668-20</f>
        <v/>
      </c>
      <c r="D2668" t="n">
        <v>104.2</v>
      </c>
      <c r="E2668" s="22">
        <f>D2668-90</f>
        <v/>
      </c>
      <c r="F2668" s="23" t="n">
        <v>0.024915</v>
      </c>
      <c r="G2668" s="22" t="n">
        <v>31.7</v>
      </c>
      <c r="H2668" s="22" t="n">
        <v>1.7</v>
      </c>
      <c r="I2668" s="24" t="n">
        <v>0.181887701153755</v>
      </c>
      <c r="J2668" s="6" t="n">
        <v>71000</v>
      </c>
      <c r="K2668" s="25">
        <f>23*10^-6</f>
        <v/>
      </c>
      <c r="L2668" s="8">
        <f>H2668</f>
        <v/>
      </c>
      <c r="M2668" s="26">
        <f>H2668^2/6</f>
        <v/>
      </c>
      <c r="N2668" s="26">
        <f>H2668^3/12</f>
        <v/>
      </c>
      <c r="O2668" s="27">
        <f>-J2668*L2668*K2668*C2668</f>
        <v/>
      </c>
      <c r="P2668" s="28">
        <f>-(12*F2668*J2668*L2668*N2668+12*O2668*N2668*G2668*COS(RADIANS(E2668)))/(12*N2668*G2668*COS(RADIANS(E2668))^2+L2668*G2668^3*SIN(RADIANS(E2668))^2)</f>
        <v/>
      </c>
      <c r="Q2668" s="28">
        <f>-(6*F2668*J2668*L2668*N2668*SIN(RADIANS(E2668))+6*O2668*N2668*G2668*SIN(RADIANS(E2668))*COS(RADIANS(E2668)))/(12*N2668*COS(RADIANS(E2668))^2+L2668*G2668^2*SIN(RADIANS(E2668))^2)</f>
        <v/>
      </c>
      <c r="R2668" s="28">
        <f>-P2668*SIN(RADIANS(E2668))</f>
        <v/>
      </c>
      <c r="S2668" s="8">
        <f>(O2668+P2668*COS(RADIANS(E2668)))/L2668</f>
        <v/>
      </c>
      <c r="T2668" s="8">
        <f>R2668/L2668</f>
        <v/>
      </c>
      <c r="U2668" s="8">
        <f>(Q2668-P2668*G2668*SIN(RADIANS(E2668)))/M2668</f>
        <v/>
      </c>
      <c r="V2668" s="8">
        <f>SQRT((S2668+U2668)^2+3*T2668^2)</f>
        <v/>
      </c>
      <c r="W2668" s="8">
        <f>V2668/AA2668</f>
        <v/>
      </c>
      <c r="X2668" s="27">
        <f>((3*10+H2668/COS(RADIANS(E2668)))*(3+3)+3*G2668*H2668)*2</f>
        <v/>
      </c>
      <c r="Y2668" s="28">
        <f>Z2668/X2668</f>
        <v/>
      </c>
      <c r="Z2668" s="29" t="n">
        <v>708.573013543606</v>
      </c>
      <c r="AA2668" s="20" t="n">
        <v>97.7137627975211</v>
      </c>
      <c r="AB2668" t="n">
        <v>0.2632027849907134</v>
      </c>
      <c r="AC2668" t="n">
        <v>98.33656058013527</v>
      </c>
      <c r="AD2668" t="n">
        <v>44.70620241014556</v>
      </c>
    </row>
    <row r="2669">
      <c r="A2669" t="n">
        <v>2668</v>
      </c>
      <c r="B2669" t="n">
        <v>69.40000000000001</v>
      </c>
      <c r="C2669" s="21">
        <f>B2669-20</f>
        <v/>
      </c>
      <c r="D2669" t="n">
        <v>118.4</v>
      </c>
      <c r="E2669" s="22">
        <f>D2669-90</f>
        <v/>
      </c>
      <c r="F2669" s="23" t="n">
        <v>0.01829</v>
      </c>
      <c r="G2669" s="22" t="n">
        <v>30.1</v>
      </c>
      <c r="H2669" s="22" t="n">
        <v>1.3</v>
      </c>
      <c r="I2669" s="24" t="n">
        <v>0.0872690752148628</v>
      </c>
      <c r="J2669" s="6" t="n">
        <v>71000</v>
      </c>
      <c r="K2669" s="25">
        <f>23*10^-6</f>
        <v/>
      </c>
      <c r="L2669" s="8">
        <f>H2669</f>
        <v/>
      </c>
      <c r="M2669" s="26">
        <f>H2669^2/6</f>
        <v/>
      </c>
      <c r="N2669" s="26">
        <f>H2669^3/12</f>
        <v/>
      </c>
      <c r="O2669" s="27">
        <f>-J2669*L2669*K2669*C2669</f>
        <v/>
      </c>
      <c r="P2669" s="28">
        <f>-(12*F2669*J2669*L2669*N2669+12*O2669*N2669*G2669*COS(RADIANS(E2669)))/(12*N2669*G2669*COS(RADIANS(E2669))^2+L2669*G2669^3*SIN(RADIANS(E2669))^2)</f>
        <v/>
      </c>
      <c r="Q2669" s="28">
        <f>-(6*F2669*J2669*L2669*N2669*SIN(RADIANS(E2669))+6*O2669*N2669*G2669*SIN(RADIANS(E2669))*COS(RADIANS(E2669)))/(12*N2669*COS(RADIANS(E2669))^2+L2669*G2669^2*SIN(RADIANS(E2669))^2)</f>
        <v/>
      </c>
      <c r="R2669" s="28">
        <f>-P2669*SIN(RADIANS(E2669))</f>
        <v/>
      </c>
      <c r="S2669" s="8">
        <f>(O2669+P2669*COS(RADIANS(E2669)))/L2669</f>
        <v/>
      </c>
      <c r="T2669" s="8">
        <f>R2669/L2669</f>
        <v/>
      </c>
      <c r="U2669" s="8">
        <f>(Q2669-P2669*G2669*SIN(RADIANS(E2669)))/M2669</f>
        <v/>
      </c>
      <c r="V2669" s="8">
        <f>SQRT((S2669+U2669)^2+3*T2669^2)</f>
        <v/>
      </c>
      <c r="W2669" s="8">
        <f>V2669/AA2669</f>
        <v/>
      </c>
      <c r="X2669" s="27">
        <f>((3*10+H2669/COS(RADIANS(E2669)))*(3+3)+3*G2669*H2669)*2</f>
        <v/>
      </c>
      <c r="Y2669" s="28">
        <f>Z2669/X2669</f>
        <v/>
      </c>
      <c r="Z2669" s="29" t="n">
        <v>619.231607270775</v>
      </c>
      <c r="AA2669" s="20" t="n">
        <v>70.9606858535158</v>
      </c>
      <c r="AB2669" t="n">
        <v>0.1049983048761717</v>
      </c>
      <c r="AC2669" t="n">
        <v>72.37899633826719</v>
      </c>
      <c r="AD2669" t="n">
        <v>20.31559245661567</v>
      </c>
    </row>
    <row r="2670">
      <c r="A2670" t="n">
        <v>2669</v>
      </c>
      <c r="B2670" t="n">
        <v>51.2</v>
      </c>
      <c r="C2670" s="21">
        <f>B2670-20</f>
        <v/>
      </c>
      <c r="D2670" t="n">
        <v>110.3</v>
      </c>
      <c r="E2670" s="22">
        <f>D2670-90</f>
        <v/>
      </c>
      <c r="F2670" s="23" t="n">
        <v>0.009306</v>
      </c>
      <c r="G2670" s="22" t="n">
        <v>21.5</v>
      </c>
      <c r="H2670" s="22" t="n">
        <v>1.3</v>
      </c>
      <c r="I2670" s="24" t="n">
        <v>0.0560049712657928</v>
      </c>
      <c r="J2670" s="6" t="n">
        <v>71000</v>
      </c>
      <c r="K2670" s="25">
        <f>23*10^-6</f>
        <v/>
      </c>
      <c r="L2670" s="8">
        <f>H2670</f>
        <v/>
      </c>
      <c r="M2670" s="26">
        <f>H2670^2/6</f>
        <v/>
      </c>
      <c r="N2670" s="26">
        <f>H2670^3/12</f>
        <v/>
      </c>
      <c r="O2670" s="27">
        <f>-J2670*L2670*K2670*C2670</f>
        <v/>
      </c>
      <c r="P2670" s="28">
        <f>-(12*F2670*J2670*L2670*N2670+12*O2670*N2670*G2670*COS(RADIANS(E2670)))/(12*N2670*G2670*COS(RADIANS(E2670))^2+L2670*G2670^3*SIN(RADIANS(E2670))^2)</f>
        <v/>
      </c>
      <c r="Q2670" s="28">
        <f>-(6*F2670*J2670*L2670*N2670*SIN(RADIANS(E2670))+6*O2670*N2670*G2670*SIN(RADIANS(E2670))*COS(RADIANS(E2670)))/(12*N2670*COS(RADIANS(E2670))^2+L2670*G2670^2*SIN(RADIANS(E2670))^2)</f>
        <v/>
      </c>
      <c r="R2670" s="28">
        <f>-P2670*SIN(RADIANS(E2670))</f>
        <v/>
      </c>
      <c r="S2670" s="8">
        <f>(O2670+P2670*COS(RADIANS(E2670)))/L2670</f>
        <v/>
      </c>
      <c r="T2670" s="8">
        <f>R2670/L2670</f>
        <v/>
      </c>
      <c r="U2670" s="8">
        <f>(Q2670-P2670*G2670*SIN(RADIANS(E2670)))/M2670</f>
        <v/>
      </c>
      <c r="V2670" s="8">
        <f>SQRT((S2670+U2670)^2+3*T2670^2)</f>
        <v/>
      </c>
      <c r="W2670" s="8">
        <f>V2670/AA2670</f>
        <v/>
      </c>
      <c r="X2670" s="27">
        <f>((3*10+H2670/COS(RADIANS(E2670)))*(3+3)+3*G2670*H2670)*2</f>
        <v/>
      </c>
      <c r="Y2670" s="28">
        <f>Z2670/X2670</f>
        <v/>
      </c>
      <c r="Z2670" s="29" t="n">
        <v>549.356112814755</v>
      </c>
      <c r="AA2670" s="20" t="n">
        <v>47.4479086767178</v>
      </c>
      <c r="AB2670" t="n">
        <v>0.06772694909182018</v>
      </c>
      <c r="AC2670" t="n">
        <v>48.65936651693208</v>
      </c>
      <c r="AD2670" t="n">
        <v>20.93024522840357</v>
      </c>
    </row>
    <row r="2671">
      <c r="A2671" t="n">
        <v>2670</v>
      </c>
      <c r="B2671" t="n">
        <v>44.7</v>
      </c>
      <c r="C2671" s="21">
        <f>B2671-20</f>
        <v/>
      </c>
      <c r="D2671" t="n">
        <v>119</v>
      </c>
      <c r="E2671" s="22">
        <f>D2671-90</f>
        <v/>
      </c>
      <c r="F2671" s="23" t="n">
        <v>0.007034</v>
      </c>
      <c r="G2671" s="22" t="n">
        <v>21.7</v>
      </c>
      <c r="H2671" s="22" t="n">
        <v>1.1</v>
      </c>
      <c r="I2671" s="24" t="n">
        <v>0.034937746822834</v>
      </c>
      <c r="J2671" s="6" t="n">
        <v>71000</v>
      </c>
      <c r="K2671" s="25">
        <f>23*10^-6</f>
        <v/>
      </c>
      <c r="L2671" s="8">
        <f>H2671</f>
        <v/>
      </c>
      <c r="M2671" s="26">
        <f>H2671^2/6</f>
        <v/>
      </c>
      <c r="N2671" s="26">
        <f>H2671^3/12</f>
        <v/>
      </c>
      <c r="O2671" s="27">
        <f>-J2671*L2671*K2671*C2671</f>
        <v/>
      </c>
      <c r="P2671" s="28">
        <f>-(12*F2671*J2671*L2671*N2671+12*O2671*N2671*G2671*COS(RADIANS(E2671)))/(12*N2671*G2671*COS(RADIANS(E2671))^2+L2671*G2671^3*SIN(RADIANS(E2671))^2)</f>
        <v/>
      </c>
      <c r="Q2671" s="28">
        <f>-(6*F2671*J2671*L2671*N2671*SIN(RADIANS(E2671))+6*O2671*N2671*G2671*SIN(RADIANS(E2671))*COS(RADIANS(E2671)))/(12*N2671*COS(RADIANS(E2671))^2+L2671*G2671^2*SIN(RADIANS(E2671))^2)</f>
        <v/>
      </c>
      <c r="R2671" s="28">
        <f>-P2671*SIN(RADIANS(E2671))</f>
        <v/>
      </c>
      <c r="S2671" s="8">
        <f>(O2671+P2671*COS(RADIANS(E2671)))/L2671</f>
        <v/>
      </c>
      <c r="T2671" s="8">
        <f>R2671/L2671</f>
        <v/>
      </c>
      <c r="U2671" s="8">
        <f>(Q2671-P2671*G2671*SIN(RADIANS(E2671)))/M2671</f>
        <v/>
      </c>
      <c r="V2671" s="8">
        <f>SQRT((S2671+U2671)^2+3*T2671^2)</f>
        <v/>
      </c>
      <c r="W2671" s="8">
        <f>V2671/AA2671</f>
        <v/>
      </c>
      <c r="X2671" s="27">
        <f>((3*10+H2671/COS(RADIANS(E2671)))*(3+3)+3*G2671*H2671)*2</f>
        <v/>
      </c>
      <c r="Y2671" s="28">
        <f>Z2671/X2671</f>
        <v/>
      </c>
      <c r="Z2671" s="29" t="n">
        <v>525.186400710528</v>
      </c>
      <c r="AA2671" s="20" t="n">
        <v>35.0700944971087</v>
      </c>
      <c r="AB2671" t="n">
        <v>0.03776865125796883</v>
      </c>
      <c r="AC2671" t="n">
        <v>36.21749230250212</v>
      </c>
      <c r="AD2671" t="n">
        <v>8.102710370792009</v>
      </c>
    </row>
    <row r="2672">
      <c r="A2672" t="n">
        <v>2671</v>
      </c>
      <c r="B2672" t="n">
        <v>79</v>
      </c>
      <c r="C2672" s="21">
        <f>B2672-20</f>
        <v/>
      </c>
      <c r="D2672" t="n">
        <v>122.6</v>
      </c>
      <c r="E2672" s="22">
        <f>D2672-90</f>
        <v/>
      </c>
      <c r="F2672" s="23" t="n">
        <v>0.017068</v>
      </c>
      <c r="G2672" s="22" t="n">
        <v>23</v>
      </c>
      <c r="H2672" s="22" t="n">
        <v>1.1</v>
      </c>
      <c r="I2672" s="24" t="n">
        <v>0.0801105201244354</v>
      </c>
      <c r="J2672" s="6" t="n">
        <v>71000</v>
      </c>
      <c r="K2672" s="25">
        <f>23*10^-6</f>
        <v/>
      </c>
      <c r="L2672" s="8">
        <f>H2672</f>
        <v/>
      </c>
      <c r="M2672" s="26">
        <f>H2672^2/6</f>
        <v/>
      </c>
      <c r="N2672" s="26">
        <f>H2672^3/12</f>
        <v/>
      </c>
      <c r="O2672" s="27">
        <f>-J2672*L2672*K2672*C2672</f>
        <v/>
      </c>
      <c r="P2672" s="28">
        <f>-(12*F2672*J2672*L2672*N2672+12*O2672*N2672*G2672*COS(RADIANS(E2672)))/(12*N2672*G2672*COS(RADIANS(E2672))^2+L2672*G2672^3*SIN(RADIANS(E2672))^2)</f>
        <v/>
      </c>
      <c r="Q2672" s="28">
        <f>-(6*F2672*J2672*L2672*N2672*SIN(RADIANS(E2672))+6*O2672*N2672*G2672*SIN(RADIANS(E2672))*COS(RADIANS(E2672)))/(12*N2672*COS(RADIANS(E2672))^2+L2672*G2672^2*SIN(RADIANS(E2672))^2)</f>
        <v/>
      </c>
      <c r="R2672" s="28">
        <f>-P2672*SIN(RADIANS(E2672))</f>
        <v/>
      </c>
      <c r="S2672" s="8">
        <f>(O2672+P2672*COS(RADIANS(E2672)))/L2672</f>
        <v/>
      </c>
      <c r="T2672" s="8">
        <f>R2672/L2672</f>
        <v/>
      </c>
      <c r="U2672" s="8">
        <f>(Q2672-P2672*G2672*SIN(RADIANS(E2672)))/M2672</f>
        <v/>
      </c>
      <c r="V2672" s="8">
        <f>SQRT((S2672+U2672)^2+3*T2672^2)</f>
        <v/>
      </c>
      <c r="W2672" s="8">
        <f>V2672/AA2672</f>
        <v/>
      </c>
      <c r="X2672" s="27">
        <f>((3*10+H2672/COS(RADIANS(E2672)))*(3+3)+3*G2672*H2672)*2</f>
        <v/>
      </c>
      <c r="Y2672" s="28">
        <f>Z2672/X2672</f>
        <v/>
      </c>
      <c r="Z2672" s="29" t="n">
        <v>535.3904270066751</v>
      </c>
      <c r="AA2672" s="20" t="n">
        <v>82.2695687331387</v>
      </c>
      <c r="AB2672" t="n">
        <v>0.0840874572690038</v>
      </c>
      <c r="AC2672" t="n">
        <v>85.29284619476309</v>
      </c>
      <c r="AD2672" t="n">
        <v>4.964313224269466</v>
      </c>
    </row>
    <row r="2673">
      <c r="A2673" t="n">
        <v>2672</v>
      </c>
      <c r="B2673" t="n">
        <v>64.5</v>
      </c>
      <c r="C2673" s="21">
        <f>B2673-20</f>
        <v/>
      </c>
      <c r="D2673" t="n">
        <v>116.3</v>
      </c>
      <c r="E2673" s="22">
        <f>D2673-90</f>
        <v/>
      </c>
      <c r="F2673" s="23" t="n">
        <v>0.013004</v>
      </c>
      <c r="G2673" s="22" t="n">
        <v>21.9</v>
      </c>
      <c r="H2673" s="22" t="n">
        <v>1.9</v>
      </c>
      <c r="I2673" s="24" t="n">
        <v>0.0671833455562591</v>
      </c>
      <c r="J2673" s="6" t="n">
        <v>71000</v>
      </c>
      <c r="K2673" s="25">
        <f>23*10^-6</f>
        <v/>
      </c>
      <c r="L2673" s="8">
        <f>H2673</f>
        <v/>
      </c>
      <c r="M2673" s="26">
        <f>H2673^2/6</f>
        <v/>
      </c>
      <c r="N2673" s="26">
        <f>H2673^3/12</f>
        <v/>
      </c>
      <c r="O2673" s="27">
        <f>-J2673*L2673*K2673*C2673</f>
        <v/>
      </c>
      <c r="P2673" s="28">
        <f>-(12*F2673*J2673*L2673*N2673+12*O2673*N2673*G2673*COS(RADIANS(E2673)))/(12*N2673*G2673*COS(RADIANS(E2673))^2+L2673*G2673^3*SIN(RADIANS(E2673))^2)</f>
        <v/>
      </c>
      <c r="Q2673" s="28">
        <f>-(6*F2673*J2673*L2673*N2673*SIN(RADIANS(E2673))+6*O2673*N2673*G2673*SIN(RADIANS(E2673))*COS(RADIANS(E2673)))/(12*N2673*COS(RADIANS(E2673))^2+L2673*G2673^2*SIN(RADIANS(E2673))^2)</f>
        <v/>
      </c>
      <c r="R2673" s="28">
        <f>-P2673*SIN(RADIANS(E2673))</f>
        <v/>
      </c>
      <c r="S2673" s="8">
        <f>(O2673+P2673*COS(RADIANS(E2673)))/L2673</f>
        <v/>
      </c>
      <c r="T2673" s="8">
        <f>R2673/L2673</f>
        <v/>
      </c>
      <c r="U2673" s="8">
        <f>(Q2673-P2673*G2673*SIN(RADIANS(E2673)))/M2673</f>
        <v/>
      </c>
      <c r="V2673" s="8">
        <f>SQRT((S2673+U2673)^2+3*T2673^2)</f>
        <v/>
      </c>
      <c r="W2673" s="8">
        <f>V2673/AA2673</f>
        <v/>
      </c>
      <c r="X2673" s="27">
        <f>((3*10+H2673/COS(RADIANS(E2673)))*(3+3)+3*G2673*H2673)*2</f>
        <v/>
      </c>
      <c r="Y2673" s="28">
        <f>Z2673/X2673</f>
        <v/>
      </c>
      <c r="Z2673" s="29" t="n">
        <v>641.297431265812</v>
      </c>
      <c r="AA2673" s="20" t="n">
        <v>75.9945963691697</v>
      </c>
      <c r="AB2673" t="n">
        <v>0.07440921025165764</v>
      </c>
      <c r="AC2673" t="n">
        <v>69.91538882182211</v>
      </c>
      <c r="AD2673" t="n">
        <v>10.75544040799164</v>
      </c>
    </row>
    <row r="2674">
      <c r="A2674" t="n">
        <v>2673</v>
      </c>
      <c r="B2674" t="n">
        <v>44.8</v>
      </c>
      <c r="C2674" s="21">
        <f>B2674-20</f>
        <v/>
      </c>
      <c r="D2674" t="n">
        <v>125.8</v>
      </c>
      <c r="E2674" s="22">
        <f>D2674-90</f>
        <v/>
      </c>
      <c r="F2674" s="23" t="n">
        <v>0.008965000000000001</v>
      </c>
      <c r="G2674" s="22" t="n">
        <v>31.7</v>
      </c>
      <c r="H2674" s="22" t="n">
        <v>1.6</v>
      </c>
      <c r="I2674" s="24" t="n">
        <v>0.0390235409140586</v>
      </c>
      <c r="J2674" s="6" t="n">
        <v>71000</v>
      </c>
      <c r="K2674" s="25">
        <f>23*10^-6</f>
        <v/>
      </c>
      <c r="L2674" s="8">
        <f>H2674</f>
        <v/>
      </c>
      <c r="M2674" s="26">
        <f>H2674^2/6</f>
        <v/>
      </c>
      <c r="N2674" s="26">
        <f>H2674^3/12</f>
        <v/>
      </c>
      <c r="O2674" s="27">
        <f>-J2674*L2674*K2674*C2674</f>
        <v/>
      </c>
      <c r="P2674" s="28">
        <f>-(12*F2674*J2674*L2674*N2674+12*O2674*N2674*G2674*COS(RADIANS(E2674)))/(12*N2674*G2674*COS(RADIANS(E2674))^2+L2674*G2674^3*SIN(RADIANS(E2674))^2)</f>
        <v/>
      </c>
      <c r="Q2674" s="28">
        <f>-(6*F2674*J2674*L2674*N2674*SIN(RADIANS(E2674))+6*O2674*N2674*G2674*SIN(RADIANS(E2674))*COS(RADIANS(E2674)))/(12*N2674*COS(RADIANS(E2674))^2+L2674*G2674^2*SIN(RADIANS(E2674))^2)</f>
        <v/>
      </c>
      <c r="R2674" s="28">
        <f>-P2674*SIN(RADIANS(E2674))</f>
        <v/>
      </c>
      <c r="S2674" s="8">
        <f>(O2674+P2674*COS(RADIANS(E2674)))/L2674</f>
        <v/>
      </c>
      <c r="T2674" s="8">
        <f>R2674/L2674</f>
        <v/>
      </c>
      <c r="U2674" s="8">
        <f>(Q2674-P2674*G2674*SIN(RADIANS(E2674)))/M2674</f>
        <v/>
      </c>
      <c r="V2674" s="8">
        <f>SQRT((S2674+U2674)^2+3*T2674^2)</f>
        <v/>
      </c>
      <c r="W2674" s="8">
        <f>V2674/AA2674</f>
        <v/>
      </c>
      <c r="X2674" s="27">
        <f>((3*10+H2674/COS(RADIANS(E2674)))*(3+3)+3*G2674*H2674)*2</f>
        <v/>
      </c>
      <c r="Y2674" s="28">
        <f>Z2674/X2674</f>
        <v/>
      </c>
      <c r="Z2674" s="29" t="n">
        <v>697.017008898529</v>
      </c>
      <c r="AA2674" s="20" t="n">
        <v>36.5214928065956</v>
      </c>
      <c r="AB2674" t="n">
        <v>0.0430989758514792</v>
      </c>
      <c r="AC2674" t="n">
        <v>35.95127013305147</v>
      </c>
      <c r="AD2674" t="n">
        <v>10.44352932091916</v>
      </c>
    </row>
    <row r="2675">
      <c r="A2675" t="n">
        <v>2674</v>
      </c>
      <c r="B2675" t="n">
        <v>59.1</v>
      </c>
      <c r="C2675" s="21">
        <f>B2675-20</f>
        <v/>
      </c>
      <c r="D2675" t="n">
        <v>121.4</v>
      </c>
      <c r="E2675" s="22">
        <f>D2675-90</f>
        <v/>
      </c>
      <c r="F2675" s="23" t="n">
        <v>0.013936</v>
      </c>
      <c r="G2675" s="22" t="n">
        <v>29.6</v>
      </c>
      <c r="H2675" s="22" t="n">
        <v>1.2</v>
      </c>
      <c r="I2675" s="24" t="n">
        <v>0.0638215914368629</v>
      </c>
      <c r="J2675" s="6" t="n">
        <v>71000</v>
      </c>
      <c r="K2675" s="25">
        <f>23*10^-6</f>
        <v/>
      </c>
      <c r="L2675" s="8">
        <f>H2675</f>
        <v/>
      </c>
      <c r="M2675" s="26">
        <f>H2675^2/6</f>
        <v/>
      </c>
      <c r="N2675" s="26">
        <f>H2675^3/12</f>
        <v/>
      </c>
      <c r="O2675" s="27">
        <f>-J2675*L2675*K2675*C2675</f>
        <v/>
      </c>
      <c r="P2675" s="28">
        <f>-(12*F2675*J2675*L2675*N2675+12*O2675*N2675*G2675*COS(RADIANS(E2675)))/(12*N2675*G2675*COS(RADIANS(E2675))^2+L2675*G2675^3*SIN(RADIANS(E2675))^2)</f>
        <v/>
      </c>
      <c r="Q2675" s="28">
        <f>-(6*F2675*J2675*L2675*N2675*SIN(RADIANS(E2675))+6*O2675*N2675*G2675*SIN(RADIANS(E2675))*COS(RADIANS(E2675)))/(12*N2675*COS(RADIANS(E2675))^2+L2675*G2675^2*SIN(RADIANS(E2675))^2)</f>
        <v/>
      </c>
      <c r="R2675" s="28">
        <f>-P2675*SIN(RADIANS(E2675))</f>
        <v/>
      </c>
      <c r="S2675" s="8">
        <f>(O2675+P2675*COS(RADIANS(E2675)))/L2675</f>
        <v/>
      </c>
      <c r="T2675" s="8">
        <f>R2675/L2675</f>
        <v/>
      </c>
      <c r="U2675" s="8">
        <f>(Q2675-P2675*G2675*SIN(RADIANS(E2675)))/M2675</f>
        <v/>
      </c>
      <c r="V2675" s="8">
        <f>SQRT((S2675+U2675)^2+3*T2675^2)</f>
        <v/>
      </c>
      <c r="W2675" s="8">
        <f>V2675/AA2675</f>
        <v/>
      </c>
      <c r="X2675" s="27">
        <f>((3*10+H2675/COS(RADIANS(E2675)))*(3+3)+3*G2675*H2675)*2</f>
        <v/>
      </c>
      <c r="Y2675" s="28">
        <f>Z2675/X2675</f>
        <v/>
      </c>
      <c r="Z2675" s="29" t="n">
        <v>597.542164482299</v>
      </c>
      <c r="AA2675" s="20" t="n">
        <v>54.5394061975977</v>
      </c>
      <c r="AB2675" t="n">
        <v>0.07356072533692279</v>
      </c>
      <c r="AC2675" t="n">
        <v>56.45484780994739</v>
      </c>
      <c r="AD2675" t="n">
        <v>15.25993583173896</v>
      </c>
    </row>
    <row r="2676">
      <c r="A2676" t="n">
        <v>2675</v>
      </c>
      <c r="B2676" t="n">
        <v>51.8</v>
      </c>
      <c r="C2676" s="21">
        <f>B2676-20</f>
        <v/>
      </c>
      <c r="D2676" t="n">
        <v>120.1</v>
      </c>
      <c r="E2676" s="22">
        <f>D2676-90</f>
        <v/>
      </c>
      <c r="F2676" s="23" t="n">
        <v>0.011114</v>
      </c>
      <c r="G2676" s="22" t="n">
        <v>28.5</v>
      </c>
      <c r="H2676" s="22" t="n">
        <v>1.8</v>
      </c>
      <c r="I2676" s="24" t="n">
        <v>0.0521172508597373</v>
      </c>
      <c r="J2676" s="6" t="n">
        <v>71000</v>
      </c>
      <c r="K2676" s="25">
        <f>23*10^-6</f>
        <v/>
      </c>
      <c r="L2676" s="8">
        <f>H2676</f>
        <v/>
      </c>
      <c r="M2676" s="26">
        <f>H2676^2/6</f>
        <v/>
      </c>
      <c r="N2676" s="26">
        <f>H2676^3/12</f>
        <v/>
      </c>
      <c r="O2676" s="27">
        <f>-J2676*L2676*K2676*C2676</f>
        <v/>
      </c>
      <c r="P2676" s="28">
        <f>-(12*F2676*J2676*L2676*N2676+12*O2676*N2676*G2676*COS(RADIANS(E2676)))/(12*N2676*G2676*COS(RADIANS(E2676))^2+L2676*G2676^3*SIN(RADIANS(E2676))^2)</f>
        <v/>
      </c>
      <c r="Q2676" s="28">
        <f>-(6*F2676*J2676*L2676*N2676*SIN(RADIANS(E2676))+6*O2676*N2676*G2676*SIN(RADIANS(E2676))*COS(RADIANS(E2676)))/(12*N2676*COS(RADIANS(E2676))^2+L2676*G2676^2*SIN(RADIANS(E2676))^2)</f>
        <v/>
      </c>
      <c r="R2676" s="28">
        <f>-P2676*SIN(RADIANS(E2676))</f>
        <v/>
      </c>
      <c r="S2676" s="8">
        <f>(O2676+P2676*COS(RADIANS(E2676)))/L2676</f>
        <v/>
      </c>
      <c r="T2676" s="8">
        <f>R2676/L2676</f>
        <v/>
      </c>
      <c r="U2676" s="8">
        <f>(Q2676-P2676*G2676*SIN(RADIANS(E2676)))/M2676</f>
        <v/>
      </c>
      <c r="V2676" s="8">
        <f>SQRT((S2676+U2676)^2+3*T2676^2)</f>
        <v/>
      </c>
      <c r="W2676" s="8">
        <f>V2676/AA2676</f>
        <v/>
      </c>
      <c r="X2676" s="27">
        <f>((3*10+H2676/COS(RADIANS(E2676)))*(3+3)+3*G2676*H2676)*2</f>
        <v/>
      </c>
      <c r="Y2676" s="28">
        <f>Z2676/X2676</f>
        <v/>
      </c>
      <c r="Z2676" s="29" t="n">
        <v>699.941165795826</v>
      </c>
      <c r="AA2676" s="20" t="n">
        <v>49.9134302114491</v>
      </c>
      <c r="AB2676" t="n">
        <v>0.05994825996812955</v>
      </c>
      <c r="AC2676" t="n">
        <v>47.81366985624701</v>
      </c>
      <c r="AD2676" t="n">
        <v>15.02575247007516</v>
      </c>
    </row>
    <row r="2677">
      <c r="A2677" t="n">
        <v>2676</v>
      </c>
      <c r="B2677" t="n">
        <v>89.59999999999999</v>
      </c>
      <c r="C2677" s="21">
        <f>B2677-20</f>
        <v/>
      </c>
      <c r="D2677" t="n">
        <v>129.9</v>
      </c>
      <c r="E2677" s="22">
        <f>D2677-90</f>
        <v/>
      </c>
      <c r="F2677" s="23" t="n">
        <v>0.0173</v>
      </c>
      <c r="G2677" s="22" t="n">
        <v>20.6</v>
      </c>
      <c r="H2677" s="22" t="n">
        <v>1</v>
      </c>
      <c r="I2677" s="24" t="n">
        <v>0.0783663764595985</v>
      </c>
      <c r="J2677" s="6" t="n">
        <v>71000</v>
      </c>
      <c r="K2677" s="25">
        <f>23*10^-6</f>
        <v/>
      </c>
      <c r="L2677" s="8">
        <f>H2677</f>
        <v/>
      </c>
      <c r="M2677" s="26">
        <f>H2677^2/6</f>
        <v/>
      </c>
      <c r="N2677" s="26">
        <f>H2677^3/12</f>
        <v/>
      </c>
      <c r="O2677" s="27">
        <f>-J2677*L2677*K2677*C2677</f>
        <v/>
      </c>
      <c r="P2677" s="28">
        <f>-(12*F2677*J2677*L2677*N2677+12*O2677*N2677*G2677*COS(RADIANS(E2677)))/(12*N2677*G2677*COS(RADIANS(E2677))^2+L2677*G2677^3*SIN(RADIANS(E2677))^2)</f>
        <v/>
      </c>
      <c r="Q2677" s="28">
        <f>-(6*F2677*J2677*L2677*N2677*SIN(RADIANS(E2677))+6*O2677*N2677*G2677*SIN(RADIANS(E2677))*COS(RADIANS(E2677)))/(12*N2677*COS(RADIANS(E2677))^2+L2677*G2677^2*SIN(RADIANS(E2677))^2)</f>
        <v/>
      </c>
      <c r="R2677" s="28">
        <f>-P2677*SIN(RADIANS(E2677))</f>
        <v/>
      </c>
      <c r="S2677" s="8">
        <f>(O2677+P2677*COS(RADIANS(E2677)))/L2677</f>
        <v/>
      </c>
      <c r="T2677" s="8">
        <f>R2677/L2677</f>
        <v/>
      </c>
      <c r="U2677" s="8">
        <f>(Q2677-P2677*G2677*SIN(RADIANS(E2677)))/M2677</f>
        <v/>
      </c>
      <c r="V2677" s="8">
        <f>SQRT((S2677+U2677)^2+3*T2677^2)</f>
        <v/>
      </c>
      <c r="W2677" s="8">
        <f>V2677/AA2677</f>
        <v/>
      </c>
      <c r="X2677" s="27">
        <f>((3*10+H2677/COS(RADIANS(E2677)))*(3+3)+3*G2677*H2677)*2</f>
        <v/>
      </c>
      <c r="Y2677" s="28">
        <f>Z2677/X2677</f>
        <v/>
      </c>
      <c r="Z2677" s="29" t="n">
        <v>509.959639925634</v>
      </c>
      <c r="AA2677" s="20" t="n">
        <v>93.15908208070149</v>
      </c>
      <c r="AB2677" t="n">
        <v>0.07180889208169779</v>
      </c>
      <c r="AC2677" t="n">
        <v>98.51254324713891</v>
      </c>
      <c r="AD2677" t="n">
        <v>-8.367726918293076</v>
      </c>
    </row>
    <row r="2678">
      <c r="A2678" t="n">
        <v>2677</v>
      </c>
      <c r="B2678" t="n">
        <v>77.5</v>
      </c>
      <c r="C2678" s="21">
        <f>B2678-20</f>
        <v/>
      </c>
      <c r="D2678" t="n">
        <v>119.2</v>
      </c>
      <c r="E2678" s="22">
        <f>D2678-90</f>
        <v/>
      </c>
      <c r="F2678" s="23" t="n">
        <v>0.018524</v>
      </c>
      <c r="G2678" s="22" t="n">
        <v>25.5</v>
      </c>
      <c r="H2678" s="22" t="n">
        <v>1.2</v>
      </c>
      <c r="I2678" s="24" t="n">
        <v>0.0894332155585289</v>
      </c>
      <c r="J2678" s="6" t="n">
        <v>71000</v>
      </c>
      <c r="K2678" s="25">
        <f>23*10^-6</f>
        <v/>
      </c>
      <c r="L2678" s="8">
        <f>H2678</f>
        <v/>
      </c>
      <c r="M2678" s="26">
        <f>H2678^2/6</f>
        <v/>
      </c>
      <c r="N2678" s="26">
        <f>H2678^3/12</f>
        <v/>
      </c>
      <c r="O2678" s="27">
        <f>-J2678*L2678*K2678*C2678</f>
        <v/>
      </c>
      <c r="P2678" s="28">
        <f>-(12*F2678*J2678*L2678*N2678+12*O2678*N2678*G2678*COS(RADIANS(E2678)))/(12*N2678*G2678*COS(RADIANS(E2678))^2+L2678*G2678^3*SIN(RADIANS(E2678))^2)</f>
        <v/>
      </c>
      <c r="Q2678" s="28">
        <f>-(6*F2678*J2678*L2678*N2678*SIN(RADIANS(E2678))+6*O2678*N2678*G2678*SIN(RADIANS(E2678))*COS(RADIANS(E2678)))/(12*N2678*COS(RADIANS(E2678))^2+L2678*G2678^2*SIN(RADIANS(E2678))^2)</f>
        <v/>
      </c>
      <c r="R2678" s="28">
        <f>-P2678*SIN(RADIANS(E2678))</f>
        <v/>
      </c>
      <c r="S2678" s="8">
        <f>(O2678+P2678*COS(RADIANS(E2678)))/L2678</f>
        <v/>
      </c>
      <c r="T2678" s="8">
        <f>R2678/L2678</f>
        <v/>
      </c>
      <c r="U2678" s="8">
        <f>(Q2678-P2678*G2678*SIN(RADIANS(E2678)))/M2678</f>
        <v/>
      </c>
      <c r="V2678" s="8">
        <f>SQRT((S2678+U2678)^2+3*T2678^2)</f>
        <v/>
      </c>
      <c r="W2678" s="8">
        <f>V2678/AA2678</f>
        <v/>
      </c>
      <c r="X2678" s="27">
        <f>((3*10+H2678/COS(RADIANS(E2678)))*(3+3)+3*G2678*H2678)*2</f>
        <v/>
      </c>
      <c r="Y2678" s="28">
        <f>Z2678/X2678</f>
        <v/>
      </c>
      <c r="Z2678" s="29" t="n">
        <v>567.023810181733</v>
      </c>
      <c r="AA2678" s="20" t="n">
        <v>81.81238204708301</v>
      </c>
      <c r="AB2678" t="n">
        <v>0.1014780429956244</v>
      </c>
      <c r="AC2678" t="n">
        <v>84.20990501417577</v>
      </c>
      <c r="AD2678" t="n">
        <v>13.46795747181075</v>
      </c>
    </row>
    <row r="2679">
      <c r="A2679" t="n">
        <v>2678</v>
      </c>
      <c r="B2679" t="n">
        <v>85.8</v>
      </c>
      <c r="C2679" s="21">
        <f>B2679-20</f>
        <v/>
      </c>
      <c r="D2679" t="n">
        <v>116</v>
      </c>
      <c r="E2679" s="22">
        <f>D2679-90</f>
        <v/>
      </c>
      <c r="F2679" s="23" t="n">
        <v>0.022097</v>
      </c>
      <c r="G2679" s="22" t="n">
        <v>26.1</v>
      </c>
      <c r="H2679" s="22" t="n">
        <v>1.2</v>
      </c>
      <c r="I2679" s="24" t="n">
        <v>0.112464770674705</v>
      </c>
      <c r="J2679" s="6" t="n">
        <v>71000</v>
      </c>
      <c r="K2679" s="25">
        <f>23*10^-6</f>
        <v/>
      </c>
      <c r="L2679" s="8">
        <f>H2679</f>
        <v/>
      </c>
      <c r="M2679" s="26">
        <f>H2679^2/6</f>
        <v/>
      </c>
      <c r="N2679" s="26">
        <f>H2679^3/12</f>
        <v/>
      </c>
      <c r="O2679" s="27">
        <f>-J2679*L2679*K2679*C2679</f>
        <v/>
      </c>
      <c r="P2679" s="28">
        <f>-(12*F2679*J2679*L2679*N2679+12*O2679*N2679*G2679*COS(RADIANS(E2679)))/(12*N2679*G2679*COS(RADIANS(E2679))^2+L2679*G2679^3*SIN(RADIANS(E2679))^2)</f>
        <v/>
      </c>
      <c r="Q2679" s="28">
        <f>-(6*F2679*J2679*L2679*N2679*SIN(RADIANS(E2679))+6*O2679*N2679*G2679*SIN(RADIANS(E2679))*COS(RADIANS(E2679)))/(12*N2679*COS(RADIANS(E2679))^2+L2679*G2679^2*SIN(RADIANS(E2679))^2)</f>
        <v/>
      </c>
      <c r="R2679" s="28">
        <f>-P2679*SIN(RADIANS(E2679))</f>
        <v/>
      </c>
      <c r="S2679" s="8">
        <f>(O2679+P2679*COS(RADIANS(E2679)))/L2679</f>
        <v/>
      </c>
      <c r="T2679" s="8">
        <f>R2679/L2679</f>
        <v/>
      </c>
      <c r="U2679" s="8">
        <f>(Q2679-P2679*G2679*SIN(RADIANS(E2679)))/M2679</f>
        <v/>
      </c>
      <c r="V2679" s="8">
        <f>SQRT((S2679+U2679)^2+3*T2679^2)</f>
        <v/>
      </c>
      <c r="W2679" s="8">
        <f>V2679/AA2679</f>
        <v/>
      </c>
      <c r="X2679" s="27">
        <f>((3*10+H2679/COS(RADIANS(E2679)))*(3+3)+3*G2679*H2679)*2</f>
        <v/>
      </c>
      <c r="Y2679" s="28">
        <f>Z2679/X2679</f>
        <v/>
      </c>
      <c r="Z2679" s="29" t="n">
        <v>570.077543899888</v>
      </c>
      <c r="AA2679" s="20" t="n">
        <v>95.0111571556312</v>
      </c>
      <c r="AB2679" t="n">
        <v>0.1341245097702882</v>
      </c>
      <c r="AC2679" t="n">
        <v>97.43741097433457</v>
      </c>
      <c r="AD2679" t="n">
        <v>19.25913240710032</v>
      </c>
    </row>
    <row r="2680">
      <c r="A2680" t="n">
        <v>2679</v>
      </c>
      <c r="B2680" t="n">
        <v>60.4</v>
      </c>
      <c r="C2680" s="21">
        <f>B2680-20</f>
        <v/>
      </c>
      <c r="D2680" t="n">
        <v>116</v>
      </c>
      <c r="E2680" s="22">
        <f>D2680-90</f>
        <v/>
      </c>
      <c r="F2680" s="23" t="n">
        <v>0.016341</v>
      </c>
      <c r="G2680" s="22" t="n">
        <v>32.8</v>
      </c>
      <c r="H2680" s="22" t="n">
        <v>1.2</v>
      </c>
      <c r="I2680" s="24" t="n">
        <v>0.08052048087120051</v>
      </c>
      <c r="J2680" s="6" t="n">
        <v>71000</v>
      </c>
      <c r="K2680" s="25">
        <f>23*10^-6</f>
        <v/>
      </c>
      <c r="L2680" s="8">
        <f>H2680</f>
        <v/>
      </c>
      <c r="M2680" s="26">
        <f>H2680^2/6</f>
        <v/>
      </c>
      <c r="N2680" s="26">
        <f>H2680^3/12</f>
        <v/>
      </c>
      <c r="O2680" s="27">
        <f>-J2680*L2680*K2680*C2680</f>
        <v/>
      </c>
      <c r="P2680" s="28">
        <f>-(12*F2680*J2680*L2680*N2680+12*O2680*N2680*G2680*COS(RADIANS(E2680)))/(12*N2680*G2680*COS(RADIANS(E2680))^2+L2680*G2680^3*SIN(RADIANS(E2680))^2)</f>
        <v/>
      </c>
      <c r="Q2680" s="28">
        <f>-(6*F2680*J2680*L2680*N2680*SIN(RADIANS(E2680))+6*O2680*N2680*G2680*SIN(RADIANS(E2680))*COS(RADIANS(E2680)))/(12*N2680*COS(RADIANS(E2680))^2+L2680*G2680^2*SIN(RADIANS(E2680))^2)</f>
        <v/>
      </c>
      <c r="R2680" s="28">
        <f>-P2680*SIN(RADIANS(E2680))</f>
        <v/>
      </c>
      <c r="S2680" s="8">
        <f>(O2680+P2680*COS(RADIANS(E2680)))/L2680</f>
        <v/>
      </c>
      <c r="T2680" s="8">
        <f>R2680/L2680</f>
        <v/>
      </c>
      <c r="U2680" s="8">
        <f>(Q2680-P2680*G2680*SIN(RADIANS(E2680)))/M2680</f>
        <v/>
      </c>
      <c r="V2680" s="8">
        <f>SQRT((S2680+U2680)^2+3*T2680^2)</f>
        <v/>
      </c>
      <c r="W2680" s="8">
        <f>V2680/AA2680</f>
        <v/>
      </c>
      <c r="X2680" s="27">
        <f>((3*10+H2680/COS(RADIANS(E2680)))*(3+3)+3*G2680*H2680)*2</f>
        <v/>
      </c>
      <c r="Y2680" s="28">
        <f>Z2680/X2680</f>
        <v/>
      </c>
      <c r="Z2680" s="29" t="n">
        <v>618.3175438998881</v>
      </c>
      <c r="AA2680" s="20" t="n">
        <v>56.4007531888387</v>
      </c>
      <c r="AB2680" t="n">
        <v>0.1024077111351063</v>
      </c>
      <c r="AC2680" t="n">
        <v>59.03879318058948</v>
      </c>
      <c r="AD2680" t="n">
        <v>27.1821902043982</v>
      </c>
    </row>
    <row r="2681">
      <c r="A2681" t="n">
        <v>2680</v>
      </c>
      <c r="B2681" t="n">
        <v>55.5</v>
      </c>
      <c r="C2681" s="21">
        <f>B2681-20</f>
        <v/>
      </c>
      <c r="D2681" t="n">
        <v>126.5</v>
      </c>
      <c r="E2681" s="22">
        <f>D2681-90</f>
        <v/>
      </c>
      <c r="F2681" s="23" t="n">
        <v>0.013196</v>
      </c>
      <c r="G2681" s="22" t="n">
        <v>33.1</v>
      </c>
      <c r="H2681" s="22" t="n">
        <v>1.2</v>
      </c>
      <c r="I2681" s="24" t="n">
        <v>0.0567114874720573</v>
      </c>
      <c r="J2681" s="6" t="n">
        <v>71000</v>
      </c>
      <c r="K2681" s="25">
        <f>23*10^-6</f>
        <v/>
      </c>
      <c r="L2681" s="8">
        <f>H2681</f>
        <v/>
      </c>
      <c r="M2681" s="26">
        <f>H2681^2/6</f>
        <v/>
      </c>
      <c r="N2681" s="26">
        <f>H2681^3/12</f>
        <v/>
      </c>
      <c r="O2681" s="27">
        <f>-J2681*L2681*K2681*C2681</f>
        <v/>
      </c>
      <c r="P2681" s="28">
        <f>-(12*F2681*J2681*L2681*N2681+12*O2681*N2681*G2681*COS(RADIANS(E2681)))/(12*N2681*G2681*COS(RADIANS(E2681))^2+L2681*G2681^3*SIN(RADIANS(E2681))^2)</f>
        <v/>
      </c>
      <c r="Q2681" s="28">
        <f>-(6*F2681*J2681*L2681*N2681*SIN(RADIANS(E2681))+6*O2681*N2681*G2681*SIN(RADIANS(E2681))*COS(RADIANS(E2681)))/(12*N2681*COS(RADIANS(E2681))^2+L2681*G2681^2*SIN(RADIANS(E2681))^2)</f>
        <v/>
      </c>
      <c r="R2681" s="28">
        <f>-P2681*SIN(RADIANS(E2681))</f>
        <v/>
      </c>
      <c r="S2681" s="8">
        <f>(O2681+P2681*COS(RADIANS(E2681)))/L2681</f>
        <v/>
      </c>
      <c r="T2681" s="8">
        <f>R2681/L2681</f>
        <v/>
      </c>
      <c r="U2681" s="8">
        <f>(Q2681-P2681*G2681*SIN(RADIANS(E2681)))/M2681</f>
        <v/>
      </c>
      <c r="V2681" s="8">
        <f>SQRT((S2681+U2681)^2+3*T2681^2)</f>
        <v/>
      </c>
      <c r="W2681" s="8">
        <f>V2681/AA2681</f>
        <v/>
      </c>
      <c r="X2681" s="27">
        <f>((3*10+H2681/COS(RADIANS(E2681)))*(3+3)+3*G2681*H2681)*2</f>
        <v/>
      </c>
      <c r="Y2681" s="28">
        <f>Z2681/X2681</f>
        <v/>
      </c>
      <c r="Z2681" s="29" t="n">
        <v>625.523328048804</v>
      </c>
      <c r="AA2681" s="20" t="n">
        <v>47.49031017134</v>
      </c>
      <c r="AB2681" t="n">
        <v>0.06309454381038204</v>
      </c>
      <c r="AC2681" t="n">
        <v>50.38069266390515</v>
      </c>
      <c r="AD2681" t="n">
        <v>11.2553146158788</v>
      </c>
    </row>
    <row r="2682">
      <c r="A2682" t="n">
        <v>2681</v>
      </c>
      <c r="B2682" t="n">
        <v>59.7</v>
      </c>
      <c r="C2682" s="21">
        <f>B2682-20</f>
        <v/>
      </c>
      <c r="D2682" t="n">
        <v>109.4</v>
      </c>
      <c r="E2682" s="22">
        <f>D2682-90</f>
        <v/>
      </c>
      <c r="F2682" s="23" t="n">
        <v>0.013131</v>
      </c>
      <c r="G2682" s="22" t="n">
        <v>24.4</v>
      </c>
      <c r="H2682" s="22" t="n">
        <v>1.4</v>
      </c>
      <c r="I2682" s="24" t="n">
        <v>0.0799155682325363</v>
      </c>
      <c r="J2682" s="6" t="n">
        <v>71000</v>
      </c>
      <c r="K2682" s="25">
        <f>23*10^-6</f>
        <v/>
      </c>
      <c r="L2682" s="8">
        <f>H2682</f>
        <v/>
      </c>
      <c r="M2682" s="26">
        <f>H2682^2/6</f>
        <v/>
      </c>
      <c r="N2682" s="26">
        <f>H2682^3/12</f>
        <v/>
      </c>
      <c r="O2682" s="27">
        <f>-J2682*L2682*K2682*C2682</f>
        <v/>
      </c>
      <c r="P2682" s="28">
        <f>-(12*F2682*J2682*L2682*N2682+12*O2682*N2682*G2682*COS(RADIANS(E2682)))/(12*N2682*G2682*COS(RADIANS(E2682))^2+L2682*G2682^3*SIN(RADIANS(E2682))^2)</f>
        <v/>
      </c>
      <c r="Q2682" s="28">
        <f>-(6*F2682*J2682*L2682*N2682*SIN(RADIANS(E2682))+6*O2682*N2682*G2682*SIN(RADIANS(E2682))*COS(RADIANS(E2682)))/(12*N2682*COS(RADIANS(E2682))^2+L2682*G2682^2*SIN(RADIANS(E2682))^2)</f>
        <v/>
      </c>
      <c r="R2682" s="28">
        <f>-P2682*SIN(RADIANS(E2682))</f>
        <v/>
      </c>
      <c r="S2682" s="8">
        <f>(O2682+P2682*COS(RADIANS(E2682)))/L2682</f>
        <v/>
      </c>
      <c r="T2682" s="8">
        <f>R2682/L2682</f>
        <v/>
      </c>
      <c r="U2682" s="8">
        <f>(Q2682-P2682*G2682*SIN(RADIANS(E2682)))/M2682</f>
        <v/>
      </c>
      <c r="V2682" s="8">
        <f>SQRT((S2682+U2682)^2+3*T2682^2)</f>
        <v/>
      </c>
      <c r="W2682" s="8">
        <f>V2682/AA2682</f>
        <v/>
      </c>
      <c r="X2682" s="27">
        <f>((3*10+H2682/COS(RADIANS(E2682)))*(3+3)+3*G2682*H2682)*2</f>
        <v/>
      </c>
      <c r="Y2682" s="28">
        <f>Z2682/X2682</f>
        <v/>
      </c>
      <c r="Z2682" s="29" t="n">
        <v>587.649587728264</v>
      </c>
      <c r="AA2682" s="20" t="n">
        <v>61.0491141961865</v>
      </c>
      <c r="AB2682" t="n">
        <v>0.1015451210423394</v>
      </c>
      <c r="AC2682" t="n">
        <v>62.32972273042705</v>
      </c>
      <c r="AD2682" t="n">
        <v>27.065505868476</v>
      </c>
    </row>
    <row r="2683">
      <c r="A2683" t="n">
        <v>2682</v>
      </c>
      <c r="B2683" t="n">
        <v>61.7</v>
      </c>
      <c r="C2683" s="21">
        <f>B2683-20</f>
        <v/>
      </c>
      <c r="D2683" t="n">
        <v>108.4</v>
      </c>
      <c r="E2683" s="22">
        <f>D2683-90</f>
        <v/>
      </c>
      <c r="F2683" s="23" t="n">
        <v>0.017242</v>
      </c>
      <c r="G2683" s="22" t="n">
        <v>31.9</v>
      </c>
      <c r="H2683" s="22" t="n">
        <v>1.2</v>
      </c>
      <c r="I2683" s="24" t="n">
        <v>0.105758041143417</v>
      </c>
      <c r="J2683" s="6" t="n">
        <v>71000</v>
      </c>
      <c r="K2683" s="25">
        <f>23*10^-6</f>
        <v/>
      </c>
      <c r="L2683" s="8">
        <f>H2683</f>
        <v/>
      </c>
      <c r="M2683" s="26">
        <f>H2683^2/6</f>
        <v/>
      </c>
      <c r="N2683" s="26">
        <f>H2683^3/12</f>
        <v/>
      </c>
      <c r="O2683" s="27">
        <f>-J2683*L2683*K2683*C2683</f>
        <v/>
      </c>
      <c r="P2683" s="28">
        <f>-(12*F2683*J2683*L2683*N2683+12*O2683*N2683*G2683*COS(RADIANS(E2683)))/(12*N2683*G2683*COS(RADIANS(E2683))^2+L2683*G2683^3*SIN(RADIANS(E2683))^2)</f>
        <v/>
      </c>
      <c r="Q2683" s="28">
        <f>-(6*F2683*J2683*L2683*N2683*SIN(RADIANS(E2683))+6*O2683*N2683*G2683*SIN(RADIANS(E2683))*COS(RADIANS(E2683)))/(12*N2683*COS(RADIANS(E2683))^2+L2683*G2683^2*SIN(RADIANS(E2683))^2)</f>
        <v/>
      </c>
      <c r="R2683" s="28">
        <f>-P2683*SIN(RADIANS(E2683))</f>
        <v/>
      </c>
      <c r="S2683" s="8">
        <f>(O2683+P2683*COS(RADIANS(E2683)))/L2683</f>
        <v/>
      </c>
      <c r="T2683" s="8">
        <f>R2683/L2683</f>
        <v/>
      </c>
      <c r="U2683" s="8">
        <f>(Q2683-P2683*G2683*SIN(RADIANS(E2683)))/M2683</f>
        <v/>
      </c>
      <c r="V2683" s="8">
        <f>SQRT((S2683+U2683)^2+3*T2683^2)</f>
        <v/>
      </c>
      <c r="W2683" s="8">
        <f>V2683/AA2683</f>
        <v/>
      </c>
      <c r="X2683" s="27">
        <f>((3*10+H2683/COS(RADIANS(E2683)))*(3+3)+3*G2683*H2683)*2</f>
        <v/>
      </c>
      <c r="Y2683" s="28">
        <f>Z2683/X2683</f>
        <v/>
      </c>
      <c r="Z2683" s="29" t="n">
        <v>609.582562659071</v>
      </c>
      <c r="AA2683" s="20" t="n">
        <v>60.5814380369905</v>
      </c>
      <c r="AB2683" t="n">
        <v>0.1468077587383629</v>
      </c>
      <c r="AC2683" t="n">
        <v>63.3398770208939</v>
      </c>
      <c r="AD2683" t="n">
        <v>38.81474841168719</v>
      </c>
    </row>
    <row r="2684">
      <c r="A2684" t="n">
        <v>2683</v>
      </c>
      <c r="B2684" t="n">
        <v>79.7</v>
      </c>
      <c r="C2684" s="21">
        <f>B2684-20</f>
        <v/>
      </c>
      <c r="D2684" t="n">
        <v>114.2</v>
      </c>
      <c r="E2684" s="22">
        <f>D2684-90</f>
        <v/>
      </c>
      <c r="F2684" s="23" t="n">
        <v>0.016996</v>
      </c>
      <c r="G2684" s="22" t="n">
        <v>20.8</v>
      </c>
      <c r="H2684" s="22" t="n">
        <v>1.1</v>
      </c>
      <c r="I2684" s="24" t="n">
        <v>0.0930399298667907</v>
      </c>
      <c r="J2684" s="6" t="n">
        <v>71000</v>
      </c>
      <c r="K2684" s="25">
        <f>23*10^-6</f>
        <v/>
      </c>
      <c r="L2684" s="8">
        <f>H2684</f>
        <v/>
      </c>
      <c r="M2684" s="26">
        <f>H2684^2/6</f>
        <v/>
      </c>
      <c r="N2684" s="26">
        <f>H2684^3/12</f>
        <v/>
      </c>
      <c r="O2684" s="27">
        <f>-J2684*L2684*K2684*C2684</f>
        <v/>
      </c>
      <c r="P2684" s="28">
        <f>-(12*F2684*J2684*L2684*N2684+12*O2684*N2684*G2684*COS(RADIANS(E2684)))/(12*N2684*G2684*COS(RADIANS(E2684))^2+L2684*G2684^3*SIN(RADIANS(E2684))^2)</f>
        <v/>
      </c>
      <c r="Q2684" s="28">
        <f>-(6*F2684*J2684*L2684*N2684*SIN(RADIANS(E2684))+6*O2684*N2684*G2684*SIN(RADIANS(E2684))*COS(RADIANS(E2684)))/(12*N2684*COS(RADIANS(E2684))^2+L2684*G2684^2*SIN(RADIANS(E2684))^2)</f>
        <v/>
      </c>
      <c r="R2684" s="28">
        <f>-P2684*SIN(RADIANS(E2684))</f>
        <v/>
      </c>
      <c r="S2684" s="8">
        <f>(O2684+P2684*COS(RADIANS(E2684)))/L2684</f>
        <v/>
      </c>
      <c r="T2684" s="8">
        <f>R2684/L2684</f>
        <v/>
      </c>
      <c r="U2684" s="8">
        <f>(Q2684-P2684*G2684*SIN(RADIANS(E2684)))/M2684</f>
        <v/>
      </c>
      <c r="V2684" s="8">
        <f>SQRT((S2684+U2684)^2+3*T2684^2)</f>
        <v/>
      </c>
      <c r="W2684" s="8">
        <f>V2684/AA2684</f>
        <v/>
      </c>
      <c r="X2684" s="27">
        <f>((3*10+H2684/COS(RADIANS(E2684)))*(3+3)+3*G2684*H2684)*2</f>
        <v/>
      </c>
      <c r="Y2684" s="28">
        <f>Z2684/X2684</f>
        <v/>
      </c>
      <c r="Z2684" s="29" t="n">
        <v>517.497731545464</v>
      </c>
      <c r="AA2684" s="20" t="n">
        <v>86.6470322985445</v>
      </c>
      <c r="AB2684" t="n">
        <v>0.1059171053625508</v>
      </c>
      <c r="AC2684" t="n">
        <v>89.50904627402421</v>
      </c>
      <c r="AD2684" t="n">
        <v>13.84048280581999</v>
      </c>
    </row>
    <row r="2685">
      <c r="A2685" t="n">
        <v>2684</v>
      </c>
      <c r="B2685" t="n">
        <v>53</v>
      </c>
      <c r="C2685" s="21">
        <f>B2685-20</f>
        <v/>
      </c>
      <c r="D2685" t="n">
        <v>109.3</v>
      </c>
      <c r="E2685" s="22">
        <f>D2685-90</f>
        <v/>
      </c>
      <c r="F2685" s="23" t="n">
        <v>0.010353</v>
      </c>
      <c r="G2685" s="22" t="n">
        <v>22.8</v>
      </c>
      <c r="H2685" s="22" t="n">
        <v>1.6</v>
      </c>
      <c r="I2685" s="24" t="n">
        <v>0.0633507817983627</v>
      </c>
      <c r="J2685" s="6" t="n">
        <v>71000</v>
      </c>
      <c r="K2685" s="25">
        <f>23*10^-6</f>
        <v/>
      </c>
      <c r="L2685" s="8">
        <f>H2685</f>
        <v/>
      </c>
      <c r="M2685" s="26">
        <f>H2685^2/6</f>
        <v/>
      </c>
      <c r="N2685" s="26">
        <f>H2685^3/12</f>
        <v/>
      </c>
      <c r="O2685" s="27">
        <f>-J2685*L2685*K2685*C2685</f>
        <v/>
      </c>
      <c r="P2685" s="28">
        <f>-(12*F2685*J2685*L2685*N2685+12*O2685*N2685*G2685*COS(RADIANS(E2685)))/(12*N2685*G2685*COS(RADIANS(E2685))^2+L2685*G2685^3*SIN(RADIANS(E2685))^2)</f>
        <v/>
      </c>
      <c r="Q2685" s="28">
        <f>-(6*F2685*J2685*L2685*N2685*SIN(RADIANS(E2685))+6*O2685*N2685*G2685*SIN(RADIANS(E2685))*COS(RADIANS(E2685)))/(12*N2685*COS(RADIANS(E2685))^2+L2685*G2685^2*SIN(RADIANS(E2685))^2)</f>
        <v/>
      </c>
      <c r="R2685" s="28">
        <f>-P2685*SIN(RADIANS(E2685))</f>
        <v/>
      </c>
      <c r="S2685" s="8">
        <f>(O2685+P2685*COS(RADIANS(E2685)))/L2685</f>
        <v/>
      </c>
      <c r="T2685" s="8">
        <f>R2685/L2685</f>
        <v/>
      </c>
      <c r="U2685" s="8">
        <f>(Q2685-P2685*G2685*SIN(RADIANS(E2685)))/M2685</f>
        <v/>
      </c>
      <c r="V2685" s="8">
        <f>SQRT((S2685+U2685)^2+3*T2685^2)</f>
        <v/>
      </c>
      <c r="W2685" s="8">
        <f>V2685/AA2685</f>
        <v/>
      </c>
      <c r="X2685" s="27">
        <f>((3*10+H2685/COS(RADIANS(E2685)))*(3+3)+3*G2685*H2685)*2</f>
        <v/>
      </c>
      <c r="Y2685" s="28">
        <f>Z2685/X2685</f>
        <v/>
      </c>
      <c r="Z2685" s="29" t="n">
        <v>604.08599264458</v>
      </c>
      <c r="AA2685" s="20" t="n">
        <v>53.6901776180872</v>
      </c>
      <c r="AB2685" t="n">
        <v>0.07861797924216944</v>
      </c>
      <c r="AC2685" t="n">
        <v>53.07736400546941</v>
      </c>
      <c r="AD2685" t="n">
        <v>24.0994617752315</v>
      </c>
    </row>
    <row r="2686">
      <c r="A2686" t="n">
        <v>2685</v>
      </c>
      <c r="B2686" t="n">
        <v>85.40000000000001</v>
      </c>
      <c r="C2686" s="21">
        <f>B2686-20</f>
        <v/>
      </c>
      <c r="D2686" t="n">
        <v>104</v>
      </c>
      <c r="E2686" s="22">
        <f>D2686-90</f>
        <v/>
      </c>
      <c r="F2686" s="23" t="n">
        <v>0.027695</v>
      </c>
      <c r="G2686" s="22" t="n">
        <v>32.1</v>
      </c>
      <c r="H2686" s="22" t="n">
        <v>1.9</v>
      </c>
      <c r="I2686" s="24" t="n">
        <v>0.202549681067466</v>
      </c>
      <c r="J2686" s="6" t="n">
        <v>71000</v>
      </c>
      <c r="K2686" s="25">
        <f>23*10^-6</f>
        <v/>
      </c>
      <c r="L2686" s="8">
        <f>H2686</f>
        <v/>
      </c>
      <c r="M2686" s="26">
        <f>H2686^2/6</f>
        <v/>
      </c>
      <c r="N2686" s="26">
        <f>H2686^3/12</f>
        <v/>
      </c>
      <c r="O2686" s="27">
        <f>-J2686*L2686*K2686*C2686</f>
        <v/>
      </c>
      <c r="P2686" s="28">
        <f>-(12*F2686*J2686*L2686*N2686+12*O2686*N2686*G2686*COS(RADIANS(E2686)))/(12*N2686*G2686*COS(RADIANS(E2686))^2+L2686*G2686^3*SIN(RADIANS(E2686))^2)</f>
        <v/>
      </c>
      <c r="Q2686" s="28">
        <f>-(6*F2686*J2686*L2686*N2686*SIN(RADIANS(E2686))+6*O2686*N2686*G2686*SIN(RADIANS(E2686))*COS(RADIANS(E2686)))/(12*N2686*COS(RADIANS(E2686))^2+L2686*G2686^2*SIN(RADIANS(E2686))^2)</f>
        <v/>
      </c>
      <c r="R2686" s="28">
        <f>-P2686*SIN(RADIANS(E2686))</f>
        <v/>
      </c>
      <c r="S2686" s="8">
        <f>(O2686+P2686*COS(RADIANS(E2686)))/L2686</f>
        <v/>
      </c>
      <c r="T2686" s="8">
        <f>R2686/L2686</f>
        <v/>
      </c>
      <c r="U2686" s="8">
        <f>(Q2686-P2686*G2686*SIN(RADIANS(E2686)))/M2686</f>
        <v/>
      </c>
      <c r="V2686" s="8">
        <f>SQRT((S2686+U2686)^2+3*T2686^2)</f>
        <v/>
      </c>
      <c r="W2686" s="8">
        <f>V2686/AA2686</f>
        <v/>
      </c>
      <c r="X2686" s="27">
        <f>((3*10+H2686/COS(RADIANS(E2686)))*(3+3)+3*G2686*H2686)*2</f>
        <v/>
      </c>
      <c r="Y2686" s="28">
        <f>Z2686/X2686</f>
        <v/>
      </c>
      <c r="Z2686" s="29" t="n">
        <v>753.606347239216</v>
      </c>
      <c r="AA2686" s="20" t="n">
        <v>112.716598333135</v>
      </c>
      <c r="AB2686" t="n">
        <v>0.2937239671154658</v>
      </c>
      <c r="AC2686" t="n">
        <v>110.1408434407163</v>
      </c>
      <c r="AD2686" t="n">
        <v>45.01329529007312</v>
      </c>
    </row>
    <row r="2687">
      <c r="A2687" t="n">
        <v>2686</v>
      </c>
      <c r="B2687" t="n">
        <v>72.3</v>
      </c>
      <c r="C2687" s="21">
        <f>B2687-20</f>
        <v/>
      </c>
      <c r="D2687" t="n">
        <v>129.5</v>
      </c>
      <c r="E2687" s="22">
        <f>D2687-90</f>
        <v/>
      </c>
      <c r="F2687" s="23" t="n">
        <v>0.015263</v>
      </c>
      <c r="G2687" s="22" t="n">
        <v>25.4</v>
      </c>
      <c r="H2687" s="22" t="n">
        <v>1.7</v>
      </c>
      <c r="I2687" s="24" t="n">
        <v>0.06729993224143981</v>
      </c>
      <c r="J2687" s="6" t="n">
        <v>71000</v>
      </c>
      <c r="K2687" s="25">
        <f>23*10^-6</f>
        <v/>
      </c>
      <c r="L2687" s="8">
        <f>H2687</f>
        <v/>
      </c>
      <c r="M2687" s="26">
        <f>H2687^2/6</f>
        <v/>
      </c>
      <c r="N2687" s="26">
        <f>H2687^3/12</f>
        <v/>
      </c>
      <c r="O2687" s="27">
        <f>-J2687*L2687*K2687*C2687</f>
        <v/>
      </c>
      <c r="P2687" s="28">
        <f>-(12*F2687*J2687*L2687*N2687+12*O2687*N2687*G2687*COS(RADIANS(E2687)))/(12*N2687*G2687*COS(RADIANS(E2687))^2+L2687*G2687^3*SIN(RADIANS(E2687))^2)</f>
        <v/>
      </c>
      <c r="Q2687" s="28">
        <f>-(6*F2687*J2687*L2687*N2687*SIN(RADIANS(E2687))+6*O2687*N2687*G2687*SIN(RADIANS(E2687))*COS(RADIANS(E2687)))/(12*N2687*COS(RADIANS(E2687))^2+L2687*G2687^2*SIN(RADIANS(E2687))^2)</f>
        <v/>
      </c>
      <c r="R2687" s="28">
        <f>-P2687*SIN(RADIANS(E2687))</f>
        <v/>
      </c>
      <c r="S2687" s="8">
        <f>(O2687+P2687*COS(RADIANS(E2687)))/L2687</f>
        <v/>
      </c>
      <c r="T2687" s="8">
        <f>R2687/L2687</f>
        <v/>
      </c>
      <c r="U2687" s="8">
        <f>(Q2687-P2687*G2687*SIN(RADIANS(E2687)))/M2687</f>
        <v/>
      </c>
      <c r="V2687" s="8">
        <f>SQRT((S2687+U2687)^2+3*T2687^2)</f>
        <v/>
      </c>
      <c r="W2687" s="8">
        <f>V2687/AA2687</f>
        <v/>
      </c>
      <c r="X2687" s="27">
        <f>((3*10+H2687/COS(RADIANS(E2687)))*(3+3)+3*G2687*H2687)*2</f>
        <v/>
      </c>
      <c r="Y2687" s="28">
        <f>Z2687/X2687</f>
        <v/>
      </c>
      <c r="Z2687" s="29" t="n">
        <v>656.054564389379</v>
      </c>
      <c r="AA2687" s="20" t="n">
        <v>79.2485350432196</v>
      </c>
      <c r="AB2687" t="n">
        <v>0.06603146432745374</v>
      </c>
      <c r="AC2687" t="n">
        <v>76.07701666681933</v>
      </c>
      <c r="AD2687" t="n">
        <v>-1.884798203712018</v>
      </c>
    </row>
    <row r="2688">
      <c r="A2688" t="n">
        <v>2687</v>
      </c>
      <c r="B2688" t="n">
        <v>84.8</v>
      </c>
      <c r="C2688" s="21">
        <f>B2688-20</f>
        <v/>
      </c>
      <c r="D2688" t="n">
        <v>123.8</v>
      </c>
      <c r="E2688" s="22">
        <f>D2688-90</f>
        <v/>
      </c>
      <c r="F2688" s="23" t="n">
        <v>0.021252</v>
      </c>
      <c r="G2688" s="22" t="n">
        <v>27.4</v>
      </c>
      <c r="H2688" s="22" t="n">
        <v>1.8</v>
      </c>
      <c r="I2688" s="24" t="n">
        <v>0.0960995405912399</v>
      </c>
      <c r="J2688" s="6" t="n">
        <v>71000</v>
      </c>
      <c r="K2688" s="25">
        <f>23*10^-6</f>
        <v/>
      </c>
      <c r="L2688" s="8">
        <f>H2688</f>
        <v/>
      </c>
      <c r="M2688" s="26">
        <f>H2688^2/6</f>
        <v/>
      </c>
      <c r="N2688" s="26">
        <f>H2688^3/12</f>
        <v/>
      </c>
      <c r="O2688" s="27">
        <f>-J2688*L2688*K2688*C2688</f>
        <v/>
      </c>
      <c r="P2688" s="28">
        <f>-(12*F2688*J2688*L2688*N2688+12*O2688*N2688*G2688*COS(RADIANS(E2688)))/(12*N2688*G2688*COS(RADIANS(E2688))^2+L2688*G2688^3*SIN(RADIANS(E2688))^2)</f>
        <v/>
      </c>
      <c r="Q2688" s="28">
        <f>-(6*F2688*J2688*L2688*N2688*SIN(RADIANS(E2688))+6*O2688*N2688*G2688*SIN(RADIANS(E2688))*COS(RADIANS(E2688)))/(12*N2688*COS(RADIANS(E2688))^2+L2688*G2688^2*SIN(RADIANS(E2688))^2)</f>
        <v/>
      </c>
      <c r="R2688" s="28">
        <f>-P2688*SIN(RADIANS(E2688))</f>
        <v/>
      </c>
      <c r="S2688" s="8">
        <f>(O2688+P2688*COS(RADIANS(E2688)))/L2688</f>
        <v/>
      </c>
      <c r="T2688" s="8">
        <f>R2688/L2688</f>
        <v/>
      </c>
      <c r="U2688" s="8">
        <f>(Q2688-P2688*G2688*SIN(RADIANS(E2688)))/M2688</f>
        <v/>
      </c>
      <c r="V2688" s="8">
        <f>SQRT((S2688+U2688)^2+3*T2688^2)</f>
        <v/>
      </c>
      <c r="W2688" s="8">
        <f>V2688/AA2688</f>
        <v/>
      </c>
      <c r="X2688" s="27">
        <f>((3*10+H2688/COS(RADIANS(E2688)))*(3+3)+3*G2688*H2688)*2</f>
        <v/>
      </c>
      <c r="Y2688" s="28">
        <f>Z2688/X2688</f>
        <v/>
      </c>
      <c r="Z2688" s="29" t="n">
        <v>690.228301158774</v>
      </c>
      <c r="AA2688" s="20" t="n">
        <v>101.861564529145</v>
      </c>
      <c r="AB2688" t="n">
        <v>0.104016258975544</v>
      </c>
      <c r="AC2688" t="n">
        <v>96.20932329970078</v>
      </c>
      <c r="AD2688" t="n">
        <v>8.238039782081755</v>
      </c>
    </row>
    <row r="2689">
      <c r="A2689" t="n">
        <v>2688</v>
      </c>
      <c r="B2689" t="n">
        <v>70.59999999999999</v>
      </c>
      <c r="C2689" s="21">
        <f>B2689-20</f>
        <v/>
      </c>
      <c r="D2689" t="n">
        <v>106.8</v>
      </c>
      <c r="E2689" s="22">
        <f>D2689-90</f>
        <v/>
      </c>
      <c r="F2689" s="23" t="n">
        <v>0.017322</v>
      </c>
      <c r="G2689" s="22" t="n">
        <v>25.1</v>
      </c>
      <c r="H2689" s="22" t="n">
        <v>2</v>
      </c>
      <c r="I2689" s="24" t="n">
        <v>0.112946704030036</v>
      </c>
      <c r="J2689" s="6" t="n">
        <v>71000</v>
      </c>
      <c r="K2689" s="25">
        <f>23*10^-6</f>
        <v/>
      </c>
      <c r="L2689" s="8">
        <f>H2689</f>
        <v/>
      </c>
      <c r="M2689" s="26">
        <f>H2689^2/6</f>
        <v/>
      </c>
      <c r="N2689" s="26">
        <f>H2689^3/12</f>
        <v/>
      </c>
      <c r="O2689" s="27">
        <f>-J2689*L2689*K2689*C2689</f>
        <v/>
      </c>
      <c r="P2689" s="28">
        <f>-(12*F2689*J2689*L2689*N2689+12*O2689*N2689*G2689*COS(RADIANS(E2689)))/(12*N2689*G2689*COS(RADIANS(E2689))^2+L2689*G2689^3*SIN(RADIANS(E2689))^2)</f>
        <v/>
      </c>
      <c r="Q2689" s="28">
        <f>-(6*F2689*J2689*L2689*N2689*SIN(RADIANS(E2689))+6*O2689*N2689*G2689*SIN(RADIANS(E2689))*COS(RADIANS(E2689)))/(12*N2689*COS(RADIANS(E2689))^2+L2689*G2689^2*SIN(RADIANS(E2689))^2)</f>
        <v/>
      </c>
      <c r="R2689" s="28">
        <f>-P2689*SIN(RADIANS(E2689))</f>
        <v/>
      </c>
      <c r="S2689" s="8">
        <f>(O2689+P2689*COS(RADIANS(E2689)))/L2689</f>
        <v/>
      </c>
      <c r="T2689" s="8">
        <f>R2689/L2689</f>
        <v/>
      </c>
      <c r="U2689" s="8">
        <f>(Q2689-P2689*G2689*SIN(RADIANS(E2689)))/M2689</f>
        <v/>
      </c>
      <c r="V2689" s="8">
        <f>SQRT((S2689+U2689)^2+3*T2689^2)</f>
        <v/>
      </c>
      <c r="W2689" s="8">
        <f>V2689/AA2689</f>
        <v/>
      </c>
      <c r="X2689" s="27">
        <f>((3*10+H2689/COS(RADIANS(E2689)))*(3+3)+3*G2689*H2689)*2</f>
        <v/>
      </c>
      <c r="Y2689" s="28">
        <f>Z2689/X2689</f>
        <v/>
      </c>
      <c r="Z2689" s="29" t="n">
        <v>690.773629796937</v>
      </c>
      <c r="AA2689" s="20" t="n">
        <v>90.6990831845076</v>
      </c>
      <c r="AB2689" t="n">
        <v>0.1477812208815178</v>
      </c>
      <c r="AC2689" t="n">
        <v>85.42744643060105</v>
      </c>
      <c r="AD2689" t="n">
        <v>30.84155235040611</v>
      </c>
    </row>
    <row r="2690">
      <c r="A2690" t="n">
        <v>2689</v>
      </c>
      <c r="B2690" t="n">
        <v>59.8</v>
      </c>
      <c r="C2690" s="21">
        <f>B2690-20</f>
        <v/>
      </c>
      <c r="D2690" t="n">
        <v>110.1</v>
      </c>
      <c r="E2690" s="22">
        <f>D2690-90</f>
        <v/>
      </c>
      <c r="F2690" s="23" t="n">
        <v>0.014695</v>
      </c>
      <c r="G2690" s="22" t="n">
        <v>28.1</v>
      </c>
      <c r="H2690" s="22" t="n">
        <v>1.7</v>
      </c>
      <c r="I2690" s="24" t="n">
        <v>0.0856607779860496</v>
      </c>
      <c r="J2690" s="6" t="n">
        <v>71000</v>
      </c>
      <c r="K2690" s="25">
        <f>23*10^-6</f>
        <v/>
      </c>
      <c r="L2690" s="8">
        <f>H2690</f>
        <v/>
      </c>
      <c r="M2690" s="26">
        <f>H2690^2/6</f>
        <v/>
      </c>
      <c r="N2690" s="26">
        <f>H2690^3/12</f>
        <v/>
      </c>
      <c r="O2690" s="27">
        <f>-J2690*L2690*K2690*C2690</f>
        <v/>
      </c>
      <c r="P2690" s="28">
        <f>-(12*F2690*J2690*L2690*N2690+12*O2690*N2690*G2690*COS(RADIANS(E2690)))/(12*N2690*G2690*COS(RADIANS(E2690))^2+L2690*G2690^3*SIN(RADIANS(E2690))^2)</f>
        <v/>
      </c>
      <c r="Q2690" s="28">
        <f>-(6*F2690*J2690*L2690*N2690*SIN(RADIANS(E2690))+6*O2690*N2690*G2690*SIN(RADIANS(E2690))*COS(RADIANS(E2690)))/(12*N2690*COS(RADIANS(E2690))^2+L2690*G2690^2*SIN(RADIANS(E2690))^2)</f>
        <v/>
      </c>
      <c r="R2690" s="28">
        <f>-P2690*SIN(RADIANS(E2690))</f>
        <v/>
      </c>
      <c r="S2690" s="8">
        <f>(O2690+P2690*COS(RADIANS(E2690)))/L2690</f>
        <v/>
      </c>
      <c r="T2690" s="8">
        <f>R2690/L2690</f>
        <v/>
      </c>
      <c r="U2690" s="8">
        <f>(Q2690-P2690*G2690*SIN(RADIANS(E2690)))/M2690</f>
        <v/>
      </c>
      <c r="V2690" s="8">
        <f>SQRT((S2690+U2690)^2+3*T2690^2)</f>
        <v/>
      </c>
      <c r="W2690" s="8">
        <f>V2690/AA2690</f>
        <v/>
      </c>
      <c r="X2690" s="27">
        <f>((3*10+H2690/COS(RADIANS(E2690)))*(3+3)+3*G2690*H2690)*2</f>
        <v/>
      </c>
      <c r="Y2690" s="28">
        <f>Z2690/X2690</f>
        <v/>
      </c>
      <c r="Z2690" s="29" t="n">
        <v>673.333228745304</v>
      </c>
      <c r="AA2690" s="20" t="n">
        <v>64.0569722033047</v>
      </c>
      <c r="AB2690" t="n">
        <v>0.1118037166111964</v>
      </c>
      <c r="AC2690" t="n">
        <v>63.00743397711791</v>
      </c>
      <c r="AD2690" t="n">
        <v>30.51914684851954</v>
      </c>
    </row>
    <row r="2691">
      <c r="A2691" t="n">
        <v>2690</v>
      </c>
      <c r="B2691" t="n">
        <v>58.4</v>
      </c>
      <c r="C2691" s="21">
        <f>B2691-20</f>
        <v/>
      </c>
      <c r="D2691" t="n">
        <v>106</v>
      </c>
      <c r="E2691" s="22">
        <f>D2691-90</f>
        <v/>
      </c>
      <c r="F2691" s="23" t="n">
        <v>0.015545</v>
      </c>
      <c r="G2691" s="22" t="n">
        <v>30.7</v>
      </c>
      <c r="H2691" s="22" t="n">
        <v>2</v>
      </c>
      <c r="I2691" s="24" t="n">
        <v>0.103593379259109</v>
      </c>
      <c r="J2691" s="6" t="n">
        <v>71000</v>
      </c>
      <c r="K2691" s="25">
        <f>23*10^-6</f>
        <v/>
      </c>
      <c r="L2691" s="8">
        <f>H2691</f>
        <v/>
      </c>
      <c r="M2691" s="26">
        <f>H2691^2/6</f>
        <v/>
      </c>
      <c r="N2691" s="26">
        <f>H2691^3/12</f>
        <v/>
      </c>
      <c r="O2691" s="27">
        <f>-J2691*L2691*K2691*C2691</f>
        <v/>
      </c>
      <c r="P2691" s="28">
        <f>-(12*F2691*J2691*L2691*N2691+12*O2691*N2691*G2691*COS(RADIANS(E2691)))/(12*N2691*G2691*COS(RADIANS(E2691))^2+L2691*G2691^3*SIN(RADIANS(E2691))^2)</f>
        <v/>
      </c>
      <c r="Q2691" s="28">
        <f>-(6*F2691*J2691*L2691*N2691*SIN(RADIANS(E2691))+6*O2691*N2691*G2691*SIN(RADIANS(E2691))*COS(RADIANS(E2691)))/(12*N2691*COS(RADIANS(E2691))^2+L2691*G2691^2*SIN(RADIANS(E2691))^2)</f>
        <v/>
      </c>
      <c r="R2691" s="28">
        <f>-P2691*SIN(RADIANS(E2691))</f>
        <v/>
      </c>
      <c r="S2691" s="8">
        <f>(O2691+P2691*COS(RADIANS(E2691)))/L2691</f>
        <v/>
      </c>
      <c r="T2691" s="8">
        <f>R2691/L2691</f>
        <v/>
      </c>
      <c r="U2691" s="8">
        <f>(Q2691-P2691*G2691*SIN(RADIANS(E2691)))/M2691</f>
        <v/>
      </c>
      <c r="V2691" s="8">
        <f>SQRT((S2691+U2691)^2+3*T2691^2)</f>
        <v/>
      </c>
      <c r="W2691" s="8">
        <f>V2691/AA2691</f>
        <v/>
      </c>
      <c r="X2691" s="27">
        <f>((3*10+H2691/COS(RADIANS(E2691)))*(3+3)+3*G2691*H2691)*2</f>
        <v/>
      </c>
      <c r="Y2691" s="28">
        <f>Z2691/X2691</f>
        <v/>
      </c>
      <c r="Z2691" s="29" t="n">
        <v>757.768002306998</v>
      </c>
      <c r="AA2691" s="20" t="n">
        <v>66.50502132684861</v>
      </c>
      <c r="AB2691" t="n">
        <v>0.1448737430262901</v>
      </c>
      <c r="AC2691" t="n">
        <v>64.04670385738407</v>
      </c>
      <c r="AD2691" t="n">
        <v>39.84845755820958</v>
      </c>
    </row>
    <row r="2692">
      <c r="A2692" t="n">
        <v>2691</v>
      </c>
      <c r="B2692" t="n">
        <v>52.7</v>
      </c>
      <c r="C2692" s="21">
        <f>B2692-20</f>
        <v/>
      </c>
      <c r="D2692" t="n">
        <v>107.7</v>
      </c>
      <c r="E2692" s="22">
        <f>D2692-90</f>
        <v/>
      </c>
      <c r="F2692" s="23" t="n">
        <v>0.014382</v>
      </c>
      <c r="G2692" s="22" t="n">
        <v>34.2</v>
      </c>
      <c r="H2692" s="22" t="n">
        <v>1.3</v>
      </c>
      <c r="I2692" s="24" t="n">
        <v>0.08989438414573669</v>
      </c>
      <c r="J2692" s="6" t="n">
        <v>71000</v>
      </c>
      <c r="K2692" s="25">
        <f>23*10^-6</f>
        <v/>
      </c>
      <c r="L2692" s="8">
        <f>H2692</f>
        <v/>
      </c>
      <c r="M2692" s="26">
        <f>H2692^2/6</f>
        <v/>
      </c>
      <c r="N2692" s="26">
        <f>H2692^3/12</f>
        <v/>
      </c>
      <c r="O2692" s="27">
        <f>-J2692*L2692*K2692*C2692</f>
        <v/>
      </c>
      <c r="P2692" s="28">
        <f>-(12*F2692*J2692*L2692*N2692+12*O2692*N2692*G2692*COS(RADIANS(E2692)))/(12*N2692*G2692*COS(RADIANS(E2692))^2+L2692*G2692^3*SIN(RADIANS(E2692))^2)</f>
        <v/>
      </c>
      <c r="Q2692" s="28">
        <f>-(6*F2692*J2692*L2692*N2692*SIN(RADIANS(E2692))+6*O2692*N2692*G2692*SIN(RADIANS(E2692))*COS(RADIANS(E2692)))/(12*N2692*COS(RADIANS(E2692))^2+L2692*G2692^2*SIN(RADIANS(E2692))^2)</f>
        <v/>
      </c>
      <c r="R2692" s="28">
        <f>-P2692*SIN(RADIANS(E2692))</f>
        <v/>
      </c>
      <c r="S2692" s="8">
        <f>(O2692+P2692*COS(RADIANS(E2692)))/L2692</f>
        <v/>
      </c>
      <c r="T2692" s="8">
        <f>R2692/L2692</f>
        <v/>
      </c>
      <c r="U2692" s="8">
        <f>(Q2692-P2692*G2692*SIN(RADIANS(E2692)))/M2692</f>
        <v/>
      </c>
      <c r="V2692" s="8">
        <f>SQRT((S2692+U2692)^2+3*T2692^2)</f>
        <v/>
      </c>
      <c r="W2692" s="8">
        <f>V2692/AA2692</f>
        <v/>
      </c>
      <c r="X2692" s="27">
        <f>((3*10+H2692/COS(RADIANS(E2692)))*(3+3)+3*G2692*H2692)*2</f>
        <v/>
      </c>
      <c r="Y2692" s="28">
        <f>Z2692/X2692</f>
        <v/>
      </c>
      <c r="Z2692" s="29" t="n">
        <v>647.761385382126</v>
      </c>
      <c r="AA2692" s="20" t="n">
        <v>48.4918807046565</v>
      </c>
      <c r="AB2692" t="n">
        <v>0.1277895633197712</v>
      </c>
      <c r="AC2692" t="n">
        <v>50.05830797589874</v>
      </c>
      <c r="AD2692" t="n">
        <v>42.1552241935368</v>
      </c>
    </row>
    <row r="2693">
      <c r="A2693" t="n">
        <v>2692</v>
      </c>
      <c r="B2693" t="n">
        <v>80.7</v>
      </c>
      <c r="C2693" s="21">
        <f>B2693-20</f>
        <v/>
      </c>
      <c r="D2693" t="n">
        <v>112.1</v>
      </c>
      <c r="E2693" s="22">
        <f>D2693-90</f>
        <v/>
      </c>
      <c r="F2693" s="23" t="n">
        <v>0.01986</v>
      </c>
      <c r="G2693" s="22" t="n">
        <v>24.5</v>
      </c>
      <c r="H2693" s="22" t="n">
        <v>1.3</v>
      </c>
      <c r="I2693" s="24" t="n">
        <v>0.111664868891239</v>
      </c>
      <c r="J2693" s="6" t="n">
        <v>71000</v>
      </c>
      <c r="K2693" s="25">
        <f>23*10^-6</f>
        <v/>
      </c>
      <c r="L2693" s="8">
        <f>H2693</f>
        <v/>
      </c>
      <c r="M2693" s="26">
        <f>H2693^2/6</f>
        <v/>
      </c>
      <c r="N2693" s="26">
        <f>H2693^3/12</f>
        <v/>
      </c>
      <c r="O2693" s="27">
        <f>-J2693*L2693*K2693*C2693</f>
        <v/>
      </c>
      <c r="P2693" s="28">
        <f>-(12*F2693*J2693*L2693*N2693+12*O2693*N2693*G2693*COS(RADIANS(E2693)))/(12*N2693*G2693*COS(RADIANS(E2693))^2+L2693*G2693^3*SIN(RADIANS(E2693))^2)</f>
        <v/>
      </c>
      <c r="Q2693" s="28">
        <f>-(6*F2693*J2693*L2693*N2693*SIN(RADIANS(E2693))+6*O2693*N2693*G2693*SIN(RADIANS(E2693))*COS(RADIANS(E2693)))/(12*N2693*COS(RADIANS(E2693))^2+L2693*G2693^2*SIN(RADIANS(E2693))^2)</f>
        <v/>
      </c>
      <c r="R2693" s="28">
        <f>-P2693*SIN(RADIANS(E2693))</f>
        <v/>
      </c>
      <c r="S2693" s="8">
        <f>(O2693+P2693*COS(RADIANS(E2693)))/L2693</f>
        <v/>
      </c>
      <c r="T2693" s="8">
        <f>R2693/L2693</f>
        <v/>
      </c>
      <c r="U2693" s="8">
        <f>(Q2693-P2693*G2693*SIN(RADIANS(E2693)))/M2693</f>
        <v/>
      </c>
      <c r="V2693" s="8">
        <f>SQRT((S2693+U2693)^2+3*T2693^2)</f>
        <v/>
      </c>
      <c r="W2693" s="8">
        <f>V2693/AA2693</f>
        <v/>
      </c>
      <c r="X2693" s="27">
        <f>((3*10+H2693/COS(RADIANS(E2693)))*(3+3)+3*G2693*H2693)*2</f>
        <v/>
      </c>
      <c r="Y2693" s="28">
        <f>Z2693/X2693</f>
        <v/>
      </c>
      <c r="Z2693" s="29" t="n">
        <v>573.273808890658</v>
      </c>
      <c r="AA2693" s="20" t="n">
        <v>90.4017638110448</v>
      </c>
      <c r="AB2693" t="n">
        <v>0.137340931514133</v>
      </c>
      <c r="AC2693" t="n">
        <v>92.74887957674434</v>
      </c>
      <c r="AD2693" t="n">
        <v>22.99385910523238</v>
      </c>
    </row>
    <row r="2694">
      <c r="A2694" t="n">
        <v>2693</v>
      </c>
      <c r="B2694" t="n">
        <v>49.8</v>
      </c>
      <c r="C2694" s="21">
        <f>B2694-20</f>
        <v/>
      </c>
      <c r="D2694" t="n">
        <v>100.8</v>
      </c>
      <c r="E2694" s="22">
        <f>D2694-90</f>
        <v/>
      </c>
      <c r="F2694" s="23" t="n">
        <v>0.010715</v>
      </c>
      <c r="G2694" s="22" t="n">
        <v>26</v>
      </c>
      <c r="H2694" s="22" t="n">
        <v>1.1</v>
      </c>
      <c r="I2694" s="24" t="n">
        <v>0.0992889404296875</v>
      </c>
      <c r="J2694" s="6" t="n">
        <v>71000</v>
      </c>
      <c r="K2694" s="25">
        <f>23*10^-6</f>
        <v/>
      </c>
      <c r="L2694" s="8">
        <f>H2694</f>
        <v/>
      </c>
      <c r="M2694" s="26">
        <f>H2694^2/6</f>
        <v/>
      </c>
      <c r="N2694" s="26">
        <f>H2694^3/12</f>
        <v/>
      </c>
      <c r="O2694" s="27">
        <f>-J2694*L2694*K2694*C2694</f>
        <v/>
      </c>
      <c r="P2694" s="28">
        <f>-(12*F2694*J2694*L2694*N2694+12*O2694*N2694*G2694*COS(RADIANS(E2694)))/(12*N2694*G2694*COS(RADIANS(E2694))^2+L2694*G2694^3*SIN(RADIANS(E2694))^2)</f>
        <v/>
      </c>
      <c r="Q2694" s="28">
        <f>-(6*F2694*J2694*L2694*N2694*SIN(RADIANS(E2694))+6*O2694*N2694*G2694*SIN(RADIANS(E2694))*COS(RADIANS(E2694)))/(12*N2694*COS(RADIANS(E2694))^2+L2694*G2694^2*SIN(RADIANS(E2694))^2)</f>
        <v/>
      </c>
      <c r="R2694" s="28">
        <f>-P2694*SIN(RADIANS(E2694))</f>
        <v/>
      </c>
      <c r="S2694" s="8">
        <f>(O2694+P2694*COS(RADIANS(E2694)))/L2694</f>
        <v/>
      </c>
      <c r="T2694" s="8">
        <f>R2694/L2694</f>
        <v/>
      </c>
      <c r="U2694" s="8">
        <f>(Q2694-P2694*G2694*SIN(RADIANS(E2694)))/M2694</f>
        <v/>
      </c>
      <c r="V2694" s="8">
        <f>SQRT((S2694+U2694)^2+3*T2694^2)</f>
        <v/>
      </c>
      <c r="W2694" s="8">
        <f>V2694/AA2694</f>
        <v/>
      </c>
      <c r="X2694" s="27">
        <f>((3*10+H2694/COS(RADIANS(E2694)))*(3+3)+3*G2694*H2694)*2</f>
        <v/>
      </c>
      <c r="Y2694" s="28">
        <f>Z2694/X2694</f>
        <v/>
      </c>
      <c r="Z2694" s="29" t="n">
        <v>548.904425298347</v>
      </c>
      <c r="AA2694" s="20" t="n">
        <v>44.6149556060505</v>
      </c>
      <c r="AB2694" t="n">
        <v>0.1440824417275438</v>
      </c>
      <c r="AC2694" t="n">
        <v>49.14358594235011</v>
      </c>
      <c r="AD2694" t="n">
        <v>45.11429078002629</v>
      </c>
    </row>
    <row r="2695">
      <c r="A2695" t="n">
        <v>2694</v>
      </c>
      <c r="B2695" t="n">
        <v>63</v>
      </c>
      <c r="C2695" s="21">
        <f>B2695-20</f>
        <v/>
      </c>
      <c r="D2695" t="n">
        <v>115.3</v>
      </c>
      <c r="E2695" s="22">
        <f>D2695-90</f>
        <v/>
      </c>
      <c r="F2695" s="23" t="n">
        <v>0.014109</v>
      </c>
      <c r="G2695" s="22" t="n">
        <v>25.2</v>
      </c>
      <c r="H2695" s="22" t="n">
        <v>1.4</v>
      </c>
      <c r="I2695" s="24" t="n">
        <v>0.0731820613145828</v>
      </c>
      <c r="J2695" s="6" t="n">
        <v>71000</v>
      </c>
      <c r="K2695" s="25">
        <f>23*10^-6</f>
        <v/>
      </c>
      <c r="L2695" s="8">
        <f>H2695</f>
        <v/>
      </c>
      <c r="M2695" s="26">
        <f>H2695^2/6</f>
        <v/>
      </c>
      <c r="N2695" s="26">
        <f>H2695^3/12</f>
        <v/>
      </c>
      <c r="O2695" s="27">
        <f>-J2695*L2695*K2695*C2695</f>
        <v/>
      </c>
      <c r="P2695" s="28">
        <f>-(12*F2695*J2695*L2695*N2695+12*O2695*N2695*G2695*COS(RADIANS(E2695)))/(12*N2695*G2695*COS(RADIANS(E2695))^2+L2695*G2695^3*SIN(RADIANS(E2695))^2)</f>
        <v/>
      </c>
      <c r="Q2695" s="28">
        <f>-(6*F2695*J2695*L2695*N2695*SIN(RADIANS(E2695))+6*O2695*N2695*G2695*SIN(RADIANS(E2695))*COS(RADIANS(E2695)))/(12*N2695*COS(RADIANS(E2695))^2+L2695*G2695^2*SIN(RADIANS(E2695))^2)</f>
        <v/>
      </c>
      <c r="R2695" s="28">
        <f>-P2695*SIN(RADIANS(E2695))</f>
        <v/>
      </c>
      <c r="S2695" s="8">
        <f>(O2695+P2695*COS(RADIANS(E2695)))/L2695</f>
        <v/>
      </c>
      <c r="T2695" s="8">
        <f>R2695/L2695</f>
        <v/>
      </c>
      <c r="U2695" s="8">
        <f>(Q2695-P2695*G2695*SIN(RADIANS(E2695)))/M2695</f>
        <v/>
      </c>
      <c r="V2695" s="8">
        <f>SQRT((S2695+U2695)^2+3*T2695^2)</f>
        <v/>
      </c>
      <c r="W2695" s="8">
        <f>V2695/AA2695</f>
        <v/>
      </c>
      <c r="X2695" s="27">
        <f>((3*10+H2695/COS(RADIANS(E2695)))*(3+3)+3*G2695*H2695)*2</f>
        <v/>
      </c>
      <c r="Y2695" s="28">
        <f>Z2695/X2695</f>
        <v/>
      </c>
      <c r="Z2695" s="29" t="n">
        <v>596.24225178335</v>
      </c>
      <c r="AA2695" s="20" t="n">
        <v>64.7672073815646</v>
      </c>
      <c r="AB2695" t="n">
        <v>0.08687480943569609</v>
      </c>
      <c r="AC2695" t="n">
        <v>64.96889002681532</v>
      </c>
      <c r="AD2695" t="n">
        <v>18.71052533250354</v>
      </c>
    </row>
    <row r="2696">
      <c r="A2696" t="n">
        <v>2695</v>
      </c>
      <c r="B2696" t="n">
        <v>68.09999999999999</v>
      </c>
      <c r="C2696" s="21">
        <f>B2696-20</f>
        <v/>
      </c>
      <c r="D2696" t="n">
        <v>127.7</v>
      </c>
      <c r="E2696" s="22">
        <f>D2696-90</f>
        <v/>
      </c>
      <c r="F2696" s="23" t="n">
        <v>0.013095</v>
      </c>
      <c r="G2696" s="22" t="n">
        <v>22.6</v>
      </c>
      <c r="H2696" s="22" t="n">
        <v>1.5</v>
      </c>
      <c r="I2696" s="24" t="n">
        <v>0.0592071637511253</v>
      </c>
      <c r="J2696" s="6" t="n">
        <v>71000</v>
      </c>
      <c r="K2696" s="25">
        <f>23*10^-6</f>
        <v/>
      </c>
      <c r="L2696" s="8">
        <f>H2696</f>
        <v/>
      </c>
      <c r="M2696" s="26">
        <f>H2696^2/6</f>
        <v/>
      </c>
      <c r="N2696" s="26">
        <f>H2696^3/12</f>
        <v/>
      </c>
      <c r="O2696" s="27">
        <f>-J2696*L2696*K2696*C2696</f>
        <v/>
      </c>
      <c r="P2696" s="28">
        <f>-(12*F2696*J2696*L2696*N2696+12*O2696*N2696*G2696*COS(RADIANS(E2696)))/(12*N2696*G2696*COS(RADIANS(E2696))^2+L2696*G2696^3*SIN(RADIANS(E2696))^2)</f>
        <v/>
      </c>
      <c r="Q2696" s="28">
        <f>-(6*F2696*J2696*L2696*N2696*SIN(RADIANS(E2696))+6*O2696*N2696*G2696*SIN(RADIANS(E2696))*COS(RADIANS(E2696)))/(12*N2696*COS(RADIANS(E2696))^2+L2696*G2696^2*SIN(RADIANS(E2696))^2)</f>
        <v/>
      </c>
      <c r="R2696" s="28">
        <f>-P2696*SIN(RADIANS(E2696))</f>
        <v/>
      </c>
      <c r="S2696" s="8">
        <f>(O2696+P2696*COS(RADIANS(E2696)))/L2696</f>
        <v/>
      </c>
      <c r="T2696" s="8">
        <f>R2696/L2696</f>
        <v/>
      </c>
      <c r="U2696" s="8">
        <f>(Q2696-P2696*G2696*SIN(RADIANS(E2696)))/M2696</f>
        <v/>
      </c>
      <c r="V2696" s="8">
        <f>SQRT((S2696+U2696)^2+3*T2696^2)</f>
        <v/>
      </c>
      <c r="W2696" s="8">
        <f>V2696/AA2696</f>
        <v/>
      </c>
      <c r="X2696" s="27">
        <f>((3*10+H2696/COS(RADIANS(E2696)))*(3+3)+3*G2696*H2696)*2</f>
        <v/>
      </c>
      <c r="Y2696" s="28">
        <f>Z2696/X2696</f>
        <v/>
      </c>
      <c r="Z2696" s="29" t="n">
        <v>595.915973691654</v>
      </c>
      <c r="AA2696" s="20" t="n">
        <v>72.28922841052029</v>
      </c>
      <c r="AB2696" t="n">
        <v>0.05733102519420295</v>
      </c>
      <c r="AC2696" t="n">
        <v>70.02953660435571</v>
      </c>
      <c r="AD2696" t="n">
        <v>-3.168769517162844</v>
      </c>
    </row>
    <row r="2697">
      <c r="A2697" t="n">
        <v>2696</v>
      </c>
      <c r="B2697" t="n">
        <v>43.5</v>
      </c>
      <c r="C2697" s="21">
        <f>B2697-20</f>
        <v/>
      </c>
      <c r="D2697" t="n">
        <v>103.1</v>
      </c>
      <c r="E2697" s="22">
        <f>D2697-90</f>
        <v/>
      </c>
      <c r="F2697" s="23" t="n">
        <v>0.007243</v>
      </c>
      <c r="G2697" s="22" t="n">
        <v>21.6</v>
      </c>
      <c r="H2697" s="22" t="n">
        <v>1.9</v>
      </c>
      <c r="I2697" s="24" t="n">
        <v>0.0549155063927173</v>
      </c>
      <c r="J2697" s="6" t="n">
        <v>71000</v>
      </c>
      <c r="K2697" s="25">
        <f>23*10^-6</f>
        <v/>
      </c>
      <c r="L2697" s="8">
        <f>H2697</f>
        <v/>
      </c>
      <c r="M2697" s="26">
        <f>H2697^2/6</f>
        <v/>
      </c>
      <c r="N2697" s="26">
        <f>H2697^3/12</f>
        <v/>
      </c>
      <c r="O2697" s="27">
        <f>-J2697*L2697*K2697*C2697</f>
        <v/>
      </c>
      <c r="P2697" s="28">
        <f>-(12*F2697*J2697*L2697*N2697+12*O2697*N2697*G2697*COS(RADIANS(E2697)))/(12*N2697*G2697*COS(RADIANS(E2697))^2+L2697*G2697^3*SIN(RADIANS(E2697))^2)</f>
        <v/>
      </c>
      <c r="Q2697" s="28">
        <f>-(6*F2697*J2697*L2697*N2697*SIN(RADIANS(E2697))+6*O2697*N2697*G2697*SIN(RADIANS(E2697))*COS(RADIANS(E2697)))/(12*N2697*COS(RADIANS(E2697))^2+L2697*G2697^2*SIN(RADIANS(E2697))^2)</f>
        <v/>
      </c>
      <c r="R2697" s="28">
        <f>-P2697*SIN(RADIANS(E2697))</f>
        <v/>
      </c>
      <c r="S2697" s="8">
        <f>(O2697+P2697*COS(RADIANS(E2697)))/L2697</f>
        <v/>
      </c>
      <c r="T2697" s="8">
        <f>R2697/L2697</f>
        <v/>
      </c>
      <c r="U2697" s="8">
        <f>(Q2697-P2697*G2697*SIN(RADIANS(E2697)))/M2697</f>
        <v/>
      </c>
      <c r="V2697" s="8">
        <f>SQRT((S2697+U2697)^2+3*T2697^2)</f>
        <v/>
      </c>
      <c r="W2697" s="8">
        <f>V2697/AA2697</f>
        <v/>
      </c>
      <c r="X2697" s="27">
        <f>((3*10+H2697/COS(RADIANS(E2697)))*(3+3)+3*G2697*H2697)*2</f>
        <v/>
      </c>
      <c r="Y2697" s="28">
        <f>Z2697/X2697</f>
        <v/>
      </c>
      <c r="Z2697" s="29" t="n">
        <v>633.724096309114</v>
      </c>
      <c r="AA2697" s="20" t="n">
        <v>50.0494244325522</v>
      </c>
      <c r="AB2697" t="n">
        <v>0.07209487043944884</v>
      </c>
      <c r="AC2697" t="n">
        <v>41.50300210633743</v>
      </c>
      <c r="AD2697" t="n">
        <v>31.28326619420887</v>
      </c>
    </row>
    <row r="2698">
      <c r="A2698" t="n">
        <v>2697</v>
      </c>
      <c r="B2698" t="n">
        <v>64</v>
      </c>
      <c r="C2698" s="21">
        <f>B2698-20</f>
        <v/>
      </c>
      <c r="D2698" t="n">
        <v>120.3</v>
      </c>
      <c r="E2698" s="22">
        <f>D2698-90</f>
        <v/>
      </c>
      <c r="F2698" s="23" t="n">
        <v>0.015915</v>
      </c>
      <c r="G2698" s="22" t="n">
        <v>29.8</v>
      </c>
      <c r="H2698" s="22" t="n">
        <v>1.9</v>
      </c>
      <c r="I2698" s="24" t="n">
        <v>0.07396511733531951</v>
      </c>
      <c r="J2698" s="6" t="n">
        <v>71000</v>
      </c>
      <c r="K2698" s="25">
        <f>23*10^-6</f>
        <v/>
      </c>
      <c r="L2698" s="8">
        <f>H2698</f>
        <v/>
      </c>
      <c r="M2698" s="26">
        <f>H2698^2/6</f>
        <v/>
      </c>
      <c r="N2698" s="26">
        <f>H2698^3/12</f>
        <v/>
      </c>
      <c r="O2698" s="27">
        <f>-J2698*L2698*K2698*C2698</f>
        <v/>
      </c>
      <c r="P2698" s="28">
        <f>-(12*F2698*J2698*L2698*N2698+12*O2698*N2698*G2698*COS(RADIANS(E2698)))/(12*N2698*G2698*COS(RADIANS(E2698))^2+L2698*G2698^3*SIN(RADIANS(E2698))^2)</f>
        <v/>
      </c>
      <c r="Q2698" s="28">
        <f>-(6*F2698*J2698*L2698*N2698*SIN(RADIANS(E2698))+6*O2698*N2698*G2698*SIN(RADIANS(E2698))*COS(RADIANS(E2698)))/(12*N2698*COS(RADIANS(E2698))^2+L2698*G2698^2*SIN(RADIANS(E2698))^2)</f>
        <v/>
      </c>
      <c r="R2698" s="28">
        <f>-P2698*SIN(RADIANS(E2698))</f>
        <v/>
      </c>
      <c r="S2698" s="8">
        <f>(O2698+P2698*COS(RADIANS(E2698)))/L2698</f>
        <v/>
      </c>
      <c r="T2698" s="8">
        <f>R2698/L2698</f>
        <v/>
      </c>
      <c r="U2698" s="8">
        <f>(Q2698-P2698*G2698*SIN(RADIANS(E2698)))/M2698</f>
        <v/>
      </c>
      <c r="V2698" s="8">
        <f>SQRT((S2698+U2698)^2+3*T2698^2)</f>
        <v/>
      </c>
      <c r="W2698" s="8">
        <f>V2698/AA2698</f>
        <v/>
      </c>
      <c r="X2698" s="27">
        <f>((3*10+H2698/COS(RADIANS(E2698)))*(3+3)+3*G2698*H2698)*2</f>
        <v/>
      </c>
      <c r="Y2698" s="28">
        <f>Z2698/X2698</f>
        <v/>
      </c>
      <c r="Z2698" s="29" t="n">
        <v>733.3582172678809</v>
      </c>
      <c r="AA2698" s="20" t="n">
        <v>70.3059049645404</v>
      </c>
      <c r="AB2698" t="n">
        <v>0.08587673915389214</v>
      </c>
      <c r="AC2698" t="n">
        <v>66.25941729033538</v>
      </c>
      <c r="AD2698" t="n">
        <v>16.104377641384</v>
      </c>
    </row>
    <row r="2699">
      <c r="A2699" t="n">
        <v>2698</v>
      </c>
      <c r="B2699" t="n">
        <v>66.40000000000001</v>
      </c>
      <c r="C2699" s="21">
        <f>B2699-20</f>
        <v/>
      </c>
      <c r="D2699" t="n">
        <v>108.6</v>
      </c>
      <c r="E2699" s="22">
        <f>D2699-90</f>
        <v/>
      </c>
      <c r="F2699" s="23" t="n">
        <v>0.01676</v>
      </c>
      <c r="G2699" s="22" t="n">
        <v>27.1</v>
      </c>
      <c r="H2699" s="22" t="n">
        <v>1.3</v>
      </c>
      <c r="I2699" s="24" t="n">
        <v>0.103790782392025</v>
      </c>
      <c r="J2699" s="6" t="n">
        <v>71000</v>
      </c>
      <c r="K2699" s="25">
        <f>23*10^-6</f>
        <v/>
      </c>
      <c r="L2699" s="8">
        <f>H2699</f>
        <v/>
      </c>
      <c r="M2699" s="26">
        <f>H2699^2/6</f>
        <v/>
      </c>
      <c r="N2699" s="26">
        <f>H2699^3/12</f>
        <v/>
      </c>
      <c r="O2699" s="27">
        <f>-J2699*L2699*K2699*C2699</f>
        <v/>
      </c>
      <c r="P2699" s="28">
        <f>-(12*F2699*J2699*L2699*N2699+12*O2699*N2699*G2699*COS(RADIANS(E2699)))/(12*N2699*G2699*COS(RADIANS(E2699))^2+L2699*G2699^3*SIN(RADIANS(E2699))^2)</f>
        <v/>
      </c>
      <c r="Q2699" s="28">
        <f>-(6*F2699*J2699*L2699*N2699*SIN(RADIANS(E2699))+6*O2699*N2699*G2699*SIN(RADIANS(E2699))*COS(RADIANS(E2699)))/(12*N2699*COS(RADIANS(E2699))^2+L2699*G2699^2*SIN(RADIANS(E2699))^2)</f>
        <v/>
      </c>
      <c r="R2699" s="28">
        <f>-P2699*SIN(RADIANS(E2699))</f>
        <v/>
      </c>
      <c r="S2699" s="8">
        <f>(O2699+P2699*COS(RADIANS(E2699)))/L2699</f>
        <v/>
      </c>
      <c r="T2699" s="8">
        <f>R2699/L2699</f>
        <v/>
      </c>
      <c r="U2699" s="8">
        <f>(Q2699-P2699*G2699*SIN(RADIANS(E2699)))/M2699</f>
        <v/>
      </c>
      <c r="V2699" s="8">
        <f>SQRT((S2699+U2699)^2+3*T2699^2)</f>
        <v/>
      </c>
      <c r="W2699" s="8">
        <f>V2699/AA2699</f>
        <v/>
      </c>
      <c r="X2699" s="27">
        <f>((3*10+H2699/COS(RADIANS(E2699)))*(3+3)+3*G2699*H2699)*2</f>
        <v/>
      </c>
      <c r="Y2699" s="28">
        <f>Z2699/X2699</f>
        <v/>
      </c>
      <c r="Z2699" s="29" t="n">
        <v>592.5959884321931</v>
      </c>
      <c r="AA2699" s="20" t="n">
        <v>69.67818595079611</v>
      </c>
      <c r="AB2699" t="n">
        <v>0.1375646134514388</v>
      </c>
      <c r="AC2699" t="n">
        <v>71.98805352439568</v>
      </c>
      <c r="AD2699" t="n">
        <v>32.54029912969314</v>
      </c>
    </row>
    <row r="2700">
      <c r="A2700" t="n">
        <v>2699</v>
      </c>
      <c r="B2700" t="n">
        <v>67.59999999999999</v>
      </c>
      <c r="C2700" s="21">
        <f>B2700-20</f>
        <v/>
      </c>
      <c r="D2700" t="n">
        <v>115.7</v>
      </c>
      <c r="E2700" s="22">
        <f>D2700-90</f>
        <v/>
      </c>
      <c r="F2700" s="23" t="n">
        <v>0.014991</v>
      </c>
      <c r="G2700" s="22" t="n">
        <v>24</v>
      </c>
      <c r="H2700" s="22" t="n">
        <v>1</v>
      </c>
      <c r="I2700" s="24" t="n">
        <v>0.0777539163827896</v>
      </c>
      <c r="J2700" s="6" t="n">
        <v>71000</v>
      </c>
      <c r="K2700" s="25">
        <f>23*10^-6</f>
        <v/>
      </c>
      <c r="L2700" s="8">
        <f>H2700</f>
        <v/>
      </c>
      <c r="M2700" s="26">
        <f>H2700^2/6</f>
        <v/>
      </c>
      <c r="N2700" s="26">
        <f>H2700^3/12</f>
        <v/>
      </c>
      <c r="O2700" s="27">
        <f>-J2700*L2700*K2700*C2700</f>
        <v/>
      </c>
      <c r="P2700" s="28">
        <f>-(12*F2700*J2700*L2700*N2700+12*O2700*N2700*G2700*COS(RADIANS(E2700)))/(12*N2700*G2700*COS(RADIANS(E2700))^2+L2700*G2700^3*SIN(RADIANS(E2700))^2)</f>
        <v/>
      </c>
      <c r="Q2700" s="28">
        <f>-(6*F2700*J2700*L2700*N2700*SIN(RADIANS(E2700))+6*O2700*N2700*G2700*SIN(RADIANS(E2700))*COS(RADIANS(E2700)))/(12*N2700*COS(RADIANS(E2700))^2+L2700*G2700^2*SIN(RADIANS(E2700))^2)</f>
        <v/>
      </c>
      <c r="R2700" s="28">
        <f>-P2700*SIN(RADIANS(E2700))</f>
        <v/>
      </c>
      <c r="S2700" s="8">
        <f>(O2700+P2700*COS(RADIANS(E2700)))/L2700</f>
        <v/>
      </c>
      <c r="T2700" s="8">
        <f>R2700/L2700</f>
        <v/>
      </c>
      <c r="U2700" s="8">
        <f>(Q2700-P2700*G2700*SIN(RADIANS(E2700)))/M2700</f>
        <v/>
      </c>
      <c r="V2700" s="8">
        <f>SQRT((S2700+U2700)^2+3*T2700^2)</f>
        <v/>
      </c>
      <c r="W2700" s="8">
        <f>V2700/AA2700</f>
        <v/>
      </c>
      <c r="X2700" s="27">
        <f>((3*10+H2700/COS(RADIANS(E2700)))*(3+3)+3*G2700*H2700)*2</f>
        <v/>
      </c>
      <c r="Y2700" s="28">
        <f>Z2700/X2700</f>
        <v/>
      </c>
      <c r="Z2700" s="29" t="n">
        <v>523.38581898557</v>
      </c>
      <c r="AA2700" s="20" t="n">
        <v>66.0115228502936</v>
      </c>
      <c r="AB2700" t="n">
        <v>0.09100210924617343</v>
      </c>
      <c r="AC2700" t="n">
        <v>69.80422425064802</v>
      </c>
      <c r="AD2700" t="n">
        <v>17.03861809116054</v>
      </c>
    </row>
    <row r="2701">
      <c r="A2701" t="n">
        <v>2700</v>
      </c>
      <c r="B2701" t="n">
        <v>63.8</v>
      </c>
      <c r="C2701" s="21">
        <f>B2701-20</f>
        <v/>
      </c>
      <c r="D2701" t="n">
        <v>109.5</v>
      </c>
      <c r="E2701" s="22">
        <f>D2701-90</f>
        <v/>
      </c>
      <c r="F2701" s="23" t="n">
        <v>0.018058</v>
      </c>
      <c r="G2701" s="22" t="n">
        <v>32</v>
      </c>
      <c r="H2701" s="22" t="n">
        <v>1.2</v>
      </c>
      <c r="I2701" s="24" t="n">
        <v>0.106405638158321</v>
      </c>
      <c r="J2701" s="6" t="n">
        <v>71000</v>
      </c>
      <c r="K2701" s="25">
        <f>23*10^-6</f>
        <v/>
      </c>
      <c r="L2701" s="8">
        <f>H2701</f>
        <v/>
      </c>
      <c r="M2701" s="26">
        <f>H2701^2/6</f>
        <v/>
      </c>
      <c r="N2701" s="26">
        <f>H2701^3/12</f>
        <v/>
      </c>
      <c r="O2701" s="27">
        <f>-J2701*L2701*K2701*C2701</f>
        <v/>
      </c>
      <c r="P2701" s="28">
        <f>-(12*F2701*J2701*L2701*N2701+12*O2701*N2701*G2701*COS(RADIANS(E2701)))/(12*N2701*G2701*COS(RADIANS(E2701))^2+L2701*G2701^3*SIN(RADIANS(E2701))^2)</f>
        <v/>
      </c>
      <c r="Q2701" s="28">
        <f>-(6*F2701*J2701*L2701*N2701*SIN(RADIANS(E2701))+6*O2701*N2701*G2701*SIN(RADIANS(E2701))*COS(RADIANS(E2701)))/(12*N2701*COS(RADIANS(E2701))^2+L2701*G2701^2*SIN(RADIANS(E2701))^2)</f>
        <v/>
      </c>
      <c r="R2701" s="28">
        <f>-P2701*SIN(RADIANS(E2701))</f>
        <v/>
      </c>
      <c r="S2701" s="8">
        <f>(O2701+P2701*COS(RADIANS(E2701)))/L2701</f>
        <v/>
      </c>
      <c r="T2701" s="8">
        <f>R2701/L2701</f>
        <v/>
      </c>
      <c r="U2701" s="8">
        <f>(Q2701-P2701*G2701*SIN(RADIANS(E2701)))/M2701</f>
        <v/>
      </c>
      <c r="V2701" s="8">
        <f>SQRT((S2701+U2701)^2+3*T2701^2)</f>
        <v/>
      </c>
      <c r="W2701" s="8">
        <f>V2701/AA2701</f>
        <v/>
      </c>
      <c r="X2701" s="27">
        <f>((3*10+H2701/COS(RADIANS(E2701)))*(3+3)+3*G2701*H2701)*2</f>
        <v/>
      </c>
      <c r="Y2701" s="28">
        <f>Z2701/X2701</f>
        <v/>
      </c>
      <c r="Z2701" s="29" t="n">
        <v>610.570219449705</v>
      </c>
      <c r="AA2701" s="20" t="n">
        <v>63.1602789335092</v>
      </c>
      <c r="AB2701" t="n">
        <v>0.1458591122067661</v>
      </c>
      <c r="AC2701" t="n">
        <v>66.06340943343876</v>
      </c>
      <c r="AD2701" t="n">
        <v>37.07836796180127</v>
      </c>
    </row>
    <row r="2702">
      <c r="A2702" t="n">
        <v>2701</v>
      </c>
      <c r="B2702" t="n">
        <v>78.2</v>
      </c>
      <c r="C2702" s="21">
        <f>B2702-20</f>
        <v/>
      </c>
      <c r="D2702" t="n">
        <v>103</v>
      </c>
      <c r="E2702" s="22">
        <f>D2702-90</f>
        <v/>
      </c>
      <c r="F2702" s="23" t="n">
        <v>0.022987</v>
      </c>
      <c r="G2702" s="22" t="n">
        <v>29.4</v>
      </c>
      <c r="H2702" s="22" t="n">
        <v>1.1</v>
      </c>
      <c r="I2702" s="24" t="n">
        <v>0.183843746781349</v>
      </c>
      <c r="J2702" s="6" t="n">
        <v>71000</v>
      </c>
      <c r="K2702" s="25">
        <f>23*10^-6</f>
        <v/>
      </c>
      <c r="L2702" s="8">
        <f>H2702</f>
        <v/>
      </c>
      <c r="M2702" s="26">
        <f>H2702^2/6</f>
        <v/>
      </c>
      <c r="N2702" s="26">
        <f>H2702^3/12</f>
        <v/>
      </c>
      <c r="O2702" s="27">
        <f>-J2702*L2702*K2702*C2702</f>
        <v/>
      </c>
      <c r="P2702" s="28">
        <f>-(12*F2702*J2702*L2702*N2702+12*O2702*N2702*G2702*COS(RADIANS(E2702)))/(12*N2702*G2702*COS(RADIANS(E2702))^2+L2702*G2702^3*SIN(RADIANS(E2702))^2)</f>
        <v/>
      </c>
      <c r="Q2702" s="28">
        <f>-(6*F2702*J2702*L2702*N2702*SIN(RADIANS(E2702))+6*O2702*N2702*G2702*SIN(RADIANS(E2702))*COS(RADIANS(E2702)))/(12*N2702*COS(RADIANS(E2702))^2+L2702*G2702^2*SIN(RADIANS(E2702))^2)</f>
        <v/>
      </c>
      <c r="R2702" s="28">
        <f>-P2702*SIN(RADIANS(E2702))</f>
        <v/>
      </c>
      <c r="S2702" s="8">
        <f>(O2702+P2702*COS(RADIANS(E2702)))/L2702</f>
        <v/>
      </c>
      <c r="T2702" s="8">
        <f>R2702/L2702</f>
        <v/>
      </c>
      <c r="U2702" s="8">
        <f>(Q2702-P2702*G2702*SIN(RADIANS(E2702)))/M2702</f>
        <v/>
      </c>
      <c r="V2702" s="8">
        <f>SQRT((S2702+U2702)^2+3*T2702^2)</f>
        <v/>
      </c>
      <c r="W2702" s="8">
        <f>V2702/AA2702</f>
        <v/>
      </c>
      <c r="X2702" s="27">
        <f>((3*10+H2702/COS(RADIANS(E2702)))*(3+3)+3*G2702*H2702)*2</f>
        <v/>
      </c>
      <c r="Y2702" s="28">
        <f>Z2702/X2702</f>
        <v/>
      </c>
      <c r="Z2702" s="29" t="n">
        <v>571.652142195555</v>
      </c>
      <c r="AA2702" s="20" t="n">
        <v>85.52269035664359</v>
      </c>
      <c r="AB2702" t="n">
        <v>0.2673559147513493</v>
      </c>
      <c r="AC2702" t="n">
        <v>92.20161530288371</v>
      </c>
      <c r="AD2702" t="n">
        <v>45.42562335248959</v>
      </c>
    </row>
    <row r="2703">
      <c r="A2703" t="n">
        <v>2702</v>
      </c>
      <c r="B2703" t="n">
        <v>82.90000000000001</v>
      </c>
      <c r="C2703" s="21">
        <f>B2703-20</f>
        <v/>
      </c>
      <c r="D2703" t="n">
        <v>123.8</v>
      </c>
      <c r="E2703" s="22">
        <f>D2703-90</f>
        <v/>
      </c>
      <c r="F2703" s="23" t="n">
        <v>0.025098</v>
      </c>
      <c r="G2703" s="22" t="n">
        <v>34.9</v>
      </c>
      <c r="H2703" s="22" t="n">
        <v>1</v>
      </c>
      <c r="I2703" s="24" t="n">
        <v>0.109265863895416</v>
      </c>
      <c r="J2703" s="6" t="n">
        <v>71000</v>
      </c>
      <c r="K2703" s="25">
        <f>23*10^-6</f>
        <v/>
      </c>
      <c r="L2703" s="8">
        <f>H2703</f>
        <v/>
      </c>
      <c r="M2703" s="26">
        <f>H2703^2/6</f>
        <v/>
      </c>
      <c r="N2703" s="26">
        <f>H2703^3/12</f>
        <v/>
      </c>
      <c r="O2703" s="27">
        <f>-J2703*L2703*K2703*C2703</f>
        <v/>
      </c>
      <c r="P2703" s="28">
        <f>-(12*F2703*J2703*L2703*N2703+12*O2703*N2703*G2703*COS(RADIANS(E2703)))/(12*N2703*G2703*COS(RADIANS(E2703))^2+L2703*G2703^3*SIN(RADIANS(E2703))^2)</f>
        <v/>
      </c>
      <c r="Q2703" s="28">
        <f>-(6*F2703*J2703*L2703*N2703*SIN(RADIANS(E2703))+6*O2703*N2703*G2703*SIN(RADIANS(E2703))*COS(RADIANS(E2703)))/(12*N2703*COS(RADIANS(E2703))^2+L2703*G2703^2*SIN(RADIANS(E2703))^2)</f>
        <v/>
      </c>
      <c r="R2703" s="28">
        <f>-P2703*SIN(RADIANS(E2703))</f>
        <v/>
      </c>
      <c r="S2703" s="8">
        <f>(O2703+P2703*COS(RADIANS(E2703)))/L2703</f>
        <v/>
      </c>
      <c r="T2703" s="8">
        <f>R2703/L2703</f>
        <v/>
      </c>
      <c r="U2703" s="8">
        <f>(Q2703-P2703*G2703*SIN(RADIANS(E2703)))/M2703</f>
        <v/>
      </c>
      <c r="V2703" s="8">
        <f>SQRT((S2703+U2703)^2+3*T2703^2)</f>
        <v/>
      </c>
      <c r="W2703" s="8">
        <f>V2703/AA2703</f>
        <v/>
      </c>
      <c r="X2703" s="27">
        <f>((3*10+H2703/COS(RADIANS(E2703)))*(3+3)+3*G2703*H2703)*2</f>
        <v/>
      </c>
      <c r="Y2703" s="28">
        <f>Z2703/X2703</f>
        <v/>
      </c>
      <c r="Z2703" s="29" t="n">
        <v>592.155738680221</v>
      </c>
      <c r="AA2703" s="20" t="n">
        <v>81.60961917644001</v>
      </c>
      <c r="AB2703" t="n">
        <v>0.1279865947366016</v>
      </c>
      <c r="AC2703" t="n">
        <v>88.77103928068732</v>
      </c>
      <c r="AD2703" t="n">
        <v>17.13319253953296</v>
      </c>
    </row>
    <row r="2704">
      <c r="A2704" t="n">
        <v>2703</v>
      </c>
      <c r="B2704" t="n">
        <v>56.7</v>
      </c>
      <c r="C2704" s="21">
        <f>B2704-20</f>
        <v/>
      </c>
      <c r="D2704" t="n">
        <v>104.4</v>
      </c>
      <c r="E2704" s="22">
        <f>D2704-90</f>
        <v/>
      </c>
      <c r="F2704" s="23" t="n">
        <v>0.012439</v>
      </c>
      <c r="G2704" s="22" t="n">
        <v>24.5</v>
      </c>
      <c r="H2704" s="22" t="n">
        <v>1.7</v>
      </c>
      <c r="I2704" s="24" t="n">
        <v>0.09075947105884551</v>
      </c>
      <c r="J2704" s="6" t="n">
        <v>71000</v>
      </c>
      <c r="K2704" s="25">
        <f>23*10^-6</f>
        <v/>
      </c>
      <c r="L2704" s="8">
        <f>H2704</f>
        <v/>
      </c>
      <c r="M2704" s="26">
        <f>H2704^2/6</f>
        <v/>
      </c>
      <c r="N2704" s="26">
        <f>H2704^3/12</f>
        <v/>
      </c>
      <c r="O2704" s="27">
        <f>-J2704*L2704*K2704*C2704</f>
        <v/>
      </c>
      <c r="P2704" s="28">
        <f>-(12*F2704*J2704*L2704*N2704+12*O2704*N2704*G2704*COS(RADIANS(E2704)))/(12*N2704*G2704*COS(RADIANS(E2704))^2+L2704*G2704^3*SIN(RADIANS(E2704))^2)</f>
        <v/>
      </c>
      <c r="Q2704" s="28">
        <f>-(6*F2704*J2704*L2704*N2704*SIN(RADIANS(E2704))+6*O2704*N2704*G2704*SIN(RADIANS(E2704))*COS(RADIANS(E2704)))/(12*N2704*COS(RADIANS(E2704))^2+L2704*G2704^2*SIN(RADIANS(E2704))^2)</f>
        <v/>
      </c>
      <c r="R2704" s="28">
        <f>-P2704*SIN(RADIANS(E2704))</f>
        <v/>
      </c>
      <c r="S2704" s="8">
        <f>(O2704+P2704*COS(RADIANS(E2704)))/L2704</f>
        <v/>
      </c>
      <c r="T2704" s="8">
        <f>R2704/L2704</f>
        <v/>
      </c>
      <c r="U2704" s="8">
        <f>(Q2704-P2704*G2704*SIN(RADIANS(E2704)))/M2704</f>
        <v/>
      </c>
      <c r="V2704" s="8">
        <f>SQRT((S2704+U2704)^2+3*T2704^2)</f>
        <v/>
      </c>
      <c r="W2704" s="8">
        <f>V2704/AA2704</f>
        <v/>
      </c>
      <c r="X2704" s="27">
        <f>((3*10+H2704/COS(RADIANS(E2704)))*(3+3)+3*G2704*H2704)*2</f>
        <v/>
      </c>
      <c r="Y2704" s="28">
        <f>Z2704/X2704</f>
        <v/>
      </c>
      <c r="Z2704" s="29" t="n">
        <v>635.173782076571</v>
      </c>
      <c r="AA2704" s="20" t="n">
        <v>62.3172876332536</v>
      </c>
      <c r="AB2704" t="n">
        <v>0.1224279551906759</v>
      </c>
      <c r="AC2704" t="n">
        <v>62.13975075632597</v>
      </c>
      <c r="AD2704" t="n">
        <v>34.89275968928634</v>
      </c>
    </row>
    <row r="2705">
      <c r="A2705" t="n">
        <v>2704</v>
      </c>
      <c r="B2705" t="n">
        <v>60.1</v>
      </c>
      <c r="C2705" s="21">
        <f>B2705-20</f>
        <v/>
      </c>
      <c r="D2705" t="n">
        <v>112.1</v>
      </c>
      <c r="E2705" s="22">
        <f>D2705-90</f>
        <v/>
      </c>
      <c r="F2705" s="23" t="n">
        <v>0.016424</v>
      </c>
      <c r="G2705" s="22" t="n">
        <v>32.3</v>
      </c>
      <c r="H2705" s="22" t="n">
        <v>1.7</v>
      </c>
      <c r="I2705" s="24" t="n">
        <v>0.0888998284935951</v>
      </c>
      <c r="J2705" s="6" t="n">
        <v>71000</v>
      </c>
      <c r="K2705" s="25">
        <f>23*10^-6</f>
        <v/>
      </c>
      <c r="L2705" s="8">
        <f>H2705</f>
        <v/>
      </c>
      <c r="M2705" s="26">
        <f>H2705^2/6</f>
        <v/>
      </c>
      <c r="N2705" s="26">
        <f>H2705^3/12</f>
        <v/>
      </c>
      <c r="O2705" s="27">
        <f>-J2705*L2705*K2705*C2705</f>
        <v/>
      </c>
      <c r="P2705" s="28">
        <f>-(12*F2705*J2705*L2705*N2705+12*O2705*N2705*G2705*COS(RADIANS(E2705)))/(12*N2705*G2705*COS(RADIANS(E2705))^2+L2705*G2705^3*SIN(RADIANS(E2705))^2)</f>
        <v/>
      </c>
      <c r="Q2705" s="28">
        <f>-(6*F2705*J2705*L2705*N2705*SIN(RADIANS(E2705))+6*O2705*N2705*G2705*SIN(RADIANS(E2705))*COS(RADIANS(E2705)))/(12*N2705*COS(RADIANS(E2705))^2+L2705*G2705^2*SIN(RADIANS(E2705))^2)</f>
        <v/>
      </c>
      <c r="R2705" s="28">
        <f>-P2705*SIN(RADIANS(E2705))</f>
        <v/>
      </c>
      <c r="S2705" s="8">
        <f>(O2705+P2705*COS(RADIANS(E2705)))/L2705</f>
        <v/>
      </c>
      <c r="T2705" s="8">
        <f>R2705/L2705</f>
        <v/>
      </c>
      <c r="U2705" s="8">
        <f>(Q2705-P2705*G2705*SIN(RADIANS(E2705)))/M2705</f>
        <v/>
      </c>
      <c r="V2705" s="8">
        <f>SQRT((S2705+U2705)^2+3*T2705^2)</f>
        <v/>
      </c>
      <c r="W2705" s="8">
        <f>V2705/AA2705</f>
        <v/>
      </c>
      <c r="X2705" s="27">
        <f>((3*10+H2705/COS(RADIANS(E2705)))*(3+3)+3*G2705*H2705)*2</f>
        <v/>
      </c>
      <c r="Y2705" s="28">
        <f>Z2705/X2705</f>
        <v/>
      </c>
      <c r="Z2705" s="29" t="n">
        <v>716.814436709448</v>
      </c>
      <c r="AA2705" s="20" t="n">
        <v>63.1412794008578</v>
      </c>
      <c r="AB2705" t="n">
        <v>0.1175419649688249</v>
      </c>
      <c r="AC2705" t="n">
        <v>61.84053807544999</v>
      </c>
      <c r="AD2705" t="n">
        <v>32.21843839360536</v>
      </c>
    </row>
    <row r="2706">
      <c r="A2706" t="n">
        <v>2705</v>
      </c>
      <c r="B2706" t="n">
        <v>46.5</v>
      </c>
      <c r="C2706" s="21">
        <f>B2706-20</f>
        <v/>
      </c>
      <c r="D2706" t="n">
        <v>107.1</v>
      </c>
      <c r="E2706" s="22">
        <f>D2706-90</f>
        <v/>
      </c>
      <c r="F2706" s="23" t="n">
        <v>0.010764</v>
      </c>
      <c r="G2706" s="22" t="n">
        <v>31</v>
      </c>
      <c r="H2706" s="22" t="n">
        <v>1.7</v>
      </c>
      <c r="I2706" s="24" t="n">
        <v>0.0690988898277282</v>
      </c>
      <c r="J2706" s="6" t="n">
        <v>71000</v>
      </c>
      <c r="K2706" s="25">
        <f>23*10^-6</f>
        <v/>
      </c>
      <c r="L2706" s="8">
        <f>H2706</f>
        <v/>
      </c>
      <c r="M2706" s="26">
        <f>H2706^2/6</f>
        <v/>
      </c>
      <c r="N2706" s="26">
        <f>H2706^3/12</f>
        <v/>
      </c>
      <c r="O2706" s="27">
        <f>-J2706*L2706*K2706*C2706</f>
        <v/>
      </c>
      <c r="P2706" s="28">
        <f>-(12*F2706*J2706*L2706*N2706+12*O2706*N2706*G2706*COS(RADIANS(E2706)))/(12*N2706*G2706*COS(RADIANS(E2706))^2+L2706*G2706^3*SIN(RADIANS(E2706))^2)</f>
        <v/>
      </c>
      <c r="Q2706" s="28">
        <f>-(6*F2706*J2706*L2706*N2706*SIN(RADIANS(E2706))+6*O2706*N2706*G2706*SIN(RADIANS(E2706))*COS(RADIANS(E2706)))/(12*N2706*COS(RADIANS(E2706))^2+L2706*G2706^2*SIN(RADIANS(E2706))^2)</f>
        <v/>
      </c>
      <c r="R2706" s="28">
        <f>-P2706*SIN(RADIANS(E2706))</f>
        <v/>
      </c>
      <c r="S2706" s="8">
        <f>(O2706+P2706*COS(RADIANS(E2706)))/L2706</f>
        <v/>
      </c>
      <c r="T2706" s="8">
        <f>R2706/L2706</f>
        <v/>
      </c>
      <c r="U2706" s="8">
        <f>(Q2706-P2706*G2706*SIN(RADIANS(E2706)))/M2706</f>
        <v/>
      </c>
      <c r="V2706" s="8">
        <f>SQRT((S2706+U2706)^2+3*T2706^2)</f>
        <v/>
      </c>
      <c r="W2706" s="8">
        <f>V2706/AA2706</f>
        <v/>
      </c>
      <c r="X2706" s="27">
        <f>((3*10+H2706/COS(RADIANS(E2706)))*(3+3)+3*G2706*H2706)*2</f>
        <v/>
      </c>
      <c r="Y2706" s="28">
        <f>Z2706/X2706</f>
        <v/>
      </c>
      <c r="Z2706" s="29" t="n">
        <v>702.087201772721</v>
      </c>
      <c r="AA2706" s="20" t="n">
        <v>42.6236595799085</v>
      </c>
      <c r="AB2706" t="n">
        <v>0.09608771204093755</v>
      </c>
      <c r="AC2706" t="n">
        <v>42.60298900889315</v>
      </c>
      <c r="AD2706" t="n">
        <v>39.05825734754308</v>
      </c>
    </row>
    <row r="2707">
      <c r="A2707" t="n">
        <v>2706</v>
      </c>
      <c r="B2707" t="n">
        <v>79.8</v>
      </c>
      <c r="C2707" s="21">
        <f>B2707-20</f>
        <v/>
      </c>
      <c r="D2707" t="n">
        <v>101.9</v>
      </c>
      <c r="E2707" s="22">
        <f>D2707-90</f>
        <v/>
      </c>
      <c r="F2707" s="23" t="n">
        <v>0.023102</v>
      </c>
      <c r="G2707" s="22" t="n">
        <v>28.5</v>
      </c>
      <c r="H2707" s="22" t="n">
        <v>1.7</v>
      </c>
      <c r="I2707" s="24" t="n">
        <v>0.19128131866455</v>
      </c>
      <c r="J2707" s="6" t="n">
        <v>71000</v>
      </c>
      <c r="K2707" s="25">
        <f>23*10^-6</f>
        <v/>
      </c>
      <c r="L2707" s="8">
        <f>H2707</f>
        <v/>
      </c>
      <c r="M2707" s="26">
        <f>H2707^2/6</f>
        <v/>
      </c>
      <c r="N2707" s="26">
        <f>H2707^3/12</f>
        <v/>
      </c>
      <c r="O2707" s="27">
        <f>-J2707*L2707*K2707*C2707</f>
        <v/>
      </c>
      <c r="P2707" s="28">
        <f>-(12*F2707*J2707*L2707*N2707+12*O2707*N2707*G2707*COS(RADIANS(E2707)))/(12*N2707*G2707*COS(RADIANS(E2707))^2+L2707*G2707^3*SIN(RADIANS(E2707))^2)</f>
        <v/>
      </c>
      <c r="Q2707" s="28">
        <f>-(6*F2707*J2707*L2707*N2707*SIN(RADIANS(E2707))+6*O2707*N2707*G2707*SIN(RADIANS(E2707))*COS(RADIANS(E2707)))/(12*N2707*COS(RADIANS(E2707))^2+L2707*G2707^2*SIN(RADIANS(E2707))^2)</f>
        <v/>
      </c>
      <c r="R2707" s="28">
        <f>-P2707*SIN(RADIANS(E2707))</f>
        <v/>
      </c>
      <c r="S2707" s="8">
        <f>(O2707+P2707*COS(RADIANS(E2707)))/L2707</f>
        <v/>
      </c>
      <c r="T2707" s="8">
        <f>R2707/L2707</f>
        <v/>
      </c>
      <c r="U2707" s="8">
        <f>(Q2707-P2707*G2707*SIN(RADIANS(E2707)))/M2707</f>
        <v/>
      </c>
      <c r="V2707" s="8">
        <f>SQRT((S2707+U2707)^2+3*T2707^2)</f>
        <v/>
      </c>
      <c r="W2707" s="8">
        <f>V2707/AA2707</f>
        <v/>
      </c>
      <c r="X2707" s="27">
        <f>((3*10+H2707/COS(RADIANS(E2707)))*(3+3)+3*G2707*H2707)*2</f>
        <v/>
      </c>
      <c r="Y2707" s="28">
        <f>Z2707/X2707</f>
        <v/>
      </c>
      <c r="Z2707" s="29" t="n">
        <v>675.508787586546</v>
      </c>
      <c r="AA2707" s="20" t="n">
        <v>102.725247327898</v>
      </c>
      <c r="AB2707" t="n">
        <v>0.2771295839480977</v>
      </c>
      <c r="AC2707" t="n">
        <v>103.0659342942543</v>
      </c>
      <c r="AD2707" t="n">
        <v>44.88063229744863</v>
      </c>
    </row>
    <row r="2708">
      <c r="A2708" t="n">
        <v>2707</v>
      </c>
      <c r="B2708" t="n">
        <v>52.6</v>
      </c>
      <c r="C2708" s="21">
        <f>B2708-20</f>
        <v/>
      </c>
      <c r="D2708" t="n">
        <v>125.5</v>
      </c>
      <c r="E2708" s="22">
        <f>D2708-90</f>
        <v/>
      </c>
      <c r="F2708" s="23" t="n">
        <v>0.012396</v>
      </c>
      <c r="G2708" s="22" t="n">
        <v>33.6</v>
      </c>
      <c r="H2708" s="22" t="n">
        <v>1.6</v>
      </c>
      <c r="I2708" s="24" t="n">
        <v>0.0536360666155815</v>
      </c>
      <c r="J2708" s="6" t="n">
        <v>71000</v>
      </c>
      <c r="K2708" s="25">
        <f>23*10^-6</f>
        <v/>
      </c>
      <c r="L2708" s="8">
        <f>H2708</f>
        <v/>
      </c>
      <c r="M2708" s="26">
        <f>H2708^2/6</f>
        <v/>
      </c>
      <c r="N2708" s="26">
        <f>H2708^3/12</f>
        <v/>
      </c>
      <c r="O2708" s="27">
        <f>-J2708*L2708*K2708*C2708</f>
        <v/>
      </c>
      <c r="P2708" s="28">
        <f>-(12*F2708*J2708*L2708*N2708+12*O2708*N2708*G2708*COS(RADIANS(E2708)))/(12*N2708*G2708*COS(RADIANS(E2708))^2+L2708*G2708^3*SIN(RADIANS(E2708))^2)</f>
        <v/>
      </c>
      <c r="Q2708" s="28">
        <f>-(6*F2708*J2708*L2708*N2708*SIN(RADIANS(E2708))+6*O2708*N2708*G2708*SIN(RADIANS(E2708))*COS(RADIANS(E2708)))/(12*N2708*COS(RADIANS(E2708))^2+L2708*G2708^2*SIN(RADIANS(E2708))^2)</f>
        <v/>
      </c>
      <c r="R2708" s="28">
        <f>-P2708*SIN(RADIANS(E2708))</f>
        <v/>
      </c>
      <c r="S2708" s="8">
        <f>(O2708+P2708*COS(RADIANS(E2708)))/L2708</f>
        <v/>
      </c>
      <c r="T2708" s="8">
        <f>R2708/L2708</f>
        <v/>
      </c>
      <c r="U2708" s="8">
        <f>(Q2708-P2708*G2708*SIN(RADIANS(E2708)))/M2708</f>
        <v/>
      </c>
      <c r="V2708" s="8">
        <f>SQRT((S2708+U2708)^2+3*T2708^2)</f>
        <v/>
      </c>
      <c r="W2708" s="8">
        <f>V2708/AA2708</f>
        <v/>
      </c>
      <c r="X2708" s="27">
        <f>((3*10+H2708/COS(RADIANS(E2708)))*(3+3)+3*G2708*H2708)*2</f>
        <v/>
      </c>
      <c r="Y2708" s="28">
        <f>Z2708/X2708</f>
        <v/>
      </c>
      <c r="Z2708" s="29" t="n">
        <v>715.0573519482811</v>
      </c>
      <c r="AA2708" s="20" t="n">
        <v>47.6365709736367</v>
      </c>
      <c r="AB2708" t="n">
        <v>0.06045352116392677</v>
      </c>
      <c r="AC2708" t="n">
        <v>47.16298198589142</v>
      </c>
      <c r="AD2708" t="n">
        <v>12.71057886702821</v>
      </c>
    </row>
    <row r="2709">
      <c r="A2709" t="n">
        <v>2708</v>
      </c>
      <c r="B2709" t="n">
        <v>58.3</v>
      </c>
      <c r="C2709" s="21">
        <f>B2709-20</f>
        <v/>
      </c>
      <c r="D2709" t="n">
        <v>108.9</v>
      </c>
      <c r="E2709" s="22">
        <f>D2709-90</f>
        <v/>
      </c>
      <c r="F2709" s="23" t="n">
        <v>0.013814</v>
      </c>
      <c r="G2709" s="22" t="n">
        <v>27.1</v>
      </c>
      <c r="H2709" s="22" t="n">
        <v>1.5</v>
      </c>
      <c r="I2709" s="24" t="n">
        <v>0.08435610681772231</v>
      </c>
      <c r="J2709" s="6" t="n">
        <v>71000</v>
      </c>
      <c r="K2709" s="25">
        <f>23*10^-6</f>
        <v/>
      </c>
      <c r="L2709" s="8">
        <f>H2709</f>
        <v/>
      </c>
      <c r="M2709" s="26">
        <f>H2709^2/6</f>
        <v/>
      </c>
      <c r="N2709" s="26">
        <f>H2709^3/12</f>
        <v/>
      </c>
      <c r="O2709" s="27">
        <f>-J2709*L2709*K2709*C2709</f>
        <v/>
      </c>
      <c r="P2709" s="28">
        <f>-(12*F2709*J2709*L2709*N2709+12*O2709*N2709*G2709*COS(RADIANS(E2709)))/(12*N2709*G2709*COS(RADIANS(E2709))^2+L2709*G2709^3*SIN(RADIANS(E2709))^2)</f>
        <v/>
      </c>
      <c r="Q2709" s="28">
        <f>-(6*F2709*J2709*L2709*N2709*SIN(RADIANS(E2709))+6*O2709*N2709*G2709*SIN(RADIANS(E2709))*COS(RADIANS(E2709)))/(12*N2709*COS(RADIANS(E2709))^2+L2709*G2709^2*SIN(RADIANS(E2709))^2)</f>
        <v/>
      </c>
      <c r="R2709" s="28">
        <f>-P2709*SIN(RADIANS(E2709))</f>
        <v/>
      </c>
      <c r="S2709" s="8">
        <f>(O2709+P2709*COS(RADIANS(E2709)))/L2709</f>
        <v/>
      </c>
      <c r="T2709" s="8">
        <f>R2709/L2709</f>
        <v/>
      </c>
      <c r="U2709" s="8">
        <f>(Q2709-P2709*G2709*SIN(RADIANS(E2709)))/M2709</f>
        <v/>
      </c>
      <c r="V2709" s="8">
        <f>SQRT((S2709+U2709)^2+3*T2709^2)</f>
        <v/>
      </c>
      <c r="W2709" s="8">
        <f>V2709/AA2709</f>
        <v/>
      </c>
      <c r="X2709" s="27">
        <f>((3*10+H2709/COS(RADIANS(E2709)))*(3+3)+3*G2709*H2709)*2</f>
        <v/>
      </c>
      <c r="Y2709" s="28">
        <f>Z2709/X2709</f>
        <v/>
      </c>
      <c r="Z2709" s="29" t="n">
        <v>627.727086707557</v>
      </c>
      <c r="AA2709" s="20" t="n">
        <v>59.8910792192099</v>
      </c>
      <c r="AB2709" t="n">
        <v>0.1110216706970483</v>
      </c>
      <c r="AC2709" t="n">
        <v>60.37574781664183</v>
      </c>
      <c r="AD2709" t="n">
        <v>31.61070950908773</v>
      </c>
    </row>
    <row r="2710">
      <c r="A2710" t="n">
        <v>2709</v>
      </c>
      <c r="B2710" t="n">
        <v>62.5</v>
      </c>
      <c r="C2710" s="21">
        <f>B2710-20</f>
        <v/>
      </c>
      <c r="D2710" t="n">
        <v>119.5</v>
      </c>
      <c r="E2710" s="22">
        <f>D2710-90</f>
        <v/>
      </c>
      <c r="F2710" s="23" t="n">
        <v>0.012606</v>
      </c>
      <c r="G2710" s="22" t="n">
        <v>23</v>
      </c>
      <c r="H2710" s="22" t="n">
        <v>1.2</v>
      </c>
      <c r="I2710" s="24" t="n">
        <v>0.0615720264613628</v>
      </c>
      <c r="J2710" s="6" t="n">
        <v>71000</v>
      </c>
      <c r="K2710" s="25">
        <f>23*10^-6</f>
        <v/>
      </c>
      <c r="L2710" s="8">
        <f>H2710</f>
        <v/>
      </c>
      <c r="M2710" s="26">
        <f>H2710^2/6</f>
        <v/>
      </c>
      <c r="N2710" s="26">
        <f>H2710^3/12</f>
        <v/>
      </c>
      <c r="O2710" s="27">
        <f>-J2710*L2710*K2710*C2710</f>
        <v/>
      </c>
      <c r="P2710" s="28">
        <f>-(12*F2710*J2710*L2710*N2710+12*O2710*N2710*G2710*COS(RADIANS(E2710)))/(12*N2710*G2710*COS(RADIANS(E2710))^2+L2710*G2710^3*SIN(RADIANS(E2710))^2)</f>
        <v/>
      </c>
      <c r="Q2710" s="28">
        <f>-(6*F2710*J2710*L2710*N2710*SIN(RADIANS(E2710))+6*O2710*N2710*G2710*SIN(RADIANS(E2710))*COS(RADIANS(E2710)))/(12*N2710*COS(RADIANS(E2710))^2+L2710*G2710^2*SIN(RADIANS(E2710))^2)</f>
        <v/>
      </c>
      <c r="R2710" s="28">
        <f>-P2710*SIN(RADIANS(E2710))</f>
        <v/>
      </c>
      <c r="S2710" s="8">
        <f>(O2710+P2710*COS(RADIANS(E2710)))/L2710</f>
        <v/>
      </c>
      <c r="T2710" s="8">
        <f>R2710/L2710</f>
        <v/>
      </c>
      <c r="U2710" s="8">
        <f>(Q2710-P2710*G2710*SIN(RADIANS(E2710)))/M2710</f>
        <v/>
      </c>
      <c r="V2710" s="8">
        <f>SQRT((S2710+U2710)^2+3*T2710^2)</f>
        <v/>
      </c>
      <c r="W2710" s="8">
        <f>V2710/AA2710</f>
        <v/>
      </c>
      <c r="X2710" s="27">
        <f>((3*10+H2710/COS(RADIANS(E2710)))*(3+3)+3*G2710*H2710)*2</f>
        <v/>
      </c>
      <c r="Y2710" s="28">
        <f>Z2710/X2710</f>
        <v/>
      </c>
      <c r="Z2710" s="29" t="n">
        <v>549.153522182494</v>
      </c>
      <c r="AA2710" s="20" t="n">
        <v>61.3169874624614</v>
      </c>
      <c r="AB2710" t="n">
        <v>0.0673045163715722</v>
      </c>
      <c r="AC2710" t="n">
        <v>62.48281083157315</v>
      </c>
      <c r="AD2710" t="n">
        <v>9.310218031895715</v>
      </c>
    </row>
    <row r="2711">
      <c r="A2711" t="n">
        <v>2710</v>
      </c>
      <c r="B2711" t="n">
        <v>75</v>
      </c>
      <c r="C2711" s="21">
        <f>B2711-20</f>
        <v/>
      </c>
      <c r="D2711" t="n">
        <v>100.9</v>
      </c>
      <c r="E2711" s="22">
        <f>D2711-90</f>
        <v/>
      </c>
      <c r="F2711" s="23" t="n">
        <v>0.024942</v>
      </c>
      <c r="G2711" s="22" t="n">
        <v>34.4</v>
      </c>
      <c r="H2711" s="22" t="n">
        <v>1.6</v>
      </c>
      <c r="I2711" s="24" t="n">
        <v>0.221642464399337</v>
      </c>
      <c r="J2711" s="6" t="n">
        <v>71000</v>
      </c>
      <c r="K2711" s="25">
        <f>23*10^-6</f>
        <v/>
      </c>
      <c r="L2711" s="8">
        <f>H2711</f>
        <v/>
      </c>
      <c r="M2711" s="26">
        <f>H2711^2/6</f>
        <v/>
      </c>
      <c r="N2711" s="26">
        <f>H2711^3/12</f>
        <v/>
      </c>
      <c r="O2711" s="27">
        <f>-J2711*L2711*K2711*C2711</f>
        <v/>
      </c>
      <c r="P2711" s="28">
        <f>-(12*F2711*J2711*L2711*N2711+12*O2711*N2711*G2711*COS(RADIANS(E2711)))/(12*N2711*G2711*COS(RADIANS(E2711))^2+L2711*G2711^3*SIN(RADIANS(E2711))^2)</f>
        <v/>
      </c>
      <c r="Q2711" s="28">
        <f>-(6*F2711*J2711*L2711*N2711*SIN(RADIANS(E2711))+6*O2711*N2711*G2711*SIN(RADIANS(E2711))*COS(RADIANS(E2711)))/(12*N2711*COS(RADIANS(E2711))^2+L2711*G2711^2*SIN(RADIANS(E2711))^2)</f>
        <v/>
      </c>
      <c r="R2711" s="28">
        <f>-P2711*SIN(RADIANS(E2711))</f>
        <v/>
      </c>
      <c r="S2711" s="8">
        <f>(O2711+P2711*COS(RADIANS(E2711)))/L2711</f>
        <v/>
      </c>
      <c r="T2711" s="8">
        <f>R2711/L2711</f>
        <v/>
      </c>
      <c r="U2711" s="8">
        <f>(Q2711-P2711*G2711*SIN(RADIANS(E2711)))/M2711</f>
        <v/>
      </c>
      <c r="V2711" s="8">
        <f>SQRT((S2711+U2711)^2+3*T2711^2)</f>
        <v/>
      </c>
      <c r="W2711" s="8">
        <f>V2711/AA2711</f>
        <v/>
      </c>
      <c r="X2711" s="27">
        <f>((3*10+H2711/COS(RADIANS(E2711)))*(3+3)+3*G2711*H2711)*2</f>
        <v/>
      </c>
      <c r="Y2711" s="28">
        <f>Z2711/X2711</f>
        <v/>
      </c>
      <c r="Z2711" s="29" t="n">
        <v>713.6673324216609</v>
      </c>
      <c r="AA2711" s="20" t="n">
        <v>90.00411821752731</v>
      </c>
      <c r="AB2711" t="n">
        <v>0.3395582780925771</v>
      </c>
      <c r="AC2711" t="n">
        <v>93.23359029947879</v>
      </c>
      <c r="AD2711" t="n">
        <v>53.20091256555837</v>
      </c>
    </row>
    <row r="2712">
      <c r="A2712" t="n">
        <v>2711</v>
      </c>
      <c r="B2712" t="n">
        <v>49.2</v>
      </c>
      <c r="C2712" s="21">
        <f>B2712-20</f>
        <v/>
      </c>
      <c r="D2712" t="n">
        <v>112.1</v>
      </c>
      <c r="E2712" s="22">
        <f>D2712-90</f>
        <v/>
      </c>
      <c r="F2712" s="23" t="n">
        <v>0.009306999999999999</v>
      </c>
      <c r="G2712" s="22" t="n">
        <v>23.7</v>
      </c>
      <c r="H2712" s="22" t="n">
        <v>1.1</v>
      </c>
      <c r="I2712" s="24" t="n">
        <v>0.0526640228927135</v>
      </c>
      <c r="J2712" s="6" t="n">
        <v>71000</v>
      </c>
      <c r="K2712" s="25">
        <f>23*10^-6</f>
        <v/>
      </c>
      <c r="L2712" s="8">
        <f>H2712</f>
        <v/>
      </c>
      <c r="M2712" s="26">
        <f>H2712^2/6</f>
        <v/>
      </c>
      <c r="N2712" s="26">
        <f>H2712^3/12</f>
        <v/>
      </c>
      <c r="O2712" s="27">
        <f>-J2712*L2712*K2712*C2712</f>
        <v/>
      </c>
      <c r="P2712" s="28">
        <f>-(12*F2712*J2712*L2712*N2712+12*O2712*N2712*G2712*COS(RADIANS(E2712)))/(12*N2712*G2712*COS(RADIANS(E2712))^2+L2712*G2712^3*SIN(RADIANS(E2712))^2)</f>
        <v/>
      </c>
      <c r="Q2712" s="28">
        <f>-(6*F2712*J2712*L2712*N2712*SIN(RADIANS(E2712))+6*O2712*N2712*G2712*SIN(RADIANS(E2712))*COS(RADIANS(E2712)))/(12*N2712*COS(RADIANS(E2712))^2+L2712*G2712^2*SIN(RADIANS(E2712))^2)</f>
        <v/>
      </c>
      <c r="R2712" s="28">
        <f>-P2712*SIN(RADIANS(E2712))</f>
        <v/>
      </c>
      <c r="S2712" s="8">
        <f>(O2712+P2712*COS(RADIANS(E2712)))/L2712</f>
        <v/>
      </c>
      <c r="T2712" s="8">
        <f>R2712/L2712</f>
        <v/>
      </c>
      <c r="U2712" s="8">
        <f>(Q2712-P2712*G2712*SIN(RADIANS(E2712)))/M2712</f>
        <v/>
      </c>
      <c r="V2712" s="8">
        <f>SQRT((S2712+U2712)^2+3*T2712^2)</f>
        <v/>
      </c>
      <c r="W2712" s="8">
        <f>V2712/AA2712</f>
        <v/>
      </c>
      <c r="X2712" s="27">
        <f>((3*10+H2712/COS(RADIANS(E2712)))*(3+3)+3*G2712*H2712)*2</f>
        <v/>
      </c>
      <c r="Y2712" s="28">
        <f>Z2712/X2712</f>
        <v/>
      </c>
      <c r="Z2712" s="29" t="n">
        <v>536.003494981262</v>
      </c>
      <c r="AA2712" s="20" t="n">
        <v>41.7761741148115</v>
      </c>
      <c r="AB2712" t="n">
        <v>0.06433718818184966</v>
      </c>
      <c r="AC2712" t="n">
        <v>43.93012614563263</v>
      </c>
      <c r="AD2712" t="n">
        <v>22.1653505523431</v>
      </c>
    </row>
    <row r="2713">
      <c r="A2713" t="n">
        <v>2712</v>
      </c>
      <c r="B2713" t="n">
        <v>42.2</v>
      </c>
      <c r="C2713" s="21">
        <f>B2713-20</f>
        <v/>
      </c>
      <c r="D2713" t="n">
        <v>103.5</v>
      </c>
      <c r="E2713" s="22">
        <f>D2713-90</f>
        <v/>
      </c>
      <c r="F2713" s="23" t="n">
        <v>0.007055</v>
      </c>
      <c r="G2713" s="22" t="n">
        <v>22.5</v>
      </c>
      <c r="H2713" s="22" t="n">
        <v>1.4</v>
      </c>
      <c r="I2713" s="24" t="n">
        <v>0.0548395104706287</v>
      </c>
      <c r="J2713" s="6" t="n">
        <v>71000</v>
      </c>
      <c r="K2713" s="25">
        <f>23*10^-6</f>
        <v/>
      </c>
      <c r="L2713" s="8">
        <f>H2713</f>
        <v/>
      </c>
      <c r="M2713" s="26">
        <f>H2713^2/6</f>
        <v/>
      </c>
      <c r="N2713" s="26">
        <f>H2713^3/12</f>
        <v/>
      </c>
      <c r="O2713" s="27">
        <f>-J2713*L2713*K2713*C2713</f>
        <v/>
      </c>
      <c r="P2713" s="28">
        <f>-(12*F2713*J2713*L2713*N2713+12*O2713*N2713*G2713*COS(RADIANS(E2713)))/(12*N2713*G2713*COS(RADIANS(E2713))^2+L2713*G2713^3*SIN(RADIANS(E2713))^2)</f>
        <v/>
      </c>
      <c r="Q2713" s="28">
        <f>-(6*F2713*J2713*L2713*N2713*SIN(RADIANS(E2713))+6*O2713*N2713*G2713*SIN(RADIANS(E2713))*COS(RADIANS(E2713)))/(12*N2713*COS(RADIANS(E2713))^2+L2713*G2713^2*SIN(RADIANS(E2713))^2)</f>
        <v/>
      </c>
      <c r="R2713" s="28">
        <f>-P2713*SIN(RADIANS(E2713))</f>
        <v/>
      </c>
      <c r="S2713" s="8">
        <f>(O2713+P2713*COS(RADIANS(E2713)))/L2713</f>
        <v/>
      </c>
      <c r="T2713" s="8">
        <f>R2713/L2713</f>
        <v/>
      </c>
      <c r="U2713" s="8">
        <f>(Q2713-P2713*G2713*SIN(RADIANS(E2713)))/M2713</f>
        <v/>
      </c>
      <c r="V2713" s="8">
        <f>SQRT((S2713+U2713)^2+3*T2713^2)</f>
        <v/>
      </c>
      <c r="W2713" s="8">
        <f>V2713/AA2713</f>
        <v/>
      </c>
      <c r="X2713" s="27">
        <f>((3*10+H2713/COS(RADIANS(E2713)))*(3+3)+3*G2713*H2713)*2</f>
        <v/>
      </c>
      <c r="Y2713" s="28">
        <f>Z2713/X2713</f>
        <v/>
      </c>
      <c r="Z2713" s="29" t="n">
        <v>570.39296928718</v>
      </c>
      <c r="AA2713" s="20" t="n">
        <v>35.8059902736259</v>
      </c>
      <c r="AB2713" t="n">
        <v>0.07354683455281416</v>
      </c>
      <c r="AC2713" t="n">
        <v>37.13059525710276</v>
      </c>
      <c r="AD2713" t="n">
        <v>34.11285753946483</v>
      </c>
    </row>
    <row r="2714">
      <c r="A2714" t="n">
        <v>2713</v>
      </c>
      <c r="B2714" t="n">
        <v>85</v>
      </c>
      <c r="C2714" s="21">
        <f>B2714-20</f>
        <v/>
      </c>
      <c r="D2714" t="n">
        <v>101.5</v>
      </c>
      <c r="E2714" s="22">
        <f>D2714-90</f>
        <v/>
      </c>
      <c r="F2714" s="23" t="n">
        <v>0.02318</v>
      </c>
      <c r="G2714" s="22" t="n">
        <v>25.8</v>
      </c>
      <c r="H2714" s="22" t="n">
        <v>1.5</v>
      </c>
      <c r="I2714" s="24" t="n">
        <v>0.199093118309974</v>
      </c>
      <c r="J2714" s="6" t="n">
        <v>71000</v>
      </c>
      <c r="K2714" s="25">
        <f>23*10^-6</f>
        <v/>
      </c>
      <c r="L2714" s="8">
        <f>H2714</f>
        <v/>
      </c>
      <c r="M2714" s="26">
        <f>H2714^2/6</f>
        <v/>
      </c>
      <c r="N2714" s="26">
        <f>H2714^3/12</f>
        <v/>
      </c>
      <c r="O2714" s="27">
        <f>-J2714*L2714*K2714*C2714</f>
        <v/>
      </c>
      <c r="P2714" s="28">
        <f>-(12*F2714*J2714*L2714*N2714+12*O2714*N2714*G2714*COS(RADIANS(E2714)))/(12*N2714*G2714*COS(RADIANS(E2714))^2+L2714*G2714^3*SIN(RADIANS(E2714))^2)</f>
        <v/>
      </c>
      <c r="Q2714" s="28">
        <f>-(6*F2714*J2714*L2714*N2714*SIN(RADIANS(E2714))+6*O2714*N2714*G2714*SIN(RADIANS(E2714))*COS(RADIANS(E2714)))/(12*N2714*COS(RADIANS(E2714))^2+L2714*G2714^2*SIN(RADIANS(E2714))^2)</f>
        <v/>
      </c>
      <c r="R2714" s="28">
        <f>-P2714*SIN(RADIANS(E2714))</f>
        <v/>
      </c>
      <c r="S2714" s="8">
        <f>(O2714+P2714*COS(RADIANS(E2714)))/L2714</f>
        <v/>
      </c>
      <c r="T2714" s="8">
        <f>R2714/L2714</f>
        <v/>
      </c>
      <c r="U2714" s="8">
        <f>(Q2714-P2714*G2714*SIN(RADIANS(E2714)))/M2714</f>
        <v/>
      </c>
      <c r="V2714" s="8">
        <f>SQRT((S2714+U2714)^2+3*T2714^2)</f>
        <v/>
      </c>
      <c r="W2714" s="8">
        <f>V2714/AA2714</f>
        <v/>
      </c>
      <c r="X2714" s="27">
        <f>((3*10+H2714/COS(RADIANS(E2714)))*(3+3)+3*G2714*H2714)*2</f>
        <v/>
      </c>
      <c r="Y2714" s="28">
        <f>Z2714/X2714</f>
        <v/>
      </c>
      <c r="Z2714" s="29" t="n">
        <v>614.494065296635</v>
      </c>
      <c r="AA2714" s="20" t="n">
        <v>108.009643394901</v>
      </c>
      <c r="AB2714" t="n">
        <v>0.2838361465978655</v>
      </c>
      <c r="AC2714" t="n">
        <v>111.5161025897311</v>
      </c>
      <c r="AD2714" t="n">
        <v>42.5645190588419</v>
      </c>
    </row>
    <row r="2715">
      <c r="A2715" t="n">
        <v>2714</v>
      </c>
      <c r="B2715" t="n">
        <v>88.59999999999999</v>
      </c>
      <c r="C2715" s="21">
        <f>B2715-20</f>
        <v/>
      </c>
      <c r="D2715" t="n">
        <v>121.1</v>
      </c>
      <c r="E2715" s="22">
        <f>D2715-90</f>
        <v/>
      </c>
      <c r="F2715" s="23" t="n">
        <v>0.023643</v>
      </c>
      <c r="G2715" s="22" t="n">
        <v>28.3</v>
      </c>
      <c r="H2715" s="22" t="n">
        <v>1.3</v>
      </c>
      <c r="I2715" s="24" t="n">
        <v>0.109444424510002</v>
      </c>
      <c r="J2715" s="6" t="n">
        <v>71000</v>
      </c>
      <c r="K2715" s="25">
        <f>23*10^-6</f>
        <v/>
      </c>
      <c r="L2715" s="8">
        <f>H2715</f>
        <v/>
      </c>
      <c r="M2715" s="26">
        <f>H2715^2/6</f>
        <v/>
      </c>
      <c r="N2715" s="26">
        <f>H2715^3/12</f>
        <v/>
      </c>
      <c r="O2715" s="27">
        <f>-J2715*L2715*K2715*C2715</f>
        <v/>
      </c>
      <c r="P2715" s="28">
        <f>-(12*F2715*J2715*L2715*N2715+12*O2715*N2715*G2715*COS(RADIANS(E2715)))/(12*N2715*G2715*COS(RADIANS(E2715))^2+L2715*G2715^3*SIN(RADIANS(E2715))^2)</f>
        <v/>
      </c>
      <c r="Q2715" s="28">
        <f>-(6*F2715*J2715*L2715*N2715*SIN(RADIANS(E2715))+6*O2715*N2715*G2715*SIN(RADIANS(E2715))*COS(RADIANS(E2715)))/(12*N2715*COS(RADIANS(E2715))^2+L2715*G2715^2*SIN(RADIANS(E2715))^2)</f>
        <v/>
      </c>
      <c r="R2715" s="28">
        <f>-P2715*SIN(RADIANS(E2715))</f>
        <v/>
      </c>
      <c r="S2715" s="8">
        <f>(O2715+P2715*COS(RADIANS(E2715)))/L2715</f>
        <v/>
      </c>
      <c r="T2715" s="8">
        <f>R2715/L2715</f>
        <v/>
      </c>
      <c r="U2715" s="8">
        <f>(Q2715-P2715*G2715*SIN(RADIANS(E2715)))/M2715</f>
        <v/>
      </c>
      <c r="V2715" s="8">
        <f>SQRT((S2715+U2715)^2+3*T2715^2)</f>
        <v/>
      </c>
      <c r="W2715" s="8">
        <f>V2715/AA2715</f>
        <v/>
      </c>
      <c r="X2715" s="27">
        <f>((3*10+H2715/COS(RADIANS(E2715)))*(3+3)+3*G2715*H2715)*2</f>
        <v/>
      </c>
      <c r="Y2715" s="28">
        <f>Z2715/X2715</f>
        <v/>
      </c>
      <c r="Z2715" s="29" t="n">
        <v>606.420881805116</v>
      </c>
      <c r="AA2715" s="20" t="n">
        <v>98.2578082092223</v>
      </c>
      <c r="AB2715" t="n">
        <v>0.1248317634354431</v>
      </c>
      <c r="AC2715" t="n">
        <v>99.9219972391812</v>
      </c>
      <c r="AD2715" t="n">
        <v>14.05950005615391</v>
      </c>
    </row>
    <row r="2716">
      <c r="A2716" t="n">
        <v>2715</v>
      </c>
      <c r="B2716" t="n">
        <v>79.3</v>
      </c>
      <c r="C2716" s="21">
        <f>B2716-20</f>
        <v/>
      </c>
      <c r="D2716" t="n">
        <v>129.1</v>
      </c>
      <c r="E2716" s="22">
        <f>D2716-90</f>
        <v/>
      </c>
      <c r="F2716" s="23" t="n">
        <v>0.019375</v>
      </c>
      <c r="G2716" s="22" t="n">
        <v>29.2</v>
      </c>
      <c r="H2716" s="22" t="n">
        <v>1.8</v>
      </c>
      <c r="I2716" s="24" t="n">
        <v>0.0838898941874504</v>
      </c>
      <c r="J2716" s="6" t="n">
        <v>71000</v>
      </c>
      <c r="K2716" s="25">
        <f>23*10^-6</f>
        <v/>
      </c>
      <c r="L2716" s="8">
        <f>H2716</f>
        <v/>
      </c>
      <c r="M2716" s="26">
        <f>H2716^2/6</f>
        <v/>
      </c>
      <c r="N2716" s="26">
        <f>H2716^3/12</f>
        <v/>
      </c>
      <c r="O2716" s="27">
        <f>-J2716*L2716*K2716*C2716</f>
        <v/>
      </c>
      <c r="P2716" s="28">
        <f>-(12*F2716*J2716*L2716*N2716+12*O2716*N2716*G2716*COS(RADIANS(E2716)))/(12*N2716*G2716*COS(RADIANS(E2716))^2+L2716*G2716^3*SIN(RADIANS(E2716))^2)</f>
        <v/>
      </c>
      <c r="Q2716" s="28">
        <f>-(6*F2716*J2716*L2716*N2716*SIN(RADIANS(E2716))+6*O2716*N2716*G2716*SIN(RADIANS(E2716))*COS(RADIANS(E2716)))/(12*N2716*COS(RADIANS(E2716))^2+L2716*G2716^2*SIN(RADIANS(E2716))^2)</f>
        <v/>
      </c>
      <c r="R2716" s="28">
        <f>-P2716*SIN(RADIANS(E2716))</f>
        <v/>
      </c>
      <c r="S2716" s="8">
        <f>(O2716+P2716*COS(RADIANS(E2716)))/L2716</f>
        <v/>
      </c>
      <c r="T2716" s="8">
        <f>R2716/L2716</f>
        <v/>
      </c>
      <c r="U2716" s="8">
        <f>(Q2716-P2716*G2716*SIN(RADIANS(E2716)))/M2716</f>
        <v/>
      </c>
      <c r="V2716" s="8">
        <f>SQRT((S2716+U2716)^2+3*T2716^2)</f>
        <v/>
      </c>
      <c r="W2716" s="8">
        <f>V2716/AA2716</f>
        <v/>
      </c>
      <c r="X2716" s="27">
        <f>((3*10+H2716/COS(RADIANS(E2716)))*(3+3)+3*G2716*H2716)*2</f>
        <v/>
      </c>
      <c r="Y2716" s="28">
        <f>Z2716/X2716</f>
        <v/>
      </c>
      <c r="Z2716" s="29" t="n">
        <v>713.553002001471</v>
      </c>
      <c r="AA2716" s="20" t="n">
        <v>90.60275816023839</v>
      </c>
      <c r="AB2716" t="n">
        <v>0.08640129199952262</v>
      </c>
      <c r="AC2716" t="n">
        <v>86.20108224362578</v>
      </c>
      <c r="AD2716" t="n">
        <v>2.993683370800965</v>
      </c>
    </row>
    <row r="2717">
      <c r="A2717" t="n">
        <v>2716</v>
      </c>
      <c r="B2717" t="n">
        <v>47.2</v>
      </c>
      <c r="C2717" s="21">
        <f>B2717-20</f>
        <v/>
      </c>
      <c r="D2717" t="n">
        <v>103.4</v>
      </c>
      <c r="E2717" s="22">
        <f>D2717-90</f>
        <v/>
      </c>
      <c r="F2717" s="23" t="n">
        <v>0.008647</v>
      </c>
      <c r="G2717" s="22" t="n">
        <v>22.5</v>
      </c>
      <c r="H2717" s="22" t="n">
        <v>1.1</v>
      </c>
      <c r="I2717" s="24" t="n">
        <v>0.06885071843862529</v>
      </c>
      <c r="J2717" s="6" t="n">
        <v>71000</v>
      </c>
      <c r="K2717" s="25">
        <f>23*10^-6</f>
        <v/>
      </c>
      <c r="L2717" s="8">
        <f>H2717</f>
        <v/>
      </c>
      <c r="M2717" s="26">
        <f>H2717^2/6</f>
        <v/>
      </c>
      <c r="N2717" s="26">
        <f>H2717^3/12</f>
        <v/>
      </c>
      <c r="O2717" s="27">
        <f>-J2717*L2717*K2717*C2717</f>
        <v/>
      </c>
      <c r="P2717" s="28">
        <f>-(12*F2717*J2717*L2717*N2717+12*O2717*N2717*G2717*COS(RADIANS(E2717)))/(12*N2717*G2717*COS(RADIANS(E2717))^2+L2717*G2717^3*SIN(RADIANS(E2717))^2)</f>
        <v/>
      </c>
      <c r="Q2717" s="28">
        <f>-(6*F2717*J2717*L2717*N2717*SIN(RADIANS(E2717))+6*O2717*N2717*G2717*SIN(RADIANS(E2717))*COS(RADIANS(E2717)))/(12*N2717*COS(RADIANS(E2717))^2+L2717*G2717^2*SIN(RADIANS(E2717))^2)</f>
        <v/>
      </c>
      <c r="R2717" s="28">
        <f>-P2717*SIN(RADIANS(E2717))</f>
        <v/>
      </c>
      <c r="S2717" s="8">
        <f>(O2717+P2717*COS(RADIANS(E2717)))/L2717</f>
        <v/>
      </c>
      <c r="T2717" s="8">
        <f>R2717/L2717</f>
        <v/>
      </c>
      <c r="U2717" s="8">
        <f>(Q2717-P2717*G2717*SIN(RADIANS(E2717)))/M2717</f>
        <v/>
      </c>
      <c r="V2717" s="8">
        <f>SQRT((S2717+U2717)^2+3*T2717^2)</f>
        <v/>
      </c>
      <c r="W2717" s="8">
        <f>V2717/AA2717</f>
        <v/>
      </c>
      <c r="X2717" s="27">
        <f>((3*10+H2717/COS(RADIANS(E2717)))*(3+3)+3*G2717*H2717)*2</f>
        <v/>
      </c>
      <c r="Y2717" s="28">
        <f>Z2717/X2717</f>
        <v/>
      </c>
      <c r="Z2717" s="29" t="n">
        <v>526.174709199908</v>
      </c>
      <c r="AA2717" s="20" t="n">
        <v>40.3042953314189</v>
      </c>
      <c r="AB2717" t="n">
        <v>0.09303158107036819</v>
      </c>
      <c r="AC2717" t="n">
        <v>43.94200066191451</v>
      </c>
      <c r="AD2717" t="n">
        <v>35.1207121437638</v>
      </c>
    </row>
    <row r="2718">
      <c r="A2718" t="n">
        <v>2717</v>
      </c>
      <c r="B2718" t="n">
        <v>69.59999999999999</v>
      </c>
      <c r="C2718" s="21">
        <f>B2718-20</f>
        <v/>
      </c>
      <c r="D2718" t="n">
        <v>117.5</v>
      </c>
      <c r="E2718" s="22">
        <f>D2718-90</f>
        <v/>
      </c>
      <c r="F2718" s="23" t="n">
        <v>0.014126</v>
      </c>
      <c r="G2718" s="22" t="n">
        <v>21.4</v>
      </c>
      <c r="H2718" s="22" t="n">
        <v>1.7</v>
      </c>
      <c r="I2718" s="24" t="n">
        <v>0.0718612819910049</v>
      </c>
      <c r="J2718" s="6" t="n">
        <v>71000</v>
      </c>
      <c r="K2718" s="25">
        <f>23*10^-6</f>
        <v/>
      </c>
      <c r="L2718" s="8">
        <f>H2718</f>
        <v/>
      </c>
      <c r="M2718" s="26">
        <f>H2718^2/6</f>
        <v/>
      </c>
      <c r="N2718" s="26">
        <f>H2718^3/12</f>
        <v/>
      </c>
      <c r="O2718" s="27">
        <f>-J2718*L2718*K2718*C2718</f>
        <v/>
      </c>
      <c r="P2718" s="28">
        <f>-(12*F2718*J2718*L2718*N2718+12*O2718*N2718*G2718*COS(RADIANS(E2718)))/(12*N2718*G2718*COS(RADIANS(E2718))^2+L2718*G2718^3*SIN(RADIANS(E2718))^2)</f>
        <v/>
      </c>
      <c r="Q2718" s="28">
        <f>-(6*F2718*J2718*L2718*N2718*SIN(RADIANS(E2718))+6*O2718*N2718*G2718*SIN(RADIANS(E2718))*COS(RADIANS(E2718)))/(12*N2718*COS(RADIANS(E2718))^2+L2718*G2718^2*SIN(RADIANS(E2718))^2)</f>
        <v/>
      </c>
      <c r="R2718" s="28">
        <f>-P2718*SIN(RADIANS(E2718))</f>
        <v/>
      </c>
      <c r="S2718" s="8">
        <f>(O2718+P2718*COS(RADIANS(E2718)))/L2718</f>
        <v/>
      </c>
      <c r="T2718" s="8">
        <f>R2718/L2718</f>
        <v/>
      </c>
      <c r="U2718" s="8">
        <f>(Q2718-P2718*G2718*SIN(RADIANS(E2718)))/M2718</f>
        <v/>
      </c>
      <c r="V2718" s="8">
        <f>SQRT((S2718+U2718)^2+3*T2718^2)</f>
        <v/>
      </c>
      <c r="W2718" s="8">
        <f>V2718/AA2718</f>
        <v/>
      </c>
      <c r="X2718" s="27">
        <f>((3*10+H2718/COS(RADIANS(E2718)))*(3+3)+3*G2718*H2718)*2</f>
        <v/>
      </c>
      <c r="Y2718" s="28">
        <f>Z2718/X2718</f>
        <v/>
      </c>
      <c r="Z2718" s="29" t="n">
        <v>607.769387826506</v>
      </c>
      <c r="AA2718" s="20" t="n">
        <v>81.3520789648519</v>
      </c>
      <c r="AB2718" t="n">
        <v>0.07801843536807852</v>
      </c>
      <c r="AC2718" t="n">
        <v>76.45546279568175</v>
      </c>
      <c r="AD2718" t="n">
        <v>8.568109566768278</v>
      </c>
    </row>
    <row r="2719">
      <c r="A2719" t="n">
        <v>2718</v>
      </c>
      <c r="B2719" t="n">
        <v>55.3</v>
      </c>
      <c r="C2719" s="21">
        <f>B2719-20</f>
        <v/>
      </c>
      <c r="D2719" t="n">
        <v>128.5</v>
      </c>
      <c r="E2719" s="22">
        <f>D2719-90</f>
        <v/>
      </c>
      <c r="F2719" s="23" t="n">
        <v>0.012052</v>
      </c>
      <c r="G2719" s="22" t="n">
        <v>30.6</v>
      </c>
      <c r="H2719" s="22" t="n">
        <v>1.2</v>
      </c>
      <c r="I2719" s="24" t="n">
        <v>0.0518038310110569</v>
      </c>
      <c r="J2719" s="6" t="n">
        <v>71000</v>
      </c>
      <c r="K2719" s="25">
        <f>23*10^-6</f>
        <v/>
      </c>
      <c r="L2719" s="8">
        <f>H2719</f>
        <v/>
      </c>
      <c r="M2719" s="26">
        <f>H2719^2/6</f>
        <v/>
      </c>
      <c r="N2719" s="26">
        <f>H2719^3/12</f>
        <v/>
      </c>
      <c r="O2719" s="27">
        <f>-J2719*L2719*K2719*C2719</f>
        <v/>
      </c>
      <c r="P2719" s="28">
        <f>-(12*F2719*J2719*L2719*N2719+12*O2719*N2719*G2719*COS(RADIANS(E2719)))/(12*N2719*G2719*COS(RADIANS(E2719))^2+L2719*G2719^3*SIN(RADIANS(E2719))^2)</f>
        <v/>
      </c>
      <c r="Q2719" s="28">
        <f>-(6*F2719*J2719*L2719*N2719*SIN(RADIANS(E2719))+6*O2719*N2719*G2719*SIN(RADIANS(E2719))*COS(RADIANS(E2719)))/(12*N2719*COS(RADIANS(E2719))^2+L2719*G2719^2*SIN(RADIANS(E2719))^2)</f>
        <v/>
      </c>
      <c r="R2719" s="28">
        <f>-P2719*SIN(RADIANS(E2719))</f>
        <v/>
      </c>
      <c r="S2719" s="8">
        <f>(O2719+P2719*COS(RADIANS(E2719)))/L2719</f>
        <v/>
      </c>
      <c r="T2719" s="8">
        <f>R2719/L2719</f>
        <v/>
      </c>
      <c r="U2719" s="8">
        <f>(Q2719-P2719*G2719*SIN(RADIANS(E2719)))/M2719</f>
        <v/>
      </c>
      <c r="V2719" s="8">
        <f>SQRT((S2719+U2719)^2+3*T2719^2)</f>
        <v/>
      </c>
      <c r="W2719" s="8">
        <f>V2719/AA2719</f>
        <v/>
      </c>
      <c r="X2719" s="27">
        <f>((3*10+H2719/COS(RADIANS(E2719)))*(3+3)+3*G2719*H2719)*2</f>
        <v/>
      </c>
      <c r="Y2719" s="28">
        <f>Z2719/X2719</f>
        <v/>
      </c>
      <c r="Z2719" s="29" t="n">
        <v>608.82032983308</v>
      </c>
      <c r="AA2719" s="20" t="n">
        <v>47.4707701556357</v>
      </c>
      <c r="AB2719" t="n">
        <v>0.0549035139252148</v>
      </c>
      <c r="AC2719" t="n">
        <v>50.02789178941629</v>
      </c>
      <c r="AD2719" t="n">
        <v>5.98350132347608</v>
      </c>
    </row>
    <row r="2720">
      <c r="A2720" t="n">
        <v>2719</v>
      </c>
      <c r="B2720" t="n">
        <v>58.8</v>
      </c>
      <c r="C2720" s="21">
        <f>B2720-20</f>
        <v/>
      </c>
      <c r="D2720" t="n">
        <v>119.6</v>
      </c>
      <c r="E2720" s="22">
        <f>D2720-90</f>
        <v/>
      </c>
      <c r="F2720" s="23" t="n">
        <v>0.014807</v>
      </c>
      <c r="G2720" s="22" t="n">
        <v>31.6</v>
      </c>
      <c r="H2720" s="22" t="n">
        <v>1.9</v>
      </c>
      <c r="I2720" s="24" t="n">
        <v>0.06892507523298259</v>
      </c>
      <c r="J2720" s="6" t="n">
        <v>71000</v>
      </c>
      <c r="K2720" s="25">
        <f>23*10^-6</f>
        <v/>
      </c>
      <c r="L2720" s="8">
        <f>H2720</f>
        <v/>
      </c>
      <c r="M2720" s="26">
        <f>H2720^2/6</f>
        <v/>
      </c>
      <c r="N2720" s="26">
        <f>H2720^3/12</f>
        <v/>
      </c>
      <c r="O2720" s="27">
        <f>-J2720*L2720*K2720*C2720</f>
        <v/>
      </c>
      <c r="P2720" s="28">
        <f>-(12*F2720*J2720*L2720*N2720+12*O2720*N2720*G2720*COS(RADIANS(E2720)))/(12*N2720*G2720*COS(RADIANS(E2720))^2+L2720*G2720^3*SIN(RADIANS(E2720))^2)</f>
        <v/>
      </c>
      <c r="Q2720" s="28">
        <f>-(6*F2720*J2720*L2720*N2720*SIN(RADIANS(E2720))+6*O2720*N2720*G2720*SIN(RADIANS(E2720))*COS(RADIANS(E2720)))/(12*N2720*COS(RADIANS(E2720))^2+L2720*G2720^2*SIN(RADIANS(E2720))^2)</f>
        <v/>
      </c>
      <c r="R2720" s="28">
        <f>-P2720*SIN(RADIANS(E2720))</f>
        <v/>
      </c>
      <c r="S2720" s="8">
        <f>(O2720+P2720*COS(RADIANS(E2720)))/L2720</f>
        <v/>
      </c>
      <c r="T2720" s="8">
        <f>R2720/L2720</f>
        <v/>
      </c>
      <c r="U2720" s="8">
        <f>(Q2720-P2720*G2720*SIN(RADIANS(E2720)))/M2720</f>
        <v/>
      </c>
      <c r="V2720" s="8">
        <f>SQRT((S2720+U2720)^2+3*T2720^2)</f>
        <v/>
      </c>
      <c r="W2720" s="8">
        <f>V2720/AA2720</f>
        <v/>
      </c>
      <c r="X2720" s="27">
        <f>((3*10+H2720/COS(RADIANS(E2720)))*(3+3)+3*G2720*H2720)*2</f>
        <v/>
      </c>
      <c r="Y2720" s="28">
        <f>Z2720/X2720</f>
        <v/>
      </c>
      <c r="Z2720" s="29" t="n">
        <v>753.497980065444</v>
      </c>
      <c r="AA2720" s="20" t="n">
        <v>61.9592414541598</v>
      </c>
      <c r="AB2720" t="n">
        <v>0.08214223247726091</v>
      </c>
      <c r="AC2720" t="n">
        <v>58.36676828512942</v>
      </c>
      <c r="AD2720" t="n">
        <v>19.17612305768443</v>
      </c>
    </row>
    <row r="2721">
      <c r="A2721" t="n">
        <v>2720</v>
      </c>
      <c r="B2721" t="n">
        <v>81.2</v>
      </c>
      <c r="C2721" s="21">
        <f>B2721-20</f>
        <v/>
      </c>
      <c r="D2721" t="n">
        <v>111.7</v>
      </c>
      <c r="E2721" s="22">
        <f>D2721-90</f>
        <v/>
      </c>
      <c r="F2721" s="23" t="n">
        <v>0.02668</v>
      </c>
      <c r="G2721" s="22" t="n">
        <v>34.7</v>
      </c>
      <c r="H2721" s="22" t="n">
        <v>1.9</v>
      </c>
      <c r="I2721" s="24" t="n">
        <v>0.144651964306831</v>
      </c>
      <c r="J2721" s="6" t="n">
        <v>71000</v>
      </c>
      <c r="K2721" s="25">
        <f>23*10^-6</f>
        <v/>
      </c>
      <c r="L2721" s="8">
        <f>H2721</f>
        <v/>
      </c>
      <c r="M2721" s="26">
        <f>H2721^2/6</f>
        <v/>
      </c>
      <c r="N2721" s="26">
        <f>H2721^3/12</f>
        <v/>
      </c>
      <c r="O2721" s="27">
        <f>-J2721*L2721*K2721*C2721</f>
        <v/>
      </c>
      <c r="P2721" s="28">
        <f>-(12*F2721*J2721*L2721*N2721+12*O2721*N2721*G2721*COS(RADIANS(E2721)))/(12*N2721*G2721*COS(RADIANS(E2721))^2+L2721*G2721^3*SIN(RADIANS(E2721))^2)</f>
        <v/>
      </c>
      <c r="Q2721" s="28">
        <f>-(6*F2721*J2721*L2721*N2721*SIN(RADIANS(E2721))+6*O2721*N2721*G2721*SIN(RADIANS(E2721))*COS(RADIANS(E2721)))/(12*N2721*COS(RADIANS(E2721))^2+L2721*G2721^2*SIN(RADIANS(E2721))^2)</f>
        <v/>
      </c>
      <c r="R2721" s="28">
        <f>-P2721*SIN(RADIANS(E2721))</f>
        <v/>
      </c>
      <c r="S2721" s="8">
        <f>(O2721+P2721*COS(RADIANS(E2721)))/L2721</f>
        <v/>
      </c>
      <c r="T2721" s="8">
        <f>R2721/L2721</f>
        <v/>
      </c>
      <c r="U2721" s="8">
        <f>(Q2721-P2721*G2721*SIN(RADIANS(E2721)))/M2721</f>
        <v/>
      </c>
      <c r="V2721" s="8">
        <f>SQRT((S2721+U2721)^2+3*T2721^2)</f>
        <v/>
      </c>
      <c r="W2721" s="8">
        <f>V2721/AA2721</f>
        <v/>
      </c>
      <c r="X2721" s="27">
        <f>((3*10+H2721/COS(RADIANS(E2721)))*(3+3)+3*G2721*H2721)*2</f>
        <v/>
      </c>
      <c r="Y2721" s="28">
        <f>Z2721/X2721</f>
        <v/>
      </c>
      <c r="Z2721" s="29" t="n">
        <v>785.38319066658</v>
      </c>
      <c r="AA2721" s="20" t="n">
        <v>98.9467481594278</v>
      </c>
      <c r="AB2721" t="n">
        <v>0.1952467235818578</v>
      </c>
      <c r="AC2721" t="n">
        <v>95.29362098896037</v>
      </c>
      <c r="AD2721" t="n">
        <v>34.97689057834488</v>
      </c>
    </row>
    <row r="2722">
      <c r="A2722" t="n">
        <v>2721</v>
      </c>
      <c r="B2722" t="n">
        <v>55.8</v>
      </c>
      <c r="C2722" s="21">
        <f>B2722-20</f>
        <v/>
      </c>
      <c r="D2722" t="n">
        <v>118.8</v>
      </c>
      <c r="E2722" s="22">
        <f>D2722-90</f>
        <v/>
      </c>
      <c r="F2722" s="23" t="n">
        <v>0.01189</v>
      </c>
      <c r="G2722" s="22" t="n">
        <v>26.4</v>
      </c>
      <c r="H2722" s="22" t="n">
        <v>1.8</v>
      </c>
      <c r="I2722" s="24" t="n">
        <v>0.0574462637305259</v>
      </c>
      <c r="J2722" s="6" t="n">
        <v>71000</v>
      </c>
      <c r="K2722" s="25">
        <f>23*10^-6</f>
        <v/>
      </c>
      <c r="L2722" s="8">
        <f>H2722</f>
        <v/>
      </c>
      <c r="M2722" s="26">
        <f>H2722^2/6</f>
        <v/>
      </c>
      <c r="N2722" s="26">
        <f>H2722^3/12</f>
        <v/>
      </c>
      <c r="O2722" s="27">
        <f>-J2722*L2722*K2722*C2722</f>
        <v/>
      </c>
      <c r="P2722" s="28">
        <f>-(12*F2722*J2722*L2722*N2722+12*O2722*N2722*G2722*COS(RADIANS(E2722)))/(12*N2722*G2722*COS(RADIANS(E2722))^2+L2722*G2722^3*SIN(RADIANS(E2722))^2)</f>
        <v/>
      </c>
      <c r="Q2722" s="28">
        <f>-(6*F2722*J2722*L2722*N2722*SIN(RADIANS(E2722))+6*O2722*N2722*G2722*SIN(RADIANS(E2722))*COS(RADIANS(E2722)))/(12*N2722*COS(RADIANS(E2722))^2+L2722*G2722^2*SIN(RADIANS(E2722))^2)</f>
        <v/>
      </c>
      <c r="R2722" s="28">
        <f>-P2722*SIN(RADIANS(E2722))</f>
        <v/>
      </c>
      <c r="S2722" s="8">
        <f>(O2722+P2722*COS(RADIANS(E2722)))/L2722</f>
        <v/>
      </c>
      <c r="T2722" s="8">
        <f>R2722/L2722</f>
        <v/>
      </c>
      <c r="U2722" s="8">
        <f>(Q2722-P2722*G2722*SIN(RADIANS(E2722)))/M2722</f>
        <v/>
      </c>
      <c r="V2722" s="8">
        <f>SQRT((S2722+U2722)^2+3*T2722^2)</f>
        <v/>
      </c>
      <c r="W2722" s="8">
        <f>V2722/AA2722</f>
        <v/>
      </c>
      <c r="X2722" s="27">
        <f>((3*10+H2722/COS(RADIANS(E2722)))*(3+3)+3*G2722*H2722)*2</f>
        <v/>
      </c>
      <c r="Y2722" s="28">
        <f>Z2722/X2722</f>
        <v/>
      </c>
      <c r="Z2722" s="29" t="n">
        <v>676.590206349446</v>
      </c>
      <c r="AA2722" s="20" t="n">
        <v>57.4134999071373</v>
      </c>
      <c r="AB2722" t="n">
        <v>0.06564045483850404</v>
      </c>
      <c r="AC2722" t="n">
        <v>54.43194725229986</v>
      </c>
      <c r="AD2722" t="n">
        <v>14.26409756849669</v>
      </c>
    </row>
    <row r="2723">
      <c r="A2723" t="n">
        <v>2722</v>
      </c>
      <c r="B2723" t="n">
        <v>64</v>
      </c>
      <c r="C2723" s="21">
        <f>B2723-20</f>
        <v/>
      </c>
      <c r="D2723" t="n">
        <v>114.3</v>
      </c>
      <c r="E2723" s="22">
        <f>D2723-90</f>
        <v/>
      </c>
      <c r="F2723" s="23" t="n">
        <v>0.015079</v>
      </c>
      <c r="G2723" s="22" t="n">
        <v>26.4</v>
      </c>
      <c r="H2723" s="22" t="n">
        <v>1.4</v>
      </c>
      <c r="I2723" s="24" t="n">
        <v>0.07940973341464989</v>
      </c>
      <c r="J2723" s="6" t="n">
        <v>71000</v>
      </c>
      <c r="K2723" s="25">
        <f>23*10^-6</f>
        <v/>
      </c>
      <c r="L2723" s="8">
        <f>H2723</f>
        <v/>
      </c>
      <c r="M2723" s="26">
        <f>H2723^2/6</f>
        <v/>
      </c>
      <c r="N2723" s="26">
        <f>H2723^3/12</f>
        <v/>
      </c>
      <c r="O2723" s="27">
        <f>-J2723*L2723*K2723*C2723</f>
        <v/>
      </c>
      <c r="P2723" s="28">
        <f>-(12*F2723*J2723*L2723*N2723+12*O2723*N2723*G2723*COS(RADIANS(E2723)))/(12*N2723*G2723*COS(RADIANS(E2723))^2+L2723*G2723^3*SIN(RADIANS(E2723))^2)</f>
        <v/>
      </c>
      <c r="Q2723" s="28">
        <f>-(6*F2723*J2723*L2723*N2723*SIN(RADIANS(E2723))+6*O2723*N2723*G2723*SIN(RADIANS(E2723))*COS(RADIANS(E2723)))/(12*N2723*COS(RADIANS(E2723))^2+L2723*G2723^2*SIN(RADIANS(E2723))^2)</f>
        <v/>
      </c>
      <c r="R2723" s="28">
        <f>-P2723*SIN(RADIANS(E2723))</f>
        <v/>
      </c>
      <c r="S2723" s="8">
        <f>(O2723+P2723*COS(RADIANS(E2723)))/L2723</f>
        <v/>
      </c>
      <c r="T2723" s="8">
        <f>R2723/L2723</f>
        <v/>
      </c>
      <c r="U2723" s="8">
        <f>(Q2723-P2723*G2723*SIN(RADIANS(E2723)))/M2723</f>
        <v/>
      </c>
      <c r="V2723" s="8">
        <f>SQRT((S2723+U2723)^2+3*T2723^2)</f>
        <v/>
      </c>
      <c r="W2723" s="8">
        <f>V2723/AA2723</f>
        <v/>
      </c>
      <c r="X2723" s="27">
        <f>((3*10+H2723/COS(RADIANS(E2723)))*(3+3)+3*G2723*H2723)*2</f>
        <v/>
      </c>
      <c r="Y2723" s="28">
        <f>Z2723/X2723</f>
        <v/>
      </c>
      <c r="Z2723" s="29" t="n">
        <v>605.959762058126</v>
      </c>
      <c r="AA2723" s="20" t="n">
        <v>66.05462384367409</v>
      </c>
      <c r="AB2723" t="n">
        <v>0.09688815447238554</v>
      </c>
      <c r="AC2723" t="n">
        <v>66.61195662111453</v>
      </c>
      <c r="AD2723" t="n">
        <v>22.01042656379343</v>
      </c>
    </row>
    <row r="2724">
      <c r="A2724" t="n">
        <v>2723</v>
      </c>
      <c r="B2724" t="n">
        <v>73</v>
      </c>
      <c r="C2724" s="21">
        <f>B2724-20</f>
        <v/>
      </c>
      <c r="D2724" t="n">
        <v>125.4</v>
      </c>
      <c r="E2724" s="22">
        <f>D2724-90</f>
        <v/>
      </c>
      <c r="F2724" s="23" t="n">
        <v>0.01643</v>
      </c>
      <c r="G2724" s="22" t="n">
        <v>26</v>
      </c>
      <c r="H2724" s="22" t="n">
        <v>1.3</v>
      </c>
      <c r="I2724" s="24" t="n">
        <v>0.0737540125846862</v>
      </c>
      <c r="J2724" s="6" t="n">
        <v>71000</v>
      </c>
      <c r="K2724" s="25">
        <f>23*10^-6</f>
        <v/>
      </c>
      <c r="L2724" s="8">
        <f>H2724</f>
        <v/>
      </c>
      <c r="M2724" s="26">
        <f>H2724^2/6</f>
        <v/>
      </c>
      <c r="N2724" s="26">
        <f>H2724^3/12</f>
        <v/>
      </c>
      <c r="O2724" s="27">
        <f>-J2724*L2724*K2724*C2724</f>
        <v/>
      </c>
      <c r="P2724" s="28">
        <f>-(12*F2724*J2724*L2724*N2724+12*O2724*N2724*G2724*COS(RADIANS(E2724)))/(12*N2724*G2724*COS(RADIANS(E2724))^2+L2724*G2724^3*SIN(RADIANS(E2724))^2)</f>
        <v/>
      </c>
      <c r="Q2724" s="28">
        <f>-(6*F2724*J2724*L2724*N2724*SIN(RADIANS(E2724))+6*O2724*N2724*G2724*SIN(RADIANS(E2724))*COS(RADIANS(E2724)))/(12*N2724*COS(RADIANS(E2724))^2+L2724*G2724^2*SIN(RADIANS(E2724))^2)</f>
        <v/>
      </c>
      <c r="R2724" s="28">
        <f>-P2724*SIN(RADIANS(E2724))</f>
        <v/>
      </c>
      <c r="S2724" s="8">
        <f>(O2724+P2724*COS(RADIANS(E2724)))/L2724</f>
        <v/>
      </c>
      <c r="T2724" s="8">
        <f>R2724/L2724</f>
        <v/>
      </c>
      <c r="U2724" s="8">
        <f>(Q2724-P2724*G2724*SIN(RADIANS(E2724)))/M2724</f>
        <v/>
      </c>
      <c r="V2724" s="8">
        <f>SQRT((S2724+U2724)^2+3*T2724^2)</f>
        <v/>
      </c>
      <c r="W2724" s="8">
        <f>V2724/AA2724</f>
        <v/>
      </c>
      <c r="X2724" s="27">
        <f>((3*10+H2724/COS(RADIANS(E2724)))*(3+3)+3*G2724*H2724)*2</f>
        <v/>
      </c>
      <c r="Y2724" s="28">
        <f>Z2724/X2724</f>
        <v/>
      </c>
      <c r="Z2724" s="29" t="n">
        <v>590.814968664601</v>
      </c>
      <c r="AA2724" s="20" t="n">
        <v>75.21911164490881</v>
      </c>
      <c r="AB2724" t="n">
        <v>0.07739128907169737</v>
      </c>
      <c r="AC2724" t="n">
        <v>76.50050007498501</v>
      </c>
      <c r="AD2724" t="n">
        <v>4.931632001492481</v>
      </c>
    </row>
    <row r="2725">
      <c r="A2725" t="n">
        <v>2724</v>
      </c>
      <c r="B2725" t="n">
        <v>46.9</v>
      </c>
      <c r="C2725" s="21">
        <f>B2725-20</f>
        <v/>
      </c>
      <c r="D2725" t="n">
        <v>118.7</v>
      </c>
      <c r="E2725" s="22">
        <f>D2725-90</f>
        <v/>
      </c>
      <c r="F2725" s="23" t="n">
        <v>0.009802</v>
      </c>
      <c r="G2725" s="22" t="n">
        <v>29.6</v>
      </c>
      <c r="H2725" s="22" t="n">
        <v>2</v>
      </c>
      <c r="I2725" s="24" t="n">
        <v>0.0466567054390907</v>
      </c>
      <c r="J2725" s="6" t="n">
        <v>71000</v>
      </c>
      <c r="K2725" s="25">
        <f>23*10^-6</f>
        <v/>
      </c>
      <c r="L2725" s="8">
        <f>H2725</f>
        <v/>
      </c>
      <c r="M2725" s="26">
        <f>H2725^2/6</f>
        <v/>
      </c>
      <c r="N2725" s="26">
        <f>H2725^3/12</f>
        <v/>
      </c>
      <c r="O2725" s="27">
        <f>-J2725*L2725*K2725*C2725</f>
        <v/>
      </c>
      <c r="P2725" s="28">
        <f>-(12*F2725*J2725*L2725*N2725+12*O2725*N2725*G2725*COS(RADIANS(E2725)))/(12*N2725*G2725*COS(RADIANS(E2725))^2+L2725*G2725^3*SIN(RADIANS(E2725))^2)</f>
        <v/>
      </c>
      <c r="Q2725" s="28">
        <f>-(6*F2725*J2725*L2725*N2725*SIN(RADIANS(E2725))+6*O2725*N2725*G2725*SIN(RADIANS(E2725))*COS(RADIANS(E2725)))/(12*N2725*COS(RADIANS(E2725))^2+L2725*G2725^2*SIN(RADIANS(E2725))^2)</f>
        <v/>
      </c>
      <c r="R2725" s="28">
        <f>-P2725*SIN(RADIANS(E2725))</f>
        <v/>
      </c>
      <c r="S2725" s="8">
        <f>(O2725+P2725*COS(RADIANS(E2725)))/L2725</f>
        <v/>
      </c>
      <c r="T2725" s="8">
        <f>R2725/L2725</f>
        <v/>
      </c>
      <c r="U2725" s="8">
        <f>(Q2725-P2725*G2725*SIN(RADIANS(E2725)))/M2725</f>
        <v/>
      </c>
      <c r="V2725" s="8">
        <f>SQRT((S2725+U2725)^2+3*T2725^2)</f>
        <v/>
      </c>
      <c r="W2725" s="8">
        <f>V2725/AA2725</f>
        <v/>
      </c>
      <c r="X2725" s="27">
        <f>((3*10+H2725/COS(RADIANS(E2725)))*(3+3)+3*G2725*H2725)*2</f>
        <v/>
      </c>
      <c r="Y2725" s="28">
        <f>Z2725/X2725</f>
        <v/>
      </c>
      <c r="Z2725" s="29" t="n">
        <v>749.356550132646</v>
      </c>
      <c r="AA2725" s="20" t="n">
        <v>44.0293889284619</v>
      </c>
      <c r="AB2725" t="n">
        <v>0.05511776512580051</v>
      </c>
      <c r="AC2725" t="n">
        <v>41.05530797205883</v>
      </c>
      <c r="AD2725" t="n">
        <v>18.13471312876031</v>
      </c>
    </row>
    <row r="2726">
      <c r="A2726" t="n">
        <v>2725</v>
      </c>
      <c r="B2726" t="n">
        <v>77.2</v>
      </c>
      <c r="C2726" s="21">
        <f>B2726-20</f>
        <v/>
      </c>
      <c r="D2726" t="n">
        <v>121.8</v>
      </c>
      <c r="E2726" s="22">
        <f>D2726-90</f>
        <v/>
      </c>
      <c r="F2726" s="23" t="n">
        <v>0.019042</v>
      </c>
      <c r="G2726" s="22" t="n">
        <v>27.3</v>
      </c>
      <c r="H2726" s="22" t="n">
        <v>1.2</v>
      </c>
      <c r="I2726" s="24" t="n">
        <v>0.0878377482295036</v>
      </c>
      <c r="J2726" s="6" t="n">
        <v>71000</v>
      </c>
      <c r="K2726" s="25">
        <f>23*10^-6</f>
        <v/>
      </c>
      <c r="L2726" s="8">
        <f>H2726</f>
        <v/>
      </c>
      <c r="M2726" s="26">
        <f>H2726^2/6</f>
        <v/>
      </c>
      <c r="N2726" s="26">
        <f>H2726^3/12</f>
        <v/>
      </c>
      <c r="O2726" s="27">
        <f>-J2726*L2726*K2726*C2726</f>
        <v/>
      </c>
      <c r="P2726" s="28">
        <f>-(12*F2726*J2726*L2726*N2726+12*O2726*N2726*G2726*COS(RADIANS(E2726)))/(12*N2726*G2726*COS(RADIANS(E2726))^2+L2726*G2726^3*SIN(RADIANS(E2726))^2)</f>
        <v/>
      </c>
      <c r="Q2726" s="28">
        <f>-(6*F2726*J2726*L2726*N2726*SIN(RADIANS(E2726))+6*O2726*N2726*G2726*SIN(RADIANS(E2726))*COS(RADIANS(E2726)))/(12*N2726*COS(RADIANS(E2726))^2+L2726*G2726^2*SIN(RADIANS(E2726))^2)</f>
        <v/>
      </c>
      <c r="R2726" s="28">
        <f>-P2726*SIN(RADIANS(E2726))</f>
        <v/>
      </c>
      <c r="S2726" s="8">
        <f>(O2726+P2726*COS(RADIANS(E2726)))/L2726</f>
        <v/>
      </c>
      <c r="T2726" s="8">
        <f>R2726/L2726</f>
        <v/>
      </c>
      <c r="U2726" s="8">
        <f>(Q2726-P2726*G2726*SIN(RADIANS(E2726)))/M2726</f>
        <v/>
      </c>
      <c r="V2726" s="8">
        <f>SQRT((S2726+U2726)^2+3*T2726^2)</f>
        <v/>
      </c>
      <c r="W2726" s="8">
        <f>V2726/AA2726</f>
        <v/>
      </c>
      <c r="X2726" s="27">
        <f>((3*10+H2726/COS(RADIANS(E2726)))*(3+3)+3*G2726*H2726)*2</f>
        <v/>
      </c>
      <c r="Y2726" s="28">
        <f>Z2726/X2726</f>
        <v/>
      </c>
      <c r="Z2726" s="29" t="n">
        <v>581.175803931755</v>
      </c>
      <c r="AA2726" s="20" t="n">
        <v>79.920324545657</v>
      </c>
      <c r="AB2726" t="n">
        <v>0.09831556587520987</v>
      </c>
      <c r="AC2726" t="n">
        <v>82.7979048438618</v>
      </c>
      <c r="AD2726" t="n">
        <v>11.92860456569275</v>
      </c>
    </row>
    <row r="2727">
      <c r="A2727" t="n">
        <v>2726</v>
      </c>
      <c r="B2727" t="n">
        <v>54.2</v>
      </c>
      <c r="C2727" s="21">
        <f>B2727-20</f>
        <v/>
      </c>
      <c r="D2727" t="n">
        <v>127.2</v>
      </c>
      <c r="E2727" s="22">
        <f>D2727-90</f>
        <v/>
      </c>
      <c r="F2727" s="23" t="n">
        <v>0.012308</v>
      </c>
      <c r="G2727" s="22" t="n">
        <v>32.1</v>
      </c>
      <c r="H2727" s="22" t="n">
        <v>1.2</v>
      </c>
      <c r="I2727" s="24" t="n">
        <v>0.0528975091874599</v>
      </c>
      <c r="J2727" s="6" t="n">
        <v>71000</v>
      </c>
      <c r="K2727" s="25">
        <f>23*10^-6</f>
        <v/>
      </c>
      <c r="L2727" s="8">
        <f>H2727</f>
        <v/>
      </c>
      <c r="M2727" s="26">
        <f>H2727^2/6</f>
        <v/>
      </c>
      <c r="N2727" s="26">
        <f>H2727^3/12</f>
        <v/>
      </c>
      <c r="O2727" s="27">
        <f>-J2727*L2727*K2727*C2727</f>
        <v/>
      </c>
      <c r="P2727" s="28">
        <f>-(12*F2727*J2727*L2727*N2727+12*O2727*N2727*G2727*COS(RADIANS(E2727)))/(12*N2727*G2727*COS(RADIANS(E2727))^2+L2727*G2727^3*SIN(RADIANS(E2727))^2)</f>
        <v/>
      </c>
      <c r="Q2727" s="28">
        <f>-(6*F2727*J2727*L2727*N2727*SIN(RADIANS(E2727))+6*O2727*N2727*G2727*SIN(RADIANS(E2727))*COS(RADIANS(E2727)))/(12*N2727*COS(RADIANS(E2727))^2+L2727*G2727^2*SIN(RADIANS(E2727))^2)</f>
        <v/>
      </c>
      <c r="R2727" s="28">
        <f>-P2727*SIN(RADIANS(E2727))</f>
        <v/>
      </c>
      <c r="S2727" s="8">
        <f>(O2727+P2727*COS(RADIANS(E2727)))/L2727</f>
        <v/>
      </c>
      <c r="T2727" s="8">
        <f>R2727/L2727</f>
        <v/>
      </c>
      <c r="U2727" s="8">
        <f>(Q2727-P2727*G2727*SIN(RADIANS(E2727)))/M2727</f>
        <v/>
      </c>
      <c r="V2727" s="8">
        <f>SQRT((S2727+U2727)^2+3*T2727^2)</f>
        <v/>
      </c>
      <c r="W2727" s="8">
        <f>V2727/AA2727</f>
        <v/>
      </c>
      <c r="X2727" s="27">
        <f>((3*10+H2727/COS(RADIANS(E2727)))*(3+3)+3*G2727*H2727)*2</f>
        <v/>
      </c>
      <c r="Y2727" s="28">
        <f>Z2727/X2727</f>
        <v/>
      </c>
      <c r="Z2727" s="29" t="n">
        <v>618.762741348757</v>
      </c>
      <c r="AA2727" s="20" t="n">
        <v>45.8999345125102</v>
      </c>
      <c r="AB2727" t="n">
        <v>0.05781523206080469</v>
      </c>
      <c r="AC2727" t="n">
        <v>48.51883671602667</v>
      </c>
      <c r="AD2727" t="n">
        <v>9.296700258451125</v>
      </c>
    </row>
    <row r="2728">
      <c r="A2728" t="n">
        <v>2727</v>
      </c>
      <c r="B2728" t="n">
        <v>70.7</v>
      </c>
      <c r="C2728" s="21">
        <f>B2728-20</f>
        <v/>
      </c>
      <c r="D2728" t="n">
        <v>106.5</v>
      </c>
      <c r="E2728" s="22">
        <f>D2728-90</f>
        <v/>
      </c>
      <c r="F2728" s="23" t="n">
        <v>0.022365</v>
      </c>
      <c r="G2728" s="22" t="n">
        <v>34.1</v>
      </c>
      <c r="H2728" s="22" t="n">
        <v>1.8</v>
      </c>
      <c r="I2728" s="24" t="n">
        <v>0.145764291286468</v>
      </c>
      <c r="J2728" s="6" t="n">
        <v>71000</v>
      </c>
      <c r="K2728" s="25">
        <f>23*10^-6</f>
        <v/>
      </c>
      <c r="L2728" s="8">
        <f>H2728</f>
        <v/>
      </c>
      <c r="M2728" s="26">
        <f>H2728^2/6</f>
        <v/>
      </c>
      <c r="N2728" s="26">
        <f>H2728^3/12</f>
        <v/>
      </c>
      <c r="O2728" s="27">
        <f>-J2728*L2728*K2728*C2728</f>
        <v/>
      </c>
      <c r="P2728" s="28">
        <f>-(12*F2728*J2728*L2728*N2728+12*O2728*N2728*G2728*COS(RADIANS(E2728)))/(12*N2728*G2728*COS(RADIANS(E2728))^2+L2728*G2728^3*SIN(RADIANS(E2728))^2)</f>
        <v/>
      </c>
      <c r="Q2728" s="28">
        <f>-(6*F2728*J2728*L2728*N2728*SIN(RADIANS(E2728))+6*O2728*N2728*G2728*SIN(RADIANS(E2728))*COS(RADIANS(E2728)))/(12*N2728*COS(RADIANS(E2728))^2+L2728*G2728^2*SIN(RADIANS(E2728))^2)</f>
        <v/>
      </c>
      <c r="R2728" s="28">
        <f>-P2728*SIN(RADIANS(E2728))</f>
        <v/>
      </c>
      <c r="S2728" s="8">
        <f>(O2728+P2728*COS(RADIANS(E2728)))/L2728</f>
        <v/>
      </c>
      <c r="T2728" s="8">
        <f>R2728/L2728</f>
        <v/>
      </c>
      <c r="U2728" s="8">
        <f>(Q2728-P2728*G2728*SIN(RADIANS(E2728)))/M2728</f>
        <v/>
      </c>
      <c r="V2728" s="8">
        <f>SQRT((S2728+U2728)^2+3*T2728^2)</f>
        <v/>
      </c>
      <c r="W2728" s="8">
        <f>V2728/AA2728</f>
        <v/>
      </c>
      <c r="X2728" s="27">
        <f>((3*10+H2728/COS(RADIANS(E2728)))*(3+3)+3*G2728*H2728)*2</f>
        <v/>
      </c>
      <c r="Y2728" s="28">
        <f>Z2728/X2728</f>
        <v/>
      </c>
      <c r="Z2728" s="29" t="n">
        <v>755.27209980685</v>
      </c>
      <c r="AA2728" s="20" t="n">
        <v>83.1918906418676</v>
      </c>
      <c r="AB2728" t="n">
        <v>0.2086737463381777</v>
      </c>
      <c r="AC2728" t="n">
        <v>81.8171669468814</v>
      </c>
      <c r="AD2728" t="n">
        <v>43.15834454137663</v>
      </c>
    </row>
    <row r="2729">
      <c r="A2729" t="n">
        <v>2728</v>
      </c>
      <c r="B2729" t="n">
        <v>84.3</v>
      </c>
      <c r="C2729" s="21">
        <f>B2729-20</f>
        <v/>
      </c>
      <c r="D2729" t="n">
        <v>120.7</v>
      </c>
      <c r="E2729" s="22">
        <f>D2729-90</f>
        <v/>
      </c>
      <c r="F2729" s="23" t="n">
        <v>0.021038</v>
      </c>
      <c r="G2729" s="22" t="n">
        <v>26.4</v>
      </c>
      <c r="H2729" s="22" t="n">
        <v>1</v>
      </c>
      <c r="I2729" s="24" t="n">
        <v>0.0988351181149482</v>
      </c>
      <c r="J2729" s="6" t="n">
        <v>71000</v>
      </c>
      <c r="K2729" s="25">
        <f>23*10^-6</f>
        <v/>
      </c>
      <c r="L2729" s="8">
        <f>H2729</f>
        <v/>
      </c>
      <c r="M2729" s="26">
        <f>H2729^2/6</f>
        <v/>
      </c>
      <c r="N2729" s="26">
        <f>H2729^3/12</f>
        <v/>
      </c>
      <c r="O2729" s="27">
        <f>-J2729*L2729*K2729*C2729</f>
        <v/>
      </c>
      <c r="P2729" s="28">
        <f>-(12*F2729*J2729*L2729*N2729+12*O2729*N2729*G2729*COS(RADIANS(E2729)))/(12*N2729*G2729*COS(RADIANS(E2729))^2+L2729*G2729^3*SIN(RADIANS(E2729))^2)</f>
        <v/>
      </c>
      <c r="Q2729" s="28">
        <f>-(6*F2729*J2729*L2729*N2729*SIN(RADIANS(E2729))+6*O2729*N2729*G2729*SIN(RADIANS(E2729))*COS(RADIANS(E2729)))/(12*N2729*COS(RADIANS(E2729))^2+L2729*G2729^2*SIN(RADIANS(E2729))^2)</f>
        <v/>
      </c>
      <c r="R2729" s="28">
        <f>-P2729*SIN(RADIANS(E2729))</f>
        <v/>
      </c>
      <c r="S2729" s="8">
        <f>(O2729+P2729*COS(RADIANS(E2729)))/L2729</f>
        <v/>
      </c>
      <c r="T2729" s="8">
        <f>R2729/L2729</f>
        <v/>
      </c>
      <c r="U2729" s="8">
        <f>(Q2729-P2729*G2729*SIN(RADIANS(E2729)))/M2729</f>
        <v/>
      </c>
      <c r="V2729" s="8">
        <f>SQRT((S2729+U2729)^2+3*T2729^2)</f>
        <v/>
      </c>
      <c r="W2729" s="8">
        <f>V2729/AA2729</f>
        <v/>
      </c>
      <c r="X2729" s="27">
        <f>((3*10+H2729/COS(RADIANS(E2729)))*(3+3)+3*G2729*H2729)*2</f>
        <v/>
      </c>
      <c r="Y2729" s="28">
        <f>Z2729/X2729</f>
        <v/>
      </c>
      <c r="Z2729" s="29" t="n">
        <v>539.701286411356</v>
      </c>
      <c r="AA2729" s="20" t="n">
        <v>87.547917943729</v>
      </c>
      <c r="AB2729" t="n">
        <v>0.1114008000389224</v>
      </c>
      <c r="AC2729" t="n">
        <v>92.3778151221567</v>
      </c>
      <c r="AD2729" t="n">
        <v>12.71378247290594</v>
      </c>
    </row>
    <row r="2730">
      <c r="A2730" t="n">
        <v>2729</v>
      </c>
      <c r="B2730" t="n">
        <v>87.3</v>
      </c>
      <c r="C2730" s="21">
        <f>B2730-20</f>
        <v/>
      </c>
      <c r="D2730" t="n">
        <v>111.6</v>
      </c>
      <c r="E2730" s="22">
        <f>D2730-90</f>
        <v/>
      </c>
      <c r="F2730" s="23" t="n">
        <v>0.029142</v>
      </c>
      <c r="G2730" s="22" t="n">
        <v>34.4</v>
      </c>
      <c r="H2730" s="22" t="n">
        <v>1.4</v>
      </c>
      <c r="I2730" s="24" t="n">
        <v>0.159081369638443</v>
      </c>
      <c r="J2730" s="6" t="n">
        <v>71000</v>
      </c>
      <c r="K2730" s="25">
        <f>23*10^-6</f>
        <v/>
      </c>
      <c r="L2730" s="8">
        <f>H2730</f>
        <v/>
      </c>
      <c r="M2730" s="26">
        <f>H2730^2/6</f>
        <v/>
      </c>
      <c r="N2730" s="26">
        <f>H2730^3/12</f>
        <v/>
      </c>
      <c r="O2730" s="27">
        <f>-J2730*L2730*K2730*C2730</f>
        <v/>
      </c>
      <c r="P2730" s="28">
        <f>-(12*F2730*J2730*L2730*N2730+12*O2730*N2730*G2730*COS(RADIANS(E2730)))/(12*N2730*G2730*COS(RADIANS(E2730))^2+L2730*G2730^3*SIN(RADIANS(E2730))^2)</f>
        <v/>
      </c>
      <c r="Q2730" s="28">
        <f>-(6*F2730*J2730*L2730*N2730*SIN(RADIANS(E2730))+6*O2730*N2730*G2730*SIN(RADIANS(E2730))*COS(RADIANS(E2730)))/(12*N2730*COS(RADIANS(E2730))^2+L2730*G2730^2*SIN(RADIANS(E2730))^2)</f>
        <v/>
      </c>
      <c r="R2730" s="28">
        <f>-P2730*SIN(RADIANS(E2730))</f>
        <v/>
      </c>
      <c r="S2730" s="8">
        <f>(O2730+P2730*COS(RADIANS(E2730)))/L2730</f>
        <v/>
      </c>
      <c r="T2730" s="8">
        <f>R2730/L2730</f>
        <v/>
      </c>
      <c r="U2730" s="8">
        <f>(Q2730-P2730*G2730*SIN(RADIANS(E2730)))/M2730</f>
        <v/>
      </c>
      <c r="V2730" s="8">
        <f>SQRT((S2730+U2730)^2+3*T2730^2)</f>
        <v/>
      </c>
      <c r="W2730" s="8">
        <f>V2730/AA2730</f>
        <v/>
      </c>
      <c r="X2730" s="27">
        <f>((3*10+H2730/COS(RADIANS(E2730)))*(3+3)+3*G2730*H2730)*2</f>
        <v/>
      </c>
      <c r="Y2730" s="28">
        <f>Z2730/X2730</f>
        <v/>
      </c>
      <c r="Z2730" s="29" t="n">
        <v>672.275143512149</v>
      </c>
      <c r="AA2730" s="20" t="n">
        <v>99.663665692525</v>
      </c>
      <c r="AB2730" t="n">
        <v>0.2158486014500068</v>
      </c>
      <c r="AC2730" t="n">
        <v>101.3503101688373</v>
      </c>
      <c r="AD2730" t="n">
        <v>35.68439971354486</v>
      </c>
    </row>
    <row r="2731">
      <c r="A2731" t="n">
        <v>2730</v>
      </c>
      <c r="B2731" t="n">
        <v>75</v>
      </c>
      <c r="C2731" s="21">
        <f>B2731-20</f>
        <v/>
      </c>
      <c r="D2731" t="n">
        <v>105.5</v>
      </c>
      <c r="E2731" s="22">
        <f>D2731-90</f>
        <v/>
      </c>
      <c r="F2731" s="23" t="n">
        <v>0.018081</v>
      </c>
      <c r="G2731" s="22" t="n">
        <v>23.7</v>
      </c>
      <c r="H2731" s="22" t="n">
        <v>1.6</v>
      </c>
      <c r="I2731" s="24" t="n">
        <v>0.126638740301132</v>
      </c>
      <c r="J2731" s="6" t="n">
        <v>71000</v>
      </c>
      <c r="K2731" s="25">
        <f>23*10^-6</f>
        <v/>
      </c>
      <c r="L2731" s="8">
        <f>H2731</f>
        <v/>
      </c>
      <c r="M2731" s="26">
        <f>H2731^2/6</f>
        <v/>
      </c>
      <c r="N2731" s="26">
        <f>H2731^3/12</f>
        <v/>
      </c>
      <c r="O2731" s="27">
        <f>-J2731*L2731*K2731*C2731</f>
        <v/>
      </c>
      <c r="P2731" s="28">
        <f>-(12*F2731*J2731*L2731*N2731+12*O2731*N2731*G2731*COS(RADIANS(E2731)))/(12*N2731*G2731*COS(RADIANS(E2731))^2+L2731*G2731^3*SIN(RADIANS(E2731))^2)</f>
        <v/>
      </c>
      <c r="Q2731" s="28">
        <f>-(6*F2731*J2731*L2731*N2731*SIN(RADIANS(E2731))+6*O2731*N2731*G2731*SIN(RADIANS(E2731))*COS(RADIANS(E2731)))/(12*N2731*COS(RADIANS(E2731))^2+L2731*G2731^2*SIN(RADIANS(E2731))^2)</f>
        <v/>
      </c>
      <c r="R2731" s="28">
        <f>-P2731*SIN(RADIANS(E2731))</f>
        <v/>
      </c>
      <c r="S2731" s="8">
        <f>(O2731+P2731*COS(RADIANS(E2731)))/L2731</f>
        <v/>
      </c>
      <c r="T2731" s="8">
        <f>R2731/L2731</f>
        <v/>
      </c>
      <c r="U2731" s="8">
        <f>(Q2731-P2731*G2731*SIN(RADIANS(E2731)))/M2731</f>
        <v/>
      </c>
      <c r="V2731" s="8">
        <f>SQRT((S2731+U2731)^2+3*T2731^2)</f>
        <v/>
      </c>
      <c r="W2731" s="8">
        <f>V2731/AA2731</f>
        <v/>
      </c>
      <c r="X2731" s="27">
        <f>((3*10+H2731/COS(RADIANS(E2731)))*(3+3)+3*G2731*H2731)*2</f>
        <v/>
      </c>
      <c r="Y2731" s="28">
        <f>Z2731/X2731</f>
        <v/>
      </c>
      <c r="Z2731" s="29" t="n">
        <v>611.7840930308651</v>
      </c>
      <c r="AA2731" s="20" t="n">
        <v>91.59029312997239</v>
      </c>
      <c r="AB2731" t="n">
        <v>0.1671815180655491</v>
      </c>
      <c r="AC2731" t="n">
        <v>91.38317447176829</v>
      </c>
      <c r="AD2731" t="n">
        <v>32.01451441163353</v>
      </c>
    </row>
    <row r="2732">
      <c r="A2732" t="n">
        <v>2731</v>
      </c>
      <c r="B2732" t="n">
        <v>76.8</v>
      </c>
      <c r="C2732" s="21">
        <f>B2732-20</f>
        <v/>
      </c>
      <c r="D2732" t="n">
        <v>129.4</v>
      </c>
      <c r="E2732" s="22">
        <f>D2732-90</f>
        <v/>
      </c>
      <c r="F2732" s="23" t="n">
        <v>0.020947</v>
      </c>
      <c r="G2732" s="22" t="n">
        <v>34.1</v>
      </c>
      <c r="H2732" s="22" t="n">
        <v>1.4</v>
      </c>
      <c r="I2732" s="24" t="n">
        <v>0.088507555425167</v>
      </c>
      <c r="J2732" s="6" t="n">
        <v>71000</v>
      </c>
      <c r="K2732" s="25">
        <f>23*10^-6</f>
        <v/>
      </c>
      <c r="L2732" s="8">
        <f>H2732</f>
        <v/>
      </c>
      <c r="M2732" s="26">
        <f>H2732^2/6</f>
        <v/>
      </c>
      <c r="N2732" s="26">
        <f>H2732^3/12</f>
        <v/>
      </c>
      <c r="O2732" s="27">
        <f>-J2732*L2732*K2732*C2732</f>
        <v/>
      </c>
      <c r="P2732" s="28">
        <f>-(12*F2732*J2732*L2732*N2732+12*O2732*N2732*G2732*COS(RADIANS(E2732)))/(12*N2732*G2732*COS(RADIANS(E2732))^2+L2732*G2732^3*SIN(RADIANS(E2732))^2)</f>
        <v/>
      </c>
      <c r="Q2732" s="28">
        <f>-(6*F2732*J2732*L2732*N2732*SIN(RADIANS(E2732))+6*O2732*N2732*G2732*SIN(RADIANS(E2732))*COS(RADIANS(E2732)))/(12*N2732*COS(RADIANS(E2732))^2+L2732*G2732^2*SIN(RADIANS(E2732))^2)</f>
        <v/>
      </c>
      <c r="R2732" s="28">
        <f>-P2732*SIN(RADIANS(E2732))</f>
        <v/>
      </c>
      <c r="S2732" s="8">
        <f>(O2732+P2732*COS(RADIANS(E2732)))/L2732</f>
        <v/>
      </c>
      <c r="T2732" s="8">
        <f>R2732/L2732</f>
        <v/>
      </c>
      <c r="U2732" s="8">
        <f>(Q2732-P2732*G2732*SIN(RADIANS(E2732)))/M2732</f>
        <v/>
      </c>
      <c r="V2732" s="8">
        <f>SQRT((S2732+U2732)^2+3*T2732^2)</f>
        <v/>
      </c>
      <c r="W2732" s="8">
        <f>V2732/AA2732</f>
        <v/>
      </c>
      <c r="X2732" s="27">
        <f>((3*10+H2732/COS(RADIANS(E2732)))*(3+3)+3*G2732*H2732)*2</f>
        <v/>
      </c>
      <c r="Y2732" s="28">
        <f>Z2732/X2732</f>
        <v/>
      </c>
      <c r="Z2732" s="29" t="n">
        <v>678.673198861237</v>
      </c>
      <c r="AA2732" s="20" t="n">
        <v>77.09856029381039</v>
      </c>
      <c r="AB2732" t="n">
        <v>0.09540496353669761</v>
      </c>
      <c r="AC2732" t="n">
        <v>80.68206861568322</v>
      </c>
      <c r="AD2732" t="n">
        <v>7.793016176299615</v>
      </c>
    </row>
    <row r="2733">
      <c r="A2733" t="n">
        <v>2732</v>
      </c>
      <c r="B2733" t="n">
        <v>81.2</v>
      </c>
      <c r="C2733" s="21">
        <f>B2733-20</f>
        <v/>
      </c>
      <c r="D2733" t="n">
        <v>109.6</v>
      </c>
      <c r="E2733" s="22">
        <f>D2733-90</f>
        <v/>
      </c>
      <c r="F2733" s="23" t="n">
        <v>0.024561</v>
      </c>
      <c r="G2733" s="22" t="n">
        <v>31</v>
      </c>
      <c r="H2733" s="22" t="n">
        <v>1.6</v>
      </c>
      <c r="I2733" s="24" t="n">
        <v>0.144183278083801</v>
      </c>
      <c r="J2733" s="6" t="n">
        <v>71000</v>
      </c>
      <c r="K2733" s="25">
        <f>23*10^-6</f>
        <v/>
      </c>
      <c r="L2733" s="8">
        <f>H2733</f>
        <v/>
      </c>
      <c r="M2733" s="26">
        <f>H2733^2/6</f>
        <v/>
      </c>
      <c r="N2733" s="26">
        <f>H2733^3/12</f>
        <v/>
      </c>
      <c r="O2733" s="27">
        <f>-J2733*L2733*K2733*C2733</f>
        <v/>
      </c>
      <c r="P2733" s="28">
        <f>-(12*F2733*J2733*L2733*N2733+12*O2733*N2733*G2733*COS(RADIANS(E2733)))/(12*N2733*G2733*COS(RADIANS(E2733))^2+L2733*G2733^3*SIN(RADIANS(E2733))^2)</f>
        <v/>
      </c>
      <c r="Q2733" s="28">
        <f>-(6*F2733*J2733*L2733*N2733*SIN(RADIANS(E2733))+6*O2733*N2733*G2733*SIN(RADIANS(E2733))*COS(RADIANS(E2733)))/(12*N2733*COS(RADIANS(E2733))^2+L2733*G2733^2*SIN(RADIANS(E2733))^2)</f>
        <v/>
      </c>
      <c r="R2733" s="28">
        <f>-P2733*SIN(RADIANS(E2733))</f>
        <v/>
      </c>
      <c r="S2733" s="8">
        <f>(O2733+P2733*COS(RADIANS(E2733)))/L2733</f>
        <v/>
      </c>
      <c r="T2733" s="8">
        <f>R2733/L2733</f>
        <v/>
      </c>
      <c r="U2733" s="8">
        <f>(Q2733-P2733*G2733*SIN(RADIANS(E2733)))/M2733</f>
        <v/>
      </c>
      <c r="V2733" s="8">
        <f>SQRT((S2733+U2733)^2+3*T2733^2)</f>
        <v/>
      </c>
      <c r="W2733" s="8">
        <f>V2733/AA2733</f>
        <v/>
      </c>
      <c r="X2733" s="27">
        <f>((3*10+H2733/COS(RADIANS(E2733)))*(3+3)+3*G2733*H2733)*2</f>
        <v/>
      </c>
      <c r="Y2733" s="28">
        <f>Z2733/X2733</f>
        <v/>
      </c>
      <c r="Z2733" s="29" t="n">
        <v>682.890705163964</v>
      </c>
      <c r="AA2733" s="20" t="n">
        <v>95.477558816403</v>
      </c>
      <c r="AB2733" t="n">
        <v>0.1947794822230128</v>
      </c>
      <c r="AC2733" t="n">
        <v>95.61021757599954</v>
      </c>
      <c r="AD2733" t="n">
        <v>35.0915895460531</v>
      </c>
    </row>
    <row r="2734">
      <c r="A2734" t="n">
        <v>2733</v>
      </c>
      <c r="B2734" t="n">
        <v>82.59999999999999</v>
      </c>
      <c r="C2734" s="21">
        <f>B2734-20</f>
        <v/>
      </c>
      <c r="D2734" t="n">
        <v>103.1</v>
      </c>
      <c r="E2734" s="22">
        <f>D2734-90</f>
        <v/>
      </c>
      <c r="F2734" s="23" t="n">
        <v>0.027497</v>
      </c>
      <c r="G2734" s="22" t="n">
        <v>33.4</v>
      </c>
      <c r="H2734" s="22" t="n">
        <v>1.3</v>
      </c>
      <c r="I2734" s="24" t="n">
        <v>0.215381279587745</v>
      </c>
      <c r="J2734" s="6" t="n">
        <v>71000</v>
      </c>
      <c r="K2734" s="25">
        <f>23*10^-6</f>
        <v/>
      </c>
      <c r="L2734" s="8">
        <f>H2734</f>
        <v/>
      </c>
      <c r="M2734" s="26">
        <f>H2734^2/6</f>
        <v/>
      </c>
      <c r="N2734" s="26">
        <f>H2734^3/12</f>
        <v/>
      </c>
      <c r="O2734" s="27">
        <f>-J2734*L2734*K2734*C2734</f>
        <v/>
      </c>
      <c r="P2734" s="28">
        <f>-(12*F2734*J2734*L2734*N2734+12*O2734*N2734*G2734*COS(RADIANS(E2734)))/(12*N2734*G2734*COS(RADIANS(E2734))^2+L2734*G2734^3*SIN(RADIANS(E2734))^2)</f>
        <v/>
      </c>
      <c r="Q2734" s="28">
        <f>-(6*F2734*J2734*L2734*N2734*SIN(RADIANS(E2734))+6*O2734*N2734*G2734*SIN(RADIANS(E2734))*COS(RADIANS(E2734)))/(12*N2734*COS(RADIANS(E2734))^2+L2734*G2734^2*SIN(RADIANS(E2734))^2)</f>
        <v/>
      </c>
      <c r="R2734" s="28">
        <f>-P2734*SIN(RADIANS(E2734))</f>
        <v/>
      </c>
      <c r="S2734" s="8">
        <f>(O2734+P2734*COS(RADIANS(E2734)))/L2734</f>
        <v/>
      </c>
      <c r="T2734" s="8">
        <f>R2734/L2734</f>
        <v/>
      </c>
      <c r="U2734" s="8">
        <f>(Q2734-P2734*G2734*SIN(RADIANS(E2734)))/M2734</f>
        <v/>
      </c>
      <c r="V2734" s="8">
        <f>SQRT((S2734+U2734)^2+3*T2734^2)</f>
        <v/>
      </c>
      <c r="W2734" s="8">
        <f>V2734/AA2734</f>
        <v/>
      </c>
      <c r="X2734" s="27">
        <f>((3*10+H2734/COS(RADIANS(E2734)))*(3+3)+3*G2734*H2734)*2</f>
        <v/>
      </c>
      <c r="Y2734" s="28">
        <f>Z2734/X2734</f>
        <v/>
      </c>
      <c r="Z2734" s="29" t="n">
        <v>640.611716782426</v>
      </c>
      <c r="AA2734" s="20" t="n">
        <v>94.6512371321158</v>
      </c>
      <c r="AB2734" t="n">
        <v>0.3211711214810213</v>
      </c>
      <c r="AC2734" t="n">
        <v>100.0821652887928</v>
      </c>
      <c r="AD2734" t="n">
        <v>49.11747302075906</v>
      </c>
    </row>
    <row r="2735">
      <c r="A2735" t="n">
        <v>2734</v>
      </c>
      <c r="B2735" t="n">
        <v>57</v>
      </c>
      <c r="C2735" s="21">
        <f>B2735-20</f>
        <v/>
      </c>
      <c r="D2735" t="n">
        <v>123.1</v>
      </c>
      <c r="E2735" s="22">
        <f>D2735-90</f>
        <v/>
      </c>
      <c r="F2735" s="23" t="n">
        <v>0.010941</v>
      </c>
      <c r="G2735" s="22" t="n">
        <v>23.8</v>
      </c>
      <c r="H2735" s="22" t="n">
        <v>1.4</v>
      </c>
      <c r="I2735" s="24" t="n">
        <v>0.050846230238676</v>
      </c>
      <c r="J2735" s="6" t="n">
        <v>71000</v>
      </c>
      <c r="K2735" s="25">
        <f>23*10^-6</f>
        <v/>
      </c>
      <c r="L2735" s="8">
        <f>H2735</f>
        <v/>
      </c>
      <c r="M2735" s="26">
        <f>H2735^2/6</f>
        <v/>
      </c>
      <c r="N2735" s="26">
        <f>H2735^3/12</f>
        <v/>
      </c>
      <c r="O2735" s="27">
        <f>-J2735*L2735*K2735*C2735</f>
        <v/>
      </c>
      <c r="P2735" s="28">
        <f>-(12*F2735*J2735*L2735*N2735+12*O2735*N2735*G2735*COS(RADIANS(E2735)))/(12*N2735*G2735*COS(RADIANS(E2735))^2+L2735*G2735^3*SIN(RADIANS(E2735))^2)</f>
        <v/>
      </c>
      <c r="Q2735" s="28">
        <f>-(6*F2735*J2735*L2735*N2735*SIN(RADIANS(E2735))+6*O2735*N2735*G2735*SIN(RADIANS(E2735))*COS(RADIANS(E2735)))/(12*N2735*COS(RADIANS(E2735))^2+L2735*G2735^2*SIN(RADIANS(E2735))^2)</f>
        <v/>
      </c>
      <c r="R2735" s="28">
        <f>-P2735*SIN(RADIANS(E2735))</f>
        <v/>
      </c>
      <c r="S2735" s="8">
        <f>(O2735+P2735*COS(RADIANS(E2735)))/L2735</f>
        <v/>
      </c>
      <c r="T2735" s="8">
        <f>R2735/L2735</f>
        <v/>
      </c>
      <c r="U2735" s="8">
        <f>(Q2735-P2735*G2735*SIN(RADIANS(E2735)))/M2735</f>
        <v/>
      </c>
      <c r="V2735" s="8">
        <f>SQRT((S2735+U2735)^2+3*T2735^2)</f>
        <v/>
      </c>
      <c r="W2735" s="8">
        <f>V2735/AA2735</f>
        <v/>
      </c>
      <c r="X2735" s="27">
        <f>((3*10+H2735/COS(RADIANS(E2735)))*(3+3)+3*G2735*H2735)*2</f>
        <v/>
      </c>
      <c r="Y2735" s="28">
        <f>Z2735/X2735</f>
        <v/>
      </c>
      <c r="Z2735" s="29" t="n">
        <v>588.057328121891</v>
      </c>
      <c r="AA2735" s="20" t="n">
        <v>55.3308510457871</v>
      </c>
      <c r="AB2735" t="n">
        <v>0.05337798081041056</v>
      </c>
      <c r="AC2735" t="n">
        <v>54.29282924489715</v>
      </c>
      <c r="AD2735" t="n">
        <v>4.979229649573486</v>
      </c>
    </row>
    <row r="2736">
      <c r="A2736" t="n">
        <v>2735</v>
      </c>
      <c r="B2736" t="n">
        <v>41.3</v>
      </c>
      <c r="C2736" s="21">
        <f>B2736-20</f>
        <v/>
      </c>
      <c r="D2736" t="n">
        <v>111.7</v>
      </c>
      <c r="E2736" s="22">
        <f>D2736-90</f>
        <v/>
      </c>
      <c r="F2736" s="23" t="n">
        <v>0.009015</v>
      </c>
      <c r="G2736" s="22" t="n">
        <v>33.5</v>
      </c>
      <c r="H2736" s="22" t="n">
        <v>1</v>
      </c>
      <c r="I2736" s="24" t="n">
        <v>0.0492756366729736</v>
      </c>
      <c r="J2736" s="6" t="n">
        <v>71000</v>
      </c>
      <c r="K2736" s="25">
        <f>23*10^-6</f>
        <v/>
      </c>
      <c r="L2736" s="8">
        <f>H2736</f>
        <v/>
      </c>
      <c r="M2736" s="26">
        <f>H2736^2/6</f>
        <v/>
      </c>
      <c r="N2736" s="26">
        <f>H2736^3/12</f>
        <v/>
      </c>
      <c r="O2736" s="27">
        <f>-J2736*L2736*K2736*C2736</f>
        <v/>
      </c>
      <c r="P2736" s="28">
        <f>-(12*F2736*J2736*L2736*N2736+12*O2736*N2736*G2736*COS(RADIANS(E2736)))/(12*N2736*G2736*COS(RADIANS(E2736))^2+L2736*G2736^3*SIN(RADIANS(E2736))^2)</f>
        <v/>
      </c>
      <c r="Q2736" s="28">
        <f>-(6*F2736*J2736*L2736*N2736*SIN(RADIANS(E2736))+6*O2736*N2736*G2736*SIN(RADIANS(E2736))*COS(RADIANS(E2736)))/(12*N2736*COS(RADIANS(E2736))^2+L2736*G2736^2*SIN(RADIANS(E2736))^2)</f>
        <v/>
      </c>
      <c r="R2736" s="28">
        <f>-P2736*SIN(RADIANS(E2736))</f>
        <v/>
      </c>
      <c r="S2736" s="8">
        <f>(O2736+P2736*COS(RADIANS(E2736)))/L2736</f>
        <v/>
      </c>
      <c r="T2736" s="8">
        <f>R2736/L2736</f>
        <v/>
      </c>
      <c r="U2736" s="8">
        <f>(Q2736-P2736*G2736*SIN(RADIANS(E2736)))/M2736</f>
        <v/>
      </c>
      <c r="V2736" s="8">
        <f>SQRT((S2736+U2736)^2+3*T2736^2)</f>
        <v/>
      </c>
      <c r="W2736" s="8">
        <f>V2736/AA2736</f>
        <v/>
      </c>
      <c r="X2736" s="27">
        <f>((3*10+H2736/COS(RADIANS(E2736)))*(3+3)+3*G2736*H2736)*2</f>
        <v/>
      </c>
      <c r="Y2736" s="28">
        <f>Z2736/X2736</f>
        <v/>
      </c>
      <c r="Z2736" s="29" t="n">
        <v>579.179445755594</v>
      </c>
      <c r="AA2736" s="20" t="n">
        <v>28.9932880078414</v>
      </c>
      <c r="AB2736" t="n">
        <v>0.06664450942901144</v>
      </c>
      <c r="AC2736" t="n">
        <v>31.16017672448379</v>
      </c>
      <c r="AD2736" t="n">
        <v>35.24839845562913</v>
      </c>
    </row>
    <row r="2737">
      <c r="A2737" t="n">
        <v>2736</v>
      </c>
      <c r="B2737" t="n">
        <v>87.40000000000001</v>
      </c>
      <c r="C2737" s="21">
        <f>B2737-20</f>
        <v/>
      </c>
      <c r="D2737" t="n">
        <v>108.7</v>
      </c>
      <c r="E2737" s="22">
        <f>D2737-90</f>
        <v/>
      </c>
      <c r="F2737" s="23" t="n">
        <v>0.025352</v>
      </c>
      <c r="G2737" s="22" t="n">
        <v>28.5</v>
      </c>
      <c r="H2737" s="22" t="n">
        <v>1.2</v>
      </c>
      <c r="I2737" s="24" t="n">
        <v>0.155769482254982</v>
      </c>
      <c r="J2737" s="6" t="n">
        <v>71000</v>
      </c>
      <c r="K2737" s="25">
        <f>23*10^-6</f>
        <v/>
      </c>
      <c r="L2737" s="8">
        <f>H2737</f>
        <v/>
      </c>
      <c r="M2737" s="26">
        <f>H2737^2/6</f>
        <v/>
      </c>
      <c r="N2737" s="26">
        <f>H2737^3/12</f>
        <v/>
      </c>
      <c r="O2737" s="27">
        <f>-J2737*L2737*K2737*C2737</f>
        <v/>
      </c>
      <c r="P2737" s="28">
        <f>-(12*F2737*J2737*L2737*N2737+12*O2737*N2737*G2737*COS(RADIANS(E2737)))/(12*N2737*G2737*COS(RADIANS(E2737))^2+L2737*G2737^3*SIN(RADIANS(E2737))^2)</f>
        <v/>
      </c>
      <c r="Q2737" s="28">
        <f>-(6*F2737*J2737*L2737*N2737*SIN(RADIANS(E2737))+6*O2737*N2737*G2737*SIN(RADIANS(E2737))*COS(RADIANS(E2737)))/(12*N2737*COS(RADIANS(E2737))^2+L2737*G2737^2*SIN(RADIANS(E2737))^2)</f>
        <v/>
      </c>
      <c r="R2737" s="28">
        <f>-P2737*SIN(RADIANS(E2737))</f>
        <v/>
      </c>
      <c r="S2737" s="8">
        <f>(O2737+P2737*COS(RADIANS(E2737)))/L2737</f>
        <v/>
      </c>
      <c r="T2737" s="8">
        <f>R2737/L2737</f>
        <v/>
      </c>
      <c r="U2737" s="8">
        <f>(Q2737-P2737*G2737*SIN(RADIANS(E2737)))/M2737</f>
        <v/>
      </c>
      <c r="V2737" s="8">
        <f>SQRT((S2737+U2737)^2+3*T2737^2)</f>
        <v/>
      </c>
      <c r="W2737" s="8">
        <f>V2737/AA2737</f>
        <v/>
      </c>
      <c r="X2737" s="27">
        <f>((3*10+H2737/COS(RADIANS(E2737)))*(3+3)+3*G2737*H2737)*2</f>
        <v/>
      </c>
      <c r="Y2737" s="28">
        <f>Z2737/X2737</f>
        <v/>
      </c>
      <c r="Z2737" s="29" t="n">
        <v>585.173730039295</v>
      </c>
      <c r="AA2737" s="20" t="n">
        <v>97.7458441423759</v>
      </c>
      <c r="AB2737" t="n">
        <v>0.2093292523724556</v>
      </c>
      <c r="AC2737" t="n">
        <v>103.0968703481693</v>
      </c>
      <c r="AD2737" t="n">
        <v>34.38399443980985</v>
      </c>
    </row>
    <row r="2738">
      <c r="A2738" t="n">
        <v>2737</v>
      </c>
      <c r="B2738" t="n">
        <v>81.3</v>
      </c>
      <c r="C2738" s="21">
        <f>B2738-20</f>
        <v/>
      </c>
      <c r="D2738" t="n">
        <v>109.1</v>
      </c>
      <c r="E2738" s="22">
        <f>D2738-90</f>
        <v/>
      </c>
      <c r="F2738" s="23" t="n">
        <v>0.019117</v>
      </c>
      <c r="G2738" s="22" t="n">
        <v>22.6</v>
      </c>
      <c r="H2738" s="22" t="n">
        <v>1.6</v>
      </c>
      <c r="I2738" s="24" t="n">
        <v>0.117823451757431</v>
      </c>
      <c r="J2738" s="6" t="n">
        <v>71000</v>
      </c>
      <c r="K2738" s="25">
        <f>23*10^-6</f>
        <v/>
      </c>
      <c r="L2738" s="8">
        <f>H2738</f>
        <v/>
      </c>
      <c r="M2738" s="26">
        <f>H2738^2/6</f>
        <v/>
      </c>
      <c r="N2738" s="26">
        <f>H2738^3/12</f>
        <v/>
      </c>
      <c r="O2738" s="27">
        <f>-J2738*L2738*K2738*C2738</f>
        <v/>
      </c>
      <c r="P2738" s="28">
        <f>-(12*F2738*J2738*L2738*N2738+12*O2738*N2738*G2738*COS(RADIANS(E2738)))/(12*N2738*G2738*COS(RADIANS(E2738))^2+L2738*G2738^3*SIN(RADIANS(E2738))^2)</f>
        <v/>
      </c>
      <c r="Q2738" s="28">
        <f>-(6*F2738*J2738*L2738*N2738*SIN(RADIANS(E2738))+6*O2738*N2738*G2738*SIN(RADIANS(E2738))*COS(RADIANS(E2738)))/(12*N2738*COS(RADIANS(E2738))^2+L2738*G2738^2*SIN(RADIANS(E2738))^2)</f>
        <v/>
      </c>
      <c r="R2738" s="28">
        <f>-P2738*SIN(RADIANS(E2738))</f>
        <v/>
      </c>
      <c r="S2738" s="8">
        <f>(O2738+P2738*COS(RADIANS(E2738)))/L2738</f>
        <v/>
      </c>
      <c r="T2738" s="8">
        <f>R2738/L2738</f>
        <v/>
      </c>
      <c r="U2738" s="8">
        <f>(Q2738-P2738*G2738*SIN(RADIANS(E2738)))/M2738</f>
        <v/>
      </c>
      <c r="V2738" s="8">
        <f>SQRT((S2738+U2738)^2+3*T2738^2)</f>
        <v/>
      </c>
      <c r="W2738" s="8">
        <f>V2738/AA2738</f>
        <v/>
      </c>
      <c r="X2738" s="27">
        <f>((3*10+H2738/COS(RADIANS(E2738)))*(3+3)+3*G2738*H2738)*2</f>
        <v/>
      </c>
      <c r="Y2738" s="28">
        <f>Z2738/X2738</f>
        <v/>
      </c>
      <c r="Z2738" s="29" t="n">
        <v>602.110386603091</v>
      </c>
      <c r="AA2738" s="20" t="n">
        <v>100.7499011465</v>
      </c>
      <c r="AB2738" t="n">
        <v>0.1461962466222451</v>
      </c>
      <c r="AC2738" t="n">
        <v>98.82687447022785</v>
      </c>
      <c r="AD2738" t="n">
        <v>24.08077037432798</v>
      </c>
    </row>
    <row r="2739">
      <c r="A2739" t="n">
        <v>2738</v>
      </c>
      <c r="B2739" t="n">
        <v>40.6</v>
      </c>
      <c r="C2739" s="21">
        <f>B2739-20</f>
        <v/>
      </c>
      <c r="D2739" t="n">
        <v>112</v>
      </c>
      <c r="E2739" s="22">
        <f>D2739-90</f>
        <v/>
      </c>
      <c r="F2739" s="23" t="n">
        <v>0.007136</v>
      </c>
      <c r="G2739" s="22" t="n">
        <v>26.3</v>
      </c>
      <c r="H2739" s="22" t="n">
        <v>1.7</v>
      </c>
      <c r="I2739" s="24" t="n">
        <v>0.0396825596690177</v>
      </c>
      <c r="J2739" s="6" t="n">
        <v>71000</v>
      </c>
      <c r="K2739" s="25">
        <f>23*10^-6</f>
        <v/>
      </c>
      <c r="L2739" s="8">
        <f>H2739</f>
        <v/>
      </c>
      <c r="M2739" s="26">
        <f>H2739^2/6</f>
        <v/>
      </c>
      <c r="N2739" s="26">
        <f>H2739^3/12</f>
        <v/>
      </c>
      <c r="O2739" s="27">
        <f>-J2739*L2739*K2739*C2739</f>
        <v/>
      </c>
      <c r="P2739" s="28">
        <f>-(12*F2739*J2739*L2739*N2739+12*O2739*N2739*G2739*COS(RADIANS(E2739)))/(12*N2739*G2739*COS(RADIANS(E2739))^2+L2739*G2739^3*SIN(RADIANS(E2739))^2)</f>
        <v/>
      </c>
      <c r="Q2739" s="28">
        <f>-(6*F2739*J2739*L2739*N2739*SIN(RADIANS(E2739))+6*O2739*N2739*G2739*SIN(RADIANS(E2739))*COS(RADIANS(E2739)))/(12*N2739*COS(RADIANS(E2739))^2+L2739*G2739^2*SIN(RADIANS(E2739))^2)</f>
        <v/>
      </c>
      <c r="R2739" s="28">
        <f>-P2739*SIN(RADIANS(E2739))</f>
        <v/>
      </c>
      <c r="S2739" s="8">
        <f>(O2739+P2739*COS(RADIANS(E2739)))/L2739</f>
        <v/>
      </c>
      <c r="T2739" s="8">
        <f>R2739/L2739</f>
        <v/>
      </c>
      <c r="U2739" s="8">
        <f>(Q2739-P2739*G2739*SIN(RADIANS(E2739)))/M2739</f>
        <v/>
      </c>
      <c r="V2739" s="8">
        <f>SQRT((S2739+U2739)^2+3*T2739^2)</f>
        <v/>
      </c>
      <c r="W2739" s="8">
        <f>V2739/AA2739</f>
        <v/>
      </c>
      <c r="X2739" s="27">
        <f>((3*10+H2739/COS(RADIANS(E2739)))*(3+3)+3*G2739*H2739)*2</f>
        <v/>
      </c>
      <c r="Y2739" s="28">
        <f>Z2739/X2739</f>
        <v/>
      </c>
      <c r="Z2739" s="29" t="n">
        <v>655.580571960526</v>
      </c>
      <c r="AA2739" s="20" t="n">
        <v>33.0625372849651</v>
      </c>
      <c r="AB2739" t="n">
        <v>0.04958240679983915</v>
      </c>
      <c r="AC2739" t="n">
        <v>32.35605901430088</v>
      </c>
      <c r="AD2739" t="n">
        <v>24.94760220457953</v>
      </c>
    </row>
    <row r="2740">
      <c r="A2740" t="n">
        <v>2739</v>
      </c>
      <c r="B2740" t="n">
        <v>52.9</v>
      </c>
      <c r="C2740" s="21">
        <f>B2740-20</f>
        <v/>
      </c>
      <c r="D2740" t="n">
        <v>121.1</v>
      </c>
      <c r="E2740" s="22">
        <f>D2740-90</f>
        <v/>
      </c>
      <c r="F2740" s="23" t="n">
        <v>0.008834</v>
      </c>
      <c r="G2740" s="22" t="n">
        <v>20.5</v>
      </c>
      <c r="H2740" s="22" t="n">
        <v>1.2</v>
      </c>
      <c r="I2740" s="24" t="n">
        <v>0.0430080071091651</v>
      </c>
      <c r="J2740" s="6" t="n">
        <v>71000</v>
      </c>
      <c r="K2740" s="25">
        <f>23*10^-6</f>
        <v/>
      </c>
      <c r="L2740" s="8">
        <f>H2740</f>
        <v/>
      </c>
      <c r="M2740" s="26">
        <f>H2740^2/6</f>
        <v/>
      </c>
      <c r="N2740" s="26">
        <f>H2740^3/12</f>
        <v/>
      </c>
      <c r="O2740" s="27">
        <f>-J2740*L2740*K2740*C2740</f>
        <v/>
      </c>
      <c r="P2740" s="28">
        <f>-(12*F2740*J2740*L2740*N2740+12*O2740*N2740*G2740*COS(RADIANS(E2740)))/(12*N2740*G2740*COS(RADIANS(E2740))^2+L2740*G2740^3*SIN(RADIANS(E2740))^2)</f>
        <v/>
      </c>
      <c r="Q2740" s="28">
        <f>-(6*F2740*J2740*L2740*N2740*SIN(RADIANS(E2740))+6*O2740*N2740*G2740*SIN(RADIANS(E2740))*COS(RADIANS(E2740)))/(12*N2740*COS(RADIANS(E2740))^2+L2740*G2740^2*SIN(RADIANS(E2740))^2)</f>
        <v/>
      </c>
      <c r="R2740" s="28">
        <f>-P2740*SIN(RADIANS(E2740))</f>
        <v/>
      </c>
      <c r="S2740" s="8">
        <f>(O2740+P2740*COS(RADIANS(E2740)))/L2740</f>
        <v/>
      </c>
      <c r="T2740" s="8">
        <f>R2740/L2740</f>
        <v/>
      </c>
      <c r="U2740" s="8">
        <f>(Q2740-P2740*G2740*SIN(RADIANS(E2740)))/M2740</f>
        <v/>
      </c>
      <c r="V2740" s="8">
        <f>SQRT((S2740+U2740)^2+3*T2740^2)</f>
        <v/>
      </c>
      <c r="W2740" s="8">
        <f>V2740/AA2740</f>
        <v/>
      </c>
      <c r="X2740" s="27">
        <f>((3*10+H2740/COS(RADIANS(E2740)))*(3+3)+3*G2740*H2740)*2</f>
        <v/>
      </c>
      <c r="Y2740" s="28">
        <f>Z2740/X2740</f>
        <v/>
      </c>
      <c r="Z2740" s="29" t="n">
        <v>531.879449913617</v>
      </c>
      <c r="AA2740" s="20" t="n">
        <v>47.8768851696524</v>
      </c>
      <c r="AB2740" t="n">
        <v>0.04420942252311279</v>
      </c>
      <c r="AC2740" t="n">
        <v>48.31909091840716</v>
      </c>
      <c r="AD2740" t="n">
        <v>2.793469157727287</v>
      </c>
    </row>
    <row r="2741">
      <c r="A2741" t="n">
        <v>2740</v>
      </c>
      <c r="B2741" t="n">
        <v>45.6</v>
      </c>
      <c r="C2741" s="21">
        <f>B2741-20</f>
        <v/>
      </c>
      <c r="D2741" t="n">
        <v>121.8</v>
      </c>
      <c r="E2741" s="22">
        <f>D2741-90</f>
        <v/>
      </c>
      <c r="F2741" s="23" t="n">
        <v>0.00696</v>
      </c>
      <c r="G2741" s="22" t="n">
        <v>21</v>
      </c>
      <c r="H2741" s="22" t="n">
        <v>1.8</v>
      </c>
      <c r="I2741" s="24" t="n">
        <v>0.0334419086575508</v>
      </c>
      <c r="J2741" s="6" t="n">
        <v>71000</v>
      </c>
      <c r="K2741" s="25">
        <f>23*10^-6</f>
        <v/>
      </c>
      <c r="L2741" s="8">
        <f>H2741</f>
        <v/>
      </c>
      <c r="M2741" s="26">
        <f>H2741^2/6</f>
        <v/>
      </c>
      <c r="N2741" s="26">
        <f>H2741^3/12</f>
        <v/>
      </c>
      <c r="O2741" s="27">
        <f>-J2741*L2741*K2741*C2741</f>
        <v/>
      </c>
      <c r="P2741" s="28">
        <f>-(12*F2741*J2741*L2741*N2741+12*O2741*N2741*G2741*COS(RADIANS(E2741)))/(12*N2741*G2741*COS(RADIANS(E2741))^2+L2741*G2741^3*SIN(RADIANS(E2741))^2)</f>
        <v/>
      </c>
      <c r="Q2741" s="28">
        <f>-(6*F2741*J2741*L2741*N2741*SIN(RADIANS(E2741))+6*O2741*N2741*G2741*SIN(RADIANS(E2741))*COS(RADIANS(E2741)))/(12*N2741*COS(RADIANS(E2741))^2+L2741*G2741^2*SIN(RADIANS(E2741))^2)</f>
        <v/>
      </c>
      <c r="R2741" s="28">
        <f>-P2741*SIN(RADIANS(E2741))</f>
        <v/>
      </c>
      <c r="S2741" s="8">
        <f>(O2741+P2741*COS(RADIANS(E2741)))/L2741</f>
        <v/>
      </c>
      <c r="T2741" s="8">
        <f>R2741/L2741</f>
        <v/>
      </c>
      <c r="U2741" s="8">
        <f>(Q2741-P2741*G2741*SIN(RADIANS(E2741)))/M2741</f>
        <v/>
      </c>
      <c r="V2741" s="8">
        <f>SQRT((S2741+U2741)^2+3*T2741^2)</f>
        <v/>
      </c>
      <c r="W2741" s="8">
        <f>V2741/AA2741</f>
        <v/>
      </c>
      <c r="X2741" s="27">
        <f>((3*10+H2741/COS(RADIANS(E2741)))*(3+3)+3*G2741*H2741)*2</f>
        <v/>
      </c>
      <c r="Y2741" s="28">
        <f>Z2741/X2741</f>
        <v/>
      </c>
      <c r="Z2741" s="29" t="n">
        <v>619.887461659152</v>
      </c>
      <c r="AA2741" s="20" t="n">
        <v>42.465588517079</v>
      </c>
      <c r="AB2741" t="n">
        <v>0.03395803154596456</v>
      </c>
      <c r="AC2741" t="n">
        <v>38.89242317387156</v>
      </c>
      <c r="AD2741" t="n">
        <v>1.543341600800744</v>
      </c>
    </row>
    <row r="2742">
      <c r="A2742" t="n">
        <v>2741</v>
      </c>
      <c r="B2742" t="n">
        <v>69.8</v>
      </c>
      <c r="C2742" s="21">
        <f>B2742-20</f>
        <v/>
      </c>
      <c r="D2742" t="n">
        <v>122.9</v>
      </c>
      <c r="E2742" s="22">
        <f>D2742-90</f>
        <v/>
      </c>
      <c r="F2742" s="23" t="n">
        <v>0.013941</v>
      </c>
      <c r="G2742" s="22" t="n">
        <v>22.1</v>
      </c>
      <c r="H2742" s="22" t="n">
        <v>1.1</v>
      </c>
      <c r="I2742" s="24" t="n">
        <v>0.0656443238258361</v>
      </c>
      <c r="J2742" s="6" t="n">
        <v>71000</v>
      </c>
      <c r="K2742" s="25">
        <f>23*10^-6</f>
        <v/>
      </c>
      <c r="L2742" s="8">
        <f>H2742</f>
        <v/>
      </c>
      <c r="M2742" s="26">
        <f>H2742^2/6</f>
        <v/>
      </c>
      <c r="N2742" s="26">
        <f>H2742^3/12</f>
        <v/>
      </c>
      <c r="O2742" s="27">
        <f>-J2742*L2742*K2742*C2742</f>
        <v/>
      </c>
      <c r="P2742" s="28">
        <f>-(12*F2742*J2742*L2742*N2742+12*O2742*N2742*G2742*COS(RADIANS(E2742)))/(12*N2742*G2742*COS(RADIANS(E2742))^2+L2742*G2742^3*SIN(RADIANS(E2742))^2)</f>
        <v/>
      </c>
      <c r="Q2742" s="28">
        <f>-(6*F2742*J2742*L2742*N2742*SIN(RADIANS(E2742))+6*O2742*N2742*G2742*SIN(RADIANS(E2742))*COS(RADIANS(E2742)))/(12*N2742*COS(RADIANS(E2742))^2+L2742*G2742^2*SIN(RADIANS(E2742))^2)</f>
        <v/>
      </c>
      <c r="R2742" s="28">
        <f>-P2742*SIN(RADIANS(E2742))</f>
        <v/>
      </c>
      <c r="S2742" s="8">
        <f>(O2742+P2742*COS(RADIANS(E2742)))/L2742</f>
        <v/>
      </c>
      <c r="T2742" s="8">
        <f>R2742/L2742</f>
        <v/>
      </c>
      <c r="U2742" s="8">
        <f>(Q2742-P2742*G2742*SIN(RADIANS(E2742)))/M2742</f>
        <v/>
      </c>
      <c r="V2742" s="8">
        <f>SQRT((S2742+U2742)^2+3*T2742^2)</f>
        <v/>
      </c>
      <c r="W2742" s="8">
        <f>V2742/AA2742</f>
        <v/>
      </c>
      <c r="X2742" s="27">
        <f>((3*10+H2742/COS(RADIANS(E2742)))*(3+3)+3*G2742*H2742)*2</f>
        <v/>
      </c>
      <c r="Y2742" s="28">
        <f>Z2742/X2742</f>
        <v/>
      </c>
      <c r="Z2742" s="29" t="n">
        <v>529.599393900429</v>
      </c>
      <c r="AA2742" s="20" t="n">
        <v>69.7171113078192</v>
      </c>
      <c r="AB2742" t="n">
        <v>0.06769752149998141</v>
      </c>
      <c r="AC2742" t="n">
        <v>72.032972125116</v>
      </c>
      <c r="AD2742" t="n">
        <v>3.127761174892663</v>
      </c>
    </row>
    <row r="2743">
      <c r="A2743" t="n">
        <v>2742</v>
      </c>
      <c r="B2743" t="n">
        <v>69.40000000000001</v>
      </c>
      <c r="C2743" s="21">
        <f>B2743-20</f>
        <v/>
      </c>
      <c r="D2743" t="n">
        <v>122.3</v>
      </c>
      <c r="E2743" s="22">
        <f>D2743-90</f>
        <v/>
      </c>
      <c r="F2743" s="23" t="n">
        <v>0.012899</v>
      </c>
      <c r="G2743" s="22" t="n">
        <v>20</v>
      </c>
      <c r="H2743" s="22" t="n">
        <v>1.6</v>
      </c>
      <c r="I2743" s="24" t="n">
        <v>0.0621430911123752</v>
      </c>
      <c r="J2743" s="6" t="n">
        <v>71000</v>
      </c>
      <c r="K2743" s="25">
        <f>23*10^-6</f>
        <v/>
      </c>
      <c r="L2743" s="8">
        <f>H2743</f>
        <v/>
      </c>
      <c r="M2743" s="26">
        <f>H2743^2/6</f>
        <v/>
      </c>
      <c r="N2743" s="26">
        <f>H2743^3/12</f>
        <v/>
      </c>
      <c r="O2743" s="27">
        <f>-J2743*L2743*K2743*C2743</f>
        <v/>
      </c>
      <c r="P2743" s="28">
        <f>-(12*F2743*J2743*L2743*N2743+12*O2743*N2743*G2743*COS(RADIANS(E2743)))/(12*N2743*G2743*COS(RADIANS(E2743))^2+L2743*G2743^3*SIN(RADIANS(E2743))^2)</f>
        <v/>
      </c>
      <c r="Q2743" s="28">
        <f>-(6*F2743*J2743*L2743*N2743*SIN(RADIANS(E2743))+6*O2743*N2743*G2743*SIN(RADIANS(E2743))*COS(RADIANS(E2743)))/(12*N2743*COS(RADIANS(E2743))^2+L2743*G2743^2*SIN(RADIANS(E2743))^2)</f>
        <v/>
      </c>
      <c r="R2743" s="28">
        <f>-P2743*SIN(RADIANS(E2743))</f>
        <v/>
      </c>
      <c r="S2743" s="8">
        <f>(O2743+P2743*COS(RADIANS(E2743)))/L2743</f>
        <v/>
      </c>
      <c r="T2743" s="8">
        <f>R2743/L2743</f>
        <v/>
      </c>
      <c r="U2743" s="8">
        <f>(Q2743-P2743*G2743*SIN(RADIANS(E2743)))/M2743</f>
        <v/>
      </c>
      <c r="V2743" s="8">
        <f>SQRT((S2743+U2743)^2+3*T2743^2)</f>
        <v/>
      </c>
      <c r="W2743" s="8">
        <f>V2743/AA2743</f>
        <v/>
      </c>
      <c r="X2743" s="27">
        <f>((3*10+H2743/COS(RADIANS(E2743)))*(3+3)+3*G2743*H2743)*2</f>
        <v/>
      </c>
      <c r="Y2743" s="28">
        <f>Z2743/X2743</f>
        <v/>
      </c>
      <c r="Z2743" s="29" t="n">
        <v>582.5420531924231</v>
      </c>
      <c r="AA2743" s="20" t="n">
        <v>79.3903219999156</v>
      </c>
      <c r="AB2743" t="n">
        <v>0.0618105026856309</v>
      </c>
      <c r="AC2743" t="n">
        <v>74.15021117635118</v>
      </c>
      <c r="AD2743" t="n">
        <v>-0.5351977521408855</v>
      </c>
    </row>
    <row r="2744">
      <c r="A2744" t="n">
        <v>2743</v>
      </c>
      <c r="B2744" t="n">
        <v>54.7</v>
      </c>
      <c r="C2744" s="21">
        <f>B2744-20</f>
        <v/>
      </c>
      <c r="D2744" t="n">
        <v>116.8</v>
      </c>
      <c r="E2744" s="22">
        <f>D2744-90</f>
        <v/>
      </c>
      <c r="F2744" s="23" t="n">
        <v>0.012154</v>
      </c>
      <c r="G2744" s="22" t="n">
        <v>27.7</v>
      </c>
      <c r="H2744" s="22" t="n">
        <v>1.1</v>
      </c>
      <c r="I2744" s="24" t="n">
        <v>0.0603671260178089</v>
      </c>
      <c r="J2744" s="6" t="n">
        <v>71000</v>
      </c>
      <c r="K2744" s="25">
        <f>23*10^-6</f>
        <v/>
      </c>
      <c r="L2744" s="8">
        <f>H2744</f>
        <v/>
      </c>
      <c r="M2744" s="26">
        <f>H2744^2/6</f>
        <v/>
      </c>
      <c r="N2744" s="26">
        <f>H2744^3/12</f>
        <v/>
      </c>
      <c r="O2744" s="27">
        <f>-J2744*L2744*K2744*C2744</f>
        <v/>
      </c>
      <c r="P2744" s="28">
        <f>-(12*F2744*J2744*L2744*N2744+12*O2744*N2744*G2744*COS(RADIANS(E2744)))/(12*N2744*G2744*COS(RADIANS(E2744))^2+L2744*G2744^3*SIN(RADIANS(E2744))^2)</f>
        <v/>
      </c>
      <c r="Q2744" s="28">
        <f>-(6*F2744*J2744*L2744*N2744*SIN(RADIANS(E2744))+6*O2744*N2744*G2744*SIN(RADIANS(E2744))*COS(RADIANS(E2744)))/(12*N2744*COS(RADIANS(E2744))^2+L2744*G2744^2*SIN(RADIANS(E2744))^2)</f>
        <v/>
      </c>
      <c r="R2744" s="28">
        <f>-P2744*SIN(RADIANS(E2744))</f>
        <v/>
      </c>
      <c r="S2744" s="8">
        <f>(O2744+P2744*COS(RADIANS(E2744)))/L2744</f>
        <v/>
      </c>
      <c r="T2744" s="8">
        <f>R2744/L2744</f>
        <v/>
      </c>
      <c r="U2744" s="8">
        <f>(Q2744-P2744*G2744*SIN(RADIANS(E2744)))/M2744</f>
        <v/>
      </c>
      <c r="V2744" s="8">
        <f>SQRT((S2744+U2744)^2+3*T2744^2)</f>
        <v/>
      </c>
      <c r="W2744" s="8">
        <f>V2744/AA2744</f>
        <v/>
      </c>
      <c r="X2744" s="27">
        <f>((3*10+H2744/COS(RADIANS(E2744)))*(3+3)+3*G2744*H2744)*2</f>
        <v/>
      </c>
      <c r="Y2744" s="28">
        <f>Z2744/X2744</f>
        <v/>
      </c>
      <c r="Z2744" s="29" t="n">
        <v>563.930294229489</v>
      </c>
      <c r="AA2744" s="20" t="n">
        <v>48.3626246575035</v>
      </c>
      <c r="AB2744" t="n">
        <v>0.07260612753973439</v>
      </c>
      <c r="AC2744" t="n">
        <v>50.69209703602918</v>
      </c>
      <c r="AD2744" t="n">
        <v>20.27428226136666</v>
      </c>
    </row>
    <row r="2745">
      <c r="A2745" t="n">
        <v>2744</v>
      </c>
      <c r="B2745" t="n">
        <v>49.7</v>
      </c>
      <c r="C2745" s="21">
        <f>B2745-20</f>
        <v/>
      </c>
      <c r="D2745" t="n">
        <v>102.7</v>
      </c>
      <c r="E2745" s="22">
        <f>D2745-90</f>
        <v/>
      </c>
      <c r="F2745" s="23" t="n">
        <v>0.013229</v>
      </c>
      <c r="G2745" s="22" t="n">
        <v>33.9</v>
      </c>
      <c r="H2745" s="22" t="n">
        <v>1.1</v>
      </c>
      <c r="I2745" s="24" t="n">
        <v>0.106664434075355</v>
      </c>
      <c r="J2745" s="6" t="n">
        <v>71000</v>
      </c>
      <c r="K2745" s="25">
        <f>23*10^-6</f>
        <v/>
      </c>
      <c r="L2745" s="8">
        <f>H2745</f>
        <v/>
      </c>
      <c r="M2745" s="26">
        <f>H2745^2/6</f>
        <v/>
      </c>
      <c r="N2745" s="26">
        <f>H2745^3/12</f>
        <v/>
      </c>
      <c r="O2745" s="27">
        <f>-J2745*L2745*K2745*C2745</f>
        <v/>
      </c>
      <c r="P2745" s="28">
        <f>-(12*F2745*J2745*L2745*N2745+12*O2745*N2745*G2745*COS(RADIANS(E2745)))/(12*N2745*G2745*COS(RADIANS(E2745))^2+L2745*G2745^3*SIN(RADIANS(E2745))^2)</f>
        <v/>
      </c>
      <c r="Q2745" s="28">
        <f>-(6*F2745*J2745*L2745*N2745*SIN(RADIANS(E2745))+6*O2745*N2745*G2745*SIN(RADIANS(E2745))*COS(RADIANS(E2745)))/(12*N2745*COS(RADIANS(E2745))^2+L2745*G2745^2*SIN(RADIANS(E2745))^2)</f>
        <v/>
      </c>
      <c r="R2745" s="28">
        <f>-P2745*SIN(RADIANS(E2745))</f>
        <v/>
      </c>
      <c r="S2745" s="8">
        <f>(O2745+P2745*COS(RADIANS(E2745)))/L2745</f>
        <v/>
      </c>
      <c r="T2745" s="8">
        <f>R2745/L2745</f>
        <v/>
      </c>
      <c r="U2745" s="8">
        <f>(Q2745-P2745*G2745*SIN(RADIANS(E2745)))/M2745</f>
        <v/>
      </c>
      <c r="V2745" s="8">
        <f>SQRT((S2745+U2745)^2+3*T2745^2)</f>
        <v/>
      </c>
      <c r="W2745" s="8">
        <f>V2745/AA2745</f>
        <v/>
      </c>
      <c r="X2745" s="27">
        <f>((3*10+H2745/COS(RADIANS(E2745)))*(3+3)+3*G2745*H2745)*2</f>
        <v/>
      </c>
      <c r="Y2745" s="28">
        <f>Z2745/X2745</f>
        <v/>
      </c>
      <c r="Z2745" s="29" t="n">
        <v>601.306569147603</v>
      </c>
      <c r="AA2745" s="20" t="n">
        <v>42.8344165316678</v>
      </c>
      <c r="AB2745" t="n">
        <v>0.1606406106645768</v>
      </c>
      <c r="AC2745" t="n">
        <v>46.55095283509331</v>
      </c>
      <c r="AD2745" t="n">
        <v>50.60372471585921</v>
      </c>
    </row>
    <row r="2746">
      <c r="A2746" t="n">
        <v>2745</v>
      </c>
      <c r="B2746" t="n">
        <v>84.59999999999999</v>
      </c>
      <c r="C2746" s="21">
        <f>B2746-20</f>
        <v/>
      </c>
      <c r="D2746" t="n">
        <v>114.5</v>
      </c>
      <c r="E2746" s="22">
        <f>D2746-90</f>
        <v/>
      </c>
      <c r="F2746" s="23" t="n">
        <v>0.018625</v>
      </c>
      <c r="G2746" s="22" t="n">
        <v>21.2</v>
      </c>
      <c r="H2746" s="22" t="n">
        <v>1.7</v>
      </c>
      <c r="I2746" s="24" t="n">
        <v>0.100330740213394</v>
      </c>
      <c r="J2746" s="6" t="n">
        <v>71000</v>
      </c>
      <c r="K2746" s="25">
        <f>23*10^-6</f>
        <v/>
      </c>
      <c r="L2746" s="8">
        <f>H2746</f>
        <v/>
      </c>
      <c r="M2746" s="26">
        <f>H2746^2/6</f>
        <v/>
      </c>
      <c r="N2746" s="26">
        <f>H2746^3/12</f>
        <v/>
      </c>
      <c r="O2746" s="27">
        <f>-J2746*L2746*K2746*C2746</f>
        <v/>
      </c>
      <c r="P2746" s="28">
        <f>-(12*F2746*J2746*L2746*N2746+12*O2746*N2746*G2746*COS(RADIANS(E2746)))/(12*N2746*G2746*COS(RADIANS(E2746))^2+L2746*G2746^3*SIN(RADIANS(E2746))^2)</f>
        <v/>
      </c>
      <c r="Q2746" s="28">
        <f>-(6*F2746*J2746*L2746*N2746*SIN(RADIANS(E2746))+6*O2746*N2746*G2746*SIN(RADIANS(E2746))*COS(RADIANS(E2746)))/(12*N2746*COS(RADIANS(E2746))^2+L2746*G2746^2*SIN(RADIANS(E2746))^2)</f>
        <v/>
      </c>
      <c r="R2746" s="28">
        <f>-P2746*SIN(RADIANS(E2746))</f>
        <v/>
      </c>
      <c r="S2746" s="8">
        <f>(O2746+P2746*COS(RADIANS(E2746)))/L2746</f>
        <v/>
      </c>
      <c r="T2746" s="8">
        <f>R2746/L2746</f>
        <v/>
      </c>
      <c r="U2746" s="8">
        <f>(Q2746-P2746*G2746*SIN(RADIANS(E2746)))/M2746</f>
        <v/>
      </c>
      <c r="V2746" s="8">
        <f>SQRT((S2746+U2746)^2+3*T2746^2)</f>
        <v/>
      </c>
      <c r="W2746" s="8">
        <f>V2746/AA2746</f>
        <v/>
      </c>
      <c r="X2746" s="27">
        <f>((3*10+H2746/COS(RADIANS(E2746)))*(3+3)+3*G2746*H2746)*2</f>
        <v/>
      </c>
      <c r="Y2746" s="28">
        <f>Z2746/X2746</f>
        <v/>
      </c>
      <c r="Z2746" s="29" t="n">
        <v>604.466914793524</v>
      </c>
      <c r="AA2746" s="20" t="n">
        <v>106.665125938095</v>
      </c>
      <c r="AB2746" t="n">
        <v>0.11306365272475</v>
      </c>
      <c r="AC2746" t="n">
        <v>101.4130918048738</v>
      </c>
      <c r="AD2746" t="n">
        <v>12.69093847436421</v>
      </c>
    </row>
    <row r="2747">
      <c r="A2747" t="n">
        <v>2746</v>
      </c>
      <c r="B2747" t="n">
        <v>69.90000000000001</v>
      </c>
      <c r="C2747" s="21">
        <f>B2747-20</f>
        <v/>
      </c>
      <c r="D2747" t="n">
        <v>127.7</v>
      </c>
      <c r="E2747" s="22">
        <f>D2747-90</f>
        <v/>
      </c>
      <c r="F2747" s="23" t="n">
        <v>0.014576</v>
      </c>
      <c r="G2747" s="22" t="n">
        <v>24.8</v>
      </c>
      <c r="H2747" s="22" t="n">
        <v>1.2</v>
      </c>
      <c r="I2747" s="24" t="n">
        <v>0.0648797526955604</v>
      </c>
      <c r="J2747" s="6" t="n">
        <v>71000</v>
      </c>
      <c r="K2747" s="25">
        <f>23*10^-6</f>
        <v/>
      </c>
      <c r="L2747" s="8">
        <f>H2747</f>
        <v/>
      </c>
      <c r="M2747" s="26">
        <f>H2747^2/6</f>
        <v/>
      </c>
      <c r="N2747" s="26">
        <f>H2747^3/12</f>
        <v/>
      </c>
      <c r="O2747" s="27">
        <f>-J2747*L2747*K2747*C2747</f>
        <v/>
      </c>
      <c r="P2747" s="28">
        <f>-(12*F2747*J2747*L2747*N2747+12*O2747*N2747*G2747*COS(RADIANS(E2747)))/(12*N2747*G2747*COS(RADIANS(E2747))^2+L2747*G2747^3*SIN(RADIANS(E2747))^2)</f>
        <v/>
      </c>
      <c r="Q2747" s="28">
        <f>-(6*F2747*J2747*L2747*N2747*SIN(RADIANS(E2747))+6*O2747*N2747*G2747*SIN(RADIANS(E2747))*COS(RADIANS(E2747)))/(12*N2747*COS(RADIANS(E2747))^2+L2747*G2747^2*SIN(RADIANS(E2747))^2)</f>
        <v/>
      </c>
      <c r="R2747" s="28">
        <f>-P2747*SIN(RADIANS(E2747))</f>
        <v/>
      </c>
      <c r="S2747" s="8">
        <f>(O2747+P2747*COS(RADIANS(E2747)))/L2747</f>
        <v/>
      </c>
      <c r="T2747" s="8">
        <f>R2747/L2747</f>
        <v/>
      </c>
      <c r="U2747" s="8">
        <f>(Q2747-P2747*G2747*SIN(RADIANS(E2747)))/M2747</f>
        <v/>
      </c>
      <c r="V2747" s="8">
        <f>SQRT((S2747+U2747)^2+3*T2747^2)</f>
        <v/>
      </c>
      <c r="W2747" s="8">
        <f>V2747/AA2747</f>
        <v/>
      </c>
      <c r="X2747" s="27">
        <f>((3*10+H2747/COS(RADIANS(E2747)))*(3+3)+3*G2747*H2747)*2</f>
        <v/>
      </c>
      <c r="Y2747" s="28">
        <f>Z2747/X2747</f>
        <v/>
      </c>
      <c r="Z2747" s="29" t="n">
        <v>566.5260584654239</v>
      </c>
      <c r="AA2747" s="20" t="n">
        <v>69.2441810730286</v>
      </c>
      <c r="AB2747" t="n">
        <v>0.06510327842786204</v>
      </c>
      <c r="AC2747" t="n">
        <v>71.35303736587061</v>
      </c>
      <c r="AD2747" t="n">
        <v>0.3445230954416595</v>
      </c>
    </row>
    <row r="2748">
      <c r="A2748" t="n">
        <v>2747</v>
      </c>
      <c r="B2748" t="n">
        <v>70.7</v>
      </c>
      <c r="C2748" s="21">
        <f>B2748-20</f>
        <v/>
      </c>
      <c r="D2748" t="n">
        <v>122.4</v>
      </c>
      <c r="E2748" s="22">
        <f>D2748-90</f>
        <v/>
      </c>
      <c r="F2748" s="23" t="n">
        <v>0.013472</v>
      </c>
      <c r="G2748" s="22" t="n">
        <v>20.5</v>
      </c>
      <c r="H2748" s="22" t="n">
        <v>1</v>
      </c>
      <c r="I2748" s="24" t="n">
        <v>0.0645606219768524</v>
      </c>
      <c r="J2748" s="6" t="n">
        <v>71000</v>
      </c>
      <c r="K2748" s="25">
        <f>23*10^-6</f>
        <v/>
      </c>
      <c r="L2748" s="8">
        <f>H2748</f>
        <v/>
      </c>
      <c r="M2748" s="26">
        <f>H2748^2/6</f>
        <v/>
      </c>
      <c r="N2748" s="26">
        <f>H2748^3/12</f>
        <v/>
      </c>
      <c r="O2748" s="27">
        <f>-J2748*L2748*K2748*C2748</f>
        <v/>
      </c>
      <c r="P2748" s="28">
        <f>-(12*F2748*J2748*L2748*N2748+12*O2748*N2748*G2748*COS(RADIANS(E2748)))/(12*N2748*G2748*COS(RADIANS(E2748))^2+L2748*G2748^3*SIN(RADIANS(E2748))^2)</f>
        <v/>
      </c>
      <c r="Q2748" s="28">
        <f>-(6*F2748*J2748*L2748*N2748*SIN(RADIANS(E2748))+6*O2748*N2748*G2748*SIN(RADIANS(E2748))*COS(RADIANS(E2748)))/(12*N2748*COS(RADIANS(E2748))^2+L2748*G2748^2*SIN(RADIANS(E2748))^2)</f>
        <v/>
      </c>
      <c r="R2748" s="28">
        <f>-P2748*SIN(RADIANS(E2748))</f>
        <v/>
      </c>
      <c r="S2748" s="8">
        <f>(O2748+P2748*COS(RADIANS(E2748)))/L2748</f>
        <v/>
      </c>
      <c r="T2748" s="8">
        <f>R2748/L2748</f>
        <v/>
      </c>
      <c r="U2748" s="8">
        <f>(Q2748-P2748*G2748*SIN(RADIANS(E2748)))/M2748</f>
        <v/>
      </c>
      <c r="V2748" s="8">
        <f>SQRT((S2748+U2748)^2+3*T2748^2)</f>
        <v/>
      </c>
      <c r="W2748" s="8">
        <f>V2748/AA2748</f>
        <v/>
      </c>
      <c r="X2748" s="27">
        <f>((3*10+H2748/COS(RADIANS(E2748)))*(3+3)+3*G2748*H2748)*2</f>
        <v/>
      </c>
      <c r="Y2748" s="28">
        <f>Z2748/X2748</f>
        <v/>
      </c>
      <c r="Z2748" s="29" t="n">
        <v>505.07109157617</v>
      </c>
      <c r="AA2748" s="20" t="n">
        <v>69.4369699973916</v>
      </c>
      <c r="AB2748" t="n">
        <v>0.06540487853432399</v>
      </c>
      <c r="AC2748" t="n">
        <v>73.15437706069169</v>
      </c>
      <c r="AD2748" t="n">
        <v>1.307695823894455</v>
      </c>
    </row>
    <row r="2749">
      <c r="A2749" t="n">
        <v>2748</v>
      </c>
      <c r="B2749" t="n">
        <v>72.90000000000001</v>
      </c>
      <c r="C2749" s="21">
        <f>B2749-20</f>
        <v/>
      </c>
      <c r="D2749" t="n">
        <v>123.4</v>
      </c>
      <c r="E2749" s="22">
        <f>D2749-90</f>
        <v/>
      </c>
      <c r="F2749" s="23" t="n">
        <v>0.016054</v>
      </c>
      <c r="G2749" s="22" t="n">
        <v>24.7</v>
      </c>
      <c r="H2749" s="22" t="n">
        <v>1.6</v>
      </c>
      <c r="I2749" s="24" t="n">
        <v>0.07398711889982219</v>
      </c>
      <c r="J2749" s="6" t="n">
        <v>71000</v>
      </c>
      <c r="K2749" s="25">
        <f>23*10^-6</f>
        <v/>
      </c>
      <c r="L2749" s="8">
        <f>H2749</f>
        <v/>
      </c>
      <c r="M2749" s="26">
        <f>H2749^2/6</f>
        <v/>
      </c>
      <c r="N2749" s="26">
        <f>H2749^3/12</f>
        <v/>
      </c>
      <c r="O2749" s="27">
        <f>-J2749*L2749*K2749*C2749</f>
        <v/>
      </c>
      <c r="P2749" s="28">
        <f>-(12*F2749*J2749*L2749*N2749+12*O2749*N2749*G2749*COS(RADIANS(E2749)))/(12*N2749*G2749*COS(RADIANS(E2749))^2+L2749*G2749^3*SIN(RADIANS(E2749))^2)</f>
        <v/>
      </c>
      <c r="Q2749" s="28">
        <f>-(6*F2749*J2749*L2749*N2749*SIN(RADIANS(E2749))+6*O2749*N2749*G2749*SIN(RADIANS(E2749))*COS(RADIANS(E2749)))/(12*N2749*COS(RADIANS(E2749))^2+L2749*G2749^2*SIN(RADIANS(E2749))^2)</f>
        <v/>
      </c>
      <c r="R2749" s="28">
        <f>-P2749*SIN(RADIANS(E2749))</f>
        <v/>
      </c>
      <c r="S2749" s="8">
        <f>(O2749+P2749*COS(RADIANS(E2749)))/L2749</f>
        <v/>
      </c>
      <c r="T2749" s="8">
        <f>R2749/L2749</f>
        <v/>
      </c>
      <c r="U2749" s="8">
        <f>(Q2749-P2749*G2749*SIN(RADIANS(E2749)))/M2749</f>
        <v/>
      </c>
      <c r="V2749" s="8">
        <f>SQRT((S2749+U2749)^2+3*T2749^2)</f>
        <v/>
      </c>
      <c r="W2749" s="8">
        <f>V2749/AA2749</f>
        <v/>
      </c>
      <c r="X2749" s="27">
        <f>((3*10+H2749/COS(RADIANS(E2749)))*(3+3)+3*G2749*H2749)*2</f>
        <v/>
      </c>
      <c r="Y2749" s="28">
        <f>Z2749/X2749</f>
        <v/>
      </c>
      <c r="Z2749" s="29" t="n">
        <v>628.299584428433</v>
      </c>
      <c r="AA2749" s="20" t="n">
        <v>81.67234231684731</v>
      </c>
      <c r="AB2749" t="n">
        <v>0.07808443439372689</v>
      </c>
      <c r="AC2749" t="n">
        <v>78.27606293368666</v>
      </c>
      <c r="AD2749" t="n">
        <v>5.537876801842254</v>
      </c>
    </row>
    <row r="2750">
      <c r="A2750" t="n">
        <v>2749</v>
      </c>
      <c r="B2750" t="n">
        <v>65.40000000000001</v>
      </c>
      <c r="C2750" s="21">
        <f>B2750-20</f>
        <v/>
      </c>
      <c r="D2750" t="n">
        <v>124.4</v>
      </c>
      <c r="E2750" s="22">
        <f>D2750-90</f>
        <v/>
      </c>
      <c r="F2750" s="23" t="n">
        <v>0.016856</v>
      </c>
      <c r="G2750" s="22" t="n">
        <v>32.2</v>
      </c>
      <c r="H2750" s="22" t="n">
        <v>1.2</v>
      </c>
      <c r="I2750" s="24" t="n">
        <v>0.0738833397626876</v>
      </c>
      <c r="J2750" s="6" t="n">
        <v>71000</v>
      </c>
      <c r="K2750" s="25">
        <f>23*10^-6</f>
        <v/>
      </c>
      <c r="L2750" s="8">
        <f>H2750</f>
        <v/>
      </c>
      <c r="M2750" s="26">
        <f>H2750^2/6</f>
        <v/>
      </c>
      <c r="N2750" s="26">
        <f>H2750^3/12</f>
        <v/>
      </c>
      <c r="O2750" s="27">
        <f>-J2750*L2750*K2750*C2750</f>
        <v/>
      </c>
      <c r="P2750" s="28">
        <f>-(12*F2750*J2750*L2750*N2750+12*O2750*N2750*G2750*COS(RADIANS(E2750)))/(12*N2750*G2750*COS(RADIANS(E2750))^2+L2750*G2750^3*SIN(RADIANS(E2750))^2)</f>
        <v/>
      </c>
      <c r="Q2750" s="28">
        <f>-(6*F2750*J2750*L2750*N2750*SIN(RADIANS(E2750))+6*O2750*N2750*G2750*SIN(RADIANS(E2750))*COS(RADIANS(E2750)))/(12*N2750*COS(RADIANS(E2750))^2+L2750*G2750^2*SIN(RADIANS(E2750))^2)</f>
        <v/>
      </c>
      <c r="R2750" s="28">
        <f>-P2750*SIN(RADIANS(E2750))</f>
        <v/>
      </c>
      <c r="S2750" s="8">
        <f>(O2750+P2750*COS(RADIANS(E2750)))/L2750</f>
        <v/>
      </c>
      <c r="T2750" s="8">
        <f>R2750/L2750</f>
        <v/>
      </c>
      <c r="U2750" s="8">
        <f>(Q2750-P2750*G2750*SIN(RADIANS(E2750)))/M2750</f>
        <v/>
      </c>
      <c r="V2750" s="8">
        <f>SQRT((S2750+U2750)^2+3*T2750^2)</f>
        <v/>
      </c>
      <c r="W2750" s="8">
        <f>V2750/AA2750</f>
        <v/>
      </c>
      <c r="X2750" s="27">
        <f>((3*10+H2750/COS(RADIANS(E2750)))*(3+3)+3*G2750*H2750)*2</f>
        <v/>
      </c>
      <c r="Y2750" s="28">
        <f>Z2750/X2750</f>
        <v/>
      </c>
      <c r="Z2750" s="29" t="n">
        <v>617.812681382882</v>
      </c>
      <c r="AA2750" s="20" t="n">
        <v>61.7781830166403</v>
      </c>
      <c r="AB2750" t="n">
        <v>0.0838489645268056</v>
      </c>
      <c r="AC2750" t="n">
        <v>64.80261118417306</v>
      </c>
      <c r="AD2750" t="n">
        <v>13.48832469691742</v>
      </c>
    </row>
    <row r="2751">
      <c r="A2751" t="n">
        <v>2750</v>
      </c>
      <c r="B2751" t="n">
        <v>64.59999999999999</v>
      </c>
      <c r="C2751" s="21">
        <f>B2751-20</f>
        <v/>
      </c>
      <c r="D2751" t="n">
        <v>124.2</v>
      </c>
      <c r="E2751" s="22">
        <f>D2751-90</f>
        <v/>
      </c>
      <c r="F2751" s="23" t="n">
        <v>0.01226</v>
      </c>
      <c r="G2751" s="22" t="n">
        <v>21.9</v>
      </c>
      <c r="H2751" s="22" t="n">
        <v>1.8</v>
      </c>
      <c r="I2751" s="24" t="n">
        <v>0.0571458265185356</v>
      </c>
      <c r="J2751" s="6" t="n">
        <v>71000</v>
      </c>
      <c r="K2751" s="25">
        <f>23*10^-6</f>
        <v/>
      </c>
      <c r="L2751" s="8">
        <f>H2751</f>
        <v/>
      </c>
      <c r="M2751" s="26">
        <f>H2751^2/6</f>
        <v/>
      </c>
      <c r="N2751" s="26">
        <f>H2751^3/12</f>
        <v/>
      </c>
      <c r="O2751" s="27">
        <f>-J2751*L2751*K2751*C2751</f>
        <v/>
      </c>
      <c r="P2751" s="28">
        <f>-(12*F2751*J2751*L2751*N2751+12*O2751*N2751*G2751*COS(RADIANS(E2751)))/(12*N2751*G2751*COS(RADIANS(E2751))^2+L2751*G2751^3*SIN(RADIANS(E2751))^2)</f>
        <v/>
      </c>
      <c r="Q2751" s="28">
        <f>-(6*F2751*J2751*L2751*N2751*SIN(RADIANS(E2751))+6*O2751*N2751*G2751*SIN(RADIANS(E2751))*COS(RADIANS(E2751)))/(12*N2751*COS(RADIANS(E2751))^2+L2751*G2751^2*SIN(RADIANS(E2751))^2)</f>
        <v/>
      </c>
      <c r="R2751" s="28">
        <f>-P2751*SIN(RADIANS(E2751))</f>
        <v/>
      </c>
      <c r="S2751" s="8">
        <f>(O2751+P2751*COS(RADIANS(E2751)))/L2751</f>
        <v/>
      </c>
      <c r="T2751" s="8">
        <f>R2751/L2751</f>
        <v/>
      </c>
      <c r="U2751" s="8">
        <f>(Q2751-P2751*G2751*SIN(RADIANS(E2751)))/M2751</f>
        <v/>
      </c>
      <c r="V2751" s="8">
        <f>SQRT((S2751+U2751)^2+3*T2751^2)</f>
        <v/>
      </c>
      <c r="W2751" s="8">
        <f>V2751/AA2751</f>
        <v/>
      </c>
      <c r="X2751" s="27">
        <f>((3*10+H2751/COS(RADIANS(E2751)))*(3+3)+3*G2751*H2751)*2</f>
        <v/>
      </c>
      <c r="Y2751" s="28">
        <f>Z2751/X2751</f>
        <v/>
      </c>
      <c r="Z2751" s="29" t="n">
        <v>631.087314564979</v>
      </c>
      <c r="AA2751" s="20" t="n">
        <v>71.66766255087219</v>
      </c>
      <c r="AB2751" t="n">
        <v>0.05705117730865755</v>
      </c>
      <c r="AC2751" t="n">
        <v>66.89694118845262</v>
      </c>
      <c r="AD2751" t="n">
        <v>-0.1656275106063163</v>
      </c>
    </row>
    <row r="2752">
      <c r="A2752" t="n">
        <v>2751</v>
      </c>
      <c r="B2752" t="n">
        <v>78.2</v>
      </c>
      <c r="C2752" s="21">
        <f>B2752-20</f>
        <v/>
      </c>
      <c r="D2752" t="n">
        <v>108.1</v>
      </c>
      <c r="E2752" s="22">
        <f>D2752-90</f>
        <v/>
      </c>
      <c r="F2752" s="23" t="n">
        <v>0.024729</v>
      </c>
      <c r="G2752" s="22" t="n">
        <v>32.9</v>
      </c>
      <c r="H2752" s="22" t="n">
        <v>1.7</v>
      </c>
      <c r="I2752" s="24" t="n">
        <v>0.151945799589157</v>
      </c>
      <c r="J2752" s="6" t="n">
        <v>71000</v>
      </c>
      <c r="K2752" s="25">
        <f>23*10^-6</f>
        <v/>
      </c>
      <c r="L2752" s="8">
        <f>H2752</f>
        <v/>
      </c>
      <c r="M2752" s="26">
        <f>H2752^2/6</f>
        <v/>
      </c>
      <c r="N2752" s="26">
        <f>H2752^3/12</f>
        <v/>
      </c>
      <c r="O2752" s="27">
        <f>-J2752*L2752*K2752*C2752</f>
        <v/>
      </c>
      <c r="P2752" s="28">
        <f>-(12*F2752*J2752*L2752*N2752+12*O2752*N2752*G2752*COS(RADIANS(E2752)))/(12*N2752*G2752*COS(RADIANS(E2752))^2+L2752*G2752^3*SIN(RADIANS(E2752))^2)</f>
        <v/>
      </c>
      <c r="Q2752" s="28">
        <f>-(6*F2752*J2752*L2752*N2752*SIN(RADIANS(E2752))+6*O2752*N2752*G2752*SIN(RADIANS(E2752))*COS(RADIANS(E2752)))/(12*N2752*COS(RADIANS(E2752))^2+L2752*G2752^2*SIN(RADIANS(E2752))^2)</f>
        <v/>
      </c>
      <c r="R2752" s="28">
        <f>-P2752*SIN(RADIANS(E2752))</f>
        <v/>
      </c>
      <c r="S2752" s="8">
        <f>(O2752+P2752*COS(RADIANS(E2752)))/L2752</f>
        <v/>
      </c>
      <c r="T2752" s="8">
        <f>R2752/L2752</f>
        <v/>
      </c>
      <c r="U2752" s="8">
        <f>(Q2752-P2752*G2752*SIN(RADIANS(E2752)))/M2752</f>
        <v/>
      </c>
      <c r="V2752" s="8">
        <f>SQRT((S2752+U2752)^2+3*T2752^2)</f>
        <v/>
      </c>
      <c r="W2752" s="8">
        <f>V2752/AA2752</f>
        <v/>
      </c>
      <c r="X2752" s="27">
        <f>((3*10+H2752/COS(RADIANS(E2752)))*(3+3)+3*G2752*H2752)*2</f>
        <v/>
      </c>
      <c r="Y2752" s="28">
        <f>Z2752/X2752</f>
        <v/>
      </c>
      <c r="Z2752" s="29" t="n">
        <v>721.725112975676</v>
      </c>
      <c r="AA2752" s="20" t="n">
        <v>92.6539035893759</v>
      </c>
      <c r="AB2752" t="n">
        <v>0.2119158134599894</v>
      </c>
      <c r="AC2752" t="n">
        <v>92.19300479371702</v>
      </c>
      <c r="AD2752" t="n">
        <v>39.46803006926422</v>
      </c>
    </row>
    <row r="2753">
      <c r="A2753" t="n">
        <v>2752</v>
      </c>
      <c r="B2753" t="n">
        <v>72.5</v>
      </c>
      <c r="C2753" s="21">
        <f>B2753-20</f>
        <v/>
      </c>
      <c r="D2753" t="n">
        <v>102.4</v>
      </c>
      <c r="E2753" s="22">
        <f>D2753-90</f>
        <v/>
      </c>
      <c r="F2753" s="23" t="n">
        <v>0.018088</v>
      </c>
      <c r="G2753" s="22" t="n">
        <v>24.8</v>
      </c>
      <c r="H2753" s="22" t="n">
        <v>1.3</v>
      </c>
      <c r="I2753" s="24" t="n">
        <v>0.149658218026161</v>
      </c>
      <c r="J2753" s="6" t="n">
        <v>71000</v>
      </c>
      <c r="K2753" s="25">
        <f>23*10^-6</f>
        <v/>
      </c>
      <c r="L2753" s="8">
        <f>H2753</f>
        <v/>
      </c>
      <c r="M2753" s="26">
        <f>H2753^2/6</f>
        <v/>
      </c>
      <c r="N2753" s="26">
        <f>H2753^3/12</f>
        <v/>
      </c>
      <c r="O2753" s="27">
        <f>-J2753*L2753*K2753*C2753</f>
        <v/>
      </c>
      <c r="P2753" s="28">
        <f>-(12*F2753*J2753*L2753*N2753+12*O2753*N2753*G2753*COS(RADIANS(E2753)))/(12*N2753*G2753*COS(RADIANS(E2753))^2+L2753*G2753^3*SIN(RADIANS(E2753))^2)</f>
        <v/>
      </c>
      <c r="Q2753" s="28">
        <f>-(6*F2753*J2753*L2753*N2753*SIN(RADIANS(E2753))+6*O2753*N2753*G2753*SIN(RADIANS(E2753))*COS(RADIANS(E2753)))/(12*N2753*COS(RADIANS(E2753))^2+L2753*G2753^2*SIN(RADIANS(E2753))^2)</f>
        <v/>
      </c>
      <c r="R2753" s="28">
        <f>-P2753*SIN(RADIANS(E2753))</f>
        <v/>
      </c>
      <c r="S2753" s="8">
        <f>(O2753+P2753*COS(RADIANS(E2753)))/L2753</f>
        <v/>
      </c>
      <c r="T2753" s="8">
        <f>R2753/L2753</f>
        <v/>
      </c>
      <c r="U2753" s="8">
        <f>(Q2753-P2753*G2753*SIN(RADIANS(E2753)))/M2753</f>
        <v/>
      </c>
      <c r="V2753" s="8">
        <f>SQRT((S2753+U2753)^2+3*T2753^2)</f>
        <v/>
      </c>
      <c r="W2753" s="8">
        <f>V2753/AA2753</f>
        <v/>
      </c>
      <c r="X2753" s="27">
        <f>((3*10+H2753/COS(RADIANS(E2753)))*(3+3)+3*G2753*H2753)*2</f>
        <v/>
      </c>
      <c r="Y2753" s="28">
        <f>Z2753/X2753</f>
        <v/>
      </c>
      <c r="Z2753" s="29" t="n">
        <v>573.419471505316</v>
      </c>
      <c r="AA2753" s="20" t="n">
        <v>82.1526796175084</v>
      </c>
      <c r="AB2753" t="n">
        <v>0.2095829984518663</v>
      </c>
      <c r="AC2753" t="n">
        <v>87.27777460154488</v>
      </c>
      <c r="AD2753" t="n">
        <v>40.04108910025249</v>
      </c>
    </row>
    <row r="2754">
      <c r="A2754" t="n">
        <v>2753</v>
      </c>
      <c r="B2754" t="n">
        <v>47</v>
      </c>
      <c r="C2754" s="21">
        <f>B2754-20</f>
        <v/>
      </c>
      <c r="D2754" t="n">
        <v>111.4</v>
      </c>
      <c r="E2754" s="22">
        <f>D2754-90</f>
        <v/>
      </c>
      <c r="F2754" s="23" t="n">
        <v>0.01182</v>
      </c>
      <c r="G2754" s="22" t="n">
        <v>34.8</v>
      </c>
      <c r="H2754" s="22" t="n">
        <v>1.9</v>
      </c>
      <c r="I2754" s="24" t="n">
        <v>0.06461483240127559</v>
      </c>
      <c r="J2754" s="6" t="n">
        <v>71000</v>
      </c>
      <c r="K2754" s="25">
        <f>23*10^-6</f>
        <v/>
      </c>
      <c r="L2754" s="8">
        <f>H2754</f>
        <v/>
      </c>
      <c r="M2754" s="26">
        <f>H2754^2/6</f>
        <v/>
      </c>
      <c r="N2754" s="26">
        <f>H2754^3/12</f>
        <v/>
      </c>
      <c r="O2754" s="27">
        <f>-J2754*L2754*K2754*C2754</f>
        <v/>
      </c>
      <c r="P2754" s="28">
        <f>-(12*F2754*J2754*L2754*N2754+12*O2754*N2754*G2754*COS(RADIANS(E2754)))/(12*N2754*G2754*COS(RADIANS(E2754))^2+L2754*G2754^3*SIN(RADIANS(E2754))^2)</f>
        <v/>
      </c>
      <c r="Q2754" s="28">
        <f>-(6*F2754*J2754*L2754*N2754*SIN(RADIANS(E2754))+6*O2754*N2754*G2754*SIN(RADIANS(E2754))*COS(RADIANS(E2754)))/(12*N2754*COS(RADIANS(E2754))^2+L2754*G2754^2*SIN(RADIANS(E2754))^2)</f>
        <v/>
      </c>
      <c r="R2754" s="28">
        <f>-P2754*SIN(RADIANS(E2754))</f>
        <v/>
      </c>
      <c r="S2754" s="8">
        <f>(O2754+P2754*COS(RADIANS(E2754)))/L2754</f>
        <v/>
      </c>
      <c r="T2754" s="8">
        <f>R2754/L2754</f>
        <v/>
      </c>
      <c r="U2754" s="8">
        <f>(Q2754-P2754*G2754*SIN(RADIANS(E2754)))/M2754</f>
        <v/>
      </c>
      <c r="V2754" s="8">
        <f>SQRT((S2754+U2754)^2+3*T2754^2)</f>
        <v/>
      </c>
      <c r="W2754" s="8">
        <f>V2754/AA2754</f>
        <v/>
      </c>
      <c r="X2754" s="27">
        <f>((3*10+H2754/COS(RADIANS(E2754)))*(3+3)+3*G2754*H2754)*2</f>
        <v/>
      </c>
      <c r="Y2754" s="28">
        <f>Z2754/X2754</f>
        <v/>
      </c>
      <c r="Z2754" s="29" t="n">
        <v>786.419144301785</v>
      </c>
      <c r="AA2754" s="20" t="n">
        <v>43.7678951031547</v>
      </c>
      <c r="AB2754" t="n">
        <v>0.08759799575834538</v>
      </c>
      <c r="AC2754" t="n">
        <v>42.11386522935179</v>
      </c>
      <c r="AD2754" t="n">
        <v>35.56948536883625</v>
      </c>
    </row>
    <row r="2755">
      <c r="A2755" t="n">
        <v>2754</v>
      </c>
      <c r="B2755" t="n">
        <v>53.6</v>
      </c>
      <c r="C2755" s="21">
        <f>B2755-20</f>
        <v/>
      </c>
      <c r="D2755" t="n">
        <v>128</v>
      </c>
      <c r="E2755" s="22">
        <f>D2755-90</f>
        <v/>
      </c>
      <c r="F2755" s="23" t="n">
        <v>0.010357</v>
      </c>
      <c r="G2755" s="22" t="n">
        <v>26.7</v>
      </c>
      <c r="H2755" s="22" t="n">
        <v>2</v>
      </c>
      <c r="I2755" s="24" t="n">
        <v>0.0456780977547168</v>
      </c>
      <c r="J2755" s="6" t="n">
        <v>71000</v>
      </c>
      <c r="K2755" s="25">
        <f>23*10^-6</f>
        <v/>
      </c>
      <c r="L2755" s="8">
        <f>H2755</f>
        <v/>
      </c>
      <c r="M2755" s="26">
        <f>H2755^2/6</f>
        <v/>
      </c>
      <c r="N2755" s="26">
        <f>H2755^3/12</f>
        <v/>
      </c>
      <c r="O2755" s="27">
        <f>-J2755*L2755*K2755*C2755</f>
        <v/>
      </c>
      <c r="P2755" s="28">
        <f>-(12*F2755*J2755*L2755*N2755+12*O2755*N2755*G2755*COS(RADIANS(E2755)))/(12*N2755*G2755*COS(RADIANS(E2755))^2+L2755*G2755^3*SIN(RADIANS(E2755))^2)</f>
        <v/>
      </c>
      <c r="Q2755" s="28">
        <f>-(6*F2755*J2755*L2755*N2755*SIN(RADIANS(E2755))+6*O2755*N2755*G2755*SIN(RADIANS(E2755))*COS(RADIANS(E2755)))/(12*N2755*COS(RADIANS(E2755))^2+L2755*G2755^2*SIN(RADIANS(E2755))^2)</f>
        <v/>
      </c>
      <c r="R2755" s="28">
        <f>-P2755*SIN(RADIANS(E2755))</f>
        <v/>
      </c>
      <c r="S2755" s="8">
        <f>(O2755+P2755*COS(RADIANS(E2755)))/L2755</f>
        <v/>
      </c>
      <c r="T2755" s="8">
        <f>R2755/L2755</f>
        <v/>
      </c>
      <c r="U2755" s="8">
        <f>(Q2755-P2755*G2755*SIN(RADIANS(E2755)))/M2755</f>
        <v/>
      </c>
      <c r="V2755" s="8">
        <f>SQRT((S2755+U2755)^2+3*T2755^2)</f>
        <v/>
      </c>
      <c r="W2755" s="8">
        <f>V2755/AA2755</f>
        <v/>
      </c>
      <c r="X2755" s="27">
        <f>((3*10+H2755/COS(RADIANS(E2755)))*(3+3)+3*G2755*H2755)*2</f>
        <v/>
      </c>
      <c r="Y2755" s="28">
        <f>Z2755/X2755</f>
        <v/>
      </c>
      <c r="Z2755" s="29" t="n">
        <v>720.746503709125</v>
      </c>
      <c r="AA2755" s="20" t="n">
        <v>54.2385656279745</v>
      </c>
      <c r="AB2755" t="n">
        <v>0.04627187376339766</v>
      </c>
      <c r="AC2755" t="n">
        <v>49.64900114342556</v>
      </c>
      <c r="AD2755" t="n">
        <v>1.299914046047473</v>
      </c>
    </row>
    <row r="2756">
      <c r="A2756" t="n">
        <v>2755</v>
      </c>
      <c r="B2756" t="n">
        <v>54.2</v>
      </c>
      <c r="C2756" s="21">
        <f>B2756-20</f>
        <v/>
      </c>
      <c r="D2756" t="n">
        <v>102.4</v>
      </c>
      <c r="E2756" s="22">
        <f>D2756-90</f>
        <v/>
      </c>
      <c r="F2756" s="23" t="n">
        <v>0.01045</v>
      </c>
      <c r="G2756" s="22" t="n">
        <v>21.3</v>
      </c>
      <c r="H2756" s="22" t="n">
        <v>1.8</v>
      </c>
      <c r="I2756" s="24" t="n">
        <v>0.0824081152677536</v>
      </c>
      <c r="J2756" s="6" t="n">
        <v>71000</v>
      </c>
      <c r="K2756" s="25">
        <f>23*10^-6</f>
        <v/>
      </c>
      <c r="L2756" s="8">
        <f>H2756</f>
        <v/>
      </c>
      <c r="M2756" s="26">
        <f>H2756^2/6</f>
        <v/>
      </c>
      <c r="N2756" s="26">
        <f>H2756^3/12</f>
        <v/>
      </c>
      <c r="O2756" s="27">
        <f>-J2756*L2756*K2756*C2756</f>
        <v/>
      </c>
      <c r="P2756" s="28">
        <f>-(12*F2756*J2756*L2756*N2756+12*O2756*N2756*G2756*COS(RADIANS(E2756)))/(12*N2756*G2756*COS(RADIANS(E2756))^2+L2756*G2756^3*SIN(RADIANS(E2756))^2)</f>
        <v/>
      </c>
      <c r="Q2756" s="28">
        <f>-(6*F2756*J2756*L2756*N2756*SIN(RADIANS(E2756))+6*O2756*N2756*G2756*SIN(RADIANS(E2756))*COS(RADIANS(E2756)))/(12*N2756*COS(RADIANS(E2756))^2+L2756*G2756^2*SIN(RADIANS(E2756))^2)</f>
        <v/>
      </c>
      <c r="R2756" s="28">
        <f>-P2756*SIN(RADIANS(E2756))</f>
        <v/>
      </c>
      <c r="S2756" s="8">
        <f>(O2756+P2756*COS(RADIANS(E2756)))/L2756</f>
        <v/>
      </c>
      <c r="T2756" s="8">
        <f>R2756/L2756</f>
        <v/>
      </c>
      <c r="U2756" s="8">
        <f>(Q2756-P2756*G2756*SIN(RADIANS(E2756)))/M2756</f>
        <v/>
      </c>
      <c r="V2756" s="8">
        <f>SQRT((S2756+U2756)^2+3*T2756^2)</f>
        <v/>
      </c>
      <c r="W2756" s="8">
        <f>V2756/AA2756</f>
        <v/>
      </c>
      <c r="X2756" s="27">
        <f>((3*10+H2756/COS(RADIANS(E2756)))*(3+3)+3*G2756*H2756)*2</f>
        <v/>
      </c>
      <c r="Y2756" s="28">
        <f>Z2756/X2756</f>
        <v/>
      </c>
      <c r="Z2756" s="29" t="n">
        <v>616.162780917387</v>
      </c>
      <c r="AA2756" s="20" t="n">
        <v>74.11351451441941</v>
      </c>
      <c r="AB2756" t="n">
        <v>0.1090970334694746</v>
      </c>
      <c r="AC2756" t="n">
        <v>60.48126094991348</v>
      </c>
      <c r="AD2756" t="n">
        <v>32.38627423404311</v>
      </c>
    </row>
    <row r="2757">
      <c r="A2757" t="n">
        <v>2756</v>
      </c>
      <c r="B2757" t="n">
        <v>68.5</v>
      </c>
      <c r="C2757" s="21">
        <f>B2757-20</f>
        <v/>
      </c>
      <c r="D2757" t="n">
        <v>108.5</v>
      </c>
      <c r="E2757" s="22">
        <f>D2757-90</f>
        <v/>
      </c>
      <c r="F2757" s="23" t="n">
        <v>0.018366</v>
      </c>
      <c r="G2757" s="22" t="n">
        <v>28.7</v>
      </c>
      <c r="H2757" s="22" t="n">
        <v>1.7</v>
      </c>
      <c r="I2757" s="24" t="n">
        <v>0.112632878124713</v>
      </c>
      <c r="J2757" s="6" t="n">
        <v>71000</v>
      </c>
      <c r="K2757" s="25">
        <f>23*10^-6</f>
        <v/>
      </c>
      <c r="L2757" s="8">
        <f>H2757</f>
        <v/>
      </c>
      <c r="M2757" s="26">
        <f>H2757^2/6</f>
        <v/>
      </c>
      <c r="N2757" s="26">
        <f>H2757^3/12</f>
        <v/>
      </c>
      <c r="O2757" s="27">
        <f>-J2757*L2757*K2757*C2757</f>
        <v/>
      </c>
      <c r="P2757" s="28">
        <f>-(12*F2757*J2757*L2757*N2757+12*O2757*N2757*G2757*COS(RADIANS(E2757)))/(12*N2757*G2757*COS(RADIANS(E2757))^2+L2757*G2757^3*SIN(RADIANS(E2757))^2)</f>
        <v/>
      </c>
      <c r="Q2757" s="28">
        <f>-(6*F2757*J2757*L2757*N2757*SIN(RADIANS(E2757))+6*O2757*N2757*G2757*SIN(RADIANS(E2757))*COS(RADIANS(E2757)))/(12*N2757*COS(RADIANS(E2757))^2+L2757*G2757^2*SIN(RADIANS(E2757))^2)</f>
        <v/>
      </c>
      <c r="R2757" s="28">
        <f>-P2757*SIN(RADIANS(E2757))</f>
        <v/>
      </c>
      <c r="S2757" s="8">
        <f>(O2757+P2757*COS(RADIANS(E2757)))/L2757</f>
        <v/>
      </c>
      <c r="T2757" s="8">
        <f>R2757/L2757</f>
        <v/>
      </c>
      <c r="U2757" s="8">
        <f>(Q2757-P2757*G2757*SIN(RADIANS(E2757)))/M2757</f>
        <v/>
      </c>
      <c r="V2757" s="8">
        <f>SQRT((S2757+U2757)^2+3*T2757^2)</f>
        <v/>
      </c>
      <c r="W2757" s="8">
        <f>V2757/AA2757</f>
        <v/>
      </c>
      <c r="X2757" s="27">
        <f>((3*10+H2757/COS(RADIANS(E2757)))*(3+3)+3*G2757*H2757)*2</f>
        <v/>
      </c>
      <c r="Y2757" s="28">
        <f>Z2757/X2757</f>
        <v/>
      </c>
      <c r="Z2757" s="29" t="n">
        <v>678.993087865084</v>
      </c>
      <c r="AA2757" s="20" t="n">
        <v>78.7343365036303</v>
      </c>
      <c r="AB2757" t="n">
        <v>0.150864664585533</v>
      </c>
      <c r="AC2757" t="n">
        <v>77.61347667158854</v>
      </c>
      <c r="AD2757" t="n">
        <v>33.94371794218713</v>
      </c>
    </row>
    <row r="2758">
      <c r="A2758" t="n">
        <v>2757</v>
      </c>
      <c r="B2758" t="n">
        <v>40.1</v>
      </c>
      <c r="C2758" s="21">
        <f>B2758-20</f>
        <v/>
      </c>
      <c r="D2758" t="n">
        <v>120.8</v>
      </c>
      <c r="E2758" s="22">
        <f>D2758-90</f>
        <v/>
      </c>
      <c r="F2758" s="23" t="n">
        <v>0.007319</v>
      </c>
      <c r="G2758" s="22" t="n">
        <v>30.2</v>
      </c>
      <c r="H2758" s="22" t="n">
        <v>1.1</v>
      </c>
      <c r="I2758" s="24" t="n">
        <v>0.0336638949811458</v>
      </c>
      <c r="J2758" s="6" t="n">
        <v>71000</v>
      </c>
      <c r="K2758" s="25">
        <f>23*10^-6</f>
        <v/>
      </c>
      <c r="L2758" s="8">
        <f>H2758</f>
        <v/>
      </c>
      <c r="M2758" s="26">
        <f>H2758^2/6</f>
        <v/>
      </c>
      <c r="N2758" s="26">
        <f>H2758^3/12</f>
        <v/>
      </c>
      <c r="O2758" s="27">
        <f>-J2758*L2758*K2758*C2758</f>
        <v/>
      </c>
      <c r="P2758" s="28">
        <f>-(12*F2758*J2758*L2758*N2758+12*O2758*N2758*G2758*COS(RADIANS(E2758)))/(12*N2758*G2758*COS(RADIANS(E2758))^2+L2758*G2758^3*SIN(RADIANS(E2758))^2)</f>
        <v/>
      </c>
      <c r="Q2758" s="28">
        <f>-(6*F2758*J2758*L2758*N2758*SIN(RADIANS(E2758))+6*O2758*N2758*G2758*SIN(RADIANS(E2758))*COS(RADIANS(E2758)))/(12*N2758*COS(RADIANS(E2758))^2+L2758*G2758^2*SIN(RADIANS(E2758))^2)</f>
        <v/>
      </c>
      <c r="R2758" s="28">
        <f>-P2758*SIN(RADIANS(E2758))</f>
        <v/>
      </c>
      <c r="S2758" s="8">
        <f>(O2758+P2758*COS(RADIANS(E2758)))/L2758</f>
        <v/>
      </c>
      <c r="T2758" s="8">
        <f>R2758/L2758</f>
        <v/>
      </c>
      <c r="U2758" s="8">
        <f>(Q2758-P2758*G2758*SIN(RADIANS(E2758)))/M2758</f>
        <v/>
      </c>
      <c r="V2758" s="8">
        <f>SQRT((S2758+U2758)^2+3*T2758^2)</f>
        <v/>
      </c>
      <c r="W2758" s="8">
        <f>V2758/AA2758</f>
        <v/>
      </c>
      <c r="X2758" s="27">
        <f>((3*10+H2758/COS(RADIANS(E2758)))*(3+3)+3*G2758*H2758)*2</f>
        <v/>
      </c>
      <c r="Y2758" s="28">
        <f>Z2758/X2758</f>
        <v/>
      </c>
      <c r="Z2758" s="29" t="n">
        <v>582.061821226642</v>
      </c>
      <c r="AA2758" s="20" t="n">
        <v>27.368593629635</v>
      </c>
      <c r="AB2758" t="n">
        <v>0.03938039533074486</v>
      </c>
      <c r="AC2758" t="n">
        <v>28.8789524751858</v>
      </c>
      <c r="AD2758" t="n">
        <v>16.98110201686616</v>
      </c>
    </row>
    <row r="2759">
      <c r="A2759" t="n">
        <v>2758</v>
      </c>
      <c r="B2759" t="n">
        <v>50.2</v>
      </c>
      <c r="C2759" s="21">
        <f>B2759-20</f>
        <v/>
      </c>
      <c r="D2759" t="n">
        <v>121.2</v>
      </c>
      <c r="E2759" s="22">
        <f>D2759-90</f>
        <v/>
      </c>
      <c r="F2759" s="23" t="n">
        <v>0.009428000000000001</v>
      </c>
      <c r="G2759" s="22" t="n">
        <v>25</v>
      </c>
      <c r="H2759" s="22" t="n">
        <v>1.1</v>
      </c>
      <c r="I2759" s="24" t="n">
        <v>0.0443944633007049</v>
      </c>
      <c r="J2759" s="6" t="n">
        <v>71000</v>
      </c>
      <c r="K2759" s="25">
        <f>23*10^-6</f>
        <v/>
      </c>
      <c r="L2759" s="8">
        <f>H2759</f>
        <v/>
      </c>
      <c r="M2759" s="26">
        <f>H2759^2/6</f>
        <v/>
      </c>
      <c r="N2759" s="26">
        <f>H2759^3/12</f>
        <v/>
      </c>
      <c r="O2759" s="27">
        <f>-J2759*L2759*K2759*C2759</f>
        <v/>
      </c>
      <c r="P2759" s="28">
        <f>-(12*F2759*J2759*L2759*N2759+12*O2759*N2759*G2759*COS(RADIANS(E2759)))/(12*N2759*G2759*COS(RADIANS(E2759))^2+L2759*G2759^3*SIN(RADIANS(E2759))^2)</f>
        <v/>
      </c>
      <c r="Q2759" s="28">
        <f>-(6*F2759*J2759*L2759*N2759*SIN(RADIANS(E2759))+6*O2759*N2759*G2759*SIN(RADIANS(E2759))*COS(RADIANS(E2759)))/(12*N2759*COS(RADIANS(E2759))^2+L2759*G2759^2*SIN(RADIANS(E2759))^2)</f>
        <v/>
      </c>
      <c r="R2759" s="28">
        <f>-P2759*SIN(RADIANS(E2759))</f>
        <v/>
      </c>
      <c r="S2759" s="8">
        <f>(O2759+P2759*COS(RADIANS(E2759)))/L2759</f>
        <v/>
      </c>
      <c r="T2759" s="8">
        <f>R2759/L2759</f>
        <v/>
      </c>
      <c r="U2759" s="8">
        <f>(Q2759-P2759*G2759*SIN(RADIANS(E2759)))/M2759</f>
        <v/>
      </c>
      <c r="V2759" s="8">
        <f>SQRT((S2759+U2759)^2+3*T2759^2)</f>
        <v/>
      </c>
      <c r="W2759" s="8">
        <f>V2759/AA2759</f>
        <v/>
      </c>
      <c r="X2759" s="27">
        <f>((3*10+H2759/COS(RADIANS(E2759)))*(3+3)+3*G2759*H2759)*2</f>
        <v/>
      </c>
      <c r="Y2759" s="28">
        <f>Z2759/X2759</f>
        <v/>
      </c>
      <c r="Z2759" s="29" t="n">
        <v>547.9238729375739</v>
      </c>
      <c r="AA2759" s="20" t="n">
        <v>41.9203817102534</v>
      </c>
      <c r="AB2759" t="n">
        <v>0.04880083795746655</v>
      </c>
      <c r="AC2759" t="n">
        <v>43.69693015792511</v>
      </c>
      <c r="AD2759" t="n">
        <v>9.92550495974052</v>
      </c>
    </row>
    <row r="2760">
      <c r="A2760" t="n">
        <v>2759</v>
      </c>
      <c r="B2760" t="n">
        <v>83</v>
      </c>
      <c r="C2760" s="21">
        <f>B2760-20</f>
        <v/>
      </c>
      <c r="D2760" t="n">
        <v>109.9</v>
      </c>
      <c r="E2760" s="22">
        <f>D2760-90</f>
        <v/>
      </c>
      <c r="F2760" s="23" t="n">
        <v>0.020179</v>
      </c>
      <c r="G2760" s="22" t="n">
        <v>23.5</v>
      </c>
      <c r="H2760" s="22" t="n">
        <v>1.7</v>
      </c>
      <c r="I2760" s="24" t="n">
        <v>0.120555959641933</v>
      </c>
      <c r="J2760" s="6" t="n">
        <v>71000</v>
      </c>
      <c r="K2760" s="25">
        <f>23*10^-6</f>
        <v/>
      </c>
      <c r="L2760" s="8">
        <f>H2760</f>
        <v/>
      </c>
      <c r="M2760" s="26">
        <f>H2760^2/6</f>
        <v/>
      </c>
      <c r="N2760" s="26">
        <f>H2760^3/12</f>
        <v/>
      </c>
      <c r="O2760" s="27">
        <f>-J2760*L2760*K2760*C2760</f>
        <v/>
      </c>
      <c r="P2760" s="28">
        <f>-(12*F2760*J2760*L2760*N2760+12*O2760*N2760*G2760*COS(RADIANS(E2760)))/(12*N2760*G2760*COS(RADIANS(E2760))^2+L2760*G2760^3*SIN(RADIANS(E2760))^2)</f>
        <v/>
      </c>
      <c r="Q2760" s="28">
        <f>-(6*F2760*J2760*L2760*N2760*SIN(RADIANS(E2760))+6*O2760*N2760*G2760*SIN(RADIANS(E2760))*COS(RADIANS(E2760)))/(12*N2760*COS(RADIANS(E2760))^2+L2760*G2760^2*SIN(RADIANS(E2760))^2)</f>
        <v/>
      </c>
      <c r="R2760" s="28">
        <f>-P2760*SIN(RADIANS(E2760))</f>
        <v/>
      </c>
      <c r="S2760" s="8">
        <f>(O2760+P2760*COS(RADIANS(E2760)))/L2760</f>
        <v/>
      </c>
      <c r="T2760" s="8">
        <f>R2760/L2760</f>
        <v/>
      </c>
      <c r="U2760" s="8">
        <f>(Q2760-P2760*G2760*SIN(RADIANS(E2760)))/M2760</f>
        <v/>
      </c>
      <c r="V2760" s="8">
        <f>SQRT((S2760+U2760)^2+3*T2760^2)</f>
        <v/>
      </c>
      <c r="W2760" s="8">
        <f>V2760/AA2760</f>
        <v/>
      </c>
      <c r="X2760" s="27">
        <f>((3*10+H2760/COS(RADIANS(E2760)))*(3+3)+3*G2760*H2760)*2</f>
        <v/>
      </c>
      <c r="Y2760" s="28">
        <f>Z2760/X2760</f>
        <v/>
      </c>
      <c r="Z2760" s="29" t="n">
        <v>626.35319828647</v>
      </c>
      <c r="AA2760" s="20" t="n">
        <v>104.094441878226</v>
      </c>
      <c r="AB2760" t="n">
        <v>0.1495210574912248</v>
      </c>
      <c r="AC2760" t="n">
        <v>101.4551814616395</v>
      </c>
      <c r="AD2760" t="n">
        <v>24.0262679135249</v>
      </c>
    </row>
    <row r="2761">
      <c r="A2761" t="n">
        <v>2760</v>
      </c>
      <c r="B2761" t="n">
        <v>56.5</v>
      </c>
      <c r="C2761" s="21">
        <f>B2761-20</f>
        <v/>
      </c>
      <c r="D2761" t="n">
        <v>109.6</v>
      </c>
      <c r="E2761" s="22">
        <f>D2761-90</f>
        <v/>
      </c>
      <c r="F2761" s="23" t="n">
        <v>0.01312</v>
      </c>
      <c r="G2761" s="22" t="n">
        <v>27.1</v>
      </c>
      <c r="H2761" s="22" t="n">
        <v>1.7</v>
      </c>
      <c r="I2761" s="24" t="n">
        <v>0.07798031717538829</v>
      </c>
      <c r="J2761" s="6" t="n">
        <v>71000</v>
      </c>
      <c r="K2761" s="25">
        <f>23*10^-6</f>
        <v/>
      </c>
      <c r="L2761" s="8">
        <f>H2761</f>
        <v/>
      </c>
      <c r="M2761" s="26">
        <f>H2761^2/6</f>
        <v/>
      </c>
      <c r="N2761" s="26">
        <f>H2761^3/12</f>
        <v/>
      </c>
      <c r="O2761" s="27">
        <f>-J2761*L2761*K2761*C2761</f>
        <v/>
      </c>
      <c r="P2761" s="28">
        <f>-(12*F2761*J2761*L2761*N2761+12*O2761*N2761*G2761*COS(RADIANS(E2761)))/(12*N2761*G2761*COS(RADIANS(E2761))^2+L2761*G2761^3*SIN(RADIANS(E2761))^2)</f>
        <v/>
      </c>
      <c r="Q2761" s="28">
        <f>-(6*F2761*J2761*L2761*N2761*SIN(RADIANS(E2761))+6*O2761*N2761*G2761*SIN(RADIANS(E2761))*COS(RADIANS(E2761)))/(12*N2761*COS(RADIANS(E2761))^2+L2761*G2761^2*SIN(RADIANS(E2761))^2)</f>
        <v/>
      </c>
      <c r="R2761" s="28">
        <f>-P2761*SIN(RADIANS(E2761))</f>
        <v/>
      </c>
      <c r="S2761" s="8">
        <f>(O2761+P2761*COS(RADIANS(E2761)))/L2761</f>
        <v/>
      </c>
      <c r="T2761" s="8">
        <f>R2761/L2761</f>
        <v/>
      </c>
      <c r="U2761" s="8">
        <f>(Q2761-P2761*G2761*SIN(RADIANS(E2761)))/M2761</f>
        <v/>
      </c>
      <c r="V2761" s="8">
        <f>SQRT((S2761+U2761)^2+3*T2761^2)</f>
        <v/>
      </c>
      <c r="W2761" s="8">
        <f>V2761/AA2761</f>
        <v/>
      </c>
      <c r="X2761" s="27">
        <f>((3*10+H2761/COS(RADIANS(E2761)))*(3+3)+3*G2761*H2761)*2</f>
        <v/>
      </c>
      <c r="Y2761" s="28">
        <f>Z2761/X2761</f>
        <v/>
      </c>
      <c r="Z2761" s="29" t="n">
        <v>662.9845128244719</v>
      </c>
      <c r="AA2761" s="20" t="n">
        <v>59.4295507210255</v>
      </c>
      <c r="AB2761" t="n">
        <v>0.1013731758741988</v>
      </c>
      <c r="AC2761" t="n">
        <v>58.19932432828538</v>
      </c>
      <c r="AD2761" t="n">
        <v>29.99841440269697</v>
      </c>
    </row>
    <row r="2762">
      <c r="A2762" t="n">
        <v>2761</v>
      </c>
      <c r="B2762" t="n">
        <v>43</v>
      </c>
      <c r="C2762" s="21">
        <f>B2762-20</f>
        <v/>
      </c>
      <c r="D2762" t="n">
        <v>126.9</v>
      </c>
      <c r="E2762" s="22">
        <f>D2762-90</f>
        <v/>
      </c>
      <c r="F2762" s="23" t="n">
        <v>0.006605</v>
      </c>
      <c r="G2762" s="22" t="n">
        <v>24</v>
      </c>
      <c r="H2762" s="22" t="n">
        <v>1.9</v>
      </c>
      <c r="I2762" s="24" t="n">
        <v>0.0297642964869737</v>
      </c>
      <c r="J2762" s="6" t="n">
        <v>71000</v>
      </c>
      <c r="K2762" s="25">
        <f>23*10^-6</f>
        <v/>
      </c>
      <c r="L2762" s="8">
        <f>H2762</f>
        <v/>
      </c>
      <c r="M2762" s="26">
        <f>H2762^2/6</f>
        <v/>
      </c>
      <c r="N2762" s="26">
        <f>H2762^3/12</f>
        <v/>
      </c>
      <c r="O2762" s="27">
        <f>-J2762*L2762*K2762*C2762</f>
        <v/>
      </c>
      <c r="P2762" s="28">
        <f>-(12*F2762*J2762*L2762*N2762+12*O2762*N2762*G2762*COS(RADIANS(E2762)))/(12*N2762*G2762*COS(RADIANS(E2762))^2+L2762*G2762^3*SIN(RADIANS(E2762))^2)</f>
        <v/>
      </c>
      <c r="Q2762" s="28">
        <f>-(6*F2762*J2762*L2762*N2762*SIN(RADIANS(E2762))+6*O2762*N2762*G2762*SIN(RADIANS(E2762))*COS(RADIANS(E2762)))/(12*N2762*COS(RADIANS(E2762))^2+L2762*G2762^2*SIN(RADIANS(E2762))^2)</f>
        <v/>
      </c>
      <c r="R2762" s="28">
        <f>-P2762*SIN(RADIANS(E2762))</f>
        <v/>
      </c>
      <c r="S2762" s="8">
        <f>(O2762+P2762*COS(RADIANS(E2762)))/L2762</f>
        <v/>
      </c>
      <c r="T2762" s="8">
        <f>R2762/L2762</f>
        <v/>
      </c>
      <c r="U2762" s="8">
        <f>(Q2762-P2762*G2762*SIN(RADIANS(E2762)))/M2762</f>
        <v/>
      </c>
      <c r="V2762" s="8">
        <f>SQRT((S2762+U2762)^2+3*T2762^2)</f>
        <v/>
      </c>
      <c r="W2762" s="8">
        <f>V2762/AA2762</f>
        <v/>
      </c>
      <c r="X2762" s="27">
        <f>((3*10+H2762/COS(RADIANS(E2762)))*(3+3)+3*G2762*H2762)*2</f>
        <v/>
      </c>
      <c r="Y2762" s="28">
        <f>Z2762/X2762</f>
        <v/>
      </c>
      <c r="Z2762" s="29" t="n">
        <v>671.556697826818</v>
      </c>
      <c r="AA2762" s="20" t="n">
        <v>37.1480694143722</v>
      </c>
      <c r="AB2762" t="n">
        <v>0.02955906699610845</v>
      </c>
      <c r="AC2762" t="n">
        <v>34.15009372326146</v>
      </c>
      <c r="AD2762" t="n">
        <v>-0.6895156784742782</v>
      </c>
    </row>
    <row r="2763">
      <c r="A2763" t="n">
        <v>2762</v>
      </c>
      <c r="B2763" t="n">
        <v>78.8</v>
      </c>
      <c r="C2763" s="21">
        <f>B2763-20</f>
        <v/>
      </c>
      <c r="D2763" t="n">
        <v>126.6</v>
      </c>
      <c r="E2763" s="22">
        <f>D2763-90</f>
        <v/>
      </c>
      <c r="F2763" s="23" t="n">
        <v>0.020274</v>
      </c>
      <c r="G2763" s="22" t="n">
        <v>30.2</v>
      </c>
      <c r="H2763" s="22" t="n">
        <v>1.7</v>
      </c>
      <c r="I2763" s="24" t="n">
        <v>0.0884241387248039</v>
      </c>
      <c r="J2763" s="6" t="n">
        <v>71000</v>
      </c>
      <c r="K2763" s="25">
        <f>23*10^-6</f>
        <v/>
      </c>
      <c r="L2763" s="8">
        <f>H2763</f>
        <v/>
      </c>
      <c r="M2763" s="26">
        <f>H2763^2/6</f>
        <v/>
      </c>
      <c r="N2763" s="26">
        <f>H2763^3/12</f>
        <v/>
      </c>
      <c r="O2763" s="27">
        <f>-J2763*L2763*K2763*C2763</f>
        <v/>
      </c>
      <c r="P2763" s="28">
        <f>-(12*F2763*J2763*L2763*N2763+12*O2763*N2763*G2763*COS(RADIANS(E2763)))/(12*N2763*G2763*COS(RADIANS(E2763))^2+L2763*G2763^3*SIN(RADIANS(E2763))^2)</f>
        <v/>
      </c>
      <c r="Q2763" s="28">
        <f>-(6*F2763*J2763*L2763*N2763*SIN(RADIANS(E2763))+6*O2763*N2763*G2763*SIN(RADIANS(E2763))*COS(RADIANS(E2763)))/(12*N2763*COS(RADIANS(E2763))^2+L2763*G2763^2*SIN(RADIANS(E2763))^2)</f>
        <v/>
      </c>
      <c r="R2763" s="28">
        <f>-P2763*SIN(RADIANS(E2763))</f>
        <v/>
      </c>
      <c r="S2763" s="8">
        <f>(O2763+P2763*COS(RADIANS(E2763)))/L2763</f>
        <v/>
      </c>
      <c r="T2763" s="8">
        <f>R2763/L2763</f>
        <v/>
      </c>
      <c r="U2763" s="8">
        <f>(Q2763-P2763*G2763*SIN(RADIANS(E2763)))/M2763</f>
        <v/>
      </c>
      <c r="V2763" s="8">
        <f>SQRT((S2763+U2763)^2+3*T2763^2)</f>
        <v/>
      </c>
      <c r="W2763" s="8">
        <f>V2763/AA2763</f>
        <v/>
      </c>
      <c r="X2763" s="27">
        <f>((3*10+H2763/COS(RADIANS(E2763)))*(3+3)+3*G2763*H2763)*2</f>
        <v/>
      </c>
      <c r="Y2763" s="28">
        <f>Z2763/X2763</f>
        <v/>
      </c>
      <c r="Z2763" s="29" t="n">
        <v>702.778853016242</v>
      </c>
      <c r="AA2763" s="20" t="n">
        <v>88.6404658675448</v>
      </c>
      <c r="AB2763" t="n">
        <v>0.0951673689669426</v>
      </c>
      <c r="AC2763" t="n">
        <v>85.61885226457152</v>
      </c>
      <c r="AD2763" t="n">
        <v>7.626006132923921</v>
      </c>
    </row>
    <row r="2764">
      <c r="A2764" t="n">
        <v>2763</v>
      </c>
      <c r="B2764" t="n">
        <v>46.8</v>
      </c>
      <c r="C2764" s="21">
        <f>B2764-20</f>
        <v/>
      </c>
      <c r="D2764" t="n">
        <v>100.7</v>
      </c>
      <c r="E2764" s="22">
        <f>D2764-90</f>
        <v/>
      </c>
      <c r="F2764" s="23" t="n">
        <v>0.010449</v>
      </c>
      <c r="G2764" s="22" t="n">
        <v>28.7</v>
      </c>
      <c r="H2764" s="22" t="n">
        <v>1.6</v>
      </c>
      <c r="I2764" s="24" t="n">
        <v>0.093796357512474</v>
      </c>
      <c r="J2764" s="6" t="n">
        <v>71000</v>
      </c>
      <c r="K2764" s="25">
        <f>23*10^-6</f>
        <v/>
      </c>
      <c r="L2764" s="8">
        <f>H2764</f>
        <v/>
      </c>
      <c r="M2764" s="26">
        <f>H2764^2/6</f>
        <v/>
      </c>
      <c r="N2764" s="26">
        <f>H2764^3/12</f>
        <v/>
      </c>
      <c r="O2764" s="27">
        <f>-J2764*L2764*K2764*C2764</f>
        <v/>
      </c>
      <c r="P2764" s="28">
        <f>-(12*F2764*J2764*L2764*N2764+12*O2764*N2764*G2764*COS(RADIANS(E2764)))/(12*N2764*G2764*COS(RADIANS(E2764))^2+L2764*G2764^3*SIN(RADIANS(E2764))^2)</f>
        <v/>
      </c>
      <c r="Q2764" s="28">
        <f>-(6*F2764*J2764*L2764*N2764*SIN(RADIANS(E2764))+6*O2764*N2764*G2764*SIN(RADIANS(E2764))*COS(RADIANS(E2764)))/(12*N2764*COS(RADIANS(E2764))^2+L2764*G2764^2*SIN(RADIANS(E2764))^2)</f>
        <v/>
      </c>
      <c r="R2764" s="28">
        <f>-P2764*SIN(RADIANS(E2764))</f>
        <v/>
      </c>
      <c r="S2764" s="8">
        <f>(O2764+P2764*COS(RADIANS(E2764)))/L2764</f>
        <v/>
      </c>
      <c r="T2764" s="8">
        <f>R2764/L2764</f>
        <v/>
      </c>
      <c r="U2764" s="8">
        <f>(Q2764-P2764*G2764*SIN(RADIANS(E2764)))/M2764</f>
        <v/>
      </c>
      <c r="V2764" s="8">
        <f>SQRT((S2764+U2764)^2+3*T2764^2)</f>
        <v/>
      </c>
      <c r="W2764" s="8">
        <f>V2764/AA2764</f>
        <v/>
      </c>
      <c r="X2764" s="27">
        <f>((3*10+H2764/COS(RADIANS(E2764)))*(3+3)+3*G2764*H2764)*2</f>
        <v/>
      </c>
      <c r="Y2764" s="28">
        <f>Z2764/X2764</f>
        <v/>
      </c>
      <c r="Z2764" s="29" t="n">
        <v>658.918047671214</v>
      </c>
      <c r="AA2764" s="20" t="n">
        <v>45.2270923737223</v>
      </c>
      <c r="AB2764" t="n">
        <v>0.1383654753453646</v>
      </c>
      <c r="AC2764" t="n">
        <v>46.53869429051522</v>
      </c>
      <c r="AD2764" t="n">
        <v>47.51689619393096</v>
      </c>
    </row>
    <row r="2765">
      <c r="A2765" t="n">
        <v>2764</v>
      </c>
      <c r="B2765" t="n">
        <v>47.5</v>
      </c>
      <c r="C2765" s="21">
        <f>B2765-20</f>
        <v/>
      </c>
      <c r="D2765" t="n">
        <v>107.3</v>
      </c>
      <c r="E2765" s="22">
        <f>D2765-90</f>
        <v/>
      </c>
      <c r="F2765" s="23" t="n">
        <v>0.007986999999999999</v>
      </c>
      <c r="G2765" s="22" t="n">
        <v>20.4</v>
      </c>
      <c r="H2765" s="22" t="n">
        <v>1.6</v>
      </c>
      <c r="I2765" s="24" t="n">
        <v>0.0526784174144268</v>
      </c>
      <c r="J2765" s="6" t="n">
        <v>71000</v>
      </c>
      <c r="K2765" s="25">
        <f>23*10^-6</f>
        <v/>
      </c>
      <c r="L2765" s="8">
        <f>H2765</f>
        <v/>
      </c>
      <c r="M2765" s="26">
        <f>H2765^2/6</f>
        <v/>
      </c>
      <c r="N2765" s="26">
        <f>H2765^3/12</f>
        <v/>
      </c>
      <c r="O2765" s="27">
        <f>-J2765*L2765*K2765*C2765</f>
        <v/>
      </c>
      <c r="P2765" s="28">
        <f>-(12*F2765*J2765*L2765*N2765+12*O2765*N2765*G2765*COS(RADIANS(E2765)))/(12*N2765*G2765*COS(RADIANS(E2765))^2+L2765*G2765^3*SIN(RADIANS(E2765))^2)</f>
        <v/>
      </c>
      <c r="Q2765" s="28">
        <f>-(6*F2765*J2765*L2765*N2765*SIN(RADIANS(E2765))+6*O2765*N2765*G2765*SIN(RADIANS(E2765))*COS(RADIANS(E2765)))/(12*N2765*COS(RADIANS(E2765))^2+L2765*G2765^2*SIN(RADIANS(E2765))^2)</f>
        <v/>
      </c>
      <c r="R2765" s="28">
        <f>-P2765*SIN(RADIANS(E2765))</f>
        <v/>
      </c>
      <c r="S2765" s="8">
        <f>(O2765+P2765*COS(RADIANS(E2765)))/L2765</f>
        <v/>
      </c>
      <c r="T2765" s="8">
        <f>R2765/L2765</f>
        <v/>
      </c>
      <c r="U2765" s="8">
        <f>(Q2765-P2765*G2765*SIN(RADIANS(E2765)))/M2765</f>
        <v/>
      </c>
      <c r="V2765" s="8">
        <f>SQRT((S2765+U2765)^2+3*T2765^2)</f>
        <v/>
      </c>
      <c r="W2765" s="8">
        <f>V2765/AA2765</f>
        <v/>
      </c>
      <c r="X2765" s="27">
        <f>((3*10+H2765/COS(RADIANS(E2765)))*(3+3)+3*G2765*H2765)*2</f>
        <v/>
      </c>
      <c r="Y2765" s="28">
        <f>Z2765/X2765</f>
        <v/>
      </c>
      <c r="Z2765" s="29" t="n">
        <v>580.520564557777</v>
      </c>
      <c r="AA2765" s="20" t="n">
        <v>46.1848667152021</v>
      </c>
      <c r="AB2765" t="n">
        <v>0.06476849109722868</v>
      </c>
      <c r="AC2765" t="n">
        <v>45.39046278900236</v>
      </c>
      <c r="AD2765" t="n">
        <v>22.95071544706434</v>
      </c>
    </row>
    <row r="2766">
      <c r="A2766" t="n">
        <v>2765</v>
      </c>
      <c r="B2766" t="n">
        <v>82.59999999999999</v>
      </c>
      <c r="C2766" s="21">
        <f>B2766-20</f>
        <v/>
      </c>
      <c r="D2766" t="n">
        <v>108.8</v>
      </c>
      <c r="E2766" s="22">
        <f>D2766-90</f>
        <v/>
      </c>
      <c r="F2766" s="23" t="n">
        <v>0.018334</v>
      </c>
      <c r="G2766" s="22" t="n">
        <v>20.8</v>
      </c>
      <c r="H2766" s="22" t="n">
        <v>1.2</v>
      </c>
      <c r="I2766" s="24" t="n">
        <v>0.116444565355777</v>
      </c>
      <c r="J2766" s="6" t="n">
        <v>71000</v>
      </c>
      <c r="K2766" s="25">
        <f>23*10^-6</f>
        <v/>
      </c>
      <c r="L2766" s="8">
        <f>H2766</f>
        <v/>
      </c>
      <c r="M2766" s="26">
        <f>H2766^2/6</f>
        <v/>
      </c>
      <c r="N2766" s="26">
        <f>H2766^3/12</f>
        <v/>
      </c>
      <c r="O2766" s="27">
        <f>-J2766*L2766*K2766*C2766</f>
        <v/>
      </c>
      <c r="P2766" s="28">
        <f>-(12*F2766*J2766*L2766*N2766+12*O2766*N2766*G2766*COS(RADIANS(E2766)))/(12*N2766*G2766*COS(RADIANS(E2766))^2+L2766*G2766^3*SIN(RADIANS(E2766))^2)</f>
        <v/>
      </c>
      <c r="Q2766" s="28">
        <f>-(6*F2766*J2766*L2766*N2766*SIN(RADIANS(E2766))+6*O2766*N2766*G2766*SIN(RADIANS(E2766))*COS(RADIANS(E2766)))/(12*N2766*COS(RADIANS(E2766))^2+L2766*G2766^2*SIN(RADIANS(E2766))^2)</f>
        <v/>
      </c>
      <c r="R2766" s="28">
        <f>-P2766*SIN(RADIANS(E2766))</f>
        <v/>
      </c>
      <c r="S2766" s="8">
        <f>(O2766+P2766*COS(RADIANS(E2766)))/L2766</f>
        <v/>
      </c>
      <c r="T2766" s="8">
        <f>R2766/L2766</f>
        <v/>
      </c>
      <c r="U2766" s="8">
        <f>(Q2766-P2766*G2766*SIN(RADIANS(E2766)))/M2766</f>
        <v/>
      </c>
      <c r="V2766" s="8">
        <f>SQRT((S2766+U2766)^2+3*T2766^2)</f>
        <v/>
      </c>
      <c r="W2766" s="8">
        <f>V2766/AA2766</f>
        <v/>
      </c>
      <c r="X2766" s="27">
        <f>((3*10+H2766/COS(RADIANS(E2766)))*(3+3)+3*G2766*H2766)*2</f>
        <v/>
      </c>
      <c r="Y2766" s="28">
        <f>Z2766/X2766</f>
        <v/>
      </c>
      <c r="Z2766" s="29" t="n">
        <v>529.757755528101</v>
      </c>
      <c r="AA2766" s="20" t="n">
        <v>94.0952370892626</v>
      </c>
      <c r="AB2766" t="n">
        <v>0.142511521649269</v>
      </c>
      <c r="AC2766" t="n">
        <v>97.93259630866453</v>
      </c>
      <c r="AD2766" t="n">
        <v>22.38572166408</v>
      </c>
    </row>
    <row r="2767">
      <c r="A2767" t="n">
        <v>2766</v>
      </c>
      <c r="B2767" t="n">
        <v>87.2</v>
      </c>
      <c r="C2767" s="21">
        <f>B2767-20</f>
        <v/>
      </c>
      <c r="D2767" t="n">
        <v>106.1</v>
      </c>
      <c r="E2767" s="22">
        <f>D2767-90</f>
        <v/>
      </c>
      <c r="F2767" s="23" t="n">
        <v>0.020936</v>
      </c>
      <c r="G2767" s="22" t="n">
        <v>22.2</v>
      </c>
      <c r="H2767" s="22" t="n">
        <v>1.2</v>
      </c>
      <c r="I2767" s="24" t="n">
        <v>0.146201744675636</v>
      </c>
      <c r="J2767" s="6" t="n">
        <v>71000</v>
      </c>
      <c r="K2767" s="25">
        <f>23*10^-6</f>
        <v/>
      </c>
      <c r="L2767" s="8">
        <f>H2767</f>
        <v/>
      </c>
      <c r="M2767" s="26">
        <f>H2767^2/6</f>
        <v/>
      </c>
      <c r="N2767" s="26">
        <f>H2767^3/12</f>
        <v/>
      </c>
      <c r="O2767" s="27">
        <f>-J2767*L2767*K2767*C2767</f>
        <v/>
      </c>
      <c r="P2767" s="28">
        <f>-(12*F2767*J2767*L2767*N2767+12*O2767*N2767*G2767*COS(RADIANS(E2767)))/(12*N2767*G2767*COS(RADIANS(E2767))^2+L2767*G2767^3*SIN(RADIANS(E2767))^2)</f>
        <v/>
      </c>
      <c r="Q2767" s="28">
        <f>-(6*F2767*J2767*L2767*N2767*SIN(RADIANS(E2767))+6*O2767*N2767*G2767*SIN(RADIANS(E2767))*COS(RADIANS(E2767)))/(12*N2767*COS(RADIANS(E2767))^2+L2767*G2767^2*SIN(RADIANS(E2767))^2)</f>
        <v/>
      </c>
      <c r="R2767" s="28">
        <f>-P2767*SIN(RADIANS(E2767))</f>
        <v/>
      </c>
      <c r="S2767" s="8">
        <f>(O2767+P2767*COS(RADIANS(E2767)))/L2767</f>
        <v/>
      </c>
      <c r="T2767" s="8">
        <f>R2767/L2767</f>
        <v/>
      </c>
      <c r="U2767" s="8">
        <f>(Q2767-P2767*G2767*SIN(RADIANS(E2767)))/M2767</f>
        <v/>
      </c>
      <c r="V2767" s="8">
        <f>SQRT((S2767+U2767)^2+3*T2767^2)</f>
        <v/>
      </c>
      <c r="W2767" s="8">
        <f>V2767/AA2767</f>
        <v/>
      </c>
      <c r="X2767" s="27">
        <f>((3*10+H2767/COS(RADIANS(E2767)))*(3+3)+3*G2767*H2767)*2</f>
        <v/>
      </c>
      <c r="Y2767" s="28">
        <f>Z2767/X2767</f>
        <v/>
      </c>
      <c r="Z2767" s="29" t="n">
        <v>539.241190956717</v>
      </c>
      <c r="AA2767" s="20" t="n">
        <v>101.160421012499</v>
      </c>
      <c r="AB2767" t="n">
        <v>0.1894116520732302</v>
      </c>
      <c r="AC2767" t="n">
        <v>107.0208272631732</v>
      </c>
      <c r="AD2767" t="n">
        <v>29.55498752320636</v>
      </c>
    </row>
    <row r="2768">
      <c r="A2768" t="n">
        <v>2767</v>
      </c>
      <c r="B2768" t="n">
        <v>67.40000000000001</v>
      </c>
      <c r="C2768" s="21">
        <f>B2768-20</f>
        <v/>
      </c>
      <c r="D2768" t="n">
        <v>110.5</v>
      </c>
      <c r="E2768" s="22">
        <f>D2768-90</f>
        <v/>
      </c>
      <c r="F2768" s="23" t="n">
        <v>0.019793</v>
      </c>
      <c r="G2768" s="22" t="n">
        <v>32.7</v>
      </c>
      <c r="H2768" s="22" t="n">
        <v>1.8</v>
      </c>
      <c r="I2768" s="24" t="n">
        <v>0.11199452728033</v>
      </c>
      <c r="J2768" s="6" t="n">
        <v>71000</v>
      </c>
      <c r="K2768" s="25">
        <f>23*10^-6</f>
        <v/>
      </c>
      <c r="L2768" s="8">
        <f>H2768</f>
        <v/>
      </c>
      <c r="M2768" s="26">
        <f>H2768^2/6</f>
        <v/>
      </c>
      <c r="N2768" s="26">
        <f>H2768^3/12</f>
        <v/>
      </c>
      <c r="O2768" s="27">
        <f>-J2768*L2768*K2768*C2768</f>
        <v/>
      </c>
      <c r="P2768" s="28">
        <f>-(12*F2768*J2768*L2768*N2768+12*O2768*N2768*G2768*COS(RADIANS(E2768)))/(12*N2768*G2768*COS(RADIANS(E2768))^2+L2768*G2768^3*SIN(RADIANS(E2768))^2)</f>
        <v/>
      </c>
      <c r="Q2768" s="28">
        <f>-(6*F2768*J2768*L2768*N2768*SIN(RADIANS(E2768))+6*O2768*N2768*G2768*SIN(RADIANS(E2768))*COS(RADIANS(E2768)))/(12*N2768*COS(RADIANS(E2768))^2+L2768*G2768^2*SIN(RADIANS(E2768))^2)</f>
        <v/>
      </c>
      <c r="R2768" s="28">
        <f>-P2768*SIN(RADIANS(E2768))</f>
        <v/>
      </c>
      <c r="S2768" s="8">
        <f>(O2768+P2768*COS(RADIANS(E2768)))/L2768</f>
        <v/>
      </c>
      <c r="T2768" s="8">
        <f>R2768/L2768</f>
        <v/>
      </c>
      <c r="U2768" s="8">
        <f>(Q2768-P2768*G2768*SIN(RADIANS(E2768)))/M2768</f>
        <v/>
      </c>
      <c r="V2768" s="8">
        <f>SQRT((S2768+U2768)^2+3*T2768^2)</f>
        <v/>
      </c>
      <c r="W2768" s="8">
        <f>V2768/AA2768</f>
        <v/>
      </c>
      <c r="X2768" s="27">
        <f>((3*10+H2768/COS(RADIANS(E2768)))*(3+3)+3*G2768*H2768)*2</f>
        <v/>
      </c>
      <c r="Y2768" s="28">
        <f>Z2768/X2768</f>
        <v/>
      </c>
      <c r="Z2768" s="29" t="n">
        <v>741.27661637236</v>
      </c>
      <c r="AA2768" s="20" t="n">
        <v>76.42648418144989</v>
      </c>
      <c r="AB2768" t="n">
        <v>0.1512943216845934</v>
      </c>
      <c r="AC2768" t="n">
        <v>74.32336503297665</v>
      </c>
      <c r="AD2768" t="n">
        <v>35.09081680919396</v>
      </c>
    </row>
    <row r="2769">
      <c r="A2769" t="n">
        <v>2768</v>
      </c>
      <c r="B2769" t="n">
        <v>42.3</v>
      </c>
      <c r="C2769" s="21">
        <f>B2769-20</f>
        <v/>
      </c>
      <c r="D2769" t="n">
        <v>110.2</v>
      </c>
      <c r="E2769" s="22">
        <f>D2769-90</f>
        <v/>
      </c>
      <c r="F2769" s="23" t="n">
        <v>0.008969</v>
      </c>
      <c r="G2769" s="22" t="n">
        <v>31.2</v>
      </c>
      <c r="H2769" s="22" t="n">
        <v>1.8</v>
      </c>
      <c r="I2769" s="24" t="n">
        <v>0.0514775440096855</v>
      </c>
      <c r="J2769" s="6" t="n">
        <v>71000</v>
      </c>
      <c r="K2769" s="25">
        <f>23*10^-6</f>
        <v/>
      </c>
      <c r="L2769" s="8">
        <f>H2769</f>
        <v/>
      </c>
      <c r="M2769" s="26">
        <f>H2769^2/6</f>
        <v/>
      </c>
      <c r="N2769" s="26">
        <f>H2769^3/12</f>
        <v/>
      </c>
      <c r="O2769" s="27">
        <f>-J2769*L2769*K2769*C2769</f>
        <v/>
      </c>
      <c r="P2769" s="28">
        <f>-(12*F2769*J2769*L2769*N2769+12*O2769*N2769*G2769*COS(RADIANS(E2769)))/(12*N2769*G2769*COS(RADIANS(E2769))^2+L2769*G2769^3*SIN(RADIANS(E2769))^2)</f>
        <v/>
      </c>
      <c r="Q2769" s="28">
        <f>-(6*F2769*J2769*L2769*N2769*SIN(RADIANS(E2769))+6*O2769*N2769*G2769*SIN(RADIANS(E2769))*COS(RADIANS(E2769)))/(12*N2769*COS(RADIANS(E2769))^2+L2769*G2769^2*SIN(RADIANS(E2769))^2)</f>
        <v/>
      </c>
      <c r="R2769" s="28">
        <f>-P2769*SIN(RADIANS(E2769))</f>
        <v/>
      </c>
      <c r="S2769" s="8">
        <f>(O2769+P2769*COS(RADIANS(E2769)))/L2769</f>
        <v/>
      </c>
      <c r="T2769" s="8">
        <f>R2769/L2769</f>
        <v/>
      </c>
      <c r="U2769" s="8">
        <f>(Q2769-P2769*G2769*SIN(RADIANS(E2769)))/M2769</f>
        <v/>
      </c>
      <c r="V2769" s="8">
        <f>SQRT((S2769+U2769)^2+3*T2769^2)</f>
        <v/>
      </c>
      <c r="W2769" s="8">
        <f>V2769/AA2769</f>
        <v/>
      </c>
      <c r="X2769" s="27">
        <f>((3*10+H2769/COS(RADIANS(E2769)))*(3+3)+3*G2769*H2769)*2</f>
        <v/>
      </c>
      <c r="Y2769" s="28">
        <f>Z2769/X2769</f>
        <v/>
      </c>
      <c r="Z2769" s="29" t="n">
        <v>724.982163231016</v>
      </c>
      <c r="AA2769" s="20" t="n">
        <v>36.2294889965635</v>
      </c>
      <c r="AB2769" t="n">
        <v>0.06894502423673335</v>
      </c>
      <c r="AC2769" t="n">
        <v>35.2014060600296</v>
      </c>
      <c r="AD2769" t="n">
        <v>33.93223309907975</v>
      </c>
    </row>
    <row r="2770">
      <c r="A2770" t="n">
        <v>2769</v>
      </c>
      <c r="B2770" t="n">
        <v>86.5</v>
      </c>
      <c r="C2770" s="21">
        <f>B2770-20</f>
        <v/>
      </c>
      <c r="D2770" t="n">
        <v>118</v>
      </c>
      <c r="E2770" s="22">
        <f>D2770-90</f>
        <v/>
      </c>
      <c r="F2770" s="23" t="n">
        <v>0.019408</v>
      </c>
      <c r="G2770" s="22" t="n">
        <v>22.2</v>
      </c>
      <c r="H2770" s="22" t="n">
        <v>1.3</v>
      </c>
      <c r="I2770" s="24" t="n">
        <v>0.0975842848420143</v>
      </c>
      <c r="J2770" s="6" t="n">
        <v>71000</v>
      </c>
      <c r="K2770" s="25">
        <f>23*10^-6</f>
        <v/>
      </c>
      <c r="L2770" s="8">
        <f>H2770</f>
        <v/>
      </c>
      <c r="M2770" s="26">
        <f>H2770^2/6</f>
        <v/>
      </c>
      <c r="N2770" s="26">
        <f>H2770^3/12</f>
        <v/>
      </c>
      <c r="O2770" s="27">
        <f>-J2770*L2770*K2770*C2770</f>
        <v/>
      </c>
      <c r="P2770" s="28">
        <f>-(12*F2770*J2770*L2770*N2770+12*O2770*N2770*G2770*COS(RADIANS(E2770)))/(12*N2770*G2770*COS(RADIANS(E2770))^2+L2770*G2770^3*SIN(RADIANS(E2770))^2)</f>
        <v/>
      </c>
      <c r="Q2770" s="28">
        <f>-(6*F2770*J2770*L2770*N2770*SIN(RADIANS(E2770))+6*O2770*N2770*G2770*SIN(RADIANS(E2770))*COS(RADIANS(E2770)))/(12*N2770*COS(RADIANS(E2770))^2+L2770*G2770^2*SIN(RADIANS(E2770))^2)</f>
        <v/>
      </c>
      <c r="R2770" s="28">
        <f>-P2770*SIN(RADIANS(E2770))</f>
        <v/>
      </c>
      <c r="S2770" s="8">
        <f>(O2770+P2770*COS(RADIANS(E2770)))/L2770</f>
        <v/>
      </c>
      <c r="T2770" s="8">
        <f>R2770/L2770</f>
        <v/>
      </c>
      <c r="U2770" s="8">
        <f>(Q2770-P2770*G2770*SIN(RADIANS(E2770)))/M2770</f>
        <v/>
      </c>
      <c r="V2770" s="8">
        <f>SQRT((S2770+U2770)^2+3*T2770^2)</f>
        <v/>
      </c>
      <c r="W2770" s="8">
        <f>V2770/AA2770</f>
        <v/>
      </c>
      <c r="X2770" s="27">
        <f>((3*10+H2770/COS(RADIANS(E2770)))*(3+3)+3*G2770*H2770)*2</f>
        <v/>
      </c>
      <c r="Y2770" s="28">
        <f>Z2770/X2770</f>
        <v/>
      </c>
      <c r="Z2770" s="29" t="n">
        <v>557.443403392926</v>
      </c>
      <c r="AA2770" s="20" t="n">
        <v>99.478377387373</v>
      </c>
      <c r="AB2770" t="n">
        <v>0.1073999263305751</v>
      </c>
      <c r="AC2770" t="n">
        <v>99.22217658677198</v>
      </c>
      <c r="AD2770" t="n">
        <v>10.05862932177248</v>
      </c>
    </row>
    <row r="2771">
      <c r="A2771" t="n">
        <v>2770</v>
      </c>
      <c r="B2771" t="n">
        <v>53.4</v>
      </c>
      <c r="C2771" s="21">
        <f>B2771-20</f>
        <v/>
      </c>
      <c r="D2771" t="n">
        <v>101.4</v>
      </c>
      <c r="E2771" s="22">
        <f>D2771-90</f>
        <v/>
      </c>
      <c r="F2771" s="23" t="n">
        <v>0.01505</v>
      </c>
      <c r="G2771" s="22" t="n">
        <v>34.2</v>
      </c>
      <c r="H2771" s="22" t="n">
        <v>1.2</v>
      </c>
      <c r="I2771" s="24" t="n">
        <v>0.131688952445983</v>
      </c>
      <c r="J2771" s="6" t="n">
        <v>71000</v>
      </c>
      <c r="K2771" s="25">
        <f>23*10^-6</f>
        <v/>
      </c>
      <c r="L2771" s="8">
        <f>H2771</f>
        <v/>
      </c>
      <c r="M2771" s="26">
        <f>H2771^2/6</f>
        <v/>
      </c>
      <c r="N2771" s="26">
        <f>H2771^3/12</f>
        <v/>
      </c>
      <c r="O2771" s="27">
        <f>-J2771*L2771*K2771*C2771</f>
        <v/>
      </c>
      <c r="P2771" s="28">
        <f>-(12*F2771*J2771*L2771*N2771+12*O2771*N2771*G2771*COS(RADIANS(E2771)))/(12*N2771*G2771*COS(RADIANS(E2771))^2+L2771*G2771^3*SIN(RADIANS(E2771))^2)</f>
        <v/>
      </c>
      <c r="Q2771" s="28">
        <f>-(6*F2771*J2771*L2771*N2771*SIN(RADIANS(E2771))+6*O2771*N2771*G2771*SIN(RADIANS(E2771))*COS(RADIANS(E2771)))/(12*N2771*COS(RADIANS(E2771))^2+L2771*G2771^2*SIN(RADIANS(E2771))^2)</f>
        <v/>
      </c>
      <c r="R2771" s="28">
        <f>-P2771*SIN(RADIANS(E2771))</f>
        <v/>
      </c>
      <c r="S2771" s="8">
        <f>(O2771+P2771*COS(RADIANS(E2771)))/L2771</f>
        <v/>
      </c>
      <c r="T2771" s="8">
        <f>R2771/L2771</f>
        <v/>
      </c>
      <c r="U2771" s="8">
        <f>(Q2771-P2771*G2771*SIN(RADIANS(E2771)))/M2771</f>
        <v/>
      </c>
      <c r="V2771" s="8">
        <f>SQRT((S2771+U2771)^2+3*T2771^2)</f>
        <v/>
      </c>
      <c r="W2771" s="8">
        <f>V2771/AA2771</f>
        <v/>
      </c>
      <c r="X2771" s="27">
        <f>((3*10+H2771/COS(RADIANS(E2771)))*(3+3)+3*G2771*H2771)*2</f>
        <v/>
      </c>
      <c r="Y2771" s="28">
        <f>Z2771/X2771</f>
        <v/>
      </c>
      <c r="Z2771" s="29" t="n">
        <v>624.846463387231</v>
      </c>
      <c r="AA2771" s="20" t="n">
        <v>49.8744506375022</v>
      </c>
      <c r="AB2771" t="n">
        <v>0.2013674443822832</v>
      </c>
      <c r="AC2771" t="n">
        <v>53.76041809728753</v>
      </c>
      <c r="AD2771" t="n">
        <v>52.9114178844132</v>
      </c>
    </row>
    <row r="2772">
      <c r="A2772" t="n">
        <v>2771</v>
      </c>
      <c r="B2772" t="n">
        <v>75.09999999999999</v>
      </c>
      <c r="C2772" s="21">
        <f>B2772-20</f>
        <v/>
      </c>
      <c r="D2772" t="n">
        <v>125.5</v>
      </c>
      <c r="E2772" s="22">
        <f>D2772-90</f>
        <v/>
      </c>
      <c r="F2772" s="23" t="n">
        <v>0.015019</v>
      </c>
      <c r="G2772" s="22" t="n">
        <v>22</v>
      </c>
      <c r="H2772" s="22" t="n">
        <v>1</v>
      </c>
      <c r="I2772" s="24" t="n">
        <v>0.0690682977437973</v>
      </c>
      <c r="J2772" s="6" t="n">
        <v>71000</v>
      </c>
      <c r="K2772" s="25">
        <f>23*10^-6</f>
        <v/>
      </c>
      <c r="L2772" s="8">
        <f>H2772</f>
        <v/>
      </c>
      <c r="M2772" s="26">
        <f>H2772^2/6</f>
        <v/>
      </c>
      <c r="N2772" s="26">
        <f>H2772^3/12</f>
        <v/>
      </c>
      <c r="O2772" s="27">
        <f>-J2772*L2772*K2772*C2772</f>
        <v/>
      </c>
      <c r="P2772" s="28">
        <f>-(12*F2772*J2772*L2772*N2772+12*O2772*N2772*G2772*COS(RADIANS(E2772)))/(12*N2772*G2772*COS(RADIANS(E2772))^2+L2772*G2772^3*SIN(RADIANS(E2772))^2)</f>
        <v/>
      </c>
      <c r="Q2772" s="28">
        <f>-(6*F2772*J2772*L2772*N2772*SIN(RADIANS(E2772))+6*O2772*N2772*G2772*SIN(RADIANS(E2772))*COS(RADIANS(E2772)))/(12*N2772*COS(RADIANS(E2772))^2+L2772*G2772^2*SIN(RADIANS(E2772))^2)</f>
        <v/>
      </c>
      <c r="R2772" s="28">
        <f>-P2772*SIN(RADIANS(E2772))</f>
        <v/>
      </c>
      <c r="S2772" s="8">
        <f>(O2772+P2772*COS(RADIANS(E2772)))/L2772</f>
        <v/>
      </c>
      <c r="T2772" s="8">
        <f>R2772/L2772</f>
        <v/>
      </c>
      <c r="U2772" s="8">
        <f>(Q2772-P2772*G2772*SIN(RADIANS(E2772)))/M2772</f>
        <v/>
      </c>
      <c r="V2772" s="8">
        <f>SQRT((S2772+U2772)^2+3*T2772^2)</f>
        <v/>
      </c>
      <c r="W2772" s="8">
        <f>V2772/AA2772</f>
        <v/>
      </c>
      <c r="X2772" s="27">
        <f>((3*10+H2772/COS(RADIANS(E2772)))*(3+3)+3*G2772*H2772)*2</f>
        <v/>
      </c>
      <c r="Y2772" s="28">
        <f>Z2772/X2772</f>
        <v/>
      </c>
      <c r="Z2772" s="29" t="n">
        <v>515.653398187841</v>
      </c>
      <c r="AA2772" s="20" t="n">
        <v>74.56299168200979</v>
      </c>
      <c r="AB2772" t="n">
        <v>0.06874523676255406</v>
      </c>
      <c r="AC2772" t="n">
        <v>78.67180122263771</v>
      </c>
      <c r="AD2772" t="n">
        <v>-0.4677413397990571</v>
      </c>
    </row>
    <row r="2773">
      <c r="A2773" t="n">
        <v>2772</v>
      </c>
      <c r="B2773" t="n">
        <v>76.5</v>
      </c>
      <c r="C2773" s="21">
        <f>B2773-20</f>
        <v/>
      </c>
      <c r="D2773" t="n">
        <v>123.2</v>
      </c>
      <c r="E2773" s="22">
        <f>D2773-90</f>
        <v/>
      </c>
      <c r="F2773" s="23" t="n">
        <v>0.019279</v>
      </c>
      <c r="G2773" s="22" t="n">
        <v>28.6</v>
      </c>
      <c r="H2773" s="22" t="n">
        <v>1.9</v>
      </c>
      <c r="I2773" s="24" t="n">
        <v>0.0871454328298568</v>
      </c>
      <c r="J2773" s="6" t="n">
        <v>71000</v>
      </c>
      <c r="K2773" s="25">
        <f>23*10^-6</f>
        <v/>
      </c>
      <c r="L2773" s="8">
        <f>H2773</f>
        <v/>
      </c>
      <c r="M2773" s="26">
        <f>H2773^2/6</f>
        <v/>
      </c>
      <c r="N2773" s="26">
        <f>H2773^3/12</f>
        <v/>
      </c>
      <c r="O2773" s="27">
        <f>-J2773*L2773*K2773*C2773</f>
        <v/>
      </c>
      <c r="P2773" s="28">
        <f>-(12*F2773*J2773*L2773*N2773+12*O2773*N2773*G2773*COS(RADIANS(E2773)))/(12*N2773*G2773*COS(RADIANS(E2773))^2+L2773*G2773^3*SIN(RADIANS(E2773))^2)</f>
        <v/>
      </c>
      <c r="Q2773" s="28">
        <f>-(6*F2773*J2773*L2773*N2773*SIN(RADIANS(E2773))+6*O2773*N2773*G2773*SIN(RADIANS(E2773))*COS(RADIANS(E2773)))/(12*N2773*COS(RADIANS(E2773))^2+L2773*G2773^2*SIN(RADIANS(E2773))^2)</f>
        <v/>
      </c>
      <c r="R2773" s="28">
        <f>-P2773*SIN(RADIANS(E2773))</f>
        <v/>
      </c>
      <c r="S2773" s="8">
        <f>(O2773+P2773*COS(RADIANS(E2773)))/L2773</f>
        <v/>
      </c>
      <c r="T2773" s="8">
        <f>R2773/L2773</f>
        <v/>
      </c>
      <c r="U2773" s="8">
        <f>(Q2773-P2773*G2773*SIN(RADIANS(E2773)))/M2773</f>
        <v/>
      </c>
      <c r="V2773" s="8">
        <f>SQRT((S2773+U2773)^2+3*T2773^2)</f>
        <v/>
      </c>
      <c r="W2773" s="8">
        <f>V2773/AA2773</f>
        <v/>
      </c>
      <c r="X2773" s="27">
        <f>((3*10+H2773/COS(RADIANS(E2773)))*(3+3)+3*G2773*H2773)*2</f>
        <v/>
      </c>
      <c r="Y2773" s="28">
        <f>Z2773/X2773</f>
        <v/>
      </c>
      <c r="Z2773" s="29" t="n">
        <v>721.403356845625</v>
      </c>
      <c r="AA2773" s="20" t="n">
        <v>89.903983022483</v>
      </c>
      <c r="AB2773" t="n">
        <v>0.09621423418334324</v>
      </c>
      <c r="AC2773" t="n">
        <v>84.28761087756796</v>
      </c>
      <c r="AD2773" t="n">
        <v>10.40651363932337</v>
      </c>
    </row>
    <row r="2774">
      <c r="A2774" t="n">
        <v>2773</v>
      </c>
      <c r="B2774" t="n">
        <v>51.7</v>
      </c>
      <c r="C2774" s="21">
        <f>B2774-20</f>
        <v/>
      </c>
      <c r="D2774" t="n">
        <v>118.6</v>
      </c>
      <c r="E2774" s="22">
        <f>D2774-90</f>
        <v/>
      </c>
      <c r="F2774" s="23" t="n">
        <v>0.011782</v>
      </c>
      <c r="G2774" s="22" t="n">
        <v>30.3</v>
      </c>
      <c r="H2774" s="22" t="n">
        <v>1.5</v>
      </c>
      <c r="I2774" s="24" t="n">
        <v>0.0559981055557727</v>
      </c>
      <c r="J2774" s="6" t="n">
        <v>71000</v>
      </c>
      <c r="K2774" s="25">
        <f>23*10^-6</f>
        <v/>
      </c>
      <c r="L2774" s="8">
        <f>H2774</f>
        <v/>
      </c>
      <c r="M2774" s="26">
        <f>H2774^2/6</f>
        <v/>
      </c>
      <c r="N2774" s="26">
        <f>H2774^3/12</f>
        <v/>
      </c>
      <c r="O2774" s="27">
        <f>-J2774*L2774*K2774*C2774</f>
        <v/>
      </c>
      <c r="P2774" s="28">
        <f>-(12*F2774*J2774*L2774*N2774+12*O2774*N2774*G2774*COS(RADIANS(E2774)))/(12*N2774*G2774*COS(RADIANS(E2774))^2+L2774*G2774^3*SIN(RADIANS(E2774))^2)</f>
        <v/>
      </c>
      <c r="Q2774" s="28">
        <f>-(6*F2774*J2774*L2774*N2774*SIN(RADIANS(E2774))+6*O2774*N2774*G2774*SIN(RADIANS(E2774))*COS(RADIANS(E2774)))/(12*N2774*COS(RADIANS(E2774))^2+L2774*G2774^2*SIN(RADIANS(E2774))^2)</f>
        <v/>
      </c>
      <c r="R2774" s="28">
        <f>-P2774*SIN(RADIANS(E2774))</f>
        <v/>
      </c>
      <c r="S2774" s="8">
        <f>(O2774+P2774*COS(RADIANS(E2774)))/L2774</f>
        <v/>
      </c>
      <c r="T2774" s="8">
        <f>R2774/L2774</f>
        <v/>
      </c>
      <c r="U2774" s="8">
        <f>(Q2774-P2774*G2774*SIN(RADIANS(E2774)))/M2774</f>
        <v/>
      </c>
      <c r="V2774" s="8">
        <f>SQRT((S2774+U2774)^2+3*T2774^2)</f>
        <v/>
      </c>
      <c r="W2774" s="8">
        <f>V2774/AA2774</f>
        <v/>
      </c>
      <c r="X2774" s="27">
        <f>((3*10+H2774/COS(RADIANS(E2774)))*(3+3)+3*G2774*H2774)*2</f>
        <v/>
      </c>
      <c r="Y2774" s="28">
        <f>Z2774/X2774</f>
        <v/>
      </c>
      <c r="Z2774" s="29" t="n">
        <v>659.970547840156</v>
      </c>
      <c r="AA2774" s="20" t="n">
        <v>46.596167762944</v>
      </c>
      <c r="AB2774" t="n">
        <v>0.06715338551121436</v>
      </c>
      <c r="AC2774" t="n">
        <v>46.95601077292362</v>
      </c>
      <c r="AD2774" t="n">
        <v>19.9208166860775</v>
      </c>
    </row>
    <row r="2775">
      <c r="A2775" t="n">
        <v>2774</v>
      </c>
      <c r="B2775" t="n">
        <v>64.90000000000001</v>
      </c>
      <c r="C2775" s="21">
        <f>B2775-20</f>
        <v/>
      </c>
      <c r="D2775" t="n">
        <v>111</v>
      </c>
      <c r="E2775" s="22">
        <f>D2775-90</f>
        <v/>
      </c>
      <c r="F2775" s="23" t="n">
        <v>0.013441</v>
      </c>
      <c r="G2775" s="22" t="n">
        <v>21.7</v>
      </c>
      <c r="H2775" s="22" t="n">
        <v>1.2</v>
      </c>
      <c r="I2775" s="24" t="n">
        <v>0.0792938396334648</v>
      </c>
      <c r="J2775" s="6" t="n">
        <v>71000</v>
      </c>
      <c r="K2775" s="25">
        <f>23*10^-6</f>
        <v/>
      </c>
      <c r="L2775" s="8">
        <f>H2775</f>
        <v/>
      </c>
      <c r="M2775" s="26">
        <f>H2775^2/6</f>
        <v/>
      </c>
      <c r="N2775" s="26">
        <f>H2775^3/12</f>
        <v/>
      </c>
      <c r="O2775" s="27">
        <f>-J2775*L2775*K2775*C2775</f>
        <v/>
      </c>
      <c r="P2775" s="28">
        <f>-(12*F2775*J2775*L2775*N2775+12*O2775*N2775*G2775*COS(RADIANS(E2775)))/(12*N2775*G2775*COS(RADIANS(E2775))^2+L2775*G2775^3*SIN(RADIANS(E2775))^2)</f>
        <v/>
      </c>
      <c r="Q2775" s="28">
        <f>-(6*F2775*J2775*L2775*N2775*SIN(RADIANS(E2775))+6*O2775*N2775*G2775*SIN(RADIANS(E2775))*COS(RADIANS(E2775)))/(12*N2775*COS(RADIANS(E2775))^2+L2775*G2775^2*SIN(RADIANS(E2775))^2)</f>
        <v/>
      </c>
      <c r="R2775" s="28">
        <f>-P2775*SIN(RADIANS(E2775))</f>
        <v/>
      </c>
      <c r="S2775" s="8">
        <f>(O2775+P2775*COS(RADIANS(E2775)))/L2775</f>
        <v/>
      </c>
      <c r="T2775" s="8">
        <f>R2775/L2775</f>
        <v/>
      </c>
      <c r="U2775" s="8">
        <f>(Q2775-P2775*G2775*SIN(RADIANS(E2775)))/M2775</f>
        <v/>
      </c>
      <c r="V2775" s="8">
        <f>SQRT((S2775+U2775)^2+3*T2775^2)</f>
        <v/>
      </c>
      <c r="W2775" s="8">
        <f>V2775/AA2775</f>
        <v/>
      </c>
      <c r="X2775" s="27">
        <f>((3*10+H2775/COS(RADIANS(E2775)))*(3+3)+3*G2775*H2775)*2</f>
        <v/>
      </c>
      <c r="Y2775" s="28">
        <f>Z2775/X2775</f>
        <v/>
      </c>
      <c r="Z2775" s="29" t="n">
        <v>536.805597141302</v>
      </c>
      <c r="AA2775" s="20" t="n">
        <v>66.4685251810086</v>
      </c>
      <c r="AB2775" t="n">
        <v>0.09545860662271144</v>
      </c>
      <c r="AC2775" t="n">
        <v>68.99777520021058</v>
      </c>
      <c r="AD2775" t="n">
        <v>20.38590521529561</v>
      </c>
    </row>
    <row r="2776">
      <c r="A2776" t="n">
        <v>2775</v>
      </c>
      <c r="B2776" t="n">
        <v>89.5</v>
      </c>
      <c r="C2776" s="21">
        <f>B2776-20</f>
        <v/>
      </c>
      <c r="D2776" t="n">
        <v>122.8</v>
      </c>
      <c r="E2776" s="22">
        <f>D2776-90</f>
        <v/>
      </c>
      <c r="F2776" s="23" t="n">
        <v>0.026132</v>
      </c>
      <c r="G2776" s="22" t="n">
        <v>32.1</v>
      </c>
      <c r="H2776" s="22" t="n">
        <v>1.7</v>
      </c>
      <c r="I2776" s="24" t="n">
        <v>0.116604208946228</v>
      </c>
      <c r="J2776" s="6" t="n">
        <v>71000</v>
      </c>
      <c r="K2776" s="25">
        <f>23*10^-6</f>
        <v/>
      </c>
      <c r="L2776" s="8">
        <f>H2776</f>
        <v/>
      </c>
      <c r="M2776" s="26">
        <f>H2776^2/6</f>
        <v/>
      </c>
      <c r="N2776" s="26">
        <f>H2776^3/12</f>
        <v/>
      </c>
      <c r="O2776" s="27">
        <f>-J2776*L2776*K2776*C2776</f>
        <v/>
      </c>
      <c r="P2776" s="28">
        <f>-(12*F2776*J2776*L2776*N2776+12*O2776*N2776*G2776*COS(RADIANS(E2776)))/(12*N2776*G2776*COS(RADIANS(E2776))^2+L2776*G2776^3*SIN(RADIANS(E2776))^2)</f>
        <v/>
      </c>
      <c r="Q2776" s="28">
        <f>-(6*F2776*J2776*L2776*N2776*SIN(RADIANS(E2776))+6*O2776*N2776*G2776*SIN(RADIANS(E2776))*COS(RADIANS(E2776)))/(12*N2776*COS(RADIANS(E2776))^2+L2776*G2776^2*SIN(RADIANS(E2776))^2)</f>
        <v/>
      </c>
      <c r="R2776" s="28">
        <f>-P2776*SIN(RADIANS(E2776))</f>
        <v/>
      </c>
      <c r="S2776" s="8">
        <f>(O2776+P2776*COS(RADIANS(E2776)))/L2776</f>
        <v/>
      </c>
      <c r="T2776" s="8">
        <f>R2776/L2776</f>
        <v/>
      </c>
      <c r="U2776" s="8">
        <f>(Q2776-P2776*G2776*SIN(RADIANS(E2776)))/M2776</f>
        <v/>
      </c>
      <c r="V2776" s="8">
        <f>SQRT((S2776+U2776)^2+3*T2776^2)</f>
        <v/>
      </c>
      <c r="W2776" s="8">
        <f>V2776/AA2776</f>
        <v/>
      </c>
      <c r="X2776" s="27">
        <f>((3*10+H2776/COS(RADIANS(E2776)))*(3+3)+3*G2776*H2776)*2</f>
        <v/>
      </c>
      <c r="Y2776" s="28">
        <f>Z2776/X2776</f>
        <v/>
      </c>
      <c r="Z2776" s="29" t="n">
        <v>719.675142654611</v>
      </c>
      <c r="AA2776" s="20" t="n">
        <v>105.597568947076</v>
      </c>
      <c r="AB2776" t="n">
        <v>0.1342505709643336</v>
      </c>
      <c r="AC2776" t="n">
        <v>102.1097248380093</v>
      </c>
      <c r="AD2776" t="n">
        <v>15.13355493560544</v>
      </c>
    </row>
    <row r="2777">
      <c r="A2777" t="n">
        <v>2776</v>
      </c>
      <c r="B2777" t="n">
        <v>83.7</v>
      </c>
      <c r="C2777" s="21">
        <f>B2777-20</f>
        <v/>
      </c>
      <c r="D2777" t="n">
        <v>106.7</v>
      </c>
      <c r="E2777" s="22">
        <f>D2777-90</f>
        <v/>
      </c>
      <c r="F2777" s="23" t="n">
        <v>0.027102</v>
      </c>
      <c r="G2777" s="22" t="n">
        <v>32.7</v>
      </c>
      <c r="H2777" s="22" t="n">
        <v>1.3</v>
      </c>
      <c r="I2777" s="24" t="n">
        <v>0.177380338311195</v>
      </c>
      <c r="J2777" s="6" t="n">
        <v>71000</v>
      </c>
      <c r="K2777" s="25">
        <f>23*10^-6</f>
        <v/>
      </c>
      <c r="L2777" s="8">
        <f>H2777</f>
        <v/>
      </c>
      <c r="M2777" s="26">
        <f>H2777^2/6</f>
        <v/>
      </c>
      <c r="N2777" s="26">
        <f>H2777^3/12</f>
        <v/>
      </c>
      <c r="O2777" s="27">
        <f>-J2777*L2777*K2777*C2777</f>
        <v/>
      </c>
      <c r="P2777" s="28">
        <f>-(12*F2777*J2777*L2777*N2777+12*O2777*N2777*G2777*COS(RADIANS(E2777)))/(12*N2777*G2777*COS(RADIANS(E2777))^2+L2777*G2777^3*SIN(RADIANS(E2777))^2)</f>
        <v/>
      </c>
      <c r="Q2777" s="28">
        <f>-(6*F2777*J2777*L2777*N2777*SIN(RADIANS(E2777))+6*O2777*N2777*G2777*SIN(RADIANS(E2777))*COS(RADIANS(E2777)))/(12*N2777*COS(RADIANS(E2777))^2+L2777*G2777^2*SIN(RADIANS(E2777))^2)</f>
        <v/>
      </c>
      <c r="R2777" s="28">
        <f>-P2777*SIN(RADIANS(E2777))</f>
        <v/>
      </c>
      <c r="S2777" s="8">
        <f>(O2777+P2777*COS(RADIANS(E2777)))/L2777</f>
        <v/>
      </c>
      <c r="T2777" s="8">
        <f>R2777/L2777</f>
        <v/>
      </c>
      <c r="U2777" s="8">
        <f>(Q2777-P2777*G2777*SIN(RADIANS(E2777)))/M2777</f>
        <v/>
      </c>
      <c r="V2777" s="8">
        <f>SQRT((S2777+U2777)^2+3*T2777^2)</f>
        <v/>
      </c>
      <c r="W2777" s="8">
        <f>V2777/AA2777</f>
        <v/>
      </c>
      <c r="X2777" s="27">
        <f>((3*10+H2777/COS(RADIANS(E2777)))*(3+3)+3*G2777*H2777)*2</f>
        <v/>
      </c>
      <c r="Y2777" s="28">
        <f>Z2777/X2777</f>
        <v/>
      </c>
      <c r="Z2777" s="29" t="n">
        <v>635.837406769357</v>
      </c>
      <c r="AA2777" s="20" t="n">
        <v>94.2816381108406</v>
      </c>
      <c r="AB2777" t="n">
        <v>0.2524783581256889</v>
      </c>
      <c r="AC2777" t="n">
        <v>98.6369193559227</v>
      </c>
      <c r="AD2777" t="n">
        <v>42.33728525353375</v>
      </c>
    </row>
    <row r="2778">
      <c r="A2778" t="n">
        <v>2777</v>
      </c>
      <c r="B2778" t="n">
        <v>86.5</v>
      </c>
      <c r="C2778" s="21">
        <f>B2778-20</f>
        <v/>
      </c>
      <c r="D2778" t="n">
        <v>112.5</v>
      </c>
      <c r="E2778" s="22">
        <f>D2778-90</f>
        <v/>
      </c>
      <c r="F2778" s="23" t="n">
        <v>0.018837</v>
      </c>
      <c r="G2778" s="22" t="n">
        <v>20.4</v>
      </c>
      <c r="H2778" s="22" t="n">
        <v>1.3</v>
      </c>
      <c r="I2778" s="24" t="n">
        <v>0.107441715896129</v>
      </c>
      <c r="J2778" s="6" t="n">
        <v>71000</v>
      </c>
      <c r="K2778" s="25">
        <f>23*10^-6</f>
        <v/>
      </c>
      <c r="L2778" s="8">
        <f>H2778</f>
        <v/>
      </c>
      <c r="M2778" s="26">
        <f>H2778^2/6</f>
        <v/>
      </c>
      <c r="N2778" s="26">
        <f>H2778^3/12</f>
        <v/>
      </c>
      <c r="O2778" s="27">
        <f>-J2778*L2778*K2778*C2778</f>
        <v/>
      </c>
      <c r="P2778" s="28">
        <f>-(12*F2778*J2778*L2778*N2778+12*O2778*N2778*G2778*COS(RADIANS(E2778)))/(12*N2778*G2778*COS(RADIANS(E2778))^2+L2778*G2778^3*SIN(RADIANS(E2778))^2)</f>
        <v/>
      </c>
      <c r="Q2778" s="28">
        <f>-(6*F2778*J2778*L2778*N2778*SIN(RADIANS(E2778))+6*O2778*N2778*G2778*SIN(RADIANS(E2778))*COS(RADIANS(E2778)))/(12*N2778*COS(RADIANS(E2778))^2+L2778*G2778^2*SIN(RADIANS(E2778))^2)</f>
        <v/>
      </c>
      <c r="R2778" s="28">
        <f>-P2778*SIN(RADIANS(E2778))</f>
        <v/>
      </c>
      <c r="S2778" s="8">
        <f>(O2778+P2778*COS(RADIANS(E2778)))/L2778</f>
        <v/>
      </c>
      <c r="T2778" s="8">
        <f>R2778/L2778</f>
        <v/>
      </c>
      <c r="U2778" s="8">
        <f>(Q2778-P2778*G2778*SIN(RADIANS(E2778)))/M2778</f>
        <v/>
      </c>
      <c r="V2778" s="8">
        <f>SQRT((S2778+U2778)^2+3*T2778^2)</f>
        <v/>
      </c>
      <c r="W2778" s="8">
        <f>V2778/AA2778</f>
        <v/>
      </c>
      <c r="X2778" s="27">
        <f>((3*10+H2778/COS(RADIANS(E2778)))*(3+3)+3*G2778*H2778)*2</f>
        <v/>
      </c>
      <c r="Y2778" s="28">
        <f>Z2778/X2778</f>
        <v/>
      </c>
      <c r="Z2778" s="29" t="n">
        <v>541.41636051722</v>
      </c>
      <c r="AA2778" s="20" t="n">
        <v>101.373676125425</v>
      </c>
      <c r="AB2778" t="n">
        <v>0.1238927758295008</v>
      </c>
      <c r="AC2778" t="n">
        <v>102.5591364590113</v>
      </c>
      <c r="AD2778" t="n">
        <v>15.31161318130487</v>
      </c>
    </row>
    <row r="2779">
      <c r="A2779" t="n">
        <v>2778</v>
      </c>
      <c r="B2779" t="n">
        <v>54.9</v>
      </c>
      <c r="C2779" s="21">
        <f>B2779-20</f>
        <v/>
      </c>
      <c r="D2779" t="n">
        <v>102.8</v>
      </c>
      <c r="E2779" s="22">
        <f>D2779-90</f>
        <v/>
      </c>
      <c r="F2779" s="23" t="n">
        <v>0.012164</v>
      </c>
      <c r="G2779" s="22" t="n">
        <v>25.2</v>
      </c>
      <c r="H2779" s="22" t="n">
        <v>1.3</v>
      </c>
      <c r="I2779" s="24" t="n">
        <v>0.0983535572886467</v>
      </c>
      <c r="J2779" s="6" t="n">
        <v>71000</v>
      </c>
      <c r="K2779" s="25">
        <f>23*10^-6</f>
        <v/>
      </c>
      <c r="L2779" s="8">
        <f>H2779</f>
        <v/>
      </c>
      <c r="M2779" s="26">
        <f>H2779^2/6</f>
        <v/>
      </c>
      <c r="N2779" s="26">
        <f>H2779^3/12</f>
        <v/>
      </c>
      <c r="O2779" s="27">
        <f>-J2779*L2779*K2779*C2779</f>
        <v/>
      </c>
      <c r="P2779" s="28">
        <f>-(12*F2779*J2779*L2779*N2779+12*O2779*N2779*G2779*COS(RADIANS(E2779)))/(12*N2779*G2779*COS(RADIANS(E2779))^2+L2779*G2779^3*SIN(RADIANS(E2779))^2)</f>
        <v/>
      </c>
      <c r="Q2779" s="28">
        <f>-(6*F2779*J2779*L2779*N2779*SIN(RADIANS(E2779))+6*O2779*N2779*G2779*SIN(RADIANS(E2779))*COS(RADIANS(E2779)))/(12*N2779*COS(RADIANS(E2779))^2+L2779*G2779^2*SIN(RADIANS(E2779))^2)</f>
        <v/>
      </c>
      <c r="R2779" s="28">
        <f>-P2779*SIN(RADIANS(E2779))</f>
        <v/>
      </c>
      <c r="S2779" s="8">
        <f>(O2779+P2779*COS(RADIANS(E2779)))/L2779</f>
        <v/>
      </c>
      <c r="T2779" s="8">
        <f>R2779/L2779</f>
        <v/>
      </c>
      <c r="U2779" s="8">
        <f>(Q2779-P2779*G2779*SIN(RADIANS(E2779)))/M2779</f>
        <v/>
      </c>
      <c r="V2779" s="8">
        <f>SQRT((S2779+U2779)^2+3*T2779^2)</f>
        <v/>
      </c>
      <c r="W2779" s="8">
        <f>V2779/AA2779</f>
        <v/>
      </c>
      <c r="X2779" s="27">
        <f>((3*10+H2779/COS(RADIANS(E2779)))*(3+3)+3*G2779*H2779)*2</f>
        <v/>
      </c>
      <c r="Y2779" s="28">
        <f>Z2779/X2779</f>
        <v/>
      </c>
      <c r="Z2779" s="29" t="n">
        <v>576.602793330789</v>
      </c>
      <c r="AA2779" s="20" t="n">
        <v>54.2894859346373</v>
      </c>
      <c r="AB2779" t="n">
        <v>0.137606281941026</v>
      </c>
      <c r="AC2779" t="n">
        <v>57.63474333000541</v>
      </c>
      <c r="AD2779" t="n">
        <v>39.90981692424293</v>
      </c>
    </row>
    <row r="2780">
      <c r="A2780" t="n">
        <v>2779</v>
      </c>
      <c r="B2780" t="n">
        <v>41.3</v>
      </c>
      <c r="C2780" s="21">
        <f>B2780-20</f>
        <v/>
      </c>
      <c r="D2780" t="n">
        <v>102</v>
      </c>
      <c r="E2780" s="22">
        <f>D2780-90</f>
        <v/>
      </c>
      <c r="F2780" s="23" t="n">
        <v>0.006991</v>
      </c>
      <c r="G2780" s="22" t="n">
        <v>23.3</v>
      </c>
      <c r="H2780" s="22" t="n">
        <v>1.5</v>
      </c>
      <c r="I2780" s="24" t="n">
        <v>0.0582434795796871</v>
      </c>
      <c r="J2780" s="6" t="n">
        <v>71000</v>
      </c>
      <c r="K2780" s="25">
        <f>23*10^-6</f>
        <v/>
      </c>
      <c r="L2780" s="8">
        <f>H2780</f>
        <v/>
      </c>
      <c r="M2780" s="26">
        <f>H2780^2/6</f>
        <v/>
      </c>
      <c r="N2780" s="26">
        <f>H2780^3/12</f>
        <v/>
      </c>
      <c r="O2780" s="27">
        <f>-J2780*L2780*K2780*C2780</f>
        <v/>
      </c>
      <c r="P2780" s="28">
        <f>-(12*F2780*J2780*L2780*N2780+12*O2780*N2780*G2780*COS(RADIANS(E2780)))/(12*N2780*G2780*COS(RADIANS(E2780))^2+L2780*G2780^3*SIN(RADIANS(E2780))^2)</f>
        <v/>
      </c>
      <c r="Q2780" s="28">
        <f>-(6*F2780*J2780*L2780*N2780*SIN(RADIANS(E2780))+6*O2780*N2780*G2780*SIN(RADIANS(E2780))*COS(RADIANS(E2780)))/(12*N2780*COS(RADIANS(E2780))^2+L2780*G2780^2*SIN(RADIANS(E2780))^2)</f>
        <v/>
      </c>
      <c r="R2780" s="28">
        <f>-P2780*SIN(RADIANS(E2780))</f>
        <v/>
      </c>
      <c r="S2780" s="8">
        <f>(O2780+P2780*COS(RADIANS(E2780)))/L2780</f>
        <v/>
      </c>
      <c r="T2780" s="8">
        <f>R2780/L2780</f>
        <v/>
      </c>
      <c r="U2780" s="8">
        <f>(Q2780-P2780*G2780*SIN(RADIANS(E2780)))/M2780</f>
        <v/>
      </c>
      <c r="V2780" s="8">
        <f>SQRT((S2780+U2780)^2+3*T2780^2)</f>
        <v/>
      </c>
      <c r="W2780" s="8">
        <f>V2780/AA2780</f>
        <v/>
      </c>
      <c r="X2780" s="27">
        <f>((3*10+H2780/COS(RADIANS(E2780)))*(3+3)+3*G2780*H2780)*2</f>
        <v/>
      </c>
      <c r="Y2780" s="28">
        <f>Z2780/X2780</f>
        <v/>
      </c>
      <c r="Z2780" s="29" t="n">
        <v>592.071934369972</v>
      </c>
      <c r="AA2780" s="20" t="n">
        <v>35.9314481425995</v>
      </c>
      <c r="AB2780" t="n">
        <v>0.080290065839651</v>
      </c>
      <c r="AC2780" t="n">
        <v>36.61292329702603</v>
      </c>
      <c r="AD2780" t="n">
        <v>37.85245390396083</v>
      </c>
    </row>
    <row r="2781">
      <c r="A2781" t="n">
        <v>2780</v>
      </c>
      <c r="B2781" t="n">
        <v>57.7</v>
      </c>
      <c r="C2781" s="21">
        <f>B2781-20</f>
        <v/>
      </c>
      <c r="D2781" t="n">
        <v>103</v>
      </c>
      <c r="E2781" s="22">
        <f>D2781-90</f>
        <v/>
      </c>
      <c r="F2781" s="23" t="n">
        <v>0.01175</v>
      </c>
      <c r="G2781" s="22" t="n">
        <v>21.9</v>
      </c>
      <c r="H2781" s="22" t="n">
        <v>2</v>
      </c>
      <c r="I2781" s="24" t="n">
        <v>0.08864632248878471</v>
      </c>
      <c r="J2781" s="6" t="n">
        <v>71000</v>
      </c>
      <c r="K2781" s="25">
        <f>23*10^-6</f>
        <v/>
      </c>
      <c r="L2781" s="8">
        <f>H2781</f>
        <v/>
      </c>
      <c r="M2781" s="26">
        <f>H2781^2/6</f>
        <v/>
      </c>
      <c r="N2781" s="26">
        <f>H2781^3/12</f>
        <v/>
      </c>
      <c r="O2781" s="27">
        <f>-J2781*L2781*K2781*C2781</f>
        <v/>
      </c>
      <c r="P2781" s="28">
        <f>-(12*F2781*J2781*L2781*N2781+12*O2781*N2781*G2781*COS(RADIANS(E2781)))/(12*N2781*G2781*COS(RADIANS(E2781))^2+L2781*G2781^3*SIN(RADIANS(E2781))^2)</f>
        <v/>
      </c>
      <c r="Q2781" s="28">
        <f>-(6*F2781*J2781*L2781*N2781*SIN(RADIANS(E2781))+6*O2781*N2781*G2781*SIN(RADIANS(E2781))*COS(RADIANS(E2781)))/(12*N2781*COS(RADIANS(E2781))^2+L2781*G2781^2*SIN(RADIANS(E2781))^2)</f>
        <v/>
      </c>
      <c r="R2781" s="28">
        <f>-P2781*SIN(RADIANS(E2781))</f>
        <v/>
      </c>
      <c r="S2781" s="8">
        <f>(O2781+P2781*COS(RADIANS(E2781)))/L2781</f>
        <v/>
      </c>
      <c r="T2781" s="8">
        <f>R2781/L2781</f>
        <v/>
      </c>
      <c r="U2781" s="8">
        <f>(Q2781-P2781*G2781*SIN(RADIANS(E2781)))/M2781</f>
        <v/>
      </c>
      <c r="V2781" s="8">
        <f>SQRT((S2781+U2781)^2+3*T2781^2)</f>
        <v/>
      </c>
      <c r="W2781" s="8">
        <f>V2781/AA2781</f>
        <v/>
      </c>
      <c r="X2781" s="27">
        <f>((3*10+H2781/COS(RADIANS(E2781)))*(3+3)+3*G2781*H2781)*2</f>
        <v/>
      </c>
      <c r="Y2781" s="28">
        <f>Z2781/X2781</f>
        <v/>
      </c>
      <c r="Z2781" s="29" t="n">
        <v>651.4962265597241</v>
      </c>
      <c r="AA2781" s="20" t="n">
        <v>84.24965675652361</v>
      </c>
      <c r="AB2781" t="n">
        <v>0.1166345424082902</v>
      </c>
      <c r="AC2781" t="n">
        <v>67.10670920930698</v>
      </c>
      <c r="AD2781" t="n">
        <v>31.57290582815378</v>
      </c>
    </row>
    <row r="2782">
      <c r="A2782" t="n">
        <v>2781</v>
      </c>
      <c r="B2782" t="n">
        <v>40.2</v>
      </c>
      <c r="C2782" s="21">
        <f>B2782-20</f>
        <v/>
      </c>
      <c r="D2782" t="n">
        <v>108</v>
      </c>
      <c r="E2782" s="22">
        <f>D2782-90</f>
        <v/>
      </c>
      <c r="F2782" s="23" t="n">
        <v>0.006638</v>
      </c>
      <c r="G2782" s="22" t="n">
        <v>24</v>
      </c>
      <c r="H2782" s="22" t="n">
        <v>1.4</v>
      </c>
      <c r="I2782" s="24" t="n">
        <v>0.0424585454165935</v>
      </c>
      <c r="J2782" s="6" t="n">
        <v>71000</v>
      </c>
      <c r="K2782" s="25">
        <f>23*10^-6</f>
        <v/>
      </c>
      <c r="L2782" s="8">
        <f>H2782</f>
        <v/>
      </c>
      <c r="M2782" s="26">
        <f>H2782^2/6</f>
        <v/>
      </c>
      <c r="N2782" s="26">
        <f>H2782^3/12</f>
        <v/>
      </c>
      <c r="O2782" s="27">
        <f>-J2782*L2782*K2782*C2782</f>
        <v/>
      </c>
      <c r="P2782" s="28">
        <f>-(12*F2782*J2782*L2782*N2782+12*O2782*N2782*G2782*COS(RADIANS(E2782)))/(12*N2782*G2782*COS(RADIANS(E2782))^2+L2782*G2782^3*SIN(RADIANS(E2782))^2)</f>
        <v/>
      </c>
      <c r="Q2782" s="28">
        <f>-(6*F2782*J2782*L2782*N2782*SIN(RADIANS(E2782))+6*O2782*N2782*G2782*SIN(RADIANS(E2782))*COS(RADIANS(E2782)))/(12*N2782*COS(RADIANS(E2782))^2+L2782*G2782^2*SIN(RADIANS(E2782))^2)</f>
        <v/>
      </c>
      <c r="R2782" s="28">
        <f>-P2782*SIN(RADIANS(E2782))</f>
        <v/>
      </c>
      <c r="S2782" s="8">
        <f>(O2782+P2782*COS(RADIANS(E2782)))/L2782</f>
        <v/>
      </c>
      <c r="T2782" s="8">
        <f>R2782/L2782</f>
        <v/>
      </c>
      <c r="U2782" s="8">
        <f>(Q2782-P2782*G2782*SIN(RADIANS(E2782)))/M2782</f>
        <v/>
      </c>
      <c r="V2782" s="8">
        <f>SQRT((S2782+U2782)^2+3*T2782^2)</f>
        <v/>
      </c>
      <c r="W2782" s="8">
        <f>V2782/AA2782</f>
        <v/>
      </c>
      <c r="X2782" s="27">
        <f>((3*10+H2782/COS(RADIANS(E2782)))*(3+3)+3*G2782*H2782)*2</f>
        <v/>
      </c>
      <c r="Y2782" s="28">
        <f>Z2782/X2782</f>
        <v/>
      </c>
      <c r="Z2782" s="29" t="n">
        <v>583.933288134562</v>
      </c>
      <c r="AA2782" s="20" t="n">
        <v>31.4739214559837</v>
      </c>
      <c r="AB2782" t="n">
        <v>0.05468085090819881</v>
      </c>
      <c r="AC2782" t="n">
        <v>32.10993859781052</v>
      </c>
      <c r="AD2782" t="n">
        <v>28.78644421678334</v>
      </c>
    </row>
    <row r="2783">
      <c r="A2783" t="n">
        <v>2782</v>
      </c>
      <c r="B2783" t="n">
        <v>42.1</v>
      </c>
      <c r="C2783" s="21">
        <f>B2783-20</f>
        <v/>
      </c>
      <c r="D2783" t="n">
        <v>110.6</v>
      </c>
      <c r="E2783" s="22">
        <f>D2783-90</f>
        <v/>
      </c>
      <c r="F2783" s="23" t="n">
        <v>0.007549</v>
      </c>
      <c r="G2783" s="22" t="n">
        <v>25.6</v>
      </c>
      <c r="H2783" s="22" t="n">
        <v>1.5</v>
      </c>
      <c r="I2783" s="24" t="n">
        <v>0.0439320877194404</v>
      </c>
      <c r="J2783" s="6" t="n">
        <v>71000</v>
      </c>
      <c r="K2783" s="25">
        <f>23*10^-6</f>
        <v/>
      </c>
      <c r="L2783" s="8">
        <f>H2783</f>
        <v/>
      </c>
      <c r="M2783" s="26">
        <f>H2783^2/6</f>
        <v/>
      </c>
      <c r="N2783" s="26">
        <f>H2783^3/12</f>
        <v/>
      </c>
      <c r="O2783" s="27">
        <f>-J2783*L2783*K2783*C2783</f>
        <v/>
      </c>
      <c r="P2783" s="28">
        <f>-(12*F2783*J2783*L2783*N2783+12*O2783*N2783*G2783*COS(RADIANS(E2783)))/(12*N2783*G2783*COS(RADIANS(E2783))^2+L2783*G2783^3*SIN(RADIANS(E2783))^2)</f>
        <v/>
      </c>
      <c r="Q2783" s="28">
        <f>-(6*F2783*J2783*L2783*N2783*SIN(RADIANS(E2783))+6*O2783*N2783*G2783*SIN(RADIANS(E2783))*COS(RADIANS(E2783)))/(12*N2783*COS(RADIANS(E2783))^2+L2783*G2783^2*SIN(RADIANS(E2783))^2)</f>
        <v/>
      </c>
      <c r="R2783" s="28">
        <f>-P2783*SIN(RADIANS(E2783))</f>
        <v/>
      </c>
      <c r="S2783" s="8">
        <f>(O2783+P2783*COS(RADIANS(E2783)))/L2783</f>
        <v/>
      </c>
      <c r="T2783" s="8">
        <f>R2783/L2783</f>
        <v/>
      </c>
      <c r="U2783" s="8">
        <f>(Q2783-P2783*G2783*SIN(RADIANS(E2783)))/M2783</f>
        <v/>
      </c>
      <c r="V2783" s="8">
        <f>SQRT((S2783+U2783)^2+3*T2783^2)</f>
        <v/>
      </c>
      <c r="W2783" s="8">
        <f>V2783/AA2783</f>
        <v/>
      </c>
      <c r="X2783" s="27">
        <f>((3*10+H2783/COS(RADIANS(E2783)))*(3+3)+3*G2783*H2783)*2</f>
        <v/>
      </c>
      <c r="Y2783" s="28">
        <f>Z2783/X2783</f>
        <v/>
      </c>
      <c r="Z2783" s="29" t="n">
        <v>614.702570298511</v>
      </c>
      <c r="AA2783" s="20" t="n">
        <v>34.4274624608674</v>
      </c>
      <c r="AB2783" t="n">
        <v>0.05564627545051917</v>
      </c>
      <c r="AC2783" t="n">
        <v>34.56877193347558</v>
      </c>
      <c r="AD2783" t="n">
        <v>26.66430925360991</v>
      </c>
    </row>
    <row r="2784">
      <c r="A2784" t="n">
        <v>2783</v>
      </c>
      <c r="B2784" t="n">
        <v>74.8</v>
      </c>
      <c r="C2784" s="21">
        <f>B2784-20</f>
        <v/>
      </c>
      <c r="D2784" t="n">
        <v>128.1</v>
      </c>
      <c r="E2784" s="22">
        <f>D2784-90</f>
        <v/>
      </c>
      <c r="F2784" s="23" t="n">
        <v>0.018349</v>
      </c>
      <c r="G2784" s="22" t="n">
        <v>29.7</v>
      </c>
      <c r="H2784" s="22" t="n">
        <v>1.8</v>
      </c>
      <c r="I2784" s="24" t="n">
        <v>0.07959712296724319</v>
      </c>
      <c r="J2784" s="6" t="n">
        <v>71000</v>
      </c>
      <c r="K2784" s="25">
        <f>23*10^-6</f>
        <v/>
      </c>
      <c r="L2784" s="8">
        <f>H2784</f>
        <v/>
      </c>
      <c r="M2784" s="26">
        <f>H2784^2/6</f>
        <v/>
      </c>
      <c r="N2784" s="26">
        <f>H2784^3/12</f>
        <v/>
      </c>
      <c r="O2784" s="27">
        <f>-J2784*L2784*K2784*C2784</f>
        <v/>
      </c>
      <c r="P2784" s="28">
        <f>-(12*F2784*J2784*L2784*N2784+12*O2784*N2784*G2784*COS(RADIANS(E2784)))/(12*N2784*G2784*COS(RADIANS(E2784))^2+L2784*G2784^3*SIN(RADIANS(E2784))^2)</f>
        <v/>
      </c>
      <c r="Q2784" s="28">
        <f>-(6*F2784*J2784*L2784*N2784*SIN(RADIANS(E2784))+6*O2784*N2784*G2784*SIN(RADIANS(E2784))*COS(RADIANS(E2784)))/(12*N2784*COS(RADIANS(E2784))^2+L2784*G2784^2*SIN(RADIANS(E2784))^2)</f>
        <v/>
      </c>
      <c r="R2784" s="28">
        <f>-P2784*SIN(RADIANS(E2784))</f>
        <v/>
      </c>
      <c r="S2784" s="8">
        <f>(O2784+P2784*COS(RADIANS(E2784)))/L2784</f>
        <v/>
      </c>
      <c r="T2784" s="8">
        <f>R2784/L2784</f>
        <v/>
      </c>
      <c r="U2784" s="8">
        <f>(Q2784-P2784*G2784*SIN(RADIANS(E2784)))/M2784</f>
        <v/>
      </c>
      <c r="V2784" s="8">
        <f>SQRT((S2784+U2784)^2+3*T2784^2)</f>
        <v/>
      </c>
      <c r="W2784" s="8">
        <f>V2784/AA2784</f>
        <v/>
      </c>
      <c r="X2784" s="27">
        <f>((3*10+H2784/COS(RADIANS(E2784)))*(3+3)+3*G2784*H2784)*2</f>
        <v/>
      </c>
      <c r="Y2784" s="28">
        <f>Z2784/X2784</f>
        <v/>
      </c>
      <c r="Z2784" s="29" t="n">
        <v>718.139963869965</v>
      </c>
      <c r="AA2784" s="20" t="n">
        <v>84.089740637929</v>
      </c>
      <c r="AB2784" t="n">
        <v>0.0834842231998791</v>
      </c>
      <c r="AC2784" t="n">
        <v>79.8363833493339</v>
      </c>
      <c r="AD2784" t="n">
        <v>4.883468255800614</v>
      </c>
    </row>
    <row r="2785">
      <c r="A2785" t="n">
        <v>2784</v>
      </c>
      <c r="B2785" t="n">
        <v>85</v>
      </c>
      <c r="C2785" s="21">
        <f>B2785-20</f>
        <v/>
      </c>
      <c r="D2785" t="n">
        <v>106.5</v>
      </c>
      <c r="E2785" s="22">
        <f>D2785-90</f>
        <v/>
      </c>
      <c r="F2785" s="23" t="n">
        <v>0.024908</v>
      </c>
      <c r="G2785" s="22" t="n">
        <v>28.8</v>
      </c>
      <c r="H2785" s="22" t="n">
        <v>1.5</v>
      </c>
      <c r="I2785" s="24" t="n">
        <v>0.16565927863121</v>
      </c>
      <c r="J2785" s="6" t="n">
        <v>71000</v>
      </c>
      <c r="K2785" s="25">
        <f>23*10^-6</f>
        <v/>
      </c>
      <c r="L2785" s="8">
        <f>H2785</f>
        <v/>
      </c>
      <c r="M2785" s="26">
        <f>H2785^2/6</f>
        <v/>
      </c>
      <c r="N2785" s="26">
        <f>H2785^3/12</f>
        <v/>
      </c>
      <c r="O2785" s="27">
        <f>-J2785*L2785*K2785*C2785</f>
        <v/>
      </c>
      <c r="P2785" s="28">
        <f>-(12*F2785*J2785*L2785*N2785+12*O2785*N2785*G2785*COS(RADIANS(E2785)))/(12*N2785*G2785*COS(RADIANS(E2785))^2+L2785*G2785^3*SIN(RADIANS(E2785))^2)</f>
        <v/>
      </c>
      <c r="Q2785" s="28">
        <f>-(6*F2785*J2785*L2785*N2785*SIN(RADIANS(E2785))+6*O2785*N2785*G2785*SIN(RADIANS(E2785))*COS(RADIANS(E2785)))/(12*N2785*COS(RADIANS(E2785))^2+L2785*G2785^2*SIN(RADIANS(E2785))^2)</f>
        <v/>
      </c>
      <c r="R2785" s="28">
        <f>-P2785*SIN(RADIANS(E2785))</f>
        <v/>
      </c>
      <c r="S2785" s="8">
        <f>(O2785+P2785*COS(RADIANS(E2785)))/L2785</f>
        <v/>
      </c>
      <c r="T2785" s="8">
        <f>R2785/L2785</f>
        <v/>
      </c>
      <c r="U2785" s="8">
        <f>(Q2785-P2785*G2785*SIN(RADIANS(E2785)))/M2785</f>
        <v/>
      </c>
      <c r="V2785" s="8">
        <f>SQRT((S2785+U2785)^2+3*T2785^2)</f>
        <v/>
      </c>
      <c r="W2785" s="8">
        <f>V2785/AA2785</f>
        <v/>
      </c>
      <c r="X2785" s="27">
        <f>((3*10+H2785/COS(RADIANS(E2785)))*(3+3)+3*G2785*H2785)*2</f>
        <v/>
      </c>
      <c r="Y2785" s="28">
        <f>Z2785/X2785</f>
        <v/>
      </c>
      <c r="Z2785" s="29" t="n">
        <v>642.437483720966</v>
      </c>
      <c r="AA2785" s="20" t="n">
        <v>102.009383151853</v>
      </c>
      <c r="AB2785" t="n">
        <v>0.228396103567652</v>
      </c>
      <c r="AC2785" t="n">
        <v>103.9843407470275</v>
      </c>
      <c r="AD2785" t="n">
        <v>37.87099971388048</v>
      </c>
    </row>
    <row r="2786">
      <c r="A2786" t="n">
        <v>2785</v>
      </c>
      <c r="B2786" t="n">
        <v>62.7</v>
      </c>
      <c r="C2786" s="21">
        <f>B2786-20</f>
        <v/>
      </c>
      <c r="D2786" t="n">
        <v>106.4</v>
      </c>
      <c r="E2786" s="22">
        <f>D2786-90</f>
        <v/>
      </c>
      <c r="F2786" s="23" t="n">
        <v>0.0124</v>
      </c>
      <c r="G2786" s="22" t="n">
        <v>20.3</v>
      </c>
      <c r="H2786" s="22" t="n">
        <v>1.8</v>
      </c>
      <c r="I2786" s="24" t="n">
        <v>0.0834360048174858</v>
      </c>
      <c r="J2786" s="6" t="n">
        <v>71000</v>
      </c>
      <c r="K2786" s="25">
        <f>23*10^-6</f>
        <v/>
      </c>
      <c r="L2786" s="8">
        <f>H2786</f>
        <v/>
      </c>
      <c r="M2786" s="26">
        <f>H2786^2/6</f>
        <v/>
      </c>
      <c r="N2786" s="26">
        <f>H2786^3/12</f>
        <v/>
      </c>
      <c r="O2786" s="27">
        <f>-J2786*L2786*K2786*C2786</f>
        <v/>
      </c>
      <c r="P2786" s="28">
        <f>-(12*F2786*J2786*L2786*N2786+12*O2786*N2786*G2786*COS(RADIANS(E2786)))/(12*N2786*G2786*COS(RADIANS(E2786))^2+L2786*G2786^3*SIN(RADIANS(E2786))^2)</f>
        <v/>
      </c>
      <c r="Q2786" s="28">
        <f>-(6*F2786*J2786*L2786*N2786*SIN(RADIANS(E2786))+6*O2786*N2786*G2786*SIN(RADIANS(E2786))*COS(RADIANS(E2786)))/(12*N2786*COS(RADIANS(E2786))^2+L2786*G2786^2*SIN(RADIANS(E2786))^2)</f>
        <v/>
      </c>
      <c r="R2786" s="28">
        <f>-P2786*SIN(RADIANS(E2786))</f>
        <v/>
      </c>
      <c r="S2786" s="8">
        <f>(O2786+P2786*COS(RADIANS(E2786)))/L2786</f>
        <v/>
      </c>
      <c r="T2786" s="8">
        <f>R2786/L2786</f>
        <v/>
      </c>
      <c r="U2786" s="8">
        <f>(Q2786-P2786*G2786*SIN(RADIANS(E2786)))/M2786</f>
        <v/>
      </c>
      <c r="V2786" s="8">
        <f>SQRT((S2786+U2786)^2+3*T2786^2)</f>
        <v/>
      </c>
      <c r="W2786" s="8">
        <f>V2786/AA2786</f>
        <v/>
      </c>
      <c r="X2786" s="27">
        <f>((3*10+H2786/COS(RADIANS(E2786)))*(3+3)+3*G2786*H2786)*2</f>
        <v/>
      </c>
      <c r="Y2786" s="28">
        <f>Z2786/X2786</f>
        <v/>
      </c>
      <c r="Z2786" s="29" t="n">
        <v>606.2075976277511</v>
      </c>
      <c r="AA2786" s="20" t="n">
        <v>76.9822673496589</v>
      </c>
      <c r="AB2786" t="n">
        <v>0.1030587386727926</v>
      </c>
      <c r="AC2786" t="n">
        <v>72.38864093629618</v>
      </c>
      <c r="AD2786" t="n">
        <v>23.51830471536966</v>
      </c>
    </row>
    <row r="2787">
      <c r="A2787" t="n">
        <v>2786</v>
      </c>
      <c r="B2787" t="n">
        <v>73.7</v>
      </c>
      <c r="C2787" s="21">
        <f>B2787-20</f>
        <v/>
      </c>
      <c r="D2787" t="n">
        <v>119.9</v>
      </c>
      <c r="E2787" s="22">
        <f>D2787-90</f>
        <v/>
      </c>
      <c r="F2787" s="23" t="n">
        <v>0.020443</v>
      </c>
      <c r="G2787" s="22" t="n">
        <v>31.6</v>
      </c>
      <c r="H2787" s="22" t="n">
        <v>1.3</v>
      </c>
      <c r="I2787" s="24" t="n">
        <v>0.0946526303887367</v>
      </c>
      <c r="J2787" s="6" t="n">
        <v>71000</v>
      </c>
      <c r="K2787" s="25">
        <f>23*10^-6</f>
        <v/>
      </c>
      <c r="L2787" s="8">
        <f>H2787</f>
        <v/>
      </c>
      <c r="M2787" s="26">
        <f>H2787^2/6</f>
        <v/>
      </c>
      <c r="N2787" s="26">
        <f>H2787^3/12</f>
        <v/>
      </c>
      <c r="O2787" s="27">
        <f>-J2787*L2787*K2787*C2787</f>
        <v/>
      </c>
      <c r="P2787" s="28">
        <f>-(12*F2787*J2787*L2787*N2787+12*O2787*N2787*G2787*COS(RADIANS(E2787)))/(12*N2787*G2787*COS(RADIANS(E2787))^2+L2787*G2787^3*SIN(RADIANS(E2787))^2)</f>
        <v/>
      </c>
      <c r="Q2787" s="28">
        <f>-(6*F2787*J2787*L2787*N2787*SIN(RADIANS(E2787))+6*O2787*N2787*G2787*SIN(RADIANS(E2787))*COS(RADIANS(E2787)))/(12*N2787*COS(RADIANS(E2787))^2+L2787*G2787^2*SIN(RADIANS(E2787))^2)</f>
        <v/>
      </c>
      <c r="R2787" s="28">
        <f>-P2787*SIN(RADIANS(E2787))</f>
        <v/>
      </c>
      <c r="S2787" s="8">
        <f>(O2787+P2787*COS(RADIANS(E2787)))/L2787</f>
        <v/>
      </c>
      <c r="T2787" s="8">
        <f>R2787/L2787</f>
        <v/>
      </c>
      <c r="U2787" s="8">
        <f>(Q2787-P2787*G2787*SIN(RADIANS(E2787)))/M2787</f>
        <v/>
      </c>
      <c r="V2787" s="8">
        <f>SQRT((S2787+U2787)^2+3*T2787^2)</f>
        <v/>
      </c>
      <c r="W2787" s="8">
        <f>V2787/AA2787</f>
        <v/>
      </c>
      <c r="X2787" s="27">
        <f>((3*10+H2787/COS(RADIANS(E2787)))*(3+3)+3*G2787*H2787)*2</f>
        <v/>
      </c>
      <c r="Y2787" s="28">
        <f>Z2787/X2787</f>
        <v/>
      </c>
      <c r="Z2787" s="29" t="n">
        <v>631.593809924583</v>
      </c>
      <c r="AA2787" s="20" t="n">
        <v>76.3550360494589</v>
      </c>
      <c r="AB2787" t="n">
        <v>0.1132071527477742</v>
      </c>
      <c r="AC2787" t="n">
        <v>78.07605287534261</v>
      </c>
      <c r="AD2787" t="n">
        <v>19.6027540733252</v>
      </c>
    </row>
    <row r="2788">
      <c r="A2788" t="n">
        <v>2787</v>
      </c>
      <c r="B2788" t="n">
        <v>65.40000000000001</v>
      </c>
      <c r="C2788" s="21">
        <f>B2788-20</f>
        <v/>
      </c>
      <c r="D2788" t="n">
        <v>101.8</v>
      </c>
      <c r="E2788" s="22">
        <f>D2788-90</f>
        <v/>
      </c>
      <c r="F2788" s="23" t="n">
        <v>0.015062</v>
      </c>
      <c r="G2788" s="22" t="n">
        <v>23.6</v>
      </c>
      <c r="H2788" s="22" t="n">
        <v>1.8</v>
      </c>
      <c r="I2788" s="24" t="n">
        <v>0.123230971395969</v>
      </c>
      <c r="J2788" s="6" t="n">
        <v>71000</v>
      </c>
      <c r="K2788" s="25">
        <f>23*10^-6</f>
        <v/>
      </c>
      <c r="L2788" s="8">
        <f>H2788</f>
        <v/>
      </c>
      <c r="M2788" s="26">
        <f>H2788^2/6</f>
        <v/>
      </c>
      <c r="N2788" s="26">
        <f>H2788^3/12</f>
        <v/>
      </c>
      <c r="O2788" s="27">
        <f>-J2788*L2788*K2788*C2788</f>
        <v/>
      </c>
      <c r="P2788" s="28">
        <f>-(12*F2788*J2788*L2788*N2788+12*O2788*N2788*G2788*COS(RADIANS(E2788)))/(12*N2788*G2788*COS(RADIANS(E2788))^2+L2788*G2788^3*SIN(RADIANS(E2788))^2)</f>
        <v/>
      </c>
      <c r="Q2788" s="28">
        <f>-(6*F2788*J2788*L2788*N2788*SIN(RADIANS(E2788))+6*O2788*N2788*G2788*SIN(RADIANS(E2788))*COS(RADIANS(E2788)))/(12*N2788*COS(RADIANS(E2788))^2+L2788*G2788^2*SIN(RADIANS(E2788))^2)</f>
        <v/>
      </c>
      <c r="R2788" s="28">
        <f>-P2788*SIN(RADIANS(E2788))</f>
        <v/>
      </c>
      <c r="S2788" s="8">
        <f>(O2788+P2788*COS(RADIANS(E2788)))/L2788</f>
        <v/>
      </c>
      <c r="T2788" s="8">
        <f>R2788/L2788</f>
        <v/>
      </c>
      <c r="U2788" s="8">
        <f>(Q2788-P2788*G2788*SIN(RADIANS(E2788)))/M2788</f>
        <v/>
      </c>
      <c r="V2788" s="8">
        <f>SQRT((S2788+U2788)^2+3*T2788^2)</f>
        <v/>
      </c>
      <c r="W2788" s="8">
        <f>V2788/AA2788</f>
        <v/>
      </c>
      <c r="X2788" s="27">
        <f>((3*10+H2788/COS(RADIANS(E2788)))*(3+3)+3*G2788*H2788)*2</f>
        <v/>
      </c>
      <c r="Y2788" s="28">
        <f>Z2788/X2788</f>
        <v/>
      </c>
      <c r="Z2788" s="29" t="n">
        <v>640.898080480377</v>
      </c>
      <c r="AA2788" s="20" t="n">
        <v>91.62311012725741</v>
      </c>
      <c r="AB2788" t="n">
        <v>0.1695798762004587</v>
      </c>
      <c r="AC2788" t="n">
        <v>80.42540593961306</v>
      </c>
      <c r="AD2788" t="n">
        <v>37.61140911204879</v>
      </c>
    </row>
    <row r="2789">
      <c r="A2789" t="n">
        <v>2788</v>
      </c>
      <c r="B2789" t="n">
        <v>52.8</v>
      </c>
      <c r="C2789" s="21">
        <f>B2789-20</f>
        <v/>
      </c>
      <c r="D2789" t="n">
        <v>126.1</v>
      </c>
      <c r="E2789" s="22">
        <f>D2789-90</f>
        <v/>
      </c>
      <c r="F2789" s="23" t="n">
        <v>0.011337</v>
      </c>
      <c r="G2789" s="22" t="n">
        <v>30.1</v>
      </c>
      <c r="H2789" s="22" t="n">
        <v>1.3</v>
      </c>
      <c r="I2789" s="24" t="n">
        <v>0.0495407506823539</v>
      </c>
      <c r="J2789" s="6" t="n">
        <v>71000</v>
      </c>
      <c r="K2789" s="25">
        <f>23*10^-6</f>
        <v/>
      </c>
      <c r="L2789" s="8">
        <f>H2789</f>
        <v/>
      </c>
      <c r="M2789" s="26">
        <f>H2789^2/6</f>
        <v/>
      </c>
      <c r="N2789" s="26">
        <f>H2789^3/12</f>
        <v/>
      </c>
      <c r="O2789" s="27">
        <f>-J2789*L2789*K2789*C2789</f>
        <v/>
      </c>
      <c r="P2789" s="28">
        <f>-(12*F2789*J2789*L2789*N2789+12*O2789*N2789*G2789*COS(RADIANS(E2789)))/(12*N2789*G2789*COS(RADIANS(E2789))^2+L2789*G2789^3*SIN(RADIANS(E2789))^2)</f>
        <v/>
      </c>
      <c r="Q2789" s="28">
        <f>-(6*F2789*J2789*L2789*N2789*SIN(RADIANS(E2789))+6*O2789*N2789*G2789*SIN(RADIANS(E2789))*COS(RADIANS(E2789)))/(12*N2789*COS(RADIANS(E2789))^2+L2789*G2789^2*SIN(RADIANS(E2789))^2)</f>
        <v/>
      </c>
      <c r="R2789" s="28">
        <f>-P2789*SIN(RADIANS(E2789))</f>
        <v/>
      </c>
      <c r="S2789" s="8">
        <f>(O2789+P2789*COS(RADIANS(E2789)))/L2789</f>
        <v/>
      </c>
      <c r="T2789" s="8">
        <f>R2789/L2789</f>
        <v/>
      </c>
      <c r="U2789" s="8">
        <f>(Q2789-P2789*G2789*SIN(RADIANS(E2789)))/M2789</f>
        <v/>
      </c>
      <c r="V2789" s="8">
        <f>SQRT((S2789+U2789)^2+3*T2789^2)</f>
        <v/>
      </c>
      <c r="W2789" s="8">
        <f>V2789/AA2789</f>
        <v/>
      </c>
      <c r="X2789" s="27">
        <f>((3*10+H2789/COS(RADIANS(E2789)))*(3+3)+3*G2789*H2789)*2</f>
        <v/>
      </c>
      <c r="Y2789" s="28">
        <f>Z2789/X2789</f>
        <v/>
      </c>
      <c r="Z2789" s="29" t="n">
        <v>623.224143983864</v>
      </c>
      <c r="AA2789" s="20" t="n">
        <v>45.4868970758212</v>
      </c>
      <c r="AB2789" t="n">
        <v>0.05386922391351791</v>
      </c>
      <c r="AC2789" t="n">
        <v>46.97582978015662</v>
      </c>
      <c r="AD2789" t="n">
        <v>8.737197502148037</v>
      </c>
    </row>
    <row r="2790">
      <c r="A2790" t="n">
        <v>2789</v>
      </c>
      <c r="B2790" t="n">
        <v>74.09999999999999</v>
      </c>
      <c r="C2790" s="21">
        <f>B2790-20</f>
        <v/>
      </c>
      <c r="D2790" t="n">
        <v>114.9</v>
      </c>
      <c r="E2790" s="22">
        <f>D2790-90</f>
        <v/>
      </c>
      <c r="F2790" s="23" t="n">
        <v>0.017686</v>
      </c>
      <c r="G2790" s="22" t="n">
        <v>25</v>
      </c>
      <c r="H2790" s="22" t="n">
        <v>1.7</v>
      </c>
      <c r="I2790" s="24" t="n">
        <v>0.0924239754676818</v>
      </c>
      <c r="J2790" s="6" t="n">
        <v>71000</v>
      </c>
      <c r="K2790" s="25">
        <f>23*10^-6</f>
        <v/>
      </c>
      <c r="L2790" s="8">
        <f>H2790</f>
        <v/>
      </c>
      <c r="M2790" s="26">
        <f>H2790^2/6</f>
        <v/>
      </c>
      <c r="N2790" s="26">
        <f>H2790^3/12</f>
        <v/>
      </c>
      <c r="O2790" s="27">
        <f>-J2790*L2790*K2790*C2790</f>
        <v/>
      </c>
      <c r="P2790" s="28">
        <f>-(12*F2790*J2790*L2790*N2790+12*O2790*N2790*G2790*COS(RADIANS(E2790)))/(12*N2790*G2790*COS(RADIANS(E2790))^2+L2790*G2790^3*SIN(RADIANS(E2790))^2)</f>
        <v/>
      </c>
      <c r="Q2790" s="28">
        <f>-(6*F2790*J2790*L2790*N2790*SIN(RADIANS(E2790))+6*O2790*N2790*G2790*SIN(RADIANS(E2790))*COS(RADIANS(E2790)))/(12*N2790*COS(RADIANS(E2790))^2+L2790*G2790^2*SIN(RADIANS(E2790))^2)</f>
        <v/>
      </c>
      <c r="R2790" s="28">
        <f>-P2790*SIN(RADIANS(E2790))</f>
        <v/>
      </c>
      <c r="S2790" s="8">
        <f>(O2790+P2790*COS(RADIANS(E2790)))/L2790</f>
        <v/>
      </c>
      <c r="T2790" s="8">
        <f>R2790/L2790</f>
        <v/>
      </c>
      <c r="U2790" s="8">
        <f>(Q2790-P2790*G2790*SIN(RADIANS(E2790)))/M2790</f>
        <v/>
      </c>
      <c r="V2790" s="8">
        <f>SQRT((S2790+U2790)^2+3*T2790^2)</f>
        <v/>
      </c>
      <c r="W2790" s="8">
        <f>V2790/AA2790</f>
        <v/>
      </c>
      <c r="X2790" s="27">
        <f>((3*10+H2790/COS(RADIANS(E2790)))*(3+3)+3*G2790*H2790)*2</f>
        <v/>
      </c>
      <c r="Y2790" s="28">
        <f>Z2790/X2790</f>
        <v/>
      </c>
      <c r="Z2790" s="29" t="n">
        <v>643.3838449214149</v>
      </c>
      <c r="AA2790" s="20" t="n">
        <v>86.6773979340161</v>
      </c>
      <c r="AB2790" t="n">
        <v>0.1094586426855488</v>
      </c>
      <c r="AC2790" t="n">
        <v>83.76170790475099</v>
      </c>
      <c r="AD2790" t="n">
        <v>18.43100465184338</v>
      </c>
    </row>
    <row r="2791">
      <c r="A2791" t="n">
        <v>2790</v>
      </c>
      <c r="B2791" t="n">
        <v>85.8</v>
      </c>
      <c r="C2791" s="21">
        <f>B2791-20</f>
        <v/>
      </c>
      <c r="D2791" t="n">
        <v>121.2</v>
      </c>
      <c r="E2791" s="22">
        <f>D2791-90</f>
        <v/>
      </c>
      <c r="F2791" s="23" t="n">
        <v>0.023236</v>
      </c>
      <c r="G2791" s="22" t="n">
        <v>29.2</v>
      </c>
      <c r="H2791" s="22" t="n">
        <v>1.3</v>
      </c>
      <c r="I2791" s="24" t="n">
        <v>0.106931343674659</v>
      </c>
      <c r="J2791" s="6" t="n">
        <v>71000</v>
      </c>
      <c r="K2791" s="25">
        <f>23*10^-6</f>
        <v/>
      </c>
      <c r="L2791" s="8">
        <f>H2791</f>
        <v/>
      </c>
      <c r="M2791" s="26">
        <f>H2791^2/6</f>
        <v/>
      </c>
      <c r="N2791" s="26">
        <f>H2791^3/12</f>
        <v/>
      </c>
      <c r="O2791" s="27">
        <f>-J2791*L2791*K2791*C2791</f>
        <v/>
      </c>
      <c r="P2791" s="28">
        <f>-(12*F2791*J2791*L2791*N2791+12*O2791*N2791*G2791*COS(RADIANS(E2791)))/(12*N2791*G2791*COS(RADIANS(E2791))^2+L2791*G2791^3*SIN(RADIANS(E2791))^2)</f>
        <v/>
      </c>
      <c r="Q2791" s="28">
        <f>-(6*F2791*J2791*L2791*N2791*SIN(RADIANS(E2791))+6*O2791*N2791*G2791*SIN(RADIANS(E2791))*COS(RADIANS(E2791)))/(12*N2791*COS(RADIANS(E2791))^2+L2791*G2791^2*SIN(RADIANS(E2791))^2)</f>
        <v/>
      </c>
      <c r="R2791" s="28">
        <f>-P2791*SIN(RADIANS(E2791))</f>
        <v/>
      </c>
      <c r="S2791" s="8">
        <f>(O2791+P2791*COS(RADIANS(E2791)))/L2791</f>
        <v/>
      </c>
      <c r="T2791" s="8">
        <f>R2791/L2791</f>
        <v/>
      </c>
      <c r="U2791" s="8">
        <f>(Q2791-P2791*G2791*SIN(RADIANS(E2791)))/M2791</f>
        <v/>
      </c>
      <c r="V2791" s="8">
        <f>SQRT((S2791+U2791)^2+3*T2791^2)</f>
        <v/>
      </c>
      <c r="W2791" s="8">
        <f>V2791/AA2791</f>
        <v/>
      </c>
      <c r="X2791" s="27">
        <f>((3*10+H2791/COS(RADIANS(E2791)))*(3+3)+3*G2791*H2791)*2</f>
        <v/>
      </c>
      <c r="Y2791" s="28">
        <f>Z2791/X2791</f>
        <v/>
      </c>
      <c r="Z2791" s="29" t="n">
        <v>613.489695102216</v>
      </c>
      <c r="AA2791" s="20" t="n">
        <v>93.7636869832196</v>
      </c>
      <c r="AB2791" t="n">
        <v>0.1229340330968369</v>
      </c>
      <c r="AC2791" t="n">
        <v>95.66342966935223</v>
      </c>
      <c r="AD2791" t="n">
        <v>14.96538701586544</v>
      </c>
    </row>
    <row r="2792">
      <c r="A2792" t="n">
        <v>2791</v>
      </c>
      <c r="B2792" t="n">
        <v>61</v>
      </c>
      <c r="C2792" s="21">
        <f>B2792-20</f>
        <v/>
      </c>
      <c r="D2792" t="n">
        <v>129.5</v>
      </c>
      <c r="E2792" s="22">
        <f>D2792-90</f>
        <v/>
      </c>
      <c r="F2792" s="23" t="n">
        <v>0.011785</v>
      </c>
      <c r="G2792" s="22" t="n">
        <v>24.9</v>
      </c>
      <c r="H2792" s="22" t="n">
        <v>1.6</v>
      </c>
      <c r="I2792" s="24" t="n">
        <v>0.0520912408828735</v>
      </c>
      <c r="J2792" s="6" t="n">
        <v>71000</v>
      </c>
      <c r="K2792" s="25">
        <f>23*10^-6</f>
        <v/>
      </c>
      <c r="L2792" s="8">
        <f>H2792</f>
        <v/>
      </c>
      <c r="M2792" s="26">
        <f>H2792^2/6</f>
        <v/>
      </c>
      <c r="N2792" s="26">
        <f>H2792^3/12</f>
        <v/>
      </c>
      <c r="O2792" s="27">
        <f>-J2792*L2792*K2792*C2792</f>
        <v/>
      </c>
      <c r="P2792" s="28">
        <f>-(12*F2792*J2792*L2792*N2792+12*O2792*N2792*G2792*COS(RADIANS(E2792)))/(12*N2792*G2792*COS(RADIANS(E2792))^2+L2792*G2792^3*SIN(RADIANS(E2792))^2)</f>
        <v/>
      </c>
      <c r="Q2792" s="28">
        <f>-(6*F2792*J2792*L2792*N2792*SIN(RADIANS(E2792))+6*O2792*N2792*G2792*SIN(RADIANS(E2792))*COS(RADIANS(E2792)))/(12*N2792*COS(RADIANS(E2792))^2+L2792*G2792^2*SIN(RADIANS(E2792))^2)</f>
        <v/>
      </c>
      <c r="R2792" s="28">
        <f>-P2792*SIN(RADIANS(E2792))</f>
        <v/>
      </c>
      <c r="S2792" s="8">
        <f>(O2792+P2792*COS(RADIANS(E2792)))/L2792</f>
        <v/>
      </c>
      <c r="T2792" s="8">
        <f>R2792/L2792</f>
        <v/>
      </c>
      <c r="U2792" s="8">
        <f>(Q2792-P2792*G2792*SIN(RADIANS(E2792)))/M2792</f>
        <v/>
      </c>
      <c r="V2792" s="8">
        <f>SQRT((S2792+U2792)^2+3*T2792^2)</f>
        <v/>
      </c>
      <c r="W2792" s="8">
        <f>V2792/AA2792</f>
        <v/>
      </c>
      <c r="X2792" s="27">
        <f>((3*10+H2792/COS(RADIANS(E2792)))*(3+3)+3*G2792*H2792)*2</f>
        <v/>
      </c>
      <c r="Y2792" s="28">
        <f>Z2792/X2792</f>
        <v/>
      </c>
      <c r="Z2792" s="29" t="n">
        <v>634.459403983872</v>
      </c>
      <c r="AA2792" s="20" t="n">
        <v>61.2799881613253</v>
      </c>
      <c r="AB2792" t="n">
        <v>0.05084290590358168</v>
      </c>
      <c r="AC2792" t="n">
        <v>59.42630786245712</v>
      </c>
      <c r="AD2792" t="n">
        <v>-2.396439320957402</v>
      </c>
    </row>
    <row r="2793">
      <c r="A2793" t="n">
        <v>2792</v>
      </c>
      <c r="B2793" t="n">
        <v>85.90000000000001</v>
      </c>
      <c r="C2793" s="21">
        <f>B2793-20</f>
        <v/>
      </c>
      <c r="D2793" t="n">
        <v>104</v>
      </c>
      <c r="E2793" s="22">
        <f>D2793-90</f>
        <v/>
      </c>
      <c r="F2793" s="23" t="n">
        <v>0.026813</v>
      </c>
      <c r="G2793" s="22" t="n">
        <v>30.6</v>
      </c>
      <c r="H2793" s="22" t="n">
        <v>1.4</v>
      </c>
      <c r="I2793" s="24" t="n">
        <v>0.200237452983856</v>
      </c>
      <c r="J2793" s="6" t="n">
        <v>71000</v>
      </c>
      <c r="K2793" s="25">
        <f>23*10^-6</f>
        <v/>
      </c>
      <c r="L2793" s="8">
        <f>H2793</f>
        <v/>
      </c>
      <c r="M2793" s="26">
        <f>H2793^2/6</f>
        <v/>
      </c>
      <c r="N2793" s="26">
        <f>H2793^3/12</f>
        <v/>
      </c>
      <c r="O2793" s="27">
        <f>-J2793*L2793*K2793*C2793</f>
        <v/>
      </c>
      <c r="P2793" s="28">
        <f>-(12*F2793*J2793*L2793*N2793+12*O2793*N2793*G2793*COS(RADIANS(E2793)))/(12*N2793*G2793*COS(RADIANS(E2793))^2+L2793*G2793^3*SIN(RADIANS(E2793))^2)</f>
        <v/>
      </c>
      <c r="Q2793" s="28">
        <f>-(6*F2793*J2793*L2793*N2793*SIN(RADIANS(E2793))+6*O2793*N2793*G2793*SIN(RADIANS(E2793))*COS(RADIANS(E2793)))/(12*N2793*COS(RADIANS(E2793))^2+L2793*G2793^2*SIN(RADIANS(E2793))^2)</f>
        <v/>
      </c>
      <c r="R2793" s="28">
        <f>-P2793*SIN(RADIANS(E2793))</f>
        <v/>
      </c>
      <c r="S2793" s="8">
        <f>(O2793+P2793*COS(RADIANS(E2793)))/L2793</f>
        <v/>
      </c>
      <c r="T2793" s="8">
        <f>R2793/L2793</f>
        <v/>
      </c>
      <c r="U2793" s="8">
        <f>(Q2793-P2793*G2793*SIN(RADIANS(E2793)))/M2793</f>
        <v/>
      </c>
      <c r="V2793" s="8">
        <f>SQRT((S2793+U2793)^2+3*T2793^2)</f>
        <v/>
      </c>
      <c r="W2793" s="8">
        <f>V2793/AA2793</f>
        <v/>
      </c>
      <c r="X2793" s="27">
        <f>((3*10+H2793/COS(RADIANS(E2793)))*(3+3)+3*G2793*H2793)*2</f>
        <v/>
      </c>
      <c r="Y2793" s="28">
        <f>Z2793/X2793</f>
        <v/>
      </c>
      <c r="Z2793" s="29" t="n">
        <v>638.522665463118</v>
      </c>
      <c r="AA2793" s="20" t="n">
        <v>101.432007983006</v>
      </c>
      <c r="AB2793" t="n">
        <v>0.2892923951859919</v>
      </c>
      <c r="AC2793" t="n">
        <v>106.4001199943628</v>
      </c>
      <c r="AD2793" t="n">
        <v>44.47466788808778</v>
      </c>
    </row>
    <row r="2794">
      <c r="A2794" t="n">
        <v>2793</v>
      </c>
      <c r="B2794" t="n">
        <v>67.8</v>
      </c>
      <c r="C2794" s="21">
        <f>B2794-20</f>
        <v/>
      </c>
      <c r="D2794" t="n">
        <v>105.3</v>
      </c>
      <c r="E2794" s="22">
        <f>D2794-90</f>
        <v/>
      </c>
      <c r="F2794" s="23" t="n">
        <v>0.016094</v>
      </c>
      <c r="G2794" s="22" t="n">
        <v>24.4</v>
      </c>
      <c r="H2794" s="22" t="n">
        <v>1.5</v>
      </c>
      <c r="I2794" s="24" t="n">
        <v>0.114051572978496</v>
      </c>
      <c r="J2794" s="6" t="n">
        <v>71000</v>
      </c>
      <c r="K2794" s="25">
        <f>23*10^-6</f>
        <v/>
      </c>
      <c r="L2794" s="8">
        <f>H2794</f>
        <v/>
      </c>
      <c r="M2794" s="26">
        <f>H2794^2/6</f>
        <v/>
      </c>
      <c r="N2794" s="26">
        <f>H2794^3/12</f>
        <v/>
      </c>
      <c r="O2794" s="27">
        <f>-J2794*L2794*K2794*C2794</f>
        <v/>
      </c>
      <c r="P2794" s="28">
        <f>-(12*F2794*J2794*L2794*N2794+12*O2794*N2794*G2794*COS(RADIANS(E2794)))/(12*N2794*G2794*COS(RADIANS(E2794))^2+L2794*G2794^3*SIN(RADIANS(E2794))^2)</f>
        <v/>
      </c>
      <c r="Q2794" s="28">
        <f>-(6*F2794*J2794*L2794*N2794*SIN(RADIANS(E2794))+6*O2794*N2794*G2794*SIN(RADIANS(E2794))*COS(RADIANS(E2794)))/(12*N2794*COS(RADIANS(E2794))^2+L2794*G2794^2*SIN(RADIANS(E2794))^2)</f>
        <v/>
      </c>
      <c r="R2794" s="28">
        <f>-P2794*SIN(RADIANS(E2794))</f>
        <v/>
      </c>
      <c r="S2794" s="8">
        <f>(O2794+P2794*COS(RADIANS(E2794)))/L2794</f>
        <v/>
      </c>
      <c r="T2794" s="8">
        <f>R2794/L2794</f>
        <v/>
      </c>
      <c r="U2794" s="8">
        <f>(Q2794-P2794*G2794*SIN(RADIANS(E2794)))/M2794</f>
        <v/>
      </c>
      <c r="V2794" s="8">
        <f>SQRT((S2794+U2794)^2+3*T2794^2)</f>
        <v/>
      </c>
      <c r="W2794" s="8">
        <f>V2794/AA2794</f>
        <v/>
      </c>
      <c r="X2794" s="27">
        <f>((3*10+H2794/COS(RADIANS(E2794)))*(3+3)+3*G2794*H2794)*2</f>
        <v/>
      </c>
      <c r="Y2794" s="28">
        <f>Z2794/X2794</f>
        <v/>
      </c>
      <c r="Z2794" s="29" t="n">
        <v>602.576915867385</v>
      </c>
      <c r="AA2794" s="20" t="n">
        <v>76.6481769369821</v>
      </c>
      <c r="AB2794" t="n">
        <v>0.1525645803634939</v>
      </c>
      <c r="AC2794" t="n">
        <v>78.60991098293184</v>
      </c>
      <c r="AD2794" t="n">
        <v>33.76806332365042</v>
      </c>
    </row>
    <row r="2795">
      <c r="A2795" t="n">
        <v>2794</v>
      </c>
      <c r="B2795" t="n">
        <v>72.40000000000001</v>
      </c>
      <c r="C2795" s="21">
        <f>B2795-20</f>
        <v/>
      </c>
      <c r="D2795" t="n">
        <v>121.9</v>
      </c>
      <c r="E2795" s="22">
        <f>D2795-90</f>
        <v/>
      </c>
      <c r="F2795" s="23" t="n">
        <v>0.021131</v>
      </c>
      <c r="G2795" s="22" t="n">
        <v>34.6</v>
      </c>
      <c r="H2795" s="22" t="n">
        <v>2</v>
      </c>
      <c r="I2795" s="24" t="n">
        <v>0.0943188667297363</v>
      </c>
      <c r="J2795" s="6" t="n">
        <v>71000</v>
      </c>
      <c r="K2795" s="25">
        <f>23*10^-6</f>
        <v/>
      </c>
      <c r="L2795" s="8">
        <f>H2795</f>
        <v/>
      </c>
      <c r="M2795" s="26">
        <f>H2795^2/6</f>
        <v/>
      </c>
      <c r="N2795" s="26">
        <f>H2795^3/12</f>
        <v/>
      </c>
      <c r="O2795" s="27">
        <f>-J2795*L2795*K2795*C2795</f>
        <v/>
      </c>
      <c r="P2795" s="28">
        <f>-(12*F2795*J2795*L2795*N2795+12*O2795*N2795*G2795*COS(RADIANS(E2795)))/(12*N2795*G2795*COS(RADIANS(E2795))^2+L2795*G2795^3*SIN(RADIANS(E2795))^2)</f>
        <v/>
      </c>
      <c r="Q2795" s="28">
        <f>-(6*F2795*J2795*L2795*N2795*SIN(RADIANS(E2795))+6*O2795*N2795*G2795*SIN(RADIANS(E2795))*COS(RADIANS(E2795)))/(12*N2795*COS(RADIANS(E2795))^2+L2795*G2795^2*SIN(RADIANS(E2795))^2)</f>
        <v/>
      </c>
      <c r="R2795" s="28">
        <f>-P2795*SIN(RADIANS(E2795))</f>
        <v/>
      </c>
      <c r="S2795" s="8">
        <f>(O2795+P2795*COS(RADIANS(E2795)))/L2795</f>
        <v/>
      </c>
      <c r="T2795" s="8">
        <f>R2795/L2795</f>
        <v/>
      </c>
      <c r="U2795" s="8">
        <f>(Q2795-P2795*G2795*SIN(RADIANS(E2795)))/M2795</f>
        <v/>
      </c>
      <c r="V2795" s="8">
        <f>SQRT((S2795+U2795)^2+3*T2795^2)</f>
        <v/>
      </c>
      <c r="W2795" s="8">
        <f>V2795/AA2795</f>
        <v/>
      </c>
      <c r="X2795" s="27">
        <f>((3*10+H2795/COS(RADIANS(E2795)))*(3+3)+3*G2795*H2795)*2</f>
        <v/>
      </c>
      <c r="Y2795" s="28">
        <f>Z2795/X2795</f>
        <v/>
      </c>
      <c r="Z2795" s="29" t="n">
        <v>811.172617315905</v>
      </c>
      <c r="AA2795" s="20" t="n">
        <v>83.5054901505533</v>
      </c>
      <c r="AB2795" t="n">
        <v>0.1117829649962349</v>
      </c>
      <c r="AC2795" t="n">
        <v>77.9736849563586</v>
      </c>
      <c r="AD2795" t="n">
        <v>18.51601792093266</v>
      </c>
    </row>
    <row r="2796">
      <c r="A2796" t="n">
        <v>2795</v>
      </c>
      <c r="B2796" t="n">
        <v>87.8</v>
      </c>
      <c r="C2796" s="21">
        <f>B2796-20</f>
        <v/>
      </c>
      <c r="D2796" t="n">
        <v>124.4</v>
      </c>
      <c r="E2796" s="22">
        <f>D2796-90</f>
        <v/>
      </c>
      <c r="F2796" s="23" t="n">
        <v>0.01803</v>
      </c>
      <c r="G2796" s="22" t="n">
        <v>21</v>
      </c>
      <c r="H2796" s="22" t="n">
        <v>1.5</v>
      </c>
      <c r="I2796" s="24" t="n">
        <v>0.0844396576285362</v>
      </c>
      <c r="J2796" s="6" t="n">
        <v>71000</v>
      </c>
      <c r="K2796" s="25">
        <f>23*10^-6</f>
        <v/>
      </c>
      <c r="L2796" s="8">
        <f>H2796</f>
        <v/>
      </c>
      <c r="M2796" s="26">
        <f>H2796^2/6</f>
        <v/>
      </c>
      <c r="N2796" s="26">
        <f>H2796^3/12</f>
        <v/>
      </c>
      <c r="O2796" s="27">
        <f>-J2796*L2796*K2796*C2796</f>
        <v/>
      </c>
      <c r="P2796" s="28">
        <f>-(12*F2796*J2796*L2796*N2796+12*O2796*N2796*G2796*COS(RADIANS(E2796)))/(12*N2796*G2796*COS(RADIANS(E2796))^2+L2796*G2796^3*SIN(RADIANS(E2796))^2)</f>
        <v/>
      </c>
      <c r="Q2796" s="28">
        <f>-(6*F2796*J2796*L2796*N2796*SIN(RADIANS(E2796))+6*O2796*N2796*G2796*SIN(RADIANS(E2796))*COS(RADIANS(E2796)))/(12*N2796*COS(RADIANS(E2796))^2+L2796*G2796^2*SIN(RADIANS(E2796))^2)</f>
        <v/>
      </c>
      <c r="R2796" s="28">
        <f>-P2796*SIN(RADIANS(E2796))</f>
        <v/>
      </c>
      <c r="S2796" s="8">
        <f>(O2796+P2796*COS(RADIANS(E2796)))/L2796</f>
        <v/>
      </c>
      <c r="T2796" s="8">
        <f>R2796/L2796</f>
        <v/>
      </c>
      <c r="U2796" s="8">
        <f>(Q2796-P2796*G2796*SIN(RADIANS(E2796)))/M2796</f>
        <v/>
      </c>
      <c r="V2796" s="8">
        <f>SQRT((S2796+U2796)^2+3*T2796^2)</f>
        <v/>
      </c>
      <c r="W2796" s="8">
        <f>V2796/AA2796</f>
        <v/>
      </c>
      <c r="X2796" s="27">
        <f>((3*10+H2796/COS(RADIANS(E2796)))*(3+3)+3*G2796*H2796)*2</f>
        <v/>
      </c>
      <c r="Y2796" s="28">
        <f>Z2796/X2796</f>
        <v/>
      </c>
      <c r="Z2796" s="29" t="n">
        <v>579.3357175076241</v>
      </c>
      <c r="AA2796" s="20" t="n">
        <v>104.430211047939</v>
      </c>
      <c r="AB2796" t="n">
        <v>0.0832554604904274</v>
      </c>
      <c r="AC2796" t="n">
        <v>100.1181654642279</v>
      </c>
      <c r="AD2796" t="n">
        <v>-1.402418213629283</v>
      </c>
    </row>
    <row r="2797">
      <c r="A2797" t="n">
        <v>2796</v>
      </c>
      <c r="B2797" t="n">
        <v>78.90000000000001</v>
      </c>
      <c r="C2797" s="21">
        <f>B2797-20</f>
        <v/>
      </c>
      <c r="D2797" t="n">
        <v>117.8</v>
      </c>
      <c r="E2797" s="22">
        <f>D2797-90</f>
        <v/>
      </c>
      <c r="F2797" s="23" t="n">
        <v>0.019709</v>
      </c>
      <c r="G2797" s="22" t="n">
        <v>26.4</v>
      </c>
      <c r="H2797" s="22" t="n">
        <v>1.3</v>
      </c>
      <c r="I2797" s="24" t="n">
        <v>0.0968393981456756</v>
      </c>
      <c r="J2797" s="6" t="n">
        <v>71000</v>
      </c>
      <c r="K2797" s="25">
        <f>23*10^-6</f>
        <v/>
      </c>
      <c r="L2797" s="8">
        <f>H2797</f>
        <v/>
      </c>
      <c r="M2797" s="26">
        <f>H2797^2/6</f>
        <v/>
      </c>
      <c r="N2797" s="26">
        <f>H2797^3/12</f>
        <v/>
      </c>
      <c r="O2797" s="27">
        <f>-J2797*L2797*K2797*C2797</f>
        <v/>
      </c>
      <c r="P2797" s="28">
        <f>-(12*F2797*J2797*L2797*N2797+12*O2797*N2797*G2797*COS(RADIANS(E2797)))/(12*N2797*G2797*COS(RADIANS(E2797))^2+L2797*G2797^3*SIN(RADIANS(E2797))^2)</f>
        <v/>
      </c>
      <c r="Q2797" s="28">
        <f>-(6*F2797*J2797*L2797*N2797*SIN(RADIANS(E2797))+6*O2797*N2797*G2797*SIN(RADIANS(E2797))*COS(RADIANS(E2797)))/(12*N2797*COS(RADIANS(E2797))^2+L2797*G2797^2*SIN(RADIANS(E2797))^2)</f>
        <v/>
      </c>
      <c r="R2797" s="28">
        <f>-P2797*SIN(RADIANS(E2797))</f>
        <v/>
      </c>
      <c r="S2797" s="8">
        <f>(O2797+P2797*COS(RADIANS(E2797)))/L2797</f>
        <v/>
      </c>
      <c r="T2797" s="8">
        <f>R2797/L2797</f>
        <v/>
      </c>
      <c r="U2797" s="8">
        <f>(Q2797-P2797*G2797*SIN(RADIANS(E2797)))/M2797</f>
        <v/>
      </c>
      <c r="V2797" s="8">
        <f>SQRT((S2797+U2797)^2+3*T2797^2)</f>
        <v/>
      </c>
      <c r="W2797" s="8">
        <f>V2797/AA2797</f>
        <v/>
      </c>
      <c r="X2797" s="27">
        <f>((3*10+H2797/COS(RADIANS(E2797)))*(3+3)+3*G2797*H2797)*2</f>
        <v/>
      </c>
      <c r="Y2797" s="28">
        <f>Z2797/X2797</f>
        <v/>
      </c>
      <c r="Z2797" s="29" t="n">
        <v>590.120588103434</v>
      </c>
      <c r="AA2797" s="20" t="n">
        <v>85.30186600382061</v>
      </c>
      <c r="AB2797" t="n">
        <v>0.1129891473067392</v>
      </c>
      <c r="AC2797" t="n">
        <v>87.13648066420161</v>
      </c>
      <c r="AD2797" t="n">
        <v>16.67683759947532</v>
      </c>
    </row>
    <row r="2798">
      <c r="A2798" t="n">
        <v>2797</v>
      </c>
      <c r="B2798" t="n">
        <v>62.2</v>
      </c>
      <c r="C2798" s="21">
        <f>B2798-20</f>
        <v/>
      </c>
      <c r="D2798" t="n">
        <v>101.6</v>
      </c>
      <c r="E2798" s="22">
        <f>D2798-90</f>
        <v/>
      </c>
      <c r="F2798" s="23" t="n">
        <v>0.013631</v>
      </c>
      <c r="G2798" s="22" t="n">
        <v>22.8</v>
      </c>
      <c r="H2798" s="22" t="n">
        <v>1.8</v>
      </c>
      <c r="I2798" s="24" t="n">
        <v>0.112282186746597</v>
      </c>
      <c r="J2798" s="6" t="n">
        <v>71000</v>
      </c>
      <c r="K2798" s="25">
        <f>23*10^-6</f>
        <v/>
      </c>
      <c r="L2798" s="8">
        <f>H2798</f>
        <v/>
      </c>
      <c r="M2798" s="26">
        <f>H2798^2/6</f>
        <v/>
      </c>
      <c r="N2798" s="26">
        <f>H2798^3/12</f>
        <v/>
      </c>
      <c r="O2798" s="27">
        <f>-J2798*L2798*K2798*C2798</f>
        <v/>
      </c>
      <c r="P2798" s="28">
        <f>-(12*F2798*J2798*L2798*N2798+12*O2798*N2798*G2798*COS(RADIANS(E2798)))/(12*N2798*G2798*COS(RADIANS(E2798))^2+L2798*G2798^3*SIN(RADIANS(E2798))^2)</f>
        <v/>
      </c>
      <c r="Q2798" s="28">
        <f>-(6*F2798*J2798*L2798*N2798*SIN(RADIANS(E2798))+6*O2798*N2798*G2798*SIN(RADIANS(E2798))*COS(RADIANS(E2798)))/(12*N2798*COS(RADIANS(E2798))^2+L2798*G2798^2*SIN(RADIANS(E2798))^2)</f>
        <v/>
      </c>
      <c r="R2798" s="28">
        <f>-P2798*SIN(RADIANS(E2798))</f>
        <v/>
      </c>
      <c r="S2798" s="8">
        <f>(O2798+P2798*COS(RADIANS(E2798)))/L2798</f>
        <v/>
      </c>
      <c r="T2798" s="8">
        <f>R2798/L2798</f>
        <v/>
      </c>
      <c r="U2798" s="8">
        <f>(Q2798-P2798*G2798*SIN(RADIANS(E2798)))/M2798</f>
        <v/>
      </c>
      <c r="V2798" s="8">
        <f>SQRT((S2798+U2798)^2+3*T2798^2)</f>
        <v/>
      </c>
      <c r="W2798" s="8">
        <f>V2798/AA2798</f>
        <v/>
      </c>
      <c r="X2798" s="27">
        <f>((3*10+H2798/COS(RADIANS(E2798)))*(3+3)+3*G2798*H2798)*2</f>
        <v/>
      </c>
      <c r="Y2798" s="28">
        <f>Z2798/X2798</f>
        <v/>
      </c>
      <c r="Z2798" s="29" t="n">
        <v>632.2244176162041</v>
      </c>
      <c r="AA2798" s="20" t="n">
        <v>89.4133100110942</v>
      </c>
      <c r="AB2798" t="n">
        <v>0.1533617475382011</v>
      </c>
      <c r="AC2798" t="n">
        <v>75.12183561576383</v>
      </c>
      <c r="AD2798" t="n">
        <v>36.58599995412818</v>
      </c>
    </row>
    <row r="2799">
      <c r="A2799" t="n">
        <v>2798</v>
      </c>
      <c r="B2799" t="n">
        <v>63.3</v>
      </c>
      <c r="C2799" s="21">
        <f>B2799-20</f>
        <v/>
      </c>
      <c r="D2799" t="n">
        <v>126.3</v>
      </c>
      <c r="E2799" s="22">
        <f>D2799-90</f>
        <v/>
      </c>
      <c r="F2799" s="23" t="n">
        <v>0.015772</v>
      </c>
      <c r="G2799" s="22" t="n">
        <v>32.2</v>
      </c>
      <c r="H2799" s="22" t="n">
        <v>1.2</v>
      </c>
      <c r="I2799" s="24" t="n">
        <v>0.0681280270218849</v>
      </c>
      <c r="J2799" s="6" t="n">
        <v>71000</v>
      </c>
      <c r="K2799" s="25">
        <f>23*10^-6</f>
        <v/>
      </c>
      <c r="L2799" s="8">
        <f>H2799</f>
        <v/>
      </c>
      <c r="M2799" s="26">
        <f>H2799^2/6</f>
        <v/>
      </c>
      <c r="N2799" s="26">
        <f>H2799^3/12</f>
        <v/>
      </c>
      <c r="O2799" s="27">
        <f>-J2799*L2799*K2799*C2799</f>
        <v/>
      </c>
      <c r="P2799" s="28">
        <f>-(12*F2799*J2799*L2799*N2799+12*O2799*N2799*G2799*COS(RADIANS(E2799)))/(12*N2799*G2799*COS(RADIANS(E2799))^2+L2799*G2799^3*SIN(RADIANS(E2799))^2)</f>
        <v/>
      </c>
      <c r="Q2799" s="28">
        <f>-(6*F2799*J2799*L2799*N2799*SIN(RADIANS(E2799))+6*O2799*N2799*G2799*SIN(RADIANS(E2799))*COS(RADIANS(E2799)))/(12*N2799*COS(RADIANS(E2799))^2+L2799*G2799^2*SIN(RADIANS(E2799))^2)</f>
        <v/>
      </c>
      <c r="R2799" s="28">
        <f>-P2799*SIN(RADIANS(E2799))</f>
        <v/>
      </c>
      <c r="S2799" s="8">
        <f>(O2799+P2799*COS(RADIANS(E2799)))/L2799</f>
        <v/>
      </c>
      <c r="T2799" s="8">
        <f>R2799/L2799</f>
        <v/>
      </c>
      <c r="U2799" s="8">
        <f>(Q2799-P2799*G2799*SIN(RADIANS(E2799)))/M2799</f>
        <v/>
      </c>
      <c r="V2799" s="8">
        <f>SQRT((S2799+U2799)^2+3*T2799^2)</f>
        <v/>
      </c>
      <c r="W2799" s="8">
        <f>V2799/AA2799</f>
        <v/>
      </c>
      <c r="X2799" s="27">
        <f>((3*10+H2799/COS(RADIANS(E2799)))*(3+3)+3*G2799*H2799)*2</f>
        <v/>
      </c>
      <c r="Y2799" s="28">
        <f>Z2799/X2799</f>
        <v/>
      </c>
      <c r="Z2799" s="29" t="n">
        <v>618.920548901687</v>
      </c>
      <c r="AA2799" s="20" t="n">
        <v>58.199040905547</v>
      </c>
      <c r="AB2799" t="n">
        <v>0.07541418651444137</v>
      </c>
      <c r="AC2799" t="n">
        <v>61.53998035130289</v>
      </c>
      <c r="AD2799" t="n">
        <v>10.69480478308277</v>
      </c>
    </row>
    <row r="2800">
      <c r="A2800" t="n">
        <v>2799</v>
      </c>
      <c r="B2800" t="n">
        <v>70</v>
      </c>
      <c r="C2800" s="21">
        <f>B2800-20</f>
        <v/>
      </c>
      <c r="D2800" t="n">
        <v>121.5</v>
      </c>
      <c r="E2800" s="22">
        <f>D2800-90</f>
        <v/>
      </c>
      <c r="F2800" s="23" t="n">
        <v>0.017125</v>
      </c>
      <c r="G2800" s="22" t="n">
        <v>28.2</v>
      </c>
      <c r="H2800" s="22" t="n">
        <v>1.5</v>
      </c>
      <c r="I2800" s="24" t="n">
        <v>0.0789649784564971</v>
      </c>
      <c r="J2800" s="6" t="n">
        <v>71000</v>
      </c>
      <c r="K2800" s="25">
        <f>23*10^-6</f>
        <v/>
      </c>
      <c r="L2800" s="8">
        <f>H2800</f>
        <v/>
      </c>
      <c r="M2800" s="26">
        <f>H2800^2/6</f>
        <v/>
      </c>
      <c r="N2800" s="26">
        <f>H2800^3/12</f>
        <v/>
      </c>
      <c r="O2800" s="27">
        <f>-J2800*L2800*K2800*C2800</f>
        <v/>
      </c>
      <c r="P2800" s="28">
        <f>-(12*F2800*J2800*L2800*N2800+12*O2800*N2800*G2800*COS(RADIANS(E2800)))/(12*N2800*G2800*COS(RADIANS(E2800))^2+L2800*G2800^3*SIN(RADIANS(E2800))^2)</f>
        <v/>
      </c>
      <c r="Q2800" s="28">
        <f>-(6*F2800*J2800*L2800*N2800*SIN(RADIANS(E2800))+6*O2800*N2800*G2800*SIN(RADIANS(E2800))*COS(RADIANS(E2800)))/(12*N2800*COS(RADIANS(E2800))^2+L2800*G2800^2*SIN(RADIANS(E2800))^2)</f>
        <v/>
      </c>
      <c r="R2800" s="28">
        <f>-P2800*SIN(RADIANS(E2800))</f>
        <v/>
      </c>
      <c r="S2800" s="8">
        <f>(O2800+P2800*COS(RADIANS(E2800)))/L2800</f>
        <v/>
      </c>
      <c r="T2800" s="8">
        <f>R2800/L2800</f>
        <v/>
      </c>
      <c r="U2800" s="8">
        <f>(Q2800-P2800*G2800*SIN(RADIANS(E2800)))/M2800</f>
        <v/>
      </c>
      <c r="V2800" s="8">
        <f>SQRT((S2800+U2800)^2+3*T2800^2)</f>
        <v/>
      </c>
      <c r="W2800" s="8">
        <f>V2800/AA2800</f>
        <v/>
      </c>
      <c r="X2800" s="27">
        <f>((3*10+H2800/COS(RADIANS(E2800)))*(3+3)+3*G2800*H2800)*2</f>
        <v/>
      </c>
      <c r="Y2800" s="28">
        <f>Z2800/X2800</f>
        <v/>
      </c>
      <c r="Z2800" s="29" t="n">
        <v>642.492392643428</v>
      </c>
      <c r="AA2800" s="20" t="n">
        <v>74.42140955808451</v>
      </c>
      <c r="AB2800" t="n">
        <v>0.08926157150079747</v>
      </c>
      <c r="AC2800" t="n">
        <v>73.57225106600038</v>
      </c>
      <c r="AD2800" t="n">
        <v>13.03944260552532</v>
      </c>
    </row>
    <row r="2801">
      <c r="A2801" t="n">
        <v>2800</v>
      </c>
      <c r="B2801" t="n">
        <v>81</v>
      </c>
      <c r="C2801" s="21">
        <f>B2801-20</f>
        <v/>
      </c>
      <c r="D2801" t="n">
        <v>114.7</v>
      </c>
      <c r="E2801" s="22">
        <f>D2801-90</f>
        <v/>
      </c>
      <c r="F2801" s="23" t="n">
        <v>0.018514</v>
      </c>
      <c r="G2801" s="22" t="n">
        <v>22.7</v>
      </c>
      <c r="H2801" s="22" t="n">
        <v>1.2</v>
      </c>
      <c r="I2801" s="24" t="n">
        <v>0.0988556295633316</v>
      </c>
      <c r="J2801" s="6" t="n">
        <v>71000</v>
      </c>
      <c r="K2801" s="25">
        <f>23*10^-6</f>
        <v/>
      </c>
      <c r="L2801" s="8">
        <f>H2801</f>
        <v/>
      </c>
      <c r="M2801" s="26">
        <f>H2801^2/6</f>
        <v/>
      </c>
      <c r="N2801" s="26">
        <f>H2801^3/12</f>
        <v/>
      </c>
      <c r="O2801" s="27">
        <f>-J2801*L2801*K2801*C2801</f>
        <v/>
      </c>
      <c r="P2801" s="28">
        <f>-(12*F2801*J2801*L2801*N2801+12*O2801*N2801*G2801*COS(RADIANS(E2801)))/(12*N2801*G2801*COS(RADIANS(E2801))^2+L2801*G2801^3*SIN(RADIANS(E2801))^2)</f>
        <v/>
      </c>
      <c r="Q2801" s="28">
        <f>-(6*F2801*J2801*L2801*N2801*SIN(RADIANS(E2801))+6*O2801*N2801*G2801*SIN(RADIANS(E2801))*COS(RADIANS(E2801)))/(12*N2801*COS(RADIANS(E2801))^2+L2801*G2801^2*SIN(RADIANS(E2801))^2)</f>
        <v/>
      </c>
      <c r="R2801" s="28">
        <f>-P2801*SIN(RADIANS(E2801))</f>
        <v/>
      </c>
      <c r="S2801" s="8">
        <f>(O2801+P2801*COS(RADIANS(E2801)))/L2801</f>
        <v/>
      </c>
      <c r="T2801" s="8">
        <f>R2801/L2801</f>
        <v/>
      </c>
      <c r="U2801" s="8">
        <f>(Q2801-P2801*G2801*SIN(RADIANS(E2801)))/M2801</f>
        <v/>
      </c>
      <c r="V2801" s="8">
        <f>SQRT((S2801+U2801)^2+3*T2801^2)</f>
        <v/>
      </c>
      <c r="W2801" s="8">
        <f>V2801/AA2801</f>
        <v/>
      </c>
      <c r="X2801" s="27">
        <f>((3*10+H2801/COS(RADIANS(E2801)))*(3+3)+3*G2801*H2801)*2</f>
        <v/>
      </c>
      <c r="Y2801" s="28">
        <f>Z2801/X2801</f>
        <v/>
      </c>
      <c r="Z2801" s="29" t="n">
        <v>545.14072279204</v>
      </c>
      <c r="AA2801" s="20" t="n">
        <v>89.2225423633418</v>
      </c>
      <c r="AB2801" t="n">
        <v>0.1148381367918976</v>
      </c>
      <c r="AC2801" t="n">
        <v>91.58749397018339</v>
      </c>
      <c r="AD2801" t="n">
        <v>16.16752358885832</v>
      </c>
    </row>
    <row r="2802">
      <c r="A2802" t="n">
        <v>2801</v>
      </c>
      <c r="B2802" t="n">
        <v>85.7</v>
      </c>
      <c r="C2802" s="21">
        <f>B2802-20</f>
        <v/>
      </c>
      <c r="D2802" t="n">
        <v>114.7</v>
      </c>
      <c r="E2802" s="22">
        <f>D2802-90</f>
        <v/>
      </c>
      <c r="F2802" s="23" t="n">
        <v>0.024635</v>
      </c>
      <c r="G2802" s="22" t="n">
        <v>29.6</v>
      </c>
      <c r="H2802" s="22" t="n">
        <v>1.4</v>
      </c>
      <c r="I2802" s="24" t="n">
        <v>0.126572027802467</v>
      </c>
      <c r="J2802" s="6" t="n">
        <v>71000</v>
      </c>
      <c r="K2802" s="25">
        <f>23*10^-6</f>
        <v/>
      </c>
      <c r="L2802" s="8">
        <f>H2802</f>
        <v/>
      </c>
      <c r="M2802" s="26">
        <f>H2802^2/6</f>
        <v/>
      </c>
      <c r="N2802" s="26">
        <f>H2802^3/12</f>
        <v/>
      </c>
      <c r="O2802" s="27">
        <f>-J2802*L2802*K2802*C2802</f>
        <v/>
      </c>
      <c r="P2802" s="28">
        <f>-(12*F2802*J2802*L2802*N2802+12*O2802*N2802*G2802*COS(RADIANS(E2802)))/(12*N2802*G2802*COS(RADIANS(E2802))^2+L2802*G2802^3*SIN(RADIANS(E2802))^2)</f>
        <v/>
      </c>
      <c r="Q2802" s="28">
        <f>-(6*F2802*J2802*L2802*N2802*SIN(RADIANS(E2802))+6*O2802*N2802*G2802*SIN(RADIANS(E2802))*COS(RADIANS(E2802)))/(12*N2802*COS(RADIANS(E2802))^2+L2802*G2802^2*SIN(RADIANS(E2802))^2)</f>
        <v/>
      </c>
      <c r="R2802" s="28">
        <f>-P2802*SIN(RADIANS(E2802))</f>
        <v/>
      </c>
      <c r="S2802" s="8">
        <f>(O2802+P2802*COS(RADIANS(E2802)))/L2802</f>
        <v/>
      </c>
      <c r="T2802" s="8">
        <f>R2802/L2802</f>
        <v/>
      </c>
      <c r="U2802" s="8">
        <f>(Q2802-P2802*G2802*SIN(RADIANS(E2802)))/M2802</f>
        <v/>
      </c>
      <c r="V2802" s="8">
        <f>SQRT((S2802+U2802)^2+3*T2802^2)</f>
        <v/>
      </c>
      <c r="W2802" s="8">
        <f>V2802/AA2802</f>
        <v/>
      </c>
      <c r="X2802" s="27">
        <f>((3*10+H2802/COS(RADIANS(E2802)))*(3+3)+3*G2802*H2802)*2</f>
        <v/>
      </c>
      <c r="Y2802" s="28">
        <f>Z2802/X2802</f>
        <v/>
      </c>
      <c r="Z2802" s="29" t="n">
        <v>632.98241612994</v>
      </c>
      <c r="AA2802" s="20" t="n">
        <v>97.23652802007</v>
      </c>
      <c r="AB2802" t="n">
        <v>0.1588021677017714</v>
      </c>
      <c r="AC2802" t="n">
        <v>98.48686436038882</v>
      </c>
      <c r="AD2802" t="n">
        <v>25.46387259403309</v>
      </c>
    </row>
    <row r="2803">
      <c r="A2803" t="n">
        <v>2802</v>
      </c>
      <c r="B2803" t="n">
        <v>89.7</v>
      </c>
      <c r="C2803" s="21">
        <f>B2803-20</f>
        <v/>
      </c>
      <c r="D2803" t="n">
        <v>113.3</v>
      </c>
      <c r="E2803" s="22">
        <f>D2803-90</f>
        <v/>
      </c>
      <c r="F2803" s="23" t="n">
        <v>0.027464</v>
      </c>
      <c r="G2803" s="22" t="n">
        <v>31.1</v>
      </c>
      <c r="H2803" s="22" t="n">
        <v>1.5</v>
      </c>
      <c r="I2803" s="24" t="n">
        <v>0.144880816340446</v>
      </c>
      <c r="J2803" s="6" t="n">
        <v>71000</v>
      </c>
      <c r="K2803" s="25">
        <f>23*10^-6</f>
        <v/>
      </c>
      <c r="L2803" s="8">
        <f>H2803</f>
        <v/>
      </c>
      <c r="M2803" s="26">
        <f>H2803^2/6</f>
        <v/>
      </c>
      <c r="N2803" s="26">
        <f>H2803^3/12</f>
        <v/>
      </c>
      <c r="O2803" s="27">
        <f>-J2803*L2803*K2803*C2803</f>
        <v/>
      </c>
      <c r="P2803" s="28">
        <f>-(12*F2803*J2803*L2803*N2803+12*O2803*N2803*G2803*COS(RADIANS(E2803)))/(12*N2803*G2803*COS(RADIANS(E2803))^2+L2803*G2803^3*SIN(RADIANS(E2803))^2)</f>
        <v/>
      </c>
      <c r="Q2803" s="28">
        <f>-(6*F2803*J2803*L2803*N2803*SIN(RADIANS(E2803))+6*O2803*N2803*G2803*SIN(RADIANS(E2803))*COS(RADIANS(E2803)))/(12*N2803*COS(RADIANS(E2803))^2+L2803*G2803^2*SIN(RADIANS(E2803))^2)</f>
        <v/>
      </c>
      <c r="R2803" s="28">
        <f>-P2803*SIN(RADIANS(E2803))</f>
        <v/>
      </c>
      <c r="S2803" s="8">
        <f>(O2803+P2803*COS(RADIANS(E2803)))/L2803</f>
        <v/>
      </c>
      <c r="T2803" s="8">
        <f>R2803/L2803</f>
        <v/>
      </c>
      <c r="U2803" s="8">
        <f>(Q2803-P2803*G2803*SIN(RADIANS(E2803)))/M2803</f>
        <v/>
      </c>
      <c r="V2803" s="8">
        <f>SQRT((S2803+U2803)^2+3*T2803^2)</f>
        <v/>
      </c>
      <c r="W2803" s="8">
        <f>V2803/AA2803</f>
        <v/>
      </c>
      <c r="X2803" s="27">
        <f>((3*10+H2803/COS(RADIANS(E2803)))*(3+3)+3*G2803*H2803)*2</f>
        <v/>
      </c>
      <c r="Y2803" s="28">
        <f>Z2803/X2803</f>
        <v/>
      </c>
      <c r="Z2803" s="29" t="n">
        <v>665.063027261413</v>
      </c>
      <c r="AA2803" s="20" t="n">
        <v>104.868809133562</v>
      </c>
      <c r="AB2803" t="n">
        <v>0.1873167549204956</v>
      </c>
      <c r="AC2803" t="n">
        <v>105.5844184740677</v>
      </c>
      <c r="AD2803" t="n">
        <v>29.2902398343285</v>
      </c>
    </row>
    <row r="2804">
      <c r="A2804" t="n">
        <v>2803</v>
      </c>
      <c r="B2804" t="n">
        <v>76.5</v>
      </c>
      <c r="C2804" s="21">
        <f>B2804-20</f>
        <v/>
      </c>
      <c r="D2804" t="n">
        <v>122.2</v>
      </c>
      <c r="E2804" s="22">
        <f>D2804-90</f>
        <v/>
      </c>
      <c r="F2804" s="23" t="n">
        <v>0.014874</v>
      </c>
      <c r="G2804" s="22" t="n">
        <v>20.2</v>
      </c>
      <c r="H2804" s="22" t="n">
        <v>1.2</v>
      </c>
      <c r="I2804" s="24" t="n">
        <v>0.07164280116558069</v>
      </c>
      <c r="J2804" s="6" t="n">
        <v>71000</v>
      </c>
      <c r="K2804" s="25">
        <f>23*10^-6</f>
        <v/>
      </c>
      <c r="L2804" s="8">
        <f>H2804</f>
        <v/>
      </c>
      <c r="M2804" s="26">
        <f>H2804^2/6</f>
        <v/>
      </c>
      <c r="N2804" s="26">
        <f>H2804^3/12</f>
        <v/>
      </c>
      <c r="O2804" s="27">
        <f>-J2804*L2804*K2804*C2804</f>
        <v/>
      </c>
      <c r="P2804" s="28">
        <f>-(12*F2804*J2804*L2804*N2804+12*O2804*N2804*G2804*COS(RADIANS(E2804)))/(12*N2804*G2804*COS(RADIANS(E2804))^2+L2804*G2804^3*SIN(RADIANS(E2804))^2)</f>
        <v/>
      </c>
      <c r="Q2804" s="28">
        <f>-(6*F2804*J2804*L2804*N2804*SIN(RADIANS(E2804))+6*O2804*N2804*G2804*SIN(RADIANS(E2804))*COS(RADIANS(E2804)))/(12*N2804*COS(RADIANS(E2804))^2+L2804*G2804^2*SIN(RADIANS(E2804))^2)</f>
        <v/>
      </c>
      <c r="R2804" s="28">
        <f>-P2804*SIN(RADIANS(E2804))</f>
        <v/>
      </c>
      <c r="S2804" s="8">
        <f>(O2804+P2804*COS(RADIANS(E2804)))/L2804</f>
        <v/>
      </c>
      <c r="T2804" s="8">
        <f>R2804/L2804</f>
        <v/>
      </c>
      <c r="U2804" s="8">
        <f>(Q2804-P2804*G2804*SIN(RADIANS(E2804)))/M2804</f>
        <v/>
      </c>
      <c r="V2804" s="8">
        <f>SQRT((S2804+U2804)^2+3*T2804^2)</f>
        <v/>
      </c>
      <c r="W2804" s="8">
        <f>V2804/AA2804</f>
        <v/>
      </c>
      <c r="X2804" s="27">
        <f>((3*10+H2804/COS(RADIANS(E2804)))*(3+3)+3*G2804*H2804)*2</f>
        <v/>
      </c>
      <c r="Y2804" s="28">
        <f>Z2804/X2804</f>
        <v/>
      </c>
      <c r="Z2804" s="29" t="n">
        <v>530.253338815025</v>
      </c>
      <c r="AA2804" s="20" t="n">
        <v>82.1761959359805</v>
      </c>
      <c r="AB2804" t="n">
        <v>0.07215524033654104</v>
      </c>
      <c r="AC2804" t="n">
        <v>82.69793921249089</v>
      </c>
      <c r="AD2804" t="n">
        <v>0.7152695911149513</v>
      </c>
    </row>
    <row r="2805">
      <c r="A2805" t="n">
        <v>2804</v>
      </c>
      <c r="B2805" t="n">
        <v>53.2</v>
      </c>
      <c r="C2805" s="21">
        <f>B2805-20</f>
        <v/>
      </c>
      <c r="D2805" t="n">
        <v>126.1</v>
      </c>
      <c r="E2805" s="22">
        <f>D2805-90</f>
        <v/>
      </c>
      <c r="F2805" s="23" t="n">
        <v>0.01221</v>
      </c>
      <c r="G2805" s="22" t="n">
        <v>32.5</v>
      </c>
      <c r="H2805" s="22" t="n">
        <v>1.5</v>
      </c>
      <c r="I2805" s="24" t="n">
        <v>0.0528246574103832</v>
      </c>
      <c r="J2805" s="6" t="n">
        <v>71000</v>
      </c>
      <c r="K2805" s="25">
        <f>23*10^-6</f>
        <v/>
      </c>
      <c r="L2805" s="8">
        <f>H2805</f>
        <v/>
      </c>
      <c r="M2805" s="26">
        <f>H2805^2/6</f>
        <v/>
      </c>
      <c r="N2805" s="26">
        <f>H2805^3/12</f>
        <v/>
      </c>
      <c r="O2805" s="27">
        <f>-J2805*L2805*K2805*C2805</f>
        <v/>
      </c>
      <c r="P2805" s="28">
        <f>-(12*F2805*J2805*L2805*N2805+12*O2805*N2805*G2805*COS(RADIANS(E2805)))/(12*N2805*G2805*COS(RADIANS(E2805))^2+L2805*G2805^3*SIN(RADIANS(E2805))^2)</f>
        <v/>
      </c>
      <c r="Q2805" s="28">
        <f>-(6*F2805*J2805*L2805*N2805*SIN(RADIANS(E2805))+6*O2805*N2805*G2805*SIN(RADIANS(E2805))*COS(RADIANS(E2805)))/(12*N2805*COS(RADIANS(E2805))^2+L2805*G2805^2*SIN(RADIANS(E2805))^2)</f>
        <v/>
      </c>
      <c r="R2805" s="28">
        <f>-P2805*SIN(RADIANS(E2805))</f>
        <v/>
      </c>
      <c r="S2805" s="8">
        <f>(O2805+P2805*COS(RADIANS(E2805)))/L2805</f>
        <v/>
      </c>
      <c r="T2805" s="8">
        <f>R2805/L2805</f>
        <v/>
      </c>
      <c r="U2805" s="8">
        <f>(Q2805-P2805*G2805*SIN(RADIANS(E2805)))/M2805</f>
        <v/>
      </c>
      <c r="V2805" s="8">
        <f>SQRT((S2805+U2805)^2+3*T2805^2)</f>
        <v/>
      </c>
      <c r="W2805" s="8">
        <f>V2805/AA2805</f>
        <v/>
      </c>
      <c r="X2805" s="27">
        <f>((3*10+H2805/COS(RADIANS(E2805)))*(3+3)+3*G2805*H2805)*2</f>
        <v/>
      </c>
      <c r="Y2805" s="28">
        <f>Z2805/X2805</f>
        <v/>
      </c>
      <c r="Z2805" s="29" t="n">
        <v>683.914478201936</v>
      </c>
      <c r="AA2805" s="20" t="n">
        <v>47.7280319357147</v>
      </c>
      <c r="AB2805" t="n">
        <v>0.05859329039935433</v>
      </c>
      <c r="AC2805" t="n">
        <v>47.82030580018434</v>
      </c>
      <c r="AD2805" t="n">
        <v>10.92034150672458</v>
      </c>
    </row>
    <row r="2806">
      <c r="A2806" t="n">
        <v>2805</v>
      </c>
      <c r="B2806" t="n">
        <v>47.5</v>
      </c>
      <c r="C2806" s="21">
        <f>B2806-20</f>
        <v/>
      </c>
      <c r="D2806" t="n">
        <v>121.5</v>
      </c>
      <c r="E2806" s="22">
        <f>D2806-90</f>
        <v/>
      </c>
      <c r="F2806" s="23" t="n">
        <v>0.007655</v>
      </c>
      <c r="G2806" s="22" t="n">
        <v>21.6</v>
      </c>
      <c r="H2806" s="22" t="n">
        <v>1.8</v>
      </c>
      <c r="I2806" s="24" t="n">
        <v>0.0367487333714962</v>
      </c>
      <c r="J2806" s="6" t="n">
        <v>71000</v>
      </c>
      <c r="K2806" s="25">
        <f>23*10^-6</f>
        <v/>
      </c>
      <c r="L2806" s="8">
        <f>H2806</f>
        <v/>
      </c>
      <c r="M2806" s="26">
        <f>H2806^2/6</f>
        <v/>
      </c>
      <c r="N2806" s="26">
        <f>H2806^3/12</f>
        <v/>
      </c>
      <c r="O2806" s="27">
        <f>-J2806*L2806*K2806*C2806</f>
        <v/>
      </c>
      <c r="P2806" s="28">
        <f>-(12*F2806*J2806*L2806*N2806+12*O2806*N2806*G2806*COS(RADIANS(E2806)))/(12*N2806*G2806*COS(RADIANS(E2806))^2+L2806*G2806^3*SIN(RADIANS(E2806))^2)</f>
        <v/>
      </c>
      <c r="Q2806" s="28">
        <f>-(6*F2806*J2806*L2806*N2806*SIN(RADIANS(E2806))+6*O2806*N2806*G2806*SIN(RADIANS(E2806))*COS(RADIANS(E2806)))/(12*N2806*COS(RADIANS(E2806))^2+L2806*G2806^2*SIN(RADIANS(E2806))^2)</f>
        <v/>
      </c>
      <c r="R2806" s="28">
        <f>-P2806*SIN(RADIANS(E2806))</f>
        <v/>
      </c>
      <c r="S2806" s="8">
        <f>(O2806+P2806*COS(RADIANS(E2806)))/L2806</f>
        <v/>
      </c>
      <c r="T2806" s="8">
        <f>R2806/L2806</f>
        <v/>
      </c>
      <c r="U2806" s="8">
        <f>(Q2806-P2806*G2806*SIN(RADIANS(E2806)))/M2806</f>
        <v/>
      </c>
      <c r="V2806" s="8">
        <f>SQRT((S2806+U2806)^2+3*T2806^2)</f>
        <v/>
      </c>
      <c r="W2806" s="8">
        <f>V2806/AA2806</f>
        <v/>
      </c>
      <c r="X2806" s="27">
        <f>((3*10+H2806/COS(RADIANS(E2806)))*(3+3)+3*G2806*H2806)*2</f>
        <v/>
      </c>
      <c r="Y2806" s="28">
        <f>Z2806/X2806</f>
        <v/>
      </c>
      <c r="Z2806" s="29" t="n">
        <v>626.194572351239</v>
      </c>
      <c r="AA2806" s="20" t="n">
        <v>45.2142249136891</v>
      </c>
      <c r="AB2806" t="n">
        <v>0.03785210645811446</v>
      </c>
      <c r="AC2806" t="n">
        <v>41.77932320047413</v>
      </c>
      <c r="AD2806" t="n">
        <v>3.002479229594562</v>
      </c>
    </row>
    <row r="2807">
      <c r="A2807" t="n">
        <v>2806</v>
      </c>
      <c r="B2807" t="n">
        <v>50.2</v>
      </c>
      <c r="C2807" s="21">
        <f>B2807-20</f>
        <v/>
      </c>
      <c r="D2807" t="n">
        <v>126.8</v>
      </c>
      <c r="E2807" s="22">
        <f>D2807-90</f>
        <v/>
      </c>
      <c r="F2807" s="23" t="n">
        <v>0.010584</v>
      </c>
      <c r="G2807" s="22" t="n">
        <v>30.9</v>
      </c>
      <c r="H2807" s="22" t="n">
        <v>1</v>
      </c>
      <c r="I2807" s="24" t="n">
        <v>0.0457885563373565</v>
      </c>
      <c r="J2807" s="6" t="n">
        <v>71000</v>
      </c>
      <c r="K2807" s="25">
        <f>23*10^-6</f>
        <v/>
      </c>
      <c r="L2807" s="8">
        <f>H2807</f>
        <v/>
      </c>
      <c r="M2807" s="26">
        <f>H2807^2/6</f>
        <v/>
      </c>
      <c r="N2807" s="26">
        <f>H2807^3/12</f>
        <v/>
      </c>
      <c r="O2807" s="27">
        <f>-J2807*L2807*K2807*C2807</f>
        <v/>
      </c>
      <c r="P2807" s="28">
        <f>-(12*F2807*J2807*L2807*N2807+12*O2807*N2807*G2807*COS(RADIANS(E2807)))/(12*N2807*G2807*COS(RADIANS(E2807))^2+L2807*G2807^3*SIN(RADIANS(E2807))^2)</f>
        <v/>
      </c>
      <c r="Q2807" s="28">
        <f>-(6*F2807*J2807*L2807*N2807*SIN(RADIANS(E2807))+6*O2807*N2807*G2807*SIN(RADIANS(E2807))*COS(RADIANS(E2807)))/(12*N2807*COS(RADIANS(E2807))^2+L2807*G2807^2*SIN(RADIANS(E2807))^2)</f>
        <v/>
      </c>
      <c r="R2807" s="28">
        <f>-P2807*SIN(RADIANS(E2807))</f>
        <v/>
      </c>
      <c r="S2807" s="8">
        <f>(O2807+P2807*COS(RADIANS(E2807)))/L2807</f>
        <v/>
      </c>
      <c r="T2807" s="8">
        <f>R2807/L2807</f>
        <v/>
      </c>
      <c r="U2807" s="8">
        <f>(Q2807-P2807*G2807*SIN(RADIANS(E2807)))/M2807</f>
        <v/>
      </c>
      <c r="V2807" s="8">
        <f>SQRT((S2807+U2807)^2+3*T2807^2)</f>
        <v/>
      </c>
      <c r="W2807" s="8">
        <f>V2807/AA2807</f>
        <v/>
      </c>
      <c r="X2807" s="27">
        <f>((3*10+H2807/COS(RADIANS(E2807)))*(3+3)+3*G2807*H2807)*2</f>
        <v/>
      </c>
      <c r="Y2807" s="28">
        <f>Z2807/X2807</f>
        <v/>
      </c>
      <c r="Z2807" s="29" t="n">
        <v>569.792527345821</v>
      </c>
      <c r="AA2807" s="20" t="n">
        <v>38.8967963599773</v>
      </c>
      <c r="AB2807" t="n">
        <v>0.0498700706629496</v>
      </c>
      <c r="AC2807" t="n">
        <v>42.55162011869579</v>
      </c>
      <c r="AD2807" t="n">
        <v>8.913830555219334</v>
      </c>
    </row>
    <row r="2808">
      <c r="A2808" t="n">
        <v>2807</v>
      </c>
      <c r="B2808" t="n">
        <v>63.2</v>
      </c>
      <c r="C2808" s="21">
        <f>B2808-20</f>
        <v/>
      </c>
      <c r="D2808" t="n">
        <v>126.2</v>
      </c>
      <c r="E2808" s="22">
        <f>D2808-90</f>
        <v/>
      </c>
      <c r="F2808" s="23" t="n">
        <v>0.014043</v>
      </c>
      <c r="G2808" s="22" t="n">
        <v>27.9</v>
      </c>
      <c r="H2808" s="22" t="n">
        <v>1.5</v>
      </c>
      <c r="I2808" s="24" t="n">
        <v>0.0620636790990829</v>
      </c>
      <c r="J2808" s="6" t="n">
        <v>71000</v>
      </c>
      <c r="K2808" s="25">
        <f>23*10^-6</f>
        <v/>
      </c>
      <c r="L2808" s="8">
        <f>H2808</f>
        <v/>
      </c>
      <c r="M2808" s="26">
        <f>H2808^2/6</f>
        <v/>
      </c>
      <c r="N2808" s="26">
        <f>H2808^3/12</f>
        <v/>
      </c>
      <c r="O2808" s="27">
        <f>-J2808*L2808*K2808*C2808</f>
        <v/>
      </c>
      <c r="P2808" s="28">
        <f>-(12*F2808*J2808*L2808*N2808+12*O2808*N2808*G2808*COS(RADIANS(E2808)))/(12*N2808*G2808*COS(RADIANS(E2808))^2+L2808*G2808^3*SIN(RADIANS(E2808))^2)</f>
        <v/>
      </c>
      <c r="Q2808" s="28">
        <f>-(6*F2808*J2808*L2808*N2808*SIN(RADIANS(E2808))+6*O2808*N2808*G2808*SIN(RADIANS(E2808))*COS(RADIANS(E2808)))/(12*N2808*COS(RADIANS(E2808))^2+L2808*G2808^2*SIN(RADIANS(E2808))^2)</f>
        <v/>
      </c>
      <c r="R2808" s="28">
        <f>-P2808*SIN(RADIANS(E2808))</f>
        <v/>
      </c>
      <c r="S2808" s="8">
        <f>(O2808+P2808*COS(RADIANS(E2808)))/L2808</f>
        <v/>
      </c>
      <c r="T2808" s="8">
        <f>R2808/L2808</f>
        <v/>
      </c>
      <c r="U2808" s="8">
        <f>(Q2808-P2808*G2808*SIN(RADIANS(E2808)))/M2808</f>
        <v/>
      </c>
      <c r="V2808" s="8">
        <f>SQRT((S2808+U2808)^2+3*T2808^2)</f>
        <v/>
      </c>
      <c r="W2808" s="8">
        <f>V2808/AA2808</f>
        <v/>
      </c>
      <c r="X2808" s="27">
        <f>((3*10+H2808/COS(RADIANS(E2808)))*(3+3)+3*G2808*H2808)*2</f>
        <v/>
      </c>
      <c r="Y2808" s="28">
        <f>Z2808/X2808</f>
        <v/>
      </c>
      <c r="Z2808" s="29" t="n">
        <v>642.580798704813</v>
      </c>
      <c r="AA2808" s="20" t="n">
        <v>63.6377571464921</v>
      </c>
      <c r="AB2808" t="n">
        <v>0.0657141202632404</v>
      </c>
      <c r="AC2808" t="n">
        <v>62.64148954404886</v>
      </c>
      <c r="AD2808" t="n">
        <v>5.88176727056364</v>
      </c>
    </row>
    <row r="2809">
      <c r="A2809" t="n">
        <v>2808</v>
      </c>
      <c r="B2809" t="n">
        <v>72.90000000000001</v>
      </c>
      <c r="C2809" s="21">
        <f>B2809-20</f>
        <v/>
      </c>
      <c r="D2809" t="n">
        <v>122.9</v>
      </c>
      <c r="E2809" s="22">
        <f>D2809-90</f>
        <v/>
      </c>
      <c r="F2809" s="23" t="n">
        <v>0.015467</v>
      </c>
      <c r="G2809" s="22" t="n">
        <v>23.4</v>
      </c>
      <c r="H2809" s="22" t="n">
        <v>1.6</v>
      </c>
      <c r="I2809" s="24" t="n">
        <v>0.0722406134009361</v>
      </c>
      <c r="J2809" s="6" t="n">
        <v>71000</v>
      </c>
      <c r="K2809" s="25">
        <f>23*10^-6</f>
        <v/>
      </c>
      <c r="L2809" s="8">
        <f>H2809</f>
        <v/>
      </c>
      <c r="M2809" s="26">
        <f>H2809^2/6</f>
        <v/>
      </c>
      <c r="N2809" s="26">
        <f>H2809^3/12</f>
        <v/>
      </c>
      <c r="O2809" s="27">
        <f>-J2809*L2809*K2809*C2809</f>
        <v/>
      </c>
      <c r="P2809" s="28">
        <f>-(12*F2809*J2809*L2809*N2809+12*O2809*N2809*G2809*COS(RADIANS(E2809)))/(12*N2809*G2809*COS(RADIANS(E2809))^2+L2809*G2809^3*SIN(RADIANS(E2809))^2)</f>
        <v/>
      </c>
      <c r="Q2809" s="28">
        <f>-(6*F2809*J2809*L2809*N2809*SIN(RADIANS(E2809))+6*O2809*N2809*G2809*SIN(RADIANS(E2809))*COS(RADIANS(E2809)))/(12*N2809*COS(RADIANS(E2809))^2+L2809*G2809^2*SIN(RADIANS(E2809))^2)</f>
        <v/>
      </c>
      <c r="R2809" s="28">
        <f>-P2809*SIN(RADIANS(E2809))</f>
        <v/>
      </c>
      <c r="S2809" s="8">
        <f>(O2809+P2809*COS(RADIANS(E2809)))/L2809</f>
        <v/>
      </c>
      <c r="T2809" s="8">
        <f>R2809/L2809</f>
        <v/>
      </c>
      <c r="U2809" s="8">
        <f>(Q2809-P2809*G2809*SIN(RADIANS(E2809)))/M2809</f>
        <v/>
      </c>
      <c r="V2809" s="8">
        <f>SQRT((S2809+U2809)^2+3*T2809^2)</f>
        <v/>
      </c>
      <c r="W2809" s="8">
        <f>V2809/AA2809</f>
        <v/>
      </c>
      <c r="X2809" s="27">
        <f>((3*10+H2809/COS(RADIANS(E2809)))*(3+3)+3*G2809*H2809)*2</f>
        <v/>
      </c>
      <c r="Y2809" s="28">
        <f>Z2809/X2809</f>
        <v/>
      </c>
      <c r="Z2809" s="29" t="n">
        <v>615.525484951201</v>
      </c>
      <c r="AA2809" s="20" t="n">
        <v>82.2421814144691</v>
      </c>
      <c r="AB2809" t="n">
        <v>0.07536974318604792</v>
      </c>
      <c r="AC2809" t="n">
        <v>78.63904614534653</v>
      </c>
      <c r="AD2809" t="n">
        <v>4.331538227319744</v>
      </c>
    </row>
    <row r="2810">
      <c r="A2810" t="n">
        <v>2809</v>
      </c>
      <c r="B2810" t="n">
        <v>78.09999999999999</v>
      </c>
      <c r="C2810" s="21">
        <f>B2810-20</f>
        <v/>
      </c>
      <c r="D2810" t="n">
        <v>107.2</v>
      </c>
      <c r="E2810" s="22">
        <f>D2810-90</f>
        <v/>
      </c>
      <c r="F2810" s="23" t="n">
        <v>0.024158</v>
      </c>
      <c r="G2810" s="22" t="n">
        <v>31.9</v>
      </c>
      <c r="H2810" s="22" t="n">
        <v>1.1</v>
      </c>
      <c r="I2810" s="24" t="n">
        <v>0.155583038926124</v>
      </c>
      <c r="J2810" s="6" t="n">
        <v>71000</v>
      </c>
      <c r="K2810" s="25">
        <f>23*10^-6</f>
        <v/>
      </c>
      <c r="L2810" s="8">
        <f>H2810</f>
        <v/>
      </c>
      <c r="M2810" s="26">
        <f>H2810^2/6</f>
        <v/>
      </c>
      <c r="N2810" s="26">
        <f>H2810^3/12</f>
        <v/>
      </c>
      <c r="O2810" s="27">
        <f>-J2810*L2810*K2810*C2810</f>
        <v/>
      </c>
      <c r="P2810" s="28">
        <f>-(12*F2810*J2810*L2810*N2810+12*O2810*N2810*G2810*COS(RADIANS(E2810)))/(12*N2810*G2810*COS(RADIANS(E2810))^2+L2810*G2810^3*SIN(RADIANS(E2810))^2)</f>
        <v/>
      </c>
      <c r="Q2810" s="28">
        <f>-(6*F2810*J2810*L2810*N2810*SIN(RADIANS(E2810))+6*O2810*N2810*G2810*SIN(RADIANS(E2810))*COS(RADIANS(E2810)))/(12*N2810*COS(RADIANS(E2810))^2+L2810*G2810^2*SIN(RADIANS(E2810))^2)</f>
        <v/>
      </c>
      <c r="R2810" s="28">
        <f>-P2810*SIN(RADIANS(E2810))</f>
        <v/>
      </c>
      <c r="S2810" s="8">
        <f>(O2810+P2810*COS(RADIANS(E2810)))/L2810</f>
        <v/>
      </c>
      <c r="T2810" s="8">
        <f>R2810/L2810</f>
        <v/>
      </c>
      <c r="U2810" s="8">
        <f>(Q2810-P2810*G2810*SIN(RADIANS(E2810)))/M2810</f>
        <v/>
      </c>
      <c r="V2810" s="8">
        <f>SQRT((S2810+U2810)^2+3*T2810^2)</f>
        <v/>
      </c>
      <c r="W2810" s="8">
        <f>V2810/AA2810</f>
        <v/>
      </c>
      <c r="X2810" s="27">
        <f>((3*10+H2810/COS(RADIANS(E2810)))*(3+3)+3*G2810*H2810)*2</f>
        <v/>
      </c>
      <c r="Y2810" s="28">
        <f>Z2810/X2810</f>
        <v/>
      </c>
      <c r="Z2810" s="29" t="n">
        <v>588.915158342031</v>
      </c>
      <c r="AA2810" s="20" t="n">
        <v>83.3476626964533</v>
      </c>
      <c r="AB2810" t="n">
        <v>0.2193816600322371</v>
      </c>
      <c r="AC2810" t="n">
        <v>88.12408000916075</v>
      </c>
      <c r="AD2810" t="n">
        <v>41.00615436391289</v>
      </c>
    </row>
    <row r="2811">
      <c r="A2811" t="n">
        <v>2810</v>
      </c>
      <c r="B2811" t="n">
        <v>86.8</v>
      </c>
      <c r="C2811" s="21">
        <f>B2811-20</f>
        <v/>
      </c>
      <c r="D2811" t="n">
        <v>123.5</v>
      </c>
      <c r="E2811" s="22">
        <f>D2811-90</f>
        <v/>
      </c>
      <c r="F2811" s="23" t="n">
        <v>0.023747</v>
      </c>
      <c r="G2811" s="22" t="n">
        <v>30.2</v>
      </c>
      <c r="H2811" s="22" t="n">
        <v>1</v>
      </c>
      <c r="I2811" s="24" t="n">
        <v>0.105833828449249</v>
      </c>
      <c r="J2811" s="6" t="n">
        <v>71000</v>
      </c>
      <c r="K2811" s="25">
        <f>23*10^-6</f>
        <v/>
      </c>
      <c r="L2811" s="8">
        <f>H2811</f>
        <v/>
      </c>
      <c r="M2811" s="26">
        <f>H2811^2/6</f>
        <v/>
      </c>
      <c r="N2811" s="26">
        <f>H2811^3/12</f>
        <v/>
      </c>
      <c r="O2811" s="27">
        <f>-J2811*L2811*K2811*C2811</f>
        <v/>
      </c>
      <c r="P2811" s="28">
        <f>-(12*F2811*J2811*L2811*N2811+12*O2811*N2811*G2811*COS(RADIANS(E2811)))/(12*N2811*G2811*COS(RADIANS(E2811))^2+L2811*G2811^3*SIN(RADIANS(E2811))^2)</f>
        <v/>
      </c>
      <c r="Q2811" s="28">
        <f>-(6*F2811*J2811*L2811*N2811*SIN(RADIANS(E2811))+6*O2811*N2811*G2811*SIN(RADIANS(E2811))*COS(RADIANS(E2811)))/(12*N2811*COS(RADIANS(E2811))^2+L2811*G2811^2*SIN(RADIANS(E2811))^2)</f>
        <v/>
      </c>
      <c r="R2811" s="28">
        <f>-P2811*SIN(RADIANS(E2811))</f>
        <v/>
      </c>
      <c r="S2811" s="8">
        <f>(O2811+P2811*COS(RADIANS(E2811)))/L2811</f>
        <v/>
      </c>
      <c r="T2811" s="8">
        <f>R2811/L2811</f>
        <v/>
      </c>
      <c r="U2811" s="8">
        <f>(Q2811-P2811*G2811*SIN(RADIANS(E2811)))/M2811</f>
        <v/>
      </c>
      <c r="V2811" s="8">
        <f>SQRT((S2811+U2811)^2+3*T2811^2)</f>
        <v/>
      </c>
      <c r="W2811" s="8">
        <f>V2811/AA2811</f>
        <v/>
      </c>
      <c r="X2811" s="27">
        <f>((3*10+H2811/COS(RADIANS(E2811)))*(3+3)+3*G2811*H2811)*2</f>
        <v/>
      </c>
      <c r="Y2811" s="28">
        <f>Z2811/X2811</f>
        <v/>
      </c>
      <c r="Z2811" s="29" t="n">
        <v>563.805007345705</v>
      </c>
      <c r="AA2811" s="20" t="n">
        <v>87.62904345258821</v>
      </c>
      <c r="AB2811" t="n">
        <v>0.119605002218246</v>
      </c>
      <c r="AC2811" t="n">
        <v>94.82216942297373</v>
      </c>
      <c r="AD2811" t="n">
        <v>13.01207182125205</v>
      </c>
    </row>
    <row r="2812">
      <c r="A2812" t="n">
        <v>2811</v>
      </c>
      <c r="B2812" t="n">
        <v>85.2</v>
      </c>
      <c r="C2812" s="21">
        <f>B2812-20</f>
        <v/>
      </c>
      <c r="D2812" t="n">
        <v>116.4</v>
      </c>
      <c r="E2812" s="22">
        <f>D2812-90</f>
        <v/>
      </c>
      <c r="F2812" s="23" t="n">
        <v>0.018574</v>
      </c>
      <c r="G2812" s="22" t="n">
        <v>21.2</v>
      </c>
      <c r="H2812" s="22" t="n">
        <v>1.6</v>
      </c>
      <c r="I2812" s="24" t="n">
        <v>0.09653209894895549</v>
      </c>
      <c r="J2812" s="6" t="n">
        <v>71000</v>
      </c>
      <c r="K2812" s="25">
        <f>23*10^-6</f>
        <v/>
      </c>
      <c r="L2812" s="8">
        <f>H2812</f>
        <v/>
      </c>
      <c r="M2812" s="26">
        <f>H2812^2/6</f>
        <v/>
      </c>
      <c r="N2812" s="26">
        <f>H2812^3/12</f>
        <v/>
      </c>
      <c r="O2812" s="27">
        <f>-J2812*L2812*K2812*C2812</f>
        <v/>
      </c>
      <c r="P2812" s="28">
        <f>-(12*F2812*J2812*L2812*N2812+12*O2812*N2812*G2812*COS(RADIANS(E2812)))/(12*N2812*G2812*COS(RADIANS(E2812))^2+L2812*G2812^3*SIN(RADIANS(E2812))^2)</f>
        <v/>
      </c>
      <c r="Q2812" s="28">
        <f>-(6*F2812*J2812*L2812*N2812*SIN(RADIANS(E2812))+6*O2812*N2812*G2812*SIN(RADIANS(E2812))*COS(RADIANS(E2812)))/(12*N2812*COS(RADIANS(E2812))^2+L2812*G2812^2*SIN(RADIANS(E2812))^2)</f>
        <v/>
      </c>
      <c r="R2812" s="28">
        <f>-P2812*SIN(RADIANS(E2812))</f>
        <v/>
      </c>
      <c r="S2812" s="8">
        <f>(O2812+P2812*COS(RADIANS(E2812)))/L2812</f>
        <v/>
      </c>
      <c r="T2812" s="8">
        <f>R2812/L2812</f>
        <v/>
      </c>
      <c r="U2812" s="8">
        <f>(Q2812-P2812*G2812*SIN(RADIANS(E2812)))/M2812</f>
        <v/>
      </c>
      <c r="V2812" s="8">
        <f>SQRT((S2812+U2812)^2+3*T2812^2)</f>
        <v/>
      </c>
      <c r="W2812" s="8">
        <f>V2812/AA2812</f>
        <v/>
      </c>
      <c r="X2812" s="27">
        <f>((3*10+H2812/COS(RADIANS(E2812)))*(3+3)+3*G2812*H2812)*2</f>
        <v/>
      </c>
      <c r="Y2812" s="28">
        <f>Z2812/X2812</f>
        <v/>
      </c>
      <c r="Z2812" s="29" t="n">
        <v>591.183430441791</v>
      </c>
      <c r="AA2812" s="20" t="n">
        <v>104.805179390672</v>
      </c>
      <c r="AB2812" t="n">
        <v>0.1062480276874359</v>
      </c>
      <c r="AC2812" t="n">
        <v>100.4607807158257</v>
      </c>
      <c r="AD2812" t="n">
        <v>10.06497200855229</v>
      </c>
    </row>
    <row r="2813">
      <c r="A2813" t="n">
        <v>2812</v>
      </c>
      <c r="B2813" t="n">
        <v>54.6</v>
      </c>
      <c r="C2813" s="21">
        <f>B2813-20</f>
        <v/>
      </c>
      <c r="D2813" t="n">
        <v>117.2</v>
      </c>
      <c r="E2813" s="22">
        <f>D2813-90</f>
        <v/>
      </c>
      <c r="F2813" s="23" t="n">
        <v>0.011523</v>
      </c>
      <c r="G2813" s="22" t="n">
        <v>26.1</v>
      </c>
      <c r="H2813" s="22" t="n">
        <v>1.9</v>
      </c>
      <c r="I2813" s="24" t="n">
        <v>0.057213470339775</v>
      </c>
      <c r="J2813" s="6" t="n">
        <v>71000</v>
      </c>
      <c r="K2813" s="25">
        <f>23*10^-6</f>
        <v/>
      </c>
      <c r="L2813" s="8">
        <f>H2813</f>
        <v/>
      </c>
      <c r="M2813" s="26">
        <f>H2813^2/6</f>
        <v/>
      </c>
      <c r="N2813" s="26">
        <f>H2813^3/12</f>
        <v/>
      </c>
      <c r="O2813" s="27">
        <f>-J2813*L2813*K2813*C2813</f>
        <v/>
      </c>
      <c r="P2813" s="28">
        <f>-(12*F2813*J2813*L2813*N2813+12*O2813*N2813*G2813*COS(RADIANS(E2813)))/(12*N2813*G2813*COS(RADIANS(E2813))^2+L2813*G2813^3*SIN(RADIANS(E2813))^2)</f>
        <v/>
      </c>
      <c r="Q2813" s="28">
        <f>-(6*F2813*J2813*L2813*N2813*SIN(RADIANS(E2813))+6*O2813*N2813*G2813*SIN(RADIANS(E2813))*COS(RADIANS(E2813)))/(12*N2813*COS(RADIANS(E2813))^2+L2813*G2813^2*SIN(RADIANS(E2813))^2)</f>
        <v/>
      </c>
      <c r="R2813" s="28">
        <f>-P2813*SIN(RADIANS(E2813))</f>
        <v/>
      </c>
      <c r="S2813" s="8">
        <f>(O2813+P2813*COS(RADIANS(E2813)))/L2813</f>
        <v/>
      </c>
      <c r="T2813" s="8">
        <f>R2813/L2813</f>
        <v/>
      </c>
      <c r="U2813" s="8">
        <f>(Q2813-P2813*G2813*SIN(RADIANS(E2813)))/M2813</f>
        <v/>
      </c>
      <c r="V2813" s="8">
        <f>SQRT((S2813+U2813)^2+3*T2813^2)</f>
        <v/>
      </c>
      <c r="W2813" s="8">
        <f>V2813/AA2813</f>
        <v/>
      </c>
      <c r="X2813" s="27">
        <f>((3*10+H2813/COS(RADIANS(E2813)))*(3+3)+3*G2813*H2813)*2</f>
        <v/>
      </c>
      <c r="Y2813" s="28">
        <f>Z2813/X2813</f>
        <v/>
      </c>
      <c r="Z2813" s="29" t="n">
        <v>689.592404354687</v>
      </c>
      <c r="AA2813" s="20" t="n">
        <v>56.9292435103145</v>
      </c>
      <c r="AB2813" t="n">
        <v>0.0664098883507946</v>
      </c>
      <c r="AC2813" t="n">
        <v>53.41272058202863</v>
      </c>
      <c r="AD2813" t="n">
        <v>16.07386854250339</v>
      </c>
    </row>
    <row r="2814">
      <c r="A2814" t="n">
        <v>2813</v>
      </c>
      <c r="B2814" t="n">
        <v>44.5</v>
      </c>
      <c r="C2814" s="21">
        <f>B2814-20</f>
        <v/>
      </c>
      <c r="D2814" t="n">
        <v>105.2</v>
      </c>
      <c r="E2814" s="22">
        <f>D2814-90</f>
        <v/>
      </c>
      <c r="F2814" s="23" t="n">
        <v>0.007498</v>
      </c>
      <c r="G2814" s="22" t="n">
        <v>21.6</v>
      </c>
      <c r="H2814" s="22" t="n">
        <v>1.2</v>
      </c>
      <c r="I2814" s="24" t="n">
        <v>0.0545591339468956</v>
      </c>
      <c r="J2814" s="6" t="n">
        <v>71000</v>
      </c>
      <c r="K2814" s="25">
        <f>23*10^-6</f>
        <v/>
      </c>
      <c r="L2814" s="8">
        <f>H2814</f>
        <v/>
      </c>
      <c r="M2814" s="26">
        <f>H2814^2/6</f>
        <v/>
      </c>
      <c r="N2814" s="26">
        <f>H2814^3/12</f>
        <v/>
      </c>
      <c r="O2814" s="27">
        <f>-J2814*L2814*K2814*C2814</f>
        <v/>
      </c>
      <c r="P2814" s="28">
        <f>-(12*F2814*J2814*L2814*N2814+12*O2814*N2814*G2814*COS(RADIANS(E2814)))/(12*N2814*G2814*COS(RADIANS(E2814))^2+L2814*G2814^3*SIN(RADIANS(E2814))^2)</f>
        <v/>
      </c>
      <c r="Q2814" s="28">
        <f>-(6*F2814*J2814*L2814*N2814*SIN(RADIANS(E2814))+6*O2814*N2814*G2814*SIN(RADIANS(E2814))*COS(RADIANS(E2814)))/(12*N2814*COS(RADIANS(E2814))^2+L2814*G2814^2*SIN(RADIANS(E2814))^2)</f>
        <v/>
      </c>
      <c r="R2814" s="28">
        <f>-P2814*SIN(RADIANS(E2814))</f>
        <v/>
      </c>
      <c r="S2814" s="8">
        <f>(O2814+P2814*COS(RADIANS(E2814)))/L2814</f>
        <v/>
      </c>
      <c r="T2814" s="8">
        <f>R2814/L2814</f>
        <v/>
      </c>
      <c r="U2814" s="8">
        <f>(Q2814-P2814*G2814*SIN(RADIANS(E2814)))/M2814</f>
        <v/>
      </c>
      <c r="V2814" s="8">
        <f>SQRT((S2814+U2814)^2+3*T2814^2)</f>
        <v/>
      </c>
      <c r="W2814" s="8">
        <f>V2814/AA2814</f>
        <v/>
      </c>
      <c r="X2814" s="27">
        <f>((3*10+H2814/COS(RADIANS(E2814)))*(3+3)+3*G2814*H2814)*2</f>
        <v/>
      </c>
      <c r="Y2814" s="28">
        <f>Z2814/X2814</f>
        <v/>
      </c>
      <c r="Z2814" s="29" t="n">
        <v>534.745695345091</v>
      </c>
      <c r="AA2814" s="20" t="n">
        <v>37.138288670219</v>
      </c>
      <c r="AB2814" t="n">
        <v>0.07096644626444006</v>
      </c>
      <c r="AC2814" t="n">
        <v>39.43722260955467</v>
      </c>
      <c r="AD2814" t="n">
        <v>30.07253072146324</v>
      </c>
    </row>
    <row r="2815">
      <c r="A2815" t="n">
        <v>2814</v>
      </c>
      <c r="B2815" t="n">
        <v>59</v>
      </c>
      <c r="C2815" s="21">
        <f>B2815-20</f>
        <v/>
      </c>
      <c r="D2815" t="n">
        <v>127.3</v>
      </c>
      <c r="E2815" s="22">
        <f>D2815-90</f>
        <v/>
      </c>
      <c r="F2815" s="23" t="n">
        <v>0.013278</v>
      </c>
      <c r="G2815" s="22" t="n">
        <v>30</v>
      </c>
      <c r="H2815" s="22" t="n">
        <v>1.3</v>
      </c>
      <c r="I2815" s="24" t="n">
        <v>0.0576148703694343</v>
      </c>
      <c r="J2815" s="6" t="n">
        <v>71000</v>
      </c>
      <c r="K2815" s="25">
        <f>23*10^-6</f>
        <v/>
      </c>
      <c r="L2815" s="8">
        <f>H2815</f>
        <v/>
      </c>
      <c r="M2815" s="26">
        <f>H2815^2/6</f>
        <v/>
      </c>
      <c r="N2815" s="26">
        <f>H2815^3/12</f>
        <v/>
      </c>
      <c r="O2815" s="27">
        <f>-J2815*L2815*K2815*C2815</f>
        <v/>
      </c>
      <c r="P2815" s="28">
        <f>-(12*F2815*J2815*L2815*N2815+12*O2815*N2815*G2815*COS(RADIANS(E2815)))/(12*N2815*G2815*COS(RADIANS(E2815))^2+L2815*G2815^3*SIN(RADIANS(E2815))^2)</f>
        <v/>
      </c>
      <c r="Q2815" s="28">
        <f>-(6*F2815*J2815*L2815*N2815*SIN(RADIANS(E2815))+6*O2815*N2815*G2815*SIN(RADIANS(E2815))*COS(RADIANS(E2815)))/(12*N2815*COS(RADIANS(E2815))^2+L2815*G2815^2*SIN(RADIANS(E2815))^2)</f>
        <v/>
      </c>
      <c r="R2815" s="28">
        <f>-P2815*SIN(RADIANS(E2815))</f>
        <v/>
      </c>
      <c r="S2815" s="8">
        <f>(O2815+P2815*COS(RADIANS(E2815)))/L2815</f>
        <v/>
      </c>
      <c r="T2815" s="8">
        <f>R2815/L2815</f>
        <v/>
      </c>
      <c r="U2815" s="8">
        <f>(Q2815-P2815*G2815*SIN(RADIANS(E2815)))/M2815</f>
        <v/>
      </c>
      <c r="V2815" s="8">
        <f>SQRT((S2815+U2815)^2+3*T2815^2)</f>
        <v/>
      </c>
      <c r="W2815" s="8">
        <f>V2815/AA2815</f>
        <v/>
      </c>
      <c r="X2815" s="27">
        <f>((3*10+H2815/COS(RADIANS(E2815)))*(3+3)+3*G2815*H2815)*2</f>
        <v/>
      </c>
      <c r="Y2815" s="28">
        <f>Z2815/X2815</f>
        <v/>
      </c>
      <c r="Z2815" s="29" t="n">
        <v>623.215301500521</v>
      </c>
      <c r="AA2815" s="20" t="n">
        <v>53.5456618509318</v>
      </c>
      <c r="AB2815" t="n">
        <v>0.06160410484782061</v>
      </c>
      <c r="AC2815" t="n">
        <v>55.70104052531304</v>
      </c>
      <c r="AD2815" t="n">
        <v>6.923966769007381</v>
      </c>
    </row>
    <row r="2816">
      <c r="A2816" t="n">
        <v>2815</v>
      </c>
      <c r="B2816" t="n">
        <v>50</v>
      </c>
      <c r="C2816" s="21">
        <f>B2816-20</f>
        <v/>
      </c>
      <c r="D2816" t="n">
        <v>120.3</v>
      </c>
      <c r="E2816" s="22">
        <f>D2816-90</f>
        <v/>
      </c>
      <c r="F2816" s="23" t="n">
        <v>0.008666</v>
      </c>
      <c r="G2816" s="22" t="n">
        <v>22.4</v>
      </c>
      <c r="H2816" s="22" t="n">
        <v>1.6</v>
      </c>
      <c r="I2816" s="24" t="n">
        <v>0.0420186892151832</v>
      </c>
      <c r="J2816" s="6" t="n">
        <v>71000</v>
      </c>
      <c r="K2816" s="25">
        <f>23*10^-6</f>
        <v/>
      </c>
      <c r="L2816" s="8">
        <f>H2816</f>
        <v/>
      </c>
      <c r="M2816" s="26">
        <f>H2816^2/6</f>
        <v/>
      </c>
      <c r="N2816" s="26">
        <f>H2816^3/12</f>
        <v/>
      </c>
      <c r="O2816" s="27">
        <f>-J2816*L2816*K2816*C2816</f>
        <v/>
      </c>
      <c r="P2816" s="28">
        <f>-(12*F2816*J2816*L2816*N2816+12*O2816*N2816*G2816*COS(RADIANS(E2816)))/(12*N2816*G2816*COS(RADIANS(E2816))^2+L2816*G2816^3*SIN(RADIANS(E2816))^2)</f>
        <v/>
      </c>
      <c r="Q2816" s="28">
        <f>-(6*F2816*J2816*L2816*N2816*SIN(RADIANS(E2816))+6*O2816*N2816*G2816*SIN(RADIANS(E2816))*COS(RADIANS(E2816)))/(12*N2816*COS(RADIANS(E2816))^2+L2816*G2816^2*SIN(RADIANS(E2816))^2)</f>
        <v/>
      </c>
      <c r="R2816" s="28">
        <f>-P2816*SIN(RADIANS(E2816))</f>
        <v/>
      </c>
      <c r="S2816" s="8">
        <f>(O2816+P2816*COS(RADIANS(E2816)))/L2816</f>
        <v/>
      </c>
      <c r="T2816" s="8">
        <f>R2816/L2816</f>
        <v/>
      </c>
      <c r="U2816" s="8">
        <f>(Q2816-P2816*G2816*SIN(RADIANS(E2816)))/M2816</f>
        <v/>
      </c>
      <c r="V2816" s="8">
        <f>SQRT((S2816+U2816)^2+3*T2816^2)</f>
        <v/>
      </c>
      <c r="W2816" s="8">
        <f>V2816/AA2816</f>
        <v/>
      </c>
      <c r="X2816" s="27">
        <f>((3*10+H2816/COS(RADIANS(E2816)))*(3+3)+3*G2816*H2816)*2</f>
        <v/>
      </c>
      <c r="Y2816" s="28">
        <f>Z2816/X2816</f>
        <v/>
      </c>
      <c r="Z2816" s="29" t="n">
        <v>604.508633584632</v>
      </c>
      <c r="AA2816" s="20" t="n">
        <v>47.2423547125591</v>
      </c>
      <c r="AB2816" t="n">
        <v>0.04472132314222484</v>
      </c>
      <c r="AC2816" t="n">
        <v>45.19001040821107</v>
      </c>
      <c r="AD2816" t="n">
        <v>6.431980572266527</v>
      </c>
    </row>
    <row r="2817">
      <c r="A2817" t="n">
        <v>2816</v>
      </c>
      <c r="B2817" t="n">
        <v>56</v>
      </c>
      <c r="C2817" s="21">
        <f>B2817-20</f>
        <v/>
      </c>
      <c r="D2817" t="n">
        <v>126.1</v>
      </c>
      <c r="E2817" s="22">
        <f>D2817-90</f>
        <v/>
      </c>
      <c r="F2817" s="23" t="n">
        <v>0.012676</v>
      </c>
      <c r="G2817" s="22" t="n">
        <v>30.8</v>
      </c>
      <c r="H2817" s="22" t="n">
        <v>1.2</v>
      </c>
      <c r="I2817" s="24" t="n">
        <v>0.0551753975450992</v>
      </c>
      <c r="J2817" s="6" t="n">
        <v>71000</v>
      </c>
      <c r="K2817" s="25">
        <f>23*10^-6</f>
        <v/>
      </c>
      <c r="L2817" s="8">
        <f>H2817</f>
        <v/>
      </c>
      <c r="M2817" s="26">
        <f>H2817^2/6</f>
        <v/>
      </c>
      <c r="N2817" s="26">
        <f>H2817^3/12</f>
        <v/>
      </c>
      <c r="O2817" s="27">
        <f>-J2817*L2817*K2817*C2817</f>
        <v/>
      </c>
      <c r="P2817" s="28">
        <f>-(12*F2817*J2817*L2817*N2817+12*O2817*N2817*G2817*COS(RADIANS(E2817)))/(12*N2817*G2817*COS(RADIANS(E2817))^2+L2817*G2817^3*SIN(RADIANS(E2817))^2)</f>
        <v/>
      </c>
      <c r="Q2817" s="28">
        <f>-(6*F2817*J2817*L2817*N2817*SIN(RADIANS(E2817))+6*O2817*N2817*G2817*SIN(RADIANS(E2817))*COS(RADIANS(E2817)))/(12*N2817*COS(RADIANS(E2817))^2+L2817*G2817^2*SIN(RADIANS(E2817))^2)</f>
        <v/>
      </c>
      <c r="R2817" s="28">
        <f>-P2817*SIN(RADIANS(E2817))</f>
        <v/>
      </c>
      <c r="S2817" s="8">
        <f>(O2817+P2817*COS(RADIANS(E2817)))/L2817</f>
        <v/>
      </c>
      <c r="T2817" s="8">
        <f>R2817/L2817</f>
        <v/>
      </c>
      <c r="U2817" s="8">
        <f>(Q2817-P2817*G2817*SIN(RADIANS(E2817)))/M2817</f>
        <v/>
      </c>
      <c r="V2817" s="8">
        <f>SQRT((S2817+U2817)^2+3*T2817^2)</f>
        <v/>
      </c>
      <c r="W2817" s="8">
        <f>V2817/AA2817</f>
        <v/>
      </c>
      <c r="X2817" s="27">
        <f>((3*10+H2817/COS(RADIANS(E2817)))*(3+3)+3*G2817*H2817)*2</f>
        <v/>
      </c>
      <c r="Y2817" s="28">
        <f>Z2817/X2817</f>
        <v/>
      </c>
      <c r="Z2817" s="29" t="n">
        <v>608.7189768748279</v>
      </c>
      <c r="AA2817" s="20" t="n">
        <v>49.0828031255552</v>
      </c>
      <c r="AB2817" t="n">
        <v>0.06046702082719471</v>
      </c>
      <c r="AC2817" t="n">
        <v>51.27358681449326</v>
      </c>
      <c r="AD2817" t="n">
        <v>9.590548537090735</v>
      </c>
    </row>
    <row r="2818">
      <c r="A2818" t="n">
        <v>2817</v>
      </c>
      <c r="B2818" t="n">
        <v>50.1</v>
      </c>
      <c r="C2818" s="21">
        <f>B2818-20</f>
        <v/>
      </c>
      <c r="D2818" t="n">
        <v>112.6</v>
      </c>
      <c r="E2818" s="22">
        <f>D2818-90</f>
        <v/>
      </c>
      <c r="F2818" s="23" t="n">
        <v>0.011784</v>
      </c>
      <c r="G2818" s="22" t="n">
        <v>30.7</v>
      </c>
      <c r="H2818" s="22" t="n">
        <v>1.9</v>
      </c>
      <c r="I2818" s="24" t="n">
        <v>0.06321870535612099</v>
      </c>
      <c r="J2818" s="6" t="n">
        <v>71000</v>
      </c>
      <c r="K2818" s="25">
        <f>23*10^-6</f>
        <v/>
      </c>
      <c r="L2818" s="8">
        <f>H2818</f>
        <v/>
      </c>
      <c r="M2818" s="26">
        <f>H2818^2/6</f>
        <v/>
      </c>
      <c r="N2818" s="26">
        <f>H2818^3/12</f>
        <v/>
      </c>
      <c r="O2818" s="27">
        <f>-J2818*L2818*K2818*C2818</f>
        <v/>
      </c>
      <c r="P2818" s="28">
        <f>-(12*F2818*J2818*L2818*N2818+12*O2818*N2818*G2818*COS(RADIANS(E2818)))/(12*N2818*G2818*COS(RADIANS(E2818))^2+L2818*G2818^3*SIN(RADIANS(E2818))^2)</f>
        <v/>
      </c>
      <c r="Q2818" s="28">
        <f>-(6*F2818*J2818*L2818*N2818*SIN(RADIANS(E2818))+6*O2818*N2818*G2818*SIN(RADIANS(E2818))*COS(RADIANS(E2818)))/(12*N2818*COS(RADIANS(E2818))^2+L2818*G2818^2*SIN(RADIANS(E2818))^2)</f>
        <v/>
      </c>
      <c r="R2818" s="28">
        <f>-P2818*SIN(RADIANS(E2818))</f>
        <v/>
      </c>
      <c r="S2818" s="8">
        <f>(O2818+P2818*COS(RADIANS(E2818)))/L2818</f>
        <v/>
      </c>
      <c r="T2818" s="8">
        <f>R2818/L2818</f>
        <v/>
      </c>
      <c r="U2818" s="8">
        <f>(Q2818-P2818*G2818*SIN(RADIANS(E2818)))/M2818</f>
        <v/>
      </c>
      <c r="V2818" s="8">
        <f>SQRT((S2818+U2818)^2+3*T2818^2)</f>
        <v/>
      </c>
      <c r="W2818" s="8">
        <f>V2818/AA2818</f>
        <v/>
      </c>
      <c r="X2818" s="27">
        <f>((3*10+H2818/COS(RADIANS(E2818)))*(3+3)+3*G2818*H2818)*2</f>
        <v/>
      </c>
      <c r="Y2818" s="28">
        <f>Z2818/X2818</f>
        <v/>
      </c>
      <c r="Z2818" s="29" t="n">
        <v>740.10630926775</v>
      </c>
      <c r="AA2818" s="20" t="n">
        <v>49.0932143132754</v>
      </c>
      <c r="AB2818" t="n">
        <v>0.08170090173979787</v>
      </c>
      <c r="AC2818" t="n">
        <v>47.12610753214284</v>
      </c>
      <c r="AD2818" t="n">
        <v>29.23532881536206</v>
      </c>
    </row>
    <row r="2819">
      <c r="A2819" t="n">
        <v>2818</v>
      </c>
      <c r="B2819" t="n">
        <v>80.2</v>
      </c>
      <c r="C2819" s="21">
        <f>B2819-20</f>
        <v/>
      </c>
      <c r="D2819" t="n">
        <v>106</v>
      </c>
      <c r="E2819" s="22">
        <f>D2819-90</f>
        <v/>
      </c>
      <c r="F2819" s="23" t="n">
        <v>0.018433</v>
      </c>
      <c r="G2819" s="22" t="n">
        <v>21.7</v>
      </c>
      <c r="H2819" s="22" t="n">
        <v>1.1</v>
      </c>
      <c r="I2819" s="24" t="n">
        <v>0.130027711391448</v>
      </c>
      <c r="J2819" s="6" t="n">
        <v>71000</v>
      </c>
      <c r="K2819" s="25">
        <f>23*10^-6</f>
        <v/>
      </c>
      <c r="L2819" s="8">
        <f>H2819</f>
        <v/>
      </c>
      <c r="M2819" s="26">
        <f>H2819^2/6</f>
        <v/>
      </c>
      <c r="N2819" s="26">
        <f>H2819^3/12</f>
        <v/>
      </c>
      <c r="O2819" s="27">
        <f>-J2819*L2819*K2819*C2819</f>
        <v/>
      </c>
      <c r="P2819" s="28">
        <f>-(12*F2819*J2819*L2819*N2819+12*O2819*N2819*G2819*COS(RADIANS(E2819)))/(12*N2819*G2819*COS(RADIANS(E2819))^2+L2819*G2819^3*SIN(RADIANS(E2819))^2)</f>
        <v/>
      </c>
      <c r="Q2819" s="28">
        <f>-(6*F2819*J2819*L2819*N2819*SIN(RADIANS(E2819))+6*O2819*N2819*G2819*SIN(RADIANS(E2819))*COS(RADIANS(E2819)))/(12*N2819*COS(RADIANS(E2819))^2+L2819*G2819^2*SIN(RADIANS(E2819))^2)</f>
        <v/>
      </c>
      <c r="R2819" s="28">
        <f>-P2819*SIN(RADIANS(E2819))</f>
        <v/>
      </c>
      <c r="S2819" s="8">
        <f>(O2819+P2819*COS(RADIANS(E2819)))/L2819</f>
        <v/>
      </c>
      <c r="T2819" s="8">
        <f>R2819/L2819</f>
        <v/>
      </c>
      <c r="U2819" s="8">
        <f>(Q2819-P2819*G2819*SIN(RADIANS(E2819)))/M2819</f>
        <v/>
      </c>
      <c r="V2819" s="8">
        <f>SQRT((S2819+U2819)^2+3*T2819^2)</f>
        <v/>
      </c>
      <c r="W2819" s="8">
        <f>V2819/AA2819</f>
        <v/>
      </c>
      <c r="X2819" s="27">
        <f>((3*10+H2819/COS(RADIANS(E2819)))*(3+3)+3*G2819*H2819)*2</f>
        <v/>
      </c>
      <c r="Y2819" s="28">
        <f>Z2819/X2819</f>
        <v/>
      </c>
      <c r="Z2819" s="29" t="n">
        <v>521.352768399692</v>
      </c>
      <c r="AA2819" s="20" t="n">
        <v>88.65762277829739</v>
      </c>
      <c r="AB2819" t="n">
        <v>0.1678769748163384</v>
      </c>
      <c r="AC2819" t="n">
        <v>95.01385996733252</v>
      </c>
      <c r="AD2819" t="n">
        <v>29.10861309474666</v>
      </c>
    </row>
    <row r="2820">
      <c r="A2820" t="n">
        <v>2819</v>
      </c>
      <c r="B2820" t="n">
        <v>53.7</v>
      </c>
      <c r="C2820" s="21">
        <f>B2820-20</f>
        <v/>
      </c>
      <c r="D2820" t="n">
        <v>114.6</v>
      </c>
      <c r="E2820" s="22">
        <f>D2820-90</f>
        <v/>
      </c>
      <c r="F2820" s="23" t="n">
        <v>0.012715</v>
      </c>
      <c r="G2820" s="22" t="n">
        <v>29.8</v>
      </c>
      <c r="H2820" s="22" t="n">
        <v>1.8</v>
      </c>
      <c r="I2820" s="24" t="n">
        <v>0.0653107687830925</v>
      </c>
      <c r="J2820" s="6" t="n">
        <v>71000</v>
      </c>
      <c r="K2820" s="25">
        <f>23*10^-6</f>
        <v/>
      </c>
      <c r="L2820" s="8">
        <f>H2820</f>
        <v/>
      </c>
      <c r="M2820" s="26">
        <f>H2820^2/6</f>
        <v/>
      </c>
      <c r="N2820" s="26">
        <f>H2820^3/12</f>
        <v/>
      </c>
      <c r="O2820" s="27">
        <f>-J2820*L2820*K2820*C2820</f>
        <v/>
      </c>
      <c r="P2820" s="28">
        <f>-(12*F2820*J2820*L2820*N2820+12*O2820*N2820*G2820*COS(RADIANS(E2820)))/(12*N2820*G2820*COS(RADIANS(E2820))^2+L2820*G2820^3*SIN(RADIANS(E2820))^2)</f>
        <v/>
      </c>
      <c r="Q2820" s="28">
        <f>-(6*F2820*J2820*L2820*N2820*SIN(RADIANS(E2820))+6*O2820*N2820*G2820*SIN(RADIANS(E2820))*COS(RADIANS(E2820)))/(12*N2820*COS(RADIANS(E2820))^2+L2820*G2820^2*SIN(RADIANS(E2820))^2)</f>
        <v/>
      </c>
      <c r="R2820" s="28">
        <f>-P2820*SIN(RADIANS(E2820))</f>
        <v/>
      </c>
      <c r="S2820" s="8">
        <f>(O2820+P2820*COS(RADIANS(E2820)))/L2820</f>
        <v/>
      </c>
      <c r="T2820" s="8">
        <f>R2820/L2820</f>
        <v/>
      </c>
      <c r="U2820" s="8">
        <f>(Q2820-P2820*G2820*SIN(RADIANS(E2820)))/M2820</f>
        <v/>
      </c>
      <c r="V2820" s="8">
        <f>SQRT((S2820+U2820)^2+3*T2820^2)</f>
        <v/>
      </c>
      <c r="W2820" s="8">
        <f>V2820/AA2820</f>
        <v/>
      </c>
      <c r="X2820" s="27">
        <f>((3*10+H2820/COS(RADIANS(E2820)))*(3+3)+3*G2820*H2820)*2</f>
        <v/>
      </c>
      <c r="Y2820" s="28">
        <f>Z2820/X2820</f>
        <v/>
      </c>
      <c r="Z2820" s="29" t="n">
        <v>711.4256191122601</v>
      </c>
      <c r="AA2820" s="20" t="n">
        <v>53.7908212306909</v>
      </c>
      <c r="AB2820" t="n">
        <v>0.08173351912178704</v>
      </c>
      <c r="AC2820" t="n">
        <v>51.90625709917985</v>
      </c>
      <c r="AD2820" t="n">
        <v>25.145547426087</v>
      </c>
    </row>
    <row r="2821">
      <c r="A2821" t="n">
        <v>2820</v>
      </c>
      <c r="B2821" t="n">
        <v>70.90000000000001</v>
      </c>
      <c r="C2821" s="21">
        <f>B2821-20</f>
        <v/>
      </c>
      <c r="D2821" t="n">
        <v>122.6</v>
      </c>
      <c r="E2821" s="22">
        <f>D2821-90</f>
        <v/>
      </c>
      <c r="F2821" s="23" t="n">
        <v>0.013992</v>
      </c>
      <c r="G2821" s="22" t="n">
        <v>21.5</v>
      </c>
      <c r="H2821" s="22" t="n">
        <v>1.6</v>
      </c>
      <c r="I2821" s="24" t="n">
        <v>0.0664284601807594</v>
      </c>
      <c r="J2821" s="6" t="n">
        <v>71000</v>
      </c>
      <c r="K2821" s="25">
        <f>23*10^-6</f>
        <v/>
      </c>
      <c r="L2821" s="8">
        <f>H2821</f>
        <v/>
      </c>
      <c r="M2821" s="26">
        <f>H2821^2/6</f>
        <v/>
      </c>
      <c r="N2821" s="26">
        <f>H2821^3/12</f>
        <v/>
      </c>
      <c r="O2821" s="27">
        <f>-J2821*L2821*K2821*C2821</f>
        <v/>
      </c>
      <c r="P2821" s="28">
        <f>-(12*F2821*J2821*L2821*N2821+12*O2821*N2821*G2821*COS(RADIANS(E2821)))/(12*N2821*G2821*COS(RADIANS(E2821))^2+L2821*G2821^3*SIN(RADIANS(E2821))^2)</f>
        <v/>
      </c>
      <c r="Q2821" s="28">
        <f>-(6*F2821*J2821*L2821*N2821*SIN(RADIANS(E2821))+6*O2821*N2821*G2821*SIN(RADIANS(E2821))*COS(RADIANS(E2821)))/(12*N2821*COS(RADIANS(E2821))^2+L2821*G2821^2*SIN(RADIANS(E2821))^2)</f>
        <v/>
      </c>
      <c r="R2821" s="28">
        <f>-P2821*SIN(RADIANS(E2821))</f>
        <v/>
      </c>
      <c r="S2821" s="8">
        <f>(O2821+P2821*COS(RADIANS(E2821)))/L2821</f>
        <v/>
      </c>
      <c r="T2821" s="8">
        <f>R2821/L2821</f>
        <v/>
      </c>
      <c r="U2821" s="8">
        <f>(Q2821-P2821*G2821*SIN(RADIANS(E2821)))/M2821</f>
        <v/>
      </c>
      <c r="V2821" s="8">
        <f>SQRT((S2821+U2821)^2+3*T2821^2)</f>
        <v/>
      </c>
      <c r="W2821" s="8">
        <f>V2821/AA2821</f>
        <v/>
      </c>
      <c r="X2821" s="27">
        <f>((3*10+H2821/COS(RADIANS(E2821)))*(3+3)+3*G2821*H2821)*2</f>
        <v/>
      </c>
      <c r="Y2821" s="28">
        <f>Z2821/X2821</f>
        <v/>
      </c>
      <c r="Z2821" s="29" t="n">
        <v>597.1124911391011</v>
      </c>
      <c r="AA2821" s="20" t="n">
        <v>80.4663189723606</v>
      </c>
      <c r="AB2821" t="n">
        <v>0.0675597031541611</v>
      </c>
      <c r="AC2821" t="n">
        <v>76.06465881333767</v>
      </c>
      <c r="AD2821" t="n">
        <v>1.702949263498591</v>
      </c>
    </row>
    <row r="2822">
      <c r="A2822" t="n">
        <v>2821</v>
      </c>
      <c r="B2822" t="n">
        <v>56.6</v>
      </c>
      <c r="C2822" s="21">
        <f>B2822-20</f>
        <v/>
      </c>
      <c r="D2822" t="n">
        <v>100.3</v>
      </c>
      <c r="E2822" s="22">
        <f>D2822-90</f>
        <v/>
      </c>
      <c r="F2822" s="23" t="n">
        <v>0.01133</v>
      </c>
      <c r="G2822" s="22" t="n">
        <v>21.5</v>
      </c>
      <c r="H2822" s="22" t="n">
        <v>1.2</v>
      </c>
      <c r="I2822" s="24" t="n">
        <v>0.107415445148944</v>
      </c>
      <c r="J2822" s="6" t="n">
        <v>71000</v>
      </c>
      <c r="K2822" s="25">
        <f>23*10^-6</f>
        <v/>
      </c>
      <c r="L2822" s="8">
        <f>H2822</f>
        <v/>
      </c>
      <c r="M2822" s="26">
        <f>H2822^2/6</f>
        <v/>
      </c>
      <c r="N2822" s="26">
        <f>H2822^3/12</f>
        <v/>
      </c>
      <c r="O2822" s="27">
        <f>-J2822*L2822*K2822*C2822</f>
        <v/>
      </c>
      <c r="P2822" s="28">
        <f>-(12*F2822*J2822*L2822*N2822+12*O2822*N2822*G2822*COS(RADIANS(E2822)))/(12*N2822*G2822*COS(RADIANS(E2822))^2+L2822*G2822^3*SIN(RADIANS(E2822))^2)</f>
        <v/>
      </c>
      <c r="Q2822" s="28">
        <f>-(6*F2822*J2822*L2822*N2822*SIN(RADIANS(E2822))+6*O2822*N2822*G2822*SIN(RADIANS(E2822))*COS(RADIANS(E2822)))/(12*N2822*COS(RADIANS(E2822))^2+L2822*G2822^2*SIN(RADIANS(E2822))^2)</f>
        <v/>
      </c>
      <c r="R2822" s="28">
        <f>-P2822*SIN(RADIANS(E2822))</f>
        <v/>
      </c>
      <c r="S2822" s="8">
        <f>(O2822+P2822*COS(RADIANS(E2822)))/L2822</f>
        <v/>
      </c>
      <c r="T2822" s="8">
        <f>R2822/L2822</f>
        <v/>
      </c>
      <c r="U2822" s="8">
        <f>(Q2822-P2822*G2822*SIN(RADIANS(E2822)))/M2822</f>
        <v/>
      </c>
      <c r="V2822" s="8">
        <f>SQRT((S2822+U2822)^2+3*T2822^2)</f>
        <v/>
      </c>
      <c r="W2822" s="8">
        <f>V2822/AA2822</f>
        <v/>
      </c>
      <c r="X2822" s="27">
        <f>((3*10+H2822/COS(RADIANS(E2822)))*(3+3)+3*G2822*H2822)*2</f>
        <v/>
      </c>
      <c r="Y2822" s="28">
        <f>Z2822/X2822</f>
        <v/>
      </c>
      <c r="Z2822" s="29" t="n">
        <v>533.262579435182</v>
      </c>
      <c r="AA2822" s="20" t="n">
        <v>64.2085856217092</v>
      </c>
      <c r="AB2822" t="n">
        <v>0.1492884275475371</v>
      </c>
      <c r="AC2822" t="n">
        <v>62.6744742473144</v>
      </c>
      <c r="AD2822" t="n">
        <v>38.98227330392883</v>
      </c>
    </row>
    <row r="2823">
      <c r="A2823" t="n">
        <v>2822</v>
      </c>
      <c r="B2823" t="n">
        <v>73.2</v>
      </c>
      <c r="C2823" s="21">
        <f>B2823-20</f>
        <v/>
      </c>
      <c r="D2823" t="n">
        <v>115</v>
      </c>
      <c r="E2823" s="22">
        <f>D2823-90</f>
        <v/>
      </c>
      <c r="F2823" s="23" t="n">
        <v>0.020568</v>
      </c>
      <c r="G2823" s="22" t="n">
        <v>30.8</v>
      </c>
      <c r="H2823" s="22" t="n">
        <v>1.7</v>
      </c>
      <c r="I2823" s="24" t="n">
        <v>0.104334697127342</v>
      </c>
      <c r="J2823" s="6" t="n">
        <v>71000</v>
      </c>
      <c r="K2823" s="25">
        <f>23*10^-6</f>
        <v/>
      </c>
      <c r="L2823" s="8">
        <f>H2823</f>
        <v/>
      </c>
      <c r="M2823" s="26">
        <f>H2823^2/6</f>
        <v/>
      </c>
      <c r="N2823" s="26">
        <f>H2823^3/12</f>
        <v/>
      </c>
      <c r="O2823" s="27">
        <f>-J2823*L2823*K2823*C2823</f>
        <v/>
      </c>
      <c r="P2823" s="28">
        <f>-(12*F2823*J2823*L2823*N2823+12*O2823*N2823*G2823*COS(RADIANS(E2823)))/(12*N2823*G2823*COS(RADIANS(E2823))^2+L2823*G2823^3*SIN(RADIANS(E2823))^2)</f>
        <v/>
      </c>
      <c r="Q2823" s="28">
        <f>-(6*F2823*J2823*L2823*N2823*SIN(RADIANS(E2823))+6*O2823*N2823*G2823*SIN(RADIANS(E2823))*COS(RADIANS(E2823)))/(12*N2823*COS(RADIANS(E2823))^2+L2823*G2823^2*SIN(RADIANS(E2823))^2)</f>
        <v/>
      </c>
      <c r="R2823" s="28">
        <f>-P2823*SIN(RADIANS(E2823))</f>
        <v/>
      </c>
      <c r="S2823" s="8">
        <f>(O2823+P2823*COS(RADIANS(E2823)))/L2823</f>
        <v/>
      </c>
      <c r="T2823" s="8">
        <f>R2823/L2823</f>
        <v/>
      </c>
      <c r="U2823" s="8">
        <f>(Q2823-P2823*G2823*SIN(RADIANS(E2823)))/M2823</f>
        <v/>
      </c>
      <c r="V2823" s="8">
        <f>SQRT((S2823+U2823)^2+3*T2823^2)</f>
        <v/>
      </c>
      <c r="W2823" s="8">
        <f>V2823/AA2823</f>
        <v/>
      </c>
      <c r="X2823" s="27">
        <f>((3*10+H2823/COS(RADIANS(E2823)))*(3+3)+3*G2823*H2823)*2</f>
        <v/>
      </c>
      <c r="Y2823" s="28">
        <f>Z2823/X2823</f>
        <v/>
      </c>
      <c r="Z2823" s="29" t="n">
        <v>702.583608987576</v>
      </c>
      <c r="AA2823" s="20" t="n">
        <v>83.1813579946953</v>
      </c>
      <c r="AB2823" t="n">
        <v>0.1313096065809395</v>
      </c>
      <c r="AC2823" t="n">
        <v>81.01612240590123</v>
      </c>
      <c r="AD2823" t="n">
        <v>25.85420784868362</v>
      </c>
    </row>
    <row r="2824">
      <c r="A2824" t="n">
        <v>2823</v>
      </c>
      <c r="B2824" t="n">
        <v>66.09999999999999</v>
      </c>
      <c r="C2824" s="21">
        <f>B2824-20</f>
        <v/>
      </c>
      <c r="D2824" t="n">
        <v>116.5</v>
      </c>
      <c r="E2824" s="22">
        <f>D2824-90</f>
        <v/>
      </c>
      <c r="F2824" s="23" t="n">
        <v>0.016746</v>
      </c>
      <c r="G2824" s="22" t="n">
        <v>28.9</v>
      </c>
      <c r="H2824" s="22" t="n">
        <v>1.1</v>
      </c>
      <c r="I2824" s="24" t="n">
        <v>0.083138532936573</v>
      </c>
      <c r="J2824" s="6" t="n">
        <v>71000</v>
      </c>
      <c r="K2824" s="25">
        <f>23*10^-6</f>
        <v/>
      </c>
      <c r="L2824" s="8">
        <f>H2824</f>
        <v/>
      </c>
      <c r="M2824" s="26">
        <f>H2824^2/6</f>
        <v/>
      </c>
      <c r="N2824" s="26">
        <f>H2824^3/12</f>
        <v/>
      </c>
      <c r="O2824" s="27">
        <f>-J2824*L2824*K2824*C2824</f>
        <v/>
      </c>
      <c r="P2824" s="28">
        <f>-(12*F2824*J2824*L2824*N2824+12*O2824*N2824*G2824*COS(RADIANS(E2824)))/(12*N2824*G2824*COS(RADIANS(E2824))^2+L2824*G2824^3*SIN(RADIANS(E2824))^2)</f>
        <v/>
      </c>
      <c r="Q2824" s="28">
        <f>-(6*F2824*J2824*L2824*N2824*SIN(RADIANS(E2824))+6*O2824*N2824*G2824*SIN(RADIANS(E2824))*COS(RADIANS(E2824)))/(12*N2824*COS(RADIANS(E2824))^2+L2824*G2824^2*SIN(RADIANS(E2824))^2)</f>
        <v/>
      </c>
      <c r="R2824" s="28">
        <f>-P2824*SIN(RADIANS(E2824))</f>
        <v/>
      </c>
      <c r="S2824" s="8">
        <f>(O2824+P2824*COS(RADIANS(E2824)))/L2824</f>
        <v/>
      </c>
      <c r="T2824" s="8">
        <f>R2824/L2824</f>
        <v/>
      </c>
      <c r="U2824" s="8">
        <f>(Q2824-P2824*G2824*SIN(RADIANS(E2824)))/M2824</f>
        <v/>
      </c>
      <c r="V2824" s="8">
        <f>SQRT((S2824+U2824)^2+3*T2824^2)</f>
        <v/>
      </c>
      <c r="W2824" s="8">
        <f>V2824/AA2824</f>
        <v/>
      </c>
      <c r="X2824" s="27">
        <f>((3*10+H2824/COS(RADIANS(E2824)))*(3+3)+3*G2824*H2824)*2</f>
        <v/>
      </c>
      <c r="Y2824" s="28">
        <f>Z2824/X2824</f>
        <v/>
      </c>
      <c r="Z2824" s="29" t="n">
        <v>571.740923699169</v>
      </c>
      <c r="AA2824" s="20" t="n">
        <v>63.9772661595889</v>
      </c>
      <c r="AB2824" t="n">
        <v>0.1016206523984583</v>
      </c>
      <c r="AC2824" t="n">
        <v>67.26771367662734</v>
      </c>
      <c r="AD2824" t="n">
        <v>22.23050949910967</v>
      </c>
    </row>
    <row r="2825">
      <c r="A2825" t="n">
        <v>2824</v>
      </c>
      <c r="B2825" t="n">
        <v>54.6</v>
      </c>
      <c r="C2825" s="21">
        <f>B2825-20</f>
        <v/>
      </c>
      <c r="D2825" t="n">
        <v>122.9</v>
      </c>
      <c r="E2825" s="22">
        <f>D2825-90</f>
        <v/>
      </c>
      <c r="F2825" s="23" t="n">
        <v>0.010779</v>
      </c>
      <c r="G2825" s="22" t="n">
        <v>25.4</v>
      </c>
      <c r="H2825" s="22" t="n">
        <v>1.3</v>
      </c>
      <c r="I2825" s="24" t="n">
        <v>0.0496753007173538</v>
      </c>
      <c r="J2825" s="6" t="n">
        <v>71000</v>
      </c>
      <c r="K2825" s="25">
        <f>23*10^-6</f>
        <v/>
      </c>
      <c r="L2825" s="8">
        <f>H2825</f>
        <v/>
      </c>
      <c r="M2825" s="26">
        <f>H2825^2/6</f>
        <v/>
      </c>
      <c r="N2825" s="26">
        <f>H2825^3/12</f>
        <v/>
      </c>
      <c r="O2825" s="27">
        <f>-J2825*L2825*K2825*C2825</f>
        <v/>
      </c>
      <c r="P2825" s="28">
        <f>-(12*F2825*J2825*L2825*N2825+12*O2825*N2825*G2825*COS(RADIANS(E2825)))/(12*N2825*G2825*COS(RADIANS(E2825))^2+L2825*G2825^3*SIN(RADIANS(E2825))^2)</f>
        <v/>
      </c>
      <c r="Q2825" s="28">
        <f>-(6*F2825*J2825*L2825*N2825*SIN(RADIANS(E2825))+6*O2825*N2825*G2825*SIN(RADIANS(E2825))*COS(RADIANS(E2825)))/(12*N2825*COS(RADIANS(E2825))^2+L2825*G2825^2*SIN(RADIANS(E2825))^2)</f>
        <v/>
      </c>
      <c r="R2825" s="28">
        <f>-P2825*SIN(RADIANS(E2825))</f>
        <v/>
      </c>
      <c r="S2825" s="8">
        <f>(O2825+P2825*COS(RADIANS(E2825)))/L2825</f>
        <v/>
      </c>
      <c r="T2825" s="8">
        <f>R2825/L2825</f>
        <v/>
      </c>
      <c r="U2825" s="8">
        <f>(Q2825-P2825*G2825*SIN(RADIANS(E2825)))/M2825</f>
        <v/>
      </c>
      <c r="V2825" s="8">
        <f>SQRT((S2825+U2825)^2+3*T2825^2)</f>
        <v/>
      </c>
      <c r="W2825" s="8">
        <f>V2825/AA2825</f>
        <v/>
      </c>
      <c r="X2825" s="27">
        <f>((3*10+H2825/COS(RADIANS(E2825)))*(3+3)+3*G2825*H2825)*2</f>
        <v/>
      </c>
      <c r="Y2825" s="28">
        <f>Z2825/X2825</f>
        <v/>
      </c>
      <c r="Z2825" s="29" t="n">
        <v>584.717830320737</v>
      </c>
      <c r="AA2825" s="20" t="n">
        <v>49.7190339455806</v>
      </c>
      <c r="AB2825" t="n">
        <v>0.0534960190807075</v>
      </c>
      <c r="AC2825" t="n">
        <v>50.36635728600246</v>
      </c>
      <c r="AD2825" t="n">
        <v>7.691384467087781</v>
      </c>
    </row>
    <row r="2826">
      <c r="A2826" t="n">
        <v>2825</v>
      </c>
      <c r="B2826" t="n">
        <v>87</v>
      </c>
      <c r="C2826" s="21">
        <f>B2826-20</f>
        <v/>
      </c>
      <c r="D2826" t="n">
        <v>129.9</v>
      </c>
      <c r="E2826" s="22">
        <f>D2826-90</f>
        <v/>
      </c>
      <c r="F2826" s="23" t="n">
        <v>0.018822</v>
      </c>
      <c r="G2826" s="22" t="n">
        <v>24.3</v>
      </c>
      <c r="H2826" s="22" t="n">
        <v>1.2</v>
      </c>
      <c r="I2826" s="24" t="n">
        <v>0.0832129642367363</v>
      </c>
      <c r="J2826" s="6" t="n">
        <v>71000</v>
      </c>
      <c r="K2826" s="25">
        <f>23*10^-6</f>
        <v/>
      </c>
      <c r="L2826" s="8">
        <f>H2826</f>
        <v/>
      </c>
      <c r="M2826" s="26">
        <f>H2826^2/6</f>
        <v/>
      </c>
      <c r="N2826" s="26">
        <f>H2826^3/12</f>
        <v/>
      </c>
      <c r="O2826" s="27">
        <f>-J2826*L2826*K2826*C2826</f>
        <v/>
      </c>
      <c r="P2826" s="28">
        <f>-(12*F2826*J2826*L2826*N2826+12*O2826*N2826*G2826*COS(RADIANS(E2826)))/(12*N2826*G2826*COS(RADIANS(E2826))^2+L2826*G2826^3*SIN(RADIANS(E2826))^2)</f>
        <v/>
      </c>
      <c r="Q2826" s="28">
        <f>-(6*F2826*J2826*L2826*N2826*SIN(RADIANS(E2826))+6*O2826*N2826*G2826*SIN(RADIANS(E2826))*COS(RADIANS(E2826)))/(12*N2826*COS(RADIANS(E2826))^2+L2826*G2826^2*SIN(RADIANS(E2826))^2)</f>
        <v/>
      </c>
      <c r="R2826" s="28">
        <f>-P2826*SIN(RADIANS(E2826))</f>
        <v/>
      </c>
      <c r="S2826" s="8">
        <f>(O2826+P2826*COS(RADIANS(E2826)))/L2826</f>
        <v/>
      </c>
      <c r="T2826" s="8">
        <f>R2826/L2826</f>
        <v/>
      </c>
      <c r="U2826" s="8">
        <f>(Q2826-P2826*G2826*SIN(RADIANS(E2826)))/M2826</f>
        <v/>
      </c>
      <c r="V2826" s="8">
        <f>SQRT((S2826+U2826)^2+3*T2826^2)</f>
        <v/>
      </c>
      <c r="W2826" s="8">
        <f>V2826/AA2826</f>
        <v/>
      </c>
      <c r="X2826" s="27">
        <f>((3*10+H2826/COS(RADIANS(E2826)))*(3+3)+3*G2826*H2826)*2</f>
        <v/>
      </c>
      <c r="Y2826" s="28">
        <f>Z2826/X2826</f>
        <v/>
      </c>
      <c r="Z2826" s="29" t="n">
        <v>564.4480406283</v>
      </c>
      <c r="AA2826" s="20" t="n">
        <v>91.4515100177904</v>
      </c>
      <c r="AB2826" t="n">
        <v>0.08055217369503857</v>
      </c>
      <c r="AC2826" t="n">
        <v>95.36026340961365</v>
      </c>
      <c r="AD2826" t="n">
        <v>-3.197567309497499</v>
      </c>
    </row>
    <row r="2827">
      <c r="A2827" t="n">
        <v>2826</v>
      </c>
      <c r="B2827" t="n">
        <v>86</v>
      </c>
      <c r="C2827" s="21">
        <f>B2827-20</f>
        <v/>
      </c>
      <c r="D2827" t="n">
        <v>118.9</v>
      </c>
      <c r="E2827" s="22">
        <f>D2827-90</f>
        <v/>
      </c>
      <c r="F2827" s="23" t="n">
        <v>0.02579</v>
      </c>
      <c r="G2827" s="22" t="n">
        <v>32.3</v>
      </c>
      <c r="H2827" s="22" t="n">
        <v>1.4</v>
      </c>
      <c r="I2827" s="24" t="n">
        <v>0.120881870388984</v>
      </c>
      <c r="J2827" s="6" t="n">
        <v>71000</v>
      </c>
      <c r="K2827" s="25">
        <f>23*10^-6</f>
        <v/>
      </c>
      <c r="L2827" s="8">
        <f>H2827</f>
        <v/>
      </c>
      <c r="M2827" s="26">
        <f>H2827^2/6</f>
        <v/>
      </c>
      <c r="N2827" s="26">
        <f>H2827^3/12</f>
        <v/>
      </c>
      <c r="O2827" s="27">
        <f>-J2827*L2827*K2827*C2827</f>
        <v/>
      </c>
      <c r="P2827" s="28">
        <f>-(12*F2827*J2827*L2827*N2827+12*O2827*N2827*G2827*COS(RADIANS(E2827)))/(12*N2827*G2827*COS(RADIANS(E2827))^2+L2827*G2827^3*SIN(RADIANS(E2827))^2)</f>
        <v/>
      </c>
      <c r="Q2827" s="28">
        <f>-(6*F2827*J2827*L2827*N2827*SIN(RADIANS(E2827))+6*O2827*N2827*G2827*SIN(RADIANS(E2827))*COS(RADIANS(E2827)))/(12*N2827*COS(RADIANS(E2827))^2+L2827*G2827^2*SIN(RADIANS(E2827))^2)</f>
        <v/>
      </c>
      <c r="R2827" s="28">
        <f>-P2827*SIN(RADIANS(E2827))</f>
        <v/>
      </c>
      <c r="S2827" s="8">
        <f>(O2827+P2827*COS(RADIANS(E2827)))/L2827</f>
        <v/>
      </c>
      <c r="T2827" s="8">
        <f>R2827/L2827</f>
        <v/>
      </c>
      <c r="U2827" s="8">
        <f>(Q2827-P2827*G2827*SIN(RADIANS(E2827)))/M2827</f>
        <v/>
      </c>
      <c r="V2827" s="8">
        <f>SQRT((S2827+U2827)^2+3*T2827^2)</f>
        <v/>
      </c>
      <c r="W2827" s="8">
        <f>V2827/AA2827</f>
        <v/>
      </c>
      <c r="X2827" s="27">
        <f>((3*10+H2827/COS(RADIANS(E2827)))*(3+3)+3*G2827*H2827)*2</f>
        <v/>
      </c>
      <c r="Y2827" s="28">
        <f>Z2827/X2827</f>
        <v/>
      </c>
      <c r="Z2827" s="29" t="n">
        <v>657.357459400103</v>
      </c>
      <c r="AA2827" s="20" t="n">
        <v>96.1487194238797</v>
      </c>
      <c r="AB2827" t="n">
        <v>0.1471790743590044</v>
      </c>
      <c r="AC2827" t="n">
        <v>96.713412065684</v>
      </c>
      <c r="AD2827" t="n">
        <v>21.75446482206062</v>
      </c>
    </row>
    <row r="2828">
      <c r="A2828" t="n">
        <v>2827</v>
      </c>
      <c r="B2828" t="n">
        <v>85.7</v>
      </c>
      <c r="C2828" s="21">
        <f>B2828-20</f>
        <v/>
      </c>
      <c r="D2828" t="n">
        <v>100.7</v>
      </c>
      <c r="E2828" s="22">
        <f>D2828-90</f>
        <v/>
      </c>
      <c r="F2828" s="23" t="n">
        <v>0.02775</v>
      </c>
      <c r="G2828" s="22" t="n">
        <v>31.6</v>
      </c>
      <c r="H2828" s="22" t="n">
        <v>1.6</v>
      </c>
      <c r="I2828" s="24" t="n">
        <v>0.249776914715766</v>
      </c>
      <c r="J2828" s="6" t="n">
        <v>71000</v>
      </c>
      <c r="K2828" s="25">
        <f>23*10^-6</f>
        <v/>
      </c>
      <c r="L2828" s="8">
        <f>H2828</f>
        <v/>
      </c>
      <c r="M2828" s="26">
        <f>H2828^2/6</f>
        <v/>
      </c>
      <c r="N2828" s="26">
        <f>H2828^3/12</f>
        <v/>
      </c>
      <c r="O2828" s="27">
        <f>-J2828*L2828*K2828*C2828</f>
        <v/>
      </c>
      <c r="P2828" s="28">
        <f>-(12*F2828*J2828*L2828*N2828+12*O2828*N2828*G2828*COS(RADIANS(E2828)))/(12*N2828*G2828*COS(RADIANS(E2828))^2+L2828*G2828^3*SIN(RADIANS(E2828))^2)</f>
        <v/>
      </c>
      <c r="Q2828" s="28">
        <f>-(6*F2828*J2828*L2828*N2828*SIN(RADIANS(E2828))+6*O2828*N2828*G2828*SIN(RADIANS(E2828))*COS(RADIANS(E2828)))/(12*N2828*COS(RADIANS(E2828))^2+L2828*G2828^2*SIN(RADIANS(E2828))^2)</f>
        <v/>
      </c>
      <c r="R2828" s="28">
        <f>-P2828*SIN(RADIANS(E2828))</f>
        <v/>
      </c>
      <c r="S2828" s="8">
        <f>(O2828+P2828*COS(RADIANS(E2828)))/L2828</f>
        <v/>
      </c>
      <c r="T2828" s="8">
        <f>R2828/L2828</f>
        <v/>
      </c>
      <c r="U2828" s="8">
        <f>(Q2828-P2828*G2828*SIN(RADIANS(E2828)))/M2828</f>
        <v/>
      </c>
      <c r="V2828" s="8">
        <f>SQRT((S2828+U2828)^2+3*T2828^2)</f>
        <v/>
      </c>
      <c r="W2828" s="8">
        <f>V2828/AA2828</f>
        <v/>
      </c>
      <c r="X2828" s="27">
        <f>((3*10+H2828/COS(RADIANS(E2828)))*(3+3)+3*G2828*H2828)*2</f>
        <v/>
      </c>
      <c r="Y2828" s="28">
        <f>Z2828/X2828</f>
        <v/>
      </c>
      <c r="Z2828" s="29" t="n">
        <v>686.7580476712139</v>
      </c>
      <c r="AA2828" s="20" t="n">
        <v>109.1176980981</v>
      </c>
      <c r="AB2828" t="n">
        <v>0.3766281044322993</v>
      </c>
      <c r="AC2828" t="n">
        <v>112.872116408785</v>
      </c>
      <c r="AD2828" t="n">
        <v>50.78579413989631</v>
      </c>
    </row>
    <row r="2829">
      <c r="A2829" t="n">
        <v>2828</v>
      </c>
      <c r="B2829" t="n">
        <v>74.09999999999999</v>
      </c>
      <c r="C2829" s="21">
        <f>B2829-20</f>
        <v/>
      </c>
      <c r="D2829" t="n">
        <v>105.4</v>
      </c>
      <c r="E2829" s="22">
        <f>D2829-90</f>
        <v/>
      </c>
      <c r="F2829" s="23" t="n">
        <v>0.022192</v>
      </c>
      <c r="G2829" s="22" t="n">
        <v>31.1</v>
      </c>
      <c r="H2829" s="22" t="n">
        <v>1.8</v>
      </c>
      <c r="I2829" s="24" t="n">
        <v>0.152655705809593</v>
      </c>
      <c r="J2829" s="6" t="n">
        <v>71000</v>
      </c>
      <c r="K2829" s="25">
        <f>23*10^-6</f>
        <v/>
      </c>
      <c r="L2829" s="8">
        <f>H2829</f>
        <v/>
      </c>
      <c r="M2829" s="26">
        <f>H2829^2/6</f>
        <v/>
      </c>
      <c r="N2829" s="26">
        <f>H2829^3/12</f>
        <v/>
      </c>
      <c r="O2829" s="27">
        <f>-J2829*L2829*K2829*C2829</f>
        <v/>
      </c>
      <c r="P2829" s="28">
        <f>-(12*F2829*J2829*L2829*N2829+12*O2829*N2829*G2829*COS(RADIANS(E2829)))/(12*N2829*G2829*COS(RADIANS(E2829))^2+L2829*G2829^3*SIN(RADIANS(E2829))^2)</f>
        <v/>
      </c>
      <c r="Q2829" s="28">
        <f>-(6*F2829*J2829*L2829*N2829*SIN(RADIANS(E2829))+6*O2829*N2829*G2829*SIN(RADIANS(E2829))*COS(RADIANS(E2829)))/(12*N2829*COS(RADIANS(E2829))^2+L2829*G2829^2*SIN(RADIANS(E2829))^2)</f>
        <v/>
      </c>
      <c r="R2829" s="28">
        <f>-P2829*SIN(RADIANS(E2829))</f>
        <v/>
      </c>
      <c r="S2829" s="8">
        <f>(O2829+P2829*COS(RADIANS(E2829)))/L2829</f>
        <v/>
      </c>
      <c r="T2829" s="8">
        <f>R2829/L2829</f>
        <v/>
      </c>
      <c r="U2829" s="8">
        <f>(Q2829-P2829*G2829*SIN(RADIANS(E2829)))/M2829</f>
        <v/>
      </c>
      <c r="V2829" s="8">
        <f>SQRT((S2829+U2829)^2+3*T2829^2)</f>
        <v/>
      </c>
      <c r="W2829" s="8">
        <f>V2829/AA2829</f>
        <v/>
      </c>
      <c r="X2829" s="27">
        <f>((3*10+H2829/COS(RADIANS(E2829)))*(3+3)+3*G2829*H2829)*2</f>
        <v/>
      </c>
      <c r="Y2829" s="28">
        <f>Z2829/X2829</f>
        <v/>
      </c>
      <c r="Z2829" s="29" t="n">
        <v>722.611852984399</v>
      </c>
      <c r="AA2829" s="20" t="n">
        <v>90.3056173055362</v>
      </c>
      <c r="AB2829" t="n">
        <v>0.2164650111807314</v>
      </c>
      <c r="AC2829" t="n">
        <v>89.19349763216059</v>
      </c>
      <c r="AD2829" t="n">
        <v>41.7994892707958</v>
      </c>
    </row>
    <row r="2830">
      <c r="A2830" t="n">
        <v>2829</v>
      </c>
      <c r="B2830" t="n">
        <v>77.2</v>
      </c>
      <c r="C2830" s="21">
        <f>B2830-20</f>
        <v/>
      </c>
      <c r="D2830" t="n">
        <v>124.6</v>
      </c>
      <c r="E2830" s="22">
        <f>D2830-90</f>
        <v/>
      </c>
      <c r="F2830" s="23" t="n">
        <v>0.017224</v>
      </c>
      <c r="G2830" s="22" t="n">
        <v>24.8</v>
      </c>
      <c r="H2830" s="22" t="n">
        <v>1</v>
      </c>
      <c r="I2830" s="24" t="n">
        <v>0.0782912969589233</v>
      </c>
      <c r="J2830" s="6" t="n">
        <v>71000</v>
      </c>
      <c r="K2830" s="25">
        <f>23*10^-6</f>
        <v/>
      </c>
      <c r="L2830" s="8">
        <f>H2830</f>
        <v/>
      </c>
      <c r="M2830" s="26">
        <f>H2830^2/6</f>
        <v/>
      </c>
      <c r="N2830" s="26">
        <f>H2830^3/12</f>
        <v/>
      </c>
      <c r="O2830" s="27">
        <f>-J2830*L2830*K2830*C2830</f>
        <v/>
      </c>
      <c r="P2830" s="28">
        <f>-(12*F2830*J2830*L2830*N2830+12*O2830*N2830*G2830*COS(RADIANS(E2830)))/(12*N2830*G2830*COS(RADIANS(E2830))^2+L2830*G2830^3*SIN(RADIANS(E2830))^2)</f>
        <v/>
      </c>
      <c r="Q2830" s="28">
        <f>-(6*F2830*J2830*L2830*N2830*SIN(RADIANS(E2830))+6*O2830*N2830*G2830*SIN(RADIANS(E2830))*COS(RADIANS(E2830)))/(12*N2830*COS(RADIANS(E2830))^2+L2830*G2830^2*SIN(RADIANS(E2830))^2)</f>
        <v/>
      </c>
      <c r="R2830" s="28">
        <f>-P2830*SIN(RADIANS(E2830))</f>
        <v/>
      </c>
      <c r="S2830" s="8">
        <f>(O2830+P2830*COS(RADIANS(E2830)))/L2830</f>
        <v/>
      </c>
      <c r="T2830" s="8">
        <f>R2830/L2830</f>
        <v/>
      </c>
      <c r="U2830" s="8">
        <f>(Q2830-P2830*G2830*SIN(RADIANS(E2830)))/M2830</f>
        <v/>
      </c>
      <c r="V2830" s="8">
        <f>SQRT((S2830+U2830)^2+3*T2830^2)</f>
        <v/>
      </c>
      <c r="W2830" s="8">
        <f>V2830/AA2830</f>
        <v/>
      </c>
      <c r="X2830" s="27">
        <f>((3*10+H2830/COS(RADIANS(E2830)))*(3+3)+3*G2830*H2830)*2</f>
        <v/>
      </c>
      <c r="Y2830" s="28">
        <f>Z2830/X2830</f>
        <v/>
      </c>
      <c r="Z2830" s="29" t="n">
        <v>531.968788438443</v>
      </c>
      <c r="AA2830" s="20" t="n">
        <v>76.0262745610181</v>
      </c>
      <c r="AB2830" t="n">
        <v>0.08210385597497066</v>
      </c>
      <c r="AC2830" t="n">
        <v>81.54816672534791</v>
      </c>
      <c r="AD2830" t="n">
        <v>4.869709870878344</v>
      </c>
    </row>
    <row r="2831">
      <c r="A2831" t="n">
        <v>2830</v>
      </c>
      <c r="B2831" t="n">
        <v>86.90000000000001</v>
      </c>
      <c r="C2831" s="21">
        <f>B2831-20</f>
        <v/>
      </c>
      <c r="D2831" t="n">
        <v>124.8</v>
      </c>
      <c r="E2831" s="22">
        <f>D2831-90</f>
        <v/>
      </c>
      <c r="F2831" s="23" t="n">
        <v>0.018917</v>
      </c>
      <c r="G2831" s="22" t="n">
        <v>22.9</v>
      </c>
      <c r="H2831" s="22" t="n">
        <v>1.7</v>
      </c>
      <c r="I2831" s="24" t="n">
        <v>0.08711943775415421</v>
      </c>
      <c r="J2831" s="6" t="n">
        <v>71000</v>
      </c>
      <c r="K2831" s="25">
        <f>23*10^-6</f>
        <v/>
      </c>
      <c r="L2831" s="8">
        <f>H2831</f>
        <v/>
      </c>
      <c r="M2831" s="26">
        <f>H2831^2/6</f>
        <v/>
      </c>
      <c r="N2831" s="26">
        <f>H2831^3/12</f>
        <v/>
      </c>
      <c r="O2831" s="27">
        <f>-J2831*L2831*K2831*C2831</f>
        <v/>
      </c>
      <c r="P2831" s="28">
        <f>-(12*F2831*J2831*L2831*N2831+12*O2831*N2831*G2831*COS(RADIANS(E2831)))/(12*N2831*G2831*COS(RADIANS(E2831))^2+L2831*G2831^3*SIN(RADIANS(E2831))^2)</f>
        <v/>
      </c>
      <c r="Q2831" s="28">
        <f>-(6*F2831*J2831*L2831*N2831*SIN(RADIANS(E2831))+6*O2831*N2831*G2831*SIN(RADIANS(E2831))*COS(RADIANS(E2831)))/(12*N2831*COS(RADIANS(E2831))^2+L2831*G2831^2*SIN(RADIANS(E2831))^2)</f>
        <v/>
      </c>
      <c r="R2831" s="28">
        <f>-P2831*SIN(RADIANS(E2831))</f>
        <v/>
      </c>
      <c r="S2831" s="8">
        <f>(O2831+P2831*COS(RADIANS(E2831)))/L2831</f>
        <v/>
      </c>
      <c r="T2831" s="8">
        <f>R2831/L2831</f>
        <v/>
      </c>
      <c r="U2831" s="8">
        <f>(Q2831-P2831*G2831*SIN(RADIANS(E2831)))/M2831</f>
        <v/>
      </c>
      <c r="V2831" s="8">
        <f>SQRT((S2831+U2831)^2+3*T2831^2)</f>
        <v/>
      </c>
      <c r="W2831" s="8">
        <f>V2831/AA2831</f>
        <v/>
      </c>
      <c r="X2831" s="27">
        <f>((3*10+H2831/COS(RADIANS(E2831)))*(3+3)+3*G2831*H2831)*2</f>
        <v/>
      </c>
      <c r="Y2831" s="28">
        <f>Z2831/X2831</f>
        <v/>
      </c>
      <c r="Z2831" s="29" t="n">
        <v>627.0841923310051</v>
      </c>
      <c r="AA2831" s="20" t="n">
        <v>106.317345391261</v>
      </c>
      <c r="AB2831" t="n">
        <v>0.08780726397747785</v>
      </c>
      <c r="AC2831" t="n">
        <v>99.36024014224093</v>
      </c>
      <c r="AD2831" t="n">
        <v>0.7895209623191599</v>
      </c>
    </row>
    <row r="2832">
      <c r="A2832" t="n">
        <v>2831</v>
      </c>
      <c r="B2832" t="n">
        <v>41.6</v>
      </c>
      <c r="C2832" s="21">
        <f>B2832-20</f>
        <v/>
      </c>
      <c r="D2832" t="n">
        <v>128.1</v>
      </c>
      <c r="E2832" s="22">
        <f>D2832-90</f>
        <v/>
      </c>
      <c r="F2832" s="23" t="n">
        <v>0.008220999999999999</v>
      </c>
      <c r="G2832" s="22" t="n">
        <v>34.8</v>
      </c>
      <c r="H2832" s="22" t="n">
        <v>1.4</v>
      </c>
      <c r="I2832" s="24" t="n">
        <v>0.0348189584910869</v>
      </c>
      <c r="J2832" s="6" t="n">
        <v>71000</v>
      </c>
      <c r="K2832" s="25">
        <f>23*10^-6</f>
        <v/>
      </c>
      <c r="L2832" s="8">
        <f>H2832</f>
        <v/>
      </c>
      <c r="M2832" s="26">
        <f>H2832^2/6</f>
        <v/>
      </c>
      <c r="N2832" s="26">
        <f>H2832^3/12</f>
        <v/>
      </c>
      <c r="O2832" s="27">
        <f>-J2832*L2832*K2832*C2832</f>
        <v/>
      </c>
      <c r="P2832" s="28">
        <f>-(12*F2832*J2832*L2832*N2832+12*O2832*N2832*G2832*COS(RADIANS(E2832)))/(12*N2832*G2832*COS(RADIANS(E2832))^2+L2832*G2832^3*SIN(RADIANS(E2832))^2)</f>
        <v/>
      </c>
      <c r="Q2832" s="28">
        <f>-(6*F2832*J2832*L2832*N2832*SIN(RADIANS(E2832))+6*O2832*N2832*G2832*SIN(RADIANS(E2832))*COS(RADIANS(E2832)))/(12*N2832*COS(RADIANS(E2832))^2+L2832*G2832^2*SIN(RADIANS(E2832))^2)</f>
        <v/>
      </c>
      <c r="R2832" s="28">
        <f>-P2832*SIN(RADIANS(E2832))</f>
        <v/>
      </c>
      <c r="S2832" s="8">
        <f>(O2832+P2832*COS(RADIANS(E2832)))/L2832</f>
        <v/>
      </c>
      <c r="T2832" s="8">
        <f>R2832/L2832</f>
        <v/>
      </c>
      <c r="U2832" s="8">
        <f>(Q2832-P2832*G2832*SIN(RADIANS(E2832)))/M2832</f>
        <v/>
      </c>
      <c r="V2832" s="8">
        <f>SQRT((S2832+U2832)^2+3*T2832^2)</f>
        <v/>
      </c>
      <c r="W2832" s="8">
        <f>V2832/AA2832</f>
        <v/>
      </c>
      <c r="X2832" s="27">
        <f>((3*10+H2832/COS(RADIANS(E2832)))*(3+3)+3*G2832*H2832)*2</f>
        <v/>
      </c>
      <c r="Y2832" s="28">
        <f>Z2832/X2832</f>
        <v/>
      </c>
      <c r="Z2832" s="29" t="n">
        <v>683.60034971372</v>
      </c>
      <c r="AA2832" s="20" t="n">
        <v>29.5886567230275</v>
      </c>
      <c r="AB2832" t="n">
        <v>0.0383852251218503</v>
      </c>
      <c r="AC2832" t="n">
        <v>30.74387367032634</v>
      </c>
      <c r="AD2832" t="n">
        <v>10.24231276669664</v>
      </c>
    </row>
    <row r="2833">
      <c r="A2833" t="n">
        <v>2832</v>
      </c>
      <c r="B2833" t="n">
        <v>85.5</v>
      </c>
      <c r="C2833" s="21">
        <f>B2833-20</f>
        <v/>
      </c>
      <c r="D2833" t="n">
        <v>100.1</v>
      </c>
      <c r="E2833" s="22">
        <f>D2833-90</f>
        <v/>
      </c>
      <c r="F2833" s="23" t="n">
        <v>0.029548</v>
      </c>
      <c r="G2833" s="22" t="n">
        <v>34.1</v>
      </c>
      <c r="H2833" s="22" t="n">
        <v>1.4</v>
      </c>
      <c r="I2833" s="24" t="n">
        <v>0.281509846448898</v>
      </c>
      <c r="J2833" s="6" t="n">
        <v>71000</v>
      </c>
      <c r="K2833" s="25">
        <f>23*10^-6</f>
        <v/>
      </c>
      <c r="L2833" s="8">
        <f>H2833</f>
        <v/>
      </c>
      <c r="M2833" s="26">
        <f>H2833^2/6</f>
        <v/>
      </c>
      <c r="N2833" s="26">
        <f>H2833^3/12</f>
        <v/>
      </c>
      <c r="O2833" s="27">
        <f>-J2833*L2833*K2833*C2833</f>
        <v/>
      </c>
      <c r="P2833" s="28">
        <f>-(12*F2833*J2833*L2833*N2833+12*O2833*N2833*G2833*COS(RADIANS(E2833)))/(12*N2833*G2833*COS(RADIANS(E2833))^2+L2833*G2833^3*SIN(RADIANS(E2833))^2)</f>
        <v/>
      </c>
      <c r="Q2833" s="28">
        <f>-(6*F2833*J2833*L2833*N2833*SIN(RADIANS(E2833))+6*O2833*N2833*G2833*SIN(RADIANS(E2833))*COS(RADIANS(E2833)))/(12*N2833*COS(RADIANS(E2833))^2+L2833*G2833^2*SIN(RADIANS(E2833))^2)</f>
        <v/>
      </c>
      <c r="R2833" s="28">
        <f>-P2833*SIN(RADIANS(E2833))</f>
        <v/>
      </c>
      <c r="S2833" s="8">
        <f>(O2833+P2833*COS(RADIANS(E2833)))/L2833</f>
        <v/>
      </c>
      <c r="T2833" s="8">
        <f>R2833/L2833</f>
        <v/>
      </c>
      <c r="U2833" s="8">
        <f>(Q2833-P2833*G2833*SIN(RADIANS(E2833)))/M2833</f>
        <v/>
      </c>
      <c r="V2833" s="8">
        <f>SQRT((S2833+U2833)^2+3*T2833^2)</f>
        <v/>
      </c>
      <c r="W2833" s="8">
        <f>V2833/AA2833</f>
        <v/>
      </c>
      <c r="X2833" s="27">
        <f>((3*10+H2833/COS(RADIANS(E2833)))*(3+3)+3*G2833*H2833)*2</f>
        <v/>
      </c>
      <c r="Y2833" s="28">
        <f>Z2833/X2833</f>
        <v/>
      </c>
      <c r="Z2833" s="29" t="n">
        <v>667.315852051757</v>
      </c>
      <c r="AA2833" s="20" t="n">
        <v>103.945374881308</v>
      </c>
      <c r="AB2833" t="n">
        <v>0.4354102510732637</v>
      </c>
      <c r="AC2833" t="n">
        <v>110.1461322671531</v>
      </c>
      <c r="AD2833" t="n">
        <v>54.66963467379213</v>
      </c>
    </row>
    <row r="2834">
      <c r="A2834" t="n">
        <v>2833</v>
      </c>
      <c r="B2834" t="n">
        <v>79.09999999999999</v>
      </c>
      <c r="C2834" s="21">
        <f>B2834-20</f>
        <v/>
      </c>
      <c r="D2834" t="n">
        <v>110.6</v>
      </c>
      <c r="E2834" s="22">
        <f>D2834-90</f>
        <v/>
      </c>
      <c r="F2834" s="23" t="n">
        <v>0.023845</v>
      </c>
      <c r="G2834" s="22" t="n">
        <v>31.4</v>
      </c>
      <c r="H2834" s="22" t="n">
        <v>1.8</v>
      </c>
      <c r="I2834" s="24" t="n">
        <v>0.135092541575431</v>
      </c>
      <c r="J2834" s="6" t="n">
        <v>71000</v>
      </c>
      <c r="K2834" s="25">
        <f>23*10^-6</f>
        <v/>
      </c>
      <c r="L2834" s="8">
        <f>H2834</f>
        <v/>
      </c>
      <c r="M2834" s="26">
        <f>H2834^2/6</f>
        <v/>
      </c>
      <c r="N2834" s="26">
        <f>H2834^3/12</f>
        <v/>
      </c>
      <c r="O2834" s="27">
        <f>-J2834*L2834*K2834*C2834</f>
        <v/>
      </c>
      <c r="P2834" s="28">
        <f>-(12*F2834*J2834*L2834*N2834+12*O2834*N2834*G2834*COS(RADIANS(E2834)))/(12*N2834*G2834*COS(RADIANS(E2834))^2+L2834*G2834^3*SIN(RADIANS(E2834))^2)</f>
        <v/>
      </c>
      <c r="Q2834" s="28">
        <f>-(6*F2834*J2834*L2834*N2834*SIN(RADIANS(E2834))+6*O2834*N2834*G2834*SIN(RADIANS(E2834))*COS(RADIANS(E2834)))/(12*N2834*COS(RADIANS(E2834))^2+L2834*G2834^2*SIN(RADIANS(E2834))^2)</f>
        <v/>
      </c>
      <c r="R2834" s="28">
        <f>-P2834*SIN(RADIANS(E2834))</f>
        <v/>
      </c>
      <c r="S2834" s="8">
        <f>(O2834+P2834*COS(RADIANS(E2834)))/L2834</f>
        <v/>
      </c>
      <c r="T2834" s="8">
        <f>R2834/L2834</f>
        <v/>
      </c>
      <c r="U2834" s="8">
        <f>(Q2834-P2834*G2834*SIN(RADIANS(E2834)))/M2834</f>
        <v/>
      </c>
      <c r="V2834" s="8">
        <f>SQRT((S2834+U2834)^2+3*T2834^2)</f>
        <v/>
      </c>
      <c r="W2834" s="8">
        <f>V2834/AA2834</f>
        <v/>
      </c>
      <c r="X2834" s="27">
        <f>((3*10+H2834/COS(RADIANS(E2834)))*(3+3)+3*G2834*H2834)*2</f>
        <v/>
      </c>
      <c r="Y2834" s="28">
        <f>Z2834/X2834</f>
        <v/>
      </c>
      <c r="Z2834" s="29" t="n">
        <v>727.268479519613</v>
      </c>
      <c r="AA2834" s="20" t="n">
        <v>94.66039037675741</v>
      </c>
      <c r="AB2834" t="n">
        <v>0.180346194568801</v>
      </c>
      <c r="AC2834" t="n">
        <v>92.96164447261134</v>
      </c>
      <c r="AD2834" t="n">
        <v>33.49826161061744</v>
      </c>
    </row>
    <row r="2835">
      <c r="A2835" t="n">
        <v>2834</v>
      </c>
      <c r="B2835" t="n">
        <v>43.6</v>
      </c>
      <c r="C2835" s="21">
        <f>B2835-20</f>
        <v/>
      </c>
      <c r="D2835" t="n">
        <v>116.9</v>
      </c>
      <c r="E2835" s="22">
        <f>D2835-90</f>
        <v/>
      </c>
      <c r="F2835" s="23" t="n">
        <v>0.007469</v>
      </c>
      <c r="G2835" s="22" t="n">
        <v>24.4</v>
      </c>
      <c r="H2835" s="22" t="n">
        <v>1.7</v>
      </c>
      <c r="I2835" s="24" t="n">
        <v>0.0376703515648841</v>
      </c>
      <c r="J2835" s="6" t="n">
        <v>71000</v>
      </c>
      <c r="K2835" s="25">
        <f>23*10^-6</f>
        <v/>
      </c>
      <c r="L2835" s="8">
        <f>H2835</f>
        <v/>
      </c>
      <c r="M2835" s="26">
        <f>H2835^2/6</f>
        <v/>
      </c>
      <c r="N2835" s="26">
        <f>H2835^3/12</f>
        <v/>
      </c>
      <c r="O2835" s="27">
        <f>-J2835*L2835*K2835*C2835</f>
        <v/>
      </c>
      <c r="P2835" s="28">
        <f>-(12*F2835*J2835*L2835*N2835+12*O2835*N2835*G2835*COS(RADIANS(E2835)))/(12*N2835*G2835*COS(RADIANS(E2835))^2+L2835*G2835^3*SIN(RADIANS(E2835))^2)</f>
        <v/>
      </c>
      <c r="Q2835" s="28">
        <f>-(6*F2835*J2835*L2835*N2835*SIN(RADIANS(E2835))+6*O2835*N2835*G2835*SIN(RADIANS(E2835))*COS(RADIANS(E2835)))/(12*N2835*COS(RADIANS(E2835))^2+L2835*G2835^2*SIN(RADIANS(E2835))^2)</f>
        <v/>
      </c>
      <c r="R2835" s="28">
        <f>-P2835*SIN(RADIANS(E2835))</f>
        <v/>
      </c>
      <c r="S2835" s="8">
        <f>(O2835+P2835*COS(RADIANS(E2835)))/L2835</f>
        <v/>
      </c>
      <c r="T2835" s="8">
        <f>R2835/L2835</f>
        <v/>
      </c>
      <c r="U2835" s="8">
        <f>(Q2835-P2835*G2835*SIN(RADIANS(E2835)))/M2835</f>
        <v/>
      </c>
      <c r="V2835" s="8">
        <f>SQRT((S2835+U2835)^2+3*T2835^2)</f>
        <v/>
      </c>
      <c r="W2835" s="8">
        <f>V2835/AA2835</f>
        <v/>
      </c>
      <c r="X2835" s="27">
        <f>((3*10+H2835/COS(RADIANS(E2835)))*(3+3)+3*G2835*H2835)*2</f>
        <v/>
      </c>
      <c r="Y2835" s="28">
        <f>Z2835/X2835</f>
        <v/>
      </c>
      <c r="Z2835" s="29" t="n">
        <v>638.100715048073</v>
      </c>
      <c r="AA2835" s="20" t="n">
        <v>37.9793333092732</v>
      </c>
      <c r="AB2835" t="n">
        <v>0.04311016945241775</v>
      </c>
      <c r="AC2835" t="n">
        <v>36.19512592161259</v>
      </c>
      <c r="AD2835" t="n">
        <v>14.44058168176107</v>
      </c>
    </row>
    <row r="2836">
      <c r="A2836" t="n">
        <v>2835</v>
      </c>
      <c r="B2836" t="n">
        <v>43.2</v>
      </c>
      <c r="C2836" s="21">
        <f>B2836-20</f>
        <v/>
      </c>
      <c r="D2836" t="n">
        <v>118.5</v>
      </c>
      <c r="E2836" s="22">
        <f>D2836-90</f>
        <v/>
      </c>
      <c r="F2836" s="23" t="n">
        <v>0.009652000000000001</v>
      </c>
      <c r="G2836" s="22" t="n">
        <v>34.7</v>
      </c>
      <c r="H2836" s="22" t="n">
        <v>1.6</v>
      </c>
      <c r="I2836" s="24" t="n">
        <v>0.0451070293784141</v>
      </c>
      <c r="J2836" s="6" t="n">
        <v>71000</v>
      </c>
      <c r="K2836" s="25">
        <f>23*10^-6</f>
        <v/>
      </c>
      <c r="L2836" s="8">
        <f>H2836</f>
        <v/>
      </c>
      <c r="M2836" s="26">
        <f>H2836^2/6</f>
        <v/>
      </c>
      <c r="N2836" s="26">
        <f>H2836^3/12</f>
        <v/>
      </c>
      <c r="O2836" s="27">
        <f>-J2836*L2836*K2836*C2836</f>
        <v/>
      </c>
      <c r="P2836" s="28">
        <f>-(12*F2836*J2836*L2836*N2836+12*O2836*N2836*G2836*COS(RADIANS(E2836)))/(12*N2836*G2836*COS(RADIANS(E2836))^2+L2836*G2836^3*SIN(RADIANS(E2836))^2)</f>
        <v/>
      </c>
      <c r="Q2836" s="28">
        <f>-(6*F2836*J2836*L2836*N2836*SIN(RADIANS(E2836))+6*O2836*N2836*G2836*SIN(RADIANS(E2836))*COS(RADIANS(E2836)))/(12*N2836*COS(RADIANS(E2836))^2+L2836*G2836^2*SIN(RADIANS(E2836))^2)</f>
        <v/>
      </c>
      <c r="R2836" s="28">
        <f>-P2836*SIN(RADIANS(E2836))</f>
        <v/>
      </c>
      <c r="S2836" s="8">
        <f>(O2836+P2836*COS(RADIANS(E2836)))/L2836</f>
        <v/>
      </c>
      <c r="T2836" s="8">
        <f>R2836/L2836</f>
        <v/>
      </c>
      <c r="U2836" s="8">
        <f>(Q2836-P2836*G2836*SIN(RADIANS(E2836)))/M2836</f>
        <v/>
      </c>
      <c r="V2836" s="8">
        <f>SQRT((S2836+U2836)^2+3*T2836^2)</f>
        <v/>
      </c>
      <c r="W2836" s="8">
        <f>V2836/AA2836</f>
        <v/>
      </c>
      <c r="X2836" s="27">
        <f>((3*10+H2836/COS(RADIANS(E2836)))*(3+3)+3*G2836*H2836)*2</f>
        <v/>
      </c>
      <c r="Y2836" s="28">
        <f>Z2836/X2836</f>
        <v/>
      </c>
      <c r="Z2836" s="29" t="n">
        <v>721.710614812503</v>
      </c>
      <c r="AA2836" s="20" t="n">
        <v>34.7976576125108</v>
      </c>
      <c r="AB2836" t="n">
        <v>0.05613897432081617</v>
      </c>
      <c r="AC2836" t="n">
        <v>34.27629164330388</v>
      </c>
      <c r="AD2836" t="n">
        <v>24.45726330114168</v>
      </c>
    </row>
    <row r="2837">
      <c r="A2837" t="n">
        <v>2836</v>
      </c>
      <c r="B2837" t="n">
        <v>53.7</v>
      </c>
      <c r="C2837" s="21">
        <f>B2837-20</f>
        <v/>
      </c>
      <c r="D2837" t="n">
        <v>125.1</v>
      </c>
      <c r="E2837" s="22">
        <f>D2837-90</f>
        <v/>
      </c>
      <c r="F2837" s="23" t="n">
        <v>0.011043</v>
      </c>
      <c r="G2837" s="22" t="n">
        <v>27.8</v>
      </c>
      <c r="H2837" s="22" t="n">
        <v>1.3</v>
      </c>
      <c r="I2837" s="24" t="n">
        <v>0.0491871759295463</v>
      </c>
      <c r="J2837" s="6" t="n">
        <v>71000</v>
      </c>
      <c r="K2837" s="25">
        <f>23*10^-6</f>
        <v/>
      </c>
      <c r="L2837" s="8">
        <f>H2837</f>
        <v/>
      </c>
      <c r="M2837" s="26">
        <f>H2837^2/6</f>
        <v/>
      </c>
      <c r="N2837" s="26">
        <f>H2837^3/12</f>
        <v/>
      </c>
      <c r="O2837" s="27">
        <f>-J2837*L2837*K2837*C2837</f>
        <v/>
      </c>
      <c r="P2837" s="28">
        <f>-(12*F2837*J2837*L2837*N2837+12*O2837*N2837*G2837*COS(RADIANS(E2837)))/(12*N2837*G2837*COS(RADIANS(E2837))^2+L2837*G2837^3*SIN(RADIANS(E2837))^2)</f>
        <v/>
      </c>
      <c r="Q2837" s="28">
        <f>-(6*F2837*J2837*L2837*N2837*SIN(RADIANS(E2837))+6*O2837*N2837*G2837*SIN(RADIANS(E2837))*COS(RADIANS(E2837)))/(12*N2837*COS(RADIANS(E2837))^2+L2837*G2837^2*SIN(RADIANS(E2837))^2)</f>
        <v/>
      </c>
      <c r="R2837" s="28">
        <f>-P2837*SIN(RADIANS(E2837))</f>
        <v/>
      </c>
      <c r="S2837" s="8">
        <f>(O2837+P2837*COS(RADIANS(E2837)))/L2837</f>
        <v/>
      </c>
      <c r="T2837" s="8">
        <f>R2837/L2837</f>
        <v/>
      </c>
      <c r="U2837" s="8">
        <f>(Q2837-P2837*G2837*SIN(RADIANS(E2837)))/M2837</f>
        <v/>
      </c>
      <c r="V2837" s="8">
        <f>SQRT((S2837+U2837)^2+3*T2837^2)</f>
        <v/>
      </c>
      <c r="W2837" s="8">
        <f>V2837/AA2837</f>
        <v/>
      </c>
      <c r="X2837" s="27">
        <f>((3*10+H2837/COS(RADIANS(E2837)))*(3+3)+3*G2837*H2837)*2</f>
        <v/>
      </c>
      <c r="Y2837" s="28">
        <f>Z2837/X2837</f>
        <v/>
      </c>
      <c r="Z2837" s="29" t="n">
        <v>604.675528398249</v>
      </c>
      <c r="AA2837" s="20" t="n">
        <v>47.5800498766443</v>
      </c>
      <c r="AB2837" t="n">
        <v>0.05291814616469805</v>
      </c>
      <c r="AC2837" t="n">
        <v>48.54925679011321</v>
      </c>
      <c r="AD2837" t="n">
        <v>7.585249945017868</v>
      </c>
    </row>
    <row r="2838">
      <c r="A2838" t="n">
        <v>2837</v>
      </c>
      <c r="B2838" t="n">
        <v>44.6</v>
      </c>
      <c r="C2838" s="21">
        <f>B2838-20</f>
        <v/>
      </c>
      <c r="D2838" t="n">
        <v>120</v>
      </c>
      <c r="E2838" s="22">
        <f>D2838-90</f>
        <v/>
      </c>
      <c r="F2838" s="23" t="n">
        <v>0.007948999999999999</v>
      </c>
      <c r="G2838" s="22" t="n">
        <v>25.8</v>
      </c>
      <c r="H2838" s="22" t="n">
        <v>1.2</v>
      </c>
      <c r="I2838" s="24" t="n">
        <v>0.0378588549792766</v>
      </c>
      <c r="J2838" s="6" t="n">
        <v>71000</v>
      </c>
      <c r="K2838" s="25">
        <f>23*10^-6</f>
        <v/>
      </c>
      <c r="L2838" s="8">
        <f>H2838</f>
        <v/>
      </c>
      <c r="M2838" s="26">
        <f>H2838^2/6</f>
        <v/>
      </c>
      <c r="N2838" s="26">
        <f>H2838^3/12</f>
        <v/>
      </c>
      <c r="O2838" s="27">
        <f>-J2838*L2838*K2838*C2838</f>
        <v/>
      </c>
      <c r="P2838" s="28">
        <f>-(12*F2838*J2838*L2838*N2838+12*O2838*N2838*G2838*COS(RADIANS(E2838)))/(12*N2838*G2838*COS(RADIANS(E2838))^2+L2838*G2838^3*SIN(RADIANS(E2838))^2)</f>
        <v/>
      </c>
      <c r="Q2838" s="28">
        <f>-(6*F2838*J2838*L2838*N2838*SIN(RADIANS(E2838))+6*O2838*N2838*G2838*SIN(RADIANS(E2838))*COS(RADIANS(E2838)))/(12*N2838*COS(RADIANS(E2838))^2+L2838*G2838^2*SIN(RADIANS(E2838))^2)</f>
        <v/>
      </c>
      <c r="R2838" s="28">
        <f>-P2838*SIN(RADIANS(E2838))</f>
        <v/>
      </c>
      <c r="S2838" s="8">
        <f>(O2838+P2838*COS(RADIANS(E2838)))/L2838</f>
        <v/>
      </c>
      <c r="T2838" s="8">
        <f>R2838/L2838</f>
        <v/>
      </c>
      <c r="U2838" s="8">
        <f>(Q2838-P2838*G2838*SIN(RADIANS(E2838)))/M2838</f>
        <v/>
      </c>
      <c r="V2838" s="8">
        <f>SQRT((S2838+U2838)^2+3*T2838^2)</f>
        <v/>
      </c>
      <c r="W2838" s="8">
        <f>V2838/AA2838</f>
        <v/>
      </c>
      <c r="X2838" s="27">
        <f>((3*10+H2838/COS(RADIANS(E2838)))*(3+3)+3*G2838*H2838)*2</f>
        <v/>
      </c>
      <c r="Y2838" s="28">
        <f>Z2838/X2838</f>
        <v/>
      </c>
      <c r="Z2838" s="29" t="n">
        <v>569.534130059404</v>
      </c>
      <c r="AA2838" s="20" t="n">
        <v>34.9338924307588</v>
      </c>
      <c r="AB2838" t="n">
        <v>0.04265610453316175</v>
      </c>
      <c r="AC2838" t="n">
        <v>35.90718816727238</v>
      </c>
      <c r="AD2838" t="n">
        <v>12.67140687828804</v>
      </c>
    </row>
    <row r="2839">
      <c r="A2839" t="n">
        <v>2838</v>
      </c>
      <c r="B2839" t="n">
        <v>44.7</v>
      </c>
      <c r="C2839" s="21">
        <f>B2839-20</f>
        <v/>
      </c>
      <c r="D2839" t="n">
        <v>129</v>
      </c>
      <c r="E2839" s="22">
        <f>D2839-90</f>
        <v/>
      </c>
      <c r="F2839" s="23" t="n">
        <v>0.00716</v>
      </c>
      <c r="G2839" s="22" t="n">
        <v>25</v>
      </c>
      <c r="H2839" s="22" t="n">
        <v>1.4</v>
      </c>
      <c r="I2839" s="24" t="n">
        <v>0.0316642336547374</v>
      </c>
      <c r="J2839" s="6" t="n">
        <v>71000</v>
      </c>
      <c r="K2839" s="25">
        <f>23*10^-6</f>
        <v/>
      </c>
      <c r="L2839" s="8">
        <f>H2839</f>
        <v/>
      </c>
      <c r="M2839" s="26">
        <f>H2839^2/6</f>
        <v/>
      </c>
      <c r="N2839" s="26">
        <f>H2839^3/12</f>
        <v/>
      </c>
      <c r="O2839" s="27">
        <f>-J2839*L2839*K2839*C2839</f>
        <v/>
      </c>
      <c r="P2839" s="28">
        <f>-(12*F2839*J2839*L2839*N2839+12*O2839*N2839*G2839*COS(RADIANS(E2839)))/(12*N2839*G2839*COS(RADIANS(E2839))^2+L2839*G2839^3*SIN(RADIANS(E2839))^2)</f>
        <v/>
      </c>
      <c r="Q2839" s="28">
        <f>-(6*F2839*J2839*L2839*N2839*SIN(RADIANS(E2839))+6*O2839*N2839*G2839*SIN(RADIANS(E2839))*COS(RADIANS(E2839)))/(12*N2839*COS(RADIANS(E2839))^2+L2839*G2839^2*SIN(RADIANS(E2839))^2)</f>
        <v/>
      </c>
      <c r="R2839" s="28">
        <f>-P2839*SIN(RADIANS(E2839))</f>
        <v/>
      </c>
      <c r="S2839" s="8">
        <f>(O2839+P2839*COS(RADIANS(E2839)))/L2839</f>
        <v/>
      </c>
      <c r="T2839" s="8">
        <f>R2839/L2839</f>
        <v/>
      </c>
      <c r="U2839" s="8">
        <f>(Q2839-P2839*G2839*SIN(RADIANS(E2839)))/M2839</f>
        <v/>
      </c>
      <c r="V2839" s="8">
        <f>SQRT((S2839+U2839)^2+3*T2839^2)</f>
        <v/>
      </c>
      <c r="W2839" s="8">
        <f>V2839/AA2839</f>
        <v/>
      </c>
      <c r="X2839" s="27">
        <f>((3*10+H2839/COS(RADIANS(E2839)))*(3+3)+3*G2839*H2839)*2</f>
        <v/>
      </c>
      <c r="Y2839" s="28">
        <f>Z2839/X2839</f>
        <v/>
      </c>
      <c r="Z2839" s="29" t="n">
        <v>601.9334196740811</v>
      </c>
      <c r="AA2839" s="20" t="n">
        <v>35.4507848396198</v>
      </c>
      <c r="AB2839" t="n">
        <v>0.0312330105092738</v>
      </c>
      <c r="AC2839" t="n">
        <v>35.52590681933767</v>
      </c>
      <c r="AD2839" t="n">
        <v>-1.361861935979884</v>
      </c>
    </row>
    <row r="2840">
      <c r="A2840" t="n">
        <v>2839</v>
      </c>
      <c r="B2840" t="n">
        <v>79.90000000000001</v>
      </c>
      <c r="C2840" s="21">
        <f>B2840-20</f>
        <v/>
      </c>
      <c r="D2840" t="n">
        <v>123</v>
      </c>
      <c r="E2840" s="22">
        <f>D2840-90</f>
        <v/>
      </c>
      <c r="F2840" s="23" t="n">
        <v>0.021679</v>
      </c>
      <c r="G2840" s="22" t="n">
        <v>30.7</v>
      </c>
      <c r="H2840" s="22" t="n">
        <v>1.4</v>
      </c>
      <c r="I2840" s="24" t="n">
        <v>0.0970503687858581</v>
      </c>
      <c r="J2840" s="6" t="n">
        <v>71000</v>
      </c>
      <c r="K2840" s="25">
        <f>23*10^-6</f>
        <v/>
      </c>
      <c r="L2840" s="8">
        <f>H2840</f>
        <v/>
      </c>
      <c r="M2840" s="26">
        <f>H2840^2/6</f>
        <v/>
      </c>
      <c r="N2840" s="26">
        <f>H2840^3/12</f>
        <v/>
      </c>
      <c r="O2840" s="27">
        <f>-J2840*L2840*K2840*C2840</f>
        <v/>
      </c>
      <c r="P2840" s="28">
        <f>-(12*F2840*J2840*L2840*N2840+12*O2840*N2840*G2840*COS(RADIANS(E2840)))/(12*N2840*G2840*COS(RADIANS(E2840))^2+L2840*G2840^3*SIN(RADIANS(E2840))^2)</f>
        <v/>
      </c>
      <c r="Q2840" s="28">
        <f>-(6*F2840*J2840*L2840*N2840*SIN(RADIANS(E2840))+6*O2840*N2840*G2840*SIN(RADIANS(E2840))*COS(RADIANS(E2840)))/(12*N2840*COS(RADIANS(E2840))^2+L2840*G2840^2*SIN(RADIANS(E2840))^2)</f>
        <v/>
      </c>
      <c r="R2840" s="28">
        <f>-P2840*SIN(RADIANS(E2840))</f>
        <v/>
      </c>
      <c r="S2840" s="8">
        <f>(O2840+P2840*COS(RADIANS(E2840)))/L2840</f>
        <v/>
      </c>
      <c r="T2840" s="8">
        <f>R2840/L2840</f>
        <v/>
      </c>
      <c r="U2840" s="8">
        <f>(Q2840-P2840*G2840*SIN(RADIANS(E2840)))/M2840</f>
        <v/>
      </c>
      <c r="V2840" s="8">
        <f>SQRT((S2840+U2840)^2+3*T2840^2)</f>
        <v/>
      </c>
      <c r="W2840" s="8">
        <f>V2840/AA2840</f>
        <v/>
      </c>
      <c r="X2840" s="27">
        <f>((3*10+H2840/COS(RADIANS(E2840)))*(3+3)+3*G2840*H2840)*2</f>
        <v/>
      </c>
      <c r="Y2840" s="28">
        <f>Z2840/X2840</f>
        <v/>
      </c>
      <c r="Z2840" s="29" t="n">
        <v>645.962051733347</v>
      </c>
      <c r="AA2840" s="20" t="n">
        <v>86.0995792482515</v>
      </c>
      <c r="AB2840" t="n">
        <v>0.1104262617893225</v>
      </c>
      <c r="AC2840" t="n">
        <v>86.85763593695471</v>
      </c>
      <c r="AD2840" t="n">
        <v>13.78242367422461</v>
      </c>
    </row>
    <row r="2841">
      <c r="A2841" t="n">
        <v>2840</v>
      </c>
      <c r="B2841" t="n">
        <v>85.90000000000001</v>
      </c>
      <c r="C2841" s="21">
        <f>B2841-20</f>
        <v/>
      </c>
      <c r="D2841" t="n">
        <v>128.3</v>
      </c>
      <c r="E2841" s="22">
        <f>D2841-90</f>
        <v/>
      </c>
      <c r="F2841" s="23" t="n">
        <v>0.024494</v>
      </c>
      <c r="G2841" s="22" t="n">
        <v>33.9</v>
      </c>
      <c r="H2841" s="22" t="n">
        <v>1.1</v>
      </c>
      <c r="I2841" s="24" t="n">
        <v>0.103839255869388</v>
      </c>
      <c r="J2841" s="6" t="n">
        <v>71000</v>
      </c>
      <c r="K2841" s="25">
        <f>23*10^-6</f>
        <v/>
      </c>
      <c r="L2841" s="8">
        <f>H2841</f>
        <v/>
      </c>
      <c r="M2841" s="26">
        <f>H2841^2/6</f>
        <v/>
      </c>
      <c r="N2841" s="26">
        <f>H2841^3/12</f>
        <v/>
      </c>
      <c r="O2841" s="27">
        <f>-J2841*L2841*K2841*C2841</f>
        <v/>
      </c>
      <c r="P2841" s="28">
        <f>-(12*F2841*J2841*L2841*N2841+12*O2841*N2841*G2841*COS(RADIANS(E2841)))/(12*N2841*G2841*COS(RADIANS(E2841))^2+L2841*G2841^3*SIN(RADIANS(E2841))^2)</f>
        <v/>
      </c>
      <c r="Q2841" s="28">
        <f>-(6*F2841*J2841*L2841*N2841*SIN(RADIANS(E2841))+6*O2841*N2841*G2841*SIN(RADIANS(E2841))*COS(RADIANS(E2841)))/(12*N2841*COS(RADIANS(E2841))^2+L2841*G2841^2*SIN(RADIANS(E2841))^2)</f>
        <v/>
      </c>
      <c r="R2841" s="28">
        <f>-P2841*SIN(RADIANS(E2841))</f>
        <v/>
      </c>
      <c r="S2841" s="8">
        <f>(O2841+P2841*COS(RADIANS(E2841)))/L2841</f>
        <v/>
      </c>
      <c r="T2841" s="8">
        <f>R2841/L2841</f>
        <v/>
      </c>
      <c r="U2841" s="8">
        <f>(Q2841-P2841*G2841*SIN(RADIANS(E2841)))/M2841</f>
        <v/>
      </c>
      <c r="V2841" s="8">
        <f>SQRT((S2841+U2841)^2+3*T2841^2)</f>
        <v/>
      </c>
      <c r="W2841" s="8">
        <f>V2841/AA2841</f>
        <v/>
      </c>
      <c r="X2841" s="27">
        <f>((3*10+H2841/COS(RADIANS(E2841)))*(3+3)+3*G2841*H2841)*2</f>
        <v/>
      </c>
      <c r="Y2841" s="28">
        <f>Z2841/X2841</f>
        <v/>
      </c>
      <c r="Z2841" s="29" t="n">
        <v>610.575668229816</v>
      </c>
      <c r="AA2841" s="20" t="n">
        <v>84.706362514516</v>
      </c>
      <c r="AB2841" t="n">
        <v>0.1136943350706358</v>
      </c>
      <c r="AC2841" t="n">
        <v>92.72876935584445</v>
      </c>
      <c r="AD2841" t="n">
        <v>9.490706687694065</v>
      </c>
    </row>
    <row r="2842">
      <c r="A2842" t="n">
        <v>2841</v>
      </c>
      <c r="B2842" t="n">
        <v>79.2</v>
      </c>
      <c r="C2842" s="21">
        <f>B2842-20</f>
        <v/>
      </c>
      <c r="D2842" t="n">
        <v>119.1</v>
      </c>
      <c r="E2842" s="22">
        <f>D2842-90</f>
        <v/>
      </c>
      <c r="F2842" s="23" t="n">
        <v>0.018025</v>
      </c>
      <c r="G2842" s="22" t="n">
        <v>23.7</v>
      </c>
      <c r="H2842" s="22" t="n">
        <v>1.4</v>
      </c>
      <c r="I2842" s="24" t="n">
        <v>0.0881518647074699</v>
      </c>
      <c r="J2842" s="6" t="n">
        <v>71000</v>
      </c>
      <c r="K2842" s="25">
        <f>23*10^-6</f>
        <v/>
      </c>
      <c r="L2842" s="8">
        <f>H2842</f>
        <v/>
      </c>
      <c r="M2842" s="26">
        <f>H2842^2/6</f>
        <v/>
      </c>
      <c r="N2842" s="26">
        <f>H2842^3/12</f>
        <v/>
      </c>
      <c r="O2842" s="27">
        <f>-J2842*L2842*K2842*C2842</f>
        <v/>
      </c>
      <c r="P2842" s="28">
        <f>-(12*F2842*J2842*L2842*N2842+12*O2842*N2842*G2842*COS(RADIANS(E2842)))/(12*N2842*G2842*COS(RADIANS(E2842))^2+L2842*G2842^3*SIN(RADIANS(E2842))^2)</f>
        <v/>
      </c>
      <c r="Q2842" s="28">
        <f>-(6*F2842*J2842*L2842*N2842*SIN(RADIANS(E2842))+6*O2842*N2842*G2842*SIN(RADIANS(E2842))*COS(RADIANS(E2842)))/(12*N2842*COS(RADIANS(E2842))^2+L2842*G2842^2*SIN(RADIANS(E2842))^2)</f>
        <v/>
      </c>
      <c r="R2842" s="28">
        <f>-P2842*SIN(RADIANS(E2842))</f>
        <v/>
      </c>
      <c r="S2842" s="8">
        <f>(O2842+P2842*COS(RADIANS(E2842)))/L2842</f>
        <v/>
      </c>
      <c r="T2842" s="8">
        <f>R2842/L2842</f>
        <v/>
      </c>
      <c r="U2842" s="8">
        <f>(Q2842-P2842*G2842*SIN(RADIANS(E2842)))/M2842</f>
        <v/>
      </c>
      <c r="V2842" s="8">
        <f>SQRT((S2842+U2842)^2+3*T2842^2)</f>
        <v/>
      </c>
      <c r="W2842" s="8">
        <f>V2842/AA2842</f>
        <v/>
      </c>
      <c r="X2842" s="27">
        <f>((3*10+H2842/COS(RADIANS(E2842)))*(3+3)+3*G2842*H2842)*2</f>
        <v/>
      </c>
      <c r="Y2842" s="28">
        <f>Z2842/X2842</f>
        <v/>
      </c>
      <c r="Z2842" s="29" t="n">
        <v>585.207720733913</v>
      </c>
      <c r="AA2842" s="20" t="n">
        <v>88.5956917547495</v>
      </c>
      <c r="AB2842" t="n">
        <v>0.09752617762002715</v>
      </c>
      <c r="AC2842" t="n">
        <v>88.22464871251196</v>
      </c>
      <c r="AD2842" t="n">
        <v>10.63427636348443</v>
      </c>
    </row>
    <row r="2843">
      <c r="A2843" t="n">
        <v>2842</v>
      </c>
      <c r="B2843" t="n">
        <v>78.5</v>
      </c>
      <c r="C2843" s="21">
        <f>B2843-20</f>
        <v/>
      </c>
      <c r="D2843" t="n">
        <v>121.4</v>
      </c>
      <c r="E2843" s="22">
        <f>D2843-90</f>
        <v/>
      </c>
      <c r="F2843" s="23" t="n">
        <v>0.020054</v>
      </c>
      <c r="G2843" s="22" t="n">
        <v>28.2</v>
      </c>
      <c r="H2843" s="22" t="n">
        <v>1.4</v>
      </c>
      <c r="I2843" s="24" t="n">
        <v>0.09255927801132199</v>
      </c>
      <c r="J2843" s="6" t="n">
        <v>71000</v>
      </c>
      <c r="K2843" s="25">
        <f>23*10^-6</f>
        <v/>
      </c>
      <c r="L2843" s="8">
        <f>H2843</f>
        <v/>
      </c>
      <c r="M2843" s="26">
        <f>H2843^2/6</f>
        <v/>
      </c>
      <c r="N2843" s="26">
        <f>H2843^3/12</f>
        <v/>
      </c>
      <c r="O2843" s="27">
        <f>-J2843*L2843*K2843*C2843</f>
        <v/>
      </c>
      <c r="P2843" s="28">
        <f>-(12*F2843*J2843*L2843*N2843+12*O2843*N2843*G2843*COS(RADIANS(E2843)))/(12*N2843*G2843*COS(RADIANS(E2843))^2+L2843*G2843^3*SIN(RADIANS(E2843))^2)</f>
        <v/>
      </c>
      <c r="Q2843" s="28">
        <f>-(6*F2843*J2843*L2843*N2843*SIN(RADIANS(E2843))+6*O2843*N2843*G2843*SIN(RADIANS(E2843))*COS(RADIANS(E2843)))/(12*N2843*COS(RADIANS(E2843))^2+L2843*G2843^2*SIN(RADIANS(E2843))^2)</f>
        <v/>
      </c>
      <c r="R2843" s="28">
        <f>-P2843*SIN(RADIANS(E2843))</f>
        <v/>
      </c>
      <c r="S2843" s="8">
        <f>(O2843+P2843*COS(RADIANS(E2843)))/L2843</f>
        <v/>
      </c>
      <c r="T2843" s="8">
        <f>R2843/L2843</f>
        <v/>
      </c>
      <c r="U2843" s="8">
        <f>(Q2843-P2843*G2843*SIN(RADIANS(E2843)))/M2843</f>
        <v/>
      </c>
      <c r="V2843" s="8">
        <f>SQRT((S2843+U2843)^2+3*T2843^2)</f>
        <v/>
      </c>
      <c r="W2843" s="8">
        <f>V2843/AA2843</f>
        <v/>
      </c>
      <c r="X2843" s="27">
        <f>((3*10+H2843/COS(RADIANS(E2843)))*(3+3)+3*G2843*H2843)*2</f>
        <v/>
      </c>
      <c r="Y2843" s="28">
        <f>Z2843/X2843</f>
        <v/>
      </c>
      <c r="Z2843" s="29" t="n">
        <v>624.1139479258391</v>
      </c>
      <c r="AA2843" s="20" t="n">
        <v>85.22584493606919</v>
      </c>
      <c r="AB2843" t="n">
        <v>0.1049045438228436</v>
      </c>
      <c r="AC2843" t="n">
        <v>85.62862681986054</v>
      </c>
      <c r="AD2843" t="n">
        <v>13.33768594220403</v>
      </c>
    </row>
    <row r="2844">
      <c r="A2844" t="n">
        <v>2843</v>
      </c>
      <c r="B2844" t="n">
        <v>64.09999999999999</v>
      </c>
      <c r="C2844" s="21">
        <f>B2844-20</f>
        <v/>
      </c>
      <c r="D2844" t="n">
        <v>126.9</v>
      </c>
      <c r="E2844" s="22">
        <f>D2844-90</f>
        <v/>
      </c>
      <c r="F2844" s="23" t="n">
        <v>0.015198</v>
      </c>
      <c r="G2844" s="22" t="n">
        <v>30.3</v>
      </c>
      <c r="H2844" s="22" t="n">
        <v>1.2</v>
      </c>
      <c r="I2844" s="24" t="n">
        <v>0.0659689977765083</v>
      </c>
      <c r="J2844" s="6" t="n">
        <v>71000</v>
      </c>
      <c r="K2844" s="25">
        <f>23*10^-6</f>
        <v/>
      </c>
      <c r="L2844" s="8">
        <f>H2844</f>
        <v/>
      </c>
      <c r="M2844" s="26">
        <f>H2844^2/6</f>
        <v/>
      </c>
      <c r="N2844" s="26">
        <f>H2844^3/12</f>
        <v/>
      </c>
      <c r="O2844" s="27">
        <f>-J2844*L2844*K2844*C2844</f>
        <v/>
      </c>
      <c r="P2844" s="28">
        <f>-(12*F2844*J2844*L2844*N2844+12*O2844*N2844*G2844*COS(RADIANS(E2844)))/(12*N2844*G2844*COS(RADIANS(E2844))^2+L2844*G2844^3*SIN(RADIANS(E2844))^2)</f>
        <v/>
      </c>
      <c r="Q2844" s="28">
        <f>-(6*F2844*J2844*L2844*N2844*SIN(RADIANS(E2844))+6*O2844*N2844*G2844*SIN(RADIANS(E2844))*COS(RADIANS(E2844)))/(12*N2844*COS(RADIANS(E2844))^2+L2844*G2844^2*SIN(RADIANS(E2844))^2)</f>
        <v/>
      </c>
      <c r="R2844" s="28">
        <f>-P2844*SIN(RADIANS(E2844))</f>
        <v/>
      </c>
      <c r="S2844" s="8">
        <f>(O2844+P2844*COS(RADIANS(E2844)))/L2844</f>
        <v/>
      </c>
      <c r="T2844" s="8">
        <f>R2844/L2844</f>
        <v/>
      </c>
      <c r="U2844" s="8">
        <f>(Q2844-P2844*G2844*SIN(RADIANS(E2844)))/M2844</f>
        <v/>
      </c>
      <c r="V2844" s="8">
        <f>SQRT((S2844+U2844)^2+3*T2844^2)</f>
        <v/>
      </c>
      <c r="W2844" s="8">
        <f>V2844/AA2844</f>
        <v/>
      </c>
      <c r="X2844" s="27">
        <f>((3*10+H2844/COS(RADIANS(E2844)))*(3+3)+3*G2844*H2844)*2</f>
        <v/>
      </c>
      <c r="Y2844" s="28">
        <f>Z2844/X2844</f>
        <v/>
      </c>
      <c r="Z2844" s="29" t="n">
        <v>605.612557337377</v>
      </c>
      <c r="AA2844" s="20" t="n">
        <v>59.3967522125054</v>
      </c>
      <c r="AB2844" t="n">
        <v>0.07119836360664761</v>
      </c>
      <c r="AC2844" t="n">
        <v>62.73588556045748</v>
      </c>
      <c r="AD2844" t="n">
        <v>7.927005118154898</v>
      </c>
    </row>
    <row r="2845">
      <c r="A2845" t="n">
        <v>2844</v>
      </c>
      <c r="B2845" t="n">
        <v>43.4</v>
      </c>
      <c r="C2845" s="21">
        <f>B2845-20</f>
        <v/>
      </c>
      <c r="D2845" t="n">
        <v>122.6</v>
      </c>
      <c r="E2845" s="22">
        <f>D2845-90</f>
        <v/>
      </c>
      <c r="F2845" s="23" t="n">
        <v>0.007534</v>
      </c>
      <c r="G2845" s="22" t="n">
        <v>26.4</v>
      </c>
      <c r="H2845" s="22" t="n">
        <v>1.5</v>
      </c>
      <c r="I2845" s="24" t="n">
        <v>0.0346439629793167</v>
      </c>
      <c r="J2845" s="6" t="n">
        <v>71000</v>
      </c>
      <c r="K2845" s="25">
        <f>23*10^-6</f>
        <v/>
      </c>
      <c r="L2845" s="8">
        <f>H2845</f>
        <v/>
      </c>
      <c r="M2845" s="26">
        <f>H2845^2/6</f>
        <v/>
      </c>
      <c r="N2845" s="26">
        <f>H2845^3/12</f>
        <v/>
      </c>
      <c r="O2845" s="27">
        <f>-J2845*L2845*K2845*C2845</f>
        <v/>
      </c>
      <c r="P2845" s="28">
        <f>-(12*F2845*J2845*L2845*N2845+12*O2845*N2845*G2845*COS(RADIANS(E2845)))/(12*N2845*G2845*COS(RADIANS(E2845))^2+L2845*G2845^3*SIN(RADIANS(E2845))^2)</f>
        <v/>
      </c>
      <c r="Q2845" s="28">
        <f>-(6*F2845*J2845*L2845*N2845*SIN(RADIANS(E2845))+6*O2845*N2845*G2845*SIN(RADIANS(E2845))*COS(RADIANS(E2845)))/(12*N2845*COS(RADIANS(E2845))^2+L2845*G2845^2*SIN(RADIANS(E2845))^2)</f>
        <v/>
      </c>
      <c r="R2845" s="28">
        <f>-P2845*SIN(RADIANS(E2845))</f>
        <v/>
      </c>
      <c r="S2845" s="8">
        <f>(O2845+P2845*COS(RADIANS(E2845)))/L2845</f>
        <v/>
      </c>
      <c r="T2845" s="8">
        <f>R2845/L2845</f>
        <v/>
      </c>
      <c r="U2845" s="8">
        <f>(Q2845-P2845*G2845*SIN(RADIANS(E2845)))/M2845</f>
        <v/>
      </c>
      <c r="V2845" s="8">
        <f>SQRT((S2845+U2845)^2+3*T2845^2)</f>
        <v/>
      </c>
      <c r="W2845" s="8">
        <f>V2845/AA2845</f>
        <v/>
      </c>
      <c r="X2845" s="27">
        <f>((3*10+H2845/COS(RADIANS(E2845)))*(3+3)+3*G2845*H2845)*2</f>
        <v/>
      </c>
      <c r="Y2845" s="28">
        <f>Z2845/X2845</f>
        <v/>
      </c>
      <c r="Z2845" s="29" t="n">
        <v>626.888078312615</v>
      </c>
      <c r="AA2845" s="20" t="n">
        <v>34.9167859242355</v>
      </c>
      <c r="AB2845" t="n">
        <v>0.03781532236846023</v>
      </c>
      <c r="AC2845" t="n">
        <v>34.41837242918452</v>
      </c>
      <c r="AD2845" t="n">
        <v>9.154147263801534</v>
      </c>
    </row>
    <row r="2846">
      <c r="A2846" t="n">
        <v>2845</v>
      </c>
      <c r="B2846" t="n">
        <v>78</v>
      </c>
      <c r="C2846" s="21">
        <f>B2846-20</f>
        <v/>
      </c>
      <c r="D2846" t="n">
        <v>113.4</v>
      </c>
      <c r="E2846" s="22">
        <f>D2846-90</f>
        <v/>
      </c>
      <c r="F2846" s="23" t="n">
        <v>0.023446</v>
      </c>
      <c r="G2846" s="22" t="n">
        <v>32.1</v>
      </c>
      <c r="H2846" s="22" t="n">
        <v>1.3</v>
      </c>
      <c r="I2846" s="24" t="n">
        <v>0.122952602803707</v>
      </c>
      <c r="J2846" s="6" t="n">
        <v>71000</v>
      </c>
      <c r="K2846" s="25">
        <f>23*10^-6</f>
        <v/>
      </c>
      <c r="L2846" s="8">
        <f>H2846</f>
        <v/>
      </c>
      <c r="M2846" s="26">
        <f>H2846^2/6</f>
        <v/>
      </c>
      <c r="N2846" s="26">
        <f>H2846^3/12</f>
        <v/>
      </c>
      <c r="O2846" s="27">
        <f>-J2846*L2846*K2846*C2846</f>
        <v/>
      </c>
      <c r="P2846" s="28">
        <f>-(12*F2846*J2846*L2846*N2846+12*O2846*N2846*G2846*COS(RADIANS(E2846)))/(12*N2846*G2846*COS(RADIANS(E2846))^2+L2846*G2846^3*SIN(RADIANS(E2846))^2)</f>
        <v/>
      </c>
      <c r="Q2846" s="28">
        <f>-(6*F2846*J2846*L2846*N2846*SIN(RADIANS(E2846))+6*O2846*N2846*G2846*SIN(RADIANS(E2846))*COS(RADIANS(E2846)))/(12*N2846*COS(RADIANS(E2846))^2+L2846*G2846^2*SIN(RADIANS(E2846))^2)</f>
        <v/>
      </c>
      <c r="R2846" s="28">
        <f>-P2846*SIN(RADIANS(E2846))</f>
        <v/>
      </c>
      <c r="S2846" s="8">
        <f>(O2846+P2846*COS(RADIANS(E2846)))/L2846</f>
        <v/>
      </c>
      <c r="T2846" s="8">
        <f>R2846/L2846</f>
        <v/>
      </c>
      <c r="U2846" s="8">
        <f>(Q2846-P2846*G2846*SIN(RADIANS(E2846)))/M2846</f>
        <v/>
      </c>
      <c r="V2846" s="8">
        <f>SQRT((S2846+U2846)^2+3*T2846^2)</f>
        <v/>
      </c>
      <c r="W2846" s="8">
        <f>V2846/AA2846</f>
        <v/>
      </c>
      <c r="X2846" s="27">
        <f>((3*10+H2846/COS(RADIANS(E2846)))*(3+3)+3*G2846*H2846)*2</f>
        <v/>
      </c>
      <c r="Y2846" s="28">
        <f>Z2846/X2846</f>
        <v/>
      </c>
      <c r="Z2846" s="29" t="n">
        <v>632.962417625731</v>
      </c>
      <c r="AA2846" s="20" t="n">
        <v>83.870071207563</v>
      </c>
      <c r="AB2846" t="n">
        <v>0.1605083846566664</v>
      </c>
      <c r="AC2846" t="n">
        <v>86.37472720703964</v>
      </c>
      <c r="AD2846" t="n">
        <v>30.5449262533441</v>
      </c>
    </row>
    <row r="2847">
      <c r="A2847" t="n">
        <v>2846</v>
      </c>
      <c r="B2847" t="n">
        <v>57.5</v>
      </c>
      <c r="C2847" s="21">
        <f>B2847-20</f>
        <v/>
      </c>
      <c r="D2847" t="n">
        <v>126.1</v>
      </c>
      <c r="E2847" s="22">
        <f>D2847-90</f>
        <v/>
      </c>
      <c r="F2847" s="23" t="n">
        <v>0.010061</v>
      </c>
      <c r="G2847" s="22" t="n">
        <v>21.7</v>
      </c>
      <c r="H2847" s="22" t="n">
        <v>1</v>
      </c>
      <c r="I2847" s="24" t="n">
        <v>0.0461575202643871</v>
      </c>
      <c r="J2847" s="6" t="n">
        <v>71000</v>
      </c>
      <c r="K2847" s="25">
        <f>23*10^-6</f>
        <v/>
      </c>
      <c r="L2847" s="8">
        <f>H2847</f>
        <v/>
      </c>
      <c r="M2847" s="26">
        <f>H2847^2/6</f>
        <v/>
      </c>
      <c r="N2847" s="26">
        <f>H2847^3/12</f>
        <v/>
      </c>
      <c r="O2847" s="27">
        <f>-J2847*L2847*K2847*C2847</f>
        <v/>
      </c>
      <c r="P2847" s="28">
        <f>-(12*F2847*J2847*L2847*N2847+12*O2847*N2847*G2847*COS(RADIANS(E2847)))/(12*N2847*G2847*COS(RADIANS(E2847))^2+L2847*G2847^3*SIN(RADIANS(E2847))^2)</f>
        <v/>
      </c>
      <c r="Q2847" s="28">
        <f>-(6*F2847*J2847*L2847*N2847*SIN(RADIANS(E2847))+6*O2847*N2847*G2847*SIN(RADIANS(E2847))*COS(RADIANS(E2847)))/(12*N2847*COS(RADIANS(E2847))^2+L2847*G2847^2*SIN(RADIANS(E2847))^2)</f>
        <v/>
      </c>
      <c r="R2847" s="28">
        <f>-P2847*SIN(RADIANS(E2847))</f>
        <v/>
      </c>
      <c r="S2847" s="8">
        <f>(O2847+P2847*COS(RADIANS(E2847)))/L2847</f>
        <v/>
      </c>
      <c r="T2847" s="8">
        <f>R2847/L2847</f>
        <v/>
      </c>
      <c r="U2847" s="8">
        <f>(Q2847-P2847*G2847*SIN(RADIANS(E2847)))/M2847</f>
        <v/>
      </c>
      <c r="V2847" s="8">
        <f>SQRT((S2847+U2847)^2+3*T2847^2)</f>
        <v/>
      </c>
      <c r="W2847" s="8">
        <f>V2847/AA2847</f>
        <v/>
      </c>
      <c r="X2847" s="27">
        <f>((3*10+H2847/COS(RADIANS(E2847)))*(3+3)+3*G2847*H2847)*2</f>
        <v/>
      </c>
      <c r="Y2847" s="28">
        <f>Z2847/X2847</f>
        <v/>
      </c>
      <c r="Z2847" s="29" t="n">
        <v>514.1886426567499</v>
      </c>
      <c r="AA2847" s="20" t="n">
        <v>50.8100848672363</v>
      </c>
      <c r="AB2847" t="n">
        <v>0.04535172424166396</v>
      </c>
      <c r="AC2847" t="n">
        <v>53.48365609081248</v>
      </c>
      <c r="AD2847" t="n">
        <v>-1.745752410674584</v>
      </c>
    </row>
    <row r="2848">
      <c r="A2848" t="n">
        <v>2847</v>
      </c>
      <c r="B2848" t="n">
        <v>52.5</v>
      </c>
      <c r="C2848" s="21">
        <f>B2848-20</f>
        <v/>
      </c>
      <c r="D2848" t="n">
        <v>100.6</v>
      </c>
      <c r="E2848" s="22">
        <f>D2848-90</f>
        <v/>
      </c>
      <c r="F2848" s="23" t="n">
        <v>0.012384</v>
      </c>
      <c r="G2848" s="22" t="n">
        <v>27.9</v>
      </c>
      <c r="H2848" s="22" t="n">
        <v>1.1</v>
      </c>
      <c r="I2848" s="24" t="n">
        <v>0.116181410849094</v>
      </c>
      <c r="J2848" s="6" t="n">
        <v>71000</v>
      </c>
      <c r="K2848" s="25">
        <f>23*10^-6</f>
        <v/>
      </c>
      <c r="L2848" s="8">
        <f>H2848</f>
        <v/>
      </c>
      <c r="M2848" s="26">
        <f>H2848^2/6</f>
        <v/>
      </c>
      <c r="N2848" s="26">
        <f>H2848^3/12</f>
        <v/>
      </c>
      <c r="O2848" s="27">
        <f>-J2848*L2848*K2848*C2848</f>
        <v/>
      </c>
      <c r="P2848" s="28">
        <f>-(12*F2848*J2848*L2848*N2848+12*O2848*N2848*G2848*COS(RADIANS(E2848)))/(12*N2848*G2848*COS(RADIANS(E2848))^2+L2848*G2848^3*SIN(RADIANS(E2848))^2)</f>
        <v/>
      </c>
      <c r="Q2848" s="28">
        <f>-(6*F2848*J2848*L2848*N2848*SIN(RADIANS(E2848))+6*O2848*N2848*G2848*SIN(RADIANS(E2848))*COS(RADIANS(E2848)))/(12*N2848*COS(RADIANS(E2848))^2+L2848*G2848^2*SIN(RADIANS(E2848))^2)</f>
        <v/>
      </c>
      <c r="R2848" s="28">
        <f>-P2848*SIN(RADIANS(E2848))</f>
        <v/>
      </c>
      <c r="S2848" s="8">
        <f>(O2848+P2848*COS(RADIANS(E2848)))/L2848</f>
        <v/>
      </c>
      <c r="T2848" s="8">
        <f>R2848/L2848</f>
        <v/>
      </c>
      <c r="U2848" s="8">
        <f>(Q2848-P2848*G2848*SIN(RADIANS(E2848)))/M2848</f>
        <v/>
      </c>
      <c r="V2848" s="8">
        <f>SQRT((S2848+U2848)^2+3*T2848^2)</f>
        <v/>
      </c>
      <c r="W2848" s="8">
        <f>V2848/AA2848</f>
        <v/>
      </c>
      <c r="X2848" s="27">
        <f>((3*10+H2848/COS(RADIANS(E2848)))*(3+3)+3*G2848*H2848)*2</f>
        <v/>
      </c>
      <c r="Y2848" s="28">
        <f>Z2848/X2848</f>
        <v/>
      </c>
      <c r="Z2848" s="29" t="n">
        <v>561.4194551891241</v>
      </c>
      <c r="AA2848" s="20" t="n">
        <v>48.5495590682304</v>
      </c>
      <c r="AB2848" t="n">
        <v>0.1718160147579869</v>
      </c>
      <c r="AC2848" t="n">
        <v>53.37583667191743</v>
      </c>
      <c r="AD2848" t="n">
        <v>47.88597719918869</v>
      </c>
    </row>
    <row r="2849">
      <c r="A2849" t="n">
        <v>2848</v>
      </c>
      <c r="B2849" t="n">
        <v>64.40000000000001</v>
      </c>
      <c r="C2849" s="21">
        <f>B2849-20</f>
        <v/>
      </c>
      <c r="D2849" t="n">
        <v>121</v>
      </c>
      <c r="E2849" s="22">
        <f>D2849-90</f>
        <v/>
      </c>
      <c r="F2849" s="23" t="n">
        <v>0.01332</v>
      </c>
      <c r="G2849" s="22" t="n">
        <v>23.7</v>
      </c>
      <c r="H2849" s="22" t="n">
        <v>1.1</v>
      </c>
      <c r="I2849" s="24" t="n">
        <v>0.06341747939586639</v>
      </c>
      <c r="J2849" s="6" t="n">
        <v>71000</v>
      </c>
      <c r="K2849" s="25">
        <f>23*10^-6</f>
        <v/>
      </c>
      <c r="L2849" s="8">
        <f>H2849</f>
        <v/>
      </c>
      <c r="M2849" s="26">
        <f>H2849^2/6</f>
        <v/>
      </c>
      <c r="N2849" s="26">
        <f>H2849^3/12</f>
        <v/>
      </c>
      <c r="O2849" s="27">
        <f>-J2849*L2849*K2849*C2849</f>
        <v/>
      </c>
      <c r="P2849" s="28">
        <f>-(12*F2849*J2849*L2849*N2849+12*O2849*N2849*G2849*COS(RADIANS(E2849)))/(12*N2849*G2849*COS(RADIANS(E2849))^2+L2849*G2849^3*SIN(RADIANS(E2849))^2)</f>
        <v/>
      </c>
      <c r="Q2849" s="28">
        <f>-(6*F2849*J2849*L2849*N2849*SIN(RADIANS(E2849))+6*O2849*N2849*G2849*SIN(RADIANS(E2849))*COS(RADIANS(E2849)))/(12*N2849*COS(RADIANS(E2849))^2+L2849*G2849^2*SIN(RADIANS(E2849))^2)</f>
        <v/>
      </c>
      <c r="R2849" s="28">
        <f>-P2849*SIN(RADIANS(E2849))</f>
        <v/>
      </c>
      <c r="S2849" s="8">
        <f>(O2849+P2849*COS(RADIANS(E2849)))/L2849</f>
        <v/>
      </c>
      <c r="T2849" s="8">
        <f>R2849/L2849</f>
        <v/>
      </c>
      <c r="U2849" s="8">
        <f>(Q2849-P2849*G2849*SIN(RADIANS(E2849)))/M2849</f>
        <v/>
      </c>
      <c r="V2849" s="8">
        <f>SQRT((S2849+U2849)^2+3*T2849^2)</f>
        <v/>
      </c>
      <c r="W2849" s="8">
        <f>V2849/AA2849</f>
        <v/>
      </c>
      <c r="X2849" s="27">
        <f>((3*10+H2849/COS(RADIANS(E2849)))*(3+3)+3*G2849*H2849)*2</f>
        <v/>
      </c>
      <c r="Y2849" s="28">
        <f>Z2849/X2849</f>
        <v/>
      </c>
      <c r="Z2849" s="29" t="n">
        <v>539.25239176205</v>
      </c>
      <c r="AA2849" s="20" t="n">
        <v>62.1312398245932</v>
      </c>
      <c r="AB2849" t="n">
        <v>0.06870129891272403</v>
      </c>
      <c r="AC2849" t="n">
        <v>64.42549582741707</v>
      </c>
      <c r="AD2849" t="n">
        <v>8.331803104117126</v>
      </c>
    </row>
    <row r="2850">
      <c r="A2850" t="n">
        <v>2849</v>
      </c>
      <c r="B2850" t="n">
        <v>44.5</v>
      </c>
      <c r="C2850" s="21">
        <f>B2850-20</f>
        <v/>
      </c>
      <c r="D2850" t="n">
        <v>104.7</v>
      </c>
      <c r="E2850" s="22">
        <f>D2850-90</f>
        <v/>
      </c>
      <c r="F2850" s="23" t="n">
        <v>0.008727</v>
      </c>
      <c r="G2850" s="22" t="n">
        <v>26.1</v>
      </c>
      <c r="H2850" s="22" t="n">
        <v>1.3</v>
      </c>
      <c r="I2850" s="24" t="n">
        <v>0.06382047384977339</v>
      </c>
      <c r="J2850" s="6" t="n">
        <v>71000</v>
      </c>
      <c r="K2850" s="25">
        <f>23*10^-6</f>
        <v/>
      </c>
      <c r="L2850" s="8">
        <f>H2850</f>
        <v/>
      </c>
      <c r="M2850" s="26">
        <f>H2850^2/6</f>
        <v/>
      </c>
      <c r="N2850" s="26">
        <f>H2850^3/12</f>
        <v/>
      </c>
      <c r="O2850" s="27">
        <f>-J2850*L2850*K2850*C2850</f>
        <v/>
      </c>
      <c r="P2850" s="28">
        <f>-(12*F2850*J2850*L2850*N2850+12*O2850*N2850*G2850*COS(RADIANS(E2850)))/(12*N2850*G2850*COS(RADIANS(E2850))^2+L2850*G2850^3*SIN(RADIANS(E2850))^2)</f>
        <v/>
      </c>
      <c r="Q2850" s="28">
        <f>-(6*F2850*J2850*L2850*N2850*SIN(RADIANS(E2850))+6*O2850*N2850*G2850*SIN(RADIANS(E2850))*COS(RADIANS(E2850)))/(12*N2850*COS(RADIANS(E2850))^2+L2850*G2850^2*SIN(RADIANS(E2850))^2)</f>
        <v/>
      </c>
      <c r="R2850" s="28">
        <f>-P2850*SIN(RADIANS(E2850))</f>
        <v/>
      </c>
      <c r="S2850" s="8">
        <f>(O2850+P2850*COS(RADIANS(E2850)))/L2850</f>
        <v/>
      </c>
      <c r="T2850" s="8">
        <f>R2850/L2850</f>
        <v/>
      </c>
      <c r="U2850" s="8">
        <f>(Q2850-P2850*G2850*SIN(RADIANS(E2850)))/M2850</f>
        <v/>
      </c>
      <c r="V2850" s="8">
        <f>SQRT((S2850+U2850)^2+3*T2850^2)</f>
        <v/>
      </c>
      <c r="W2850" s="8">
        <f>V2850/AA2850</f>
        <v/>
      </c>
      <c r="X2850" s="27">
        <f>((3*10+H2850/COS(RADIANS(E2850)))*(3+3)+3*G2850*H2850)*2</f>
        <v/>
      </c>
      <c r="Y2850" s="28">
        <f>Z2850/X2850</f>
        <v/>
      </c>
      <c r="Z2850" s="29" t="n">
        <v>583.953689556525</v>
      </c>
      <c r="AA2850" s="20" t="n">
        <v>37.7738838984667</v>
      </c>
      <c r="AB2850" t="n">
        <v>0.08796972549914682</v>
      </c>
      <c r="AC2850" t="n">
        <v>39.45732261118254</v>
      </c>
      <c r="AD2850" t="n">
        <v>37.83934871154074</v>
      </c>
    </row>
    <row r="2851">
      <c r="A2851" t="n">
        <v>2850</v>
      </c>
      <c r="B2851" t="n">
        <v>74.3</v>
      </c>
      <c r="C2851" s="21">
        <f>B2851-20</f>
        <v/>
      </c>
      <c r="D2851" t="n">
        <v>119.4</v>
      </c>
      <c r="E2851" s="22">
        <f>D2851-90</f>
        <v/>
      </c>
      <c r="F2851" s="23" t="n">
        <v>0.020486</v>
      </c>
      <c r="G2851" s="22" t="n">
        <v>31.1</v>
      </c>
      <c r="H2851" s="22" t="n">
        <v>1.9</v>
      </c>
      <c r="I2851" s="24" t="n">
        <v>0.0958454310894012</v>
      </c>
      <c r="J2851" s="6" t="n">
        <v>71000</v>
      </c>
      <c r="K2851" s="25">
        <f>23*10^-6</f>
        <v/>
      </c>
      <c r="L2851" s="8">
        <f>H2851</f>
        <v/>
      </c>
      <c r="M2851" s="26">
        <f>H2851^2/6</f>
        <v/>
      </c>
      <c r="N2851" s="26">
        <f>H2851^3/12</f>
        <v/>
      </c>
      <c r="O2851" s="27">
        <f>-J2851*L2851*K2851*C2851</f>
        <v/>
      </c>
      <c r="P2851" s="28">
        <f>-(12*F2851*J2851*L2851*N2851+12*O2851*N2851*G2851*COS(RADIANS(E2851)))/(12*N2851*G2851*COS(RADIANS(E2851))^2+L2851*G2851^3*SIN(RADIANS(E2851))^2)</f>
        <v/>
      </c>
      <c r="Q2851" s="28">
        <f>-(6*F2851*J2851*L2851*N2851*SIN(RADIANS(E2851))+6*O2851*N2851*G2851*SIN(RADIANS(E2851))*COS(RADIANS(E2851)))/(12*N2851*COS(RADIANS(E2851))^2+L2851*G2851^2*SIN(RADIANS(E2851))^2)</f>
        <v/>
      </c>
      <c r="R2851" s="28">
        <f>-P2851*SIN(RADIANS(E2851))</f>
        <v/>
      </c>
      <c r="S2851" s="8">
        <f>(O2851+P2851*COS(RADIANS(E2851)))/L2851</f>
        <v/>
      </c>
      <c r="T2851" s="8">
        <f>R2851/L2851</f>
        <v/>
      </c>
      <c r="U2851" s="8">
        <f>(Q2851-P2851*G2851*SIN(RADIANS(E2851)))/M2851</f>
        <v/>
      </c>
      <c r="V2851" s="8">
        <f>SQRT((S2851+U2851)^2+3*T2851^2)</f>
        <v/>
      </c>
      <c r="W2851" s="8">
        <f>V2851/AA2851</f>
        <v/>
      </c>
      <c r="X2851" s="27">
        <f>((3*10+H2851/COS(RADIANS(E2851)))*(3+3)+3*G2851*H2851)*2</f>
        <v/>
      </c>
      <c r="Y2851" s="28">
        <f>Z2851/X2851</f>
        <v/>
      </c>
      <c r="Z2851" s="29" t="n">
        <v>747.691786056993</v>
      </c>
      <c r="AA2851" s="20" t="n">
        <v>86.6928613742773</v>
      </c>
      <c r="AB2851" t="n">
        <v>0.1140024722110996</v>
      </c>
      <c r="AC2851" t="n">
        <v>81.84953466090455</v>
      </c>
      <c r="AD2851" t="n">
        <v>18.94408623898009</v>
      </c>
    </row>
    <row r="2852">
      <c r="A2852" t="n">
        <v>2851</v>
      </c>
      <c r="B2852" t="n">
        <v>45.8</v>
      </c>
      <c r="C2852" s="21">
        <f>B2852-20</f>
        <v/>
      </c>
      <c r="D2852" t="n">
        <v>113.7</v>
      </c>
      <c r="E2852" s="22">
        <f>D2852-90</f>
        <v/>
      </c>
      <c r="F2852" s="23" t="n">
        <v>0.01006</v>
      </c>
      <c r="G2852" s="22" t="n">
        <v>30.8</v>
      </c>
      <c r="H2852" s="22" t="n">
        <v>1.6</v>
      </c>
      <c r="I2852" s="24" t="n">
        <v>0.0525900945067405</v>
      </c>
      <c r="J2852" s="6" t="n">
        <v>71000</v>
      </c>
      <c r="K2852" s="25">
        <f>23*10^-6</f>
        <v/>
      </c>
      <c r="L2852" s="8">
        <f>H2852</f>
        <v/>
      </c>
      <c r="M2852" s="26">
        <f>H2852^2/6</f>
        <v/>
      </c>
      <c r="N2852" s="26">
        <f>H2852^3/12</f>
        <v/>
      </c>
      <c r="O2852" s="27">
        <f>-J2852*L2852*K2852*C2852</f>
        <v/>
      </c>
      <c r="P2852" s="28">
        <f>-(12*F2852*J2852*L2852*N2852+12*O2852*N2852*G2852*COS(RADIANS(E2852)))/(12*N2852*G2852*COS(RADIANS(E2852))^2+L2852*G2852^3*SIN(RADIANS(E2852))^2)</f>
        <v/>
      </c>
      <c r="Q2852" s="28">
        <f>-(6*F2852*J2852*L2852*N2852*SIN(RADIANS(E2852))+6*O2852*N2852*G2852*SIN(RADIANS(E2852))*COS(RADIANS(E2852)))/(12*N2852*COS(RADIANS(E2852))^2+L2852*G2852^2*SIN(RADIANS(E2852))^2)</f>
        <v/>
      </c>
      <c r="R2852" s="28">
        <f>-P2852*SIN(RADIANS(E2852))</f>
        <v/>
      </c>
      <c r="S2852" s="8">
        <f>(O2852+P2852*COS(RADIANS(E2852)))/L2852</f>
        <v/>
      </c>
      <c r="T2852" s="8">
        <f>R2852/L2852</f>
        <v/>
      </c>
      <c r="U2852" s="8">
        <f>(Q2852-P2852*G2852*SIN(RADIANS(E2852)))/M2852</f>
        <v/>
      </c>
      <c r="V2852" s="8">
        <f>SQRT((S2852+U2852)^2+3*T2852^2)</f>
        <v/>
      </c>
      <c r="W2852" s="8">
        <f>V2852/AA2852</f>
        <v/>
      </c>
      <c r="X2852" s="27">
        <f>((3*10+H2852/COS(RADIANS(E2852)))*(3+3)+3*G2852*H2852)*2</f>
        <v/>
      </c>
      <c r="Y2852" s="28">
        <f>Z2852/X2852</f>
        <v/>
      </c>
      <c r="Z2852" s="29" t="n">
        <v>682.292579704495</v>
      </c>
      <c r="AA2852" s="20" t="n">
        <v>39.8432622347832</v>
      </c>
      <c r="AB2852" t="n">
        <v>0.0673813310484911</v>
      </c>
      <c r="AC2852" t="n">
        <v>39.30152475927638</v>
      </c>
      <c r="AD2852" t="n">
        <v>28.12551808564406</v>
      </c>
    </row>
    <row r="2853">
      <c r="A2853" t="n">
        <v>2852</v>
      </c>
      <c r="B2853" t="n">
        <v>52.8</v>
      </c>
      <c r="C2853" s="21">
        <f>B2853-20</f>
        <v/>
      </c>
      <c r="D2853" t="n">
        <v>123.5</v>
      </c>
      <c r="E2853" s="22">
        <f>D2853-90</f>
        <v/>
      </c>
      <c r="F2853" s="23" t="n">
        <v>0.011629</v>
      </c>
      <c r="G2853" s="22" t="n">
        <v>30.1</v>
      </c>
      <c r="H2853" s="22" t="n">
        <v>1.3</v>
      </c>
      <c r="I2853" s="24" t="n">
        <v>0.0519228130578994</v>
      </c>
      <c r="J2853" s="6" t="n">
        <v>71000</v>
      </c>
      <c r="K2853" s="25">
        <f>23*10^-6</f>
        <v/>
      </c>
      <c r="L2853" s="8">
        <f>H2853</f>
        <v/>
      </c>
      <c r="M2853" s="26">
        <f>H2853^2/6</f>
        <v/>
      </c>
      <c r="N2853" s="26">
        <f>H2853^3/12</f>
        <v/>
      </c>
      <c r="O2853" s="27">
        <f>-J2853*L2853*K2853*C2853</f>
        <v/>
      </c>
      <c r="P2853" s="28">
        <f>-(12*F2853*J2853*L2853*N2853+12*O2853*N2853*G2853*COS(RADIANS(E2853)))/(12*N2853*G2853*COS(RADIANS(E2853))^2+L2853*G2853^3*SIN(RADIANS(E2853))^2)</f>
        <v/>
      </c>
      <c r="Q2853" s="28">
        <f>-(6*F2853*J2853*L2853*N2853*SIN(RADIANS(E2853))+6*O2853*N2853*G2853*SIN(RADIANS(E2853))*COS(RADIANS(E2853)))/(12*N2853*COS(RADIANS(E2853))^2+L2853*G2853^2*SIN(RADIANS(E2853))^2)</f>
        <v/>
      </c>
      <c r="R2853" s="28">
        <f>-P2853*SIN(RADIANS(E2853))</f>
        <v/>
      </c>
      <c r="S2853" s="8">
        <f>(O2853+P2853*COS(RADIANS(E2853)))/L2853</f>
        <v/>
      </c>
      <c r="T2853" s="8">
        <f>R2853/L2853</f>
        <v/>
      </c>
      <c r="U2853" s="8">
        <f>(Q2853-P2853*G2853*SIN(RADIANS(E2853)))/M2853</f>
        <v/>
      </c>
      <c r="V2853" s="8">
        <f>SQRT((S2853+U2853)^2+3*T2853^2)</f>
        <v/>
      </c>
      <c r="W2853" s="8">
        <f>V2853/AA2853</f>
        <v/>
      </c>
      <c r="X2853" s="27">
        <f>((3*10+H2853/COS(RADIANS(E2853)))*(3+3)+3*G2853*H2853)*2</f>
        <v/>
      </c>
      <c r="Y2853" s="28">
        <f>Z2853/X2853</f>
        <v/>
      </c>
      <c r="Z2853" s="29" t="n">
        <v>621.70214514171</v>
      </c>
      <c r="AA2853" s="20" t="n">
        <v>46.2319036925642</v>
      </c>
      <c r="AB2853" t="n">
        <v>0.05842915832294403</v>
      </c>
      <c r="AC2853" t="n">
        <v>47.29591657252948</v>
      </c>
      <c r="AD2853" t="n">
        <v>12.53080270860781</v>
      </c>
    </row>
    <row r="2854">
      <c r="A2854" t="n">
        <v>2853</v>
      </c>
      <c r="B2854" t="n">
        <v>53.3</v>
      </c>
      <c r="C2854" s="21">
        <f>B2854-20</f>
        <v/>
      </c>
      <c r="D2854" t="n">
        <v>102.8</v>
      </c>
      <c r="E2854" s="22">
        <f>D2854-90</f>
        <v/>
      </c>
      <c r="F2854" s="23" t="n">
        <v>0.013753</v>
      </c>
      <c r="G2854" s="22" t="n">
        <v>31</v>
      </c>
      <c r="H2854" s="22" t="n">
        <v>1.3</v>
      </c>
      <c r="I2854" s="24" t="n">
        <v>0.11012889444828</v>
      </c>
      <c r="J2854" s="6" t="n">
        <v>71000</v>
      </c>
      <c r="K2854" s="25">
        <f>23*10^-6</f>
        <v/>
      </c>
      <c r="L2854" s="8">
        <f>H2854</f>
        <v/>
      </c>
      <c r="M2854" s="26">
        <f>H2854^2/6</f>
        <v/>
      </c>
      <c r="N2854" s="26">
        <f>H2854^3/12</f>
        <v/>
      </c>
      <c r="O2854" s="27">
        <f>-J2854*L2854*K2854*C2854</f>
        <v/>
      </c>
      <c r="P2854" s="28">
        <f>-(12*F2854*J2854*L2854*N2854+12*O2854*N2854*G2854*COS(RADIANS(E2854)))/(12*N2854*G2854*COS(RADIANS(E2854))^2+L2854*G2854^3*SIN(RADIANS(E2854))^2)</f>
        <v/>
      </c>
      <c r="Q2854" s="28">
        <f>-(6*F2854*J2854*L2854*N2854*SIN(RADIANS(E2854))+6*O2854*N2854*G2854*SIN(RADIANS(E2854))*COS(RADIANS(E2854)))/(12*N2854*COS(RADIANS(E2854))^2+L2854*G2854^2*SIN(RADIANS(E2854))^2)</f>
        <v/>
      </c>
      <c r="R2854" s="28">
        <f>-P2854*SIN(RADIANS(E2854))</f>
        <v/>
      </c>
      <c r="S2854" s="8">
        <f>(O2854+P2854*COS(RADIANS(E2854)))/L2854</f>
        <v/>
      </c>
      <c r="T2854" s="8">
        <f>R2854/L2854</f>
        <v/>
      </c>
      <c r="U2854" s="8">
        <f>(Q2854-P2854*G2854*SIN(RADIANS(E2854)))/M2854</f>
        <v/>
      </c>
      <c r="V2854" s="8">
        <f>SQRT((S2854+U2854)^2+3*T2854^2)</f>
        <v/>
      </c>
      <c r="W2854" s="8">
        <f>V2854/AA2854</f>
        <v/>
      </c>
      <c r="X2854" s="27">
        <f>((3*10+H2854/COS(RADIANS(E2854)))*(3+3)+3*G2854*H2854)*2</f>
        <v/>
      </c>
      <c r="Y2854" s="28">
        <f>Z2854/X2854</f>
        <v/>
      </c>
      <c r="Z2854" s="29" t="n">
        <v>621.842793330788</v>
      </c>
      <c r="AA2854" s="20" t="n">
        <v>50.7673635707641</v>
      </c>
      <c r="AB2854" t="n">
        <v>0.1620758499344083</v>
      </c>
      <c r="AC2854" t="n">
        <v>53.8513976443365</v>
      </c>
      <c r="AD2854" t="n">
        <v>47.16923360247132</v>
      </c>
    </row>
    <row r="2855">
      <c r="A2855" t="n">
        <v>2854</v>
      </c>
      <c r="B2855" t="n">
        <v>66.90000000000001</v>
      </c>
      <c r="C2855" s="21">
        <f>B2855-20</f>
        <v/>
      </c>
      <c r="D2855" t="n">
        <v>125.4</v>
      </c>
      <c r="E2855" s="22">
        <f>D2855-90</f>
        <v/>
      </c>
      <c r="F2855" s="23" t="n">
        <v>0.011968</v>
      </c>
      <c r="G2855" s="22" t="n">
        <v>20.1</v>
      </c>
      <c r="H2855" s="22" t="n">
        <v>1.4</v>
      </c>
      <c r="I2855" s="24" t="n">
        <v>0.0559638179838657</v>
      </c>
      <c r="J2855" s="6" t="n">
        <v>71000</v>
      </c>
      <c r="K2855" s="25">
        <f>23*10^-6</f>
        <v/>
      </c>
      <c r="L2855" s="8">
        <f>H2855</f>
        <v/>
      </c>
      <c r="M2855" s="26">
        <f>H2855^2/6</f>
        <v/>
      </c>
      <c r="N2855" s="26">
        <f>H2855^3/12</f>
        <v/>
      </c>
      <c r="O2855" s="27">
        <f>-J2855*L2855*K2855*C2855</f>
        <v/>
      </c>
      <c r="P2855" s="28">
        <f>-(12*F2855*J2855*L2855*N2855+12*O2855*N2855*G2855*COS(RADIANS(E2855)))/(12*N2855*G2855*COS(RADIANS(E2855))^2+L2855*G2855^3*SIN(RADIANS(E2855))^2)</f>
        <v/>
      </c>
      <c r="Q2855" s="28">
        <f>-(6*F2855*J2855*L2855*N2855*SIN(RADIANS(E2855))+6*O2855*N2855*G2855*SIN(RADIANS(E2855))*COS(RADIANS(E2855)))/(12*N2855*COS(RADIANS(E2855))^2+L2855*G2855^2*SIN(RADIANS(E2855))^2)</f>
        <v/>
      </c>
      <c r="R2855" s="28">
        <f>-P2855*SIN(RADIANS(E2855))</f>
        <v/>
      </c>
      <c r="S2855" s="8">
        <f>(O2855+P2855*COS(RADIANS(E2855)))/L2855</f>
        <v/>
      </c>
      <c r="T2855" s="8">
        <f>R2855/L2855</f>
        <v/>
      </c>
      <c r="U2855" s="8">
        <f>(Q2855-P2855*G2855*SIN(RADIANS(E2855)))/M2855</f>
        <v/>
      </c>
      <c r="V2855" s="8">
        <f>SQRT((S2855+U2855)^2+3*T2855^2)</f>
        <v/>
      </c>
      <c r="W2855" s="8">
        <f>V2855/AA2855</f>
        <v/>
      </c>
      <c r="X2855" s="27">
        <f>((3*10+H2855/COS(RADIANS(E2855)))*(3+3)+3*G2855*H2855)*2</f>
        <v/>
      </c>
      <c r="Y2855" s="28">
        <f>Z2855/X2855</f>
        <v/>
      </c>
      <c r="Z2855" s="29" t="n">
        <v>558.327130460934</v>
      </c>
      <c r="AA2855" s="20" t="n">
        <v>71.4180751571851</v>
      </c>
      <c r="AB2855" t="n">
        <v>0.0536720801269398</v>
      </c>
      <c r="AC2855" t="n">
        <v>68.72180886297305</v>
      </c>
      <c r="AD2855" t="n">
        <v>-4.095034862679679</v>
      </c>
    </row>
    <row r="2856">
      <c r="A2856" t="n">
        <v>2855</v>
      </c>
      <c r="B2856" t="n">
        <v>87.7</v>
      </c>
      <c r="C2856" s="21">
        <f>B2856-20</f>
        <v/>
      </c>
      <c r="D2856" t="n">
        <v>106.8</v>
      </c>
      <c r="E2856" s="22">
        <f>D2856-90</f>
        <v/>
      </c>
      <c r="F2856" s="23" t="n">
        <v>0.022954</v>
      </c>
      <c r="G2856" s="22" t="n">
        <v>24.8</v>
      </c>
      <c r="H2856" s="22" t="n">
        <v>1.3</v>
      </c>
      <c r="I2856" s="24" t="n">
        <v>0.153644412755966</v>
      </c>
      <c r="J2856" s="6" t="n">
        <v>71000</v>
      </c>
      <c r="K2856" s="25">
        <f>23*10^-6</f>
        <v/>
      </c>
      <c r="L2856" s="8">
        <f>H2856</f>
        <v/>
      </c>
      <c r="M2856" s="26">
        <f>H2856^2/6</f>
        <v/>
      </c>
      <c r="N2856" s="26">
        <f>H2856^3/12</f>
        <v/>
      </c>
      <c r="O2856" s="27">
        <f>-J2856*L2856*K2856*C2856</f>
        <v/>
      </c>
      <c r="P2856" s="28">
        <f>-(12*F2856*J2856*L2856*N2856+12*O2856*N2856*G2856*COS(RADIANS(E2856)))/(12*N2856*G2856*COS(RADIANS(E2856))^2+L2856*G2856^3*SIN(RADIANS(E2856))^2)</f>
        <v/>
      </c>
      <c r="Q2856" s="28">
        <f>-(6*F2856*J2856*L2856*N2856*SIN(RADIANS(E2856))+6*O2856*N2856*G2856*SIN(RADIANS(E2856))*COS(RADIANS(E2856)))/(12*N2856*COS(RADIANS(E2856))^2+L2856*G2856^2*SIN(RADIANS(E2856))^2)</f>
        <v/>
      </c>
      <c r="R2856" s="28">
        <f>-P2856*SIN(RADIANS(E2856))</f>
        <v/>
      </c>
      <c r="S2856" s="8">
        <f>(O2856+P2856*COS(RADIANS(E2856)))/L2856</f>
        <v/>
      </c>
      <c r="T2856" s="8">
        <f>R2856/L2856</f>
        <v/>
      </c>
      <c r="U2856" s="8">
        <f>(Q2856-P2856*G2856*SIN(RADIANS(E2856)))/M2856</f>
        <v/>
      </c>
      <c r="V2856" s="8">
        <f>SQRT((S2856+U2856)^2+3*T2856^2)</f>
        <v/>
      </c>
      <c r="W2856" s="8">
        <f>V2856/AA2856</f>
        <v/>
      </c>
      <c r="X2856" s="27">
        <f>((3*10+H2856/COS(RADIANS(E2856)))*(3+3)+3*G2856*H2856)*2</f>
        <v/>
      </c>
      <c r="Y2856" s="28">
        <f>Z2856/X2856</f>
        <v/>
      </c>
      <c r="Z2856" s="29" t="n">
        <v>574.239129724959</v>
      </c>
      <c r="AA2856" s="20" t="n">
        <v>102.784143744143</v>
      </c>
      <c r="AB2856" t="n">
        <v>0.2032948840456216</v>
      </c>
      <c r="AC2856" t="n">
        <v>107.3506921657053</v>
      </c>
      <c r="AD2856" t="n">
        <v>32.3151817882995</v>
      </c>
    </row>
    <row r="2857">
      <c r="A2857" t="n">
        <v>2856</v>
      </c>
      <c r="B2857" t="n">
        <v>66.09999999999999</v>
      </c>
      <c r="C2857" s="21">
        <f>B2857-20</f>
        <v/>
      </c>
      <c r="D2857" t="n">
        <v>112.7</v>
      </c>
      <c r="E2857" s="22">
        <f>D2857-90</f>
        <v/>
      </c>
      <c r="F2857" s="23" t="n">
        <v>0.014159</v>
      </c>
      <c r="G2857" s="22" t="n">
        <v>22.7</v>
      </c>
      <c r="H2857" s="22" t="n">
        <v>1.5</v>
      </c>
      <c r="I2857" s="24" t="n">
        <v>0.0789834111928939</v>
      </c>
      <c r="J2857" s="6" t="n">
        <v>71000</v>
      </c>
      <c r="K2857" s="25">
        <f>23*10^-6</f>
        <v/>
      </c>
      <c r="L2857" s="8">
        <f>H2857</f>
        <v/>
      </c>
      <c r="M2857" s="26">
        <f>H2857^2/6</f>
        <v/>
      </c>
      <c r="N2857" s="26">
        <f>H2857^3/12</f>
        <v/>
      </c>
      <c r="O2857" s="27">
        <f>-J2857*L2857*K2857*C2857</f>
        <v/>
      </c>
      <c r="P2857" s="28">
        <f>-(12*F2857*J2857*L2857*N2857+12*O2857*N2857*G2857*COS(RADIANS(E2857)))/(12*N2857*G2857*COS(RADIANS(E2857))^2+L2857*G2857^3*SIN(RADIANS(E2857))^2)</f>
        <v/>
      </c>
      <c r="Q2857" s="28">
        <f>-(6*F2857*J2857*L2857*N2857*SIN(RADIANS(E2857))+6*O2857*N2857*G2857*SIN(RADIANS(E2857))*COS(RADIANS(E2857)))/(12*N2857*COS(RADIANS(E2857))^2+L2857*G2857^2*SIN(RADIANS(E2857))^2)</f>
        <v/>
      </c>
      <c r="R2857" s="28">
        <f>-P2857*SIN(RADIANS(E2857))</f>
        <v/>
      </c>
      <c r="S2857" s="8">
        <f>(O2857+P2857*COS(RADIANS(E2857)))/L2857</f>
        <v/>
      </c>
      <c r="T2857" s="8">
        <f>R2857/L2857</f>
        <v/>
      </c>
      <c r="U2857" s="8">
        <f>(Q2857-P2857*G2857*SIN(RADIANS(E2857)))/M2857</f>
        <v/>
      </c>
      <c r="V2857" s="8">
        <f>SQRT((S2857+U2857)^2+3*T2857^2)</f>
        <v/>
      </c>
      <c r="W2857" s="8">
        <f>V2857/AA2857</f>
        <v/>
      </c>
      <c r="X2857" s="27">
        <f>((3*10+H2857/COS(RADIANS(E2857)))*(3+3)+3*G2857*H2857)*2</f>
        <v/>
      </c>
      <c r="Y2857" s="28">
        <f>Z2857/X2857</f>
        <v/>
      </c>
      <c r="Z2857" s="29" t="n">
        <v>589.260204905959</v>
      </c>
      <c r="AA2857" s="20" t="n">
        <v>72.2622862283573</v>
      </c>
      <c r="AB2857" t="n">
        <v>0.09373080882139453</v>
      </c>
      <c r="AC2857" t="n">
        <v>71.74600045967495</v>
      </c>
      <c r="AD2857" t="n">
        <v>18.67151267053334</v>
      </c>
    </row>
    <row r="2858">
      <c r="A2858" t="n">
        <v>2857</v>
      </c>
      <c r="B2858" t="n">
        <v>47.1</v>
      </c>
      <c r="C2858" s="21">
        <f>B2858-20</f>
        <v/>
      </c>
      <c r="D2858" t="n">
        <v>120.9</v>
      </c>
      <c r="E2858" s="22">
        <f>D2858-90</f>
        <v/>
      </c>
      <c r="F2858" s="23" t="n">
        <v>0.010416</v>
      </c>
      <c r="G2858" s="22" t="n">
        <v>32.3</v>
      </c>
      <c r="H2858" s="22" t="n">
        <v>1.8</v>
      </c>
      <c r="I2858" s="24" t="n">
        <v>0.0474850051105022</v>
      </c>
      <c r="J2858" s="6" t="n">
        <v>71000</v>
      </c>
      <c r="K2858" s="25">
        <f>23*10^-6</f>
        <v/>
      </c>
      <c r="L2858" s="8">
        <f>H2858</f>
        <v/>
      </c>
      <c r="M2858" s="26">
        <f>H2858^2/6</f>
        <v/>
      </c>
      <c r="N2858" s="26">
        <f>H2858^3/12</f>
        <v/>
      </c>
      <c r="O2858" s="27">
        <f>-J2858*L2858*K2858*C2858</f>
        <v/>
      </c>
      <c r="P2858" s="28">
        <f>-(12*F2858*J2858*L2858*N2858+12*O2858*N2858*G2858*COS(RADIANS(E2858)))/(12*N2858*G2858*COS(RADIANS(E2858))^2+L2858*G2858^3*SIN(RADIANS(E2858))^2)</f>
        <v/>
      </c>
      <c r="Q2858" s="28">
        <f>-(6*F2858*J2858*L2858*N2858*SIN(RADIANS(E2858))+6*O2858*N2858*G2858*SIN(RADIANS(E2858))*COS(RADIANS(E2858)))/(12*N2858*COS(RADIANS(E2858))^2+L2858*G2858^2*SIN(RADIANS(E2858))^2)</f>
        <v/>
      </c>
      <c r="R2858" s="28">
        <f>-P2858*SIN(RADIANS(E2858))</f>
        <v/>
      </c>
      <c r="S2858" s="8">
        <f>(O2858+P2858*COS(RADIANS(E2858)))/L2858</f>
        <v/>
      </c>
      <c r="T2858" s="8">
        <f>R2858/L2858</f>
        <v/>
      </c>
      <c r="U2858" s="8">
        <f>(Q2858-P2858*G2858*SIN(RADIANS(E2858)))/M2858</f>
        <v/>
      </c>
      <c r="V2858" s="8">
        <f>SQRT((S2858+U2858)^2+3*T2858^2)</f>
        <v/>
      </c>
      <c r="W2858" s="8">
        <f>V2858/AA2858</f>
        <v/>
      </c>
      <c r="X2858" s="27">
        <f>((3*10+H2858/COS(RADIANS(E2858)))*(3+3)+3*G2858*H2858)*2</f>
        <v/>
      </c>
      <c r="Y2858" s="28">
        <f>Z2858/X2858</f>
        <v/>
      </c>
      <c r="Z2858" s="29" t="n">
        <v>741.416462399589</v>
      </c>
      <c r="AA2858" s="20" t="n">
        <v>42.1388213773026</v>
      </c>
      <c r="AB2858" t="n">
        <v>0.05606726551646223</v>
      </c>
      <c r="AC2858" t="n">
        <v>40.27687951509071</v>
      </c>
      <c r="AD2858" t="n">
        <v>18.07362215922328</v>
      </c>
    </row>
    <row r="2859">
      <c r="A2859" t="n">
        <v>2858</v>
      </c>
      <c r="B2859" t="n">
        <v>85.90000000000001</v>
      </c>
      <c r="C2859" s="21">
        <f>B2859-20</f>
        <v/>
      </c>
      <c r="D2859" t="n">
        <v>124.5</v>
      </c>
      <c r="E2859" s="22">
        <f>D2859-90</f>
        <v/>
      </c>
      <c r="F2859" s="23" t="n">
        <v>0.023082</v>
      </c>
      <c r="G2859" s="22" t="n">
        <v>30</v>
      </c>
      <c r="H2859" s="22" t="n">
        <v>1.8</v>
      </c>
      <c r="I2859" s="24" t="n">
        <v>0.102367430925369</v>
      </c>
      <c r="J2859" s="6" t="n">
        <v>71000</v>
      </c>
      <c r="K2859" s="25">
        <f>23*10^-6</f>
        <v/>
      </c>
      <c r="L2859" s="8">
        <f>H2859</f>
        <v/>
      </c>
      <c r="M2859" s="26">
        <f>H2859^2/6</f>
        <v/>
      </c>
      <c r="N2859" s="26">
        <f>H2859^3/12</f>
        <v/>
      </c>
      <c r="O2859" s="27">
        <f>-J2859*L2859*K2859*C2859</f>
        <v/>
      </c>
      <c r="P2859" s="28">
        <f>-(12*F2859*J2859*L2859*N2859+12*O2859*N2859*G2859*COS(RADIANS(E2859)))/(12*N2859*G2859*COS(RADIANS(E2859))^2+L2859*G2859^3*SIN(RADIANS(E2859))^2)</f>
        <v/>
      </c>
      <c r="Q2859" s="28">
        <f>-(6*F2859*J2859*L2859*N2859*SIN(RADIANS(E2859))+6*O2859*N2859*G2859*SIN(RADIANS(E2859))*COS(RADIANS(E2859)))/(12*N2859*COS(RADIANS(E2859))^2+L2859*G2859^2*SIN(RADIANS(E2859))^2)</f>
        <v/>
      </c>
      <c r="R2859" s="28">
        <f>-P2859*SIN(RADIANS(E2859))</f>
        <v/>
      </c>
      <c r="S2859" s="8">
        <f>(O2859+P2859*COS(RADIANS(E2859)))/L2859</f>
        <v/>
      </c>
      <c r="T2859" s="8">
        <f>R2859/L2859</f>
        <v/>
      </c>
      <c r="U2859" s="8">
        <f>(Q2859-P2859*G2859*SIN(RADIANS(E2859)))/M2859</f>
        <v/>
      </c>
      <c r="V2859" s="8">
        <f>SQRT((S2859+U2859)^2+3*T2859^2)</f>
        <v/>
      </c>
      <c r="W2859" s="8">
        <f>V2859/AA2859</f>
        <v/>
      </c>
      <c r="X2859" s="27">
        <f>((3*10+H2859/COS(RADIANS(E2859)))*(3+3)+3*G2859*H2859)*2</f>
        <v/>
      </c>
      <c r="Y2859" s="28">
        <f>Z2859/X2859</f>
        <v/>
      </c>
      <c r="Z2859" s="29" t="n">
        <v>718.764961685911</v>
      </c>
      <c r="AA2859" s="20" t="n">
        <v>102.357748651736</v>
      </c>
      <c r="AB2859" t="n">
        <v>0.1128824790468301</v>
      </c>
      <c r="AC2859" t="n">
        <v>97.09075891765391</v>
      </c>
      <c r="AD2859" t="n">
        <v>10.27186872466022</v>
      </c>
    </row>
    <row r="2860">
      <c r="A2860" t="n">
        <v>2859</v>
      </c>
      <c r="B2860" t="n">
        <v>40.2</v>
      </c>
      <c r="C2860" s="21">
        <f>B2860-20</f>
        <v/>
      </c>
      <c r="D2860" t="n">
        <v>120.4</v>
      </c>
      <c r="E2860" s="22">
        <f>D2860-90</f>
        <v/>
      </c>
      <c r="F2860" s="23" t="n">
        <v>0.00593</v>
      </c>
      <c r="G2860" s="22" t="n">
        <v>22.9</v>
      </c>
      <c r="H2860" s="22" t="n">
        <v>1.1</v>
      </c>
      <c r="I2860" s="24" t="n">
        <v>0.0286166500300169</v>
      </c>
      <c r="J2860" s="6" t="n">
        <v>71000</v>
      </c>
      <c r="K2860" s="25">
        <f>23*10^-6</f>
        <v/>
      </c>
      <c r="L2860" s="8">
        <f>H2860</f>
        <v/>
      </c>
      <c r="M2860" s="26">
        <f>H2860^2/6</f>
        <v/>
      </c>
      <c r="N2860" s="26">
        <f>H2860^3/12</f>
        <v/>
      </c>
      <c r="O2860" s="27">
        <f>-J2860*L2860*K2860*C2860</f>
        <v/>
      </c>
      <c r="P2860" s="28">
        <f>-(12*F2860*J2860*L2860*N2860+12*O2860*N2860*G2860*COS(RADIANS(E2860)))/(12*N2860*G2860*COS(RADIANS(E2860))^2+L2860*G2860^3*SIN(RADIANS(E2860))^2)</f>
        <v/>
      </c>
      <c r="Q2860" s="28">
        <f>-(6*F2860*J2860*L2860*N2860*SIN(RADIANS(E2860))+6*O2860*N2860*G2860*SIN(RADIANS(E2860))*COS(RADIANS(E2860)))/(12*N2860*COS(RADIANS(E2860))^2+L2860*G2860^2*SIN(RADIANS(E2860))^2)</f>
        <v/>
      </c>
      <c r="R2860" s="28">
        <f>-P2860*SIN(RADIANS(E2860))</f>
        <v/>
      </c>
      <c r="S2860" s="8">
        <f>(O2860+P2860*COS(RADIANS(E2860)))/L2860</f>
        <v/>
      </c>
      <c r="T2860" s="8">
        <f>R2860/L2860</f>
        <v/>
      </c>
      <c r="U2860" s="8">
        <f>(Q2860-P2860*G2860*SIN(RADIANS(E2860)))/M2860</f>
        <v/>
      </c>
      <c r="V2860" s="8">
        <f>SQRT((S2860+U2860)^2+3*T2860^2)</f>
        <v/>
      </c>
      <c r="W2860" s="8">
        <f>V2860/AA2860</f>
        <v/>
      </c>
      <c r="X2860" s="27">
        <f>((3*10+H2860/COS(RADIANS(E2860)))*(3+3)+3*G2860*H2860)*2</f>
        <v/>
      </c>
      <c r="Y2860" s="28">
        <f>Z2860/X2860</f>
        <v/>
      </c>
      <c r="Z2860" s="29" t="n">
        <v>533.703380632587</v>
      </c>
      <c r="AA2860" s="20" t="n">
        <v>28.1747788251602</v>
      </c>
      <c r="AB2860" t="n">
        <v>0.03090205333063808</v>
      </c>
      <c r="AC2860" t="n">
        <v>29.4090823125811</v>
      </c>
      <c r="AD2860" t="n">
        <v>7.986271272926595</v>
      </c>
    </row>
    <row r="2861">
      <c r="A2861" t="n">
        <v>2860</v>
      </c>
      <c r="B2861" t="n">
        <v>65.2</v>
      </c>
      <c r="C2861" s="21">
        <f>B2861-20</f>
        <v/>
      </c>
      <c r="D2861" t="n">
        <v>103.3</v>
      </c>
      <c r="E2861" s="22">
        <f>D2861-90</f>
        <v/>
      </c>
      <c r="F2861" s="23" t="n">
        <v>0.017484</v>
      </c>
      <c r="G2861" s="22" t="n">
        <v>28.7</v>
      </c>
      <c r="H2861" s="22" t="n">
        <v>1.9</v>
      </c>
      <c r="I2861" s="24" t="n">
        <v>0.132623597979545</v>
      </c>
      <c r="J2861" s="6" t="n">
        <v>71000</v>
      </c>
      <c r="K2861" s="25">
        <f>23*10^-6</f>
        <v/>
      </c>
      <c r="L2861" s="8">
        <f>H2861</f>
        <v/>
      </c>
      <c r="M2861" s="26">
        <f>H2861^2/6</f>
        <v/>
      </c>
      <c r="N2861" s="26">
        <f>H2861^3/12</f>
        <v/>
      </c>
      <c r="O2861" s="27">
        <f>-J2861*L2861*K2861*C2861</f>
        <v/>
      </c>
      <c r="P2861" s="28">
        <f>-(12*F2861*J2861*L2861*N2861+12*O2861*N2861*G2861*COS(RADIANS(E2861)))/(12*N2861*G2861*COS(RADIANS(E2861))^2+L2861*G2861^3*SIN(RADIANS(E2861))^2)</f>
        <v/>
      </c>
      <c r="Q2861" s="28">
        <f>-(6*F2861*J2861*L2861*N2861*SIN(RADIANS(E2861))+6*O2861*N2861*G2861*SIN(RADIANS(E2861))*COS(RADIANS(E2861)))/(12*N2861*COS(RADIANS(E2861))^2+L2861*G2861^2*SIN(RADIANS(E2861))^2)</f>
        <v/>
      </c>
      <c r="R2861" s="28">
        <f>-P2861*SIN(RADIANS(E2861))</f>
        <v/>
      </c>
      <c r="S2861" s="8">
        <f>(O2861+P2861*COS(RADIANS(E2861)))/L2861</f>
        <v/>
      </c>
      <c r="T2861" s="8">
        <f>R2861/L2861</f>
        <v/>
      </c>
      <c r="U2861" s="8">
        <f>(Q2861-P2861*G2861*SIN(RADIANS(E2861)))/M2861</f>
        <v/>
      </c>
      <c r="V2861" s="8">
        <f>SQRT((S2861+U2861)^2+3*T2861^2)</f>
        <v/>
      </c>
      <c r="W2861" s="8">
        <f>V2861/AA2861</f>
        <v/>
      </c>
      <c r="X2861" s="27">
        <f>((3*10+H2861/COS(RADIANS(E2861)))*(3+3)+3*G2861*H2861)*2</f>
        <v/>
      </c>
      <c r="Y2861" s="28">
        <f>Z2861/X2861</f>
        <v/>
      </c>
      <c r="Z2861" s="29" t="n">
        <v>714.703452653639</v>
      </c>
      <c r="AA2861" s="20" t="n">
        <v>80.10264725607</v>
      </c>
      <c r="AB2861" t="n">
        <v>0.1885448381377272</v>
      </c>
      <c r="AC2861" t="n">
        <v>77.77347427836489</v>
      </c>
      <c r="AD2861" t="n">
        <v>42.1653770596746</v>
      </c>
    </row>
    <row r="2862">
      <c r="A2862" t="n">
        <v>2861</v>
      </c>
      <c r="B2862" t="n">
        <v>51.3</v>
      </c>
      <c r="C2862" s="21">
        <f>B2862-20</f>
        <v/>
      </c>
      <c r="D2862" t="n">
        <v>107.7</v>
      </c>
      <c r="E2862" s="22">
        <f>D2862-90</f>
        <v/>
      </c>
      <c r="F2862" s="23" t="n">
        <v>0.012645</v>
      </c>
      <c r="G2862" s="22" t="n">
        <v>30.9</v>
      </c>
      <c r="H2862" s="22" t="n">
        <v>1.7</v>
      </c>
      <c r="I2862" s="24" t="n">
        <v>0.07931831479072569</v>
      </c>
      <c r="J2862" s="6" t="n">
        <v>71000</v>
      </c>
      <c r="K2862" s="25">
        <f>23*10^-6</f>
        <v/>
      </c>
      <c r="L2862" s="8">
        <f>H2862</f>
        <v/>
      </c>
      <c r="M2862" s="26">
        <f>H2862^2/6</f>
        <v/>
      </c>
      <c r="N2862" s="26">
        <f>H2862^3/12</f>
        <v/>
      </c>
      <c r="O2862" s="27">
        <f>-J2862*L2862*K2862*C2862</f>
        <v/>
      </c>
      <c r="P2862" s="28">
        <f>-(12*F2862*J2862*L2862*N2862+12*O2862*N2862*G2862*COS(RADIANS(E2862)))/(12*N2862*G2862*COS(RADIANS(E2862))^2+L2862*G2862^3*SIN(RADIANS(E2862))^2)</f>
        <v/>
      </c>
      <c r="Q2862" s="28">
        <f>-(6*F2862*J2862*L2862*N2862*SIN(RADIANS(E2862))+6*O2862*N2862*G2862*SIN(RADIANS(E2862))*COS(RADIANS(E2862)))/(12*N2862*COS(RADIANS(E2862))^2+L2862*G2862^2*SIN(RADIANS(E2862))^2)</f>
        <v/>
      </c>
      <c r="R2862" s="28">
        <f>-P2862*SIN(RADIANS(E2862))</f>
        <v/>
      </c>
      <c r="S2862" s="8">
        <f>(O2862+P2862*COS(RADIANS(E2862)))/L2862</f>
        <v/>
      </c>
      <c r="T2862" s="8">
        <f>R2862/L2862</f>
        <v/>
      </c>
      <c r="U2862" s="8">
        <f>(Q2862-P2862*G2862*SIN(RADIANS(E2862)))/M2862</f>
        <v/>
      </c>
      <c r="V2862" s="8">
        <f>SQRT((S2862+U2862)^2+3*T2862^2)</f>
        <v/>
      </c>
      <c r="W2862" s="8">
        <f>V2862/AA2862</f>
        <v/>
      </c>
      <c r="X2862" s="27">
        <f>((3*10+H2862/COS(RADIANS(E2862)))*(3+3)+3*G2862*H2862)*2</f>
        <v/>
      </c>
      <c r="Y2862" s="28">
        <f>Z2862/X2862</f>
        <v/>
      </c>
      <c r="Z2862" s="29" t="n">
        <v>701.219901260489</v>
      </c>
      <c r="AA2862" s="20" t="n">
        <v>50.3316189915137</v>
      </c>
      <c r="AB2862" t="n">
        <v>0.1094157030865815</v>
      </c>
      <c r="AC2862" t="n">
        <v>50.06682057066649</v>
      </c>
      <c r="AD2862" t="n">
        <v>37.94506776305705</v>
      </c>
    </row>
    <row r="2863">
      <c r="A2863" t="n">
        <v>2862</v>
      </c>
      <c r="B2863" t="n">
        <v>78.09999999999999</v>
      </c>
      <c r="C2863" s="21">
        <f>B2863-20</f>
        <v/>
      </c>
      <c r="D2863" t="n">
        <v>124</v>
      </c>
      <c r="E2863" s="22">
        <f>D2863-90</f>
        <v/>
      </c>
      <c r="F2863" s="23" t="n">
        <v>0.017866</v>
      </c>
      <c r="G2863" s="22" t="n">
        <v>25.3</v>
      </c>
      <c r="H2863" s="22" t="n">
        <v>1.8</v>
      </c>
      <c r="I2863" s="24" t="n">
        <v>0.08160672336816779</v>
      </c>
      <c r="J2863" s="6" t="n">
        <v>71000</v>
      </c>
      <c r="K2863" s="25">
        <f>23*10^-6</f>
        <v/>
      </c>
      <c r="L2863" s="8">
        <f>H2863</f>
        <v/>
      </c>
      <c r="M2863" s="26">
        <f>H2863^2/6</f>
        <v/>
      </c>
      <c r="N2863" s="26">
        <f>H2863^3/12</f>
        <v/>
      </c>
      <c r="O2863" s="27">
        <f>-J2863*L2863*K2863*C2863</f>
        <v/>
      </c>
      <c r="P2863" s="28">
        <f>-(12*F2863*J2863*L2863*N2863+12*O2863*N2863*G2863*COS(RADIANS(E2863)))/(12*N2863*G2863*COS(RADIANS(E2863))^2+L2863*G2863^3*SIN(RADIANS(E2863))^2)</f>
        <v/>
      </c>
      <c r="Q2863" s="28">
        <f>-(6*F2863*J2863*L2863*N2863*SIN(RADIANS(E2863))+6*O2863*N2863*G2863*SIN(RADIANS(E2863))*COS(RADIANS(E2863)))/(12*N2863*COS(RADIANS(E2863))^2+L2863*G2863^2*SIN(RADIANS(E2863))^2)</f>
        <v/>
      </c>
      <c r="R2863" s="28">
        <f>-P2863*SIN(RADIANS(E2863))</f>
        <v/>
      </c>
      <c r="S2863" s="8">
        <f>(O2863+P2863*COS(RADIANS(E2863)))/L2863</f>
        <v/>
      </c>
      <c r="T2863" s="8">
        <f>R2863/L2863</f>
        <v/>
      </c>
      <c r="U2863" s="8">
        <f>(Q2863-P2863*G2863*SIN(RADIANS(E2863)))/M2863</f>
        <v/>
      </c>
      <c r="V2863" s="8">
        <f>SQRT((S2863+U2863)^2+3*T2863^2)</f>
        <v/>
      </c>
      <c r="W2863" s="8">
        <f>V2863/AA2863</f>
        <v/>
      </c>
      <c r="X2863" s="27">
        <f>((3*10+H2863/COS(RADIANS(E2863)))*(3+3)+3*G2863*H2863)*2</f>
        <v/>
      </c>
      <c r="Y2863" s="28">
        <f>Z2863/X2863</f>
        <v/>
      </c>
      <c r="Z2863" s="29" t="n">
        <v>667.677167837419</v>
      </c>
      <c r="AA2863" s="20" t="n">
        <v>92.66590341934391</v>
      </c>
      <c r="AB2863" t="n">
        <v>0.08585796360278575</v>
      </c>
      <c r="AC2863" t="n">
        <v>86.57905780439926</v>
      </c>
      <c r="AD2863" t="n">
        <v>5.209424002282915</v>
      </c>
    </row>
    <row r="2864">
      <c r="A2864" t="n">
        <v>2863</v>
      </c>
      <c r="B2864" t="n">
        <v>67.8</v>
      </c>
      <c r="C2864" s="21">
        <f>B2864-20</f>
        <v/>
      </c>
      <c r="D2864" t="n">
        <v>109.6</v>
      </c>
      <c r="E2864" s="22">
        <f>D2864-90</f>
        <v/>
      </c>
      <c r="F2864" s="23" t="n">
        <v>0.017797</v>
      </c>
      <c r="G2864" s="22" t="n">
        <v>28.3</v>
      </c>
      <c r="H2864" s="22" t="n">
        <v>1.1</v>
      </c>
      <c r="I2864" s="24" t="n">
        <v>0.106152787804603</v>
      </c>
      <c r="J2864" s="6" t="n">
        <v>71000</v>
      </c>
      <c r="K2864" s="25">
        <f>23*10^-6</f>
        <v/>
      </c>
      <c r="L2864" s="8">
        <f>H2864</f>
        <v/>
      </c>
      <c r="M2864" s="26">
        <f>H2864^2/6</f>
        <v/>
      </c>
      <c r="N2864" s="26">
        <f>H2864^3/12</f>
        <v/>
      </c>
      <c r="O2864" s="27">
        <f>-J2864*L2864*K2864*C2864</f>
        <v/>
      </c>
      <c r="P2864" s="28">
        <f>-(12*F2864*J2864*L2864*N2864+12*O2864*N2864*G2864*COS(RADIANS(E2864)))/(12*N2864*G2864*COS(RADIANS(E2864))^2+L2864*G2864^3*SIN(RADIANS(E2864))^2)</f>
        <v/>
      </c>
      <c r="Q2864" s="28">
        <f>-(6*F2864*J2864*L2864*N2864*SIN(RADIANS(E2864))+6*O2864*N2864*G2864*SIN(RADIANS(E2864))*COS(RADIANS(E2864)))/(12*N2864*COS(RADIANS(E2864))^2+L2864*G2864^2*SIN(RADIANS(E2864))^2)</f>
        <v/>
      </c>
      <c r="R2864" s="28">
        <f>-P2864*SIN(RADIANS(E2864))</f>
        <v/>
      </c>
      <c r="S2864" s="8">
        <f>(O2864+P2864*COS(RADIANS(E2864)))/L2864</f>
        <v/>
      </c>
      <c r="T2864" s="8">
        <f>R2864/L2864</f>
        <v/>
      </c>
      <c r="U2864" s="8">
        <f>(Q2864-P2864*G2864*SIN(RADIANS(E2864)))/M2864</f>
        <v/>
      </c>
      <c r="V2864" s="8">
        <f>SQRT((S2864+U2864)^2+3*T2864^2)</f>
        <v/>
      </c>
      <c r="W2864" s="8">
        <f>V2864/AA2864</f>
        <v/>
      </c>
      <c r="X2864" s="27">
        <f>((3*10+H2864/COS(RADIANS(E2864)))*(3+3)+3*G2864*H2864)*2</f>
        <v/>
      </c>
      <c r="Y2864" s="28">
        <f>Z2864/X2864</f>
        <v/>
      </c>
      <c r="Z2864" s="29" t="n">
        <v>565.7016668614179</v>
      </c>
      <c r="AA2864" s="20" t="n">
        <v>68.41899293925771</v>
      </c>
      <c r="AB2864" t="n">
        <v>0.1409747578874186</v>
      </c>
      <c r="AC2864" t="n">
        <v>72.06547695928461</v>
      </c>
      <c r="AD2864" t="n">
        <v>32.80363220126912</v>
      </c>
    </row>
    <row r="2865">
      <c r="A2865" t="n">
        <v>2864</v>
      </c>
      <c r="B2865" t="n">
        <v>44</v>
      </c>
      <c r="C2865" s="21">
        <f>B2865-20</f>
        <v/>
      </c>
      <c r="D2865" t="n">
        <v>124.3</v>
      </c>
      <c r="E2865" s="22">
        <f>D2865-90</f>
        <v/>
      </c>
      <c r="F2865" s="23" t="n">
        <v>0.007021</v>
      </c>
      <c r="G2865" s="22" t="n">
        <v>23.8</v>
      </c>
      <c r="H2865" s="22" t="n">
        <v>1.7</v>
      </c>
      <c r="I2865" s="24" t="n">
        <v>0.032277438789606</v>
      </c>
      <c r="J2865" s="6" t="n">
        <v>71000</v>
      </c>
      <c r="K2865" s="25">
        <f>23*10^-6</f>
        <v/>
      </c>
      <c r="L2865" s="8">
        <f>H2865</f>
        <v/>
      </c>
      <c r="M2865" s="26">
        <f>H2865^2/6</f>
        <v/>
      </c>
      <c r="N2865" s="26">
        <f>H2865^3/12</f>
        <v/>
      </c>
      <c r="O2865" s="27">
        <f>-J2865*L2865*K2865*C2865</f>
        <v/>
      </c>
      <c r="P2865" s="28">
        <f>-(12*F2865*J2865*L2865*N2865+12*O2865*N2865*G2865*COS(RADIANS(E2865)))/(12*N2865*G2865*COS(RADIANS(E2865))^2+L2865*G2865^3*SIN(RADIANS(E2865))^2)</f>
        <v/>
      </c>
      <c r="Q2865" s="28">
        <f>-(6*F2865*J2865*L2865*N2865*SIN(RADIANS(E2865))+6*O2865*N2865*G2865*SIN(RADIANS(E2865))*COS(RADIANS(E2865)))/(12*N2865*COS(RADIANS(E2865))^2+L2865*G2865^2*SIN(RADIANS(E2865))^2)</f>
        <v/>
      </c>
      <c r="R2865" s="28">
        <f>-P2865*SIN(RADIANS(E2865))</f>
        <v/>
      </c>
      <c r="S2865" s="8">
        <f>(O2865+P2865*COS(RADIANS(E2865)))/L2865</f>
        <v/>
      </c>
      <c r="T2865" s="8">
        <f>R2865/L2865</f>
        <v/>
      </c>
      <c r="U2865" s="8">
        <f>(Q2865-P2865*G2865*SIN(RADIANS(E2865)))/M2865</f>
        <v/>
      </c>
      <c r="V2865" s="8">
        <f>SQRT((S2865+U2865)^2+3*T2865^2)</f>
        <v/>
      </c>
      <c r="W2865" s="8">
        <f>V2865/AA2865</f>
        <v/>
      </c>
      <c r="X2865" s="27">
        <f>((3*10+H2865/COS(RADIANS(E2865)))*(3+3)+3*G2865*H2865)*2</f>
        <v/>
      </c>
      <c r="Y2865" s="28">
        <f>Z2865/X2865</f>
        <v/>
      </c>
      <c r="Z2865" s="29" t="n">
        <v>635.940260138704</v>
      </c>
      <c r="AA2865" s="20" t="n">
        <v>37.7454071821033</v>
      </c>
      <c r="AB2865" t="n">
        <v>0.03318903982483546</v>
      </c>
      <c r="AC2865" t="n">
        <v>35.64835797559562</v>
      </c>
      <c r="AD2865" t="n">
        <v>2.824266947484748</v>
      </c>
    </row>
    <row r="2866">
      <c r="A2866" t="n">
        <v>2865</v>
      </c>
      <c r="B2866" t="n">
        <v>77.09999999999999</v>
      </c>
      <c r="C2866" s="21">
        <f>B2866-20</f>
        <v/>
      </c>
      <c r="D2866" t="n">
        <v>122.1</v>
      </c>
      <c r="E2866" s="22">
        <f>D2866-90</f>
        <v/>
      </c>
      <c r="F2866" s="23" t="n">
        <v>0.019732</v>
      </c>
      <c r="G2866" s="22" t="n">
        <v>28.7</v>
      </c>
      <c r="H2866" s="22" t="n">
        <v>1.7</v>
      </c>
      <c r="I2866" s="24" t="n">
        <v>0.0901532173156738</v>
      </c>
      <c r="J2866" s="6" t="n">
        <v>71000</v>
      </c>
      <c r="K2866" s="25">
        <f>23*10^-6</f>
        <v/>
      </c>
      <c r="L2866" s="8">
        <f>H2866</f>
        <v/>
      </c>
      <c r="M2866" s="26">
        <f>H2866^2/6</f>
        <v/>
      </c>
      <c r="N2866" s="26">
        <f>H2866^3/12</f>
        <v/>
      </c>
      <c r="O2866" s="27">
        <f>-J2866*L2866*K2866*C2866</f>
        <v/>
      </c>
      <c r="P2866" s="28">
        <f>-(12*F2866*J2866*L2866*N2866+12*O2866*N2866*G2866*COS(RADIANS(E2866)))/(12*N2866*G2866*COS(RADIANS(E2866))^2+L2866*G2866^3*SIN(RADIANS(E2866))^2)</f>
        <v/>
      </c>
      <c r="Q2866" s="28">
        <f>-(6*F2866*J2866*L2866*N2866*SIN(RADIANS(E2866))+6*O2866*N2866*G2866*SIN(RADIANS(E2866))*COS(RADIANS(E2866)))/(12*N2866*COS(RADIANS(E2866))^2+L2866*G2866^2*SIN(RADIANS(E2866))^2)</f>
        <v/>
      </c>
      <c r="R2866" s="28">
        <f>-P2866*SIN(RADIANS(E2866))</f>
        <v/>
      </c>
      <c r="S2866" s="8">
        <f>(O2866+P2866*COS(RADIANS(E2866)))/L2866</f>
        <v/>
      </c>
      <c r="T2866" s="8">
        <f>R2866/L2866</f>
        <v/>
      </c>
      <c r="U2866" s="8">
        <f>(Q2866-P2866*G2866*SIN(RADIANS(E2866)))/M2866</f>
        <v/>
      </c>
      <c r="V2866" s="8">
        <f>SQRT((S2866+U2866)^2+3*T2866^2)</f>
        <v/>
      </c>
      <c r="W2866" s="8">
        <f>V2866/AA2866</f>
        <v/>
      </c>
      <c r="X2866" s="27">
        <f>((3*10+H2866/COS(RADIANS(E2866)))*(3+3)+3*G2866*H2866)*2</f>
        <v/>
      </c>
      <c r="Y2866" s="28">
        <f>Z2866/X2866</f>
        <v/>
      </c>
      <c r="Z2866" s="29" t="n">
        <v>684.586391798349</v>
      </c>
      <c r="AA2866" s="20" t="n">
        <v>88.24862786765181</v>
      </c>
      <c r="AB2866" t="n">
        <v>0.1013698473750915</v>
      </c>
      <c r="AC2866" t="n">
        <v>84.66002341350166</v>
      </c>
      <c r="AD2866" t="n">
        <v>12.4417412859958</v>
      </c>
    </row>
    <row r="2867">
      <c r="A2867" t="n">
        <v>2866</v>
      </c>
      <c r="B2867" t="n">
        <v>83.5</v>
      </c>
      <c r="C2867" s="21">
        <f>B2867-20</f>
        <v/>
      </c>
      <c r="D2867" t="n">
        <v>126.1</v>
      </c>
      <c r="E2867" s="22">
        <f>D2867-90</f>
        <v/>
      </c>
      <c r="F2867" s="23" t="n">
        <v>0.022183</v>
      </c>
      <c r="G2867" s="22" t="n">
        <v>30.5</v>
      </c>
      <c r="H2867" s="22" t="n">
        <v>1.5</v>
      </c>
      <c r="I2867" s="24" t="n">
        <v>0.0968401059508323</v>
      </c>
      <c r="J2867" s="6" t="n">
        <v>71000</v>
      </c>
      <c r="K2867" s="25">
        <f>23*10^-6</f>
        <v/>
      </c>
      <c r="L2867" s="8">
        <f>H2867</f>
        <v/>
      </c>
      <c r="M2867" s="26">
        <f>H2867^2/6</f>
        <v/>
      </c>
      <c r="N2867" s="26">
        <f>H2867^3/12</f>
        <v/>
      </c>
      <c r="O2867" s="27">
        <f>-J2867*L2867*K2867*C2867</f>
        <v/>
      </c>
      <c r="P2867" s="28">
        <f>-(12*F2867*J2867*L2867*N2867+12*O2867*N2867*G2867*COS(RADIANS(E2867)))/(12*N2867*G2867*COS(RADIANS(E2867))^2+L2867*G2867^3*SIN(RADIANS(E2867))^2)</f>
        <v/>
      </c>
      <c r="Q2867" s="28">
        <f>-(6*F2867*J2867*L2867*N2867*SIN(RADIANS(E2867))+6*O2867*N2867*G2867*SIN(RADIANS(E2867))*COS(RADIANS(E2867)))/(12*N2867*COS(RADIANS(E2867))^2+L2867*G2867^2*SIN(RADIANS(E2867))^2)</f>
        <v/>
      </c>
      <c r="R2867" s="28">
        <f>-P2867*SIN(RADIANS(E2867))</f>
        <v/>
      </c>
      <c r="S2867" s="8">
        <f>(O2867+P2867*COS(RADIANS(E2867)))/L2867</f>
        <v/>
      </c>
      <c r="T2867" s="8">
        <f>R2867/L2867</f>
        <v/>
      </c>
      <c r="U2867" s="8">
        <f>(Q2867-P2867*G2867*SIN(RADIANS(E2867)))/M2867</f>
        <v/>
      </c>
      <c r="V2867" s="8">
        <f>SQRT((S2867+U2867)^2+3*T2867^2)</f>
        <v/>
      </c>
      <c r="W2867" s="8">
        <f>V2867/AA2867</f>
        <v/>
      </c>
      <c r="X2867" s="27">
        <f>((3*10+H2867/COS(RADIANS(E2867)))*(3+3)+3*G2867*H2867)*2</f>
        <v/>
      </c>
      <c r="Y2867" s="28">
        <f>Z2867/X2867</f>
        <v/>
      </c>
      <c r="Z2867" s="29" t="n">
        <v>665.914478201937</v>
      </c>
      <c r="AA2867" s="20" t="n">
        <v>91.7493340389413</v>
      </c>
      <c r="AB2867" t="n">
        <v>0.105470528327987</v>
      </c>
      <c r="AC2867" t="n">
        <v>91.73095536215078</v>
      </c>
      <c r="AD2867" t="n">
        <v>8.91203318337603</v>
      </c>
    </row>
    <row r="2868">
      <c r="A2868" t="n">
        <v>2867</v>
      </c>
      <c r="B2868" t="n">
        <v>72.59999999999999</v>
      </c>
      <c r="C2868" s="21">
        <f>B2868-20</f>
        <v/>
      </c>
      <c r="D2868" t="n">
        <v>101.7</v>
      </c>
      <c r="E2868" s="22">
        <f>D2868-90</f>
        <v/>
      </c>
      <c r="F2868" s="23" t="n">
        <v>0.023092</v>
      </c>
      <c r="G2868" s="22" t="n">
        <v>33.2</v>
      </c>
      <c r="H2868" s="22" t="n">
        <v>1.6</v>
      </c>
      <c r="I2868" s="24" t="n">
        <v>0.194697752594947</v>
      </c>
      <c r="J2868" s="6" t="n">
        <v>71000</v>
      </c>
      <c r="K2868" s="25">
        <f>23*10^-6</f>
        <v/>
      </c>
      <c r="L2868" s="8">
        <f>H2868</f>
        <v/>
      </c>
      <c r="M2868" s="26">
        <f>H2868^2/6</f>
        <v/>
      </c>
      <c r="N2868" s="26">
        <f>H2868^3/12</f>
        <v/>
      </c>
      <c r="O2868" s="27">
        <f>-J2868*L2868*K2868*C2868</f>
        <v/>
      </c>
      <c r="P2868" s="28">
        <f>-(12*F2868*J2868*L2868*N2868+12*O2868*N2868*G2868*COS(RADIANS(E2868)))/(12*N2868*G2868*COS(RADIANS(E2868))^2+L2868*G2868^3*SIN(RADIANS(E2868))^2)</f>
        <v/>
      </c>
      <c r="Q2868" s="28">
        <f>-(6*F2868*J2868*L2868*N2868*SIN(RADIANS(E2868))+6*O2868*N2868*G2868*SIN(RADIANS(E2868))*COS(RADIANS(E2868)))/(12*N2868*COS(RADIANS(E2868))^2+L2868*G2868^2*SIN(RADIANS(E2868))^2)</f>
        <v/>
      </c>
      <c r="R2868" s="28">
        <f>-P2868*SIN(RADIANS(E2868))</f>
        <v/>
      </c>
      <c r="S2868" s="8">
        <f>(O2868+P2868*COS(RADIANS(E2868)))/L2868</f>
        <v/>
      </c>
      <c r="T2868" s="8">
        <f>R2868/L2868</f>
        <v/>
      </c>
      <c r="U2868" s="8">
        <f>(Q2868-P2868*G2868*SIN(RADIANS(E2868)))/M2868</f>
        <v/>
      </c>
      <c r="V2868" s="8">
        <f>SQRT((S2868+U2868)^2+3*T2868^2)</f>
        <v/>
      </c>
      <c r="W2868" s="8">
        <f>V2868/AA2868</f>
        <v/>
      </c>
      <c r="X2868" s="27">
        <f>((3*10+H2868/COS(RADIANS(E2868)))*(3+3)+3*G2868*H2868)*2</f>
        <v/>
      </c>
      <c r="Y2868" s="28">
        <f>Z2868/X2868</f>
        <v/>
      </c>
      <c r="Z2868" s="29" t="n">
        <v>702.270248740708</v>
      </c>
      <c r="AA2868" s="20" t="n">
        <v>86.27143421373989</v>
      </c>
      <c r="AB2868" t="n">
        <v>0.2934250659023612</v>
      </c>
      <c r="AC2868" t="n">
        <v>88.46895927678557</v>
      </c>
      <c r="AD2868" t="n">
        <v>50.70798814653418</v>
      </c>
    </row>
    <row r="2869">
      <c r="A2869" t="n">
        <v>2868</v>
      </c>
      <c r="B2869" t="n">
        <v>59.8</v>
      </c>
      <c r="C2869" s="21">
        <f>B2869-20</f>
        <v/>
      </c>
      <c r="D2869" t="n">
        <v>113.3</v>
      </c>
      <c r="E2869" s="22">
        <f>D2869-90</f>
        <v/>
      </c>
      <c r="F2869" s="23" t="n">
        <v>0.015099</v>
      </c>
      <c r="G2869" s="22" t="n">
        <v>29.7</v>
      </c>
      <c r="H2869" s="22" t="n">
        <v>2</v>
      </c>
      <c r="I2869" s="24" t="n">
        <v>0.0798340812325477</v>
      </c>
      <c r="J2869" s="6" t="n">
        <v>71000</v>
      </c>
      <c r="K2869" s="25">
        <f>23*10^-6</f>
        <v/>
      </c>
      <c r="L2869" s="8">
        <f>H2869</f>
        <v/>
      </c>
      <c r="M2869" s="26">
        <f>H2869^2/6</f>
        <v/>
      </c>
      <c r="N2869" s="26">
        <f>H2869^3/12</f>
        <v/>
      </c>
      <c r="O2869" s="27">
        <f>-J2869*L2869*K2869*C2869</f>
        <v/>
      </c>
      <c r="P2869" s="28">
        <f>-(12*F2869*J2869*L2869*N2869+12*O2869*N2869*G2869*COS(RADIANS(E2869)))/(12*N2869*G2869*COS(RADIANS(E2869))^2+L2869*G2869^3*SIN(RADIANS(E2869))^2)</f>
        <v/>
      </c>
      <c r="Q2869" s="28">
        <f>-(6*F2869*J2869*L2869*N2869*SIN(RADIANS(E2869))+6*O2869*N2869*G2869*SIN(RADIANS(E2869))*COS(RADIANS(E2869)))/(12*N2869*COS(RADIANS(E2869))^2+L2869*G2869^2*SIN(RADIANS(E2869))^2)</f>
        <v/>
      </c>
      <c r="R2869" s="28">
        <f>-P2869*SIN(RADIANS(E2869))</f>
        <v/>
      </c>
      <c r="S2869" s="8">
        <f>(O2869+P2869*COS(RADIANS(E2869)))/L2869</f>
        <v/>
      </c>
      <c r="T2869" s="8">
        <f>R2869/L2869</f>
        <v/>
      </c>
      <c r="U2869" s="8">
        <f>(Q2869-P2869*G2869*SIN(RADIANS(E2869)))/M2869</f>
        <v/>
      </c>
      <c r="V2869" s="8">
        <f>SQRT((S2869+U2869)^2+3*T2869^2)</f>
        <v/>
      </c>
      <c r="W2869" s="8">
        <f>V2869/AA2869</f>
        <v/>
      </c>
      <c r="X2869" s="27">
        <f>((3*10+H2869/COS(RADIANS(E2869)))*(3+3)+3*G2869*H2869)*2</f>
        <v/>
      </c>
      <c r="Y2869" s="28">
        <f>Z2869/X2869</f>
        <v/>
      </c>
      <c r="Z2869" s="29" t="n">
        <v>748.095798386522</v>
      </c>
      <c r="AA2869" s="20" t="n">
        <v>66.8757019461584</v>
      </c>
      <c r="AB2869" t="n">
        <v>0.1011607130018029</v>
      </c>
      <c r="AC2869" t="n">
        <v>62.62940033081496</v>
      </c>
      <c r="AD2869" t="n">
        <v>26.71369350031487</v>
      </c>
    </row>
    <row r="2870">
      <c r="A2870" t="n">
        <v>2869</v>
      </c>
      <c r="B2870" t="n">
        <v>80.09999999999999</v>
      </c>
      <c r="C2870" s="21">
        <f>B2870-20</f>
        <v/>
      </c>
      <c r="D2870" t="n">
        <v>100.6</v>
      </c>
      <c r="E2870" s="22">
        <f>D2870-90</f>
        <v/>
      </c>
      <c r="F2870" s="23" t="n">
        <v>0.020341</v>
      </c>
      <c r="G2870" s="22" t="n">
        <v>24.1</v>
      </c>
      <c r="H2870" s="22" t="n">
        <v>1.4</v>
      </c>
      <c r="I2870" s="24" t="n">
        <v>0.185874700546264</v>
      </c>
      <c r="J2870" s="6" t="n">
        <v>71000</v>
      </c>
      <c r="K2870" s="25">
        <f>23*10^-6</f>
        <v/>
      </c>
      <c r="L2870" s="8">
        <f>H2870</f>
        <v/>
      </c>
      <c r="M2870" s="26">
        <f>H2870^2/6</f>
        <v/>
      </c>
      <c r="N2870" s="26">
        <f>H2870^3/12</f>
        <v/>
      </c>
      <c r="O2870" s="27">
        <f>-J2870*L2870*K2870*C2870</f>
        <v/>
      </c>
      <c r="P2870" s="28">
        <f>-(12*F2870*J2870*L2870*N2870+12*O2870*N2870*G2870*COS(RADIANS(E2870)))/(12*N2870*G2870*COS(RADIANS(E2870))^2+L2870*G2870^3*SIN(RADIANS(E2870))^2)</f>
        <v/>
      </c>
      <c r="Q2870" s="28">
        <f>-(6*F2870*J2870*L2870*N2870*SIN(RADIANS(E2870))+6*O2870*N2870*G2870*SIN(RADIANS(E2870))*COS(RADIANS(E2870)))/(12*N2870*COS(RADIANS(E2870))^2+L2870*G2870^2*SIN(RADIANS(E2870))^2)</f>
        <v/>
      </c>
      <c r="R2870" s="28">
        <f>-P2870*SIN(RADIANS(E2870))</f>
        <v/>
      </c>
      <c r="S2870" s="8">
        <f>(O2870+P2870*COS(RADIANS(E2870)))/L2870</f>
        <v/>
      </c>
      <c r="T2870" s="8">
        <f>R2870/L2870</f>
        <v/>
      </c>
      <c r="U2870" s="8">
        <f>(Q2870-P2870*G2870*SIN(RADIANS(E2870)))/M2870</f>
        <v/>
      </c>
      <c r="V2870" s="8">
        <f>SQRT((S2870+U2870)^2+3*T2870^2)</f>
        <v/>
      </c>
      <c r="W2870" s="8">
        <f>V2870/AA2870</f>
        <v/>
      </c>
      <c r="X2870" s="27">
        <f>((3*10+H2870/COS(RADIANS(E2870)))*(3+3)+3*G2870*H2870)*2</f>
        <v/>
      </c>
      <c r="Y2870" s="28">
        <f>Z2870/X2870</f>
        <v/>
      </c>
      <c r="Z2870" s="29" t="n">
        <v>583.381954460429</v>
      </c>
      <c r="AA2870" s="20" t="n">
        <v>102.219350782541</v>
      </c>
      <c r="AB2870" t="n">
        <v>0.2639872198031897</v>
      </c>
      <c r="AC2870" t="n">
        <v>104.010190793174</v>
      </c>
      <c r="AD2870" t="n">
        <v>42.02428788176238</v>
      </c>
    </row>
    <row r="2871">
      <c r="A2871" t="n">
        <v>2870</v>
      </c>
      <c r="B2871" t="n">
        <v>63.5</v>
      </c>
      <c r="C2871" s="21">
        <f>B2871-20</f>
        <v/>
      </c>
      <c r="D2871" t="n">
        <v>104.6</v>
      </c>
      <c r="E2871" s="22">
        <f>D2871-90</f>
        <v/>
      </c>
      <c r="F2871" s="23" t="n">
        <v>0.014637</v>
      </c>
      <c r="G2871" s="22" t="n">
        <v>24.3</v>
      </c>
      <c r="H2871" s="22" t="n">
        <v>1.4</v>
      </c>
      <c r="I2871" s="24" t="n">
        <v>0.10757927596569</v>
      </c>
      <c r="J2871" s="6" t="n">
        <v>71000</v>
      </c>
      <c r="K2871" s="25">
        <f>23*10^-6</f>
        <v/>
      </c>
      <c r="L2871" s="8">
        <f>H2871</f>
        <v/>
      </c>
      <c r="M2871" s="26">
        <f>H2871^2/6</f>
        <v/>
      </c>
      <c r="N2871" s="26">
        <f>H2871^3/12</f>
        <v/>
      </c>
      <c r="O2871" s="27">
        <f>-J2871*L2871*K2871*C2871</f>
        <v/>
      </c>
      <c r="P2871" s="28">
        <f>-(12*F2871*J2871*L2871*N2871+12*O2871*N2871*G2871*COS(RADIANS(E2871)))/(12*N2871*G2871*COS(RADIANS(E2871))^2+L2871*G2871^3*SIN(RADIANS(E2871))^2)</f>
        <v/>
      </c>
      <c r="Q2871" s="28">
        <f>-(6*F2871*J2871*L2871*N2871*SIN(RADIANS(E2871))+6*O2871*N2871*G2871*SIN(RADIANS(E2871))*COS(RADIANS(E2871)))/(12*N2871*COS(RADIANS(E2871))^2+L2871*G2871^2*SIN(RADIANS(E2871))^2)</f>
        <v/>
      </c>
      <c r="R2871" s="28">
        <f>-P2871*SIN(RADIANS(E2871))</f>
        <v/>
      </c>
      <c r="S2871" s="8">
        <f>(O2871+P2871*COS(RADIANS(E2871)))/L2871</f>
        <v/>
      </c>
      <c r="T2871" s="8">
        <f>R2871/L2871</f>
        <v/>
      </c>
      <c r="U2871" s="8">
        <f>(Q2871-P2871*G2871*SIN(RADIANS(E2871)))/M2871</f>
        <v/>
      </c>
      <c r="V2871" s="8">
        <f>SQRT((S2871+U2871)^2+3*T2871^2)</f>
        <v/>
      </c>
      <c r="W2871" s="8">
        <f>V2871/AA2871</f>
        <v/>
      </c>
      <c r="X2871" s="27">
        <f>((3*10+H2871/COS(RADIANS(E2871)))*(3+3)+3*G2871*H2871)*2</f>
        <v/>
      </c>
      <c r="Y2871" s="28">
        <f>Z2871/X2871</f>
        <v/>
      </c>
      <c r="Z2871" s="29" t="n">
        <v>585.7150568522</v>
      </c>
      <c r="AA2871" s="20" t="n">
        <v>68.72192692724499</v>
      </c>
      <c r="AB2871" t="n">
        <v>0.1453443496878586</v>
      </c>
      <c r="AC2871" t="n">
        <v>71.36396239980355</v>
      </c>
      <c r="AD2871" t="n">
        <v>35.10441335765537</v>
      </c>
    </row>
    <row r="2872">
      <c r="A2872" t="n">
        <v>2871</v>
      </c>
      <c r="B2872" t="n">
        <v>87</v>
      </c>
      <c r="C2872" s="21">
        <f>B2872-20</f>
        <v/>
      </c>
      <c r="D2872" t="n">
        <v>113.3</v>
      </c>
      <c r="E2872" s="22">
        <f>D2872-90</f>
        <v/>
      </c>
      <c r="F2872" s="23" t="n">
        <v>0.028434</v>
      </c>
      <c r="G2872" s="22" t="n">
        <v>34</v>
      </c>
      <c r="H2872" s="22" t="n">
        <v>2</v>
      </c>
      <c r="I2872" s="24" t="n">
        <v>0.148002654314041</v>
      </c>
      <c r="J2872" s="6" t="n">
        <v>71000</v>
      </c>
      <c r="K2872" s="25">
        <f>23*10^-6</f>
        <v/>
      </c>
      <c r="L2872" s="8">
        <f>H2872</f>
        <v/>
      </c>
      <c r="M2872" s="26">
        <f>H2872^2/6</f>
        <v/>
      </c>
      <c r="N2872" s="26">
        <f>H2872^3/12</f>
        <v/>
      </c>
      <c r="O2872" s="27">
        <f>-J2872*L2872*K2872*C2872</f>
        <v/>
      </c>
      <c r="P2872" s="28">
        <f>-(12*F2872*J2872*L2872*N2872+12*O2872*N2872*G2872*COS(RADIANS(E2872)))/(12*N2872*G2872*COS(RADIANS(E2872))^2+L2872*G2872^3*SIN(RADIANS(E2872))^2)</f>
        <v/>
      </c>
      <c r="Q2872" s="28">
        <f>-(6*F2872*J2872*L2872*N2872*SIN(RADIANS(E2872))+6*O2872*N2872*G2872*SIN(RADIANS(E2872))*COS(RADIANS(E2872)))/(12*N2872*COS(RADIANS(E2872))^2+L2872*G2872^2*SIN(RADIANS(E2872))^2)</f>
        <v/>
      </c>
      <c r="R2872" s="28">
        <f>-P2872*SIN(RADIANS(E2872))</f>
        <v/>
      </c>
      <c r="S2872" s="8">
        <f>(O2872+P2872*COS(RADIANS(E2872)))/L2872</f>
        <v/>
      </c>
      <c r="T2872" s="8">
        <f>R2872/L2872</f>
        <v/>
      </c>
      <c r="U2872" s="8">
        <f>(Q2872-P2872*G2872*SIN(RADIANS(E2872)))/M2872</f>
        <v/>
      </c>
      <c r="V2872" s="8">
        <f>SQRT((S2872+U2872)^2+3*T2872^2)</f>
        <v/>
      </c>
      <c r="W2872" s="8">
        <f>V2872/AA2872</f>
        <v/>
      </c>
      <c r="X2872" s="27">
        <f>((3*10+H2872/COS(RADIANS(E2872)))*(3+3)+3*G2872*H2872)*2</f>
        <v/>
      </c>
      <c r="Y2872" s="28">
        <f>Z2872/X2872</f>
        <v/>
      </c>
      <c r="Z2872" s="29" t="n">
        <v>799.6957983865231</v>
      </c>
      <c r="AA2872" s="20" t="n">
        <v>109.70779559753</v>
      </c>
      <c r="AB2872" t="n">
        <v>0.1946240442780344</v>
      </c>
      <c r="AC2872" t="n">
        <v>104.125380496984</v>
      </c>
      <c r="AD2872" t="n">
        <v>31.50037421968751</v>
      </c>
    </row>
    <row r="2873">
      <c r="A2873" t="n">
        <v>2872</v>
      </c>
      <c r="B2873" t="n">
        <v>56.1</v>
      </c>
      <c r="C2873" s="21">
        <f>B2873-20</f>
        <v/>
      </c>
      <c r="D2873" t="n">
        <v>120.1</v>
      </c>
      <c r="E2873" s="22">
        <f>D2873-90</f>
        <v/>
      </c>
      <c r="F2873" s="23" t="n">
        <v>0.011833</v>
      </c>
      <c r="G2873" s="22" t="n">
        <v>26.3</v>
      </c>
      <c r="H2873" s="22" t="n">
        <v>1.6</v>
      </c>
      <c r="I2873" s="24" t="n">
        <v>0.056145817041397</v>
      </c>
      <c r="J2873" s="6" t="n">
        <v>71000</v>
      </c>
      <c r="K2873" s="25">
        <f>23*10^-6</f>
        <v/>
      </c>
      <c r="L2873" s="8">
        <f>H2873</f>
        <v/>
      </c>
      <c r="M2873" s="26">
        <f>H2873^2/6</f>
        <v/>
      </c>
      <c r="N2873" s="26">
        <f>H2873^3/12</f>
        <v/>
      </c>
      <c r="O2873" s="27">
        <f>-J2873*L2873*K2873*C2873</f>
        <v/>
      </c>
      <c r="P2873" s="28">
        <f>-(12*F2873*J2873*L2873*N2873+12*O2873*N2873*G2873*COS(RADIANS(E2873)))/(12*N2873*G2873*COS(RADIANS(E2873))^2+L2873*G2873^3*SIN(RADIANS(E2873))^2)</f>
        <v/>
      </c>
      <c r="Q2873" s="28">
        <f>-(6*F2873*J2873*L2873*N2873*SIN(RADIANS(E2873))+6*O2873*N2873*G2873*SIN(RADIANS(E2873))*COS(RADIANS(E2873)))/(12*N2873*COS(RADIANS(E2873))^2+L2873*G2873^2*SIN(RADIANS(E2873))^2)</f>
        <v/>
      </c>
      <c r="R2873" s="28">
        <f>-P2873*SIN(RADIANS(E2873))</f>
        <v/>
      </c>
      <c r="S2873" s="8">
        <f>(O2873+P2873*COS(RADIANS(E2873)))/L2873</f>
        <v/>
      </c>
      <c r="T2873" s="8">
        <f>R2873/L2873</f>
        <v/>
      </c>
      <c r="U2873" s="8">
        <f>(Q2873-P2873*G2873*SIN(RADIANS(E2873)))/M2873</f>
        <v/>
      </c>
      <c r="V2873" s="8">
        <f>SQRT((S2873+U2873)^2+3*T2873^2)</f>
        <v/>
      </c>
      <c r="W2873" s="8">
        <f>V2873/AA2873</f>
        <v/>
      </c>
      <c r="X2873" s="27">
        <f>((3*10+H2873/COS(RADIANS(E2873)))*(3+3)+3*G2873*H2873)*2</f>
        <v/>
      </c>
      <c r="Y2873" s="28">
        <f>Z2873/X2873</f>
        <v/>
      </c>
      <c r="Z2873" s="29" t="n">
        <v>641.847084932131</v>
      </c>
      <c r="AA2873" s="20" t="n">
        <v>55.5990903280846</v>
      </c>
      <c r="AB2873" t="n">
        <v>0.06318410088039024</v>
      </c>
      <c r="AC2873" t="n">
        <v>53.93152545082867</v>
      </c>
      <c r="AD2873" t="n">
        <v>12.5357225344211</v>
      </c>
    </row>
    <row r="2874">
      <c r="A2874" t="n">
        <v>2873</v>
      </c>
      <c r="B2874" t="n">
        <v>65.3</v>
      </c>
      <c r="C2874" s="21">
        <f>B2874-20</f>
        <v/>
      </c>
      <c r="D2874" t="n">
        <v>115.7</v>
      </c>
      <c r="E2874" s="22">
        <f>D2874-90</f>
        <v/>
      </c>
      <c r="F2874" s="23" t="n">
        <v>0.013755</v>
      </c>
      <c r="G2874" s="22" t="n">
        <v>22.9</v>
      </c>
      <c r="H2874" s="22" t="n">
        <v>1.1</v>
      </c>
      <c r="I2874" s="24" t="n">
        <v>0.0718447417020797</v>
      </c>
      <c r="J2874" s="6" t="n">
        <v>71000</v>
      </c>
      <c r="K2874" s="25">
        <f>23*10^-6</f>
        <v/>
      </c>
      <c r="L2874" s="8">
        <f>H2874</f>
        <v/>
      </c>
      <c r="M2874" s="26">
        <f>H2874^2/6</f>
        <v/>
      </c>
      <c r="N2874" s="26">
        <f>H2874^3/12</f>
        <v/>
      </c>
      <c r="O2874" s="27">
        <f>-J2874*L2874*K2874*C2874</f>
        <v/>
      </c>
      <c r="P2874" s="28">
        <f>-(12*F2874*J2874*L2874*N2874+12*O2874*N2874*G2874*COS(RADIANS(E2874)))/(12*N2874*G2874*COS(RADIANS(E2874))^2+L2874*G2874^3*SIN(RADIANS(E2874))^2)</f>
        <v/>
      </c>
      <c r="Q2874" s="28">
        <f>-(6*F2874*J2874*L2874*N2874*SIN(RADIANS(E2874))+6*O2874*N2874*G2874*SIN(RADIANS(E2874))*COS(RADIANS(E2874)))/(12*N2874*COS(RADIANS(E2874))^2+L2874*G2874^2*SIN(RADIANS(E2874))^2)</f>
        <v/>
      </c>
      <c r="R2874" s="28">
        <f>-P2874*SIN(RADIANS(E2874))</f>
        <v/>
      </c>
      <c r="S2874" s="8">
        <f>(O2874+P2874*COS(RADIANS(E2874)))/L2874</f>
        <v/>
      </c>
      <c r="T2874" s="8">
        <f>R2874/L2874</f>
        <v/>
      </c>
      <c r="U2874" s="8">
        <f>(Q2874-P2874*G2874*SIN(RADIANS(E2874)))/M2874</f>
        <v/>
      </c>
      <c r="V2874" s="8">
        <f>SQRT((S2874+U2874)^2+3*T2874^2)</f>
        <v/>
      </c>
      <c r="W2874" s="8">
        <f>V2874/AA2874</f>
        <v/>
      </c>
      <c r="X2874" s="27">
        <f>((3*10+H2874/COS(RADIANS(E2874)))*(3+3)+3*G2874*H2874)*2</f>
        <v/>
      </c>
      <c r="Y2874" s="28">
        <f>Z2874/X2874</f>
        <v/>
      </c>
      <c r="Z2874" s="29" t="n">
        <v>531.857558638901</v>
      </c>
      <c r="AA2874" s="20" t="n">
        <v>64.5145061784379</v>
      </c>
      <c r="AB2874" t="n">
        <v>0.08270926339949621</v>
      </c>
      <c r="AC2874" t="n">
        <v>67.12535386833703</v>
      </c>
      <c r="AD2874" t="n">
        <v>15.12222250372709</v>
      </c>
    </row>
    <row r="2875">
      <c r="A2875" t="n">
        <v>2874</v>
      </c>
      <c r="B2875" t="n">
        <v>84.09999999999999</v>
      </c>
      <c r="C2875" s="21">
        <f>B2875-20</f>
        <v/>
      </c>
      <c r="D2875" t="n">
        <v>107.5</v>
      </c>
      <c r="E2875" s="22">
        <f>D2875-90</f>
        <v/>
      </c>
      <c r="F2875" s="23" t="n">
        <v>0.020762</v>
      </c>
      <c r="G2875" s="22" t="n">
        <v>23.5</v>
      </c>
      <c r="H2875" s="22" t="n">
        <v>1.5</v>
      </c>
      <c r="I2875" s="24" t="n">
        <v>0.135098382830619</v>
      </c>
      <c r="J2875" s="6" t="n">
        <v>71000</v>
      </c>
      <c r="K2875" s="25">
        <f>23*10^-6</f>
        <v/>
      </c>
      <c r="L2875" s="8">
        <f>H2875</f>
        <v/>
      </c>
      <c r="M2875" s="26">
        <f>H2875^2/6</f>
        <v/>
      </c>
      <c r="N2875" s="26">
        <f>H2875^3/12</f>
        <v/>
      </c>
      <c r="O2875" s="27">
        <f>-J2875*L2875*K2875*C2875</f>
        <v/>
      </c>
      <c r="P2875" s="28">
        <f>-(12*F2875*J2875*L2875*N2875+12*O2875*N2875*G2875*COS(RADIANS(E2875)))/(12*N2875*G2875*COS(RADIANS(E2875))^2+L2875*G2875^3*SIN(RADIANS(E2875))^2)</f>
        <v/>
      </c>
      <c r="Q2875" s="28">
        <f>-(6*F2875*J2875*L2875*N2875*SIN(RADIANS(E2875))+6*O2875*N2875*G2875*SIN(RADIANS(E2875))*COS(RADIANS(E2875)))/(12*N2875*COS(RADIANS(E2875))^2+L2875*G2875^2*SIN(RADIANS(E2875))^2)</f>
        <v/>
      </c>
      <c r="R2875" s="28">
        <f>-P2875*SIN(RADIANS(E2875))</f>
        <v/>
      </c>
      <c r="S2875" s="8">
        <f>(O2875+P2875*COS(RADIANS(E2875)))/L2875</f>
        <v/>
      </c>
      <c r="T2875" s="8">
        <f>R2875/L2875</f>
        <v/>
      </c>
      <c r="U2875" s="8">
        <f>(Q2875-P2875*G2875*SIN(RADIANS(E2875)))/M2875</f>
        <v/>
      </c>
      <c r="V2875" s="8">
        <f>SQRT((S2875+U2875)^2+3*T2875^2)</f>
        <v/>
      </c>
      <c r="W2875" s="8">
        <f>V2875/AA2875</f>
        <v/>
      </c>
      <c r="X2875" s="27">
        <f>((3*10+H2875/COS(RADIANS(E2875)))*(3+3)+3*G2875*H2875)*2</f>
        <v/>
      </c>
      <c r="Y2875" s="28">
        <f>Z2875/X2875</f>
        <v/>
      </c>
      <c r="Z2875" s="29" t="n">
        <v>594.971852641553</v>
      </c>
      <c r="AA2875" s="20" t="n">
        <v>102.457968934776</v>
      </c>
      <c r="AB2875" t="n">
        <v>0.1736784243880544</v>
      </c>
      <c r="AC2875" t="n">
        <v>103.5044503075489</v>
      </c>
      <c r="AD2875" t="n">
        <v>28.55699731491645</v>
      </c>
    </row>
    <row r="2876">
      <c r="A2876" t="n">
        <v>2875</v>
      </c>
      <c r="B2876" t="n">
        <v>81.40000000000001</v>
      </c>
      <c r="C2876" s="21">
        <f>B2876-20</f>
        <v/>
      </c>
      <c r="D2876" t="n">
        <v>106.6</v>
      </c>
      <c r="E2876" s="22">
        <f>D2876-90</f>
        <v/>
      </c>
      <c r="F2876" s="23" t="n">
        <v>0.022915</v>
      </c>
      <c r="G2876" s="22" t="n">
        <v>27.9</v>
      </c>
      <c r="H2876" s="22" t="n">
        <v>1.2</v>
      </c>
      <c r="I2876" s="24" t="n">
        <v>0.153259426355361</v>
      </c>
      <c r="J2876" s="6" t="n">
        <v>71000</v>
      </c>
      <c r="K2876" s="25">
        <f>23*10^-6</f>
        <v/>
      </c>
      <c r="L2876" s="8">
        <f>H2876</f>
        <v/>
      </c>
      <c r="M2876" s="26">
        <f>H2876^2/6</f>
        <v/>
      </c>
      <c r="N2876" s="26">
        <f>H2876^3/12</f>
        <v/>
      </c>
      <c r="O2876" s="27">
        <f>-J2876*L2876*K2876*C2876</f>
        <v/>
      </c>
      <c r="P2876" s="28">
        <f>-(12*F2876*J2876*L2876*N2876+12*O2876*N2876*G2876*COS(RADIANS(E2876)))/(12*N2876*G2876*COS(RADIANS(E2876))^2+L2876*G2876^3*SIN(RADIANS(E2876))^2)</f>
        <v/>
      </c>
      <c r="Q2876" s="28">
        <f>-(6*F2876*J2876*L2876*N2876*SIN(RADIANS(E2876))+6*O2876*N2876*G2876*SIN(RADIANS(E2876))*COS(RADIANS(E2876)))/(12*N2876*COS(RADIANS(E2876))^2+L2876*G2876^2*SIN(RADIANS(E2876))^2)</f>
        <v/>
      </c>
      <c r="R2876" s="28">
        <f>-P2876*SIN(RADIANS(E2876))</f>
        <v/>
      </c>
      <c r="S2876" s="8">
        <f>(O2876+P2876*COS(RADIANS(E2876)))/L2876</f>
        <v/>
      </c>
      <c r="T2876" s="8">
        <f>R2876/L2876</f>
        <v/>
      </c>
      <c r="U2876" s="8">
        <f>(Q2876-P2876*G2876*SIN(RADIANS(E2876)))/M2876</f>
        <v/>
      </c>
      <c r="V2876" s="8">
        <f>SQRT((S2876+U2876)^2+3*T2876^2)</f>
        <v/>
      </c>
      <c r="W2876" s="8">
        <f>V2876/AA2876</f>
        <v/>
      </c>
      <c r="X2876" s="27">
        <f>((3*10+H2876/COS(RADIANS(E2876)))*(3+3)+3*G2876*H2876)*2</f>
        <v/>
      </c>
      <c r="Y2876" s="28">
        <f>Z2876/X2876</f>
        <v/>
      </c>
      <c r="Z2876" s="29" t="n">
        <v>580.38364445487</v>
      </c>
      <c r="AA2876" s="20" t="n">
        <v>90.48189520571469</v>
      </c>
      <c r="AB2876" t="n">
        <v>0.2102608387921413</v>
      </c>
      <c r="AC2876" t="n">
        <v>95.55322658778238</v>
      </c>
      <c r="AD2876" t="n">
        <v>37.19276118430178</v>
      </c>
    </row>
    <row r="2877">
      <c r="A2877" t="n">
        <v>2876</v>
      </c>
      <c r="B2877" t="n">
        <v>58.5</v>
      </c>
      <c r="C2877" s="21">
        <f>B2877-20</f>
        <v/>
      </c>
      <c r="D2877" t="n">
        <v>122.8</v>
      </c>
      <c r="E2877" s="22">
        <f>D2877-90</f>
        <v/>
      </c>
      <c r="F2877" s="23" t="n">
        <v>0.013886</v>
      </c>
      <c r="G2877" s="22" t="n">
        <v>30.5</v>
      </c>
      <c r="H2877" s="22" t="n">
        <v>1.1</v>
      </c>
      <c r="I2877" s="24" t="n">
        <v>0.0622709542512893</v>
      </c>
      <c r="J2877" s="6" t="n">
        <v>71000</v>
      </c>
      <c r="K2877" s="25">
        <f>23*10^-6</f>
        <v/>
      </c>
      <c r="L2877" s="8">
        <f>H2877</f>
        <v/>
      </c>
      <c r="M2877" s="26">
        <f>H2877^2/6</f>
        <v/>
      </c>
      <c r="N2877" s="26">
        <f>H2877^3/12</f>
        <v/>
      </c>
      <c r="O2877" s="27">
        <f>-J2877*L2877*K2877*C2877</f>
        <v/>
      </c>
      <c r="P2877" s="28">
        <f>-(12*F2877*J2877*L2877*N2877+12*O2877*N2877*G2877*COS(RADIANS(E2877)))/(12*N2877*G2877*COS(RADIANS(E2877))^2+L2877*G2877^3*SIN(RADIANS(E2877))^2)</f>
        <v/>
      </c>
      <c r="Q2877" s="28">
        <f>-(6*F2877*J2877*L2877*N2877*SIN(RADIANS(E2877))+6*O2877*N2877*G2877*SIN(RADIANS(E2877))*COS(RADIANS(E2877)))/(12*N2877*COS(RADIANS(E2877))^2+L2877*G2877^2*SIN(RADIANS(E2877))^2)</f>
        <v/>
      </c>
      <c r="R2877" s="28">
        <f>-P2877*SIN(RADIANS(E2877))</f>
        <v/>
      </c>
      <c r="S2877" s="8">
        <f>(O2877+P2877*COS(RADIANS(E2877)))/L2877</f>
        <v/>
      </c>
      <c r="T2877" s="8">
        <f>R2877/L2877</f>
        <v/>
      </c>
      <c r="U2877" s="8">
        <f>(Q2877-P2877*G2877*SIN(RADIANS(E2877)))/M2877</f>
        <v/>
      </c>
      <c r="V2877" s="8">
        <f>SQRT((S2877+U2877)^2+3*T2877^2)</f>
        <v/>
      </c>
      <c r="W2877" s="8">
        <f>V2877/AA2877</f>
        <v/>
      </c>
      <c r="X2877" s="27">
        <f>((3*10+H2877/COS(RADIANS(E2877)))*(3+3)+3*G2877*H2877)*2</f>
        <v/>
      </c>
      <c r="Y2877" s="28">
        <f>Z2877/X2877</f>
        <v/>
      </c>
      <c r="Z2877" s="29" t="n">
        <v>584.9894918542381</v>
      </c>
      <c r="AA2877" s="20" t="n">
        <v>51.8747722535259</v>
      </c>
      <c r="AB2877" t="n">
        <v>0.07115201343996871</v>
      </c>
      <c r="AC2877" t="n">
        <v>55.00843117198766</v>
      </c>
      <c r="AD2877" t="n">
        <v>14.26196096632892</v>
      </c>
    </row>
    <row r="2878">
      <c r="A2878" t="n">
        <v>2877</v>
      </c>
      <c r="B2878" t="n">
        <v>62.1</v>
      </c>
      <c r="C2878" s="21">
        <f>B2878-20</f>
        <v/>
      </c>
      <c r="D2878" t="n">
        <v>120.6</v>
      </c>
      <c r="E2878" s="22">
        <f>D2878-90</f>
        <v/>
      </c>
      <c r="F2878" s="23" t="n">
        <v>0.014529</v>
      </c>
      <c r="G2878" s="22" t="n">
        <v>28.2</v>
      </c>
      <c r="H2878" s="22" t="n">
        <v>1.8</v>
      </c>
      <c r="I2878" s="24" t="n">
        <v>0.067786119878292</v>
      </c>
      <c r="J2878" s="6" t="n">
        <v>71000</v>
      </c>
      <c r="K2878" s="25">
        <f>23*10^-6</f>
        <v/>
      </c>
      <c r="L2878" s="8">
        <f>H2878</f>
        <v/>
      </c>
      <c r="M2878" s="26">
        <f>H2878^2/6</f>
        <v/>
      </c>
      <c r="N2878" s="26">
        <f>H2878^3/12</f>
        <v/>
      </c>
      <c r="O2878" s="27">
        <f>-J2878*L2878*K2878*C2878</f>
        <v/>
      </c>
      <c r="P2878" s="28">
        <f>-(12*F2878*J2878*L2878*N2878+12*O2878*N2878*G2878*COS(RADIANS(E2878)))/(12*N2878*G2878*COS(RADIANS(E2878))^2+L2878*G2878^3*SIN(RADIANS(E2878))^2)</f>
        <v/>
      </c>
      <c r="Q2878" s="28">
        <f>-(6*F2878*J2878*L2878*N2878*SIN(RADIANS(E2878))+6*O2878*N2878*G2878*SIN(RADIANS(E2878))*COS(RADIANS(E2878)))/(12*N2878*COS(RADIANS(E2878))^2+L2878*G2878^2*SIN(RADIANS(E2878))^2)</f>
        <v/>
      </c>
      <c r="R2878" s="28">
        <f>-P2878*SIN(RADIANS(E2878))</f>
        <v/>
      </c>
      <c r="S2878" s="8">
        <f>(O2878+P2878*COS(RADIANS(E2878)))/L2878</f>
        <v/>
      </c>
      <c r="T2878" s="8">
        <f>R2878/L2878</f>
        <v/>
      </c>
      <c r="U2878" s="8">
        <f>(Q2878-P2878*G2878*SIN(RADIANS(E2878)))/M2878</f>
        <v/>
      </c>
      <c r="V2878" s="8">
        <f>SQRT((S2878+U2878)^2+3*T2878^2)</f>
        <v/>
      </c>
      <c r="W2878" s="8">
        <f>V2878/AA2878</f>
        <v/>
      </c>
      <c r="X2878" s="27">
        <f>((3*10+H2878/COS(RADIANS(E2878)))*(3+3)+3*G2878*H2878)*2</f>
        <v/>
      </c>
      <c r="Y2878" s="28">
        <f>Z2878/X2878</f>
        <v/>
      </c>
      <c r="Z2878" s="29" t="n">
        <v>696.971175002559</v>
      </c>
      <c r="AA2878" s="20" t="n">
        <v>66.88607992419</v>
      </c>
      <c r="AB2878" t="n">
        <v>0.07721012289858224</v>
      </c>
      <c r="AC2878" t="n">
        <v>63.207629026131</v>
      </c>
      <c r="AD2878" t="n">
        <v>13.90255562231732</v>
      </c>
    </row>
    <row r="2879">
      <c r="A2879" t="n">
        <v>2878</v>
      </c>
      <c r="B2879" t="n">
        <v>85.2</v>
      </c>
      <c r="C2879" s="21">
        <f>B2879-20</f>
        <v/>
      </c>
      <c r="D2879" t="n">
        <v>125.8</v>
      </c>
      <c r="E2879" s="22">
        <f>D2879-90</f>
        <v/>
      </c>
      <c r="F2879" s="23" t="n">
        <v>0.017119</v>
      </c>
      <c r="G2879" s="22" t="n">
        <v>21</v>
      </c>
      <c r="H2879" s="22" t="n">
        <v>1.6</v>
      </c>
      <c r="I2879" s="24" t="n">
        <v>0.0792841911315918</v>
      </c>
      <c r="J2879" s="6" t="n">
        <v>71000</v>
      </c>
      <c r="K2879" s="25">
        <f>23*10^-6</f>
        <v/>
      </c>
      <c r="L2879" s="8">
        <f>H2879</f>
        <v/>
      </c>
      <c r="M2879" s="26">
        <f>H2879^2/6</f>
        <v/>
      </c>
      <c r="N2879" s="26">
        <f>H2879^3/12</f>
        <v/>
      </c>
      <c r="O2879" s="27">
        <f>-J2879*L2879*K2879*C2879</f>
        <v/>
      </c>
      <c r="P2879" s="28">
        <f>-(12*F2879*J2879*L2879*N2879+12*O2879*N2879*G2879*COS(RADIANS(E2879)))/(12*N2879*G2879*COS(RADIANS(E2879))^2+L2879*G2879^3*SIN(RADIANS(E2879))^2)</f>
        <v/>
      </c>
      <c r="Q2879" s="28">
        <f>-(6*F2879*J2879*L2879*N2879*SIN(RADIANS(E2879))+6*O2879*N2879*G2879*SIN(RADIANS(E2879))*COS(RADIANS(E2879)))/(12*N2879*COS(RADIANS(E2879))^2+L2879*G2879^2*SIN(RADIANS(E2879))^2)</f>
        <v/>
      </c>
      <c r="R2879" s="28">
        <f>-P2879*SIN(RADIANS(E2879))</f>
        <v/>
      </c>
      <c r="S2879" s="8">
        <f>(O2879+P2879*COS(RADIANS(E2879)))/L2879</f>
        <v/>
      </c>
      <c r="T2879" s="8">
        <f>R2879/L2879</f>
        <v/>
      </c>
      <c r="U2879" s="8">
        <f>(Q2879-P2879*G2879*SIN(RADIANS(E2879)))/M2879</f>
        <v/>
      </c>
      <c r="V2879" s="8">
        <f>SQRT((S2879+U2879)^2+3*T2879^2)</f>
        <v/>
      </c>
      <c r="W2879" s="8">
        <f>V2879/AA2879</f>
        <v/>
      </c>
      <c r="X2879" s="27">
        <f>((3*10+H2879/COS(RADIANS(E2879)))*(3+3)+3*G2879*H2879)*2</f>
        <v/>
      </c>
      <c r="Y2879" s="28">
        <f>Z2879/X2879</f>
        <v/>
      </c>
      <c r="Z2879" s="29" t="n">
        <v>594.297008898528</v>
      </c>
      <c r="AA2879" s="20" t="n">
        <v>102.751319315832</v>
      </c>
      <c r="AB2879" t="n">
        <v>0.07658001012791325</v>
      </c>
      <c r="AC2879" t="n">
        <v>96.30408573846373</v>
      </c>
      <c r="AD2879" t="n">
        <v>-3.410744267025798</v>
      </c>
    </row>
    <row r="2880">
      <c r="A2880" t="n">
        <v>2879</v>
      </c>
      <c r="B2880" t="n">
        <v>57.1</v>
      </c>
      <c r="C2880" s="21">
        <f>B2880-20</f>
        <v/>
      </c>
      <c r="D2880" t="n">
        <v>103.1</v>
      </c>
      <c r="E2880" s="22">
        <f>D2880-90</f>
        <v/>
      </c>
      <c r="F2880" s="23" t="n">
        <v>0.011847</v>
      </c>
      <c r="G2880" s="22" t="n">
        <v>22.6</v>
      </c>
      <c r="H2880" s="22" t="n">
        <v>1.1</v>
      </c>
      <c r="I2880" s="24" t="n">
        <v>0.0958413630723953</v>
      </c>
      <c r="J2880" s="6" t="n">
        <v>71000</v>
      </c>
      <c r="K2880" s="25">
        <f>23*10^-6</f>
        <v/>
      </c>
      <c r="L2880" s="8">
        <f>H2880</f>
        <v/>
      </c>
      <c r="M2880" s="26">
        <f>H2880^2/6</f>
        <v/>
      </c>
      <c r="N2880" s="26">
        <f>H2880^3/12</f>
        <v/>
      </c>
      <c r="O2880" s="27">
        <f>-J2880*L2880*K2880*C2880</f>
        <v/>
      </c>
      <c r="P2880" s="28">
        <f>-(12*F2880*J2880*L2880*N2880+12*O2880*N2880*G2880*COS(RADIANS(E2880)))/(12*N2880*G2880*COS(RADIANS(E2880))^2+L2880*G2880^3*SIN(RADIANS(E2880))^2)</f>
        <v/>
      </c>
      <c r="Q2880" s="28">
        <f>-(6*F2880*J2880*L2880*N2880*SIN(RADIANS(E2880))+6*O2880*N2880*G2880*SIN(RADIANS(E2880))*COS(RADIANS(E2880)))/(12*N2880*COS(RADIANS(E2880))^2+L2880*G2880^2*SIN(RADIANS(E2880))^2)</f>
        <v/>
      </c>
      <c r="R2880" s="28">
        <f>-P2880*SIN(RADIANS(E2880))</f>
        <v/>
      </c>
      <c r="S2880" s="8">
        <f>(O2880+P2880*COS(RADIANS(E2880)))/L2880</f>
        <v/>
      </c>
      <c r="T2880" s="8">
        <f>R2880/L2880</f>
        <v/>
      </c>
      <c r="U2880" s="8">
        <f>(Q2880-P2880*G2880*SIN(RADIANS(E2880)))/M2880</f>
        <v/>
      </c>
      <c r="V2880" s="8">
        <f>SQRT((S2880+U2880)^2+3*T2880^2)</f>
        <v/>
      </c>
      <c r="W2880" s="8">
        <f>V2880/AA2880</f>
        <v/>
      </c>
      <c r="X2880" s="27">
        <f>((3*10+H2880/COS(RADIANS(E2880)))*(3+3)+3*G2880*H2880)*2</f>
        <v/>
      </c>
      <c r="Y2880" s="28">
        <f>Z2880/X2880</f>
        <v/>
      </c>
      <c r="Z2880" s="29" t="n">
        <v>526.787590273529</v>
      </c>
      <c r="AA2880" s="20" t="n">
        <v>55.360474343419</v>
      </c>
      <c r="AB2880" t="n">
        <v>0.1301800827284271</v>
      </c>
      <c r="AC2880" t="n">
        <v>60.12057999215339</v>
      </c>
      <c r="AD2880" t="n">
        <v>35.82870543075799</v>
      </c>
    </row>
    <row r="2881">
      <c r="A2881" t="n">
        <v>2880</v>
      </c>
      <c r="B2881" t="n">
        <v>46.3</v>
      </c>
      <c r="C2881" s="21">
        <f>B2881-20</f>
        <v/>
      </c>
      <c r="D2881" t="n">
        <v>121.9</v>
      </c>
      <c r="E2881" s="22">
        <f>D2881-90</f>
        <v/>
      </c>
      <c r="F2881" s="23" t="n">
        <v>0.007017</v>
      </c>
      <c r="G2881" s="22" t="n">
        <v>20.5</v>
      </c>
      <c r="H2881" s="22" t="n">
        <v>1.1</v>
      </c>
      <c r="I2881" s="24" t="n">
        <v>0.033826507627964</v>
      </c>
      <c r="J2881" s="6" t="n">
        <v>71000</v>
      </c>
      <c r="K2881" s="25">
        <f>23*10^-6</f>
        <v/>
      </c>
      <c r="L2881" s="8">
        <f>H2881</f>
        <v/>
      </c>
      <c r="M2881" s="26">
        <f>H2881^2/6</f>
        <v/>
      </c>
      <c r="N2881" s="26">
        <f>H2881^3/12</f>
        <v/>
      </c>
      <c r="O2881" s="27">
        <f>-J2881*L2881*K2881*C2881</f>
        <v/>
      </c>
      <c r="P2881" s="28">
        <f>-(12*F2881*J2881*L2881*N2881+12*O2881*N2881*G2881*COS(RADIANS(E2881)))/(12*N2881*G2881*COS(RADIANS(E2881))^2+L2881*G2881^3*SIN(RADIANS(E2881))^2)</f>
        <v/>
      </c>
      <c r="Q2881" s="28">
        <f>-(6*F2881*J2881*L2881*N2881*SIN(RADIANS(E2881))+6*O2881*N2881*G2881*SIN(RADIANS(E2881))*COS(RADIANS(E2881)))/(12*N2881*COS(RADIANS(E2881))^2+L2881*G2881^2*SIN(RADIANS(E2881))^2)</f>
        <v/>
      </c>
      <c r="R2881" s="28">
        <f>-P2881*SIN(RADIANS(E2881))</f>
        <v/>
      </c>
      <c r="S2881" s="8">
        <f>(O2881+P2881*COS(RADIANS(E2881)))/L2881</f>
        <v/>
      </c>
      <c r="T2881" s="8">
        <f>R2881/L2881</f>
        <v/>
      </c>
      <c r="U2881" s="8">
        <f>(Q2881-P2881*G2881*SIN(RADIANS(E2881)))/M2881</f>
        <v/>
      </c>
      <c r="V2881" s="8">
        <f>SQRT((S2881+U2881)^2+3*T2881^2)</f>
        <v/>
      </c>
      <c r="W2881" s="8">
        <f>V2881/AA2881</f>
        <v/>
      </c>
      <c r="X2881" s="27">
        <f>((3*10+H2881/COS(RADIANS(E2881)))*(3+3)+3*G2881*H2881)*2</f>
        <v/>
      </c>
      <c r="Y2881" s="28">
        <f>Z2881/X2881</f>
        <v/>
      </c>
      <c r="Z2881" s="29" t="n">
        <v>518.551345031596</v>
      </c>
      <c r="AA2881" s="20" t="n">
        <v>37.2661544714313</v>
      </c>
      <c r="AB2881" t="n">
        <v>0.03445096234995677</v>
      </c>
      <c r="AC2881" t="n">
        <v>38.26123735982779</v>
      </c>
      <c r="AD2881" t="n">
        <v>1.846051412876406</v>
      </c>
    </row>
    <row r="2882">
      <c r="A2882" t="n">
        <v>2881</v>
      </c>
      <c r="B2882" t="n">
        <v>68.3</v>
      </c>
      <c r="C2882" s="21">
        <f>B2882-20</f>
        <v/>
      </c>
      <c r="D2882" t="n">
        <v>120.2</v>
      </c>
      <c r="E2882" s="22">
        <f>D2882-90</f>
        <v/>
      </c>
      <c r="F2882" s="23" t="n">
        <v>0.014725</v>
      </c>
      <c r="G2882" s="22" t="n">
        <v>24</v>
      </c>
      <c r="H2882" s="22" t="n">
        <v>1.3</v>
      </c>
      <c r="I2882" s="24" t="n">
        <v>0.0707428976893425</v>
      </c>
      <c r="J2882" s="6" t="n">
        <v>71000</v>
      </c>
      <c r="K2882" s="25">
        <f>23*10^-6</f>
        <v/>
      </c>
      <c r="L2882" s="8">
        <f>H2882</f>
        <v/>
      </c>
      <c r="M2882" s="26">
        <f>H2882^2/6</f>
        <v/>
      </c>
      <c r="N2882" s="26">
        <f>H2882^3/12</f>
        <v/>
      </c>
      <c r="O2882" s="27">
        <f>-J2882*L2882*K2882*C2882</f>
        <v/>
      </c>
      <c r="P2882" s="28">
        <f>-(12*F2882*J2882*L2882*N2882+12*O2882*N2882*G2882*COS(RADIANS(E2882)))/(12*N2882*G2882*COS(RADIANS(E2882))^2+L2882*G2882^3*SIN(RADIANS(E2882))^2)</f>
        <v/>
      </c>
      <c r="Q2882" s="28">
        <f>-(6*F2882*J2882*L2882*N2882*SIN(RADIANS(E2882))+6*O2882*N2882*G2882*SIN(RADIANS(E2882))*COS(RADIANS(E2882)))/(12*N2882*COS(RADIANS(E2882))^2+L2882*G2882^2*SIN(RADIANS(E2882))^2)</f>
        <v/>
      </c>
      <c r="R2882" s="28">
        <f>-P2882*SIN(RADIANS(E2882))</f>
        <v/>
      </c>
      <c r="S2882" s="8">
        <f>(O2882+P2882*COS(RADIANS(E2882)))/L2882</f>
        <v/>
      </c>
      <c r="T2882" s="8">
        <f>R2882/L2882</f>
        <v/>
      </c>
      <c r="U2882" s="8">
        <f>(Q2882-P2882*G2882*SIN(RADIANS(E2882)))/M2882</f>
        <v/>
      </c>
      <c r="V2882" s="8">
        <f>SQRT((S2882+U2882)^2+3*T2882^2)</f>
        <v/>
      </c>
      <c r="W2882" s="8">
        <f>V2882/AA2882</f>
        <v/>
      </c>
      <c r="X2882" s="27">
        <f>((3*10+H2882/COS(RADIANS(E2882)))*(3+3)+3*G2882*H2882)*2</f>
        <v/>
      </c>
      <c r="Y2882" s="28">
        <f>Z2882/X2882</f>
        <v/>
      </c>
      <c r="Z2882" s="29" t="n">
        <v>572.4523897041</v>
      </c>
      <c r="AA2882" s="20" t="n">
        <v>70.51409287579411</v>
      </c>
      <c r="AB2882" t="n">
        <v>0.07755716427017122</v>
      </c>
      <c r="AC2882" t="n">
        <v>71.15401161392272</v>
      </c>
      <c r="AD2882" t="n">
        <v>9.632439161246422</v>
      </c>
    </row>
    <row r="2883">
      <c r="A2883" t="n">
        <v>2882</v>
      </c>
      <c r="B2883" t="n">
        <v>60.4</v>
      </c>
      <c r="C2883" s="21">
        <f>B2883-20</f>
        <v/>
      </c>
      <c r="D2883" t="n">
        <v>104.9</v>
      </c>
      <c r="E2883" s="22">
        <f>D2883-90</f>
        <v/>
      </c>
      <c r="F2883" s="23" t="n">
        <v>0.017451</v>
      </c>
      <c r="G2883" s="22" t="n">
        <v>33</v>
      </c>
      <c r="H2883" s="22" t="n">
        <v>1.9</v>
      </c>
      <c r="I2883" s="24" t="n">
        <v>0.122064501047134</v>
      </c>
      <c r="J2883" s="6" t="n">
        <v>71000</v>
      </c>
      <c r="K2883" s="25">
        <f>23*10^-6</f>
        <v/>
      </c>
      <c r="L2883" s="8">
        <f>H2883</f>
        <v/>
      </c>
      <c r="M2883" s="26">
        <f>H2883^2/6</f>
        <v/>
      </c>
      <c r="N2883" s="26">
        <f>H2883^3/12</f>
        <v/>
      </c>
      <c r="O2883" s="27">
        <f>-J2883*L2883*K2883*C2883</f>
        <v/>
      </c>
      <c r="P2883" s="28">
        <f>-(12*F2883*J2883*L2883*N2883+12*O2883*N2883*G2883*COS(RADIANS(E2883)))/(12*N2883*G2883*COS(RADIANS(E2883))^2+L2883*G2883^3*SIN(RADIANS(E2883))^2)</f>
        <v/>
      </c>
      <c r="Q2883" s="28">
        <f>-(6*F2883*J2883*L2883*N2883*SIN(RADIANS(E2883))+6*O2883*N2883*G2883*SIN(RADIANS(E2883))*COS(RADIANS(E2883)))/(12*N2883*COS(RADIANS(E2883))^2+L2883*G2883^2*SIN(RADIANS(E2883))^2)</f>
        <v/>
      </c>
      <c r="R2883" s="28">
        <f>-P2883*SIN(RADIANS(E2883))</f>
        <v/>
      </c>
      <c r="S2883" s="8">
        <f>(O2883+P2883*COS(RADIANS(E2883)))/L2883</f>
        <v/>
      </c>
      <c r="T2883" s="8">
        <f>R2883/L2883</f>
        <v/>
      </c>
      <c r="U2883" s="8">
        <f>(Q2883-P2883*G2883*SIN(RADIANS(E2883)))/M2883</f>
        <v/>
      </c>
      <c r="V2883" s="8">
        <f>SQRT((S2883+U2883)^2+3*T2883^2)</f>
        <v/>
      </c>
      <c r="W2883" s="8">
        <f>V2883/AA2883</f>
        <v/>
      </c>
      <c r="X2883" s="27">
        <f>((3*10+H2883/COS(RADIANS(E2883)))*(3+3)+3*G2883*H2883)*2</f>
        <v/>
      </c>
      <c r="Y2883" s="28">
        <f>Z2883/X2883</f>
        <v/>
      </c>
      <c r="Z2883" s="29" t="n">
        <v>764.061980419399</v>
      </c>
      <c r="AA2883" s="20" t="n">
        <v>67.9195709296295</v>
      </c>
      <c r="AB2883" t="n">
        <v>0.1763618035693731</v>
      </c>
      <c r="AC2883" t="n">
        <v>67.09882028770852</v>
      </c>
      <c r="AD2883" t="n">
        <v>44.48246792183478</v>
      </c>
    </row>
    <row r="2884">
      <c r="A2884" t="n">
        <v>2883</v>
      </c>
      <c r="B2884" t="n">
        <v>79.7</v>
      </c>
      <c r="C2884" s="21">
        <f>B2884-20</f>
        <v/>
      </c>
      <c r="D2884" t="n">
        <v>124.2</v>
      </c>
      <c r="E2884" s="22">
        <f>D2884-90</f>
        <v/>
      </c>
      <c r="F2884" s="23" t="n">
        <v>0.016186</v>
      </c>
      <c r="G2884" s="22" t="n">
        <v>21.5</v>
      </c>
      <c r="H2884" s="22" t="n">
        <v>1.9</v>
      </c>
      <c r="I2884" s="24" t="n">
        <v>0.0756502449512481</v>
      </c>
      <c r="J2884" s="6" t="n">
        <v>71000</v>
      </c>
      <c r="K2884" s="25">
        <f>23*10^-6</f>
        <v/>
      </c>
      <c r="L2884" s="8">
        <f>H2884</f>
        <v/>
      </c>
      <c r="M2884" s="26">
        <f>H2884^2/6</f>
        <v/>
      </c>
      <c r="N2884" s="26">
        <f>H2884^3/12</f>
        <v/>
      </c>
      <c r="O2884" s="27">
        <f>-J2884*L2884*K2884*C2884</f>
        <v/>
      </c>
      <c r="P2884" s="28">
        <f>-(12*F2884*J2884*L2884*N2884+12*O2884*N2884*G2884*COS(RADIANS(E2884)))/(12*N2884*G2884*COS(RADIANS(E2884))^2+L2884*G2884^3*SIN(RADIANS(E2884))^2)</f>
        <v/>
      </c>
      <c r="Q2884" s="28">
        <f>-(6*F2884*J2884*L2884*N2884*SIN(RADIANS(E2884))+6*O2884*N2884*G2884*SIN(RADIANS(E2884))*COS(RADIANS(E2884)))/(12*N2884*COS(RADIANS(E2884))^2+L2884*G2884^2*SIN(RADIANS(E2884))^2)</f>
        <v/>
      </c>
      <c r="R2884" s="28">
        <f>-P2884*SIN(RADIANS(E2884))</f>
        <v/>
      </c>
      <c r="S2884" s="8">
        <f>(O2884+P2884*COS(RADIANS(E2884)))/L2884</f>
        <v/>
      </c>
      <c r="T2884" s="8">
        <f>R2884/L2884</f>
        <v/>
      </c>
      <c r="U2884" s="8">
        <f>(Q2884-P2884*G2884*SIN(RADIANS(E2884)))/M2884</f>
        <v/>
      </c>
      <c r="V2884" s="8">
        <f>SQRT((S2884+U2884)^2+3*T2884^2)</f>
        <v/>
      </c>
      <c r="W2884" s="8">
        <f>V2884/AA2884</f>
        <v/>
      </c>
      <c r="X2884" s="27">
        <f>((3*10+H2884/COS(RADIANS(E2884)))*(3+3)+3*G2884*H2884)*2</f>
        <v/>
      </c>
      <c r="Y2884" s="28">
        <f>Z2884/X2884</f>
        <v/>
      </c>
      <c r="Z2884" s="29" t="n">
        <v>641.118201017067</v>
      </c>
      <c r="AA2884" s="20" t="n">
        <v>99.2164681622593</v>
      </c>
      <c r="AB2884" t="n">
        <v>0.07488611898691899</v>
      </c>
      <c r="AC2884" t="n">
        <v>90.10591122154179</v>
      </c>
      <c r="AD2884" t="n">
        <v>-1.010077316764194</v>
      </c>
    </row>
    <row r="2885">
      <c r="A2885" t="n">
        <v>2884</v>
      </c>
      <c r="B2885" t="n">
        <v>63.1</v>
      </c>
      <c r="C2885" s="21">
        <f>B2885-20</f>
        <v/>
      </c>
      <c r="D2885" t="n">
        <v>105.2</v>
      </c>
      <c r="E2885" s="22">
        <f>D2885-90</f>
        <v/>
      </c>
      <c r="F2885" s="23" t="n">
        <v>0.016604</v>
      </c>
      <c r="G2885" s="22" t="n">
        <v>28.8</v>
      </c>
      <c r="H2885" s="22" t="n">
        <v>1.7</v>
      </c>
      <c r="I2885" s="24" t="n">
        <v>0.116129748523235</v>
      </c>
      <c r="J2885" s="6" t="n">
        <v>71000</v>
      </c>
      <c r="K2885" s="25">
        <f>23*10^-6</f>
        <v/>
      </c>
      <c r="L2885" s="8">
        <f>H2885</f>
        <v/>
      </c>
      <c r="M2885" s="26">
        <f>H2885^2/6</f>
        <v/>
      </c>
      <c r="N2885" s="26">
        <f>H2885^3/12</f>
        <v/>
      </c>
      <c r="O2885" s="27">
        <f>-J2885*L2885*K2885*C2885</f>
        <v/>
      </c>
      <c r="P2885" s="28">
        <f>-(12*F2885*J2885*L2885*N2885+12*O2885*N2885*G2885*COS(RADIANS(E2885)))/(12*N2885*G2885*COS(RADIANS(E2885))^2+L2885*G2885^3*SIN(RADIANS(E2885))^2)</f>
        <v/>
      </c>
      <c r="Q2885" s="28">
        <f>-(6*F2885*J2885*L2885*N2885*SIN(RADIANS(E2885))+6*O2885*N2885*G2885*SIN(RADIANS(E2885))*COS(RADIANS(E2885)))/(12*N2885*COS(RADIANS(E2885))^2+L2885*G2885^2*SIN(RADIANS(E2885))^2)</f>
        <v/>
      </c>
      <c r="R2885" s="28">
        <f>-P2885*SIN(RADIANS(E2885))</f>
        <v/>
      </c>
      <c r="S2885" s="8">
        <f>(O2885+P2885*COS(RADIANS(E2885)))/L2885</f>
        <v/>
      </c>
      <c r="T2885" s="8">
        <f>R2885/L2885</f>
        <v/>
      </c>
      <c r="U2885" s="8">
        <f>(Q2885-P2885*G2885*SIN(RADIANS(E2885)))/M2885</f>
        <v/>
      </c>
      <c r="V2885" s="8">
        <f>SQRT((S2885+U2885)^2+3*T2885^2)</f>
        <v/>
      </c>
      <c r="W2885" s="8">
        <f>V2885/AA2885</f>
        <v/>
      </c>
      <c r="X2885" s="27">
        <f>((3*10+H2885/COS(RADIANS(E2885)))*(3+3)+3*G2885*H2885)*2</f>
        <v/>
      </c>
      <c r="Y2885" s="28">
        <f>Z2885/X2885</f>
        <v/>
      </c>
      <c r="Z2885" s="29" t="n">
        <v>679.203205651256</v>
      </c>
      <c r="AA2885" s="20" t="n">
        <v>71.01847317031439</v>
      </c>
      <c r="AB2885" t="n">
        <v>0.1621342300093737</v>
      </c>
      <c r="AC2885" t="n">
        <v>71.16955321710702</v>
      </c>
      <c r="AD2885" t="n">
        <v>39.61472583136978</v>
      </c>
    </row>
    <row r="2886">
      <c r="A2886" t="n">
        <v>2885</v>
      </c>
      <c r="B2886" t="n">
        <v>61</v>
      </c>
      <c r="C2886" s="21">
        <f>B2886-20</f>
        <v/>
      </c>
      <c r="D2886" t="n">
        <v>105.6</v>
      </c>
      <c r="E2886" s="22">
        <f>D2886-90</f>
        <v/>
      </c>
      <c r="F2886" s="23" t="n">
        <v>0.018471</v>
      </c>
      <c r="G2886" s="22" t="n">
        <v>34.8</v>
      </c>
      <c r="H2886" s="22" t="n">
        <v>1.5</v>
      </c>
      <c r="I2886" s="24" t="n">
        <v>0.125900968909263</v>
      </c>
      <c r="J2886" s="6" t="n">
        <v>71000</v>
      </c>
      <c r="K2886" s="25">
        <f>23*10^-6</f>
        <v/>
      </c>
      <c r="L2886" s="8">
        <f>H2886</f>
        <v/>
      </c>
      <c r="M2886" s="26">
        <f>H2886^2/6</f>
        <v/>
      </c>
      <c r="N2886" s="26">
        <f>H2886^3/12</f>
        <v/>
      </c>
      <c r="O2886" s="27">
        <f>-J2886*L2886*K2886*C2886</f>
        <v/>
      </c>
      <c r="P2886" s="28">
        <f>-(12*F2886*J2886*L2886*N2886+12*O2886*N2886*G2886*COS(RADIANS(E2886)))/(12*N2886*G2886*COS(RADIANS(E2886))^2+L2886*G2886^3*SIN(RADIANS(E2886))^2)</f>
        <v/>
      </c>
      <c r="Q2886" s="28">
        <f>-(6*F2886*J2886*L2886*N2886*SIN(RADIANS(E2886))+6*O2886*N2886*G2886*SIN(RADIANS(E2886))*COS(RADIANS(E2886)))/(12*N2886*COS(RADIANS(E2886))^2+L2886*G2886^2*SIN(RADIANS(E2886))^2)</f>
        <v/>
      </c>
      <c r="R2886" s="28">
        <f>-P2886*SIN(RADIANS(E2886))</f>
        <v/>
      </c>
      <c r="S2886" s="8">
        <f>(O2886+P2886*COS(RADIANS(E2886)))/L2886</f>
        <v/>
      </c>
      <c r="T2886" s="8">
        <f>R2886/L2886</f>
        <v/>
      </c>
      <c r="U2886" s="8">
        <f>(Q2886-P2886*G2886*SIN(RADIANS(E2886)))/M2886</f>
        <v/>
      </c>
      <c r="V2886" s="8">
        <f>SQRT((S2886+U2886)^2+3*T2886^2)</f>
        <v/>
      </c>
      <c r="W2886" s="8">
        <f>V2886/AA2886</f>
        <v/>
      </c>
      <c r="X2886" s="27">
        <f>((3*10+H2886/COS(RADIANS(E2886)))*(3+3)+3*G2886*H2886)*2</f>
        <v/>
      </c>
      <c r="Y2886" s="28">
        <f>Z2886/X2886</f>
        <v/>
      </c>
      <c r="Z2886" s="29" t="n">
        <v>696.239975238182</v>
      </c>
      <c r="AA2886" s="20" t="n">
        <v>63.3322333228967</v>
      </c>
      <c r="AB2886" t="n">
        <v>0.1836845302929095</v>
      </c>
      <c r="AC2886" t="n">
        <v>64.88897774588411</v>
      </c>
      <c r="AD2886" t="n">
        <v>45.89604185277648</v>
      </c>
    </row>
    <row r="2887">
      <c r="A2887" t="n">
        <v>2886</v>
      </c>
      <c r="B2887" t="n">
        <v>48.6</v>
      </c>
      <c r="C2887" s="21">
        <f>B2887-20</f>
        <v/>
      </c>
      <c r="D2887" t="n">
        <v>103.9</v>
      </c>
      <c r="E2887" s="22">
        <f>D2887-90</f>
        <v/>
      </c>
      <c r="F2887" s="23" t="n">
        <v>0.011957</v>
      </c>
      <c r="G2887" s="22" t="n">
        <v>31.6</v>
      </c>
      <c r="H2887" s="22" t="n">
        <v>1.7</v>
      </c>
      <c r="I2887" s="24" t="n">
        <v>0.0886446088552475</v>
      </c>
      <c r="J2887" s="6" t="n">
        <v>71000</v>
      </c>
      <c r="K2887" s="25">
        <f>23*10^-6</f>
        <v/>
      </c>
      <c r="L2887" s="8">
        <f>H2887</f>
        <v/>
      </c>
      <c r="M2887" s="26">
        <f>H2887^2/6</f>
        <v/>
      </c>
      <c r="N2887" s="26">
        <f>H2887^3/12</f>
        <v/>
      </c>
      <c r="O2887" s="27">
        <f>-J2887*L2887*K2887*C2887</f>
        <v/>
      </c>
      <c r="P2887" s="28">
        <f>-(12*F2887*J2887*L2887*N2887+12*O2887*N2887*G2887*COS(RADIANS(E2887)))/(12*N2887*G2887*COS(RADIANS(E2887))^2+L2887*G2887^3*SIN(RADIANS(E2887))^2)</f>
        <v/>
      </c>
      <c r="Q2887" s="28">
        <f>-(6*F2887*J2887*L2887*N2887*SIN(RADIANS(E2887))+6*O2887*N2887*G2887*SIN(RADIANS(E2887))*COS(RADIANS(E2887)))/(12*N2887*COS(RADIANS(E2887))^2+L2887*G2887^2*SIN(RADIANS(E2887))^2)</f>
        <v/>
      </c>
      <c r="R2887" s="28">
        <f>-P2887*SIN(RADIANS(E2887))</f>
        <v/>
      </c>
      <c r="S2887" s="8">
        <f>(O2887+P2887*COS(RADIANS(E2887)))/L2887</f>
        <v/>
      </c>
      <c r="T2887" s="8">
        <f>R2887/L2887</f>
        <v/>
      </c>
      <c r="U2887" s="8">
        <f>(Q2887-P2887*G2887*SIN(RADIANS(E2887)))/M2887</f>
        <v/>
      </c>
      <c r="V2887" s="8">
        <f>SQRT((S2887+U2887)^2+3*T2887^2)</f>
        <v/>
      </c>
      <c r="W2887" s="8">
        <f>V2887/AA2887</f>
        <v/>
      </c>
      <c r="X2887" s="27">
        <f>((3*10+H2887/COS(RADIANS(E2887)))*(3+3)+3*G2887*H2887)*2</f>
        <v/>
      </c>
      <c r="Y2887" s="28">
        <f>Z2887/X2887</f>
        <v/>
      </c>
      <c r="Z2887" s="29" t="n">
        <v>707.493040266782</v>
      </c>
      <c r="AA2887" s="20" t="n">
        <v>47.218802169337</v>
      </c>
      <c r="AB2887" t="n">
        <v>0.1286274134877691</v>
      </c>
      <c r="AC2887" t="n">
        <v>47.45342096688727</v>
      </c>
      <c r="AD2887" t="n">
        <v>45.10460946114797</v>
      </c>
    </row>
    <row r="2888">
      <c r="A2888" t="n">
        <v>2887</v>
      </c>
      <c r="B2888" t="n">
        <v>82.3</v>
      </c>
      <c r="C2888" s="21">
        <f>B2888-20</f>
        <v/>
      </c>
      <c r="D2888" t="n">
        <v>126</v>
      </c>
      <c r="E2888" s="22">
        <f>D2888-90</f>
        <v/>
      </c>
      <c r="F2888" s="23" t="n">
        <v>0.016155</v>
      </c>
      <c r="G2888" s="22" t="n">
        <v>20.7</v>
      </c>
      <c r="H2888" s="22" t="n">
        <v>1.2</v>
      </c>
      <c r="I2888" s="24" t="n">
        <v>0.0748040825128555</v>
      </c>
      <c r="J2888" s="6" t="n">
        <v>71000</v>
      </c>
      <c r="K2888" s="25">
        <f>23*10^-6</f>
        <v/>
      </c>
      <c r="L2888" s="8">
        <f>H2888</f>
        <v/>
      </c>
      <c r="M2888" s="26">
        <f>H2888^2/6</f>
        <v/>
      </c>
      <c r="N2888" s="26">
        <f>H2888^3/12</f>
        <v/>
      </c>
      <c r="O2888" s="27">
        <f>-J2888*L2888*K2888*C2888</f>
        <v/>
      </c>
      <c r="P2888" s="28">
        <f>-(12*F2888*J2888*L2888*N2888+12*O2888*N2888*G2888*COS(RADIANS(E2888)))/(12*N2888*G2888*COS(RADIANS(E2888))^2+L2888*G2888^3*SIN(RADIANS(E2888))^2)</f>
        <v/>
      </c>
      <c r="Q2888" s="28">
        <f>-(6*F2888*J2888*L2888*N2888*SIN(RADIANS(E2888))+6*O2888*N2888*G2888*SIN(RADIANS(E2888))*COS(RADIANS(E2888)))/(12*N2888*COS(RADIANS(E2888))^2+L2888*G2888^2*SIN(RADIANS(E2888))^2)</f>
        <v/>
      </c>
      <c r="R2888" s="28">
        <f>-P2888*SIN(RADIANS(E2888))</f>
        <v/>
      </c>
      <c r="S2888" s="8">
        <f>(O2888+P2888*COS(RADIANS(E2888)))/L2888</f>
        <v/>
      </c>
      <c r="T2888" s="8">
        <f>R2888/L2888</f>
        <v/>
      </c>
      <c r="U2888" s="8">
        <f>(Q2888-P2888*G2888*SIN(RADIANS(E2888)))/M2888</f>
        <v/>
      </c>
      <c r="V2888" s="8">
        <f>SQRT((S2888+U2888)^2+3*T2888^2)</f>
        <v/>
      </c>
      <c r="W2888" s="8">
        <f>V2888/AA2888</f>
        <v/>
      </c>
      <c r="X2888" s="27">
        <f>((3*10+H2888/COS(RADIANS(E2888)))*(3+3)+3*G2888*H2888)*2</f>
        <v/>
      </c>
      <c r="Y2888" s="28">
        <f>Z2888/X2888</f>
        <v/>
      </c>
      <c r="Z2888" s="29" t="n">
        <v>535.938639721633</v>
      </c>
      <c r="AA2888" s="20" t="n">
        <v>89.26416348607481</v>
      </c>
      <c r="AB2888" t="n">
        <v>0.0721638272383789</v>
      </c>
      <c r="AC2888" t="n">
        <v>90.00731274545034</v>
      </c>
      <c r="AD2888" t="n">
        <v>-3.52956040069452</v>
      </c>
    </row>
    <row r="2889">
      <c r="A2889" t="n">
        <v>2888</v>
      </c>
      <c r="B2889" t="n">
        <v>59.7</v>
      </c>
      <c r="C2889" s="21">
        <f>B2889-20</f>
        <v/>
      </c>
      <c r="D2889" t="n">
        <v>126.8</v>
      </c>
      <c r="E2889" s="22">
        <f>D2889-90</f>
        <v/>
      </c>
      <c r="F2889" s="23" t="n">
        <v>0.011957</v>
      </c>
      <c r="G2889" s="22" t="n">
        <v>25.5</v>
      </c>
      <c r="H2889" s="22" t="n">
        <v>1.5</v>
      </c>
      <c r="I2889" s="24" t="n">
        <v>0.053349569439888</v>
      </c>
      <c r="J2889" s="6" t="n">
        <v>71000</v>
      </c>
      <c r="K2889" s="25">
        <f>23*10^-6</f>
        <v/>
      </c>
      <c r="L2889" s="8">
        <f>H2889</f>
        <v/>
      </c>
      <c r="M2889" s="26">
        <f>H2889^2/6</f>
        <v/>
      </c>
      <c r="N2889" s="26">
        <f>H2889^3/12</f>
        <v/>
      </c>
      <c r="O2889" s="27">
        <f>-J2889*L2889*K2889*C2889</f>
        <v/>
      </c>
      <c r="P2889" s="28">
        <f>-(12*F2889*J2889*L2889*N2889+12*O2889*N2889*G2889*COS(RADIANS(E2889)))/(12*N2889*G2889*COS(RADIANS(E2889))^2+L2889*G2889^3*SIN(RADIANS(E2889))^2)</f>
        <v/>
      </c>
      <c r="Q2889" s="28">
        <f>-(6*F2889*J2889*L2889*N2889*SIN(RADIANS(E2889))+6*O2889*N2889*G2889*SIN(RADIANS(E2889))*COS(RADIANS(E2889)))/(12*N2889*COS(RADIANS(E2889))^2+L2889*G2889^2*SIN(RADIANS(E2889))^2)</f>
        <v/>
      </c>
      <c r="R2889" s="28">
        <f>-P2889*SIN(RADIANS(E2889))</f>
        <v/>
      </c>
      <c r="S2889" s="8">
        <f>(O2889+P2889*COS(RADIANS(E2889)))/L2889</f>
        <v/>
      </c>
      <c r="T2889" s="8">
        <f>R2889/L2889</f>
        <v/>
      </c>
      <c r="U2889" s="8">
        <f>(Q2889-P2889*G2889*SIN(RADIANS(E2889)))/M2889</f>
        <v/>
      </c>
      <c r="V2889" s="8">
        <f>SQRT((S2889+U2889)^2+3*T2889^2)</f>
        <v/>
      </c>
      <c r="W2889" s="8">
        <f>V2889/AA2889</f>
        <v/>
      </c>
      <c r="X2889" s="27">
        <f>((3*10+H2889/COS(RADIANS(E2889)))*(3+3)+3*G2889*H2889)*2</f>
        <v/>
      </c>
      <c r="Y2889" s="28">
        <f>Z2889/X2889</f>
        <v/>
      </c>
      <c r="Z2889" s="29" t="n">
        <v>621.385677005852</v>
      </c>
      <c r="AA2889" s="20" t="n">
        <v>58.7174858777384</v>
      </c>
      <c r="AB2889" t="n">
        <v>0.0544606336218867</v>
      </c>
      <c r="AC2889" t="n">
        <v>57.6886758124388</v>
      </c>
      <c r="AD2889" t="n">
        <v>2.082611338130095</v>
      </c>
    </row>
    <row r="2890">
      <c r="A2890" t="n">
        <v>2889</v>
      </c>
      <c r="B2890" t="n">
        <v>71.2</v>
      </c>
      <c r="C2890" s="21">
        <f>B2890-20</f>
        <v/>
      </c>
      <c r="D2890" t="n">
        <v>118.9</v>
      </c>
      <c r="E2890" s="22">
        <f>D2890-90</f>
        <v/>
      </c>
      <c r="F2890" s="23" t="n">
        <v>0.018576</v>
      </c>
      <c r="G2890" s="22" t="n">
        <v>29.5</v>
      </c>
      <c r="H2890" s="22" t="n">
        <v>2</v>
      </c>
      <c r="I2890" s="24" t="n">
        <v>0.0881926640868187</v>
      </c>
      <c r="J2890" s="6" t="n">
        <v>71000</v>
      </c>
      <c r="K2890" s="25">
        <f>23*10^-6</f>
        <v/>
      </c>
      <c r="L2890" s="8">
        <f>H2890</f>
        <v/>
      </c>
      <c r="M2890" s="26">
        <f>H2890^2/6</f>
        <v/>
      </c>
      <c r="N2890" s="26">
        <f>H2890^3/12</f>
        <v/>
      </c>
      <c r="O2890" s="27">
        <f>-J2890*L2890*K2890*C2890</f>
        <v/>
      </c>
      <c r="P2890" s="28">
        <f>-(12*F2890*J2890*L2890*N2890+12*O2890*N2890*G2890*COS(RADIANS(E2890)))/(12*N2890*G2890*COS(RADIANS(E2890))^2+L2890*G2890^3*SIN(RADIANS(E2890))^2)</f>
        <v/>
      </c>
      <c r="Q2890" s="28">
        <f>-(6*F2890*J2890*L2890*N2890*SIN(RADIANS(E2890))+6*O2890*N2890*G2890*SIN(RADIANS(E2890))*COS(RADIANS(E2890)))/(12*N2890*COS(RADIANS(E2890))^2+L2890*G2890^2*SIN(RADIANS(E2890))^2)</f>
        <v/>
      </c>
      <c r="R2890" s="28">
        <f>-P2890*SIN(RADIANS(E2890))</f>
        <v/>
      </c>
      <c r="S2890" s="8">
        <f>(O2890+P2890*COS(RADIANS(E2890)))/L2890</f>
        <v/>
      </c>
      <c r="T2890" s="8">
        <f>R2890/L2890</f>
        <v/>
      </c>
      <c r="U2890" s="8">
        <f>(Q2890-P2890*G2890*SIN(RADIANS(E2890)))/M2890</f>
        <v/>
      </c>
      <c r="V2890" s="8">
        <f>SQRT((S2890+U2890)^2+3*T2890^2)</f>
        <v/>
      </c>
      <c r="W2890" s="8">
        <f>V2890/AA2890</f>
        <v/>
      </c>
      <c r="X2890" s="27">
        <f>((3*10+H2890/COS(RADIANS(E2890)))*(3+3)+3*G2890*H2890)*2</f>
        <v/>
      </c>
      <c r="Y2890" s="28">
        <f>Z2890/X2890</f>
        <v/>
      </c>
      <c r="Z2890" s="29" t="n">
        <v>748.261664696772</v>
      </c>
      <c r="AA2890" s="20" t="n">
        <v>83.95676654040351</v>
      </c>
      <c r="AB2890" t="n">
        <v>0.1038122422607617</v>
      </c>
      <c r="AC2890" t="n">
        <v>78.0854979275077</v>
      </c>
      <c r="AD2890" t="n">
        <v>17.71074537284274</v>
      </c>
    </row>
    <row r="2891">
      <c r="A2891" t="n">
        <v>2890</v>
      </c>
      <c r="B2891" t="n">
        <v>58.8</v>
      </c>
      <c r="C2891" s="21">
        <f>B2891-20</f>
        <v/>
      </c>
      <c r="D2891" t="n">
        <v>119.4</v>
      </c>
      <c r="E2891" s="22">
        <f>D2891-90</f>
        <v/>
      </c>
      <c r="F2891" s="23" t="n">
        <v>0.014099</v>
      </c>
      <c r="G2891" s="22" t="n">
        <v>29.7</v>
      </c>
      <c r="H2891" s="22" t="n">
        <v>1.3</v>
      </c>
      <c r="I2891" s="24" t="n">
        <v>0.0663503631949424</v>
      </c>
      <c r="J2891" s="6" t="n">
        <v>71000</v>
      </c>
      <c r="K2891" s="25">
        <f>23*10^-6</f>
        <v/>
      </c>
      <c r="L2891" s="8">
        <f>H2891</f>
        <v/>
      </c>
      <c r="M2891" s="26">
        <f>H2891^2/6</f>
        <v/>
      </c>
      <c r="N2891" s="26">
        <f>H2891^3/12</f>
        <v/>
      </c>
      <c r="O2891" s="27">
        <f>-J2891*L2891*K2891*C2891</f>
        <v/>
      </c>
      <c r="P2891" s="28">
        <f>-(12*F2891*J2891*L2891*N2891+12*O2891*N2891*G2891*COS(RADIANS(E2891)))/(12*N2891*G2891*COS(RADIANS(E2891))^2+L2891*G2891^3*SIN(RADIANS(E2891))^2)</f>
        <v/>
      </c>
      <c r="Q2891" s="28">
        <f>-(6*F2891*J2891*L2891*N2891*SIN(RADIANS(E2891))+6*O2891*N2891*G2891*SIN(RADIANS(E2891))*COS(RADIANS(E2891)))/(12*N2891*COS(RADIANS(E2891))^2+L2891*G2891^2*SIN(RADIANS(E2891))^2)</f>
        <v/>
      </c>
      <c r="R2891" s="28">
        <f>-P2891*SIN(RADIANS(E2891))</f>
        <v/>
      </c>
      <c r="S2891" s="8">
        <f>(O2891+P2891*COS(RADIANS(E2891)))/L2891</f>
        <v/>
      </c>
      <c r="T2891" s="8">
        <f>R2891/L2891</f>
        <v/>
      </c>
      <c r="U2891" s="8">
        <f>(Q2891-P2891*G2891*SIN(RADIANS(E2891)))/M2891</f>
        <v/>
      </c>
      <c r="V2891" s="8">
        <f>SQRT((S2891+U2891)^2+3*T2891^2)</f>
        <v/>
      </c>
      <c r="W2891" s="8">
        <f>V2891/AA2891</f>
        <v/>
      </c>
      <c r="X2891" s="27">
        <f>((3*10+H2891/COS(RADIANS(E2891)))*(3+3)+3*G2891*H2891)*2</f>
        <v/>
      </c>
      <c r="Y2891" s="28">
        <f>Z2891/X2891</f>
        <v/>
      </c>
      <c r="Z2891" s="29" t="n">
        <v>616.547454261401</v>
      </c>
      <c r="AA2891" s="20" t="n">
        <v>55.472352819121</v>
      </c>
      <c r="AB2891" t="n">
        <v>0.07849085123815841</v>
      </c>
      <c r="AC2891" t="n">
        <v>56.69239939217658</v>
      </c>
      <c r="AD2891" t="n">
        <v>18.29754572336903</v>
      </c>
    </row>
    <row r="2892">
      <c r="A2892" t="n">
        <v>2891</v>
      </c>
      <c r="B2892" t="n">
        <v>69.2</v>
      </c>
      <c r="C2892" s="21">
        <f>B2892-20</f>
        <v/>
      </c>
      <c r="D2892" t="n">
        <v>110.8</v>
      </c>
      <c r="E2892" s="22">
        <f>D2892-90</f>
        <v/>
      </c>
      <c r="F2892" s="23" t="n">
        <v>0.019672</v>
      </c>
      <c r="G2892" s="22" t="n">
        <v>31.1</v>
      </c>
      <c r="H2892" s="22" t="n">
        <v>1.1</v>
      </c>
      <c r="I2892" s="24" t="n">
        <v>0.111512564122676</v>
      </c>
      <c r="J2892" s="6" t="n">
        <v>71000</v>
      </c>
      <c r="K2892" s="25">
        <f>23*10^-6</f>
        <v/>
      </c>
      <c r="L2892" s="8">
        <f>H2892</f>
        <v/>
      </c>
      <c r="M2892" s="26">
        <f>H2892^2/6</f>
        <v/>
      </c>
      <c r="N2892" s="26">
        <f>H2892^3/12</f>
        <v/>
      </c>
      <c r="O2892" s="27">
        <f>-J2892*L2892*K2892*C2892</f>
        <v/>
      </c>
      <c r="P2892" s="28">
        <f>-(12*F2892*J2892*L2892*N2892+12*O2892*N2892*G2892*COS(RADIANS(E2892)))/(12*N2892*G2892*COS(RADIANS(E2892))^2+L2892*G2892^3*SIN(RADIANS(E2892))^2)</f>
        <v/>
      </c>
      <c r="Q2892" s="28">
        <f>-(6*F2892*J2892*L2892*N2892*SIN(RADIANS(E2892))+6*O2892*N2892*G2892*SIN(RADIANS(E2892))*COS(RADIANS(E2892)))/(12*N2892*COS(RADIANS(E2892))^2+L2892*G2892^2*SIN(RADIANS(E2892))^2)</f>
        <v/>
      </c>
      <c r="R2892" s="28">
        <f>-P2892*SIN(RADIANS(E2892))</f>
        <v/>
      </c>
      <c r="S2892" s="8">
        <f>(O2892+P2892*COS(RADIANS(E2892)))/L2892</f>
        <v/>
      </c>
      <c r="T2892" s="8">
        <f>R2892/L2892</f>
        <v/>
      </c>
      <c r="U2892" s="8">
        <f>(Q2892-P2892*G2892*SIN(RADIANS(E2892)))/M2892</f>
        <v/>
      </c>
      <c r="V2892" s="8">
        <f>SQRT((S2892+U2892)^2+3*T2892^2)</f>
        <v/>
      </c>
      <c r="W2892" s="8">
        <f>V2892/AA2892</f>
        <v/>
      </c>
      <c r="X2892" s="27">
        <f>((3*10+H2892/COS(RADIANS(E2892)))*(3+3)+3*G2892*H2892)*2</f>
        <v/>
      </c>
      <c r="Y2892" s="28">
        <f>Z2892/X2892</f>
        <v/>
      </c>
      <c r="Z2892" s="29" t="n">
        <v>584.48714483915</v>
      </c>
      <c r="AA2892" s="20" t="n">
        <v>69.05471761993989</v>
      </c>
      <c r="AB2892" t="n">
        <v>0.1495298479730024</v>
      </c>
      <c r="AC2892" t="n">
        <v>73.21105788017833</v>
      </c>
      <c r="AD2892" t="n">
        <v>34.09237707824856</v>
      </c>
    </row>
    <row r="2893">
      <c r="A2893" t="n">
        <v>2892</v>
      </c>
      <c r="B2893" t="n">
        <v>55.3</v>
      </c>
      <c r="C2893" s="21">
        <f>B2893-20</f>
        <v/>
      </c>
      <c r="D2893" t="n">
        <v>103.7</v>
      </c>
      <c r="E2893" s="22">
        <f>D2893-90</f>
        <v/>
      </c>
      <c r="F2893" s="23" t="n">
        <v>0.012658</v>
      </c>
      <c r="G2893" s="22" t="n">
        <v>26.2</v>
      </c>
      <c r="H2893" s="22" t="n">
        <v>1.8</v>
      </c>
      <c r="I2893" s="24" t="n">
        <v>0.09473903477191919</v>
      </c>
      <c r="J2893" s="6" t="n">
        <v>71000</v>
      </c>
      <c r="K2893" s="25">
        <f>23*10^-6</f>
        <v/>
      </c>
      <c r="L2893" s="8">
        <f>H2893</f>
        <v/>
      </c>
      <c r="M2893" s="26">
        <f>H2893^2/6</f>
        <v/>
      </c>
      <c r="N2893" s="26">
        <f>H2893^3/12</f>
        <v/>
      </c>
      <c r="O2893" s="27">
        <f>-J2893*L2893*K2893*C2893</f>
        <v/>
      </c>
      <c r="P2893" s="28">
        <f>-(12*F2893*J2893*L2893*N2893+12*O2893*N2893*G2893*COS(RADIANS(E2893)))/(12*N2893*G2893*COS(RADIANS(E2893))^2+L2893*G2893^3*SIN(RADIANS(E2893))^2)</f>
        <v/>
      </c>
      <c r="Q2893" s="28">
        <f>-(6*F2893*J2893*L2893*N2893*SIN(RADIANS(E2893))+6*O2893*N2893*G2893*SIN(RADIANS(E2893))*COS(RADIANS(E2893)))/(12*N2893*COS(RADIANS(E2893))^2+L2893*G2893^2*SIN(RADIANS(E2893))^2)</f>
        <v/>
      </c>
      <c r="R2893" s="28">
        <f>-P2893*SIN(RADIANS(E2893))</f>
        <v/>
      </c>
      <c r="S2893" s="8">
        <f>(O2893+P2893*COS(RADIANS(E2893)))/L2893</f>
        <v/>
      </c>
      <c r="T2893" s="8">
        <f>R2893/L2893</f>
        <v/>
      </c>
      <c r="U2893" s="8">
        <f>(Q2893-P2893*G2893*SIN(RADIANS(E2893)))/M2893</f>
        <v/>
      </c>
      <c r="V2893" s="8">
        <f>SQRT((S2893+U2893)^2+3*T2893^2)</f>
        <v/>
      </c>
      <c r="W2893" s="8">
        <f>V2893/AA2893</f>
        <v/>
      </c>
      <c r="X2893" s="27">
        <f>((3*10+H2893/COS(RADIANS(E2893)))*(3+3)+3*G2893*H2893)*2</f>
        <v/>
      </c>
      <c r="Y2893" s="28">
        <f>Z2893/X2893</f>
        <v/>
      </c>
      <c r="Z2893" s="29" t="n">
        <v>669.328981455242</v>
      </c>
      <c r="AA2893" s="20" t="n">
        <v>61.5385464601424</v>
      </c>
      <c r="AB2893" t="n">
        <v>0.1310839948361137</v>
      </c>
      <c r="AC2893" t="n">
        <v>60.45393898619987</v>
      </c>
      <c r="AD2893" t="n">
        <v>38.36323660220272</v>
      </c>
    </row>
    <row r="2894">
      <c r="A2894" t="n">
        <v>2893</v>
      </c>
      <c r="B2894" t="n">
        <v>40.8</v>
      </c>
      <c r="C2894" s="21">
        <f>B2894-20</f>
        <v/>
      </c>
      <c r="D2894" t="n">
        <v>105</v>
      </c>
      <c r="E2894" s="22">
        <f>D2894-90</f>
        <v/>
      </c>
      <c r="F2894" s="23" t="n">
        <v>0.006576</v>
      </c>
      <c r="G2894" s="22" t="n">
        <v>22.5</v>
      </c>
      <c r="H2894" s="22" t="n">
        <v>1.3</v>
      </c>
      <c r="I2894" s="24" t="n">
        <v>0.0479109287261962</v>
      </c>
      <c r="J2894" s="6" t="n">
        <v>71000</v>
      </c>
      <c r="K2894" s="25">
        <f>23*10^-6</f>
        <v/>
      </c>
      <c r="L2894" s="8">
        <f>H2894</f>
        <v/>
      </c>
      <c r="M2894" s="26">
        <f>H2894^2/6</f>
        <v/>
      </c>
      <c r="N2894" s="26">
        <f>H2894^3/12</f>
        <v/>
      </c>
      <c r="O2894" s="27">
        <f>-J2894*L2894*K2894*C2894</f>
        <v/>
      </c>
      <c r="P2894" s="28">
        <f>-(12*F2894*J2894*L2894*N2894+12*O2894*N2894*G2894*COS(RADIANS(E2894)))/(12*N2894*G2894*COS(RADIANS(E2894))^2+L2894*G2894^3*SIN(RADIANS(E2894))^2)</f>
        <v/>
      </c>
      <c r="Q2894" s="28">
        <f>-(6*F2894*J2894*L2894*N2894*SIN(RADIANS(E2894))+6*O2894*N2894*G2894*SIN(RADIANS(E2894))*COS(RADIANS(E2894)))/(12*N2894*COS(RADIANS(E2894))^2+L2894*G2894^2*SIN(RADIANS(E2894))^2)</f>
        <v/>
      </c>
      <c r="R2894" s="28">
        <f>-P2894*SIN(RADIANS(E2894))</f>
        <v/>
      </c>
      <c r="S2894" s="8">
        <f>(O2894+P2894*COS(RADIANS(E2894)))/L2894</f>
        <v/>
      </c>
      <c r="T2894" s="8">
        <f>R2894/L2894</f>
        <v/>
      </c>
      <c r="U2894" s="8">
        <f>(Q2894-P2894*G2894*SIN(RADIANS(E2894)))/M2894</f>
        <v/>
      </c>
      <c r="V2894" s="8">
        <f>SQRT((S2894+U2894)^2+3*T2894^2)</f>
        <v/>
      </c>
      <c r="W2894" s="8">
        <f>V2894/AA2894</f>
        <v/>
      </c>
      <c r="X2894" s="27">
        <f>((3*10+H2894/COS(RADIANS(E2894)))*(3+3)+3*G2894*H2894)*2</f>
        <v/>
      </c>
      <c r="Y2894" s="28">
        <f>Z2894/X2894</f>
        <v/>
      </c>
      <c r="Z2894" s="29" t="n">
        <v>555.93056612988</v>
      </c>
      <c r="AA2894" s="20" t="n">
        <v>32.3693166370539</v>
      </c>
      <c r="AB2894" t="n">
        <v>0.06311482027420802</v>
      </c>
      <c r="AC2894" t="n">
        <v>33.82800228106151</v>
      </c>
      <c r="AD2894" t="n">
        <v>31.73366067458176</v>
      </c>
    </row>
    <row r="2895">
      <c r="A2895" t="n">
        <v>2894</v>
      </c>
      <c r="B2895" t="n">
        <v>65.8</v>
      </c>
      <c r="C2895" s="21">
        <f>B2895-20</f>
        <v/>
      </c>
      <c r="D2895" t="n">
        <v>127.5</v>
      </c>
      <c r="E2895" s="22">
        <f>D2895-90</f>
        <v/>
      </c>
      <c r="F2895" s="23" t="n">
        <v>0.011956</v>
      </c>
      <c r="G2895" s="22" t="n">
        <v>21.3</v>
      </c>
      <c r="H2895" s="22" t="n">
        <v>1.6</v>
      </c>
      <c r="I2895" s="24" t="n">
        <v>0.0546341501176357</v>
      </c>
      <c r="J2895" s="6" t="n">
        <v>71000</v>
      </c>
      <c r="K2895" s="25">
        <f>23*10^-6</f>
        <v/>
      </c>
      <c r="L2895" s="8">
        <f>H2895</f>
        <v/>
      </c>
      <c r="M2895" s="26">
        <f>H2895^2/6</f>
        <v/>
      </c>
      <c r="N2895" s="26">
        <f>H2895^3/12</f>
        <v/>
      </c>
      <c r="O2895" s="27">
        <f>-J2895*L2895*K2895*C2895</f>
        <v/>
      </c>
      <c r="P2895" s="28">
        <f>-(12*F2895*J2895*L2895*N2895+12*O2895*N2895*G2895*COS(RADIANS(E2895)))/(12*N2895*G2895*COS(RADIANS(E2895))^2+L2895*G2895^3*SIN(RADIANS(E2895))^2)</f>
        <v/>
      </c>
      <c r="Q2895" s="28">
        <f>-(6*F2895*J2895*L2895*N2895*SIN(RADIANS(E2895))+6*O2895*N2895*G2895*SIN(RADIANS(E2895))*COS(RADIANS(E2895)))/(12*N2895*COS(RADIANS(E2895))^2+L2895*G2895^2*SIN(RADIANS(E2895))^2)</f>
        <v/>
      </c>
      <c r="R2895" s="28">
        <f>-P2895*SIN(RADIANS(E2895))</f>
        <v/>
      </c>
      <c r="S2895" s="8">
        <f>(O2895+P2895*COS(RADIANS(E2895)))/L2895</f>
        <v/>
      </c>
      <c r="T2895" s="8">
        <f>R2895/L2895</f>
        <v/>
      </c>
      <c r="U2895" s="8">
        <f>(Q2895-P2895*G2895*SIN(RADIANS(E2895)))/M2895</f>
        <v/>
      </c>
      <c r="V2895" s="8">
        <f>SQRT((S2895+U2895)^2+3*T2895^2)</f>
        <v/>
      </c>
      <c r="W2895" s="8">
        <f>V2895/AA2895</f>
        <v/>
      </c>
      <c r="X2895" s="27">
        <f>((3*10+H2895/COS(RADIANS(E2895)))*(3+3)+3*G2895*H2895)*2</f>
        <v/>
      </c>
      <c r="Y2895" s="28">
        <f>Z2895/X2895</f>
        <v/>
      </c>
      <c r="Z2895" s="29" t="n">
        <v>598.366037670884</v>
      </c>
      <c r="AA2895" s="20" t="n">
        <v>71.0894080806647</v>
      </c>
      <c r="AB2895" t="n">
        <v>0.05185364648898105</v>
      </c>
      <c r="AC2895" t="n">
        <v>67.19951637246618</v>
      </c>
      <c r="AD2895" t="n">
        <v>-5.089314325687862</v>
      </c>
    </row>
    <row r="2896">
      <c r="A2896" t="n">
        <v>2895</v>
      </c>
      <c r="B2896" t="n">
        <v>56</v>
      </c>
      <c r="C2896" s="21">
        <f>B2896-20</f>
        <v/>
      </c>
      <c r="D2896" t="n">
        <v>118.3</v>
      </c>
      <c r="E2896" s="22">
        <f>D2896-90</f>
        <v/>
      </c>
      <c r="F2896" s="23" t="n">
        <v>0.011207</v>
      </c>
      <c r="G2896" s="22" t="n">
        <v>24.2</v>
      </c>
      <c r="H2896" s="22" t="n">
        <v>2</v>
      </c>
      <c r="I2896" s="24" t="n">
        <v>0.0551971010863781</v>
      </c>
      <c r="J2896" s="6" t="n">
        <v>71000</v>
      </c>
      <c r="K2896" s="25">
        <f>23*10^-6</f>
        <v/>
      </c>
      <c r="L2896" s="8">
        <f>H2896</f>
        <v/>
      </c>
      <c r="M2896" s="26">
        <f>H2896^2/6</f>
        <v/>
      </c>
      <c r="N2896" s="26">
        <f>H2896^3/12</f>
        <v/>
      </c>
      <c r="O2896" s="27">
        <f>-J2896*L2896*K2896*C2896</f>
        <v/>
      </c>
      <c r="P2896" s="28">
        <f>-(12*F2896*J2896*L2896*N2896+12*O2896*N2896*G2896*COS(RADIANS(E2896)))/(12*N2896*G2896*COS(RADIANS(E2896))^2+L2896*G2896^3*SIN(RADIANS(E2896))^2)</f>
        <v/>
      </c>
      <c r="Q2896" s="28">
        <f>-(6*F2896*J2896*L2896*N2896*SIN(RADIANS(E2896))+6*O2896*N2896*G2896*SIN(RADIANS(E2896))*COS(RADIANS(E2896)))/(12*N2896*COS(RADIANS(E2896))^2+L2896*G2896^2*SIN(RADIANS(E2896))^2)</f>
        <v/>
      </c>
      <c r="R2896" s="28">
        <f>-P2896*SIN(RADIANS(E2896))</f>
        <v/>
      </c>
      <c r="S2896" s="8">
        <f>(O2896+P2896*COS(RADIANS(E2896)))/L2896</f>
        <v/>
      </c>
      <c r="T2896" s="8">
        <f>R2896/L2896</f>
        <v/>
      </c>
      <c r="U2896" s="8">
        <f>(Q2896-P2896*G2896*SIN(RADIANS(E2896)))/M2896</f>
        <v/>
      </c>
      <c r="V2896" s="8">
        <f>SQRT((S2896+U2896)^2+3*T2896^2)</f>
        <v/>
      </c>
      <c r="W2896" s="8">
        <f>V2896/AA2896</f>
        <v/>
      </c>
      <c r="X2896" s="27">
        <f>((3*10+H2896/COS(RADIANS(E2896)))*(3+3)+3*G2896*H2896)*2</f>
        <v/>
      </c>
      <c r="Y2896" s="28">
        <f>Z2896/X2896</f>
        <v/>
      </c>
      <c r="Z2896" s="29" t="n">
        <v>684.349511944908</v>
      </c>
      <c r="AA2896" s="20" t="n">
        <v>61.0660057077745</v>
      </c>
      <c r="AB2896" t="n">
        <v>0.06148850952713841</v>
      </c>
      <c r="AC2896" t="n">
        <v>55.8823127768495</v>
      </c>
      <c r="AD2896" t="n">
        <v>11.39807764707584</v>
      </c>
    </row>
    <row r="2897">
      <c r="A2897" t="n">
        <v>2896</v>
      </c>
      <c r="B2897" t="n">
        <v>79.7</v>
      </c>
      <c r="C2897" s="21">
        <f>B2897-20</f>
        <v/>
      </c>
      <c r="D2897" t="n">
        <v>102.6</v>
      </c>
      <c r="E2897" s="22">
        <f>D2897-90</f>
        <v/>
      </c>
      <c r="F2897" s="23" t="n">
        <v>0.027264</v>
      </c>
      <c r="G2897" s="22" t="n">
        <v>34.9</v>
      </c>
      <c r="H2897" s="22" t="n">
        <v>1.9</v>
      </c>
      <c r="I2897" s="24" t="n">
        <v>0.214518442749977</v>
      </c>
      <c r="J2897" s="6" t="n">
        <v>71000</v>
      </c>
      <c r="K2897" s="25">
        <f>23*10^-6</f>
        <v/>
      </c>
      <c r="L2897" s="8">
        <f>H2897</f>
        <v/>
      </c>
      <c r="M2897" s="26">
        <f>H2897^2/6</f>
        <v/>
      </c>
      <c r="N2897" s="26">
        <f>H2897^3/12</f>
        <v/>
      </c>
      <c r="O2897" s="27">
        <f>-J2897*L2897*K2897*C2897</f>
        <v/>
      </c>
      <c r="P2897" s="28">
        <f>-(12*F2897*J2897*L2897*N2897+12*O2897*N2897*G2897*COS(RADIANS(E2897)))/(12*N2897*G2897*COS(RADIANS(E2897))^2+L2897*G2897^3*SIN(RADIANS(E2897))^2)</f>
        <v/>
      </c>
      <c r="Q2897" s="28">
        <f>-(6*F2897*J2897*L2897*N2897*SIN(RADIANS(E2897))+6*O2897*N2897*G2897*SIN(RADIANS(E2897))*COS(RADIANS(E2897)))/(12*N2897*COS(RADIANS(E2897))^2+L2897*G2897^2*SIN(RADIANS(E2897))^2)</f>
        <v/>
      </c>
      <c r="R2897" s="28">
        <f>-P2897*SIN(RADIANS(E2897))</f>
        <v/>
      </c>
      <c r="S2897" s="8">
        <f>(O2897+P2897*COS(RADIANS(E2897)))/L2897</f>
        <v/>
      </c>
      <c r="T2897" s="8">
        <f>R2897/L2897</f>
        <v/>
      </c>
      <c r="U2897" s="8">
        <f>(Q2897-P2897*G2897*SIN(RADIANS(E2897)))/M2897</f>
        <v/>
      </c>
      <c r="V2897" s="8">
        <f>SQRT((S2897+U2897)^2+3*T2897^2)</f>
        <v/>
      </c>
      <c r="W2897" s="8">
        <f>V2897/AA2897</f>
        <v/>
      </c>
      <c r="X2897" s="27">
        <f>((3*10+H2897/COS(RADIANS(E2897)))*(3+3)+3*G2897*H2897)*2</f>
        <v/>
      </c>
      <c r="Y2897" s="28">
        <f>Z2897/X2897</f>
        <v/>
      </c>
      <c r="Z2897" s="29" t="n">
        <v>785.248538887378</v>
      </c>
      <c r="AA2897" s="20" t="n">
        <v>102.912811128495</v>
      </c>
      <c r="AB2897" t="n">
        <v>0.322175536999022</v>
      </c>
      <c r="AC2897" t="n">
        <v>101.3793271986606</v>
      </c>
      <c r="AD2897" t="n">
        <v>50.18547257240732</v>
      </c>
    </row>
    <row r="2898">
      <c r="A2898" t="n">
        <v>2897</v>
      </c>
      <c r="B2898" t="n">
        <v>49.9</v>
      </c>
      <c r="C2898" s="21">
        <f>B2898-20</f>
        <v/>
      </c>
      <c r="D2898" t="n">
        <v>105.6</v>
      </c>
      <c r="E2898" s="22">
        <f>D2898-90</f>
        <v/>
      </c>
      <c r="F2898" s="23" t="n">
        <v>0.012879</v>
      </c>
      <c r="G2898" s="22" t="n">
        <v>33</v>
      </c>
      <c r="H2898" s="22" t="n">
        <v>1.2</v>
      </c>
      <c r="I2898" s="24" t="n">
        <v>0.0886730104684829</v>
      </c>
      <c r="J2898" s="6" t="n">
        <v>71000</v>
      </c>
      <c r="K2898" s="25">
        <f>23*10^-6</f>
        <v/>
      </c>
      <c r="L2898" s="8">
        <f>H2898</f>
        <v/>
      </c>
      <c r="M2898" s="26">
        <f>H2898^2/6</f>
        <v/>
      </c>
      <c r="N2898" s="26">
        <f>H2898^3/12</f>
        <v/>
      </c>
      <c r="O2898" s="27">
        <f>-J2898*L2898*K2898*C2898</f>
        <v/>
      </c>
      <c r="P2898" s="28">
        <f>-(12*F2898*J2898*L2898*N2898+12*O2898*N2898*G2898*COS(RADIANS(E2898)))/(12*N2898*G2898*COS(RADIANS(E2898))^2+L2898*G2898^3*SIN(RADIANS(E2898))^2)</f>
        <v/>
      </c>
      <c r="Q2898" s="28">
        <f>-(6*F2898*J2898*L2898*N2898*SIN(RADIANS(E2898))+6*O2898*N2898*G2898*SIN(RADIANS(E2898))*COS(RADIANS(E2898)))/(12*N2898*COS(RADIANS(E2898))^2+L2898*G2898^2*SIN(RADIANS(E2898))^2)</f>
        <v/>
      </c>
      <c r="R2898" s="28">
        <f>-P2898*SIN(RADIANS(E2898))</f>
        <v/>
      </c>
      <c r="S2898" s="8">
        <f>(O2898+P2898*COS(RADIANS(E2898)))/L2898</f>
        <v/>
      </c>
      <c r="T2898" s="8">
        <f>R2898/L2898</f>
        <v/>
      </c>
      <c r="U2898" s="8">
        <f>(Q2898-P2898*G2898*SIN(RADIANS(E2898)))/M2898</f>
        <v/>
      </c>
      <c r="V2898" s="8">
        <f>SQRT((S2898+U2898)^2+3*T2898^2)</f>
        <v/>
      </c>
      <c r="W2898" s="8">
        <f>V2898/AA2898</f>
        <v/>
      </c>
      <c r="X2898" s="27">
        <f>((3*10+H2898/COS(RADIANS(E2898)))*(3+3)+3*G2898*H2898)*2</f>
        <v/>
      </c>
      <c r="Y2898" s="28">
        <f>Z2898/X2898</f>
        <v/>
      </c>
      <c r="Z2898" s="29" t="n">
        <v>616.902288450822</v>
      </c>
      <c r="AA2898" s="20" t="n">
        <v>43.4929528721059</v>
      </c>
      <c r="AB2898" t="n">
        <v>0.1282809193977132</v>
      </c>
      <c r="AC2898" t="n">
        <v>46.22243784440898</v>
      </c>
      <c r="AD2898" t="n">
        <v>44.66737817964142</v>
      </c>
    </row>
    <row r="2899">
      <c r="A2899" t="n">
        <v>2898</v>
      </c>
      <c r="B2899" t="n">
        <v>67.2</v>
      </c>
      <c r="C2899" s="21">
        <f>B2899-20</f>
        <v/>
      </c>
      <c r="D2899" t="n">
        <v>112.1</v>
      </c>
      <c r="E2899" s="22">
        <f>D2899-90</f>
        <v/>
      </c>
      <c r="F2899" s="23" t="n">
        <v>0.019681</v>
      </c>
      <c r="G2899" s="22" t="n">
        <v>33</v>
      </c>
      <c r="H2899" s="22" t="n">
        <v>1.2</v>
      </c>
      <c r="I2899" s="24" t="n">
        <v>0.106510251760482</v>
      </c>
      <c r="J2899" s="6" t="n">
        <v>71000</v>
      </c>
      <c r="K2899" s="25">
        <f>23*10^-6</f>
        <v/>
      </c>
      <c r="L2899" s="8">
        <f>H2899</f>
        <v/>
      </c>
      <c r="M2899" s="26">
        <f>H2899^2/6</f>
        <v/>
      </c>
      <c r="N2899" s="26">
        <f>H2899^3/12</f>
        <v/>
      </c>
      <c r="O2899" s="27">
        <f>-J2899*L2899*K2899*C2899</f>
        <v/>
      </c>
      <c r="P2899" s="28">
        <f>-(12*F2899*J2899*L2899*N2899+12*O2899*N2899*G2899*COS(RADIANS(E2899)))/(12*N2899*G2899*COS(RADIANS(E2899))^2+L2899*G2899^3*SIN(RADIANS(E2899))^2)</f>
        <v/>
      </c>
      <c r="Q2899" s="28">
        <f>-(6*F2899*J2899*L2899*N2899*SIN(RADIANS(E2899))+6*O2899*N2899*G2899*SIN(RADIANS(E2899))*COS(RADIANS(E2899)))/(12*N2899*COS(RADIANS(E2899))^2+L2899*G2899^2*SIN(RADIANS(E2899))^2)</f>
        <v/>
      </c>
      <c r="R2899" s="28">
        <f>-P2899*SIN(RADIANS(E2899))</f>
        <v/>
      </c>
      <c r="S2899" s="8">
        <f>(O2899+P2899*COS(RADIANS(E2899)))/L2899</f>
        <v/>
      </c>
      <c r="T2899" s="8">
        <f>R2899/L2899</f>
        <v/>
      </c>
      <c r="U2899" s="8">
        <f>(Q2899-P2899*G2899*SIN(RADIANS(E2899)))/M2899</f>
        <v/>
      </c>
      <c r="V2899" s="8">
        <f>SQRT((S2899+U2899)^2+3*T2899^2)</f>
        <v/>
      </c>
      <c r="W2899" s="8">
        <f>V2899/AA2899</f>
        <v/>
      </c>
      <c r="X2899" s="27">
        <f>((3*10+H2899/COS(RADIANS(E2899)))*(3+3)+3*G2899*H2899)*2</f>
        <v/>
      </c>
      <c r="Y2899" s="28">
        <f>Z2899/X2899</f>
        <v/>
      </c>
      <c r="Z2899" s="29" t="n">
        <v>618.47865193596</v>
      </c>
      <c r="AA2899" s="20" t="n">
        <v>67.13390464458151</v>
      </c>
      <c r="AB2899" t="n">
        <v>0.1424824366245686</v>
      </c>
      <c r="AC2899" t="n">
        <v>70.06827909657083</v>
      </c>
      <c r="AD2899" t="n">
        <v>33.7734483484088</v>
      </c>
    </row>
    <row r="2900">
      <c r="A2900" t="n">
        <v>2899</v>
      </c>
      <c r="B2900" t="n">
        <v>85.40000000000001</v>
      </c>
      <c r="C2900" s="21">
        <f>B2900-20</f>
        <v/>
      </c>
      <c r="D2900" t="n">
        <v>125.2</v>
      </c>
      <c r="E2900" s="22">
        <f>D2900-90</f>
        <v/>
      </c>
      <c r="F2900" s="23" t="n">
        <v>0.018547</v>
      </c>
      <c r="G2900" s="22" t="n">
        <v>23.1</v>
      </c>
      <c r="H2900" s="22" t="n">
        <v>1.4</v>
      </c>
      <c r="I2900" s="24" t="n">
        <v>0.0849616602063179</v>
      </c>
      <c r="J2900" s="6" t="n">
        <v>71000</v>
      </c>
      <c r="K2900" s="25">
        <f>23*10^-6</f>
        <v/>
      </c>
      <c r="L2900" s="8">
        <f>H2900</f>
        <v/>
      </c>
      <c r="M2900" s="26">
        <f>H2900^2/6</f>
        <v/>
      </c>
      <c r="N2900" s="26">
        <f>H2900^3/12</f>
        <v/>
      </c>
      <c r="O2900" s="27">
        <f>-J2900*L2900*K2900*C2900</f>
        <v/>
      </c>
      <c r="P2900" s="28">
        <f>-(12*F2900*J2900*L2900*N2900+12*O2900*N2900*G2900*COS(RADIANS(E2900)))/(12*N2900*G2900*COS(RADIANS(E2900))^2+L2900*G2900^3*SIN(RADIANS(E2900))^2)</f>
        <v/>
      </c>
      <c r="Q2900" s="28">
        <f>-(6*F2900*J2900*L2900*N2900*SIN(RADIANS(E2900))+6*O2900*N2900*G2900*SIN(RADIANS(E2900))*COS(RADIANS(E2900)))/(12*N2900*COS(RADIANS(E2900))^2+L2900*G2900^2*SIN(RADIANS(E2900))^2)</f>
        <v/>
      </c>
      <c r="R2900" s="28">
        <f>-P2900*SIN(RADIANS(E2900))</f>
        <v/>
      </c>
      <c r="S2900" s="8">
        <f>(O2900+P2900*COS(RADIANS(E2900)))/L2900</f>
        <v/>
      </c>
      <c r="T2900" s="8">
        <f>R2900/L2900</f>
        <v/>
      </c>
      <c r="U2900" s="8">
        <f>(Q2900-P2900*G2900*SIN(RADIANS(E2900)))/M2900</f>
        <v/>
      </c>
      <c r="V2900" s="8">
        <f>SQRT((S2900+U2900)^2+3*T2900^2)</f>
        <v/>
      </c>
      <c r="W2900" s="8">
        <f>V2900/AA2900</f>
        <v/>
      </c>
      <c r="X2900" s="27">
        <f>((3*10+H2900/COS(RADIANS(E2900)))*(3+3)+3*G2900*H2900)*2</f>
        <v/>
      </c>
      <c r="Y2900" s="28">
        <f>Z2900/X2900</f>
        <v/>
      </c>
      <c r="Z2900" s="29" t="n">
        <v>583.403574592576</v>
      </c>
      <c r="AA2900" s="20" t="n">
        <v>96.8204622073383</v>
      </c>
      <c r="AB2900" t="n">
        <v>0.0858407178434939</v>
      </c>
      <c r="AC2900" t="n">
        <v>95.41134097281949</v>
      </c>
      <c r="AD2900" t="n">
        <v>1.034652141967709</v>
      </c>
    </row>
    <row r="2901">
      <c r="A2901" t="n">
        <v>2900</v>
      </c>
      <c r="B2901" t="n">
        <v>78.5</v>
      </c>
      <c r="C2901" s="21">
        <f>B2901-20</f>
        <v/>
      </c>
      <c r="D2901" t="n">
        <v>114.5</v>
      </c>
      <c r="E2901" s="22">
        <f>D2901-90</f>
        <v/>
      </c>
      <c r="F2901" s="23" t="n">
        <v>0.022753</v>
      </c>
      <c r="G2901" s="22" t="n">
        <v>30.9</v>
      </c>
      <c r="H2901" s="22" t="n">
        <v>1.9</v>
      </c>
      <c r="I2901" s="24" t="n">
        <v>0.116535298526287</v>
      </c>
      <c r="J2901" s="6" t="n">
        <v>71000</v>
      </c>
      <c r="K2901" s="25">
        <f>23*10^-6</f>
        <v/>
      </c>
      <c r="L2901" s="8">
        <f>H2901</f>
        <v/>
      </c>
      <c r="M2901" s="26">
        <f>H2901^2/6</f>
        <v/>
      </c>
      <c r="N2901" s="26">
        <f>H2901^3/12</f>
        <v/>
      </c>
      <c r="O2901" s="27">
        <f>-J2901*L2901*K2901*C2901</f>
        <v/>
      </c>
      <c r="P2901" s="28">
        <f>-(12*F2901*J2901*L2901*N2901+12*O2901*N2901*G2901*COS(RADIANS(E2901)))/(12*N2901*G2901*COS(RADIANS(E2901))^2+L2901*G2901^3*SIN(RADIANS(E2901))^2)</f>
        <v/>
      </c>
      <c r="Q2901" s="28">
        <f>-(6*F2901*J2901*L2901*N2901*SIN(RADIANS(E2901))+6*O2901*N2901*G2901*SIN(RADIANS(E2901))*COS(RADIANS(E2901)))/(12*N2901*COS(RADIANS(E2901))^2+L2901*G2901^2*SIN(RADIANS(E2901))^2)</f>
        <v/>
      </c>
      <c r="R2901" s="28">
        <f>-P2901*SIN(RADIANS(E2901))</f>
        <v/>
      </c>
      <c r="S2901" s="8">
        <f>(O2901+P2901*COS(RADIANS(E2901)))/L2901</f>
        <v/>
      </c>
      <c r="T2901" s="8">
        <f>R2901/L2901</f>
        <v/>
      </c>
      <c r="U2901" s="8">
        <f>(Q2901-P2901*G2901*SIN(RADIANS(E2901)))/M2901</f>
        <v/>
      </c>
      <c r="V2901" s="8">
        <f>SQRT((S2901+U2901)^2+3*T2901^2)</f>
        <v/>
      </c>
      <c r="W2901" s="8">
        <f>V2901/AA2901</f>
        <v/>
      </c>
      <c r="X2901" s="27">
        <f>((3*10+H2901/COS(RADIANS(E2901)))*(3+3)+3*G2901*H2901)*2</f>
        <v/>
      </c>
      <c r="Y2901" s="28">
        <f>Z2901/X2901</f>
        <v/>
      </c>
      <c r="Z2901" s="29" t="n">
        <v>743.124389680437</v>
      </c>
      <c r="AA2901" s="20" t="n">
        <v>94.3871172772684</v>
      </c>
      <c r="AB2901" t="n">
        <v>0.1473138158876446</v>
      </c>
      <c r="AC2901" t="n">
        <v>90.46359941679205</v>
      </c>
      <c r="AD2901" t="n">
        <v>26.41132579620484</v>
      </c>
    </row>
    <row r="2902">
      <c r="A2902" t="n">
        <v>2901</v>
      </c>
      <c r="B2902" t="n">
        <v>69.2</v>
      </c>
      <c r="C2902" s="21">
        <f>B2902-20</f>
        <v/>
      </c>
      <c r="D2902" t="n">
        <v>118.1</v>
      </c>
      <c r="E2902" s="22">
        <f>D2902-90</f>
        <v/>
      </c>
      <c r="F2902" s="23" t="n">
        <v>0.015833</v>
      </c>
      <c r="G2902" s="22" t="n">
        <v>25.2</v>
      </c>
      <c r="H2902" s="22" t="n">
        <v>1.6</v>
      </c>
      <c r="I2902" s="24" t="n">
        <v>0.0779096111655235</v>
      </c>
      <c r="J2902" s="6" t="n">
        <v>71000</v>
      </c>
      <c r="K2902" s="25">
        <f>23*10^-6</f>
        <v/>
      </c>
      <c r="L2902" s="8">
        <f>H2902</f>
        <v/>
      </c>
      <c r="M2902" s="26">
        <f>H2902^2/6</f>
        <v/>
      </c>
      <c r="N2902" s="26">
        <f>H2902^3/12</f>
        <v/>
      </c>
      <c r="O2902" s="27">
        <f>-J2902*L2902*K2902*C2902</f>
        <v/>
      </c>
      <c r="P2902" s="28">
        <f>-(12*F2902*J2902*L2902*N2902+12*O2902*N2902*G2902*COS(RADIANS(E2902)))/(12*N2902*G2902*COS(RADIANS(E2902))^2+L2902*G2902^3*SIN(RADIANS(E2902))^2)</f>
        <v/>
      </c>
      <c r="Q2902" s="28">
        <f>-(6*F2902*J2902*L2902*N2902*SIN(RADIANS(E2902))+6*O2902*N2902*G2902*SIN(RADIANS(E2902))*COS(RADIANS(E2902)))/(12*N2902*COS(RADIANS(E2902))^2+L2902*G2902^2*SIN(RADIANS(E2902))^2)</f>
        <v/>
      </c>
      <c r="R2902" s="28">
        <f>-P2902*SIN(RADIANS(E2902))</f>
        <v/>
      </c>
      <c r="S2902" s="8">
        <f>(O2902+P2902*COS(RADIANS(E2902)))/L2902</f>
        <v/>
      </c>
      <c r="T2902" s="8">
        <f>R2902/L2902</f>
        <v/>
      </c>
      <c r="U2902" s="8">
        <f>(Q2902-P2902*G2902*SIN(RADIANS(E2902)))/M2902</f>
        <v/>
      </c>
      <c r="V2902" s="8">
        <f>SQRT((S2902+U2902)^2+3*T2902^2)</f>
        <v/>
      </c>
      <c r="W2902" s="8">
        <f>V2902/AA2902</f>
        <v/>
      </c>
      <c r="X2902" s="27">
        <f>((3*10+H2902/COS(RADIANS(E2902)))*(3+3)+3*G2902*H2902)*2</f>
        <v/>
      </c>
      <c r="Y2902" s="28">
        <f>Z2902/X2902</f>
        <v/>
      </c>
      <c r="Z2902" s="29" t="n">
        <v>630.326177058997</v>
      </c>
      <c r="AA2902" s="20" t="n">
        <v>76.992111352766</v>
      </c>
      <c r="AB2902" t="n">
        <v>0.0888206023983602</v>
      </c>
      <c r="AC2902" t="n">
        <v>74.35445972944434</v>
      </c>
      <c r="AD2902" t="n">
        <v>14.00467935805207</v>
      </c>
    </row>
    <row r="2903">
      <c r="A2903" t="n">
        <v>2902</v>
      </c>
      <c r="B2903" t="n">
        <v>64</v>
      </c>
      <c r="C2903" s="21">
        <f>B2903-20</f>
        <v/>
      </c>
      <c r="D2903" t="n">
        <v>125.4</v>
      </c>
      <c r="E2903" s="22">
        <f>D2903-90</f>
        <v/>
      </c>
      <c r="F2903" s="23" t="n">
        <v>0.011718</v>
      </c>
      <c r="G2903" s="22" t="n">
        <v>21.3</v>
      </c>
      <c r="H2903" s="22" t="n">
        <v>1.9</v>
      </c>
      <c r="I2903" s="24" t="n">
        <v>0.0543217770755291</v>
      </c>
      <c r="J2903" s="6" t="n">
        <v>71000</v>
      </c>
      <c r="K2903" s="25">
        <f>23*10^-6</f>
        <v/>
      </c>
      <c r="L2903" s="8">
        <f>H2903</f>
        <v/>
      </c>
      <c r="M2903" s="26">
        <f>H2903^2/6</f>
        <v/>
      </c>
      <c r="N2903" s="26">
        <f>H2903^3/12</f>
        <v/>
      </c>
      <c r="O2903" s="27">
        <f>-J2903*L2903*K2903*C2903</f>
        <v/>
      </c>
      <c r="P2903" s="28">
        <f>-(12*F2903*J2903*L2903*N2903+12*O2903*N2903*G2903*COS(RADIANS(E2903)))/(12*N2903*G2903*COS(RADIANS(E2903))^2+L2903*G2903^3*SIN(RADIANS(E2903))^2)</f>
        <v/>
      </c>
      <c r="Q2903" s="28">
        <f>-(6*F2903*J2903*L2903*N2903*SIN(RADIANS(E2903))+6*O2903*N2903*G2903*SIN(RADIANS(E2903))*COS(RADIANS(E2903)))/(12*N2903*COS(RADIANS(E2903))^2+L2903*G2903^2*SIN(RADIANS(E2903))^2)</f>
        <v/>
      </c>
      <c r="R2903" s="28">
        <f>-P2903*SIN(RADIANS(E2903))</f>
        <v/>
      </c>
      <c r="S2903" s="8">
        <f>(O2903+P2903*COS(RADIANS(E2903)))/L2903</f>
        <v/>
      </c>
      <c r="T2903" s="8">
        <f>R2903/L2903</f>
        <v/>
      </c>
      <c r="U2903" s="8">
        <f>(Q2903-P2903*G2903*SIN(RADIANS(E2903)))/M2903</f>
        <v/>
      </c>
      <c r="V2903" s="8">
        <f>SQRT((S2903+U2903)^2+3*T2903^2)</f>
        <v/>
      </c>
      <c r="W2903" s="8">
        <f>V2903/AA2903</f>
        <v/>
      </c>
      <c r="X2903" s="27">
        <f>((3*10+H2903/COS(RADIANS(E2903)))*(3+3)+3*G2903*H2903)*2</f>
        <v/>
      </c>
      <c r="Y2903" s="28">
        <f>Z2903/X2903</f>
        <v/>
      </c>
      <c r="Z2903" s="29" t="n">
        <v>639.667939442593</v>
      </c>
      <c r="AA2903" s="20" t="n">
        <v>72.8555785008847</v>
      </c>
      <c r="AB2903" t="n">
        <v>0.05273835971739278</v>
      </c>
      <c r="AC2903" t="n">
        <v>66.08991899530515</v>
      </c>
      <c r="AD2903" t="n">
        <v>-2.914885048651366</v>
      </c>
    </row>
    <row r="2904">
      <c r="A2904" t="n">
        <v>2903</v>
      </c>
      <c r="B2904" t="n">
        <v>46</v>
      </c>
      <c r="C2904" s="21">
        <f>B2904-20</f>
        <v/>
      </c>
      <c r="D2904" t="n">
        <v>106.3</v>
      </c>
      <c r="E2904" s="22">
        <f>D2904-90</f>
        <v/>
      </c>
      <c r="F2904" s="23" t="n">
        <v>0.010085</v>
      </c>
      <c r="G2904" s="22" t="n">
        <v>29.2</v>
      </c>
      <c r="H2904" s="22" t="n">
        <v>1.2</v>
      </c>
      <c r="I2904" s="24" t="n">
        <v>0.0680298805236816</v>
      </c>
      <c r="J2904" s="6" t="n">
        <v>71000</v>
      </c>
      <c r="K2904" s="25">
        <f>23*10^-6</f>
        <v/>
      </c>
      <c r="L2904" s="8">
        <f>H2904</f>
        <v/>
      </c>
      <c r="M2904" s="26">
        <f>H2904^2/6</f>
        <v/>
      </c>
      <c r="N2904" s="26">
        <f>H2904^3/12</f>
        <v/>
      </c>
      <c r="O2904" s="27">
        <f>-J2904*L2904*K2904*C2904</f>
        <v/>
      </c>
      <c r="P2904" s="28">
        <f>-(12*F2904*J2904*L2904*N2904+12*O2904*N2904*G2904*COS(RADIANS(E2904)))/(12*N2904*G2904*COS(RADIANS(E2904))^2+L2904*G2904^3*SIN(RADIANS(E2904))^2)</f>
        <v/>
      </c>
      <c r="Q2904" s="28">
        <f>-(6*F2904*J2904*L2904*N2904*SIN(RADIANS(E2904))+6*O2904*N2904*G2904*SIN(RADIANS(E2904))*COS(RADIANS(E2904)))/(12*N2904*COS(RADIANS(E2904))^2+L2904*G2904^2*SIN(RADIANS(E2904))^2)</f>
        <v/>
      </c>
      <c r="R2904" s="28">
        <f>-P2904*SIN(RADIANS(E2904))</f>
        <v/>
      </c>
      <c r="S2904" s="8">
        <f>(O2904+P2904*COS(RADIANS(E2904)))/L2904</f>
        <v/>
      </c>
      <c r="T2904" s="8">
        <f>R2904/L2904</f>
        <v/>
      </c>
      <c r="U2904" s="8">
        <f>(Q2904-P2904*G2904*SIN(RADIANS(E2904)))/M2904</f>
        <v/>
      </c>
      <c r="V2904" s="8">
        <f>SQRT((S2904+U2904)^2+3*T2904^2)</f>
        <v/>
      </c>
      <c r="W2904" s="8">
        <f>V2904/AA2904</f>
        <v/>
      </c>
      <c r="X2904" s="27">
        <f>((3*10+H2904/COS(RADIANS(E2904)))*(3+3)+3*G2904*H2904)*2</f>
        <v/>
      </c>
      <c r="Y2904" s="28">
        <f>Z2904/X2904</f>
        <v/>
      </c>
      <c r="Z2904" s="29" t="n">
        <v>589.681743865793</v>
      </c>
      <c r="AA2904" s="20" t="n">
        <v>38.0934322361269</v>
      </c>
      <c r="AB2904" t="n">
        <v>0.09477399878481337</v>
      </c>
      <c r="AC2904" t="n">
        <v>40.40174681884108</v>
      </c>
      <c r="AD2904" t="n">
        <v>39.31231108339516</v>
      </c>
    </row>
    <row r="2905">
      <c r="A2905" t="n">
        <v>2904</v>
      </c>
      <c r="B2905" t="n">
        <v>42</v>
      </c>
      <c r="C2905" s="21">
        <f>B2905-20</f>
        <v/>
      </c>
      <c r="D2905" t="n">
        <v>109.4</v>
      </c>
      <c r="E2905" s="22">
        <f>D2905-90</f>
        <v/>
      </c>
      <c r="F2905" s="23" t="n">
        <v>0.008389000000000001</v>
      </c>
      <c r="G2905" s="22" t="n">
        <v>29.1</v>
      </c>
      <c r="H2905" s="22" t="n">
        <v>1.5</v>
      </c>
      <c r="I2905" s="24" t="n">
        <v>0.0499777756631374</v>
      </c>
      <c r="J2905" s="6" t="n">
        <v>71000</v>
      </c>
      <c r="K2905" s="25">
        <f>23*10^-6</f>
        <v/>
      </c>
      <c r="L2905" s="8">
        <f>H2905</f>
        <v/>
      </c>
      <c r="M2905" s="26">
        <f>H2905^2/6</f>
        <v/>
      </c>
      <c r="N2905" s="26">
        <f>H2905^3/12</f>
        <v/>
      </c>
      <c r="O2905" s="27">
        <f>-J2905*L2905*K2905*C2905</f>
        <v/>
      </c>
      <c r="P2905" s="28">
        <f>-(12*F2905*J2905*L2905*N2905+12*O2905*N2905*G2905*COS(RADIANS(E2905)))/(12*N2905*G2905*COS(RADIANS(E2905))^2+L2905*G2905^3*SIN(RADIANS(E2905))^2)</f>
        <v/>
      </c>
      <c r="Q2905" s="28">
        <f>-(6*F2905*J2905*L2905*N2905*SIN(RADIANS(E2905))+6*O2905*N2905*G2905*SIN(RADIANS(E2905))*COS(RADIANS(E2905)))/(12*N2905*COS(RADIANS(E2905))^2+L2905*G2905^2*SIN(RADIANS(E2905))^2)</f>
        <v/>
      </c>
      <c r="R2905" s="28">
        <f>-P2905*SIN(RADIANS(E2905))</f>
        <v/>
      </c>
      <c r="S2905" s="8">
        <f>(O2905+P2905*COS(RADIANS(E2905)))/L2905</f>
        <v/>
      </c>
      <c r="T2905" s="8">
        <f>R2905/L2905</f>
        <v/>
      </c>
      <c r="U2905" s="8">
        <f>(Q2905-P2905*G2905*SIN(RADIANS(E2905)))/M2905</f>
        <v/>
      </c>
      <c r="V2905" s="8">
        <f>SQRT((S2905+U2905)^2+3*T2905^2)</f>
        <v/>
      </c>
      <c r="W2905" s="8">
        <f>V2905/AA2905</f>
        <v/>
      </c>
      <c r="X2905" s="27">
        <f>((3*10+H2905/COS(RADIANS(E2905)))*(3+3)+3*G2905*H2905)*2</f>
        <v/>
      </c>
      <c r="Y2905" s="28">
        <f>Z2905/X2905</f>
        <v/>
      </c>
      <c r="Z2905" s="29" t="n">
        <v>645.861821797165</v>
      </c>
      <c r="AA2905" s="20" t="n">
        <v>33.9619327108211</v>
      </c>
      <c r="AB2905" t="n">
        <v>0.06665921511563412</v>
      </c>
      <c r="AC2905" t="n">
        <v>34.33403644279664</v>
      </c>
      <c r="AD2905" t="n">
        <v>33.37771485656697</v>
      </c>
    </row>
    <row r="2906">
      <c r="A2906" t="n">
        <v>2905</v>
      </c>
      <c r="B2906" t="n">
        <v>49.5</v>
      </c>
      <c r="C2906" s="21">
        <f>B2906-20</f>
        <v/>
      </c>
      <c r="D2906" t="n">
        <v>102.9</v>
      </c>
      <c r="E2906" s="22">
        <f>D2906-90</f>
        <v/>
      </c>
      <c r="F2906" s="23" t="n">
        <v>0.011754</v>
      </c>
      <c r="G2906" s="22" t="n">
        <v>29.7</v>
      </c>
      <c r="H2906" s="22" t="n">
        <v>1.1</v>
      </c>
      <c r="I2906" s="24" t="n">
        <v>0.0944941490888595</v>
      </c>
      <c r="J2906" s="6" t="n">
        <v>71000</v>
      </c>
      <c r="K2906" s="25">
        <f>23*10^-6</f>
        <v/>
      </c>
      <c r="L2906" s="8">
        <f>H2906</f>
        <v/>
      </c>
      <c r="M2906" s="26">
        <f>H2906^2/6</f>
        <v/>
      </c>
      <c r="N2906" s="26">
        <f>H2906^3/12</f>
        <v/>
      </c>
      <c r="O2906" s="27">
        <f>-J2906*L2906*K2906*C2906</f>
        <v/>
      </c>
      <c r="P2906" s="28">
        <f>-(12*F2906*J2906*L2906*N2906+12*O2906*N2906*G2906*COS(RADIANS(E2906)))/(12*N2906*G2906*COS(RADIANS(E2906))^2+L2906*G2906^3*SIN(RADIANS(E2906))^2)</f>
        <v/>
      </c>
      <c r="Q2906" s="28">
        <f>-(6*F2906*J2906*L2906*N2906*SIN(RADIANS(E2906))+6*O2906*N2906*G2906*SIN(RADIANS(E2906))*COS(RADIANS(E2906)))/(12*N2906*COS(RADIANS(E2906))^2+L2906*G2906^2*SIN(RADIANS(E2906))^2)</f>
        <v/>
      </c>
      <c r="R2906" s="28">
        <f>-P2906*SIN(RADIANS(E2906))</f>
        <v/>
      </c>
      <c r="S2906" s="8">
        <f>(O2906+P2906*COS(RADIANS(E2906)))/L2906</f>
        <v/>
      </c>
      <c r="T2906" s="8">
        <f>R2906/L2906</f>
        <v/>
      </c>
      <c r="U2906" s="8">
        <f>(Q2906-P2906*G2906*SIN(RADIANS(E2906)))/M2906</f>
        <v/>
      </c>
      <c r="V2906" s="8">
        <f>SQRT((S2906+U2906)^2+3*T2906^2)</f>
        <v/>
      </c>
      <c r="W2906" s="8">
        <f>V2906/AA2906</f>
        <v/>
      </c>
      <c r="X2906" s="27">
        <f>((3*10+H2906/COS(RADIANS(E2906)))*(3+3)+3*G2906*H2906)*2</f>
        <v/>
      </c>
      <c r="Y2906" s="28">
        <f>Z2906/X2906</f>
        <v/>
      </c>
      <c r="Z2906" s="29" t="n">
        <v>573.616822813612</v>
      </c>
      <c r="AA2906" s="20" t="n">
        <v>42.9559147967252</v>
      </c>
      <c r="AB2906" t="n">
        <v>0.1379071053039654</v>
      </c>
      <c r="AC2906" t="n">
        <v>46.74011147567267</v>
      </c>
      <c r="AD2906" t="n">
        <v>45.94248070775432</v>
      </c>
    </row>
    <row r="2907">
      <c r="A2907" t="n">
        <v>2906</v>
      </c>
      <c r="B2907" t="n">
        <v>69.90000000000001</v>
      </c>
      <c r="C2907" s="21">
        <f>B2907-20</f>
        <v/>
      </c>
      <c r="D2907" t="n">
        <v>122.5</v>
      </c>
      <c r="E2907" s="22">
        <f>D2907-90</f>
        <v/>
      </c>
      <c r="F2907" s="23" t="n">
        <v>0.013632</v>
      </c>
      <c r="G2907" s="22" t="n">
        <v>21.3</v>
      </c>
      <c r="H2907" s="22" t="n">
        <v>1.5</v>
      </c>
      <c r="I2907" s="24" t="n">
        <v>0.0648907274007797</v>
      </c>
      <c r="J2907" s="6" t="n">
        <v>71000</v>
      </c>
      <c r="K2907" s="25">
        <f>23*10^-6</f>
        <v/>
      </c>
      <c r="L2907" s="8">
        <f>H2907</f>
        <v/>
      </c>
      <c r="M2907" s="26">
        <f>H2907^2/6</f>
        <v/>
      </c>
      <c r="N2907" s="26">
        <f>H2907^3/12</f>
        <v/>
      </c>
      <c r="O2907" s="27">
        <f>-J2907*L2907*K2907*C2907</f>
        <v/>
      </c>
      <c r="P2907" s="28">
        <f>-(12*F2907*J2907*L2907*N2907+12*O2907*N2907*G2907*COS(RADIANS(E2907)))/(12*N2907*G2907*COS(RADIANS(E2907))^2+L2907*G2907^3*SIN(RADIANS(E2907))^2)</f>
        <v/>
      </c>
      <c r="Q2907" s="28">
        <f>-(6*F2907*J2907*L2907*N2907*SIN(RADIANS(E2907))+6*O2907*N2907*G2907*SIN(RADIANS(E2907))*COS(RADIANS(E2907)))/(12*N2907*COS(RADIANS(E2907))^2+L2907*G2907^2*SIN(RADIANS(E2907))^2)</f>
        <v/>
      </c>
      <c r="R2907" s="28">
        <f>-P2907*SIN(RADIANS(E2907))</f>
        <v/>
      </c>
      <c r="S2907" s="8">
        <f>(O2907+P2907*COS(RADIANS(E2907)))/L2907</f>
        <v/>
      </c>
      <c r="T2907" s="8">
        <f>R2907/L2907</f>
        <v/>
      </c>
      <c r="U2907" s="8">
        <f>(Q2907-P2907*G2907*SIN(RADIANS(E2907)))/M2907</f>
        <v/>
      </c>
      <c r="V2907" s="8">
        <f>SQRT((S2907+U2907)^2+3*T2907^2)</f>
        <v/>
      </c>
      <c r="W2907" s="8">
        <f>V2907/AA2907</f>
        <v/>
      </c>
      <c r="X2907" s="27">
        <f>((3*10+H2907/COS(RADIANS(E2907)))*(3+3)+3*G2907*H2907)*2</f>
        <v/>
      </c>
      <c r="Y2907" s="28">
        <f>Z2907/X2907</f>
        <v/>
      </c>
      <c r="Z2907" s="29" t="n">
        <v>580.932569377875</v>
      </c>
      <c r="AA2907" s="20" t="n">
        <v>76.9585654952177</v>
      </c>
      <c r="AB2907" t="n">
        <v>0.06598392675251341</v>
      </c>
      <c r="AC2907" t="n">
        <v>74.18752227204226</v>
      </c>
      <c r="AD2907" t="n">
        <v>1.684677296005437</v>
      </c>
    </row>
    <row r="2908">
      <c r="A2908" t="n">
        <v>2907</v>
      </c>
      <c r="B2908" t="n">
        <v>52.8</v>
      </c>
      <c r="C2908" s="21">
        <f>B2908-20</f>
        <v/>
      </c>
      <c r="D2908" t="n">
        <v>108.3</v>
      </c>
      <c r="E2908" s="22">
        <f>D2908-90</f>
        <v/>
      </c>
      <c r="F2908" s="23" t="n">
        <v>0.012539</v>
      </c>
      <c r="G2908" s="22" t="n">
        <v>29</v>
      </c>
      <c r="H2908" s="22" t="n">
        <v>1.3</v>
      </c>
      <c r="I2908" s="24" t="n">
        <v>0.0779208317399025</v>
      </c>
      <c r="J2908" s="6" t="n">
        <v>71000</v>
      </c>
      <c r="K2908" s="25">
        <f>23*10^-6</f>
        <v/>
      </c>
      <c r="L2908" s="8">
        <f>H2908</f>
        <v/>
      </c>
      <c r="M2908" s="26">
        <f>H2908^2/6</f>
        <v/>
      </c>
      <c r="N2908" s="26">
        <f>H2908^3/12</f>
        <v/>
      </c>
      <c r="O2908" s="27">
        <f>-J2908*L2908*K2908*C2908</f>
        <v/>
      </c>
      <c r="P2908" s="28">
        <f>-(12*F2908*J2908*L2908*N2908+12*O2908*N2908*G2908*COS(RADIANS(E2908)))/(12*N2908*G2908*COS(RADIANS(E2908))^2+L2908*G2908^3*SIN(RADIANS(E2908))^2)</f>
        <v/>
      </c>
      <c r="Q2908" s="28">
        <f>-(6*F2908*J2908*L2908*N2908*SIN(RADIANS(E2908))+6*O2908*N2908*G2908*SIN(RADIANS(E2908))*COS(RADIANS(E2908)))/(12*N2908*COS(RADIANS(E2908))^2+L2908*G2908^2*SIN(RADIANS(E2908))^2)</f>
        <v/>
      </c>
      <c r="R2908" s="28">
        <f>-P2908*SIN(RADIANS(E2908))</f>
        <v/>
      </c>
      <c r="S2908" s="8">
        <f>(O2908+P2908*COS(RADIANS(E2908)))/L2908</f>
        <v/>
      </c>
      <c r="T2908" s="8">
        <f>R2908/L2908</f>
        <v/>
      </c>
      <c r="U2908" s="8">
        <f>(Q2908-P2908*G2908*SIN(RADIANS(E2908)))/M2908</f>
        <v/>
      </c>
      <c r="V2908" s="8">
        <f>SQRT((S2908+U2908)^2+3*T2908^2)</f>
        <v/>
      </c>
      <c r="W2908" s="8">
        <f>V2908/AA2908</f>
        <v/>
      </c>
      <c r="X2908" s="27">
        <f>((3*10+H2908/COS(RADIANS(E2908)))*(3+3)+3*G2908*H2908)*2</f>
        <v/>
      </c>
      <c r="Y2908" s="28">
        <f>Z2908/X2908</f>
        <v/>
      </c>
      <c r="Z2908" s="29" t="n">
        <v>607.343064125433</v>
      </c>
      <c r="AA2908" s="20" t="n">
        <v>48.6946775476524</v>
      </c>
      <c r="AB2908" t="n">
        <v>0.1055734829780734</v>
      </c>
      <c r="AC2908" t="n">
        <v>50.71162739943985</v>
      </c>
      <c r="AD2908" t="n">
        <v>35.48813663908857</v>
      </c>
    </row>
    <row r="2909">
      <c r="A2909" t="n">
        <v>2908</v>
      </c>
      <c r="B2909" t="n">
        <v>76.59999999999999</v>
      </c>
      <c r="C2909" s="21">
        <f>B2909-20</f>
        <v/>
      </c>
      <c r="D2909" t="n">
        <v>124.3</v>
      </c>
      <c r="E2909" s="22">
        <f>D2909-90</f>
        <v/>
      </c>
      <c r="F2909" s="23" t="n">
        <v>0.014799</v>
      </c>
      <c r="G2909" s="22" t="n">
        <v>20.5</v>
      </c>
      <c r="H2909" s="22" t="n">
        <v>1</v>
      </c>
      <c r="I2909" s="24" t="n">
        <v>0.06955843418836589</v>
      </c>
      <c r="J2909" s="6" t="n">
        <v>71000</v>
      </c>
      <c r="K2909" s="25">
        <f>23*10^-6</f>
        <v/>
      </c>
      <c r="L2909" s="8">
        <f>H2909</f>
        <v/>
      </c>
      <c r="M2909" s="26">
        <f>H2909^2/6</f>
        <v/>
      </c>
      <c r="N2909" s="26">
        <f>H2909^3/12</f>
        <v/>
      </c>
      <c r="O2909" s="27">
        <f>-J2909*L2909*K2909*C2909</f>
        <v/>
      </c>
      <c r="P2909" s="28">
        <f>-(12*F2909*J2909*L2909*N2909+12*O2909*N2909*G2909*COS(RADIANS(E2909)))/(12*N2909*G2909*COS(RADIANS(E2909))^2+L2909*G2909^3*SIN(RADIANS(E2909))^2)</f>
        <v/>
      </c>
      <c r="Q2909" s="28">
        <f>-(6*F2909*J2909*L2909*N2909*SIN(RADIANS(E2909))+6*O2909*N2909*G2909*SIN(RADIANS(E2909))*COS(RADIANS(E2909)))/(12*N2909*COS(RADIANS(E2909))^2+L2909*G2909^2*SIN(RADIANS(E2909))^2)</f>
        <v/>
      </c>
      <c r="R2909" s="28">
        <f>-P2909*SIN(RADIANS(E2909))</f>
        <v/>
      </c>
      <c r="S2909" s="8">
        <f>(O2909+P2909*COS(RADIANS(E2909)))/L2909</f>
        <v/>
      </c>
      <c r="T2909" s="8">
        <f>R2909/L2909</f>
        <v/>
      </c>
      <c r="U2909" s="8">
        <f>(Q2909-P2909*G2909*SIN(RADIANS(E2909)))/M2909</f>
        <v/>
      </c>
      <c r="V2909" s="8">
        <f>SQRT((S2909+U2909)^2+3*T2909^2)</f>
        <v/>
      </c>
      <c r="W2909" s="8">
        <f>V2909/AA2909</f>
        <v/>
      </c>
      <c r="X2909" s="27">
        <f>((3*10+H2909/COS(RADIANS(E2909)))*(3+3)+3*G2909*H2909)*2</f>
        <v/>
      </c>
      <c r="Y2909" s="28">
        <f>Z2909/X2909</f>
        <v/>
      </c>
      <c r="Z2909" s="29" t="n">
        <v>506.011978644882</v>
      </c>
      <c r="AA2909" s="20" t="n">
        <v>77.2218612846021</v>
      </c>
      <c r="AB2909" t="n">
        <v>0.06864825288063388</v>
      </c>
      <c r="AC2909" t="n">
        <v>81.22764848711557</v>
      </c>
      <c r="AD2909" t="n">
        <v>-1.308513221081463</v>
      </c>
    </row>
    <row r="2910">
      <c r="A2910" t="n">
        <v>2909</v>
      </c>
      <c r="B2910" t="n">
        <v>57.4</v>
      </c>
      <c r="C2910" s="21">
        <f>B2910-20</f>
        <v/>
      </c>
      <c r="D2910" t="n">
        <v>104.7</v>
      </c>
      <c r="E2910" s="22">
        <f>D2910-90</f>
        <v/>
      </c>
      <c r="F2910" s="23" t="n">
        <v>0.013941</v>
      </c>
      <c r="G2910" s="22" t="n">
        <v>27.6</v>
      </c>
      <c r="H2910" s="22" t="n">
        <v>1.9</v>
      </c>
      <c r="I2910" s="24" t="n">
        <v>0.099036194384098</v>
      </c>
      <c r="J2910" s="6" t="n">
        <v>71000</v>
      </c>
      <c r="K2910" s="25">
        <f>23*10^-6</f>
        <v/>
      </c>
      <c r="L2910" s="8">
        <f>H2910</f>
        <v/>
      </c>
      <c r="M2910" s="26">
        <f>H2910^2/6</f>
        <v/>
      </c>
      <c r="N2910" s="26">
        <f>H2910^3/12</f>
        <v/>
      </c>
      <c r="O2910" s="27">
        <f>-J2910*L2910*K2910*C2910</f>
        <v/>
      </c>
      <c r="P2910" s="28">
        <f>-(12*F2910*J2910*L2910*N2910+12*O2910*N2910*G2910*COS(RADIANS(E2910)))/(12*N2910*G2910*COS(RADIANS(E2910))^2+L2910*G2910^3*SIN(RADIANS(E2910))^2)</f>
        <v/>
      </c>
      <c r="Q2910" s="28">
        <f>-(6*F2910*J2910*L2910*N2910*SIN(RADIANS(E2910))+6*O2910*N2910*G2910*SIN(RADIANS(E2910))*COS(RADIANS(E2910)))/(12*N2910*COS(RADIANS(E2910))^2+L2910*G2910^2*SIN(RADIANS(E2910))^2)</f>
        <v/>
      </c>
      <c r="R2910" s="28">
        <f>-P2910*SIN(RADIANS(E2910))</f>
        <v/>
      </c>
      <c r="S2910" s="8">
        <f>(O2910+P2910*COS(RADIANS(E2910)))/L2910</f>
        <v/>
      </c>
      <c r="T2910" s="8">
        <f>R2910/L2910</f>
        <v/>
      </c>
      <c r="U2910" s="8">
        <f>(Q2910-P2910*G2910*SIN(RADIANS(E2910)))/M2910</f>
        <v/>
      </c>
      <c r="V2910" s="8">
        <f>SQRT((S2910+U2910)^2+3*T2910^2)</f>
        <v/>
      </c>
      <c r="W2910" s="8">
        <f>V2910/AA2910</f>
        <v/>
      </c>
      <c r="X2910" s="27">
        <f>((3*10+H2910/COS(RADIANS(E2910)))*(3+3)+3*G2910*H2910)*2</f>
        <v/>
      </c>
      <c r="Y2910" s="28">
        <f>Z2910/X2910</f>
        <v/>
      </c>
      <c r="Z2910" s="29" t="n">
        <v>702.457336860322</v>
      </c>
      <c r="AA2910" s="20" t="n">
        <v>65.4337262505493</v>
      </c>
      <c r="AB2910" t="n">
        <v>0.1370118641054213</v>
      </c>
      <c r="AC2910" t="n">
        <v>63.50154927784526</v>
      </c>
      <c r="AD2910" t="n">
        <v>38.34524332996885</v>
      </c>
    </row>
    <row r="2911">
      <c r="A2911" t="n">
        <v>2910</v>
      </c>
      <c r="B2911" t="n">
        <v>42.3</v>
      </c>
      <c r="C2911" s="21">
        <f>B2911-20</f>
        <v/>
      </c>
      <c r="D2911" t="n">
        <v>114.5</v>
      </c>
      <c r="E2911" s="22">
        <f>D2911-90</f>
        <v/>
      </c>
      <c r="F2911" s="23" t="n">
        <v>0.007725</v>
      </c>
      <c r="G2911" s="22" t="n">
        <v>26.8</v>
      </c>
      <c r="H2911" s="22" t="n">
        <v>1.5</v>
      </c>
      <c r="I2911" s="24" t="n">
        <v>0.0403955318033695</v>
      </c>
      <c r="J2911" s="6" t="n">
        <v>71000</v>
      </c>
      <c r="K2911" s="25">
        <f>23*10^-6</f>
        <v/>
      </c>
      <c r="L2911" s="8">
        <f>H2911</f>
        <v/>
      </c>
      <c r="M2911" s="26">
        <f>H2911^2/6</f>
        <v/>
      </c>
      <c r="N2911" s="26">
        <f>H2911^3/12</f>
        <v/>
      </c>
      <c r="O2911" s="27">
        <f>-J2911*L2911*K2911*C2911</f>
        <v/>
      </c>
      <c r="P2911" s="28">
        <f>-(12*F2911*J2911*L2911*N2911+12*O2911*N2911*G2911*COS(RADIANS(E2911)))/(12*N2911*G2911*COS(RADIANS(E2911))^2+L2911*G2911^3*SIN(RADIANS(E2911))^2)</f>
        <v/>
      </c>
      <c r="Q2911" s="28">
        <f>-(6*F2911*J2911*L2911*N2911*SIN(RADIANS(E2911))+6*O2911*N2911*G2911*SIN(RADIANS(E2911))*COS(RADIANS(E2911)))/(12*N2911*COS(RADIANS(E2911))^2+L2911*G2911^2*SIN(RADIANS(E2911))^2)</f>
        <v/>
      </c>
      <c r="R2911" s="28">
        <f>-P2911*SIN(RADIANS(E2911))</f>
        <v/>
      </c>
      <c r="S2911" s="8">
        <f>(O2911+P2911*COS(RADIANS(E2911)))/L2911</f>
        <v/>
      </c>
      <c r="T2911" s="8">
        <f>R2911/L2911</f>
        <v/>
      </c>
      <c r="U2911" s="8">
        <f>(Q2911-P2911*G2911*SIN(RADIANS(E2911)))/M2911</f>
        <v/>
      </c>
      <c r="V2911" s="8">
        <f>SQRT((S2911+U2911)^2+3*T2911^2)</f>
        <v/>
      </c>
      <c r="W2911" s="8">
        <f>V2911/AA2911</f>
        <v/>
      </c>
      <c r="X2911" s="27">
        <f>((3*10+H2911/COS(RADIANS(E2911)))*(3+3)+3*G2911*H2911)*2</f>
        <v/>
      </c>
      <c r="Y2911" s="28">
        <f>Z2911/X2911</f>
        <v/>
      </c>
      <c r="Z2911" s="29" t="n">
        <v>626.789439906612</v>
      </c>
      <c r="AA2911" s="20" t="n">
        <v>33.9899096683353</v>
      </c>
      <c r="AB2911" t="n">
        <v>0.04930088935304235</v>
      </c>
      <c r="AC2911" t="n">
        <v>33.93895971029256</v>
      </c>
      <c r="AD2911" t="n">
        <v>22.04540242970642</v>
      </c>
    </row>
    <row r="2912">
      <c r="A2912" t="n">
        <v>2911</v>
      </c>
      <c r="B2912" t="n">
        <v>81.40000000000001</v>
      </c>
      <c r="C2912" s="21">
        <f>B2912-20</f>
        <v/>
      </c>
      <c r="D2912" t="n">
        <v>118</v>
      </c>
      <c r="E2912" s="22">
        <f>D2912-90</f>
        <v/>
      </c>
      <c r="F2912" s="23" t="n">
        <v>0.023482</v>
      </c>
      <c r="G2912" s="22" t="n">
        <v>31.2</v>
      </c>
      <c r="H2912" s="22" t="n">
        <v>2</v>
      </c>
      <c r="I2912" s="24" t="n">
        <v>0.112234368920326</v>
      </c>
      <c r="J2912" s="6" t="n">
        <v>71000</v>
      </c>
      <c r="K2912" s="25">
        <f>23*10^-6</f>
        <v/>
      </c>
      <c r="L2912" s="8">
        <f>H2912</f>
        <v/>
      </c>
      <c r="M2912" s="26">
        <f>H2912^2/6</f>
        <v/>
      </c>
      <c r="N2912" s="26">
        <f>H2912^3/12</f>
        <v/>
      </c>
      <c r="O2912" s="27">
        <f>-J2912*L2912*K2912*C2912</f>
        <v/>
      </c>
      <c r="P2912" s="28">
        <f>-(12*F2912*J2912*L2912*N2912+12*O2912*N2912*G2912*COS(RADIANS(E2912)))/(12*N2912*G2912*COS(RADIANS(E2912))^2+L2912*G2912^3*SIN(RADIANS(E2912))^2)</f>
        <v/>
      </c>
      <c r="Q2912" s="28">
        <f>-(6*F2912*J2912*L2912*N2912*SIN(RADIANS(E2912))+6*O2912*N2912*G2912*SIN(RADIANS(E2912))*COS(RADIANS(E2912)))/(12*N2912*COS(RADIANS(E2912))^2+L2912*G2912^2*SIN(RADIANS(E2912))^2)</f>
        <v/>
      </c>
      <c r="R2912" s="28">
        <f>-P2912*SIN(RADIANS(E2912))</f>
        <v/>
      </c>
      <c r="S2912" s="8">
        <f>(O2912+P2912*COS(RADIANS(E2912)))/L2912</f>
        <v/>
      </c>
      <c r="T2912" s="8">
        <f>R2912/L2912</f>
        <v/>
      </c>
      <c r="U2912" s="8">
        <f>(Q2912-P2912*G2912*SIN(RADIANS(E2912)))/M2912</f>
        <v/>
      </c>
      <c r="V2912" s="8">
        <f>SQRT((S2912+U2912)^2+3*T2912^2)</f>
        <v/>
      </c>
      <c r="W2912" s="8">
        <f>V2912/AA2912</f>
        <v/>
      </c>
      <c r="X2912" s="27">
        <f>((3*10+H2912/COS(RADIANS(E2912)))*(3+3)+3*G2912*H2912)*2</f>
        <v/>
      </c>
      <c r="Y2912" s="28">
        <f>Z2912/X2912</f>
        <v/>
      </c>
      <c r="Z2912" s="29" t="n">
        <v>768.196991818715</v>
      </c>
      <c r="AA2912" s="20" t="n">
        <v>100.283931513256</v>
      </c>
      <c r="AB2912" t="n">
        <v>0.135859093539683</v>
      </c>
      <c r="AC2912" t="n">
        <v>93.6540350413237</v>
      </c>
      <c r="AD2912" t="n">
        <v>21.04945646028266</v>
      </c>
    </row>
    <row r="2913">
      <c r="A2913" t="n">
        <v>2912</v>
      </c>
      <c r="B2913" t="n">
        <v>57.4</v>
      </c>
      <c r="C2913" s="21">
        <f>B2913-20</f>
        <v/>
      </c>
      <c r="D2913" t="n">
        <v>128.9</v>
      </c>
      <c r="E2913" s="22">
        <f>D2913-90</f>
        <v/>
      </c>
      <c r="F2913" s="23" t="n">
        <v>0.009825</v>
      </c>
      <c r="G2913" s="22" t="n">
        <v>21.9</v>
      </c>
      <c r="H2913" s="22" t="n">
        <v>1.9</v>
      </c>
      <c r="I2913" s="24" t="n">
        <v>0.0444229133427143</v>
      </c>
      <c r="J2913" s="6" t="n">
        <v>71000</v>
      </c>
      <c r="K2913" s="25">
        <f>23*10^-6</f>
        <v/>
      </c>
      <c r="L2913" s="8">
        <f>H2913</f>
        <v/>
      </c>
      <c r="M2913" s="26">
        <f>H2913^2/6</f>
        <v/>
      </c>
      <c r="N2913" s="26">
        <f>H2913^3/12</f>
        <v/>
      </c>
      <c r="O2913" s="27">
        <f>-J2913*L2913*K2913*C2913</f>
        <v/>
      </c>
      <c r="P2913" s="28">
        <f>-(12*F2913*J2913*L2913*N2913+12*O2913*N2913*G2913*COS(RADIANS(E2913)))/(12*N2913*G2913*COS(RADIANS(E2913))^2+L2913*G2913^3*SIN(RADIANS(E2913))^2)</f>
        <v/>
      </c>
      <c r="Q2913" s="28">
        <f>-(6*F2913*J2913*L2913*N2913*SIN(RADIANS(E2913))+6*O2913*N2913*G2913*SIN(RADIANS(E2913))*COS(RADIANS(E2913)))/(12*N2913*COS(RADIANS(E2913))^2+L2913*G2913^2*SIN(RADIANS(E2913))^2)</f>
        <v/>
      </c>
      <c r="R2913" s="28">
        <f>-P2913*SIN(RADIANS(E2913))</f>
        <v/>
      </c>
      <c r="S2913" s="8">
        <f>(O2913+P2913*COS(RADIANS(E2913)))/L2913</f>
        <v/>
      </c>
      <c r="T2913" s="8">
        <f>R2913/L2913</f>
        <v/>
      </c>
      <c r="U2913" s="8">
        <f>(Q2913-P2913*G2913*SIN(RADIANS(E2913)))/M2913</f>
        <v/>
      </c>
      <c r="V2913" s="8">
        <f>SQRT((S2913+U2913)^2+3*T2913^2)</f>
        <v/>
      </c>
      <c r="W2913" s="8">
        <f>V2913/AA2913</f>
        <v/>
      </c>
      <c r="X2913" s="27">
        <f>((3*10+H2913/COS(RADIANS(E2913)))*(3+3)+3*G2913*H2913)*2</f>
        <v/>
      </c>
      <c r="Y2913" s="28">
        <f>Z2913/X2913</f>
        <v/>
      </c>
      <c r="Z2913" s="29" t="n">
        <v>649.2290768851</v>
      </c>
      <c r="AA2913" s="20" t="n">
        <v>61.671001625513</v>
      </c>
      <c r="AB2913" t="n">
        <v>0.04160263830769342</v>
      </c>
      <c r="AC2913" t="n">
        <v>55.32763608073584</v>
      </c>
      <c r="AD2913" t="n">
        <v>-6.348694452484454</v>
      </c>
    </row>
    <row r="2914">
      <c r="A2914" t="n">
        <v>2913</v>
      </c>
      <c r="B2914" t="n">
        <v>43.3</v>
      </c>
      <c r="C2914" s="21">
        <f>B2914-20</f>
        <v/>
      </c>
      <c r="D2914" t="n">
        <v>101.1</v>
      </c>
      <c r="E2914" s="22">
        <f>D2914-90</f>
        <v/>
      </c>
      <c r="F2914" s="23" t="n">
        <v>0.009544</v>
      </c>
      <c r="G2914" s="22" t="n">
        <v>30.5</v>
      </c>
      <c r="H2914" s="22" t="n">
        <v>1.5</v>
      </c>
      <c r="I2914" s="24" t="n">
        <v>0.0841710418462753</v>
      </c>
      <c r="J2914" s="6" t="n">
        <v>71000</v>
      </c>
      <c r="K2914" s="25">
        <f>23*10^-6</f>
        <v/>
      </c>
      <c r="L2914" s="8">
        <f>H2914</f>
        <v/>
      </c>
      <c r="M2914" s="26">
        <f>H2914^2/6</f>
        <v/>
      </c>
      <c r="N2914" s="26">
        <f>H2914^3/12</f>
        <v/>
      </c>
      <c r="O2914" s="27">
        <f>-J2914*L2914*K2914*C2914</f>
        <v/>
      </c>
      <c r="P2914" s="28">
        <f>-(12*F2914*J2914*L2914*N2914+12*O2914*N2914*G2914*COS(RADIANS(E2914)))/(12*N2914*G2914*COS(RADIANS(E2914))^2+L2914*G2914^3*SIN(RADIANS(E2914))^2)</f>
        <v/>
      </c>
      <c r="Q2914" s="28">
        <f>-(6*F2914*J2914*L2914*N2914*SIN(RADIANS(E2914))+6*O2914*N2914*G2914*SIN(RADIANS(E2914))*COS(RADIANS(E2914)))/(12*N2914*COS(RADIANS(E2914))^2+L2914*G2914^2*SIN(RADIANS(E2914))^2)</f>
        <v/>
      </c>
      <c r="R2914" s="28">
        <f>-P2914*SIN(RADIANS(E2914))</f>
        <v/>
      </c>
      <c r="S2914" s="8">
        <f>(O2914+P2914*COS(RADIANS(E2914)))/L2914</f>
        <v/>
      </c>
      <c r="T2914" s="8">
        <f>R2914/L2914</f>
        <v/>
      </c>
      <c r="U2914" s="8">
        <f>(Q2914-P2914*G2914*SIN(RADIANS(E2914)))/M2914</f>
        <v/>
      </c>
      <c r="V2914" s="8">
        <f>SQRT((S2914+U2914)^2+3*T2914^2)</f>
        <v/>
      </c>
      <c r="W2914" s="8">
        <f>V2914/AA2914</f>
        <v/>
      </c>
      <c r="X2914" s="27">
        <f>((3*10+H2914/COS(RADIANS(E2914)))*(3+3)+3*G2914*H2914)*2</f>
        <v/>
      </c>
      <c r="Y2914" s="28">
        <f>Z2914/X2914</f>
        <v/>
      </c>
      <c r="Z2914" s="29" t="n">
        <v>656.734316215531</v>
      </c>
      <c r="AA2914" s="20" t="n">
        <v>37.8760012549114</v>
      </c>
      <c r="AB2914" t="n">
        <v>0.1255370491033763</v>
      </c>
      <c r="AC2914" t="n">
        <v>39.51374770751055</v>
      </c>
      <c r="AD2914" t="n">
        <v>49.14517671368407</v>
      </c>
    </row>
    <row r="2915">
      <c r="A2915" t="n">
        <v>2914</v>
      </c>
      <c r="B2915" t="n">
        <v>45.4</v>
      </c>
      <c r="C2915" s="21">
        <f>B2915-20</f>
        <v/>
      </c>
      <c r="D2915" t="n">
        <v>115.6</v>
      </c>
      <c r="E2915" s="22">
        <f>D2915-90</f>
        <v/>
      </c>
      <c r="F2915" s="23" t="n">
        <v>0.010094</v>
      </c>
      <c r="G2915" s="22" t="n">
        <v>32</v>
      </c>
      <c r="H2915" s="22" t="n">
        <v>2</v>
      </c>
      <c r="I2915" s="24" t="n">
        <v>0.0502590984106063</v>
      </c>
      <c r="J2915" s="6" t="n">
        <v>71000</v>
      </c>
      <c r="K2915" s="25">
        <f>23*10^-6</f>
        <v/>
      </c>
      <c r="L2915" s="8">
        <f>H2915</f>
        <v/>
      </c>
      <c r="M2915" s="26">
        <f>H2915^2/6</f>
        <v/>
      </c>
      <c r="N2915" s="26">
        <f>H2915^3/12</f>
        <v/>
      </c>
      <c r="O2915" s="27">
        <f>-J2915*L2915*K2915*C2915</f>
        <v/>
      </c>
      <c r="P2915" s="28">
        <f>-(12*F2915*J2915*L2915*N2915+12*O2915*N2915*G2915*COS(RADIANS(E2915)))/(12*N2915*G2915*COS(RADIANS(E2915))^2+L2915*G2915^3*SIN(RADIANS(E2915))^2)</f>
        <v/>
      </c>
      <c r="Q2915" s="28">
        <f>-(6*F2915*J2915*L2915*N2915*SIN(RADIANS(E2915))+6*O2915*N2915*G2915*SIN(RADIANS(E2915))*COS(RADIANS(E2915)))/(12*N2915*COS(RADIANS(E2915))^2+L2915*G2915^2*SIN(RADIANS(E2915))^2)</f>
        <v/>
      </c>
      <c r="R2915" s="28">
        <f>-P2915*SIN(RADIANS(E2915))</f>
        <v/>
      </c>
      <c r="S2915" s="8">
        <f>(O2915+P2915*COS(RADIANS(E2915)))/L2915</f>
        <v/>
      </c>
      <c r="T2915" s="8">
        <f>R2915/L2915</f>
        <v/>
      </c>
      <c r="U2915" s="8">
        <f>(Q2915-P2915*G2915*SIN(RADIANS(E2915)))/M2915</f>
        <v/>
      </c>
      <c r="V2915" s="8">
        <f>SQRT((S2915+U2915)^2+3*T2915^2)</f>
        <v/>
      </c>
      <c r="W2915" s="8">
        <f>V2915/AA2915</f>
        <v/>
      </c>
      <c r="X2915" s="27">
        <f>((3*10+H2915/COS(RADIANS(E2915)))*(3+3)+3*G2915*H2915)*2</f>
        <v/>
      </c>
      <c r="Y2915" s="28">
        <f>Z2915/X2915</f>
        <v/>
      </c>
      <c r="Z2915" s="29" t="n">
        <v>776.658589225288</v>
      </c>
      <c r="AA2915" s="20" t="n">
        <v>41.8690155668189</v>
      </c>
      <c r="AB2915" t="n">
        <v>0.06317527683834552</v>
      </c>
      <c r="AC2915" t="n">
        <v>39.15463777019217</v>
      </c>
      <c r="AD2915" t="n">
        <v>25.69918449833053</v>
      </c>
    </row>
    <row r="2916">
      <c r="A2916" t="n">
        <v>2915</v>
      </c>
      <c r="B2916" t="n">
        <v>82.90000000000001</v>
      </c>
      <c r="C2916" s="21">
        <f>B2916-20</f>
        <v/>
      </c>
      <c r="D2916" t="n">
        <v>100.3</v>
      </c>
      <c r="E2916" s="22">
        <f>D2916-90</f>
        <v/>
      </c>
      <c r="F2916" s="23" t="n">
        <v>0.02575</v>
      </c>
      <c r="G2916" s="22" t="n">
        <v>30.4</v>
      </c>
      <c r="H2916" s="22" t="n">
        <v>1.5</v>
      </c>
      <c r="I2916" s="24" t="n">
        <v>0.239792272448539</v>
      </c>
      <c r="J2916" s="6" t="n">
        <v>71000</v>
      </c>
      <c r="K2916" s="25">
        <f>23*10^-6</f>
        <v/>
      </c>
      <c r="L2916" s="8">
        <f>H2916</f>
        <v/>
      </c>
      <c r="M2916" s="26">
        <f>H2916^2/6</f>
        <v/>
      </c>
      <c r="N2916" s="26">
        <f>H2916^3/12</f>
        <v/>
      </c>
      <c r="O2916" s="27">
        <f>-J2916*L2916*K2916*C2916</f>
        <v/>
      </c>
      <c r="P2916" s="28">
        <f>-(12*F2916*J2916*L2916*N2916+12*O2916*N2916*G2916*COS(RADIANS(E2916)))/(12*N2916*G2916*COS(RADIANS(E2916))^2+L2916*G2916^3*SIN(RADIANS(E2916))^2)</f>
        <v/>
      </c>
      <c r="Q2916" s="28">
        <f>-(6*F2916*J2916*L2916*N2916*SIN(RADIANS(E2916))+6*O2916*N2916*G2916*SIN(RADIANS(E2916))*COS(RADIANS(E2916)))/(12*N2916*COS(RADIANS(E2916))^2+L2916*G2916^2*SIN(RADIANS(E2916))^2)</f>
        <v/>
      </c>
      <c r="R2916" s="28">
        <f>-P2916*SIN(RADIANS(E2916))</f>
        <v/>
      </c>
      <c r="S2916" s="8">
        <f>(O2916+P2916*COS(RADIANS(E2916)))/L2916</f>
        <v/>
      </c>
      <c r="T2916" s="8">
        <f>R2916/L2916</f>
        <v/>
      </c>
      <c r="U2916" s="8">
        <f>(Q2916-P2916*G2916*SIN(RADIANS(E2916)))/M2916</f>
        <v/>
      </c>
      <c r="V2916" s="8">
        <f>SQRT((S2916+U2916)^2+3*T2916^2)</f>
        <v/>
      </c>
      <c r="W2916" s="8">
        <f>V2916/AA2916</f>
        <v/>
      </c>
      <c r="X2916" s="27">
        <f>((3*10+H2916/COS(RADIANS(E2916)))*(3+3)+3*G2916*H2916)*2</f>
        <v/>
      </c>
      <c r="Y2916" s="28">
        <f>Z2916/X2916</f>
        <v/>
      </c>
      <c r="Z2916" s="29" t="n">
        <v>655.721543502328</v>
      </c>
      <c r="AA2916" s="20" t="n">
        <v>103.548301908088</v>
      </c>
      <c r="AB2916" t="n">
        <v>0.3607227470626645</v>
      </c>
      <c r="AC2916" t="n">
        <v>108.0871573649908</v>
      </c>
      <c r="AD2916" t="n">
        <v>50.43134767409069</v>
      </c>
    </row>
    <row r="2917">
      <c r="A2917" t="n">
        <v>2916</v>
      </c>
      <c r="B2917" t="n">
        <v>75.40000000000001</v>
      </c>
      <c r="C2917" s="21">
        <f>B2917-20</f>
        <v/>
      </c>
      <c r="D2917" t="n">
        <v>105.1</v>
      </c>
      <c r="E2917" s="22">
        <f>D2917-90</f>
        <v/>
      </c>
      <c r="F2917" s="23" t="n">
        <v>0.022082</v>
      </c>
      <c r="G2917" s="22" t="n">
        <v>30</v>
      </c>
      <c r="H2917" s="22" t="n">
        <v>1.8</v>
      </c>
      <c r="I2917" s="24" t="n">
        <v>0.154259786009788</v>
      </c>
      <c r="J2917" s="6" t="n">
        <v>71000</v>
      </c>
      <c r="K2917" s="25">
        <f>23*10^-6</f>
        <v/>
      </c>
      <c r="L2917" s="8">
        <f>H2917</f>
        <v/>
      </c>
      <c r="M2917" s="26">
        <f>H2917^2/6</f>
        <v/>
      </c>
      <c r="N2917" s="26">
        <f>H2917^3/12</f>
        <v/>
      </c>
      <c r="O2917" s="27">
        <f>-J2917*L2917*K2917*C2917</f>
        <v/>
      </c>
      <c r="P2917" s="28">
        <f>-(12*F2917*J2917*L2917*N2917+12*O2917*N2917*G2917*COS(RADIANS(E2917)))/(12*N2917*G2917*COS(RADIANS(E2917))^2+L2917*G2917^3*SIN(RADIANS(E2917))^2)</f>
        <v/>
      </c>
      <c r="Q2917" s="28">
        <f>-(6*F2917*J2917*L2917*N2917*SIN(RADIANS(E2917))+6*O2917*N2917*G2917*SIN(RADIANS(E2917))*COS(RADIANS(E2917)))/(12*N2917*COS(RADIANS(E2917))^2+L2917*G2917^2*SIN(RADIANS(E2917))^2)</f>
        <v/>
      </c>
      <c r="R2917" s="28">
        <f>-P2917*SIN(RADIANS(E2917))</f>
        <v/>
      </c>
      <c r="S2917" s="8">
        <f>(O2917+P2917*COS(RADIANS(E2917)))/L2917</f>
        <v/>
      </c>
      <c r="T2917" s="8">
        <f>R2917/L2917</f>
        <v/>
      </c>
      <c r="U2917" s="8">
        <f>(Q2917-P2917*G2917*SIN(RADIANS(E2917)))/M2917</f>
        <v/>
      </c>
      <c r="V2917" s="8">
        <f>SQRT((S2917+U2917)^2+3*T2917^2)</f>
        <v/>
      </c>
      <c r="W2917" s="8">
        <f>V2917/AA2917</f>
        <v/>
      </c>
      <c r="X2917" s="27">
        <f>((3*10+H2917/COS(RADIANS(E2917)))*(3+3)+3*G2917*H2917)*2</f>
        <v/>
      </c>
      <c r="Y2917" s="28">
        <f>Z2917/X2917</f>
        <v/>
      </c>
      <c r="Z2917" s="29" t="n">
        <v>710.664383051307</v>
      </c>
      <c r="AA2917" s="20" t="n">
        <v>93.5528652670488</v>
      </c>
      <c r="AB2917" t="n">
        <v>0.2175268198882056</v>
      </c>
      <c r="AC2917" t="n">
        <v>92.00205916236035</v>
      </c>
      <c r="AD2917" t="n">
        <v>41.01330328203824</v>
      </c>
    </row>
    <row r="2918">
      <c r="A2918" t="n">
        <v>2917</v>
      </c>
      <c r="B2918" t="n">
        <v>87.5</v>
      </c>
      <c r="C2918" s="21">
        <f>B2918-20</f>
        <v/>
      </c>
      <c r="D2918" t="n">
        <v>113.3</v>
      </c>
      <c r="E2918" s="22">
        <f>D2918-90</f>
        <v/>
      </c>
      <c r="F2918" s="23" t="n">
        <v>0.025042</v>
      </c>
      <c r="G2918" s="22" t="n">
        <v>28.9</v>
      </c>
      <c r="H2918" s="22" t="n">
        <v>1.4</v>
      </c>
      <c r="I2918" s="24" t="n">
        <v>0.133424654603004</v>
      </c>
      <c r="J2918" s="6" t="n">
        <v>71000</v>
      </c>
      <c r="K2918" s="25">
        <f>23*10^-6</f>
        <v/>
      </c>
      <c r="L2918" s="8">
        <f>H2918</f>
        <v/>
      </c>
      <c r="M2918" s="26">
        <f>H2918^2/6</f>
        <v/>
      </c>
      <c r="N2918" s="26">
        <f>H2918^3/12</f>
        <v/>
      </c>
      <c r="O2918" s="27">
        <f>-J2918*L2918*K2918*C2918</f>
        <v/>
      </c>
      <c r="P2918" s="28">
        <f>-(12*F2918*J2918*L2918*N2918+12*O2918*N2918*G2918*COS(RADIANS(E2918)))/(12*N2918*G2918*COS(RADIANS(E2918))^2+L2918*G2918^3*SIN(RADIANS(E2918))^2)</f>
        <v/>
      </c>
      <c r="Q2918" s="28">
        <f>-(6*F2918*J2918*L2918*N2918*SIN(RADIANS(E2918))+6*O2918*N2918*G2918*SIN(RADIANS(E2918))*COS(RADIANS(E2918)))/(12*N2918*COS(RADIANS(E2918))^2+L2918*G2918^2*SIN(RADIANS(E2918))^2)</f>
        <v/>
      </c>
      <c r="R2918" s="28">
        <f>-P2918*SIN(RADIANS(E2918))</f>
        <v/>
      </c>
      <c r="S2918" s="8">
        <f>(O2918+P2918*COS(RADIANS(E2918)))/L2918</f>
        <v/>
      </c>
      <c r="T2918" s="8">
        <f>R2918/L2918</f>
        <v/>
      </c>
      <c r="U2918" s="8">
        <f>(Q2918-P2918*G2918*SIN(RADIANS(E2918)))/M2918</f>
        <v/>
      </c>
      <c r="V2918" s="8">
        <f>SQRT((S2918+U2918)^2+3*T2918^2)</f>
        <v/>
      </c>
      <c r="W2918" s="8">
        <f>V2918/AA2918</f>
        <v/>
      </c>
      <c r="X2918" s="27">
        <f>((3*10+H2918/COS(RADIANS(E2918)))*(3+3)+3*G2918*H2918)*2</f>
        <v/>
      </c>
      <c r="Y2918" s="28">
        <f>Z2918/X2918</f>
        <v/>
      </c>
      <c r="Z2918" s="29" t="n">
        <v>626.616473036389</v>
      </c>
      <c r="AA2918" s="20" t="n">
        <v>100.749910970356</v>
      </c>
      <c r="AB2918" t="n">
        <v>0.1692994923644719</v>
      </c>
      <c r="AC2918" t="n">
        <v>102.0688451074068</v>
      </c>
      <c r="AD2918" t="n">
        <v>26.88771267065373</v>
      </c>
    </row>
    <row r="2919">
      <c r="A2919" t="n">
        <v>2918</v>
      </c>
      <c r="B2919" t="n">
        <v>77</v>
      </c>
      <c r="C2919" s="21">
        <f>B2919-20</f>
        <v/>
      </c>
      <c r="D2919" t="n">
        <v>111.4</v>
      </c>
      <c r="E2919" s="22">
        <f>D2919-90</f>
        <v/>
      </c>
      <c r="F2919" s="23" t="n">
        <v>0.020718</v>
      </c>
      <c r="G2919" s="22" t="n">
        <v>27.8</v>
      </c>
      <c r="H2919" s="22" t="n">
        <v>2</v>
      </c>
      <c r="I2919" s="24" t="n">
        <v>0.115859389305114</v>
      </c>
      <c r="J2919" s="6" t="n">
        <v>71000</v>
      </c>
      <c r="K2919" s="25">
        <f>23*10^-6</f>
        <v/>
      </c>
      <c r="L2919" s="8">
        <f>H2919</f>
        <v/>
      </c>
      <c r="M2919" s="26">
        <f>H2919^2/6</f>
        <v/>
      </c>
      <c r="N2919" s="26">
        <f>H2919^3/12</f>
        <v/>
      </c>
      <c r="O2919" s="27">
        <f>-J2919*L2919*K2919*C2919</f>
        <v/>
      </c>
      <c r="P2919" s="28">
        <f>-(12*F2919*J2919*L2919*N2919+12*O2919*N2919*G2919*COS(RADIANS(E2919)))/(12*N2919*G2919*COS(RADIANS(E2919))^2+L2919*G2919^3*SIN(RADIANS(E2919))^2)</f>
        <v/>
      </c>
      <c r="Q2919" s="28">
        <f>-(6*F2919*J2919*L2919*N2919*SIN(RADIANS(E2919))+6*O2919*N2919*G2919*SIN(RADIANS(E2919))*COS(RADIANS(E2919)))/(12*N2919*COS(RADIANS(E2919))^2+L2919*G2919^2*SIN(RADIANS(E2919))^2)</f>
        <v/>
      </c>
      <c r="R2919" s="28">
        <f>-P2919*SIN(RADIANS(E2919))</f>
        <v/>
      </c>
      <c r="S2919" s="8">
        <f>(O2919+P2919*COS(RADIANS(E2919)))/L2919</f>
        <v/>
      </c>
      <c r="T2919" s="8">
        <f>R2919/L2919</f>
        <v/>
      </c>
      <c r="U2919" s="8">
        <f>(Q2919-P2919*G2919*SIN(RADIANS(E2919)))/M2919</f>
        <v/>
      </c>
      <c r="V2919" s="8">
        <f>SQRT((S2919+U2919)^2+3*T2919^2)</f>
        <v/>
      </c>
      <c r="W2919" s="8">
        <f>V2919/AA2919</f>
        <v/>
      </c>
      <c r="X2919" s="27">
        <f>((3*10+H2919/COS(RADIANS(E2919)))*(3+3)+3*G2919*H2919)*2</f>
        <v/>
      </c>
      <c r="Y2919" s="28">
        <f>Z2919/X2919</f>
        <v/>
      </c>
      <c r="Z2919" s="29" t="n">
        <v>724.588003658609</v>
      </c>
      <c r="AA2919" s="20" t="n">
        <v>96.22409494058989</v>
      </c>
      <c r="AB2919" t="n">
        <v>0.1475062534117563</v>
      </c>
      <c r="AC2919" t="n">
        <v>91.47312796768459</v>
      </c>
      <c r="AD2919" t="n">
        <v>27.3148894504361</v>
      </c>
    </row>
    <row r="2920">
      <c r="A2920" t="n">
        <v>2919</v>
      </c>
      <c r="B2920" t="n">
        <v>66.8</v>
      </c>
      <c r="C2920" s="21">
        <f>B2920-20</f>
        <v/>
      </c>
      <c r="D2920" t="n">
        <v>128.6</v>
      </c>
      <c r="E2920" s="22">
        <f>D2920-90</f>
        <v/>
      </c>
      <c r="F2920" s="23" t="n">
        <v>0.013208</v>
      </c>
      <c r="G2920" s="22" t="n">
        <v>24</v>
      </c>
      <c r="H2920" s="22" t="n">
        <v>1.3</v>
      </c>
      <c r="I2920" s="24" t="n">
        <v>0.0588495954871177</v>
      </c>
      <c r="J2920" s="6" t="n">
        <v>71000</v>
      </c>
      <c r="K2920" s="25">
        <f>23*10^-6</f>
        <v/>
      </c>
      <c r="L2920" s="8">
        <f>H2920</f>
        <v/>
      </c>
      <c r="M2920" s="26">
        <f>H2920^2/6</f>
        <v/>
      </c>
      <c r="N2920" s="26">
        <f>H2920^3/12</f>
        <v/>
      </c>
      <c r="O2920" s="27">
        <f>-J2920*L2920*K2920*C2920</f>
        <v/>
      </c>
      <c r="P2920" s="28">
        <f>-(12*F2920*J2920*L2920*N2920+12*O2920*N2920*G2920*COS(RADIANS(E2920)))/(12*N2920*G2920*COS(RADIANS(E2920))^2+L2920*G2920^3*SIN(RADIANS(E2920))^2)</f>
        <v/>
      </c>
      <c r="Q2920" s="28">
        <f>-(6*F2920*J2920*L2920*N2920*SIN(RADIANS(E2920))+6*O2920*N2920*G2920*SIN(RADIANS(E2920))*COS(RADIANS(E2920)))/(12*N2920*COS(RADIANS(E2920))^2+L2920*G2920^2*SIN(RADIANS(E2920))^2)</f>
        <v/>
      </c>
      <c r="R2920" s="28">
        <f>-P2920*SIN(RADIANS(E2920))</f>
        <v/>
      </c>
      <c r="S2920" s="8">
        <f>(O2920+P2920*COS(RADIANS(E2920)))/L2920</f>
        <v/>
      </c>
      <c r="T2920" s="8">
        <f>R2920/L2920</f>
        <v/>
      </c>
      <c r="U2920" s="8">
        <f>(Q2920-P2920*G2920*SIN(RADIANS(E2920)))/M2920</f>
        <v/>
      </c>
      <c r="V2920" s="8">
        <f>SQRT((S2920+U2920)^2+3*T2920^2)</f>
        <v/>
      </c>
      <c r="W2920" s="8">
        <f>V2920/AA2920</f>
        <v/>
      </c>
      <c r="X2920" s="27">
        <f>((3*10+H2920/COS(RADIANS(E2920)))*(3+3)+3*G2920*H2920)*2</f>
        <v/>
      </c>
      <c r="Y2920" s="28">
        <f>Z2920/X2920</f>
        <v/>
      </c>
      <c r="Z2920" s="29" t="n">
        <v>577.3040870352499</v>
      </c>
      <c r="AA2920" s="20" t="n">
        <v>66.1726750530111</v>
      </c>
      <c r="AB2920" t="n">
        <v>0.05763954766227378</v>
      </c>
      <c r="AC2920" t="n">
        <v>67.16287137068494</v>
      </c>
      <c r="AD2920" t="n">
        <v>-2.056170165364693</v>
      </c>
    </row>
    <row r="2921">
      <c r="A2921" t="n">
        <v>2920</v>
      </c>
      <c r="B2921" t="n">
        <v>84</v>
      </c>
      <c r="C2921" s="21">
        <f>B2921-20</f>
        <v/>
      </c>
      <c r="D2921" t="n">
        <v>101.3</v>
      </c>
      <c r="E2921" s="22">
        <f>D2921-90</f>
        <v/>
      </c>
      <c r="F2921" s="23" t="n">
        <v>0.027916</v>
      </c>
      <c r="G2921" s="22" t="n">
        <v>32.9</v>
      </c>
      <c r="H2921" s="22" t="n">
        <v>1.4</v>
      </c>
      <c r="I2921" s="24" t="n">
        <v>0.244117781519889</v>
      </c>
      <c r="J2921" s="6" t="n">
        <v>71000</v>
      </c>
      <c r="K2921" s="25">
        <f>23*10^-6</f>
        <v/>
      </c>
      <c r="L2921" s="8">
        <f>H2921</f>
        <v/>
      </c>
      <c r="M2921" s="26">
        <f>H2921^2/6</f>
        <v/>
      </c>
      <c r="N2921" s="26">
        <f>H2921^3/12</f>
        <v/>
      </c>
      <c r="O2921" s="27">
        <f>-J2921*L2921*K2921*C2921</f>
        <v/>
      </c>
      <c r="P2921" s="28">
        <f>-(12*F2921*J2921*L2921*N2921+12*O2921*N2921*G2921*COS(RADIANS(E2921)))/(12*N2921*G2921*COS(RADIANS(E2921))^2+L2921*G2921^3*SIN(RADIANS(E2921))^2)</f>
        <v/>
      </c>
      <c r="Q2921" s="28">
        <f>-(6*F2921*J2921*L2921*N2921*SIN(RADIANS(E2921))+6*O2921*N2921*G2921*SIN(RADIANS(E2921))*COS(RADIANS(E2921)))/(12*N2921*COS(RADIANS(E2921))^2+L2921*G2921^2*SIN(RADIANS(E2921))^2)</f>
        <v/>
      </c>
      <c r="R2921" s="28">
        <f>-P2921*SIN(RADIANS(E2921))</f>
        <v/>
      </c>
      <c r="S2921" s="8">
        <f>(O2921+P2921*COS(RADIANS(E2921)))/L2921</f>
        <v/>
      </c>
      <c r="T2921" s="8">
        <f>R2921/L2921</f>
        <v/>
      </c>
      <c r="U2921" s="8">
        <f>(Q2921-P2921*G2921*SIN(RADIANS(E2921)))/M2921</f>
        <v/>
      </c>
      <c r="V2921" s="8">
        <f>SQRT((S2921+U2921)^2+3*T2921^2)</f>
        <v/>
      </c>
      <c r="W2921" s="8">
        <f>V2921/AA2921</f>
        <v/>
      </c>
      <c r="X2921" s="27">
        <f>((3*10+H2921/COS(RADIANS(E2921)))*(3+3)+3*G2921*H2921)*2</f>
        <v/>
      </c>
      <c r="Y2921" s="28">
        <f>Z2921/X2921</f>
        <v/>
      </c>
      <c r="Z2921" s="29" t="n">
        <v>657.400186705995</v>
      </c>
      <c r="AA2921" s="20" t="n">
        <v>100.178257823383</v>
      </c>
      <c r="AB2921" t="n">
        <v>0.3698347642723849</v>
      </c>
      <c r="AC2921" t="n">
        <v>106.0772119436364</v>
      </c>
      <c r="AD2921" t="n">
        <v>51.49849468964365</v>
      </c>
    </row>
    <row r="2922">
      <c r="A2922" t="n">
        <v>2921</v>
      </c>
      <c r="B2922" t="n">
        <v>78.5</v>
      </c>
      <c r="C2922" s="21">
        <f>B2922-20</f>
        <v/>
      </c>
      <c r="D2922" t="n">
        <v>107.2</v>
      </c>
      <c r="E2922" s="22">
        <f>D2922-90</f>
        <v/>
      </c>
      <c r="F2922" s="23" t="n">
        <v>0.026235</v>
      </c>
      <c r="G2922" s="22" t="n">
        <v>34.9</v>
      </c>
      <c r="H2922" s="22" t="n">
        <v>1.3</v>
      </c>
      <c r="I2922" s="24" t="n">
        <v>0.167037859559059</v>
      </c>
      <c r="J2922" s="6" t="n">
        <v>71000</v>
      </c>
      <c r="K2922" s="25">
        <f>23*10^-6</f>
        <v/>
      </c>
      <c r="L2922" s="8">
        <f>H2922</f>
        <v/>
      </c>
      <c r="M2922" s="26">
        <f>H2922^2/6</f>
        <v/>
      </c>
      <c r="N2922" s="26">
        <f>H2922^3/12</f>
        <v/>
      </c>
      <c r="O2922" s="27">
        <f>-J2922*L2922*K2922*C2922</f>
        <v/>
      </c>
      <c r="P2922" s="28">
        <f>-(12*F2922*J2922*L2922*N2922+12*O2922*N2922*G2922*COS(RADIANS(E2922)))/(12*N2922*G2922*COS(RADIANS(E2922))^2+L2922*G2922^3*SIN(RADIANS(E2922))^2)</f>
        <v/>
      </c>
      <c r="Q2922" s="28">
        <f>-(6*F2922*J2922*L2922*N2922*SIN(RADIANS(E2922))+6*O2922*N2922*G2922*SIN(RADIANS(E2922))*COS(RADIANS(E2922)))/(12*N2922*COS(RADIANS(E2922))^2+L2922*G2922^2*SIN(RADIANS(E2922))^2)</f>
        <v/>
      </c>
      <c r="R2922" s="28">
        <f>-P2922*SIN(RADIANS(E2922))</f>
        <v/>
      </c>
      <c r="S2922" s="8">
        <f>(O2922+P2922*COS(RADIANS(E2922)))/L2922</f>
        <v/>
      </c>
      <c r="T2922" s="8">
        <f>R2922/L2922</f>
        <v/>
      </c>
      <c r="U2922" s="8">
        <f>(Q2922-P2922*G2922*SIN(RADIANS(E2922)))/M2922</f>
        <v/>
      </c>
      <c r="V2922" s="8">
        <f>SQRT((S2922+U2922)^2+3*T2922^2)</f>
        <v/>
      </c>
      <c r="W2922" s="8">
        <f>V2922/AA2922</f>
        <v/>
      </c>
      <c r="X2922" s="27">
        <f>((3*10+H2922/COS(RADIANS(E2922)))*(3+3)+3*G2922*H2922)*2</f>
        <v/>
      </c>
      <c r="Y2922" s="28">
        <f>Z2922/X2922</f>
        <v/>
      </c>
      <c r="Z2922" s="29" t="n">
        <v>653.1075150488959</v>
      </c>
      <c r="AA2922" s="20" t="n">
        <v>86.214466327522</v>
      </c>
      <c r="AB2922" t="n">
        <v>0.2399587762394065</v>
      </c>
      <c r="AC2922" t="n">
        <v>89.7147129814165</v>
      </c>
      <c r="AD2922" t="n">
        <v>43.65532273512228</v>
      </c>
    </row>
    <row r="2923">
      <c r="A2923" t="n">
        <v>2922</v>
      </c>
      <c r="B2923" t="n">
        <v>78.59999999999999</v>
      </c>
      <c r="C2923" s="21">
        <f>B2923-20</f>
        <v/>
      </c>
      <c r="D2923" t="n">
        <v>119.4</v>
      </c>
      <c r="E2923" s="22">
        <f>D2923-90</f>
        <v/>
      </c>
      <c r="F2923" s="23" t="n">
        <v>0.019606</v>
      </c>
      <c r="G2923" s="22" t="n">
        <v>26.8</v>
      </c>
      <c r="H2923" s="22" t="n">
        <v>1.4</v>
      </c>
      <c r="I2923" s="24" t="n">
        <v>0.0936908796429634</v>
      </c>
      <c r="J2923" s="6" t="n">
        <v>71000</v>
      </c>
      <c r="K2923" s="25">
        <f>23*10^-6</f>
        <v/>
      </c>
      <c r="L2923" s="8">
        <f>H2923</f>
        <v/>
      </c>
      <c r="M2923" s="26">
        <f>H2923^2/6</f>
        <v/>
      </c>
      <c r="N2923" s="26">
        <f>H2923^3/12</f>
        <v/>
      </c>
      <c r="O2923" s="27">
        <f>-J2923*L2923*K2923*C2923</f>
        <v/>
      </c>
      <c r="P2923" s="28">
        <f>-(12*F2923*J2923*L2923*N2923+12*O2923*N2923*G2923*COS(RADIANS(E2923)))/(12*N2923*G2923*COS(RADIANS(E2923))^2+L2923*G2923^3*SIN(RADIANS(E2923))^2)</f>
        <v/>
      </c>
      <c r="Q2923" s="28">
        <f>-(6*F2923*J2923*L2923*N2923*SIN(RADIANS(E2923))+6*O2923*N2923*G2923*SIN(RADIANS(E2923))*COS(RADIANS(E2923)))/(12*N2923*COS(RADIANS(E2923))^2+L2923*G2923^2*SIN(RADIANS(E2923))^2)</f>
        <v/>
      </c>
      <c r="R2923" s="28">
        <f>-P2923*SIN(RADIANS(E2923))</f>
        <v/>
      </c>
      <c r="S2923" s="8">
        <f>(O2923+P2923*COS(RADIANS(E2923)))/L2923</f>
        <v/>
      </c>
      <c r="T2923" s="8">
        <f>R2923/L2923</f>
        <v/>
      </c>
      <c r="U2923" s="8">
        <f>(Q2923-P2923*G2923*SIN(RADIANS(E2923)))/M2923</f>
        <v/>
      </c>
      <c r="V2923" s="8">
        <f>SQRT((S2923+U2923)^2+3*T2923^2)</f>
        <v/>
      </c>
      <c r="W2923" s="8">
        <f>V2923/AA2923</f>
        <v/>
      </c>
      <c r="X2923" s="27">
        <f>((3*10+H2923/COS(RADIANS(E2923)))*(3+3)+3*G2923*H2923)*2</f>
        <v/>
      </c>
      <c r="Y2923" s="28">
        <f>Z2923/X2923</f>
        <v/>
      </c>
      <c r="Z2923" s="29" t="n">
        <v>611.384842893998</v>
      </c>
      <c r="AA2923" s="20" t="n">
        <v>86.8861439182436</v>
      </c>
      <c r="AB2923" t="n">
        <v>0.1073580380538883</v>
      </c>
      <c r="AC2923" t="n">
        <v>86.63627968837774</v>
      </c>
      <c r="AD2923" t="n">
        <v>14.58750143344539</v>
      </c>
    </row>
    <row r="2924">
      <c r="A2924" t="n">
        <v>2923</v>
      </c>
      <c r="B2924" t="n">
        <v>48.7</v>
      </c>
      <c r="C2924" s="21">
        <f>B2924-20</f>
        <v/>
      </c>
      <c r="D2924" t="n">
        <v>108.4</v>
      </c>
      <c r="E2924" s="22">
        <f>D2924-90</f>
        <v/>
      </c>
      <c r="F2924" s="23" t="n">
        <v>0.009259</v>
      </c>
      <c r="G2924" s="22" t="n">
        <v>23.5</v>
      </c>
      <c r="H2924" s="22" t="n">
        <v>1.7</v>
      </c>
      <c r="I2924" s="24" t="n">
        <v>0.0579965449869632</v>
      </c>
      <c r="J2924" s="6" t="n">
        <v>71000</v>
      </c>
      <c r="K2924" s="25">
        <f>23*10^-6</f>
        <v/>
      </c>
      <c r="L2924" s="8">
        <f>H2924</f>
        <v/>
      </c>
      <c r="M2924" s="26">
        <f>H2924^2/6</f>
        <v/>
      </c>
      <c r="N2924" s="26">
        <f>H2924^3/12</f>
        <v/>
      </c>
      <c r="O2924" s="27">
        <f>-J2924*L2924*K2924*C2924</f>
        <v/>
      </c>
      <c r="P2924" s="28">
        <f>-(12*F2924*J2924*L2924*N2924+12*O2924*N2924*G2924*COS(RADIANS(E2924)))/(12*N2924*G2924*COS(RADIANS(E2924))^2+L2924*G2924^3*SIN(RADIANS(E2924))^2)</f>
        <v/>
      </c>
      <c r="Q2924" s="28">
        <f>-(6*F2924*J2924*L2924*N2924*SIN(RADIANS(E2924))+6*O2924*N2924*G2924*SIN(RADIANS(E2924))*COS(RADIANS(E2924)))/(12*N2924*COS(RADIANS(E2924))^2+L2924*G2924^2*SIN(RADIANS(E2924))^2)</f>
        <v/>
      </c>
      <c r="R2924" s="28">
        <f>-P2924*SIN(RADIANS(E2924))</f>
        <v/>
      </c>
      <c r="S2924" s="8">
        <f>(O2924+P2924*COS(RADIANS(E2924)))/L2924</f>
        <v/>
      </c>
      <c r="T2924" s="8">
        <f>R2924/L2924</f>
        <v/>
      </c>
      <c r="U2924" s="8">
        <f>(Q2924-P2924*G2924*SIN(RADIANS(E2924)))/M2924</f>
        <v/>
      </c>
      <c r="V2924" s="8">
        <f>SQRT((S2924+U2924)^2+3*T2924^2)</f>
        <v/>
      </c>
      <c r="W2924" s="8">
        <f>V2924/AA2924</f>
        <v/>
      </c>
      <c r="X2924" s="27">
        <f>((3*10+H2924/COS(RADIANS(E2924)))*(3+3)+3*G2924*H2924)*2</f>
        <v/>
      </c>
      <c r="Y2924" s="28">
        <f>Z2924/X2924</f>
        <v/>
      </c>
      <c r="Z2924" s="29" t="n">
        <v>625.925833483045</v>
      </c>
      <c r="AA2924" s="20" t="n">
        <v>48.0683509724769</v>
      </c>
      <c r="AB2924" t="n">
        <v>0.07336210163322809</v>
      </c>
      <c r="AC2924" t="n">
        <v>46.81146575124289</v>
      </c>
      <c r="AD2924" t="n">
        <v>26.49391726648346</v>
      </c>
    </row>
    <row r="2925">
      <c r="A2925" t="n">
        <v>2924</v>
      </c>
      <c r="B2925" t="n">
        <v>76.2</v>
      </c>
      <c r="C2925" s="21">
        <f>B2925-20</f>
        <v/>
      </c>
      <c r="D2925" t="n">
        <v>113.2</v>
      </c>
      <c r="E2925" s="22">
        <f>D2925-90</f>
        <v/>
      </c>
      <c r="F2925" s="23" t="n">
        <v>0.016328</v>
      </c>
      <c r="G2925" s="22" t="n">
        <v>21.2</v>
      </c>
      <c r="H2925" s="22" t="n">
        <v>1</v>
      </c>
      <c r="I2925" s="24" t="n">
        <v>0.09133611619472499</v>
      </c>
      <c r="J2925" s="6" t="n">
        <v>71000</v>
      </c>
      <c r="K2925" s="25">
        <f>23*10^-6</f>
        <v/>
      </c>
      <c r="L2925" s="8">
        <f>H2925</f>
        <v/>
      </c>
      <c r="M2925" s="26">
        <f>H2925^2/6</f>
        <v/>
      </c>
      <c r="N2925" s="26">
        <f>H2925^3/12</f>
        <v/>
      </c>
      <c r="O2925" s="27">
        <f>-J2925*L2925*K2925*C2925</f>
        <v/>
      </c>
      <c r="P2925" s="28">
        <f>-(12*F2925*J2925*L2925*N2925+12*O2925*N2925*G2925*COS(RADIANS(E2925)))/(12*N2925*G2925*COS(RADIANS(E2925))^2+L2925*G2925^3*SIN(RADIANS(E2925))^2)</f>
        <v/>
      </c>
      <c r="Q2925" s="28">
        <f>-(6*F2925*J2925*L2925*N2925*SIN(RADIANS(E2925))+6*O2925*N2925*G2925*SIN(RADIANS(E2925))*COS(RADIANS(E2925)))/(12*N2925*COS(RADIANS(E2925))^2+L2925*G2925^2*SIN(RADIANS(E2925))^2)</f>
        <v/>
      </c>
      <c r="R2925" s="28">
        <f>-P2925*SIN(RADIANS(E2925))</f>
        <v/>
      </c>
      <c r="S2925" s="8">
        <f>(O2925+P2925*COS(RADIANS(E2925)))/L2925</f>
        <v/>
      </c>
      <c r="T2925" s="8">
        <f>R2925/L2925</f>
        <v/>
      </c>
      <c r="U2925" s="8">
        <f>(Q2925-P2925*G2925*SIN(RADIANS(E2925)))/M2925</f>
        <v/>
      </c>
      <c r="V2925" s="8">
        <f>SQRT((S2925+U2925)^2+3*T2925^2)</f>
        <v/>
      </c>
      <c r="W2925" s="8">
        <f>V2925/AA2925</f>
        <v/>
      </c>
      <c r="X2925" s="27">
        <f>((3*10+H2925/COS(RADIANS(E2925)))*(3+3)+3*G2925*H2925)*2</f>
        <v/>
      </c>
      <c r="Y2925" s="28">
        <f>Z2925/X2925</f>
        <v/>
      </c>
      <c r="Z2925" s="29" t="n">
        <v>505.800875451024</v>
      </c>
      <c r="AA2925" s="20" t="n">
        <v>79.5005643907916</v>
      </c>
      <c r="AB2925" t="n">
        <v>0.1062856533433591</v>
      </c>
      <c r="AC2925" t="n">
        <v>83.82686126729767</v>
      </c>
      <c r="AD2925" t="n">
        <v>16.36760765781006</v>
      </c>
    </row>
    <row r="2926">
      <c r="A2926" t="n">
        <v>2925</v>
      </c>
      <c r="B2926" t="n">
        <v>55.7</v>
      </c>
      <c r="C2926" s="21">
        <f>B2926-20</f>
        <v/>
      </c>
      <c r="D2926" t="n">
        <v>104.3</v>
      </c>
      <c r="E2926" s="22">
        <f>D2926-90</f>
        <v/>
      </c>
      <c r="F2926" s="23" t="n">
        <v>0.015653</v>
      </c>
      <c r="G2926" s="22" t="n">
        <v>33.5</v>
      </c>
      <c r="H2926" s="22" t="n">
        <v>1.9</v>
      </c>
      <c r="I2926" s="24" t="n">
        <v>0.112636409699916</v>
      </c>
      <c r="J2926" s="6" t="n">
        <v>71000</v>
      </c>
      <c r="K2926" s="25">
        <f>23*10^-6</f>
        <v/>
      </c>
      <c r="L2926" s="8">
        <f>H2926</f>
        <v/>
      </c>
      <c r="M2926" s="26">
        <f>H2926^2/6</f>
        <v/>
      </c>
      <c r="N2926" s="26">
        <f>H2926^3/12</f>
        <v/>
      </c>
      <c r="O2926" s="27">
        <f>-J2926*L2926*K2926*C2926</f>
        <v/>
      </c>
      <c r="P2926" s="28">
        <f>-(12*F2926*J2926*L2926*N2926+12*O2926*N2926*G2926*COS(RADIANS(E2926)))/(12*N2926*G2926*COS(RADIANS(E2926))^2+L2926*G2926^3*SIN(RADIANS(E2926))^2)</f>
        <v/>
      </c>
      <c r="Q2926" s="28">
        <f>-(6*F2926*J2926*L2926*N2926*SIN(RADIANS(E2926))+6*O2926*N2926*G2926*SIN(RADIANS(E2926))*COS(RADIANS(E2926)))/(12*N2926*COS(RADIANS(E2926))^2+L2926*G2926^2*SIN(RADIANS(E2926))^2)</f>
        <v/>
      </c>
      <c r="R2926" s="28">
        <f>-P2926*SIN(RADIANS(E2926))</f>
        <v/>
      </c>
      <c r="S2926" s="8">
        <f>(O2926+P2926*COS(RADIANS(E2926)))/L2926</f>
        <v/>
      </c>
      <c r="T2926" s="8">
        <f>R2926/L2926</f>
        <v/>
      </c>
      <c r="U2926" s="8">
        <f>(Q2926-P2926*G2926*SIN(RADIANS(E2926)))/M2926</f>
        <v/>
      </c>
      <c r="V2926" s="8">
        <f>SQRT((S2926+U2926)^2+3*T2926^2)</f>
        <v/>
      </c>
      <c r="W2926" s="8">
        <f>V2926/AA2926</f>
        <v/>
      </c>
      <c r="X2926" s="27">
        <f>((3*10+H2926/COS(RADIANS(E2926)))*(3+3)+3*G2926*H2926)*2</f>
        <v/>
      </c>
      <c r="Y2926" s="28">
        <f>Z2926/X2926</f>
        <v/>
      </c>
      <c r="Z2926" s="29" t="n">
        <v>769.630058930756</v>
      </c>
      <c r="AA2926" s="20" t="n">
        <v>61.1099925630967</v>
      </c>
      <c r="AB2926" t="n">
        <v>0.1644357778843189</v>
      </c>
      <c r="AC2926" t="n">
        <v>59.60460214461266</v>
      </c>
      <c r="AD2926" t="n">
        <v>45.98812082381342</v>
      </c>
    </row>
    <row r="2927">
      <c r="A2927" t="n">
        <v>2926</v>
      </c>
      <c r="B2927" t="n">
        <v>42.1</v>
      </c>
      <c r="C2927" s="21">
        <f>B2927-20</f>
        <v/>
      </c>
      <c r="D2927" t="n">
        <v>125.4</v>
      </c>
      <c r="E2927" s="22">
        <f>D2927-90</f>
        <v/>
      </c>
      <c r="F2927" s="23" t="n">
        <v>0.006132</v>
      </c>
      <c r="G2927" s="22" t="n">
        <v>22.5</v>
      </c>
      <c r="H2927" s="22" t="n">
        <v>1.1</v>
      </c>
      <c r="I2927" s="24" t="n">
        <v>0.028133662417531</v>
      </c>
      <c r="J2927" s="6" t="n">
        <v>71000</v>
      </c>
      <c r="K2927" s="25">
        <f>23*10^-6</f>
        <v/>
      </c>
      <c r="L2927" s="8">
        <f>H2927</f>
        <v/>
      </c>
      <c r="M2927" s="26">
        <f>H2927^2/6</f>
        <v/>
      </c>
      <c r="N2927" s="26">
        <f>H2927^3/12</f>
        <v/>
      </c>
      <c r="O2927" s="27">
        <f>-J2927*L2927*K2927*C2927</f>
        <v/>
      </c>
      <c r="P2927" s="28">
        <f>-(12*F2927*J2927*L2927*N2927+12*O2927*N2927*G2927*COS(RADIANS(E2927)))/(12*N2927*G2927*COS(RADIANS(E2927))^2+L2927*G2927^3*SIN(RADIANS(E2927))^2)</f>
        <v/>
      </c>
      <c r="Q2927" s="28">
        <f>-(6*F2927*J2927*L2927*N2927*SIN(RADIANS(E2927))+6*O2927*N2927*G2927*SIN(RADIANS(E2927))*COS(RADIANS(E2927)))/(12*N2927*COS(RADIANS(E2927))^2+L2927*G2927^2*SIN(RADIANS(E2927))^2)</f>
        <v/>
      </c>
      <c r="R2927" s="28">
        <f>-P2927*SIN(RADIANS(E2927))</f>
        <v/>
      </c>
      <c r="S2927" s="8">
        <f>(O2927+P2927*COS(RADIANS(E2927)))/L2927</f>
        <v/>
      </c>
      <c r="T2927" s="8">
        <f>R2927/L2927</f>
        <v/>
      </c>
      <c r="U2927" s="8">
        <f>(Q2927-P2927*G2927*SIN(RADIANS(E2927)))/M2927</f>
        <v/>
      </c>
      <c r="V2927" s="8">
        <f>SQRT((S2927+U2927)^2+3*T2927^2)</f>
        <v/>
      </c>
      <c r="W2927" s="8">
        <f>V2927/AA2927</f>
        <v/>
      </c>
      <c r="X2927" s="27">
        <f>((3*10+H2927/COS(RADIANS(E2927)))*(3+3)+3*G2927*H2927)*2</f>
        <v/>
      </c>
      <c r="Y2927" s="28">
        <f>Z2927/X2927</f>
        <v/>
      </c>
      <c r="Z2927" s="29" t="n">
        <v>533.570645071937</v>
      </c>
      <c r="AA2927" s="20" t="n">
        <v>30.5436638651303</v>
      </c>
      <c r="AB2927" t="n">
        <v>0.02821784142955607</v>
      </c>
      <c r="AC2927" t="n">
        <v>31.72159264839388</v>
      </c>
      <c r="AD2927" t="n">
        <v>0.2992109977569574</v>
      </c>
    </row>
    <row r="2928">
      <c r="A2928" t="n">
        <v>2927</v>
      </c>
      <c r="B2928" t="n">
        <v>77.2</v>
      </c>
      <c r="C2928" s="21">
        <f>B2928-20</f>
        <v/>
      </c>
      <c r="D2928" t="n">
        <v>105.6</v>
      </c>
      <c r="E2928" s="22">
        <f>D2928-90</f>
        <v/>
      </c>
      <c r="F2928" s="23" t="n">
        <v>0.016725</v>
      </c>
      <c r="G2928" s="22" t="n">
        <v>20.4</v>
      </c>
      <c r="H2928" s="22" t="n">
        <v>1.1</v>
      </c>
      <c r="I2928" s="24" t="n">
        <v>0.12070358544588</v>
      </c>
      <c r="J2928" s="6" t="n">
        <v>71000</v>
      </c>
      <c r="K2928" s="25">
        <f>23*10^-6</f>
        <v/>
      </c>
      <c r="L2928" s="8">
        <f>H2928</f>
        <v/>
      </c>
      <c r="M2928" s="26">
        <f>H2928^2/6</f>
        <v/>
      </c>
      <c r="N2928" s="26">
        <f>H2928^3/12</f>
        <v/>
      </c>
      <c r="O2928" s="27">
        <f>-J2928*L2928*K2928*C2928</f>
        <v/>
      </c>
      <c r="P2928" s="28">
        <f>-(12*F2928*J2928*L2928*N2928+12*O2928*N2928*G2928*COS(RADIANS(E2928)))/(12*N2928*G2928*COS(RADIANS(E2928))^2+L2928*G2928^3*SIN(RADIANS(E2928))^2)</f>
        <v/>
      </c>
      <c r="Q2928" s="28">
        <f>-(6*F2928*J2928*L2928*N2928*SIN(RADIANS(E2928))+6*O2928*N2928*G2928*SIN(RADIANS(E2928))*COS(RADIANS(E2928)))/(12*N2928*COS(RADIANS(E2928))^2+L2928*G2928^2*SIN(RADIANS(E2928))^2)</f>
        <v/>
      </c>
      <c r="R2928" s="28">
        <f>-P2928*SIN(RADIANS(E2928))</f>
        <v/>
      </c>
      <c r="S2928" s="8">
        <f>(O2928+P2928*COS(RADIANS(E2928)))/L2928</f>
        <v/>
      </c>
      <c r="T2928" s="8">
        <f>R2928/L2928</f>
        <v/>
      </c>
      <c r="U2928" s="8">
        <f>(Q2928-P2928*G2928*SIN(RADIANS(E2928)))/M2928</f>
        <v/>
      </c>
      <c r="V2928" s="8">
        <f>SQRT((S2928+U2928)^2+3*T2928^2)</f>
        <v/>
      </c>
      <c r="W2928" s="8">
        <f>V2928/AA2928</f>
        <v/>
      </c>
      <c r="X2928" s="27">
        <f>((3*10+H2928/COS(RADIANS(E2928)))*(3+3)+3*G2928*H2928)*2</f>
        <v/>
      </c>
      <c r="Y2928" s="28">
        <f>Z2928/X2928</f>
        <v/>
      </c>
      <c r="Z2928" s="29" t="n">
        <v>512.696392855034</v>
      </c>
      <c r="AA2928" s="20" t="n">
        <v>84.8347735530716</v>
      </c>
      <c r="AB2928" t="n">
        <v>0.1537917610867942</v>
      </c>
      <c r="AC2928" t="n">
        <v>90.99986216568945</v>
      </c>
      <c r="AD2928" t="n">
        <v>27.41275291755937</v>
      </c>
    </row>
    <row r="2929">
      <c r="A2929" t="n">
        <v>2928</v>
      </c>
      <c r="B2929" t="n">
        <v>59.4</v>
      </c>
      <c r="C2929" s="21">
        <f>B2929-20</f>
        <v/>
      </c>
      <c r="D2929" t="n">
        <v>121.2</v>
      </c>
      <c r="E2929" s="22">
        <f>D2929-90</f>
        <v/>
      </c>
      <c r="F2929" s="23" t="n">
        <v>0.012223</v>
      </c>
      <c r="G2929" s="22" t="n">
        <v>24.8</v>
      </c>
      <c r="H2929" s="22" t="n">
        <v>1.4</v>
      </c>
      <c r="I2929" s="24" t="n">
        <v>0.0576683469116687</v>
      </c>
      <c r="J2929" s="6" t="n">
        <v>71000</v>
      </c>
      <c r="K2929" s="25">
        <f>23*10^-6</f>
        <v/>
      </c>
      <c r="L2929" s="8">
        <f>H2929</f>
        <v/>
      </c>
      <c r="M2929" s="26">
        <f>H2929^2/6</f>
        <v/>
      </c>
      <c r="N2929" s="26">
        <f>H2929^3/12</f>
        <v/>
      </c>
      <c r="O2929" s="27">
        <f>-J2929*L2929*K2929*C2929</f>
        <v/>
      </c>
      <c r="P2929" s="28">
        <f>-(12*F2929*J2929*L2929*N2929+12*O2929*N2929*G2929*COS(RADIANS(E2929)))/(12*N2929*G2929*COS(RADIANS(E2929))^2+L2929*G2929^3*SIN(RADIANS(E2929))^2)</f>
        <v/>
      </c>
      <c r="Q2929" s="28">
        <f>-(6*F2929*J2929*L2929*N2929*SIN(RADIANS(E2929))+6*O2929*N2929*G2929*SIN(RADIANS(E2929))*COS(RADIANS(E2929)))/(12*N2929*COS(RADIANS(E2929))^2+L2929*G2929^2*SIN(RADIANS(E2929))^2)</f>
        <v/>
      </c>
      <c r="R2929" s="28">
        <f>-P2929*SIN(RADIANS(E2929))</f>
        <v/>
      </c>
      <c r="S2929" s="8">
        <f>(O2929+P2929*COS(RADIANS(E2929)))/L2929</f>
        <v/>
      </c>
      <c r="T2929" s="8">
        <f>R2929/L2929</f>
        <v/>
      </c>
      <c r="U2929" s="8">
        <f>(Q2929-P2929*G2929*SIN(RADIANS(E2929)))/M2929</f>
        <v/>
      </c>
      <c r="V2929" s="8">
        <f>SQRT((S2929+U2929)^2+3*T2929^2)</f>
        <v/>
      </c>
      <c r="W2929" s="8">
        <f>V2929/AA2929</f>
        <v/>
      </c>
      <c r="X2929" s="27">
        <f>((3*10+H2929/COS(RADIANS(E2929)))*(3+3)+3*G2929*H2929)*2</f>
        <v/>
      </c>
      <c r="Y2929" s="28">
        <f>Z2929/X2929</f>
        <v/>
      </c>
      <c r="Z2929" s="29" t="n">
        <v>595.4526061845349</v>
      </c>
      <c r="AA2929" s="20" t="n">
        <v>58.5192334932914</v>
      </c>
      <c r="AB2929" t="n">
        <v>0.06295465139213399</v>
      </c>
      <c r="AC2929" t="n">
        <v>58.09563048647335</v>
      </c>
      <c r="AD2929" t="n">
        <v>9.166734896289618</v>
      </c>
    </row>
    <row r="2930">
      <c r="A2930" t="n">
        <v>2929</v>
      </c>
      <c r="B2930" t="n">
        <v>86.5</v>
      </c>
      <c r="C2930" s="21">
        <f>B2930-20</f>
        <v/>
      </c>
      <c r="D2930" t="n">
        <v>118.2</v>
      </c>
      <c r="E2930" s="22">
        <f>D2930-90</f>
        <v/>
      </c>
      <c r="F2930" s="23" t="n">
        <v>0.018245</v>
      </c>
      <c r="G2930" s="22" t="n">
        <v>20.5</v>
      </c>
      <c r="H2930" s="22" t="n">
        <v>1.7</v>
      </c>
      <c r="I2930" s="24" t="n">
        <v>0.092358574271202</v>
      </c>
      <c r="J2930" s="6" t="n">
        <v>71000</v>
      </c>
      <c r="K2930" s="25">
        <f>23*10^-6</f>
        <v/>
      </c>
      <c r="L2930" s="8">
        <f>H2930</f>
        <v/>
      </c>
      <c r="M2930" s="26">
        <f>H2930^2/6</f>
        <v/>
      </c>
      <c r="N2930" s="26">
        <f>H2930^3/12</f>
        <v/>
      </c>
      <c r="O2930" s="27">
        <f>-J2930*L2930*K2930*C2930</f>
        <v/>
      </c>
      <c r="P2930" s="28">
        <f>-(12*F2930*J2930*L2930*N2930+12*O2930*N2930*G2930*COS(RADIANS(E2930)))/(12*N2930*G2930*COS(RADIANS(E2930))^2+L2930*G2930^3*SIN(RADIANS(E2930))^2)</f>
        <v/>
      </c>
      <c r="Q2930" s="28">
        <f>-(6*F2930*J2930*L2930*N2930*SIN(RADIANS(E2930))+6*O2930*N2930*G2930*SIN(RADIANS(E2930))*COS(RADIANS(E2930)))/(12*N2930*COS(RADIANS(E2930))^2+L2930*G2930^2*SIN(RADIANS(E2930))^2)</f>
        <v/>
      </c>
      <c r="R2930" s="28">
        <f>-P2930*SIN(RADIANS(E2930))</f>
        <v/>
      </c>
      <c r="S2930" s="8">
        <f>(O2930+P2930*COS(RADIANS(E2930)))/L2930</f>
        <v/>
      </c>
      <c r="T2930" s="8">
        <f>R2930/L2930</f>
        <v/>
      </c>
      <c r="U2930" s="8">
        <f>(Q2930-P2930*G2930*SIN(RADIANS(E2930)))/M2930</f>
        <v/>
      </c>
      <c r="V2930" s="8">
        <f>SQRT((S2930+U2930)^2+3*T2930^2)</f>
        <v/>
      </c>
      <c r="W2930" s="8">
        <f>V2930/AA2930</f>
        <v/>
      </c>
      <c r="X2930" s="27">
        <f>((3*10+H2930/COS(RADIANS(E2930)))*(3+3)+3*G2930*H2930)*2</f>
        <v/>
      </c>
      <c r="Y2930" s="28">
        <f>Z2930/X2930</f>
        <v/>
      </c>
      <c r="Z2930" s="29" t="n">
        <v>598.913552323609</v>
      </c>
      <c r="AA2930" s="20" t="n">
        <v>108.689556331279</v>
      </c>
      <c r="AB2930" t="n">
        <v>0.09780546427600471</v>
      </c>
      <c r="AC2930" t="n">
        <v>102.361071668506</v>
      </c>
      <c r="AD2930" t="n">
        <v>5.897546652039522</v>
      </c>
    </row>
    <row r="2931">
      <c r="A2931" t="n">
        <v>2930</v>
      </c>
      <c r="B2931" t="n">
        <v>69</v>
      </c>
      <c r="C2931" s="21">
        <f>B2931-20</f>
        <v/>
      </c>
      <c r="D2931" t="n">
        <v>105.2</v>
      </c>
      <c r="E2931" s="22">
        <f>D2931-90</f>
        <v/>
      </c>
      <c r="F2931" s="23" t="n">
        <v>0.020062</v>
      </c>
      <c r="G2931" s="22" t="n">
        <v>31</v>
      </c>
      <c r="H2931" s="22" t="n">
        <v>1.8</v>
      </c>
      <c r="I2931" s="24" t="n">
        <v>0.139285042881965</v>
      </c>
      <c r="J2931" s="6" t="n">
        <v>71000</v>
      </c>
      <c r="K2931" s="25">
        <f>23*10^-6</f>
        <v/>
      </c>
      <c r="L2931" s="8">
        <f>H2931</f>
        <v/>
      </c>
      <c r="M2931" s="26">
        <f>H2931^2/6</f>
        <v/>
      </c>
      <c r="N2931" s="26">
        <f>H2931^3/12</f>
        <v/>
      </c>
      <c r="O2931" s="27">
        <f>-J2931*L2931*K2931*C2931</f>
        <v/>
      </c>
      <c r="P2931" s="28">
        <f>-(12*F2931*J2931*L2931*N2931+12*O2931*N2931*G2931*COS(RADIANS(E2931)))/(12*N2931*G2931*COS(RADIANS(E2931))^2+L2931*G2931^3*SIN(RADIANS(E2931))^2)</f>
        <v/>
      </c>
      <c r="Q2931" s="28">
        <f>-(6*F2931*J2931*L2931*N2931*SIN(RADIANS(E2931))+6*O2931*N2931*G2931*SIN(RADIANS(E2931))*COS(RADIANS(E2931)))/(12*N2931*COS(RADIANS(E2931))^2+L2931*G2931^2*SIN(RADIANS(E2931))^2)</f>
        <v/>
      </c>
      <c r="R2931" s="28">
        <f>-P2931*SIN(RADIANS(E2931))</f>
        <v/>
      </c>
      <c r="S2931" s="8">
        <f>(O2931+P2931*COS(RADIANS(E2931)))/L2931</f>
        <v/>
      </c>
      <c r="T2931" s="8">
        <f>R2931/L2931</f>
        <v/>
      </c>
      <c r="U2931" s="8">
        <f>(Q2931-P2931*G2931*SIN(RADIANS(E2931)))/M2931</f>
        <v/>
      </c>
      <c r="V2931" s="8">
        <f>SQRT((S2931+U2931)^2+3*T2931^2)</f>
        <v/>
      </c>
      <c r="W2931" s="8">
        <f>V2931/AA2931</f>
        <v/>
      </c>
      <c r="X2931" s="27">
        <f>((3*10+H2931/COS(RADIANS(E2931)))*(3+3)+3*G2931*H2931)*2</f>
        <v/>
      </c>
      <c r="Y2931" s="28">
        <f>Z2931/X2931</f>
        <v/>
      </c>
      <c r="Z2931" s="29" t="n">
        <v>721.486707712489</v>
      </c>
      <c r="AA2931" s="20" t="n">
        <v>82.25785309909971</v>
      </c>
      <c r="AB2931" t="n">
        <v>0.1978094781226956</v>
      </c>
      <c r="AC2931" t="n">
        <v>80.99085247875118</v>
      </c>
      <c r="AD2931" t="n">
        <v>42.01774578934955</v>
      </c>
    </row>
    <row r="2932">
      <c r="A2932" t="n">
        <v>2931</v>
      </c>
      <c r="B2932" t="n">
        <v>45.9</v>
      </c>
      <c r="C2932" s="21">
        <f>B2932-20</f>
        <v/>
      </c>
      <c r="D2932" t="n">
        <v>123.9</v>
      </c>
      <c r="E2932" s="22">
        <f>D2932-90</f>
        <v/>
      </c>
      <c r="F2932" s="23" t="n">
        <v>0.007972</v>
      </c>
      <c r="G2932" s="22" t="n">
        <v>25.3</v>
      </c>
      <c r="H2932" s="22" t="n">
        <v>1.4</v>
      </c>
      <c r="I2932" s="24" t="n">
        <v>0.0364116616547107</v>
      </c>
      <c r="J2932" s="6" t="n">
        <v>71000</v>
      </c>
      <c r="K2932" s="25">
        <f>23*10^-6</f>
        <v/>
      </c>
      <c r="L2932" s="8">
        <f>H2932</f>
        <v/>
      </c>
      <c r="M2932" s="26">
        <f>H2932^2/6</f>
        <v/>
      </c>
      <c r="N2932" s="26">
        <f>H2932^3/12</f>
        <v/>
      </c>
      <c r="O2932" s="27">
        <f>-J2932*L2932*K2932*C2932</f>
        <v/>
      </c>
      <c r="P2932" s="28">
        <f>-(12*F2932*J2932*L2932*N2932+12*O2932*N2932*G2932*COS(RADIANS(E2932)))/(12*N2932*G2932*COS(RADIANS(E2932))^2+L2932*G2932^3*SIN(RADIANS(E2932))^2)</f>
        <v/>
      </c>
      <c r="Q2932" s="28">
        <f>-(6*F2932*J2932*L2932*N2932*SIN(RADIANS(E2932))+6*O2932*N2932*G2932*SIN(RADIANS(E2932))*COS(RADIANS(E2932)))/(12*N2932*COS(RADIANS(E2932))^2+L2932*G2932^2*SIN(RADIANS(E2932))^2)</f>
        <v/>
      </c>
      <c r="R2932" s="28">
        <f>-P2932*SIN(RADIANS(E2932))</f>
        <v/>
      </c>
      <c r="S2932" s="8">
        <f>(O2932+P2932*COS(RADIANS(E2932)))/L2932</f>
        <v/>
      </c>
      <c r="T2932" s="8">
        <f>R2932/L2932</f>
        <v/>
      </c>
      <c r="U2932" s="8">
        <f>(Q2932-P2932*G2932*SIN(RADIANS(E2932)))/M2932</f>
        <v/>
      </c>
      <c r="V2932" s="8">
        <f>SQRT((S2932+U2932)^2+3*T2932^2)</f>
        <v/>
      </c>
      <c r="W2932" s="8">
        <f>V2932/AA2932</f>
        <v/>
      </c>
      <c r="X2932" s="27">
        <f>((3*10+H2932/COS(RADIANS(E2932)))*(3+3)+3*G2932*H2932)*2</f>
        <v/>
      </c>
      <c r="Y2932" s="28">
        <f>Z2932/X2932</f>
        <v/>
      </c>
      <c r="Z2932" s="29" t="n">
        <v>601.109528319488</v>
      </c>
      <c r="AA2932" s="20" t="n">
        <v>37.9772869062282</v>
      </c>
      <c r="AB2932" t="n">
        <v>0.03858699870861769</v>
      </c>
      <c r="AC2932" t="n">
        <v>37.79823396375949</v>
      </c>
      <c r="AD2932" t="n">
        <v>5.974286684676909</v>
      </c>
    </row>
    <row r="2933">
      <c r="A2933" t="n">
        <v>2932</v>
      </c>
      <c r="B2933" t="n">
        <v>54.5</v>
      </c>
      <c r="C2933" s="21">
        <f>B2933-20</f>
        <v/>
      </c>
      <c r="D2933" t="n">
        <v>102.9</v>
      </c>
      <c r="E2933" s="22">
        <f>D2933-90</f>
        <v/>
      </c>
      <c r="F2933" s="23" t="n">
        <v>0.013516</v>
      </c>
      <c r="G2933" s="22" t="n">
        <v>29.1</v>
      </c>
      <c r="H2933" s="22" t="n">
        <v>1.8</v>
      </c>
      <c r="I2933" s="24" t="n">
        <v>0.105259634554386</v>
      </c>
      <c r="J2933" s="6" t="n">
        <v>71000</v>
      </c>
      <c r="K2933" s="25">
        <f>23*10^-6</f>
        <v/>
      </c>
      <c r="L2933" s="8">
        <f>H2933</f>
        <v/>
      </c>
      <c r="M2933" s="26">
        <f>H2933^2/6</f>
        <v/>
      </c>
      <c r="N2933" s="26">
        <f>H2933^3/12</f>
        <v/>
      </c>
      <c r="O2933" s="27">
        <f>-J2933*L2933*K2933*C2933</f>
        <v/>
      </c>
      <c r="P2933" s="28">
        <f>-(12*F2933*J2933*L2933*N2933+12*O2933*N2933*G2933*COS(RADIANS(E2933)))/(12*N2933*G2933*COS(RADIANS(E2933))^2+L2933*G2933^3*SIN(RADIANS(E2933))^2)</f>
        <v/>
      </c>
      <c r="Q2933" s="28">
        <f>-(6*F2933*J2933*L2933*N2933*SIN(RADIANS(E2933))+6*O2933*N2933*G2933*SIN(RADIANS(E2933))*COS(RADIANS(E2933)))/(12*N2933*COS(RADIANS(E2933))^2+L2933*G2933^2*SIN(RADIANS(E2933))^2)</f>
        <v/>
      </c>
      <c r="R2933" s="28">
        <f>-P2933*SIN(RADIANS(E2933))</f>
        <v/>
      </c>
      <c r="S2933" s="8">
        <f>(O2933+P2933*COS(RADIANS(E2933)))/L2933</f>
        <v/>
      </c>
      <c r="T2933" s="8">
        <f>R2933/L2933</f>
        <v/>
      </c>
      <c r="U2933" s="8">
        <f>(Q2933-P2933*G2933*SIN(RADIANS(E2933)))/M2933</f>
        <v/>
      </c>
      <c r="V2933" s="8">
        <f>SQRT((S2933+U2933)^2+3*T2933^2)</f>
        <v/>
      </c>
      <c r="W2933" s="8">
        <f>V2933/AA2933</f>
        <v/>
      </c>
      <c r="X2933" s="27">
        <f>((3*10+H2933/COS(RADIANS(E2933)))*(3+3)+3*G2933*H2933)*2</f>
        <v/>
      </c>
      <c r="Y2933" s="28">
        <f>Z2933/X2933</f>
        <v/>
      </c>
      <c r="Z2933" s="29" t="n">
        <v>700.4943181037989</v>
      </c>
      <c r="AA2933" s="20" t="n">
        <v>59.9126197777161</v>
      </c>
      <c r="AB2933" t="n">
        <v>0.1511904475470381</v>
      </c>
      <c r="AC2933" t="n">
        <v>59.06066705985019</v>
      </c>
      <c r="AD2933" t="n">
        <v>43.63573290663515</v>
      </c>
    </row>
    <row r="2934">
      <c r="A2934" t="n">
        <v>2933</v>
      </c>
      <c r="B2934" t="n">
        <v>50.5</v>
      </c>
      <c r="C2934" s="21">
        <f>B2934-20</f>
        <v/>
      </c>
      <c r="D2934" t="n">
        <v>124.6</v>
      </c>
      <c r="E2934" s="22">
        <f>D2934-90</f>
        <v/>
      </c>
      <c r="F2934" s="23" t="n">
        <v>0.011102</v>
      </c>
      <c r="G2934" s="22" t="n">
        <v>31.5</v>
      </c>
      <c r="H2934" s="22" t="n">
        <v>1.1</v>
      </c>
      <c r="I2934" s="24" t="n">
        <v>0.0487028546631336</v>
      </c>
      <c r="J2934" s="6" t="n">
        <v>71000</v>
      </c>
      <c r="K2934" s="25">
        <f>23*10^-6</f>
        <v/>
      </c>
      <c r="L2934" s="8">
        <f>H2934</f>
        <v/>
      </c>
      <c r="M2934" s="26">
        <f>H2934^2/6</f>
        <v/>
      </c>
      <c r="N2934" s="26">
        <f>H2934^3/12</f>
        <v/>
      </c>
      <c r="O2934" s="27">
        <f>-J2934*L2934*K2934*C2934</f>
        <v/>
      </c>
      <c r="P2934" s="28">
        <f>-(12*F2934*J2934*L2934*N2934+12*O2934*N2934*G2934*COS(RADIANS(E2934)))/(12*N2934*G2934*COS(RADIANS(E2934))^2+L2934*G2934^3*SIN(RADIANS(E2934))^2)</f>
        <v/>
      </c>
      <c r="Q2934" s="28">
        <f>-(6*F2934*J2934*L2934*N2934*SIN(RADIANS(E2934))+6*O2934*N2934*G2934*SIN(RADIANS(E2934))*COS(RADIANS(E2934)))/(12*N2934*COS(RADIANS(E2934))^2+L2934*G2934^2*SIN(RADIANS(E2934))^2)</f>
        <v/>
      </c>
      <c r="R2934" s="28">
        <f>-P2934*SIN(RADIANS(E2934))</f>
        <v/>
      </c>
      <c r="S2934" s="8">
        <f>(O2934+P2934*COS(RADIANS(E2934)))/L2934</f>
        <v/>
      </c>
      <c r="T2934" s="8">
        <f>R2934/L2934</f>
        <v/>
      </c>
      <c r="U2934" s="8">
        <f>(Q2934-P2934*G2934*SIN(RADIANS(E2934)))/M2934</f>
        <v/>
      </c>
      <c r="V2934" s="8">
        <f>SQRT((S2934+U2934)^2+3*T2934^2)</f>
        <v/>
      </c>
      <c r="W2934" s="8">
        <f>V2934/AA2934</f>
        <v/>
      </c>
      <c r="X2934" s="27">
        <f>((3*10+H2934/COS(RADIANS(E2934)))*(3+3)+3*G2934*H2934)*2</f>
        <v/>
      </c>
      <c r="Y2934" s="28">
        <f>Z2934/X2934</f>
        <v/>
      </c>
      <c r="Z2934" s="29" t="n">
        <v>592.526627073537</v>
      </c>
      <c r="AA2934" s="20" t="n">
        <v>40.615263433824</v>
      </c>
      <c r="AB2934" t="n">
        <v>0.05484689587041634</v>
      </c>
      <c r="AC2934" t="n">
        <v>43.34225083651417</v>
      </c>
      <c r="AD2934" t="n">
        <v>12.61536156305345</v>
      </c>
    </row>
    <row r="2935">
      <c r="A2935" t="n">
        <v>2934</v>
      </c>
      <c r="B2935" t="n">
        <v>71.8</v>
      </c>
      <c r="C2935" s="21">
        <f>B2935-20</f>
        <v/>
      </c>
      <c r="D2935" t="n">
        <v>103.6</v>
      </c>
      <c r="E2935" s="22">
        <f>D2935-90</f>
        <v/>
      </c>
      <c r="F2935" s="23" t="n">
        <v>0.02059</v>
      </c>
      <c r="G2935" s="22" t="n">
        <v>29.7</v>
      </c>
      <c r="H2935" s="22" t="n">
        <v>1.2</v>
      </c>
      <c r="I2935" s="24" t="n">
        <v>0.158477559685707</v>
      </c>
      <c r="J2935" s="6" t="n">
        <v>71000</v>
      </c>
      <c r="K2935" s="25">
        <f>23*10^-6</f>
        <v/>
      </c>
      <c r="L2935" s="8">
        <f>H2935</f>
        <v/>
      </c>
      <c r="M2935" s="26">
        <f>H2935^2/6</f>
        <v/>
      </c>
      <c r="N2935" s="26">
        <f>H2935^3/12</f>
        <v/>
      </c>
      <c r="O2935" s="27">
        <f>-J2935*L2935*K2935*C2935</f>
        <v/>
      </c>
      <c r="P2935" s="28">
        <f>-(12*F2935*J2935*L2935*N2935+12*O2935*N2935*G2935*COS(RADIANS(E2935)))/(12*N2935*G2935*COS(RADIANS(E2935))^2+L2935*G2935^3*SIN(RADIANS(E2935))^2)</f>
        <v/>
      </c>
      <c r="Q2935" s="28">
        <f>-(6*F2935*J2935*L2935*N2935*SIN(RADIANS(E2935))+6*O2935*N2935*G2935*SIN(RADIANS(E2935))*COS(RADIANS(E2935)))/(12*N2935*COS(RADIANS(E2935))^2+L2935*G2935^2*SIN(RADIANS(E2935))^2)</f>
        <v/>
      </c>
      <c r="R2935" s="28">
        <f>-P2935*SIN(RADIANS(E2935))</f>
        <v/>
      </c>
      <c r="S2935" s="8">
        <f>(O2935+P2935*COS(RADIANS(E2935)))/L2935</f>
        <v/>
      </c>
      <c r="T2935" s="8">
        <f>R2935/L2935</f>
        <v/>
      </c>
      <c r="U2935" s="8">
        <f>(Q2935-P2935*G2935*SIN(RADIANS(E2935)))/M2935</f>
        <v/>
      </c>
      <c r="V2935" s="8">
        <f>SQRT((S2935+U2935)^2+3*T2935^2)</f>
        <v/>
      </c>
      <c r="W2935" s="8">
        <f>V2935/AA2935</f>
        <v/>
      </c>
      <c r="X2935" s="27">
        <f>((3*10+H2935/COS(RADIANS(E2935)))*(3+3)+3*G2935*H2935)*2</f>
        <v/>
      </c>
      <c r="Y2935" s="28">
        <f>Z2935/X2935</f>
        <v/>
      </c>
      <c r="Z2935" s="29" t="n">
        <v>592.781387389453</v>
      </c>
      <c r="AA2935" s="20" t="n">
        <v>77.0347692841838</v>
      </c>
      <c r="AB2935" t="n">
        <v>0.2290616999377809</v>
      </c>
      <c r="AC2935" t="n">
        <v>82.42666686348265</v>
      </c>
      <c r="AD2935" t="n">
        <v>44.53888638369778</v>
      </c>
    </row>
    <row r="2936">
      <c r="A2936" t="n">
        <v>2935</v>
      </c>
      <c r="B2936" t="n">
        <v>82.90000000000001</v>
      </c>
      <c r="C2936" s="21">
        <f>B2936-20</f>
        <v/>
      </c>
      <c r="D2936" t="n">
        <v>105.7</v>
      </c>
      <c r="E2936" s="22">
        <f>D2936-90</f>
        <v/>
      </c>
      <c r="F2936" s="23" t="n">
        <v>0.024321</v>
      </c>
      <c r="G2936" s="22" t="n">
        <v>29</v>
      </c>
      <c r="H2936" s="22" t="n">
        <v>1.1</v>
      </c>
      <c r="I2936" s="24" t="n">
        <v>0.169016852974891</v>
      </c>
      <c r="J2936" s="6" t="n">
        <v>71000</v>
      </c>
      <c r="K2936" s="25">
        <f>23*10^-6</f>
        <v/>
      </c>
      <c r="L2936" s="8">
        <f>H2936</f>
        <v/>
      </c>
      <c r="M2936" s="26">
        <f>H2936^2/6</f>
        <v/>
      </c>
      <c r="N2936" s="26">
        <f>H2936^3/12</f>
        <v/>
      </c>
      <c r="O2936" s="27">
        <f>-J2936*L2936*K2936*C2936</f>
        <v/>
      </c>
      <c r="P2936" s="28">
        <f>-(12*F2936*J2936*L2936*N2936+12*O2936*N2936*G2936*COS(RADIANS(E2936)))/(12*N2936*G2936*COS(RADIANS(E2936))^2+L2936*G2936^3*SIN(RADIANS(E2936))^2)</f>
        <v/>
      </c>
      <c r="Q2936" s="28">
        <f>-(6*F2936*J2936*L2936*N2936*SIN(RADIANS(E2936))+6*O2936*N2936*G2936*SIN(RADIANS(E2936))*COS(RADIANS(E2936)))/(12*N2936*COS(RADIANS(E2936))^2+L2936*G2936^2*SIN(RADIANS(E2936))^2)</f>
        <v/>
      </c>
      <c r="R2936" s="28">
        <f>-P2936*SIN(RADIANS(E2936))</f>
        <v/>
      </c>
      <c r="S2936" s="8">
        <f>(O2936+P2936*COS(RADIANS(E2936)))/L2936</f>
        <v/>
      </c>
      <c r="T2936" s="8">
        <f>R2936/L2936</f>
        <v/>
      </c>
      <c r="U2936" s="8">
        <f>(Q2936-P2936*G2936*SIN(RADIANS(E2936)))/M2936</f>
        <v/>
      </c>
      <c r="V2936" s="8">
        <f>SQRT((S2936+U2936)^2+3*T2936^2)</f>
        <v/>
      </c>
      <c r="W2936" s="8">
        <f>V2936/AA2936</f>
        <v/>
      </c>
      <c r="X2936" s="27">
        <f>((3*10+H2936/COS(RADIANS(E2936)))*(3+3)+3*G2936*H2936)*2</f>
        <v/>
      </c>
      <c r="Y2936" s="28">
        <f>Z2936/X2936</f>
        <v/>
      </c>
      <c r="Z2936" s="29" t="n">
        <v>569.475281958324</v>
      </c>
      <c r="AA2936" s="20" t="n">
        <v>91.3237922813633</v>
      </c>
      <c r="AB2936" t="n">
        <v>0.2371247284315704</v>
      </c>
      <c r="AC2936" t="n">
        <v>97.24438787245656</v>
      </c>
      <c r="AD2936" t="n">
        <v>40.29649958445119</v>
      </c>
    </row>
    <row r="2937">
      <c r="A2937" t="n">
        <v>2936</v>
      </c>
      <c r="B2937" t="n">
        <v>75.09999999999999</v>
      </c>
      <c r="C2937" s="21">
        <f>B2937-20</f>
        <v/>
      </c>
      <c r="D2937" t="n">
        <v>111.1</v>
      </c>
      <c r="E2937" s="22">
        <f>D2937-90</f>
        <v/>
      </c>
      <c r="F2937" s="23" t="n">
        <v>0.016368</v>
      </c>
      <c r="G2937" s="22" t="n">
        <v>21.5</v>
      </c>
      <c r="H2937" s="22" t="n">
        <v>1.2</v>
      </c>
      <c r="I2937" s="24" t="n">
        <v>0.0964117720723152</v>
      </c>
      <c r="J2937" s="6" t="n">
        <v>71000</v>
      </c>
      <c r="K2937" s="25">
        <f>23*10^-6</f>
        <v/>
      </c>
      <c r="L2937" s="8">
        <f>H2937</f>
        <v/>
      </c>
      <c r="M2937" s="26">
        <f>H2937^2/6</f>
        <v/>
      </c>
      <c r="N2937" s="26">
        <f>H2937^3/12</f>
        <v/>
      </c>
      <c r="O2937" s="27">
        <f>-J2937*L2937*K2937*C2937</f>
        <v/>
      </c>
      <c r="P2937" s="28">
        <f>-(12*F2937*J2937*L2937*N2937+12*O2937*N2937*G2937*COS(RADIANS(E2937)))/(12*N2937*G2937*COS(RADIANS(E2937))^2+L2937*G2937^3*SIN(RADIANS(E2937))^2)</f>
        <v/>
      </c>
      <c r="Q2937" s="28">
        <f>-(6*F2937*J2937*L2937*N2937*SIN(RADIANS(E2937))+6*O2937*N2937*G2937*SIN(RADIANS(E2937))*COS(RADIANS(E2937)))/(12*N2937*COS(RADIANS(E2937))^2+L2937*G2937^2*SIN(RADIANS(E2937))^2)</f>
        <v/>
      </c>
      <c r="R2937" s="28">
        <f>-P2937*SIN(RADIANS(E2937))</f>
        <v/>
      </c>
      <c r="S2937" s="8">
        <f>(O2937+P2937*COS(RADIANS(E2937)))/L2937</f>
        <v/>
      </c>
      <c r="T2937" s="8">
        <f>R2937/L2937</f>
        <v/>
      </c>
      <c r="U2937" s="8">
        <f>(Q2937-P2937*G2937*SIN(RADIANS(E2937)))/M2937</f>
        <v/>
      </c>
      <c r="V2937" s="8">
        <f>SQRT((S2937+U2937)^2+3*T2937^2)</f>
        <v/>
      </c>
      <c r="W2937" s="8">
        <f>V2937/AA2937</f>
        <v/>
      </c>
      <c r="X2937" s="27">
        <f>((3*10+H2937/COS(RADIANS(E2937)))*(3+3)+3*G2937*H2937)*2</f>
        <v/>
      </c>
      <c r="Y2937" s="28">
        <f>Z2937/X2937</f>
        <v/>
      </c>
      <c r="Z2937" s="29" t="n">
        <v>535.393235482404</v>
      </c>
      <c r="AA2937" s="20" t="n">
        <v>81.72702450065989</v>
      </c>
      <c r="AB2937" t="n">
        <v>0.1155564628685141</v>
      </c>
      <c r="AC2937" t="n">
        <v>84.66759902730918</v>
      </c>
      <c r="AD2937" t="n">
        <v>19.85721285346683</v>
      </c>
    </row>
    <row r="2938">
      <c r="A2938" t="n">
        <v>2937</v>
      </c>
      <c r="B2938" t="n">
        <v>70.7</v>
      </c>
      <c r="C2938" s="21">
        <f>B2938-20</f>
        <v/>
      </c>
      <c r="D2938" t="n">
        <v>123.3</v>
      </c>
      <c r="E2938" s="22">
        <f>D2938-90</f>
        <v/>
      </c>
      <c r="F2938" s="23" t="n">
        <v>0.016511</v>
      </c>
      <c r="G2938" s="22" t="n">
        <v>27</v>
      </c>
      <c r="H2938" s="22" t="n">
        <v>1.1</v>
      </c>
      <c r="I2938" s="24" t="n">
        <v>0.0750144571065902</v>
      </c>
      <c r="J2938" s="6" t="n">
        <v>71000</v>
      </c>
      <c r="K2938" s="25">
        <f>23*10^-6</f>
        <v/>
      </c>
      <c r="L2938" s="8">
        <f>H2938</f>
        <v/>
      </c>
      <c r="M2938" s="26">
        <f>H2938^2/6</f>
        <v/>
      </c>
      <c r="N2938" s="26">
        <f>H2938^3/12</f>
        <v/>
      </c>
      <c r="O2938" s="27">
        <f>-J2938*L2938*K2938*C2938</f>
        <v/>
      </c>
      <c r="P2938" s="28">
        <f>-(12*F2938*J2938*L2938*N2938+12*O2938*N2938*G2938*COS(RADIANS(E2938)))/(12*N2938*G2938*COS(RADIANS(E2938))^2+L2938*G2938^3*SIN(RADIANS(E2938))^2)</f>
        <v/>
      </c>
      <c r="Q2938" s="28">
        <f>-(6*F2938*J2938*L2938*N2938*SIN(RADIANS(E2938))+6*O2938*N2938*G2938*SIN(RADIANS(E2938))*COS(RADIANS(E2938)))/(12*N2938*COS(RADIANS(E2938))^2+L2938*G2938^2*SIN(RADIANS(E2938))^2)</f>
        <v/>
      </c>
      <c r="R2938" s="28">
        <f>-P2938*SIN(RADIANS(E2938))</f>
        <v/>
      </c>
      <c r="S2938" s="8">
        <f>(O2938+P2938*COS(RADIANS(E2938)))/L2938</f>
        <v/>
      </c>
      <c r="T2938" s="8">
        <f>R2938/L2938</f>
        <v/>
      </c>
      <c r="U2938" s="8">
        <f>(Q2938-P2938*G2938*SIN(RADIANS(E2938)))/M2938</f>
        <v/>
      </c>
      <c r="V2938" s="8">
        <f>SQRT((S2938+U2938)^2+3*T2938^2)</f>
        <v/>
      </c>
      <c r="W2938" s="8">
        <f>V2938/AA2938</f>
        <v/>
      </c>
      <c r="X2938" s="27">
        <f>((3*10+H2938/COS(RADIANS(E2938)))*(3+3)+3*G2938*H2938)*2</f>
        <v/>
      </c>
      <c r="Y2938" s="28">
        <f>Z2938/X2938</f>
        <v/>
      </c>
      <c r="Z2938" s="29" t="n">
        <v>562.141492942981</v>
      </c>
      <c r="AA2938" s="20" t="n">
        <v>68.708428578545</v>
      </c>
      <c r="AB2938" t="n">
        <v>0.08212481975501285</v>
      </c>
      <c r="AC2938" t="n">
        <v>72.70153363826479</v>
      </c>
      <c r="AD2938" t="n">
        <v>9.478656411949132</v>
      </c>
    </row>
    <row r="2939">
      <c r="A2939" t="n">
        <v>2938</v>
      </c>
      <c r="B2939" t="n">
        <v>80</v>
      </c>
      <c r="C2939" s="21">
        <f>B2939-20</f>
        <v/>
      </c>
      <c r="D2939" t="n">
        <v>113.4</v>
      </c>
      <c r="E2939" s="22">
        <f>D2939-90</f>
        <v/>
      </c>
      <c r="F2939" s="23" t="n">
        <v>0.019233</v>
      </c>
      <c r="G2939" s="22" t="n">
        <v>24.1</v>
      </c>
      <c r="H2939" s="22" t="n">
        <v>1.7</v>
      </c>
      <c r="I2939" s="24" t="n">
        <v>0.10440494865179</v>
      </c>
      <c r="J2939" s="6" t="n">
        <v>71000</v>
      </c>
      <c r="K2939" s="25">
        <f>23*10^-6</f>
        <v/>
      </c>
      <c r="L2939" s="8">
        <f>H2939</f>
        <v/>
      </c>
      <c r="M2939" s="26">
        <f>H2939^2/6</f>
        <v/>
      </c>
      <c r="N2939" s="26">
        <f>H2939^3/12</f>
        <v/>
      </c>
      <c r="O2939" s="27">
        <f>-J2939*L2939*K2939*C2939</f>
        <v/>
      </c>
      <c r="P2939" s="28">
        <f>-(12*F2939*J2939*L2939*N2939+12*O2939*N2939*G2939*COS(RADIANS(E2939)))/(12*N2939*G2939*COS(RADIANS(E2939))^2+L2939*G2939^3*SIN(RADIANS(E2939))^2)</f>
        <v/>
      </c>
      <c r="Q2939" s="28">
        <f>-(6*F2939*J2939*L2939*N2939*SIN(RADIANS(E2939))+6*O2939*N2939*G2939*SIN(RADIANS(E2939))*COS(RADIANS(E2939)))/(12*N2939*COS(RADIANS(E2939))^2+L2939*G2939^2*SIN(RADIANS(E2939))^2)</f>
        <v/>
      </c>
      <c r="R2939" s="28">
        <f>-P2939*SIN(RADIANS(E2939))</f>
        <v/>
      </c>
      <c r="S2939" s="8">
        <f>(O2939+P2939*COS(RADIANS(E2939)))/L2939</f>
        <v/>
      </c>
      <c r="T2939" s="8">
        <f>R2939/L2939</f>
        <v/>
      </c>
      <c r="U2939" s="8">
        <f>(Q2939-P2939*G2939*SIN(RADIANS(E2939)))/M2939</f>
        <v/>
      </c>
      <c r="V2939" s="8">
        <f>SQRT((S2939+U2939)^2+3*T2939^2)</f>
        <v/>
      </c>
      <c r="W2939" s="8">
        <f>V2939/AA2939</f>
        <v/>
      </c>
      <c r="X2939" s="27">
        <f>((3*10+H2939/COS(RADIANS(E2939)))*(3+3)+3*G2939*H2939)*2</f>
        <v/>
      </c>
      <c r="Y2939" s="28">
        <f>Z2939/X2939</f>
        <v/>
      </c>
      <c r="Z2939" s="29" t="n">
        <v>633.632573776042</v>
      </c>
      <c r="AA2939" s="20" t="n">
        <v>97.5006725650273</v>
      </c>
      <c r="AB2939" t="n">
        <v>0.1246527717936003</v>
      </c>
      <c r="AC2939" t="n">
        <v>94.01712966723467</v>
      </c>
      <c r="AD2939" t="n">
        <v>19.39354733973441</v>
      </c>
    </row>
    <row r="2940">
      <c r="A2940" t="n">
        <v>2939</v>
      </c>
      <c r="B2940" t="n">
        <v>62.7</v>
      </c>
      <c r="C2940" s="21">
        <f>B2940-20</f>
        <v/>
      </c>
      <c r="D2940" t="n">
        <v>112.6</v>
      </c>
      <c r="E2940" s="22">
        <f>D2940-90</f>
        <v/>
      </c>
      <c r="F2940" s="23" t="n">
        <v>0.01856</v>
      </c>
      <c r="G2940" s="22" t="n">
        <v>34.8</v>
      </c>
      <c r="H2940" s="22" t="n">
        <v>1.2</v>
      </c>
      <c r="I2940" s="24" t="n">
        <v>0.09840384870767591</v>
      </c>
      <c r="J2940" s="6" t="n">
        <v>71000</v>
      </c>
      <c r="K2940" s="25">
        <f>23*10^-6</f>
        <v/>
      </c>
      <c r="L2940" s="8">
        <f>H2940</f>
        <v/>
      </c>
      <c r="M2940" s="26">
        <f>H2940^2/6</f>
        <v/>
      </c>
      <c r="N2940" s="26">
        <f>H2940^3/12</f>
        <v/>
      </c>
      <c r="O2940" s="27">
        <f>-J2940*L2940*K2940*C2940</f>
        <v/>
      </c>
      <c r="P2940" s="28">
        <f>-(12*F2940*J2940*L2940*N2940+12*O2940*N2940*G2940*COS(RADIANS(E2940)))/(12*N2940*G2940*COS(RADIANS(E2940))^2+L2940*G2940^3*SIN(RADIANS(E2940))^2)</f>
        <v/>
      </c>
      <c r="Q2940" s="28">
        <f>-(6*F2940*J2940*L2940*N2940*SIN(RADIANS(E2940))+6*O2940*N2940*G2940*SIN(RADIANS(E2940))*COS(RADIANS(E2940)))/(12*N2940*COS(RADIANS(E2940))^2+L2940*G2940^2*SIN(RADIANS(E2940))^2)</f>
        <v/>
      </c>
      <c r="R2940" s="28">
        <f>-P2940*SIN(RADIANS(E2940))</f>
        <v/>
      </c>
      <c r="S2940" s="8">
        <f>(O2940+P2940*COS(RADIANS(E2940)))/L2940</f>
        <v/>
      </c>
      <c r="T2940" s="8">
        <f>R2940/L2940</f>
        <v/>
      </c>
      <c r="U2940" s="8">
        <f>(Q2940-P2940*G2940*SIN(RADIANS(E2940)))/M2940</f>
        <v/>
      </c>
      <c r="V2940" s="8">
        <f>SQRT((S2940+U2940)^2+3*T2940^2)</f>
        <v/>
      </c>
      <c r="W2940" s="8">
        <f>V2940/AA2940</f>
        <v/>
      </c>
      <c r="X2940" s="27">
        <f>((3*10+H2940/COS(RADIANS(E2940)))*(3+3)+3*G2940*H2940)*2</f>
        <v/>
      </c>
      <c r="Y2940" s="28">
        <f>Z2940/X2940</f>
        <v/>
      </c>
      <c r="Z2940" s="29" t="n">
        <v>631.587623135063</v>
      </c>
      <c r="AA2940" s="20" t="n">
        <v>60.3153821969032</v>
      </c>
      <c r="AB2940" t="n">
        <v>0.132558807897931</v>
      </c>
      <c r="AC2940" t="n">
        <v>63.01947565175992</v>
      </c>
      <c r="AD2940" t="n">
        <v>34.70896681258649</v>
      </c>
    </row>
    <row r="2941">
      <c r="A2941" t="n">
        <v>2940</v>
      </c>
      <c r="B2941" t="n">
        <v>59.4</v>
      </c>
      <c r="C2941" s="21">
        <f>B2941-20</f>
        <v/>
      </c>
      <c r="D2941" t="n">
        <v>110.3</v>
      </c>
      <c r="E2941" s="22">
        <f>D2941-90</f>
        <v/>
      </c>
      <c r="F2941" s="23" t="n">
        <v>0.014364</v>
      </c>
      <c r="G2941" s="22" t="n">
        <v>27.7</v>
      </c>
      <c r="H2941" s="22" t="n">
        <v>1.8</v>
      </c>
      <c r="I2941" s="24" t="n">
        <v>0.0832065716385841</v>
      </c>
      <c r="J2941" s="6" t="n">
        <v>71000</v>
      </c>
      <c r="K2941" s="25">
        <f>23*10^-6</f>
        <v/>
      </c>
      <c r="L2941" s="8">
        <f>H2941</f>
        <v/>
      </c>
      <c r="M2941" s="26">
        <f>H2941^2/6</f>
        <v/>
      </c>
      <c r="N2941" s="26">
        <f>H2941^3/12</f>
        <v/>
      </c>
      <c r="O2941" s="27">
        <f>-J2941*L2941*K2941*C2941</f>
        <v/>
      </c>
      <c r="P2941" s="28">
        <f>-(12*F2941*J2941*L2941*N2941+12*O2941*N2941*G2941*COS(RADIANS(E2941)))/(12*N2941*G2941*COS(RADIANS(E2941))^2+L2941*G2941^3*SIN(RADIANS(E2941))^2)</f>
        <v/>
      </c>
      <c r="Q2941" s="28">
        <f>-(6*F2941*J2941*L2941*N2941*SIN(RADIANS(E2941))+6*O2941*N2941*G2941*SIN(RADIANS(E2941))*COS(RADIANS(E2941)))/(12*N2941*COS(RADIANS(E2941))^2+L2941*G2941^2*SIN(RADIANS(E2941))^2)</f>
        <v/>
      </c>
      <c r="R2941" s="28">
        <f>-P2941*SIN(RADIANS(E2941))</f>
        <v/>
      </c>
      <c r="S2941" s="8">
        <f>(O2941+P2941*COS(RADIANS(E2941)))/L2941</f>
        <v/>
      </c>
      <c r="T2941" s="8">
        <f>R2941/L2941</f>
        <v/>
      </c>
      <c r="U2941" s="8">
        <f>(Q2941-P2941*G2941*SIN(RADIANS(E2941)))/M2941</f>
        <v/>
      </c>
      <c r="V2941" s="8">
        <f>SQRT((S2941+U2941)^2+3*T2941^2)</f>
        <v/>
      </c>
      <c r="W2941" s="8">
        <f>V2941/AA2941</f>
        <v/>
      </c>
      <c r="X2941" s="27">
        <f>((3*10+H2941/COS(RADIANS(E2941)))*(3+3)+3*G2941*H2941)*2</f>
        <v/>
      </c>
      <c r="Y2941" s="28">
        <f>Z2941/X2941</f>
        <v/>
      </c>
      <c r="Z2941" s="29" t="n">
        <v>687.213458788863</v>
      </c>
      <c r="AA2941" s="20" t="n">
        <v>65.0549568645463</v>
      </c>
      <c r="AB2941" t="n">
        <v>0.1076960283139333</v>
      </c>
      <c r="AC2941" t="n">
        <v>62.85020893041142</v>
      </c>
      <c r="AD2941" t="n">
        <v>29.43211839290958</v>
      </c>
    </row>
    <row r="2942">
      <c r="A2942" t="n">
        <v>2941</v>
      </c>
      <c r="B2942" t="n">
        <v>72.5</v>
      </c>
      <c r="C2942" s="21">
        <f>B2942-20</f>
        <v/>
      </c>
      <c r="D2942" t="n">
        <v>125.3</v>
      </c>
      <c r="E2942" s="22">
        <f>D2942-90</f>
        <v/>
      </c>
      <c r="F2942" s="23" t="n">
        <v>0.016975</v>
      </c>
      <c r="G2942" s="22" t="n">
        <v>27.4</v>
      </c>
      <c r="H2942" s="22" t="n">
        <v>1.3</v>
      </c>
      <c r="I2942" s="24" t="n">
        <v>0.07565455138683309</v>
      </c>
      <c r="J2942" s="6" t="n">
        <v>71000</v>
      </c>
      <c r="K2942" s="25">
        <f>23*10^-6</f>
        <v/>
      </c>
      <c r="L2942" s="8">
        <f>H2942</f>
        <v/>
      </c>
      <c r="M2942" s="26">
        <f>H2942^2/6</f>
        <v/>
      </c>
      <c r="N2942" s="26">
        <f>H2942^3/12</f>
        <v/>
      </c>
      <c r="O2942" s="27">
        <f>-J2942*L2942*K2942*C2942</f>
        <v/>
      </c>
      <c r="P2942" s="28">
        <f>-(12*F2942*J2942*L2942*N2942+12*O2942*N2942*G2942*COS(RADIANS(E2942)))/(12*N2942*G2942*COS(RADIANS(E2942))^2+L2942*G2942^3*SIN(RADIANS(E2942))^2)</f>
        <v/>
      </c>
      <c r="Q2942" s="28">
        <f>-(6*F2942*J2942*L2942*N2942*SIN(RADIANS(E2942))+6*O2942*N2942*G2942*SIN(RADIANS(E2942))*COS(RADIANS(E2942)))/(12*N2942*COS(RADIANS(E2942))^2+L2942*G2942^2*SIN(RADIANS(E2942))^2)</f>
        <v/>
      </c>
      <c r="R2942" s="28">
        <f>-P2942*SIN(RADIANS(E2942))</f>
        <v/>
      </c>
      <c r="S2942" s="8">
        <f>(O2942+P2942*COS(RADIANS(E2942)))/L2942</f>
        <v/>
      </c>
      <c r="T2942" s="8">
        <f>R2942/L2942</f>
        <v/>
      </c>
      <c r="U2942" s="8">
        <f>(Q2942-P2942*G2942*SIN(RADIANS(E2942)))/M2942</f>
        <v/>
      </c>
      <c r="V2942" s="8">
        <f>SQRT((S2942+U2942)^2+3*T2942^2)</f>
        <v/>
      </c>
      <c r="W2942" s="8">
        <f>V2942/AA2942</f>
        <v/>
      </c>
      <c r="X2942" s="27">
        <f>((3*10+H2942/COS(RADIANS(E2942)))*(3+3)+3*G2942*H2942)*2</f>
        <v/>
      </c>
      <c r="Y2942" s="28">
        <f>Z2942/X2942</f>
        <v/>
      </c>
      <c r="Z2942" s="29" t="n">
        <v>601.674859728813</v>
      </c>
      <c r="AA2942" s="20" t="n">
        <v>74.3128551737715</v>
      </c>
      <c r="AB2942" t="n">
        <v>0.08081292661274547</v>
      </c>
      <c r="AC2942" t="n">
        <v>75.63750047688745</v>
      </c>
      <c r="AD2942" t="n">
        <v>6.818327689945355</v>
      </c>
    </row>
    <row r="2943">
      <c r="A2943" t="n">
        <v>2942</v>
      </c>
      <c r="B2943" t="n">
        <v>81.8</v>
      </c>
      <c r="C2943" s="21">
        <f>B2943-20</f>
        <v/>
      </c>
      <c r="D2943" t="n">
        <v>112.5</v>
      </c>
      <c r="E2943" s="22">
        <f>D2943-90</f>
        <v/>
      </c>
      <c r="F2943" s="23" t="n">
        <v>0.025902</v>
      </c>
      <c r="G2943" s="22" t="n">
        <v>33.3</v>
      </c>
      <c r="H2943" s="22" t="n">
        <v>1.5</v>
      </c>
      <c r="I2943" s="24" t="n">
        <v>0.138337865471839</v>
      </c>
      <c r="J2943" s="6" t="n">
        <v>71000</v>
      </c>
      <c r="K2943" s="25">
        <f>23*10^-6</f>
        <v/>
      </c>
      <c r="L2943" s="8">
        <f>H2943</f>
        <v/>
      </c>
      <c r="M2943" s="26">
        <f>H2943^2/6</f>
        <v/>
      </c>
      <c r="N2943" s="26">
        <f>H2943^3/12</f>
        <v/>
      </c>
      <c r="O2943" s="27">
        <f>-J2943*L2943*K2943*C2943</f>
        <v/>
      </c>
      <c r="P2943" s="28">
        <f>-(12*F2943*J2943*L2943*N2943+12*O2943*N2943*G2943*COS(RADIANS(E2943)))/(12*N2943*G2943*COS(RADIANS(E2943))^2+L2943*G2943^3*SIN(RADIANS(E2943))^2)</f>
        <v/>
      </c>
      <c r="Q2943" s="28">
        <f>-(6*F2943*J2943*L2943*N2943*SIN(RADIANS(E2943))+6*O2943*N2943*G2943*SIN(RADIANS(E2943))*COS(RADIANS(E2943)))/(12*N2943*COS(RADIANS(E2943))^2+L2943*G2943^2*SIN(RADIANS(E2943))^2)</f>
        <v/>
      </c>
      <c r="R2943" s="28">
        <f>-P2943*SIN(RADIANS(E2943))</f>
        <v/>
      </c>
      <c r="S2943" s="8">
        <f>(O2943+P2943*COS(RADIANS(E2943)))/L2943</f>
        <v/>
      </c>
      <c r="T2943" s="8">
        <f>R2943/L2943</f>
        <v/>
      </c>
      <c r="U2943" s="8">
        <f>(Q2943-P2943*G2943*SIN(RADIANS(E2943)))/M2943</f>
        <v/>
      </c>
      <c r="V2943" s="8">
        <f>SQRT((S2943+U2943)^2+3*T2943^2)</f>
        <v/>
      </c>
      <c r="W2943" s="8">
        <f>V2943/AA2943</f>
        <v/>
      </c>
      <c r="X2943" s="27">
        <f>((3*10+H2943/COS(RADIANS(E2943)))*(3+3)+3*G2943*H2943)*2</f>
        <v/>
      </c>
      <c r="Y2943" s="28">
        <f>Z2943/X2943</f>
        <v/>
      </c>
      <c r="Z2943" s="29" t="n">
        <v>684.594101797922</v>
      </c>
      <c r="AA2943" s="20" t="n">
        <v>93.2686728120317</v>
      </c>
      <c r="AB2943" t="n">
        <v>0.1839166805602396</v>
      </c>
      <c r="AC2943" t="n">
        <v>93.52076410418194</v>
      </c>
      <c r="AD2943" t="n">
        <v>32.94746158829448</v>
      </c>
    </row>
    <row r="2944">
      <c r="A2944" t="n">
        <v>2943</v>
      </c>
      <c r="B2944" t="n">
        <v>87.7</v>
      </c>
      <c r="C2944" s="21">
        <f>B2944-20</f>
        <v/>
      </c>
      <c r="D2944" t="n">
        <v>106.8</v>
      </c>
      <c r="E2944" s="22">
        <f>D2944-90</f>
        <v/>
      </c>
      <c r="F2944" s="23" t="n">
        <v>0.020368</v>
      </c>
      <c r="G2944" s="22" t="n">
        <v>21.3</v>
      </c>
      <c r="H2944" s="22" t="n">
        <v>1.5</v>
      </c>
      <c r="I2944" s="24" t="n">
        <v>0.137044265866279</v>
      </c>
      <c r="J2944" s="6" t="n">
        <v>71000</v>
      </c>
      <c r="K2944" s="25">
        <f>23*10^-6</f>
        <v/>
      </c>
      <c r="L2944" s="8">
        <f>H2944</f>
        <v/>
      </c>
      <c r="M2944" s="26">
        <f>H2944^2/6</f>
        <v/>
      </c>
      <c r="N2944" s="26">
        <f>H2944^3/12</f>
        <v/>
      </c>
      <c r="O2944" s="27">
        <f>-J2944*L2944*K2944*C2944</f>
        <v/>
      </c>
      <c r="P2944" s="28">
        <f>-(12*F2944*J2944*L2944*N2944+12*O2944*N2944*G2944*COS(RADIANS(E2944)))/(12*N2944*G2944*COS(RADIANS(E2944))^2+L2944*G2944^3*SIN(RADIANS(E2944))^2)</f>
        <v/>
      </c>
      <c r="Q2944" s="28">
        <f>-(6*F2944*J2944*L2944*N2944*SIN(RADIANS(E2944))+6*O2944*N2944*G2944*SIN(RADIANS(E2944))*COS(RADIANS(E2944)))/(12*N2944*COS(RADIANS(E2944))^2+L2944*G2944^2*SIN(RADIANS(E2944))^2)</f>
        <v/>
      </c>
      <c r="R2944" s="28">
        <f>-P2944*SIN(RADIANS(E2944))</f>
        <v/>
      </c>
      <c r="S2944" s="8">
        <f>(O2944+P2944*COS(RADIANS(E2944)))/L2944</f>
        <v/>
      </c>
      <c r="T2944" s="8">
        <f>R2944/L2944</f>
        <v/>
      </c>
      <c r="U2944" s="8">
        <f>(Q2944-P2944*G2944*SIN(RADIANS(E2944)))/M2944</f>
        <v/>
      </c>
      <c r="V2944" s="8">
        <f>SQRT((S2944+U2944)^2+3*T2944^2)</f>
        <v/>
      </c>
      <c r="W2944" s="8">
        <f>V2944/AA2944</f>
        <v/>
      </c>
      <c r="X2944" s="27">
        <f>((3*10+H2944/COS(RADIANS(E2944)))*(3+3)+3*G2944*H2944)*2</f>
        <v/>
      </c>
      <c r="Y2944" s="28">
        <f>Z2944/X2944</f>
        <v/>
      </c>
      <c r="Z2944" s="29" t="n">
        <v>575.006129745525</v>
      </c>
      <c r="AA2944" s="20" t="n">
        <v>110.75471545531</v>
      </c>
      <c r="AB2944" t="n">
        <v>0.1724922380503085</v>
      </c>
      <c r="AC2944" t="n">
        <v>110.8845200090599</v>
      </c>
      <c r="AD2944" t="n">
        <v>25.86607470218262</v>
      </c>
    </row>
    <row r="2945">
      <c r="A2945" t="n">
        <v>2944</v>
      </c>
      <c r="B2945" t="n">
        <v>87.3</v>
      </c>
      <c r="C2945" s="21">
        <f>B2945-20</f>
        <v/>
      </c>
      <c r="D2945" t="n">
        <v>115</v>
      </c>
      <c r="E2945" s="22">
        <f>D2945-90</f>
        <v/>
      </c>
      <c r="F2945" s="23" t="n">
        <v>0.024629</v>
      </c>
      <c r="G2945" s="22" t="n">
        <v>28.8</v>
      </c>
      <c r="H2945" s="22" t="n">
        <v>1.2</v>
      </c>
      <c r="I2945" s="24" t="n">
        <v>0.126212239265441</v>
      </c>
      <c r="J2945" s="6" t="n">
        <v>71000</v>
      </c>
      <c r="K2945" s="25">
        <f>23*10^-6</f>
        <v/>
      </c>
      <c r="L2945" s="8">
        <f>H2945</f>
        <v/>
      </c>
      <c r="M2945" s="26">
        <f>H2945^2/6</f>
        <v/>
      </c>
      <c r="N2945" s="26">
        <f>H2945^3/12</f>
        <v/>
      </c>
      <c r="O2945" s="27">
        <f>-J2945*L2945*K2945*C2945</f>
        <v/>
      </c>
      <c r="P2945" s="28">
        <f>-(12*F2945*J2945*L2945*N2945+12*O2945*N2945*G2945*COS(RADIANS(E2945)))/(12*N2945*G2945*COS(RADIANS(E2945))^2+L2945*G2945^3*SIN(RADIANS(E2945))^2)</f>
        <v/>
      </c>
      <c r="Q2945" s="28">
        <f>-(6*F2945*J2945*L2945*N2945*SIN(RADIANS(E2945))+6*O2945*N2945*G2945*SIN(RADIANS(E2945))*COS(RADIANS(E2945)))/(12*N2945*COS(RADIANS(E2945))^2+L2945*G2945^2*SIN(RADIANS(E2945))^2)</f>
        <v/>
      </c>
      <c r="R2945" s="28">
        <f>-P2945*SIN(RADIANS(E2945))</f>
        <v/>
      </c>
      <c r="S2945" s="8">
        <f>(O2945+P2945*COS(RADIANS(E2945)))/L2945</f>
        <v/>
      </c>
      <c r="T2945" s="8">
        <f>R2945/L2945</f>
        <v/>
      </c>
      <c r="U2945" s="8">
        <f>(Q2945-P2945*G2945*SIN(RADIANS(E2945)))/M2945</f>
        <v/>
      </c>
      <c r="V2945" s="8">
        <f>SQRT((S2945+U2945)^2+3*T2945^2)</f>
        <v/>
      </c>
      <c r="W2945" s="8">
        <f>V2945/AA2945</f>
        <v/>
      </c>
      <c r="X2945" s="27">
        <f>((3*10+H2945/COS(RADIANS(E2945)))*(3+3)+3*G2945*H2945)*2</f>
        <v/>
      </c>
      <c r="Y2945" s="28">
        <f>Z2945/X2945</f>
        <v/>
      </c>
      <c r="Z2945" s="29" t="n">
        <v>589.1633414738</v>
      </c>
      <c r="AA2945" s="20" t="n">
        <v>96.69296026863439</v>
      </c>
      <c r="AB2945" t="n">
        <v>0.1569564043986098</v>
      </c>
      <c r="AC2945" t="n">
        <v>99.49781029588642</v>
      </c>
      <c r="AD2945" t="n">
        <v>24.3590996500028</v>
      </c>
    </row>
    <row r="2946">
      <c r="A2946" t="n">
        <v>2945</v>
      </c>
      <c r="B2946" t="n">
        <v>84.59999999999999</v>
      </c>
      <c r="C2946" s="21">
        <f>B2946-20</f>
        <v/>
      </c>
      <c r="D2946" t="n">
        <v>126</v>
      </c>
      <c r="E2946" s="22">
        <f>D2946-90</f>
        <v/>
      </c>
      <c r="F2946" s="23" t="n">
        <v>0.024139</v>
      </c>
      <c r="G2946" s="22" t="n">
        <v>33.1</v>
      </c>
      <c r="H2946" s="22" t="n">
        <v>1.4</v>
      </c>
      <c r="I2946" s="24" t="n">
        <v>0.104193978011608</v>
      </c>
      <c r="J2946" s="6" t="n">
        <v>71000</v>
      </c>
      <c r="K2946" s="25">
        <f>23*10^-6</f>
        <v/>
      </c>
      <c r="L2946" s="8">
        <f>H2946</f>
        <v/>
      </c>
      <c r="M2946" s="26">
        <f>H2946^2/6</f>
        <v/>
      </c>
      <c r="N2946" s="26">
        <f>H2946^3/12</f>
        <v/>
      </c>
      <c r="O2946" s="27">
        <f>-J2946*L2946*K2946*C2946</f>
        <v/>
      </c>
      <c r="P2946" s="28">
        <f>-(12*F2946*J2946*L2946*N2946+12*O2946*N2946*G2946*COS(RADIANS(E2946)))/(12*N2946*G2946*COS(RADIANS(E2946))^2+L2946*G2946^3*SIN(RADIANS(E2946))^2)</f>
        <v/>
      </c>
      <c r="Q2946" s="28">
        <f>-(6*F2946*J2946*L2946*N2946*SIN(RADIANS(E2946))+6*O2946*N2946*G2946*SIN(RADIANS(E2946))*COS(RADIANS(E2946)))/(12*N2946*COS(RADIANS(E2946))^2+L2946*G2946^2*SIN(RADIANS(E2946))^2)</f>
        <v/>
      </c>
      <c r="R2946" s="28">
        <f>-P2946*SIN(RADIANS(E2946))</f>
        <v/>
      </c>
      <c r="S2946" s="8">
        <f>(O2946+P2946*COS(RADIANS(E2946)))/L2946</f>
        <v/>
      </c>
      <c r="T2946" s="8">
        <f>R2946/L2946</f>
        <v/>
      </c>
      <c r="U2946" s="8">
        <f>(Q2946-P2946*G2946*SIN(RADIANS(E2946)))/M2946</f>
        <v/>
      </c>
      <c r="V2946" s="8">
        <f>SQRT((S2946+U2946)^2+3*T2946^2)</f>
        <v/>
      </c>
      <c r="W2946" s="8">
        <f>V2946/AA2946</f>
        <v/>
      </c>
      <c r="X2946" s="27">
        <f>((3*10+H2946/COS(RADIANS(E2946)))*(3+3)+3*G2946*H2946)*2</f>
        <v/>
      </c>
      <c r="Y2946" s="28">
        <f>Z2946/X2946</f>
        <v/>
      </c>
      <c r="Z2946" s="29" t="n">
        <v>667.905202867633</v>
      </c>
      <c r="AA2946" s="20" t="n">
        <v>89.7974825656202</v>
      </c>
      <c r="AB2946" t="n">
        <v>0.1164409110048904</v>
      </c>
      <c r="AC2946" t="n">
        <v>92.5900011596935</v>
      </c>
      <c r="AD2946" t="n">
        <v>11.75397391192604</v>
      </c>
    </row>
    <row r="2947">
      <c r="A2947" t="n">
        <v>2946</v>
      </c>
      <c r="B2947" t="n">
        <v>55.9</v>
      </c>
      <c r="C2947" s="21">
        <f>B2947-20</f>
        <v/>
      </c>
      <c r="D2947" t="n">
        <v>128.4</v>
      </c>
      <c r="E2947" s="22">
        <f>D2947-90</f>
        <v/>
      </c>
      <c r="F2947" s="23" t="n">
        <v>0.012046</v>
      </c>
      <c r="G2947" s="22" t="n">
        <v>29.9</v>
      </c>
      <c r="H2947" s="22" t="n">
        <v>1.1</v>
      </c>
      <c r="I2947" s="24" t="n">
        <v>0.0519402436912059</v>
      </c>
      <c r="J2947" s="6" t="n">
        <v>71000</v>
      </c>
      <c r="K2947" s="25">
        <f>23*10^-6</f>
        <v/>
      </c>
      <c r="L2947" s="8">
        <f>H2947</f>
        <v/>
      </c>
      <c r="M2947" s="26">
        <f>H2947^2/6</f>
        <v/>
      </c>
      <c r="N2947" s="26">
        <f>H2947^3/12</f>
        <v/>
      </c>
      <c r="O2947" s="27">
        <f>-J2947*L2947*K2947*C2947</f>
        <v/>
      </c>
      <c r="P2947" s="28">
        <f>-(12*F2947*J2947*L2947*N2947+12*O2947*N2947*G2947*COS(RADIANS(E2947)))/(12*N2947*G2947*COS(RADIANS(E2947))^2+L2947*G2947^3*SIN(RADIANS(E2947))^2)</f>
        <v/>
      </c>
      <c r="Q2947" s="28">
        <f>-(6*F2947*J2947*L2947*N2947*SIN(RADIANS(E2947))+6*O2947*N2947*G2947*SIN(RADIANS(E2947))*COS(RADIANS(E2947)))/(12*N2947*COS(RADIANS(E2947))^2+L2947*G2947^2*SIN(RADIANS(E2947))^2)</f>
        <v/>
      </c>
      <c r="R2947" s="28">
        <f>-P2947*SIN(RADIANS(E2947))</f>
        <v/>
      </c>
      <c r="S2947" s="8">
        <f>(O2947+P2947*COS(RADIANS(E2947)))/L2947</f>
        <v/>
      </c>
      <c r="T2947" s="8">
        <f>R2947/L2947</f>
        <v/>
      </c>
      <c r="U2947" s="8">
        <f>(Q2947-P2947*G2947*SIN(RADIANS(E2947)))/M2947</f>
        <v/>
      </c>
      <c r="V2947" s="8">
        <f>SQRT((S2947+U2947)^2+3*T2947^2)</f>
        <v/>
      </c>
      <c r="W2947" s="8">
        <f>V2947/AA2947</f>
        <v/>
      </c>
      <c r="X2947" s="27">
        <f>((3*10+H2947/COS(RADIANS(E2947)))*(3+3)+3*G2947*H2947)*2</f>
        <v/>
      </c>
      <c r="Y2947" s="28">
        <f>Z2947/X2947</f>
        <v/>
      </c>
      <c r="Z2947" s="29" t="n">
        <v>584.2411687050781</v>
      </c>
      <c r="AA2947" s="20" t="n">
        <v>46.4755271888695</v>
      </c>
      <c r="AB2947" t="n">
        <v>0.05480548145458911</v>
      </c>
      <c r="AC2947" t="n">
        <v>50.70770692825115</v>
      </c>
      <c r="AD2947" t="n">
        <v>5.516411860555675</v>
      </c>
    </row>
    <row r="2948">
      <c r="A2948" t="n">
        <v>2947</v>
      </c>
      <c r="B2948" t="n">
        <v>52.6</v>
      </c>
      <c r="C2948" s="21">
        <f>B2948-20</f>
        <v/>
      </c>
      <c r="D2948" t="n">
        <v>103.1</v>
      </c>
      <c r="E2948" s="22">
        <f>D2948-90</f>
        <v/>
      </c>
      <c r="F2948" s="23" t="n">
        <v>0.014609</v>
      </c>
      <c r="G2948" s="22" t="n">
        <v>34.2</v>
      </c>
      <c r="H2948" s="22" t="n">
        <v>1.3</v>
      </c>
      <c r="I2948" s="24" t="n">
        <v>0.114260755479335</v>
      </c>
      <c r="J2948" s="6" t="n">
        <v>71000</v>
      </c>
      <c r="K2948" s="25">
        <f>23*10^-6</f>
        <v/>
      </c>
      <c r="L2948" s="8">
        <f>H2948</f>
        <v/>
      </c>
      <c r="M2948" s="26">
        <f>H2948^2/6</f>
        <v/>
      </c>
      <c r="N2948" s="26">
        <f>H2948^3/12</f>
        <v/>
      </c>
      <c r="O2948" s="27">
        <f>-J2948*L2948*K2948*C2948</f>
        <v/>
      </c>
      <c r="P2948" s="28">
        <f>-(12*F2948*J2948*L2948*N2948+12*O2948*N2948*G2948*COS(RADIANS(E2948)))/(12*N2948*G2948*COS(RADIANS(E2948))^2+L2948*G2948^3*SIN(RADIANS(E2948))^2)</f>
        <v/>
      </c>
      <c r="Q2948" s="28">
        <f>-(6*F2948*J2948*L2948*N2948*SIN(RADIANS(E2948))+6*O2948*N2948*G2948*SIN(RADIANS(E2948))*COS(RADIANS(E2948)))/(12*N2948*COS(RADIANS(E2948))^2+L2948*G2948^2*SIN(RADIANS(E2948))^2)</f>
        <v/>
      </c>
      <c r="R2948" s="28">
        <f>-P2948*SIN(RADIANS(E2948))</f>
        <v/>
      </c>
      <c r="S2948" s="8">
        <f>(O2948+P2948*COS(RADIANS(E2948)))/L2948</f>
        <v/>
      </c>
      <c r="T2948" s="8">
        <f>R2948/L2948</f>
        <v/>
      </c>
      <c r="U2948" s="8">
        <f>(Q2948-P2948*G2948*SIN(RADIANS(E2948)))/M2948</f>
        <v/>
      </c>
      <c r="V2948" s="8">
        <f>SQRT((S2948+U2948)^2+3*T2948^2)</f>
        <v/>
      </c>
      <c r="W2948" s="8">
        <f>V2948/AA2948</f>
        <v/>
      </c>
      <c r="X2948" s="27">
        <f>((3*10+H2948/COS(RADIANS(E2948)))*(3+3)+3*G2948*H2948)*2</f>
        <v/>
      </c>
      <c r="Y2948" s="28">
        <f>Z2948/X2948</f>
        <v/>
      </c>
      <c r="Z2948" s="29" t="n">
        <v>646.851716782427</v>
      </c>
      <c r="AA2948" s="20" t="n">
        <v>49.2954678500533</v>
      </c>
      <c r="AB2948" t="n">
        <v>0.1712582011577761</v>
      </c>
      <c r="AC2948" t="n">
        <v>51.98827106342726</v>
      </c>
      <c r="AD2948" t="n">
        <v>49.88365903877606</v>
      </c>
    </row>
    <row r="2949">
      <c r="A2949" t="n">
        <v>2948</v>
      </c>
      <c r="B2949" t="n">
        <v>79.40000000000001</v>
      </c>
      <c r="C2949" s="21">
        <f>B2949-20</f>
        <v/>
      </c>
      <c r="D2949" t="n">
        <v>114</v>
      </c>
      <c r="E2949" s="22">
        <f>D2949-90</f>
        <v/>
      </c>
      <c r="F2949" s="23" t="n">
        <v>0.021446</v>
      </c>
      <c r="G2949" s="22" t="n">
        <v>28.1</v>
      </c>
      <c r="H2949" s="22" t="n">
        <v>2</v>
      </c>
      <c r="I2949" s="24" t="n">
        <v>0.112296409904956</v>
      </c>
      <c r="J2949" s="6" t="n">
        <v>71000</v>
      </c>
      <c r="K2949" s="25">
        <f>23*10^-6</f>
        <v/>
      </c>
      <c r="L2949" s="8">
        <f>H2949</f>
        <v/>
      </c>
      <c r="M2949" s="26">
        <f>H2949^2/6</f>
        <v/>
      </c>
      <c r="N2949" s="26">
        <f>H2949^3/12</f>
        <v/>
      </c>
      <c r="O2949" s="27">
        <f>-J2949*L2949*K2949*C2949</f>
        <v/>
      </c>
      <c r="P2949" s="28">
        <f>-(12*F2949*J2949*L2949*N2949+12*O2949*N2949*G2949*COS(RADIANS(E2949)))/(12*N2949*G2949*COS(RADIANS(E2949))^2+L2949*G2949^3*SIN(RADIANS(E2949))^2)</f>
        <v/>
      </c>
      <c r="Q2949" s="28">
        <f>-(6*F2949*J2949*L2949*N2949*SIN(RADIANS(E2949))+6*O2949*N2949*G2949*SIN(RADIANS(E2949))*COS(RADIANS(E2949)))/(12*N2949*COS(RADIANS(E2949))^2+L2949*G2949^2*SIN(RADIANS(E2949))^2)</f>
        <v/>
      </c>
      <c r="R2949" s="28">
        <f>-P2949*SIN(RADIANS(E2949))</f>
        <v/>
      </c>
      <c r="S2949" s="8">
        <f>(O2949+P2949*COS(RADIANS(E2949)))/L2949</f>
        <v/>
      </c>
      <c r="T2949" s="8">
        <f>R2949/L2949</f>
        <v/>
      </c>
      <c r="U2949" s="8">
        <f>(Q2949-P2949*G2949*SIN(RADIANS(E2949)))/M2949</f>
        <v/>
      </c>
      <c r="V2949" s="8">
        <f>SQRT((S2949+U2949)^2+3*T2949^2)</f>
        <v/>
      </c>
      <c r="W2949" s="8">
        <f>V2949/AA2949</f>
        <v/>
      </c>
      <c r="X2949" s="27">
        <f>((3*10+H2949/COS(RADIANS(E2949)))*(3+3)+3*G2949*H2949)*2</f>
        <v/>
      </c>
      <c r="Y2949" s="28">
        <f>Z2949/X2949</f>
        <v/>
      </c>
      <c r="Z2949" s="29" t="n">
        <v>729.176170753931</v>
      </c>
      <c r="AA2949" s="20" t="n">
        <v>99.6299968173272</v>
      </c>
      <c r="AB2949" t="n">
        <v>0.1387644475194907</v>
      </c>
      <c r="AC2949" t="n">
        <v>93.50511439748712</v>
      </c>
      <c r="AD2949" t="n">
        <v>23.56979856874892</v>
      </c>
    </row>
    <row r="2950">
      <c r="A2950" t="n">
        <v>2949</v>
      </c>
      <c r="B2950" t="n">
        <v>45.4</v>
      </c>
      <c r="C2950" s="21">
        <f>B2950-20</f>
        <v/>
      </c>
      <c r="D2950" t="n">
        <v>107.5</v>
      </c>
      <c r="E2950" s="22">
        <f>D2950-90</f>
        <v/>
      </c>
      <c r="F2950" s="23" t="n">
        <v>0.009663</v>
      </c>
      <c r="G2950" s="22" t="n">
        <v>28.7</v>
      </c>
      <c r="H2950" s="22" t="n">
        <v>1.8</v>
      </c>
      <c r="I2950" s="24" t="n">
        <v>0.0613096095621585</v>
      </c>
      <c r="J2950" s="6" t="n">
        <v>71000</v>
      </c>
      <c r="K2950" s="25">
        <f>23*10^-6</f>
        <v/>
      </c>
      <c r="L2950" s="8">
        <f>H2950</f>
        <v/>
      </c>
      <c r="M2950" s="26">
        <f>H2950^2/6</f>
        <v/>
      </c>
      <c r="N2950" s="26">
        <f>H2950^3/12</f>
        <v/>
      </c>
      <c r="O2950" s="27">
        <f>-J2950*L2950*K2950*C2950</f>
        <v/>
      </c>
      <c r="P2950" s="28">
        <f>-(12*F2950*J2950*L2950*N2950+12*O2950*N2950*G2950*COS(RADIANS(E2950)))/(12*N2950*G2950*COS(RADIANS(E2950))^2+L2950*G2950^3*SIN(RADIANS(E2950))^2)</f>
        <v/>
      </c>
      <c r="Q2950" s="28">
        <f>-(6*F2950*J2950*L2950*N2950*SIN(RADIANS(E2950))+6*O2950*N2950*G2950*SIN(RADIANS(E2950))*COS(RADIANS(E2950)))/(12*N2950*COS(RADIANS(E2950))^2+L2950*G2950^2*SIN(RADIANS(E2950))^2)</f>
        <v/>
      </c>
      <c r="R2950" s="28">
        <f>-P2950*SIN(RADIANS(E2950))</f>
        <v/>
      </c>
      <c r="S2950" s="8">
        <f>(O2950+P2950*COS(RADIANS(E2950)))/L2950</f>
        <v/>
      </c>
      <c r="T2950" s="8">
        <f>R2950/L2950</f>
        <v/>
      </c>
      <c r="U2950" s="8">
        <f>(Q2950-P2950*G2950*SIN(RADIANS(E2950)))/M2950</f>
        <v/>
      </c>
      <c r="V2950" s="8">
        <f>SQRT((S2950+U2950)^2+3*T2950^2)</f>
        <v/>
      </c>
      <c r="W2950" s="8">
        <f>V2950/AA2950</f>
        <v/>
      </c>
      <c r="X2950" s="27">
        <f>((3*10+H2950/COS(RADIANS(E2950)))*(3+3)+3*G2950*H2950)*2</f>
        <v/>
      </c>
      <c r="Y2950" s="28">
        <f>Z2950/X2950</f>
        <v/>
      </c>
      <c r="Z2950" s="29" t="n">
        <v>697.2065574920611</v>
      </c>
      <c r="AA2950" s="20" t="n">
        <v>42.260009139364</v>
      </c>
      <c r="AB2950" t="n">
        <v>0.08300009126956061</v>
      </c>
      <c r="AC2950" t="n">
        <v>41.35149554153378</v>
      </c>
      <c r="AD2950" t="n">
        <v>35.3786002917068</v>
      </c>
    </row>
    <row r="2951">
      <c r="A2951" t="n">
        <v>2950</v>
      </c>
      <c r="B2951" t="n">
        <v>79.09999999999999</v>
      </c>
      <c r="C2951" s="21">
        <f>B2951-20</f>
        <v/>
      </c>
      <c r="D2951" t="n">
        <v>103.9</v>
      </c>
      <c r="E2951" s="22">
        <f>D2951-90</f>
        <v/>
      </c>
      <c r="F2951" s="23" t="n">
        <v>0.025625</v>
      </c>
      <c r="G2951" s="22" t="n">
        <v>33</v>
      </c>
      <c r="H2951" s="22" t="n">
        <v>1.7</v>
      </c>
      <c r="I2951" s="24" t="n">
        <v>0.189617842435836</v>
      </c>
      <c r="J2951" s="6" t="n">
        <v>71000</v>
      </c>
      <c r="K2951" s="25">
        <f>23*10^-6</f>
        <v/>
      </c>
      <c r="L2951" s="8">
        <f>H2951</f>
        <v/>
      </c>
      <c r="M2951" s="26">
        <f>H2951^2/6</f>
        <v/>
      </c>
      <c r="N2951" s="26">
        <f>H2951^3/12</f>
        <v/>
      </c>
      <c r="O2951" s="27">
        <f>-J2951*L2951*K2951*C2951</f>
        <v/>
      </c>
      <c r="P2951" s="28">
        <f>-(12*F2951*J2951*L2951*N2951+12*O2951*N2951*G2951*COS(RADIANS(E2951)))/(12*N2951*G2951*COS(RADIANS(E2951))^2+L2951*G2951^3*SIN(RADIANS(E2951))^2)</f>
        <v/>
      </c>
      <c r="Q2951" s="28">
        <f>-(6*F2951*J2951*L2951*N2951*SIN(RADIANS(E2951))+6*O2951*N2951*G2951*SIN(RADIANS(E2951))*COS(RADIANS(E2951)))/(12*N2951*COS(RADIANS(E2951))^2+L2951*G2951^2*SIN(RADIANS(E2951))^2)</f>
        <v/>
      </c>
      <c r="R2951" s="28">
        <f>-P2951*SIN(RADIANS(E2951))</f>
        <v/>
      </c>
      <c r="S2951" s="8">
        <f>(O2951+P2951*COS(RADIANS(E2951)))/L2951</f>
        <v/>
      </c>
      <c r="T2951" s="8">
        <f>R2951/L2951</f>
        <v/>
      </c>
      <c r="U2951" s="8">
        <f>(Q2951-P2951*G2951*SIN(RADIANS(E2951)))/M2951</f>
        <v/>
      </c>
      <c r="V2951" s="8">
        <f>SQRT((S2951+U2951)^2+3*T2951^2)</f>
        <v/>
      </c>
      <c r="W2951" s="8">
        <f>V2951/AA2951</f>
        <v/>
      </c>
      <c r="X2951" s="27">
        <f>((3*10+H2951/COS(RADIANS(E2951)))*(3+3)+3*G2951*H2951)*2</f>
        <v/>
      </c>
      <c r="Y2951" s="28">
        <f>Z2951/X2951</f>
        <v/>
      </c>
      <c r="Z2951" s="29" t="n">
        <v>721.773040266783</v>
      </c>
      <c r="AA2951" s="20" t="n">
        <v>96.4940860445291</v>
      </c>
      <c r="AB2951" t="n">
        <v>0.277952307845737</v>
      </c>
      <c r="AC2951" t="n">
        <v>97.5752865981805</v>
      </c>
      <c r="AD2951" t="n">
        <v>46.5855239544729</v>
      </c>
    </row>
    <row r="2952">
      <c r="A2952" t="n">
        <v>2951</v>
      </c>
      <c r="B2952" t="n">
        <v>78.90000000000001</v>
      </c>
      <c r="C2952" s="21">
        <f>B2952-20</f>
        <v/>
      </c>
      <c r="D2952" t="n">
        <v>112.4</v>
      </c>
      <c r="E2952" s="22">
        <f>D2952-90</f>
        <v/>
      </c>
      <c r="F2952" s="23" t="n">
        <v>0.023956</v>
      </c>
      <c r="G2952" s="22" t="n">
        <v>32.1</v>
      </c>
      <c r="H2952" s="22" t="n">
        <v>1.5</v>
      </c>
      <c r="I2952" s="24" t="n">
        <v>0.128871768712997</v>
      </c>
      <c r="J2952" s="6" t="n">
        <v>71000</v>
      </c>
      <c r="K2952" s="25">
        <f>23*10^-6</f>
        <v/>
      </c>
      <c r="L2952" s="8">
        <f>H2952</f>
        <v/>
      </c>
      <c r="M2952" s="26">
        <f>H2952^2/6</f>
        <v/>
      </c>
      <c r="N2952" s="26">
        <f>H2952^3/12</f>
        <v/>
      </c>
      <c r="O2952" s="27">
        <f>-J2952*L2952*K2952*C2952</f>
        <v/>
      </c>
      <c r="P2952" s="28">
        <f>-(12*F2952*J2952*L2952*N2952+12*O2952*N2952*G2952*COS(RADIANS(E2952)))/(12*N2952*G2952*COS(RADIANS(E2952))^2+L2952*G2952^3*SIN(RADIANS(E2952))^2)</f>
        <v/>
      </c>
      <c r="Q2952" s="28">
        <f>-(6*F2952*J2952*L2952*N2952*SIN(RADIANS(E2952))+6*O2952*N2952*G2952*SIN(RADIANS(E2952))*COS(RADIANS(E2952)))/(12*N2952*COS(RADIANS(E2952))^2+L2952*G2952^2*SIN(RADIANS(E2952))^2)</f>
        <v/>
      </c>
      <c r="R2952" s="28">
        <f>-P2952*SIN(RADIANS(E2952))</f>
        <v/>
      </c>
      <c r="S2952" s="8">
        <f>(O2952+P2952*COS(RADIANS(E2952)))/L2952</f>
        <v/>
      </c>
      <c r="T2952" s="8">
        <f>R2952/L2952</f>
        <v/>
      </c>
      <c r="U2952" s="8">
        <f>(Q2952-P2952*G2952*SIN(RADIANS(E2952)))/M2952</f>
        <v/>
      </c>
      <c r="V2952" s="8">
        <f>SQRT((S2952+U2952)^2+3*T2952^2)</f>
        <v/>
      </c>
      <c r="W2952" s="8">
        <f>V2952/AA2952</f>
        <v/>
      </c>
      <c r="X2952" s="27">
        <f>((3*10+H2952/COS(RADIANS(E2952)))*(3+3)+3*G2952*H2952)*2</f>
        <v/>
      </c>
      <c r="Y2952" s="28">
        <f>Z2952/X2952</f>
        <v/>
      </c>
      <c r="Z2952" s="29" t="n">
        <v>673.76132954666</v>
      </c>
      <c r="AA2952" s="20" t="n">
        <v>88.98486148389441</v>
      </c>
      <c r="AB2952" t="n">
        <v>0.1699263537733077</v>
      </c>
      <c r="AC2952" t="n">
        <v>89.44069059913205</v>
      </c>
      <c r="AD2952" t="n">
        <v>31.85692682758242</v>
      </c>
    </row>
    <row r="2953">
      <c r="A2953" t="n">
        <v>2952</v>
      </c>
      <c r="B2953" t="n">
        <v>47.5</v>
      </c>
      <c r="C2953" s="21">
        <f>B2953-20</f>
        <v/>
      </c>
      <c r="D2953" t="n">
        <v>105</v>
      </c>
      <c r="E2953" s="22">
        <f>D2953-90</f>
        <v/>
      </c>
      <c r="F2953" s="23" t="n">
        <v>0.009299999999999999</v>
      </c>
      <c r="G2953" s="22" t="n">
        <v>24.5</v>
      </c>
      <c r="H2953" s="22" t="n">
        <v>1.7</v>
      </c>
      <c r="I2953" s="24" t="n">
        <v>0.0660993233323097</v>
      </c>
      <c r="J2953" s="6" t="n">
        <v>71000</v>
      </c>
      <c r="K2953" s="25">
        <f>23*10^-6</f>
        <v/>
      </c>
      <c r="L2953" s="8">
        <f>H2953</f>
        <v/>
      </c>
      <c r="M2953" s="26">
        <f>H2953^2/6</f>
        <v/>
      </c>
      <c r="N2953" s="26">
        <f>H2953^3/12</f>
        <v/>
      </c>
      <c r="O2953" s="27">
        <f>-J2953*L2953*K2953*C2953</f>
        <v/>
      </c>
      <c r="P2953" s="28">
        <f>-(12*F2953*J2953*L2953*N2953+12*O2953*N2953*G2953*COS(RADIANS(E2953)))/(12*N2953*G2953*COS(RADIANS(E2953))^2+L2953*G2953^3*SIN(RADIANS(E2953))^2)</f>
        <v/>
      </c>
      <c r="Q2953" s="28">
        <f>-(6*F2953*J2953*L2953*N2953*SIN(RADIANS(E2953))+6*O2953*N2953*G2953*SIN(RADIANS(E2953))*COS(RADIANS(E2953)))/(12*N2953*COS(RADIANS(E2953))^2+L2953*G2953^2*SIN(RADIANS(E2953))^2)</f>
        <v/>
      </c>
      <c r="R2953" s="28">
        <f>-P2953*SIN(RADIANS(E2953))</f>
        <v/>
      </c>
      <c r="S2953" s="8">
        <f>(O2953+P2953*COS(RADIANS(E2953)))/L2953</f>
        <v/>
      </c>
      <c r="T2953" s="8">
        <f>R2953/L2953</f>
        <v/>
      </c>
      <c r="U2953" s="8">
        <f>(Q2953-P2953*G2953*SIN(RADIANS(E2953)))/M2953</f>
        <v/>
      </c>
      <c r="V2953" s="8">
        <f>SQRT((S2953+U2953)^2+3*T2953^2)</f>
        <v/>
      </c>
      <c r="W2953" s="8">
        <f>V2953/AA2953</f>
        <v/>
      </c>
      <c r="X2953" s="27">
        <f>((3*10+H2953/COS(RADIANS(E2953)))*(3+3)+3*G2953*H2953)*2</f>
        <v/>
      </c>
      <c r="Y2953" s="28">
        <f>Z2953/X2953</f>
        <v/>
      </c>
      <c r="Z2953" s="29" t="n">
        <v>635.299891795849</v>
      </c>
      <c r="AA2953" s="20" t="n">
        <v>46.5125908611388</v>
      </c>
      <c r="AB2953" t="n">
        <v>0.08848053948270014</v>
      </c>
      <c r="AC2953" t="n">
        <v>46.24182595293036</v>
      </c>
      <c r="AD2953" t="n">
        <v>33.8599777154608</v>
      </c>
    </row>
    <row r="2954">
      <c r="A2954" t="n">
        <v>2953</v>
      </c>
      <c r="B2954" t="n">
        <v>66.59999999999999</v>
      </c>
      <c r="C2954" s="21">
        <f>B2954-20</f>
        <v/>
      </c>
      <c r="D2954" t="n">
        <v>117.9</v>
      </c>
      <c r="E2954" s="22">
        <f>D2954-90</f>
        <v/>
      </c>
      <c r="F2954" s="23" t="n">
        <v>0.013188</v>
      </c>
      <c r="G2954" s="22" t="n">
        <v>21.3</v>
      </c>
      <c r="H2954" s="22" t="n">
        <v>1.1</v>
      </c>
      <c r="I2954" s="24" t="n">
        <v>0.0668766796588897</v>
      </c>
      <c r="J2954" s="6" t="n">
        <v>71000</v>
      </c>
      <c r="K2954" s="25">
        <f>23*10^-6</f>
        <v/>
      </c>
      <c r="L2954" s="8">
        <f>H2954</f>
        <v/>
      </c>
      <c r="M2954" s="26">
        <f>H2954^2/6</f>
        <v/>
      </c>
      <c r="N2954" s="26">
        <f>H2954^3/12</f>
        <v/>
      </c>
      <c r="O2954" s="27">
        <f>-J2954*L2954*K2954*C2954</f>
        <v/>
      </c>
      <c r="P2954" s="28">
        <f>-(12*F2954*J2954*L2954*N2954+12*O2954*N2954*G2954*COS(RADIANS(E2954)))/(12*N2954*G2954*COS(RADIANS(E2954))^2+L2954*G2954^3*SIN(RADIANS(E2954))^2)</f>
        <v/>
      </c>
      <c r="Q2954" s="28">
        <f>-(6*F2954*J2954*L2954*N2954*SIN(RADIANS(E2954))+6*O2954*N2954*G2954*SIN(RADIANS(E2954))*COS(RADIANS(E2954)))/(12*N2954*COS(RADIANS(E2954))^2+L2954*G2954^2*SIN(RADIANS(E2954))^2)</f>
        <v/>
      </c>
      <c r="R2954" s="28">
        <f>-P2954*SIN(RADIANS(E2954))</f>
        <v/>
      </c>
      <c r="S2954" s="8">
        <f>(O2954+P2954*COS(RADIANS(E2954)))/L2954</f>
        <v/>
      </c>
      <c r="T2954" s="8">
        <f>R2954/L2954</f>
        <v/>
      </c>
      <c r="U2954" s="8">
        <f>(Q2954-P2954*G2954*SIN(RADIANS(E2954)))/M2954</f>
        <v/>
      </c>
      <c r="V2954" s="8">
        <f>SQRT((S2954+U2954)^2+3*T2954^2)</f>
        <v/>
      </c>
      <c r="W2954" s="8">
        <f>V2954/AA2954</f>
        <v/>
      </c>
      <c r="X2954" s="27">
        <f>((3*10+H2954/COS(RADIANS(E2954)))*(3+3)+3*G2954*H2954)*2</f>
        <v/>
      </c>
      <c r="Y2954" s="28">
        <f>Z2954/X2954</f>
        <v/>
      </c>
      <c r="Z2954" s="29" t="n">
        <v>522.106237124037</v>
      </c>
      <c r="AA2954" s="20" t="n">
        <v>66.58390914404789</v>
      </c>
      <c r="AB2954" t="n">
        <v>0.07293473298446904</v>
      </c>
      <c r="AC2954" t="n">
        <v>68.66904760124555</v>
      </c>
      <c r="AD2954" t="n">
        <v>9.058543810008153</v>
      </c>
    </row>
    <row r="2955">
      <c r="A2955" t="n">
        <v>2954</v>
      </c>
      <c r="B2955" t="n">
        <v>64.8</v>
      </c>
      <c r="C2955" s="21">
        <f>B2955-20</f>
        <v/>
      </c>
      <c r="D2955" t="n">
        <v>110.3</v>
      </c>
      <c r="E2955" s="22">
        <f>D2955-90</f>
        <v/>
      </c>
      <c r="F2955" s="23" t="n">
        <v>0.016524</v>
      </c>
      <c r="G2955" s="22" t="n">
        <v>28.1</v>
      </c>
      <c r="H2955" s="22" t="n">
        <v>1.6</v>
      </c>
      <c r="I2955" s="24" t="n">
        <v>0.095870204269886</v>
      </c>
      <c r="J2955" s="6" t="n">
        <v>71000</v>
      </c>
      <c r="K2955" s="25">
        <f>23*10^-6</f>
        <v/>
      </c>
      <c r="L2955" s="8">
        <f>H2955</f>
        <v/>
      </c>
      <c r="M2955" s="26">
        <f>H2955^2/6</f>
        <v/>
      </c>
      <c r="N2955" s="26">
        <f>H2955^3/12</f>
        <v/>
      </c>
      <c r="O2955" s="27">
        <f>-J2955*L2955*K2955*C2955</f>
        <v/>
      </c>
      <c r="P2955" s="28">
        <f>-(12*F2955*J2955*L2955*N2955+12*O2955*N2955*G2955*COS(RADIANS(E2955)))/(12*N2955*G2955*COS(RADIANS(E2955))^2+L2955*G2955^3*SIN(RADIANS(E2955))^2)</f>
        <v/>
      </c>
      <c r="Q2955" s="28">
        <f>-(6*F2955*J2955*L2955*N2955*SIN(RADIANS(E2955))+6*O2955*N2955*G2955*SIN(RADIANS(E2955))*COS(RADIANS(E2955)))/(12*N2955*COS(RADIANS(E2955))^2+L2955*G2955^2*SIN(RADIANS(E2955))^2)</f>
        <v/>
      </c>
      <c r="R2955" s="28">
        <f>-P2955*SIN(RADIANS(E2955))</f>
        <v/>
      </c>
      <c r="S2955" s="8">
        <f>(O2955+P2955*COS(RADIANS(E2955)))/L2955</f>
        <v/>
      </c>
      <c r="T2955" s="8">
        <f>R2955/L2955</f>
        <v/>
      </c>
      <c r="U2955" s="8">
        <f>(Q2955-P2955*G2955*SIN(RADIANS(E2955)))/M2955</f>
        <v/>
      </c>
      <c r="V2955" s="8">
        <f>SQRT((S2955+U2955)^2+3*T2955^2)</f>
        <v/>
      </c>
      <c r="W2955" s="8">
        <f>V2955/AA2955</f>
        <v/>
      </c>
      <c r="X2955" s="27">
        <f>((3*10+H2955/COS(RADIANS(E2955)))*(3+3)+3*G2955*H2955)*2</f>
        <v/>
      </c>
      <c r="Y2955" s="28">
        <f>Z2955/X2955</f>
        <v/>
      </c>
      <c r="Z2955" s="29" t="n">
        <v>655.25452039922</v>
      </c>
      <c r="AA2955" s="20" t="n">
        <v>70.6555422694375</v>
      </c>
      <c r="AB2955" t="n">
        <v>0.1250207311691888</v>
      </c>
      <c r="AC2955" t="n">
        <v>70.25413841877599</v>
      </c>
      <c r="AD2955" t="n">
        <v>30.40624260822536</v>
      </c>
    </row>
    <row r="2956">
      <c r="A2956" t="n">
        <v>2955</v>
      </c>
      <c r="B2956" t="n">
        <v>48.8</v>
      </c>
      <c r="C2956" s="21">
        <f>B2956-20</f>
        <v/>
      </c>
      <c r="D2956" t="n">
        <v>112.8</v>
      </c>
      <c r="E2956" s="22">
        <f>D2956-90</f>
        <v/>
      </c>
      <c r="F2956" s="23" t="n">
        <v>0.009839000000000001</v>
      </c>
      <c r="G2956" s="22" t="n">
        <v>26</v>
      </c>
      <c r="H2956" s="22" t="n">
        <v>1.2</v>
      </c>
      <c r="I2956" s="24" t="n">
        <v>0.0539135597646236</v>
      </c>
      <c r="J2956" s="6" t="n">
        <v>71000</v>
      </c>
      <c r="K2956" s="25">
        <f>23*10^-6</f>
        <v/>
      </c>
      <c r="L2956" s="8">
        <f>H2956</f>
        <v/>
      </c>
      <c r="M2956" s="26">
        <f>H2956^2/6</f>
        <v/>
      </c>
      <c r="N2956" s="26">
        <f>H2956^3/12</f>
        <v/>
      </c>
      <c r="O2956" s="27">
        <f>-J2956*L2956*K2956*C2956</f>
        <v/>
      </c>
      <c r="P2956" s="28">
        <f>-(12*F2956*J2956*L2956*N2956+12*O2956*N2956*G2956*COS(RADIANS(E2956)))/(12*N2956*G2956*COS(RADIANS(E2956))^2+L2956*G2956^3*SIN(RADIANS(E2956))^2)</f>
        <v/>
      </c>
      <c r="Q2956" s="28">
        <f>-(6*F2956*J2956*L2956*N2956*SIN(RADIANS(E2956))+6*O2956*N2956*G2956*SIN(RADIANS(E2956))*COS(RADIANS(E2956)))/(12*N2956*COS(RADIANS(E2956))^2+L2956*G2956^2*SIN(RADIANS(E2956))^2)</f>
        <v/>
      </c>
      <c r="R2956" s="28">
        <f>-P2956*SIN(RADIANS(E2956))</f>
        <v/>
      </c>
      <c r="S2956" s="8">
        <f>(O2956+P2956*COS(RADIANS(E2956)))/L2956</f>
        <v/>
      </c>
      <c r="T2956" s="8">
        <f>R2956/L2956</f>
        <v/>
      </c>
      <c r="U2956" s="8">
        <f>(Q2956-P2956*G2956*SIN(RADIANS(E2956)))/M2956</f>
        <v/>
      </c>
      <c r="V2956" s="8">
        <f>SQRT((S2956+U2956)^2+3*T2956^2)</f>
        <v/>
      </c>
      <c r="W2956" s="8">
        <f>V2956/AA2956</f>
        <v/>
      </c>
      <c r="X2956" s="27">
        <f>((3*10+H2956/COS(RADIANS(E2956)))*(3+3)+3*G2956*H2956)*2</f>
        <v/>
      </c>
      <c r="Y2956" s="28">
        <f>Z2956/X2956</f>
        <v/>
      </c>
      <c r="Z2956" s="29" t="n">
        <v>568.288402042332</v>
      </c>
      <c r="AA2956" s="20" t="n">
        <v>41.8259386725669</v>
      </c>
      <c r="AB2956" t="n">
        <v>0.06699228182086808</v>
      </c>
      <c r="AC2956" t="n">
        <v>43.2942962740962</v>
      </c>
      <c r="AD2956" t="n">
        <v>24.25868763506567</v>
      </c>
    </row>
    <row r="2957">
      <c r="A2957" t="n">
        <v>2956</v>
      </c>
      <c r="B2957" t="n">
        <v>85.40000000000001</v>
      </c>
      <c r="C2957" s="21">
        <f>B2957-20</f>
        <v/>
      </c>
      <c r="D2957" t="n">
        <v>127.5</v>
      </c>
      <c r="E2957" s="22">
        <f>D2957-90</f>
        <v/>
      </c>
      <c r="F2957" s="23" t="n">
        <v>0.017309</v>
      </c>
      <c r="G2957" s="22" t="n">
        <v>21.7</v>
      </c>
      <c r="H2957" s="22" t="n">
        <v>1.9</v>
      </c>
      <c r="I2957" s="24" t="n">
        <v>0.0789141282439231</v>
      </c>
      <c r="J2957" s="6" t="n">
        <v>71000</v>
      </c>
      <c r="K2957" s="25">
        <f>23*10^-6</f>
        <v/>
      </c>
      <c r="L2957" s="8">
        <f>H2957</f>
        <v/>
      </c>
      <c r="M2957" s="26">
        <f>H2957^2/6</f>
        <v/>
      </c>
      <c r="N2957" s="26">
        <f>H2957^3/12</f>
        <v/>
      </c>
      <c r="O2957" s="27">
        <f>-J2957*L2957*K2957*C2957</f>
        <v/>
      </c>
      <c r="P2957" s="28">
        <f>-(12*F2957*J2957*L2957*N2957+12*O2957*N2957*G2957*COS(RADIANS(E2957)))/(12*N2957*G2957*COS(RADIANS(E2957))^2+L2957*G2957^3*SIN(RADIANS(E2957))^2)</f>
        <v/>
      </c>
      <c r="Q2957" s="28">
        <f>-(6*F2957*J2957*L2957*N2957*SIN(RADIANS(E2957))+6*O2957*N2957*G2957*SIN(RADIANS(E2957))*COS(RADIANS(E2957)))/(12*N2957*COS(RADIANS(E2957))^2+L2957*G2957^2*SIN(RADIANS(E2957))^2)</f>
        <v/>
      </c>
      <c r="R2957" s="28">
        <f>-P2957*SIN(RADIANS(E2957))</f>
        <v/>
      </c>
      <c r="S2957" s="8">
        <f>(O2957+P2957*COS(RADIANS(E2957)))/L2957</f>
        <v/>
      </c>
      <c r="T2957" s="8">
        <f>R2957/L2957</f>
        <v/>
      </c>
      <c r="U2957" s="8">
        <f>(Q2957-P2957*G2957*SIN(RADIANS(E2957)))/M2957</f>
        <v/>
      </c>
      <c r="V2957" s="8">
        <f>SQRT((S2957+U2957)^2+3*T2957^2)</f>
        <v/>
      </c>
      <c r="W2957" s="8">
        <f>V2957/AA2957</f>
        <v/>
      </c>
      <c r="X2957" s="27">
        <f>((3*10+H2957/COS(RADIANS(E2957)))*(3+3)+3*G2957*H2957)*2</f>
        <v/>
      </c>
      <c r="Y2957" s="28">
        <f>Z2957/X2957</f>
        <v/>
      </c>
      <c r="Z2957" s="29" t="n">
        <v>645.8037383613211</v>
      </c>
      <c r="AA2957" s="20" t="n">
        <v>107.591897256321</v>
      </c>
      <c r="AB2957" t="n">
        <v>0.0750263255584193</v>
      </c>
      <c r="AC2957" t="n">
        <v>97.31002291028163</v>
      </c>
      <c r="AD2957" t="n">
        <v>-4.926624385289573</v>
      </c>
    </row>
    <row r="2958">
      <c r="A2958" t="n">
        <v>2957</v>
      </c>
      <c r="B2958" t="n">
        <v>65.59999999999999</v>
      </c>
      <c r="C2958" s="21">
        <f>B2958-20</f>
        <v/>
      </c>
      <c r="D2958" t="n">
        <v>100.4</v>
      </c>
      <c r="E2958" s="22">
        <f>D2958-90</f>
        <v/>
      </c>
      <c r="F2958" s="23" t="n">
        <v>0.016822</v>
      </c>
      <c r="G2958" s="22" t="n">
        <v>26.8</v>
      </c>
      <c r="H2958" s="22" t="n">
        <v>1.2</v>
      </c>
      <c r="I2958" s="24" t="n">
        <v>0.1590546220541</v>
      </c>
      <c r="J2958" s="6" t="n">
        <v>71000</v>
      </c>
      <c r="K2958" s="25">
        <f>23*10^-6</f>
        <v/>
      </c>
      <c r="L2958" s="8">
        <f>H2958</f>
        <v/>
      </c>
      <c r="M2958" s="26">
        <f>H2958^2/6</f>
        <v/>
      </c>
      <c r="N2958" s="26">
        <f>H2958^3/12</f>
        <v/>
      </c>
      <c r="O2958" s="27">
        <f>-J2958*L2958*K2958*C2958</f>
        <v/>
      </c>
      <c r="P2958" s="28">
        <f>-(12*F2958*J2958*L2958*N2958+12*O2958*N2958*G2958*COS(RADIANS(E2958)))/(12*N2958*G2958*COS(RADIANS(E2958))^2+L2958*G2958^3*SIN(RADIANS(E2958))^2)</f>
        <v/>
      </c>
      <c r="Q2958" s="28">
        <f>-(6*F2958*J2958*L2958*N2958*SIN(RADIANS(E2958))+6*O2958*N2958*G2958*SIN(RADIANS(E2958))*COS(RADIANS(E2958)))/(12*N2958*COS(RADIANS(E2958))^2+L2958*G2958^2*SIN(RADIANS(E2958))^2)</f>
        <v/>
      </c>
      <c r="R2958" s="28">
        <f>-P2958*SIN(RADIANS(E2958))</f>
        <v/>
      </c>
      <c r="S2958" s="8">
        <f>(O2958+P2958*COS(RADIANS(E2958)))/L2958</f>
        <v/>
      </c>
      <c r="T2958" s="8">
        <f>R2958/L2958</f>
        <v/>
      </c>
      <c r="U2958" s="8">
        <f>(Q2958-P2958*G2958*SIN(RADIANS(E2958)))/M2958</f>
        <v/>
      </c>
      <c r="V2958" s="8">
        <f>SQRT((S2958+U2958)^2+3*T2958^2)</f>
        <v/>
      </c>
      <c r="W2958" s="8">
        <f>V2958/AA2958</f>
        <v/>
      </c>
      <c r="X2958" s="27">
        <f>((3*10+H2958/COS(RADIANS(E2958)))*(3+3)+3*G2958*H2958)*2</f>
        <v/>
      </c>
      <c r="Y2958" s="28">
        <f>Z2958/X2958</f>
        <v/>
      </c>
      <c r="Z2958" s="29" t="n">
        <v>571.435022044421</v>
      </c>
      <c r="AA2958" s="20" t="n">
        <v>70.28008815765421</v>
      </c>
      <c r="AB2958" t="n">
        <v>0.2332916478675212</v>
      </c>
      <c r="AC2958" t="n">
        <v>76.46513114458568</v>
      </c>
      <c r="AD2958" t="n">
        <v>46.67391922013471</v>
      </c>
    </row>
    <row r="2959">
      <c r="A2959" t="n">
        <v>2958</v>
      </c>
      <c r="B2959" t="n">
        <v>59.3</v>
      </c>
      <c r="C2959" s="21">
        <f>B2959-20</f>
        <v/>
      </c>
      <c r="D2959" t="n">
        <v>125</v>
      </c>
      <c r="E2959" s="22">
        <f>D2959-90</f>
        <v/>
      </c>
      <c r="F2959" s="23" t="n">
        <v>0.013625</v>
      </c>
      <c r="G2959" s="22" t="n">
        <v>29.8</v>
      </c>
      <c r="H2959" s="22" t="n">
        <v>1.8</v>
      </c>
      <c r="I2959" s="24" t="n">
        <v>0.0602357313036918</v>
      </c>
      <c r="J2959" s="6" t="n">
        <v>71000</v>
      </c>
      <c r="K2959" s="25">
        <f>23*10^-6</f>
        <v/>
      </c>
      <c r="L2959" s="8">
        <f>H2959</f>
        <v/>
      </c>
      <c r="M2959" s="26">
        <f>H2959^2/6</f>
        <v/>
      </c>
      <c r="N2959" s="26">
        <f>H2959^3/12</f>
        <v/>
      </c>
      <c r="O2959" s="27">
        <f>-J2959*L2959*K2959*C2959</f>
        <v/>
      </c>
      <c r="P2959" s="28">
        <f>-(12*F2959*J2959*L2959*N2959+12*O2959*N2959*G2959*COS(RADIANS(E2959)))/(12*N2959*G2959*COS(RADIANS(E2959))^2+L2959*G2959^3*SIN(RADIANS(E2959))^2)</f>
        <v/>
      </c>
      <c r="Q2959" s="28">
        <f>-(6*F2959*J2959*L2959*N2959*SIN(RADIANS(E2959))+6*O2959*N2959*G2959*SIN(RADIANS(E2959))*COS(RADIANS(E2959)))/(12*N2959*COS(RADIANS(E2959))^2+L2959*G2959^2*SIN(RADIANS(E2959))^2)</f>
        <v/>
      </c>
      <c r="R2959" s="28">
        <f>-P2959*SIN(RADIANS(E2959))</f>
        <v/>
      </c>
      <c r="S2959" s="8">
        <f>(O2959+P2959*COS(RADIANS(E2959)))/L2959</f>
        <v/>
      </c>
      <c r="T2959" s="8">
        <f>R2959/L2959</f>
        <v/>
      </c>
      <c r="U2959" s="8">
        <f>(Q2959-P2959*G2959*SIN(RADIANS(E2959)))/M2959</f>
        <v/>
      </c>
      <c r="V2959" s="8">
        <f>SQRT((S2959+U2959)^2+3*T2959^2)</f>
        <v/>
      </c>
      <c r="W2959" s="8">
        <f>V2959/AA2959</f>
        <v/>
      </c>
      <c r="X2959" s="27">
        <f>((3*10+H2959/COS(RADIANS(E2959)))*(3+3)+3*G2959*H2959)*2</f>
        <v/>
      </c>
      <c r="Y2959" s="28">
        <f>Z2959/X2959</f>
        <v/>
      </c>
      <c r="Z2959" s="29" t="n">
        <v>716.940950633163</v>
      </c>
      <c r="AA2959" s="20" t="n">
        <v>60.1990438882497</v>
      </c>
      <c r="AB2959" t="n">
        <v>0.06585875589971543</v>
      </c>
      <c r="AC2959" t="n">
        <v>57.82250016258858</v>
      </c>
      <c r="AD2959" t="n">
        <v>9.335031673599021</v>
      </c>
    </row>
    <row r="2960">
      <c r="A2960" t="n">
        <v>2959</v>
      </c>
      <c r="B2960" t="n">
        <v>76.8</v>
      </c>
      <c r="C2960" s="21">
        <f>B2960-20</f>
        <v/>
      </c>
      <c r="D2960" t="n">
        <v>102.8</v>
      </c>
      <c r="E2960" s="22">
        <f>D2960-90</f>
        <v/>
      </c>
      <c r="F2960" s="23" t="n">
        <v>0.021881</v>
      </c>
      <c r="G2960" s="22" t="n">
        <v>28.5</v>
      </c>
      <c r="H2960" s="22" t="n">
        <v>1.3</v>
      </c>
      <c r="I2960" s="24" t="n">
        <v>0.17596597969532</v>
      </c>
      <c r="J2960" s="6" t="n">
        <v>71000</v>
      </c>
      <c r="K2960" s="25">
        <f>23*10^-6</f>
        <v/>
      </c>
      <c r="L2960" s="8">
        <f>H2960</f>
        <v/>
      </c>
      <c r="M2960" s="26">
        <f>H2960^2/6</f>
        <v/>
      </c>
      <c r="N2960" s="26">
        <f>H2960^3/12</f>
        <v/>
      </c>
      <c r="O2960" s="27">
        <f>-J2960*L2960*K2960*C2960</f>
        <v/>
      </c>
      <c r="P2960" s="28">
        <f>-(12*F2960*J2960*L2960*N2960+12*O2960*N2960*G2960*COS(RADIANS(E2960)))/(12*N2960*G2960*COS(RADIANS(E2960))^2+L2960*G2960^3*SIN(RADIANS(E2960))^2)</f>
        <v/>
      </c>
      <c r="Q2960" s="28">
        <f>-(6*F2960*J2960*L2960*N2960*SIN(RADIANS(E2960))+6*O2960*N2960*G2960*SIN(RADIANS(E2960))*COS(RADIANS(E2960)))/(12*N2960*COS(RADIANS(E2960))^2+L2960*G2960^2*SIN(RADIANS(E2960))^2)</f>
        <v/>
      </c>
      <c r="R2960" s="28">
        <f>-P2960*SIN(RADIANS(E2960))</f>
        <v/>
      </c>
      <c r="S2960" s="8">
        <f>(O2960+P2960*COS(RADIANS(E2960)))/L2960</f>
        <v/>
      </c>
      <c r="T2960" s="8">
        <f>R2960/L2960</f>
        <v/>
      </c>
      <c r="U2960" s="8">
        <f>(Q2960-P2960*G2960*SIN(RADIANS(E2960)))/M2960</f>
        <v/>
      </c>
      <c r="V2960" s="8">
        <f>SQRT((S2960+U2960)^2+3*T2960^2)</f>
        <v/>
      </c>
      <c r="W2960" s="8">
        <f>V2960/AA2960</f>
        <v/>
      </c>
      <c r="X2960" s="27">
        <f>((3*10+H2960/COS(RADIANS(E2960)))*(3+3)+3*G2960*H2960)*2</f>
        <v/>
      </c>
      <c r="Y2960" s="28">
        <f>Z2960/X2960</f>
        <v/>
      </c>
      <c r="Z2960" s="29" t="n">
        <v>602.342793330789</v>
      </c>
      <c r="AA2960" s="20" t="n">
        <v>88.3322131744538</v>
      </c>
      <c r="AB2960" t="n">
        <v>0.2539282055324024</v>
      </c>
      <c r="AC2960" t="n">
        <v>92.66624677325827</v>
      </c>
      <c r="AD2960" t="n">
        <v>44.30528331219007</v>
      </c>
    </row>
    <row r="2961">
      <c r="A2961" t="n">
        <v>2960</v>
      </c>
      <c r="B2961" t="n">
        <v>47</v>
      </c>
      <c r="C2961" s="21">
        <f>B2961-20</f>
        <v/>
      </c>
      <c r="D2961" t="n">
        <v>120.2</v>
      </c>
      <c r="E2961" s="22">
        <f>D2961-90</f>
        <v/>
      </c>
      <c r="F2961" s="23" t="n">
        <v>0.007407</v>
      </c>
      <c r="G2961" s="22" t="n">
        <v>20.9</v>
      </c>
      <c r="H2961" s="22" t="n">
        <v>1.6</v>
      </c>
      <c r="I2961" s="24" t="n">
        <v>0.0363454669713974</v>
      </c>
      <c r="J2961" s="6" t="n">
        <v>71000</v>
      </c>
      <c r="K2961" s="25">
        <f>23*10^-6</f>
        <v/>
      </c>
      <c r="L2961" s="8">
        <f>H2961</f>
        <v/>
      </c>
      <c r="M2961" s="26">
        <f>H2961^2/6</f>
        <v/>
      </c>
      <c r="N2961" s="26">
        <f>H2961^3/12</f>
        <v/>
      </c>
      <c r="O2961" s="27">
        <f>-J2961*L2961*K2961*C2961</f>
        <v/>
      </c>
      <c r="P2961" s="28">
        <f>-(12*F2961*J2961*L2961*N2961+12*O2961*N2961*G2961*COS(RADIANS(E2961)))/(12*N2961*G2961*COS(RADIANS(E2961))^2+L2961*G2961^3*SIN(RADIANS(E2961))^2)</f>
        <v/>
      </c>
      <c r="Q2961" s="28">
        <f>-(6*F2961*J2961*L2961*N2961*SIN(RADIANS(E2961))+6*O2961*N2961*G2961*SIN(RADIANS(E2961))*COS(RADIANS(E2961)))/(12*N2961*COS(RADIANS(E2961))^2+L2961*G2961^2*SIN(RADIANS(E2961))^2)</f>
        <v/>
      </c>
      <c r="R2961" s="28">
        <f>-P2961*SIN(RADIANS(E2961))</f>
        <v/>
      </c>
      <c r="S2961" s="8">
        <f>(O2961+P2961*COS(RADIANS(E2961)))/L2961</f>
        <v/>
      </c>
      <c r="T2961" s="8">
        <f>R2961/L2961</f>
        <v/>
      </c>
      <c r="U2961" s="8">
        <f>(Q2961-P2961*G2961*SIN(RADIANS(E2961)))/M2961</f>
        <v/>
      </c>
      <c r="V2961" s="8">
        <f>SQRT((S2961+U2961)^2+3*T2961^2)</f>
        <v/>
      </c>
      <c r="W2961" s="8">
        <f>V2961/AA2961</f>
        <v/>
      </c>
      <c r="X2961" s="27">
        <f>((3*10+H2961/COS(RADIANS(E2961)))*(3+3)+3*G2961*H2961)*2</f>
        <v/>
      </c>
      <c r="Y2961" s="28">
        <f>Z2961/X2961</f>
        <v/>
      </c>
      <c r="Z2961" s="29" t="n">
        <v>590.057731551232</v>
      </c>
      <c r="AA2961" s="20" t="n">
        <v>43.3181578312462</v>
      </c>
      <c r="AB2961" t="n">
        <v>0.03779937463893256</v>
      </c>
      <c r="AC2961" t="n">
        <v>40.83386997435021</v>
      </c>
      <c r="AD2961" t="n">
        <v>4.000244841204922</v>
      </c>
    </row>
    <row r="2962">
      <c r="A2962" t="n">
        <v>2961</v>
      </c>
      <c r="B2962" t="n">
        <v>76.59999999999999</v>
      </c>
      <c r="C2962" s="21">
        <f>B2962-20</f>
        <v/>
      </c>
      <c r="D2962" t="n">
        <v>102.4</v>
      </c>
      <c r="E2962" s="22">
        <f>D2962-90</f>
        <v/>
      </c>
      <c r="F2962" s="23" t="n">
        <v>0.021895</v>
      </c>
      <c r="G2962" s="22" t="n">
        <v>28.6</v>
      </c>
      <c r="H2962" s="22" t="n">
        <v>1.5</v>
      </c>
      <c r="I2962" s="24" t="n">
        <v>0.178357079625129</v>
      </c>
      <c r="J2962" s="6" t="n">
        <v>71000</v>
      </c>
      <c r="K2962" s="25">
        <f>23*10^-6</f>
        <v/>
      </c>
      <c r="L2962" s="8">
        <f>H2962</f>
        <v/>
      </c>
      <c r="M2962" s="26">
        <f>H2962^2/6</f>
        <v/>
      </c>
      <c r="N2962" s="26">
        <f>H2962^3/12</f>
        <v/>
      </c>
      <c r="O2962" s="27">
        <f>-J2962*L2962*K2962*C2962</f>
        <v/>
      </c>
      <c r="P2962" s="28">
        <f>-(12*F2962*J2962*L2962*N2962+12*O2962*N2962*G2962*COS(RADIANS(E2962)))/(12*N2962*G2962*COS(RADIANS(E2962))^2+L2962*G2962^3*SIN(RADIANS(E2962))^2)</f>
        <v/>
      </c>
      <c r="Q2962" s="28">
        <f>-(6*F2962*J2962*L2962*N2962*SIN(RADIANS(E2962))+6*O2962*N2962*G2962*SIN(RADIANS(E2962))*COS(RADIANS(E2962)))/(12*N2962*COS(RADIANS(E2962))^2+L2962*G2962^2*SIN(RADIANS(E2962))^2)</f>
        <v/>
      </c>
      <c r="R2962" s="28">
        <f>-P2962*SIN(RADIANS(E2962))</f>
        <v/>
      </c>
      <c r="S2962" s="8">
        <f>(O2962+P2962*COS(RADIANS(E2962)))/L2962</f>
        <v/>
      </c>
      <c r="T2962" s="8">
        <f>R2962/L2962</f>
        <v/>
      </c>
      <c r="U2962" s="8">
        <f>(Q2962-P2962*G2962*SIN(RADIANS(E2962)))/M2962</f>
        <v/>
      </c>
      <c r="V2962" s="8">
        <f>SQRT((S2962+U2962)^2+3*T2962^2)</f>
        <v/>
      </c>
      <c r="W2962" s="8">
        <f>V2962/AA2962</f>
        <v/>
      </c>
      <c r="X2962" s="27">
        <f>((3*10+H2962/COS(RADIANS(E2962)))*(3+3)+3*G2962*H2962)*2</f>
        <v/>
      </c>
      <c r="Y2962" s="28">
        <f>Z2962/X2962</f>
        <v/>
      </c>
      <c r="Z2962" s="29" t="n">
        <v>639.836795270144</v>
      </c>
      <c r="AA2962" s="20" t="n">
        <v>91.5671635612492</v>
      </c>
      <c r="AB2962" t="n">
        <v>0.2580107389649036</v>
      </c>
      <c r="AC2962" t="n">
        <v>94.87468642417106</v>
      </c>
      <c r="AD2962" t="n">
        <v>44.65965663218452</v>
      </c>
    </row>
    <row r="2963">
      <c r="A2963" t="n">
        <v>2962</v>
      </c>
      <c r="B2963" t="n">
        <v>71</v>
      </c>
      <c r="C2963" s="21">
        <f>B2963-20</f>
        <v/>
      </c>
      <c r="D2963" t="n">
        <v>129.5</v>
      </c>
      <c r="E2963" s="22">
        <f>D2963-90</f>
        <v/>
      </c>
      <c r="F2963" s="23" t="n">
        <v>0.014166</v>
      </c>
      <c r="G2963" s="22" t="n">
        <v>23.8</v>
      </c>
      <c r="H2963" s="22" t="n">
        <v>2</v>
      </c>
      <c r="I2963" s="24" t="n">
        <v>0.06313199549913399</v>
      </c>
      <c r="J2963" s="6" t="n">
        <v>71000</v>
      </c>
      <c r="K2963" s="25">
        <f>23*10^-6</f>
        <v/>
      </c>
      <c r="L2963" s="8">
        <f>H2963</f>
        <v/>
      </c>
      <c r="M2963" s="26">
        <f>H2963^2/6</f>
        <v/>
      </c>
      <c r="N2963" s="26">
        <f>H2963^3/12</f>
        <v/>
      </c>
      <c r="O2963" s="27">
        <f>-J2963*L2963*K2963*C2963</f>
        <v/>
      </c>
      <c r="P2963" s="28">
        <f>-(12*F2963*J2963*L2963*N2963+12*O2963*N2963*G2963*COS(RADIANS(E2963)))/(12*N2963*G2963*COS(RADIANS(E2963))^2+L2963*G2963^3*SIN(RADIANS(E2963))^2)</f>
        <v/>
      </c>
      <c r="Q2963" s="28">
        <f>-(6*F2963*J2963*L2963*N2963*SIN(RADIANS(E2963))+6*O2963*N2963*G2963*SIN(RADIANS(E2963))*COS(RADIANS(E2963)))/(12*N2963*COS(RADIANS(E2963))^2+L2963*G2963^2*SIN(RADIANS(E2963))^2)</f>
        <v/>
      </c>
      <c r="R2963" s="28">
        <f>-P2963*SIN(RADIANS(E2963))</f>
        <v/>
      </c>
      <c r="S2963" s="8">
        <f>(O2963+P2963*COS(RADIANS(E2963)))/L2963</f>
        <v/>
      </c>
      <c r="T2963" s="8">
        <f>R2963/L2963</f>
        <v/>
      </c>
      <c r="U2963" s="8">
        <f>(Q2963-P2963*G2963*SIN(RADIANS(E2963)))/M2963</f>
        <v/>
      </c>
      <c r="V2963" s="8">
        <f>SQRT((S2963+U2963)^2+3*T2963^2)</f>
        <v/>
      </c>
      <c r="W2963" s="8">
        <f>V2963/AA2963</f>
        <v/>
      </c>
      <c r="X2963" s="27">
        <f>((3*10+H2963/COS(RADIANS(E2963)))*(3+3)+3*G2963*H2963)*2</f>
        <v/>
      </c>
      <c r="Y2963" s="28">
        <f>Z2963/X2963</f>
        <v/>
      </c>
      <c r="Z2963" s="29" t="n">
        <v>687.240045605898</v>
      </c>
      <c r="AA2963" s="20" t="n">
        <v>84.19139504542549</v>
      </c>
      <c r="AB2963" t="n">
        <v>0.06032589866967805</v>
      </c>
      <c r="AC2963" t="n">
        <v>75.35796956637836</v>
      </c>
      <c r="AD2963" t="n">
        <v>-4.444809335219627</v>
      </c>
    </row>
    <row r="2964">
      <c r="A2964" t="n">
        <v>2963</v>
      </c>
      <c r="B2964" t="n">
        <v>59.6</v>
      </c>
      <c r="C2964" s="21">
        <f>B2964-20</f>
        <v/>
      </c>
      <c r="D2964" t="n">
        <v>122.8</v>
      </c>
      <c r="E2964" s="22">
        <f>D2964-90</f>
        <v/>
      </c>
      <c r="F2964" s="23" t="n">
        <v>0.013865</v>
      </c>
      <c r="G2964" s="22" t="n">
        <v>29.4</v>
      </c>
      <c r="H2964" s="22" t="n">
        <v>1.4</v>
      </c>
      <c r="I2964" s="24" t="n">
        <v>0.06259327381849281</v>
      </c>
      <c r="J2964" s="6" t="n">
        <v>71000</v>
      </c>
      <c r="K2964" s="25">
        <f>23*10^-6</f>
        <v/>
      </c>
      <c r="L2964" s="8">
        <f>H2964</f>
        <v/>
      </c>
      <c r="M2964" s="26">
        <f>H2964^2/6</f>
        <v/>
      </c>
      <c r="N2964" s="26">
        <f>H2964^3/12</f>
        <v/>
      </c>
      <c r="O2964" s="27">
        <f>-J2964*L2964*K2964*C2964</f>
        <v/>
      </c>
      <c r="P2964" s="28">
        <f>-(12*F2964*J2964*L2964*N2964+12*O2964*N2964*G2964*COS(RADIANS(E2964)))/(12*N2964*G2964*COS(RADIANS(E2964))^2+L2964*G2964^3*SIN(RADIANS(E2964))^2)</f>
        <v/>
      </c>
      <c r="Q2964" s="28">
        <f>-(6*F2964*J2964*L2964*N2964*SIN(RADIANS(E2964))+6*O2964*N2964*G2964*SIN(RADIANS(E2964))*COS(RADIANS(E2964)))/(12*N2964*COS(RADIANS(E2964))^2+L2964*G2964^2*SIN(RADIANS(E2964))^2)</f>
        <v/>
      </c>
      <c r="R2964" s="28">
        <f>-P2964*SIN(RADIANS(E2964))</f>
        <v/>
      </c>
      <c r="S2964" s="8">
        <f>(O2964+P2964*COS(RADIANS(E2964)))/L2964</f>
        <v/>
      </c>
      <c r="T2964" s="8">
        <f>R2964/L2964</f>
        <v/>
      </c>
      <c r="U2964" s="8">
        <f>(Q2964-P2964*G2964*SIN(RADIANS(E2964)))/M2964</f>
        <v/>
      </c>
      <c r="V2964" s="8">
        <f>SQRT((S2964+U2964)^2+3*T2964^2)</f>
        <v/>
      </c>
      <c r="W2964" s="8">
        <f>V2964/AA2964</f>
        <v/>
      </c>
      <c r="X2964" s="27">
        <f>((3*10+H2964/COS(RADIANS(E2964)))*(3+3)+3*G2964*H2964)*2</f>
        <v/>
      </c>
      <c r="Y2964" s="28">
        <f>Z2964/X2964</f>
        <v/>
      </c>
      <c r="Z2964" s="29" t="n">
        <v>634.932317254424</v>
      </c>
      <c r="AA2964" s="20" t="n">
        <v>57.3845868384743</v>
      </c>
      <c r="AB2964" t="n">
        <v>0.07051201381733418</v>
      </c>
      <c r="AC2964" t="n">
        <v>57.57973147572383</v>
      </c>
      <c r="AD2964" t="n">
        <v>12.65110373009733</v>
      </c>
    </row>
    <row r="2965">
      <c r="A2965" t="n">
        <v>2964</v>
      </c>
      <c r="B2965" t="n">
        <v>66.2</v>
      </c>
      <c r="C2965" s="21">
        <f>B2965-20</f>
        <v/>
      </c>
      <c r="D2965" t="n">
        <v>105.6</v>
      </c>
      <c r="E2965" s="22">
        <f>D2965-90</f>
        <v/>
      </c>
      <c r="F2965" s="23" t="n">
        <v>0.018734</v>
      </c>
      <c r="G2965" s="22" t="n">
        <v>30.7</v>
      </c>
      <c r="H2965" s="22" t="n">
        <v>2</v>
      </c>
      <c r="I2965" s="24" t="n">
        <v>0.126967847347259</v>
      </c>
      <c r="J2965" s="6" t="n">
        <v>71000</v>
      </c>
      <c r="K2965" s="25">
        <f>23*10^-6</f>
        <v/>
      </c>
      <c r="L2965" s="8">
        <f>H2965</f>
        <v/>
      </c>
      <c r="M2965" s="26">
        <f>H2965^2/6</f>
        <v/>
      </c>
      <c r="N2965" s="26">
        <f>H2965^3/12</f>
        <v/>
      </c>
      <c r="O2965" s="27">
        <f>-J2965*L2965*K2965*C2965</f>
        <v/>
      </c>
      <c r="P2965" s="28">
        <f>-(12*F2965*J2965*L2965*N2965+12*O2965*N2965*G2965*COS(RADIANS(E2965)))/(12*N2965*G2965*COS(RADIANS(E2965))^2+L2965*G2965^3*SIN(RADIANS(E2965))^2)</f>
        <v/>
      </c>
      <c r="Q2965" s="28">
        <f>-(6*F2965*J2965*L2965*N2965*SIN(RADIANS(E2965))+6*O2965*N2965*G2965*SIN(RADIANS(E2965))*COS(RADIANS(E2965)))/(12*N2965*COS(RADIANS(E2965))^2+L2965*G2965^2*SIN(RADIANS(E2965))^2)</f>
        <v/>
      </c>
      <c r="R2965" s="28">
        <f>-P2965*SIN(RADIANS(E2965))</f>
        <v/>
      </c>
      <c r="S2965" s="8">
        <f>(O2965+P2965*COS(RADIANS(E2965)))/L2965</f>
        <v/>
      </c>
      <c r="T2965" s="8">
        <f>R2965/L2965</f>
        <v/>
      </c>
      <c r="U2965" s="8">
        <f>(Q2965-P2965*G2965*SIN(RADIANS(E2965)))/M2965</f>
        <v/>
      </c>
      <c r="V2965" s="8">
        <f>SQRT((S2965+U2965)^2+3*T2965^2)</f>
        <v/>
      </c>
      <c r="W2965" s="8">
        <f>V2965/AA2965</f>
        <v/>
      </c>
      <c r="X2965" s="27">
        <f>((3*10+H2965/COS(RADIANS(E2965)))*(3+3)+3*G2965*H2965)*2</f>
        <v/>
      </c>
      <c r="Y2965" s="28">
        <f>Z2965/X2965</f>
        <v/>
      </c>
      <c r="Z2965" s="29" t="n">
        <v>757.669453217116</v>
      </c>
      <c r="AA2965" s="20" t="n">
        <v>80.46954731811211</v>
      </c>
      <c r="AB2965" t="n">
        <v>0.1784052630877617</v>
      </c>
      <c r="AC2965" t="n">
        <v>77.39371088705451</v>
      </c>
      <c r="AD2965" t="n">
        <v>40.51215864109329</v>
      </c>
    </row>
    <row r="2966">
      <c r="A2966" t="n">
        <v>2965</v>
      </c>
      <c r="B2966" t="n">
        <v>85.59999999999999</v>
      </c>
      <c r="C2966" s="21">
        <f>B2966-20</f>
        <v/>
      </c>
      <c r="D2966" t="n">
        <v>123.6</v>
      </c>
      <c r="E2966" s="22">
        <f>D2966-90</f>
        <v/>
      </c>
      <c r="F2966" s="23" t="n">
        <v>0.019125</v>
      </c>
      <c r="G2966" s="22" t="n">
        <v>23.5</v>
      </c>
      <c r="H2966" s="22" t="n">
        <v>1.1</v>
      </c>
      <c r="I2966" s="24" t="n">
        <v>0.0885328128933906</v>
      </c>
      <c r="J2966" s="6" t="n">
        <v>71000</v>
      </c>
      <c r="K2966" s="25">
        <f>23*10^-6</f>
        <v/>
      </c>
      <c r="L2966" s="8">
        <f>H2966</f>
        <v/>
      </c>
      <c r="M2966" s="26">
        <f>H2966^2/6</f>
        <v/>
      </c>
      <c r="N2966" s="26">
        <f>H2966^3/12</f>
        <v/>
      </c>
      <c r="O2966" s="27">
        <f>-J2966*L2966*K2966*C2966</f>
        <v/>
      </c>
      <c r="P2966" s="28">
        <f>-(12*F2966*J2966*L2966*N2966+12*O2966*N2966*G2966*COS(RADIANS(E2966)))/(12*N2966*G2966*COS(RADIANS(E2966))^2+L2966*G2966^3*SIN(RADIANS(E2966))^2)</f>
        <v/>
      </c>
      <c r="Q2966" s="28">
        <f>-(6*F2966*J2966*L2966*N2966*SIN(RADIANS(E2966))+6*O2966*N2966*G2966*SIN(RADIANS(E2966))*COS(RADIANS(E2966)))/(12*N2966*COS(RADIANS(E2966))^2+L2966*G2966^2*SIN(RADIANS(E2966))^2)</f>
        <v/>
      </c>
      <c r="R2966" s="28">
        <f>-P2966*SIN(RADIANS(E2966))</f>
        <v/>
      </c>
      <c r="S2966" s="8">
        <f>(O2966+P2966*COS(RADIANS(E2966)))/L2966</f>
        <v/>
      </c>
      <c r="T2966" s="8">
        <f>R2966/L2966</f>
        <v/>
      </c>
      <c r="U2966" s="8">
        <f>(Q2966-P2966*G2966*SIN(RADIANS(E2966)))/M2966</f>
        <v/>
      </c>
      <c r="V2966" s="8">
        <f>SQRT((S2966+U2966)^2+3*T2966^2)</f>
        <v/>
      </c>
      <c r="W2966" s="8">
        <f>V2966/AA2966</f>
        <v/>
      </c>
      <c r="X2966" s="27">
        <f>((3*10+H2966/COS(RADIANS(E2966)))*(3+3)+3*G2966*H2966)*2</f>
        <v/>
      </c>
      <c r="Y2966" s="28">
        <f>Z2966/X2966</f>
        <v/>
      </c>
      <c r="Z2966" s="29" t="n">
        <v>539.195715285005</v>
      </c>
      <c r="AA2966" s="20" t="n">
        <v>90.5847599539925</v>
      </c>
      <c r="AB2966" t="n">
        <v>0.09233586529513416</v>
      </c>
      <c r="AC2966" t="n">
        <v>94.48590377511357</v>
      </c>
      <c r="AD2966" t="n">
        <v>4.29564166940354</v>
      </c>
    </row>
    <row r="2967">
      <c r="A2967" t="n">
        <v>2966</v>
      </c>
      <c r="B2967" t="n">
        <v>66</v>
      </c>
      <c r="C2967" s="21">
        <f>B2967-20</f>
        <v/>
      </c>
      <c r="D2967" t="n">
        <v>124.6</v>
      </c>
      <c r="E2967" s="22">
        <f>D2967-90</f>
        <v/>
      </c>
      <c r="F2967" s="23" t="n">
        <v>0.014715</v>
      </c>
      <c r="G2967" s="22" t="n">
        <v>26.8</v>
      </c>
      <c r="H2967" s="22" t="n">
        <v>1.3</v>
      </c>
      <c r="I2967" s="24" t="n">
        <v>0.0661768168210983</v>
      </c>
      <c r="J2967" s="6" t="n">
        <v>71000</v>
      </c>
      <c r="K2967" s="25">
        <f>23*10^-6</f>
        <v/>
      </c>
      <c r="L2967" s="8">
        <f>H2967</f>
        <v/>
      </c>
      <c r="M2967" s="26">
        <f>H2967^2/6</f>
        <v/>
      </c>
      <c r="N2967" s="26">
        <f>H2967^3/12</f>
        <v/>
      </c>
      <c r="O2967" s="27">
        <f>-J2967*L2967*K2967*C2967</f>
        <v/>
      </c>
      <c r="P2967" s="28">
        <f>-(12*F2967*J2967*L2967*N2967+12*O2967*N2967*G2967*COS(RADIANS(E2967)))/(12*N2967*G2967*COS(RADIANS(E2967))^2+L2967*G2967^3*SIN(RADIANS(E2967))^2)</f>
        <v/>
      </c>
      <c r="Q2967" s="28">
        <f>-(6*F2967*J2967*L2967*N2967*SIN(RADIANS(E2967))+6*O2967*N2967*G2967*SIN(RADIANS(E2967))*COS(RADIANS(E2967)))/(12*N2967*COS(RADIANS(E2967))^2+L2967*G2967^2*SIN(RADIANS(E2967))^2)</f>
        <v/>
      </c>
      <c r="R2967" s="28">
        <f>-P2967*SIN(RADIANS(E2967))</f>
        <v/>
      </c>
      <c r="S2967" s="8">
        <f>(O2967+P2967*COS(RADIANS(E2967)))/L2967</f>
        <v/>
      </c>
      <c r="T2967" s="8">
        <f>R2967/L2967</f>
        <v/>
      </c>
      <c r="U2967" s="8">
        <f>(Q2967-P2967*G2967*SIN(RADIANS(E2967)))/M2967</f>
        <v/>
      </c>
      <c r="V2967" s="8">
        <f>SQRT((S2967+U2967)^2+3*T2967^2)</f>
        <v/>
      </c>
      <c r="W2967" s="8">
        <f>V2967/AA2967</f>
        <v/>
      </c>
      <c r="X2967" s="27">
        <f>((3*10+H2967/COS(RADIANS(E2967)))*(3+3)+3*G2967*H2967)*2</f>
        <v/>
      </c>
      <c r="Y2967" s="28">
        <f>Z2967/X2967</f>
        <v/>
      </c>
      <c r="Z2967" s="29" t="n">
        <v>596.582304343723</v>
      </c>
      <c r="AA2967" s="20" t="n">
        <v>65.6119217620991</v>
      </c>
      <c r="AB2967" t="n">
        <v>0.07086306008526466</v>
      </c>
      <c r="AC2967" t="n">
        <v>66.46386692925236</v>
      </c>
      <c r="AD2967" t="n">
        <v>7.081397216241305</v>
      </c>
    </row>
    <row r="2968">
      <c r="A2968" t="n">
        <v>2967</v>
      </c>
      <c r="B2968" t="n">
        <v>47.7</v>
      </c>
      <c r="C2968" s="21">
        <f>B2968-20</f>
        <v/>
      </c>
      <c r="D2968" t="n">
        <v>116</v>
      </c>
      <c r="E2968" s="22">
        <f>D2968-90</f>
        <v/>
      </c>
      <c r="F2968" s="23" t="n">
        <v>0.008876999999999999</v>
      </c>
      <c r="G2968" s="22" t="n">
        <v>24.6</v>
      </c>
      <c r="H2968" s="22" t="n">
        <v>1.5</v>
      </c>
      <c r="I2968" s="24" t="n">
        <v>0.045528121292591</v>
      </c>
      <c r="J2968" s="6" t="n">
        <v>71000</v>
      </c>
      <c r="K2968" s="25">
        <f>23*10^-6</f>
        <v/>
      </c>
      <c r="L2968" s="8">
        <f>H2968</f>
        <v/>
      </c>
      <c r="M2968" s="26">
        <f>H2968^2/6</f>
        <v/>
      </c>
      <c r="N2968" s="26">
        <f>H2968^3/12</f>
        <v/>
      </c>
      <c r="O2968" s="27">
        <f>-J2968*L2968*K2968*C2968</f>
        <v/>
      </c>
      <c r="P2968" s="28">
        <f>-(12*F2968*J2968*L2968*N2968+12*O2968*N2968*G2968*COS(RADIANS(E2968)))/(12*N2968*G2968*COS(RADIANS(E2968))^2+L2968*G2968^3*SIN(RADIANS(E2968))^2)</f>
        <v/>
      </c>
      <c r="Q2968" s="28">
        <f>-(6*F2968*J2968*L2968*N2968*SIN(RADIANS(E2968))+6*O2968*N2968*G2968*SIN(RADIANS(E2968))*COS(RADIANS(E2968)))/(12*N2968*COS(RADIANS(E2968))^2+L2968*G2968^2*SIN(RADIANS(E2968))^2)</f>
        <v/>
      </c>
      <c r="R2968" s="28">
        <f>-P2968*SIN(RADIANS(E2968))</f>
        <v/>
      </c>
      <c r="S2968" s="8">
        <f>(O2968+P2968*COS(RADIANS(E2968)))/L2968</f>
        <v/>
      </c>
      <c r="T2968" s="8">
        <f>R2968/L2968</f>
        <v/>
      </c>
      <c r="U2968" s="8">
        <f>(Q2968-P2968*G2968*SIN(RADIANS(E2968)))/M2968</f>
        <v/>
      </c>
      <c r="V2968" s="8">
        <f>SQRT((S2968+U2968)^2+3*T2968^2)</f>
        <v/>
      </c>
      <c r="W2968" s="8">
        <f>V2968/AA2968</f>
        <v/>
      </c>
      <c r="X2968" s="27">
        <f>((3*10+H2968/COS(RADIANS(E2968)))*(3+3)+3*G2968*H2968)*2</f>
        <v/>
      </c>
      <c r="Y2968" s="28">
        <f>Z2968/X2968</f>
        <v/>
      </c>
      <c r="Z2968" s="29" t="n">
        <v>607.562910885599</v>
      </c>
      <c r="AA2968" s="20" t="n">
        <v>42.6021324056285</v>
      </c>
      <c r="AB2968" t="n">
        <v>0.05305502884207647</v>
      </c>
      <c r="AC2968" t="n">
        <v>42.07436632541218</v>
      </c>
      <c r="AD2968" t="n">
        <v>16.53243607640441</v>
      </c>
    </row>
    <row r="2969">
      <c r="A2969" t="n">
        <v>2968</v>
      </c>
      <c r="B2969" t="n">
        <v>67.2</v>
      </c>
      <c r="C2969" s="21">
        <f>B2969-20</f>
        <v/>
      </c>
      <c r="D2969" t="n">
        <v>105.2</v>
      </c>
      <c r="E2969" s="22">
        <f>D2969-90</f>
        <v/>
      </c>
      <c r="F2969" s="23" t="n">
        <v>0.019845</v>
      </c>
      <c r="G2969" s="22" t="n">
        <v>32</v>
      </c>
      <c r="H2969" s="22" t="n">
        <v>1.8</v>
      </c>
      <c r="I2969" s="24" t="n">
        <v>0.137535378336906</v>
      </c>
      <c r="J2969" s="6" t="n">
        <v>71000</v>
      </c>
      <c r="K2969" s="25">
        <f>23*10^-6</f>
        <v/>
      </c>
      <c r="L2969" s="8">
        <f>H2969</f>
        <v/>
      </c>
      <c r="M2969" s="26">
        <f>H2969^2/6</f>
        <v/>
      </c>
      <c r="N2969" s="26">
        <f>H2969^3/12</f>
        <v/>
      </c>
      <c r="O2969" s="27">
        <f>-J2969*L2969*K2969*C2969</f>
        <v/>
      </c>
      <c r="P2969" s="28">
        <f>-(12*F2969*J2969*L2969*N2969+12*O2969*N2969*G2969*COS(RADIANS(E2969)))/(12*N2969*G2969*COS(RADIANS(E2969))^2+L2969*G2969^3*SIN(RADIANS(E2969))^2)</f>
        <v/>
      </c>
      <c r="Q2969" s="28">
        <f>-(6*F2969*J2969*L2969*N2969*SIN(RADIANS(E2969))+6*O2969*N2969*G2969*SIN(RADIANS(E2969))*COS(RADIANS(E2969)))/(12*N2969*COS(RADIANS(E2969))^2+L2969*G2969^2*SIN(RADIANS(E2969))^2)</f>
        <v/>
      </c>
      <c r="R2969" s="28">
        <f>-P2969*SIN(RADIANS(E2969))</f>
        <v/>
      </c>
      <c r="S2969" s="8">
        <f>(O2969+P2969*COS(RADIANS(E2969)))/L2969</f>
        <v/>
      </c>
      <c r="T2969" s="8">
        <f>R2969/L2969</f>
        <v/>
      </c>
      <c r="U2969" s="8">
        <f>(Q2969-P2969*G2969*SIN(RADIANS(E2969)))/M2969</f>
        <v/>
      </c>
      <c r="V2969" s="8">
        <f>SQRT((S2969+U2969)^2+3*T2969^2)</f>
        <v/>
      </c>
      <c r="W2969" s="8">
        <f>V2969/AA2969</f>
        <v/>
      </c>
      <c r="X2969" s="27">
        <f>((3*10+H2969/COS(RADIANS(E2969)))*(3+3)+3*G2969*H2969)*2</f>
        <v/>
      </c>
      <c r="Y2969" s="28">
        <f>Z2969/X2969</f>
        <v/>
      </c>
      <c r="Z2969" s="29" t="n">
        <v>732.286707712488</v>
      </c>
      <c r="AA2969" s="20" t="n">
        <v>79.10608417298489</v>
      </c>
      <c r="AB2969" t="n">
        <v>0.1968677383381172</v>
      </c>
      <c r="AC2969" t="n">
        <v>77.74006691669449</v>
      </c>
      <c r="AD2969" t="n">
        <v>43.13970755645939</v>
      </c>
    </row>
    <row r="2970">
      <c r="A2970" t="n">
        <v>2969</v>
      </c>
      <c r="B2970" t="n">
        <v>60.3</v>
      </c>
      <c r="C2970" s="21">
        <f>B2970-20</f>
        <v/>
      </c>
      <c r="D2970" t="n">
        <v>113.8</v>
      </c>
      <c r="E2970" s="22">
        <f>D2970-90</f>
        <v/>
      </c>
      <c r="F2970" s="23" t="n">
        <v>0.013223</v>
      </c>
      <c r="G2970" s="22" t="n">
        <v>24.9</v>
      </c>
      <c r="H2970" s="22" t="n">
        <v>2</v>
      </c>
      <c r="I2970" s="24" t="n">
        <v>0.07056659460067739</v>
      </c>
      <c r="J2970" s="6" t="n">
        <v>71000</v>
      </c>
      <c r="K2970" s="25">
        <f>23*10^-6</f>
        <v/>
      </c>
      <c r="L2970" s="8">
        <f>H2970</f>
        <v/>
      </c>
      <c r="M2970" s="26">
        <f>H2970^2/6</f>
        <v/>
      </c>
      <c r="N2970" s="26">
        <f>H2970^3/12</f>
        <v/>
      </c>
      <c r="O2970" s="27">
        <f>-J2970*L2970*K2970*C2970</f>
        <v/>
      </c>
      <c r="P2970" s="28">
        <f>-(12*F2970*J2970*L2970*N2970+12*O2970*N2970*G2970*COS(RADIANS(E2970)))/(12*N2970*G2970*COS(RADIANS(E2970))^2+L2970*G2970^3*SIN(RADIANS(E2970))^2)</f>
        <v/>
      </c>
      <c r="Q2970" s="28">
        <f>-(6*F2970*J2970*L2970*N2970*SIN(RADIANS(E2970))+6*O2970*N2970*G2970*SIN(RADIANS(E2970))*COS(RADIANS(E2970)))/(12*N2970*COS(RADIANS(E2970))^2+L2970*G2970^2*SIN(RADIANS(E2970))^2)</f>
        <v/>
      </c>
      <c r="R2970" s="28">
        <f>-P2970*SIN(RADIANS(E2970))</f>
        <v/>
      </c>
      <c r="S2970" s="8">
        <f>(O2970+P2970*COS(RADIANS(E2970)))/L2970</f>
        <v/>
      </c>
      <c r="T2970" s="8">
        <f>R2970/L2970</f>
        <v/>
      </c>
      <c r="U2970" s="8">
        <f>(Q2970-P2970*G2970*SIN(RADIANS(E2970)))/M2970</f>
        <v/>
      </c>
      <c r="V2970" s="8">
        <f>SQRT((S2970+U2970)^2+3*T2970^2)</f>
        <v/>
      </c>
      <c r="W2970" s="8">
        <f>V2970/AA2970</f>
        <v/>
      </c>
      <c r="X2970" s="27">
        <f>((3*10+H2970/COS(RADIANS(E2970)))*(3+3)+3*G2970*H2970)*2</f>
        <v/>
      </c>
      <c r="Y2970" s="28">
        <f>Z2970/X2970</f>
        <v/>
      </c>
      <c r="Z2970" s="29" t="n">
        <v>690.694958214267</v>
      </c>
      <c r="AA2970" s="20" t="n">
        <v>69.03213933497361</v>
      </c>
      <c r="AB2970" t="n">
        <v>0.08418821414062397</v>
      </c>
      <c r="AC2970" t="n">
        <v>64.17974080842193</v>
      </c>
      <c r="AD2970" t="n">
        <v>19.30321225932563</v>
      </c>
    </row>
    <row r="2971">
      <c r="A2971" t="n">
        <v>2970</v>
      </c>
      <c r="B2971" t="n">
        <v>61</v>
      </c>
      <c r="C2971" s="21">
        <f>B2971-20</f>
        <v/>
      </c>
      <c r="D2971" t="n">
        <v>104.6</v>
      </c>
      <c r="E2971" s="22">
        <f>D2971-90</f>
        <v/>
      </c>
      <c r="F2971" s="23" t="n">
        <v>0.013072</v>
      </c>
      <c r="G2971" s="22" t="n">
        <v>22.7</v>
      </c>
      <c r="H2971" s="22" t="n">
        <v>1.8</v>
      </c>
      <c r="I2971" s="24" t="n">
        <v>0.0940353944897651</v>
      </c>
      <c r="J2971" s="6" t="n">
        <v>71000</v>
      </c>
      <c r="K2971" s="25">
        <f>23*10^-6</f>
        <v/>
      </c>
      <c r="L2971" s="8">
        <f>H2971</f>
        <v/>
      </c>
      <c r="M2971" s="26">
        <f>H2971^2/6</f>
        <v/>
      </c>
      <c r="N2971" s="26">
        <f>H2971^3/12</f>
        <v/>
      </c>
      <c r="O2971" s="27">
        <f>-J2971*L2971*K2971*C2971</f>
        <v/>
      </c>
      <c r="P2971" s="28">
        <f>-(12*F2971*J2971*L2971*N2971+12*O2971*N2971*G2971*COS(RADIANS(E2971)))/(12*N2971*G2971*COS(RADIANS(E2971))^2+L2971*G2971^3*SIN(RADIANS(E2971))^2)</f>
        <v/>
      </c>
      <c r="Q2971" s="28">
        <f>-(6*F2971*J2971*L2971*N2971*SIN(RADIANS(E2971))+6*O2971*N2971*G2971*SIN(RADIANS(E2971))*COS(RADIANS(E2971)))/(12*N2971*COS(RADIANS(E2971))^2+L2971*G2971^2*SIN(RADIANS(E2971))^2)</f>
        <v/>
      </c>
      <c r="R2971" s="28">
        <f>-P2971*SIN(RADIANS(E2971))</f>
        <v/>
      </c>
      <c r="S2971" s="8">
        <f>(O2971+P2971*COS(RADIANS(E2971)))/L2971</f>
        <v/>
      </c>
      <c r="T2971" s="8">
        <f>R2971/L2971</f>
        <v/>
      </c>
      <c r="U2971" s="8">
        <f>(Q2971-P2971*G2971*SIN(RADIANS(E2971)))/M2971</f>
        <v/>
      </c>
      <c r="V2971" s="8">
        <f>SQRT((S2971+U2971)^2+3*T2971^2)</f>
        <v/>
      </c>
      <c r="W2971" s="8">
        <f>V2971/AA2971</f>
        <v/>
      </c>
      <c r="X2971" s="27">
        <f>((3*10+H2971/COS(RADIANS(E2971)))*(3+3)+3*G2971*H2971)*2</f>
        <v/>
      </c>
      <c r="Y2971" s="28">
        <f>Z2971/X2971</f>
        <v/>
      </c>
      <c r="Z2971" s="29" t="n">
        <v>631.715224789442</v>
      </c>
      <c r="AA2971" s="20" t="n">
        <v>73.14938712636641</v>
      </c>
      <c r="AB2971" t="n">
        <v>0.1233575993890992</v>
      </c>
      <c r="AC2971" t="n">
        <v>70.33106332003267</v>
      </c>
      <c r="AD2971" t="n">
        <v>31.18209378334195</v>
      </c>
    </row>
    <row r="2972">
      <c r="A2972" t="n">
        <v>2971</v>
      </c>
      <c r="B2972" t="n">
        <v>65.09999999999999</v>
      </c>
      <c r="C2972" s="21">
        <f>B2972-20</f>
        <v/>
      </c>
      <c r="D2972" t="n">
        <v>117.3</v>
      </c>
      <c r="E2972" s="22">
        <f>D2972-90</f>
        <v/>
      </c>
      <c r="F2972" s="23" t="n">
        <v>0.014095</v>
      </c>
      <c r="G2972" s="22" t="n">
        <v>24.1</v>
      </c>
      <c r="H2972" s="22" t="n">
        <v>1.1</v>
      </c>
      <c r="I2972" s="24" t="n">
        <v>0.07084004580974571</v>
      </c>
      <c r="J2972" s="6" t="n">
        <v>71000</v>
      </c>
      <c r="K2972" s="25">
        <f>23*10^-6</f>
        <v/>
      </c>
      <c r="L2972" s="8">
        <f>H2972</f>
        <v/>
      </c>
      <c r="M2972" s="26">
        <f>H2972^2/6</f>
        <v/>
      </c>
      <c r="N2972" s="26">
        <f>H2972^3/12</f>
        <v/>
      </c>
      <c r="O2972" s="27">
        <f>-J2972*L2972*K2972*C2972</f>
        <v/>
      </c>
      <c r="P2972" s="28">
        <f>-(12*F2972*J2972*L2972*N2972+12*O2972*N2972*G2972*COS(RADIANS(E2972)))/(12*N2972*G2972*COS(RADIANS(E2972))^2+L2972*G2972^3*SIN(RADIANS(E2972))^2)</f>
        <v/>
      </c>
      <c r="Q2972" s="28">
        <f>-(6*F2972*J2972*L2972*N2972*SIN(RADIANS(E2972))+6*O2972*N2972*G2972*SIN(RADIANS(E2972))*COS(RADIANS(E2972)))/(12*N2972*COS(RADIANS(E2972))^2+L2972*G2972^2*SIN(RADIANS(E2972))^2)</f>
        <v/>
      </c>
      <c r="R2972" s="28">
        <f>-P2972*SIN(RADIANS(E2972))</f>
        <v/>
      </c>
      <c r="S2972" s="8">
        <f>(O2972+P2972*COS(RADIANS(E2972)))/L2972</f>
        <v/>
      </c>
      <c r="T2972" s="8">
        <f>R2972/L2972</f>
        <v/>
      </c>
      <c r="U2972" s="8">
        <f>(Q2972-P2972*G2972*SIN(RADIANS(E2972)))/M2972</f>
        <v/>
      </c>
      <c r="V2972" s="8">
        <f>SQRT((S2972+U2972)^2+3*T2972^2)</f>
        <v/>
      </c>
      <c r="W2972" s="8">
        <f>V2972/AA2972</f>
        <v/>
      </c>
      <c r="X2972" s="27">
        <f>((3*10+H2972/COS(RADIANS(E2972)))*(3+3)+3*G2972*H2972)*2</f>
        <v/>
      </c>
      <c r="Y2972" s="28">
        <f>Z2972/X2972</f>
        <v/>
      </c>
      <c r="Z2972" s="29" t="n">
        <v>540.356423210667</v>
      </c>
      <c r="AA2972" s="20" t="n">
        <v>63.355472176485</v>
      </c>
      <c r="AB2972" t="n">
        <v>0.08112373739804279</v>
      </c>
      <c r="AC2972" t="n">
        <v>66.23093701780235</v>
      </c>
      <c r="AD2972" t="n">
        <v>14.51677715725351</v>
      </c>
    </row>
    <row r="2973">
      <c r="A2973" t="n">
        <v>2972</v>
      </c>
      <c r="B2973" t="n">
        <v>73.8</v>
      </c>
      <c r="C2973" s="21">
        <f>B2973-20</f>
        <v/>
      </c>
      <c r="D2973" t="n">
        <v>115.4</v>
      </c>
      <c r="E2973" s="22">
        <f>D2973-90</f>
        <v/>
      </c>
      <c r="F2973" s="23" t="n">
        <v>0.02296</v>
      </c>
      <c r="G2973" s="22" t="n">
        <v>34.8</v>
      </c>
      <c r="H2973" s="22" t="n">
        <v>1.9</v>
      </c>
      <c r="I2973" s="24" t="n">
        <v>0.113635562360286</v>
      </c>
      <c r="J2973" s="6" t="n">
        <v>71000</v>
      </c>
      <c r="K2973" s="25">
        <f>23*10^-6</f>
        <v/>
      </c>
      <c r="L2973" s="8">
        <f>H2973</f>
        <v/>
      </c>
      <c r="M2973" s="26">
        <f>H2973^2/6</f>
        <v/>
      </c>
      <c r="N2973" s="26">
        <f>H2973^3/12</f>
        <v/>
      </c>
      <c r="O2973" s="27">
        <f>-J2973*L2973*K2973*C2973</f>
        <v/>
      </c>
      <c r="P2973" s="28">
        <f>-(12*F2973*J2973*L2973*N2973+12*O2973*N2973*G2973*COS(RADIANS(E2973)))/(12*N2973*G2973*COS(RADIANS(E2973))^2+L2973*G2973^3*SIN(RADIANS(E2973))^2)</f>
        <v/>
      </c>
      <c r="Q2973" s="28">
        <f>-(6*F2973*J2973*L2973*N2973*SIN(RADIANS(E2973))+6*O2973*N2973*G2973*SIN(RADIANS(E2973))*COS(RADIANS(E2973)))/(12*N2973*COS(RADIANS(E2973))^2+L2973*G2973^2*SIN(RADIANS(E2973))^2)</f>
        <v/>
      </c>
      <c r="R2973" s="28">
        <f>-P2973*SIN(RADIANS(E2973))</f>
        <v/>
      </c>
      <c r="S2973" s="8">
        <f>(O2973+P2973*COS(RADIANS(E2973)))/L2973</f>
        <v/>
      </c>
      <c r="T2973" s="8">
        <f>R2973/L2973</f>
        <v/>
      </c>
      <c r="U2973" s="8">
        <f>(Q2973-P2973*G2973*SIN(RADIANS(E2973)))/M2973</f>
        <v/>
      </c>
      <c r="V2973" s="8">
        <f>SQRT((S2973+U2973)^2+3*T2973^2)</f>
        <v/>
      </c>
      <c r="W2973" s="8">
        <f>V2973/AA2973</f>
        <v/>
      </c>
      <c r="X2973" s="27">
        <f>((3*10+H2973/COS(RADIANS(E2973)))*(3+3)+3*G2973*H2973)*2</f>
        <v/>
      </c>
      <c r="Y2973" s="28">
        <f>Z2973/X2973</f>
        <v/>
      </c>
      <c r="Z2973" s="29" t="n">
        <v>787.961635083789</v>
      </c>
      <c r="AA2973" s="20" t="n">
        <v>85.4420267697635</v>
      </c>
      <c r="AB2973" t="n">
        <v>0.1466627758964999</v>
      </c>
      <c r="AC2973" t="n">
        <v>81.95417513448226</v>
      </c>
      <c r="AD2973" t="n">
        <v>29.06415284987968</v>
      </c>
    </row>
    <row r="2974">
      <c r="A2974" t="n">
        <v>2973</v>
      </c>
      <c r="B2974" t="n">
        <v>76.09999999999999</v>
      </c>
      <c r="C2974" s="21">
        <f>B2974-20</f>
        <v/>
      </c>
      <c r="D2974" t="n">
        <v>105.8</v>
      </c>
      <c r="E2974" s="22">
        <f>D2974-90</f>
        <v/>
      </c>
      <c r="F2974" s="23" t="n">
        <v>0.018483</v>
      </c>
      <c r="G2974" s="22" t="n">
        <v>23.8</v>
      </c>
      <c r="H2974" s="22" t="n">
        <v>1.5</v>
      </c>
      <c r="I2974" s="24" t="n">
        <v>0.128411099314689</v>
      </c>
      <c r="J2974" s="6" t="n">
        <v>71000</v>
      </c>
      <c r="K2974" s="25">
        <f>23*10^-6</f>
        <v/>
      </c>
      <c r="L2974" s="8">
        <f>H2974</f>
        <v/>
      </c>
      <c r="M2974" s="26">
        <f>H2974^2/6</f>
        <v/>
      </c>
      <c r="N2974" s="26">
        <f>H2974^3/12</f>
        <v/>
      </c>
      <c r="O2974" s="27">
        <f>-J2974*L2974*K2974*C2974</f>
        <v/>
      </c>
      <c r="P2974" s="28">
        <f>-(12*F2974*J2974*L2974*N2974+12*O2974*N2974*G2974*COS(RADIANS(E2974)))/(12*N2974*G2974*COS(RADIANS(E2974))^2+L2974*G2974^3*SIN(RADIANS(E2974))^2)</f>
        <v/>
      </c>
      <c r="Q2974" s="28">
        <f>-(6*F2974*J2974*L2974*N2974*SIN(RADIANS(E2974))+6*O2974*N2974*G2974*SIN(RADIANS(E2974))*COS(RADIANS(E2974)))/(12*N2974*COS(RADIANS(E2974))^2+L2974*G2974^2*SIN(RADIANS(E2974))^2)</f>
        <v/>
      </c>
      <c r="R2974" s="28">
        <f>-P2974*SIN(RADIANS(E2974))</f>
        <v/>
      </c>
      <c r="S2974" s="8">
        <f>(O2974+P2974*COS(RADIANS(E2974)))/L2974</f>
        <v/>
      </c>
      <c r="T2974" s="8">
        <f>R2974/L2974</f>
        <v/>
      </c>
      <c r="U2974" s="8">
        <f>(Q2974-P2974*G2974*SIN(RADIANS(E2974)))/M2974</f>
        <v/>
      </c>
      <c r="V2974" s="8">
        <f>SQRT((S2974+U2974)^2+3*T2974^2)</f>
        <v/>
      </c>
      <c r="W2974" s="8">
        <f>V2974/AA2974</f>
        <v/>
      </c>
      <c r="X2974" s="27">
        <f>((3*10+H2974/COS(RADIANS(E2974)))*(3+3)+3*G2974*H2974)*2</f>
        <v/>
      </c>
      <c r="Y2974" s="28">
        <f>Z2974/X2974</f>
        <v/>
      </c>
      <c r="Z2974" s="29" t="n">
        <v>597.2827819502789</v>
      </c>
      <c r="AA2974" s="20" t="n">
        <v>90.7085123248569</v>
      </c>
      <c r="AB2974" t="n">
        <v>0.16943852621039</v>
      </c>
      <c r="AC2974" t="n">
        <v>91.98086396448141</v>
      </c>
      <c r="AD2974" t="n">
        <v>31.95006281751213</v>
      </c>
    </row>
    <row r="2975">
      <c r="A2975" t="n">
        <v>2974</v>
      </c>
      <c r="B2975" t="n">
        <v>50.7</v>
      </c>
      <c r="C2975" s="21">
        <f>B2975-20</f>
        <v/>
      </c>
      <c r="D2975" t="n">
        <v>112.4</v>
      </c>
      <c r="E2975" s="22">
        <f>D2975-90</f>
        <v/>
      </c>
      <c r="F2975" s="23" t="n">
        <v>0.010351</v>
      </c>
      <c r="G2975" s="22" t="n">
        <v>25.5</v>
      </c>
      <c r="H2975" s="22" t="n">
        <v>2</v>
      </c>
      <c r="I2975" s="24" t="n">
        <v>0.0569258518517017</v>
      </c>
      <c r="J2975" s="6" t="n">
        <v>71000</v>
      </c>
      <c r="K2975" s="25">
        <f>23*10^-6</f>
        <v/>
      </c>
      <c r="L2975" s="8">
        <f>H2975</f>
        <v/>
      </c>
      <c r="M2975" s="26">
        <f>H2975^2/6</f>
        <v/>
      </c>
      <c r="N2975" s="26">
        <f>H2975^3/12</f>
        <v/>
      </c>
      <c r="O2975" s="27">
        <f>-J2975*L2975*K2975*C2975</f>
        <v/>
      </c>
      <c r="P2975" s="28">
        <f>-(12*F2975*J2975*L2975*N2975+12*O2975*N2975*G2975*COS(RADIANS(E2975)))/(12*N2975*G2975*COS(RADIANS(E2975))^2+L2975*G2975^3*SIN(RADIANS(E2975))^2)</f>
        <v/>
      </c>
      <c r="Q2975" s="28">
        <f>-(6*F2975*J2975*L2975*N2975*SIN(RADIANS(E2975))+6*O2975*N2975*G2975*SIN(RADIANS(E2975))*COS(RADIANS(E2975)))/(12*N2975*COS(RADIANS(E2975))^2+L2975*G2975^2*SIN(RADIANS(E2975))^2)</f>
        <v/>
      </c>
      <c r="R2975" s="28">
        <f>-P2975*SIN(RADIANS(E2975))</f>
        <v/>
      </c>
      <c r="S2975" s="8">
        <f>(O2975+P2975*COS(RADIANS(E2975)))/L2975</f>
        <v/>
      </c>
      <c r="T2975" s="8">
        <f>R2975/L2975</f>
        <v/>
      </c>
      <c r="U2975" s="8">
        <f>(Q2975-P2975*G2975*SIN(RADIANS(E2975)))/M2975</f>
        <v/>
      </c>
      <c r="V2975" s="8">
        <f>SQRT((S2975+U2975)^2+3*T2975^2)</f>
        <v/>
      </c>
      <c r="W2975" s="8">
        <f>V2975/AA2975</f>
        <v/>
      </c>
      <c r="X2975" s="27">
        <f>((3*10+H2975/COS(RADIANS(E2975)))*(3+3)+3*G2975*H2975)*2</f>
        <v/>
      </c>
      <c r="Y2975" s="28">
        <f>Z2975/X2975</f>
        <v/>
      </c>
      <c r="Z2975" s="29" t="n">
        <v>697.351000998234</v>
      </c>
      <c r="AA2975" s="20" t="n">
        <v>52.1652621372137</v>
      </c>
      <c r="AB2975" t="n">
        <v>0.06968551390053067</v>
      </c>
      <c r="AC2975" t="n">
        <v>49.28187640950005</v>
      </c>
      <c r="AD2975" t="n">
        <v>22.41452983798878</v>
      </c>
    </row>
    <row r="2976">
      <c r="A2976" t="n">
        <v>2975</v>
      </c>
      <c r="B2976" t="n">
        <v>80.8</v>
      </c>
      <c r="C2976" s="21">
        <f>B2976-20</f>
        <v/>
      </c>
      <c r="D2976" t="n">
        <v>113.8</v>
      </c>
      <c r="E2976" s="22">
        <f>D2976-90</f>
        <v/>
      </c>
      <c r="F2976" s="23" t="n">
        <v>0.018301</v>
      </c>
      <c r="G2976" s="22" t="n">
        <v>22.3</v>
      </c>
      <c r="H2976" s="22" t="n">
        <v>1.9</v>
      </c>
      <c r="I2976" s="24" t="n">
        <v>0.09910301864147179</v>
      </c>
      <c r="J2976" s="6" t="n">
        <v>71000</v>
      </c>
      <c r="K2976" s="25">
        <f>23*10^-6</f>
        <v/>
      </c>
      <c r="L2976" s="8">
        <f>H2976</f>
        <v/>
      </c>
      <c r="M2976" s="26">
        <f>H2976^2/6</f>
        <v/>
      </c>
      <c r="N2976" s="26">
        <f>H2976^3/12</f>
        <v/>
      </c>
      <c r="O2976" s="27">
        <f>-J2976*L2976*K2976*C2976</f>
        <v/>
      </c>
      <c r="P2976" s="28">
        <f>-(12*F2976*J2976*L2976*N2976+12*O2976*N2976*G2976*COS(RADIANS(E2976)))/(12*N2976*G2976*COS(RADIANS(E2976))^2+L2976*G2976^3*SIN(RADIANS(E2976))^2)</f>
        <v/>
      </c>
      <c r="Q2976" s="28">
        <f>-(6*F2976*J2976*L2976*N2976*SIN(RADIANS(E2976))+6*O2976*N2976*G2976*SIN(RADIANS(E2976))*COS(RADIANS(E2976)))/(12*N2976*COS(RADIANS(E2976))^2+L2976*G2976^2*SIN(RADIANS(E2976))^2)</f>
        <v/>
      </c>
      <c r="R2976" s="28">
        <f>-P2976*SIN(RADIANS(E2976))</f>
        <v/>
      </c>
      <c r="S2976" s="8">
        <f>(O2976+P2976*COS(RADIANS(E2976)))/L2976</f>
        <v/>
      </c>
      <c r="T2976" s="8">
        <f>R2976/L2976</f>
        <v/>
      </c>
      <c r="U2976" s="8">
        <f>(Q2976-P2976*G2976*SIN(RADIANS(E2976)))/M2976</f>
        <v/>
      </c>
      <c r="V2976" s="8">
        <f>SQRT((S2976+U2976)^2+3*T2976^2)</f>
        <v/>
      </c>
      <c r="W2976" s="8">
        <f>V2976/AA2976</f>
        <v/>
      </c>
      <c r="X2976" s="27">
        <f>((3*10+H2976/COS(RADIANS(E2976)))*(3+3)+3*G2976*H2976)*2</f>
        <v/>
      </c>
      <c r="Y2976" s="28">
        <f>Z2976/X2976</f>
        <v/>
      </c>
      <c r="Z2976" s="29" t="n">
        <v>644.803424993552</v>
      </c>
      <c r="AA2976" s="20" t="n">
        <v>104.731499136433</v>
      </c>
      <c r="AB2976" t="n">
        <v>0.1142063441455178</v>
      </c>
      <c r="AC2976" t="n">
        <v>96.97181024403484</v>
      </c>
      <c r="AD2976" t="n">
        <v>15.24002569355213</v>
      </c>
    </row>
    <row r="2977">
      <c r="A2977" t="n">
        <v>2976</v>
      </c>
      <c r="B2977" t="n">
        <v>68.3</v>
      </c>
      <c r="C2977" s="21">
        <f>B2977-20</f>
        <v/>
      </c>
      <c r="D2977" t="n">
        <v>105.1</v>
      </c>
      <c r="E2977" s="22">
        <f>D2977-90</f>
        <v/>
      </c>
      <c r="F2977" s="23" t="n">
        <v>0.017657</v>
      </c>
      <c r="G2977" s="22" t="n">
        <v>27</v>
      </c>
      <c r="H2977" s="22" t="n">
        <v>1</v>
      </c>
      <c r="I2977" s="24" t="n">
        <v>0.12743517756462</v>
      </c>
      <c r="J2977" s="6" t="n">
        <v>71000</v>
      </c>
      <c r="K2977" s="25">
        <f>23*10^-6</f>
        <v/>
      </c>
      <c r="L2977" s="8">
        <f>H2977</f>
        <v/>
      </c>
      <c r="M2977" s="26">
        <f>H2977^2/6</f>
        <v/>
      </c>
      <c r="N2977" s="26">
        <f>H2977^3/12</f>
        <v/>
      </c>
      <c r="O2977" s="27">
        <f>-J2977*L2977*K2977*C2977</f>
        <v/>
      </c>
      <c r="P2977" s="28">
        <f>-(12*F2977*J2977*L2977*N2977+12*O2977*N2977*G2977*COS(RADIANS(E2977)))/(12*N2977*G2977*COS(RADIANS(E2977))^2+L2977*G2977^3*SIN(RADIANS(E2977))^2)</f>
        <v/>
      </c>
      <c r="Q2977" s="28">
        <f>-(6*F2977*J2977*L2977*N2977*SIN(RADIANS(E2977))+6*O2977*N2977*G2977*SIN(RADIANS(E2977))*COS(RADIANS(E2977)))/(12*N2977*COS(RADIANS(E2977))^2+L2977*G2977^2*SIN(RADIANS(E2977))^2)</f>
        <v/>
      </c>
      <c r="R2977" s="28">
        <f>-P2977*SIN(RADIANS(E2977))</f>
        <v/>
      </c>
      <c r="S2977" s="8">
        <f>(O2977+P2977*COS(RADIANS(E2977)))/L2977</f>
        <v/>
      </c>
      <c r="T2977" s="8">
        <f>R2977/L2977</f>
        <v/>
      </c>
      <c r="U2977" s="8">
        <f>(Q2977-P2977*G2977*SIN(RADIANS(E2977)))/M2977</f>
        <v/>
      </c>
      <c r="V2977" s="8">
        <f>SQRT((S2977+U2977)^2+3*T2977^2)</f>
        <v/>
      </c>
      <c r="W2977" s="8">
        <f>V2977/AA2977</f>
        <v/>
      </c>
      <c r="X2977" s="27">
        <f>((3*10+H2977/COS(RADIANS(E2977)))*(3+3)+3*G2977*H2977)*2</f>
        <v/>
      </c>
      <c r="Y2977" s="28">
        <f>Z2977/X2977</f>
        <v/>
      </c>
      <c r="Z2977" s="29" t="n">
        <v>538.721066490114</v>
      </c>
      <c r="AA2977" s="20" t="n">
        <v>69.01507795417071</v>
      </c>
      <c r="AB2977" t="n">
        <v>0.1771519579646181</v>
      </c>
      <c r="AC2977" t="n">
        <v>74.63768387125634</v>
      </c>
      <c r="AD2977" t="n">
        <v>39.01338810061896</v>
      </c>
    </row>
    <row r="2978">
      <c r="A2978" t="n">
        <v>2977</v>
      </c>
      <c r="B2978" t="n">
        <v>54.8</v>
      </c>
      <c r="C2978" s="21">
        <f>B2978-20</f>
        <v/>
      </c>
      <c r="D2978" t="n">
        <v>125</v>
      </c>
      <c r="E2978" s="22">
        <f>D2978-90</f>
        <v/>
      </c>
      <c r="F2978" s="23" t="n">
        <v>0.011512</v>
      </c>
      <c r="G2978" s="22" t="n">
        <v>28.1</v>
      </c>
      <c r="H2978" s="22" t="n">
        <v>1.5</v>
      </c>
      <c r="I2978" s="24" t="n">
        <v>0.0512815751135349</v>
      </c>
      <c r="J2978" s="6" t="n">
        <v>71000</v>
      </c>
      <c r="K2978" s="25">
        <f>23*10^-6</f>
        <v/>
      </c>
      <c r="L2978" s="8">
        <f>H2978</f>
        <v/>
      </c>
      <c r="M2978" s="26">
        <f>H2978^2/6</f>
        <v/>
      </c>
      <c r="N2978" s="26">
        <f>H2978^3/12</f>
        <v/>
      </c>
      <c r="O2978" s="27">
        <f>-J2978*L2978*K2978*C2978</f>
        <v/>
      </c>
      <c r="P2978" s="28">
        <f>-(12*F2978*J2978*L2978*N2978+12*O2978*N2978*G2978*COS(RADIANS(E2978)))/(12*N2978*G2978*COS(RADIANS(E2978))^2+L2978*G2978^3*SIN(RADIANS(E2978))^2)</f>
        <v/>
      </c>
      <c r="Q2978" s="28">
        <f>-(6*F2978*J2978*L2978*N2978*SIN(RADIANS(E2978))+6*O2978*N2978*G2978*SIN(RADIANS(E2978))*COS(RADIANS(E2978)))/(12*N2978*COS(RADIANS(E2978))^2+L2978*G2978^2*SIN(RADIANS(E2978))^2)</f>
        <v/>
      </c>
      <c r="R2978" s="28">
        <f>-P2978*SIN(RADIANS(E2978))</f>
        <v/>
      </c>
      <c r="S2978" s="8">
        <f>(O2978+P2978*COS(RADIANS(E2978)))/L2978</f>
        <v/>
      </c>
      <c r="T2978" s="8">
        <f>R2978/L2978</f>
        <v/>
      </c>
      <c r="U2978" s="8">
        <f>(Q2978-P2978*G2978*SIN(RADIANS(E2978)))/M2978</f>
        <v/>
      </c>
      <c r="V2978" s="8">
        <f>SQRT((S2978+U2978)^2+3*T2978^2)</f>
        <v/>
      </c>
      <c r="W2978" s="8">
        <f>V2978/AA2978</f>
        <v/>
      </c>
      <c r="X2978" s="27">
        <f>((3*10+H2978/COS(RADIANS(E2978)))*(3+3)+3*G2978*H2978)*2</f>
        <v/>
      </c>
      <c r="Y2978" s="28">
        <f>Z2978/X2978</f>
        <v/>
      </c>
      <c r="Z2978" s="29" t="n">
        <v>643.6061621136211</v>
      </c>
      <c r="AA2978" s="20" t="n">
        <v>50.709408920651</v>
      </c>
      <c r="AB2978" t="n">
        <v>0.05528508906617646</v>
      </c>
      <c r="AC2978" t="n">
        <v>50.62656708237004</v>
      </c>
      <c r="AD2978" t="n">
        <v>7.806924697180184</v>
      </c>
    </row>
    <row r="2979">
      <c r="A2979" t="n">
        <v>2978</v>
      </c>
      <c r="B2979" t="n">
        <v>75.40000000000001</v>
      </c>
      <c r="C2979" s="21">
        <f>B2979-20</f>
        <v/>
      </c>
      <c r="D2979" t="n">
        <v>123.8</v>
      </c>
      <c r="E2979" s="22">
        <f>D2979-90</f>
        <v/>
      </c>
      <c r="F2979" s="23" t="n">
        <v>0.018799</v>
      </c>
      <c r="G2979" s="22" t="n">
        <v>28.6</v>
      </c>
      <c r="H2979" s="22" t="n">
        <v>1.2</v>
      </c>
      <c r="I2979" s="24" t="n">
        <v>0.0842919126152992</v>
      </c>
      <c r="J2979" s="6" t="n">
        <v>71000</v>
      </c>
      <c r="K2979" s="25">
        <f>23*10^-6</f>
        <v/>
      </c>
      <c r="L2979" s="8">
        <f>H2979</f>
        <v/>
      </c>
      <c r="M2979" s="26">
        <f>H2979^2/6</f>
        <v/>
      </c>
      <c r="N2979" s="26">
        <f>H2979^3/12</f>
        <v/>
      </c>
      <c r="O2979" s="27">
        <f>-J2979*L2979*K2979*C2979</f>
        <v/>
      </c>
      <c r="P2979" s="28">
        <f>-(12*F2979*J2979*L2979*N2979+12*O2979*N2979*G2979*COS(RADIANS(E2979)))/(12*N2979*G2979*COS(RADIANS(E2979))^2+L2979*G2979^3*SIN(RADIANS(E2979))^2)</f>
        <v/>
      </c>
      <c r="Q2979" s="28">
        <f>-(6*F2979*J2979*L2979*N2979*SIN(RADIANS(E2979))+6*O2979*N2979*G2979*SIN(RADIANS(E2979))*COS(RADIANS(E2979)))/(12*N2979*COS(RADIANS(E2979))^2+L2979*G2979^2*SIN(RADIANS(E2979))^2)</f>
        <v/>
      </c>
      <c r="R2979" s="28">
        <f>-P2979*SIN(RADIANS(E2979))</f>
        <v/>
      </c>
      <c r="S2979" s="8">
        <f>(O2979+P2979*COS(RADIANS(E2979)))/L2979</f>
        <v/>
      </c>
      <c r="T2979" s="8">
        <f>R2979/L2979</f>
        <v/>
      </c>
      <c r="U2979" s="8">
        <f>(Q2979-P2979*G2979*SIN(RADIANS(E2979)))/M2979</f>
        <v/>
      </c>
      <c r="V2979" s="8">
        <f>SQRT((S2979+U2979)^2+3*T2979^2)</f>
        <v/>
      </c>
      <c r="W2979" s="8">
        <f>V2979/AA2979</f>
        <v/>
      </c>
      <c r="X2979" s="27">
        <f>((3*10+H2979/COS(RADIANS(E2979)))*(3+3)+3*G2979*H2979)*2</f>
        <v/>
      </c>
      <c r="Y2979" s="28">
        <f>Z2979/X2979</f>
        <v/>
      </c>
      <c r="Z2979" s="29" t="n">
        <v>591.5638792998579</v>
      </c>
      <c r="AA2979" s="20" t="n">
        <v>76.8153808540718</v>
      </c>
      <c r="AB2979" t="n">
        <v>0.09317487535611016</v>
      </c>
      <c r="AC2979" t="n">
        <v>79.58342277285783</v>
      </c>
      <c r="AD2979" t="n">
        <v>10.53833335275238</v>
      </c>
    </row>
    <row r="2980">
      <c r="A2980" t="n">
        <v>2979</v>
      </c>
      <c r="B2980" t="n">
        <v>65</v>
      </c>
      <c r="C2980" s="21">
        <f>B2980-20</f>
        <v/>
      </c>
      <c r="D2980" t="n">
        <v>108.8</v>
      </c>
      <c r="E2980" s="22">
        <f>D2980-90</f>
        <v/>
      </c>
      <c r="F2980" s="23" t="n">
        <v>0.017404</v>
      </c>
      <c r="G2980" s="22" t="n">
        <v>29.5</v>
      </c>
      <c r="H2980" s="22" t="n">
        <v>1.4</v>
      </c>
      <c r="I2980" s="24" t="n">
        <v>0.105856724083423</v>
      </c>
      <c r="J2980" s="6" t="n">
        <v>71000</v>
      </c>
      <c r="K2980" s="25">
        <f>23*10^-6</f>
        <v/>
      </c>
      <c r="L2980" s="8">
        <f>H2980</f>
        <v/>
      </c>
      <c r="M2980" s="26">
        <f>H2980^2/6</f>
        <v/>
      </c>
      <c r="N2980" s="26">
        <f>H2980^3/12</f>
        <v/>
      </c>
      <c r="O2980" s="27">
        <f>-J2980*L2980*K2980*C2980</f>
        <v/>
      </c>
      <c r="P2980" s="28">
        <f>-(12*F2980*J2980*L2980*N2980+12*O2980*N2980*G2980*COS(RADIANS(E2980)))/(12*N2980*G2980*COS(RADIANS(E2980))^2+L2980*G2980^3*SIN(RADIANS(E2980))^2)</f>
        <v/>
      </c>
      <c r="Q2980" s="28">
        <f>-(6*F2980*J2980*L2980*N2980*SIN(RADIANS(E2980))+6*O2980*N2980*G2980*SIN(RADIANS(E2980))*COS(RADIANS(E2980)))/(12*N2980*COS(RADIANS(E2980))^2+L2980*G2980^2*SIN(RADIANS(E2980))^2)</f>
        <v/>
      </c>
      <c r="R2980" s="28">
        <f>-P2980*SIN(RADIANS(E2980))</f>
        <v/>
      </c>
      <c r="S2980" s="8">
        <f>(O2980+P2980*COS(RADIANS(E2980)))/L2980</f>
        <v/>
      </c>
      <c r="T2980" s="8">
        <f>R2980/L2980</f>
        <v/>
      </c>
      <c r="U2980" s="8">
        <f>(Q2980-P2980*G2980*SIN(RADIANS(E2980)))/M2980</f>
        <v/>
      </c>
      <c r="V2980" s="8">
        <f>SQRT((S2980+U2980)^2+3*T2980^2)</f>
        <v/>
      </c>
      <c r="W2980" s="8">
        <f>V2980/AA2980</f>
        <v/>
      </c>
      <c r="X2980" s="27">
        <f>((3*10+H2980/COS(RADIANS(E2980)))*(3+3)+3*G2980*H2980)*2</f>
        <v/>
      </c>
      <c r="Y2980" s="28">
        <f>Z2980/X2980</f>
        <v/>
      </c>
      <c r="Z2980" s="29" t="n">
        <v>630.333013412005</v>
      </c>
      <c r="AA2980" s="20" t="n">
        <v>68.1013012971889</v>
      </c>
      <c r="AB2980" t="n">
        <v>0.1429738128923047</v>
      </c>
      <c r="AC2980" t="n">
        <v>69.84752916785807</v>
      </c>
      <c r="AD2980" t="n">
        <v>35.06351545474866</v>
      </c>
    </row>
    <row r="2981">
      <c r="A2981" t="n">
        <v>2980</v>
      </c>
      <c r="B2981" t="n">
        <v>48.1</v>
      </c>
      <c r="C2981" s="21">
        <f>B2981-20</f>
        <v/>
      </c>
      <c r="D2981" t="n">
        <v>101.9</v>
      </c>
      <c r="E2981" s="22">
        <f>D2981-90</f>
        <v/>
      </c>
      <c r="F2981" s="23" t="n">
        <v>0.010103</v>
      </c>
      <c r="G2981" s="22" t="n">
        <v>26.1</v>
      </c>
      <c r="H2981" s="22" t="n">
        <v>1.8</v>
      </c>
      <c r="I2981" s="24" t="n">
        <v>0.0827760174870491</v>
      </c>
      <c r="J2981" s="6" t="n">
        <v>71000</v>
      </c>
      <c r="K2981" s="25">
        <f>23*10^-6</f>
        <v/>
      </c>
      <c r="L2981" s="8">
        <f>H2981</f>
        <v/>
      </c>
      <c r="M2981" s="26">
        <f>H2981^2/6</f>
        <v/>
      </c>
      <c r="N2981" s="26">
        <f>H2981^3/12</f>
        <v/>
      </c>
      <c r="O2981" s="27">
        <f>-J2981*L2981*K2981*C2981</f>
        <v/>
      </c>
      <c r="P2981" s="28">
        <f>-(12*F2981*J2981*L2981*N2981+12*O2981*N2981*G2981*COS(RADIANS(E2981)))/(12*N2981*G2981*COS(RADIANS(E2981))^2+L2981*G2981^3*SIN(RADIANS(E2981))^2)</f>
        <v/>
      </c>
      <c r="Q2981" s="28">
        <f>-(6*F2981*J2981*L2981*N2981*SIN(RADIANS(E2981))+6*O2981*N2981*G2981*SIN(RADIANS(E2981))*COS(RADIANS(E2981)))/(12*N2981*COS(RADIANS(E2981))^2+L2981*G2981^2*SIN(RADIANS(E2981))^2)</f>
        <v/>
      </c>
      <c r="R2981" s="28">
        <f>-P2981*SIN(RADIANS(E2981))</f>
        <v/>
      </c>
      <c r="S2981" s="8">
        <f>(O2981+P2981*COS(RADIANS(E2981)))/L2981</f>
        <v/>
      </c>
      <c r="T2981" s="8">
        <f>R2981/L2981</f>
        <v/>
      </c>
      <c r="U2981" s="8">
        <f>(Q2981-P2981*G2981*SIN(RADIANS(E2981)))/M2981</f>
        <v/>
      </c>
      <c r="V2981" s="8">
        <f>SQRT((S2981+U2981)^2+3*T2981^2)</f>
        <v/>
      </c>
      <c r="W2981" s="8">
        <f>V2981/AA2981</f>
        <v/>
      </c>
      <c r="X2981" s="27">
        <f>((3*10+H2981/COS(RADIANS(E2981)))*(3+3)+3*G2981*H2981)*2</f>
        <v/>
      </c>
      <c r="Y2981" s="28">
        <f>Z2981/X2981</f>
        <v/>
      </c>
      <c r="Z2981" s="29" t="n">
        <v>667.915143213598</v>
      </c>
      <c r="AA2981" s="20" t="n">
        <v>50.1886822739867</v>
      </c>
      <c r="AB2981" t="n">
        <v>0.1169898536427813</v>
      </c>
      <c r="AC2981" t="n">
        <v>49.31114907549335</v>
      </c>
      <c r="AD2981" t="n">
        <v>41.33303001812712</v>
      </c>
    </row>
    <row r="2982">
      <c r="A2982" t="n">
        <v>2981</v>
      </c>
      <c r="B2982" t="n">
        <v>48.4</v>
      </c>
      <c r="C2982" s="21">
        <f>B2982-20</f>
        <v/>
      </c>
      <c r="D2982" t="n">
        <v>113.4</v>
      </c>
      <c r="E2982" s="22">
        <f>D2982-90</f>
        <v/>
      </c>
      <c r="F2982" s="23" t="n">
        <v>0.009074</v>
      </c>
      <c r="G2982" s="22" t="n">
        <v>24</v>
      </c>
      <c r="H2982" s="22" t="n">
        <v>1.8</v>
      </c>
      <c r="I2982" s="24" t="n">
        <v>0.0492186211049556</v>
      </c>
      <c r="J2982" s="6" t="n">
        <v>71000</v>
      </c>
      <c r="K2982" s="25">
        <f>23*10^-6</f>
        <v/>
      </c>
      <c r="L2982" s="8">
        <f>H2982</f>
        <v/>
      </c>
      <c r="M2982" s="26">
        <f>H2982^2/6</f>
        <v/>
      </c>
      <c r="N2982" s="26">
        <f>H2982^3/12</f>
        <v/>
      </c>
      <c r="O2982" s="27">
        <f>-J2982*L2982*K2982*C2982</f>
        <v/>
      </c>
      <c r="P2982" s="28">
        <f>-(12*F2982*J2982*L2982*N2982+12*O2982*N2982*G2982*COS(RADIANS(E2982)))/(12*N2982*G2982*COS(RADIANS(E2982))^2+L2982*G2982^3*SIN(RADIANS(E2982))^2)</f>
        <v/>
      </c>
      <c r="Q2982" s="28">
        <f>-(6*F2982*J2982*L2982*N2982*SIN(RADIANS(E2982))+6*O2982*N2982*G2982*SIN(RADIANS(E2982))*COS(RADIANS(E2982)))/(12*N2982*COS(RADIANS(E2982))^2+L2982*G2982^2*SIN(RADIANS(E2982))^2)</f>
        <v/>
      </c>
      <c r="R2982" s="28">
        <f>-P2982*SIN(RADIANS(E2982))</f>
        <v/>
      </c>
      <c r="S2982" s="8">
        <f>(O2982+P2982*COS(RADIANS(E2982)))/L2982</f>
        <v/>
      </c>
      <c r="T2982" s="8">
        <f>R2982/L2982</f>
        <v/>
      </c>
      <c r="U2982" s="8">
        <f>(Q2982-P2982*G2982*SIN(RADIANS(E2982)))/M2982</f>
        <v/>
      </c>
      <c r="V2982" s="8">
        <f>SQRT((S2982+U2982)^2+3*T2982^2)</f>
        <v/>
      </c>
      <c r="W2982" s="8">
        <f>V2982/AA2982</f>
        <v/>
      </c>
      <c r="X2982" s="27">
        <f>((3*10+H2982/COS(RADIANS(E2982)))*(3+3)+3*G2982*H2982)*2</f>
        <v/>
      </c>
      <c r="Y2982" s="28">
        <f>Z2982/X2982</f>
        <v/>
      </c>
      <c r="Z2982" s="29" t="n">
        <v>648.320112813622</v>
      </c>
      <c r="AA2982" s="20" t="n">
        <v>46.9548581372705</v>
      </c>
      <c r="AB2982" t="n">
        <v>0.05856451063922182</v>
      </c>
      <c r="AC2982" t="n">
        <v>44.84619855835443</v>
      </c>
      <c r="AD2982" t="n">
        <v>18.98852370190686</v>
      </c>
    </row>
    <row r="2983">
      <c r="A2983" t="n">
        <v>2982</v>
      </c>
      <c r="B2983" t="n">
        <v>86</v>
      </c>
      <c r="C2983" s="21">
        <f>B2983-20</f>
        <v/>
      </c>
      <c r="D2983" t="n">
        <v>120</v>
      </c>
      <c r="E2983" s="22">
        <f>D2983-90</f>
        <v/>
      </c>
      <c r="F2983" s="23" t="n">
        <v>0.01885</v>
      </c>
      <c r="G2983" s="22" t="n">
        <v>22</v>
      </c>
      <c r="H2983" s="22" t="n">
        <v>1.2</v>
      </c>
      <c r="I2983" s="24" t="n">
        <v>0.0920629575848579</v>
      </c>
      <c r="J2983" s="6" t="n">
        <v>71000</v>
      </c>
      <c r="K2983" s="25">
        <f>23*10^-6</f>
        <v/>
      </c>
      <c r="L2983" s="8">
        <f>H2983</f>
        <v/>
      </c>
      <c r="M2983" s="26">
        <f>H2983^2/6</f>
        <v/>
      </c>
      <c r="N2983" s="26">
        <f>H2983^3/12</f>
        <v/>
      </c>
      <c r="O2983" s="27">
        <f>-J2983*L2983*K2983*C2983</f>
        <v/>
      </c>
      <c r="P2983" s="28">
        <f>-(12*F2983*J2983*L2983*N2983+12*O2983*N2983*G2983*COS(RADIANS(E2983)))/(12*N2983*G2983*COS(RADIANS(E2983))^2+L2983*G2983^3*SIN(RADIANS(E2983))^2)</f>
        <v/>
      </c>
      <c r="Q2983" s="28">
        <f>-(6*F2983*J2983*L2983*N2983*SIN(RADIANS(E2983))+6*O2983*N2983*G2983*SIN(RADIANS(E2983))*COS(RADIANS(E2983)))/(12*N2983*COS(RADIANS(E2983))^2+L2983*G2983^2*SIN(RADIANS(E2983))^2)</f>
        <v/>
      </c>
      <c r="R2983" s="28">
        <f>-P2983*SIN(RADIANS(E2983))</f>
        <v/>
      </c>
      <c r="S2983" s="8">
        <f>(O2983+P2983*COS(RADIANS(E2983)))/L2983</f>
        <v/>
      </c>
      <c r="T2983" s="8">
        <f>R2983/L2983</f>
        <v/>
      </c>
      <c r="U2983" s="8">
        <f>(Q2983-P2983*G2983*SIN(RADIANS(E2983)))/M2983</f>
        <v/>
      </c>
      <c r="V2983" s="8">
        <f>SQRT((S2983+U2983)^2+3*T2983^2)</f>
        <v/>
      </c>
      <c r="W2983" s="8">
        <f>V2983/AA2983</f>
        <v/>
      </c>
      <c r="X2983" s="27">
        <f>((3*10+H2983/COS(RADIANS(E2983)))*(3+3)+3*G2983*H2983)*2</f>
        <v/>
      </c>
      <c r="Y2983" s="28">
        <f>Z2983/X2983</f>
        <v/>
      </c>
      <c r="Z2983" s="29" t="n">
        <v>542.174130059404</v>
      </c>
      <c r="AA2983" s="20" t="n">
        <v>95.8702722428697</v>
      </c>
      <c r="AB2983" t="n">
        <v>0.09846437890554324</v>
      </c>
      <c r="AC2983" t="n">
        <v>97.04568077917597</v>
      </c>
      <c r="AD2983" t="n">
        <v>6.953308353997765</v>
      </c>
    </row>
    <row r="2984">
      <c r="A2984" t="n">
        <v>2983</v>
      </c>
      <c r="B2984" t="n">
        <v>81.40000000000001</v>
      </c>
      <c r="C2984" s="21">
        <f>B2984-20</f>
        <v/>
      </c>
      <c r="D2984" t="n">
        <v>119.6</v>
      </c>
      <c r="E2984" s="22">
        <f>D2984-90</f>
        <v/>
      </c>
      <c r="F2984" s="23" t="n">
        <v>0.017528</v>
      </c>
      <c r="G2984" s="22" t="n">
        <v>21.9</v>
      </c>
      <c r="H2984" s="22" t="n">
        <v>2</v>
      </c>
      <c r="I2984" s="24" t="n">
        <v>0.0859284773468971</v>
      </c>
      <c r="J2984" s="6" t="n">
        <v>71000</v>
      </c>
      <c r="K2984" s="25">
        <f>23*10^-6</f>
        <v/>
      </c>
      <c r="L2984" s="8">
        <f>H2984</f>
        <v/>
      </c>
      <c r="M2984" s="26">
        <f>H2984^2/6</f>
        <v/>
      </c>
      <c r="N2984" s="26">
        <f>H2984^3/12</f>
        <v/>
      </c>
      <c r="O2984" s="27">
        <f>-J2984*L2984*K2984*C2984</f>
        <v/>
      </c>
      <c r="P2984" s="28">
        <f>-(12*F2984*J2984*L2984*N2984+12*O2984*N2984*G2984*COS(RADIANS(E2984)))/(12*N2984*G2984*COS(RADIANS(E2984))^2+L2984*G2984^3*SIN(RADIANS(E2984))^2)</f>
        <v/>
      </c>
      <c r="Q2984" s="28">
        <f>-(6*F2984*J2984*L2984*N2984*SIN(RADIANS(E2984))+6*O2984*N2984*G2984*SIN(RADIANS(E2984))*COS(RADIANS(E2984)))/(12*N2984*COS(RADIANS(E2984))^2+L2984*G2984^2*SIN(RADIANS(E2984))^2)</f>
        <v/>
      </c>
      <c r="R2984" s="28">
        <f>-P2984*SIN(RADIANS(E2984))</f>
        <v/>
      </c>
      <c r="S2984" s="8">
        <f>(O2984+P2984*COS(RADIANS(E2984)))/L2984</f>
        <v/>
      </c>
      <c r="T2984" s="8">
        <f>R2984/L2984</f>
        <v/>
      </c>
      <c r="U2984" s="8">
        <f>(Q2984-P2984*G2984*SIN(RADIANS(E2984)))/M2984</f>
        <v/>
      </c>
      <c r="V2984" s="8">
        <f>SQRT((S2984+U2984)^2+3*T2984^2)</f>
        <v/>
      </c>
      <c r="W2984" s="8">
        <f>V2984/AA2984</f>
        <v/>
      </c>
      <c r="X2984" s="27">
        <f>((3*10+H2984/COS(RADIANS(E2984)))*(3+3)+3*G2984*H2984)*2</f>
        <v/>
      </c>
      <c r="Y2984" s="28">
        <f>Z2984/X2984</f>
        <v/>
      </c>
      <c r="Z2984" s="29" t="n">
        <v>657.438091621336</v>
      </c>
      <c r="AA2984" s="20" t="n">
        <v>105.372880928126</v>
      </c>
      <c r="AB2984" t="n">
        <v>0.09086291239627174</v>
      </c>
      <c r="AC2984" t="n">
        <v>95.24565392001274</v>
      </c>
      <c r="AD2984" t="n">
        <v>5.742490966590866</v>
      </c>
    </row>
    <row r="2985">
      <c r="A2985" t="n">
        <v>2984</v>
      </c>
      <c r="B2985" t="n">
        <v>77.7</v>
      </c>
      <c r="C2985" s="21">
        <f>B2985-20</f>
        <v/>
      </c>
      <c r="D2985" t="n">
        <v>120.1</v>
      </c>
      <c r="E2985" s="22">
        <f>D2985-90</f>
        <v/>
      </c>
      <c r="F2985" s="23" t="n">
        <v>0.022499</v>
      </c>
      <c r="G2985" s="22" t="n">
        <v>32.6</v>
      </c>
      <c r="H2985" s="22" t="n">
        <v>1.4</v>
      </c>
      <c r="I2985" s="24" t="n">
        <v>0.103449024260044</v>
      </c>
      <c r="J2985" s="6" t="n">
        <v>71000</v>
      </c>
      <c r="K2985" s="25">
        <f>23*10^-6</f>
        <v/>
      </c>
      <c r="L2985" s="8">
        <f>H2985</f>
        <v/>
      </c>
      <c r="M2985" s="26">
        <f>H2985^2/6</f>
        <v/>
      </c>
      <c r="N2985" s="26">
        <f>H2985^3/12</f>
        <v/>
      </c>
      <c r="O2985" s="27">
        <f>-J2985*L2985*K2985*C2985</f>
        <v/>
      </c>
      <c r="P2985" s="28">
        <f>-(12*F2985*J2985*L2985*N2985+12*O2985*N2985*G2985*COS(RADIANS(E2985)))/(12*N2985*G2985*COS(RADIANS(E2985))^2+L2985*G2985^3*SIN(RADIANS(E2985))^2)</f>
        <v/>
      </c>
      <c r="Q2985" s="28">
        <f>-(6*F2985*J2985*L2985*N2985*SIN(RADIANS(E2985))+6*O2985*N2985*G2985*SIN(RADIANS(E2985))*COS(RADIANS(E2985)))/(12*N2985*COS(RADIANS(E2985))^2+L2985*G2985^2*SIN(RADIANS(E2985))^2)</f>
        <v/>
      </c>
      <c r="R2985" s="28">
        <f>-P2985*SIN(RADIANS(E2985))</f>
        <v/>
      </c>
      <c r="S2985" s="8">
        <f>(O2985+P2985*COS(RADIANS(E2985)))/L2985</f>
        <v/>
      </c>
      <c r="T2985" s="8">
        <f>R2985/L2985</f>
        <v/>
      </c>
      <c r="U2985" s="8">
        <f>(Q2985-P2985*G2985*SIN(RADIANS(E2985)))/M2985</f>
        <v/>
      </c>
      <c r="V2985" s="8">
        <f>SQRT((S2985+U2985)^2+3*T2985^2)</f>
        <v/>
      </c>
      <c r="W2985" s="8">
        <f>V2985/AA2985</f>
        <v/>
      </c>
      <c r="X2985" s="27">
        <f>((3*10+H2985/COS(RADIANS(E2985)))*(3+3)+3*G2985*H2985)*2</f>
        <v/>
      </c>
      <c r="Y2985" s="28">
        <f>Z2985/X2985</f>
        <v/>
      </c>
      <c r="Z2985" s="29" t="n">
        <v>660.433004068437</v>
      </c>
      <c r="AA2985" s="20" t="n">
        <v>83.2669519279879</v>
      </c>
      <c r="AB2985" t="n">
        <v>0.1243245819386889</v>
      </c>
      <c r="AC2985" t="n">
        <v>84.16273044947397</v>
      </c>
      <c r="AD2985" t="n">
        <v>20.1795597667206</v>
      </c>
    </row>
    <row r="2986">
      <c r="A2986" t="n">
        <v>2985</v>
      </c>
      <c r="B2986" t="n">
        <v>50.3</v>
      </c>
      <c r="C2986" s="21">
        <f>B2986-20</f>
        <v/>
      </c>
      <c r="D2986" t="n">
        <v>117.8</v>
      </c>
      <c r="E2986" s="22">
        <f>D2986-90</f>
        <v/>
      </c>
      <c r="F2986" s="23" t="n">
        <v>0.011972</v>
      </c>
      <c r="G2986" s="22" t="n">
        <v>32.4</v>
      </c>
      <c r="H2986" s="22" t="n">
        <v>1.8</v>
      </c>
      <c r="I2986" s="24" t="n">
        <v>0.0571371875703334</v>
      </c>
      <c r="J2986" s="6" t="n">
        <v>71000</v>
      </c>
      <c r="K2986" s="25">
        <f>23*10^-6</f>
        <v/>
      </c>
      <c r="L2986" s="8">
        <f>H2986</f>
        <v/>
      </c>
      <c r="M2986" s="26">
        <f>H2986^2/6</f>
        <v/>
      </c>
      <c r="N2986" s="26">
        <f>H2986^3/12</f>
        <v/>
      </c>
      <c r="O2986" s="27">
        <f>-J2986*L2986*K2986*C2986</f>
        <v/>
      </c>
      <c r="P2986" s="28">
        <f>-(12*F2986*J2986*L2986*N2986+12*O2986*N2986*G2986*COS(RADIANS(E2986)))/(12*N2986*G2986*COS(RADIANS(E2986))^2+L2986*G2986^3*SIN(RADIANS(E2986))^2)</f>
        <v/>
      </c>
      <c r="Q2986" s="28">
        <f>-(6*F2986*J2986*L2986*N2986*SIN(RADIANS(E2986))+6*O2986*N2986*G2986*SIN(RADIANS(E2986))*COS(RADIANS(E2986)))/(12*N2986*COS(RADIANS(E2986))^2+L2986*G2986^2*SIN(RADIANS(E2986))^2)</f>
        <v/>
      </c>
      <c r="R2986" s="28">
        <f>-P2986*SIN(RADIANS(E2986))</f>
        <v/>
      </c>
      <c r="S2986" s="8">
        <f>(O2986+P2986*COS(RADIANS(E2986)))/L2986</f>
        <v/>
      </c>
      <c r="T2986" s="8">
        <f>R2986/L2986</f>
        <v/>
      </c>
      <c r="U2986" s="8">
        <f>(Q2986-P2986*G2986*SIN(RADIANS(E2986)))/M2986</f>
        <v/>
      </c>
      <c r="V2986" s="8">
        <f>SQRT((S2986+U2986)^2+3*T2986^2)</f>
        <v/>
      </c>
      <c r="W2986" s="8">
        <f>V2986/AA2986</f>
        <v/>
      </c>
      <c r="X2986" s="27">
        <f>((3*10+H2986/COS(RADIANS(E2986)))*(3+3)+3*G2986*H2986)*2</f>
        <v/>
      </c>
      <c r="Y2986" s="28">
        <f>Z2986/X2986</f>
        <v/>
      </c>
      <c r="Z2986" s="29" t="n">
        <v>740.903460636434</v>
      </c>
      <c r="AA2986" s="20" t="n">
        <v>47.4856264305152</v>
      </c>
      <c r="AB2986" t="n">
        <v>0.0702712039278474</v>
      </c>
      <c r="AC2986" t="n">
        <v>45.61461861326515</v>
      </c>
      <c r="AD2986" t="n">
        <v>22.98680931984375</v>
      </c>
    </row>
    <row r="2987">
      <c r="A2987" t="n">
        <v>2986</v>
      </c>
      <c r="B2987" t="n">
        <v>48.2</v>
      </c>
      <c r="C2987" s="21">
        <f>B2987-20</f>
        <v/>
      </c>
      <c r="D2987" t="n">
        <v>122.9</v>
      </c>
      <c r="E2987" s="22">
        <f>D2987-90</f>
        <v/>
      </c>
      <c r="F2987" s="23" t="n">
        <v>0.009028</v>
      </c>
      <c r="G2987" s="22" t="n">
        <v>26.3</v>
      </c>
      <c r="H2987" s="22" t="n">
        <v>1.6</v>
      </c>
      <c r="I2987" s="24" t="n">
        <v>0.0414191074669361</v>
      </c>
      <c r="J2987" s="6" t="n">
        <v>71000</v>
      </c>
      <c r="K2987" s="25">
        <f>23*10^-6</f>
        <v/>
      </c>
      <c r="L2987" s="8">
        <f>H2987</f>
        <v/>
      </c>
      <c r="M2987" s="26">
        <f>H2987^2/6</f>
        <v/>
      </c>
      <c r="N2987" s="26">
        <f>H2987^3/12</f>
        <v/>
      </c>
      <c r="O2987" s="27">
        <f>-J2987*L2987*K2987*C2987</f>
        <v/>
      </c>
      <c r="P2987" s="28">
        <f>-(12*F2987*J2987*L2987*N2987+12*O2987*N2987*G2987*COS(RADIANS(E2987)))/(12*N2987*G2987*COS(RADIANS(E2987))^2+L2987*G2987^3*SIN(RADIANS(E2987))^2)</f>
        <v/>
      </c>
      <c r="Q2987" s="28">
        <f>-(6*F2987*J2987*L2987*N2987*SIN(RADIANS(E2987))+6*O2987*N2987*G2987*SIN(RADIANS(E2987))*COS(RADIANS(E2987)))/(12*N2987*COS(RADIANS(E2987))^2+L2987*G2987^2*SIN(RADIANS(E2987))^2)</f>
        <v/>
      </c>
      <c r="R2987" s="28">
        <f>-P2987*SIN(RADIANS(E2987))</f>
        <v/>
      </c>
      <c r="S2987" s="8">
        <f>(O2987+P2987*COS(RADIANS(E2987)))/L2987</f>
        <v/>
      </c>
      <c r="T2987" s="8">
        <f>R2987/L2987</f>
        <v/>
      </c>
      <c r="U2987" s="8">
        <f>(Q2987-P2987*G2987*SIN(RADIANS(E2987)))/M2987</f>
        <v/>
      </c>
      <c r="V2987" s="8">
        <f>SQRT((S2987+U2987)^2+3*T2987^2)</f>
        <v/>
      </c>
      <c r="W2987" s="8">
        <f>V2987/AA2987</f>
        <v/>
      </c>
      <c r="X2987" s="27">
        <f>((3*10+H2987/COS(RADIANS(E2987)))*(3+3)+3*G2987*H2987)*2</f>
        <v/>
      </c>
      <c r="Y2987" s="28">
        <f>Z2987/X2987</f>
        <v/>
      </c>
      <c r="Z2987" s="29" t="n">
        <v>643.365484951201</v>
      </c>
      <c r="AA2987" s="20" t="n">
        <v>42.8443382797549</v>
      </c>
      <c r="AB2987" t="n">
        <v>0.04491065695596387</v>
      </c>
      <c r="AC2987" t="n">
        <v>41.66898293639402</v>
      </c>
      <c r="AD2987" t="n">
        <v>8.429803785161221</v>
      </c>
    </row>
    <row r="2988">
      <c r="A2988" t="n">
        <v>2987</v>
      </c>
      <c r="B2988" t="n">
        <v>81.5</v>
      </c>
      <c r="C2988" s="21">
        <f>B2988-20</f>
        <v/>
      </c>
      <c r="D2988" t="n">
        <v>122.9</v>
      </c>
      <c r="E2988" s="22">
        <f>D2988-90</f>
        <v/>
      </c>
      <c r="F2988" s="23" t="n">
        <v>0.022455</v>
      </c>
      <c r="G2988" s="22" t="n">
        <v>31</v>
      </c>
      <c r="H2988" s="22" t="n">
        <v>1.8</v>
      </c>
      <c r="I2988" s="24" t="n">
        <v>0.100614227354526</v>
      </c>
      <c r="J2988" s="6" t="n">
        <v>71000</v>
      </c>
      <c r="K2988" s="25">
        <f>23*10^-6</f>
        <v/>
      </c>
      <c r="L2988" s="8">
        <f>H2988</f>
        <v/>
      </c>
      <c r="M2988" s="26">
        <f>H2988^2/6</f>
        <v/>
      </c>
      <c r="N2988" s="26">
        <f>H2988^3/12</f>
        <v/>
      </c>
      <c r="O2988" s="27">
        <f>-J2988*L2988*K2988*C2988</f>
        <v/>
      </c>
      <c r="P2988" s="28">
        <f>-(12*F2988*J2988*L2988*N2988+12*O2988*N2988*G2988*COS(RADIANS(E2988)))/(12*N2988*G2988*COS(RADIANS(E2988))^2+L2988*G2988^3*SIN(RADIANS(E2988))^2)</f>
        <v/>
      </c>
      <c r="Q2988" s="28">
        <f>-(6*F2988*J2988*L2988*N2988*SIN(RADIANS(E2988))+6*O2988*N2988*G2988*SIN(RADIANS(E2988))*COS(RADIANS(E2988)))/(12*N2988*COS(RADIANS(E2988))^2+L2988*G2988^2*SIN(RADIANS(E2988))^2)</f>
        <v/>
      </c>
      <c r="R2988" s="28">
        <f>-P2988*SIN(RADIANS(E2988))</f>
        <v/>
      </c>
      <c r="S2988" s="8">
        <f>(O2988+P2988*COS(RADIANS(E2988)))/L2988</f>
        <v/>
      </c>
      <c r="T2988" s="8">
        <f>R2988/L2988</f>
        <v/>
      </c>
      <c r="U2988" s="8">
        <f>(Q2988-P2988*G2988*SIN(RADIANS(E2988)))/M2988</f>
        <v/>
      </c>
      <c r="V2988" s="8">
        <f>SQRT((S2988+U2988)^2+3*T2988^2)</f>
        <v/>
      </c>
      <c r="W2988" s="8">
        <f>V2988/AA2988</f>
        <v/>
      </c>
      <c r="X2988" s="27">
        <f>((3*10+H2988/COS(RADIANS(E2988)))*(3+3)+3*G2988*H2988)*2</f>
        <v/>
      </c>
      <c r="Y2988" s="28">
        <f>Z2988/X2988</f>
        <v/>
      </c>
      <c r="Z2988" s="29" t="n">
        <v>728.5439213715121</v>
      </c>
      <c r="AA2988" s="20" t="n">
        <v>95.35682112096551</v>
      </c>
      <c r="AB2988" t="n">
        <v>0.1143997202736443</v>
      </c>
      <c r="AC2988" t="n">
        <v>90.95177626377982</v>
      </c>
      <c r="AD2988" t="n">
        <v>13.70133556812346</v>
      </c>
    </row>
    <row r="2989">
      <c r="A2989" t="n">
        <v>2988</v>
      </c>
      <c r="B2989" t="n">
        <v>57.7</v>
      </c>
      <c r="C2989" s="21">
        <f>B2989-20</f>
        <v/>
      </c>
      <c r="D2989" t="n">
        <v>105</v>
      </c>
      <c r="E2989" s="22">
        <f>D2989-90</f>
        <v/>
      </c>
      <c r="F2989" s="23" t="n">
        <v>0.010881</v>
      </c>
      <c r="G2989" s="22" t="n">
        <v>20</v>
      </c>
      <c r="H2989" s="22" t="n">
        <v>1.4</v>
      </c>
      <c r="I2989" s="24" t="n">
        <v>0.0793122351169586</v>
      </c>
      <c r="J2989" s="6" t="n">
        <v>71000</v>
      </c>
      <c r="K2989" s="25">
        <f>23*10^-6</f>
        <v/>
      </c>
      <c r="L2989" s="8">
        <f>H2989</f>
        <v/>
      </c>
      <c r="M2989" s="26">
        <f>H2989^2/6</f>
        <v/>
      </c>
      <c r="N2989" s="26">
        <f>H2989^3/12</f>
        <v/>
      </c>
      <c r="O2989" s="27">
        <f>-J2989*L2989*K2989*C2989</f>
        <v/>
      </c>
      <c r="P2989" s="28">
        <f>-(12*F2989*J2989*L2989*N2989+12*O2989*N2989*G2989*COS(RADIANS(E2989)))/(12*N2989*G2989*COS(RADIANS(E2989))^2+L2989*G2989^3*SIN(RADIANS(E2989))^2)</f>
        <v/>
      </c>
      <c r="Q2989" s="28">
        <f>-(6*F2989*J2989*L2989*N2989*SIN(RADIANS(E2989))+6*O2989*N2989*G2989*SIN(RADIANS(E2989))*COS(RADIANS(E2989)))/(12*N2989*COS(RADIANS(E2989))^2+L2989*G2989^2*SIN(RADIANS(E2989))^2)</f>
        <v/>
      </c>
      <c r="R2989" s="28">
        <f>-P2989*SIN(RADIANS(E2989))</f>
        <v/>
      </c>
      <c r="S2989" s="8">
        <f>(O2989+P2989*COS(RADIANS(E2989)))/L2989</f>
        <v/>
      </c>
      <c r="T2989" s="8">
        <f>R2989/L2989</f>
        <v/>
      </c>
      <c r="U2989" s="8">
        <f>(Q2989-P2989*G2989*SIN(RADIANS(E2989)))/M2989</f>
        <v/>
      </c>
      <c r="V2989" s="8">
        <f>SQRT((S2989+U2989)^2+3*T2989^2)</f>
        <v/>
      </c>
      <c r="W2989" s="8">
        <f>V2989/AA2989</f>
        <v/>
      </c>
      <c r="X2989" s="27">
        <f>((3*10+H2989/COS(RADIANS(E2989)))*(3+3)+3*G2989*H2989)*2</f>
        <v/>
      </c>
      <c r="Y2989" s="28">
        <f>Z2989/X2989</f>
        <v/>
      </c>
      <c r="Z2989" s="29" t="n">
        <v>549.672897546372</v>
      </c>
      <c r="AA2989" s="20" t="n">
        <v>61.3654453094547</v>
      </c>
      <c r="AB2989" t="n">
        <v>0.1005527203423811</v>
      </c>
      <c r="AC2989" t="n">
        <v>62.52167576105136</v>
      </c>
      <c r="AD2989" t="n">
        <v>26.78084307433772</v>
      </c>
    </row>
    <row r="2990">
      <c r="A2990" t="n">
        <v>2989</v>
      </c>
      <c r="B2990" t="n">
        <v>60</v>
      </c>
      <c r="C2990" s="21">
        <f>B2990-20</f>
        <v/>
      </c>
      <c r="D2990" t="n">
        <v>117.7</v>
      </c>
      <c r="E2990" s="22">
        <f>D2990-90</f>
        <v/>
      </c>
      <c r="F2990" s="23" t="n">
        <v>0.014323</v>
      </c>
      <c r="G2990" s="22" t="n">
        <v>28.7</v>
      </c>
      <c r="H2990" s="22" t="n">
        <v>1.9</v>
      </c>
      <c r="I2990" s="24" t="n">
        <v>0.0695990696549415</v>
      </c>
      <c r="J2990" s="6" t="n">
        <v>71000</v>
      </c>
      <c r="K2990" s="25">
        <f>23*10^-6</f>
        <v/>
      </c>
      <c r="L2990" s="8">
        <f>H2990</f>
        <v/>
      </c>
      <c r="M2990" s="26">
        <f>H2990^2/6</f>
        <v/>
      </c>
      <c r="N2990" s="26">
        <f>H2990^3/12</f>
        <v/>
      </c>
      <c r="O2990" s="27">
        <f>-J2990*L2990*K2990*C2990</f>
        <v/>
      </c>
      <c r="P2990" s="28">
        <f>-(12*F2990*J2990*L2990*N2990+12*O2990*N2990*G2990*COS(RADIANS(E2990)))/(12*N2990*G2990*COS(RADIANS(E2990))^2+L2990*G2990^3*SIN(RADIANS(E2990))^2)</f>
        <v/>
      </c>
      <c r="Q2990" s="28">
        <f>-(6*F2990*J2990*L2990*N2990*SIN(RADIANS(E2990))+6*O2990*N2990*G2990*SIN(RADIANS(E2990))*COS(RADIANS(E2990)))/(12*N2990*COS(RADIANS(E2990))^2+L2990*G2990^2*SIN(RADIANS(E2990))^2)</f>
        <v/>
      </c>
      <c r="R2990" s="28">
        <f>-P2990*SIN(RADIANS(E2990))</f>
        <v/>
      </c>
      <c r="S2990" s="8">
        <f>(O2990+P2990*COS(RADIANS(E2990)))/L2990</f>
        <v/>
      </c>
      <c r="T2990" s="8">
        <f>R2990/L2990</f>
        <v/>
      </c>
      <c r="U2990" s="8">
        <f>(Q2990-P2990*G2990*SIN(RADIANS(E2990)))/M2990</f>
        <v/>
      </c>
      <c r="V2990" s="8">
        <f>SQRT((S2990+U2990)^2+3*T2990^2)</f>
        <v/>
      </c>
      <c r="W2990" s="8">
        <f>V2990/AA2990</f>
        <v/>
      </c>
      <c r="X2990" s="27">
        <f>((3*10+H2990/COS(RADIANS(E2990)))*(3+3)+3*G2990*H2990)*2</f>
        <v/>
      </c>
      <c r="Y2990" s="28">
        <f>Z2990/X2990</f>
        <v/>
      </c>
      <c r="Z2990" s="29" t="n">
        <v>719.471475476552</v>
      </c>
      <c r="AA2990" s="20" t="n">
        <v>65.1546116559868</v>
      </c>
      <c r="AB2990" t="n">
        <v>0.08265026839671058</v>
      </c>
      <c r="AC2990" t="n">
        <v>61.14825647054885</v>
      </c>
      <c r="AD2990" t="n">
        <v>18.75197298825164</v>
      </c>
    </row>
    <row r="2991">
      <c r="A2991" t="n">
        <v>2990</v>
      </c>
      <c r="B2991" t="n">
        <v>88.3</v>
      </c>
      <c r="C2991" s="21">
        <f>B2991-20</f>
        <v/>
      </c>
      <c r="D2991" t="n">
        <v>120.3</v>
      </c>
      <c r="E2991" s="22">
        <f>D2991-90</f>
        <v/>
      </c>
      <c r="F2991" s="23" t="n">
        <v>0.019461</v>
      </c>
      <c r="G2991" s="22" t="n">
        <v>22</v>
      </c>
      <c r="H2991" s="22" t="n">
        <v>1.9</v>
      </c>
      <c r="I2991" s="24" t="n">
        <v>0.0945161059498786</v>
      </c>
      <c r="J2991" s="6" t="n">
        <v>71000</v>
      </c>
      <c r="K2991" s="25">
        <f>23*10^-6</f>
        <v/>
      </c>
      <c r="L2991" s="8">
        <f>H2991</f>
        <v/>
      </c>
      <c r="M2991" s="26">
        <f>H2991^2/6</f>
        <v/>
      </c>
      <c r="N2991" s="26">
        <f>H2991^3/12</f>
        <v/>
      </c>
      <c r="O2991" s="27">
        <f>-J2991*L2991*K2991*C2991</f>
        <v/>
      </c>
      <c r="P2991" s="28">
        <f>-(12*F2991*J2991*L2991*N2991+12*O2991*N2991*G2991*COS(RADIANS(E2991)))/(12*N2991*G2991*COS(RADIANS(E2991))^2+L2991*G2991^3*SIN(RADIANS(E2991))^2)</f>
        <v/>
      </c>
      <c r="Q2991" s="28">
        <f>-(6*F2991*J2991*L2991*N2991*SIN(RADIANS(E2991))+6*O2991*N2991*G2991*SIN(RADIANS(E2991))*COS(RADIANS(E2991)))/(12*N2991*COS(RADIANS(E2991))^2+L2991*G2991^2*SIN(RADIANS(E2991))^2)</f>
        <v/>
      </c>
      <c r="R2991" s="28">
        <f>-P2991*SIN(RADIANS(E2991))</f>
        <v/>
      </c>
      <c r="S2991" s="8">
        <f>(O2991+P2991*COS(RADIANS(E2991)))/L2991</f>
        <v/>
      </c>
      <c r="T2991" s="8">
        <f>R2991/L2991</f>
        <v/>
      </c>
      <c r="U2991" s="8">
        <f>(Q2991-P2991*G2991*SIN(RADIANS(E2991)))/M2991</f>
        <v/>
      </c>
      <c r="V2991" s="8">
        <f>SQRT((S2991+U2991)^2+3*T2991^2)</f>
        <v/>
      </c>
      <c r="W2991" s="8">
        <f>V2991/AA2991</f>
        <v/>
      </c>
      <c r="X2991" s="27">
        <f>((3*10+H2991/COS(RADIANS(E2991)))*(3+3)+3*G2991*H2991)*2</f>
        <v/>
      </c>
      <c r="Y2991" s="28">
        <f>Z2991/X2991</f>
        <v/>
      </c>
      <c r="Z2991" s="29" t="n">
        <v>644.438217267881</v>
      </c>
      <c r="AA2991" s="20" t="n">
        <v>114.821022142816</v>
      </c>
      <c r="AB2991" t="n">
        <v>0.09938422258879057</v>
      </c>
      <c r="AC2991" t="n">
        <v>104.8986318839174</v>
      </c>
      <c r="AD2991" t="n">
        <v>5.150568350216955</v>
      </c>
    </row>
    <row r="2992">
      <c r="A2992" t="n">
        <v>2991</v>
      </c>
      <c r="B2992" t="n">
        <v>89.7</v>
      </c>
      <c r="C2992" s="21">
        <f>B2992-20</f>
        <v/>
      </c>
      <c r="D2992" t="n">
        <v>117.8</v>
      </c>
      <c r="E2992" s="22">
        <f>D2992-90</f>
        <v/>
      </c>
      <c r="F2992" s="23" t="n">
        <v>0.028876</v>
      </c>
      <c r="G2992" s="22" t="n">
        <v>34.3</v>
      </c>
      <c r="H2992" s="22" t="n">
        <v>1.2</v>
      </c>
      <c r="I2992" s="24" t="n">
        <v>0.136659502983093</v>
      </c>
      <c r="J2992" s="6" t="n">
        <v>71000</v>
      </c>
      <c r="K2992" s="25">
        <f>23*10^-6</f>
        <v/>
      </c>
      <c r="L2992" s="8">
        <f>H2992</f>
        <v/>
      </c>
      <c r="M2992" s="26">
        <f>H2992^2/6</f>
        <v/>
      </c>
      <c r="N2992" s="26">
        <f>H2992^3/12</f>
        <v/>
      </c>
      <c r="O2992" s="27">
        <f>-J2992*L2992*K2992*C2992</f>
        <v/>
      </c>
      <c r="P2992" s="28">
        <f>-(12*F2992*J2992*L2992*N2992+12*O2992*N2992*G2992*COS(RADIANS(E2992)))/(12*N2992*G2992*COS(RADIANS(E2992))^2+L2992*G2992^3*SIN(RADIANS(E2992))^2)</f>
        <v/>
      </c>
      <c r="Q2992" s="28">
        <f>-(6*F2992*J2992*L2992*N2992*SIN(RADIANS(E2992))+6*O2992*N2992*G2992*SIN(RADIANS(E2992))*COS(RADIANS(E2992)))/(12*N2992*COS(RADIANS(E2992))^2+L2992*G2992^2*SIN(RADIANS(E2992))^2)</f>
        <v/>
      </c>
      <c r="R2992" s="28">
        <f>-P2992*SIN(RADIANS(E2992))</f>
        <v/>
      </c>
      <c r="S2992" s="8">
        <f>(O2992+P2992*COS(RADIANS(E2992)))/L2992</f>
        <v/>
      </c>
      <c r="T2992" s="8">
        <f>R2992/L2992</f>
        <v/>
      </c>
      <c r="U2992" s="8">
        <f>(Q2992-P2992*G2992*SIN(RADIANS(E2992)))/M2992</f>
        <v/>
      </c>
      <c r="V2992" s="8">
        <f>SQRT((S2992+U2992)^2+3*T2992^2)</f>
        <v/>
      </c>
      <c r="W2992" s="8">
        <f>V2992/AA2992</f>
        <v/>
      </c>
      <c r="X2992" s="27">
        <f>((3*10+H2992/COS(RADIANS(E2992)))*(3+3)+3*G2992*H2992)*2</f>
        <v/>
      </c>
      <c r="Y2992" s="28">
        <f>Z2992/X2992</f>
        <v/>
      </c>
      <c r="Z2992" s="29" t="n">
        <v>629.804013596835</v>
      </c>
      <c r="AA2992" s="20" t="n">
        <v>96.83750797836569</v>
      </c>
      <c r="AB2992" t="n">
        <v>0.1718430015502239</v>
      </c>
      <c r="AC2992" t="n">
        <v>100.9879950555364</v>
      </c>
      <c r="AD2992" t="n">
        <v>25.74537284208012</v>
      </c>
    </row>
    <row r="2993">
      <c r="A2993" t="n">
        <v>2992</v>
      </c>
      <c r="B2993" t="n">
        <v>89.8</v>
      </c>
      <c r="C2993" s="21">
        <f>B2993-20</f>
        <v/>
      </c>
      <c r="D2993" t="n">
        <v>128.1</v>
      </c>
      <c r="E2993" s="22">
        <f>D2993-90</f>
        <v/>
      </c>
      <c r="F2993" s="23" t="n">
        <v>0.020116</v>
      </c>
      <c r="G2993" s="22" t="n">
        <v>24.5</v>
      </c>
      <c r="H2993" s="22" t="n">
        <v>1.2</v>
      </c>
      <c r="I2993" s="24" t="n">
        <v>0.0895175114274025</v>
      </c>
      <c r="J2993" s="6" t="n">
        <v>71000</v>
      </c>
      <c r="K2993" s="25">
        <f>23*10^-6</f>
        <v/>
      </c>
      <c r="L2993" s="8">
        <f>H2993</f>
        <v/>
      </c>
      <c r="M2993" s="26">
        <f>H2993^2/6</f>
        <v/>
      </c>
      <c r="N2993" s="26">
        <f>H2993^3/12</f>
        <v/>
      </c>
      <c r="O2993" s="27">
        <f>-J2993*L2993*K2993*C2993</f>
        <v/>
      </c>
      <c r="P2993" s="28">
        <f>-(12*F2993*J2993*L2993*N2993+12*O2993*N2993*G2993*COS(RADIANS(E2993)))/(12*N2993*G2993*COS(RADIANS(E2993))^2+L2993*G2993^3*SIN(RADIANS(E2993))^2)</f>
        <v/>
      </c>
      <c r="Q2993" s="28">
        <f>-(6*F2993*J2993*L2993*N2993*SIN(RADIANS(E2993))+6*O2993*N2993*G2993*SIN(RADIANS(E2993))*COS(RADIANS(E2993)))/(12*N2993*COS(RADIANS(E2993))^2+L2993*G2993^2*SIN(RADIANS(E2993))^2)</f>
        <v/>
      </c>
      <c r="R2993" s="28">
        <f>-P2993*SIN(RADIANS(E2993))</f>
        <v/>
      </c>
      <c r="S2993" s="8">
        <f>(O2993+P2993*COS(RADIANS(E2993)))/L2993</f>
        <v/>
      </c>
      <c r="T2993" s="8">
        <f>R2993/L2993</f>
        <v/>
      </c>
      <c r="U2993" s="8">
        <f>(Q2993-P2993*G2993*SIN(RADIANS(E2993)))/M2993</f>
        <v/>
      </c>
      <c r="V2993" s="8">
        <f>SQRT((S2993+U2993)^2+3*T2993^2)</f>
        <v/>
      </c>
      <c r="W2993" s="8">
        <f>V2993/AA2993</f>
        <v/>
      </c>
      <c r="X2993" s="27">
        <f>((3*10+H2993/COS(RADIANS(E2993)))*(3+3)+3*G2993*H2993)*2</f>
        <v/>
      </c>
      <c r="Y2993" s="28">
        <f>Z2993/X2993</f>
        <v/>
      </c>
      <c r="Z2993" s="29" t="n">
        <v>564.630542635597</v>
      </c>
      <c r="AA2993" s="20" t="n">
        <v>96.9758273720186</v>
      </c>
      <c r="AB2993" t="n">
        <v>0.08898969995150111</v>
      </c>
      <c r="AC2993" t="n">
        <v>99.74921382952165</v>
      </c>
      <c r="AD2993" t="n">
        <v>-0.5896181288835747</v>
      </c>
    </row>
    <row r="2994">
      <c r="A2994" t="n">
        <v>2993</v>
      </c>
      <c r="B2994" t="n">
        <v>46</v>
      </c>
      <c r="C2994" s="21">
        <f>B2994-20</f>
        <v/>
      </c>
      <c r="D2994" t="n">
        <v>121.7</v>
      </c>
      <c r="E2994" s="22">
        <f>D2994-90</f>
        <v/>
      </c>
      <c r="F2994" s="23" t="n">
        <v>0.008486</v>
      </c>
      <c r="G2994" s="22" t="n">
        <v>26.6</v>
      </c>
      <c r="H2994" s="22" t="n">
        <v>2</v>
      </c>
      <c r="I2994" s="24" t="n">
        <v>0.0393947549164295</v>
      </c>
      <c r="J2994" s="6" t="n">
        <v>71000</v>
      </c>
      <c r="K2994" s="25">
        <f>23*10^-6</f>
        <v/>
      </c>
      <c r="L2994" s="8">
        <f>H2994</f>
        <v/>
      </c>
      <c r="M2994" s="26">
        <f>H2994^2/6</f>
        <v/>
      </c>
      <c r="N2994" s="26">
        <f>H2994^3/12</f>
        <v/>
      </c>
      <c r="O2994" s="27">
        <f>-J2994*L2994*K2994*C2994</f>
        <v/>
      </c>
      <c r="P2994" s="28">
        <f>-(12*F2994*J2994*L2994*N2994+12*O2994*N2994*G2994*COS(RADIANS(E2994)))/(12*N2994*G2994*COS(RADIANS(E2994))^2+L2994*G2994^3*SIN(RADIANS(E2994))^2)</f>
        <v/>
      </c>
      <c r="Q2994" s="28">
        <f>-(6*F2994*J2994*L2994*N2994*SIN(RADIANS(E2994))+6*O2994*N2994*G2994*SIN(RADIANS(E2994))*COS(RADIANS(E2994)))/(12*N2994*COS(RADIANS(E2994))^2+L2994*G2994^2*SIN(RADIANS(E2994))^2)</f>
        <v/>
      </c>
      <c r="R2994" s="28">
        <f>-P2994*SIN(RADIANS(E2994))</f>
        <v/>
      </c>
      <c r="S2994" s="8">
        <f>(O2994+P2994*COS(RADIANS(E2994)))/L2994</f>
        <v/>
      </c>
      <c r="T2994" s="8">
        <f>R2994/L2994</f>
        <v/>
      </c>
      <c r="U2994" s="8">
        <f>(Q2994-P2994*G2994*SIN(RADIANS(E2994)))/M2994</f>
        <v/>
      </c>
      <c r="V2994" s="8">
        <f>SQRT((S2994+U2994)^2+3*T2994^2)</f>
        <v/>
      </c>
      <c r="W2994" s="8">
        <f>V2994/AA2994</f>
        <v/>
      </c>
      <c r="X2994" s="27">
        <f>((3*10+H2994/COS(RADIANS(E2994)))*(3+3)+3*G2994*H2994)*2</f>
        <v/>
      </c>
      <c r="Y2994" s="28">
        <f>Z2994/X2994</f>
        <v/>
      </c>
      <c r="Z2994" s="29" t="n">
        <v>715.050382138779</v>
      </c>
      <c r="AA2994" s="20" t="n">
        <v>43.2873743339402</v>
      </c>
      <c r="AB2994" t="n">
        <v>0.04329281957951023</v>
      </c>
      <c r="AC2994" t="n">
        <v>39.41845984670245</v>
      </c>
      <c r="AD2994" t="n">
        <v>9.894882380535002</v>
      </c>
    </row>
    <row r="2995">
      <c r="A2995" t="n">
        <v>2994</v>
      </c>
      <c r="B2995" t="n">
        <v>42.6</v>
      </c>
      <c r="C2995" s="21">
        <f>B2995-20</f>
        <v/>
      </c>
      <c r="D2995" t="n">
        <v>110.9</v>
      </c>
      <c r="E2995" s="22">
        <f>D2995-90</f>
        <v/>
      </c>
      <c r="F2995" s="23" t="n">
        <v>0.007539</v>
      </c>
      <c r="G2995" s="22" t="n">
        <v>24.9</v>
      </c>
      <c r="H2995" s="22" t="n">
        <v>1.4</v>
      </c>
      <c r="I2995" s="24" t="n">
        <v>0.0436957851052284</v>
      </c>
      <c r="J2995" s="6" t="n">
        <v>71000</v>
      </c>
      <c r="K2995" s="25">
        <f>23*10^-6</f>
        <v/>
      </c>
      <c r="L2995" s="8">
        <f>H2995</f>
        <v/>
      </c>
      <c r="M2995" s="26">
        <f>H2995^2/6</f>
        <v/>
      </c>
      <c r="N2995" s="26">
        <f>H2995^3/12</f>
        <v/>
      </c>
      <c r="O2995" s="27">
        <f>-J2995*L2995*K2995*C2995</f>
        <v/>
      </c>
      <c r="P2995" s="28">
        <f>-(12*F2995*J2995*L2995*N2995+12*O2995*N2995*G2995*COS(RADIANS(E2995)))/(12*N2995*G2995*COS(RADIANS(E2995))^2+L2995*G2995^3*SIN(RADIANS(E2995))^2)</f>
        <v/>
      </c>
      <c r="Q2995" s="28">
        <f>-(6*F2995*J2995*L2995*N2995*SIN(RADIANS(E2995))+6*O2995*N2995*G2995*SIN(RADIANS(E2995))*COS(RADIANS(E2995)))/(12*N2995*COS(RADIANS(E2995))^2+L2995*G2995^2*SIN(RADIANS(E2995))^2)</f>
        <v/>
      </c>
      <c r="R2995" s="28">
        <f>-P2995*SIN(RADIANS(E2995))</f>
        <v/>
      </c>
      <c r="S2995" s="8">
        <f>(O2995+P2995*COS(RADIANS(E2995)))/L2995</f>
        <v/>
      </c>
      <c r="T2995" s="8">
        <f>R2995/L2995</f>
        <v/>
      </c>
      <c r="U2995" s="8">
        <f>(Q2995-P2995*G2995*SIN(RADIANS(E2995)))/M2995</f>
        <v/>
      </c>
      <c r="V2995" s="8">
        <f>SQRT((S2995+U2995)^2+3*T2995^2)</f>
        <v/>
      </c>
      <c r="W2995" s="8">
        <f>V2995/AA2995</f>
        <v/>
      </c>
      <c r="X2995" s="27">
        <f>((3*10+H2995/COS(RADIANS(E2995)))*(3+3)+3*G2995*H2995)*2</f>
        <v/>
      </c>
      <c r="Y2995" s="28">
        <f>Z2995/X2995</f>
        <v/>
      </c>
      <c r="Z2995" s="29" t="n">
        <v>592.267151747705</v>
      </c>
      <c r="AA2995" s="20" t="n">
        <v>34.6159711237237</v>
      </c>
      <c r="AB2995" t="n">
        <v>0.054774354240683</v>
      </c>
      <c r="AC2995" t="n">
        <v>35.05343468441304</v>
      </c>
      <c r="AD2995" t="n">
        <v>25.35386218321774</v>
      </c>
    </row>
    <row r="2996">
      <c r="A2996" t="n">
        <v>2995</v>
      </c>
      <c r="B2996" t="n">
        <v>61.7</v>
      </c>
      <c r="C2996" s="21">
        <f>B2996-20</f>
        <v/>
      </c>
      <c r="D2996" t="n">
        <v>126</v>
      </c>
      <c r="E2996" s="22">
        <f>D2996-90</f>
        <v/>
      </c>
      <c r="F2996" s="23" t="n">
        <v>0.011121</v>
      </c>
      <c r="G2996" s="22" t="n">
        <v>21.5</v>
      </c>
      <c r="H2996" s="22" t="n">
        <v>2</v>
      </c>
      <c r="I2996" s="24" t="n">
        <v>0.0512564405798912</v>
      </c>
      <c r="J2996" s="6" t="n">
        <v>71000</v>
      </c>
      <c r="K2996" s="25">
        <f>23*10^-6</f>
        <v/>
      </c>
      <c r="L2996" s="8">
        <f>H2996</f>
        <v/>
      </c>
      <c r="M2996" s="26">
        <f>H2996^2/6</f>
        <v/>
      </c>
      <c r="N2996" s="26">
        <f>H2996^3/12</f>
        <v/>
      </c>
      <c r="O2996" s="27">
        <f>-J2996*L2996*K2996*C2996</f>
        <v/>
      </c>
      <c r="P2996" s="28">
        <f>-(12*F2996*J2996*L2996*N2996+12*O2996*N2996*G2996*COS(RADIANS(E2996)))/(12*N2996*G2996*COS(RADIANS(E2996))^2+L2996*G2996^3*SIN(RADIANS(E2996))^2)</f>
        <v/>
      </c>
      <c r="Q2996" s="28">
        <f>-(6*F2996*J2996*L2996*N2996*SIN(RADIANS(E2996))+6*O2996*N2996*G2996*SIN(RADIANS(E2996))*COS(RADIANS(E2996)))/(12*N2996*COS(RADIANS(E2996))^2+L2996*G2996^2*SIN(RADIANS(E2996))^2)</f>
        <v/>
      </c>
      <c r="R2996" s="28">
        <f>-P2996*SIN(RADIANS(E2996))</f>
        <v/>
      </c>
      <c r="S2996" s="8">
        <f>(O2996+P2996*COS(RADIANS(E2996)))/L2996</f>
        <v/>
      </c>
      <c r="T2996" s="8">
        <f>R2996/L2996</f>
        <v/>
      </c>
      <c r="U2996" s="8">
        <f>(Q2996-P2996*G2996*SIN(RADIANS(E2996)))/M2996</f>
        <v/>
      </c>
      <c r="V2996" s="8">
        <f>SQRT((S2996+U2996)^2+3*T2996^2)</f>
        <v/>
      </c>
      <c r="W2996" s="8">
        <f>V2996/AA2996</f>
        <v/>
      </c>
      <c r="X2996" s="27">
        <f>((3*10+H2996/COS(RADIANS(E2996)))*(3+3)+3*G2996*H2996)*2</f>
        <v/>
      </c>
      <c r="Y2996" s="28">
        <f>Z2996/X2996</f>
        <v/>
      </c>
      <c r="Z2996" s="29" t="n">
        <v>656.764892305631</v>
      </c>
      <c r="AA2996" s="20" t="n">
        <v>70.77431594593369</v>
      </c>
      <c r="AB2996" t="n">
        <v>0.04944563411247915</v>
      </c>
      <c r="AC2996" t="n">
        <v>62.76434181726908</v>
      </c>
      <c r="AD2996" t="n">
        <v>-3.532836940929636</v>
      </c>
    </row>
    <row r="2997">
      <c r="A2997" t="n">
        <v>2996</v>
      </c>
      <c r="B2997" t="n">
        <v>76.09999999999999</v>
      </c>
      <c r="C2997" s="21">
        <f>B2997-20</f>
        <v/>
      </c>
      <c r="D2997" t="n">
        <v>119.1</v>
      </c>
      <c r="E2997" s="22">
        <f>D2997-90</f>
        <v/>
      </c>
      <c r="F2997" s="23" t="n">
        <v>0.021328</v>
      </c>
      <c r="G2997" s="22" t="n">
        <v>31.3</v>
      </c>
      <c r="H2997" s="22" t="n">
        <v>1.8</v>
      </c>
      <c r="I2997" s="24" t="n">
        <v>0.100141689181327</v>
      </c>
      <c r="J2997" s="6" t="n">
        <v>71000</v>
      </c>
      <c r="K2997" s="25">
        <f>23*10^-6</f>
        <v/>
      </c>
      <c r="L2997" s="8">
        <f>H2997</f>
        <v/>
      </c>
      <c r="M2997" s="26">
        <f>H2997^2/6</f>
        <v/>
      </c>
      <c r="N2997" s="26">
        <f>H2997^3/12</f>
        <v/>
      </c>
      <c r="O2997" s="27">
        <f>-J2997*L2997*K2997*C2997</f>
        <v/>
      </c>
      <c r="P2997" s="28">
        <f>-(12*F2997*J2997*L2997*N2997+12*O2997*N2997*G2997*COS(RADIANS(E2997)))/(12*N2997*G2997*COS(RADIANS(E2997))^2+L2997*G2997^3*SIN(RADIANS(E2997))^2)</f>
        <v/>
      </c>
      <c r="Q2997" s="28">
        <f>-(6*F2997*J2997*L2997*N2997*SIN(RADIANS(E2997))+6*O2997*N2997*G2997*SIN(RADIANS(E2997))*COS(RADIANS(E2997)))/(12*N2997*COS(RADIANS(E2997))^2+L2997*G2997^2*SIN(RADIANS(E2997))^2)</f>
        <v/>
      </c>
      <c r="R2997" s="28">
        <f>-P2997*SIN(RADIANS(E2997))</f>
        <v/>
      </c>
      <c r="S2997" s="8">
        <f>(O2997+P2997*COS(RADIANS(E2997)))/L2997</f>
        <v/>
      </c>
      <c r="T2997" s="8">
        <f>R2997/L2997</f>
        <v/>
      </c>
      <c r="U2997" s="8">
        <f>(Q2997-P2997*G2997*SIN(RADIANS(E2997)))/M2997</f>
        <v/>
      </c>
      <c r="V2997" s="8">
        <f>SQRT((S2997+U2997)^2+3*T2997^2)</f>
        <v/>
      </c>
      <c r="W2997" s="8">
        <f>V2997/AA2997</f>
        <v/>
      </c>
      <c r="X2997" s="27">
        <f>((3*10+H2997/COS(RADIANS(E2997)))*(3+3)+3*G2997*H2997)*2</f>
        <v/>
      </c>
      <c r="Y2997" s="28">
        <f>Z2997/X2997</f>
        <v/>
      </c>
      <c r="Z2997" s="29" t="n">
        <v>729.661143245473</v>
      </c>
      <c r="AA2997" s="20" t="n">
        <v>87.42201785399099</v>
      </c>
      <c r="AB2997" t="n">
        <v>0.1199539562749575</v>
      </c>
      <c r="AC2997" t="n">
        <v>84.17682086675255</v>
      </c>
      <c r="AD2997" t="n">
        <v>19.78423497306538</v>
      </c>
    </row>
    <row r="2998">
      <c r="A2998" t="n">
        <v>2997</v>
      </c>
      <c r="B2998" t="n">
        <v>52.1</v>
      </c>
      <c r="C2998" s="21">
        <f>B2998-20</f>
        <v/>
      </c>
      <c r="D2998" t="n">
        <v>126.8</v>
      </c>
      <c r="E2998" s="22">
        <f>D2998-90</f>
        <v/>
      </c>
      <c r="F2998" s="23" t="n">
        <v>0.011719</v>
      </c>
      <c r="G2998" s="22" t="n">
        <v>32.5</v>
      </c>
      <c r="H2998" s="22" t="n">
        <v>1.1</v>
      </c>
      <c r="I2998" s="24" t="n">
        <v>0.0503659471869468</v>
      </c>
      <c r="J2998" s="6" t="n">
        <v>71000</v>
      </c>
      <c r="K2998" s="25">
        <f>23*10^-6</f>
        <v/>
      </c>
      <c r="L2998" s="8">
        <f>H2998</f>
        <v/>
      </c>
      <c r="M2998" s="26">
        <f>H2998^2/6</f>
        <v/>
      </c>
      <c r="N2998" s="26">
        <f>H2998^3/12</f>
        <v/>
      </c>
      <c r="O2998" s="27">
        <f>-J2998*L2998*K2998*C2998</f>
        <v/>
      </c>
      <c r="P2998" s="28">
        <f>-(12*F2998*J2998*L2998*N2998+12*O2998*N2998*G2998*COS(RADIANS(E2998)))/(12*N2998*G2998*COS(RADIANS(E2998))^2+L2998*G2998^3*SIN(RADIANS(E2998))^2)</f>
        <v/>
      </c>
      <c r="Q2998" s="28">
        <f>-(6*F2998*J2998*L2998*N2998*SIN(RADIANS(E2998))+6*O2998*N2998*G2998*SIN(RADIANS(E2998))*COS(RADIANS(E2998)))/(12*N2998*COS(RADIANS(E2998))^2+L2998*G2998^2*SIN(RADIANS(E2998))^2)</f>
        <v/>
      </c>
      <c r="R2998" s="28">
        <f>-P2998*SIN(RADIANS(E2998))</f>
        <v/>
      </c>
      <c r="S2998" s="8">
        <f>(O2998+P2998*COS(RADIANS(E2998)))/L2998</f>
        <v/>
      </c>
      <c r="T2998" s="8">
        <f>R2998/L2998</f>
        <v/>
      </c>
      <c r="U2998" s="8">
        <f>(Q2998-P2998*G2998*SIN(RADIANS(E2998)))/M2998</f>
        <v/>
      </c>
      <c r="V2998" s="8">
        <f>SQRT((S2998+U2998)^2+3*T2998^2)</f>
        <v/>
      </c>
      <c r="W2998" s="8">
        <f>V2998/AA2998</f>
        <v/>
      </c>
      <c r="X2998" s="27">
        <f>((3*10+H2998/COS(RADIANS(E2998)))*(3+3)+3*G2998*H2998)*2</f>
        <v/>
      </c>
      <c r="Y2998" s="28">
        <f>Z2998/X2998</f>
        <v/>
      </c>
      <c r="Z2998" s="29" t="n">
        <v>600.391157277826</v>
      </c>
      <c r="AA2998" s="20" t="n">
        <v>42.0718056053615</v>
      </c>
      <c r="AB2998" t="n">
        <v>0.05558951619510512</v>
      </c>
      <c r="AC2998" t="n">
        <v>45.35781975766892</v>
      </c>
      <c r="AD2998" t="n">
        <v>10.3712315560544</v>
      </c>
    </row>
    <row r="2999">
      <c r="A2999" t="n">
        <v>2998</v>
      </c>
      <c r="B2999" t="n">
        <v>76.59999999999999</v>
      </c>
      <c r="C2999" s="21">
        <f>B2999-20</f>
        <v/>
      </c>
      <c r="D2999" t="n">
        <v>120.7</v>
      </c>
      <c r="E2999" s="22">
        <f>D2999-90</f>
        <v/>
      </c>
      <c r="F2999" s="23" t="n">
        <v>0.01985</v>
      </c>
      <c r="G2999" s="22" t="n">
        <v>28.8</v>
      </c>
      <c r="H2999" s="22" t="n">
        <v>1.7</v>
      </c>
      <c r="I2999" s="24" t="n">
        <v>0.0921998247504234</v>
      </c>
      <c r="J2999" s="6" t="n">
        <v>71000</v>
      </c>
      <c r="K2999" s="25">
        <f>23*10^-6</f>
        <v/>
      </c>
      <c r="L2999" s="8">
        <f>H2999</f>
        <v/>
      </c>
      <c r="M2999" s="26">
        <f>H2999^2/6</f>
        <v/>
      </c>
      <c r="N2999" s="26">
        <f>H2999^3/12</f>
        <v/>
      </c>
      <c r="O2999" s="27">
        <f>-J2999*L2999*K2999*C2999</f>
        <v/>
      </c>
      <c r="P2999" s="28">
        <f>-(12*F2999*J2999*L2999*N2999+12*O2999*N2999*G2999*COS(RADIANS(E2999)))/(12*N2999*G2999*COS(RADIANS(E2999))^2+L2999*G2999^3*SIN(RADIANS(E2999))^2)</f>
        <v/>
      </c>
      <c r="Q2999" s="28">
        <f>-(6*F2999*J2999*L2999*N2999*SIN(RADIANS(E2999))+6*O2999*N2999*G2999*SIN(RADIANS(E2999))*COS(RADIANS(E2999)))/(12*N2999*COS(RADIANS(E2999))^2+L2999*G2999^2*SIN(RADIANS(E2999))^2)</f>
        <v/>
      </c>
      <c r="R2999" s="28">
        <f>-P2999*SIN(RADIANS(E2999))</f>
        <v/>
      </c>
      <c r="S2999" s="8">
        <f>(O2999+P2999*COS(RADIANS(E2999)))/L2999</f>
        <v/>
      </c>
      <c r="T2999" s="8">
        <f>R2999/L2999</f>
        <v/>
      </c>
      <c r="U2999" s="8">
        <f>(Q2999-P2999*G2999*SIN(RADIANS(E2999)))/M2999</f>
        <v/>
      </c>
      <c r="V2999" s="8">
        <f>SQRT((S2999+U2999)^2+3*T2999^2)</f>
        <v/>
      </c>
      <c r="W2999" s="8">
        <f>V2999/AA2999</f>
        <v/>
      </c>
      <c r="X2999" s="27">
        <f>((3*10+H2999/COS(RADIANS(E2999)))*(3+3)+3*G2999*H2999)*2</f>
        <v/>
      </c>
      <c r="Y2999" s="28">
        <f>Z2999/X2999</f>
        <v/>
      </c>
      <c r="Z2999" s="29" t="n">
        <v>684.830406384023</v>
      </c>
      <c r="AA2999" s="20" t="n">
        <v>87.5312458228241</v>
      </c>
      <c r="AB2999" t="n">
        <v>0.1057052591589349</v>
      </c>
      <c r="AC2999" t="n">
        <v>84.36209084021985</v>
      </c>
      <c r="AD2999" t="n">
        <v>14.64800442416184</v>
      </c>
    </row>
    <row r="3000">
      <c r="A3000" t="n">
        <v>2999</v>
      </c>
      <c r="B3000" t="n">
        <v>64.7</v>
      </c>
      <c r="C3000" s="21">
        <f>B3000-20</f>
        <v/>
      </c>
      <c r="D3000" t="n">
        <v>127.1</v>
      </c>
      <c r="E3000" s="22">
        <f>D3000-90</f>
        <v/>
      </c>
      <c r="F3000" s="23" t="n">
        <v>0.0133</v>
      </c>
      <c r="G3000" s="22" t="n">
        <v>25.2</v>
      </c>
      <c r="H3000" s="22" t="n">
        <v>1.9</v>
      </c>
      <c r="I3000" s="24" t="n">
        <v>0.0594202689826488</v>
      </c>
      <c r="J3000" s="6" t="n">
        <v>71000</v>
      </c>
      <c r="K3000" s="25">
        <f>23*10^-6</f>
        <v/>
      </c>
      <c r="L3000" s="8">
        <f>H3000</f>
        <v/>
      </c>
      <c r="M3000" s="26">
        <f>H3000^2/6</f>
        <v/>
      </c>
      <c r="N3000" s="26">
        <f>H3000^3/12</f>
        <v/>
      </c>
      <c r="O3000" s="27">
        <f>-J3000*L3000*K3000*C3000</f>
        <v/>
      </c>
      <c r="P3000" s="28">
        <f>-(12*F3000*J3000*L3000*N3000+12*O3000*N3000*G3000*COS(RADIANS(E3000)))/(12*N3000*G3000*COS(RADIANS(E3000))^2+L3000*G3000^3*SIN(RADIANS(E3000))^2)</f>
        <v/>
      </c>
      <c r="Q3000" s="28">
        <f>-(6*F3000*J3000*L3000*N3000*SIN(RADIANS(E3000))+6*O3000*N3000*G3000*SIN(RADIANS(E3000))*COS(RADIANS(E3000)))/(12*N3000*COS(RADIANS(E3000))^2+L3000*G3000^2*SIN(RADIANS(E3000))^2)</f>
        <v/>
      </c>
      <c r="R3000" s="28">
        <f>-P3000*SIN(RADIANS(E3000))</f>
        <v/>
      </c>
      <c r="S3000" s="8">
        <f>(O3000+P3000*COS(RADIANS(E3000)))/L3000</f>
        <v/>
      </c>
      <c r="T3000" s="8">
        <f>R3000/L3000</f>
        <v/>
      </c>
      <c r="U3000" s="8">
        <f>(Q3000-P3000*G3000*SIN(RADIANS(E3000)))/M3000</f>
        <v/>
      </c>
      <c r="V3000" s="8">
        <f>SQRT((S3000+U3000)^2+3*T3000^2)</f>
        <v/>
      </c>
      <c r="W3000" s="8">
        <f>V3000/AA3000</f>
        <v/>
      </c>
      <c r="X3000" s="27">
        <f>((3*10+H3000/COS(RADIANS(E3000)))*(3+3)+3*G3000*H3000)*2</f>
        <v/>
      </c>
      <c r="Y3000" s="28">
        <f>Z3000/X3000</f>
        <v/>
      </c>
      <c r="Z3000" s="29" t="n">
        <v>685.390839781457</v>
      </c>
      <c r="AA3000" s="20" t="n">
        <v>71.898793996124</v>
      </c>
      <c r="AB3000" t="n">
        <v>0.05984106276420521</v>
      </c>
      <c r="AC3000" t="n">
        <v>66.16374750448541</v>
      </c>
      <c r="AD3000" t="n">
        <v>0.7081653933261186</v>
      </c>
    </row>
    <row r="3001">
      <c r="A3001" t="n">
        <v>3000</v>
      </c>
      <c r="B3001" t="n">
        <v>69.3</v>
      </c>
      <c r="C3001" s="21">
        <f>B3001-20</f>
        <v/>
      </c>
      <c r="D3001" t="n">
        <v>109</v>
      </c>
      <c r="E3001" s="22">
        <f>D3001-90</f>
        <v/>
      </c>
      <c r="F3001" s="23" t="n">
        <v>0.016019</v>
      </c>
      <c r="G3001" s="22" t="n">
        <v>23.8</v>
      </c>
      <c r="H3001" s="22" t="n">
        <v>2</v>
      </c>
      <c r="I3001" s="24" t="n">
        <v>0.0973763316869735</v>
      </c>
      <c r="J3001" s="6" t="n">
        <v>71000</v>
      </c>
      <c r="K3001" s="25">
        <f>23*10^-6</f>
        <v/>
      </c>
      <c r="L3001" s="8">
        <f>H3001</f>
        <v/>
      </c>
      <c r="M3001" s="26">
        <f>H3001^2/6</f>
        <v/>
      </c>
      <c r="N3001" s="26">
        <f>H3001^3/12</f>
        <v/>
      </c>
      <c r="O3001" s="27">
        <f>-J3001*L3001*K3001*C3001</f>
        <v/>
      </c>
      <c r="P3001" s="28">
        <f>-(12*F3001*J3001*L3001*N3001+12*O3001*N3001*G3001*COS(RADIANS(E3001)))/(12*N3001*G3001*COS(RADIANS(E3001))^2+L3001*G3001^3*SIN(RADIANS(E3001))^2)</f>
        <v/>
      </c>
      <c r="Q3001" s="28">
        <f>-(6*F3001*J3001*L3001*N3001*SIN(RADIANS(E3001))+6*O3001*N3001*G3001*SIN(RADIANS(E3001))*COS(RADIANS(E3001)))/(12*N3001*COS(RADIANS(E3001))^2+L3001*G3001^2*SIN(RADIANS(E3001))^2)</f>
        <v/>
      </c>
      <c r="R3001" s="28">
        <f>-P3001*SIN(RADIANS(E3001))</f>
        <v/>
      </c>
      <c r="S3001" s="8">
        <f>(O3001+P3001*COS(RADIANS(E3001)))/L3001</f>
        <v/>
      </c>
      <c r="T3001" s="8">
        <f>R3001/L3001</f>
        <v/>
      </c>
      <c r="U3001" s="8">
        <f>(Q3001-P3001*G3001*SIN(RADIANS(E3001)))/M3001</f>
        <v/>
      </c>
      <c r="V3001" s="8">
        <f>SQRT((S3001+U3001)^2+3*T3001^2)</f>
        <v/>
      </c>
      <c r="W3001" s="8">
        <f>V3001/AA3001</f>
        <v/>
      </c>
      <c r="X3001" s="27">
        <f>((3*10+H3001/COS(RADIANS(E3001)))*(3+3)+3*G3001*H3001)*2</f>
        <v/>
      </c>
      <c r="Y3001" s="28">
        <f>Z3001/X3001</f>
        <v/>
      </c>
      <c r="Z3001" s="29" t="n">
        <v>675.799422082601</v>
      </c>
      <c r="AA3001" s="20" t="n">
        <v>87.3709188325786</v>
      </c>
      <c r="AB3001" t="n">
        <v>0.1218304330748362</v>
      </c>
      <c r="AC3001" t="n">
        <v>81.86435800269246</v>
      </c>
      <c r="AD3001" t="n">
        <v>25.11298275896544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Tudor Bartha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2026-05-05T09:22:24Z</dcterms:modified>
  <cp:lastModifiedBy>Tudor Bartha</cp:lastModifiedBy>
</cp:coreProperties>
</file>