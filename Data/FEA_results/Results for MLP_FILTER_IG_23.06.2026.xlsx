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du\Desktop\ANSYS V-Beam\Sensor\Model predictions\"/>
    </mc:Choice>
  </mc:AlternateContent>
  <xr:revisionPtr revIDLastSave="0" documentId="13_ncr:1_{83171928-85B5-4F8D-9A0D-EE7CB23D4498}" xr6:coauthVersionLast="47" xr6:coauthVersionMax="47" xr10:uidLastSave="{00000000-0000-0000-0000-000000000000}"/>
  <bookViews>
    <workbookView xWindow="1152" yWindow="1152" windowWidth="17280" windowHeight="8880" xr2:uid="{F7D0C80D-C0C8-44C2-96E5-EF0F645C93F3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8" i="1" l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8" i="1"/>
  <c r="P8" i="1"/>
  <c r="Q8" i="1"/>
  <c r="L9" i="1"/>
  <c r="P9" i="1"/>
  <c r="Q9" i="1"/>
  <c r="L10" i="1"/>
  <c r="P10" i="1"/>
  <c r="Q10" i="1"/>
  <c r="L11" i="1"/>
  <c r="P11" i="1"/>
  <c r="Q11" i="1"/>
  <c r="L12" i="1"/>
  <c r="P12" i="1"/>
  <c r="Q12" i="1"/>
  <c r="L13" i="1"/>
  <c r="P13" i="1"/>
  <c r="Q13" i="1"/>
  <c r="L14" i="1"/>
  <c r="P14" i="1"/>
  <c r="Q14" i="1"/>
  <c r="L15" i="1"/>
  <c r="P15" i="1"/>
  <c r="Q15" i="1"/>
  <c r="L16" i="1"/>
  <c r="P16" i="1"/>
  <c r="Q16" i="1"/>
  <c r="L17" i="1"/>
  <c r="P17" i="1"/>
  <c r="Q17" i="1"/>
  <c r="L18" i="1"/>
  <c r="P18" i="1"/>
  <c r="Q18" i="1"/>
  <c r="L19" i="1"/>
  <c r="P19" i="1"/>
  <c r="Q19" i="1"/>
  <c r="L20" i="1"/>
  <c r="P20" i="1"/>
  <c r="Q20" i="1"/>
  <c r="L21" i="1"/>
  <c r="P21" i="1"/>
  <c r="Q21" i="1"/>
  <c r="L22" i="1"/>
  <c r="P22" i="1"/>
  <c r="Q22" i="1"/>
  <c r="L23" i="1"/>
  <c r="P23" i="1"/>
  <c r="Q23" i="1"/>
  <c r="L24" i="1"/>
  <c r="P24" i="1"/>
  <c r="Q24" i="1"/>
  <c r="L25" i="1"/>
  <c r="P25" i="1"/>
  <c r="Q25" i="1"/>
  <c r="L26" i="1"/>
  <c r="P26" i="1"/>
  <c r="Q26" i="1"/>
  <c r="L27" i="1"/>
  <c r="P27" i="1"/>
  <c r="Q27" i="1"/>
  <c r="L28" i="1"/>
  <c r="P28" i="1"/>
  <c r="Q28" i="1"/>
  <c r="L29" i="1"/>
  <c r="P29" i="1"/>
  <c r="Q29" i="1"/>
  <c r="L30" i="1"/>
  <c r="P30" i="1"/>
  <c r="Q30" i="1"/>
  <c r="L31" i="1"/>
  <c r="P31" i="1"/>
  <c r="Q31" i="1"/>
  <c r="L32" i="1"/>
  <c r="P32" i="1"/>
  <c r="Q32" i="1"/>
  <c r="L33" i="1"/>
  <c r="P33" i="1"/>
  <c r="Q33" i="1"/>
  <c r="L34" i="1"/>
  <c r="P34" i="1"/>
  <c r="Q34" i="1"/>
  <c r="L35" i="1"/>
  <c r="P35" i="1"/>
  <c r="Q35" i="1"/>
  <c r="L36" i="1"/>
  <c r="P36" i="1"/>
  <c r="Q36" i="1"/>
  <c r="L37" i="1"/>
  <c r="P37" i="1"/>
  <c r="Q37" i="1"/>
  <c r="L38" i="1"/>
  <c r="P38" i="1"/>
  <c r="Q38" i="1"/>
  <c r="L39" i="1"/>
  <c r="P39" i="1"/>
  <c r="Q39" i="1"/>
  <c r="L40" i="1"/>
  <c r="P40" i="1"/>
  <c r="Q40" i="1"/>
  <c r="L41" i="1"/>
  <c r="P41" i="1"/>
  <c r="Q41" i="1"/>
  <c r="L42" i="1"/>
  <c r="P42" i="1"/>
  <c r="Q42" i="1"/>
  <c r="L43" i="1"/>
  <c r="P43" i="1"/>
  <c r="Q43" i="1"/>
  <c r="L44" i="1"/>
  <c r="P44" i="1"/>
  <c r="Q44" i="1"/>
  <c r="L45" i="1"/>
  <c r="P45" i="1"/>
  <c r="Q45" i="1"/>
  <c r="L46" i="1"/>
  <c r="P46" i="1"/>
  <c r="Q46" i="1"/>
  <c r="L47" i="1"/>
  <c r="P47" i="1"/>
  <c r="Q47" i="1"/>
  <c r="L48" i="1"/>
  <c r="P48" i="1"/>
  <c r="Q48" i="1"/>
  <c r="L49" i="1"/>
  <c r="P49" i="1"/>
  <c r="Q49" i="1"/>
  <c r="L50" i="1"/>
  <c r="P50" i="1"/>
  <c r="Q50" i="1"/>
  <c r="L51" i="1"/>
  <c r="P51" i="1"/>
  <c r="Q51" i="1"/>
  <c r="L52" i="1"/>
  <c r="P52" i="1"/>
  <c r="Q52" i="1"/>
  <c r="L53" i="1"/>
  <c r="P53" i="1"/>
  <c r="Q53" i="1"/>
  <c r="L54" i="1"/>
  <c r="P54" i="1"/>
  <c r="Q54" i="1"/>
  <c r="L55" i="1"/>
  <c r="P55" i="1"/>
  <c r="Q55" i="1"/>
  <c r="L56" i="1"/>
  <c r="P56" i="1"/>
  <c r="Q56" i="1"/>
  <c r="L57" i="1"/>
  <c r="P57" i="1"/>
  <c r="Q57" i="1"/>
  <c r="L58" i="1"/>
  <c r="P58" i="1"/>
  <c r="Q58" i="1"/>
  <c r="L59" i="1"/>
  <c r="P59" i="1"/>
  <c r="Q59" i="1"/>
  <c r="L60" i="1"/>
  <c r="P60" i="1"/>
  <c r="Q60" i="1"/>
  <c r="L61" i="1"/>
  <c r="P61" i="1"/>
  <c r="Q61" i="1"/>
  <c r="L62" i="1"/>
  <c r="P62" i="1"/>
  <c r="Q62" i="1"/>
  <c r="L63" i="1"/>
  <c r="P63" i="1"/>
  <c r="Q63" i="1"/>
  <c r="L64" i="1"/>
  <c r="P64" i="1"/>
  <c r="Q64" i="1"/>
  <c r="L65" i="1"/>
  <c r="P65" i="1"/>
  <c r="Q65" i="1"/>
  <c r="L66" i="1"/>
  <c r="P66" i="1"/>
  <c r="Q66" i="1"/>
  <c r="L67" i="1"/>
  <c r="P67" i="1"/>
  <c r="Q67" i="1"/>
  <c r="L68" i="1"/>
  <c r="P68" i="1"/>
  <c r="Q68" i="1"/>
  <c r="L69" i="1"/>
  <c r="P69" i="1"/>
  <c r="Q69" i="1"/>
  <c r="L70" i="1"/>
  <c r="P70" i="1"/>
  <c r="Q70" i="1"/>
  <c r="L71" i="1"/>
  <c r="P71" i="1"/>
  <c r="Q71" i="1"/>
  <c r="L72" i="1"/>
  <c r="P72" i="1"/>
  <c r="Q72" i="1"/>
  <c r="L73" i="1"/>
  <c r="P73" i="1"/>
  <c r="Q73" i="1"/>
  <c r="L74" i="1"/>
  <c r="P74" i="1"/>
  <c r="Q74" i="1"/>
  <c r="L75" i="1"/>
  <c r="P75" i="1"/>
  <c r="Q75" i="1"/>
  <c r="L76" i="1"/>
  <c r="P76" i="1"/>
  <c r="Q76" i="1"/>
  <c r="L77" i="1"/>
  <c r="P77" i="1"/>
  <c r="Q77" i="1"/>
  <c r="L78" i="1"/>
  <c r="P78" i="1"/>
  <c r="Q78" i="1"/>
  <c r="L79" i="1"/>
  <c r="P79" i="1"/>
  <c r="Q79" i="1"/>
  <c r="L80" i="1"/>
  <c r="P80" i="1"/>
  <c r="Q80" i="1"/>
  <c r="L81" i="1"/>
  <c r="P81" i="1"/>
  <c r="Q81" i="1"/>
  <c r="L82" i="1"/>
  <c r="P82" i="1"/>
  <c r="Q82" i="1"/>
  <c r="L83" i="1"/>
  <c r="P83" i="1"/>
  <c r="Q83" i="1"/>
  <c r="L84" i="1"/>
  <c r="P84" i="1"/>
  <c r="Q84" i="1"/>
  <c r="L85" i="1"/>
  <c r="P85" i="1"/>
  <c r="Q85" i="1"/>
  <c r="L86" i="1"/>
  <c r="P86" i="1"/>
  <c r="Q86" i="1"/>
  <c r="L87" i="1"/>
  <c r="P87" i="1"/>
  <c r="Q87" i="1"/>
  <c r="L88" i="1"/>
  <c r="P88" i="1"/>
  <c r="Q88" i="1"/>
  <c r="L89" i="1"/>
  <c r="P89" i="1"/>
  <c r="Q89" i="1"/>
  <c r="L90" i="1"/>
  <c r="P90" i="1"/>
  <c r="Q90" i="1"/>
  <c r="L91" i="1"/>
  <c r="P91" i="1"/>
  <c r="Q91" i="1"/>
  <c r="L92" i="1"/>
  <c r="P92" i="1"/>
  <c r="Q92" i="1"/>
  <c r="L93" i="1"/>
  <c r="P93" i="1"/>
  <c r="Q93" i="1"/>
  <c r="L94" i="1"/>
  <c r="P94" i="1"/>
  <c r="Q94" i="1"/>
  <c r="L95" i="1"/>
  <c r="P95" i="1"/>
  <c r="Q95" i="1"/>
  <c r="L96" i="1"/>
  <c r="P96" i="1"/>
  <c r="Q96" i="1"/>
  <c r="L97" i="1"/>
  <c r="P97" i="1"/>
  <c r="Q97" i="1"/>
  <c r="L98" i="1"/>
  <c r="P98" i="1"/>
  <c r="Q98" i="1"/>
  <c r="L99" i="1"/>
  <c r="P99" i="1"/>
  <c r="Q99" i="1"/>
  <c r="L100" i="1"/>
  <c r="P100" i="1"/>
  <c r="Q100" i="1"/>
  <c r="L101" i="1"/>
  <c r="P101" i="1"/>
  <c r="Q101" i="1"/>
  <c r="L102" i="1"/>
  <c r="P102" i="1"/>
  <c r="Q102" i="1"/>
  <c r="L103" i="1"/>
  <c r="P103" i="1"/>
  <c r="Q103" i="1"/>
  <c r="L104" i="1"/>
  <c r="P104" i="1"/>
  <c r="Q104" i="1"/>
  <c r="L105" i="1"/>
  <c r="P105" i="1"/>
  <c r="Q105" i="1"/>
  <c r="L106" i="1"/>
  <c r="P106" i="1"/>
  <c r="Q106" i="1"/>
  <c r="L107" i="1"/>
  <c r="P107" i="1"/>
  <c r="Q107" i="1"/>
  <c r="L108" i="1"/>
  <c r="P108" i="1"/>
  <c r="Q108" i="1"/>
  <c r="L109" i="1"/>
  <c r="P109" i="1"/>
  <c r="Q109" i="1"/>
  <c r="L110" i="1"/>
  <c r="P110" i="1"/>
  <c r="Q110" i="1"/>
  <c r="L111" i="1"/>
  <c r="P111" i="1"/>
  <c r="Q111" i="1"/>
  <c r="L112" i="1"/>
  <c r="P112" i="1"/>
  <c r="Q112" i="1"/>
  <c r="L113" i="1"/>
  <c r="P113" i="1"/>
  <c r="Q113" i="1"/>
  <c r="L114" i="1"/>
  <c r="P114" i="1"/>
  <c r="Q114" i="1"/>
  <c r="L115" i="1"/>
  <c r="P115" i="1"/>
  <c r="Q115" i="1"/>
  <c r="L116" i="1"/>
  <c r="P116" i="1"/>
  <c r="Q116" i="1"/>
  <c r="L117" i="1"/>
  <c r="P117" i="1"/>
  <c r="Q117" i="1"/>
  <c r="L118" i="1"/>
  <c r="P118" i="1"/>
  <c r="Q118" i="1"/>
  <c r="L119" i="1"/>
  <c r="P119" i="1"/>
  <c r="Q119" i="1"/>
  <c r="L120" i="1"/>
  <c r="P120" i="1"/>
  <c r="Q120" i="1"/>
  <c r="L121" i="1"/>
  <c r="P121" i="1"/>
  <c r="Q121" i="1"/>
  <c r="L122" i="1"/>
  <c r="P122" i="1"/>
  <c r="Q122" i="1"/>
  <c r="L123" i="1"/>
  <c r="P123" i="1"/>
  <c r="Q123" i="1"/>
  <c r="L124" i="1"/>
  <c r="P124" i="1"/>
  <c r="Q124" i="1"/>
  <c r="L125" i="1"/>
  <c r="P125" i="1"/>
  <c r="Q125" i="1"/>
  <c r="L126" i="1"/>
  <c r="P126" i="1"/>
  <c r="Q126" i="1"/>
  <c r="L127" i="1"/>
  <c r="P127" i="1"/>
  <c r="Q127" i="1"/>
  <c r="L128" i="1"/>
  <c r="P128" i="1"/>
  <c r="Q128" i="1"/>
  <c r="L129" i="1"/>
  <c r="P129" i="1"/>
  <c r="Q129" i="1"/>
  <c r="L130" i="1"/>
  <c r="P130" i="1"/>
  <c r="Q130" i="1"/>
  <c r="L131" i="1"/>
  <c r="P131" i="1"/>
  <c r="Q131" i="1"/>
  <c r="L132" i="1"/>
  <c r="P132" i="1"/>
  <c r="Q132" i="1"/>
  <c r="L133" i="1"/>
  <c r="P133" i="1"/>
  <c r="Q133" i="1"/>
  <c r="L134" i="1"/>
  <c r="P134" i="1"/>
  <c r="Q134" i="1"/>
  <c r="L135" i="1"/>
  <c r="P135" i="1"/>
  <c r="Q135" i="1"/>
  <c r="L136" i="1"/>
  <c r="P136" i="1"/>
  <c r="Q136" i="1"/>
  <c r="L137" i="1"/>
  <c r="P137" i="1"/>
  <c r="Q137" i="1"/>
  <c r="L138" i="1"/>
  <c r="P138" i="1"/>
  <c r="Q138" i="1"/>
  <c r="L139" i="1"/>
  <c r="P139" i="1"/>
  <c r="Q139" i="1"/>
  <c r="L140" i="1"/>
  <c r="P140" i="1"/>
  <c r="Q140" i="1"/>
  <c r="L141" i="1"/>
  <c r="P141" i="1"/>
  <c r="Q141" i="1"/>
  <c r="L142" i="1"/>
  <c r="P142" i="1"/>
  <c r="Q142" i="1"/>
  <c r="L143" i="1"/>
  <c r="P143" i="1"/>
  <c r="Q143" i="1"/>
  <c r="L144" i="1"/>
  <c r="P144" i="1"/>
  <c r="Q144" i="1"/>
  <c r="L145" i="1"/>
  <c r="P145" i="1"/>
  <c r="Q145" i="1"/>
  <c r="L146" i="1"/>
  <c r="P146" i="1"/>
  <c r="Q146" i="1"/>
  <c r="L147" i="1"/>
  <c r="P147" i="1"/>
  <c r="Q147" i="1"/>
  <c r="L148" i="1"/>
  <c r="P148" i="1"/>
  <c r="Q148" i="1"/>
  <c r="L149" i="1"/>
  <c r="P149" i="1"/>
  <c r="Q149" i="1"/>
  <c r="L150" i="1"/>
  <c r="P150" i="1"/>
  <c r="Q150" i="1"/>
  <c r="L151" i="1"/>
  <c r="P151" i="1"/>
  <c r="Q151" i="1"/>
  <c r="L152" i="1"/>
  <c r="P152" i="1"/>
  <c r="Q152" i="1"/>
  <c r="L153" i="1"/>
  <c r="P153" i="1"/>
  <c r="Q153" i="1"/>
  <c r="L154" i="1"/>
  <c r="P154" i="1"/>
  <c r="Q154" i="1"/>
  <c r="L155" i="1"/>
  <c r="P155" i="1"/>
  <c r="Q155" i="1"/>
  <c r="L156" i="1"/>
  <c r="P156" i="1"/>
  <c r="Q156" i="1"/>
  <c r="L157" i="1"/>
  <c r="P157" i="1"/>
  <c r="Q157" i="1"/>
  <c r="L158" i="1"/>
  <c r="P158" i="1"/>
  <c r="Q158" i="1"/>
  <c r="L159" i="1"/>
  <c r="P159" i="1"/>
  <c r="Q159" i="1"/>
  <c r="L160" i="1"/>
  <c r="P160" i="1"/>
  <c r="Q160" i="1"/>
  <c r="L161" i="1"/>
  <c r="P161" i="1"/>
  <c r="Q161" i="1"/>
  <c r="L162" i="1"/>
  <c r="P162" i="1"/>
  <c r="Q162" i="1"/>
  <c r="L163" i="1"/>
  <c r="P163" i="1"/>
  <c r="Q163" i="1"/>
  <c r="L164" i="1"/>
  <c r="P164" i="1"/>
  <c r="Q164" i="1"/>
  <c r="L165" i="1"/>
  <c r="P165" i="1"/>
  <c r="Q165" i="1"/>
  <c r="L166" i="1"/>
  <c r="P166" i="1"/>
  <c r="Q166" i="1"/>
  <c r="L167" i="1"/>
  <c r="P167" i="1"/>
  <c r="Q167" i="1"/>
  <c r="L168" i="1"/>
  <c r="P168" i="1"/>
  <c r="Q168" i="1"/>
  <c r="L169" i="1"/>
  <c r="P169" i="1"/>
  <c r="Q169" i="1"/>
  <c r="L170" i="1"/>
  <c r="P170" i="1"/>
  <c r="Q170" i="1"/>
  <c r="L171" i="1"/>
  <c r="P171" i="1"/>
  <c r="Q171" i="1"/>
  <c r="L172" i="1"/>
  <c r="P172" i="1"/>
  <c r="Q172" i="1"/>
  <c r="L173" i="1"/>
  <c r="P173" i="1"/>
  <c r="Q173" i="1"/>
  <c r="L174" i="1"/>
  <c r="P174" i="1"/>
  <c r="Q174" i="1"/>
  <c r="L175" i="1"/>
  <c r="P175" i="1"/>
  <c r="Q175" i="1"/>
  <c r="L176" i="1"/>
  <c r="P176" i="1"/>
  <c r="Q176" i="1"/>
  <c r="L177" i="1"/>
  <c r="P177" i="1"/>
  <c r="Q177" i="1"/>
  <c r="L178" i="1"/>
  <c r="P178" i="1"/>
  <c r="Q178" i="1"/>
  <c r="L179" i="1"/>
  <c r="P179" i="1"/>
  <c r="Q179" i="1"/>
  <c r="L180" i="1"/>
  <c r="P180" i="1"/>
  <c r="Q180" i="1"/>
  <c r="L181" i="1"/>
  <c r="P181" i="1"/>
  <c r="Q181" i="1"/>
  <c r="L182" i="1"/>
  <c r="P182" i="1"/>
  <c r="Q182" i="1"/>
  <c r="L183" i="1"/>
  <c r="P183" i="1"/>
  <c r="Q183" i="1"/>
  <c r="L184" i="1"/>
  <c r="P184" i="1"/>
  <c r="Q184" i="1"/>
  <c r="L185" i="1"/>
  <c r="P185" i="1"/>
  <c r="Q185" i="1"/>
  <c r="L186" i="1"/>
  <c r="P186" i="1"/>
  <c r="Q186" i="1"/>
  <c r="L187" i="1"/>
  <c r="P187" i="1"/>
  <c r="Q187" i="1"/>
  <c r="L188" i="1"/>
  <c r="P188" i="1"/>
  <c r="Q188" i="1"/>
  <c r="L189" i="1"/>
  <c r="P189" i="1"/>
  <c r="Q189" i="1"/>
  <c r="L190" i="1"/>
  <c r="P190" i="1"/>
  <c r="Q190" i="1"/>
  <c r="L191" i="1"/>
  <c r="P191" i="1"/>
  <c r="Q191" i="1"/>
  <c r="L192" i="1"/>
  <c r="P192" i="1"/>
  <c r="Q192" i="1"/>
  <c r="L193" i="1"/>
  <c r="P193" i="1"/>
  <c r="Q193" i="1"/>
  <c r="L194" i="1"/>
  <c r="P194" i="1"/>
  <c r="Q194" i="1"/>
  <c r="L195" i="1"/>
  <c r="P195" i="1"/>
  <c r="Q195" i="1"/>
  <c r="L196" i="1"/>
  <c r="P196" i="1"/>
  <c r="Q196" i="1"/>
  <c r="L197" i="1"/>
  <c r="P197" i="1"/>
  <c r="Q197" i="1"/>
  <c r="L198" i="1"/>
  <c r="P198" i="1"/>
  <c r="Q198" i="1"/>
  <c r="L199" i="1"/>
  <c r="P199" i="1"/>
  <c r="Q199" i="1"/>
  <c r="L200" i="1"/>
  <c r="P200" i="1"/>
  <c r="Q200" i="1"/>
  <c r="L201" i="1"/>
  <c r="P201" i="1"/>
  <c r="Q201" i="1"/>
  <c r="L202" i="1"/>
  <c r="P202" i="1"/>
  <c r="Q202" i="1"/>
  <c r="L203" i="1"/>
  <c r="P203" i="1"/>
  <c r="Q203" i="1"/>
  <c r="L204" i="1"/>
  <c r="P204" i="1"/>
  <c r="Q204" i="1"/>
  <c r="L205" i="1"/>
  <c r="P205" i="1"/>
  <c r="Q205" i="1"/>
  <c r="L206" i="1"/>
  <c r="P206" i="1"/>
  <c r="Q206" i="1"/>
  <c r="L207" i="1"/>
  <c r="P207" i="1"/>
  <c r="Q207" i="1"/>
  <c r="L208" i="1"/>
  <c r="P208" i="1"/>
  <c r="Q208" i="1"/>
  <c r="L209" i="1"/>
  <c r="P209" i="1"/>
  <c r="Q209" i="1"/>
  <c r="L210" i="1"/>
  <c r="P210" i="1"/>
  <c r="Q210" i="1"/>
  <c r="L211" i="1"/>
  <c r="P211" i="1"/>
  <c r="Q211" i="1"/>
  <c r="L212" i="1"/>
  <c r="P212" i="1"/>
  <c r="Q212" i="1"/>
  <c r="L213" i="1"/>
  <c r="P213" i="1"/>
  <c r="Q213" i="1"/>
  <c r="L214" i="1"/>
  <c r="P214" i="1"/>
  <c r="Q214" i="1"/>
  <c r="L215" i="1"/>
  <c r="P215" i="1"/>
  <c r="Q215" i="1"/>
  <c r="L216" i="1"/>
  <c r="P216" i="1"/>
  <c r="Q216" i="1"/>
  <c r="L217" i="1"/>
  <c r="P217" i="1"/>
  <c r="Q217" i="1"/>
  <c r="L218" i="1"/>
  <c r="P218" i="1"/>
  <c r="Q218" i="1"/>
  <c r="L219" i="1"/>
  <c r="P219" i="1"/>
  <c r="Q219" i="1"/>
  <c r="L220" i="1"/>
  <c r="P220" i="1"/>
  <c r="Q220" i="1"/>
  <c r="L221" i="1"/>
  <c r="P221" i="1"/>
  <c r="Q221" i="1"/>
  <c r="L222" i="1"/>
  <c r="P222" i="1"/>
  <c r="Q222" i="1"/>
  <c r="L223" i="1"/>
  <c r="P223" i="1"/>
  <c r="Q223" i="1"/>
  <c r="L224" i="1"/>
  <c r="P224" i="1"/>
  <c r="Q224" i="1"/>
  <c r="L225" i="1"/>
  <c r="P225" i="1"/>
  <c r="Q225" i="1"/>
  <c r="L226" i="1"/>
  <c r="P226" i="1"/>
  <c r="Q226" i="1"/>
  <c r="L227" i="1"/>
  <c r="P227" i="1"/>
  <c r="Q227" i="1"/>
  <c r="L228" i="1"/>
  <c r="P228" i="1"/>
  <c r="Q228" i="1"/>
  <c r="L229" i="1"/>
  <c r="P229" i="1"/>
  <c r="Q229" i="1"/>
  <c r="L230" i="1"/>
  <c r="P230" i="1"/>
  <c r="Q230" i="1"/>
  <c r="L231" i="1"/>
  <c r="P231" i="1"/>
  <c r="Q231" i="1"/>
  <c r="L232" i="1"/>
  <c r="P232" i="1"/>
  <c r="Q232" i="1"/>
  <c r="L233" i="1"/>
  <c r="P233" i="1"/>
  <c r="Q233" i="1"/>
  <c r="L234" i="1"/>
  <c r="P234" i="1"/>
  <c r="Q234" i="1"/>
  <c r="L235" i="1"/>
  <c r="P235" i="1"/>
  <c r="Q235" i="1"/>
  <c r="L236" i="1"/>
  <c r="P236" i="1"/>
  <c r="Q236" i="1"/>
  <c r="L237" i="1"/>
  <c r="P237" i="1"/>
  <c r="Q237" i="1"/>
  <c r="L238" i="1"/>
  <c r="P238" i="1"/>
  <c r="Q238" i="1"/>
  <c r="L239" i="1"/>
  <c r="P239" i="1"/>
  <c r="Q239" i="1"/>
  <c r="L240" i="1"/>
  <c r="P240" i="1"/>
  <c r="Q240" i="1"/>
  <c r="L241" i="1"/>
  <c r="P241" i="1"/>
  <c r="Q241" i="1"/>
  <c r="L242" i="1"/>
  <c r="P242" i="1"/>
  <c r="Q242" i="1"/>
  <c r="L243" i="1"/>
  <c r="P243" i="1"/>
  <c r="Q243" i="1"/>
  <c r="L244" i="1"/>
  <c r="P244" i="1"/>
  <c r="Q244" i="1"/>
  <c r="L245" i="1"/>
  <c r="P245" i="1"/>
  <c r="Q245" i="1"/>
  <c r="L246" i="1"/>
  <c r="P246" i="1"/>
  <c r="Q246" i="1"/>
  <c r="L247" i="1"/>
  <c r="P247" i="1"/>
  <c r="Q247" i="1"/>
  <c r="L248" i="1"/>
  <c r="P248" i="1"/>
  <c r="Q248" i="1"/>
  <c r="L249" i="1"/>
  <c r="P249" i="1"/>
  <c r="Q249" i="1"/>
  <c r="L250" i="1"/>
  <c r="P250" i="1"/>
  <c r="Q250" i="1"/>
  <c r="L251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L252" i="1"/>
  <c r="L253" i="1"/>
  <c r="L254" i="1"/>
  <c r="L255" i="1"/>
  <c r="L256" i="1"/>
  <c r="L257" i="1"/>
  <c r="Q422" i="1" l="1" a="1"/>
  <c r="Q422" i="1" s="1"/>
  <c r="P421" i="1"/>
  <c r="P422" i="1" a="1"/>
  <c r="P422" i="1" s="1"/>
  <c r="P420" i="1"/>
  <c r="Q420" i="1"/>
  <c r="Q421" i="1"/>
  <c r="L421" i="1"/>
  <c r="L422" i="1" a="1"/>
  <c r="L422" i="1" s="1"/>
  <c r="L4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<sst xmlns="http://schemas.openxmlformats.org/spreadsheetml/2006/main" count="442" uniqueCount="440">
  <si>
    <t xml:space="preserve"># </t>
  </si>
  <si>
    <t># The parameters defined in the project are:</t>
  </si>
  <si>
    <t>P2 - Thermal Condition Magnitude [C]</t>
  </si>
  <si>
    <t>P7 - B [degree]</t>
  </si>
  <si>
    <t>P13 - AnchorDisplacement X Component [mm]</t>
  </si>
  <si>
    <t>P14 - L [mm]</t>
  </si>
  <si>
    <t>P15 - w [mm]</t>
  </si>
  <si>
    <t>P3 - Directional Deformation Maximum [mm]</t>
  </si>
  <si>
    <t>P5 - Solid Volume [mm^3]</t>
  </si>
  <si>
    <t>P6 - Equivalent Stress Maximum [MPa]</t>
  </si>
  <si>
    <t># The following header line defines the name of the columns by reference to the parameters.</t>
  </si>
  <si>
    <t>Name</t>
  </si>
  <si>
    <t>P2</t>
  </si>
  <si>
    <t>P7</t>
  </si>
  <si>
    <t>P13</t>
  </si>
  <si>
    <t>P14</t>
  </si>
  <si>
    <t>P15</t>
  </si>
  <si>
    <t>P3</t>
  </si>
  <si>
    <t>P5</t>
  </si>
  <si>
    <t>P6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</si>
  <si>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</si>
  <si>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</si>
  <si>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</si>
  <si>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</si>
  <si>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</si>
  <si>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</si>
  <si>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</si>
  <si>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</si>
  <si>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</si>
  <si>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</si>
  <si>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</si>
  <si>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</si>
  <si>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</si>
  <si>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</si>
  <si>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</si>
  <si>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</si>
  <si>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</si>
  <si>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</si>
  <si>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</si>
  <si>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</si>
  <si>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</si>
  <si>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</si>
  <si>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</si>
  <si>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</si>
  <si>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</si>
  <si>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</si>
  <si>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</si>
  <si>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</si>
  <si>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</si>
  <si>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</si>
  <si>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</si>
  <si>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</si>
  <si>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</si>
  <si>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</si>
  <si>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</si>
  <si>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</si>
  <si>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</si>
  <si>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</si>
  <si>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</si>
  <si>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</si>
  <si>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</si>
  <si>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</si>
  <si>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</si>
  <si>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</si>
  <si>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</si>
  <si>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</si>
  <si>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</si>
  <si>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</si>
  <si>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</si>
  <si>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</si>
  <si>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</si>
  <si>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</si>
  <si>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</si>
  <si>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</si>
  <si>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</si>
  <si>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</si>
  <si>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</si>
  <si>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</si>
  <si>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</si>
  <si>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</si>
  <si>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</si>
  <si>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</si>
  <si>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</si>
  <si>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</si>
  <si>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</si>
  <si>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</si>
  <si>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</si>
  <si>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</si>
  <si>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</si>
  <si>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</si>
  <si>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</si>
  <si>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</si>
  <si>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</si>
  <si>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</si>
  <si>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</si>
  <si>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</si>
  <si>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</si>
  <si>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</si>
  <si>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</si>
  <si>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</si>
  <si>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</si>
  <si>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</si>
  <si>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</si>
  <si>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</si>
  <si>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</si>
  <si>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</si>
  <si>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</si>
  <si>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</si>
  <si>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</si>
  <si>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</si>
  <si>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</si>
  <si>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</si>
  <si>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</si>
  <si>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</si>
  <si>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</si>
  <si>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</si>
  <si>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</si>
  <si>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</si>
  <si>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</si>
  <si>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</si>
  <si>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</si>
  <si>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</si>
  <si>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</si>
  <si>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</si>
  <si>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</si>
  <si>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</si>
  <si>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</si>
  <si>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</si>
  <si>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</si>
  <si>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</si>
  <si>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</si>
  <si>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</si>
  <si>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</si>
  <si>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</si>
  <si>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</si>
  <si>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</si>
  <si>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</si>
  <si>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</si>
  <si>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</si>
  <si>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</si>
  <si>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</si>
  <si>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</si>
  <si>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</si>
  <si>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</si>
  <si>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</si>
  <si>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</si>
  <si>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</si>
  <si>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</si>
  <si>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</si>
  <si>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</si>
  <si>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</si>
  <si>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</si>
  <si>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</si>
  <si>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</si>
  <si>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</si>
  <si>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</si>
  <si>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</si>
  <si>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</si>
  <si>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</si>
  <si>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</si>
  <si>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</si>
  <si>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</si>
  <si>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</si>
  <si>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</si>
  <si>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</si>
  <si>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</si>
  <si>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</si>
  <si>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</si>
  <si>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</si>
  <si>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</si>
  <si>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</si>
  <si>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</si>
  <si>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</si>
  <si>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</si>
  <si>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</si>
  <si>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</si>
  <si>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</si>
  <si>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</si>
  <si>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</si>
  <si>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</si>
  <si>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</si>
  <si>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</si>
  <si>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</si>
  <si>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</si>
  <si>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</si>
  <si>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</si>
  <si>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</si>
  <si>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</si>
  <si>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</si>
  <si>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</si>
  <si>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</si>
  <si>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</si>
  <si>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</si>
  <si>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</si>
  <si>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</si>
  <si>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</si>
  <si>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</si>
  <si>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</si>
  <si>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</si>
  <si>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</si>
  <si>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</si>
  <si>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</si>
  <si>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</si>
  <si>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</si>
  <si>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</si>
  <si>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</si>
  <si>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</si>
  <si>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</si>
  <si>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</si>
  <si>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</si>
  <si>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</si>
  <si>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</si>
  <si>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</si>
  <si>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</si>
  <si>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</si>
  <si>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</si>
  <si>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</si>
  <si>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</si>
  <si>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</si>
  <si>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</si>
  <si>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Relative Error [%]</t>
  </si>
  <si>
    <t>min</t>
  </si>
  <si>
    <t>max</t>
  </si>
  <si>
    <t>MeanAbsError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</si>
  <si>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</si>
  <si>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</si>
  <si>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</si>
  <si>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</si>
  <si>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</si>
  <si>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</si>
  <si>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</si>
  <si>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</si>
  <si>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</si>
  <si>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</si>
  <si>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</si>
  <si>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</si>
  <si>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</si>
  <si>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</si>
  <si>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</si>
  <si>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</si>
  <si>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</si>
  <si>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</si>
  <si>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</si>
  <si>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</si>
  <si>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</si>
  <si>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</si>
  <si>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</si>
  <si>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</si>
  <si>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</si>
  <si>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</si>
  <si>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</si>
  <si>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</si>
  <si>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</si>
  <si>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</si>
  <si>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</si>
  <si>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</si>
  <si>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</si>
  <si>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</si>
  <si>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</si>
  <si>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</si>
  <si>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</si>
  <si>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</si>
  <si>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</si>
  <si>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</si>
  <si>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</si>
  <si>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</si>
  <si>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</si>
  <si>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243</t>
  </si>
  <si>
    <t>DP 244</t>
  </si>
  <si>
    <t>DP 245</t>
  </si>
  <si>
    <t>DP 246</t>
  </si>
  <si>
    <t>DP 247</t>
  </si>
  <si>
    <t>DP 248</t>
  </si>
  <si>
    <t>DP 249</t>
  </si>
  <si>
    <t>Pred Stress [MPa]</t>
  </si>
  <si>
    <t>Pred Volume [mm3]</t>
  </si>
  <si>
    <t>Target Displacement [mm]</t>
  </si>
  <si>
    <t>Stress Relative Error [%]</t>
  </si>
  <si>
    <t>Volume Relative Error [%]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</si>
  <si>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</si>
  <si>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</si>
  <si>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</si>
  <si>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</si>
  <si>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</si>
  <si>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</si>
  <si>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</si>
  <si>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</si>
  <si>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</si>
  <si>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</si>
  <si>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</si>
  <si>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</si>
  <si>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</si>
  <si>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</si>
  <si>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</si>
  <si>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</si>
  <si>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</si>
  <si>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</si>
  <si>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</si>
  <si>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</si>
  <si>
    <t>DP 270</t>
  </si>
  <si>
    <t>DP 271</t>
  </si>
  <si>
    <t>DP 272</t>
  </si>
  <si>
    <t>DP 273</t>
  </si>
  <si>
    <t>DP 274</t>
  </si>
  <si>
    <t>DP 275</t>
  </si>
  <si>
    <t>DP 276</t>
  </si>
  <si>
    <t>DP 277</t>
  </si>
  <si>
    <t>DP 278</t>
  </si>
  <si>
    <t>DP 279</t>
  </si>
  <si>
    <t>DP 280</t>
  </si>
  <si>
    <t>DP 281</t>
  </si>
  <si>
    <t>DP 282</t>
  </si>
  <si>
    <t>DP 283</t>
  </si>
  <si>
    <t>DP 284</t>
  </si>
  <si>
    <t>DP 285</t>
  </si>
  <si>
    <t>DP 286</t>
  </si>
  <si>
    <t>DP 287</t>
  </si>
  <si>
    <t>DP 288</t>
  </si>
  <si>
    <t>DP 289</t>
  </si>
  <si>
    <t>DP 290</t>
  </si>
  <si>
    <t>DP 291</t>
  </si>
  <si>
    <t>DP 292</t>
  </si>
  <si>
    <t>DP 293</t>
  </si>
  <si>
    <t>DP 294</t>
  </si>
  <si>
    <t>DP 295</t>
  </si>
  <si>
    <t>DP 296</t>
  </si>
  <si>
    <t>DP 297</t>
  </si>
  <si>
    <t>DP 298</t>
  </si>
  <si>
    <t>DP 299</t>
  </si>
  <si>
    <t>DP 300</t>
  </si>
  <si>
    <t>DP 301</t>
  </si>
  <si>
    <t>DP 302</t>
  </si>
  <si>
    <t>DP 303</t>
  </si>
  <si>
    <t>DP 304</t>
  </si>
  <si>
    <t>DP 305</t>
  </si>
  <si>
    <t>DP 306</t>
  </si>
  <si>
    <t>DP 307</t>
  </si>
  <si>
    <t>DP 308</t>
  </si>
  <si>
    <t>DP 309</t>
  </si>
  <si>
    <t>DP 310</t>
  </si>
  <si>
    <t>DP 311</t>
  </si>
  <si>
    <t>DP 312</t>
  </si>
  <si>
    <t>DP 313</t>
  </si>
  <si>
    <t>DP 314</t>
  </si>
  <si>
    <t>DP 315</t>
  </si>
  <si>
    <t>DP 316</t>
  </si>
  <si>
    <t>DP 317</t>
  </si>
  <si>
    <t>DP 318</t>
  </si>
  <si>
    <t>DP 319</t>
  </si>
  <si>
    <t>DP 320</t>
  </si>
  <si>
    <t>DP 321</t>
  </si>
  <si>
    <t>DP 322</t>
  </si>
  <si>
    <t>DP 323</t>
  </si>
  <si>
    <t>DP 324</t>
  </si>
  <si>
    <t>DP 325</t>
  </si>
  <si>
    <t>DP 326</t>
  </si>
  <si>
    <t>DP 327</t>
  </si>
  <si>
    <t>DP 328</t>
  </si>
  <si>
    <t>DP 329</t>
  </si>
  <si>
    <t>DP 330</t>
  </si>
  <si>
    <t>DP 331</t>
  </si>
  <si>
    <t>DP 332</t>
  </si>
  <si>
    <t>DP 333</t>
  </si>
  <si>
    <t>DP 334</t>
  </si>
  <si>
    <t>DP 335</t>
  </si>
  <si>
    <t>DP 336</t>
  </si>
  <si>
    <t>DP 337</t>
  </si>
  <si>
    <t>DP 338</t>
  </si>
  <si>
    <t>DP 339</t>
  </si>
  <si>
    <t>DP 340</t>
  </si>
  <si>
    <t>DP 341</t>
  </si>
  <si>
    <t>DP 342</t>
  </si>
  <si>
    <t>DP 343</t>
  </si>
  <si>
    <t>DP 344</t>
  </si>
  <si>
    <t>DP 345</t>
  </si>
  <si>
    <t>DP 346</t>
  </si>
  <si>
    <t>DP 347</t>
  </si>
  <si>
    <t>DP 348</t>
  </si>
  <si>
    <t>DP 349</t>
  </si>
  <si>
    <t>DP 350</t>
  </si>
  <si>
    <t>DP 351</t>
  </si>
  <si>
    <t>DP 352</t>
  </si>
  <si>
    <t>DP 353</t>
  </si>
  <si>
    <t>DP 354</t>
  </si>
  <si>
    <t>DP 355</t>
  </si>
  <si>
    <t>DP 356</t>
  </si>
  <si>
    <t>DP 357</t>
  </si>
  <si>
    <t>DP 358</t>
  </si>
  <si>
    <t>DP 359</t>
  </si>
  <si>
    <t>DP 360</t>
  </si>
  <si>
    <t>DP 361</t>
  </si>
  <si>
    <t>DP 362</t>
  </si>
  <si>
    <t>DP 363</t>
  </si>
  <si>
    <t>DP 364</t>
  </si>
  <si>
    <t>DP 365</t>
  </si>
  <si>
    <t>DP 366</t>
  </si>
  <si>
    <t>DP 367</t>
  </si>
  <si>
    <t>DP 368</t>
  </si>
  <si>
    <t>DP 369</t>
  </si>
  <si>
    <t>DP 370</t>
  </si>
  <si>
    <t>DP 371</t>
  </si>
  <si>
    <t>DP 372</t>
  </si>
  <si>
    <t>DP 373</t>
  </si>
  <si>
    <t>DP 374</t>
  </si>
  <si>
    <t>DP 375</t>
  </si>
  <si>
    <t>DP 376</t>
  </si>
  <si>
    <t>DP 377</t>
  </si>
  <si>
    <t>DP 378</t>
  </si>
  <si>
    <t>DP 379</t>
  </si>
  <si>
    <t>DP 380</t>
  </si>
  <si>
    <t>DP 381</t>
  </si>
  <si>
    <t>DP 382</t>
  </si>
  <si>
    <t>DP 383</t>
  </si>
  <si>
    <t>DP 384</t>
  </si>
  <si>
    <t>DP 385</t>
  </si>
  <si>
    <t>DP 386</t>
  </si>
  <si>
    <t>DP 387</t>
  </si>
  <si>
    <t>DP 388</t>
  </si>
  <si>
    <t>DP 389</t>
  </si>
  <si>
    <t>DP 390</t>
  </si>
  <si>
    <t>DP 391</t>
  </si>
  <si>
    <t>DP 392</t>
  </si>
  <si>
    <t>DP 393</t>
  </si>
  <si>
    <t>DP 394</t>
  </si>
  <si>
    <t>DP 395</t>
  </si>
  <si>
    <t>DP 396</t>
  </si>
  <si>
    <t>DP 397</t>
  </si>
  <si>
    <t>DP 398</t>
  </si>
  <si>
    <t>DP 399</t>
  </si>
  <si>
    <t>DP 400</t>
  </si>
  <si>
    <t>DP 401</t>
  </si>
  <si>
    <t>DP 402</t>
  </si>
  <si>
    <t>DP 403</t>
  </si>
  <si>
    <t>DP 404</t>
  </si>
  <si>
    <t>DP 405</t>
  </si>
  <si>
    <t>DP 406</t>
  </si>
  <si>
    <t>DP 407</t>
  </si>
  <si>
    <t>DP 408</t>
  </si>
  <si>
    <t>DP 409</t>
  </si>
  <si>
    <t># 05/23/2026 06:32:30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</si>
</sst>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vs Error</a:t>
            </a:r>
          </a:p>
        </c:rich>
      </c:tx>
      <c:layout>
        <c:manualLayout>
          <c:xMode val="edge"/>
          <c:yMode val="edge"/>
          <c:x val="0.422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'1'!$B$8:$B$257</c:f>
              <c:numCache>
                <c:formatCode>General</c:formatCode>
                <c:ptCount val="250"/>
                <c:pt idx="0">
                  <c:v>41.7</c:v>
                </c:pt>
                <c:pt idx="1">
                  <c:v>85.8</c:v>
                </c:pt>
                <c:pt idx="2">
                  <c:v>41.8</c:v>
                </c:pt>
                <c:pt idx="3">
                  <c:v>56.7</c:v>
                </c:pt>
                <c:pt idx="4">
                  <c:v>61.4</c:v>
                </c:pt>
                <c:pt idx="5">
                  <c:v>76.400000000000006</c:v>
                </c:pt>
                <c:pt idx="6">
                  <c:v>72</c:v>
                </c:pt>
                <c:pt idx="7">
                  <c:v>55.9</c:v>
                </c:pt>
                <c:pt idx="8">
                  <c:v>57.5</c:v>
                </c:pt>
                <c:pt idx="9">
                  <c:v>70.7</c:v>
                </c:pt>
                <c:pt idx="10">
                  <c:v>56.6</c:v>
                </c:pt>
                <c:pt idx="11">
                  <c:v>68.599999999999994</c:v>
                </c:pt>
                <c:pt idx="12">
                  <c:v>57</c:v>
                </c:pt>
                <c:pt idx="13">
                  <c:v>77.2</c:v>
                </c:pt>
                <c:pt idx="14">
                  <c:v>54.2</c:v>
                </c:pt>
                <c:pt idx="15">
                  <c:v>67.3</c:v>
                </c:pt>
                <c:pt idx="16">
                  <c:v>70</c:v>
                </c:pt>
                <c:pt idx="17">
                  <c:v>43.4</c:v>
                </c:pt>
                <c:pt idx="18">
                  <c:v>80.400000000000006</c:v>
                </c:pt>
                <c:pt idx="19">
                  <c:v>72.7</c:v>
                </c:pt>
                <c:pt idx="20">
                  <c:v>49.6</c:v>
                </c:pt>
                <c:pt idx="21">
                  <c:v>43</c:v>
                </c:pt>
                <c:pt idx="22">
                  <c:v>79</c:v>
                </c:pt>
                <c:pt idx="23">
                  <c:v>43.4</c:v>
                </c:pt>
                <c:pt idx="24">
                  <c:v>60</c:v>
                </c:pt>
                <c:pt idx="25">
                  <c:v>86.9</c:v>
                </c:pt>
                <c:pt idx="26">
                  <c:v>84.7</c:v>
                </c:pt>
                <c:pt idx="27">
                  <c:v>45.5</c:v>
                </c:pt>
                <c:pt idx="28">
                  <c:v>63.6</c:v>
                </c:pt>
                <c:pt idx="29">
                  <c:v>53.6</c:v>
                </c:pt>
                <c:pt idx="30">
                  <c:v>47.2</c:v>
                </c:pt>
                <c:pt idx="31">
                  <c:v>46.2</c:v>
                </c:pt>
                <c:pt idx="32">
                  <c:v>89.9</c:v>
                </c:pt>
                <c:pt idx="33">
                  <c:v>71.400000000000006</c:v>
                </c:pt>
                <c:pt idx="34">
                  <c:v>41.8</c:v>
                </c:pt>
                <c:pt idx="35">
                  <c:v>72.2</c:v>
                </c:pt>
                <c:pt idx="36">
                  <c:v>42.2</c:v>
                </c:pt>
                <c:pt idx="37">
                  <c:v>85.8</c:v>
                </c:pt>
                <c:pt idx="38">
                  <c:v>41.2</c:v>
                </c:pt>
                <c:pt idx="39">
                  <c:v>45.9</c:v>
                </c:pt>
                <c:pt idx="40">
                  <c:v>49</c:v>
                </c:pt>
                <c:pt idx="41">
                  <c:v>69.599999999999994</c:v>
                </c:pt>
                <c:pt idx="42">
                  <c:v>59.9</c:v>
                </c:pt>
                <c:pt idx="43">
                  <c:v>59.5</c:v>
                </c:pt>
                <c:pt idx="44">
                  <c:v>43.2</c:v>
                </c:pt>
                <c:pt idx="45">
                  <c:v>89.7</c:v>
                </c:pt>
                <c:pt idx="46">
                  <c:v>62.9</c:v>
                </c:pt>
                <c:pt idx="47">
                  <c:v>67.5</c:v>
                </c:pt>
                <c:pt idx="48">
                  <c:v>42.5</c:v>
                </c:pt>
                <c:pt idx="49">
                  <c:v>82.1</c:v>
                </c:pt>
                <c:pt idx="50">
                  <c:v>65.8</c:v>
                </c:pt>
                <c:pt idx="51">
                  <c:v>65.7</c:v>
                </c:pt>
                <c:pt idx="52">
                  <c:v>42.9</c:v>
                </c:pt>
                <c:pt idx="53">
                  <c:v>71.400000000000006</c:v>
                </c:pt>
                <c:pt idx="54">
                  <c:v>58.2</c:v>
                </c:pt>
                <c:pt idx="55">
                  <c:v>43.8</c:v>
                </c:pt>
                <c:pt idx="56">
                  <c:v>58.5</c:v>
                </c:pt>
                <c:pt idx="57">
                  <c:v>51.3</c:v>
                </c:pt>
                <c:pt idx="58">
                  <c:v>69.3</c:v>
                </c:pt>
                <c:pt idx="59">
                  <c:v>73.2</c:v>
                </c:pt>
                <c:pt idx="60">
                  <c:v>62.1</c:v>
                </c:pt>
                <c:pt idx="61">
                  <c:v>53.8</c:v>
                </c:pt>
                <c:pt idx="62">
                  <c:v>56.2</c:v>
                </c:pt>
                <c:pt idx="63">
                  <c:v>83.5</c:v>
                </c:pt>
                <c:pt idx="64">
                  <c:v>70.400000000000006</c:v>
                </c:pt>
                <c:pt idx="65">
                  <c:v>44.7</c:v>
                </c:pt>
                <c:pt idx="66">
                  <c:v>60.9</c:v>
                </c:pt>
                <c:pt idx="67">
                  <c:v>52.8</c:v>
                </c:pt>
                <c:pt idx="68">
                  <c:v>55.3</c:v>
                </c:pt>
                <c:pt idx="69">
                  <c:v>67.8</c:v>
                </c:pt>
                <c:pt idx="70">
                  <c:v>74.900000000000006</c:v>
                </c:pt>
                <c:pt idx="71">
                  <c:v>84.4</c:v>
                </c:pt>
                <c:pt idx="72">
                  <c:v>59</c:v>
                </c:pt>
                <c:pt idx="73">
                  <c:v>80.8</c:v>
                </c:pt>
                <c:pt idx="74">
                  <c:v>43.1</c:v>
                </c:pt>
                <c:pt idx="75">
                  <c:v>48.6</c:v>
                </c:pt>
                <c:pt idx="76">
                  <c:v>87.2</c:v>
                </c:pt>
                <c:pt idx="77">
                  <c:v>80.8</c:v>
                </c:pt>
                <c:pt idx="78">
                  <c:v>85.1</c:v>
                </c:pt>
                <c:pt idx="79">
                  <c:v>43.3</c:v>
                </c:pt>
                <c:pt idx="80">
                  <c:v>52.4</c:v>
                </c:pt>
                <c:pt idx="81">
                  <c:v>65.099999999999994</c:v>
                </c:pt>
                <c:pt idx="82">
                  <c:v>86.8</c:v>
                </c:pt>
                <c:pt idx="83">
                  <c:v>63</c:v>
                </c:pt>
                <c:pt idx="84">
                  <c:v>57.6</c:v>
                </c:pt>
                <c:pt idx="85">
                  <c:v>66.900000000000006</c:v>
                </c:pt>
                <c:pt idx="86">
                  <c:v>57</c:v>
                </c:pt>
                <c:pt idx="87">
                  <c:v>79</c:v>
                </c:pt>
                <c:pt idx="88">
                  <c:v>68.900000000000006</c:v>
                </c:pt>
                <c:pt idx="89">
                  <c:v>72.099999999999994</c:v>
                </c:pt>
                <c:pt idx="90">
                  <c:v>68.3</c:v>
                </c:pt>
                <c:pt idx="91">
                  <c:v>59.7</c:v>
                </c:pt>
                <c:pt idx="92">
                  <c:v>88</c:v>
                </c:pt>
                <c:pt idx="93">
                  <c:v>63</c:v>
                </c:pt>
                <c:pt idx="94">
                  <c:v>44.5</c:v>
                </c:pt>
                <c:pt idx="95">
                  <c:v>80.2</c:v>
                </c:pt>
                <c:pt idx="96">
                  <c:v>56.9</c:v>
                </c:pt>
                <c:pt idx="97">
                  <c:v>67.099999999999994</c:v>
                </c:pt>
                <c:pt idx="98">
                  <c:v>49.3</c:v>
                </c:pt>
                <c:pt idx="99">
                  <c:v>73.2</c:v>
                </c:pt>
                <c:pt idx="100">
                  <c:v>89.9</c:v>
                </c:pt>
                <c:pt idx="101">
                  <c:v>49</c:v>
                </c:pt>
                <c:pt idx="102">
                  <c:v>80.099999999999994</c:v>
                </c:pt>
                <c:pt idx="103">
                  <c:v>74.8</c:v>
                </c:pt>
                <c:pt idx="104">
                  <c:v>65.599999999999994</c:v>
                </c:pt>
                <c:pt idx="105">
                  <c:v>53.6</c:v>
                </c:pt>
                <c:pt idx="106">
                  <c:v>68.8</c:v>
                </c:pt>
                <c:pt idx="107">
                  <c:v>59.9</c:v>
                </c:pt>
                <c:pt idx="108">
                  <c:v>75.8</c:v>
                </c:pt>
                <c:pt idx="109">
                  <c:v>87.6</c:v>
                </c:pt>
                <c:pt idx="110">
                  <c:v>56.8</c:v>
                </c:pt>
                <c:pt idx="111">
                  <c:v>67.400000000000006</c:v>
                </c:pt>
                <c:pt idx="112">
                  <c:v>84.9</c:v>
                </c:pt>
                <c:pt idx="113">
                  <c:v>43.7</c:v>
                </c:pt>
                <c:pt idx="114">
                  <c:v>77.5</c:v>
                </c:pt>
                <c:pt idx="115">
                  <c:v>83.7</c:v>
                </c:pt>
                <c:pt idx="116">
                  <c:v>64.900000000000006</c:v>
                </c:pt>
                <c:pt idx="117">
                  <c:v>44.7</c:v>
                </c:pt>
                <c:pt idx="118">
                  <c:v>84</c:v>
                </c:pt>
                <c:pt idx="119">
                  <c:v>52.6</c:v>
                </c:pt>
                <c:pt idx="120">
                  <c:v>75.3</c:v>
                </c:pt>
                <c:pt idx="121">
                  <c:v>46.6</c:v>
                </c:pt>
                <c:pt idx="122">
                  <c:v>53.9</c:v>
                </c:pt>
                <c:pt idx="123">
                  <c:v>44.8</c:v>
                </c:pt>
                <c:pt idx="124">
                  <c:v>46.3</c:v>
                </c:pt>
                <c:pt idx="125">
                  <c:v>55.3</c:v>
                </c:pt>
                <c:pt idx="126">
                  <c:v>83.7</c:v>
                </c:pt>
                <c:pt idx="127">
                  <c:v>51.2</c:v>
                </c:pt>
                <c:pt idx="128">
                  <c:v>81.8</c:v>
                </c:pt>
                <c:pt idx="129">
                  <c:v>83.2</c:v>
                </c:pt>
                <c:pt idx="130">
                  <c:v>77.599999999999994</c:v>
                </c:pt>
                <c:pt idx="131">
                  <c:v>79</c:v>
                </c:pt>
                <c:pt idx="132">
                  <c:v>48.8</c:v>
                </c:pt>
                <c:pt idx="133">
                  <c:v>75.599999999999994</c:v>
                </c:pt>
                <c:pt idx="134">
                  <c:v>44.8</c:v>
                </c:pt>
                <c:pt idx="135">
                  <c:v>52.2</c:v>
                </c:pt>
                <c:pt idx="136">
                  <c:v>73.2</c:v>
                </c:pt>
                <c:pt idx="137">
                  <c:v>59.7</c:v>
                </c:pt>
                <c:pt idx="138">
                  <c:v>68.7</c:v>
                </c:pt>
                <c:pt idx="139">
                  <c:v>69.2</c:v>
                </c:pt>
                <c:pt idx="140">
                  <c:v>46.5</c:v>
                </c:pt>
                <c:pt idx="141">
                  <c:v>75.599999999999994</c:v>
                </c:pt>
                <c:pt idx="142">
                  <c:v>89.6</c:v>
                </c:pt>
                <c:pt idx="143">
                  <c:v>50.6</c:v>
                </c:pt>
                <c:pt idx="144">
                  <c:v>44.3</c:v>
                </c:pt>
                <c:pt idx="145">
                  <c:v>60.2</c:v>
                </c:pt>
                <c:pt idx="146">
                  <c:v>62.4</c:v>
                </c:pt>
                <c:pt idx="147">
                  <c:v>86.3</c:v>
                </c:pt>
                <c:pt idx="148">
                  <c:v>53</c:v>
                </c:pt>
                <c:pt idx="149">
                  <c:v>78.400000000000006</c:v>
                </c:pt>
                <c:pt idx="150">
                  <c:v>59.4</c:v>
                </c:pt>
                <c:pt idx="151">
                  <c:v>78</c:v>
                </c:pt>
                <c:pt idx="152">
                  <c:v>58.2</c:v>
                </c:pt>
                <c:pt idx="153">
                  <c:v>75.099999999999994</c:v>
                </c:pt>
                <c:pt idx="154">
                  <c:v>62.7</c:v>
                </c:pt>
                <c:pt idx="155">
                  <c:v>88.7</c:v>
                </c:pt>
                <c:pt idx="156">
                  <c:v>63.8</c:v>
                </c:pt>
                <c:pt idx="157">
                  <c:v>70.2</c:v>
                </c:pt>
                <c:pt idx="158">
                  <c:v>65</c:v>
                </c:pt>
                <c:pt idx="159">
                  <c:v>70.400000000000006</c:v>
                </c:pt>
                <c:pt idx="160">
                  <c:v>60.1</c:v>
                </c:pt>
                <c:pt idx="161">
                  <c:v>42.8</c:v>
                </c:pt>
                <c:pt idx="162">
                  <c:v>44.7</c:v>
                </c:pt>
                <c:pt idx="163">
                  <c:v>57.1</c:v>
                </c:pt>
                <c:pt idx="164">
                  <c:v>62.4</c:v>
                </c:pt>
                <c:pt idx="165">
                  <c:v>71.3</c:v>
                </c:pt>
                <c:pt idx="166">
                  <c:v>53.6</c:v>
                </c:pt>
                <c:pt idx="167">
                  <c:v>62.6</c:v>
                </c:pt>
                <c:pt idx="168">
                  <c:v>67.900000000000006</c:v>
                </c:pt>
                <c:pt idx="169">
                  <c:v>62.4</c:v>
                </c:pt>
                <c:pt idx="170">
                  <c:v>87.3</c:v>
                </c:pt>
                <c:pt idx="171">
                  <c:v>45.8</c:v>
                </c:pt>
                <c:pt idx="172">
                  <c:v>74</c:v>
                </c:pt>
                <c:pt idx="173">
                  <c:v>70.599999999999994</c:v>
                </c:pt>
                <c:pt idx="174">
                  <c:v>62.9</c:v>
                </c:pt>
                <c:pt idx="175">
                  <c:v>45.4</c:v>
                </c:pt>
                <c:pt idx="176">
                  <c:v>66.099999999999994</c:v>
                </c:pt>
                <c:pt idx="177">
                  <c:v>81.400000000000006</c:v>
                </c:pt>
                <c:pt idx="178">
                  <c:v>44.4</c:v>
                </c:pt>
                <c:pt idx="179">
                  <c:v>72.2</c:v>
                </c:pt>
                <c:pt idx="180">
                  <c:v>83</c:v>
                </c:pt>
                <c:pt idx="181">
                  <c:v>77.8</c:v>
                </c:pt>
                <c:pt idx="182">
                  <c:v>79.900000000000006</c:v>
                </c:pt>
                <c:pt idx="183">
                  <c:v>83</c:v>
                </c:pt>
                <c:pt idx="184">
                  <c:v>46</c:v>
                </c:pt>
                <c:pt idx="185">
                  <c:v>61.4</c:v>
                </c:pt>
                <c:pt idx="186">
                  <c:v>43</c:v>
                </c:pt>
                <c:pt idx="187">
                  <c:v>83.1</c:v>
                </c:pt>
                <c:pt idx="188">
                  <c:v>57.2</c:v>
                </c:pt>
                <c:pt idx="189">
                  <c:v>43.1</c:v>
                </c:pt>
                <c:pt idx="190">
                  <c:v>53.6</c:v>
                </c:pt>
                <c:pt idx="191">
                  <c:v>72.5</c:v>
                </c:pt>
                <c:pt idx="192">
                  <c:v>53.3</c:v>
                </c:pt>
                <c:pt idx="193">
                  <c:v>62.7</c:v>
                </c:pt>
                <c:pt idx="194">
                  <c:v>62.6</c:v>
                </c:pt>
                <c:pt idx="195">
                  <c:v>60.8</c:v>
                </c:pt>
                <c:pt idx="196">
                  <c:v>55</c:v>
                </c:pt>
                <c:pt idx="197">
                  <c:v>68.5</c:v>
                </c:pt>
                <c:pt idx="198">
                  <c:v>70.7</c:v>
                </c:pt>
                <c:pt idx="199">
                  <c:v>67.3</c:v>
                </c:pt>
                <c:pt idx="200">
                  <c:v>78.900000000000006</c:v>
                </c:pt>
                <c:pt idx="201">
                  <c:v>70.7</c:v>
                </c:pt>
                <c:pt idx="202">
                  <c:v>54.1</c:v>
                </c:pt>
                <c:pt idx="203">
                  <c:v>70.900000000000006</c:v>
                </c:pt>
                <c:pt idx="204">
                  <c:v>56.7</c:v>
                </c:pt>
                <c:pt idx="205">
                  <c:v>48.4</c:v>
                </c:pt>
                <c:pt idx="206">
                  <c:v>78.7</c:v>
                </c:pt>
                <c:pt idx="207">
                  <c:v>53.5</c:v>
                </c:pt>
                <c:pt idx="208">
                  <c:v>47.2</c:v>
                </c:pt>
                <c:pt idx="209">
                  <c:v>40.200000000000003</c:v>
                </c:pt>
                <c:pt idx="210">
                  <c:v>68.599999999999994</c:v>
                </c:pt>
                <c:pt idx="211">
                  <c:v>77.3</c:v>
                </c:pt>
                <c:pt idx="212">
                  <c:v>59.8</c:v>
                </c:pt>
                <c:pt idx="213">
                  <c:v>62.6</c:v>
                </c:pt>
                <c:pt idx="214">
                  <c:v>40.6</c:v>
                </c:pt>
                <c:pt idx="215">
                  <c:v>57.9</c:v>
                </c:pt>
                <c:pt idx="216">
                  <c:v>50.2</c:v>
                </c:pt>
                <c:pt idx="217">
                  <c:v>88.1</c:v>
                </c:pt>
                <c:pt idx="218">
                  <c:v>83.8</c:v>
                </c:pt>
                <c:pt idx="219">
                  <c:v>54.9</c:v>
                </c:pt>
                <c:pt idx="220">
                  <c:v>68.5</c:v>
                </c:pt>
                <c:pt idx="221">
                  <c:v>87.2</c:v>
                </c:pt>
                <c:pt idx="222">
                  <c:v>45.8</c:v>
                </c:pt>
                <c:pt idx="223">
                  <c:v>45.1</c:v>
                </c:pt>
                <c:pt idx="224">
                  <c:v>85.4</c:v>
                </c:pt>
                <c:pt idx="225">
                  <c:v>42.8</c:v>
                </c:pt>
                <c:pt idx="226">
                  <c:v>78.900000000000006</c:v>
                </c:pt>
                <c:pt idx="227">
                  <c:v>59.4</c:v>
                </c:pt>
                <c:pt idx="228">
                  <c:v>59.4</c:v>
                </c:pt>
                <c:pt idx="229">
                  <c:v>61.2</c:v>
                </c:pt>
                <c:pt idx="230">
                  <c:v>68.900000000000006</c:v>
                </c:pt>
                <c:pt idx="231">
                  <c:v>72.099999999999994</c:v>
                </c:pt>
                <c:pt idx="232">
                  <c:v>68.7</c:v>
                </c:pt>
                <c:pt idx="233">
                  <c:v>72.900000000000006</c:v>
                </c:pt>
                <c:pt idx="234">
                  <c:v>57.5</c:v>
                </c:pt>
                <c:pt idx="235">
                  <c:v>47.3</c:v>
                </c:pt>
                <c:pt idx="236">
                  <c:v>46.9</c:v>
                </c:pt>
                <c:pt idx="237">
                  <c:v>78.099999999999994</c:v>
                </c:pt>
                <c:pt idx="238">
                  <c:v>50.4</c:v>
                </c:pt>
                <c:pt idx="239">
                  <c:v>71</c:v>
                </c:pt>
                <c:pt idx="240">
                  <c:v>73.2</c:v>
                </c:pt>
                <c:pt idx="241">
                  <c:v>50.6</c:v>
                </c:pt>
                <c:pt idx="242">
                  <c:v>78.900000000000006</c:v>
                </c:pt>
                <c:pt idx="243">
                  <c:v>67.099999999999994</c:v>
                </c:pt>
                <c:pt idx="244">
                  <c:v>70.5</c:v>
                </c:pt>
                <c:pt idx="245">
                  <c:v>89.9</c:v>
                </c:pt>
                <c:pt idx="246">
                  <c:v>79.599999999999994</c:v>
                </c:pt>
                <c:pt idx="247">
                  <c:v>76.900000000000006</c:v>
                </c:pt>
                <c:pt idx="248">
                  <c:v>71.8</c:v>
                </c:pt>
                <c:pt idx="249">
                  <c:v>76.099999999999994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3.9752811720564685</c:v>
                </c:pt>
                <c:pt idx="1">
                  <c:v>-4.0939524057188388</c:v>
                </c:pt>
                <c:pt idx="2">
                  <c:v>3.2133778311397188</c:v>
                </c:pt>
                <c:pt idx="3">
                  <c:v>-17.977029988252241</c:v>
                </c:pt>
                <c:pt idx="4">
                  <c:v>-8.2324128070844349</c:v>
                </c:pt>
                <c:pt idx="5">
                  <c:v>-1.630233399501696</c:v>
                </c:pt>
                <c:pt idx="6">
                  <c:v>-1.9868743909740465</c:v>
                </c:pt>
                <c:pt idx="7">
                  <c:v>-0.58315800078177615</c:v>
                </c:pt>
                <c:pt idx="8">
                  <c:v>-28.615998293423189</c:v>
                </c:pt>
                <c:pt idx="9">
                  <c:v>-3.8604154720195378</c:v>
                </c:pt>
                <c:pt idx="10">
                  <c:v>0.7674721719764469</c:v>
                </c:pt>
                <c:pt idx="11">
                  <c:v>-4.7029437485963239</c:v>
                </c:pt>
                <c:pt idx="12">
                  <c:v>1.1212396072419035</c:v>
                </c:pt>
                <c:pt idx="13">
                  <c:v>2.6407822676212018</c:v>
                </c:pt>
                <c:pt idx="14">
                  <c:v>0.89399080409555376</c:v>
                </c:pt>
                <c:pt idx="15">
                  <c:v>1.1569064499928734</c:v>
                </c:pt>
                <c:pt idx="16">
                  <c:v>-0.57621108177981273</c:v>
                </c:pt>
                <c:pt idx="17">
                  <c:v>2.4933326317190745</c:v>
                </c:pt>
                <c:pt idx="18">
                  <c:v>6.9060353489840169</c:v>
                </c:pt>
                <c:pt idx="19">
                  <c:v>-27.33581278083696</c:v>
                </c:pt>
                <c:pt idx="20">
                  <c:v>7.206884903231038</c:v>
                </c:pt>
                <c:pt idx="21">
                  <c:v>4.7763036808058237</c:v>
                </c:pt>
                <c:pt idx="22">
                  <c:v>-22.244141081680215</c:v>
                </c:pt>
                <c:pt idx="23">
                  <c:v>1.0798759520869246</c:v>
                </c:pt>
                <c:pt idx="24">
                  <c:v>-8.0187694535461365</c:v>
                </c:pt>
                <c:pt idx="25">
                  <c:v>-1.6446143295678755</c:v>
                </c:pt>
                <c:pt idx="26">
                  <c:v>-66.05082074818057</c:v>
                </c:pt>
                <c:pt idx="27">
                  <c:v>-0.39776218452890427</c:v>
                </c:pt>
                <c:pt idx="28">
                  <c:v>-9.5293440826323614</c:v>
                </c:pt>
                <c:pt idx="29">
                  <c:v>7.3656010964407672</c:v>
                </c:pt>
                <c:pt idx="30">
                  <c:v>-4.4515546677253903</c:v>
                </c:pt>
                <c:pt idx="31">
                  <c:v>-4.3771290125794033</c:v>
                </c:pt>
                <c:pt idx="32">
                  <c:v>-58.257780471742123</c:v>
                </c:pt>
                <c:pt idx="33">
                  <c:v>-12.850975433361652</c:v>
                </c:pt>
                <c:pt idx="34">
                  <c:v>8.0072345730204031</c:v>
                </c:pt>
                <c:pt idx="35">
                  <c:v>5.4101448824521219</c:v>
                </c:pt>
                <c:pt idx="36">
                  <c:v>-2.7806526163503311</c:v>
                </c:pt>
                <c:pt idx="37">
                  <c:v>7.0344198995906106</c:v>
                </c:pt>
                <c:pt idx="38">
                  <c:v>2.7006624289723855</c:v>
                </c:pt>
                <c:pt idx="39">
                  <c:v>-4.5492937349088072</c:v>
                </c:pt>
                <c:pt idx="40">
                  <c:v>2.658780326449639</c:v>
                </c:pt>
                <c:pt idx="41">
                  <c:v>-2.0958378725685508E-2</c:v>
                </c:pt>
                <c:pt idx="42">
                  <c:v>-12.802288433231979</c:v>
                </c:pt>
                <c:pt idx="43">
                  <c:v>-6.0922756739273343</c:v>
                </c:pt>
                <c:pt idx="44">
                  <c:v>-0.49549180213063015</c:v>
                </c:pt>
                <c:pt idx="45">
                  <c:v>-4.4062590581298151</c:v>
                </c:pt>
                <c:pt idx="46">
                  <c:v>0.32405352065784376</c:v>
                </c:pt>
                <c:pt idx="47">
                  <c:v>7.3077103842650146</c:v>
                </c:pt>
                <c:pt idx="48">
                  <c:v>12.340977432890513</c:v>
                </c:pt>
                <c:pt idx="49">
                  <c:v>-64.620707344884494</c:v>
                </c:pt>
                <c:pt idx="50">
                  <c:v>7.5536455758530439</c:v>
                </c:pt>
                <c:pt idx="51">
                  <c:v>-0.19985082070421012</c:v>
                </c:pt>
                <c:pt idx="52">
                  <c:v>1.361067838687551</c:v>
                </c:pt>
                <c:pt idx="53">
                  <c:v>-3.8367737046082122</c:v>
                </c:pt>
                <c:pt idx="54">
                  <c:v>1.6895030918298672</c:v>
                </c:pt>
                <c:pt idx="55">
                  <c:v>9.0595151644661165</c:v>
                </c:pt>
                <c:pt idx="56">
                  <c:v>1.3211913166403351</c:v>
                </c:pt>
                <c:pt idx="57">
                  <c:v>-1.5515300890358852</c:v>
                </c:pt>
                <c:pt idx="58">
                  <c:v>1.9649804720261459</c:v>
                </c:pt>
                <c:pt idx="59">
                  <c:v>-10.361572734899385</c:v>
                </c:pt>
                <c:pt idx="60">
                  <c:v>3.4315259166466294</c:v>
                </c:pt>
                <c:pt idx="61">
                  <c:v>-2.8742093532775201</c:v>
                </c:pt>
                <c:pt idx="62">
                  <c:v>-2.5715758965500921</c:v>
                </c:pt>
                <c:pt idx="63">
                  <c:v>-1.5312377578442651</c:v>
                </c:pt>
                <c:pt idx="64">
                  <c:v>11.703447415518873</c:v>
                </c:pt>
                <c:pt idx="65">
                  <c:v>12.573142321191144</c:v>
                </c:pt>
                <c:pt idx="66">
                  <c:v>8.1508413440591614</c:v>
                </c:pt>
                <c:pt idx="67">
                  <c:v>6.265729408663363</c:v>
                </c:pt>
                <c:pt idx="68">
                  <c:v>1.2443177420848741</c:v>
                </c:pt>
                <c:pt idx="69">
                  <c:v>4.0054623318067319</c:v>
                </c:pt>
                <c:pt idx="70">
                  <c:v>-8.2437563069012132</c:v>
                </c:pt>
                <c:pt idx="71">
                  <c:v>-58.037666352951014</c:v>
                </c:pt>
                <c:pt idx="72">
                  <c:v>4.9139311779211239</c:v>
                </c:pt>
                <c:pt idx="73">
                  <c:v>-3.0534524187332819</c:v>
                </c:pt>
                <c:pt idx="74">
                  <c:v>1.770533099481163</c:v>
                </c:pt>
                <c:pt idx="75">
                  <c:v>-10.385318948207289</c:v>
                </c:pt>
                <c:pt idx="76">
                  <c:v>-3.7532124026273395</c:v>
                </c:pt>
                <c:pt idx="77">
                  <c:v>-1.5517022273569201</c:v>
                </c:pt>
                <c:pt idx="78">
                  <c:v>2.9482804312376505</c:v>
                </c:pt>
                <c:pt idx="79">
                  <c:v>4.950907591952693</c:v>
                </c:pt>
                <c:pt idx="80">
                  <c:v>-5.2918944793693541</c:v>
                </c:pt>
                <c:pt idx="81">
                  <c:v>-2.4040771078400995</c:v>
                </c:pt>
                <c:pt idx="82">
                  <c:v>9.6414760496953047</c:v>
                </c:pt>
                <c:pt idx="83">
                  <c:v>-1.2841482174841194</c:v>
                </c:pt>
                <c:pt idx="84">
                  <c:v>0.19088029582274638</c:v>
                </c:pt>
                <c:pt idx="85">
                  <c:v>5.2166253871118968</c:v>
                </c:pt>
                <c:pt idx="86">
                  <c:v>0.94641333786717086</c:v>
                </c:pt>
                <c:pt idx="87">
                  <c:v>8.2964269264074346</c:v>
                </c:pt>
                <c:pt idx="88">
                  <c:v>-3.8343213844581494</c:v>
                </c:pt>
                <c:pt idx="89">
                  <c:v>-3.021554112460088</c:v>
                </c:pt>
                <c:pt idx="90">
                  <c:v>-3.728568370420692</c:v>
                </c:pt>
                <c:pt idx="91">
                  <c:v>-4.1560446292105908</c:v>
                </c:pt>
                <c:pt idx="92">
                  <c:v>9.3298433473023135</c:v>
                </c:pt>
                <c:pt idx="93">
                  <c:v>4.1070100430217877</c:v>
                </c:pt>
                <c:pt idx="94">
                  <c:v>2.3847412625383484</c:v>
                </c:pt>
                <c:pt idx="95">
                  <c:v>-23.658026574074075</c:v>
                </c:pt>
                <c:pt idx="96">
                  <c:v>-5.4372546379410824</c:v>
                </c:pt>
                <c:pt idx="97">
                  <c:v>-1.3948912247435488</c:v>
                </c:pt>
                <c:pt idx="98">
                  <c:v>-1.2863113657797376</c:v>
                </c:pt>
                <c:pt idx="99">
                  <c:v>-20.434685185918877</c:v>
                </c:pt>
                <c:pt idx="100">
                  <c:v>-49.581743930899556</c:v>
                </c:pt>
                <c:pt idx="101">
                  <c:v>2.2414692630658357</c:v>
                </c:pt>
                <c:pt idx="102">
                  <c:v>-15.085205620633852</c:v>
                </c:pt>
                <c:pt idx="103">
                  <c:v>8.0288209669526154</c:v>
                </c:pt>
                <c:pt idx="104">
                  <c:v>1.5549918092179513</c:v>
                </c:pt>
                <c:pt idx="105">
                  <c:v>6.144770637277996</c:v>
                </c:pt>
                <c:pt idx="106">
                  <c:v>14.690728756976467</c:v>
                </c:pt>
                <c:pt idx="107">
                  <c:v>1.0195951989291236</c:v>
                </c:pt>
                <c:pt idx="108">
                  <c:v>-1.5709606028800533</c:v>
                </c:pt>
                <c:pt idx="109">
                  <c:v>-0.70397081058992605</c:v>
                </c:pt>
                <c:pt idx="110">
                  <c:v>0.72504955277285932</c:v>
                </c:pt>
                <c:pt idx="111">
                  <c:v>-0.60912409535649259</c:v>
                </c:pt>
                <c:pt idx="112">
                  <c:v>-4.2331457467213198</c:v>
                </c:pt>
                <c:pt idx="113">
                  <c:v>1.7747947064453484</c:v>
                </c:pt>
                <c:pt idx="114">
                  <c:v>6.3093242027618386</c:v>
                </c:pt>
                <c:pt idx="115">
                  <c:v>-33.81348510211933</c:v>
                </c:pt>
                <c:pt idx="116">
                  <c:v>3.762265287986736</c:v>
                </c:pt>
                <c:pt idx="117">
                  <c:v>9.2125215925147863</c:v>
                </c:pt>
                <c:pt idx="118">
                  <c:v>-1.566671839298388</c:v>
                </c:pt>
                <c:pt idx="119">
                  <c:v>0.92134037386769219</c:v>
                </c:pt>
                <c:pt idx="120">
                  <c:v>-0.85415337265271596</c:v>
                </c:pt>
                <c:pt idx="121">
                  <c:v>2.3239281217156216</c:v>
                </c:pt>
                <c:pt idx="122">
                  <c:v>0.63825307761967798</c:v>
                </c:pt>
                <c:pt idx="123">
                  <c:v>12.864923315640375</c:v>
                </c:pt>
                <c:pt idx="124">
                  <c:v>1.1289373735570822</c:v>
                </c:pt>
                <c:pt idx="125">
                  <c:v>-6.0332752836475212</c:v>
                </c:pt>
                <c:pt idx="126">
                  <c:v>-13.102810147120197</c:v>
                </c:pt>
                <c:pt idx="127">
                  <c:v>-0.77592626796285591</c:v>
                </c:pt>
                <c:pt idx="128">
                  <c:v>5.9505924745521543</c:v>
                </c:pt>
                <c:pt idx="129">
                  <c:v>-9.8939569798053384</c:v>
                </c:pt>
                <c:pt idx="130">
                  <c:v>8.8311480204613169</c:v>
                </c:pt>
                <c:pt idx="131">
                  <c:v>-24.824988744513199</c:v>
                </c:pt>
                <c:pt idx="132">
                  <c:v>-4.2036399378581644</c:v>
                </c:pt>
                <c:pt idx="133">
                  <c:v>9.7171867874327109</c:v>
                </c:pt>
                <c:pt idx="134">
                  <c:v>-1.3943568741858292</c:v>
                </c:pt>
                <c:pt idx="135">
                  <c:v>-0.88994517208870172</c:v>
                </c:pt>
                <c:pt idx="136">
                  <c:v>-4.1088153531444069</c:v>
                </c:pt>
                <c:pt idx="137">
                  <c:v>-32.820605420984158</c:v>
                </c:pt>
                <c:pt idx="138">
                  <c:v>-1.2035195395985407</c:v>
                </c:pt>
                <c:pt idx="139">
                  <c:v>2.043992643984228</c:v>
                </c:pt>
                <c:pt idx="140">
                  <c:v>-8.1785723680391644</c:v>
                </c:pt>
                <c:pt idx="141">
                  <c:v>-0.61590313193512036</c:v>
                </c:pt>
                <c:pt idx="142">
                  <c:v>-6.3202010500635311</c:v>
                </c:pt>
                <c:pt idx="143">
                  <c:v>-4.2397116372730563</c:v>
                </c:pt>
                <c:pt idx="144">
                  <c:v>3.0859099597585131</c:v>
                </c:pt>
                <c:pt idx="145">
                  <c:v>-5.0826904038272964</c:v>
                </c:pt>
                <c:pt idx="146">
                  <c:v>-6.7760583056763011</c:v>
                </c:pt>
                <c:pt idx="147">
                  <c:v>-3.9665983134746923</c:v>
                </c:pt>
                <c:pt idx="148">
                  <c:v>-1.1540448096263141</c:v>
                </c:pt>
                <c:pt idx="149">
                  <c:v>-0.79366697133137065</c:v>
                </c:pt>
                <c:pt idx="150">
                  <c:v>-5.4240678756104792</c:v>
                </c:pt>
                <c:pt idx="151">
                  <c:v>-15.663018025474013</c:v>
                </c:pt>
                <c:pt idx="152">
                  <c:v>-1.9157500946588457</c:v>
                </c:pt>
                <c:pt idx="153">
                  <c:v>-0.89235645941452402</c:v>
                </c:pt>
                <c:pt idx="154">
                  <c:v>-8.3583749666427245</c:v>
                </c:pt>
                <c:pt idx="155">
                  <c:v>-15.340191709728728</c:v>
                </c:pt>
                <c:pt idx="156">
                  <c:v>-25.44804086699936</c:v>
                </c:pt>
                <c:pt idx="157">
                  <c:v>0.494657935810774</c:v>
                </c:pt>
                <c:pt idx="158">
                  <c:v>15.476482532036787</c:v>
                </c:pt>
                <c:pt idx="159">
                  <c:v>5.8540844102331482</c:v>
                </c:pt>
                <c:pt idx="160">
                  <c:v>-4.7326519976917023</c:v>
                </c:pt>
                <c:pt idx="161">
                  <c:v>-2.5095545293737178</c:v>
                </c:pt>
                <c:pt idx="162">
                  <c:v>15.543205210196872</c:v>
                </c:pt>
                <c:pt idx="163">
                  <c:v>0.29180114950809399</c:v>
                </c:pt>
                <c:pt idx="164">
                  <c:v>-6.3818452197198363</c:v>
                </c:pt>
                <c:pt idx="165">
                  <c:v>-16.17750501820386</c:v>
                </c:pt>
                <c:pt idx="166">
                  <c:v>-2.2951925927098098</c:v>
                </c:pt>
                <c:pt idx="167">
                  <c:v>-15.425694878702052</c:v>
                </c:pt>
                <c:pt idx="168">
                  <c:v>-4.3601383756377965</c:v>
                </c:pt>
                <c:pt idx="169">
                  <c:v>-19.753393798408407</c:v>
                </c:pt>
                <c:pt idx="170">
                  <c:v>-42.55952441502987</c:v>
                </c:pt>
                <c:pt idx="171">
                  <c:v>8.239420495573933</c:v>
                </c:pt>
                <c:pt idx="172">
                  <c:v>-6.3985928916192325</c:v>
                </c:pt>
                <c:pt idx="173">
                  <c:v>-4.9054437431031817</c:v>
                </c:pt>
                <c:pt idx="174">
                  <c:v>10.312694120298017</c:v>
                </c:pt>
                <c:pt idx="175">
                  <c:v>-2.3459916202674345</c:v>
                </c:pt>
                <c:pt idx="176">
                  <c:v>-17.858861031439226</c:v>
                </c:pt>
                <c:pt idx="177">
                  <c:v>-14.843695227259493</c:v>
                </c:pt>
                <c:pt idx="178">
                  <c:v>0.32444698140333184</c:v>
                </c:pt>
                <c:pt idx="179">
                  <c:v>-1.9079942869260791</c:v>
                </c:pt>
                <c:pt idx="180">
                  <c:v>1.1920233147664361</c:v>
                </c:pt>
                <c:pt idx="181">
                  <c:v>-8.0963245842092935</c:v>
                </c:pt>
                <c:pt idx="182">
                  <c:v>-2.8033572772869273</c:v>
                </c:pt>
                <c:pt idx="183">
                  <c:v>-6.1523134474742598</c:v>
                </c:pt>
                <c:pt idx="184">
                  <c:v>8.3389697856362126</c:v>
                </c:pt>
                <c:pt idx="185">
                  <c:v>2.2043977081361015</c:v>
                </c:pt>
                <c:pt idx="186">
                  <c:v>4.7973127086928438</c:v>
                </c:pt>
                <c:pt idx="187">
                  <c:v>-1.4500532392302745</c:v>
                </c:pt>
                <c:pt idx="188">
                  <c:v>-10.654132212916323</c:v>
                </c:pt>
                <c:pt idx="189">
                  <c:v>4.0542597598264187</c:v>
                </c:pt>
                <c:pt idx="190">
                  <c:v>-11.493129776774746</c:v>
                </c:pt>
                <c:pt idx="191">
                  <c:v>11.570226355813116</c:v>
                </c:pt>
                <c:pt idx="192">
                  <c:v>-7.4983643417493582</c:v>
                </c:pt>
                <c:pt idx="193">
                  <c:v>-13.853130267163838</c:v>
                </c:pt>
                <c:pt idx="194">
                  <c:v>9.3997620193170945</c:v>
                </c:pt>
                <c:pt idx="195">
                  <c:v>-4.1126232877897912</c:v>
                </c:pt>
                <c:pt idx="196">
                  <c:v>-0.2165174031806181</c:v>
                </c:pt>
                <c:pt idx="197">
                  <c:v>-26.31360347466936</c:v>
                </c:pt>
                <c:pt idx="198">
                  <c:v>1.5550847626582116</c:v>
                </c:pt>
                <c:pt idx="199">
                  <c:v>11.339266736486566</c:v>
                </c:pt>
                <c:pt idx="200">
                  <c:v>-2.3609014697470179</c:v>
                </c:pt>
                <c:pt idx="201">
                  <c:v>-19.029894034262224</c:v>
                </c:pt>
                <c:pt idx="202">
                  <c:v>-2.0970915097217233</c:v>
                </c:pt>
                <c:pt idx="203">
                  <c:v>-1.9223686826871791</c:v>
                </c:pt>
                <c:pt idx="204">
                  <c:v>8.9084689045121408</c:v>
                </c:pt>
                <c:pt idx="205">
                  <c:v>2.0462508456532689</c:v>
                </c:pt>
                <c:pt idx="206">
                  <c:v>-20.199439182034755</c:v>
                </c:pt>
                <c:pt idx="207">
                  <c:v>-1.5182890403083444</c:v>
                </c:pt>
                <c:pt idx="208">
                  <c:v>1.7131376786915782</c:v>
                </c:pt>
                <c:pt idx="209">
                  <c:v>6.0775537873840451</c:v>
                </c:pt>
                <c:pt idx="210">
                  <c:v>11.244362713433599</c:v>
                </c:pt>
                <c:pt idx="211">
                  <c:v>4.3143067804755848</c:v>
                </c:pt>
                <c:pt idx="212">
                  <c:v>-7.2712439349983784</c:v>
                </c:pt>
                <c:pt idx="213">
                  <c:v>-12.776982752643976</c:v>
                </c:pt>
                <c:pt idx="214">
                  <c:v>8.3838526087701073</c:v>
                </c:pt>
                <c:pt idx="215">
                  <c:v>-9.9061461842951246</c:v>
                </c:pt>
                <c:pt idx="216">
                  <c:v>-1.0323057835194192</c:v>
                </c:pt>
                <c:pt idx="217">
                  <c:v>6.4921586992732729</c:v>
                </c:pt>
                <c:pt idx="218">
                  <c:v>-62.717174637145668</c:v>
                </c:pt>
                <c:pt idx="219">
                  <c:v>-12.394654782174024</c:v>
                </c:pt>
                <c:pt idx="220">
                  <c:v>-1.9084657149659952</c:v>
                </c:pt>
                <c:pt idx="221">
                  <c:v>-6.8336732459027356</c:v>
                </c:pt>
                <c:pt idx="222">
                  <c:v>3.0611389973454055</c:v>
                </c:pt>
                <c:pt idx="223">
                  <c:v>1.6653894090760961</c:v>
                </c:pt>
                <c:pt idx="224">
                  <c:v>-19.248630239626184</c:v>
                </c:pt>
                <c:pt idx="225">
                  <c:v>-2.5912828062802191</c:v>
                </c:pt>
                <c:pt idx="226">
                  <c:v>-22.627057686801937</c:v>
                </c:pt>
                <c:pt idx="227">
                  <c:v>-6.3783978081289803</c:v>
                </c:pt>
                <c:pt idx="228">
                  <c:v>-0.68554506741044874</c:v>
                </c:pt>
                <c:pt idx="229">
                  <c:v>-2.6358327814603846</c:v>
                </c:pt>
                <c:pt idx="230">
                  <c:v>-41.766275725184265</c:v>
                </c:pt>
                <c:pt idx="231">
                  <c:v>11.542376208610078</c:v>
                </c:pt>
                <c:pt idx="232">
                  <c:v>12.685298598658068</c:v>
                </c:pt>
                <c:pt idx="233">
                  <c:v>-3.7395351454481229</c:v>
                </c:pt>
                <c:pt idx="234">
                  <c:v>3.3045096899918946</c:v>
                </c:pt>
                <c:pt idx="235">
                  <c:v>-0.74044878327769048</c:v>
                </c:pt>
                <c:pt idx="236">
                  <c:v>-4.361593687189214</c:v>
                </c:pt>
                <c:pt idx="237">
                  <c:v>-6.9141560393343386</c:v>
                </c:pt>
                <c:pt idx="238">
                  <c:v>0.36557083602972013</c:v>
                </c:pt>
                <c:pt idx="239">
                  <c:v>14.240096332517874</c:v>
                </c:pt>
                <c:pt idx="240">
                  <c:v>-54.820874751503382</c:v>
                </c:pt>
                <c:pt idx="241">
                  <c:v>-3.2512181694022084</c:v>
                </c:pt>
                <c:pt idx="242">
                  <c:v>-4.4729233752236626</c:v>
                </c:pt>
                <c:pt idx="243">
                  <c:v>-4.1025242369266035</c:v>
                </c:pt>
                <c:pt idx="244">
                  <c:v>-5.4789513123285252</c:v>
                </c:pt>
                <c:pt idx="245">
                  <c:v>-14.517821912950771</c:v>
                </c:pt>
                <c:pt idx="246">
                  <c:v>-8.1790177099208918</c:v>
                </c:pt>
                <c:pt idx="247">
                  <c:v>5.9781389613755294E-2</c:v>
                </c:pt>
                <c:pt idx="248">
                  <c:v>6.7160970872806089</c:v>
                </c:pt>
                <c:pt idx="249">
                  <c:v>-10.290870344471429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D-40C8-85F0-ABB2CCBCC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27344"/>
        <c:axId val="1618031184"/>
      </c:scatterChart>
      <c:valAx>
        <c:axId val="161802734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1184"/>
        <c:crosses val="autoZero"/>
        <c:crossBetween val="midCat"/>
        <c:majorUnit val="10"/>
        <c:minorUnit val="5"/>
      </c:valAx>
      <c:valAx>
        <c:axId val="1618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 angle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'1'!$C$8:$C$257</c:f>
              <c:numCache>
                <c:formatCode>General</c:formatCode>
                <c:ptCount val="250"/>
                <c:pt idx="0">
                  <c:v>105.3</c:v>
                </c:pt>
                <c:pt idx="1">
                  <c:v>116.6</c:v>
                </c:pt>
                <c:pt idx="2">
                  <c:v>108.4</c:v>
                </c:pt>
                <c:pt idx="3">
                  <c:v>103</c:v>
                </c:pt>
                <c:pt idx="4">
                  <c:v>108.8</c:v>
                </c:pt>
                <c:pt idx="5">
                  <c:v>116.1</c:v>
                </c:pt>
                <c:pt idx="6">
                  <c:v>115.8</c:v>
                </c:pt>
                <c:pt idx="7">
                  <c:v>111.2</c:v>
                </c:pt>
                <c:pt idx="8">
                  <c:v>100</c:v>
                </c:pt>
                <c:pt idx="9">
                  <c:v>104</c:v>
                </c:pt>
                <c:pt idx="10">
                  <c:v>117.7</c:v>
                </c:pt>
                <c:pt idx="11">
                  <c:v>103</c:v>
                </c:pt>
                <c:pt idx="12">
                  <c:v>122.9</c:v>
                </c:pt>
                <c:pt idx="13">
                  <c:v>124.2</c:v>
                </c:pt>
                <c:pt idx="14">
                  <c:v>118.6</c:v>
                </c:pt>
                <c:pt idx="15">
                  <c:v>119.1</c:v>
                </c:pt>
                <c:pt idx="16">
                  <c:v>115.5</c:v>
                </c:pt>
                <c:pt idx="17">
                  <c:v>115</c:v>
                </c:pt>
                <c:pt idx="18">
                  <c:v>130</c:v>
                </c:pt>
                <c:pt idx="19">
                  <c:v>103.8</c:v>
                </c:pt>
                <c:pt idx="20">
                  <c:v>130</c:v>
                </c:pt>
                <c:pt idx="21">
                  <c:v>130</c:v>
                </c:pt>
                <c:pt idx="22">
                  <c:v>105.8</c:v>
                </c:pt>
                <c:pt idx="23">
                  <c:v>116.2</c:v>
                </c:pt>
                <c:pt idx="24">
                  <c:v>107.4</c:v>
                </c:pt>
                <c:pt idx="25">
                  <c:v>125.1</c:v>
                </c:pt>
                <c:pt idx="26">
                  <c:v>100</c:v>
                </c:pt>
                <c:pt idx="27">
                  <c:v>106</c:v>
                </c:pt>
                <c:pt idx="28">
                  <c:v>101.2</c:v>
                </c:pt>
                <c:pt idx="29">
                  <c:v>130</c:v>
                </c:pt>
                <c:pt idx="30">
                  <c:v>109</c:v>
                </c:pt>
                <c:pt idx="31">
                  <c:v>114.7</c:v>
                </c:pt>
                <c:pt idx="32">
                  <c:v>101.6</c:v>
                </c:pt>
                <c:pt idx="33">
                  <c:v>109.6</c:v>
                </c:pt>
                <c:pt idx="34">
                  <c:v>130</c:v>
                </c:pt>
                <c:pt idx="35">
                  <c:v>130</c:v>
                </c:pt>
                <c:pt idx="36">
                  <c:v>102</c:v>
                </c:pt>
                <c:pt idx="37">
                  <c:v>130</c:v>
                </c:pt>
                <c:pt idx="38">
                  <c:v>113.4</c:v>
                </c:pt>
                <c:pt idx="39">
                  <c:v>107.6</c:v>
                </c:pt>
                <c:pt idx="40">
                  <c:v>130</c:v>
                </c:pt>
                <c:pt idx="41">
                  <c:v>126.5</c:v>
                </c:pt>
                <c:pt idx="42">
                  <c:v>104.3</c:v>
                </c:pt>
                <c:pt idx="43">
                  <c:v>109</c:v>
                </c:pt>
                <c:pt idx="44">
                  <c:v>115.4</c:v>
                </c:pt>
                <c:pt idx="45">
                  <c:v>122.4</c:v>
                </c:pt>
                <c:pt idx="46">
                  <c:v>120.7</c:v>
                </c:pt>
                <c:pt idx="47">
                  <c:v>120.3</c:v>
                </c:pt>
                <c:pt idx="48">
                  <c:v>130</c:v>
                </c:pt>
                <c:pt idx="49">
                  <c:v>100</c:v>
                </c:pt>
                <c:pt idx="50">
                  <c:v>130</c:v>
                </c:pt>
                <c:pt idx="51">
                  <c:v>114.9</c:v>
                </c:pt>
                <c:pt idx="52">
                  <c:v>113.4</c:v>
                </c:pt>
                <c:pt idx="53">
                  <c:v>113.7</c:v>
                </c:pt>
                <c:pt idx="54">
                  <c:v>130</c:v>
                </c:pt>
                <c:pt idx="55">
                  <c:v>130</c:v>
                </c:pt>
                <c:pt idx="56">
                  <c:v>118.3</c:v>
                </c:pt>
                <c:pt idx="57">
                  <c:v>117.5</c:v>
                </c:pt>
                <c:pt idx="58">
                  <c:v>120.9</c:v>
                </c:pt>
                <c:pt idx="59">
                  <c:v>106.6</c:v>
                </c:pt>
                <c:pt idx="60">
                  <c:v>118.8</c:v>
                </c:pt>
                <c:pt idx="61">
                  <c:v>116.6</c:v>
                </c:pt>
                <c:pt idx="62">
                  <c:v>114.9</c:v>
                </c:pt>
                <c:pt idx="63">
                  <c:v>120.2</c:v>
                </c:pt>
                <c:pt idx="64">
                  <c:v>130</c:v>
                </c:pt>
                <c:pt idx="65">
                  <c:v>130</c:v>
                </c:pt>
                <c:pt idx="66">
                  <c:v>130</c:v>
                </c:pt>
                <c:pt idx="67">
                  <c:v>127.4</c:v>
                </c:pt>
                <c:pt idx="68">
                  <c:v>123.9</c:v>
                </c:pt>
                <c:pt idx="69">
                  <c:v>122.7</c:v>
                </c:pt>
                <c:pt idx="70">
                  <c:v>112.3</c:v>
                </c:pt>
                <c:pt idx="71">
                  <c:v>100.9</c:v>
                </c:pt>
                <c:pt idx="72">
                  <c:v>125.3</c:v>
                </c:pt>
                <c:pt idx="73">
                  <c:v>118.6</c:v>
                </c:pt>
                <c:pt idx="74">
                  <c:v>107.1</c:v>
                </c:pt>
                <c:pt idx="75">
                  <c:v>100</c:v>
                </c:pt>
                <c:pt idx="76">
                  <c:v>125.1</c:v>
                </c:pt>
                <c:pt idx="77">
                  <c:v>115.7</c:v>
                </c:pt>
                <c:pt idx="78">
                  <c:v>121.6</c:v>
                </c:pt>
                <c:pt idx="79">
                  <c:v>122.8</c:v>
                </c:pt>
                <c:pt idx="80">
                  <c:v>103.5</c:v>
                </c:pt>
                <c:pt idx="81">
                  <c:v>115.9</c:v>
                </c:pt>
                <c:pt idx="82">
                  <c:v>123.2</c:v>
                </c:pt>
                <c:pt idx="83">
                  <c:v>116.4</c:v>
                </c:pt>
                <c:pt idx="84">
                  <c:v>112.8</c:v>
                </c:pt>
                <c:pt idx="85">
                  <c:v>128.30000000000001</c:v>
                </c:pt>
                <c:pt idx="86">
                  <c:v>118.3</c:v>
                </c:pt>
                <c:pt idx="87">
                  <c:v>130</c:v>
                </c:pt>
                <c:pt idx="88">
                  <c:v>101.9</c:v>
                </c:pt>
                <c:pt idx="89">
                  <c:v>113.2</c:v>
                </c:pt>
                <c:pt idx="90">
                  <c:v>110.8</c:v>
                </c:pt>
                <c:pt idx="91">
                  <c:v>100</c:v>
                </c:pt>
                <c:pt idx="92">
                  <c:v>118.5</c:v>
                </c:pt>
                <c:pt idx="93">
                  <c:v>130</c:v>
                </c:pt>
                <c:pt idx="94">
                  <c:v>118.2</c:v>
                </c:pt>
                <c:pt idx="95">
                  <c:v>107.5</c:v>
                </c:pt>
                <c:pt idx="96">
                  <c:v>111.8</c:v>
                </c:pt>
                <c:pt idx="97">
                  <c:v>115.6</c:v>
                </c:pt>
                <c:pt idx="98">
                  <c:v>113.1</c:v>
                </c:pt>
                <c:pt idx="99">
                  <c:v>104.6</c:v>
                </c:pt>
                <c:pt idx="100">
                  <c:v>103.6</c:v>
                </c:pt>
                <c:pt idx="101">
                  <c:v>125.7</c:v>
                </c:pt>
                <c:pt idx="102">
                  <c:v>108.2</c:v>
                </c:pt>
                <c:pt idx="103">
                  <c:v>130</c:v>
                </c:pt>
                <c:pt idx="104">
                  <c:v>116.2</c:v>
                </c:pt>
                <c:pt idx="105">
                  <c:v>130</c:v>
                </c:pt>
                <c:pt idx="106">
                  <c:v>130</c:v>
                </c:pt>
                <c:pt idx="107">
                  <c:v>123.2</c:v>
                </c:pt>
                <c:pt idx="108">
                  <c:v>113.2</c:v>
                </c:pt>
                <c:pt idx="109">
                  <c:v>130</c:v>
                </c:pt>
                <c:pt idx="110">
                  <c:v>119</c:v>
                </c:pt>
                <c:pt idx="111">
                  <c:v>115.4</c:v>
                </c:pt>
                <c:pt idx="112">
                  <c:v>114.7</c:v>
                </c:pt>
                <c:pt idx="113">
                  <c:v>107.2</c:v>
                </c:pt>
                <c:pt idx="114">
                  <c:v>126.5</c:v>
                </c:pt>
                <c:pt idx="115">
                  <c:v>105.9</c:v>
                </c:pt>
                <c:pt idx="116">
                  <c:v>119.4</c:v>
                </c:pt>
                <c:pt idx="117">
                  <c:v>130</c:v>
                </c:pt>
                <c:pt idx="118">
                  <c:v>126.9</c:v>
                </c:pt>
                <c:pt idx="119">
                  <c:v>121.1</c:v>
                </c:pt>
                <c:pt idx="120">
                  <c:v>118.1</c:v>
                </c:pt>
                <c:pt idx="121">
                  <c:v>107.3</c:v>
                </c:pt>
                <c:pt idx="122">
                  <c:v>125</c:v>
                </c:pt>
                <c:pt idx="123">
                  <c:v>130</c:v>
                </c:pt>
                <c:pt idx="124">
                  <c:v>118.4</c:v>
                </c:pt>
                <c:pt idx="125">
                  <c:v>107.3</c:v>
                </c:pt>
                <c:pt idx="126">
                  <c:v>108.6</c:v>
                </c:pt>
                <c:pt idx="127">
                  <c:v>120.6</c:v>
                </c:pt>
                <c:pt idx="128">
                  <c:v>118</c:v>
                </c:pt>
                <c:pt idx="129">
                  <c:v>110</c:v>
                </c:pt>
                <c:pt idx="130">
                  <c:v>130</c:v>
                </c:pt>
                <c:pt idx="131">
                  <c:v>104.7</c:v>
                </c:pt>
                <c:pt idx="132">
                  <c:v>107.9</c:v>
                </c:pt>
                <c:pt idx="133">
                  <c:v>130</c:v>
                </c:pt>
                <c:pt idx="134">
                  <c:v>126.9</c:v>
                </c:pt>
                <c:pt idx="135">
                  <c:v>120</c:v>
                </c:pt>
                <c:pt idx="136">
                  <c:v>116.7</c:v>
                </c:pt>
                <c:pt idx="137">
                  <c:v>100</c:v>
                </c:pt>
                <c:pt idx="138">
                  <c:v>115.1</c:v>
                </c:pt>
                <c:pt idx="139">
                  <c:v>130</c:v>
                </c:pt>
                <c:pt idx="140">
                  <c:v>102.8</c:v>
                </c:pt>
                <c:pt idx="141">
                  <c:v>116.2</c:v>
                </c:pt>
                <c:pt idx="142">
                  <c:v>113.9</c:v>
                </c:pt>
                <c:pt idx="143">
                  <c:v>107.5</c:v>
                </c:pt>
                <c:pt idx="144">
                  <c:v>117.3</c:v>
                </c:pt>
                <c:pt idx="145">
                  <c:v>112</c:v>
                </c:pt>
                <c:pt idx="146">
                  <c:v>100</c:v>
                </c:pt>
                <c:pt idx="147">
                  <c:v>117.3</c:v>
                </c:pt>
                <c:pt idx="148">
                  <c:v>117.1</c:v>
                </c:pt>
                <c:pt idx="149">
                  <c:v>121.6</c:v>
                </c:pt>
                <c:pt idx="150">
                  <c:v>112.9</c:v>
                </c:pt>
                <c:pt idx="151">
                  <c:v>106.6</c:v>
                </c:pt>
                <c:pt idx="152">
                  <c:v>112.2</c:v>
                </c:pt>
                <c:pt idx="153">
                  <c:v>118.2</c:v>
                </c:pt>
                <c:pt idx="154">
                  <c:v>109</c:v>
                </c:pt>
                <c:pt idx="155">
                  <c:v>110.2</c:v>
                </c:pt>
                <c:pt idx="156">
                  <c:v>104.1</c:v>
                </c:pt>
                <c:pt idx="157">
                  <c:v>103.8</c:v>
                </c:pt>
                <c:pt idx="158">
                  <c:v>130</c:v>
                </c:pt>
                <c:pt idx="159">
                  <c:v>124.6</c:v>
                </c:pt>
                <c:pt idx="160">
                  <c:v>112.1</c:v>
                </c:pt>
                <c:pt idx="161">
                  <c:v>110.2</c:v>
                </c:pt>
                <c:pt idx="162">
                  <c:v>130</c:v>
                </c:pt>
                <c:pt idx="163">
                  <c:v>114.1</c:v>
                </c:pt>
                <c:pt idx="164">
                  <c:v>112.5</c:v>
                </c:pt>
                <c:pt idx="165">
                  <c:v>107.9</c:v>
                </c:pt>
                <c:pt idx="166">
                  <c:v>119.9</c:v>
                </c:pt>
                <c:pt idx="167">
                  <c:v>106.4</c:v>
                </c:pt>
                <c:pt idx="168">
                  <c:v>113.4</c:v>
                </c:pt>
                <c:pt idx="169">
                  <c:v>102.8</c:v>
                </c:pt>
                <c:pt idx="170">
                  <c:v>104.7</c:v>
                </c:pt>
                <c:pt idx="171">
                  <c:v>130</c:v>
                </c:pt>
                <c:pt idx="172">
                  <c:v>114.3</c:v>
                </c:pt>
                <c:pt idx="173">
                  <c:v>111.6</c:v>
                </c:pt>
                <c:pt idx="174">
                  <c:v>130</c:v>
                </c:pt>
                <c:pt idx="175">
                  <c:v>104.1</c:v>
                </c:pt>
                <c:pt idx="176">
                  <c:v>107.6</c:v>
                </c:pt>
                <c:pt idx="177">
                  <c:v>107.6</c:v>
                </c:pt>
                <c:pt idx="178">
                  <c:v>114.9</c:v>
                </c:pt>
                <c:pt idx="179">
                  <c:v>114.7</c:v>
                </c:pt>
                <c:pt idx="180">
                  <c:v>130</c:v>
                </c:pt>
                <c:pt idx="181">
                  <c:v>106.8</c:v>
                </c:pt>
                <c:pt idx="182">
                  <c:v>118.3</c:v>
                </c:pt>
                <c:pt idx="183">
                  <c:v>112.9</c:v>
                </c:pt>
                <c:pt idx="184">
                  <c:v>130</c:v>
                </c:pt>
                <c:pt idx="185">
                  <c:v>126.4</c:v>
                </c:pt>
                <c:pt idx="186">
                  <c:v>119</c:v>
                </c:pt>
                <c:pt idx="187">
                  <c:v>122.1</c:v>
                </c:pt>
                <c:pt idx="188">
                  <c:v>100</c:v>
                </c:pt>
                <c:pt idx="189">
                  <c:v>107.9</c:v>
                </c:pt>
                <c:pt idx="190">
                  <c:v>100</c:v>
                </c:pt>
                <c:pt idx="191">
                  <c:v>130</c:v>
                </c:pt>
                <c:pt idx="192">
                  <c:v>107.3</c:v>
                </c:pt>
                <c:pt idx="193">
                  <c:v>104.8</c:v>
                </c:pt>
                <c:pt idx="194">
                  <c:v>130</c:v>
                </c:pt>
                <c:pt idx="195">
                  <c:v>112.9</c:v>
                </c:pt>
                <c:pt idx="196">
                  <c:v>114</c:v>
                </c:pt>
                <c:pt idx="197">
                  <c:v>105.2</c:v>
                </c:pt>
                <c:pt idx="198">
                  <c:v>118.5</c:v>
                </c:pt>
                <c:pt idx="199">
                  <c:v>130</c:v>
                </c:pt>
                <c:pt idx="200">
                  <c:v>119.3</c:v>
                </c:pt>
                <c:pt idx="201">
                  <c:v>107.4</c:v>
                </c:pt>
                <c:pt idx="202">
                  <c:v>113.5</c:v>
                </c:pt>
                <c:pt idx="203">
                  <c:v>108.4</c:v>
                </c:pt>
                <c:pt idx="204">
                  <c:v>128.6</c:v>
                </c:pt>
                <c:pt idx="205">
                  <c:v>114.6</c:v>
                </c:pt>
                <c:pt idx="206">
                  <c:v>105.2</c:v>
                </c:pt>
                <c:pt idx="207">
                  <c:v>120.6</c:v>
                </c:pt>
                <c:pt idx="208">
                  <c:v>120.6</c:v>
                </c:pt>
                <c:pt idx="209">
                  <c:v>109.3</c:v>
                </c:pt>
                <c:pt idx="210">
                  <c:v>130</c:v>
                </c:pt>
                <c:pt idx="211">
                  <c:v>126.5</c:v>
                </c:pt>
                <c:pt idx="212">
                  <c:v>100</c:v>
                </c:pt>
                <c:pt idx="213">
                  <c:v>107.1</c:v>
                </c:pt>
                <c:pt idx="214">
                  <c:v>121.7</c:v>
                </c:pt>
                <c:pt idx="215">
                  <c:v>107.2</c:v>
                </c:pt>
                <c:pt idx="216">
                  <c:v>114</c:v>
                </c:pt>
                <c:pt idx="217">
                  <c:v>122.8</c:v>
                </c:pt>
                <c:pt idx="218">
                  <c:v>100</c:v>
                </c:pt>
                <c:pt idx="219">
                  <c:v>103.8</c:v>
                </c:pt>
                <c:pt idx="220">
                  <c:v>103</c:v>
                </c:pt>
                <c:pt idx="221">
                  <c:v>113.1</c:v>
                </c:pt>
                <c:pt idx="222">
                  <c:v>109.3</c:v>
                </c:pt>
                <c:pt idx="223">
                  <c:v>119.1</c:v>
                </c:pt>
                <c:pt idx="224">
                  <c:v>107.4</c:v>
                </c:pt>
                <c:pt idx="225">
                  <c:v>110.9</c:v>
                </c:pt>
                <c:pt idx="226">
                  <c:v>105.7</c:v>
                </c:pt>
                <c:pt idx="227">
                  <c:v>109.1</c:v>
                </c:pt>
                <c:pt idx="228">
                  <c:v>114.5</c:v>
                </c:pt>
                <c:pt idx="229">
                  <c:v>111.9</c:v>
                </c:pt>
                <c:pt idx="230">
                  <c:v>100</c:v>
                </c:pt>
                <c:pt idx="231">
                  <c:v>130</c:v>
                </c:pt>
                <c:pt idx="232">
                  <c:v>130</c:v>
                </c:pt>
                <c:pt idx="233">
                  <c:v>112.3</c:v>
                </c:pt>
                <c:pt idx="234">
                  <c:v>130</c:v>
                </c:pt>
                <c:pt idx="235">
                  <c:v>118.9</c:v>
                </c:pt>
                <c:pt idx="236">
                  <c:v>110.9</c:v>
                </c:pt>
                <c:pt idx="237">
                  <c:v>113.3</c:v>
                </c:pt>
                <c:pt idx="238">
                  <c:v>117.7</c:v>
                </c:pt>
                <c:pt idx="239">
                  <c:v>130</c:v>
                </c:pt>
                <c:pt idx="240">
                  <c:v>100</c:v>
                </c:pt>
                <c:pt idx="241">
                  <c:v>103.8</c:v>
                </c:pt>
                <c:pt idx="242">
                  <c:v>116.1</c:v>
                </c:pt>
                <c:pt idx="243">
                  <c:v>110.9</c:v>
                </c:pt>
                <c:pt idx="244">
                  <c:v>113.1</c:v>
                </c:pt>
                <c:pt idx="245">
                  <c:v>110.2</c:v>
                </c:pt>
                <c:pt idx="246">
                  <c:v>111.5</c:v>
                </c:pt>
                <c:pt idx="247">
                  <c:v>121.1</c:v>
                </c:pt>
                <c:pt idx="248">
                  <c:v>128.1</c:v>
                </c:pt>
                <c:pt idx="249">
                  <c:v>111.3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3.9752811720564685</c:v>
                </c:pt>
                <c:pt idx="1">
                  <c:v>-4.0939524057188388</c:v>
                </c:pt>
                <c:pt idx="2">
                  <c:v>3.2133778311397188</c:v>
                </c:pt>
                <c:pt idx="3">
                  <c:v>-17.977029988252241</c:v>
                </c:pt>
                <c:pt idx="4">
                  <c:v>-8.2324128070844349</c:v>
                </c:pt>
                <c:pt idx="5">
                  <c:v>-1.630233399501696</c:v>
                </c:pt>
                <c:pt idx="6">
                  <c:v>-1.9868743909740465</c:v>
                </c:pt>
                <c:pt idx="7">
                  <c:v>-0.58315800078177615</c:v>
                </c:pt>
                <c:pt idx="8">
                  <c:v>-28.615998293423189</c:v>
                </c:pt>
                <c:pt idx="9">
                  <c:v>-3.8604154720195378</c:v>
                </c:pt>
                <c:pt idx="10">
                  <c:v>0.7674721719764469</c:v>
                </c:pt>
                <c:pt idx="11">
                  <c:v>-4.7029437485963239</c:v>
                </c:pt>
                <c:pt idx="12">
                  <c:v>1.1212396072419035</c:v>
                </c:pt>
                <c:pt idx="13">
                  <c:v>2.6407822676212018</c:v>
                </c:pt>
                <c:pt idx="14">
                  <c:v>0.89399080409555376</c:v>
                </c:pt>
                <c:pt idx="15">
                  <c:v>1.1569064499928734</c:v>
                </c:pt>
                <c:pt idx="16">
                  <c:v>-0.57621108177981273</c:v>
                </c:pt>
                <c:pt idx="17">
                  <c:v>2.4933326317190745</c:v>
                </c:pt>
                <c:pt idx="18">
                  <c:v>6.9060353489840169</c:v>
                </c:pt>
                <c:pt idx="19">
                  <c:v>-27.33581278083696</c:v>
                </c:pt>
                <c:pt idx="20">
                  <c:v>7.206884903231038</c:v>
                </c:pt>
                <c:pt idx="21">
                  <c:v>4.7763036808058237</c:v>
                </c:pt>
                <c:pt idx="22">
                  <c:v>-22.244141081680215</c:v>
                </c:pt>
                <c:pt idx="23">
                  <c:v>1.0798759520869246</c:v>
                </c:pt>
                <c:pt idx="24">
                  <c:v>-8.0187694535461365</c:v>
                </c:pt>
                <c:pt idx="25">
                  <c:v>-1.6446143295678755</c:v>
                </c:pt>
                <c:pt idx="26">
                  <c:v>-66.05082074818057</c:v>
                </c:pt>
                <c:pt idx="27">
                  <c:v>-0.39776218452890427</c:v>
                </c:pt>
                <c:pt idx="28">
                  <c:v>-9.5293440826323614</c:v>
                </c:pt>
                <c:pt idx="29">
                  <c:v>7.3656010964407672</c:v>
                </c:pt>
                <c:pt idx="30">
                  <c:v>-4.4515546677253903</c:v>
                </c:pt>
                <c:pt idx="31">
                  <c:v>-4.3771290125794033</c:v>
                </c:pt>
                <c:pt idx="32">
                  <c:v>-58.257780471742123</c:v>
                </c:pt>
                <c:pt idx="33">
                  <c:v>-12.850975433361652</c:v>
                </c:pt>
                <c:pt idx="34">
                  <c:v>8.0072345730204031</c:v>
                </c:pt>
                <c:pt idx="35">
                  <c:v>5.4101448824521219</c:v>
                </c:pt>
                <c:pt idx="36">
                  <c:v>-2.7806526163503311</c:v>
                </c:pt>
                <c:pt idx="37">
                  <c:v>7.0344198995906106</c:v>
                </c:pt>
                <c:pt idx="38">
                  <c:v>2.7006624289723855</c:v>
                </c:pt>
                <c:pt idx="39">
                  <c:v>-4.5492937349088072</c:v>
                </c:pt>
                <c:pt idx="40">
                  <c:v>2.658780326449639</c:v>
                </c:pt>
                <c:pt idx="41">
                  <c:v>-2.0958378725685508E-2</c:v>
                </c:pt>
                <c:pt idx="42">
                  <c:v>-12.802288433231979</c:v>
                </c:pt>
                <c:pt idx="43">
                  <c:v>-6.0922756739273343</c:v>
                </c:pt>
                <c:pt idx="44">
                  <c:v>-0.49549180213063015</c:v>
                </c:pt>
                <c:pt idx="45">
                  <c:v>-4.4062590581298151</c:v>
                </c:pt>
                <c:pt idx="46">
                  <c:v>0.32405352065784376</c:v>
                </c:pt>
                <c:pt idx="47">
                  <c:v>7.3077103842650146</c:v>
                </c:pt>
                <c:pt idx="48">
                  <c:v>12.340977432890513</c:v>
                </c:pt>
                <c:pt idx="49">
                  <c:v>-64.620707344884494</c:v>
                </c:pt>
                <c:pt idx="50">
                  <c:v>7.5536455758530439</c:v>
                </c:pt>
                <c:pt idx="51">
                  <c:v>-0.19985082070421012</c:v>
                </c:pt>
                <c:pt idx="52">
                  <c:v>1.361067838687551</c:v>
                </c:pt>
                <c:pt idx="53">
                  <c:v>-3.8367737046082122</c:v>
                </c:pt>
                <c:pt idx="54">
                  <c:v>1.6895030918298672</c:v>
                </c:pt>
                <c:pt idx="55">
                  <c:v>9.0595151644661165</c:v>
                </c:pt>
                <c:pt idx="56">
                  <c:v>1.3211913166403351</c:v>
                </c:pt>
                <c:pt idx="57">
                  <c:v>-1.5515300890358852</c:v>
                </c:pt>
                <c:pt idx="58">
                  <c:v>1.9649804720261459</c:v>
                </c:pt>
                <c:pt idx="59">
                  <c:v>-10.361572734899385</c:v>
                </c:pt>
                <c:pt idx="60">
                  <c:v>3.4315259166466294</c:v>
                </c:pt>
                <c:pt idx="61">
                  <c:v>-2.8742093532775201</c:v>
                </c:pt>
                <c:pt idx="62">
                  <c:v>-2.5715758965500921</c:v>
                </c:pt>
                <c:pt idx="63">
                  <c:v>-1.5312377578442651</c:v>
                </c:pt>
                <c:pt idx="64">
                  <c:v>11.703447415518873</c:v>
                </c:pt>
                <c:pt idx="65">
                  <c:v>12.573142321191144</c:v>
                </c:pt>
                <c:pt idx="66">
                  <c:v>8.1508413440591614</c:v>
                </c:pt>
                <c:pt idx="67">
                  <c:v>6.265729408663363</c:v>
                </c:pt>
                <c:pt idx="68">
                  <c:v>1.2443177420848741</c:v>
                </c:pt>
                <c:pt idx="69">
                  <c:v>4.0054623318067319</c:v>
                </c:pt>
                <c:pt idx="70">
                  <c:v>-8.2437563069012132</c:v>
                </c:pt>
                <c:pt idx="71">
                  <c:v>-58.037666352951014</c:v>
                </c:pt>
                <c:pt idx="72">
                  <c:v>4.9139311779211239</c:v>
                </c:pt>
                <c:pt idx="73">
                  <c:v>-3.0534524187332819</c:v>
                </c:pt>
                <c:pt idx="74">
                  <c:v>1.770533099481163</c:v>
                </c:pt>
                <c:pt idx="75">
                  <c:v>-10.385318948207289</c:v>
                </c:pt>
                <c:pt idx="76">
                  <c:v>-3.7532124026273395</c:v>
                </c:pt>
                <c:pt idx="77">
                  <c:v>-1.5517022273569201</c:v>
                </c:pt>
                <c:pt idx="78">
                  <c:v>2.9482804312376505</c:v>
                </c:pt>
                <c:pt idx="79">
                  <c:v>4.950907591952693</c:v>
                </c:pt>
                <c:pt idx="80">
                  <c:v>-5.2918944793693541</c:v>
                </c:pt>
                <c:pt idx="81">
                  <c:v>-2.4040771078400995</c:v>
                </c:pt>
                <c:pt idx="82">
                  <c:v>9.6414760496953047</c:v>
                </c:pt>
                <c:pt idx="83">
                  <c:v>-1.2841482174841194</c:v>
                </c:pt>
                <c:pt idx="84">
                  <c:v>0.19088029582274638</c:v>
                </c:pt>
                <c:pt idx="85">
                  <c:v>5.2166253871118968</c:v>
                </c:pt>
                <c:pt idx="86">
                  <c:v>0.94641333786717086</c:v>
                </c:pt>
                <c:pt idx="87">
                  <c:v>8.2964269264074346</c:v>
                </c:pt>
                <c:pt idx="88">
                  <c:v>-3.8343213844581494</c:v>
                </c:pt>
                <c:pt idx="89">
                  <c:v>-3.021554112460088</c:v>
                </c:pt>
                <c:pt idx="90">
                  <c:v>-3.728568370420692</c:v>
                </c:pt>
                <c:pt idx="91">
                  <c:v>-4.1560446292105908</c:v>
                </c:pt>
                <c:pt idx="92">
                  <c:v>9.3298433473023135</c:v>
                </c:pt>
                <c:pt idx="93">
                  <c:v>4.1070100430217877</c:v>
                </c:pt>
                <c:pt idx="94">
                  <c:v>2.3847412625383484</c:v>
                </c:pt>
                <c:pt idx="95">
                  <c:v>-23.658026574074075</c:v>
                </c:pt>
                <c:pt idx="96">
                  <c:v>-5.4372546379410824</c:v>
                </c:pt>
                <c:pt idx="97">
                  <c:v>-1.3948912247435488</c:v>
                </c:pt>
                <c:pt idx="98">
                  <c:v>-1.2863113657797376</c:v>
                </c:pt>
                <c:pt idx="99">
                  <c:v>-20.434685185918877</c:v>
                </c:pt>
                <c:pt idx="100">
                  <c:v>-49.581743930899556</c:v>
                </c:pt>
                <c:pt idx="101">
                  <c:v>2.2414692630658357</c:v>
                </c:pt>
                <c:pt idx="102">
                  <c:v>-15.085205620633852</c:v>
                </c:pt>
                <c:pt idx="103">
                  <c:v>8.0288209669526154</c:v>
                </c:pt>
                <c:pt idx="104">
                  <c:v>1.5549918092179513</c:v>
                </c:pt>
                <c:pt idx="105">
                  <c:v>6.144770637277996</c:v>
                </c:pt>
                <c:pt idx="106">
                  <c:v>14.690728756976467</c:v>
                </c:pt>
                <c:pt idx="107">
                  <c:v>1.0195951989291236</c:v>
                </c:pt>
                <c:pt idx="108">
                  <c:v>-1.5709606028800533</c:v>
                </c:pt>
                <c:pt idx="109">
                  <c:v>-0.70397081058992605</c:v>
                </c:pt>
                <c:pt idx="110">
                  <c:v>0.72504955277285932</c:v>
                </c:pt>
                <c:pt idx="111">
                  <c:v>-0.60912409535649259</c:v>
                </c:pt>
                <c:pt idx="112">
                  <c:v>-4.2331457467213198</c:v>
                </c:pt>
                <c:pt idx="113">
                  <c:v>1.7747947064453484</c:v>
                </c:pt>
                <c:pt idx="114">
                  <c:v>6.3093242027618386</c:v>
                </c:pt>
                <c:pt idx="115">
                  <c:v>-33.81348510211933</c:v>
                </c:pt>
                <c:pt idx="116">
                  <c:v>3.762265287986736</c:v>
                </c:pt>
                <c:pt idx="117">
                  <c:v>9.2125215925147863</c:v>
                </c:pt>
                <c:pt idx="118">
                  <c:v>-1.566671839298388</c:v>
                </c:pt>
                <c:pt idx="119">
                  <c:v>0.92134037386769219</c:v>
                </c:pt>
                <c:pt idx="120">
                  <c:v>-0.85415337265271596</c:v>
                </c:pt>
                <c:pt idx="121">
                  <c:v>2.3239281217156216</c:v>
                </c:pt>
                <c:pt idx="122">
                  <c:v>0.63825307761967798</c:v>
                </c:pt>
                <c:pt idx="123">
                  <c:v>12.864923315640375</c:v>
                </c:pt>
                <c:pt idx="124">
                  <c:v>1.1289373735570822</c:v>
                </c:pt>
                <c:pt idx="125">
                  <c:v>-6.0332752836475212</c:v>
                </c:pt>
                <c:pt idx="126">
                  <c:v>-13.102810147120197</c:v>
                </c:pt>
                <c:pt idx="127">
                  <c:v>-0.77592626796285591</c:v>
                </c:pt>
                <c:pt idx="128">
                  <c:v>5.9505924745521543</c:v>
                </c:pt>
                <c:pt idx="129">
                  <c:v>-9.8939569798053384</c:v>
                </c:pt>
                <c:pt idx="130">
                  <c:v>8.8311480204613169</c:v>
                </c:pt>
                <c:pt idx="131">
                  <c:v>-24.824988744513199</c:v>
                </c:pt>
                <c:pt idx="132">
                  <c:v>-4.2036399378581644</c:v>
                </c:pt>
                <c:pt idx="133">
                  <c:v>9.7171867874327109</c:v>
                </c:pt>
                <c:pt idx="134">
                  <c:v>-1.3943568741858292</c:v>
                </c:pt>
                <c:pt idx="135">
                  <c:v>-0.88994517208870172</c:v>
                </c:pt>
                <c:pt idx="136">
                  <c:v>-4.1088153531444069</c:v>
                </c:pt>
                <c:pt idx="137">
                  <c:v>-32.820605420984158</c:v>
                </c:pt>
                <c:pt idx="138">
                  <c:v>-1.2035195395985407</c:v>
                </c:pt>
                <c:pt idx="139">
                  <c:v>2.043992643984228</c:v>
                </c:pt>
                <c:pt idx="140">
                  <c:v>-8.1785723680391644</c:v>
                </c:pt>
                <c:pt idx="141">
                  <c:v>-0.61590313193512036</c:v>
                </c:pt>
                <c:pt idx="142">
                  <c:v>-6.3202010500635311</c:v>
                </c:pt>
                <c:pt idx="143">
                  <c:v>-4.2397116372730563</c:v>
                </c:pt>
                <c:pt idx="144">
                  <c:v>3.0859099597585131</c:v>
                </c:pt>
                <c:pt idx="145">
                  <c:v>-5.0826904038272964</c:v>
                </c:pt>
                <c:pt idx="146">
                  <c:v>-6.7760583056763011</c:v>
                </c:pt>
                <c:pt idx="147">
                  <c:v>-3.9665983134746923</c:v>
                </c:pt>
                <c:pt idx="148">
                  <c:v>-1.1540448096263141</c:v>
                </c:pt>
                <c:pt idx="149">
                  <c:v>-0.79366697133137065</c:v>
                </c:pt>
                <c:pt idx="150">
                  <c:v>-5.4240678756104792</c:v>
                </c:pt>
                <c:pt idx="151">
                  <c:v>-15.663018025474013</c:v>
                </c:pt>
                <c:pt idx="152">
                  <c:v>-1.9157500946588457</c:v>
                </c:pt>
                <c:pt idx="153">
                  <c:v>-0.89235645941452402</c:v>
                </c:pt>
                <c:pt idx="154">
                  <c:v>-8.3583749666427245</c:v>
                </c:pt>
                <c:pt idx="155">
                  <c:v>-15.340191709728728</c:v>
                </c:pt>
                <c:pt idx="156">
                  <c:v>-25.44804086699936</c:v>
                </c:pt>
                <c:pt idx="157">
                  <c:v>0.494657935810774</c:v>
                </c:pt>
                <c:pt idx="158">
                  <c:v>15.476482532036787</c:v>
                </c:pt>
                <c:pt idx="159">
                  <c:v>5.8540844102331482</c:v>
                </c:pt>
                <c:pt idx="160">
                  <c:v>-4.7326519976917023</c:v>
                </c:pt>
                <c:pt idx="161">
                  <c:v>-2.5095545293737178</c:v>
                </c:pt>
                <c:pt idx="162">
                  <c:v>15.543205210196872</c:v>
                </c:pt>
                <c:pt idx="163">
                  <c:v>0.29180114950809399</c:v>
                </c:pt>
                <c:pt idx="164">
                  <c:v>-6.3818452197198363</c:v>
                </c:pt>
                <c:pt idx="165">
                  <c:v>-16.17750501820386</c:v>
                </c:pt>
                <c:pt idx="166">
                  <c:v>-2.2951925927098098</c:v>
                </c:pt>
                <c:pt idx="167">
                  <c:v>-15.425694878702052</c:v>
                </c:pt>
                <c:pt idx="168">
                  <c:v>-4.3601383756377965</c:v>
                </c:pt>
                <c:pt idx="169">
                  <c:v>-19.753393798408407</c:v>
                </c:pt>
                <c:pt idx="170">
                  <c:v>-42.55952441502987</c:v>
                </c:pt>
                <c:pt idx="171">
                  <c:v>8.239420495573933</c:v>
                </c:pt>
                <c:pt idx="172">
                  <c:v>-6.3985928916192325</c:v>
                </c:pt>
                <c:pt idx="173">
                  <c:v>-4.9054437431031817</c:v>
                </c:pt>
                <c:pt idx="174">
                  <c:v>10.312694120298017</c:v>
                </c:pt>
                <c:pt idx="175">
                  <c:v>-2.3459916202674345</c:v>
                </c:pt>
                <c:pt idx="176">
                  <c:v>-17.858861031439226</c:v>
                </c:pt>
                <c:pt idx="177">
                  <c:v>-14.843695227259493</c:v>
                </c:pt>
                <c:pt idx="178">
                  <c:v>0.32444698140333184</c:v>
                </c:pt>
                <c:pt idx="179">
                  <c:v>-1.9079942869260791</c:v>
                </c:pt>
                <c:pt idx="180">
                  <c:v>1.1920233147664361</c:v>
                </c:pt>
                <c:pt idx="181">
                  <c:v>-8.0963245842092935</c:v>
                </c:pt>
                <c:pt idx="182">
                  <c:v>-2.8033572772869273</c:v>
                </c:pt>
                <c:pt idx="183">
                  <c:v>-6.1523134474742598</c:v>
                </c:pt>
                <c:pt idx="184">
                  <c:v>8.3389697856362126</c:v>
                </c:pt>
                <c:pt idx="185">
                  <c:v>2.2043977081361015</c:v>
                </c:pt>
                <c:pt idx="186">
                  <c:v>4.7973127086928438</c:v>
                </c:pt>
                <c:pt idx="187">
                  <c:v>-1.4500532392302745</c:v>
                </c:pt>
                <c:pt idx="188">
                  <c:v>-10.654132212916323</c:v>
                </c:pt>
                <c:pt idx="189">
                  <c:v>4.0542597598264187</c:v>
                </c:pt>
                <c:pt idx="190">
                  <c:v>-11.493129776774746</c:v>
                </c:pt>
                <c:pt idx="191">
                  <c:v>11.570226355813116</c:v>
                </c:pt>
                <c:pt idx="192">
                  <c:v>-7.4983643417493582</c:v>
                </c:pt>
                <c:pt idx="193">
                  <c:v>-13.853130267163838</c:v>
                </c:pt>
                <c:pt idx="194">
                  <c:v>9.3997620193170945</c:v>
                </c:pt>
                <c:pt idx="195">
                  <c:v>-4.1126232877897912</c:v>
                </c:pt>
                <c:pt idx="196">
                  <c:v>-0.2165174031806181</c:v>
                </c:pt>
                <c:pt idx="197">
                  <c:v>-26.31360347466936</c:v>
                </c:pt>
                <c:pt idx="198">
                  <c:v>1.5550847626582116</c:v>
                </c:pt>
                <c:pt idx="199">
                  <c:v>11.339266736486566</c:v>
                </c:pt>
                <c:pt idx="200">
                  <c:v>-2.3609014697470179</c:v>
                </c:pt>
                <c:pt idx="201">
                  <c:v>-19.029894034262224</c:v>
                </c:pt>
                <c:pt idx="202">
                  <c:v>-2.0970915097217233</c:v>
                </c:pt>
                <c:pt idx="203">
                  <c:v>-1.9223686826871791</c:v>
                </c:pt>
                <c:pt idx="204">
                  <c:v>8.9084689045121408</c:v>
                </c:pt>
                <c:pt idx="205">
                  <c:v>2.0462508456532689</c:v>
                </c:pt>
                <c:pt idx="206">
                  <c:v>-20.199439182034755</c:v>
                </c:pt>
                <c:pt idx="207">
                  <c:v>-1.5182890403083444</c:v>
                </c:pt>
                <c:pt idx="208">
                  <c:v>1.7131376786915782</c:v>
                </c:pt>
                <c:pt idx="209">
                  <c:v>6.0775537873840451</c:v>
                </c:pt>
                <c:pt idx="210">
                  <c:v>11.244362713433599</c:v>
                </c:pt>
                <c:pt idx="211">
                  <c:v>4.3143067804755848</c:v>
                </c:pt>
                <c:pt idx="212">
                  <c:v>-7.2712439349983784</c:v>
                </c:pt>
                <c:pt idx="213">
                  <c:v>-12.776982752643976</c:v>
                </c:pt>
                <c:pt idx="214">
                  <c:v>8.3838526087701073</c:v>
                </c:pt>
                <c:pt idx="215">
                  <c:v>-9.9061461842951246</c:v>
                </c:pt>
                <c:pt idx="216">
                  <c:v>-1.0323057835194192</c:v>
                </c:pt>
                <c:pt idx="217">
                  <c:v>6.4921586992732729</c:v>
                </c:pt>
                <c:pt idx="218">
                  <c:v>-62.717174637145668</c:v>
                </c:pt>
                <c:pt idx="219">
                  <c:v>-12.394654782174024</c:v>
                </c:pt>
                <c:pt idx="220">
                  <c:v>-1.9084657149659952</c:v>
                </c:pt>
                <c:pt idx="221">
                  <c:v>-6.8336732459027356</c:v>
                </c:pt>
                <c:pt idx="222">
                  <c:v>3.0611389973454055</c:v>
                </c:pt>
                <c:pt idx="223">
                  <c:v>1.6653894090760961</c:v>
                </c:pt>
                <c:pt idx="224">
                  <c:v>-19.248630239626184</c:v>
                </c:pt>
                <c:pt idx="225">
                  <c:v>-2.5912828062802191</c:v>
                </c:pt>
                <c:pt idx="226">
                  <c:v>-22.627057686801937</c:v>
                </c:pt>
                <c:pt idx="227">
                  <c:v>-6.3783978081289803</c:v>
                </c:pt>
                <c:pt idx="228">
                  <c:v>-0.68554506741044874</c:v>
                </c:pt>
                <c:pt idx="229">
                  <c:v>-2.6358327814603846</c:v>
                </c:pt>
                <c:pt idx="230">
                  <c:v>-41.766275725184265</c:v>
                </c:pt>
                <c:pt idx="231">
                  <c:v>11.542376208610078</c:v>
                </c:pt>
                <c:pt idx="232">
                  <c:v>12.685298598658068</c:v>
                </c:pt>
                <c:pt idx="233">
                  <c:v>-3.7395351454481229</c:v>
                </c:pt>
                <c:pt idx="234">
                  <c:v>3.3045096899918946</c:v>
                </c:pt>
                <c:pt idx="235">
                  <c:v>-0.74044878327769048</c:v>
                </c:pt>
                <c:pt idx="236">
                  <c:v>-4.361593687189214</c:v>
                </c:pt>
                <c:pt idx="237">
                  <c:v>-6.9141560393343386</c:v>
                </c:pt>
                <c:pt idx="238">
                  <c:v>0.36557083602972013</c:v>
                </c:pt>
                <c:pt idx="239">
                  <c:v>14.240096332517874</c:v>
                </c:pt>
                <c:pt idx="240">
                  <c:v>-54.820874751503382</c:v>
                </c:pt>
                <c:pt idx="241">
                  <c:v>-3.2512181694022084</c:v>
                </c:pt>
                <c:pt idx="242">
                  <c:v>-4.4729233752236626</c:v>
                </c:pt>
                <c:pt idx="243">
                  <c:v>-4.1025242369266035</c:v>
                </c:pt>
                <c:pt idx="244">
                  <c:v>-5.4789513123285252</c:v>
                </c:pt>
                <c:pt idx="245">
                  <c:v>-14.517821912950771</c:v>
                </c:pt>
                <c:pt idx="246">
                  <c:v>-8.1790177099208918</c:v>
                </c:pt>
                <c:pt idx="247">
                  <c:v>5.9781389613755294E-2</c:v>
                </c:pt>
                <c:pt idx="248">
                  <c:v>6.7160970872806089</c:v>
                </c:pt>
                <c:pt idx="249">
                  <c:v>-10.290870344471429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0-4B9B-8724-2A13AF04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88304"/>
        <c:axId val="1618086384"/>
      </c:scatterChart>
      <c:valAx>
        <c:axId val="1618088304"/>
        <c:scaling>
          <c:orientation val="minMax"/>
          <c:max val="135"/>
          <c:min val="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6384"/>
        <c:crosses val="autoZero"/>
        <c:crossBetween val="midCat"/>
        <c:majorUnit val="10"/>
        <c:minorUnit val="5"/>
      </c:valAx>
      <c:valAx>
        <c:axId val="1618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'1'!$E$8:$E$257</c:f>
              <c:numCache>
                <c:formatCode>General</c:formatCode>
                <c:ptCount val="250"/>
                <c:pt idx="0">
                  <c:v>25.04</c:v>
                </c:pt>
                <c:pt idx="1">
                  <c:v>28.51</c:v>
                </c:pt>
                <c:pt idx="2">
                  <c:v>20</c:v>
                </c:pt>
                <c:pt idx="3">
                  <c:v>35</c:v>
                </c:pt>
                <c:pt idx="4">
                  <c:v>29.55</c:v>
                </c:pt>
                <c:pt idx="5">
                  <c:v>25.73</c:v>
                </c:pt>
                <c:pt idx="6">
                  <c:v>28.73</c:v>
                </c:pt>
                <c:pt idx="7">
                  <c:v>25.44</c:v>
                </c:pt>
                <c:pt idx="8">
                  <c:v>34.020000000000003</c:v>
                </c:pt>
                <c:pt idx="9">
                  <c:v>30.12</c:v>
                </c:pt>
                <c:pt idx="10">
                  <c:v>25.92</c:v>
                </c:pt>
                <c:pt idx="11">
                  <c:v>29.5</c:v>
                </c:pt>
                <c:pt idx="12">
                  <c:v>23.72</c:v>
                </c:pt>
                <c:pt idx="13">
                  <c:v>23.48</c:v>
                </c:pt>
                <c:pt idx="14">
                  <c:v>22.58</c:v>
                </c:pt>
                <c:pt idx="15">
                  <c:v>35</c:v>
                </c:pt>
                <c:pt idx="16">
                  <c:v>26.71</c:v>
                </c:pt>
                <c:pt idx="17">
                  <c:v>27.7</c:v>
                </c:pt>
                <c:pt idx="18">
                  <c:v>23.57</c:v>
                </c:pt>
                <c:pt idx="19">
                  <c:v>32.4</c:v>
                </c:pt>
                <c:pt idx="20">
                  <c:v>26.06</c:v>
                </c:pt>
                <c:pt idx="21">
                  <c:v>24.18</c:v>
                </c:pt>
                <c:pt idx="22">
                  <c:v>31.01</c:v>
                </c:pt>
                <c:pt idx="23">
                  <c:v>20.52</c:v>
                </c:pt>
                <c:pt idx="24">
                  <c:v>27.94</c:v>
                </c:pt>
                <c:pt idx="25">
                  <c:v>27.84</c:v>
                </c:pt>
                <c:pt idx="26">
                  <c:v>35</c:v>
                </c:pt>
                <c:pt idx="27">
                  <c:v>23.22</c:v>
                </c:pt>
                <c:pt idx="28">
                  <c:v>28.78</c:v>
                </c:pt>
                <c:pt idx="29">
                  <c:v>26.42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31.47</c:v>
                </c:pt>
                <c:pt idx="34">
                  <c:v>25.29</c:v>
                </c:pt>
                <c:pt idx="35">
                  <c:v>20</c:v>
                </c:pt>
                <c:pt idx="36">
                  <c:v>20</c:v>
                </c:pt>
                <c:pt idx="37">
                  <c:v>21.04</c:v>
                </c:pt>
                <c:pt idx="38">
                  <c:v>20</c:v>
                </c:pt>
                <c:pt idx="39">
                  <c:v>35</c:v>
                </c:pt>
                <c:pt idx="40">
                  <c:v>23.39</c:v>
                </c:pt>
                <c:pt idx="41">
                  <c:v>35</c:v>
                </c:pt>
                <c:pt idx="42">
                  <c:v>28.82</c:v>
                </c:pt>
                <c:pt idx="43">
                  <c:v>25.97</c:v>
                </c:pt>
                <c:pt idx="44">
                  <c:v>35</c:v>
                </c:pt>
                <c:pt idx="45">
                  <c:v>31.6</c:v>
                </c:pt>
                <c:pt idx="46">
                  <c:v>20</c:v>
                </c:pt>
                <c:pt idx="47">
                  <c:v>28.31</c:v>
                </c:pt>
                <c:pt idx="48">
                  <c:v>28.38</c:v>
                </c:pt>
                <c:pt idx="49">
                  <c:v>35</c:v>
                </c:pt>
                <c:pt idx="50">
                  <c:v>20</c:v>
                </c:pt>
                <c:pt idx="51">
                  <c:v>31.94</c:v>
                </c:pt>
                <c:pt idx="52">
                  <c:v>20</c:v>
                </c:pt>
                <c:pt idx="53">
                  <c:v>20</c:v>
                </c:pt>
                <c:pt idx="54">
                  <c:v>21.72</c:v>
                </c:pt>
                <c:pt idx="55">
                  <c:v>26.17</c:v>
                </c:pt>
                <c:pt idx="56">
                  <c:v>35</c:v>
                </c:pt>
                <c:pt idx="57">
                  <c:v>28.31</c:v>
                </c:pt>
                <c:pt idx="58">
                  <c:v>20</c:v>
                </c:pt>
                <c:pt idx="59">
                  <c:v>35</c:v>
                </c:pt>
                <c:pt idx="60">
                  <c:v>29.23</c:v>
                </c:pt>
                <c:pt idx="61">
                  <c:v>35</c:v>
                </c:pt>
                <c:pt idx="62">
                  <c:v>30.19</c:v>
                </c:pt>
                <c:pt idx="63">
                  <c:v>26.26</c:v>
                </c:pt>
                <c:pt idx="64">
                  <c:v>23.23</c:v>
                </c:pt>
                <c:pt idx="65">
                  <c:v>29.39</c:v>
                </c:pt>
                <c:pt idx="66">
                  <c:v>25.65</c:v>
                </c:pt>
                <c:pt idx="67">
                  <c:v>28.41</c:v>
                </c:pt>
                <c:pt idx="68">
                  <c:v>26.63</c:v>
                </c:pt>
                <c:pt idx="69">
                  <c:v>20</c:v>
                </c:pt>
                <c:pt idx="70">
                  <c:v>28</c:v>
                </c:pt>
                <c:pt idx="71">
                  <c:v>35</c:v>
                </c:pt>
                <c:pt idx="72">
                  <c:v>25.95</c:v>
                </c:pt>
                <c:pt idx="73">
                  <c:v>28.17</c:v>
                </c:pt>
                <c:pt idx="74">
                  <c:v>21.68</c:v>
                </c:pt>
                <c:pt idx="75">
                  <c:v>28.85</c:v>
                </c:pt>
                <c:pt idx="76">
                  <c:v>31.02</c:v>
                </c:pt>
                <c:pt idx="77">
                  <c:v>24.52</c:v>
                </c:pt>
                <c:pt idx="78">
                  <c:v>23.64</c:v>
                </c:pt>
                <c:pt idx="79">
                  <c:v>23.84</c:v>
                </c:pt>
                <c:pt idx="80">
                  <c:v>29.03</c:v>
                </c:pt>
                <c:pt idx="81">
                  <c:v>23.64</c:v>
                </c:pt>
                <c:pt idx="82">
                  <c:v>20</c:v>
                </c:pt>
                <c:pt idx="83">
                  <c:v>24.51</c:v>
                </c:pt>
                <c:pt idx="84">
                  <c:v>35</c:v>
                </c:pt>
                <c:pt idx="85">
                  <c:v>20</c:v>
                </c:pt>
                <c:pt idx="86">
                  <c:v>23.82</c:v>
                </c:pt>
                <c:pt idx="87">
                  <c:v>21.6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29.85</c:v>
                </c:pt>
                <c:pt idx="92">
                  <c:v>20.37</c:v>
                </c:pt>
                <c:pt idx="93">
                  <c:v>21.2</c:v>
                </c:pt>
                <c:pt idx="94">
                  <c:v>27.89</c:v>
                </c:pt>
                <c:pt idx="95">
                  <c:v>35</c:v>
                </c:pt>
                <c:pt idx="96">
                  <c:v>20</c:v>
                </c:pt>
                <c:pt idx="97">
                  <c:v>24.74</c:v>
                </c:pt>
                <c:pt idx="98">
                  <c:v>20</c:v>
                </c:pt>
                <c:pt idx="99">
                  <c:v>27.64</c:v>
                </c:pt>
                <c:pt idx="100">
                  <c:v>35</c:v>
                </c:pt>
                <c:pt idx="101">
                  <c:v>23.03</c:v>
                </c:pt>
                <c:pt idx="102">
                  <c:v>33.18</c:v>
                </c:pt>
                <c:pt idx="103">
                  <c:v>29.69</c:v>
                </c:pt>
                <c:pt idx="104">
                  <c:v>32.21</c:v>
                </c:pt>
                <c:pt idx="105">
                  <c:v>25.66</c:v>
                </c:pt>
                <c:pt idx="106">
                  <c:v>28.47</c:v>
                </c:pt>
                <c:pt idx="107">
                  <c:v>20</c:v>
                </c:pt>
                <c:pt idx="108">
                  <c:v>22.39</c:v>
                </c:pt>
                <c:pt idx="109">
                  <c:v>27.2</c:v>
                </c:pt>
                <c:pt idx="110">
                  <c:v>23.32</c:v>
                </c:pt>
                <c:pt idx="111">
                  <c:v>25.38</c:v>
                </c:pt>
                <c:pt idx="112">
                  <c:v>32.65</c:v>
                </c:pt>
                <c:pt idx="113">
                  <c:v>23.05</c:v>
                </c:pt>
                <c:pt idx="114">
                  <c:v>21.37</c:v>
                </c:pt>
                <c:pt idx="115">
                  <c:v>35</c:v>
                </c:pt>
                <c:pt idx="116">
                  <c:v>25.31</c:v>
                </c:pt>
                <c:pt idx="117">
                  <c:v>26.5</c:v>
                </c:pt>
                <c:pt idx="118">
                  <c:v>30.54</c:v>
                </c:pt>
                <c:pt idx="119">
                  <c:v>20.62</c:v>
                </c:pt>
                <c:pt idx="120">
                  <c:v>25.62</c:v>
                </c:pt>
                <c:pt idx="121">
                  <c:v>26.75</c:v>
                </c:pt>
                <c:pt idx="122">
                  <c:v>20</c:v>
                </c:pt>
                <c:pt idx="123">
                  <c:v>35</c:v>
                </c:pt>
                <c:pt idx="124">
                  <c:v>26.19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20</c:v>
                </c:pt>
                <c:pt idx="129">
                  <c:v>27.96</c:v>
                </c:pt>
                <c:pt idx="130">
                  <c:v>21.88</c:v>
                </c:pt>
                <c:pt idx="131">
                  <c:v>29.03</c:v>
                </c:pt>
                <c:pt idx="132">
                  <c:v>35</c:v>
                </c:pt>
                <c:pt idx="133">
                  <c:v>20</c:v>
                </c:pt>
                <c:pt idx="134">
                  <c:v>21.21</c:v>
                </c:pt>
                <c:pt idx="135">
                  <c:v>27.34</c:v>
                </c:pt>
                <c:pt idx="136">
                  <c:v>35</c:v>
                </c:pt>
                <c:pt idx="137">
                  <c:v>35</c:v>
                </c:pt>
                <c:pt idx="138">
                  <c:v>20</c:v>
                </c:pt>
                <c:pt idx="139">
                  <c:v>34.46</c:v>
                </c:pt>
                <c:pt idx="140">
                  <c:v>31.32</c:v>
                </c:pt>
                <c:pt idx="141">
                  <c:v>21.77</c:v>
                </c:pt>
                <c:pt idx="142">
                  <c:v>30.95</c:v>
                </c:pt>
                <c:pt idx="143">
                  <c:v>33.15</c:v>
                </c:pt>
                <c:pt idx="144">
                  <c:v>24.91</c:v>
                </c:pt>
                <c:pt idx="145">
                  <c:v>22.59</c:v>
                </c:pt>
                <c:pt idx="146">
                  <c:v>28.55</c:v>
                </c:pt>
                <c:pt idx="147">
                  <c:v>33.090000000000003</c:v>
                </c:pt>
                <c:pt idx="148">
                  <c:v>28.4</c:v>
                </c:pt>
                <c:pt idx="149">
                  <c:v>29.86</c:v>
                </c:pt>
                <c:pt idx="150">
                  <c:v>20</c:v>
                </c:pt>
                <c:pt idx="151">
                  <c:v>34.659999999999997</c:v>
                </c:pt>
                <c:pt idx="152">
                  <c:v>30.24</c:v>
                </c:pt>
                <c:pt idx="153">
                  <c:v>24.51</c:v>
                </c:pt>
                <c:pt idx="154">
                  <c:v>25.72</c:v>
                </c:pt>
                <c:pt idx="155">
                  <c:v>32.92</c:v>
                </c:pt>
                <c:pt idx="156">
                  <c:v>35</c:v>
                </c:pt>
                <c:pt idx="157">
                  <c:v>30.02</c:v>
                </c:pt>
                <c:pt idx="158">
                  <c:v>20</c:v>
                </c:pt>
                <c:pt idx="159">
                  <c:v>20</c:v>
                </c:pt>
                <c:pt idx="160">
                  <c:v>22.93</c:v>
                </c:pt>
                <c:pt idx="161">
                  <c:v>35</c:v>
                </c:pt>
                <c:pt idx="162">
                  <c:v>33.5</c:v>
                </c:pt>
                <c:pt idx="163">
                  <c:v>25.55</c:v>
                </c:pt>
                <c:pt idx="164">
                  <c:v>20.46</c:v>
                </c:pt>
                <c:pt idx="165">
                  <c:v>30.35</c:v>
                </c:pt>
                <c:pt idx="166">
                  <c:v>32.61</c:v>
                </c:pt>
                <c:pt idx="167">
                  <c:v>32.450000000000003</c:v>
                </c:pt>
                <c:pt idx="168">
                  <c:v>22.12</c:v>
                </c:pt>
                <c:pt idx="169">
                  <c:v>31.23</c:v>
                </c:pt>
                <c:pt idx="170">
                  <c:v>35</c:v>
                </c:pt>
                <c:pt idx="171">
                  <c:v>26.15</c:v>
                </c:pt>
                <c:pt idx="172">
                  <c:v>35</c:v>
                </c:pt>
                <c:pt idx="173">
                  <c:v>23.57</c:v>
                </c:pt>
                <c:pt idx="174">
                  <c:v>26.48</c:v>
                </c:pt>
                <c:pt idx="175">
                  <c:v>22.82</c:v>
                </c:pt>
                <c:pt idx="176">
                  <c:v>35</c:v>
                </c:pt>
                <c:pt idx="177">
                  <c:v>31.62</c:v>
                </c:pt>
                <c:pt idx="178">
                  <c:v>20</c:v>
                </c:pt>
                <c:pt idx="179">
                  <c:v>25.63</c:v>
                </c:pt>
                <c:pt idx="180">
                  <c:v>28.32</c:v>
                </c:pt>
                <c:pt idx="181">
                  <c:v>32.549999999999997</c:v>
                </c:pt>
                <c:pt idx="182">
                  <c:v>27.5</c:v>
                </c:pt>
                <c:pt idx="183">
                  <c:v>29.63</c:v>
                </c:pt>
                <c:pt idx="184">
                  <c:v>26.23</c:v>
                </c:pt>
                <c:pt idx="185">
                  <c:v>20</c:v>
                </c:pt>
                <c:pt idx="186">
                  <c:v>24.63</c:v>
                </c:pt>
                <c:pt idx="187">
                  <c:v>27.61</c:v>
                </c:pt>
                <c:pt idx="188">
                  <c:v>30.72</c:v>
                </c:pt>
                <c:pt idx="189">
                  <c:v>26.44</c:v>
                </c:pt>
                <c:pt idx="190">
                  <c:v>32.549999999999997</c:v>
                </c:pt>
                <c:pt idx="191">
                  <c:v>29.25</c:v>
                </c:pt>
                <c:pt idx="192">
                  <c:v>20</c:v>
                </c:pt>
                <c:pt idx="193">
                  <c:v>26.92</c:v>
                </c:pt>
                <c:pt idx="194">
                  <c:v>25.92</c:v>
                </c:pt>
                <c:pt idx="195">
                  <c:v>23.5</c:v>
                </c:pt>
                <c:pt idx="196">
                  <c:v>27.95</c:v>
                </c:pt>
                <c:pt idx="197">
                  <c:v>35</c:v>
                </c:pt>
                <c:pt idx="198">
                  <c:v>25.61</c:v>
                </c:pt>
                <c:pt idx="199">
                  <c:v>23.78</c:v>
                </c:pt>
                <c:pt idx="200">
                  <c:v>28.85</c:v>
                </c:pt>
                <c:pt idx="201">
                  <c:v>35</c:v>
                </c:pt>
                <c:pt idx="202">
                  <c:v>35</c:v>
                </c:pt>
                <c:pt idx="203">
                  <c:v>20</c:v>
                </c:pt>
                <c:pt idx="204">
                  <c:v>28.75</c:v>
                </c:pt>
                <c:pt idx="205">
                  <c:v>24.31</c:v>
                </c:pt>
                <c:pt idx="206">
                  <c:v>27.49</c:v>
                </c:pt>
                <c:pt idx="207">
                  <c:v>35</c:v>
                </c:pt>
                <c:pt idx="208">
                  <c:v>25.13</c:v>
                </c:pt>
                <c:pt idx="209">
                  <c:v>20</c:v>
                </c:pt>
                <c:pt idx="210">
                  <c:v>23.13</c:v>
                </c:pt>
                <c:pt idx="211">
                  <c:v>28.43</c:v>
                </c:pt>
                <c:pt idx="212">
                  <c:v>27.91</c:v>
                </c:pt>
                <c:pt idx="213">
                  <c:v>29.54</c:v>
                </c:pt>
                <c:pt idx="214">
                  <c:v>24.73</c:v>
                </c:pt>
                <c:pt idx="215">
                  <c:v>35</c:v>
                </c:pt>
                <c:pt idx="216">
                  <c:v>20</c:v>
                </c:pt>
                <c:pt idx="217">
                  <c:v>22.13</c:v>
                </c:pt>
                <c:pt idx="218">
                  <c:v>33.270000000000003</c:v>
                </c:pt>
                <c:pt idx="219">
                  <c:v>35</c:v>
                </c:pt>
                <c:pt idx="220">
                  <c:v>29.43</c:v>
                </c:pt>
                <c:pt idx="221">
                  <c:v>32.39</c:v>
                </c:pt>
                <c:pt idx="222">
                  <c:v>26.61</c:v>
                </c:pt>
                <c:pt idx="223">
                  <c:v>22.8</c:v>
                </c:pt>
                <c:pt idx="224">
                  <c:v>29.34</c:v>
                </c:pt>
                <c:pt idx="225">
                  <c:v>35</c:v>
                </c:pt>
                <c:pt idx="226">
                  <c:v>31.03</c:v>
                </c:pt>
                <c:pt idx="227">
                  <c:v>20</c:v>
                </c:pt>
                <c:pt idx="228">
                  <c:v>29.55</c:v>
                </c:pt>
                <c:pt idx="229">
                  <c:v>31.94</c:v>
                </c:pt>
                <c:pt idx="230">
                  <c:v>31.85</c:v>
                </c:pt>
                <c:pt idx="231">
                  <c:v>23.25</c:v>
                </c:pt>
                <c:pt idx="232">
                  <c:v>24.19</c:v>
                </c:pt>
                <c:pt idx="233">
                  <c:v>24.92</c:v>
                </c:pt>
                <c:pt idx="234">
                  <c:v>22.77</c:v>
                </c:pt>
                <c:pt idx="235">
                  <c:v>20</c:v>
                </c:pt>
                <c:pt idx="236">
                  <c:v>35</c:v>
                </c:pt>
                <c:pt idx="237">
                  <c:v>27.72</c:v>
                </c:pt>
                <c:pt idx="238">
                  <c:v>20</c:v>
                </c:pt>
                <c:pt idx="239">
                  <c:v>27.44</c:v>
                </c:pt>
                <c:pt idx="240">
                  <c:v>35</c:v>
                </c:pt>
                <c:pt idx="241">
                  <c:v>23.25</c:v>
                </c:pt>
                <c:pt idx="242">
                  <c:v>31.57</c:v>
                </c:pt>
                <c:pt idx="243">
                  <c:v>20</c:v>
                </c:pt>
                <c:pt idx="244">
                  <c:v>28.82</c:v>
                </c:pt>
                <c:pt idx="245">
                  <c:v>35</c:v>
                </c:pt>
                <c:pt idx="246">
                  <c:v>31.77</c:v>
                </c:pt>
                <c:pt idx="247">
                  <c:v>25.77</c:v>
                </c:pt>
                <c:pt idx="248">
                  <c:v>20</c:v>
                </c:pt>
                <c:pt idx="249">
                  <c:v>30.28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3.9752811720564685</c:v>
                </c:pt>
                <c:pt idx="1">
                  <c:v>-4.0939524057188388</c:v>
                </c:pt>
                <c:pt idx="2">
                  <c:v>3.2133778311397188</c:v>
                </c:pt>
                <c:pt idx="3">
                  <c:v>-17.977029988252241</c:v>
                </c:pt>
                <c:pt idx="4">
                  <c:v>-8.2324128070844349</c:v>
                </c:pt>
                <c:pt idx="5">
                  <c:v>-1.630233399501696</c:v>
                </c:pt>
                <c:pt idx="6">
                  <c:v>-1.9868743909740465</c:v>
                </c:pt>
                <c:pt idx="7">
                  <c:v>-0.58315800078177615</c:v>
                </c:pt>
                <c:pt idx="8">
                  <c:v>-28.615998293423189</c:v>
                </c:pt>
                <c:pt idx="9">
                  <c:v>-3.8604154720195378</c:v>
                </c:pt>
                <c:pt idx="10">
                  <c:v>0.7674721719764469</c:v>
                </c:pt>
                <c:pt idx="11">
                  <c:v>-4.7029437485963239</c:v>
                </c:pt>
                <c:pt idx="12">
                  <c:v>1.1212396072419035</c:v>
                </c:pt>
                <c:pt idx="13">
                  <c:v>2.6407822676212018</c:v>
                </c:pt>
                <c:pt idx="14">
                  <c:v>0.89399080409555376</c:v>
                </c:pt>
                <c:pt idx="15">
                  <c:v>1.1569064499928734</c:v>
                </c:pt>
                <c:pt idx="16">
                  <c:v>-0.57621108177981273</c:v>
                </c:pt>
                <c:pt idx="17">
                  <c:v>2.4933326317190745</c:v>
                </c:pt>
                <c:pt idx="18">
                  <c:v>6.9060353489840169</c:v>
                </c:pt>
                <c:pt idx="19">
                  <c:v>-27.33581278083696</c:v>
                </c:pt>
                <c:pt idx="20">
                  <c:v>7.206884903231038</c:v>
                </c:pt>
                <c:pt idx="21">
                  <c:v>4.7763036808058237</c:v>
                </c:pt>
                <c:pt idx="22">
                  <c:v>-22.244141081680215</c:v>
                </c:pt>
                <c:pt idx="23">
                  <c:v>1.0798759520869246</c:v>
                </c:pt>
                <c:pt idx="24">
                  <c:v>-8.0187694535461365</c:v>
                </c:pt>
                <c:pt idx="25">
                  <c:v>-1.6446143295678755</c:v>
                </c:pt>
                <c:pt idx="26">
                  <c:v>-66.05082074818057</c:v>
                </c:pt>
                <c:pt idx="27">
                  <c:v>-0.39776218452890427</c:v>
                </c:pt>
                <c:pt idx="28">
                  <c:v>-9.5293440826323614</c:v>
                </c:pt>
                <c:pt idx="29">
                  <c:v>7.3656010964407672</c:v>
                </c:pt>
                <c:pt idx="30">
                  <c:v>-4.4515546677253903</c:v>
                </c:pt>
                <c:pt idx="31">
                  <c:v>-4.3771290125794033</c:v>
                </c:pt>
                <c:pt idx="32">
                  <c:v>-58.257780471742123</c:v>
                </c:pt>
                <c:pt idx="33">
                  <c:v>-12.850975433361652</c:v>
                </c:pt>
                <c:pt idx="34">
                  <c:v>8.0072345730204031</c:v>
                </c:pt>
                <c:pt idx="35">
                  <c:v>5.4101448824521219</c:v>
                </c:pt>
                <c:pt idx="36">
                  <c:v>-2.7806526163503311</c:v>
                </c:pt>
                <c:pt idx="37">
                  <c:v>7.0344198995906106</c:v>
                </c:pt>
                <c:pt idx="38">
                  <c:v>2.7006624289723855</c:v>
                </c:pt>
                <c:pt idx="39">
                  <c:v>-4.5492937349088072</c:v>
                </c:pt>
                <c:pt idx="40">
                  <c:v>2.658780326449639</c:v>
                </c:pt>
                <c:pt idx="41">
                  <c:v>-2.0958378725685508E-2</c:v>
                </c:pt>
                <c:pt idx="42">
                  <c:v>-12.802288433231979</c:v>
                </c:pt>
                <c:pt idx="43">
                  <c:v>-6.0922756739273343</c:v>
                </c:pt>
                <c:pt idx="44">
                  <c:v>-0.49549180213063015</c:v>
                </c:pt>
                <c:pt idx="45">
                  <c:v>-4.4062590581298151</c:v>
                </c:pt>
                <c:pt idx="46">
                  <c:v>0.32405352065784376</c:v>
                </c:pt>
                <c:pt idx="47">
                  <c:v>7.3077103842650146</c:v>
                </c:pt>
                <c:pt idx="48">
                  <c:v>12.340977432890513</c:v>
                </c:pt>
                <c:pt idx="49">
                  <c:v>-64.620707344884494</c:v>
                </c:pt>
                <c:pt idx="50">
                  <c:v>7.5536455758530439</c:v>
                </c:pt>
                <c:pt idx="51">
                  <c:v>-0.19985082070421012</c:v>
                </c:pt>
                <c:pt idx="52">
                  <c:v>1.361067838687551</c:v>
                </c:pt>
                <c:pt idx="53">
                  <c:v>-3.8367737046082122</c:v>
                </c:pt>
                <c:pt idx="54">
                  <c:v>1.6895030918298672</c:v>
                </c:pt>
                <c:pt idx="55">
                  <c:v>9.0595151644661165</c:v>
                </c:pt>
                <c:pt idx="56">
                  <c:v>1.3211913166403351</c:v>
                </c:pt>
                <c:pt idx="57">
                  <c:v>-1.5515300890358852</c:v>
                </c:pt>
                <c:pt idx="58">
                  <c:v>1.9649804720261459</c:v>
                </c:pt>
                <c:pt idx="59">
                  <c:v>-10.361572734899385</c:v>
                </c:pt>
                <c:pt idx="60">
                  <c:v>3.4315259166466294</c:v>
                </c:pt>
                <c:pt idx="61">
                  <c:v>-2.8742093532775201</c:v>
                </c:pt>
                <c:pt idx="62">
                  <c:v>-2.5715758965500921</c:v>
                </c:pt>
                <c:pt idx="63">
                  <c:v>-1.5312377578442651</c:v>
                </c:pt>
                <c:pt idx="64">
                  <c:v>11.703447415518873</c:v>
                </c:pt>
                <c:pt idx="65">
                  <c:v>12.573142321191144</c:v>
                </c:pt>
                <c:pt idx="66">
                  <c:v>8.1508413440591614</c:v>
                </c:pt>
                <c:pt idx="67">
                  <c:v>6.265729408663363</c:v>
                </c:pt>
                <c:pt idx="68">
                  <c:v>1.2443177420848741</c:v>
                </c:pt>
                <c:pt idx="69">
                  <c:v>4.0054623318067319</c:v>
                </c:pt>
                <c:pt idx="70">
                  <c:v>-8.2437563069012132</c:v>
                </c:pt>
                <c:pt idx="71">
                  <c:v>-58.037666352951014</c:v>
                </c:pt>
                <c:pt idx="72">
                  <c:v>4.9139311779211239</c:v>
                </c:pt>
                <c:pt idx="73">
                  <c:v>-3.0534524187332819</c:v>
                </c:pt>
                <c:pt idx="74">
                  <c:v>1.770533099481163</c:v>
                </c:pt>
                <c:pt idx="75">
                  <c:v>-10.385318948207289</c:v>
                </c:pt>
                <c:pt idx="76">
                  <c:v>-3.7532124026273395</c:v>
                </c:pt>
                <c:pt idx="77">
                  <c:v>-1.5517022273569201</c:v>
                </c:pt>
                <c:pt idx="78">
                  <c:v>2.9482804312376505</c:v>
                </c:pt>
                <c:pt idx="79">
                  <c:v>4.950907591952693</c:v>
                </c:pt>
                <c:pt idx="80">
                  <c:v>-5.2918944793693541</c:v>
                </c:pt>
                <c:pt idx="81">
                  <c:v>-2.4040771078400995</c:v>
                </c:pt>
                <c:pt idx="82">
                  <c:v>9.6414760496953047</c:v>
                </c:pt>
                <c:pt idx="83">
                  <c:v>-1.2841482174841194</c:v>
                </c:pt>
                <c:pt idx="84">
                  <c:v>0.19088029582274638</c:v>
                </c:pt>
                <c:pt idx="85">
                  <c:v>5.2166253871118968</c:v>
                </c:pt>
                <c:pt idx="86">
                  <c:v>0.94641333786717086</c:v>
                </c:pt>
                <c:pt idx="87">
                  <c:v>8.2964269264074346</c:v>
                </c:pt>
                <c:pt idx="88">
                  <c:v>-3.8343213844581494</c:v>
                </c:pt>
                <c:pt idx="89">
                  <c:v>-3.021554112460088</c:v>
                </c:pt>
                <c:pt idx="90">
                  <c:v>-3.728568370420692</c:v>
                </c:pt>
                <c:pt idx="91">
                  <c:v>-4.1560446292105908</c:v>
                </c:pt>
                <c:pt idx="92">
                  <c:v>9.3298433473023135</c:v>
                </c:pt>
                <c:pt idx="93">
                  <c:v>4.1070100430217877</c:v>
                </c:pt>
                <c:pt idx="94">
                  <c:v>2.3847412625383484</c:v>
                </c:pt>
                <c:pt idx="95">
                  <c:v>-23.658026574074075</c:v>
                </c:pt>
                <c:pt idx="96">
                  <c:v>-5.4372546379410824</c:v>
                </c:pt>
                <c:pt idx="97">
                  <c:v>-1.3948912247435488</c:v>
                </c:pt>
                <c:pt idx="98">
                  <c:v>-1.2863113657797376</c:v>
                </c:pt>
                <c:pt idx="99">
                  <c:v>-20.434685185918877</c:v>
                </c:pt>
                <c:pt idx="100">
                  <c:v>-49.581743930899556</c:v>
                </c:pt>
                <c:pt idx="101">
                  <c:v>2.2414692630658357</c:v>
                </c:pt>
                <c:pt idx="102">
                  <c:v>-15.085205620633852</c:v>
                </c:pt>
                <c:pt idx="103">
                  <c:v>8.0288209669526154</c:v>
                </c:pt>
                <c:pt idx="104">
                  <c:v>1.5549918092179513</c:v>
                </c:pt>
                <c:pt idx="105">
                  <c:v>6.144770637277996</c:v>
                </c:pt>
                <c:pt idx="106">
                  <c:v>14.690728756976467</c:v>
                </c:pt>
                <c:pt idx="107">
                  <c:v>1.0195951989291236</c:v>
                </c:pt>
                <c:pt idx="108">
                  <c:v>-1.5709606028800533</c:v>
                </c:pt>
                <c:pt idx="109">
                  <c:v>-0.70397081058992605</c:v>
                </c:pt>
                <c:pt idx="110">
                  <c:v>0.72504955277285932</c:v>
                </c:pt>
                <c:pt idx="111">
                  <c:v>-0.60912409535649259</c:v>
                </c:pt>
                <c:pt idx="112">
                  <c:v>-4.2331457467213198</c:v>
                </c:pt>
                <c:pt idx="113">
                  <c:v>1.7747947064453484</c:v>
                </c:pt>
                <c:pt idx="114">
                  <c:v>6.3093242027618386</c:v>
                </c:pt>
                <c:pt idx="115">
                  <c:v>-33.81348510211933</c:v>
                </c:pt>
                <c:pt idx="116">
                  <c:v>3.762265287986736</c:v>
                </c:pt>
                <c:pt idx="117">
                  <c:v>9.2125215925147863</c:v>
                </c:pt>
                <c:pt idx="118">
                  <c:v>-1.566671839298388</c:v>
                </c:pt>
                <c:pt idx="119">
                  <c:v>0.92134037386769219</c:v>
                </c:pt>
                <c:pt idx="120">
                  <c:v>-0.85415337265271596</c:v>
                </c:pt>
                <c:pt idx="121">
                  <c:v>2.3239281217156216</c:v>
                </c:pt>
                <c:pt idx="122">
                  <c:v>0.63825307761967798</c:v>
                </c:pt>
                <c:pt idx="123">
                  <c:v>12.864923315640375</c:v>
                </c:pt>
                <c:pt idx="124">
                  <c:v>1.1289373735570822</c:v>
                </c:pt>
                <c:pt idx="125">
                  <c:v>-6.0332752836475212</c:v>
                </c:pt>
                <c:pt idx="126">
                  <c:v>-13.102810147120197</c:v>
                </c:pt>
                <c:pt idx="127">
                  <c:v>-0.77592626796285591</c:v>
                </c:pt>
                <c:pt idx="128">
                  <c:v>5.9505924745521543</c:v>
                </c:pt>
                <c:pt idx="129">
                  <c:v>-9.8939569798053384</c:v>
                </c:pt>
                <c:pt idx="130">
                  <c:v>8.8311480204613169</c:v>
                </c:pt>
                <c:pt idx="131">
                  <c:v>-24.824988744513199</c:v>
                </c:pt>
                <c:pt idx="132">
                  <c:v>-4.2036399378581644</c:v>
                </c:pt>
                <c:pt idx="133">
                  <c:v>9.7171867874327109</c:v>
                </c:pt>
                <c:pt idx="134">
                  <c:v>-1.3943568741858292</c:v>
                </c:pt>
                <c:pt idx="135">
                  <c:v>-0.88994517208870172</c:v>
                </c:pt>
                <c:pt idx="136">
                  <c:v>-4.1088153531444069</c:v>
                </c:pt>
                <c:pt idx="137">
                  <c:v>-32.820605420984158</c:v>
                </c:pt>
                <c:pt idx="138">
                  <c:v>-1.2035195395985407</c:v>
                </c:pt>
                <c:pt idx="139">
                  <c:v>2.043992643984228</c:v>
                </c:pt>
                <c:pt idx="140">
                  <c:v>-8.1785723680391644</c:v>
                </c:pt>
                <c:pt idx="141">
                  <c:v>-0.61590313193512036</c:v>
                </c:pt>
                <c:pt idx="142">
                  <c:v>-6.3202010500635311</c:v>
                </c:pt>
                <c:pt idx="143">
                  <c:v>-4.2397116372730563</c:v>
                </c:pt>
                <c:pt idx="144">
                  <c:v>3.0859099597585131</c:v>
                </c:pt>
                <c:pt idx="145">
                  <c:v>-5.0826904038272964</c:v>
                </c:pt>
                <c:pt idx="146">
                  <c:v>-6.7760583056763011</c:v>
                </c:pt>
                <c:pt idx="147">
                  <c:v>-3.9665983134746923</c:v>
                </c:pt>
                <c:pt idx="148">
                  <c:v>-1.1540448096263141</c:v>
                </c:pt>
                <c:pt idx="149">
                  <c:v>-0.79366697133137065</c:v>
                </c:pt>
                <c:pt idx="150">
                  <c:v>-5.4240678756104792</c:v>
                </c:pt>
                <c:pt idx="151">
                  <c:v>-15.663018025474013</c:v>
                </c:pt>
                <c:pt idx="152">
                  <c:v>-1.9157500946588457</c:v>
                </c:pt>
                <c:pt idx="153">
                  <c:v>-0.89235645941452402</c:v>
                </c:pt>
                <c:pt idx="154">
                  <c:v>-8.3583749666427245</c:v>
                </c:pt>
                <c:pt idx="155">
                  <c:v>-15.340191709728728</c:v>
                </c:pt>
                <c:pt idx="156">
                  <c:v>-25.44804086699936</c:v>
                </c:pt>
                <c:pt idx="157">
                  <c:v>0.494657935810774</c:v>
                </c:pt>
                <c:pt idx="158">
                  <c:v>15.476482532036787</c:v>
                </c:pt>
                <c:pt idx="159">
                  <c:v>5.8540844102331482</c:v>
                </c:pt>
                <c:pt idx="160">
                  <c:v>-4.7326519976917023</c:v>
                </c:pt>
                <c:pt idx="161">
                  <c:v>-2.5095545293737178</c:v>
                </c:pt>
                <c:pt idx="162">
                  <c:v>15.543205210196872</c:v>
                </c:pt>
                <c:pt idx="163">
                  <c:v>0.29180114950809399</c:v>
                </c:pt>
                <c:pt idx="164">
                  <c:v>-6.3818452197198363</c:v>
                </c:pt>
                <c:pt idx="165">
                  <c:v>-16.17750501820386</c:v>
                </c:pt>
                <c:pt idx="166">
                  <c:v>-2.2951925927098098</c:v>
                </c:pt>
                <c:pt idx="167">
                  <c:v>-15.425694878702052</c:v>
                </c:pt>
                <c:pt idx="168">
                  <c:v>-4.3601383756377965</c:v>
                </c:pt>
                <c:pt idx="169">
                  <c:v>-19.753393798408407</c:v>
                </c:pt>
                <c:pt idx="170">
                  <c:v>-42.55952441502987</c:v>
                </c:pt>
                <c:pt idx="171">
                  <c:v>8.239420495573933</c:v>
                </c:pt>
                <c:pt idx="172">
                  <c:v>-6.3985928916192325</c:v>
                </c:pt>
                <c:pt idx="173">
                  <c:v>-4.9054437431031817</c:v>
                </c:pt>
                <c:pt idx="174">
                  <c:v>10.312694120298017</c:v>
                </c:pt>
                <c:pt idx="175">
                  <c:v>-2.3459916202674345</c:v>
                </c:pt>
                <c:pt idx="176">
                  <c:v>-17.858861031439226</c:v>
                </c:pt>
                <c:pt idx="177">
                  <c:v>-14.843695227259493</c:v>
                </c:pt>
                <c:pt idx="178">
                  <c:v>0.32444698140333184</c:v>
                </c:pt>
                <c:pt idx="179">
                  <c:v>-1.9079942869260791</c:v>
                </c:pt>
                <c:pt idx="180">
                  <c:v>1.1920233147664361</c:v>
                </c:pt>
                <c:pt idx="181">
                  <c:v>-8.0963245842092935</c:v>
                </c:pt>
                <c:pt idx="182">
                  <c:v>-2.8033572772869273</c:v>
                </c:pt>
                <c:pt idx="183">
                  <c:v>-6.1523134474742598</c:v>
                </c:pt>
                <c:pt idx="184">
                  <c:v>8.3389697856362126</c:v>
                </c:pt>
                <c:pt idx="185">
                  <c:v>2.2043977081361015</c:v>
                </c:pt>
                <c:pt idx="186">
                  <c:v>4.7973127086928438</c:v>
                </c:pt>
                <c:pt idx="187">
                  <c:v>-1.4500532392302745</c:v>
                </c:pt>
                <c:pt idx="188">
                  <c:v>-10.654132212916323</c:v>
                </c:pt>
                <c:pt idx="189">
                  <c:v>4.0542597598264187</c:v>
                </c:pt>
                <c:pt idx="190">
                  <c:v>-11.493129776774746</c:v>
                </c:pt>
                <c:pt idx="191">
                  <c:v>11.570226355813116</c:v>
                </c:pt>
                <c:pt idx="192">
                  <c:v>-7.4983643417493582</c:v>
                </c:pt>
                <c:pt idx="193">
                  <c:v>-13.853130267163838</c:v>
                </c:pt>
                <c:pt idx="194">
                  <c:v>9.3997620193170945</c:v>
                </c:pt>
                <c:pt idx="195">
                  <c:v>-4.1126232877897912</c:v>
                </c:pt>
                <c:pt idx="196">
                  <c:v>-0.2165174031806181</c:v>
                </c:pt>
                <c:pt idx="197">
                  <c:v>-26.31360347466936</c:v>
                </c:pt>
                <c:pt idx="198">
                  <c:v>1.5550847626582116</c:v>
                </c:pt>
                <c:pt idx="199">
                  <c:v>11.339266736486566</c:v>
                </c:pt>
                <c:pt idx="200">
                  <c:v>-2.3609014697470179</c:v>
                </c:pt>
                <c:pt idx="201">
                  <c:v>-19.029894034262224</c:v>
                </c:pt>
                <c:pt idx="202">
                  <c:v>-2.0970915097217233</c:v>
                </c:pt>
                <c:pt idx="203">
                  <c:v>-1.9223686826871791</c:v>
                </c:pt>
                <c:pt idx="204">
                  <c:v>8.9084689045121408</c:v>
                </c:pt>
                <c:pt idx="205">
                  <c:v>2.0462508456532689</c:v>
                </c:pt>
                <c:pt idx="206">
                  <c:v>-20.199439182034755</c:v>
                </c:pt>
                <c:pt idx="207">
                  <c:v>-1.5182890403083444</c:v>
                </c:pt>
                <c:pt idx="208">
                  <c:v>1.7131376786915782</c:v>
                </c:pt>
                <c:pt idx="209">
                  <c:v>6.0775537873840451</c:v>
                </c:pt>
                <c:pt idx="210">
                  <c:v>11.244362713433599</c:v>
                </c:pt>
                <c:pt idx="211">
                  <c:v>4.3143067804755848</c:v>
                </c:pt>
                <c:pt idx="212">
                  <c:v>-7.2712439349983784</c:v>
                </c:pt>
                <c:pt idx="213">
                  <c:v>-12.776982752643976</c:v>
                </c:pt>
                <c:pt idx="214">
                  <c:v>8.3838526087701073</c:v>
                </c:pt>
                <c:pt idx="215">
                  <c:v>-9.9061461842951246</c:v>
                </c:pt>
                <c:pt idx="216">
                  <c:v>-1.0323057835194192</c:v>
                </c:pt>
                <c:pt idx="217">
                  <c:v>6.4921586992732729</c:v>
                </c:pt>
                <c:pt idx="218">
                  <c:v>-62.717174637145668</c:v>
                </c:pt>
                <c:pt idx="219">
                  <c:v>-12.394654782174024</c:v>
                </c:pt>
                <c:pt idx="220">
                  <c:v>-1.9084657149659952</c:v>
                </c:pt>
                <c:pt idx="221">
                  <c:v>-6.8336732459027356</c:v>
                </c:pt>
                <c:pt idx="222">
                  <c:v>3.0611389973454055</c:v>
                </c:pt>
                <c:pt idx="223">
                  <c:v>1.6653894090760961</c:v>
                </c:pt>
                <c:pt idx="224">
                  <c:v>-19.248630239626184</c:v>
                </c:pt>
                <c:pt idx="225">
                  <c:v>-2.5912828062802191</c:v>
                </c:pt>
                <c:pt idx="226">
                  <c:v>-22.627057686801937</c:v>
                </c:pt>
                <c:pt idx="227">
                  <c:v>-6.3783978081289803</c:v>
                </c:pt>
                <c:pt idx="228">
                  <c:v>-0.68554506741044874</c:v>
                </c:pt>
                <c:pt idx="229">
                  <c:v>-2.6358327814603846</c:v>
                </c:pt>
                <c:pt idx="230">
                  <c:v>-41.766275725184265</c:v>
                </c:pt>
                <c:pt idx="231">
                  <c:v>11.542376208610078</c:v>
                </c:pt>
                <c:pt idx="232">
                  <c:v>12.685298598658068</c:v>
                </c:pt>
                <c:pt idx="233">
                  <c:v>-3.7395351454481229</c:v>
                </c:pt>
                <c:pt idx="234">
                  <c:v>3.3045096899918946</c:v>
                </c:pt>
                <c:pt idx="235">
                  <c:v>-0.74044878327769048</c:v>
                </c:pt>
                <c:pt idx="236">
                  <c:v>-4.361593687189214</c:v>
                </c:pt>
                <c:pt idx="237">
                  <c:v>-6.9141560393343386</c:v>
                </c:pt>
                <c:pt idx="238">
                  <c:v>0.36557083602972013</c:v>
                </c:pt>
                <c:pt idx="239">
                  <c:v>14.240096332517874</c:v>
                </c:pt>
                <c:pt idx="240">
                  <c:v>-54.820874751503382</c:v>
                </c:pt>
                <c:pt idx="241">
                  <c:v>-3.2512181694022084</c:v>
                </c:pt>
                <c:pt idx="242">
                  <c:v>-4.4729233752236626</c:v>
                </c:pt>
                <c:pt idx="243">
                  <c:v>-4.1025242369266035</c:v>
                </c:pt>
                <c:pt idx="244">
                  <c:v>-5.4789513123285252</c:v>
                </c:pt>
                <c:pt idx="245">
                  <c:v>-14.517821912950771</c:v>
                </c:pt>
                <c:pt idx="246">
                  <c:v>-8.1790177099208918</c:v>
                </c:pt>
                <c:pt idx="247">
                  <c:v>5.9781389613755294E-2</c:v>
                </c:pt>
                <c:pt idx="248">
                  <c:v>6.7160970872806089</c:v>
                </c:pt>
                <c:pt idx="249">
                  <c:v>-10.290870344471429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2-478C-A70F-F835CA52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344"/>
        <c:axId val="19653504"/>
      </c:scatterChart>
      <c:valAx>
        <c:axId val="1965734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04"/>
        <c:crosses val="autoZero"/>
        <c:crossBetween val="midCat"/>
      </c:valAx>
      <c:valAx>
        <c:axId val="196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39253</xdr:colOff>
      <xdr:row>5</xdr:row>
      <xdr:rowOff>144428</xdr:rowOff>
    </xdr:from>
    <xdr:to>
      <xdr:col>25</xdr:col>
      <xdr:colOff>344053</xdr:colOff>
      <xdr:row>20</xdr:row>
      <xdr:rowOff>171322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D19EF-1488-1A0D-D2CB-03533308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55517</xdr:colOff>
      <xdr:row>22</xdr:row>
      <xdr:rowOff>53148</xdr:rowOff>
    </xdr:from>
    <xdr:to>
      <xdr:col>25</xdr:col>
      <xdr:colOff>360317</xdr:colOff>
      <xdr:row>37</xdr:row>
      <xdr:rowOff>101173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A3FD4-A93B-F9AD-00A0-0643B945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88878</xdr:colOff>
      <xdr:row>39</xdr:row>
      <xdr:rowOff>57726</xdr:rowOff>
    </xdr:from>
    <xdr:to>
      <xdr:col>25</xdr:col>
      <xdr:colOff>393678</xdr:colOff>
      <xdr:row>54</xdr:row>
      <xdr:rowOff>57726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80703-A048-A34D-B539-579ABC5D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B2D9-F766-41E6-B6B4-CABBBC0B4D56}">
  <dimension ref="A1:S422"/>
  <sheetViews>
    <sheetView tabSelected="1" zoomScale="85" zoomScaleNormal="85" workbookViewId="0">
      <selection activeCell="A2" sqref="A2"/>
    </sheetView>
  </sheetViews>
  <sheetFormatPr defaultRowHeight="14.4" x14ac:dyDescent="0.3"/>
  <cols>
    <col min="7" max="7" width="9.5546875" bestFit="1" customWidth="1"/>
    <col min="8" max="9" width="11.5546875" bestFit="1" customWidth="1"/>
    <col min="11" max="11" width="11" customWidth="1"/>
    <col min="16" max="17" width="9.33203125" bestFit="1" customWidth="1"/>
  </cols>
  <sheetData>
    <row r="1" spans="1:17" x14ac:dyDescent="0.3">
      <c r="A1" t="s">
        <v>0</v>
      </c>
    </row>
    <row r="2" spans="1:17" x14ac:dyDescent="0.3">
      <c r="A2" t="s">
        <v>439</v>
      </c>
    </row>
    <row r="3" spans="1:17" x14ac:dyDescent="0.3">
      <c r="A3" t="s">
        <v>1</v>
      </c>
    </row>
    <row r="4" spans="1:17" s="1" customFormat="1" ht="100.8" x14ac:dyDescent="0.3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K4" s="4" t="s">
        <v>276</v>
      </c>
      <c r="L4" s="3" t="s">
        <v>220</v>
      </c>
      <c r="N4" s="6" t="s">
        <v>274</v>
      </c>
      <c r="O4" s="6" t="s">
        <v>275</v>
      </c>
      <c r="P4" s="3" t="s">
        <v>277</v>
      </c>
      <c r="Q4" s="3" t="s">
        <v>278</v>
      </c>
    </row>
    <row r="5" spans="1:17" x14ac:dyDescent="0.3">
      <c r="A5" t="s">
        <v>0</v>
      </c>
      <c r="K5" s="4"/>
      <c r="L5" s="3"/>
      <c r="N5" s="6"/>
      <c r="O5" s="6"/>
      <c r="P5" s="3"/>
      <c r="Q5" s="3"/>
    </row>
    <row r="6" spans="1:17" x14ac:dyDescent="0.3">
      <c r="A6" t="s">
        <v>10</v>
      </c>
      <c r="K6" s="4"/>
      <c r="L6" s="3"/>
      <c r="N6" s="6"/>
      <c r="O6" s="6"/>
      <c r="P6" s="3"/>
      <c r="Q6" s="3"/>
    </row>
    <row r="7" spans="1:17" ht="43.2" customHeight="1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s="5"/>
      <c r="L7" s="3"/>
      <c r="N7" s="7"/>
      <c r="O7" s="7"/>
      <c r="P7" s="3"/>
      <c r="Q7" s="3"/>
    </row>
    <row r="8" spans="1:17" x14ac:dyDescent="0.3">
      <c r="A8" t="s">
        <v>20</v>
      </c>
      <c r="B8">
        <v>41.7</v>
      </c>
      <c r="C8">
        <v>105.3</v>
      </c>
      <c r="D8">
        <v>7.4580000000000002E-3</v>
      </c>
      <c r="E8">
        <v>25.04</v>
      </c>
      <c r="F8">
        <v>1</v>
      </c>
      <c r="G8">
        <v>5.3719665855169199E-2</v>
      </c>
      <c r="H8">
        <v>526.99644636999301</v>
      </c>
      <c r="I8">
        <v>31.154342184995599</v>
      </c>
      <c r="K8">
        <v>5.5855173617601388E-2</v>
      </c>
      <c r="L8" s="2">
        <f>(K8-G8)/G8*100</f>
        <v>3.9752811720564685</v>
      </c>
      <c r="N8">
        <v>32.789485931396477</v>
      </c>
      <c r="O8">
        <v>522.36077880859375</v>
      </c>
      <c r="P8" s="2">
        <f>(N8-I8)/I8*100</f>
        <v>5.248525989383233</v>
      </c>
      <c r="Q8" s="2">
        <f>(O8-H8)/H8*100</f>
        <v>-0.87963924488110401</v>
      </c>
    </row>
    <row r="9" spans="1:17" x14ac:dyDescent="0.3">
      <c r="A9" t="s">
        <v>21</v>
      </c>
      <c r="B9">
        <v>85.8</v>
      </c>
      <c r="C9">
        <v>116.6</v>
      </c>
      <c r="D9">
        <v>2.3622000000000001E-2</v>
      </c>
      <c r="E9">
        <v>28.51</v>
      </c>
      <c r="F9">
        <v>1</v>
      </c>
      <c r="G9">
        <v>0.117265567183494</v>
      </c>
      <c r="H9">
        <v>550.75513966741505</v>
      </c>
      <c r="I9">
        <v>89.214429262449599</v>
      </c>
      <c r="K9">
        <v>0.11246477067470551</v>
      </c>
      <c r="L9" s="2">
        <f t="shared" ref="L9:L72" si="0">(K9-G9)/G9*100</f>
        <v>-4.0939524057188388</v>
      </c>
      <c r="N9">
        <v>87.790779113769531</v>
      </c>
      <c r="O9">
        <v>549.22833251953125</v>
      </c>
      <c r="P9" s="2">
        <f t="shared" ref="P9:P72" si="1">(N9-I9)/I9*100</f>
        <v>-1.5957622107204164</v>
      </c>
      <c r="Q9" s="2">
        <f t="shared" ref="Q9:Q72" si="2">(O9-H9)/H9*100</f>
        <v>-0.2772206808284704</v>
      </c>
    </row>
    <row r="10" spans="1:17" x14ac:dyDescent="0.3">
      <c r="A10" t="s">
        <v>22</v>
      </c>
      <c r="B10">
        <v>41.8</v>
      </c>
      <c r="C10">
        <v>108.4</v>
      </c>
      <c r="D10">
        <v>6.2059999999999997E-3</v>
      </c>
      <c r="E10">
        <v>20</v>
      </c>
      <c r="F10">
        <v>1</v>
      </c>
      <c r="G10">
        <v>4.03791144490242E-2</v>
      </c>
      <c r="H10">
        <v>497.37325432948103</v>
      </c>
      <c r="I10">
        <v>31.398312089644499</v>
      </c>
      <c r="K10">
        <v>4.1676647961139679E-2</v>
      </c>
      <c r="L10" s="2">
        <f t="shared" si="0"/>
        <v>3.2133778311397188</v>
      </c>
      <c r="N10">
        <v>33.754367828369141</v>
      </c>
      <c r="O10">
        <v>491.55496215820313</v>
      </c>
      <c r="P10" s="2">
        <f t="shared" si="1"/>
        <v>7.5037655909589303</v>
      </c>
      <c r="Q10" s="2">
        <f t="shared" si="2"/>
        <v>-1.169803989384524</v>
      </c>
    </row>
    <row r="11" spans="1:17" x14ac:dyDescent="0.3">
      <c r="A11" t="s">
        <v>23</v>
      </c>
      <c r="B11">
        <v>56.7</v>
      </c>
      <c r="C11">
        <v>103</v>
      </c>
      <c r="D11">
        <v>1.6775999999999999E-2</v>
      </c>
      <c r="E11">
        <v>35</v>
      </c>
      <c r="F11">
        <v>1</v>
      </c>
      <c r="G11">
        <v>0.13280645012855499</v>
      </c>
      <c r="H11">
        <v>586.38057726620298</v>
      </c>
      <c r="I11">
        <v>52.469198675647398</v>
      </c>
      <c r="K11">
        <v>0.1089317947626114</v>
      </c>
      <c r="L11" s="2">
        <f t="shared" si="0"/>
        <v>-17.977029988252241</v>
      </c>
      <c r="N11">
        <v>50.448921203613281</v>
      </c>
      <c r="O11">
        <v>589.9515380859375</v>
      </c>
      <c r="P11" s="2">
        <f t="shared" si="1"/>
        <v>-3.8504065680953325</v>
      </c>
      <c r="Q11" s="2">
        <f t="shared" si="2"/>
        <v>0.60898347560945743</v>
      </c>
    </row>
    <row r="12" spans="1:17" x14ac:dyDescent="0.3">
      <c r="A12" t="s">
        <v>24</v>
      </c>
      <c r="B12">
        <v>61.4</v>
      </c>
      <c r="C12">
        <v>108.8</v>
      </c>
      <c r="D12">
        <v>1.6032999999999999E-2</v>
      </c>
      <c r="E12">
        <v>29.55</v>
      </c>
      <c r="F12">
        <v>1</v>
      </c>
      <c r="G12">
        <v>9.7939088940620395E-2</v>
      </c>
      <c r="H12">
        <v>554.76249764419697</v>
      </c>
      <c r="I12">
        <v>57.799042059112999</v>
      </c>
      <c r="K12">
        <v>8.9876338839530945E-2</v>
      </c>
      <c r="L12" s="2">
        <f t="shared" si="0"/>
        <v>-8.2324128070844349</v>
      </c>
      <c r="N12">
        <v>56.901512145996087</v>
      </c>
      <c r="O12">
        <v>549.576171875</v>
      </c>
      <c r="P12" s="2">
        <f t="shared" si="1"/>
        <v>-1.5528456547756946</v>
      </c>
      <c r="Q12" s="2">
        <f t="shared" si="2"/>
        <v>-0.93487317387544033</v>
      </c>
    </row>
    <row r="13" spans="1:17" x14ac:dyDescent="0.3">
      <c r="A13" t="s">
        <v>25</v>
      </c>
      <c r="B13">
        <v>76.400000000000006</v>
      </c>
      <c r="C13">
        <v>116.1</v>
      </c>
      <c r="D13">
        <v>1.8710999999999998E-2</v>
      </c>
      <c r="E13">
        <v>25.73</v>
      </c>
      <c r="F13">
        <v>1</v>
      </c>
      <c r="G13">
        <v>9.5267400145530701E-2</v>
      </c>
      <c r="H13">
        <v>533.90148522849597</v>
      </c>
      <c r="I13">
        <v>77.507839957534998</v>
      </c>
      <c r="K13">
        <v>9.3714319169521332E-2</v>
      </c>
      <c r="L13" s="2">
        <f t="shared" si="0"/>
        <v>-1.630233399501696</v>
      </c>
      <c r="N13">
        <v>75.59442138671875</v>
      </c>
      <c r="O13">
        <v>531.0718994140625</v>
      </c>
      <c r="P13" s="2">
        <f t="shared" si="1"/>
        <v>-2.4686774549059445</v>
      </c>
      <c r="Q13" s="2">
        <f t="shared" si="2"/>
        <v>-0.52998275762849445</v>
      </c>
    </row>
    <row r="14" spans="1:17" x14ac:dyDescent="0.3">
      <c r="A14" t="s">
        <v>26</v>
      </c>
      <c r="B14">
        <v>72</v>
      </c>
      <c r="C14">
        <v>115.8</v>
      </c>
      <c r="D14">
        <v>1.8889E-2</v>
      </c>
      <c r="E14">
        <v>28.73</v>
      </c>
      <c r="F14">
        <v>1</v>
      </c>
      <c r="G14">
        <v>9.5192715525627095E-2</v>
      </c>
      <c r="H14">
        <v>551.79946678402302</v>
      </c>
      <c r="I14">
        <v>71.362279559562694</v>
      </c>
      <c r="K14">
        <v>9.3301355838775635E-2</v>
      </c>
      <c r="L14" s="2">
        <f t="shared" si="0"/>
        <v>-1.9868743909740465</v>
      </c>
      <c r="N14">
        <v>69.200096130371094</v>
      </c>
      <c r="O14">
        <v>549.05340576171875</v>
      </c>
      <c r="P14" s="2">
        <f t="shared" si="1"/>
        <v>-3.0298687801682807</v>
      </c>
      <c r="Q14" s="2">
        <f t="shared" si="2"/>
        <v>-0.49765561360701649</v>
      </c>
    </row>
    <row r="15" spans="1:17" x14ac:dyDescent="0.3">
      <c r="A15" t="s">
        <v>27</v>
      </c>
      <c r="B15">
        <v>55.9</v>
      </c>
      <c r="C15">
        <v>111.2</v>
      </c>
      <c r="D15">
        <v>1.2166E-2</v>
      </c>
      <c r="E15">
        <v>25.44</v>
      </c>
      <c r="F15">
        <v>1</v>
      </c>
      <c r="G15">
        <v>6.9962821900844505E-2</v>
      </c>
      <c r="H15">
        <v>530.68682359248703</v>
      </c>
      <c r="I15">
        <v>50.178674801405997</v>
      </c>
      <c r="K15">
        <v>6.9554828107357025E-2</v>
      </c>
      <c r="L15" s="2">
        <f t="shared" si="0"/>
        <v>-0.58315800078177615</v>
      </c>
      <c r="N15">
        <v>51.136665344238281</v>
      </c>
      <c r="O15">
        <v>527.28887939453125</v>
      </c>
      <c r="P15" s="2">
        <f t="shared" si="1"/>
        <v>1.9091587145809634</v>
      </c>
      <c r="Q15" s="2">
        <f t="shared" si="2"/>
        <v>-0.64029179676129522</v>
      </c>
    </row>
    <row r="16" spans="1:17" x14ac:dyDescent="0.3">
      <c r="A16" t="s">
        <v>28</v>
      </c>
      <c r="B16">
        <v>57.5</v>
      </c>
      <c r="C16">
        <v>100</v>
      </c>
      <c r="D16">
        <v>1.6886999999999999E-2</v>
      </c>
      <c r="E16">
        <v>34.020000000000003</v>
      </c>
      <c r="F16">
        <v>1</v>
      </c>
      <c r="G16">
        <v>0.165691018104553</v>
      </c>
      <c r="H16">
        <v>580.10898741352696</v>
      </c>
      <c r="I16">
        <v>54.346039626035903</v>
      </c>
      <c r="K16">
        <v>0.11827687919139861</v>
      </c>
      <c r="L16" s="2">
        <f t="shared" si="0"/>
        <v>-28.615998293423189</v>
      </c>
      <c r="N16">
        <v>52.360572814941413</v>
      </c>
      <c r="O16">
        <v>583.841064453125</v>
      </c>
      <c r="P16" s="2">
        <f t="shared" si="1"/>
        <v>-3.6533790222007272</v>
      </c>
      <c r="Q16" s="2">
        <f t="shared" si="2"/>
        <v>0.6433406688349842</v>
      </c>
    </row>
    <row r="17" spans="1:17" x14ac:dyDescent="0.3">
      <c r="A17" t="s">
        <v>29</v>
      </c>
      <c r="B17">
        <v>70.7</v>
      </c>
      <c r="C17">
        <v>104</v>
      </c>
      <c r="D17">
        <v>2.0358999999999999E-2</v>
      </c>
      <c r="E17">
        <v>30.12</v>
      </c>
      <c r="F17">
        <v>2</v>
      </c>
      <c r="G17">
        <v>0.14843201637268</v>
      </c>
      <c r="H17">
        <v>750.34308359443503</v>
      </c>
      <c r="I17">
        <v>90.374516429091699</v>
      </c>
      <c r="K17">
        <v>0.14270192384719849</v>
      </c>
      <c r="L17" s="2">
        <f t="shared" si="0"/>
        <v>-3.8604154720195378</v>
      </c>
      <c r="N17">
        <v>89.316490173339844</v>
      </c>
      <c r="O17">
        <v>746.5548095703125</v>
      </c>
      <c r="P17" s="2">
        <f t="shared" si="1"/>
        <v>-1.1707130478335537</v>
      </c>
      <c r="Q17" s="2">
        <f t="shared" si="2"/>
        <v>-0.50487225203372621</v>
      </c>
    </row>
    <row r="18" spans="1:17" x14ac:dyDescent="0.3">
      <c r="A18" t="s">
        <v>30</v>
      </c>
      <c r="B18">
        <v>56.6</v>
      </c>
      <c r="C18">
        <v>117.7</v>
      </c>
      <c r="D18">
        <v>1.2078E-2</v>
      </c>
      <c r="E18">
        <v>25.92</v>
      </c>
      <c r="F18">
        <v>1</v>
      </c>
      <c r="G18">
        <v>5.9595156461000401E-2</v>
      </c>
      <c r="H18">
        <v>535.61351099403396</v>
      </c>
      <c r="I18">
        <v>49.823723865768997</v>
      </c>
      <c r="K18">
        <v>6.0052532702684402E-2</v>
      </c>
      <c r="L18" s="2">
        <f t="shared" si="0"/>
        <v>0.7674721719764469</v>
      </c>
      <c r="N18">
        <v>50.908966064453118</v>
      </c>
      <c r="O18">
        <v>532.20367431640625</v>
      </c>
      <c r="P18" s="2">
        <f t="shared" si="1"/>
        <v>2.17816356241836</v>
      </c>
      <c r="Q18" s="2">
        <f t="shared" si="2"/>
        <v>-0.63662260335805643</v>
      </c>
    </row>
    <row r="19" spans="1:17" x14ac:dyDescent="0.3">
      <c r="A19" t="s">
        <v>31</v>
      </c>
      <c r="B19">
        <v>68.599999999999994</v>
      </c>
      <c r="C19">
        <v>103</v>
      </c>
      <c r="D19">
        <v>1.9248000000000001E-2</v>
      </c>
      <c r="E19">
        <v>29.5</v>
      </c>
      <c r="F19">
        <v>2</v>
      </c>
      <c r="G19">
        <v>0.14740602672100001</v>
      </c>
      <c r="H19">
        <v>742.69622655972296</v>
      </c>
      <c r="I19">
        <v>87.785601995793996</v>
      </c>
      <c r="K19">
        <v>0.14047360420227051</v>
      </c>
      <c r="L19" s="2">
        <f t="shared" si="0"/>
        <v>-4.7029437485963239</v>
      </c>
      <c r="N19">
        <v>87.413093566894531</v>
      </c>
      <c r="O19">
        <v>740.04736328125</v>
      </c>
      <c r="P19" s="2">
        <f t="shared" si="1"/>
        <v>-0.42433886700157597</v>
      </c>
      <c r="Q19" s="2">
        <f t="shared" si="2"/>
        <v>-0.35665500695255703</v>
      </c>
    </row>
    <row r="20" spans="1:17" x14ac:dyDescent="0.3">
      <c r="A20" t="s">
        <v>32</v>
      </c>
      <c r="B20">
        <v>57</v>
      </c>
      <c r="C20">
        <v>122.9</v>
      </c>
      <c r="D20">
        <v>1.0931E-2</v>
      </c>
      <c r="E20">
        <v>23.72</v>
      </c>
      <c r="F20">
        <v>1</v>
      </c>
      <c r="G20">
        <v>5.0870411098003297E-2</v>
      </c>
      <c r="H20">
        <v>524.630175690275</v>
      </c>
      <c r="I20">
        <v>50.000604231800096</v>
      </c>
      <c r="K20">
        <v>5.1440790295600891E-2</v>
      </c>
      <c r="L20" s="2">
        <f t="shared" si="0"/>
        <v>1.1212396072419035</v>
      </c>
      <c r="N20">
        <v>51.174365997314453</v>
      </c>
      <c r="O20">
        <v>520.60675048828125</v>
      </c>
      <c r="P20" s="2">
        <f t="shared" si="1"/>
        <v>2.3474951624041593</v>
      </c>
      <c r="Q20" s="2">
        <f t="shared" si="2"/>
        <v>-0.76690693529017451</v>
      </c>
    </row>
    <row r="21" spans="1:17" x14ac:dyDescent="0.3">
      <c r="A21" t="s">
        <v>33</v>
      </c>
      <c r="B21">
        <v>77.2</v>
      </c>
      <c r="C21">
        <v>124.2</v>
      </c>
      <c r="D21">
        <v>1.6573000000000001E-2</v>
      </c>
      <c r="E21">
        <v>23.48</v>
      </c>
      <c r="F21">
        <v>1</v>
      </c>
      <c r="G21">
        <v>7.6276987791061401E-2</v>
      </c>
      <c r="H21">
        <v>523.84022294827696</v>
      </c>
      <c r="I21">
        <v>76.867643708392393</v>
      </c>
      <c r="K21">
        <v>7.829129695892334E-2</v>
      </c>
      <c r="L21" s="2">
        <f t="shared" si="0"/>
        <v>2.6407822676212018</v>
      </c>
      <c r="N21">
        <v>76.328300476074219</v>
      </c>
      <c r="O21">
        <v>520.50372314453125</v>
      </c>
      <c r="P21" s="2">
        <f t="shared" si="1"/>
        <v>-0.70165183463180469</v>
      </c>
      <c r="Q21" s="2">
        <f t="shared" si="2"/>
        <v>-0.6369308154626282</v>
      </c>
    </row>
    <row r="22" spans="1:17" x14ac:dyDescent="0.3">
      <c r="A22" t="s">
        <v>34</v>
      </c>
      <c r="B22">
        <v>54.2</v>
      </c>
      <c r="C22">
        <v>118.6</v>
      </c>
      <c r="D22">
        <v>1.0071E-2</v>
      </c>
      <c r="E22">
        <v>22.58</v>
      </c>
      <c r="F22">
        <v>1</v>
      </c>
      <c r="G22">
        <v>5.0001077353954301E-2</v>
      </c>
      <c r="H22">
        <v>515.91670234665196</v>
      </c>
      <c r="I22">
        <v>47.014966328866102</v>
      </c>
      <c r="K22">
        <v>5.0448082387447357E-2</v>
      </c>
      <c r="L22" s="2">
        <f t="shared" si="0"/>
        <v>0.89399080409555376</v>
      </c>
      <c r="N22">
        <v>48.869743347167969</v>
      </c>
      <c r="O22">
        <v>513.0391845703125</v>
      </c>
      <c r="P22" s="2">
        <f t="shared" si="1"/>
        <v>3.9450778403792603</v>
      </c>
      <c r="Q22" s="2">
        <f t="shared" si="2"/>
        <v>-0.55774852088545357</v>
      </c>
    </row>
    <row r="23" spans="1:17" x14ac:dyDescent="0.3">
      <c r="A23" t="s">
        <v>35</v>
      </c>
      <c r="B23">
        <v>67.3</v>
      </c>
      <c r="C23">
        <v>119.1</v>
      </c>
      <c r="D23">
        <v>1.9717999999999999E-2</v>
      </c>
      <c r="E23">
        <v>35</v>
      </c>
      <c r="F23">
        <v>1</v>
      </c>
      <c r="G23">
        <v>9.1043539345264393E-2</v>
      </c>
      <c r="H23">
        <v>590.63429822235003</v>
      </c>
      <c r="I23">
        <v>62.963352234569697</v>
      </c>
      <c r="K23">
        <v>9.2096827924251556E-2</v>
      </c>
      <c r="L23" s="2">
        <f t="shared" si="0"/>
        <v>1.1569064499928734</v>
      </c>
      <c r="N23">
        <v>62.487922668457031</v>
      </c>
      <c r="O23">
        <v>589.61871337890625</v>
      </c>
      <c r="P23" s="2">
        <f t="shared" si="1"/>
        <v>-0.75508934839024355</v>
      </c>
      <c r="Q23" s="2">
        <f t="shared" si="2"/>
        <v>-0.17194816598027107</v>
      </c>
    </row>
    <row r="24" spans="1:17" x14ac:dyDescent="0.3">
      <c r="A24" t="s">
        <v>36</v>
      </c>
      <c r="B24">
        <v>70</v>
      </c>
      <c r="C24">
        <v>115.5</v>
      </c>
      <c r="D24">
        <v>1.7160999999999999E-2</v>
      </c>
      <c r="E24">
        <v>26.71</v>
      </c>
      <c r="F24">
        <v>1</v>
      </c>
      <c r="G24">
        <v>8.7957054376602103E-2</v>
      </c>
      <c r="H24">
        <v>539.57905697260901</v>
      </c>
      <c r="I24">
        <v>68.320452209315306</v>
      </c>
      <c r="K24">
        <v>8.7450236082077026E-2</v>
      </c>
      <c r="L24" s="2">
        <f t="shared" si="0"/>
        <v>-0.57621108177981273</v>
      </c>
      <c r="N24">
        <v>67.361061096191406</v>
      </c>
      <c r="O24">
        <v>536.24078369140625</v>
      </c>
      <c r="P24" s="2">
        <f t="shared" si="1"/>
        <v>-1.4042517022349119</v>
      </c>
      <c r="Q24" s="2">
        <f t="shared" si="2"/>
        <v>-0.61868103256873119</v>
      </c>
    </row>
    <row r="25" spans="1:17" x14ac:dyDescent="0.3">
      <c r="A25" t="s">
        <v>37</v>
      </c>
      <c r="B25">
        <v>43.4</v>
      </c>
      <c r="C25">
        <v>115</v>
      </c>
      <c r="D25">
        <v>8.2990000000000008E-3</v>
      </c>
      <c r="E25">
        <v>27.7</v>
      </c>
      <c r="F25">
        <v>1.02</v>
      </c>
      <c r="G25">
        <v>4.2759969830513E-2</v>
      </c>
      <c r="H25">
        <v>548.94404516884094</v>
      </c>
      <c r="I25">
        <v>32.212374573430097</v>
      </c>
      <c r="K25">
        <v>4.3826118111610413E-2</v>
      </c>
      <c r="L25" s="2">
        <f t="shared" si="0"/>
        <v>2.4933326317190745</v>
      </c>
      <c r="N25">
        <v>33.6551513671875</v>
      </c>
      <c r="O25">
        <v>546.53607177734375</v>
      </c>
      <c r="P25" s="2">
        <f t="shared" si="1"/>
        <v>4.4789519955087584</v>
      </c>
      <c r="Q25" s="2">
        <f t="shared" si="2"/>
        <v>-0.43865552649479311</v>
      </c>
    </row>
    <row r="26" spans="1:17" x14ac:dyDescent="0.3">
      <c r="A26" t="s">
        <v>38</v>
      </c>
      <c r="B26">
        <v>80.400000000000006</v>
      </c>
      <c r="C26">
        <v>130</v>
      </c>
      <c r="D26">
        <v>1.6566000000000001E-2</v>
      </c>
      <c r="E26">
        <v>23.57</v>
      </c>
      <c r="F26">
        <v>1</v>
      </c>
      <c r="G26">
        <v>7.3458723723888397E-2</v>
      </c>
      <c r="H26">
        <v>527.84829180160204</v>
      </c>
      <c r="I26">
        <v>78.684501040658702</v>
      </c>
      <c r="K26">
        <v>7.8531809151172638E-2</v>
      </c>
      <c r="L26" s="2">
        <f t="shared" si="0"/>
        <v>6.9060353489840169</v>
      </c>
      <c r="N26">
        <v>80.15911865234375</v>
      </c>
      <c r="O26">
        <v>523.3880615234375</v>
      </c>
      <c r="P26" s="2">
        <f t="shared" si="1"/>
        <v>1.8740890419106395</v>
      </c>
      <c r="Q26" s="2">
        <f t="shared" si="2"/>
        <v>-0.8449833687897913</v>
      </c>
    </row>
    <row r="27" spans="1:17" x14ac:dyDescent="0.3">
      <c r="A27" t="s">
        <v>39</v>
      </c>
      <c r="B27">
        <v>72.7</v>
      </c>
      <c r="C27">
        <v>103.8</v>
      </c>
      <c r="D27">
        <v>2.2502999999999999E-2</v>
      </c>
      <c r="E27">
        <v>32.4</v>
      </c>
      <c r="F27">
        <v>1.06</v>
      </c>
      <c r="G27">
        <v>0.170832604169845</v>
      </c>
      <c r="H27">
        <v>583.30908425820201</v>
      </c>
      <c r="I27">
        <v>75.428426814762901</v>
      </c>
      <c r="K27">
        <v>0.1241341233253479</v>
      </c>
      <c r="L27" s="2">
        <f t="shared" si="0"/>
        <v>-27.33581278083696</v>
      </c>
      <c r="N27">
        <v>71.730667114257813</v>
      </c>
      <c r="O27">
        <v>584.13226318359375</v>
      </c>
      <c r="P27" s="2">
        <f t="shared" si="1"/>
        <v>-4.9023423351862352</v>
      </c>
      <c r="Q27" s="2">
        <f t="shared" si="2"/>
        <v>0.14112225363995251</v>
      </c>
    </row>
    <row r="28" spans="1:17" x14ac:dyDescent="0.3">
      <c r="A28" t="s">
        <v>40</v>
      </c>
      <c r="B28">
        <v>49.6</v>
      </c>
      <c r="C28">
        <v>130</v>
      </c>
      <c r="D28">
        <v>8.7600000000000004E-3</v>
      </c>
      <c r="E28">
        <v>26.06</v>
      </c>
      <c r="F28">
        <v>1</v>
      </c>
      <c r="G28">
        <v>3.8277801126241601E-2</v>
      </c>
      <c r="H28">
        <v>542.78829180160199</v>
      </c>
      <c r="I28">
        <v>38.124067211760199</v>
      </c>
      <c r="K28">
        <v>4.1036438196897507E-2</v>
      </c>
      <c r="L28" s="2">
        <f t="shared" si="0"/>
        <v>7.206884903231038</v>
      </c>
      <c r="N28">
        <v>41.0867919921875</v>
      </c>
      <c r="O28">
        <v>534.35272216796875</v>
      </c>
      <c r="P28" s="2">
        <f t="shared" si="1"/>
        <v>7.7712715276962481</v>
      </c>
      <c r="Q28" s="2">
        <f t="shared" si="2"/>
        <v>-1.5541178321356597</v>
      </c>
    </row>
    <row r="29" spans="1:17" x14ac:dyDescent="0.3">
      <c r="A29" t="s">
        <v>41</v>
      </c>
      <c r="B29">
        <v>43</v>
      </c>
      <c r="C29">
        <v>130</v>
      </c>
      <c r="D29">
        <v>6.43E-3</v>
      </c>
      <c r="E29">
        <v>24.18</v>
      </c>
      <c r="F29">
        <v>1</v>
      </c>
      <c r="G29">
        <v>2.8407471254467902E-2</v>
      </c>
      <c r="H29">
        <v>531.50829180160201</v>
      </c>
      <c r="I29">
        <v>29.524438174929902</v>
      </c>
      <c r="K29">
        <v>2.9764298349618908E-2</v>
      </c>
      <c r="L29" s="2">
        <f t="shared" si="0"/>
        <v>4.7763036808058237</v>
      </c>
      <c r="N29">
        <v>33.560237884521477</v>
      </c>
      <c r="O29">
        <v>523.28521728515625</v>
      </c>
      <c r="P29" s="2">
        <f t="shared" si="1"/>
        <v>13.669353115814737</v>
      </c>
      <c r="Q29" s="2">
        <f t="shared" si="2"/>
        <v>-1.5471206457707003</v>
      </c>
    </row>
    <row r="30" spans="1:17" x14ac:dyDescent="0.3">
      <c r="A30" t="s">
        <v>42</v>
      </c>
      <c r="B30">
        <v>79</v>
      </c>
      <c r="C30">
        <v>105.8</v>
      </c>
      <c r="D30">
        <v>2.4112000000000001E-2</v>
      </c>
      <c r="E30">
        <v>31.01</v>
      </c>
      <c r="F30">
        <v>1</v>
      </c>
      <c r="G30">
        <v>0.16588677465915599</v>
      </c>
      <c r="H30">
        <v>562.90718872675995</v>
      </c>
      <c r="I30">
        <v>83.790287898023493</v>
      </c>
      <c r="K30">
        <v>0.12898668646812439</v>
      </c>
      <c r="L30" s="2">
        <f t="shared" si="0"/>
        <v>-22.244141081680215</v>
      </c>
      <c r="N30">
        <v>79.968330383300781</v>
      </c>
      <c r="O30">
        <v>564.9111328125</v>
      </c>
      <c r="P30" s="2">
        <f t="shared" si="1"/>
        <v>-4.5613371317857316</v>
      </c>
      <c r="Q30" s="2">
        <f t="shared" si="2"/>
        <v>0.35599902184101911</v>
      </c>
    </row>
    <row r="31" spans="1:17" x14ac:dyDescent="0.3">
      <c r="A31" t="s">
        <v>43</v>
      </c>
      <c r="B31">
        <v>43.4</v>
      </c>
      <c r="C31">
        <v>116.2</v>
      </c>
      <c r="D31">
        <v>6.5100000000000002E-3</v>
      </c>
      <c r="E31">
        <v>20.52</v>
      </c>
      <c r="F31">
        <v>1</v>
      </c>
      <c r="G31">
        <v>3.4273847937583903E-2</v>
      </c>
      <c r="H31">
        <v>502.67585194352699</v>
      </c>
      <c r="I31">
        <v>32.8926047875782</v>
      </c>
      <c r="K31">
        <v>3.4643962979316711E-2</v>
      </c>
      <c r="L31" s="2">
        <f t="shared" si="0"/>
        <v>1.0798759520869246</v>
      </c>
      <c r="N31">
        <v>34.945400238037109</v>
      </c>
      <c r="O31">
        <v>497.58120727539063</v>
      </c>
      <c r="P31" s="2">
        <f t="shared" si="1"/>
        <v>6.2409026701167232</v>
      </c>
      <c r="Q31" s="2">
        <f t="shared" si="2"/>
        <v>-1.0135049552188804</v>
      </c>
    </row>
    <row r="32" spans="1:17" x14ac:dyDescent="0.3">
      <c r="A32" t="s">
        <v>44</v>
      </c>
      <c r="B32">
        <v>60</v>
      </c>
      <c r="C32">
        <v>107.4</v>
      </c>
      <c r="D32">
        <v>1.4898E-2</v>
      </c>
      <c r="E32">
        <v>27.94</v>
      </c>
      <c r="F32">
        <v>1</v>
      </c>
      <c r="G32">
        <v>9.6648395061492906E-2</v>
      </c>
      <c r="H32">
        <v>544.79997454648299</v>
      </c>
      <c r="I32">
        <v>56.4066876768333</v>
      </c>
      <c r="K32">
        <v>8.889838308095932E-2</v>
      </c>
      <c r="L32" s="2">
        <f t="shared" si="0"/>
        <v>-8.0187694535461365</v>
      </c>
      <c r="N32">
        <v>55.344947814941413</v>
      </c>
      <c r="O32">
        <v>539.84136962890625</v>
      </c>
      <c r="P32" s="2">
        <f t="shared" si="1"/>
        <v>-1.8822942910153406</v>
      </c>
      <c r="Q32" s="2">
        <f t="shared" si="2"/>
        <v>-0.91016981447264389</v>
      </c>
    </row>
    <row r="33" spans="1:17" x14ac:dyDescent="0.3">
      <c r="A33" t="s">
        <v>45</v>
      </c>
      <c r="B33">
        <v>86.9</v>
      </c>
      <c r="C33">
        <v>125.1</v>
      </c>
      <c r="D33">
        <v>2.1954000000000001E-2</v>
      </c>
      <c r="E33">
        <v>27.84</v>
      </c>
      <c r="F33">
        <v>1</v>
      </c>
      <c r="G33">
        <v>9.7583815455436707E-2</v>
      </c>
      <c r="H33">
        <v>550.47535576073903</v>
      </c>
      <c r="I33">
        <v>87.908074370334504</v>
      </c>
      <c r="K33">
        <v>9.5978938043117523E-2</v>
      </c>
      <c r="L33" s="2">
        <f t="shared" si="0"/>
        <v>-1.6446143295678755</v>
      </c>
      <c r="N33">
        <v>85.423179626464844</v>
      </c>
      <c r="O33">
        <v>549.26971435546875</v>
      </c>
      <c r="P33" s="2">
        <f t="shared" si="1"/>
        <v>-2.826696821274262</v>
      </c>
      <c r="Q33" s="2">
        <f t="shared" si="2"/>
        <v>-0.21901823445013768</v>
      </c>
    </row>
    <row r="34" spans="1:17" x14ac:dyDescent="0.3">
      <c r="A34" t="s">
        <v>46</v>
      </c>
      <c r="B34">
        <v>84.7</v>
      </c>
      <c r="C34">
        <v>100</v>
      </c>
      <c r="D34">
        <v>2.9849000000000001E-2</v>
      </c>
      <c r="E34">
        <v>35</v>
      </c>
      <c r="F34">
        <v>1.43</v>
      </c>
      <c r="G34">
        <v>0.28604120016098</v>
      </c>
      <c r="H34">
        <v>681.52858873085802</v>
      </c>
      <c r="I34">
        <v>103.28817741791801</v>
      </c>
      <c r="K34">
        <v>9.7108639776706696E-2</v>
      </c>
      <c r="L34" s="2">
        <f t="shared" si="0"/>
        <v>-66.05082074818057</v>
      </c>
      <c r="N34">
        <v>87.764053344726563</v>
      </c>
      <c r="O34">
        <v>694.7518310546875</v>
      </c>
      <c r="P34" s="2">
        <f t="shared" si="1"/>
        <v>-15.029913840360187</v>
      </c>
      <c r="Q34" s="2">
        <f t="shared" si="2"/>
        <v>1.9402329619735825</v>
      </c>
    </row>
    <row r="35" spans="1:17" x14ac:dyDescent="0.3">
      <c r="A35" t="s">
        <v>47</v>
      </c>
      <c r="B35">
        <v>45.5</v>
      </c>
      <c r="C35">
        <v>106</v>
      </c>
      <c r="D35">
        <v>8.234E-3</v>
      </c>
      <c r="E35">
        <v>23.22</v>
      </c>
      <c r="F35">
        <v>1</v>
      </c>
      <c r="G35">
        <v>5.7863622903823797E-2</v>
      </c>
      <c r="H35">
        <v>516.20440907665795</v>
      </c>
      <c r="I35">
        <v>36.782920572791802</v>
      </c>
      <c r="K35">
        <v>5.763346329331398E-2</v>
      </c>
      <c r="L35" s="2">
        <f t="shared" si="0"/>
        <v>-0.39776218452890427</v>
      </c>
      <c r="N35">
        <v>37.880477905273438</v>
      </c>
      <c r="O35">
        <v>511.76666259765619</v>
      </c>
      <c r="P35" s="2">
        <f t="shared" si="1"/>
        <v>2.9838776132787412</v>
      </c>
      <c r="Q35" s="2">
        <f t="shared" si="2"/>
        <v>-0.85968782927282983</v>
      </c>
    </row>
    <row r="36" spans="1:17" x14ac:dyDescent="0.3">
      <c r="A36" t="s">
        <v>48</v>
      </c>
      <c r="B36">
        <v>63.6</v>
      </c>
      <c r="C36">
        <v>101.2</v>
      </c>
      <c r="D36">
        <v>1.7014000000000001E-2</v>
      </c>
      <c r="E36">
        <v>28.78</v>
      </c>
      <c r="F36">
        <v>1.33</v>
      </c>
      <c r="G36">
        <v>0.150773540139198</v>
      </c>
      <c r="H36">
        <v>609.83383650393296</v>
      </c>
      <c r="I36">
        <v>68.435269581103796</v>
      </c>
      <c r="K36">
        <v>0.13640581071376801</v>
      </c>
      <c r="L36" s="2">
        <f t="shared" si="0"/>
        <v>-9.5293440826323614</v>
      </c>
      <c r="N36">
        <v>65.771636962890625</v>
      </c>
      <c r="O36">
        <v>608.3460693359375</v>
      </c>
      <c r="P36" s="2">
        <f t="shared" si="1"/>
        <v>-3.8921927750375196</v>
      </c>
      <c r="Q36" s="2">
        <f t="shared" si="2"/>
        <v>-0.243962712289721</v>
      </c>
    </row>
    <row r="37" spans="1:17" x14ac:dyDescent="0.3">
      <c r="A37" t="s">
        <v>49</v>
      </c>
      <c r="B37">
        <v>53.6</v>
      </c>
      <c r="C37">
        <v>130</v>
      </c>
      <c r="D37">
        <v>1.0052E-2</v>
      </c>
      <c r="E37">
        <v>26.42</v>
      </c>
      <c r="F37">
        <v>1</v>
      </c>
      <c r="G37">
        <v>4.3821163475513403E-2</v>
      </c>
      <c r="H37">
        <v>544.94829180160195</v>
      </c>
      <c r="I37">
        <v>42.854803114569599</v>
      </c>
      <c r="K37">
        <v>4.7048855572938919E-2</v>
      </c>
      <c r="L37" s="2">
        <f t="shared" si="0"/>
        <v>7.3656010964407672</v>
      </c>
      <c r="N37">
        <v>45.812118530273438</v>
      </c>
      <c r="O37">
        <v>537.58709716796875</v>
      </c>
      <c r="P37" s="2">
        <f t="shared" si="1"/>
        <v>6.9007793777459288</v>
      </c>
      <c r="Q37" s="2">
        <f t="shared" si="2"/>
        <v>-1.3508060754346169</v>
      </c>
    </row>
    <row r="38" spans="1:17" x14ac:dyDescent="0.3">
      <c r="A38" t="s">
        <v>50</v>
      </c>
      <c r="B38">
        <v>47.2</v>
      </c>
      <c r="C38">
        <v>109</v>
      </c>
      <c r="D38">
        <v>1.2119E-2</v>
      </c>
      <c r="E38">
        <v>35</v>
      </c>
      <c r="F38">
        <v>1</v>
      </c>
      <c r="G38">
        <v>7.2058439254760701E-2</v>
      </c>
      <c r="H38">
        <v>587.50797390836203</v>
      </c>
      <c r="I38">
        <v>37.525332155530698</v>
      </c>
      <c r="K38">
        <v>6.8850718438625336E-2</v>
      </c>
      <c r="L38" s="2">
        <f t="shared" si="0"/>
        <v>-4.4515546677253903</v>
      </c>
      <c r="N38">
        <v>37.765949249267578</v>
      </c>
      <c r="O38">
        <v>587.0352783203125</v>
      </c>
      <c r="P38" s="2">
        <f t="shared" si="1"/>
        <v>0.64121242881901153</v>
      </c>
      <c r="Q38" s="2">
        <f t="shared" si="2"/>
        <v>-8.0457731476383729E-2</v>
      </c>
    </row>
    <row r="39" spans="1:17" x14ac:dyDescent="0.3">
      <c r="A39" t="s">
        <v>51</v>
      </c>
      <c r="B39">
        <v>46.2</v>
      </c>
      <c r="C39">
        <v>114.7</v>
      </c>
      <c r="D39">
        <v>1.1292E-2</v>
      </c>
      <c r="E39">
        <v>35</v>
      </c>
      <c r="F39">
        <v>1</v>
      </c>
      <c r="G39">
        <v>5.6718915700912399E-2</v>
      </c>
      <c r="H39">
        <v>589.05902945414005</v>
      </c>
      <c r="I39">
        <v>35.547579933695403</v>
      </c>
      <c r="K39">
        <v>5.4236255586147308E-2</v>
      </c>
      <c r="L39" s="2">
        <f t="shared" si="0"/>
        <v>-4.3771290125794033</v>
      </c>
      <c r="N39">
        <v>36.176082611083977</v>
      </c>
      <c r="O39">
        <v>588.80633544921875</v>
      </c>
      <c r="P39" s="2">
        <f t="shared" si="1"/>
        <v>1.7680603814967994</v>
      </c>
      <c r="Q39" s="2">
        <f t="shared" si="2"/>
        <v>-4.2897908747016045E-2</v>
      </c>
    </row>
    <row r="40" spans="1:17" x14ac:dyDescent="0.3">
      <c r="A40" t="s">
        <v>52</v>
      </c>
      <c r="B40">
        <v>89.9</v>
      </c>
      <c r="C40">
        <v>101.6</v>
      </c>
      <c r="D40">
        <v>3.2098000000000002E-2</v>
      </c>
      <c r="E40">
        <v>35</v>
      </c>
      <c r="F40">
        <v>1</v>
      </c>
      <c r="G40">
        <v>0.27853235602378801</v>
      </c>
      <c r="H40">
        <v>586.18425167292696</v>
      </c>
      <c r="I40">
        <v>99.831042834183904</v>
      </c>
      <c r="K40">
        <v>0.11626558750867839</v>
      </c>
      <c r="L40" s="2">
        <f t="shared" si="0"/>
        <v>-58.257780471742123</v>
      </c>
      <c r="N40">
        <v>89.002754211425781</v>
      </c>
      <c r="O40">
        <v>598.8936767578125</v>
      </c>
      <c r="P40" s="2">
        <f t="shared" si="1"/>
        <v>-10.846614755636235</v>
      </c>
      <c r="Q40" s="2">
        <f t="shared" si="2"/>
        <v>2.1681621518513623</v>
      </c>
    </row>
    <row r="41" spans="1:17" x14ac:dyDescent="0.3">
      <c r="A41" t="s">
        <v>53</v>
      </c>
      <c r="B41">
        <v>71.400000000000006</v>
      </c>
      <c r="C41">
        <v>109.6</v>
      </c>
      <c r="D41">
        <v>2.0884E-2</v>
      </c>
      <c r="E41">
        <v>31.47</v>
      </c>
      <c r="F41">
        <v>1</v>
      </c>
      <c r="G41">
        <v>0.123057551681995</v>
      </c>
      <c r="H41">
        <v>566.46785920090895</v>
      </c>
      <c r="I41">
        <v>70.945877190165405</v>
      </c>
      <c r="K41">
        <v>0.10724345594644551</v>
      </c>
      <c r="L41" s="2">
        <f t="shared" si="0"/>
        <v>-12.850975433361652</v>
      </c>
      <c r="N41">
        <v>69.223243713378906</v>
      </c>
      <c r="O41">
        <v>564.50836181640625</v>
      </c>
      <c r="P41" s="2">
        <f t="shared" si="1"/>
        <v>-2.4280952537511111</v>
      </c>
      <c r="Q41" s="2">
        <f t="shared" si="2"/>
        <v>-0.34591501577280537</v>
      </c>
    </row>
    <row r="42" spans="1:17" x14ac:dyDescent="0.3">
      <c r="A42" t="s">
        <v>54</v>
      </c>
      <c r="B42">
        <v>41.8</v>
      </c>
      <c r="C42">
        <v>130</v>
      </c>
      <c r="D42">
        <v>6.3049999999999998E-3</v>
      </c>
      <c r="E42">
        <v>25.29</v>
      </c>
      <c r="F42">
        <v>1</v>
      </c>
      <c r="G42">
        <v>2.76722759008407E-2</v>
      </c>
      <c r="H42">
        <v>538.16829180160198</v>
      </c>
      <c r="I42">
        <v>28.0956839565495</v>
      </c>
      <c r="K42">
        <v>2.988805994391441E-2</v>
      </c>
      <c r="L42" s="2">
        <f t="shared" si="0"/>
        <v>8.0072345730204031</v>
      </c>
      <c r="N42">
        <v>31.768880844116211</v>
      </c>
      <c r="O42">
        <v>529.6368408203125</v>
      </c>
      <c r="P42" s="2">
        <f t="shared" si="1"/>
        <v>13.073883138945391</v>
      </c>
      <c r="Q42" s="2">
        <f t="shared" si="2"/>
        <v>-1.5852756677152278</v>
      </c>
    </row>
    <row r="43" spans="1:17" x14ac:dyDescent="0.3">
      <c r="A43" t="s">
        <v>55</v>
      </c>
      <c r="B43">
        <v>72.2</v>
      </c>
      <c r="C43">
        <v>130</v>
      </c>
      <c r="D43">
        <v>1.2688E-2</v>
      </c>
      <c r="E43">
        <v>20</v>
      </c>
      <c r="F43">
        <v>1</v>
      </c>
      <c r="G43">
        <v>5.7720966637134503E-2</v>
      </c>
      <c r="H43">
        <v>506.42829180160197</v>
      </c>
      <c r="I43">
        <v>69.717425899427994</v>
      </c>
      <c r="K43">
        <v>6.0843754559755332E-2</v>
      </c>
      <c r="L43" s="2">
        <f t="shared" si="0"/>
        <v>5.4101448824521219</v>
      </c>
      <c r="N43">
        <v>72.576225280761719</v>
      </c>
      <c r="O43">
        <v>499.58987426757813</v>
      </c>
      <c r="P43" s="2">
        <f t="shared" si="1"/>
        <v>4.1005521136964127</v>
      </c>
      <c r="Q43" s="2">
        <f t="shared" si="2"/>
        <v>-1.3503229666921652</v>
      </c>
    </row>
    <row r="44" spans="1:17" x14ac:dyDescent="0.3">
      <c r="A44" t="s">
        <v>56</v>
      </c>
      <c r="B44">
        <v>42.2</v>
      </c>
      <c r="C44">
        <v>102</v>
      </c>
      <c r="D44">
        <v>6.4689999999999999E-3</v>
      </c>
      <c r="E44">
        <v>20</v>
      </c>
      <c r="F44">
        <v>1</v>
      </c>
      <c r="G44">
        <v>5.6408021599054302E-2</v>
      </c>
      <c r="H44">
        <v>496.23789080078097</v>
      </c>
      <c r="I44">
        <v>32.842572287063</v>
      </c>
      <c r="K44">
        <v>5.4839510470628738E-2</v>
      </c>
      <c r="L44" s="2">
        <f t="shared" si="0"/>
        <v>-2.7806526163503311</v>
      </c>
      <c r="N44">
        <v>34.301780700683587</v>
      </c>
      <c r="O44">
        <v>492.65707397460938</v>
      </c>
      <c r="P44" s="2">
        <f t="shared" si="1"/>
        <v>4.4430393602129117</v>
      </c>
      <c r="Q44" s="2">
        <f t="shared" si="2"/>
        <v>-0.72159278695813045</v>
      </c>
    </row>
    <row r="45" spans="1:17" x14ac:dyDescent="0.3">
      <c r="A45" t="s">
        <v>57</v>
      </c>
      <c r="B45">
        <v>85.8</v>
      </c>
      <c r="C45">
        <v>130</v>
      </c>
      <c r="D45">
        <v>1.6591000000000002E-2</v>
      </c>
      <c r="E45">
        <v>21.04</v>
      </c>
      <c r="F45">
        <v>1</v>
      </c>
      <c r="G45">
        <v>7.4877254664897905E-2</v>
      </c>
      <c r="H45">
        <v>512.66829180160198</v>
      </c>
      <c r="I45">
        <v>87.122380386078902</v>
      </c>
      <c r="K45">
        <v>8.0144435167312622E-2</v>
      </c>
      <c r="L45" s="2">
        <f t="shared" si="0"/>
        <v>7.0344198995906106</v>
      </c>
      <c r="N45">
        <v>87.680206298828125</v>
      </c>
      <c r="O45">
        <v>507.59439086914063</v>
      </c>
      <c r="P45" s="2">
        <f t="shared" si="1"/>
        <v>0.64027854872335066</v>
      </c>
      <c r="Q45" s="2">
        <f t="shared" si="2"/>
        <v>-0.98970445678058638</v>
      </c>
    </row>
    <row r="46" spans="1:17" x14ac:dyDescent="0.3">
      <c r="A46" t="s">
        <v>58</v>
      </c>
      <c r="B46">
        <v>41.2</v>
      </c>
      <c r="C46">
        <v>113.4</v>
      </c>
      <c r="D46">
        <v>5.8849999999999996E-3</v>
      </c>
      <c r="E46">
        <v>20</v>
      </c>
      <c r="F46">
        <v>1</v>
      </c>
      <c r="G46">
        <v>3.3058255910873399E-2</v>
      </c>
      <c r="H46">
        <v>498.65980051299402</v>
      </c>
      <c r="I46">
        <v>29.907890973419999</v>
      </c>
      <c r="K46">
        <v>3.39510478079319E-2</v>
      </c>
      <c r="L46" s="2">
        <f t="shared" si="0"/>
        <v>2.7006624289723855</v>
      </c>
      <c r="N46">
        <v>32.595699310302727</v>
      </c>
      <c r="O46">
        <v>492.7947998046875</v>
      </c>
      <c r="P46" s="2">
        <f t="shared" si="1"/>
        <v>8.9869537750804991</v>
      </c>
      <c r="Q46" s="2">
        <f t="shared" si="2"/>
        <v>-1.176152700152074</v>
      </c>
    </row>
    <row r="47" spans="1:17" x14ac:dyDescent="0.3">
      <c r="A47" t="s">
        <v>59</v>
      </c>
      <c r="B47">
        <v>45.9</v>
      </c>
      <c r="C47">
        <v>107.6</v>
      </c>
      <c r="D47">
        <v>1.1620999999999999E-2</v>
      </c>
      <c r="E47">
        <v>35</v>
      </c>
      <c r="F47">
        <v>1</v>
      </c>
      <c r="G47">
        <v>7.2951361536979606E-2</v>
      </c>
      <c r="H47">
        <v>587.20151908115702</v>
      </c>
      <c r="I47">
        <v>36.094886822558898</v>
      </c>
      <c r="K47">
        <v>6.9632589817047119E-2</v>
      </c>
      <c r="L47" s="2">
        <f t="shared" si="0"/>
        <v>-4.5492937349088072</v>
      </c>
      <c r="N47">
        <v>36.061359405517578</v>
      </c>
      <c r="O47">
        <v>586.95416259765625</v>
      </c>
      <c r="P47" s="2">
        <f t="shared" si="1"/>
        <v>-9.2886887846856336E-2</v>
      </c>
      <c r="Q47" s="2">
        <f t="shared" si="2"/>
        <v>-4.2124632764544895E-2</v>
      </c>
    </row>
    <row r="48" spans="1:17" x14ac:dyDescent="0.3">
      <c r="A48" t="s">
        <v>60</v>
      </c>
      <c r="B48">
        <v>49</v>
      </c>
      <c r="C48">
        <v>130</v>
      </c>
      <c r="D48">
        <v>7.9070000000000008E-3</v>
      </c>
      <c r="E48">
        <v>23.39</v>
      </c>
      <c r="F48">
        <v>1</v>
      </c>
      <c r="G48">
        <v>3.5109873861074399E-2</v>
      </c>
      <c r="H48">
        <v>526.768291801602</v>
      </c>
      <c r="I48">
        <v>37.381417007900602</v>
      </c>
      <c r="K48">
        <v>3.6043368279933929E-2</v>
      </c>
      <c r="L48" s="2">
        <f t="shared" si="0"/>
        <v>2.658780326449639</v>
      </c>
      <c r="N48">
        <v>40.921859741210938</v>
      </c>
      <c r="O48">
        <v>518.95428466796875</v>
      </c>
      <c r="P48" s="2">
        <f t="shared" si="1"/>
        <v>9.4711303548553527</v>
      </c>
      <c r="Q48" s="2">
        <f t="shared" si="2"/>
        <v>-1.4833860077091092</v>
      </c>
    </row>
    <row r="49" spans="1:17" x14ac:dyDescent="0.3">
      <c r="A49" t="s">
        <v>61</v>
      </c>
      <c r="B49">
        <v>69.599999999999994</v>
      </c>
      <c r="C49">
        <v>126.5</v>
      </c>
      <c r="D49">
        <v>1.9296000000000001E-2</v>
      </c>
      <c r="E49">
        <v>35</v>
      </c>
      <c r="F49">
        <v>1</v>
      </c>
      <c r="G49">
        <v>8.2225792109966195E-2</v>
      </c>
      <c r="H49">
        <v>594.21772188235605</v>
      </c>
      <c r="I49">
        <v>63.388781798379704</v>
      </c>
      <c r="K49">
        <v>8.2208558917045593E-2</v>
      </c>
      <c r="L49" s="2">
        <f t="shared" si="0"/>
        <v>-2.0958378725685508E-2</v>
      </c>
      <c r="N49">
        <v>63.234966278076172</v>
      </c>
      <c r="O49">
        <v>593.37957763671875</v>
      </c>
      <c r="P49" s="2">
        <f t="shared" si="1"/>
        <v>-0.24265416677791929</v>
      </c>
      <c r="Q49" s="2">
        <f t="shared" si="2"/>
        <v>-0.14105002506189676</v>
      </c>
    </row>
    <row r="50" spans="1:17" x14ac:dyDescent="0.3">
      <c r="A50" t="s">
        <v>62</v>
      </c>
      <c r="B50">
        <v>59.9</v>
      </c>
      <c r="C50">
        <v>104.3</v>
      </c>
      <c r="D50">
        <v>1.5429E-2</v>
      </c>
      <c r="E50">
        <v>28.82</v>
      </c>
      <c r="F50">
        <v>1</v>
      </c>
      <c r="G50">
        <v>0.11530325561761801</v>
      </c>
      <c r="H50">
        <v>549.50472903572802</v>
      </c>
      <c r="I50">
        <v>57.622045569244698</v>
      </c>
      <c r="K50">
        <v>0.1005418002605438</v>
      </c>
      <c r="L50" s="2">
        <f t="shared" si="0"/>
        <v>-12.802288433231979</v>
      </c>
      <c r="N50">
        <v>54.938724517822273</v>
      </c>
      <c r="O50">
        <v>544.0750732421875</v>
      </c>
      <c r="P50" s="2">
        <f t="shared" si="1"/>
        <v>-4.6567611838733916</v>
      </c>
      <c r="Q50" s="2">
        <f t="shared" si="2"/>
        <v>-0.98809992100859434</v>
      </c>
    </row>
    <row r="51" spans="1:17" x14ac:dyDescent="0.3">
      <c r="A51" t="s">
        <v>63</v>
      </c>
      <c r="B51">
        <v>59.5</v>
      </c>
      <c r="C51">
        <v>109</v>
      </c>
      <c r="D51">
        <v>1.3761000000000001E-2</v>
      </c>
      <c r="E51">
        <v>25.97</v>
      </c>
      <c r="F51">
        <v>1</v>
      </c>
      <c r="G51">
        <v>8.4773302078247001E-2</v>
      </c>
      <c r="H51">
        <v>533.32797390836095</v>
      </c>
      <c r="I51">
        <v>55.408069450709803</v>
      </c>
      <c r="K51">
        <v>7.9608678817749023E-2</v>
      </c>
      <c r="L51" s="2">
        <f t="shared" si="0"/>
        <v>-6.0922756739273343</v>
      </c>
      <c r="N51">
        <v>55.126914978027337</v>
      </c>
      <c r="O51">
        <v>528.30889892578125</v>
      </c>
      <c r="P51" s="2">
        <f t="shared" si="1"/>
        <v>-0.50742513765540453</v>
      </c>
      <c r="Q51" s="2">
        <f t="shared" si="2"/>
        <v>-0.94108601613349796</v>
      </c>
    </row>
    <row r="52" spans="1:17" x14ac:dyDescent="0.3">
      <c r="A52" t="s">
        <v>64</v>
      </c>
      <c r="B52">
        <v>43.2</v>
      </c>
      <c r="C52">
        <v>115.4</v>
      </c>
      <c r="D52">
        <v>9.9489999999999995E-3</v>
      </c>
      <c r="E52">
        <v>35</v>
      </c>
      <c r="F52">
        <v>1</v>
      </c>
      <c r="G52">
        <v>4.9205470830202103E-2</v>
      </c>
      <c r="H52">
        <v>589.28594146114006</v>
      </c>
      <c r="I52">
        <v>31.042559581316699</v>
      </c>
      <c r="K52">
        <v>4.8961661756038673E-2</v>
      </c>
      <c r="L52" s="2">
        <f t="shared" si="0"/>
        <v>-0.49549180213063015</v>
      </c>
      <c r="N52">
        <v>32.291000366210938</v>
      </c>
      <c r="O52">
        <v>589.106201171875</v>
      </c>
      <c r="P52" s="2">
        <f t="shared" si="1"/>
        <v>4.0217069782017152</v>
      </c>
      <c r="Q52" s="2">
        <f t="shared" si="2"/>
        <v>-3.0501370662158935E-2</v>
      </c>
    </row>
    <row r="53" spans="1:17" x14ac:dyDescent="0.3">
      <c r="A53" t="s">
        <v>65</v>
      </c>
      <c r="B53">
        <v>89.7</v>
      </c>
      <c r="C53">
        <v>122.4</v>
      </c>
      <c r="D53">
        <v>2.5964000000000001E-2</v>
      </c>
      <c r="E53">
        <v>31.6</v>
      </c>
      <c r="F53">
        <v>1</v>
      </c>
      <c r="G53">
        <v>0.116310827434062</v>
      </c>
      <c r="H53">
        <v>571.67109157616903</v>
      </c>
      <c r="I53">
        <v>91.344842937557701</v>
      </c>
      <c r="K53">
        <v>0.11118587106466291</v>
      </c>
      <c r="L53" s="2">
        <f t="shared" si="0"/>
        <v>-4.4062590581298151</v>
      </c>
      <c r="N53">
        <v>89.124603271484375</v>
      </c>
      <c r="O53">
        <v>571.06756591796875</v>
      </c>
      <c r="P53" s="2">
        <f t="shared" si="1"/>
        <v>-2.4306130424801937</v>
      </c>
      <c r="Q53" s="2">
        <f t="shared" si="2"/>
        <v>-0.10557218426705589</v>
      </c>
    </row>
    <row r="54" spans="1:17" x14ac:dyDescent="0.3">
      <c r="A54" t="s">
        <v>66</v>
      </c>
      <c r="B54">
        <v>62.9</v>
      </c>
      <c r="C54">
        <v>120.7</v>
      </c>
      <c r="D54">
        <v>1.1342E-2</v>
      </c>
      <c r="E54">
        <v>20</v>
      </c>
      <c r="F54">
        <v>1</v>
      </c>
      <c r="G54">
        <v>5.5742520838975899E-2</v>
      </c>
      <c r="H54">
        <v>501.30128641135701</v>
      </c>
      <c r="I54">
        <v>59.884574461174701</v>
      </c>
      <c r="K54">
        <v>5.5923156440258033E-2</v>
      </c>
      <c r="L54" s="2">
        <f t="shared" si="0"/>
        <v>0.32405352065784376</v>
      </c>
      <c r="N54">
        <v>59.879299163818359</v>
      </c>
      <c r="O54">
        <v>496.64044189453119</v>
      </c>
      <c r="P54" s="2">
        <f t="shared" si="1"/>
        <v>-8.8091088628535399E-3</v>
      </c>
      <c r="Q54" s="2">
        <f t="shared" si="2"/>
        <v>-0.9297491634604006</v>
      </c>
    </row>
    <row r="55" spans="1:17" x14ac:dyDescent="0.3">
      <c r="A55" t="s">
        <v>67</v>
      </c>
      <c r="B55">
        <v>67.5</v>
      </c>
      <c r="C55">
        <v>120.3</v>
      </c>
      <c r="D55">
        <v>1.6483999999999999E-2</v>
      </c>
      <c r="E55">
        <v>28.31</v>
      </c>
      <c r="F55">
        <v>1</v>
      </c>
      <c r="G55">
        <v>7.7043667435646002E-2</v>
      </c>
      <c r="H55">
        <v>550.98946621813297</v>
      </c>
      <c r="I55">
        <v>63.911898104150403</v>
      </c>
      <c r="K55">
        <v>8.2673795521259308E-2</v>
      </c>
      <c r="L55" s="2">
        <f t="shared" si="0"/>
        <v>7.3077103842650146</v>
      </c>
      <c r="N55">
        <v>64.675582885742188</v>
      </c>
      <c r="O55">
        <v>546.67974853515625</v>
      </c>
      <c r="P55" s="2">
        <f t="shared" si="1"/>
        <v>1.194902364419359</v>
      </c>
      <c r="Q55" s="2">
        <f t="shared" si="2"/>
        <v>-0.78217787221190482</v>
      </c>
    </row>
    <row r="56" spans="1:17" x14ac:dyDescent="0.3">
      <c r="A56" t="s">
        <v>68</v>
      </c>
      <c r="B56">
        <v>42.5</v>
      </c>
      <c r="C56">
        <v>130</v>
      </c>
      <c r="D56">
        <v>7.1159999999999999E-3</v>
      </c>
      <c r="E56">
        <v>28.38</v>
      </c>
      <c r="F56">
        <v>1</v>
      </c>
      <c r="G56">
        <v>3.0704978853464099E-2</v>
      </c>
      <c r="H56">
        <v>556.70829180160194</v>
      </c>
      <c r="I56">
        <v>28.145739916126701</v>
      </c>
      <c r="K56">
        <v>3.4494273364543908E-2</v>
      </c>
      <c r="L56" s="2">
        <f t="shared" si="0"/>
        <v>12.340977432890513</v>
      </c>
      <c r="N56">
        <v>31.523427963256839</v>
      </c>
      <c r="O56">
        <v>549.60968017578125</v>
      </c>
      <c r="P56" s="2">
        <f t="shared" si="1"/>
        <v>12.00070794797198</v>
      </c>
      <c r="Q56" s="2">
        <f t="shared" si="2"/>
        <v>-1.2751043464519614</v>
      </c>
    </row>
    <row r="57" spans="1:17" x14ac:dyDescent="0.3">
      <c r="A57" t="s">
        <v>69</v>
      </c>
      <c r="B57">
        <v>82.1</v>
      </c>
      <c r="C57">
        <v>100</v>
      </c>
      <c r="D57">
        <v>2.8649000000000001E-2</v>
      </c>
      <c r="E57">
        <v>35</v>
      </c>
      <c r="F57">
        <v>1.44</v>
      </c>
      <c r="G57">
        <v>0.27437800168991</v>
      </c>
      <c r="H57">
        <v>683.75043992428402</v>
      </c>
      <c r="I57">
        <v>99.198055702336902</v>
      </c>
      <c r="K57">
        <v>9.7072996199131012E-2</v>
      </c>
      <c r="L57" s="2">
        <f t="shared" si="0"/>
        <v>-64.620707344884494</v>
      </c>
      <c r="N57">
        <v>84.727081298828125</v>
      </c>
      <c r="O57">
        <v>696.73480224609375</v>
      </c>
      <c r="P57" s="2">
        <f t="shared" si="1"/>
        <v>-14.587961730753833</v>
      </c>
      <c r="Q57" s="2">
        <f t="shared" si="2"/>
        <v>1.8989914395152079</v>
      </c>
    </row>
    <row r="58" spans="1:17" x14ac:dyDescent="0.3">
      <c r="A58" t="s">
        <v>70</v>
      </c>
      <c r="B58">
        <v>65.8</v>
      </c>
      <c r="C58">
        <v>130</v>
      </c>
      <c r="D58">
        <v>1.1132E-2</v>
      </c>
      <c r="E58">
        <v>20</v>
      </c>
      <c r="F58">
        <v>1.82</v>
      </c>
      <c r="G58">
        <v>5.0797116011381101E-2</v>
      </c>
      <c r="H58">
        <v>617.67349952863299</v>
      </c>
      <c r="I58">
        <v>74.910320650671807</v>
      </c>
      <c r="K58">
        <v>5.4634150117635727E-2</v>
      </c>
      <c r="L58" s="2">
        <f t="shared" si="0"/>
        <v>7.5536455758530439</v>
      </c>
      <c r="N58">
        <v>76.378555297851563</v>
      </c>
      <c r="O58">
        <v>610.70343017578125</v>
      </c>
      <c r="P58" s="2">
        <f t="shared" si="1"/>
        <v>1.9599898043776276</v>
      </c>
      <c r="Q58" s="2">
        <f t="shared" si="2"/>
        <v>-1.1284391119532937</v>
      </c>
    </row>
    <row r="59" spans="1:17" x14ac:dyDescent="0.3">
      <c r="A59" t="s">
        <v>71</v>
      </c>
      <c r="B59">
        <v>65.7</v>
      </c>
      <c r="C59">
        <v>114.9</v>
      </c>
      <c r="D59">
        <v>1.822E-2</v>
      </c>
      <c r="E59">
        <v>31.94</v>
      </c>
      <c r="F59">
        <v>1</v>
      </c>
      <c r="G59">
        <v>9.2236205935478197E-2</v>
      </c>
      <c r="H59">
        <v>570.76299333356496</v>
      </c>
      <c r="I59">
        <v>62.114103690230301</v>
      </c>
      <c r="K59">
        <v>9.2051871120929718E-2</v>
      </c>
      <c r="L59" s="2">
        <f t="shared" si="0"/>
        <v>-0.19985082070421012</v>
      </c>
      <c r="N59">
        <v>62.399974822998047</v>
      </c>
      <c r="O59">
        <v>568.3399658203125</v>
      </c>
      <c r="P59" s="2">
        <f t="shared" si="1"/>
        <v>0.46023546309774582</v>
      </c>
      <c r="Q59" s="2">
        <f t="shared" si="2"/>
        <v>-0.42452428443208468</v>
      </c>
    </row>
    <row r="60" spans="1:17" x14ac:dyDescent="0.3">
      <c r="A60" t="s">
        <v>72</v>
      </c>
      <c r="B60">
        <v>42.9</v>
      </c>
      <c r="C60">
        <v>113.4</v>
      </c>
      <c r="D60">
        <v>6.3579999999999999E-3</v>
      </c>
      <c r="E60">
        <v>20</v>
      </c>
      <c r="F60">
        <v>1</v>
      </c>
      <c r="G60">
        <v>3.5707905888557399E-2</v>
      </c>
      <c r="H60">
        <v>498.65980051299402</v>
      </c>
      <c r="I60">
        <v>32.306109730385202</v>
      </c>
      <c r="K60">
        <v>3.6193914711475372E-2</v>
      </c>
      <c r="L60" s="2">
        <f t="shared" si="0"/>
        <v>1.361067838687551</v>
      </c>
      <c r="N60">
        <v>34.727470397949219</v>
      </c>
      <c r="O60">
        <v>493.61264038085938</v>
      </c>
      <c r="P60" s="2">
        <f t="shared" si="1"/>
        <v>7.4950549223406773</v>
      </c>
      <c r="Q60" s="2">
        <f t="shared" si="2"/>
        <v>-1.0121449787896291</v>
      </c>
    </row>
    <row r="61" spans="1:17" x14ac:dyDescent="0.3">
      <c r="A61" t="s">
        <v>73</v>
      </c>
      <c r="B61">
        <v>71.400000000000006</v>
      </c>
      <c r="C61">
        <v>113.7</v>
      </c>
      <c r="D61">
        <v>1.4246E-2</v>
      </c>
      <c r="E61">
        <v>20</v>
      </c>
      <c r="F61">
        <v>1</v>
      </c>
      <c r="G61">
        <v>7.9435408115386894E-2</v>
      </c>
      <c r="H61">
        <v>498.74942131801902</v>
      </c>
      <c r="I61">
        <v>72.795995994896202</v>
      </c>
      <c r="K61">
        <v>7.6387651264667511E-2</v>
      </c>
      <c r="L61" s="2">
        <f t="shared" si="0"/>
        <v>-3.8367737046082122</v>
      </c>
      <c r="N61">
        <v>71.39935302734375</v>
      </c>
      <c r="O61">
        <v>494.28533935546881</v>
      </c>
      <c r="P61" s="2">
        <f t="shared" si="1"/>
        <v>-1.9185711363168549</v>
      </c>
      <c r="Q61" s="2">
        <f t="shared" si="2"/>
        <v>-0.89505506607971874</v>
      </c>
    </row>
    <row r="62" spans="1:17" x14ac:dyDescent="0.3">
      <c r="A62" t="s">
        <v>74</v>
      </c>
      <c r="B62">
        <v>58.2</v>
      </c>
      <c r="C62">
        <v>130</v>
      </c>
      <c r="D62">
        <v>9.8569999999999994E-3</v>
      </c>
      <c r="E62">
        <v>21.72</v>
      </c>
      <c r="F62">
        <v>1</v>
      </c>
      <c r="G62">
        <v>4.4275198131799698E-2</v>
      </c>
      <c r="H62">
        <v>516.74829180160202</v>
      </c>
      <c r="I62">
        <v>50.475499533024703</v>
      </c>
      <c r="K62">
        <v>4.5023228973150253E-2</v>
      </c>
      <c r="L62" s="2">
        <f t="shared" si="0"/>
        <v>1.6895030918298672</v>
      </c>
      <c r="N62">
        <v>53.579753875732422</v>
      </c>
      <c r="O62">
        <v>509.92266845703119</v>
      </c>
      <c r="P62" s="2">
        <f t="shared" si="1"/>
        <v>6.1500220333167634</v>
      </c>
      <c r="Q62" s="2">
        <f t="shared" si="2"/>
        <v>-1.3208797112369415</v>
      </c>
    </row>
    <row r="63" spans="1:17" x14ac:dyDescent="0.3">
      <c r="A63" t="s">
        <v>75</v>
      </c>
      <c r="B63">
        <v>43.8</v>
      </c>
      <c r="C63">
        <v>130</v>
      </c>
      <c r="D63">
        <v>7.0679999999999996E-3</v>
      </c>
      <c r="E63">
        <v>26.17</v>
      </c>
      <c r="F63">
        <v>1</v>
      </c>
      <c r="G63">
        <v>3.0856635421514501E-2</v>
      </c>
      <c r="H63">
        <v>543.44829180160195</v>
      </c>
      <c r="I63">
        <v>30.5291738126719</v>
      </c>
      <c r="K63">
        <v>3.365209698677063E-2</v>
      </c>
      <c r="L63" s="2">
        <f t="shared" si="0"/>
        <v>9.0595151644661165</v>
      </c>
      <c r="N63">
        <v>33.890800476074219</v>
      </c>
      <c r="O63">
        <v>535.01123046875</v>
      </c>
      <c r="P63" s="2">
        <f t="shared" si="1"/>
        <v>11.011194354715855</v>
      </c>
      <c r="Q63" s="2">
        <f t="shared" si="2"/>
        <v>-1.5525048951542373</v>
      </c>
    </row>
    <row r="64" spans="1:17" x14ac:dyDescent="0.3">
      <c r="A64" t="s">
        <v>76</v>
      </c>
      <c r="B64">
        <v>58.5</v>
      </c>
      <c r="C64">
        <v>118.3</v>
      </c>
      <c r="D64">
        <v>1.6163E-2</v>
      </c>
      <c r="E64">
        <v>35</v>
      </c>
      <c r="F64">
        <v>1</v>
      </c>
      <c r="G64">
        <v>7.5552947819232899E-2</v>
      </c>
      <c r="H64">
        <v>590.32054130509096</v>
      </c>
      <c r="I64">
        <v>51.186884467348598</v>
      </c>
      <c r="K64">
        <v>7.6551146805286407E-2</v>
      </c>
      <c r="L64" s="2">
        <f t="shared" si="0"/>
        <v>1.3211913166403351</v>
      </c>
      <c r="N64">
        <v>52.602123260498047</v>
      </c>
      <c r="O64">
        <v>585.8748779296875</v>
      </c>
      <c r="P64" s="2">
        <f t="shared" si="1"/>
        <v>2.7648465185495121</v>
      </c>
      <c r="Q64" s="2">
        <f t="shared" si="2"/>
        <v>-0.75309311879524055</v>
      </c>
    </row>
    <row r="65" spans="1:17" x14ac:dyDescent="0.3">
      <c r="A65" t="s">
        <v>77</v>
      </c>
      <c r="B65">
        <v>51.3</v>
      </c>
      <c r="C65">
        <v>117.5</v>
      </c>
      <c r="D65">
        <v>1.11E-2</v>
      </c>
      <c r="E65">
        <v>28.31</v>
      </c>
      <c r="F65">
        <v>1</v>
      </c>
      <c r="G65">
        <v>5.4243400692939703E-2</v>
      </c>
      <c r="H65">
        <v>549.87937947282899</v>
      </c>
      <c r="I65">
        <v>42.359682551438198</v>
      </c>
      <c r="K65">
        <v>5.3401798009872443E-2</v>
      </c>
      <c r="L65" s="2">
        <f t="shared" si="0"/>
        <v>-1.5515300890358852</v>
      </c>
      <c r="N65">
        <v>43.054157257080078</v>
      </c>
      <c r="O65">
        <v>548.722412109375</v>
      </c>
      <c r="P65" s="2">
        <f t="shared" si="1"/>
        <v>1.6394709870607889</v>
      </c>
      <c r="Q65" s="2">
        <f t="shared" si="2"/>
        <v>-0.21040384612406723</v>
      </c>
    </row>
    <row r="66" spans="1:17" x14ac:dyDescent="0.3">
      <c r="A66" t="s">
        <v>78</v>
      </c>
      <c r="B66">
        <v>69.3</v>
      </c>
      <c r="C66">
        <v>120.9</v>
      </c>
      <c r="D66">
        <v>1.3021E-2</v>
      </c>
      <c r="E66">
        <v>20</v>
      </c>
      <c r="F66">
        <v>1</v>
      </c>
      <c r="G66">
        <v>6.3784807920455905E-2</v>
      </c>
      <c r="H66">
        <v>501.38849755454601</v>
      </c>
      <c r="I66">
        <v>68.600641756401103</v>
      </c>
      <c r="K66">
        <v>6.503816694021225E-2</v>
      </c>
      <c r="L66" s="2">
        <f t="shared" si="0"/>
        <v>1.9649804720261459</v>
      </c>
      <c r="N66">
        <v>68.519241333007813</v>
      </c>
      <c r="O66">
        <v>497.1014404296875</v>
      </c>
      <c r="P66" s="2">
        <f t="shared" si="1"/>
        <v>-0.1186583992644575</v>
      </c>
      <c r="Q66" s="2">
        <f t="shared" si="2"/>
        <v>-0.85503699142841194</v>
      </c>
    </row>
    <row r="67" spans="1:17" x14ac:dyDescent="0.3">
      <c r="A67" t="s">
        <v>79</v>
      </c>
      <c r="B67">
        <v>73.2</v>
      </c>
      <c r="C67">
        <v>106.6</v>
      </c>
      <c r="D67">
        <v>2.3980000000000001E-2</v>
      </c>
      <c r="E67">
        <v>35</v>
      </c>
      <c r="F67">
        <v>2</v>
      </c>
      <c r="G67">
        <v>0.154682502150535</v>
      </c>
      <c r="H67">
        <v>809.52114822217698</v>
      </c>
      <c r="I67">
        <v>90.698524692919506</v>
      </c>
      <c r="K67">
        <v>0.13865496218204501</v>
      </c>
      <c r="L67" s="2">
        <f t="shared" si="0"/>
        <v>-10.361572734899385</v>
      </c>
      <c r="N67">
        <v>88.5963134765625</v>
      </c>
      <c r="O67">
        <v>797.8905029296875</v>
      </c>
      <c r="P67" s="2">
        <f t="shared" si="1"/>
        <v>-2.3178008941981361</v>
      </c>
      <c r="Q67" s="2">
        <f t="shared" si="2"/>
        <v>-1.436731494665954</v>
      </c>
    </row>
    <row r="68" spans="1:17" x14ac:dyDescent="0.3">
      <c r="A68" t="s">
        <v>80</v>
      </c>
      <c r="B68">
        <v>62.1</v>
      </c>
      <c r="C68">
        <v>118.8</v>
      </c>
      <c r="D68">
        <v>1.5171E-2</v>
      </c>
      <c r="E68">
        <v>29.23</v>
      </c>
      <c r="F68">
        <v>1</v>
      </c>
      <c r="G68">
        <v>7.2179220616817405E-2</v>
      </c>
      <c r="H68">
        <v>555.89513751496202</v>
      </c>
      <c r="I68">
        <v>56.594417920118403</v>
      </c>
      <c r="K68">
        <v>7.4656069278717041E-2</v>
      </c>
      <c r="L68" s="2">
        <f t="shared" si="0"/>
        <v>3.4315259166466294</v>
      </c>
      <c r="N68">
        <v>57.315898895263672</v>
      </c>
      <c r="O68">
        <v>550.557373046875</v>
      </c>
      <c r="P68" s="2">
        <f t="shared" si="1"/>
        <v>1.2748270971946762</v>
      </c>
      <c r="Q68" s="2">
        <f t="shared" si="2"/>
        <v>-0.96021067785349157</v>
      </c>
    </row>
    <row r="69" spans="1:17" x14ac:dyDescent="0.3">
      <c r="A69" t="s">
        <v>81</v>
      </c>
      <c r="B69">
        <v>53.8</v>
      </c>
      <c r="C69">
        <v>116.6</v>
      </c>
      <c r="D69">
        <v>1.4373E-2</v>
      </c>
      <c r="E69">
        <v>35</v>
      </c>
      <c r="F69">
        <v>1</v>
      </c>
      <c r="G69">
        <v>6.9318532943725503E-2</v>
      </c>
      <c r="H69">
        <v>589.69513966741602</v>
      </c>
      <c r="I69">
        <v>45.325414900516101</v>
      </c>
      <c r="K69">
        <v>6.7326173186302185E-2</v>
      </c>
      <c r="L69" s="2">
        <f t="shared" si="0"/>
        <v>-2.8742093532775201</v>
      </c>
      <c r="N69">
        <v>46.200492858886719</v>
      </c>
      <c r="O69">
        <v>586.0460205078125</v>
      </c>
      <c r="P69" s="2">
        <f t="shared" si="1"/>
        <v>1.930656256079089</v>
      </c>
      <c r="Q69" s="2">
        <f t="shared" si="2"/>
        <v>-0.61881452196835018</v>
      </c>
    </row>
    <row r="70" spans="1:17" x14ac:dyDescent="0.3">
      <c r="A70" t="s">
        <v>82</v>
      </c>
      <c r="B70">
        <v>56.2</v>
      </c>
      <c r="C70">
        <v>114.9</v>
      </c>
      <c r="D70">
        <v>1.3773000000000001E-2</v>
      </c>
      <c r="E70">
        <v>30.19</v>
      </c>
      <c r="F70">
        <v>1</v>
      </c>
      <c r="G70">
        <v>7.0295594632625497E-2</v>
      </c>
      <c r="H70">
        <v>560.26299333356405</v>
      </c>
      <c r="I70">
        <v>49.420695089592499</v>
      </c>
      <c r="K70">
        <v>6.8487890064716339E-2</v>
      </c>
      <c r="L70" s="2">
        <f t="shared" si="0"/>
        <v>-2.5715758965500921</v>
      </c>
      <c r="N70">
        <v>49.522937774658203</v>
      </c>
      <c r="O70">
        <v>555.81170654296875</v>
      </c>
      <c r="P70" s="2">
        <f t="shared" si="1"/>
        <v>0.20688232911405449</v>
      </c>
      <c r="Q70" s="2">
        <f t="shared" si="2"/>
        <v>-0.79449951961134435</v>
      </c>
    </row>
    <row r="71" spans="1:17" x14ac:dyDescent="0.3">
      <c r="A71" t="s">
        <v>83</v>
      </c>
      <c r="B71">
        <v>83.5</v>
      </c>
      <c r="C71">
        <v>120.2</v>
      </c>
      <c r="D71">
        <v>2.0767000000000001E-2</v>
      </c>
      <c r="E71">
        <v>26.26</v>
      </c>
      <c r="F71">
        <v>1</v>
      </c>
      <c r="G71">
        <v>9.8346017301082597E-2</v>
      </c>
      <c r="H71">
        <v>538.64704785696597</v>
      </c>
      <c r="I71">
        <v>85.882499857570295</v>
      </c>
      <c r="K71">
        <v>9.6840105950832367E-2</v>
      </c>
      <c r="L71" s="2">
        <f t="shared" si="0"/>
        <v>-1.5312377578442651</v>
      </c>
      <c r="N71">
        <v>83.847282409667969</v>
      </c>
      <c r="O71">
        <v>537.01904296875</v>
      </c>
      <c r="P71" s="2">
        <f t="shared" si="1"/>
        <v>-2.3697696868134743</v>
      </c>
      <c r="Q71" s="2">
        <f t="shared" si="2"/>
        <v>-0.30223963812538607</v>
      </c>
    </row>
    <row r="72" spans="1:17" x14ac:dyDescent="0.3">
      <c r="A72" t="s">
        <v>84</v>
      </c>
      <c r="B72">
        <v>70.400000000000006</v>
      </c>
      <c r="C72">
        <v>130</v>
      </c>
      <c r="D72">
        <v>1.3674E-2</v>
      </c>
      <c r="E72">
        <v>23.23</v>
      </c>
      <c r="F72">
        <v>1</v>
      </c>
      <c r="G72">
        <v>6.07693754136562E-2</v>
      </c>
      <c r="H72">
        <v>525.80829180160197</v>
      </c>
      <c r="I72">
        <v>65.626758878494201</v>
      </c>
      <c r="K72">
        <v>6.7881487309932709E-2</v>
      </c>
      <c r="L72" s="2">
        <f t="shared" si="0"/>
        <v>11.703447415518873</v>
      </c>
      <c r="N72">
        <v>69.730148315429688</v>
      </c>
      <c r="O72">
        <v>520.40704345703125</v>
      </c>
      <c r="P72" s="2">
        <f t="shared" si="1"/>
        <v>6.2526163215416108</v>
      </c>
      <c r="Q72" s="2">
        <f t="shared" si="2"/>
        <v>-1.0272276852204372</v>
      </c>
    </row>
    <row r="73" spans="1:17" x14ac:dyDescent="0.3">
      <c r="A73" t="s">
        <v>85</v>
      </c>
      <c r="B73">
        <v>44.7</v>
      </c>
      <c r="C73">
        <v>130</v>
      </c>
      <c r="D73">
        <v>8.0289999999999997E-3</v>
      </c>
      <c r="E73">
        <v>29.39</v>
      </c>
      <c r="F73">
        <v>1</v>
      </c>
      <c r="G73">
        <v>3.4475922584533601E-2</v>
      </c>
      <c r="H73">
        <v>562.76829180160098</v>
      </c>
      <c r="I73">
        <v>31.179803753199302</v>
      </c>
      <c r="K73">
        <v>3.8810629397630692E-2</v>
      </c>
      <c r="L73" s="2">
        <f t="shared" ref="L73:L136" si="3">(K73-G73)/G73*100</f>
        <v>12.573142321191144</v>
      </c>
      <c r="N73">
        <v>34.025711059570313</v>
      </c>
      <c r="O73">
        <v>556.30267333984375</v>
      </c>
      <c r="P73" s="2">
        <f t="shared" ref="P73:P136" si="4">(N73-I73)/I73*100</f>
        <v>9.1274060892028466</v>
      </c>
      <c r="Q73" s="2">
        <f t="shared" ref="Q73:Q136" si="5">(O73-H73)/H73*100</f>
        <v>-1.1488953013075278</v>
      </c>
    </row>
    <row r="74" spans="1:17" x14ac:dyDescent="0.3">
      <c r="A74" t="s">
        <v>86</v>
      </c>
      <c r="B74">
        <v>60.9</v>
      </c>
      <c r="C74">
        <v>130</v>
      </c>
      <c r="D74">
        <v>1.196E-2</v>
      </c>
      <c r="E74">
        <v>25.65</v>
      </c>
      <c r="F74">
        <v>1</v>
      </c>
      <c r="G74">
        <v>5.2369844168424599E-2</v>
      </c>
      <c r="H74">
        <v>540.32829180160195</v>
      </c>
      <c r="I74">
        <v>52.65688873325</v>
      </c>
      <c r="K74">
        <v>5.6638427078723907E-2</v>
      </c>
      <c r="L74" s="2">
        <f t="shared" si="3"/>
        <v>8.1508413440591614</v>
      </c>
      <c r="N74">
        <v>55.495311737060547</v>
      </c>
      <c r="O74">
        <v>534.637451171875</v>
      </c>
      <c r="P74" s="2">
        <f t="shared" si="4"/>
        <v>5.3904115341669163</v>
      </c>
      <c r="Q74" s="2">
        <f t="shared" si="5"/>
        <v>-1.0532190736768814</v>
      </c>
    </row>
    <row r="75" spans="1:17" x14ac:dyDescent="0.3">
      <c r="A75" t="s">
        <v>87</v>
      </c>
      <c r="B75">
        <v>52.8</v>
      </c>
      <c r="C75">
        <v>127.4</v>
      </c>
      <c r="D75">
        <v>1.0678E-2</v>
      </c>
      <c r="E75">
        <v>28.41</v>
      </c>
      <c r="F75">
        <v>1</v>
      </c>
      <c r="G75">
        <v>4.6619687229394899E-2</v>
      </c>
      <c r="H75">
        <v>555.210015903976</v>
      </c>
      <c r="I75">
        <v>41.966584757450903</v>
      </c>
      <c r="K75">
        <v>4.9540750682353973E-2</v>
      </c>
      <c r="L75" s="2">
        <f t="shared" si="3"/>
        <v>6.265729408663363</v>
      </c>
      <c r="N75">
        <v>44.433490753173828</v>
      </c>
      <c r="O75">
        <v>548.9320068359375</v>
      </c>
      <c r="P75" s="2">
        <f t="shared" si="4"/>
        <v>5.8782624556670449</v>
      </c>
      <c r="Q75" s="2">
        <f t="shared" si="5"/>
        <v>-1.1307449232191602</v>
      </c>
    </row>
    <row r="76" spans="1:17" x14ac:dyDescent="0.3">
      <c r="A76" t="s">
        <v>88</v>
      </c>
      <c r="B76">
        <v>55.3</v>
      </c>
      <c r="C76">
        <v>123.9</v>
      </c>
      <c r="D76">
        <v>1.1306999999999999E-2</v>
      </c>
      <c r="E76">
        <v>26.63</v>
      </c>
      <c r="F76">
        <v>1</v>
      </c>
      <c r="G76">
        <v>5.1167149096727302E-2</v>
      </c>
      <c r="H76">
        <v>542.58648138609499</v>
      </c>
      <c r="I76">
        <v>46.847665492898102</v>
      </c>
      <c r="K76">
        <v>5.18038310110569E-2</v>
      </c>
      <c r="L76" s="2">
        <f t="shared" si="3"/>
        <v>1.2443177420848741</v>
      </c>
      <c r="N76">
        <v>48.045768737792969</v>
      </c>
      <c r="O76">
        <v>538.86614990234375</v>
      </c>
      <c r="P76" s="2">
        <f t="shared" si="4"/>
        <v>2.5574449277018805</v>
      </c>
      <c r="Q76" s="2">
        <f t="shared" si="5"/>
        <v>-0.68566608483264357</v>
      </c>
    </row>
    <row r="77" spans="1:17" x14ac:dyDescent="0.3">
      <c r="A77" t="s">
        <v>89</v>
      </c>
      <c r="B77">
        <v>67.8</v>
      </c>
      <c r="C77">
        <v>122.7</v>
      </c>
      <c r="D77">
        <v>1.244E-2</v>
      </c>
      <c r="E77">
        <v>20</v>
      </c>
      <c r="F77">
        <v>1</v>
      </c>
      <c r="G77">
        <v>5.9666495770215898E-2</v>
      </c>
      <c r="H77">
        <v>502.21382991590502</v>
      </c>
      <c r="I77">
        <v>65.997752890366499</v>
      </c>
      <c r="K77">
        <v>6.2056414783000953E-2</v>
      </c>
      <c r="L77" s="2">
        <f t="shared" si="3"/>
        <v>4.0054623318067319</v>
      </c>
      <c r="N77">
        <v>66.775894165039063</v>
      </c>
      <c r="O77">
        <v>497.46575927734381</v>
      </c>
      <c r="P77" s="2">
        <f t="shared" si="4"/>
        <v>1.1790420743039367</v>
      </c>
      <c r="Q77" s="2">
        <f t="shared" si="5"/>
        <v>-0.94542809371782421</v>
      </c>
    </row>
    <row r="78" spans="1:17" x14ac:dyDescent="0.3">
      <c r="A78" t="s">
        <v>90</v>
      </c>
      <c r="B78">
        <v>74.900000000000006</v>
      </c>
      <c r="C78">
        <v>112.3</v>
      </c>
      <c r="D78">
        <v>1.9970000000000002E-2</v>
      </c>
      <c r="E78">
        <v>28</v>
      </c>
      <c r="F78">
        <v>1</v>
      </c>
      <c r="G78">
        <v>0.109857015311717</v>
      </c>
      <c r="H78">
        <v>546.34372650698197</v>
      </c>
      <c r="I78">
        <v>76.161645639712205</v>
      </c>
      <c r="K78">
        <v>0.1008006706833839</v>
      </c>
      <c r="L78" s="2">
        <f t="shared" si="3"/>
        <v>-8.2437563069012132</v>
      </c>
      <c r="N78">
        <v>72.690887451171875</v>
      </c>
      <c r="O78">
        <v>543.1524658203125</v>
      </c>
      <c r="P78" s="2">
        <f t="shared" si="4"/>
        <v>-4.5570945314902804</v>
      </c>
      <c r="Q78" s="2">
        <f t="shared" si="5"/>
        <v>-0.58411225970738467</v>
      </c>
    </row>
    <row r="79" spans="1:17" x14ac:dyDescent="0.3">
      <c r="A79" t="s">
        <v>91</v>
      </c>
      <c r="B79">
        <v>84.4</v>
      </c>
      <c r="C79">
        <v>100.9</v>
      </c>
      <c r="D79">
        <v>2.9638000000000001E-2</v>
      </c>
      <c r="E79">
        <v>35</v>
      </c>
      <c r="F79">
        <v>1</v>
      </c>
      <c r="G79">
        <v>0.27055406570434498</v>
      </c>
      <c r="H79">
        <v>586.09504858232401</v>
      </c>
      <c r="I79">
        <v>92.926932516285504</v>
      </c>
      <c r="K79">
        <v>0.11353079974651339</v>
      </c>
      <c r="L79" s="2">
        <f t="shared" si="3"/>
        <v>-58.037666352951014</v>
      </c>
      <c r="N79">
        <v>82.118949890136719</v>
      </c>
      <c r="O79">
        <v>597.0030517578125</v>
      </c>
      <c r="P79" s="2">
        <f t="shared" si="4"/>
        <v>-11.630624549298105</v>
      </c>
      <c r="Q79" s="2">
        <f t="shared" si="5"/>
        <v>1.8611321153238392</v>
      </c>
    </row>
    <row r="80" spans="1:17" x14ac:dyDescent="0.3">
      <c r="A80" t="s">
        <v>92</v>
      </c>
      <c r="B80">
        <v>59</v>
      </c>
      <c r="C80">
        <v>125.3</v>
      </c>
      <c r="D80">
        <v>1.2083999999999999E-2</v>
      </c>
      <c r="E80">
        <v>25.95</v>
      </c>
      <c r="F80">
        <v>1</v>
      </c>
      <c r="G80">
        <v>5.4221093654632499E-2</v>
      </c>
      <c r="H80">
        <v>539.24383878852302</v>
      </c>
      <c r="I80">
        <v>51.414902996698899</v>
      </c>
      <c r="K80">
        <v>5.6885480880737298E-2</v>
      </c>
      <c r="L80" s="2">
        <f t="shared" si="3"/>
        <v>4.9139311779211239</v>
      </c>
      <c r="N80">
        <v>53.272426605224609</v>
      </c>
      <c r="O80">
        <v>534.339599609375</v>
      </c>
      <c r="P80" s="2">
        <f t="shared" si="4"/>
        <v>3.6128116562720596</v>
      </c>
      <c r="Q80" s="2">
        <f t="shared" si="5"/>
        <v>-0.90946596444495165</v>
      </c>
    </row>
    <row r="81" spans="1:17" x14ac:dyDescent="0.3">
      <c r="A81" t="s">
        <v>93</v>
      </c>
      <c r="B81">
        <v>80.8</v>
      </c>
      <c r="C81">
        <v>118.6</v>
      </c>
      <c r="D81">
        <v>2.1298000000000001E-2</v>
      </c>
      <c r="E81">
        <v>28.17</v>
      </c>
      <c r="F81">
        <v>1</v>
      </c>
      <c r="G81">
        <v>0.102217897772789</v>
      </c>
      <c r="H81">
        <v>549.45670234665295</v>
      </c>
      <c r="I81">
        <v>82.575444315664896</v>
      </c>
      <c r="K81">
        <v>9.9096722900867462E-2</v>
      </c>
      <c r="L81" s="2">
        <f t="shared" si="3"/>
        <v>-3.0534524187332819</v>
      </c>
      <c r="N81">
        <v>80.366668701171875</v>
      </c>
      <c r="O81">
        <v>548.23187255859375</v>
      </c>
      <c r="P81" s="2">
        <f t="shared" si="4"/>
        <v>-2.6748576805102426</v>
      </c>
      <c r="Q81" s="2">
        <f t="shared" si="5"/>
        <v>-0.2229165251471352</v>
      </c>
    </row>
    <row r="82" spans="1:17" x14ac:dyDescent="0.3">
      <c r="A82" t="s">
        <v>94</v>
      </c>
      <c r="B82">
        <v>43.1</v>
      </c>
      <c r="C82">
        <v>107.1</v>
      </c>
      <c r="D82">
        <v>7.0390000000000001E-3</v>
      </c>
      <c r="E82">
        <v>21.68</v>
      </c>
      <c r="F82">
        <v>1</v>
      </c>
      <c r="G82">
        <v>4.7594875097274697E-2</v>
      </c>
      <c r="H82">
        <v>507.178688077868</v>
      </c>
      <c r="I82">
        <v>33.068812187830403</v>
      </c>
      <c r="K82">
        <v>4.8437558114528663E-2</v>
      </c>
      <c r="L82" s="2">
        <f t="shared" si="3"/>
        <v>1.770533099481163</v>
      </c>
      <c r="N82">
        <v>35.044895172119141</v>
      </c>
      <c r="O82">
        <v>501.83355712890619</v>
      </c>
      <c r="P82" s="2">
        <f t="shared" si="4"/>
        <v>5.9756696825534981</v>
      </c>
      <c r="Q82" s="2">
        <f t="shared" si="5"/>
        <v>-1.0538950225253081</v>
      </c>
    </row>
    <row r="83" spans="1:17" x14ac:dyDescent="0.3">
      <c r="A83" t="s">
        <v>95</v>
      </c>
      <c r="B83">
        <v>48.6</v>
      </c>
      <c r="C83">
        <v>100</v>
      </c>
      <c r="D83">
        <v>1.1221E-2</v>
      </c>
      <c r="E83">
        <v>28.85</v>
      </c>
      <c r="F83">
        <v>1</v>
      </c>
      <c r="G83">
        <v>0.110752761363983</v>
      </c>
      <c r="H83">
        <v>549.088987413528</v>
      </c>
      <c r="I83">
        <v>41.7899202052444</v>
      </c>
      <c r="K83">
        <v>9.9250733852386475E-2</v>
      </c>
      <c r="L83" s="2">
        <f t="shared" si="3"/>
        <v>-10.385318948207289</v>
      </c>
      <c r="N83">
        <v>42.232662200927727</v>
      </c>
      <c r="O83">
        <v>546.413818359375</v>
      </c>
      <c r="P83" s="2">
        <f t="shared" si="4"/>
        <v>1.0594468558658936</v>
      </c>
      <c r="Q83" s="2">
        <f t="shared" si="5"/>
        <v>-0.48720136726003727</v>
      </c>
    </row>
    <row r="84" spans="1:17" x14ac:dyDescent="0.3">
      <c r="A84" t="s">
        <v>96</v>
      </c>
      <c r="B84">
        <v>87.2</v>
      </c>
      <c r="C84">
        <v>125.1</v>
      </c>
      <c r="D84">
        <v>2.4042999999999998E-2</v>
      </c>
      <c r="E84">
        <v>31.02</v>
      </c>
      <c r="F84">
        <v>1</v>
      </c>
      <c r="G84">
        <v>0.10519552975893</v>
      </c>
      <c r="H84">
        <v>569.55535576073999</v>
      </c>
      <c r="I84">
        <v>87.839669213671897</v>
      </c>
      <c r="K84">
        <v>0.1012473180890083</v>
      </c>
      <c r="L84" s="2">
        <f t="shared" si="3"/>
        <v>-3.7532124026273395</v>
      </c>
      <c r="N84">
        <v>85.281570434570313</v>
      </c>
      <c r="O84">
        <v>568.98773193359375</v>
      </c>
      <c r="P84" s="2">
        <f t="shared" si="4"/>
        <v>-2.9122363528930806</v>
      </c>
      <c r="Q84" s="2">
        <f t="shared" si="5"/>
        <v>-9.9660870783679176E-2</v>
      </c>
    </row>
    <row r="85" spans="1:17" x14ac:dyDescent="0.3">
      <c r="A85" t="s">
        <v>97</v>
      </c>
      <c r="B85">
        <v>80.8</v>
      </c>
      <c r="C85">
        <v>115.7</v>
      </c>
      <c r="D85">
        <v>1.9477000000000001E-2</v>
      </c>
      <c r="E85">
        <v>24.52</v>
      </c>
      <c r="F85">
        <v>1</v>
      </c>
      <c r="G85">
        <v>0.100665040314197</v>
      </c>
      <c r="H85">
        <v>526.50581898556902</v>
      </c>
      <c r="I85">
        <v>83.997684209367705</v>
      </c>
      <c r="K85">
        <v>9.9103018641471863E-2</v>
      </c>
      <c r="L85" s="2">
        <f t="shared" si="3"/>
        <v>-1.5517022273569201</v>
      </c>
      <c r="N85">
        <v>82.605560302734375</v>
      </c>
      <c r="O85">
        <v>525.0396728515625</v>
      </c>
      <c r="P85" s="2">
        <f t="shared" si="4"/>
        <v>-1.6573360560315016</v>
      </c>
      <c r="Q85" s="2">
        <f t="shared" si="5"/>
        <v>-0.2784672231792954</v>
      </c>
    </row>
    <row r="86" spans="1:17" x14ac:dyDescent="0.3">
      <c r="A86" t="s">
        <v>98</v>
      </c>
      <c r="B86">
        <v>85.1</v>
      </c>
      <c r="C86">
        <v>121.6</v>
      </c>
      <c r="D86">
        <v>1.9404000000000001E-2</v>
      </c>
      <c r="E86">
        <v>23.64</v>
      </c>
      <c r="F86">
        <v>1</v>
      </c>
      <c r="G86">
        <v>9.1652125120162894E-2</v>
      </c>
      <c r="H86">
        <v>523.54069710050703</v>
      </c>
      <c r="I86">
        <v>88.517621815662196</v>
      </c>
      <c r="K86">
        <v>9.4354286789894104E-2</v>
      </c>
      <c r="L86" s="2">
        <f t="shared" si="3"/>
        <v>2.9482804312376505</v>
      </c>
      <c r="N86">
        <v>87.6553955078125</v>
      </c>
      <c r="O86">
        <v>521.86834716796875</v>
      </c>
      <c r="P86" s="2">
        <f t="shared" si="4"/>
        <v>-0.97407306044132147</v>
      </c>
      <c r="Q86" s="2">
        <f t="shared" si="5"/>
        <v>-0.31943074183156223</v>
      </c>
    </row>
    <row r="87" spans="1:17" x14ac:dyDescent="0.3">
      <c r="A87" t="s">
        <v>99</v>
      </c>
      <c r="B87">
        <v>43.3</v>
      </c>
      <c r="C87">
        <v>122.8</v>
      </c>
      <c r="D87">
        <v>6.9170000000000004E-3</v>
      </c>
      <c r="E87">
        <v>23.84</v>
      </c>
      <c r="F87">
        <v>1</v>
      </c>
      <c r="G87">
        <v>3.2195355743169701E-2</v>
      </c>
      <c r="H87">
        <v>525.301883387506</v>
      </c>
      <c r="I87">
        <v>31.540861739630799</v>
      </c>
      <c r="K87">
        <v>3.3789318054914468E-2</v>
      </c>
      <c r="L87" s="2">
        <f t="shared" si="3"/>
        <v>4.950907591952693</v>
      </c>
      <c r="N87">
        <v>33.949966430664063</v>
      </c>
      <c r="O87">
        <v>518.7606201171875</v>
      </c>
      <c r="P87" s="2">
        <f t="shared" si="4"/>
        <v>7.6380433449167491</v>
      </c>
      <c r="Q87" s="2">
        <f t="shared" si="5"/>
        <v>-1.2452388763839859</v>
      </c>
    </row>
    <row r="88" spans="1:17" x14ac:dyDescent="0.3">
      <c r="A88" t="s">
        <v>100</v>
      </c>
      <c r="B88">
        <v>52.4</v>
      </c>
      <c r="C88">
        <v>103.5</v>
      </c>
      <c r="D88">
        <v>1.2642E-2</v>
      </c>
      <c r="E88">
        <v>29.03</v>
      </c>
      <c r="F88">
        <v>1</v>
      </c>
      <c r="G88">
        <v>9.8633743822574602E-2</v>
      </c>
      <c r="H88">
        <v>550.63657635758796</v>
      </c>
      <c r="I88">
        <v>45.979912514065397</v>
      </c>
      <c r="K88">
        <v>9.3414150178432465E-2</v>
      </c>
      <c r="L88" s="2">
        <f t="shared" si="3"/>
        <v>-5.2918944793693541</v>
      </c>
      <c r="N88">
        <v>46.627243041992188</v>
      </c>
      <c r="O88">
        <v>545.68426513671875</v>
      </c>
      <c r="P88" s="2">
        <f t="shared" si="4"/>
        <v>1.4078550665549223</v>
      </c>
      <c r="Q88" s="2">
        <f t="shared" si="5"/>
        <v>-0.89937927001295559</v>
      </c>
    </row>
    <row r="89" spans="1:17" x14ac:dyDescent="0.3">
      <c r="A89" t="s">
        <v>101</v>
      </c>
      <c r="B89">
        <v>65.099999999999994</v>
      </c>
      <c r="C89">
        <v>115.9</v>
      </c>
      <c r="D89">
        <v>1.4014E-2</v>
      </c>
      <c r="E89">
        <v>23.64</v>
      </c>
      <c r="F89">
        <v>1</v>
      </c>
      <c r="G89">
        <v>7.2585046291351304E-2</v>
      </c>
      <c r="H89">
        <v>521.29329331630299</v>
      </c>
      <c r="I89">
        <v>62.788099934583101</v>
      </c>
      <c r="K89">
        <v>7.0840045809745789E-2</v>
      </c>
      <c r="L89" s="2">
        <f t="shared" si="3"/>
        <v>-2.4040771078400995</v>
      </c>
      <c r="N89">
        <v>61.431968688964837</v>
      </c>
      <c r="O89">
        <v>517.5635986328125</v>
      </c>
      <c r="P89" s="2">
        <f t="shared" si="4"/>
        <v>-2.1598539325623398</v>
      </c>
      <c r="Q89" s="2">
        <f t="shared" si="5"/>
        <v>-0.71546953151139847</v>
      </c>
    </row>
    <row r="90" spans="1:17" x14ac:dyDescent="0.3">
      <c r="A90" t="s">
        <v>102</v>
      </c>
      <c r="B90">
        <v>86.8</v>
      </c>
      <c r="C90">
        <v>123.2</v>
      </c>
      <c r="D90">
        <v>1.7306999999999999E-2</v>
      </c>
      <c r="E90">
        <v>20</v>
      </c>
      <c r="F90">
        <v>1</v>
      </c>
      <c r="G90">
        <v>8.26005339622497E-2</v>
      </c>
      <c r="H90">
        <v>502.45649666255099</v>
      </c>
      <c r="I90">
        <v>91.913824404707199</v>
      </c>
      <c r="K90">
        <v>9.0564444661140442E-2</v>
      </c>
      <c r="L90" s="2">
        <f t="shared" si="3"/>
        <v>9.6414760496953047</v>
      </c>
      <c r="N90">
        <v>92.258560180664063</v>
      </c>
      <c r="O90">
        <v>499.96026611328119</v>
      </c>
      <c r="P90" s="2">
        <f t="shared" si="4"/>
        <v>0.37506411923298039</v>
      </c>
      <c r="Q90" s="2">
        <f t="shared" si="5"/>
        <v>-0.49680530868849748</v>
      </c>
    </row>
    <row r="91" spans="1:17" x14ac:dyDescent="0.3">
      <c r="A91" t="s">
        <v>103</v>
      </c>
      <c r="B91">
        <v>63</v>
      </c>
      <c r="C91">
        <v>116.4</v>
      </c>
      <c r="D91">
        <v>1.3702000000000001E-2</v>
      </c>
      <c r="E91">
        <v>24.51</v>
      </c>
      <c r="F91">
        <v>1</v>
      </c>
      <c r="G91">
        <v>6.9854475557804094E-2</v>
      </c>
      <c r="H91">
        <v>526.68513026576397</v>
      </c>
      <c r="I91">
        <v>58.872820420694602</v>
      </c>
      <c r="K91">
        <v>6.8957440555095673E-2</v>
      </c>
      <c r="L91" s="2">
        <f t="shared" si="3"/>
        <v>-1.2841482174841194</v>
      </c>
      <c r="N91">
        <v>59.053493499755859</v>
      </c>
      <c r="O91">
        <v>522.90081787109375</v>
      </c>
      <c r="P91" s="2">
        <f t="shared" si="4"/>
        <v>0.30688707925015352</v>
      </c>
      <c r="Q91" s="2">
        <f t="shared" si="5"/>
        <v>-0.71851513878143269</v>
      </c>
    </row>
    <row r="92" spans="1:17" x14ac:dyDescent="0.3">
      <c r="A92" t="s">
        <v>104</v>
      </c>
      <c r="B92">
        <v>57.6</v>
      </c>
      <c r="C92">
        <v>112.8</v>
      </c>
      <c r="D92">
        <v>1.6404999999999999E-2</v>
      </c>
      <c r="E92">
        <v>35</v>
      </c>
      <c r="F92">
        <v>1</v>
      </c>
      <c r="G92">
        <v>8.6430191993713296E-2</v>
      </c>
      <c r="H92">
        <v>588.48497875128896</v>
      </c>
      <c r="I92">
        <v>51.295106199264403</v>
      </c>
      <c r="K92">
        <v>8.6595170199871063E-2</v>
      </c>
      <c r="L92" s="2">
        <f t="shared" si="3"/>
        <v>0.19088029582274638</v>
      </c>
      <c r="N92">
        <v>52.500148773193359</v>
      </c>
      <c r="O92">
        <v>587.41131591796875</v>
      </c>
      <c r="P92" s="2">
        <f t="shared" si="4"/>
        <v>2.3492349723339445</v>
      </c>
      <c r="Q92" s="2">
        <f t="shared" si="5"/>
        <v>-0.18244524025038453</v>
      </c>
    </row>
    <row r="93" spans="1:17" x14ac:dyDescent="0.3">
      <c r="A93" t="s">
        <v>105</v>
      </c>
      <c r="B93">
        <v>66.900000000000006</v>
      </c>
      <c r="C93">
        <v>128.30000000000001</v>
      </c>
      <c r="D93">
        <v>1.1594999999999999E-2</v>
      </c>
      <c r="E93">
        <v>20</v>
      </c>
      <c r="F93">
        <v>1</v>
      </c>
      <c r="G93">
        <v>5.3189139813184703E-2</v>
      </c>
      <c r="H93">
        <v>505.306570202584</v>
      </c>
      <c r="I93">
        <v>63.585951587088203</v>
      </c>
      <c r="K93">
        <v>5.5963817983865738E-2</v>
      </c>
      <c r="L93" s="2">
        <f t="shared" si="3"/>
        <v>5.2166253871118968</v>
      </c>
      <c r="N93">
        <v>65.999778747558594</v>
      </c>
      <c r="O93">
        <v>498.84286499023438</v>
      </c>
      <c r="P93" s="2">
        <f t="shared" si="4"/>
        <v>3.7961642473249442</v>
      </c>
      <c r="Q93" s="2">
        <f t="shared" si="5"/>
        <v>-1.279165083833808</v>
      </c>
    </row>
    <row r="94" spans="1:17" x14ac:dyDescent="0.3">
      <c r="A94" t="s">
        <v>106</v>
      </c>
      <c r="B94">
        <v>57</v>
      </c>
      <c r="C94">
        <v>118.3</v>
      </c>
      <c r="D94">
        <v>1.1374E-2</v>
      </c>
      <c r="E94">
        <v>23.82</v>
      </c>
      <c r="F94">
        <v>1</v>
      </c>
      <c r="G94">
        <v>5.6302104145288398E-2</v>
      </c>
      <c r="H94">
        <v>523.24054130509103</v>
      </c>
      <c r="I94">
        <v>50.774830981522797</v>
      </c>
      <c r="K94">
        <v>5.6834954768419273E-2</v>
      </c>
      <c r="L94" s="2">
        <f t="shared" si="3"/>
        <v>0.94641333786717086</v>
      </c>
      <c r="N94">
        <v>52.222640991210938</v>
      </c>
      <c r="O94">
        <v>520.67315673828125</v>
      </c>
      <c r="P94" s="2">
        <f t="shared" si="4"/>
        <v>2.8514324552158641</v>
      </c>
      <c r="Q94" s="2">
        <f t="shared" si="5"/>
        <v>-0.49067003875618809</v>
      </c>
    </row>
    <row r="95" spans="1:17" x14ac:dyDescent="0.3">
      <c r="A95" t="s">
        <v>107</v>
      </c>
      <c r="B95">
        <v>79</v>
      </c>
      <c r="C95">
        <v>130</v>
      </c>
      <c r="D95">
        <v>1.5164E-2</v>
      </c>
      <c r="E95">
        <v>21.6</v>
      </c>
      <c r="F95">
        <v>1</v>
      </c>
      <c r="G95">
        <v>6.8164005875587394E-2</v>
      </c>
      <c r="H95">
        <v>516.02829180160199</v>
      </c>
      <c r="I95">
        <v>76.990848504965399</v>
      </c>
      <c r="K95">
        <v>7.3819182813167572E-2</v>
      </c>
      <c r="L95" s="2">
        <f t="shared" si="3"/>
        <v>8.2964269264074346</v>
      </c>
      <c r="N95">
        <v>79.438919067382813</v>
      </c>
      <c r="O95">
        <v>510.65087890625</v>
      </c>
      <c r="P95" s="2">
        <f t="shared" si="4"/>
        <v>3.1796903267789411</v>
      </c>
      <c r="Q95" s="2">
        <f t="shared" si="5"/>
        <v>-1.0420771459211882</v>
      </c>
    </row>
    <row r="96" spans="1:17" x14ac:dyDescent="0.3">
      <c r="A96" t="s">
        <v>108</v>
      </c>
      <c r="B96">
        <v>68.900000000000006</v>
      </c>
      <c r="C96">
        <v>101.9</v>
      </c>
      <c r="D96">
        <v>1.4256E-2</v>
      </c>
      <c r="E96">
        <v>20</v>
      </c>
      <c r="F96">
        <v>1</v>
      </c>
      <c r="G96">
        <v>0.12500944733619601</v>
      </c>
      <c r="H96">
        <v>496.22429819718502</v>
      </c>
      <c r="I96">
        <v>72.479101926019197</v>
      </c>
      <c r="K96">
        <v>0.1202161833643913</v>
      </c>
      <c r="L96" s="2">
        <f t="shared" si="3"/>
        <v>-3.8343213844581494</v>
      </c>
      <c r="N96">
        <v>73.375595092773438</v>
      </c>
      <c r="O96">
        <v>493.34323120117188</v>
      </c>
      <c r="P96" s="2">
        <f t="shared" si="4"/>
        <v>1.236898834189899</v>
      </c>
      <c r="Q96" s="2">
        <f t="shared" si="5"/>
        <v>-0.58059772697150236</v>
      </c>
    </row>
    <row r="97" spans="1:17" x14ac:dyDescent="0.3">
      <c r="A97" t="s">
        <v>109</v>
      </c>
      <c r="B97">
        <v>72.099999999999994</v>
      </c>
      <c r="C97">
        <v>113.2</v>
      </c>
      <c r="D97">
        <v>1.4482999999999999E-2</v>
      </c>
      <c r="E97">
        <v>20</v>
      </c>
      <c r="F97">
        <v>1</v>
      </c>
      <c r="G97">
        <v>8.1727817654609597E-2</v>
      </c>
      <c r="H97">
        <v>498.60087545102499</v>
      </c>
      <c r="I97">
        <v>73.916271442071803</v>
      </c>
      <c r="K97">
        <v>7.9258367419242859E-2</v>
      </c>
      <c r="L97" s="2">
        <f t="shared" si="3"/>
        <v>-3.021554112460088</v>
      </c>
      <c r="N97">
        <v>72.442741394042969</v>
      </c>
      <c r="O97">
        <v>493.83486938476563</v>
      </c>
      <c r="P97" s="2">
        <f t="shared" si="4"/>
        <v>-1.9935124151705084</v>
      </c>
      <c r="Q97" s="2">
        <f t="shared" si="5"/>
        <v>-0.95587599238531729</v>
      </c>
    </row>
    <row r="98" spans="1:17" x14ac:dyDescent="0.3">
      <c r="A98" t="s">
        <v>110</v>
      </c>
      <c r="B98">
        <v>68.3</v>
      </c>
      <c r="C98">
        <v>110.8</v>
      </c>
      <c r="D98">
        <v>1.3598000000000001E-2</v>
      </c>
      <c r="E98">
        <v>20</v>
      </c>
      <c r="F98">
        <v>1</v>
      </c>
      <c r="G98">
        <v>8.1859767436981201E-2</v>
      </c>
      <c r="H98">
        <v>497.94348305032503</v>
      </c>
      <c r="I98">
        <v>69.111749536193898</v>
      </c>
      <c r="K98">
        <v>7.8807570040225983E-2</v>
      </c>
      <c r="L98" s="2">
        <f t="shared" si="3"/>
        <v>-3.728568370420692</v>
      </c>
      <c r="N98">
        <v>67.506912231445313</v>
      </c>
      <c r="O98">
        <v>492.01119995117188</v>
      </c>
      <c r="P98" s="2">
        <f t="shared" si="4"/>
        <v>-2.3220904050593165</v>
      </c>
      <c r="Q98" s="2">
        <f t="shared" si="5"/>
        <v>-1.1913567103665863</v>
      </c>
    </row>
    <row r="99" spans="1:17" x14ac:dyDescent="0.3">
      <c r="A99" t="s">
        <v>111</v>
      </c>
      <c r="B99">
        <v>59.7</v>
      </c>
      <c r="C99">
        <v>100</v>
      </c>
      <c r="D99">
        <v>1.602E-2</v>
      </c>
      <c r="E99">
        <v>29.85</v>
      </c>
      <c r="F99">
        <v>1.26</v>
      </c>
      <c r="G99">
        <v>0.15524326264858199</v>
      </c>
      <c r="H99">
        <v>604.82311844261199</v>
      </c>
      <c r="I99">
        <v>61.577980923172802</v>
      </c>
      <c r="K99">
        <v>0.1487912833690643</v>
      </c>
      <c r="L99" s="2">
        <f t="shared" si="3"/>
        <v>-4.1560446292105908</v>
      </c>
      <c r="N99">
        <v>60.364891052246087</v>
      </c>
      <c r="O99">
        <v>602.07403564453125</v>
      </c>
      <c r="P99" s="2">
        <f t="shared" si="4"/>
        <v>-1.9700059221496984</v>
      </c>
      <c r="Q99" s="2">
        <f t="shared" si="5"/>
        <v>-0.45452673918276809</v>
      </c>
    </row>
    <row r="100" spans="1:17" x14ac:dyDescent="0.3">
      <c r="A100" t="s">
        <v>112</v>
      </c>
      <c r="B100">
        <v>88</v>
      </c>
      <c r="C100">
        <v>118.5</v>
      </c>
      <c r="D100">
        <v>1.8526000000000001E-2</v>
      </c>
      <c r="E100">
        <v>20.37</v>
      </c>
      <c r="F100">
        <v>1</v>
      </c>
      <c r="G100">
        <v>9.3725405633449499E-2</v>
      </c>
      <c r="H100">
        <v>502.61778390802402</v>
      </c>
      <c r="I100">
        <v>94.574219217995903</v>
      </c>
      <c r="K100">
        <v>0.10246983915567399</v>
      </c>
      <c r="L100" s="2">
        <f t="shared" si="3"/>
        <v>9.3298433473023135</v>
      </c>
      <c r="N100">
        <v>95.242546081542969</v>
      </c>
      <c r="O100">
        <v>501.3109130859375</v>
      </c>
      <c r="P100" s="2">
        <f t="shared" si="4"/>
        <v>0.70666918434352122</v>
      </c>
      <c r="Q100" s="2">
        <f t="shared" si="5"/>
        <v>-0.26001284951064779</v>
      </c>
    </row>
    <row r="101" spans="1:17" x14ac:dyDescent="0.3">
      <c r="A101" t="s">
        <v>113</v>
      </c>
      <c r="B101">
        <v>63</v>
      </c>
      <c r="C101">
        <v>130</v>
      </c>
      <c r="D101">
        <v>1.0902999999999999E-2</v>
      </c>
      <c r="E101">
        <v>21.2</v>
      </c>
      <c r="F101">
        <v>1</v>
      </c>
      <c r="G101">
        <v>4.9145683646201997E-2</v>
      </c>
      <c r="H101">
        <v>513.62829180160202</v>
      </c>
      <c r="I101">
        <v>56.544316960637197</v>
      </c>
      <c r="K101">
        <v>5.1164101809263229E-2</v>
      </c>
      <c r="L101" s="2">
        <f t="shared" si="3"/>
        <v>4.1070100430217877</v>
      </c>
      <c r="N101">
        <v>60.4935302734375</v>
      </c>
      <c r="O101">
        <v>506.49822998046881</v>
      </c>
      <c r="P101" s="2">
        <f t="shared" si="4"/>
        <v>6.9842798093210883</v>
      </c>
      <c r="Q101" s="2">
        <f t="shared" si="5"/>
        <v>-1.3881754441765297</v>
      </c>
    </row>
    <row r="102" spans="1:17" x14ac:dyDescent="0.3">
      <c r="A102" t="s">
        <v>114</v>
      </c>
      <c r="B102">
        <v>44.5</v>
      </c>
      <c r="C102">
        <v>118.2</v>
      </c>
      <c r="D102">
        <v>8.5430000000000002E-3</v>
      </c>
      <c r="E102">
        <v>27.89</v>
      </c>
      <c r="F102">
        <v>1</v>
      </c>
      <c r="G102">
        <v>4.1316155344247797E-2</v>
      </c>
      <c r="H102">
        <v>547.62221555156202</v>
      </c>
      <c r="I102">
        <v>33.173590823883799</v>
      </c>
      <c r="K102">
        <v>4.2301438748836517E-2</v>
      </c>
      <c r="L102" s="2">
        <f t="shared" si="3"/>
        <v>2.3847412625383484</v>
      </c>
      <c r="N102">
        <v>34.554916381835938</v>
      </c>
      <c r="O102">
        <v>544.97613525390625</v>
      </c>
      <c r="P102" s="2">
        <f t="shared" si="4"/>
        <v>4.1639313792875061</v>
      </c>
      <c r="Q102" s="2">
        <f t="shared" si="5"/>
        <v>-0.48319447650432784</v>
      </c>
    </row>
    <row r="103" spans="1:17" x14ac:dyDescent="0.3">
      <c r="A103" t="s">
        <v>115</v>
      </c>
      <c r="B103">
        <v>80.2</v>
      </c>
      <c r="C103">
        <v>107.5</v>
      </c>
      <c r="D103">
        <v>2.7030999999999999E-2</v>
      </c>
      <c r="E103">
        <v>35</v>
      </c>
      <c r="F103">
        <v>1.01</v>
      </c>
      <c r="G103">
        <v>0.170322701334953</v>
      </c>
      <c r="H103">
        <v>589.40650138572801</v>
      </c>
      <c r="I103">
        <v>83.678000627894704</v>
      </c>
      <c r="K103">
        <v>0.130027711391449</v>
      </c>
      <c r="L103" s="2">
        <f t="shared" si="3"/>
        <v>-23.658026574074075</v>
      </c>
      <c r="N103">
        <v>80.3924560546875</v>
      </c>
      <c r="O103">
        <v>591.39776611328125</v>
      </c>
      <c r="P103" s="2">
        <f t="shared" si="4"/>
        <v>-3.9264138107429187</v>
      </c>
      <c r="Q103" s="2">
        <f t="shared" si="5"/>
        <v>0.33784234189335671</v>
      </c>
    </row>
    <row r="104" spans="1:17" x14ac:dyDescent="0.3">
      <c r="A104" t="s">
        <v>116</v>
      </c>
      <c r="B104">
        <v>56.9</v>
      </c>
      <c r="C104">
        <v>111.8</v>
      </c>
      <c r="D104">
        <v>1.0335E-2</v>
      </c>
      <c r="E104">
        <v>20</v>
      </c>
      <c r="F104">
        <v>1</v>
      </c>
      <c r="G104">
        <v>6.0478903353214201E-2</v>
      </c>
      <c r="H104">
        <v>498.20643448158398</v>
      </c>
      <c r="I104">
        <v>52.506360181124698</v>
      </c>
      <c r="K104">
        <v>5.7190511375665658E-2</v>
      </c>
      <c r="L104" s="2">
        <f t="shared" si="3"/>
        <v>-5.4372546379410824</v>
      </c>
      <c r="N104">
        <v>52.253860473632813</v>
      </c>
      <c r="O104">
        <v>494.041015625</v>
      </c>
      <c r="P104" s="2">
        <f t="shared" si="4"/>
        <v>-0.48089356531450428</v>
      </c>
      <c r="Q104" s="2">
        <f t="shared" si="5"/>
        <v>-0.83608291027360382</v>
      </c>
    </row>
    <row r="105" spans="1:17" x14ac:dyDescent="0.3">
      <c r="A105" t="s">
        <v>117</v>
      </c>
      <c r="B105">
        <v>67.099999999999994</v>
      </c>
      <c r="C105">
        <v>115.6</v>
      </c>
      <c r="D105">
        <v>1.5195999999999999E-2</v>
      </c>
      <c r="E105">
        <v>24.74</v>
      </c>
      <c r="F105">
        <v>1</v>
      </c>
      <c r="G105">
        <v>7.8650616109371102E-2</v>
      </c>
      <c r="H105">
        <v>527.79234926537595</v>
      </c>
      <c r="I105">
        <v>64.959098445052106</v>
      </c>
      <c r="K105">
        <v>7.7553525567054749E-2</v>
      </c>
      <c r="L105" s="2">
        <f t="shared" si="3"/>
        <v>-1.3948912247435488</v>
      </c>
      <c r="N105">
        <v>64.331146240234375</v>
      </c>
      <c r="O105">
        <v>523.5943603515625</v>
      </c>
      <c r="P105" s="2">
        <f t="shared" si="4"/>
        <v>-0.96668860844629223</v>
      </c>
      <c r="Q105" s="2">
        <f t="shared" si="5"/>
        <v>-0.79538646584334671</v>
      </c>
    </row>
    <row r="106" spans="1:17" x14ac:dyDescent="0.3">
      <c r="A106" t="s">
        <v>118</v>
      </c>
      <c r="B106">
        <v>49.3</v>
      </c>
      <c r="C106">
        <v>113.1</v>
      </c>
      <c r="D106">
        <v>8.1469999999999997E-3</v>
      </c>
      <c r="E106">
        <v>20</v>
      </c>
      <c r="F106">
        <v>1</v>
      </c>
      <c r="G106">
        <v>4.6102195978164603E-2</v>
      </c>
      <c r="H106">
        <v>498.57165791054598</v>
      </c>
      <c r="I106">
        <v>41.573059003784799</v>
      </c>
      <c r="K106">
        <v>4.5509178191423423E-2</v>
      </c>
      <c r="L106" s="2">
        <f t="shared" si="3"/>
        <v>-1.2863113657797376</v>
      </c>
      <c r="N106">
        <v>43.418880462646477</v>
      </c>
      <c r="O106">
        <v>494.4993896484375</v>
      </c>
      <c r="P106" s="2">
        <f t="shared" si="4"/>
        <v>4.4399462129876834</v>
      </c>
      <c r="Q106" s="2">
        <f t="shared" si="5"/>
        <v>-0.81678695479299157</v>
      </c>
    </row>
    <row r="107" spans="1:17" x14ac:dyDescent="0.3">
      <c r="A107" t="s">
        <v>119</v>
      </c>
      <c r="B107">
        <v>73.2</v>
      </c>
      <c r="C107">
        <v>104.6</v>
      </c>
      <c r="D107">
        <v>1.9864E-2</v>
      </c>
      <c r="E107">
        <v>27.64</v>
      </c>
      <c r="F107">
        <v>1</v>
      </c>
      <c r="G107">
        <v>0.14663591980934099</v>
      </c>
      <c r="H107">
        <v>542.474888914958</v>
      </c>
      <c r="I107">
        <v>76.275124196306393</v>
      </c>
      <c r="K107">
        <v>0.1166713312268257</v>
      </c>
      <c r="L107" s="2">
        <f t="shared" si="3"/>
        <v>-20.434685185918877</v>
      </c>
      <c r="N107">
        <v>72.701591491699219</v>
      </c>
      <c r="O107">
        <v>542.431640625</v>
      </c>
      <c r="P107" s="2">
        <f t="shared" si="4"/>
        <v>-4.685056553182541</v>
      </c>
      <c r="Q107" s="2">
        <f t="shared" si="5"/>
        <v>-7.9724040396606799E-3</v>
      </c>
    </row>
    <row r="108" spans="1:17" x14ac:dyDescent="0.3">
      <c r="A108" t="s">
        <v>120</v>
      </c>
      <c r="B108">
        <v>89.9</v>
      </c>
      <c r="C108">
        <v>103.6</v>
      </c>
      <c r="D108">
        <v>3.1891000000000003E-2</v>
      </c>
      <c r="E108">
        <v>35</v>
      </c>
      <c r="F108">
        <v>1</v>
      </c>
      <c r="G108">
        <v>0.243524014949798</v>
      </c>
      <c r="H108">
        <v>586.47215251421505</v>
      </c>
      <c r="I108">
        <v>99.288629354579498</v>
      </c>
      <c r="K108">
        <v>0.1227805614471436</v>
      </c>
      <c r="L108" s="2">
        <f t="shared" si="3"/>
        <v>-49.581743930899556</v>
      </c>
      <c r="N108">
        <v>89.9180908203125</v>
      </c>
      <c r="O108">
        <v>597.20892333984375</v>
      </c>
      <c r="P108" s="2">
        <f t="shared" si="4"/>
        <v>-9.437675386577185</v>
      </c>
      <c r="Q108" s="2">
        <f t="shared" si="5"/>
        <v>1.8307383870828302</v>
      </c>
    </row>
    <row r="109" spans="1:17" x14ac:dyDescent="0.3">
      <c r="A109" t="s">
        <v>121</v>
      </c>
      <c r="B109">
        <v>49</v>
      </c>
      <c r="C109">
        <v>125.7</v>
      </c>
      <c r="D109">
        <v>8.1670000000000006E-3</v>
      </c>
      <c r="E109">
        <v>23.03</v>
      </c>
      <c r="F109">
        <v>1</v>
      </c>
      <c r="G109">
        <v>3.7222500890493303E-2</v>
      </c>
      <c r="H109">
        <v>521.94404467898801</v>
      </c>
      <c r="I109">
        <v>38.456155374290297</v>
      </c>
      <c r="K109">
        <v>3.8056831806898117E-2</v>
      </c>
      <c r="L109" s="2">
        <f t="shared" si="3"/>
        <v>2.2414692630658357</v>
      </c>
      <c r="N109">
        <v>41.035892486572273</v>
      </c>
      <c r="O109">
        <v>515.54486083984375</v>
      </c>
      <c r="P109" s="2">
        <f t="shared" si="4"/>
        <v>6.7082553811571302</v>
      </c>
      <c r="Q109" s="2">
        <f t="shared" si="5"/>
        <v>-1.2260287102384617</v>
      </c>
    </row>
    <row r="110" spans="1:17" x14ac:dyDescent="0.3">
      <c r="A110" t="s">
        <v>122</v>
      </c>
      <c r="B110">
        <v>80.099999999999994</v>
      </c>
      <c r="C110">
        <v>108.2</v>
      </c>
      <c r="D110">
        <v>2.5704000000000001E-2</v>
      </c>
      <c r="E110">
        <v>33.18</v>
      </c>
      <c r="F110">
        <v>1.05</v>
      </c>
      <c r="G110">
        <v>0.15840533375740001</v>
      </c>
      <c r="H110">
        <v>586.99507863139502</v>
      </c>
      <c r="I110">
        <v>83.954254697837698</v>
      </c>
      <c r="K110">
        <v>0.13450956344604489</v>
      </c>
      <c r="L110" s="2">
        <f t="shared" si="3"/>
        <v>-15.085205620633852</v>
      </c>
      <c r="N110">
        <v>82.672370910644531</v>
      </c>
      <c r="O110">
        <v>587.62518310546875</v>
      </c>
      <c r="P110" s="2">
        <f t="shared" si="4"/>
        <v>-1.5268836484902797</v>
      </c>
      <c r="Q110" s="2">
        <f t="shared" si="5"/>
        <v>0.10734408123878124</v>
      </c>
    </row>
    <row r="111" spans="1:17" x14ac:dyDescent="0.3">
      <c r="A111" t="s">
        <v>123</v>
      </c>
      <c r="B111">
        <v>74.8</v>
      </c>
      <c r="C111">
        <v>130</v>
      </c>
      <c r="D111">
        <v>1.7957000000000001E-2</v>
      </c>
      <c r="E111">
        <v>29.69</v>
      </c>
      <c r="F111">
        <v>1</v>
      </c>
      <c r="G111">
        <v>7.6996400952339103E-2</v>
      </c>
      <c r="H111">
        <v>564.56829180160196</v>
      </c>
      <c r="I111">
        <v>68.144725494426794</v>
      </c>
      <c r="K111">
        <v>8.3178304135799408E-2</v>
      </c>
      <c r="L111" s="2">
        <f t="shared" si="3"/>
        <v>8.0288209669526154</v>
      </c>
      <c r="N111">
        <v>71.334793090820313</v>
      </c>
      <c r="O111">
        <v>562.54833984375</v>
      </c>
      <c r="P111" s="2">
        <f t="shared" si="4"/>
        <v>4.6813125641755171</v>
      </c>
      <c r="Q111" s="2">
        <f t="shared" si="5"/>
        <v>-0.35778700064894914</v>
      </c>
    </row>
    <row r="112" spans="1:17" x14ac:dyDescent="0.3">
      <c r="A112" t="s">
        <v>124</v>
      </c>
      <c r="B112">
        <v>65.599999999999994</v>
      </c>
      <c r="C112">
        <v>116.2</v>
      </c>
      <c r="D112">
        <v>1.8141999999999998E-2</v>
      </c>
      <c r="E112">
        <v>32.21</v>
      </c>
      <c r="F112">
        <v>1</v>
      </c>
      <c r="G112">
        <v>8.9221052825450897E-2</v>
      </c>
      <c r="H112">
        <v>572.81585194352704</v>
      </c>
      <c r="I112">
        <v>61.319344935212399</v>
      </c>
      <c r="K112">
        <v>9.060843288898468E-2</v>
      </c>
      <c r="L112" s="2">
        <f t="shared" si="3"/>
        <v>1.5549918092179513</v>
      </c>
      <c r="N112">
        <v>62.206912994384773</v>
      </c>
      <c r="O112">
        <v>569.72381591796875</v>
      </c>
      <c r="P112" s="2">
        <f t="shared" si="4"/>
        <v>1.4474519584482564</v>
      </c>
      <c r="Q112" s="2">
        <f t="shared" si="5"/>
        <v>-0.53979582008200522</v>
      </c>
    </row>
    <row r="113" spans="1:17" x14ac:dyDescent="0.3">
      <c r="A113" t="s">
        <v>125</v>
      </c>
      <c r="B113">
        <v>53.6</v>
      </c>
      <c r="C113">
        <v>130</v>
      </c>
      <c r="D113">
        <v>9.8289999999999992E-3</v>
      </c>
      <c r="E113">
        <v>25.66</v>
      </c>
      <c r="F113">
        <v>1</v>
      </c>
      <c r="G113">
        <v>4.3033771216869299E-2</v>
      </c>
      <c r="H113">
        <v>540.38829180160201</v>
      </c>
      <c r="I113">
        <v>42.566577111212403</v>
      </c>
      <c r="K113">
        <v>4.5678097754716873E-2</v>
      </c>
      <c r="L113" s="2">
        <f t="shared" si="3"/>
        <v>6.144770637277996</v>
      </c>
      <c r="N113">
        <v>45.934726715087891</v>
      </c>
      <c r="O113">
        <v>532.90472412109375</v>
      </c>
      <c r="P113" s="2">
        <f t="shared" si="4"/>
        <v>7.9126625452538155</v>
      </c>
      <c r="Q113" s="2">
        <f t="shared" si="5"/>
        <v>-1.3848500779983171</v>
      </c>
    </row>
    <row r="114" spans="1:17" x14ac:dyDescent="0.3">
      <c r="A114" t="s">
        <v>126</v>
      </c>
      <c r="B114">
        <v>68.8</v>
      </c>
      <c r="C114">
        <v>130</v>
      </c>
      <c r="D114">
        <v>1.5469999999999999E-2</v>
      </c>
      <c r="E114">
        <v>28.47</v>
      </c>
      <c r="F114">
        <v>1</v>
      </c>
      <c r="G114">
        <v>6.6732741892337799E-2</v>
      </c>
      <c r="H114">
        <v>557.24829180160202</v>
      </c>
      <c r="I114">
        <v>61.321010118177099</v>
      </c>
      <c r="K114">
        <v>7.6536267995834351E-2</v>
      </c>
      <c r="L114" s="2">
        <f t="shared" si="3"/>
        <v>14.690728756976467</v>
      </c>
      <c r="N114">
        <v>65.607086181640625</v>
      </c>
      <c r="O114">
        <v>554.41290283203125</v>
      </c>
      <c r="P114" s="2">
        <f t="shared" si="4"/>
        <v>6.9895718534372682</v>
      </c>
      <c r="Q114" s="2">
        <f t="shared" si="5"/>
        <v>-0.50881967899872182</v>
      </c>
    </row>
    <row r="115" spans="1:17" x14ac:dyDescent="0.3">
      <c r="A115" t="s">
        <v>127</v>
      </c>
      <c r="B115">
        <v>59.9</v>
      </c>
      <c r="C115">
        <v>123.2</v>
      </c>
      <c r="D115">
        <v>1.0340999999999999E-2</v>
      </c>
      <c r="E115">
        <v>20</v>
      </c>
      <c r="F115">
        <v>1</v>
      </c>
      <c r="G115">
        <v>4.9335118383169098E-2</v>
      </c>
      <c r="H115">
        <v>502.45649666255099</v>
      </c>
      <c r="I115">
        <v>54.9005184696519</v>
      </c>
      <c r="K115">
        <v>4.983813688158989E-2</v>
      </c>
      <c r="L115" s="2">
        <f t="shared" si="3"/>
        <v>1.0195951989291236</v>
      </c>
      <c r="N115">
        <v>55.841407775878913</v>
      </c>
      <c r="O115">
        <v>497.38320922851563</v>
      </c>
      <c r="P115" s="2">
        <f t="shared" si="4"/>
        <v>1.7138076878948274</v>
      </c>
      <c r="Q115" s="2">
        <f t="shared" si="5"/>
        <v>-1.0096968529083576</v>
      </c>
    </row>
    <row r="116" spans="1:17" x14ac:dyDescent="0.3">
      <c r="A116" t="s">
        <v>128</v>
      </c>
      <c r="B116">
        <v>75.8</v>
      </c>
      <c r="C116">
        <v>113.2</v>
      </c>
      <c r="D116">
        <v>1.6906000000000001E-2</v>
      </c>
      <c r="E116">
        <v>22.39</v>
      </c>
      <c r="F116">
        <v>1</v>
      </c>
      <c r="G116">
        <v>9.3809477984905201E-2</v>
      </c>
      <c r="H116">
        <v>512.940875451024</v>
      </c>
      <c r="I116">
        <v>78.222601895415295</v>
      </c>
      <c r="K116">
        <v>9.2335768043994904E-2</v>
      </c>
      <c r="L116" s="2">
        <f t="shared" si="3"/>
        <v>-1.5709606028800533</v>
      </c>
      <c r="N116">
        <v>76.99139404296875</v>
      </c>
      <c r="O116">
        <v>510.17361450195313</v>
      </c>
      <c r="P116" s="2">
        <f t="shared" si="4"/>
        <v>-1.5739796716205974</v>
      </c>
      <c r="Q116" s="2">
        <f t="shared" si="5"/>
        <v>-0.53948926309248557</v>
      </c>
    </row>
    <row r="117" spans="1:17" x14ac:dyDescent="0.3">
      <c r="A117" t="s">
        <v>129</v>
      </c>
      <c r="B117">
        <v>87.6</v>
      </c>
      <c r="C117">
        <v>130</v>
      </c>
      <c r="D117">
        <v>2.0683E-2</v>
      </c>
      <c r="E117">
        <v>27.2</v>
      </c>
      <c r="F117">
        <v>1</v>
      </c>
      <c r="G117">
        <v>8.9790627360343905E-2</v>
      </c>
      <c r="H117">
        <v>549.62829180160202</v>
      </c>
      <c r="I117">
        <v>85.096913981858506</v>
      </c>
      <c r="K117">
        <v>8.9158527553081512E-2</v>
      </c>
      <c r="L117" s="2">
        <f t="shared" si="3"/>
        <v>-0.70397081058992605</v>
      </c>
      <c r="N117">
        <v>84.98760986328125</v>
      </c>
      <c r="O117">
        <v>546.8592529296875</v>
      </c>
      <c r="P117" s="2">
        <f t="shared" si="4"/>
        <v>-0.12844663039197687</v>
      </c>
      <c r="Q117" s="2">
        <f t="shared" si="5"/>
        <v>-0.5038020992038108</v>
      </c>
    </row>
    <row r="118" spans="1:17" x14ac:dyDescent="0.3">
      <c r="A118" t="s">
        <v>130</v>
      </c>
      <c r="B118">
        <v>56.8</v>
      </c>
      <c r="C118">
        <v>119</v>
      </c>
      <c r="D118">
        <v>1.1073E-2</v>
      </c>
      <c r="E118">
        <v>23.32</v>
      </c>
      <c r="F118">
        <v>1</v>
      </c>
      <c r="G118">
        <v>5.4367024451494203E-2</v>
      </c>
      <c r="H118">
        <v>520.51437582907897</v>
      </c>
      <c r="I118">
        <v>50.572133571077302</v>
      </c>
      <c r="K118">
        <v>5.4761212319135673E-2</v>
      </c>
      <c r="L118" s="2">
        <f t="shared" si="3"/>
        <v>0.72504955277285932</v>
      </c>
      <c r="N118">
        <v>51.950813293457031</v>
      </c>
      <c r="O118">
        <v>518.018310546875</v>
      </c>
      <c r="P118" s="2">
        <f t="shared" si="4"/>
        <v>2.7261648362967423</v>
      </c>
      <c r="Q118" s="2">
        <f t="shared" si="5"/>
        <v>-0.47953820261510005</v>
      </c>
    </row>
    <row r="119" spans="1:17" x14ac:dyDescent="0.3">
      <c r="A119" t="s">
        <v>131</v>
      </c>
      <c r="B119">
        <v>67.400000000000006</v>
      </c>
      <c r="C119">
        <v>115.4</v>
      </c>
      <c r="D119">
        <v>1.5636000000000001E-2</v>
      </c>
      <c r="E119">
        <v>25.38</v>
      </c>
      <c r="F119">
        <v>1</v>
      </c>
      <c r="G119">
        <v>8.0890215933322906E-2</v>
      </c>
      <c r="H119">
        <v>531.56594146114003</v>
      </c>
      <c r="I119">
        <v>65.3590904129276</v>
      </c>
      <c r="K119">
        <v>8.039749413728714E-2</v>
      </c>
      <c r="L119" s="2">
        <f t="shared" si="3"/>
        <v>-0.60912409535649259</v>
      </c>
      <c r="N119">
        <v>64.730247497558594</v>
      </c>
      <c r="O119">
        <v>527.6256103515625</v>
      </c>
      <c r="P119" s="2">
        <f t="shared" si="4"/>
        <v>-0.9621353531637048</v>
      </c>
      <c r="Q119" s="2">
        <f t="shared" si="5"/>
        <v>-0.74126854304219647</v>
      </c>
    </row>
    <row r="120" spans="1:17" x14ac:dyDescent="0.3">
      <c r="A120" t="s">
        <v>132</v>
      </c>
      <c r="B120">
        <v>84.9</v>
      </c>
      <c r="C120">
        <v>114.7</v>
      </c>
      <c r="D120">
        <v>2.6393E-2</v>
      </c>
      <c r="E120">
        <v>32.65</v>
      </c>
      <c r="F120">
        <v>1</v>
      </c>
      <c r="G120">
        <v>0.13378374278545299</v>
      </c>
      <c r="H120">
        <v>574.95902945414002</v>
      </c>
      <c r="I120">
        <v>87.290283325076601</v>
      </c>
      <c r="K120">
        <v>0.128120481967926</v>
      </c>
      <c r="L120" s="2">
        <f t="shared" si="3"/>
        <v>-4.2331457467213198</v>
      </c>
      <c r="N120">
        <v>86.403610229492188</v>
      </c>
      <c r="O120">
        <v>575.42596435546875</v>
      </c>
      <c r="P120" s="2">
        <f t="shared" si="4"/>
        <v>-1.0157752521920058</v>
      </c>
      <c r="Q120" s="2">
        <f t="shared" si="5"/>
        <v>8.1211856394712234E-2</v>
      </c>
    </row>
    <row r="121" spans="1:17" x14ac:dyDescent="0.3">
      <c r="A121" t="s">
        <v>133</v>
      </c>
      <c r="B121">
        <v>43.7</v>
      </c>
      <c r="C121">
        <v>107.2</v>
      </c>
      <c r="D121">
        <v>7.5690000000000002E-3</v>
      </c>
      <c r="E121">
        <v>23.05</v>
      </c>
      <c r="F121">
        <v>1</v>
      </c>
      <c r="G121">
        <v>5.0642311573028502E-2</v>
      </c>
      <c r="H121">
        <v>515.41897998859804</v>
      </c>
      <c r="I121">
        <v>33.746348481647601</v>
      </c>
      <c r="K121">
        <v>5.1541108638048172E-2</v>
      </c>
      <c r="L121" s="2">
        <f t="shared" si="3"/>
        <v>1.7747947064453484</v>
      </c>
      <c r="N121">
        <v>35.601749420166023</v>
      </c>
      <c r="O121">
        <v>510.56546020507813</v>
      </c>
      <c r="P121" s="2">
        <f t="shared" si="4"/>
        <v>5.4980791167004366</v>
      </c>
      <c r="Q121" s="2">
        <f t="shared" si="5"/>
        <v>-0.94166493124240058</v>
      </c>
    </row>
    <row r="122" spans="1:17" x14ac:dyDescent="0.3">
      <c r="A122" t="s">
        <v>134</v>
      </c>
      <c r="B122">
        <v>77.5</v>
      </c>
      <c r="C122">
        <v>126.5</v>
      </c>
      <c r="D122">
        <v>1.5197E-2</v>
      </c>
      <c r="E122">
        <v>21.37</v>
      </c>
      <c r="F122">
        <v>1</v>
      </c>
      <c r="G122">
        <v>6.9680191576480796E-2</v>
      </c>
      <c r="H122">
        <v>512.43772188235505</v>
      </c>
      <c r="I122">
        <v>78.082990335523803</v>
      </c>
      <c r="K122">
        <v>7.4076540768146515E-2</v>
      </c>
      <c r="L122" s="2">
        <f t="shared" si="3"/>
        <v>6.3093242027618386</v>
      </c>
      <c r="N122">
        <v>77.757743835449219</v>
      </c>
      <c r="O122">
        <v>508.21514892578119</v>
      </c>
      <c r="P122" s="2">
        <f t="shared" si="4"/>
        <v>-0.41653950326056305</v>
      </c>
      <c r="Q122" s="2">
        <f t="shared" si="5"/>
        <v>-0.82401680755720597</v>
      </c>
    </row>
    <row r="123" spans="1:17" x14ac:dyDescent="0.3">
      <c r="A123" t="s">
        <v>135</v>
      </c>
      <c r="B123">
        <v>83.7</v>
      </c>
      <c r="C123">
        <v>105.9</v>
      </c>
      <c r="D123">
        <v>2.8798000000000001E-2</v>
      </c>
      <c r="E123">
        <v>35</v>
      </c>
      <c r="F123">
        <v>1</v>
      </c>
      <c r="G123">
        <v>0.194900408387184</v>
      </c>
      <c r="H123">
        <v>586.86573263685</v>
      </c>
      <c r="I123">
        <v>90.078349145187204</v>
      </c>
      <c r="K123">
        <v>0.12899778783321381</v>
      </c>
      <c r="L123" s="2">
        <f t="shared" si="3"/>
        <v>-33.81348510211933</v>
      </c>
      <c r="N123">
        <v>83.620643615722656</v>
      </c>
      <c r="O123">
        <v>590.83465576171875</v>
      </c>
      <c r="P123" s="2">
        <f t="shared" si="4"/>
        <v>-7.1689874323252685</v>
      </c>
      <c r="Q123" s="2">
        <f t="shared" si="5"/>
        <v>0.67629150999087295</v>
      </c>
    </row>
    <row r="124" spans="1:17" x14ac:dyDescent="0.3">
      <c r="A124" t="s">
        <v>136</v>
      </c>
      <c r="B124">
        <v>64.900000000000006</v>
      </c>
      <c r="C124">
        <v>119.4</v>
      </c>
      <c r="D124">
        <v>1.4359E-2</v>
      </c>
      <c r="E124">
        <v>25.31</v>
      </c>
      <c r="F124">
        <v>1</v>
      </c>
      <c r="G124">
        <v>6.9160751998424502E-2</v>
      </c>
      <c r="H124">
        <v>532.61528836360299</v>
      </c>
      <c r="I124">
        <v>60.915633588850298</v>
      </c>
      <c r="K124">
        <v>7.176276296377182E-2</v>
      </c>
      <c r="L124" s="2">
        <f t="shared" si="3"/>
        <v>3.762265287986736</v>
      </c>
      <c r="N124">
        <v>61.677242279052727</v>
      </c>
      <c r="O124">
        <v>528.1358642578125</v>
      </c>
      <c r="P124" s="2">
        <f t="shared" si="4"/>
        <v>1.2502680269943551</v>
      </c>
      <c r="Q124" s="2">
        <f t="shared" si="5"/>
        <v>-0.84102431973986003</v>
      </c>
    </row>
    <row r="125" spans="1:17" x14ac:dyDescent="0.3">
      <c r="A125" t="s">
        <v>137</v>
      </c>
      <c r="B125">
        <v>44.7</v>
      </c>
      <c r="C125">
        <v>130</v>
      </c>
      <c r="D125">
        <v>7.4060000000000003E-3</v>
      </c>
      <c r="E125">
        <v>26.5</v>
      </c>
      <c r="F125">
        <v>1</v>
      </c>
      <c r="G125">
        <v>3.2275475561618798E-2</v>
      </c>
      <c r="H125">
        <v>545.42829180160197</v>
      </c>
      <c r="I125">
        <v>31.5219601784448</v>
      </c>
      <c r="K125">
        <v>3.5248860716819763E-2</v>
      </c>
      <c r="L125" s="2">
        <f t="shared" si="3"/>
        <v>9.2125215925147863</v>
      </c>
      <c r="N125">
        <v>34.898193359375</v>
      </c>
      <c r="O125">
        <v>537.0745849609375</v>
      </c>
      <c r="P125" s="2">
        <f t="shared" si="4"/>
        <v>10.710733602280609</v>
      </c>
      <c r="Q125" s="2">
        <f t="shared" si="5"/>
        <v>-1.531586638652604</v>
      </c>
    </row>
    <row r="126" spans="1:17" x14ac:dyDescent="0.3">
      <c r="A126" t="s">
        <v>138</v>
      </c>
      <c r="B126">
        <v>84</v>
      </c>
      <c r="C126">
        <v>126.9</v>
      </c>
      <c r="D126">
        <v>2.2206E-2</v>
      </c>
      <c r="E126">
        <v>30.54</v>
      </c>
      <c r="F126">
        <v>1</v>
      </c>
      <c r="G126">
        <v>9.6121683716773904E-2</v>
      </c>
      <c r="H126">
        <v>567.69137434039305</v>
      </c>
      <c r="I126">
        <v>81.998289382421007</v>
      </c>
      <c r="K126">
        <v>9.4615772366523743E-2</v>
      </c>
      <c r="L126" s="2">
        <f t="shared" si="3"/>
        <v>-1.566671839298388</v>
      </c>
      <c r="N126">
        <v>81.138351440429688</v>
      </c>
      <c r="O126">
        <v>566.03594970703125</v>
      </c>
      <c r="P126" s="2">
        <f t="shared" si="4"/>
        <v>-1.0487266849931076</v>
      </c>
      <c r="Q126" s="2">
        <f t="shared" si="5"/>
        <v>-0.29160644466110841</v>
      </c>
    </row>
    <row r="127" spans="1:17" x14ac:dyDescent="0.3">
      <c r="A127" t="s">
        <v>139</v>
      </c>
      <c r="B127">
        <v>52.6</v>
      </c>
      <c r="C127">
        <v>121.1</v>
      </c>
      <c r="D127">
        <v>8.7939999999999997E-3</v>
      </c>
      <c r="E127">
        <v>20.62</v>
      </c>
      <c r="F127">
        <v>1</v>
      </c>
      <c r="G127">
        <v>4.2749401181936202E-2</v>
      </c>
      <c r="H127">
        <v>505.19658613061802</v>
      </c>
      <c r="I127">
        <v>44.9537446260493</v>
      </c>
      <c r="K127">
        <v>4.3143268674612052E-2</v>
      </c>
      <c r="L127" s="2">
        <f t="shared" si="3"/>
        <v>0.92134037386769219</v>
      </c>
      <c r="N127">
        <v>46.830509185791023</v>
      </c>
      <c r="O127">
        <v>501.10470581054688</v>
      </c>
      <c r="P127" s="2">
        <f t="shared" si="4"/>
        <v>4.1748792572314342</v>
      </c>
      <c r="Q127" s="2">
        <f t="shared" si="5"/>
        <v>-0.80995803067703021</v>
      </c>
    </row>
    <row r="128" spans="1:17" x14ac:dyDescent="0.3">
      <c r="A128" t="s">
        <v>140</v>
      </c>
      <c r="B128">
        <v>75.3</v>
      </c>
      <c r="C128">
        <v>118.1</v>
      </c>
      <c r="D128">
        <v>1.8034999999999999E-2</v>
      </c>
      <c r="E128">
        <v>25.62</v>
      </c>
      <c r="F128">
        <v>1</v>
      </c>
      <c r="G128">
        <v>8.8503807783126803E-2</v>
      </c>
      <c r="H128">
        <v>533.96408578010596</v>
      </c>
      <c r="I128">
        <v>75.194428421077305</v>
      </c>
      <c r="K128">
        <v>8.7747849524021149E-2</v>
      </c>
      <c r="L128" s="2">
        <f t="shared" si="3"/>
        <v>-0.85415337265271596</v>
      </c>
      <c r="N128">
        <v>74.225074768066406</v>
      </c>
      <c r="O128">
        <v>531.0762939453125</v>
      </c>
      <c r="P128" s="2">
        <f t="shared" si="4"/>
        <v>-1.289129624847557</v>
      </c>
      <c r="Q128" s="2">
        <f t="shared" si="5"/>
        <v>-0.54082136078018828</v>
      </c>
    </row>
    <row r="129" spans="1:17" x14ac:dyDescent="0.3">
      <c r="A129" t="s">
        <v>141</v>
      </c>
      <c r="B129">
        <v>46.6</v>
      </c>
      <c r="C129">
        <v>107.3</v>
      </c>
      <c r="D129">
        <v>9.5659999999999999E-3</v>
      </c>
      <c r="E129">
        <v>26.75</v>
      </c>
      <c r="F129">
        <v>1</v>
      </c>
      <c r="G129">
        <v>6.2630735337734195E-2</v>
      </c>
      <c r="H129">
        <v>537.63940869575504</v>
      </c>
      <c r="I129">
        <v>37.667601429016599</v>
      </c>
      <c r="K129">
        <v>6.4086228609085083E-2</v>
      </c>
      <c r="L129" s="2">
        <f t="shared" si="3"/>
        <v>2.3239281217156216</v>
      </c>
      <c r="N129">
        <v>38.639274597167969</v>
      </c>
      <c r="O129">
        <v>535.00872802734375</v>
      </c>
      <c r="P129" s="2">
        <f t="shared" si="4"/>
        <v>2.5795992611381338</v>
      </c>
      <c r="Q129" s="2">
        <f t="shared" si="5"/>
        <v>-0.48930205373021007</v>
      </c>
    </row>
    <row r="130" spans="1:17" x14ac:dyDescent="0.3">
      <c r="A130" t="s">
        <v>142</v>
      </c>
      <c r="B130">
        <v>53.9</v>
      </c>
      <c r="C130">
        <v>125</v>
      </c>
      <c r="D130">
        <v>8.6470000000000002E-3</v>
      </c>
      <c r="E130">
        <v>20</v>
      </c>
      <c r="F130">
        <v>1</v>
      </c>
      <c r="G130">
        <v>4.0573220700025503E-2</v>
      </c>
      <c r="H130">
        <v>503.38151458105199</v>
      </c>
      <c r="I130">
        <v>46.768296745493501</v>
      </c>
      <c r="K130">
        <v>4.083218052983284E-2</v>
      </c>
      <c r="L130" s="2">
        <f t="shared" si="3"/>
        <v>0.63825307761967798</v>
      </c>
      <c r="N130">
        <v>48.020294189453118</v>
      </c>
      <c r="O130">
        <v>498.14886474609381</v>
      </c>
      <c r="P130" s="2">
        <f t="shared" si="4"/>
        <v>2.6770216815309977</v>
      </c>
      <c r="Q130" s="2">
        <f t="shared" si="5"/>
        <v>-1.0394997995333908</v>
      </c>
    </row>
    <row r="131" spans="1:17" x14ac:dyDescent="0.3">
      <c r="A131" t="s">
        <v>143</v>
      </c>
      <c r="B131">
        <v>44.8</v>
      </c>
      <c r="C131">
        <v>130</v>
      </c>
      <c r="D131">
        <v>9.2759999999999995E-3</v>
      </c>
      <c r="E131">
        <v>35</v>
      </c>
      <c r="F131">
        <v>1.1100000000000001</v>
      </c>
      <c r="G131">
        <v>3.8922406733036E-2</v>
      </c>
      <c r="H131">
        <v>621.25142942352204</v>
      </c>
      <c r="I131">
        <v>31.423006198999499</v>
      </c>
      <c r="K131">
        <v>4.3929744511842728E-2</v>
      </c>
      <c r="L131" s="2">
        <f t="shared" si="3"/>
        <v>12.864923315640375</v>
      </c>
      <c r="N131">
        <v>34.373138427734382</v>
      </c>
      <c r="O131">
        <v>612.7249755859375</v>
      </c>
      <c r="P131" s="2">
        <f t="shared" si="4"/>
        <v>9.3884468279448541</v>
      </c>
      <c r="Q131" s="2">
        <f t="shared" si="5"/>
        <v>-1.3724642606450812</v>
      </c>
    </row>
    <row r="132" spans="1:17" x14ac:dyDescent="0.3">
      <c r="A132" t="s">
        <v>144</v>
      </c>
      <c r="B132">
        <v>46.3</v>
      </c>
      <c r="C132">
        <v>118.4</v>
      </c>
      <c r="D132">
        <v>8.7019999999999997E-3</v>
      </c>
      <c r="E132">
        <v>26.19</v>
      </c>
      <c r="F132">
        <v>1</v>
      </c>
      <c r="G132">
        <v>4.2383220046758603E-2</v>
      </c>
      <c r="H132">
        <v>537.49906382667302</v>
      </c>
      <c r="I132">
        <v>35.681850034622499</v>
      </c>
      <c r="K132">
        <v>4.2861700057983398E-2</v>
      </c>
      <c r="L132" s="2">
        <f t="shared" si="3"/>
        <v>1.1289373735570822</v>
      </c>
      <c r="N132">
        <v>37.392257690429688</v>
      </c>
      <c r="O132">
        <v>534.77825927734375</v>
      </c>
      <c r="P132" s="2">
        <f t="shared" si="4"/>
        <v>4.793494883666515</v>
      </c>
      <c r="Q132" s="2">
        <f t="shared" si="5"/>
        <v>-0.50619707687651883</v>
      </c>
    </row>
    <row r="133" spans="1:17" x14ac:dyDescent="0.3">
      <c r="A133" t="s">
        <v>145</v>
      </c>
      <c r="B133">
        <v>55.3</v>
      </c>
      <c r="C133">
        <v>107.3</v>
      </c>
      <c r="D133">
        <v>1.5859999999999999E-2</v>
      </c>
      <c r="E133">
        <v>35</v>
      </c>
      <c r="F133">
        <v>1</v>
      </c>
      <c r="G133">
        <v>0.10082189738750399</v>
      </c>
      <c r="H133">
        <v>587.13940869575504</v>
      </c>
      <c r="I133">
        <v>49.141695765112502</v>
      </c>
      <c r="K133">
        <v>9.473903477191925E-2</v>
      </c>
      <c r="L133" s="2">
        <f t="shared" si="3"/>
        <v>-6.0332752836475212</v>
      </c>
      <c r="N133">
        <v>49.159881591796882</v>
      </c>
      <c r="O133">
        <v>588.78924560546875</v>
      </c>
      <c r="P133" s="2">
        <f t="shared" si="4"/>
        <v>3.7006917244583958E-2</v>
      </c>
      <c r="Q133" s="2">
        <f t="shared" si="5"/>
        <v>0.28099577123916553</v>
      </c>
    </row>
    <row r="134" spans="1:17" x14ac:dyDescent="0.3">
      <c r="A134" t="s">
        <v>146</v>
      </c>
      <c r="B134">
        <v>83.7</v>
      </c>
      <c r="C134">
        <v>108.6</v>
      </c>
      <c r="D134">
        <v>2.845E-2</v>
      </c>
      <c r="E134">
        <v>35</v>
      </c>
      <c r="F134">
        <v>2</v>
      </c>
      <c r="G134">
        <v>0.169885024428367</v>
      </c>
      <c r="H134">
        <v>810.07891307843295</v>
      </c>
      <c r="I134">
        <v>106.824077201712</v>
      </c>
      <c r="K134">
        <v>0.14762531220912931</v>
      </c>
      <c r="L134" s="2">
        <f t="shared" si="3"/>
        <v>-13.102810147120197</v>
      </c>
      <c r="N134">
        <v>102.8428421020508</v>
      </c>
      <c r="O134">
        <v>800.31561279296875</v>
      </c>
      <c r="P134" s="2">
        <f t="shared" si="4"/>
        <v>-3.726908019194572</v>
      </c>
      <c r="Q134" s="2">
        <f t="shared" si="5"/>
        <v>-1.2052282966312569</v>
      </c>
    </row>
    <row r="135" spans="1:17" x14ac:dyDescent="0.3">
      <c r="A135" t="s">
        <v>147</v>
      </c>
      <c r="B135">
        <v>51.2</v>
      </c>
      <c r="C135">
        <v>120.6</v>
      </c>
      <c r="D135">
        <v>1.2853E-2</v>
      </c>
      <c r="E135">
        <v>35</v>
      </c>
      <c r="F135">
        <v>1</v>
      </c>
      <c r="G135">
        <v>5.80072253942489E-2</v>
      </c>
      <c r="H135">
        <v>591.25800750426095</v>
      </c>
      <c r="I135">
        <v>41.221603152998803</v>
      </c>
      <c r="K135">
        <v>5.7557132095098502E-2</v>
      </c>
      <c r="L135" s="2">
        <f t="shared" si="3"/>
        <v>-0.77592626796285591</v>
      </c>
      <c r="N135">
        <v>42.753139495849609</v>
      </c>
      <c r="O135">
        <v>587.0501708984375</v>
      </c>
      <c r="P135" s="2">
        <f t="shared" si="4"/>
        <v>3.715373070684151</v>
      </c>
      <c r="Q135" s="2">
        <f t="shared" si="5"/>
        <v>-0.71167519972964111</v>
      </c>
    </row>
    <row r="136" spans="1:17" x14ac:dyDescent="0.3">
      <c r="A136" t="s">
        <v>148</v>
      </c>
      <c r="B136">
        <v>81.8</v>
      </c>
      <c r="C136">
        <v>118</v>
      </c>
      <c r="D136">
        <v>1.6670999999999998E-2</v>
      </c>
      <c r="E136">
        <v>20</v>
      </c>
      <c r="F136">
        <v>1</v>
      </c>
      <c r="G136">
        <v>8.52665975689888E-2</v>
      </c>
      <c r="H136">
        <v>500.20615121044602</v>
      </c>
      <c r="I136">
        <v>86.939155342063202</v>
      </c>
      <c r="K136">
        <v>9.0340465307235718E-2</v>
      </c>
      <c r="L136" s="2">
        <f t="shared" si="3"/>
        <v>5.9505924745521543</v>
      </c>
      <c r="N136">
        <v>86.155845642089844</v>
      </c>
      <c r="O136">
        <v>499.1805419921875</v>
      </c>
      <c r="P136" s="2">
        <f t="shared" si="4"/>
        <v>-0.90098609411538055</v>
      </c>
      <c r="Q136" s="2">
        <f t="shared" si="5"/>
        <v>-0.20503730627395478</v>
      </c>
    </row>
    <row r="137" spans="1:17" x14ac:dyDescent="0.3">
      <c r="A137" t="s">
        <v>149</v>
      </c>
      <c r="B137">
        <v>83.2</v>
      </c>
      <c r="C137">
        <v>110</v>
      </c>
      <c r="D137">
        <v>2.3255999999999999E-2</v>
      </c>
      <c r="E137">
        <v>27.96</v>
      </c>
      <c r="F137">
        <v>1</v>
      </c>
      <c r="G137">
        <v>0.13715310394763899</v>
      </c>
      <c r="H137">
        <v>545.50402919477403</v>
      </c>
      <c r="I137">
        <v>88.627270735901106</v>
      </c>
      <c r="K137">
        <v>0.12358323484659189</v>
      </c>
      <c r="L137" s="2">
        <f t="shared" ref="L137:L200" si="6">(K137-G137)/G137*100</f>
        <v>-9.8939569798053384</v>
      </c>
      <c r="N137">
        <v>86.045646667480469</v>
      </c>
      <c r="O137">
        <v>544.983642578125</v>
      </c>
      <c r="P137" s="2">
        <f t="shared" ref="P137:P200" si="7">(N137-I137)/I137*100</f>
        <v>-2.9129003375423523</v>
      </c>
      <c r="Q137" s="2">
        <f t="shared" ref="Q137:Q200" si="8">(O137-H137)/H137*100</f>
        <v>-9.5395558749068105E-2</v>
      </c>
    </row>
    <row r="138" spans="1:17" x14ac:dyDescent="0.3">
      <c r="A138" t="s">
        <v>150</v>
      </c>
      <c r="B138">
        <v>77.599999999999994</v>
      </c>
      <c r="C138">
        <v>130</v>
      </c>
      <c r="D138">
        <v>1.4944000000000001E-2</v>
      </c>
      <c r="E138">
        <v>21.88</v>
      </c>
      <c r="F138">
        <v>1</v>
      </c>
      <c r="G138">
        <v>6.7046761512756306E-2</v>
      </c>
      <c r="H138">
        <v>517.70829180160104</v>
      </c>
      <c r="I138">
        <v>75.853260464491598</v>
      </c>
      <c r="K138">
        <v>7.2967760264873505E-2</v>
      </c>
      <c r="L138" s="2">
        <f t="shared" si="6"/>
        <v>8.8311480204613169</v>
      </c>
      <c r="N138">
        <v>77.874336242675781</v>
      </c>
      <c r="O138">
        <v>512.41912841796875</v>
      </c>
      <c r="P138" s="2">
        <f t="shared" si="7"/>
        <v>2.6644547192935613</v>
      </c>
      <c r="Q138" s="2">
        <f t="shared" si="8"/>
        <v>-1.0216493472079111</v>
      </c>
    </row>
    <row r="139" spans="1:17" x14ac:dyDescent="0.3">
      <c r="A139" t="s">
        <v>151</v>
      </c>
      <c r="B139">
        <v>79</v>
      </c>
      <c r="C139">
        <v>104.7</v>
      </c>
      <c r="D139">
        <v>2.2924E-2</v>
      </c>
      <c r="E139">
        <v>29.03</v>
      </c>
      <c r="F139">
        <v>1</v>
      </c>
      <c r="G139">
        <v>0.167605996131896</v>
      </c>
      <c r="H139">
        <v>550.83186590462503</v>
      </c>
      <c r="I139">
        <v>83.620495936596697</v>
      </c>
      <c r="K139">
        <v>0.12599782645702359</v>
      </c>
      <c r="L139" s="2">
        <f t="shared" si="6"/>
        <v>-24.824988744513199</v>
      </c>
      <c r="N139">
        <v>80.060096740722656</v>
      </c>
      <c r="O139">
        <v>551.27117919921875</v>
      </c>
      <c r="P139" s="2">
        <f t="shared" si="7"/>
        <v>-4.2578068402914413</v>
      </c>
      <c r="Q139" s="2">
        <f t="shared" si="8"/>
        <v>7.9754517083400311E-2</v>
      </c>
    </row>
    <row r="140" spans="1:17" x14ac:dyDescent="0.3">
      <c r="A140" t="s">
        <v>152</v>
      </c>
      <c r="B140">
        <v>48.8</v>
      </c>
      <c r="C140">
        <v>107.9</v>
      </c>
      <c r="D140">
        <v>1.2903E-2</v>
      </c>
      <c r="E140">
        <v>35</v>
      </c>
      <c r="F140">
        <v>1.07</v>
      </c>
      <c r="G140">
        <v>7.9985395073890603E-2</v>
      </c>
      <c r="H140">
        <v>602.84760232391295</v>
      </c>
      <c r="I140">
        <v>40.279283321358903</v>
      </c>
      <c r="K140">
        <v>7.6623097062110901E-2</v>
      </c>
      <c r="L140" s="2">
        <f t="shared" si="6"/>
        <v>-4.2036399378581644</v>
      </c>
      <c r="N140">
        <v>40.447738647460938</v>
      </c>
      <c r="O140">
        <v>599.20648193359375</v>
      </c>
      <c r="P140" s="2">
        <f t="shared" si="7"/>
        <v>0.41821828049434839</v>
      </c>
      <c r="Q140" s="2">
        <f t="shared" si="8"/>
        <v>-0.60398687434155374</v>
      </c>
    </row>
    <row r="141" spans="1:17" x14ac:dyDescent="0.3">
      <c r="A141" t="s">
        <v>153</v>
      </c>
      <c r="B141">
        <v>75.599999999999994</v>
      </c>
      <c r="C141">
        <v>130</v>
      </c>
      <c r="D141">
        <v>1.3514E-2</v>
      </c>
      <c r="E141">
        <v>20</v>
      </c>
      <c r="F141">
        <v>1.88</v>
      </c>
      <c r="G141">
        <v>6.1673857271671198E-2</v>
      </c>
      <c r="H141">
        <v>625.81339277695099</v>
      </c>
      <c r="I141">
        <v>91.572976334020893</v>
      </c>
      <c r="K141">
        <v>6.7666821181774139E-2</v>
      </c>
      <c r="L141" s="2">
        <f t="shared" si="6"/>
        <v>9.7171867874327109</v>
      </c>
      <c r="N141">
        <v>93.466018676757813</v>
      </c>
      <c r="O141">
        <v>616.97113037109375</v>
      </c>
      <c r="P141" s="2">
        <f t="shared" si="7"/>
        <v>2.0672499885030189</v>
      </c>
      <c r="Q141" s="2">
        <f t="shared" si="8"/>
        <v>-1.4129231665402777</v>
      </c>
    </row>
    <row r="142" spans="1:17" x14ac:dyDescent="0.3">
      <c r="A142" t="s">
        <v>154</v>
      </c>
      <c r="B142">
        <v>44.8</v>
      </c>
      <c r="C142">
        <v>126.9</v>
      </c>
      <c r="D142">
        <v>6.4910000000000002E-3</v>
      </c>
      <c r="E142">
        <v>21.21</v>
      </c>
      <c r="F142">
        <v>1</v>
      </c>
      <c r="G142">
        <v>2.9729371890425599E-2</v>
      </c>
      <c r="H142">
        <v>511.71137434039298</v>
      </c>
      <c r="I142">
        <v>33.4135196929535</v>
      </c>
      <c r="K142">
        <v>2.931483834981918E-2</v>
      </c>
      <c r="L142" s="2">
        <f t="shared" si="6"/>
        <v>-1.3943568741858292</v>
      </c>
      <c r="N142">
        <v>36.097896575927727</v>
      </c>
      <c r="O142">
        <v>504.81512451171881</v>
      </c>
      <c r="P142" s="2">
        <f t="shared" si="7"/>
        <v>8.0338046025732801</v>
      </c>
      <c r="Q142" s="2">
        <f t="shared" si="8"/>
        <v>-1.3476835134969567</v>
      </c>
    </row>
    <row r="143" spans="1:17" x14ac:dyDescent="0.3">
      <c r="A143" t="s">
        <v>155</v>
      </c>
      <c r="B143">
        <v>52.2</v>
      </c>
      <c r="C143">
        <v>120</v>
      </c>
      <c r="D143">
        <v>1.0897E-2</v>
      </c>
      <c r="E143">
        <v>27.34</v>
      </c>
      <c r="F143">
        <v>1</v>
      </c>
      <c r="G143">
        <v>5.13971038162708E-2</v>
      </c>
      <c r="H143">
        <v>545.042848767294</v>
      </c>
      <c r="I143">
        <v>43.575610445742903</v>
      </c>
      <c r="K143">
        <v>5.0939697772264481E-2</v>
      </c>
      <c r="L143" s="2">
        <f t="shared" si="6"/>
        <v>-0.88994517208870172</v>
      </c>
      <c r="N143">
        <v>44.47564697265625</v>
      </c>
      <c r="O143">
        <v>542.79034423828125</v>
      </c>
      <c r="P143" s="2">
        <f t="shared" si="7"/>
        <v>2.0654593652428694</v>
      </c>
      <c r="Q143" s="2">
        <f t="shared" si="8"/>
        <v>-0.41327109127423128</v>
      </c>
    </row>
    <row r="144" spans="1:17" x14ac:dyDescent="0.3">
      <c r="A144" t="s">
        <v>156</v>
      </c>
      <c r="B144">
        <v>73.2</v>
      </c>
      <c r="C144">
        <v>116.7</v>
      </c>
      <c r="D144">
        <v>2.2610000000000002E-2</v>
      </c>
      <c r="E144">
        <v>35</v>
      </c>
      <c r="F144">
        <v>1</v>
      </c>
      <c r="G144">
        <v>0.108805306255817</v>
      </c>
      <c r="H144">
        <v>589.73042025039194</v>
      </c>
      <c r="I144">
        <v>71.770244793326498</v>
      </c>
      <c r="K144">
        <v>0.1043346971273422</v>
      </c>
      <c r="L144" s="2">
        <f t="shared" si="6"/>
        <v>-4.1088153531444069</v>
      </c>
      <c r="N144">
        <v>69.580665588378906</v>
      </c>
      <c r="O144">
        <v>587.52154541015625</v>
      </c>
      <c r="P144" s="2">
        <f t="shared" si="7"/>
        <v>-3.0508175236866237</v>
      </c>
      <c r="Q144" s="2">
        <f t="shared" si="8"/>
        <v>-0.37455670665553159</v>
      </c>
    </row>
    <row r="145" spans="1:17" x14ac:dyDescent="0.3">
      <c r="A145" t="s">
        <v>157</v>
      </c>
      <c r="B145">
        <v>59.7</v>
      </c>
      <c r="C145">
        <v>100</v>
      </c>
      <c r="D145">
        <v>1.8315000000000001E-2</v>
      </c>
      <c r="E145">
        <v>35</v>
      </c>
      <c r="F145">
        <v>1.1200000000000001</v>
      </c>
      <c r="G145">
        <v>0.17849613726138999</v>
      </c>
      <c r="H145">
        <v>612.651201734643</v>
      </c>
      <c r="I145">
        <v>59.162062659116401</v>
      </c>
      <c r="K145">
        <v>0.1199126243591309</v>
      </c>
      <c r="L145" s="2">
        <f t="shared" si="6"/>
        <v>-32.820605420984158</v>
      </c>
      <c r="N145">
        <v>54.769973754882813</v>
      </c>
      <c r="O145">
        <v>616.52008056640625</v>
      </c>
      <c r="P145" s="2">
        <f t="shared" si="7"/>
        <v>-7.4238265314382224</v>
      </c>
      <c r="Q145" s="2">
        <f t="shared" si="8"/>
        <v>0.63149779528857886</v>
      </c>
    </row>
    <row r="146" spans="1:17" x14ac:dyDescent="0.3">
      <c r="A146" t="s">
        <v>158</v>
      </c>
      <c r="B146">
        <v>68.7</v>
      </c>
      <c r="C146">
        <v>115.1</v>
      </c>
      <c r="D146">
        <v>1.3388000000000001E-2</v>
      </c>
      <c r="E146">
        <v>20</v>
      </c>
      <c r="F146">
        <v>1.1599999999999999</v>
      </c>
      <c r="G146">
        <v>7.2255529463291099E-2</v>
      </c>
      <c r="H146">
        <v>520.50786361434598</v>
      </c>
      <c r="I146">
        <v>71.866419846251105</v>
      </c>
      <c r="K146">
        <v>7.138592004776001E-2</v>
      </c>
      <c r="L146" s="2">
        <f t="shared" si="6"/>
        <v>-1.2035195395985407</v>
      </c>
      <c r="N146">
        <v>71.004585266113281</v>
      </c>
      <c r="O146">
        <v>518.74395751953125</v>
      </c>
      <c r="P146" s="2">
        <f t="shared" si="7"/>
        <v>-1.1992173562862982</v>
      </c>
      <c r="Q146" s="2">
        <f t="shared" si="8"/>
        <v>-0.33888173803299926</v>
      </c>
    </row>
    <row r="147" spans="1:17" x14ac:dyDescent="0.3">
      <c r="A147" t="s">
        <v>159</v>
      </c>
      <c r="B147">
        <v>69.2</v>
      </c>
      <c r="C147">
        <v>130</v>
      </c>
      <c r="D147">
        <v>1.8171E-2</v>
      </c>
      <c r="E147">
        <v>34.46</v>
      </c>
      <c r="F147">
        <v>1</v>
      </c>
      <c r="G147">
        <v>7.6349042356014196E-2</v>
      </c>
      <c r="H147">
        <v>593.18829180160196</v>
      </c>
      <c r="I147">
        <v>60.915609564109999</v>
      </c>
      <c r="K147">
        <v>7.7909611165523529E-2</v>
      </c>
      <c r="L147" s="2">
        <f t="shared" si="6"/>
        <v>2.043992643984228</v>
      </c>
      <c r="N147">
        <v>62.227214813232422</v>
      </c>
      <c r="O147">
        <v>592.67877197265625</v>
      </c>
      <c r="P147" s="2">
        <f t="shared" si="7"/>
        <v>2.1531513162353519</v>
      </c>
      <c r="Q147" s="2">
        <f t="shared" si="8"/>
        <v>-8.5895125710965192E-2</v>
      </c>
    </row>
    <row r="148" spans="1:17" x14ac:dyDescent="0.3">
      <c r="A148" t="s">
        <v>160</v>
      </c>
      <c r="B148">
        <v>46.5</v>
      </c>
      <c r="C148">
        <v>102.8</v>
      </c>
      <c r="D148">
        <v>1.1041E-2</v>
      </c>
      <c r="E148">
        <v>31.32</v>
      </c>
      <c r="F148">
        <v>1</v>
      </c>
      <c r="G148">
        <v>8.9219696819782202E-2</v>
      </c>
      <c r="H148">
        <v>564.27105115395705</v>
      </c>
      <c r="I148">
        <v>37.840412310339303</v>
      </c>
      <c r="K148">
        <v>8.1922799348831177E-2</v>
      </c>
      <c r="L148" s="2">
        <f t="shared" si="6"/>
        <v>-8.1785723680391644</v>
      </c>
      <c r="N148">
        <v>37.394500732421882</v>
      </c>
      <c r="O148">
        <v>563.22723388671875</v>
      </c>
      <c r="P148" s="2">
        <f t="shared" si="7"/>
        <v>-1.1784004208526628</v>
      </c>
      <c r="Q148" s="2">
        <f t="shared" si="8"/>
        <v>-0.18498508209904579</v>
      </c>
    </row>
    <row r="149" spans="1:17" x14ac:dyDescent="0.3">
      <c r="A149" t="s">
        <v>161</v>
      </c>
      <c r="B149">
        <v>75.599999999999994</v>
      </c>
      <c r="C149">
        <v>116.2</v>
      </c>
      <c r="D149">
        <v>1.6188999999999999E-2</v>
      </c>
      <c r="E149">
        <v>21.77</v>
      </c>
      <c r="F149">
        <v>1</v>
      </c>
      <c r="G149">
        <v>8.4370531141757896E-2</v>
      </c>
      <c r="H149">
        <v>510.17585194352699</v>
      </c>
      <c r="I149">
        <v>77.217097686798795</v>
      </c>
      <c r="K149">
        <v>8.3850890398025513E-2</v>
      </c>
      <c r="L149" s="2">
        <f t="shared" si="6"/>
        <v>-0.61590313193512036</v>
      </c>
      <c r="N149">
        <v>76.383949279785156</v>
      </c>
      <c r="O149">
        <v>507.24481201171881</v>
      </c>
      <c r="P149" s="2">
        <f t="shared" si="7"/>
        <v>-1.0789688190470219</v>
      </c>
      <c r="Q149" s="2">
        <f t="shared" si="8"/>
        <v>-0.57451561469291823</v>
      </c>
    </row>
    <row r="150" spans="1:17" x14ac:dyDescent="0.3">
      <c r="A150" t="s">
        <v>162</v>
      </c>
      <c r="B150">
        <v>89.6</v>
      </c>
      <c r="C150">
        <v>113.9</v>
      </c>
      <c r="D150">
        <v>2.7212E-2</v>
      </c>
      <c r="E150">
        <v>30.95</v>
      </c>
      <c r="F150">
        <v>1</v>
      </c>
      <c r="G150">
        <v>0.14165177941322299</v>
      </c>
      <c r="H150">
        <v>564.50999718136495</v>
      </c>
      <c r="I150">
        <v>94.750392465873404</v>
      </c>
      <c r="K150">
        <v>0.13269910216331479</v>
      </c>
      <c r="L150" s="2">
        <f t="shared" si="6"/>
        <v>-6.3202010500635311</v>
      </c>
      <c r="N150">
        <v>92.557205200195313</v>
      </c>
      <c r="O150">
        <v>563.712890625</v>
      </c>
      <c r="P150" s="2">
        <f t="shared" si="7"/>
        <v>-2.3146999274625899</v>
      </c>
      <c r="Q150" s="2">
        <f t="shared" si="8"/>
        <v>-0.14120326661085836</v>
      </c>
    </row>
    <row r="151" spans="1:17" x14ac:dyDescent="0.3">
      <c r="A151" t="s">
        <v>163</v>
      </c>
      <c r="B151">
        <v>50.6</v>
      </c>
      <c r="C151">
        <v>107.5</v>
      </c>
      <c r="D151">
        <v>1.3126000000000001E-2</v>
      </c>
      <c r="E151">
        <v>33.15</v>
      </c>
      <c r="F151">
        <v>1</v>
      </c>
      <c r="G151">
        <v>8.3188578486442497E-2</v>
      </c>
      <c r="H151">
        <v>576.08067789071004</v>
      </c>
      <c r="I151">
        <v>42.998515811347801</v>
      </c>
      <c r="K151">
        <v>7.9661622643470764E-2</v>
      </c>
      <c r="L151" s="2">
        <f t="shared" si="6"/>
        <v>-4.2397116372730563</v>
      </c>
      <c r="N151">
        <v>42.482318878173828</v>
      </c>
      <c r="O151">
        <v>574.42181396484375</v>
      </c>
      <c r="P151" s="2">
        <f t="shared" si="7"/>
        <v>-1.200499420581727</v>
      </c>
      <c r="Q151" s="2">
        <f t="shared" si="8"/>
        <v>-0.28795687644656487</v>
      </c>
    </row>
    <row r="152" spans="1:17" x14ac:dyDescent="0.3">
      <c r="A152" t="s">
        <v>164</v>
      </c>
      <c r="B152">
        <v>44.3</v>
      </c>
      <c r="C152">
        <v>117.3</v>
      </c>
      <c r="D152">
        <v>7.7939999999999997E-3</v>
      </c>
      <c r="E152">
        <v>24.91</v>
      </c>
      <c r="F152">
        <v>1</v>
      </c>
      <c r="G152">
        <v>3.89685668051242E-2</v>
      </c>
      <c r="H152">
        <v>529.40601050663395</v>
      </c>
      <c r="I152">
        <v>33.299980478849101</v>
      </c>
      <c r="K152">
        <v>4.0171101689338677E-2</v>
      </c>
      <c r="L152" s="2">
        <f t="shared" si="6"/>
        <v>3.0859099597585131</v>
      </c>
      <c r="N152">
        <v>35.321723937988281</v>
      </c>
      <c r="O152">
        <v>525.488525390625</v>
      </c>
      <c r="P152" s="2">
        <f t="shared" si="7"/>
        <v>6.0713052382217354</v>
      </c>
      <c r="Q152" s="2">
        <f t="shared" si="8"/>
        <v>-0.73997745364847112</v>
      </c>
    </row>
    <row r="153" spans="1:17" x14ac:dyDescent="0.3">
      <c r="A153" t="s">
        <v>165</v>
      </c>
      <c r="B153">
        <v>60.2</v>
      </c>
      <c r="C153">
        <v>112</v>
      </c>
      <c r="D153">
        <v>1.2345E-2</v>
      </c>
      <c r="E153">
        <v>22.59</v>
      </c>
      <c r="F153">
        <v>1</v>
      </c>
      <c r="G153">
        <v>7.0606723427772494E-2</v>
      </c>
      <c r="H153">
        <v>513.80088012203305</v>
      </c>
      <c r="I153">
        <v>56.558266860719399</v>
      </c>
      <c r="K153">
        <v>6.7018002271652222E-2</v>
      </c>
      <c r="L153" s="2">
        <f t="shared" si="6"/>
        <v>-5.0826904038272964</v>
      </c>
      <c r="N153">
        <v>55.820972442626953</v>
      </c>
      <c r="O153">
        <v>509.81723022460938</v>
      </c>
      <c r="P153" s="2">
        <f t="shared" si="7"/>
        <v>-1.3036015051665397</v>
      </c>
      <c r="Q153" s="2">
        <f t="shared" si="8"/>
        <v>-0.77532951996452715</v>
      </c>
    </row>
    <row r="154" spans="1:17" x14ac:dyDescent="0.3">
      <c r="A154" t="s">
        <v>166</v>
      </c>
      <c r="B154">
        <v>62.4</v>
      </c>
      <c r="C154">
        <v>100</v>
      </c>
      <c r="D154">
        <v>1.6492E-2</v>
      </c>
      <c r="E154">
        <v>28.55</v>
      </c>
      <c r="F154">
        <v>1.25</v>
      </c>
      <c r="G154">
        <v>0.15989868342876401</v>
      </c>
      <c r="H154">
        <v>593.16026724918504</v>
      </c>
      <c r="I154">
        <v>65.8740117662431</v>
      </c>
      <c r="K154">
        <v>0.14906385540962219</v>
      </c>
      <c r="L154" s="2">
        <f t="shared" si="6"/>
        <v>-6.7760583056763011</v>
      </c>
      <c r="N154">
        <v>63.494529724121087</v>
      </c>
      <c r="O154">
        <v>590.0382080078125</v>
      </c>
      <c r="P154" s="2">
        <f t="shared" si="7"/>
        <v>-3.6121711405185297</v>
      </c>
      <c r="Q154" s="2">
        <f t="shared" si="8"/>
        <v>-0.52634328591348001</v>
      </c>
    </row>
    <row r="155" spans="1:17" x14ac:dyDescent="0.3">
      <c r="A155" t="s">
        <v>167</v>
      </c>
      <c r="B155">
        <v>86.3</v>
      </c>
      <c r="C155">
        <v>117.3</v>
      </c>
      <c r="D155">
        <v>2.6758000000000001E-2</v>
      </c>
      <c r="E155">
        <v>33.090000000000003</v>
      </c>
      <c r="F155">
        <v>1</v>
      </c>
      <c r="G155">
        <v>0.12833802402019501</v>
      </c>
      <c r="H155">
        <v>578.48601050663501</v>
      </c>
      <c r="I155">
        <v>89.147565825571306</v>
      </c>
      <c r="K155">
        <v>0.12324737012386321</v>
      </c>
      <c r="L155" s="2">
        <f t="shared" si="6"/>
        <v>-3.9665983134746923</v>
      </c>
      <c r="N155">
        <v>86.993782043457031</v>
      </c>
      <c r="O155">
        <v>577.68487548828125</v>
      </c>
      <c r="P155" s="2">
        <f t="shared" si="7"/>
        <v>-2.4159759856241392</v>
      </c>
      <c r="Q155" s="2">
        <f t="shared" si="8"/>
        <v>-0.13848822682023576</v>
      </c>
    </row>
    <row r="156" spans="1:17" x14ac:dyDescent="0.3">
      <c r="A156" t="s">
        <v>168</v>
      </c>
      <c r="B156">
        <v>53</v>
      </c>
      <c r="C156">
        <v>117.1</v>
      </c>
      <c r="D156">
        <v>1.1771E-2</v>
      </c>
      <c r="E156">
        <v>28.4</v>
      </c>
      <c r="F156">
        <v>1</v>
      </c>
      <c r="G156">
        <v>5.7894703000783899E-2</v>
      </c>
      <c r="H156">
        <v>550.27339818420899</v>
      </c>
      <c r="I156">
        <v>44.530755951645403</v>
      </c>
      <c r="K156">
        <v>5.7226572185754783E-2</v>
      </c>
      <c r="L156" s="2">
        <f t="shared" si="6"/>
        <v>-1.1540448096263141</v>
      </c>
      <c r="N156">
        <v>45.336177825927727</v>
      </c>
      <c r="O156">
        <v>548.510009765625</v>
      </c>
      <c r="P156" s="2">
        <f t="shared" si="7"/>
        <v>1.808686731383826</v>
      </c>
      <c r="Q156" s="2">
        <f t="shared" si="8"/>
        <v>-0.32045678101155017</v>
      </c>
    </row>
    <row r="157" spans="1:17" x14ac:dyDescent="0.3">
      <c r="A157" t="s">
        <v>169</v>
      </c>
      <c r="B157">
        <v>78.400000000000006</v>
      </c>
      <c r="C157">
        <v>121.6</v>
      </c>
      <c r="D157">
        <v>2.0924999999999999E-2</v>
      </c>
      <c r="E157">
        <v>29.86</v>
      </c>
      <c r="F157">
        <v>1</v>
      </c>
      <c r="G157">
        <v>9.5398999750614097E-2</v>
      </c>
      <c r="H157">
        <v>560.86069710050799</v>
      </c>
      <c r="I157">
        <v>77.288196756882499</v>
      </c>
      <c r="K157">
        <v>9.4641849398612976E-2</v>
      </c>
      <c r="L157" s="2">
        <f t="shared" si="6"/>
        <v>-0.79366697133137065</v>
      </c>
      <c r="N157">
        <v>76.4677734375</v>
      </c>
      <c r="O157">
        <v>560.4901123046875</v>
      </c>
      <c r="P157" s="2">
        <f t="shared" si="7"/>
        <v>-1.0615117880977609</v>
      </c>
      <c r="Q157" s="2">
        <f t="shared" si="8"/>
        <v>-6.6074302894873982E-2</v>
      </c>
    </row>
    <row r="158" spans="1:17" x14ac:dyDescent="0.3">
      <c r="A158" t="s">
        <v>170</v>
      </c>
      <c r="B158">
        <v>59.4</v>
      </c>
      <c r="C158">
        <v>112.9</v>
      </c>
      <c r="D158">
        <v>1.0968E-2</v>
      </c>
      <c r="E158">
        <v>20</v>
      </c>
      <c r="F158">
        <v>1</v>
      </c>
      <c r="G158">
        <v>6.2372900545597E-2</v>
      </c>
      <c r="H158">
        <v>498.51371009739597</v>
      </c>
      <c r="I158">
        <v>56.437798184012301</v>
      </c>
      <c r="K158">
        <v>5.89897520840168E-2</v>
      </c>
      <c r="L158" s="2">
        <f t="shared" si="6"/>
        <v>-5.4240678756104792</v>
      </c>
      <c r="N158">
        <v>55.127918243408203</v>
      </c>
      <c r="O158">
        <v>494.57772827148438</v>
      </c>
      <c r="P158" s="2">
        <f t="shared" si="7"/>
        <v>-2.3209267242022937</v>
      </c>
      <c r="Q158" s="2">
        <f t="shared" si="8"/>
        <v>-0.7895433457873432</v>
      </c>
    </row>
    <row r="159" spans="1:17" x14ac:dyDescent="0.3">
      <c r="A159" t="s">
        <v>171</v>
      </c>
      <c r="B159">
        <v>78</v>
      </c>
      <c r="C159">
        <v>106.6</v>
      </c>
      <c r="D159">
        <v>2.5930999999999999E-2</v>
      </c>
      <c r="E159">
        <v>34.659999999999997</v>
      </c>
      <c r="F159">
        <v>2</v>
      </c>
      <c r="G159">
        <v>0.16735403239727001</v>
      </c>
      <c r="H159">
        <v>805.44114822217705</v>
      </c>
      <c r="I159">
        <v>98.424892055609703</v>
      </c>
      <c r="K159">
        <v>0.14114134013652799</v>
      </c>
      <c r="L159" s="2">
        <f t="shared" si="6"/>
        <v>-15.663018025474013</v>
      </c>
      <c r="N159">
        <v>95.867813110351563</v>
      </c>
      <c r="O159">
        <v>794.2669677734375</v>
      </c>
      <c r="P159" s="2">
        <f t="shared" si="7"/>
        <v>-2.5980002536486406</v>
      </c>
      <c r="Q159" s="2">
        <f t="shared" si="8"/>
        <v>-1.3873366754857184</v>
      </c>
    </row>
    <row r="160" spans="1:17" x14ac:dyDescent="0.3">
      <c r="A160" t="s">
        <v>172</v>
      </c>
      <c r="B160">
        <v>58.2</v>
      </c>
      <c r="C160">
        <v>112.2</v>
      </c>
      <c r="D160">
        <v>1.4808E-2</v>
      </c>
      <c r="E160">
        <v>30.24</v>
      </c>
      <c r="F160">
        <v>1</v>
      </c>
      <c r="G160">
        <v>8.0834954977035495E-2</v>
      </c>
      <c r="H160">
        <v>559.75595332013302</v>
      </c>
      <c r="I160">
        <v>52.405787210024101</v>
      </c>
      <c r="K160">
        <v>7.9286359250545502E-2</v>
      </c>
      <c r="L160" s="2">
        <f t="shared" si="6"/>
        <v>-1.9157500946588457</v>
      </c>
      <c r="N160">
        <v>53.104236602783203</v>
      </c>
      <c r="O160">
        <v>554.629150390625</v>
      </c>
      <c r="P160" s="2">
        <f t="shared" si="7"/>
        <v>1.3327714932703147</v>
      </c>
      <c r="Q160" s="2">
        <f t="shared" si="8"/>
        <v>-0.91589967004351258</v>
      </c>
    </row>
    <row r="161" spans="1:17" x14ac:dyDescent="0.3">
      <c r="A161" t="s">
        <v>173</v>
      </c>
      <c r="B161">
        <v>75.099999999999994</v>
      </c>
      <c r="C161">
        <v>118.2</v>
      </c>
      <c r="D161">
        <v>1.7335E-2</v>
      </c>
      <c r="E161">
        <v>24.51</v>
      </c>
      <c r="F161">
        <v>1</v>
      </c>
      <c r="G161">
        <v>8.5551433265209198E-2</v>
      </c>
      <c r="H161">
        <v>527.34221555156103</v>
      </c>
      <c r="I161">
        <v>75.600711191540796</v>
      </c>
      <c r="K161">
        <v>8.4788009524345398E-2</v>
      </c>
      <c r="L161" s="2">
        <f t="shared" si="6"/>
        <v>-0.89235645941452402</v>
      </c>
      <c r="N161">
        <v>74.435890197753906</v>
      </c>
      <c r="O161">
        <v>524.01397705078125</v>
      </c>
      <c r="P161" s="2">
        <f t="shared" si="7"/>
        <v>-1.5407540159717774</v>
      </c>
      <c r="Q161" s="2">
        <f t="shared" si="8"/>
        <v>-0.63113447067739192</v>
      </c>
    </row>
    <row r="162" spans="1:17" x14ac:dyDescent="0.3">
      <c r="A162" t="s">
        <v>174</v>
      </c>
      <c r="B162">
        <v>62.7</v>
      </c>
      <c r="C162">
        <v>109</v>
      </c>
      <c r="D162">
        <v>1.4759E-2</v>
      </c>
      <c r="E162">
        <v>25.72</v>
      </c>
      <c r="F162">
        <v>1</v>
      </c>
      <c r="G162">
        <v>9.1045968234539004E-2</v>
      </c>
      <c r="H162">
        <v>531.82797390836095</v>
      </c>
      <c r="I162">
        <v>59.9336819553941</v>
      </c>
      <c r="K162">
        <v>8.3436004817485809E-2</v>
      </c>
      <c r="L162" s="2">
        <f t="shared" si="6"/>
        <v>-8.3583749666427245</v>
      </c>
      <c r="N162">
        <v>58.365322113037109</v>
      </c>
      <c r="O162">
        <v>527.07794189453125</v>
      </c>
      <c r="P162" s="2">
        <f t="shared" si="7"/>
        <v>-2.6168254497099794</v>
      </c>
      <c r="Q162" s="2">
        <f t="shared" si="8"/>
        <v>-0.89315196771657057</v>
      </c>
    </row>
    <row r="163" spans="1:17" x14ac:dyDescent="0.3">
      <c r="A163" t="s">
        <v>175</v>
      </c>
      <c r="B163">
        <v>88.7</v>
      </c>
      <c r="C163">
        <v>110.2</v>
      </c>
      <c r="D163">
        <v>2.8899000000000001E-2</v>
      </c>
      <c r="E163">
        <v>32.92</v>
      </c>
      <c r="F163">
        <v>1</v>
      </c>
      <c r="G163">
        <v>0.16588962078094399</v>
      </c>
      <c r="H163">
        <v>575.31299821093603</v>
      </c>
      <c r="I163">
        <v>94.873018678185204</v>
      </c>
      <c r="K163">
        <v>0.1404418349266052</v>
      </c>
      <c r="L163" s="2">
        <f t="shared" si="6"/>
        <v>-15.340191709728728</v>
      </c>
      <c r="N163">
        <v>92.302757263183594</v>
      </c>
      <c r="O163">
        <v>573.482421875</v>
      </c>
      <c r="P163" s="2">
        <f t="shared" si="7"/>
        <v>-2.7091595174388692</v>
      </c>
      <c r="Q163" s="2">
        <f t="shared" si="8"/>
        <v>-0.31818789800136882</v>
      </c>
    </row>
    <row r="164" spans="1:17" x14ac:dyDescent="0.3">
      <c r="A164" t="s">
        <v>176</v>
      </c>
      <c r="B164">
        <v>63.8</v>
      </c>
      <c r="C164">
        <v>104.1</v>
      </c>
      <c r="D164">
        <v>1.9945000000000001E-2</v>
      </c>
      <c r="E164">
        <v>35</v>
      </c>
      <c r="F164">
        <v>1</v>
      </c>
      <c r="G164">
        <v>0.148052647709846</v>
      </c>
      <c r="H164">
        <v>586.551928947497</v>
      </c>
      <c r="I164">
        <v>62.048518600061897</v>
      </c>
      <c r="K164">
        <v>0.11037614941596979</v>
      </c>
      <c r="L164" s="2">
        <f t="shared" si="6"/>
        <v>-25.44804086699936</v>
      </c>
      <c r="N164">
        <v>56.815700531005859</v>
      </c>
      <c r="O164">
        <v>589.057373046875</v>
      </c>
      <c r="P164" s="2">
        <f t="shared" si="7"/>
        <v>-8.4334294953672231</v>
      </c>
      <c r="Q164" s="2">
        <f t="shared" si="8"/>
        <v>0.42714787484779743</v>
      </c>
    </row>
    <row r="165" spans="1:17" x14ac:dyDescent="0.3">
      <c r="A165" t="s">
        <v>177</v>
      </c>
      <c r="B165">
        <v>70.2</v>
      </c>
      <c r="C165">
        <v>103.8</v>
      </c>
      <c r="D165">
        <v>2.0121E-2</v>
      </c>
      <c r="E165">
        <v>30.02</v>
      </c>
      <c r="F165">
        <v>2</v>
      </c>
      <c r="G165">
        <v>0.148075371980667</v>
      </c>
      <c r="H165">
        <v>749.100367781145</v>
      </c>
      <c r="I165">
        <v>89.482058133652103</v>
      </c>
      <c r="K165">
        <v>0.1488078385591507</v>
      </c>
      <c r="L165" s="2">
        <f t="shared" si="6"/>
        <v>0.494657935810774</v>
      </c>
      <c r="N165">
        <v>88.781318664550781</v>
      </c>
      <c r="O165">
        <v>745.6602783203125</v>
      </c>
      <c r="P165" s="2">
        <f t="shared" si="7"/>
        <v>-0.78310611503222693</v>
      </c>
      <c r="Q165" s="2">
        <f t="shared" si="8"/>
        <v>-0.45922944491699175</v>
      </c>
    </row>
    <row r="166" spans="1:17" x14ac:dyDescent="0.3">
      <c r="A166" t="s">
        <v>178</v>
      </c>
      <c r="B166">
        <v>65</v>
      </c>
      <c r="C166">
        <v>130</v>
      </c>
      <c r="D166">
        <v>1.0938E-2</v>
      </c>
      <c r="E166">
        <v>20</v>
      </c>
      <c r="F166">
        <v>1.52</v>
      </c>
      <c r="G166">
        <v>4.9867555499076802E-2</v>
      </c>
      <c r="H166">
        <v>576.97403328703604</v>
      </c>
      <c r="I166">
        <v>68.719283677189395</v>
      </c>
      <c r="K166">
        <v>5.7585299015045173E-2</v>
      </c>
      <c r="L166" s="2">
        <f t="shared" si="6"/>
        <v>15.476482532036787</v>
      </c>
      <c r="N166">
        <v>72.31842041015625</v>
      </c>
      <c r="O166">
        <v>567.45367431640625</v>
      </c>
      <c r="P166" s="2">
        <f t="shared" si="7"/>
        <v>5.2374479773012368</v>
      </c>
      <c r="Q166" s="2">
        <f t="shared" si="8"/>
        <v>-1.6500498153083343</v>
      </c>
    </row>
    <row r="167" spans="1:17" x14ac:dyDescent="0.3">
      <c r="A167" t="s">
        <v>179</v>
      </c>
      <c r="B167">
        <v>70.400000000000006</v>
      </c>
      <c r="C167">
        <v>124.6</v>
      </c>
      <c r="D167">
        <v>1.2905E-2</v>
      </c>
      <c r="E167">
        <v>20</v>
      </c>
      <c r="F167">
        <v>1</v>
      </c>
      <c r="G167">
        <v>6.0745410621166201E-2</v>
      </c>
      <c r="H167">
        <v>503.16878843844302</v>
      </c>
      <c r="I167">
        <v>69.021375191965802</v>
      </c>
      <c r="K167">
        <v>6.4301498234272003E-2</v>
      </c>
      <c r="L167" s="2">
        <f t="shared" si="6"/>
        <v>5.8540844102331482</v>
      </c>
      <c r="N167">
        <v>70.14013671875</v>
      </c>
      <c r="O167">
        <v>498.23486328125</v>
      </c>
      <c r="P167" s="2">
        <f t="shared" si="7"/>
        <v>1.6208913886062695</v>
      </c>
      <c r="Q167" s="2">
        <f t="shared" si="8"/>
        <v>-0.98057058994163471</v>
      </c>
    </row>
    <row r="168" spans="1:17" x14ac:dyDescent="0.3">
      <c r="A168" t="s">
        <v>180</v>
      </c>
      <c r="B168">
        <v>60.1</v>
      </c>
      <c r="C168">
        <v>112.1</v>
      </c>
      <c r="D168">
        <v>1.2449999999999999E-2</v>
      </c>
      <c r="E168">
        <v>22.93</v>
      </c>
      <c r="F168">
        <v>1</v>
      </c>
      <c r="G168">
        <v>7.0869944989681202E-2</v>
      </c>
      <c r="H168">
        <v>515.86833802656497</v>
      </c>
      <c r="I168">
        <v>56.157824043684599</v>
      </c>
      <c r="K168">
        <v>6.7515917122364044E-2</v>
      </c>
      <c r="L168" s="2">
        <f t="shared" si="6"/>
        <v>-4.7326519976917023</v>
      </c>
      <c r="N168">
        <v>55.718437194824219</v>
      </c>
      <c r="O168">
        <v>511.92474365234381</v>
      </c>
      <c r="P168" s="2">
        <f t="shared" si="7"/>
        <v>-0.78241430529535028</v>
      </c>
      <c r="Q168" s="2">
        <f t="shared" si="8"/>
        <v>-0.76445753373956549</v>
      </c>
    </row>
    <row r="169" spans="1:17" x14ac:dyDescent="0.3">
      <c r="A169" t="s">
        <v>181</v>
      </c>
      <c r="B169">
        <v>42.8</v>
      </c>
      <c r="C169">
        <v>110.2</v>
      </c>
      <c r="D169">
        <v>1.0097E-2</v>
      </c>
      <c r="E169">
        <v>35</v>
      </c>
      <c r="F169">
        <v>1</v>
      </c>
      <c r="G169">
        <v>5.7545021176338099E-2</v>
      </c>
      <c r="H169">
        <v>587.79299821093696</v>
      </c>
      <c r="I169">
        <v>31.325327324394799</v>
      </c>
      <c r="K169">
        <v>5.6100897490978241E-2</v>
      </c>
      <c r="L169" s="2">
        <f t="shared" si="6"/>
        <v>-2.5095545293737178</v>
      </c>
      <c r="N169">
        <v>31.974908828735352</v>
      </c>
      <c r="O169">
        <v>587.58831787109375</v>
      </c>
      <c r="P169" s="2">
        <f t="shared" si="7"/>
        <v>2.0736623040318145</v>
      </c>
      <c r="Q169" s="2">
        <f t="shared" si="8"/>
        <v>-3.4821840421065273E-2</v>
      </c>
    </row>
    <row r="170" spans="1:17" x14ac:dyDescent="0.3">
      <c r="A170" t="s">
        <v>182</v>
      </c>
      <c r="B170">
        <v>44.7</v>
      </c>
      <c r="C170">
        <v>130</v>
      </c>
      <c r="D170">
        <v>8.9160000000000003E-3</v>
      </c>
      <c r="E170">
        <v>33.5</v>
      </c>
      <c r="F170">
        <v>1</v>
      </c>
      <c r="G170">
        <v>3.7600416690111098E-2</v>
      </c>
      <c r="H170">
        <v>587.42829180160197</v>
      </c>
      <c r="I170">
        <v>30.5676975037453</v>
      </c>
      <c r="K170">
        <v>4.344472661614418E-2</v>
      </c>
      <c r="L170" s="2">
        <f t="shared" si="6"/>
        <v>15.543205210196872</v>
      </c>
      <c r="N170">
        <v>33.441154479980469</v>
      </c>
      <c r="O170">
        <v>581.61932373046875</v>
      </c>
      <c r="P170" s="2">
        <f t="shared" si="7"/>
        <v>9.400305586912781</v>
      </c>
      <c r="Q170" s="2">
        <f t="shared" si="8"/>
        <v>-0.98888122213479346</v>
      </c>
    </row>
    <row r="171" spans="1:17" x14ac:dyDescent="0.3">
      <c r="A171" t="s">
        <v>183</v>
      </c>
      <c r="B171">
        <v>57.1</v>
      </c>
      <c r="C171">
        <v>114.1</v>
      </c>
      <c r="D171">
        <v>1.2401000000000001E-2</v>
      </c>
      <c r="E171">
        <v>25.55</v>
      </c>
      <c r="F171">
        <v>1</v>
      </c>
      <c r="G171">
        <v>6.6015765070915194E-2</v>
      </c>
      <c r="H171">
        <v>532.17124127384</v>
      </c>
      <c r="I171">
        <v>51.434468385412003</v>
      </c>
      <c r="K171">
        <v>6.6208399832248688E-2</v>
      </c>
      <c r="L171" s="2">
        <f t="shared" si="6"/>
        <v>0.29180114950809399</v>
      </c>
      <c r="N171">
        <v>52.398536682128913</v>
      </c>
      <c r="O171">
        <v>529.13494873046875</v>
      </c>
      <c r="P171" s="2">
        <f t="shared" si="7"/>
        <v>1.8743623235159979</v>
      </c>
      <c r="Q171" s="2">
        <f t="shared" si="8"/>
        <v>-0.57054803188976866</v>
      </c>
    </row>
    <row r="172" spans="1:17" x14ac:dyDescent="0.3">
      <c r="A172" t="s">
        <v>184</v>
      </c>
      <c r="B172">
        <v>62.4</v>
      </c>
      <c r="C172">
        <v>112.5</v>
      </c>
      <c r="D172">
        <v>1.2036E-2</v>
      </c>
      <c r="E172">
        <v>20.46</v>
      </c>
      <c r="F172">
        <v>1</v>
      </c>
      <c r="G172">
        <v>6.8905182182788793E-2</v>
      </c>
      <c r="H172">
        <v>501.15974859616603</v>
      </c>
      <c r="I172">
        <v>60.3020802291433</v>
      </c>
      <c r="K172">
        <v>6.4507760107517242E-2</v>
      </c>
      <c r="L172" s="2">
        <f t="shared" si="6"/>
        <v>-6.3818452197198363</v>
      </c>
      <c r="N172">
        <v>58.6661376953125</v>
      </c>
      <c r="O172">
        <v>496.8702392578125</v>
      </c>
      <c r="P172" s="2">
        <f t="shared" si="7"/>
        <v>-2.7129122703799657</v>
      </c>
      <c r="Q172" s="2">
        <f t="shared" si="8"/>
        <v>-0.85591657158604084</v>
      </c>
    </row>
    <row r="173" spans="1:17" x14ac:dyDescent="0.3">
      <c r="A173" t="s">
        <v>185</v>
      </c>
      <c r="B173">
        <v>71.3</v>
      </c>
      <c r="C173">
        <v>107.9</v>
      </c>
      <c r="D173">
        <v>2.0400000000000001E-2</v>
      </c>
      <c r="E173">
        <v>30.35</v>
      </c>
      <c r="F173">
        <v>1</v>
      </c>
      <c r="G173">
        <v>0.12852396070957101</v>
      </c>
      <c r="H173">
        <v>559.36487329926194</v>
      </c>
      <c r="I173">
        <v>72.119928358598202</v>
      </c>
      <c r="K173">
        <v>0.1077319905161858</v>
      </c>
      <c r="L173" s="2">
        <f t="shared" si="6"/>
        <v>-16.17750501820386</v>
      </c>
      <c r="N173">
        <v>69.218818664550781</v>
      </c>
      <c r="O173">
        <v>557.0361328125</v>
      </c>
      <c r="P173" s="2">
        <f t="shared" si="7"/>
        <v>-4.0226186576647471</v>
      </c>
      <c r="Q173" s="2">
        <f t="shared" si="8"/>
        <v>-0.41631868533797994</v>
      </c>
    </row>
    <row r="174" spans="1:17" x14ac:dyDescent="0.3">
      <c r="A174" t="s">
        <v>186</v>
      </c>
      <c r="B174">
        <v>53.6</v>
      </c>
      <c r="C174">
        <v>119.9</v>
      </c>
      <c r="D174">
        <v>1.3129999999999999E-2</v>
      </c>
      <c r="E174">
        <v>32.61</v>
      </c>
      <c r="F174">
        <v>1</v>
      </c>
      <c r="G174">
        <v>6.0437966138124397E-2</v>
      </c>
      <c r="H174">
        <v>576.621066239225</v>
      </c>
      <c r="I174">
        <v>44.781390815720101</v>
      </c>
      <c r="K174">
        <v>5.9050798416137702E-2</v>
      </c>
      <c r="L174" s="2">
        <f t="shared" si="6"/>
        <v>-2.2951925927098098</v>
      </c>
      <c r="N174">
        <v>45.732810974121087</v>
      </c>
      <c r="O174">
        <v>572.82501220703125</v>
      </c>
      <c r="P174" s="2">
        <f t="shared" si="7"/>
        <v>2.1245882297764589</v>
      </c>
      <c r="Q174" s="2">
        <f t="shared" si="8"/>
        <v>-0.65832732351455014</v>
      </c>
    </row>
    <row r="175" spans="1:17" x14ac:dyDescent="0.3">
      <c r="A175" t="s">
        <v>187</v>
      </c>
      <c r="B175">
        <v>62.6</v>
      </c>
      <c r="C175">
        <v>106.4</v>
      </c>
      <c r="D175">
        <v>1.8027999999999999E-2</v>
      </c>
      <c r="E175">
        <v>32.450000000000003</v>
      </c>
      <c r="F175">
        <v>1</v>
      </c>
      <c r="G175">
        <v>0.120158903300762</v>
      </c>
      <c r="H175">
        <v>571.66044641888595</v>
      </c>
      <c r="I175">
        <v>59.373123528212702</v>
      </c>
      <c r="K175">
        <v>0.1016235575079918</v>
      </c>
      <c r="L175" s="2">
        <f t="shared" si="6"/>
        <v>-15.425694878702052</v>
      </c>
      <c r="N175">
        <v>56.869144439697273</v>
      </c>
      <c r="O175">
        <v>569.39862060546875</v>
      </c>
      <c r="P175" s="2">
        <f t="shared" si="7"/>
        <v>-4.2173612229203297</v>
      </c>
      <c r="Q175" s="2">
        <f t="shared" si="8"/>
        <v>-0.39565896636477177</v>
      </c>
    </row>
    <row r="176" spans="1:17" x14ac:dyDescent="0.3">
      <c r="A176" t="s">
        <v>188</v>
      </c>
      <c r="B176">
        <v>67.900000000000006</v>
      </c>
      <c r="C176">
        <v>113.4</v>
      </c>
      <c r="D176">
        <v>1.4367E-2</v>
      </c>
      <c r="E176">
        <v>22.12</v>
      </c>
      <c r="F176">
        <v>1</v>
      </c>
      <c r="G176">
        <v>7.9425111413002E-2</v>
      </c>
      <c r="H176">
        <v>511.379800512994</v>
      </c>
      <c r="I176">
        <v>67.260831903279694</v>
      </c>
      <c r="K176">
        <v>7.5962066650390625E-2</v>
      </c>
      <c r="L176" s="2">
        <f t="shared" si="6"/>
        <v>-4.3601383756377965</v>
      </c>
      <c r="N176">
        <v>65.754875183105469</v>
      </c>
      <c r="O176">
        <v>507.209228515625</v>
      </c>
      <c r="P176" s="2">
        <f t="shared" si="7"/>
        <v>-2.2389802171043227</v>
      </c>
      <c r="Q176" s="2">
        <f t="shared" si="8"/>
        <v>-0.81555274439570336</v>
      </c>
    </row>
    <row r="177" spans="1:17" x14ac:dyDescent="0.3">
      <c r="A177" t="s">
        <v>189</v>
      </c>
      <c r="B177">
        <v>62.4</v>
      </c>
      <c r="C177">
        <v>102.8</v>
      </c>
      <c r="D177">
        <v>1.762E-2</v>
      </c>
      <c r="E177">
        <v>31.23</v>
      </c>
      <c r="F177">
        <v>1</v>
      </c>
      <c r="G177">
        <v>0.142442092299461</v>
      </c>
      <c r="H177">
        <v>563.73105115395697</v>
      </c>
      <c r="I177">
        <v>60.950329289162902</v>
      </c>
      <c r="K177">
        <v>0.1143049448728561</v>
      </c>
      <c r="L177" s="2">
        <f t="shared" si="6"/>
        <v>-19.753393798408407</v>
      </c>
      <c r="N177">
        <v>57.881061553955078</v>
      </c>
      <c r="O177">
        <v>560.814453125</v>
      </c>
      <c r="P177" s="2">
        <f t="shared" si="7"/>
        <v>-5.0356868797976215</v>
      </c>
      <c r="Q177" s="2">
        <f t="shared" si="8"/>
        <v>-0.51737402489834383</v>
      </c>
    </row>
    <row r="178" spans="1:17" x14ac:dyDescent="0.3">
      <c r="A178" t="s">
        <v>190</v>
      </c>
      <c r="B178">
        <v>87.3</v>
      </c>
      <c r="C178">
        <v>104.7</v>
      </c>
      <c r="D178">
        <v>3.0572999999999999E-2</v>
      </c>
      <c r="E178">
        <v>35</v>
      </c>
      <c r="F178">
        <v>1</v>
      </c>
      <c r="G178">
        <v>0.21972700953483501</v>
      </c>
      <c r="H178">
        <v>586.65186590462599</v>
      </c>
      <c r="I178">
        <v>94.270777667651004</v>
      </c>
      <c r="K178">
        <v>0.12621223926544189</v>
      </c>
      <c r="L178" s="2">
        <f t="shared" si="6"/>
        <v>-42.55952441502987</v>
      </c>
      <c r="N178">
        <v>87.403121948242188</v>
      </c>
      <c r="O178">
        <v>594.38739013671875</v>
      </c>
      <c r="P178" s="2">
        <f t="shared" si="7"/>
        <v>-7.2850313631871639</v>
      </c>
      <c r="Q178" s="2">
        <f t="shared" si="8"/>
        <v>1.3185885329392864</v>
      </c>
    </row>
    <row r="179" spans="1:17" x14ac:dyDescent="0.3">
      <c r="A179" t="s">
        <v>191</v>
      </c>
      <c r="B179">
        <v>45.8</v>
      </c>
      <c r="C179">
        <v>130</v>
      </c>
      <c r="D179">
        <v>7.6559999999999996E-3</v>
      </c>
      <c r="E179">
        <v>26.15</v>
      </c>
      <c r="F179">
        <v>1</v>
      </c>
      <c r="G179">
        <v>3.3435430377721703E-2</v>
      </c>
      <c r="H179">
        <v>543.32829180160195</v>
      </c>
      <c r="I179">
        <v>33.065386194009697</v>
      </c>
      <c r="K179">
        <v>3.6190316081047058E-2</v>
      </c>
      <c r="L179" s="2">
        <f t="shared" si="6"/>
        <v>8.239420495573933</v>
      </c>
      <c r="N179">
        <v>36.430576324462891</v>
      </c>
      <c r="O179">
        <v>534.68292236328125</v>
      </c>
      <c r="P179" s="2">
        <f t="shared" si="7"/>
        <v>10.17738039020046</v>
      </c>
      <c r="Q179" s="2">
        <f t="shared" si="8"/>
        <v>-1.5911870537155064</v>
      </c>
    </row>
    <row r="180" spans="1:17" x14ac:dyDescent="0.3">
      <c r="A180" t="s">
        <v>192</v>
      </c>
      <c r="B180">
        <v>74</v>
      </c>
      <c r="C180">
        <v>114.3</v>
      </c>
      <c r="D180">
        <v>2.3335999999999999E-2</v>
      </c>
      <c r="E180">
        <v>35</v>
      </c>
      <c r="F180">
        <v>1</v>
      </c>
      <c r="G180">
        <v>0.118327498435974</v>
      </c>
      <c r="H180">
        <v>588.93315821430497</v>
      </c>
      <c r="I180">
        <v>73.093231798235493</v>
      </c>
      <c r="K180">
        <v>0.11075620353221891</v>
      </c>
      <c r="L180" s="2">
        <f t="shared" si="6"/>
        <v>-6.3985928916192325</v>
      </c>
      <c r="N180">
        <v>71.657096862792969</v>
      </c>
      <c r="O180">
        <v>587.3016357421875</v>
      </c>
      <c r="P180" s="2">
        <f t="shared" si="7"/>
        <v>-1.9647987920506662</v>
      </c>
      <c r="Q180" s="2">
        <f t="shared" si="8"/>
        <v>-0.2770301602756382</v>
      </c>
    </row>
    <row r="181" spans="1:17" x14ac:dyDescent="0.3">
      <c r="A181" t="s">
        <v>193</v>
      </c>
      <c r="B181">
        <v>70.599999999999994</v>
      </c>
      <c r="C181">
        <v>111.6</v>
      </c>
      <c r="D181">
        <v>1.6104E-2</v>
      </c>
      <c r="E181">
        <v>23.57</v>
      </c>
      <c r="F181">
        <v>1</v>
      </c>
      <c r="G181">
        <v>9.2535130679607294E-2</v>
      </c>
      <c r="H181">
        <v>519.57261243844096</v>
      </c>
      <c r="I181">
        <v>70.969629188660093</v>
      </c>
      <c r="K181">
        <v>8.7995871901512146E-2</v>
      </c>
      <c r="L181" s="2">
        <f t="shared" si="6"/>
        <v>-4.9054437431031817</v>
      </c>
      <c r="N181">
        <v>68.896919250488281</v>
      </c>
      <c r="O181">
        <v>515.3172607421875</v>
      </c>
      <c r="P181" s="2">
        <f t="shared" si="7"/>
        <v>-2.9205590643032422</v>
      </c>
      <c r="Q181" s="2">
        <f t="shared" si="8"/>
        <v>-0.81901000829939441</v>
      </c>
    </row>
    <row r="182" spans="1:17" x14ac:dyDescent="0.3">
      <c r="A182" t="s">
        <v>194</v>
      </c>
      <c r="B182">
        <v>62.9</v>
      </c>
      <c r="C182">
        <v>130</v>
      </c>
      <c r="D182">
        <v>1.2855999999999999E-2</v>
      </c>
      <c r="E182">
        <v>26.48</v>
      </c>
      <c r="F182">
        <v>1</v>
      </c>
      <c r="G182">
        <v>5.6030634790658902E-2</v>
      </c>
      <c r="H182">
        <v>545.30829180160197</v>
      </c>
      <c r="I182">
        <v>54.976195409932501</v>
      </c>
      <c r="K182">
        <v>6.1808902770280838E-2</v>
      </c>
      <c r="L182" s="2">
        <f t="shared" si="6"/>
        <v>10.312694120298017</v>
      </c>
      <c r="N182">
        <v>57.799339294433587</v>
      </c>
      <c r="O182">
        <v>540.10723876953125</v>
      </c>
      <c r="P182" s="2">
        <f t="shared" si="7"/>
        <v>5.1352114555221311</v>
      </c>
      <c r="Q182" s="2">
        <f t="shared" si="8"/>
        <v>-0.95378212843369026</v>
      </c>
    </row>
    <row r="183" spans="1:17" x14ac:dyDescent="0.3">
      <c r="A183" t="s">
        <v>195</v>
      </c>
      <c r="B183">
        <v>45.4</v>
      </c>
      <c r="C183">
        <v>104.1</v>
      </c>
      <c r="D183">
        <v>8.1449999999999995E-3</v>
      </c>
      <c r="E183">
        <v>22.82</v>
      </c>
      <c r="F183">
        <v>1</v>
      </c>
      <c r="G183">
        <v>6.2782481312751701E-2</v>
      </c>
      <c r="H183">
        <v>513.47192894749605</v>
      </c>
      <c r="I183">
        <v>36.848882276280897</v>
      </c>
      <c r="K183">
        <v>6.1309609562158578E-2</v>
      </c>
      <c r="L183" s="2">
        <f t="shared" si="6"/>
        <v>-2.3459916202674345</v>
      </c>
      <c r="N183">
        <v>37.720645904541023</v>
      </c>
      <c r="O183">
        <v>508.95751953125</v>
      </c>
      <c r="P183" s="2">
        <f t="shared" si="7"/>
        <v>2.3657803830355748</v>
      </c>
      <c r="Q183" s="2">
        <f t="shared" si="8"/>
        <v>-0.87919303115548986</v>
      </c>
    </row>
    <row r="184" spans="1:17" x14ac:dyDescent="0.3">
      <c r="A184" t="s">
        <v>196</v>
      </c>
      <c r="B184">
        <v>66.099999999999994</v>
      </c>
      <c r="C184">
        <v>107.6</v>
      </c>
      <c r="D184">
        <v>2.0688000000000002E-2</v>
      </c>
      <c r="E184">
        <v>35</v>
      </c>
      <c r="F184">
        <v>1</v>
      </c>
      <c r="G184">
        <v>0.12984228134155201</v>
      </c>
      <c r="H184">
        <v>587.20151908115702</v>
      </c>
      <c r="I184">
        <v>64.246054796783099</v>
      </c>
      <c r="K184">
        <v>0.10665392875671389</v>
      </c>
      <c r="L184" s="2">
        <f t="shared" si="6"/>
        <v>-17.858861031439226</v>
      </c>
      <c r="N184">
        <v>60.034023284912109</v>
      </c>
      <c r="O184">
        <v>587.49444580078125</v>
      </c>
      <c r="P184" s="2">
        <f t="shared" si="7"/>
        <v>-6.5560936390476883</v>
      </c>
      <c r="Q184" s="2">
        <f t="shared" si="8"/>
        <v>4.988521148286542E-2</v>
      </c>
    </row>
    <row r="185" spans="1:17" x14ac:dyDescent="0.3">
      <c r="A185" t="s">
        <v>197</v>
      </c>
      <c r="B185">
        <v>81.400000000000006</v>
      </c>
      <c r="C185">
        <v>107.6</v>
      </c>
      <c r="D185">
        <v>2.5291000000000001E-2</v>
      </c>
      <c r="E185">
        <v>31.62</v>
      </c>
      <c r="F185">
        <v>1.07</v>
      </c>
      <c r="G185">
        <v>0.16046954691410001</v>
      </c>
      <c r="H185">
        <v>581.08316984071905</v>
      </c>
      <c r="I185">
        <v>86.457029564399093</v>
      </c>
      <c r="K185">
        <v>0.13664993643760681</v>
      </c>
      <c r="L185" s="2">
        <f t="shared" si="6"/>
        <v>-14.843695227259493</v>
      </c>
      <c r="N185">
        <v>85.176078796386719</v>
      </c>
      <c r="O185">
        <v>583.69580078125</v>
      </c>
      <c r="P185" s="2">
        <f t="shared" si="7"/>
        <v>-1.4816039533930956</v>
      </c>
      <c r="Q185" s="2">
        <f t="shared" si="8"/>
        <v>0.44961394102105867</v>
      </c>
    </row>
    <row r="186" spans="1:17" x14ac:dyDescent="0.3">
      <c r="A186" t="s">
        <v>198</v>
      </c>
      <c r="B186">
        <v>44.4</v>
      </c>
      <c r="C186">
        <v>114.9</v>
      </c>
      <c r="D186">
        <v>6.7140000000000003E-3</v>
      </c>
      <c r="E186">
        <v>20</v>
      </c>
      <c r="F186">
        <v>1</v>
      </c>
      <c r="G186">
        <v>3.6442622542381203E-2</v>
      </c>
      <c r="H186">
        <v>499.12299333356401</v>
      </c>
      <c r="I186">
        <v>34.532259927450603</v>
      </c>
      <c r="K186">
        <v>3.6560859531164169E-2</v>
      </c>
      <c r="L186" s="2">
        <f t="shared" si="6"/>
        <v>0.32444698140333184</v>
      </c>
      <c r="N186">
        <v>36.509567260742188</v>
      </c>
      <c r="O186">
        <v>494.56900024414063</v>
      </c>
      <c r="P186" s="2">
        <f t="shared" si="7"/>
        <v>5.7259714175838532</v>
      </c>
      <c r="Q186" s="2">
        <f t="shared" si="8"/>
        <v>-0.91239897785673674</v>
      </c>
    </row>
    <row r="187" spans="1:17" x14ac:dyDescent="0.3">
      <c r="A187" t="s">
        <v>199</v>
      </c>
      <c r="B187">
        <v>72.2</v>
      </c>
      <c r="C187">
        <v>114.7</v>
      </c>
      <c r="D187">
        <v>1.7423000000000001E-2</v>
      </c>
      <c r="E187">
        <v>25.63</v>
      </c>
      <c r="F187">
        <v>1</v>
      </c>
      <c r="G187">
        <v>9.1450683772563907E-2</v>
      </c>
      <c r="H187">
        <v>532.83902945414002</v>
      </c>
      <c r="I187">
        <v>71.941584734092899</v>
      </c>
      <c r="K187">
        <v>8.9705809950828552E-2</v>
      </c>
      <c r="L187" s="2">
        <f t="shared" si="6"/>
        <v>-1.9079942869260791</v>
      </c>
      <c r="N187">
        <v>70.224693298339844</v>
      </c>
      <c r="O187">
        <v>529.99853515625</v>
      </c>
      <c r="P187" s="2">
        <f t="shared" si="7"/>
        <v>-2.3865076674345564</v>
      </c>
      <c r="Q187" s="2">
        <f t="shared" si="8"/>
        <v>-0.53308675620100976</v>
      </c>
    </row>
    <row r="188" spans="1:17" x14ac:dyDescent="0.3">
      <c r="A188" t="s">
        <v>200</v>
      </c>
      <c r="B188">
        <v>83</v>
      </c>
      <c r="C188">
        <v>130</v>
      </c>
      <c r="D188">
        <v>1.9890000000000001E-2</v>
      </c>
      <c r="E188">
        <v>28.32</v>
      </c>
      <c r="F188">
        <v>1</v>
      </c>
      <c r="G188">
        <v>8.5858136415481498E-2</v>
      </c>
      <c r="H188">
        <v>556.34829180160102</v>
      </c>
      <c r="I188">
        <v>80.046408185837507</v>
      </c>
      <c r="K188">
        <v>8.6881585419178009E-2</v>
      </c>
      <c r="L188" s="2">
        <f t="shared" si="6"/>
        <v>1.1920233147664361</v>
      </c>
      <c r="N188">
        <v>79.6407470703125</v>
      </c>
      <c r="O188">
        <v>552.69366455078125</v>
      </c>
      <c r="P188" s="2">
        <f t="shared" si="7"/>
        <v>-0.50678240875370062</v>
      </c>
      <c r="Q188" s="2">
        <f t="shared" si="8"/>
        <v>-0.65689556428494367</v>
      </c>
    </row>
    <row r="189" spans="1:17" x14ac:dyDescent="0.3">
      <c r="A189" t="s">
        <v>201</v>
      </c>
      <c r="B189">
        <v>77.8</v>
      </c>
      <c r="C189">
        <v>106.8</v>
      </c>
      <c r="D189">
        <v>2.4483000000000001E-2</v>
      </c>
      <c r="E189">
        <v>32.549999999999997</v>
      </c>
      <c r="F189">
        <v>2</v>
      </c>
      <c r="G189">
        <v>0.157402113080024</v>
      </c>
      <c r="H189">
        <v>780.17362979693701</v>
      </c>
      <c r="I189">
        <v>98.989100569662995</v>
      </c>
      <c r="K189">
        <v>0.14465832710266111</v>
      </c>
      <c r="L189" s="2">
        <f t="shared" si="6"/>
        <v>-8.0963245842092935</v>
      </c>
      <c r="N189">
        <v>96.588584899902344</v>
      </c>
      <c r="O189">
        <v>772.9049072265625</v>
      </c>
      <c r="P189" s="2">
        <f t="shared" si="7"/>
        <v>-2.4250302871186329</v>
      </c>
      <c r="Q189" s="2">
        <f t="shared" si="8"/>
        <v>-0.93168011488242752</v>
      </c>
    </row>
    <row r="190" spans="1:17" x14ac:dyDescent="0.3">
      <c r="A190" t="s">
        <v>202</v>
      </c>
      <c r="B190">
        <v>79.900000000000006</v>
      </c>
      <c r="C190">
        <v>118.3</v>
      </c>
      <c r="D190">
        <v>2.0636000000000002E-2</v>
      </c>
      <c r="E190">
        <v>27.5</v>
      </c>
      <c r="F190">
        <v>1</v>
      </c>
      <c r="G190">
        <v>9.9849507212638799E-2</v>
      </c>
      <c r="H190">
        <v>545.32054130509096</v>
      </c>
      <c r="I190">
        <v>81.243256840558004</v>
      </c>
      <c r="K190">
        <v>9.7050368785858154E-2</v>
      </c>
      <c r="L190" s="2">
        <f t="shared" si="6"/>
        <v>-2.8033572772869273</v>
      </c>
      <c r="N190">
        <v>79.242172241210938</v>
      </c>
      <c r="O190">
        <v>543.40985107421875</v>
      </c>
      <c r="P190" s="2">
        <f t="shared" si="7"/>
        <v>-2.463077770594853</v>
      </c>
      <c r="Q190" s="2">
        <f t="shared" si="8"/>
        <v>-0.35037928817048358</v>
      </c>
    </row>
    <row r="191" spans="1:17" x14ac:dyDescent="0.3">
      <c r="A191" t="s">
        <v>203</v>
      </c>
      <c r="B191">
        <v>83</v>
      </c>
      <c r="C191">
        <v>112.9</v>
      </c>
      <c r="D191">
        <v>2.3903000000000001E-2</v>
      </c>
      <c r="E191">
        <v>29.63</v>
      </c>
      <c r="F191">
        <v>1</v>
      </c>
      <c r="G191">
        <v>0.12845917046070099</v>
      </c>
      <c r="H191">
        <v>556.29371009739702</v>
      </c>
      <c r="I191">
        <v>86.546658465860403</v>
      </c>
      <c r="K191">
        <v>0.1205559596419334</v>
      </c>
      <c r="L191" s="2">
        <f t="shared" si="6"/>
        <v>-6.1523134474742598</v>
      </c>
      <c r="N191">
        <v>84.738044738769531</v>
      </c>
      <c r="O191">
        <v>555.482177734375</v>
      </c>
      <c r="P191" s="2">
        <f t="shared" si="7"/>
        <v>-2.0897556984297743</v>
      </c>
      <c r="Q191" s="2">
        <f t="shared" si="8"/>
        <v>-0.14588199512087596</v>
      </c>
    </row>
    <row r="192" spans="1:17" x14ac:dyDescent="0.3">
      <c r="A192" t="s">
        <v>204</v>
      </c>
      <c r="B192">
        <v>46</v>
      </c>
      <c r="C192">
        <v>130</v>
      </c>
      <c r="D192">
        <v>7.7349999999999997E-3</v>
      </c>
      <c r="E192">
        <v>26.23</v>
      </c>
      <c r="F192">
        <v>1</v>
      </c>
      <c r="G192">
        <v>3.37569080293178E-2</v>
      </c>
      <c r="H192">
        <v>543.80829180160197</v>
      </c>
      <c r="I192">
        <v>33.119564494384598</v>
      </c>
      <c r="K192">
        <v>3.6571886390447617E-2</v>
      </c>
      <c r="L192" s="2">
        <f t="shared" si="6"/>
        <v>8.3389697856362126</v>
      </c>
      <c r="N192">
        <v>36.655155181884773</v>
      </c>
      <c r="O192">
        <v>535.25250244140625</v>
      </c>
      <c r="P192" s="2">
        <f t="shared" si="7"/>
        <v>10.675233027595009</v>
      </c>
      <c r="Q192" s="2">
        <f t="shared" si="8"/>
        <v>-1.573309838996926</v>
      </c>
    </row>
    <row r="193" spans="1:17" x14ac:dyDescent="0.3">
      <c r="A193" t="s">
        <v>205</v>
      </c>
      <c r="B193">
        <v>61.4</v>
      </c>
      <c r="C193">
        <v>126.4</v>
      </c>
      <c r="D193">
        <v>1.0433E-2</v>
      </c>
      <c r="E193">
        <v>20</v>
      </c>
      <c r="F193">
        <v>1</v>
      </c>
      <c r="G193">
        <v>4.8383533954620299E-2</v>
      </c>
      <c r="H193">
        <v>504.16002697779498</v>
      </c>
      <c r="I193">
        <v>56.297898379641801</v>
      </c>
      <c r="K193">
        <v>4.9450099468231201E-2</v>
      </c>
      <c r="L193" s="2">
        <f t="shared" si="6"/>
        <v>2.2043977081361015</v>
      </c>
      <c r="N193">
        <v>58.09442138671875</v>
      </c>
      <c r="O193">
        <v>497.59249877929688</v>
      </c>
      <c r="P193" s="2">
        <f t="shared" si="7"/>
        <v>3.1911013710710736</v>
      </c>
      <c r="Q193" s="2">
        <f t="shared" si="8"/>
        <v>-1.3026673768381418</v>
      </c>
    </row>
    <row r="194" spans="1:17" x14ac:dyDescent="0.3">
      <c r="A194" t="s">
        <v>206</v>
      </c>
      <c r="B194">
        <v>43</v>
      </c>
      <c r="C194">
        <v>119</v>
      </c>
      <c r="D194">
        <v>7.2220000000000001E-3</v>
      </c>
      <c r="E194">
        <v>24.63</v>
      </c>
      <c r="F194">
        <v>1</v>
      </c>
      <c r="G194">
        <v>3.5147845745086601E-2</v>
      </c>
      <c r="H194">
        <v>528.37437582907899</v>
      </c>
      <c r="I194">
        <v>31.479449898722901</v>
      </c>
      <c r="K194">
        <v>3.6833997815847397E-2</v>
      </c>
      <c r="L194" s="2">
        <f t="shared" si="6"/>
        <v>4.7973127086928438</v>
      </c>
      <c r="N194">
        <v>33.663497924804688</v>
      </c>
      <c r="O194">
        <v>522.95672607421875</v>
      </c>
      <c r="P194" s="2">
        <f t="shared" si="7"/>
        <v>6.9380120462981516</v>
      </c>
      <c r="Q194" s="2">
        <f t="shared" si="8"/>
        <v>-1.0253430148574734</v>
      </c>
    </row>
    <row r="195" spans="1:17" x14ac:dyDescent="0.3">
      <c r="A195" t="s">
        <v>207</v>
      </c>
      <c r="B195">
        <v>83.1</v>
      </c>
      <c r="C195">
        <v>122.1</v>
      </c>
      <c r="D195">
        <v>2.1139000000000002E-2</v>
      </c>
      <c r="E195">
        <v>27.61</v>
      </c>
      <c r="F195">
        <v>1</v>
      </c>
      <c r="G195">
        <v>9.6933118999004295E-2</v>
      </c>
      <c r="H195">
        <v>547.59046377432401</v>
      </c>
      <c r="I195">
        <v>84.226839582835694</v>
      </c>
      <c r="K195">
        <v>9.5527537167072296E-2</v>
      </c>
      <c r="L195" s="2">
        <f t="shared" si="6"/>
        <v>-1.4500532392302745</v>
      </c>
      <c r="N195">
        <v>82.491371154785156</v>
      </c>
      <c r="O195">
        <v>546.9481201171875</v>
      </c>
      <c r="P195" s="2">
        <f t="shared" si="7"/>
        <v>-2.0604696040431789</v>
      </c>
      <c r="Q195" s="2">
        <f t="shared" si="8"/>
        <v>-0.11730366024073667</v>
      </c>
    </row>
    <row r="196" spans="1:17" x14ac:dyDescent="0.3">
      <c r="A196" t="s">
        <v>208</v>
      </c>
      <c r="B196">
        <v>57.2</v>
      </c>
      <c r="C196">
        <v>100</v>
      </c>
      <c r="D196">
        <v>1.5376000000000001E-2</v>
      </c>
      <c r="E196">
        <v>30.72</v>
      </c>
      <c r="F196">
        <v>1.27</v>
      </c>
      <c r="G196">
        <v>0.14887465536594299</v>
      </c>
      <c r="H196">
        <v>613.36536963603601</v>
      </c>
      <c r="I196">
        <v>57.832434181599197</v>
      </c>
      <c r="K196">
        <v>0.1330133527517319</v>
      </c>
      <c r="L196" s="2">
        <f t="shared" si="6"/>
        <v>-10.654132212916323</v>
      </c>
      <c r="N196">
        <v>57.4005126953125</v>
      </c>
      <c r="O196">
        <v>609.77496337890625</v>
      </c>
      <c r="P196" s="2">
        <f t="shared" si="7"/>
        <v>-0.7468499163123995</v>
      </c>
      <c r="Q196" s="2">
        <f t="shared" si="8"/>
        <v>-0.58536174927193285</v>
      </c>
    </row>
    <row r="197" spans="1:17" x14ac:dyDescent="0.3">
      <c r="A197" t="s">
        <v>209</v>
      </c>
      <c r="B197">
        <v>43.1</v>
      </c>
      <c r="C197">
        <v>107.9</v>
      </c>
      <c r="D197">
        <v>8.2059999999999998E-3</v>
      </c>
      <c r="E197">
        <v>26.44</v>
      </c>
      <c r="F197">
        <v>1</v>
      </c>
      <c r="G197">
        <v>5.2542891353368697E-2</v>
      </c>
      <c r="H197">
        <v>535.90487329926202</v>
      </c>
      <c r="I197">
        <v>32.382841658449301</v>
      </c>
      <c r="K197">
        <v>5.4673116654157639E-2</v>
      </c>
      <c r="L197" s="2">
        <f t="shared" si="6"/>
        <v>4.0542597598264187</v>
      </c>
      <c r="N197">
        <v>34.114959716796882</v>
      </c>
      <c r="O197">
        <v>532.92022705078125</v>
      </c>
      <c r="P197" s="2">
        <f t="shared" si="7"/>
        <v>5.3488760394060053</v>
      </c>
      <c r="Q197" s="2">
        <f t="shared" si="8"/>
        <v>-0.5569358289477756</v>
      </c>
    </row>
    <row r="198" spans="1:17" x14ac:dyDescent="0.3">
      <c r="A198" t="s">
        <v>210</v>
      </c>
      <c r="B198">
        <v>53.6</v>
      </c>
      <c r="C198">
        <v>100</v>
      </c>
      <c r="D198">
        <v>1.4576E-2</v>
      </c>
      <c r="E198">
        <v>32.549999999999997</v>
      </c>
      <c r="F198">
        <v>1.21</v>
      </c>
      <c r="G198">
        <v>0.14163126051425901</v>
      </c>
      <c r="H198">
        <v>614.86086247547996</v>
      </c>
      <c r="I198">
        <v>51.390286314226898</v>
      </c>
      <c r="K198">
        <v>0.12535339593887329</v>
      </c>
      <c r="L198" s="2">
        <f t="shared" si="6"/>
        <v>-11.493129776774746</v>
      </c>
      <c r="N198">
        <v>51.688323974609382</v>
      </c>
      <c r="O198">
        <v>613.437255859375</v>
      </c>
      <c r="P198" s="2">
        <f t="shared" si="7"/>
        <v>0.57994940631411673</v>
      </c>
      <c r="Q198" s="2">
        <f t="shared" si="8"/>
        <v>-0.23153313261367875</v>
      </c>
    </row>
    <row r="199" spans="1:17" x14ac:dyDescent="0.3">
      <c r="A199" t="s">
        <v>211</v>
      </c>
      <c r="B199">
        <v>72.5</v>
      </c>
      <c r="C199">
        <v>130</v>
      </c>
      <c r="D199">
        <v>1.7000000000000001E-2</v>
      </c>
      <c r="E199">
        <v>29.25</v>
      </c>
      <c r="F199">
        <v>1</v>
      </c>
      <c r="G199">
        <v>7.3051996529102298E-2</v>
      </c>
      <c r="H199">
        <v>561.92829180160197</v>
      </c>
      <c r="I199">
        <v>65.702942813306194</v>
      </c>
      <c r="K199">
        <v>8.1504277884960175E-2</v>
      </c>
      <c r="L199" s="2">
        <f t="shared" si="6"/>
        <v>11.570226355813116</v>
      </c>
      <c r="N199">
        <v>69.40869140625</v>
      </c>
      <c r="O199">
        <v>560.3096923828125</v>
      </c>
      <c r="P199" s="2">
        <f t="shared" si="7"/>
        <v>5.6401561852010618</v>
      </c>
      <c r="Q199" s="2">
        <f t="shared" si="8"/>
        <v>-0.28804376686570987</v>
      </c>
    </row>
    <row r="200" spans="1:17" x14ac:dyDescent="0.3">
      <c r="A200" t="s">
        <v>212</v>
      </c>
      <c r="B200">
        <v>53.3</v>
      </c>
      <c r="C200">
        <v>107.3</v>
      </c>
      <c r="D200">
        <v>9.5289999999999993E-3</v>
      </c>
      <c r="E200">
        <v>20</v>
      </c>
      <c r="F200">
        <v>1</v>
      </c>
      <c r="G200">
        <v>6.4522936940193107E-2</v>
      </c>
      <c r="H200">
        <v>497.13940869575401</v>
      </c>
      <c r="I200">
        <v>48.168137228289702</v>
      </c>
      <c r="K200">
        <v>5.9684772044420242E-2</v>
      </c>
      <c r="L200" s="2">
        <f t="shared" si="6"/>
        <v>-7.4983643417493582</v>
      </c>
      <c r="N200">
        <v>47.850555419921882</v>
      </c>
      <c r="O200">
        <v>491.2176513671875</v>
      </c>
      <c r="P200" s="2">
        <f t="shared" si="7"/>
        <v>-0.65931926506242389</v>
      </c>
      <c r="Q200" s="2">
        <f t="shared" si="8"/>
        <v>-1.1911663458952597</v>
      </c>
    </row>
    <row r="201" spans="1:17" x14ac:dyDescent="0.3">
      <c r="A201" t="s">
        <v>213</v>
      </c>
      <c r="B201">
        <v>62.7</v>
      </c>
      <c r="C201">
        <v>104.8</v>
      </c>
      <c r="D201">
        <v>1.5592999999999999E-2</v>
      </c>
      <c r="E201">
        <v>26.92</v>
      </c>
      <c r="F201">
        <v>1</v>
      </c>
      <c r="G201">
        <v>0.114228002727031</v>
      </c>
      <c r="H201">
        <v>538.18897187354196</v>
      </c>
      <c r="I201">
        <v>61.376469579383901</v>
      </c>
      <c r="K201">
        <v>9.8403848707675934E-2</v>
      </c>
      <c r="L201" s="2">
        <f t="shared" ref="L201:L264" si="9">(K201-G201)/G201*100</f>
        <v>-13.853130267163838</v>
      </c>
      <c r="N201">
        <v>58.060417175292969</v>
      </c>
      <c r="O201">
        <v>532.70556640625</v>
      </c>
      <c r="P201" s="2">
        <f t="shared" ref="P201:P257" si="10">(N201-I201)/I201*100</f>
        <v>-5.4028073410152286</v>
      </c>
      <c r="Q201" s="2">
        <f t="shared" ref="Q201:Q257" si="11">(O201-H201)/H201*100</f>
        <v>-1.0188624728230946</v>
      </c>
    </row>
    <row r="202" spans="1:17" x14ac:dyDescent="0.3">
      <c r="A202" t="s">
        <v>214</v>
      </c>
      <c r="B202">
        <v>62.6</v>
      </c>
      <c r="C202">
        <v>130</v>
      </c>
      <c r="D202">
        <v>1.2555999999999999E-2</v>
      </c>
      <c r="E202">
        <v>25.92</v>
      </c>
      <c r="F202">
        <v>1</v>
      </c>
      <c r="G202">
        <v>5.4903965443372699E-2</v>
      </c>
      <c r="H202">
        <v>541.94829180160195</v>
      </c>
      <c r="I202">
        <v>54.569448975037901</v>
      </c>
      <c r="K202">
        <v>6.0064807534217828E-2</v>
      </c>
      <c r="L202" s="2">
        <f t="shared" si="9"/>
        <v>9.3997620193170945</v>
      </c>
      <c r="N202">
        <v>57.688968658447273</v>
      </c>
      <c r="O202">
        <v>536.27239990234375</v>
      </c>
      <c r="P202" s="2">
        <f t="shared" si="10"/>
        <v>5.7166046973213103</v>
      </c>
      <c r="Q202" s="2">
        <f t="shared" si="11"/>
        <v>-1.0473124438476966</v>
      </c>
    </row>
    <row r="203" spans="1:17" x14ac:dyDescent="0.3">
      <c r="A203" t="s">
        <v>215</v>
      </c>
      <c r="B203">
        <v>60.8</v>
      </c>
      <c r="C203">
        <v>112.9</v>
      </c>
      <c r="D203">
        <v>1.2855E-2</v>
      </c>
      <c r="E203">
        <v>23.5</v>
      </c>
      <c r="F203">
        <v>1</v>
      </c>
      <c r="G203">
        <v>7.1384295821189797E-2</v>
      </c>
      <c r="H203">
        <v>519.51371009739603</v>
      </c>
      <c r="I203">
        <v>57.036396967567597</v>
      </c>
      <c r="K203">
        <v>6.8448528647422791E-2</v>
      </c>
      <c r="L203" s="2">
        <f t="shared" si="9"/>
        <v>-4.1126232877897912</v>
      </c>
      <c r="N203">
        <v>56.456912994384773</v>
      </c>
      <c r="O203">
        <v>515.65570068359375</v>
      </c>
      <c r="P203" s="2">
        <f t="shared" si="10"/>
        <v>-1.0159897959759532</v>
      </c>
      <c r="Q203" s="2">
        <f t="shared" si="11"/>
        <v>-0.74261936476690804</v>
      </c>
    </row>
    <row r="204" spans="1:17" x14ac:dyDescent="0.3">
      <c r="A204" t="s">
        <v>216</v>
      </c>
      <c r="B204">
        <v>55</v>
      </c>
      <c r="C204">
        <v>114</v>
      </c>
      <c r="D204">
        <v>1.2578000000000001E-2</v>
      </c>
      <c r="E204">
        <v>27.95</v>
      </c>
      <c r="F204">
        <v>1</v>
      </c>
      <c r="G204">
        <v>6.6272146999835899E-2</v>
      </c>
      <c r="H204">
        <v>546.54053541185795</v>
      </c>
      <c r="I204">
        <v>48.166532257633399</v>
      </c>
      <c r="K204">
        <v>6.6128656268119812E-2</v>
      </c>
      <c r="L204" s="2">
        <f t="shared" si="9"/>
        <v>-0.2165174031806181</v>
      </c>
      <c r="N204">
        <v>48.813846588134773</v>
      </c>
      <c r="O204">
        <v>543.30322265625</v>
      </c>
      <c r="P204" s="2">
        <f t="shared" si="10"/>
        <v>1.3439089346084026</v>
      </c>
      <c r="Q204" s="2">
        <f t="shared" si="11"/>
        <v>-0.59232802433737053</v>
      </c>
    </row>
    <row r="205" spans="1:17" x14ac:dyDescent="0.3">
      <c r="A205" t="s">
        <v>217</v>
      </c>
      <c r="B205">
        <v>68.5</v>
      </c>
      <c r="C205">
        <v>105.2</v>
      </c>
      <c r="D205">
        <v>2.1995000000000001E-2</v>
      </c>
      <c r="E205">
        <v>35</v>
      </c>
      <c r="F205">
        <v>1</v>
      </c>
      <c r="G205">
        <v>0.154002174735069</v>
      </c>
      <c r="H205">
        <v>586.73869122262602</v>
      </c>
      <c r="I205">
        <v>68.386878604476095</v>
      </c>
      <c r="K205">
        <v>0.1134786531329155</v>
      </c>
      <c r="L205" s="2">
        <f t="shared" si="9"/>
        <v>-26.31360347466936</v>
      </c>
      <c r="N205">
        <v>62.984287261962891</v>
      </c>
      <c r="O205">
        <v>589.0579833984375</v>
      </c>
      <c r="P205" s="2">
        <f t="shared" si="10"/>
        <v>-7.9000408452032946</v>
      </c>
      <c r="Q205" s="2">
        <f t="shared" si="11"/>
        <v>0.39528536476410336</v>
      </c>
    </row>
    <row r="206" spans="1:17" x14ac:dyDescent="0.3">
      <c r="A206" t="s">
        <v>218</v>
      </c>
      <c r="B206">
        <v>70.7</v>
      </c>
      <c r="C206">
        <v>118.5</v>
      </c>
      <c r="D206">
        <v>1.6475E-2</v>
      </c>
      <c r="E206">
        <v>25.61</v>
      </c>
      <c r="F206">
        <v>1</v>
      </c>
      <c r="G206">
        <v>8.0348335206508595E-2</v>
      </c>
      <c r="H206">
        <v>534.05778390802402</v>
      </c>
      <c r="I206">
        <v>68.751691983059004</v>
      </c>
      <c r="K206">
        <v>8.1597819924354553E-2</v>
      </c>
      <c r="L206" s="2">
        <f t="shared" si="9"/>
        <v>1.5550847626582116</v>
      </c>
      <c r="N206">
        <v>68.725151062011719</v>
      </c>
      <c r="O206">
        <v>529.97711181640625</v>
      </c>
      <c r="P206" s="2">
        <f t="shared" si="10"/>
        <v>-3.8604025998116881E-2</v>
      </c>
      <c r="Q206" s="2">
        <f t="shared" si="11"/>
        <v>-0.764088122029984</v>
      </c>
    </row>
    <row r="207" spans="1:17" x14ac:dyDescent="0.3">
      <c r="A207" t="s">
        <v>219</v>
      </c>
      <c r="B207">
        <v>67.3</v>
      </c>
      <c r="C207">
        <v>130</v>
      </c>
      <c r="D207">
        <v>1.3056E-2</v>
      </c>
      <c r="E207">
        <v>23.78</v>
      </c>
      <c r="F207">
        <v>1</v>
      </c>
      <c r="G207">
        <v>5.7837590575218201E-2</v>
      </c>
      <c r="H207">
        <v>529.10829180160204</v>
      </c>
      <c r="I207">
        <v>61.486388816580401</v>
      </c>
      <c r="K207">
        <v>6.4395949244499207E-2</v>
      </c>
      <c r="L207" s="2">
        <f t="shared" si="9"/>
        <v>11.339266736486566</v>
      </c>
      <c r="N207">
        <v>65.455299377441406</v>
      </c>
      <c r="O207">
        <v>523.0921630859375</v>
      </c>
      <c r="P207" s="2">
        <f t="shared" si="10"/>
        <v>6.4549417151503778</v>
      </c>
      <c r="Q207" s="2">
        <f t="shared" si="11"/>
        <v>-1.1370316452950966</v>
      </c>
    </row>
    <row r="208" spans="1:17" x14ac:dyDescent="0.3">
      <c r="A208" t="s">
        <v>224</v>
      </c>
      <c r="B208">
        <v>78.900000000000006</v>
      </c>
      <c r="C208">
        <v>119.3</v>
      </c>
      <c r="D208">
        <v>2.0922E-2</v>
      </c>
      <c r="E208">
        <v>28.85</v>
      </c>
      <c r="F208">
        <v>1</v>
      </c>
      <c r="G208">
        <v>9.8938435316085802E-2</v>
      </c>
      <c r="H208">
        <v>553.81475364724895</v>
      </c>
      <c r="I208">
        <v>79.188112297675403</v>
      </c>
      <c r="K208">
        <v>9.6602596342563629E-2</v>
      </c>
      <c r="L208" s="2">
        <f t="shared" si="9"/>
        <v>-2.3609014697470179</v>
      </c>
      <c r="N208">
        <v>77.697273254394531</v>
      </c>
      <c r="O208">
        <v>552.755615234375</v>
      </c>
      <c r="P208" s="2">
        <f t="shared" si="10"/>
        <v>-1.882655110752824</v>
      </c>
      <c r="Q208" s="2">
        <f t="shared" si="11"/>
        <v>-0.19124416709717434</v>
      </c>
    </row>
    <row r="209" spans="1:17" x14ac:dyDescent="0.3">
      <c r="A209" t="s">
        <v>225</v>
      </c>
      <c r="B209">
        <v>70.7</v>
      </c>
      <c r="C209">
        <v>107.4</v>
      </c>
      <c r="D209">
        <v>2.2773999999999999E-2</v>
      </c>
      <c r="E209">
        <v>35</v>
      </c>
      <c r="F209">
        <v>1.01</v>
      </c>
      <c r="G209">
        <v>0.14411550760269101</v>
      </c>
      <c r="H209">
        <v>589.38572903035197</v>
      </c>
      <c r="I209">
        <v>70.526648252320001</v>
      </c>
      <c r="K209">
        <v>0.11669047921895979</v>
      </c>
      <c r="L209" s="2">
        <f t="shared" si="9"/>
        <v>-19.029894034262224</v>
      </c>
      <c r="N209">
        <v>67.367240905761719</v>
      </c>
      <c r="O209">
        <v>590.6927490234375</v>
      </c>
      <c r="P209" s="2">
        <f t="shared" si="10"/>
        <v>-4.4797355678310602</v>
      </c>
      <c r="Q209" s="2">
        <f t="shared" si="11"/>
        <v>0.22175969466308948</v>
      </c>
    </row>
    <row r="210" spans="1:17" x14ac:dyDescent="0.3">
      <c r="A210" t="s">
        <v>226</v>
      </c>
      <c r="B210">
        <v>54.1</v>
      </c>
      <c r="C210">
        <v>113.5</v>
      </c>
      <c r="D210">
        <v>1.4805E-2</v>
      </c>
      <c r="E210">
        <v>35</v>
      </c>
      <c r="F210">
        <v>1</v>
      </c>
      <c r="G210">
        <v>7.6624296605587006E-2</v>
      </c>
      <c r="H210">
        <v>588.68950913172796</v>
      </c>
      <c r="I210">
        <v>46.192932552590399</v>
      </c>
      <c r="K210">
        <v>7.501741498708725E-2</v>
      </c>
      <c r="L210" s="2">
        <f t="shared" si="9"/>
        <v>-2.0970915097217233</v>
      </c>
      <c r="N210">
        <v>47.047588348388672</v>
      </c>
      <c r="O210">
        <v>585.8226318359375</v>
      </c>
      <c r="P210" s="2">
        <f t="shared" si="10"/>
        <v>1.8501873524164154</v>
      </c>
      <c r="Q210" s="2">
        <f t="shared" si="11"/>
        <v>-0.48699310100138943</v>
      </c>
    </row>
    <row r="211" spans="1:17" x14ac:dyDescent="0.3">
      <c r="A211" t="s">
        <v>227</v>
      </c>
      <c r="B211">
        <v>70.900000000000006</v>
      </c>
      <c r="C211">
        <v>108.4</v>
      </c>
      <c r="D211">
        <v>1.4494E-2</v>
      </c>
      <c r="E211">
        <v>20</v>
      </c>
      <c r="F211">
        <v>1</v>
      </c>
      <c r="G211">
        <v>9.4274014234542805E-2</v>
      </c>
      <c r="H211">
        <v>497.37325432948103</v>
      </c>
      <c r="I211">
        <v>73.310551588021795</v>
      </c>
      <c r="K211">
        <v>9.2461720108985901E-2</v>
      </c>
      <c r="L211" s="2">
        <f t="shared" si="9"/>
        <v>-1.9223686826871791</v>
      </c>
      <c r="N211">
        <v>71.714324951171875</v>
      </c>
      <c r="O211">
        <v>490.71847534179688</v>
      </c>
      <c r="P211" s="2">
        <f t="shared" si="10"/>
        <v>-2.1773491022412763</v>
      </c>
      <c r="Q211" s="2">
        <f t="shared" si="11"/>
        <v>-1.3379848895686191</v>
      </c>
    </row>
    <row r="212" spans="1:17" x14ac:dyDescent="0.3">
      <c r="A212" t="s">
        <v>228</v>
      </c>
      <c r="B212">
        <v>56.7</v>
      </c>
      <c r="C212">
        <v>128.6</v>
      </c>
      <c r="D212">
        <v>1.1908E-2</v>
      </c>
      <c r="E212">
        <v>28.75</v>
      </c>
      <c r="F212">
        <v>1</v>
      </c>
      <c r="G212">
        <v>5.15743643045425E-2</v>
      </c>
      <c r="H212">
        <v>557.99768179437501</v>
      </c>
      <c r="I212">
        <v>47.107104552165701</v>
      </c>
      <c r="K212">
        <v>5.6168850511312478E-2</v>
      </c>
      <c r="L212" s="2">
        <f t="shared" si="9"/>
        <v>8.9084689045121408</v>
      </c>
      <c r="N212">
        <v>49.376552581787109</v>
      </c>
      <c r="O212">
        <v>552.80340576171875</v>
      </c>
      <c r="P212" s="2">
        <f t="shared" si="10"/>
        <v>4.8176343063247611</v>
      </c>
      <c r="Q212" s="2">
        <f t="shared" si="11"/>
        <v>-0.93087770830029704</v>
      </c>
    </row>
    <row r="213" spans="1:17" x14ac:dyDescent="0.3">
      <c r="A213" t="s">
        <v>229</v>
      </c>
      <c r="B213">
        <v>48.4</v>
      </c>
      <c r="C213">
        <v>114.6</v>
      </c>
      <c r="D213">
        <v>9.0980000000000002E-3</v>
      </c>
      <c r="E213">
        <v>24.31</v>
      </c>
      <c r="F213">
        <v>1</v>
      </c>
      <c r="G213">
        <v>4.8231679946184103E-2</v>
      </c>
      <c r="H213">
        <v>524.88730548560295</v>
      </c>
      <c r="I213">
        <v>39.3630780140439</v>
      </c>
      <c r="K213">
        <v>4.9218621104955673E-2</v>
      </c>
      <c r="L213" s="2">
        <f t="shared" si="9"/>
        <v>2.0462508456532689</v>
      </c>
      <c r="N213">
        <v>41.113498687744141</v>
      </c>
      <c r="O213">
        <v>522.990966796875</v>
      </c>
      <c r="P213" s="2">
        <f t="shared" si="10"/>
        <v>4.4468592447870261</v>
      </c>
      <c r="Q213" s="2">
        <f t="shared" si="11"/>
        <v>-0.36128492133631251</v>
      </c>
    </row>
    <row r="214" spans="1:17" x14ac:dyDescent="0.3">
      <c r="A214" t="s">
        <v>230</v>
      </c>
      <c r="B214">
        <v>78.7</v>
      </c>
      <c r="C214">
        <v>105.2</v>
      </c>
      <c r="D214">
        <v>2.1767000000000002E-2</v>
      </c>
      <c r="E214">
        <v>27.49</v>
      </c>
      <c r="F214">
        <v>1</v>
      </c>
      <c r="G214">
        <v>0.156058624386787</v>
      </c>
      <c r="H214">
        <v>541.67869122262505</v>
      </c>
      <c r="I214">
        <v>83.299264352940099</v>
      </c>
      <c r="K214">
        <v>0.1245356574654579</v>
      </c>
      <c r="L214" s="2">
        <f t="shared" si="9"/>
        <v>-20.199439182034755</v>
      </c>
      <c r="N214">
        <v>80.902153015136719</v>
      </c>
      <c r="O214">
        <v>542.74359130859375</v>
      </c>
      <c r="P214" s="2">
        <f t="shared" si="10"/>
        <v>-2.8777100931489477</v>
      </c>
      <c r="Q214" s="2">
        <f t="shared" si="11"/>
        <v>0.19659257475406908</v>
      </c>
    </row>
    <row r="215" spans="1:17" x14ac:dyDescent="0.3">
      <c r="A215" t="s">
        <v>231</v>
      </c>
      <c r="B215">
        <v>53.5</v>
      </c>
      <c r="C215">
        <v>120.6</v>
      </c>
      <c r="D215">
        <v>1.3799000000000001E-2</v>
      </c>
      <c r="E215">
        <v>35</v>
      </c>
      <c r="F215">
        <v>1</v>
      </c>
      <c r="G215">
        <v>6.2284663319587701E-2</v>
      </c>
      <c r="H215">
        <v>591.25800750426095</v>
      </c>
      <c r="I215">
        <v>44.260391262352101</v>
      </c>
      <c r="K215">
        <v>6.1339002102613449E-2</v>
      </c>
      <c r="L215" s="2">
        <f t="shared" si="9"/>
        <v>-1.5182890403083444</v>
      </c>
      <c r="N215">
        <v>45.686874389648438</v>
      </c>
      <c r="O215">
        <v>586.5574951171875</v>
      </c>
      <c r="P215" s="2">
        <f t="shared" si="10"/>
        <v>3.2229338390636935</v>
      </c>
      <c r="Q215" s="2">
        <f t="shared" si="11"/>
        <v>-0.79500189890275108</v>
      </c>
    </row>
    <row r="216" spans="1:17" x14ac:dyDescent="0.3">
      <c r="A216" t="s">
        <v>232</v>
      </c>
      <c r="B216">
        <v>47.2</v>
      </c>
      <c r="C216">
        <v>120.6</v>
      </c>
      <c r="D216">
        <v>8.5690000000000002E-3</v>
      </c>
      <c r="E216">
        <v>25.13</v>
      </c>
      <c r="F216">
        <v>1</v>
      </c>
      <c r="G216">
        <v>4.0613491088151897E-2</v>
      </c>
      <c r="H216">
        <v>532.03800750425899</v>
      </c>
      <c r="I216">
        <v>36.966495188342499</v>
      </c>
      <c r="K216">
        <v>4.1309256106615073E-2</v>
      </c>
      <c r="L216" s="2">
        <f t="shared" si="9"/>
        <v>1.7131376786915782</v>
      </c>
      <c r="N216">
        <v>38.569553375244141</v>
      </c>
      <c r="O216">
        <v>528.2972412109375</v>
      </c>
      <c r="P216" s="2">
        <f t="shared" si="10"/>
        <v>4.3365165638076801</v>
      </c>
      <c r="Q216" s="2">
        <f t="shared" si="11"/>
        <v>-0.7031013274538549</v>
      </c>
    </row>
    <row r="217" spans="1:17" x14ac:dyDescent="0.3">
      <c r="A217" t="s">
        <v>233</v>
      </c>
      <c r="B217">
        <v>40.200000000000003</v>
      </c>
      <c r="C217">
        <v>109.3</v>
      </c>
      <c r="D217">
        <v>5.7270000000000003E-3</v>
      </c>
      <c r="E217">
        <v>20</v>
      </c>
      <c r="F217">
        <v>1</v>
      </c>
      <c r="G217">
        <v>3.6136865615844699E-2</v>
      </c>
      <c r="H217">
        <v>497.57726543475502</v>
      </c>
      <c r="I217">
        <v>28.875229477131601</v>
      </c>
      <c r="K217">
        <v>3.8333103060722351E-2</v>
      </c>
      <c r="L217" s="2">
        <f t="shared" si="9"/>
        <v>6.0775537873840451</v>
      </c>
      <c r="N217">
        <v>31.867227554321289</v>
      </c>
      <c r="O217">
        <v>491.005859375</v>
      </c>
      <c r="P217" s="2">
        <f t="shared" si="10"/>
        <v>10.361815754777878</v>
      </c>
      <c r="Q217" s="2">
        <f t="shared" si="11"/>
        <v>-1.3206805286839813</v>
      </c>
    </row>
    <row r="218" spans="1:17" x14ac:dyDescent="0.3">
      <c r="A218" t="s">
        <v>234</v>
      </c>
      <c r="B218">
        <v>68.599999999999994</v>
      </c>
      <c r="C218">
        <v>130</v>
      </c>
      <c r="D218">
        <v>1.3139E-2</v>
      </c>
      <c r="E218">
        <v>23.13</v>
      </c>
      <c r="F218">
        <v>1</v>
      </c>
      <c r="G218">
        <v>5.84496222436428E-2</v>
      </c>
      <c r="H218">
        <v>525.20829180160194</v>
      </c>
      <c r="I218">
        <v>63.704973595057297</v>
      </c>
      <c r="K218">
        <v>6.5021909773349762E-2</v>
      </c>
      <c r="L218" s="2">
        <f t="shared" si="9"/>
        <v>11.244362713433599</v>
      </c>
      <c r="N218">
        <v>67.492698669433594</v>
      </c>
      <c r="O218">
        <v>519.49725341796875</v>
      </c>
      <c r="P218" s="2">
        <f t="shared" si="10"/>
        <v>5.9457289762854204</v>
      </c>
      <c r="Q218" s="2">
        <f t="shared" si="11"/>
        <v>-1.0873854188483654</v>
      </c>
    </row>
    <row r="219" spans="1:17" x14ac:dyDescent="0.3">
      <c r="A219" t="s">
        <v>235</v>
      </c>
      <c r="B219">
        <v>77.3</v>
      </c>
      <c r="C219">
        <v>126.5</v>
      </c>
      <c r="D219">
        <v>1.8856999999999999E-2</v>
      </c>
      <c r="E219">
        <v>28.43</v>
      </c>
      <c r="F219">
        <v>1.05</v>
      </c>
      <c r="G219">
        <v>8.2709379494190202E-2</v>
      </c>
      <c r="H219">
        <v>564.07312342396904</v>
      </c>
      <c r="I219">
        <v>75.443854469470196</v>
      </c>
      <c r="K219">
        <v>8.6277715861797333E-2</v>
      </c>
      <c r="L219" s="2">
        <f t="shared" si="9"/>
        <v>4.3143067804755848</v>
      </c>
      <c r="N219">
        <v>75.666290283203125</v>
      </c>
      <c r="O219">
        <v>561.382568359375</v>
      </c>
      <c r="P219" s="2">
        <f t="shared" si="10"/>
        <v>0.29483622661795716</v>
      </c>
      <c r="Q219" s="2">
        <f t="shared" si="11"/>
        <v>-0.47698692826599359</v>
      </c>
    </row>
    <row r="220" spans="1:17" x14ac:dyDescent="0.3">
      <c r="A220" t="s">
        <v>236</v>
      </c>
      <c r="B220">
        <v>59.8</v>
      </c>
      <c r="C220">
        <v>100</v>
      </c>
      <c r="D220">
        <v>1.5193999999999999E-2</v>
      </c>
      <c r="E220">
        <v>27.91</v>
      </c>
      <c r="F220">
        <v>2</v>
      </c>
      <c r="G220">
        <v>0.13649362325668299</v>
      </c>
      <c r="H220">
        <v>723.09410675615595</v>
      </c>
      <c r="I220">
        <v>84.530769644550205</v>
      </c>
      <c r="K220">
        <v>0.12656883895397189</v>
      </c>
      <c r="L220" s="2">
        <f t="shared" si="9"/>
        <v>-7.2712439349983784</v>
      </c>
      <c r="N220">
        <v>79.221405029296875</v>
      </c>
      <c r="O220">
        <v>720.8203125</v>
      </c>
      <c r="P220" s="2">
        <f t="shared" si="10"/>
        <v>-6.280984590083678</v>
      </c>
      <c r="Q220" s="2">
        <f t="shared" si="11"/>
        <v>-0.31445343488641214</v>
      </c>
    </row>
    <row r="221" spans="1:17" x14ac:dyDescent="0.3">
      <c r="A221" t="s">
        <v>237</v>
      </c>
      <c r="B221">
        <v>62.6</v>
      </c>
      <c r="C221">
        <v>107.1</v>
      </c>
      <c r="D221">
        <v>1.6625999999999998E-2</v>
      </c>
      <c r="E221">
        <v>29.54</v>
      </c>
      <c r="F221">
        <v>1</v>
      </c>
      <c r="G221">
        <v>0.108553245663642</v>
      </c>
      <c r="H221">
        <v>554.33868807786803</v>
      </c>
      <c r="I221">
        <v>59.858834887046399</v>
      </c>
      <c r="K221">
        <v>9.4683416187763214E-2</v>
      </c>
      <c r="L221" s="2">
        <f t="shared" si="9"/>
        <v>-12.776982752643976</v>
      </c>
      <c r="N221">
        <v>57.593353271484382</v>
      </c>
      <c r="O221">
        <v>549.3570556640625</v>
      </c>
      <c r="P221" s="2">
        <f t="shared" si="10"/>
        <v>-3.7847071695213912</v>
      </c>
      <c r="Q221" s="2">
        <f t="shared" si="11"/>
        <v>-0.89866222959811837</v>
      </c>
    </row>
    <row r="222" spans="1:17" x14ac:dyDescent="0.3">
      <c r="A222" t="s">
        <v>238</v>
      </c>
      <c r="B222">
        <v>40.6</v>
      </c>
      <c r="C222">
        <v>121.7</v>
      </c>
      <c r="D222">
        <v>6.3489999999999996E-3</v>
      </c>
      <c r="E222">
        <v>24.73</v>
      </c>
      <c r="F222">
        <v>1</v>
      </c>
      <c r="G222">
        <v>2.9759611934423402E-2</v>
      </c>
      <c r="H222">
        <v>530.12619395049398</v>
      </c>
      <c r="I222">
        <v>27.8780931642555</v>
      </c>
      <c r="K222">
        <v>3.2254613935947418E-2</v>
      </c>
      <c r="L222" s="2">
        <f t="shared" si="9"/>
        <v>8.3838526087701073</v>
      </c>
      <c r="N222">
        <v>30.49116325378418</v>
      </c>
      <c r="O222">
        <v>523.07720947265625</v>
      </c>
      <c r="P222" s="2">
        <f t="shared" si="10"/>
        <v>9.3732023712406711</v>
      </c>
      <c r="Q222" s="2">
        <f t="shared" si="11"/>
        <v>-1.3296804719851301</v>
      </c>
    </row>
    <row r="223" spans="1:17" x14ac:dyDescent="0.3">
      <c r="A223" t="s">
        <v>239</v>
      </c>
      <c r="B223">
        <v>57.9</v>
      </c>
      <c r="C223">
        <v>107.2</v>
      </c>
      <c r="D223">
        <v>1.7035000000000002E-2</v>
      </c>
      <c r="E223">
        <v>35</v>
      </c>
      <c r="F223">
        <v>1</v>
      </c>
      <c r="G223">
        <v>0.10875897109508501</v>
      </c>
      <c r="H223">
        <v>587.11897998859797</v>
      </c>
      <c r="I223">
        <v>52.996243001730299</v>
      </c>
      <c r="K223">
        <v>9.7985148429870605E-2</v>
      </c>
      <c r="L223" s="2">
        <f t="shared" si="9"/>
        <v>-9.9061461842951246</v>
      </c>
      <c r="N223">
        <v>51.813343048095703</v>
      </c>
      <c r="O223">
        <v>588.54791259765625</v>
      </c>
      <c r="P223" s="2">
        <f t="shared" si="10"/>
        <v>-2.2320449274035803</v>
      </c>
      <c r="Q223" s="2">
        <f t="shared" si="11"/>
        <v>0.2433804148327873</v>
      </c>
    </row>
    <row r="224" spans="1:17" x14ac:dyDescent="0.3">
      <c r="A224" t="s">
        <v>240</v>
      </c>
      <c r="B224">
        <v>50.2</v>
      </c>
      <c r="C224">
        <v>114</v>
      </c>
      <c r="D224">
        <v>8.3549999999999996E-3</v>
      </c>
      <c r="E224">
        <v>20</v>
      </c>
      <c r="F224">
        <v>1</v>
      </c>
      <c r="G224">
        <v>4.6266164630651398E-2</v>
      </c>
      <c r="H224">
        <v>498.84053541185801</v>
      </c>
      <c r="I224">
        <v>42.597338995363799</v>
      </c>
      <c r="K224">
        <v>4.5788556337356567E-2</v>
      </c>
      <c r="L224" s="2">
        <f t="shared" si="9"/>
        <v>-1.0323057835194192</v>
      </c>
      <c r="N224">
        <v>44.585136413574219</v>
      </c>
      <c r="O224">
        <v>494.73284912109381</v>
      </c>
      <c r="P224" s="2">
        <f t="shared" si="10"/>
        <v>4.6664826139181308</v>
      </c>
      <c r="Q224" s="2">
        <f t="shared" si="11"/>
        <v>-0.82344677289963519</v>
      </c>
    </row>
    <row r="225" spans="1:17" x14ac:dyDescent="0.3">
      <c r="A225" t="s">
        <v>241</v>
      </c>
      <c r="B225">
        <v>88.1</v>
      </c>
      <c r="C225">
        <v>122.8</v>
      </c>
      <c r="D225">
        <v>1.9088000000000001E-2</v>
      </c>
      <c r="E225">
        <v>22.13</v>
      </c>
      <c r="F225">
        <v>1</v>
      </c>
      <c r="G225">
        <v>8.9991219341754899E-2</v>
      </c>
      <c r="H225">
        <v>515.04188338750703</v>
      </c>
      <c r="I225">
        <v>92.640195958124096</v>
      </c>
      <c r="K225">
        <v>9.5833592116832733E-2</v>
      </c>
      <c r="L225" s="2">
        <f t="shared" si="9"/>
        <v>6.4921586992732729</v>
      </c>
      <c r="N225">
        <v>92.434036254882813</v>
      </c>
      <c r="O225">
        <v>512.5950927734375</v>
      </c>
      <c r="P225" s="2">
        <f t="shared" si="10"/>
        <v>-0.22253806904129741</v>
      </c>
      <c r="Q225" s="2">
        <f t="shared" si="11"/>
        <v>-0.47506633790180752</v>
      </c>
    </row>
    <row r="226" spans="1:17" x14ac:dyDescent="0.3">
      <c r="A226" t="s">
        <v>242</v>
      </c>
      <c r="B226">
        <v>83.8</v>
      </c>
      <c r="C226">
        <v>100</v>
      </c>
      <c r="D226">
        <v>2.8195000000000001E-2</v>
      </c>
      <c r="E226">
        <v>33.270000000000003</v>
      </c>
      <c r="F226">
        <v>1.36</v>
      </c>
      <c r="G226">
        <v>0.27134498953819203</v>
      </c>
      <c r="H226">
        <v>651.85883037687302</v>
      </c>
      <c r="I226">
        <v>100.659483658678</v>
      </c>
      <c r="K226">
        <v>0.1011650785803795</v>
      </c>
      <c r="L226" s="2">
        <f t="shared" si="9"/>
        <v>-62.717174637145668</v>
      </c>
      <c r="N226">
        <v>87.06768798828125</v>
      </c>
      <c r="O226">
        <v>664.011474609375</v>
      </c>
      <c r="P226" s="2">
        <f t="shared" si="10"/>
        <v>-13.502747258752684</v>
      </c>
      <c r="Q226" s="2">
        <f t="shared" si="11"/>
        <v>1.8643061451627367</v>
      </c>
    </row>
    <row r="227" spans="1:17" x14ac:dyDescent="0.3">
      <c r="A227" t="s">
        <v>243</v>
      </c>
      <c r="B227">
        <v>54.9</v>
      </c>
      <c r="C227">
        <v>103.8</v>
      </c>
      <c r="D227">
        <v>1.5911000000000002E-2</v>
      </c>
      <c r="E227">
        <v>35</v>
      </c>
      <c r="F227">
        <v>1</v>
      </c>
      <c r="G227">
        <v>0.120113797485828</v>
      </c>
      <c r="H227">
        <v>586.50368318226901</v>
      </c>
      <c r="I227">
        <v>48.956544435492702</v>
      </c>
      <c r="K227">
        <v>0.1052261069417</v>
      </c>
      <c r="L227" s="2">
        <f t="shared" si="9"/>
        <v>-12.394654782174024</v>
      </c>
      <c r="N227">
        <v>48.606376647949219</v>
      </c>
      <c r="O227">
        <v>589.7620849609375</v>
      </c>
      <c r="P227" s="2">
        <f t="shared" si="10"/>
        <v>-0.71526246711485153</v>
      </c>
      <c r="Q227" s="2">
        <f t="shared" si="11"/>
        <v>0.55556373678490012</v>
      </c>
    </row>
    <row r="228" spans="1:17" x14ac:dyDescent="0.3">
      <c r="A228" t="s">
        <v>244</v>
      </c>
      <c r="B228">
        <v>68.5</v>
      </c>
      <c r="C228">
        <v>103</v>
      </c>
      <c r="D228">
        <v>1.9172999999999999E-2</v>
      </c>
      <c r="E228">
        <v>29.43</v>
      </c>
      <c r="F228">
        <v>2</v>
      </c>
      <c r="G228">
        <v>0.146800741553306</v>
      </c>
      <c r="H228">
        <v>741.85622655972304</v>
      </c>
      <c r="I228">
        <v>87.627077272054095</v>
      </c>
      <c r="K228">
        <v>0.14399909973144531</v>
      </c>
      <c r="L228" s="2">
        <f t="shared" si="9"/>
        <v>-1.9084657149659952</v>
      </c>
      <c r="N228">
        <v>87.376792907714844</v>
      </c>
      <c r="O228">
        <v>739.307861328125</v>
      </c>
      <c r="P228" s="2">
        <f t="shared" si="10"/>
        <v>-0.28562445779424767</v>
      </c>
      <c r="Q228" s="2">
        <f t="shared" si="11"/>
        <v>-0.34351200951912275</v>
      </c>
    </row>
    <row r="229" spans="1:17" x14ac:dyDescent="0.3">
      <c r="A229" t="s">
        <v>245</v>
      </c>
      <c r="B229">
        <v>87.2</v>
      </c>
      <c r="C229">
        <v>113.1</v>
      </c>
      <c r="D229">
        <v>2.7421000000000001E-2</v>
      </c>
      <c r="E229">
        <v>32.39</v>
      </c>
      <c r="F229">
        <v>1</v>
      </c>
      <c r="G229">
        <v>0.144783020019531</v>
      </c>
      <c r="H229">
        <v>572.91165791054698</v>
      </c>
      <c r="I229">
        <v>91.368805815102903</v>
      </c>
      <c r="K229">
        <v>0.13488902151584631</v>
      </c>
      <c r="L229" s="2">
        <f t="shared" si="9"/>
        <v>-6.8336732459027356</v>
      </c>
      <c r="N229">
        <v>89.969985961914063</v>
      </c>
      <c r="O229">
        <v>573.31585693359375</v>
      </c>
      <c r="P229" s="2">
        <f t="shared" si="10"/>
        <v>-1.530959982140448</v>
      </c>
      <c r="Q229" s="2">
        <f t="shared" si="11"/>
        <v>7.0551719006891361E-2</v>
      </c>
    </row>
    <row r="230" spans="1:17" x14ac:dyDescent="0.3">
      <c r="A230" t="s">
        <v>246</v>
      </c>
      <c r="B230">
        <v>45.8</v>
      </c>
      <c r="C230">
        <v>109.3</v>
      </c>
      <c r="D230">
        <v>9.1529999999999997E-3</v>
      </c>
      <c r="E230">
        <v>26.61</v>
      </c>
      <c r="F230">
        <v>1</v>
      </c>
      <c r="G230">
        <v>5.5624175816774299E-2</v>
      </c>
      <c r="H230">
        <v>537.23726543475595</v>
      </c>
      <c r="I230">
        <v>36.060960696032602</v>
      </c>
      <c r="K230">
        <v>5.7326909154653549E-2</v>
      </c>
      <c r="L230" s="2">
        <f t="shared" si="9"/>
        <v>3.0611389973454055</v>
      </c>
      <c r="N230">
        <v>37.484153747558587</v>
      </c>
      <c r="O230">
        <v>534.86627197265625</v>
      </c>
      <c r="P230" s="2">
        <f t="shared" si="10"/>
        <v>3.9466309938951887</v>
      </c>
      <c r="Q230" s="2">
        <f t="shared" si="11"/>
        <v>-0.441330788954298</v>
      </c>
    </row>
    <row r="231" spans="1:17" x14ac:dyDescent="0.3">
      <c r="A231" t="s">
        <v>247</v>
      </c>
      <c r="B231">
        <v>45.1</v>
      </c>
      <c r="C231">
        <v>119.1</v>
      </c>
      <c r="D231">
        <v>7.4159999999999998E-3</v>
      </c>
      <c r="E231">
        <v>22.8</v>
      </c>
      <c r="F231">
        <v>1</v>
      </c>
      <c r="G231">
        <v>3.6491926759481402E-2</v>
      </c>
      <c r="H231">
        <v>517.43429822234998</v>
      </c>
      <c r="I231">
        <v>34.623395349343703</v>
      </c>
      <c r="K231">
        <v>3.7099659442901611E-2</v>
      </c>
      <c r="L231" s="2">
        <f t="shared" si="9"/>
        <v>1.6653894090760961</v>
      </c>
      <c r="N231">
        <v>36.418952941894531</v>
      </c>
      <c r="O231">
        <v>512.9915771484375</v>
      </c>
      <c r="P231" s="2">
        <f t="shared" si="10"/>
        <v>5.1859662359337726</v>
      </c>
      <c r="Q231" s="2">
        <f t="shared" si="11"/>
        <v>-0.8586058344364661</v>
      </c>
    </row>
    <row r="232" spans="1:17" x14ac:dyDescent="0.3">
      <c r="A232" t="s">
        <v>248</v>
      </c>
      <c r="B232">
        <v>85.4</v>
      </c>
      <c r="C232">
        <v>107.4</v>
      </c>
      <c r="D232">
        <v>2.5347000000000001E-2</v>
      </c>
      <c r="E232">
        <v>29.34</v>
      </c>
      <c r="F232">
        <v>1</v>
      </c>
      <c r="G232">
        <v>0.163574293255805</v>
      </c>
      <c r="H232">
        <v>553.19997454648103</v>
      </c>
      <c r="I232">
        <v>92.296389897528798</v>
      </c>
      <c r="K232">
        <v>0.1320884823799133</v>
      </c>
      <c r="L232" s="2">
        <f t="shared" si="9"/>
        <v>-19.248630239626184</v>
      </c>
      <c r="N232">
        <v>88.332870483398438</v>
      </c>
      <c r="O232">
        <v>551.57855224609375</v>
      </c>
      <c r="P232" s="2">
        <f t="shared" si="10"/>
        <v>-4.2943385093727064</v>
      </c>
      <c r="Q232" s="2">
        <f t="shared" si="11"/>
        <v>-0.29309876626739523</v>
      </c>
    </row>
    <row r="233" spans="1:17" x14ac:dyDescent="0.3">
      <c r="A233" t="s">
        <v>249</v>
      </c>
      <c r="B233">
        <v>42.8</v>
      </c>
      <c r="C233">
        <v>110.9</v>
      </c>
      <c r="D233">
        <v>1.0057E-2</v>
      </c>
      <c r="E233">
        <v>35</v>
      </c>
      <c r="F233">
        <v>1</v>
      </c>
      <c r="G233">
        <v>5.6037001311779001E-2</v>
      </c>
      <c r="H233">
        <v>587.96909029334404</v>
      </c>
      <c r="I233">
        <v>31.442846837796399</v>
      </c>
      <c r="K233">
        <v>5.4584924131631851E-2</v>
      </c>
      <c r="L233" s="2">
        <f t="shared" si="9"/>
        <v>-2.5912828062802191</v>
      </c>
      <c r="N233">
        <v>31.927377700805661</v>
      </c>
      <c r="O233">
        <v>587.99359130859375</v>
      </c>
      <c r="P233" s="2">
        <f t="shared" si="10"/>
        <v>1.5409891652266783</v>
      </c>
      <c r="Q233" s="2">
        <f t="shared" si="11"/>
        <v>4.1670583801416807E-3</v>
      </c>
    </row>
    <row r="234" spans="1:17" x14ac:dyDescent="0.3">
      <c r="A234" t="s">
        <v>250</v>
      </c>
      <c r="B234">
        <v>78.900000000000006</v>
      </c>
      <c r="C234">
        <v>105.7</v>
      </c>
      <c r="D234">
        <v>2.4081999999999999E-2</v>
      </c>
      <c r="E234">
        <v>31.03</v>
      </c>
      <c r="F234">
        <v>1</v>
      </c>
      <c r="G234">
        <v>0.16655921936035101</v>
      </c>
      <c r="H234">
        <v>563.00877703662297</v>
      </c>
      <c r="I234">
        <v>83.746600743997405</v>
      </c>
      <c r="K234">
        <v>0.12887176871299741</v>
      </c>
      <c r="L234" s="2">
        <f t="shared" si="9"/>
        <v>-22.627057686801937</v>
      </c>
      <c r="N234">
        <v>79.809608459472656</v>
      </c>
      <c r="O234">
        <v>564.98846435546875</v>
      </c>
      <c r="P234" s="2">
        <f t="shared" si="10"/>
        <v>-4.7010771178159558</v>
      </c>
      <c r="Q234" s="2">
        <f t="shared" si="11"/>
        <v>0.35162636882248827</v>
      </c>
    </row>
    <row r="235" spans="1:17" x14ac:dyDescent="0.3">
      <c r="A235" t="s">
        <v>251</v>
      </c>
      <c r="B235">
        <v>59.4</v>
      </c>
      <c r="C235">
        <v>109.1</v>
      </c>
      <c r="D235">
        <v>1.1185E-2</v>
      </c>
      <c r="E235">
        <v>20</v>
      </c>
      <c r="F235">
        <v>1</v>
      </c>
      <c r="G235">
        <v>7.1013107895851094E-2</v>
      </c>
      <c r="H235">
        <v>497.53092706684902</v>
      </c>
      <c r="I235">
        <v>56.792461901253198</v>
      </c>
      <c r="K235">
        <v>6.648360937833786E-2</v>
      </c>
      <c r="L235" s="2">
        <f t="shared" si="9"/>
        <v>-6.3783978081289803</v>
      </c>
      <c r="N235">
        <v>55.300670623779297</v>
      </c>
      <c r="O235">
        <v>491.37884521484381</v>
      </c>
      <c r="P235" s="2">
        <f t="shared" si="10"/>
        <v>-2.6267416969310542</v>
      </c>
      <c r="Q235" s="2">
        <f t="shared" si="11"/>
        <v>-1.2365224988674135</v>
      </c>
    </row>
    <row r="236" spans="1:17" x14ac:dyDescent="0.3">
      <c r="A236" t="s">
        <v>252</v>
      </c>
      <c r="B236">
        <v>59.4</v>
      </c>
      <c r="C236">
        <v>114.5</v>
      </c>
      <c r="D236">
        <v>1.4770999999999999E-2</v>
      </c>
      <c r="E236">
        <v>29.55</v>
      </c>
      <c r="F236">
        <v>1</v>
      </c>
      <c r="G236">
        <v>7.6294146478176103E-2</v>
      </c>
      <c r="H236">
        <v>556.29575268933002</v>
      </c>
      <c r="I236">
        <v>53.766624065090198</v>
      </c>
      <c r="K236">
        <v>7.5771115720272064E-2</v>
      </c>
      <c r="L236" s="2">
        <f t="shared" si="9"/>
        <v>-0.68554506741044874</v>
      </c>
      <c r="N236">
        <v>54.315258026123047</v>
      </c>
      <c r="O236">
        <v>550.6866455078125</v>
      </c>
      <c r="P236" s="2">
        <f t="shared" si="10"/>
        <v>1.0203987521490452</v>
      </c>
      <c r="Q236" s="2">
        <f t="shared" si="11"/>
        <v>-1.0082958847701267</v>
      </c>
    </row>
    <row r="237" spans="1:17" x14ac:dyDescent="0.3">
      <c r="A237" t="s">
        <v>253</v>
      </c>
      <c r="B237">
        <v>61.2</v>
      </c>
      <c r="C237">
        <v>111.9</v>
      </c>
      <c r="D237">
        <v>1.6736000000000001E-2</v>
      </c>
      <c r="E237">
        <v>31.94</v>
      </c>
      <c r="F237">
        <v>1</v>
      </c>
      <c r="G237">
        <v>9.1511145234107902E-2</v>
      </c>
      <c r="H237">
        <v>569.87357910599496</v>
      </c>
      <c r="I237">
        <v>56.848049430946098</v>
      </c>
      <c r="K237">
        <v>8.9099064469337463E-2</v>
      </c>
      <c r="L237" s="2">
        <f t="shared" si="9"/>
        <v>-2.6358327814603846</v>
      </c>
      <c r="N237">
        <v>56.823482513427727</v>
      </c>
      <c r="O237">
        <v>566.379150390625</v>
      </c>
      <c r="P237" s="2">
        <f t="shared" si="10"/>
        <v>-4.3215057973470812E-2</v>
      </c>
      <c r="Q237" s="2">
        <f t="shared" si="11"/>
        <v>-0.61319367022628868</v>
      </c>
    </row>
    <row r="238" spans="1:17" x14ac:dyDescent="0.3">
      <c r="A238" t="s">
        <v>254</v>
      </c>
      <c r="B238">
        <v>68.900000000000006</v>
      </c>
      <c r="C238">
        <v>100</v>
      </c>
      <c r="D238">
        <v>2.0829E-2</v>
      </c>
      <c r="E238">
        <v>31.85</v>
      </c>
      <c r="F238">
        <v>1</v>
      </c>
      <c r="G238">
        <v>0.20491845905780701</v>
      </c>
      <c r="H238">
        <v>567.088987413528</v>
      </c>
      <c r="I238">
        <v>71.488742777612899</v>
      </c>
      <c r="K238">
        <v>0.1193316504359245</v>
      </c>
      <c r="L238" s="2">
        <f t="shared" si="9"/>
        <v>-41.766275725184265</v>
      </c>
      <c r="N238">
        <v>64.755668640136719</v>
      </c>
      <c r="O238">
        <v>567.8980712890625</v>
      </c>
      <c r="P238" s="2">
        <f t="shared" si="10"/>
        <v>-9.4183697682604652</v>
      </c>
      <c r="Q238" s="2">
        <f t="shared" si="11"/>
        <v>0.1426731771365724</v>
      </c>
    </row>
    <row r="239" spans="1:17" x14ac:dyDescent="0.3">
      <c r="A239" t="s">
        <v>255</v>
      </c>
      <c r="B239">
        <v>72.099999999999994</v>
      </c>
      <c r="C239">
        <v>130</v>
      </c>
      <c r="D239">
        <v>1.414E-2</v>
      </c>
      <c r="E239">
        <v>23.25</v>
      </c>
      <c r="F239">
        <v>1</v>
      </c>
      <c r="G239">
        <v>6.2851041555404594E-2</v>
      </c>
      <c r="H239">
        <v>525.92829180160095</v>
      </c>
      <c r="I239">
        <v>67.357236422594895</v>
      </c>
      <c r="K239">
        <v>7.0105545222759247E-2</v>
      </c>
      <c r="L239" s="2">
        <f t="shared" si="9"/>
        <v>11.542376208610078</v>
      </c>
      <c r="N239">
        <v>71.711868286132813</v>
      </c>
      <c r="O239">
        <v>520.72137451171875</v>
      </c>
      <c r="P239" s="2">
        <f t="shared" si="10"/>
        <v>6.4649800003925977</v>
      </c>
      <c r="Q239" s="2">
        <f t="shared" si="11"/>
        <v>-0.99004320000461876</v>
      </c>
    </row>
    <row r="240" spans="1:17" x14ac:dyDescent="0.3">
      <c r="A240" t="s">
        <v>256</v>
      </c>
      <c r="B240">
        <v>68.7</v>
      </c>
      <c r="C240">
        <v>130</v>
      </c>
      <c r="D240">
        <v>1.3617000000000001E-2</v>
      </c>
      <c r="E240">
        <v>24.19</v>
      </c>
      <c r="F240">
        <v>1</v>
      </c>
      <c r="G240">
        <v>6.0167763382196399E-2</v>
      </c>
      <c r="H240">
        <v>531.56829180160298</v>
      </c>
      <c r="I240">
        <v>63.310212991870102</v>
      </c>
      <c r="K240">
        <v>6.7800223827362061E-2</v>
      </c>
      <c r="L240" s="2">
        <f t="shared" si="9"/>
        <v>12.685298598658068</v>
      </c>
      <c r="N240">
        <v>67.26092529296875</v>
      </c>
      <c r="O240">
        <v>525.98419189453125</v>
      </c>
      <c r="P240" s="2">
        <f t="shared" si="10"/>
        <v>6.2402448426543327</v>
      </c>
      <c r="Q240" s="2">
        <f t="shared" si="11"/>
        <v>-1.050495297254465</v>
      </c>
    </row>
    <row r="241" spans="1:17" x14ac:dyDescent="0.3">
      <c r="A241" t="s">
        <v>257</v>
      </c>
      <c r="B241">
        <v>72.900000000000006</v>
      </c>
      <c r="C241">
        <v>112.3</v>
      </c>
      <c r="D241">
        <v>1.7524999999999999E-2</v>
      </c>
      <c r="E241">
        <v>24.92</v>
      </c>
      <c r="F241">
        <v>1</v>
      </c>
      <c r="G241">
        <v>9.7979344427585602E-2</v>
      </c>
      <c r="H241">
        <v>527.86372650698297</v>
      </c>
      <c r="I241">
        <v>73.858433691817694</v>
      </c>
      <c r="K241">
        <v>9.4315372407436371E-2</v>
      </c>
      <c r="L241" s="2">
        <f t="shared" si="9"/>
        <v>-3.7395351454481229</v>
      </c>
      <c r="N241">
        <v>71.587448120117188</v>
      </c>
      <c r="O241">
        <v>525.191162109375</v>
      </c>
      <c r="P241" s="2">
        <f t="shared" si="10"/>
        <v>-3.0747816575374993</v>
      </c>
      <c r="Q241" s="2">
        <f t="shared" si="11"/>
        <v>-0.50629817193408089</v>
      </c>
    </row>
    <row r="242" spans="1:17" x14ac:dyDescent="0.3">
      <c r="A242" t="s">
        <v>258</v>
      </c>
      <c r="B242">
        <v>57.5</v>
      </c>
      <c r="C242">
        <v>130</v>
      </c>
      <c r="D242">
        <v>1.0023000000000001E-2</v>
      </c>
      <c r="E242">
        <v>22.77</v>
      </c>
      <c r="F242">
        <v>1</v>
      </c>
      <c r="G242">
        <v>4.4681031256914097E-2</v>
      </c>
      <c r="H242">
        <v>523.04829180160198</v>
      </c>
      <c r="I242">
        <v>49.043230901988302</v>
      </c>
      <c r="K242">
        <v>4.6157520264387131E-2</v>
      </c>
      <c r="L242" s="2">
        <f t="shared" si="9"/>
        <v>3.3045096899918946</v>
      </c>
      <c r="N242">
        <v>52.111614227294922</v>
      </c>
      <c r="O242">
        <v>516.5628662109375</v>
      </c>
      <c r="P242" s="2">
        <f t="shared" si="10"/>
        <v>6.2564869175089797</v>
      </c>
      <c r="Q242" s="2">
        <f t="shared" si="11"/>
        <v>-1.2399286437445189</v>
      </c>
    </row>
    <row r="243" spans="1:17" x14ac:dyDescent="0.3">
      <c r="A243" t="s">
        <v>259</v>
      </c>
      <c r="B243">
        <v>47.3</v>
      </c>
      <c r="C243">
        <v>118.9</v>
      </c>
      <c r="D243">
        <v>7.3150000000000003E-3</v>
      </c>
      <c r="E243">
        <v>20</v>
      </c>
      <c r="F243">
        <v>1</v>
      </c>
      <c r="G243">
        <v>3.6889716982841401E-2</v>
      </c>
      <c r="H243">
        <v>500.55465586898902</v>
      </c>
      <c r="I243">
        <v>38.228229436642003</v>
      </c>
      <c r="K243">
        <v>3.6616567522287369E-2</v>
      </c>
      <c r="L243" s="2">
        <f t="shared" si="9"/>
        <v>-0.74044878327769048</v>
      </c>
      <c r="N243">
        <v>39.871189117431641</v>
      </c>
      <c r="O243">
        <v>496.36911010742188</v>
      </c>
      <c r="P243" s="2">
        <f t="shared" si="10"/>
        <v>4.2977655648755997</v>
      </c>
      <c r="Q243" s="2">
        <f t="shared" si="11"/>
        <v>-0.83618156628686535</v>
      </c>
    </row>
    <row r="244" spans="1:17" x14ac:dyDescent="0.3">
      <c r="A244" t="s">
        <v>260</v>
      </c>
      <c r="B244">
        <v>46.9</v>
      </c>
      <c r="C244">
        <v>110.9</v>
      </c>
      <c r="D244">
        <v>1.1867000000000001E-2</v>
      </c>
      <c r="E244">
        <v>35</v>
      </c>
      <c r="F244">
        <v>1</v>
      </c>
      <c r="G244">
        <v>6.6111870110034901E-2</v>
      </c>
      <c r="H244">
        <v>587.96909029334404</v>
      </c>
      <c r="I244">
        <v>37.097022546390498</v>
      </c>
      <c r="K244">
        <v>6.3228338956832886E-2</v>
      </c>
      <c r="L244" s="2">
        <f t="shared" si="9"/>
        <v>-4.361593687189214</v>
      </c>
      <c r="N244">
        <v>37.232746124267578</v>
      </c>
      <c r="O244">
        <v>587.51678466796875</v>
      </c>
      <c r="P244" s="2">
        <f t="shared" si="10"/>
        <v>0.36586110841471231</v>
      </c>
      <c r="Q244" s="2">
        <f t="shared" si="11"/>
        <v>-7.6926769254082442E-2</v>
      </c>
    </row>
    <row r="245" spans="1:17" x14ac:dyDescent="0.3">
      <c r="A245" t="s">
        <v>261</v>
      </c>
      <c r="B245">
        <v>78.099999999999994</v>
      </c>
      <c r="C245">
        <v>113.3</v>
      </c>
      <c r="D245">
        <v>2.0839E-2</v>
      </c>
      <c r="E245">
        <v>27.72</v>
      </c>
      <c r="F245">
        <v>1</v>
      </c>
      <c r="G245">
        <v>0.111792609095573</v>
      </c>
      <c r="H245">
        <v>544.95025613630196</v>
      </c>
      <c r="I245">
        <v>80.252426299727205</v>
      </c>
      <c r="K245">
        <v>0.104063093662262</v>
      </c>
      <c r="L245" s="2">
        <f t="shared" si="9"/>
        <v>-6.9141560393343386</v>
      </c>
      <c r="N245">
        <v>77.18109130859375</v>
      </c>
      <c r="O245">
        <v>541.6717529296875</v>
      </c>
      <c r="P245" s="2">
        <f t="shared" si="10"/>
        <v>-3.8270930023506273</v>
      </c>
      <c r="Q245" s="2">
        <f t="shared" si="11"/>
        <v>-0.60161513270202893</v>
      </c>
    </row>
    <row r="246" spans="1:17" x14ac:dyDescent="0.3">
      <c r="A246" t="s">
        <v>262</v>
      </c>
      <c r="B246">
        <v>50.4</v>
      </c>
      <c r="C246">
        <v>117.7</v>
      </c>
      <c r="D246">
        <v>8.2179999999999996E-3</v>
      </c>
      <c r="E246">
        <v>20</v>
      </c>
      <c r="F246">
        <v>1</v>
      </c>
      <c r="G246">
        <v>4.22430261969566E-2</v>
      </c>
      <c r="H246">
        <v>500.09351099403301</v>
      </c>
      <c r="I246">
        <v>42.625934453921097</v>
      </c>
      <c r="K246">
        <v>4.2397454380989068E-2</v>
      </c>
      <c r="L246" s="2">
        <f t="shared" si="9"/>
        <v>0.36557083602972013</v>
      </c>
      <c r="N246">
        <v>44.435276031494141</v>
      </c>
      <c r="O246">
        <v>496.18490600585938</v>
      </c>
      <c r="P246" s="2">
        <f t="shared" si="10"/>
        <v>4.2446965697114587</v>
      </c>
      <c r="Q246" s="2">
        <f t="shared" si="11"/>
        <v>-0.78157482595695438</v>
      </c>
    </row>
    <row r="247" spans="1:17" x14ac:dyDescent="0.3">
      <c r="A247" t="s">
        <v>263</v>
      </c>
      <c r="B247">
        <v>71</v>
      </c>
      <c r="C247">
        <v>130</v>
      </c>
      <c r="D247">
        <v>1.5708E-2</v>
      </c>
      <c r="E247">
        <v>27.44</v>
      </c>
      <c r="F247">
        <v>1</v>
      </c>
      <c r="G247">
        <v>6.8123117089271504E-2</v>
      </c>
      <c r="H247">
        <v>551.06829180160105</v>
      </c>
      <c r="I247">
        <v>65.611525828306796</v>
      </c>
      <c r="K247">
        <v>7.7823914587497711E-2</v>
      </c>
      <c r="L247" s="2">
        <f t="shared" si="9"/>
        <v>14.240096332517874</v>
      </c>
      <c r="N247">
        <v>68.796630859375</v>
      </c>
      <c r="O247">
        <v>547.935791015625</v>
      </c>
      <c r="P247" s="2">
        <f t="shared" si="10"/>
        <v>4.8544901080383864</v>
      </c>
      <c r="Q247" s="2">
        <f t="shared" si="11"/>
        <v>-0.56844148585196241</v>
      </c>
    </row>
    <row r="248" spans="1:17" x14ac:dyDescent="0.3">
      <c r="A248" t="s">
        <v>264</v>
      </c>
      <c r="B248">
        <v>73.2</v>
      </c>
      <c r="C248">
        <v>100</v>
      </c>
      <c r="D248">
        <v>2.4542999999999999E-2</v>
      </c>
      <c r="E248">
        <v>35</v>
      </c>
      <c r="F248">
        <v>1.18</v>
      </c>
      <c r="G248">
        <v>0.238489374518394</v>
      </c>
      <c r="H248">
        <v>625.98230889520198</v>
      </c>
      <c r="I248">
        <v>79.995446437651196</v>
      </c>
      <c r="K248">
        <v>0.10774741321802141</v>
      </c>
      <c r="L248" s="2">
        <f t="shared" si="9"/>
        <v>-54.820874751503382</v>
      </c>
      <c r="N248">
        <v>69.914947509765625</v>
      </c>
      <c r="O248">
        <v>638.00250244140625</v>
      </c>
      <c r="P248" s="2">
        <f t="shared" si="10"/>
        <v>-12.601340922251564</v>
      </c>
      <c r="Q248" s="2">
        <f t="shared" si="11"/>
        <v>1.9202129797276128</v>
      </c>
    </row>
    <row r="249" spans="1:17" x14ac:dyDescent="0.3">
      <c r="A249" t="s">
        <v>265</v>
      </c>
      <c r="B249">
        <v>50.6</v>
      </c>
      <c r="C249">
        <v>103.8</v>
      </c>
      <c r="D249">
        <v>9.9690000000000004E-3</v>
      </c>
      <c r="E249">
        <v>23.25</v>
      </c>
      <c r="F249">
        <v>1</v>
      </c>
      <c r="G249">
        <v>7.7923581004142706E-2</v>
      </c>
      <c r="H249">
        <v>516.00368318226901</v>
      </c>
      <c r="I249">
        <v>44.207843149959302</v>
      </c>
      <c r="K249">
        <v>7.539011538028717E-2</v>
      </c>
      <c r="L249" s="2">
        <f t="shared" si="9"/>
        <v>-3.2512181694022084</v>
      </c>
      <c r="N249">
        <v>44.416915893554688</v>
      </c>
      <c r="O249">
        <v>510.24273681640619</v>
      </c>
      <c r="P249" s="2">
        <f t="shared" si="10"/>
        <v>0.47293133683582039</v>
      </c>
      <c r="Q249" s="2">
        <f t="shared" si="11"/>
        <v>-1.1164545048078409</v>
      </c>
    </row>
    <row r="250" spans="1:17" x14ac:dyDescent="0.3">
      <c r="A250" t="s">
        <v>266</v>
      </c>
      <c r="B250">
        <v>78.900000000000006</v>
      </c>
      <c r="C250">
        <v>116.1</v>
      </c>
      <c r="D250">
        <v>2.3066E-2</v>
      </c>
      <c r="E250">
        <v>31.57</v>
      </c>
      <c r="F250">
        <v>1</v>
      </c>
      <c r="G250">
        <v>0.11397851258516301</v>
      </c>
      <c r="H250">
        <v>568.94148522849503</v>
      </c>
      <c r="I250">
        <v>78.896518410773893</v>
      </c>
      <c r="K250">
        <v>0.10888034105300901</v>
      </c>
      <c r="L250" s="2">
        <f t="shared" si="9"/>
        <v>-4.4729233752236626</v>
      </c>
      <c r="N250">
        <v>77.548873901367188</v>
      </c>
      <c r="O250">
        <v>566.6226806640625</v>
      </c>
      <c r="P250" s="2">
        <f t="shared" si="10"/>
        <v>-1.7081165766912667</v>
      </c>
      <c r="Q250" s="2">
        <f t="shared" si="11"/>
        <v>-0.40756468365130044</v>
      </c>
    </row>
    <row r="251" spans="1:17" x14ac:dyDescent="0.3">
      <c r="A251" t="s">
        <v>267</v>
      </c>
      <c r="B251">
        <v>67.099999999999994</v>
      </c>
      <c r="C251">
        <v>110.9</v>
      </c>
      <c r="D251">
        <v>1.3254E-2</v>
      </c>
      <c r="E251">
        <v>20</v>
      </c>
      <c r="F251">
        <v>1</v>
      </c>
      <c r="G251">
        <v>7.9549029469489996E-2</v>
      </c>
      <c r="H251">
        <v>497.96909029334302</v>
      </c>
      <c r="I251">
        <v>67.519303560774105</v>
      </c>
      <c r="K251">
        <v>7.6285511255264282E-2</v>
      </c>
      <c r="L251" s="2">
        <f t="shared" si="9"/>
        <v>-4.1025242369266035</v>
      </c>
      <c r="N251">
        <v>65.944313049316406</v>
      </c>
      <c r="O251">
        <v>492.2747802734375</v>
      </c>
      <c r="P251" s="2">
        <f t="shared" si="10"/>
        <v>-2.3326521874445145</v>
      </c>
      <c r="Q251" s="2">
        <f t="shared" si="11"/>
        <v>-1.1435067217828958</v>
      </c>
    </row>
    <row r="252" spans="1:17" x14ac:dyDescent="0.3">
      <c r="A252" t="s">
        <v>268</v>
      </c>
      <c r="B252">
        <v>70.5</v>
      </c>
      <c r="C252">
        <v>113.1</v>
      </c>
      <c r="D252">
        <v>1.8719E-2</v>
      </c>
      <c r="E252">
        <v>28.82</v>
      </c>
      <c r="F252">
        <v>1</v>
      </c>
      <c r="G252">
        <v>0.10038274526596</v>
      </c>
      <c r="H252">
        <v>551.491657910546</v>
      </c>
      <c r="I252">
        <v>69.229016128092596</v>
      </c>
      <c r="K252">
        <v>9.4882823526859283E-2</v>
      </c>
      <c r="L252" s="2">
        <f t="shared" si="9"/>
        <v>-5.4789513123285252</v>
      </c>
      <c r="N252">
        <v>67.769744873046875</v>
      </c>
      <c r="O252">
        <v>547.8260498046875</v>
      </c>
      <c r="P252" s="2">
        <f t="shared" si="10"/>
        <v>-2.107889634522135</v>
      </c>
      <c r="Q252" s="2">
        <f t="shared" si="11"/>
        <v>-0.66467154185912847</v>
      </c>
    </row>
    <row r="253" spans="1:17" x14ac:dyDescent="0.3">
      <c r="A253" t="s">
        <v>269</v>
      </c>
      <c r="B253">
        <v>89.9</v>
      </c>
      <c r="C253">
        <v>110.2</v>
      </c>
      <c r="D253">
        <v>3.0956999999999998E-2</v>
      </c>
      <c r="E253">
        <v>35</v>
      </c>
      <c r="F253">
        <v>2</v>
      </c>
      <c r="G253">
        <v>0.17520739138126301</v>
      </c>
      <c r="H253">
        <v>810.57945448603596</v>
      </c>
      <c r="I253">
        <v>115.311800764005</v>
      </c>
      <c r="K253">
        <v>0.14977109432220459</v>
      </c>
      <c r="L253" s="2">
        <f t="shared" si="9"/>
        <v>-14.517821912950771</v>
      </c>
      <c r="N253">
        <v>110.71485900878911</v>
      </c>
      <c r="O253">
        <v>802.69561767578125</v>
      </c>
      <c r="P253" s="2">
        <f t="shared" si="10"/>
        <v>-3.9865319288733603</v>
      </c>
      <c r="Q253" s="2">
        <f t="shared" si="11"/>
        <v>-0.97261739939530178</v>
      </c>
    </row>
    <row r="254" spans="1:17" x14ac:dyDescent="0.3">
      <c r="A254" t="s">
        <v>270</v>
      </c>
      <c r="B254">
        <v>79.599999999999994</v>
      </c>
      <c r="C254">
        <v>111.5</v>
      </c>
      <c r="D254">
        <v>2.4160000000000001E-2</v>
      </c>
      <c r="E254">
        <v>31.77</v>
      </c>
      <c r="F254">
        <v>1</v>
      </c>
      <c r="G254">
        <v>0.13374924659729001</v>
      </c>
      <c r="H254">
        <v>568.74593404416305</v>
      </c>
      <c r="I254">
        <v>81.471714110263207</v>
      </c>
      <c r="K254">
        <v>0.12280987203121189</v>
      </c>
      <c r="L254" s="2">
        <f t="shared" si="9"/>
        <v>-8.1790177099208918</v>
      </c>
      <c r="N254">
        <v>80.463752746582031</v>
      </c>
      <c r="O254">
        <v>568.1826171875</v>
      </c>
      <c r="P254" s="2">
        <f t="shared" si="10"/>
        <v>-1.2371917967958896</v>
      </c>
      <c r="Q254" s="2">
        <f t="shared" si="11"/>
        <v>-9.904543011982371E-2</v>
      </c>
    </row>
    <row r="255" spans="1:17" x14ac:dyDescent="0.3">
      <c r="A255" t="s">
        <v>271</v>
      </c>
      <c r="B255">
        <v>76.900000000000006</v>
      </c>
      <c r="C255">
        <v>121.1</v>
      </c>
      <c r="D255">
        <v>1.8211000000000001E-2</v>
      </c>
      <c r="E255">
        <v>25.77</v>
      </c>
      <c r="F255">
        <v>1</v>
      </c>
      <c r="G255">
        <v>8.5396774113178198E-2</v>
      </c>
      <c r="H255">
        <v>536.09658613061697</v>
      </c>
      <c r="I255">
        <v>76.931365796662803</v>
      </c>
      <c r="K255">
        <v>8.5447825491428375E-2</v>
      </c>
      <c r="L255" s="2">
        <f t="shared" si="9"/>
        <v>5.9781389613755294E-2</v>
      </c>
      <c r="N255">
        <v>75.758285522460938</v>
      </c>
      <c r="O255">
        <v>534.00933837890625</v>
      </c>
      <c r="P255" s="2">
        <f t="shared" si="10"/>
        <v>-1.5248400467794012</v>
      </c>
      <c r="Q255" s="2">
        <f t="shared" si="11"/>
        <v>-0.3893417353719491</v>
      </c>
    </row>
    <row r="256" spans="1:17" x14ac:dyDescent="0.3">
      <c r="A256" t="s">
        <v>272</v>
      </c>
      <c r="B256">
        <v>71.8</v>
      </c>
      <c r="C256">
        <v>128.1</v>
      </c>
      <c r="D256">
        <v>1.2833000000000001E-2</v>
      </c>
      <c r="E256">
        <v>20</v>
      </c>
      <c r="F256">
        <v>1</v>
      </c>
      <c r="G256">
        <v>5.8924853801727198E-2</v>
      </c>
      <c r="H256">
        <v>505.18073555747401</v>
      </c>
      <c r="I256">
        <v>70.1142380666858</v>
      </c>
      <c r="K256">
        <v>6.2882304191589355E-2</v>
      </c>
      <c r="L256" s="2">
        <f t="shared" si="9"/>
        <v>6.7160970872806089</v>
      </c>
      <c r="N256">
        <v>72.024192810058594</v>
      </c>
      <c r="O256">
        <v>499.22186279296881</v>
      </c>
      <c r="P256" s="2">
        <f t="shared" si="10"/>
        <v>2.7240611836303943</v>
      </c>
      <c r="Q256" s="2">
        <f t="shared" si="11"/>
        <v>-1.1795526521670512</v>
      </c>
    </row>
    <row r="257" spans="1:17" x14ac:dyDescent="0.3">
      <c r="A257" t="s">
        <v>273</v>
      </c>
      <c r="B257">
        <v>76.099999999999994</v>
      </c>
      <c r="C257">
        <v>111.3</v>
      </c>
      <c r="D257">
        <v>2.1874000000000001E-2</v>
      </c>
      <c r="E257">
        <v>30.28</v>
      </c>
      <c r="F257">
        <v>1</v>
      </c>
      <c r="G257">
        <v>0.122611559927463</v>
      </c>
      <c r="H257">
        <v>559.75304009823697</v>
      </c>
      <c r="I257">
        <v>77.025231499270902</v>
      </c>
      <c r="K257">
        <v>0.1099937632679939</v>
      </c>
      <c r="L257" s="2">
        <f t="shared" si="9"/>
        <v>-10.290870344471429</v>
      </c>
      <c r="N257">
        <v>75.052963256835938</v>
      </c>
      <c r="O257">
        <v>557.6944580078125</v>
      </c>
      <c r="P257" s="2">
        <f t="shared" si="10"/>
        <v>-2.560548282745029</v>
      </c>
      <c r="Q257" s="2">
        <f t="shared" si="11"/>
        <v>-0.36776612951725701</v>
      </c>
    </row>
    <row r="258" spans="1:17" x14ac:dyDescent="0.3">
      <c r="A258" t="s">
        <v>279</v>
      </c>
      <c r="B258">
        <v>81.7</v>
      </c>
      <c r="C258">
        <v>108.2</v>
      </c>
      <c r="D258">
        <v>2.7612000000000001E-2</v>
      </c>
      <c r="E258">
        <v>35</v>
      </c>
      <c r="F258">
        <v>2</v>
      </c>
      <c r="G258">
        <v>0.16727477312087999</v>
      </c>
      <c r="H258">
        <v>809.96143167515299</v>
      </c>
      <c r="I258">
        <v>103.61491842354999</v>
      </c>
      <c r="K258">
        <v>0.14803117513656619</v>
      </c>
      <c r="L258" s="2">
        <f t="shared" si="9"/>
        <v>-11.504184178691155</v>
      </c>
      <c r="N258">
        <v>100.3434600830078</v>
      </c>
      <c r="O258">
        <v>799.16943359375</v>
      </c>
      <c r="P258" s="2">
        <f t="shared" ref="P258:P321" si="12">(N258-I258)/I258*100</f>
        <v>-3.1573236656611088</v>
      </c>
      <c r="Q258" s="2">
        <f t="shared" ref="Q258:Q321" si="13">(O258-H258)/H258*100</f>
        <v>-1.3324088850851956</v>
      </c>
    </row>
    <row r="259" spans="1:17" x14ac:dyDescent="0.3">
      <c r="A259" t="s">
        <v>280</v>
      </c>
      <c r="B259">
        <v>49</v>
      </c>
      <c r="C259">
        <v>116.2</v>
      </c>
      <c r="D259">
        <v>9.8639999999999995E-3</v>
      </c>
      <c r="E259">
        <v>26.57</v>
      </c>
      <c r="F259">
        <v>1</v>
      </c>
      <c r="G259">
        <v>4.9877513200044597E-2</v>
      </c>
      <c r="H259">
        <v>538.975851943527</v>
      </c>
      <c r="I259">
        <v>39.770667392257202</v>
      </c>
      <c r="K259">
        <v>5.0055120140314102E-2</v>
      </c>
      <c r="L259" s="2">
        <f t="shared" si="9"/>
        <v>0.35608619771634104</v>
      </c>
      <c r="N259">
        <v>40.965320587158203</v>
      </c>
      <c r="O259">
        <v>537.89404296875</v>
      </c>
      <c r="P259" s="2">
        <f t="shared" si="12"/>
        <v>3.0038550349637414</v>
      </c>
      <c r="Q259" s="2">
        <f t="shared" si="13"/>
        <v>-0.20071566673646721</v>
      </c>
    </row>
    <row r="260" spans="1:17" x14ac:dyDescent="0.3">
      <c r="A260" t="s">
        <v>281</v>
      </c>
      <c r="B260">
        <v>66.3</v>
      </c>
      <c r="C260">
        <v>110.7</v>
      </c>
      <c r="D260">
        <v>1.3583E-2</v>
      </c>
      <c r="E260">
        <v>21.1</v>
      </c>
      <c r="F260">
        <v>1</v>
      </c>
      <c r="G260">
        <v>8.1410035490989602E-2</v>
      </c>
      <c r="H260">
        <v>504.51802696960101</v>
      </c>
      <c r="I260">
        <v>65.505215899148098</v>
      </c>
      <c r="K260">
        <v>7.7211104333400726E-2</v>
      </c>
      <c r="L260" s="2">
        <f t="shared" si="9"/>
        <v>-5.1577562056874546</v>
      </c>
      <c r="N260">
        <v>64.195938110351563</v>
      </c>
      <c r="O260">
        <v>499.61016845703119</v>
      </c>
      <c r="P260" s="2">
        <f t="shared" si="12"/>
        <v>-1.9987382238573201</v>
      </c>
      <c r="Q260" s="2">
        <f t="shared" si="13"/>
        <v>-0.97278159554555077</v>
      </c>
    </row>
    <row r="261" spans="1:17" x14ac:dyDescent="0.3">
      <c r="A261" t="s">
        <v>282</v>
      </c>
      <c r="B261">
        <v>40.700000000000003</v>
      </c>
      <c r="C261">
        <v>111.5</v>
      </c>
      <c r="D261">
        <v>5.8079999999999998E-3</v>
      </c>
      <c r="E261">
        <v>20</v>
      </c>
      <c r="F261">
        <v>1</v>
      </c>
      <c r="G261">
        <v>3.4261792898178101E-2</v>
      </c>
      <c r="H261">
        <v>498.125934044161</v>
      </c>
      <c r="I261">
        <v>29.439942247515301</v>
      </c>
      <c r="K261">
        <v>3.5741105675697327E-2</v>
      </c>
      <c r="L261" s="2">
        <f t="shared" si="9"/>
        <v>4.3176747402436426</v>
      </c>
      <c r="N261">
        <v>32.250698089599609</v>
      </c>
      <c r="O261">
        <v>491.797119140625</v>
      </c>
      <c r="P261" s="2">
        <f t="shared" si="12"/>
        <v>9.547423084097705</v>
      </c>
      <c r="Q261" s="2">
        <f t="shared" si="13"/>
        <v>-1.2705250762902303</v>
      </c>
    </row>
    <row r="262" spans="1:17" x14ac:dyDescent="0.3">
      <c r="A262" t="s">
        <v>283</v>
      </c>
      <c r="B262">
        <v>76.900000000000006</v>
      </c>
      <c r="C262">
        <v>116.9</v>
      </c>
      <c r="D262">
        <v>2.4145E-2</v>
      </c>
      <c r="E262">
        <v>35</v>
      </c>
      <c r="F262">
        <v>1</v>
      </c>
      <c r="G262">
        <v>0.11575409024953801</v>
      </c>
      <c r="H262">
        <v>589.80153667950503</v>
      </c>
      <c r="I262">
        <v>76.190215107812406</v>
      </c>
      <c r="K262">
        <v>0.110998772084713</v>
      </c>
      <c r="L262" s="2">
        <f t="shared" si="9"/>
        <v>-4.1081210647275501</v>
      </c>
      <c r="N262">
        <v>74.807662963867188</v>
      </c>
      <c r="O262">
        <v>587.1943359375</v>
      </c>
      <c r="P262" s="2">
        <f t="shared" si="12"/>
        <v>-1.8146059070562388</v>
      </c>
      <c r="Q262" s="2">
        <f t="shared" si="13"/>
        <v>-0.44204712600160162</v>
      </c>
    </row>
    <row r="263" spans="1:17" x14ac:dyDescent="0.3">
      <c r="A263" t="s">
        <v>284</v>
      </c>
      <c r="B263">
        <v>61.6</v>
      </c>
      <c r="C263">
        <v>100</v>
      </c>
      <c r="D263">
        <v>1.6417999999999999E-2</v>
      </c>
      <c r="E263">
        <v>29.06</v>
      </c>
      <c r="F263">
        <v>1.25</v>
      </c>
      <c r="G263">
        <v>0.15920563042163799</v>
      </c>
      <c r="H263">
        <v>596.98526724918497</v>
      </c>
      <c r="I263">
        <v>64.829386891913998</v>
      </c>
      <c r="K263">
        <v>0.14378884434700009</v>
      </c>
      <c r="L263" s="2">
        <f t="shared" si="9"/>
        <v>-9.6835683724302299</v>
      </c>
      <c r="N263">
        <v>62.502582550048828</v>
      </c>
      <c r="O263">
        <v>594.61138916015625</v>
      </c>
      <c r="P263" s="2">
        <f t="shared" si="12"/>
        <v>-3.589119770243248</v>
      </c>
      <c r="Q263" s="2">
        <f t="shared" si="13"/>
        <v>-0.39764433383208631</v>
      </c>
    </row>
    <row r="264" spans="1:17" x14ac:dyDescent="0.3">
      <c r="A264" t="s">
        <v>285</v>
      </c>
      <c r="B264">
        <v>62.8</v>
      </c>
      <c r="C264">
        <v>130</v>
      </c>
      <c r="D264">
        <v>1.3087E-2</v>
      </c>
      <c r="E264">
        <v>27.18</v>
      </c>
      <c r="F264">
        <v>1</v>
      </c>
      <c r="G264">
        <v>5.6823484599590302E-2</v>
      </c>
      <c r="H264">
        <v>549.50829180160201</v>
      </c>
      <c r="I264">
        <v>54.071228527749803</v>
      </c>
      <c r="K264">
        <v>6.2877528369426727E-2</v>
      </c>
      <c r="L264" s="2">
        <f t="shared" si="9"/>
        <v>10.654122696797929</v>
      </c>
      <c r="N264">
        <v>57.206741333007813</v>
      </c>
      <c r="O264">
        <v>544.9052734375</v>
      </c>
      <c r="P264" s="2">
        <f t="shared" si="12"/>
        <v>5.7988562321065791</v>
      </c>
      <c r="Q264" s="2">
        <f t="shared" si="13"/>
        <v>-0.83766131153557122</v>
      </c>
    </row>
    <row r="265" spans="1:17" x14ac:dyDescent="0.3">
      <c r="A265" t="s">
        <v>286</v>
      </c>
      <c r="B265">
        <v>81.8</v>
      </c>
      <c r="C265">
        <v>128</v>
      </c>
      <c r="D265">
        <v>1.7118000000000001E-2</v>
      </c>
      <c r="E265">
        <v>23.23</v>
      </c>
      <c r="F265">
        <v>1</v>
      </c>
      <c r="G265">
        <v>7.6793722808360998E-2</v>
      </c>
      <c r="H265">
        <v>524.49828512825297</v>
      </c>
      <c r="I265">
        <v>81.328081603108203</v>
      </c>
      <c r="K265">
        <v>8.0557748675346375E-2</v>
      </c>
      <c r="L265" s="2">
        <f t="shared" ref="L265:L328" si="14">(K265-G265)/G265*100</f>
        <v>4.9014759661782721</v>
      </c>
      <c r="N265">
        <v>81.746658325195313</v>
      </c>
      <c r="O265">
        <v>520.72930908203125</v>
      </c>
      <c r="P265" s="2">
        <f t="shared" si="12"/>
        <v>0.51467674367363014</v>
      </c>
      <c r="Q265" s="2">
        <f t="shared" si="13"/>
        <v>-0.71858691497916238</v>
      </c>
    </row>
    <row r="266" spans="1:17" x14ac:dyDescent="0.3">
      <c r="A266" t="s">
        <v>287</v>
      </c>
      <c r="B266">
        <v>77.7</v>
      </c>
      <c r="C266">
        <v>120.4</v>
      </c>
      <c r="D266">
        <v>2.0598000000000002E-2</v>
      </c>
      <c r="E266">
        <v>29.36</v>
      </c>
      <c r="F266">
        <v>1</v>
      </c>
      <c r="G266">
        <v>9.5646813511848394E-2</v>
      </c>
      <c r="H266">
        <v>557.33209833429896</v>
      </c>
      <c r="I266">
        <v>77.189345105314999</v>
      </c>
      <c r="K266">
        <v>9.4341807067394257E-2</v>
      </c>
      <c r="L266" s="2">
        <f t="shared" si="14"/>
        <v>-1.364401381016711</v>
      </c>
      <c r="N266">
        <v>75.806228637695313</v>
      </c>
      <c r="O266">
        <v>556.53826904296875</v>
      </c>
      <c r="P266" s="2">
        <f t="shared" si="12"/>
        <v>-1.7918489471993841</v>
      </c>
      <c r="Q266" s="2">
        <f t="shared" si="13"/>
        <v>-0.1424338009066288</v>
      </c>
    </row>
    <row r="267" spans="1:17" x14ac:dyDescent="0.3">
      <c r="A267" t="s">
        <v>288</v>
      </c>
      <c r="B267">
        <v>45.2</v>
      </c>
      <c r="C267">
        <v>113.7</v>
      </c>
      <c r="D267">
        <v>6.986E-3</v>
      </c>
      <c r="E267">
        <v>20</v>
      </c>
      <c r="F267">
        <v>1</v>
      </c>
      <c r="G267">
        <v>3.8943201303482E-2</v>
      </c>
      <c r="H267">
        <v>498.74942131801902</v>
      </c>
      <c r="I267">
        <v>35.689795457103301</v>
      </c>
      <c r="K267">
        <v>3.8924571126699448E-2</v>
      </c>
      <c r="L267" s="2">
        <f t="shared" si="14"/>
        <v>-4.7839356187922732E-2</v>
      </c>
      <c r="N267">
        <v>37.814414978027337</v>
      </c>
      <c r="O267">
        <v>494.45852661132813</v>
      </c>
      <c r="P267" s="2">
        <f t="shared" si="12"/>
        <v>5.9530168041385476</v>
      </c>
      <c r="Q267" s="2">
        <f t="shared" si="13"/>
        <v>-0.86033076396390984</v>
      </c>
    </row>
    <row r="268" spans="1:17" x14ac:dyDescent="0.3">
      <c r="A268" t="s">
        <v>289</v>
      </c>
      <c r="B268">
        <v>54.9</v>
      </c>
      <c r="C268">
        <v>113.2</v>
      </c>
      <c r="D268">
        <v>1.3047E-2</v>
      </c>
      <c r="E268">
        <v>29.14</v>
      </c>
      <c r="F268">
        <v>1</v>
      </c>
      <c r="G268">
        <v>6.9671452045440604E-2</v>
      </c>
      <c r="H268">
        <v>553.44087545102502</v>
      </c>
      <c r="I268">
        <v>48.180592131048599</v>
      </c>
      <c r="K268">
        <v>6.8791769444942474E-2</v>
      </c>
      <c r="L268" s="2">
        <f t="shared" si="14"/>
        <v>-1.2626155687474261</v>
      </c>
      <c r="N268">
        <v>48.539699554443359</v>
      </c>
      <c r="O268">
        <v>549.76123046875</v>
      </c>
      <c r="P268" s="2">
        <f t="shared" si="12"/>
        <v>0.74533625991562769</v>
      </c>
      <c r="Q268" s="2">
        <f t="shared" si="13"/>
        <v>-0.66486686211536261</v>
      </c>
    </row>
    <row r="269" spans="1:17" x14ac:dyDescent="0.3">
      <c r="A269" t="s">
        <v>290</v>
      </c>
      <c r="B269">
        <v>78.400000000000006</v>
      </c>
      <c r="C269">
        <v>118.2</v>
      </c>
      <c r="D269">
        <v>2.0837000000000001E-2</v>
      </c>
      <c r="E269">
        <v>28.72</v>
      </c>
      <c r="F269">
        <v>1</v>
      </c>
      <c r="G269">
        <v>0.10041456669569</v>
      </c>
      <c r="H269">
        <v>552.60221555156204</v>
      </c>
      <c r="I269">
        <v>78.696404390762893</v>
      </c>
      <c r="K269">
        <v>9.7322478890419006E-2</v>
      </c>
      <c r="L269" s="2">
        <f t="shared" si="14"/>
        <v>-3.0793219619636272</v>
      </c>
      <c r="N269">
        <v>77.144027709960938</v>
      </c>
      <c r="O269">
        <v>550.7218017578125</v>
      </c>
      <c r="P269" s="2">
        <f t="shared" si="12"/>
        <v>-1.9726144959478842</v>
      </c>
      <c r="Q269" s="2">
        <f t="shared" si="13"/>
        <v>-0.34028343369428327</v>
      </c>
    </row>
    <row r="270" spans="1:17" x14ac:dyDescent="0.3">
      <c r="A270" t="s">
        <v>291</v>
      </c>
      <c r="B270">
        <v>44.2</v>
      </c>
      <c r="C270">
        <v>100</v>
      </c>
      <c r="D270">
        <v>1.1164E-2</v>
      </c>
      <c r="E270">
        <v>35</v>
      </c>
      <c r="F270">
        <v>1.29</v>
      </c>
      <c r="G270">
        <v>0.10785797983407901</v>
      </c>
      <c r="H270">
        <v>650.42267202288997</v>
      </c>
      <c r="I270">
        <v>37.383413165902901</v>
      </c>
      <c r="K270">
        <v>0.1035180166363716</v>
      </c>
      <c r="L270" s="2">
        <f t="shared" si="14"/>
        <v>-4.0237757135667636</v>
      </c>
      <c r="N270">
        <v>38.016975402832031</v>
      </c>
      <c r="O270">
        <v>643.75347900390625</v>
      </c>
      <c r="P270" s="2">
        <f t="shared" si="12"/>
        <v>1.6947683030371259</v>
      </c>
      <c r="Q270" s="2">
        <f t="shared" si="13"/>
        <v>-1.0253629379556766</v>
      </c>
    </row>
    <row r="271" spans="1:17" x14ac:dyDescent="0.3">
      <c r="A271" t="s">
        <v>292</v>
      </c>
      <c r="B271">
        <v>62.1</v>
      </c>
      <c r="C271">
        <v>110</v>
      </c>
      <c r="D271">
        <v>1.5383000000000001E-2</v>
      </c>
      <c r="E271">
        <v>27.73</v>
      </c>
      <c r="F271">
        <v>1</v>
      </c>
      <c r="G271">
        <v>9.0852171182632405E-2</v>
      </c>
      <c r="H271">
        <v>544.12402919477404</v>
      </c>
      <c r="I271">
        <v>58.449130179029503</v>
      </c>
      <c r="K271">
        <v>8.4329791367053986E-2</v>
      </c>
      <c r="L271" s="2">
        <f t="shared" si="14"/>
        <v>-7.1791127616169268</v>
      </c>
      <c r="N271">
        <v>57.820095062255859</v>
      </c>
      <c r="O271">
        <v>538.8719482421875</v>
      </c>
      <c r="P271" s="2">
        <f t="shared" si="12"/>
        <v>-1.0762095429767913</v>
      </c>
      <c r="Q271" s="2">
        <f t="shared" si="13"/>
        <v>-0.96523598863275162</v>
      </c>
    </row>
    <row r="272" spans="1:17" x14ac:dyDescent="0.3">
      <c r="A272" t="s">
        <v>293</v>
      </c>
      <c r="B272">
        <v>65.099999999999994</v>
      </c>
      <c r="C272">
        <v>105.6</v>
      </c>
      <c r="D272">
        <v>1.763E-2</v>
      </c>
      <c r="E272">
        <v>29.37</v>
      </c>
      <c r="F272">
        <v>1</v>
      </c>
      <c r="G272">
        <v>0.123157106339931</v>
      </c>
      <c r="H272">
        <v>553.03049725924802</v>
      </c>
      <c r="I272">
        <v>63.238163492949397</v>
      </c>
      <c r="K272">
        <v>0.10200145840644841</v>
      </c>
      <c r="L272" s="2">
        <f t="shared" si="14"/>
        <v>-17.177772815715581</v>
      </c>
      <c r="N272">
        <v>60.157325744628913</v>
      </c>
      <c r="O272">
        <v>549.2183837890625</v>
      </c>
      <c r="P272" s="2">
        <f t="shared" si="12"/>
        <v>-4.87180142203841</v>
      </c>
      <c r="Q272" s="2">
        <f t="shared" si="13"/>
        <v>-0.68931342648875493</v>
      </c>
    </row>
    <row r="273" spans="1:17" x14ac:dyDescent="0.3">
      <c r="A273" t="s">
        <v>294</v>
      </c>
      <c r="B273">
        <v>49.6</v>
      </c>
      <c r="C273">
        <v>105.2</v>
      </c>
      <c r="D273">
        <v>1.1473000000000001E-2</v>
      </c>
      <c r="E273">
        <v>29.02</v>
      </c>
      <c r="F273">
        <v>1</v>
      </c>
      <c r="G273">
        <v>8.1828273832798004E-2</v>
      </c>
      <c r="H273">
        <v>550.858691222625</v>
      </c>
      <c r="I273">
        <v>42.0549442097075</v>
      </c>
      <c r="K273">
        <v>7.9976998269557953E-2</v>
      </c>
      <c r="L273" s="2">
        <f t="shared" si="14"/>
        <v>-2.2623910740471125</v>
      </c>
      <c r="N273">
        <v>42.597843170166023</v>
      </c>
      <c r="O273">
        <v>547.13055419921875</v>
      </c>
      <c r="P273" s="2">
        <f t="shared" si="12"/>
        <v>1.290927786638713</v>
      </c>
      <c r="Q273" s="2">
        <f t="shared" si="13"/>
        <v>-0.67678645772687873</v>
      </c>
    </row>
    <row r="274" spans="1:17" x14ac:dyDescent="0.3">
      <c r="A274" t="s">
        <v>295</v>
      </c>
      <c r="B274">
        <v>53.5</v>
      </c>
      <c r="C274">
        <v>118.4</v>
      </c>
      <c r="D274">
        <v>9.9830000000000006E-3</v>
      </c>
      <c r="E274">
        <v>22.9</v>
      </c>
      <c r="F274">
        <v>1</v>
      </c>
      <c r="G274">
        <v>4.9635693430900497E-2</v>
      </c>
      <c r="H274">
        <v>517.75906382667199</v>
      </c>
      <c r="I274">
        <v>46.157376908479598</v>
      </c>
      <c r="K274">
        <v>5.0058044493198388E-2</v>
      </c>
      <c r="L274" s="2">
        <f t="shared" si="14"/>
        <v>0.85090190768838447</v>
      </c>
      <c r="N274">
        <v>48.009120941162109</v>
      </c>
      <c r="O274">
        <v>514.8448486328125</v>
      </c>
      <c r="P274" s="2">
        <f t="shared" si="12"/>
        <v>4.0118051689855143</v>
      </c>
      <c r="Q274" s="2">
        <f t="shared" si="13"/>
        <v>-0.56285160366310261</v>
      </c>
    </row>
    <row r="275" spans="1:17" x14ac:dyDescent="0.3">
      <c r="A275" t="s">
        <v>296</v>
      </c>
      <c r="B275">
        <v>51.9</v>
      </c>
      <c r="C275">
        <v>100</v>
      </c>
      <c r="D275">
        <v>1.3717999999999999E-2</v>
      </c>
      <c r="E275">
        <v>32.21</v>
      </c>
      <c r="F275">
        <v>1.19</v>
      </c>
      <c r="G275">
        <v>0.13346017897129001</v>
      </c>
      <c r="H275">
        <v>608.28356008862704</v>
      </c>
      <c r="I275">
        <v>48.246067451752403</v>
      </c>
      <c r="K275">
        <v>0.12103726714849471</v>
      </c>
      <c r="L275" s="2">
        <f t="shared" si="14"/>
        <v>-9.3083284606322305</v>
      </c>
      <c r="N275">
        <v>49.357219696044922</v>
      </c>
      <c r="O275">
        <v>606.3511962890625</v>
      </c>
      <c r="P275" s="2">
        <f t="shared" si="12"/>
        <v>2.3030939162113198</v>
      </c>
      <c r="Q275" s="2">
        <f t="shared" si="13"/>
        <v>-0.31767483561169985</v>
      </c>
    </row>
    <row r="276" spans="1:17" x14ac:dyDescent="0.3">
      <c r="A276" t="s">
        <v>297</v>
      </c>
      <c r="B276">
        <v>46.2</v>
      </c>
      <c r="C276">
        <v>105.5</v>
      </c>
      <c r="D276">
        <v>7.5490000000000002E-3</v>
      </c>
      <c r="E276">
        <v>20</v>
      </c>
      <c r="F276">
        <v>1</v>
      </c>
      <c r="G276">
        <v>5.5060625076293897E-2</v>
      </c>
      <c r="H276">
        <v>496.79234908999302</v>
      </c>
      <c r="I276">
        <v>38.100385156255797</v>
      </c>
      <c r="K276">
        <v>5.2807774394750602E-2</v>
      </c>
      <c r="L276" s="2">
        <f t="shared" si="14"/>
        <v>-4.0915821032210715</v>
      </c>
      <c r="N276">
        <v>39.249916076660163</v>
      </c>
      <c r="O276">
        <v>490.97052001953119</v>
      </c>
      <c r="P276" s="2">
        <f t="shared" si="12"/>
        <v>3.0171110231299645</v>
      </c>
      <c r="Q276" s="2">
        <f t="shared" si="13"/>
        <v>-1.1718838023826366</v>
      </c>
    </row>
    <row r="277" spans="1:17" x14ac:dyDescent="0.3">
      <c r="A277" t="s">
        <v>298</v>
      </c>
      <c r="B277">
        <v>70.5</v>
      </c>
      <c r="C277">
        <v>115.6</v>
      </c>
      <c r="D277">
        <v>1.8561000000000001E-2</v>
      </c>
      <c r="E277">
        <v>29.1</v>
      </c>
      <c r="F277">
        <v>1</v>
      </c>
      <c r="G277">
        <v>9.3760319054126698E-2</v>
      </c>
      <c r="H277">
        <v>553.95234926537603</v>
      </c>
      <c r="I277">
        <v>68.5379246888495</v>
      </c>
      <c r="K277">
        <v>9.2780306935310364E-2</v>
      </c>
      <c r="L277" s="2">
        <f t="shared" si="14"/>
        <v>-1.0452312115646545</v>
      </c>
      <c r="N277">
        <v>67.876296997070313</v>
      </c>
      <c r="O277">
        <v>551.265380859375</v>
      </c>
      <c r="P277" s="2">
        <f t="shared" si="12"/>
        <v>-0.96534538327920616</v>
      </c>
      <c r="Q277" s="2">
        <f t="shared" si="13"/>
        <v>-0.48505406819997277</v>
      </c>
    </row>
    <row r="278" spans="1:17" x14ac:dyDescent="0.3">
      <c r="A278" t="s">
        <v>299</v>
      </c>
      <c r="B278">
        <v>81</v>
      </c>
      <c r="C278">
        <v>130</v>
      </c>
      <c r="D278">
        <v>1.4827E-2</v>
      </c>
      <c r="E278">
        <v>20</v>
      </c>
      <c r="F278">
        <v>1</v>
      </c>
      <c r="G278">
        <v>6.7451685667037894E-2</v>
      </c>
      <c r="H278">
        <v>506.42829180160197</v>
      </c>
      <c r="I278">
        <v>81.470555378329095</v>
      </c>
      <c r="K278">
        <v>7.2907581925392151E-2</v>
      </c>
      <c r="L278" s="2">
        <f t="shared" si="14"/>
        <v>8.0885988310006436</v>
      </c>
      <c r="N278">
        <v>82.513389587402344</v>
      </c>
      <c r="O278">
        <v>499.71807861328119</v>
      </c>
      <c r="P278" s="2">
        <f t="shared" si="12"/>
        <v>1.2800136248373226</v>
      </c>
      <c r="Q278" s="2">
        <f t="shared" si="13"/>
        <v>-1.3250075671028205</v>
      </c>
    </row>
    <row r="279" spans="1:17" x14ac:dyDescent="0.3">
      <c r="A279" t="s">
        <v>300</v>
      </c>
      <c r="B279">
        <v>81.2</v>
      </c>
      <c r="C279">
        <v>130</v>
      </c>
      <c r="D279">
        <v>1.5166000000000001E-2</v>
      </c>
      <c r="E279">
        <v>20.55</v>
      </c>
      <c r="F279">
        <v>1</v>
      </c>
      <c r="G279">
        <v>6.8716518580913502E-2</v>
      </c>
      <c r="H279">
        <v>509.72829180160198</v>
      </c>
      <c r="I279">
        <v>81.585888886662701</v>
      </c>
      <c r="K279">
        <v>7.4092239141464233E-2</v>
      </c>
      <c r="L279" s="2">
        <f t="shared" si="14"/>
        <v>7.8230397458521352</v>
      </c>
      <c r="N279">
        <v>82.370323181152344</v>
      </c>
      <c r="O279">
        <v>503.5780029296875</v>
      </c>
      <c r="P279" s="2">
        <f t="shared" si="12"/>
        <v>0.96148280688509902</v>
      </c>
      <c r="Q279" s="2">
        <f t="shared" si="13"/>
        <v>-1.206581814436213</v>
      </c>
    </row>
    <row r="280" spans="1:17" x14ac:dyDescent="0.3">
      <c r="A280" t="s">
        <v>301</v>
      </c>
      <c r="B280">
        <v>61.2</v>
      </c>
      <c r="C280">
        <v>104</v>
      </c>
      <c r="D280">
        <v>1.8770999999999999E-2</v>
      </c>
      <c r="E280">
        <v>35</v>
      </c>
      <c r="F280">
        <v>1.1200000000000001</v>
      </c>
      <c r="G280">
        <v>0.13979257643222801</v>
      </c>
      <c r="H280">
        <v>613.21980366850198</v>
      </c>
      <c r="I280">
        <v>59.719153277634902</v>
      </c>
      <c r="K280">
        <v>0.1143456026911736</v>
      </c>
      <c r="L280" s="2">
        <f t="shared" si="14"/>
        <v>-18.203379886478597</v>
      </c>
      <c r="N280">
        <v>55.817001342773438</v>
      </c>
      <c r="O280">
        <v>612.8834228515625</v>
      </c>
      <c r="P280" s="2">
        <f t="shared" si="12"/>
        <v>-6.5341715692456726</v>
      </c>
      <c r="Q280" s="2">
        <f t="shared" si="13"/>
        <v>-5.4854852196085352E-2</v>
      </c>
    </row>
    <row r="281" spans="1:17" x14ac:dyDescent="0.3">
      <c r="A281" t="s">
        <v>302</v>
      </c>
      <c r="B281">
        <v>65.900000000000006</v>
      </c>
      <c r="C281">
        <v>130</v>
      </c>
      <c r="D281">
        <v>1.1155999999999999E-2</v>
      </c>
      <c r="E281">
        <v>20</v>
      </c>
      <c r="F281">
        <v>1.79</v>
      </c>
      <c r="G281">
        <v>5.0901047885417897E-2</v>
      </c>
      <c r="H281">
        <v>613.60355290447205</v>
      </c>
      <c r="I281">
        <v>74.462496617786499</v>
      </c>
      <c r="K281">
        <v>5.5260725319385529E-2</v>
      </c>
      <c r="L281" s="2">
        <f t="shared" si="14"/>
        <v>8.5650052701893209</v>
      </c>
      <c r="N281">
        <v>76.222267150878906</v>
      </c>
      <c r="O281">
        <v>606.5697021484375</v>
      </c>
      <c r="P281" s="2">
        <f t="shared" si="12"/>
        <v>2.3632977848234802</v>
      </c>
      <c r="Q281" s="2">
        <f t="shared" si="13"/>
        <v>-1.1463184531347732</v>
      </c>
    </row>
    <row r="282" spans="1:17" x14ac:dyDescent="0.3">
      <c r="A282" t="s">
        <v>303</v>
      </c>
      <c r="B282">
        <v>42.4</v>
      </c>
      <c r="C282">
        <v>100</v>
      </c>
      <c r="D282">
        <v>1.0333999999999999E-2</v>
      </c>
      <c r="E282">
        <v>35</v>
      </c>
      <c r="F282">
        <v>1</v>
      </c>
      <c r="G282">
        <v>0.101263962686061</v>
      </c>
      <c r="H282">
        <v>585.98898741352798</v>
      </c>
      <c r="I282">
        <v>32.243880632929397</v>
      </c>
      <c r="K282">
        <v>9.0647488832473755E-2</v>
      </c>
      <c r="L282" s="2">
        <f t="shared" si="14"/>
        <v>-10.483960504785385</v>
      </c>
      <c r="N282">
        <v>32.608924865722663</v>
      </c>
      <c r="O282">
        <v>586.0126953125</v>
      </c>
      <c r="P282" s="2">
        <f t="shared" si="12"/>
        <v>1.1321349218135406</v>
      </c>
      <c r="Q282" s="2">
        <f t="shared" si="13"/>
        <v>4.0457925799362877E-3</v>
      </c>
    </row>
    <row r="283" spans="1:17" x14ac:dyDescent="0.3">
      <c r="A283" t="s">
        <v>304</v>
      </c>
      <c r="B283">
        <v>42</v>
      </c>
      <c r="C283">
        <v>130</v>
      </c>
      <c r="D283">
        <v>6.9210000000000001E-3</v>
      </c>
      <c r="E283">
        <v>28.19</v>
      </c>
      <c r="F283">
        <v>1</v>
      </c>
      <c r="G283">
        <v>2.9893422499299001E-2</v>
      </c>
      <c r="H283">
        <v>555.56829180160196</v>
      </c>
      <c r="I283">
        <v>27.726311166621301</v>
      </c>
      <c r="K283">
        <v>3.3586647361516953E-2</v>
      </c>
      <c r="L283" s="2">
        <f t="shared" si="14"/>
        <v>12.354640430698618</v>
      </c>
      <c r="N283">
        <v>30.935811996459961</v>
      </c>
      <c r="O283">
        <v>548.42218017578125</v>
      </c>
      <c r="P283" s="2">
        <f t="shared" si="12"/>
        <v>11.575650329216753</v>
      </c>
      <c r="Q283" s="2">
        <f t="shared" si="13"/>
        <v>-1.2862706045817036</v>
      </c>
    </row>
    <row r="284" spans="1:17" x14ac:dyDescent="0.3">
      <c r="A284" t="s">
        <v>305</v>
      </c>
      <c r="B284">
        <v>51.7</v>
      </c>
      <c r="C284">
        <v>111.4</v>
      </c>
      <c r="D284">
        <v>1.3948E-2</v>
      </c>
      <c r="E284">
        <v>35</v>
      </c>
      <c r="F284">
        <v>1</v>
      </c>
      <c r="G284">
        <v>7.6492555439472198E-2</v>
      </c>
      <c r="H284">
        <v>588.09941009036902</v>
      </c>
      <c r="I284">
        <v>43.368533748847597</v>
      </c>
      <c r="K284">
        <v>7.4372522532939911E-2</v>
      </c>
      <c r="L284" s="2">
        <f t="shared" si="14"/>
        <v>-2.771554557632538</v>
      </c>
      <c r="N284">
        <v>43.783042907714837</v>
      </c>
      <c r="O284">
        <v>586.000244140625</v>
      </c>
      <c r="P284" s="2">
        <f t="shared" si="12"/>
        <v>0.9557831981770758</v>
      </c>
      <c r="Q284" s="2">
        <f t="shared" si="13"/>
        <v>-0.35694066576626149</v>
      </c>
    </row>
    <row r="285" spans="1:17" x14ac:dyDescent="0.3">
      <c r="A285" t="s">
        <v>306</v>
      </c>
      <c r="B285">
        <v>59</v>
      </c>
      <c r="C285">
        <v>102.9</v>
      </c>
      <c r="D285">
        <v>1.7838E-2</v>
      </c>
      <c r="E285">
        <v>35</v>
      </c>
      <c r="F285">
        <v>1</v>
      </c>
      <c r="G285">
        <v>0.142044812440872</v>
      </c>
      <c r="H285">
        <v>586.36575205787096</v>
      </c>
      <c r="I285">
        <v>55.391635238957797</v>
      </c>
      <c r="K285">
        <v>0.1105825677514076</v>
      </c>
      <c r="L285" s="2">
        <f t="shared" si="14"/>
        <v>-22.149520386435071</v>
      </c>
      <c r="N285">
        <v>52.450832366943359</v>
      </c>
      <c r="O285">
        <v>589.73211669921875</v>
      </c>
      <c r="P285" s="2">
        <f t="shared" si="12"/>
        <v>-5.3091100476234452</v>
      </c>
      <c r="Q285" s="2">
        <f t="shared" si="13"/>
        <v>0.57410662705545346</v>
      </c>
    </row>
    <row r="286" spans="1:17" x14ac:dyDescent="0.3">
      <c r="A286" t="s">
        <v>307</v>
      </c>
      <c r="B286">
        <v>75.400000000000006</v>
      </c>
      <c r="C286">
        <v>117.4</v>
      </c>
      <c r="D286">
        <v>1.5006E-2</v>
      </c>
      <c r="E286">
        <v>20</v>
      </c>
      <c r="F286">
        <v>1</v>
      </c>
      <c r="G286">
        <v>7.7542632818222004E-2</v>
      </c>
      <c r="H286">
        <v>499.98260004181901</v>
      </c>
      <c r="I286">
        <v>77.264330003312196</v>
      </c>
      <c r="K286">
        <v>7.7315419912338257E-2</v>
      </c>
      <c r="L286" s="2">
        <f t="shared" si="14"/>
        <v>-0.29301675430132401</v>
      </c>
      <c r="N286">
        <v>76.222434997558594</v>
      </c>
      <c r="O286">
        <v>496.87594604492188</v>
      </c>
      <c r="P286" s="2">
        <f t="shared" si="12"/>
        <v>-1.3484812535214348</v>
      </c>
      <c r="Q286" s="2">
        <f t="shared" si="13"/>
        <v>-0.62135242239175792</v>
      </c>
    </row>
    <row r="287" spans="1:17" x14ac:dyDescent="0.3">
      <c r="A287" t="s">
        <v>308</v>
      </c>
      <c r="B287">
        <v>43.2</v>
      </c>
      <c r="C287">
        <v>128.5</v>
      </c>
      <c r="D287">
        <v>8.8299999999999993E-3</v>
      </c>
      <c r="E287">
        <v>35</v>
      </c>
      <c r="F287">
        <v>1</v>
      </c>
      <c r="G287">
        <v>3.7224985659122398E-2</v>
      </c>
      <c r="H287">
        <v>595.43366105511598</v>
      </c>
      <c r="I287">
        <v>28.969873842962102</v>
      </c>
      <c r="K287">
        <v>4.3166272342205048E-2</v>
      </c>
      <c r="L287" s="2">
        <f t="shared" si="14"/>
        <v>15.960480784299971</v>
      </c>
      <c r="N287">
        <v>31.90583610534668</v>
      </c>
      <c r="O287">
        <v>589.0562744140625</v>
      </c>
      <c r="P287" s="2">
        <f t="shared" si="12"/>
        <v>10.134535891663319</v>
      </c>
      <c r="Q287" s="2">
        <f t="shared" si="13"/>
        <v>-1.0710490619144148</v>
      </c>
    </row>
    <row r="288" spans="1:17" x14ac:dyDescent="0.3">
      <c r="A288" t="s">
        <v>309</v>
      </c>
      <c r="B288">
        <v>48.7</v>
      </c>
      <c r="C288">
        <v>103.6</v>
      </c>
      <c r="D288">
        <v>1.3091E-2</v>
      </c>
      <c r="E288">
        <v>35</v>
      </c>
      <c r="F288">
        <v>1</v>
      </c>
      <c r="G288">
        <v>9.9993839859962394E-2</v>
      </c>
      <c r="H288">
        <v>586.47215251421505</v>
      </c>
      <c r="I288">
        <v>40.766637038592201</v>
      </c>
      <c r="K288">
        <v>9.1295942664146423E-2</v>
      </c>
      <c r="L288" s="2">
        <f t="shared" si="14"/>
        <v>-8.6984330314717866</v>
      </c>
      <c r="N288">
        <v>40.780776977539063</v>
      </c>
      <c r="O288">
        <v>587.3990478515625</v>
      </c>
      <c r="P288" s="2">
        <f t="shared" si="12"/>
        <v>3.4685075772808986E-2</v>
      </c>
      <c r="Q288" s="2">
        <f t="shared" si="13"/>
        <v>0.15804592483612931</v>
      </c>
    </row>
    <row r="289" spans="1:17" x14ac:dyDescent="0.3">
      <c r="A289" t="s">
        <v>310</v>
      </c>
      <c r="B289">
        <v>53.5</v>
      </c>
      <c r="C289">
        <v>112.2</v>
      </c>
      <c r="D289">
        <v>1.2666E-2</v>
      </c>
      <c r="E289">
        <v>29.35</v>
      </c>
      <c r="F289">
        <v>1</v>
      </c>
      <c r="G289">
        <v>6.9453440606594002E-2</v>
      </c>
      <c r="H289">
        <v>554.41595332013299</v>
      </c>
      <c r="I289">
        <v>46.401809791554797</v>
      </c>
      <c r="K289">
        <v>6.8199388682842255E-2</v>
      </c>
      <c r="L289" s="2">
        <f t="shared" si="14"/>
        <v>-1.8056008641171426</v>
      </c>
      <c r="N289">
        <v>46.838577270507813</v>
      </c>
      <c r="O289">
        <v>551.0555419921875</v>
      </c>
      <c r="P289" s="2">
        <f t="shared" si="12"/>
        <v>0.94127250836778342</v>
      </c>
      <c r="Q289" s="2">
        <f t="shared" si="13"/>
        <v>-0.60611735788293664</v>
      </c>
    </row>
    <row r="290" spans="1:17" x14ac:dyDescent="0.3">
      <c r="A290" t="s">
        <v>311</v>
      </c>
      <c r="B290">
        <v>49.4</v>
      </c>
      <c r="C290">
        <v>123.4</v>
      </c>
      <c r="D290">
        <v>9.5010000000000008E-3</v>
      </c>
      <c r="E290">
        <v>26.76</v>
      </c>
      <c r="F290">
        <v>1</v>
      </c>
      <c r="G290">
        <v>4.3150983750820097E-2</v>
      </c>
      <c r="H290">
        <v>543.11525858796801</v>
      </c>
      <c r="I290">
        <v>39.252049289527903</v>
      </c>
      <c r="K290">
        <v>4.4061083346605301E-2</v>
      </c>
      <c r="L290" s="2">
        <f t="shared" si="14"/>
        <v>2.1091050925760335</v>
      </c>
      <c r="N290">
        <v>40.608428955078118</v>
      </c>
      <c r="O290">
        <v>538.5487060546875</v>
      </c>
      <c r="P290" s="2">
        <f t="shared" si="12"/>
        <v>3.4555639516943244</v>
      </c>
      <c r="Q290" s="2">
        <f t="shared" si="13"/>
        <v>-0.8408072616396346</v>
      </c>
    </row>
    <row r="291" spans="1:17" x14ac:dyDescent="0.3">
      <c r="A291" t="s">
        <v>312</v>
      </c>
      <c r="B291">
        <v>49.1</v>
      </c>
      <c r="C291">
        <v>122.3</v>
      </c>
      <c r="D291">
        <v>9.3030000000000005E-3</v>
      </c>
      <c r="E291">
        <v>26.09</v>
      </c>
      <c r="F291">
        <v>1</v>
      </c>
      <c r="G291">
        <v>4.2948316782712902E-2</v>
      </c>
      <c r="H291">
        <v>538.56398255795796</v>
      </c>
      <c r="I291">
        <v>39.2199173893082</v>
      </c>
      <c r="K291">
        <v>4.3576978147029877E-2</v>
      </c>
      <c r="L291" s="2">
        <f t="shared" si="14"/>
        <v>1.4637625206537013</v>
      </c>
      <c r="N291">
        <v>40.532421112060547</v>
      </c>
      <c r="O291">
        <v>534.407470703125</v>
      </c>
      <c r="P291" s="2">
        <f t="shared" si="12"/>
        <v>3.3465234251364078</v>
      </c>
      <c r="Q291" s="2">
        <f t="shared" si="13"/>
        <v>-0.77177679708383584</v>
      </c>
    </row>
    <row r="292" spans="1:17" x14ac:dyDescent="0.3">
      <c r="A292" t="s">
        <v>313</v>
      </c>
      <c r="B292">
        <v>80.599999999999994</v>
      </c>
      <c r="C292">
        <v>100</v>
      </c>
      <c r="D292">
        <v>2.4511999999999999E-2</v>
      </c>
      <c r="E292">
        <v>29.94</v>
      </c>
      <c r="F292">
        <v>1</v>
      </c>
      <c r="G292">
        <v>0.24171680212020799</v>
      </c>
      <c r="H292">
        <v>555.62898741352797</v>
      </c>
      <c r="I292">
        <v>89.137184937588898</v>
      </c>
      <c r="K292">
        <v>0.1151272132992744</v>
      </c>
      <c r="L292" s="2">
        <f t="shared" si="14"/>
        <v>-52.37103408226433</v>
      </c>
      <c r="N292">
        <v>78.758079528808594</v>
      </c>
      <c r="O292">
        <v>556.2421875</v>
      </c>
      <c r="P292" s="2">
        <f t="shared" si="12"/>
        <v>-11.643968132993468</v>
      </c>
      <c r="Q292" s="2">
        <f t="shared" si="13"/>
        <v>0.11036142828445676</v>
      </c>
    </row>
    <row r="293" spans="1:17" x14ac:dyDescent="0.3">
      <c r="A293" t="s">
        <v>314</v>
      </c>
      <c r="B293">
        <v>57.9</v>
      </c>
      <c r="C293">
        <v>113.5</v>
      </c>
      <c r="D293">
        <v>1.4106E-2</v>
      </c>
      <c r="E293">
        <v>29.06</v>
      </c>
      <c r="F293">
        <v>1</v>
      </c>
      <c r="G293">
        <v>7.4813202023506095E-2</v>
      </c>
      <c r="H293">
        <v>553.04950913172695</v>
      </c>
      <c r="I293">
        <v>52.063613629626303</v>
      </c>
      <c r="K293">
        <v>7.3932521045207977E-2</v>
      </c>
      <c r="L293" s="2">
        <f t="shared" si="14"/>
        <v>-1.1771732187340549</v>
      </c>
      <c r="N293">
        <v>52.522430419921882</v>
      </c>
      <c r="O293">
        <v>548.16455078125</v>
      </c>
      <c r="P293" s="2">
        <f t="shared" si="12"/>
        <v>0.88126189925951182</v>
      </c>
      <c r="Q293" s="2">
        <f t="shared" si="13"/>
        <v>-0.88327686216487289</v>
      </c>
    </row>
    <row r="294" spans="1:17" x14ac:dyDescent="0.3">
      <c r="A294" t="s">
        <v>315</v>
      </c>
      <c r="B294">
        <v>63.6</v>
      </c>
      <c r="C294">
        <v>116.2</v>
      </c>
      <c r="D294">
        <v>1.2803999999999999E-2</v>
      </c>
      <c r="E294">
        <v>22.02</v>
      </c>
      <c r="F294">
        <v>1</v>
      </c>
      <c r="G294">
        <v>6.6624037921428597E-2</v>
      </c>
      <c r="H294">
        <v>511.67585194352699</v>
      </c>
      <c r="I294">
        <v>60.761439685231203</v>
      </c>
      <c r="K294">
        <v>6.4599044620990753E-2</v>
      </c>
      <c r="L294" s="2">
        <f t="shared" si="14"/>
        <v>-3.039433459175755</v>
      </c>
      <c r="N294">
        <v>60.066665649414063</v>
      </c>
      <c r="O294">
        <v>508.80596923828119</v>
      </c>
      <c r="P294" s="2">
        <f t="shared" si="12"/>
        <v>-1.143445644830587</v>
      </c>
      <c r="Q294" s="2">
        <f t="shared" si="13"/>
        <v>-0.56087905933902571</v>
      </c>
    </row>
    <row r="295" spans="1:17" x14ac:dyDescent="0.3">
      <c r="A295" t="s">
        <v>316</v>
      </c>
      <c r="B295">
        <v>67.2</v>
      </c>
      <c r="C295">
        <v>105.9</v>
      </c>
      <c r="D295">
        <v>1.9238999999999999E-2</v>
      </c>
      <c r="E295">
        <v>30.94</v>
      </c>
      <c r="F295">
        <v>1</v>
      </c>
      <c r="G295">
        <v>0.13182455301284701</v>
      </c>
      <c r="H295">
        <v>562.50573263684998</v>
      </c>
      <c r="I295">
        <v>66.211416379505394</v>
      </c>
      <c r="K295">
        <v>0.1065102517604828</v>
      </c>
      <c r="L295" s="2">
        <f t="shared" si="14"/>
        <v>-19.203024530564647</v>
      </c>
      <c r="N295">
        <v>62.407703399658203</v>
      </c>
      <c r="O295">
        <v>560.19122314453125</v>
      </c>
      <c r="P295" s="2">
        <f t="shared" si="12"/>
        <v>-5.7447992926859737</v>
      </c>
      <c r="Q295" s="2">
        <f t="shared" si="13"/>
        <v>-0.41146416081291154</v>
      </c>
    </row>
    <row r="296" spans="1:17" x14ac:dyDescent="0.3">
      <c r="A296" t="s">
        <v>317</v>
      </c>
      <c r="B296">
        <v>72.3</v>
      </c>
      <c r="C296">
        <v>106.5</v>
      </c>
      <c r="D296">
        <v>2.3585999999999999E-2</v>
      </c>
      <c r="E296">
        <v>35</v>
      </c>
      <c r="F296">
        <v>2</v>
      </c>
      <c r="G296">
        <v>0.15276566147804199</v>
      </c>
      <c r="H296">
        <v>809.49517719743994</v>
      </c>
      <c r="I296">
        <v>87.581817527971495</v>
      </c>
      <c r="K296">
        <v>0.13716940581798551</v>
      </c>
      <c r="L296" s="2">
        <f t="shared" si="14"/>
        <v>-10.209267913455955</v>
      </c>
      <c r="N296">
        <v>87.18609619140625</v>
      </c>
      <c r="O296">
        <v>797.938232421875</v>
      </c>
      <c r="P296" s="2">
        <f t="shared" si="12"/>
        <v>-0.45183046862308063</v>
      </c>
      <c r="Q296" s="2">
        <f t="shared" si="13"/>
        <v>-1.4276730857837028</v>
      </c>
    </row>
    <row r="297" spans="1:17" x14ac:dyDescent="0.3">
      <c r="A297" t="s">
        <v>318</v>
      </c>
      <c r="B297">
        <v>60</v>
      </c>
      <c r="C297">
        <v>116.5</v>
      </c>
      <c r="D297">
        <v>1.3856E-2</v>
      </c>
      <c r="E297">
        <v>27.25</v>
      </c>
      <c r="F297">
        <v>1</v>
      </c>
      <c r="G297">
        <v>6.9378182291984503E-2</v>
      </c>
      <c r="H297">
        <v>543.16004323744096</v>
      </c>
      <c r="I297">
        <v>54.654637699378704</v>
      </c>
      <c r="K297">
        <v>6.9599069654941559E-2</v>
      </c>
      <c r="L297" s="2">
        <f t="shared" si="14"/>
        <v>0.31838159441455433</v>
      </c>
      <c r="N297">
        <v>54.882503509521477</v>
      </c>
      <c r="O297">
        <v>538.89129638671875</v>
      </c>
      <c r="P297" s="2">
        <f t="shared" si="12"/>
        <v>0.41691944130363162</v>
      </c>
      <c r="Q297" s="2">
        <f t="shared" si="13"/>
        <v>-0.78590958666231236</v>
      </c>
    </row>
    <row r="298" spans="1:17" x14ac:dyDescent="0.3">
      <c r="A298" t="s">
        <v>319</v>
      </c>
      <c r="B298">
        <v>54.2</v>
      </c>
      <c r="C298">
        <v>111.9</v>
      </c>
      <c r="D298">
        <v>1.5001E-2</v>
      </c>
      <c r="E298">
        <v>35</v>
      </c>
      <c r="F298">
        <v>1.2</v>
      </c>
      <c r="G298">
        <v>8.1055343151092502E-2</v>
      </c>
      <c r="H298">
        <v>632.82024242068496</v>
      </c>
      <c r="I298">
        <v>48.458210982593897</v>
      </c>
      <c r="K298">
        <v>8.2408115267753601E-2</v>
      </c>
      <c r="L298" s="2">
        <f t="shared" si="14"/>
        <v>1.668948725735999</v>
      </c>
      <c r="N298">
        <v>48.635219573974609</v>
      </c>
      <c r="O298">
        <v>631.45635986328125</v>
      </c>
      <c r="P298" s="2">
        <f t="shared" si="12"/>
        <v>0.36528090449788458</v>
      </c>
      <c r="Q298" s="2">
        <f t="shared" si="13"/>
        <v>-0.21552448325397178</v>
      </c>
    </row>
    <row r="299" spans="1:17" x14ac:dyDescent="0.3">
      <c r="A299" t="s">
        <v>320</v>
      </c>
      <c r="B299">
        <v>89.5</v>
      </c>
      <c r="C299">
        <v>108.8</v>
      </c>
      <c r="D299">
        <v>2.7157000000000001E-2</v>
      </c>
      <c r="E299">
        <v>29.86</v>
      </c>
      <c r="F299">
        <v>1</v>
      </c>
      <c r="G299">
        <v>0.16561245918273901</v>
      </c>
      <c r="H299">
        <v>556.62249764419801</v>
      </c>
      <c r="I299">
        <v>96.470000538188799</v>
      </c>
      <c r="K299">
        <v>0.13569103181362149</v>
      </c>
      <c r="L299" s="2">
        <f t="shared" si="14"/>
        <v>-18.06713547807524</v>
      </c>
      <c r="N299">
        <v>93.286384582519531</v>
      </c>
      <c r="O299">
        <v>553.28436279296875</v>
      </c>
      <c r="P299" s="2">
        <f t="shared" si="12"/>
        <v>-3.3001098143551841</v>
      </c>
      <c r="Q299" s="2">
        <f t="shared" si="13"/>
        <v>-0.59971252785456852</v>
      </c>
    </row>
    <row r="300" spans="1:17" x14ac:dyDescent="0.3">
      <c r="A300" t="s">
        <v>321</v>
      </c>
      <c r="B300">
        <v>83.1</v>
      </c>
      <c r="C300">
        <v>130</v>
      </c>
      <c r="D300">
        <v>1.5747000000000001E-2</v>
      </c>
      <c r="E300">
        <v>20.74</v>
      </c>
      <c r="F300">
        <v>1</v>
      </c>
      <c r="G300">
        <v>7.1218051016330705E-2</v>
      </c>
      <c r="H300">
        <v>510.86829180160203</v>
      </c>
      <c r="I300">
        <v>84.038745037364095</v>
      </c>
      <c r="K300">
        <v>7.658599317073822E-2</v>
      </c>
      <c r="L300" s="2">
        <f t="shared" si="14"/>
        <v>7.5373336925165439</v>
      </c>
      <c r="N300">
        <v>84.599952697753906</v>
      </c>
      <c r="O300">
        <v>505.26095581054688</v>
      </c>
      <c r="P300" s="2">
        <f t="shared" si="12"/>
        <v>0.66779633624978063</v>
      </c>
      <c r="Q300" s="2">
        <f t="shared" si="13"/>
        <v>-1.0976089299417287</v>
      </c>
    </row>
    <row r="301" spans="1:17" x14ac:dyDescent="0.3">
      <c r="A301" t="s">
        <v>322</v>
      </c>
      <c r="B301">
        <v>81.400000000000006</v>
      </c>
      <c r="C301">
        <v>117.5</v>
      </c>
      <c r="D301">
        <v>1.8985999999999999E-2</v>
      </c>
      <c r="E301">
        <v>23.82</v>
      </c>
      <c r="F301">
        <v>1</v>
      </c>
      <c r="G301">
        <v>9.5262795686721802E-2</v>
      </c>
      <c r="H301">
        <v>522.93937947282802</v>
      </c>
      <c r="I301">
        <v>84.792523109076498</v>
      </c>
      <c r="K301">
        <v>9.556414932012558E-2</v>
      </c>
      <c r="L301" s="2">
        <f t="shared" si="14"/>
        <v>0.31633927099389364</v>
      </c>
      <c r="N301">
        <v>83.679313659667969</v>
      </c>
      <c r="O301">
        <v>522.011962890625</v>
      </c>
      <c r="P301" s="2">
        <f t="shared" si="12"/>
        <v>-1.3128627484955304</v>
      </c>
      <c r="Q301" s="2">
        <f t="shared" si="13"/>
        <v>-0.17734686248680404</v>
      </c>
    </row>
    <row r="302" spans="1:17" x14ac:dyDescent="0.3">
      <c r="A302" t="s">
        <v>323</v>
      </c>
      <c r="B302">
        <v>46.6</v>
      </c>
      <c r="C302">
        <v>123.7</v>
      </c>
      <c r="D302">
        <v>1.0654E-2</v>
      </c>
      <c r="E302">
        <v>35</v>
      </c>
      <c r="F302">
        <v>1</v>
      </c>
      <c r="G302">
        <v>4.6384859830140998E-2</v>
      </c>
      <c r="H302">
        <v>592.70524622409198</v>
      </c>
      <c r="I302">
        <v>34.4909011251859</v>
      </c>
      <c r="K302">
        <v>5.0139810889959342E-2</v>
      </c>
      <c r="L302" s="2">
        <f t="shared" si="14"/>
        <v>8.0952083795634699</v>
      </c>
      <c r="N302">
        <v>36.697109222412109</v>
      </c>
      <c r="O302">
        <v>587.16253662109375</v>
      </c>
      <c r="P302" s="2">
        <f t="shared" si="12"/>
        <v>6.3964930612241817</v>
      </c>
      <c r="Q302" s="2">
        <f t="shared" si="13"/>
        <v>-0.93515446983282202</v>
      </c>
    </row>
    <row r="303" spans="1:17" x14ac:dyDescent="0.3">
      <c r="A303" t="s">
        <v>324</v>
      </c>
      <c r="B303">
        <v>57.5</v>
      </c>
      <c r="C303">
        <v>111.7</v>
      </c>
      <c r="D303">
        <v>1.4770999999999999E-2</v>
      </c>
      <c r="E303">
        <v>30.73</v>
      </c>
      <c r="F303">
        <v>1</v>
      </c>
      <c r="G303">
        <v>8.1637859344482394E-2</v>
      </c>
      <c r="H303">
        <v>562.55944575559499</v>
      </c>
      <c r="I303">
        <v>51.324914785841202</v>
      </c>
      <c r="K303">
        <v>7.9803489148616791E-2</v>
      </c>
      <c r="L303" s="2">
        <f t="shared" si="14"/>
        <v>-2.2469601856232182</v>
      </c>
      <c r="N303">
        <v>52.186424255371087</v>
      </c>
      <c r="O303">
        <v>557.382080078125</v>
      </c>
      <c r="P303" s="2">
        <f t="shared" si="12"/>
        <v>1.6785404771242722</v>
      </c>
      <c r="Q303" s="2">
        <f t="shared" si="13"/>
        <v>-0.92032330388054828</v>
      </c>
    </row>
    <row r="304" spans="1:17" x14ac:dyDescent="0.3">
      <c r="A304" t="s">
        <v>325</v>
      </c>
      <c r="B304">
        <v>59.8</v>
      </c>
      <c r="C304">
        <v>116.1</v>
      </c>
      <c r="D304">
        <v>1.3407000000000001E-2</v>
      </c>
      <c r="E304">
        <v>26.23</v>
      </c>
      <c r="F304">
        <v>1</v>
      </c>
      <c r="G304">
        <v>6.8069443106651306E-2</v>
      </c>
      <c r="H304">
        <v>536.90148522849597</v>
      </c>
      <c r="I304">
        <v>54.345917817887397</v>
      </c>
      <c r="K304">
        <v>6.8074986338615417E-2</v>
      </c>
      <c r="L304" s="2">
        <f t="shared" si="14"/>
        <v>8.1434953939996009E-3</v>
      </c>
      <c r="N304">
        <v>55.024784088134773</v>
      </c>
      <c r="O304">
        <v>532.98577880859375</v>
      </c>
      <c r="P304" s="2">
        <f t="shared" si="12"/>
        <v>1.249157797872233</v>
      </c>
      <c r="Q304" s="2">
        <f t="shared" si="13"/>
        <v>-0.7293156244922222</v>
      </c>
    </row>
    <row r="305" spans="1:17" x14ac:dyDescent="0.3">
      <c r="A305" t="s">
        <v>326</v>
      </c>
      <c r="B305">
        <v>61.2</v>
      </c>
      <c r="C305">
        <v>130</v>
      </c>
      <c r="D305">
        <v>1.1663E-2</v>
      </c>
      <c r="E305">
        <v>24.58</v>
      </c>
      <c r="F305">
        <v>1.02</v>
      </c>
      <c r="G305">
        <v>5.1398951560258803E-2</v>
      </c>
      <c r="H305">
        <v>537.17118955104195</v>
      </c>
      <c r="I305">
        <v>53.724715922726404</v>
      </c>
      <c r="K305">
        <v>5.5537212640047073E-2</v>
      </c>
      <c r="L305" s="2">
        <f t="shared" si="14"/>
        <v>8.051255821700332</v>
      </c>
      <c r="N305">
        <v>56.908321380615227</v>
      </c>
      <c r="O305">
        <v>530.7752685546875</v>
      </c>
      <c r="P305" s="2">
        <f t="shared" si="12"/>
        <v>5.9257743911906076</v>
      </c>
      <c r="Q305" s="2">
        <f t="shared" si="13"/>
        <v>-1.1906671691942459</v>
      </c>
    </row>
    <row r="306" spans="1:17" x14ac:dyDescent="0.3">
      <c r="A306" t="s">
        <v>327</v>
      </c>
      <c r="B306">
        <v>69</v>
      </c>
      <c r="C306">
        <v>110.4</v>
      </c>
      <c r="D306">
        <v>2.1675E-2</v>
      </c>
      <c r="E306">
        <v>35</v>
      </c>
      <c r="F306">
        <v>1</v>
      </c>
      <c r="G306">
        <v>0.122726522386074</v>
      </c>
      <c r="H306">
        <v>587.84256117309201</v>
      </c>
      <c r="I306">
        <v>67.702619989242507</v>
      </c>
      <c r="K306">
        <v>0.1068323478102684</v>
      </c>
      <c r="L306" s="2">
        <f t="shared" si="14"/>
        <v>-12.950888093940756</v>
      </c>
      <c r="N306">
        <v>64.513603210449219</v>
      </c>
      <c r="O306">
        <v>587.36712646484375</v>
      </c>
      <c r="P306" s="2">
        <f t="shared" si="12"/>
        <v>-4.7103299389299877</v>
      </c>
      <c r="Q306" s="2">
        <f t="shared" si="13"/>
        <v>-8.0877898207895316E-2</v>
      </c>
    </row>
    <row r="307" spans="1:17" x14ac:dyDescent="0.3">
      <c r="A307" t="s">
        <v>328</v>
      </c>
      <c r="B307">
        <v>79.7</v>
      </c>
      <c r="C307">
        <v>121.4</v>
      </c>
      <c r="D307">
        <v>2.0549000000000001E-2</v>
      </c>
      <c r="E307">
        <v>28.35</v>
      </c>
      <c r="F307">
        <v>1.1000000000000001</v>
      </c>
      <c r="G307">
        <v>9.4692625105380998E-2</v>
      </c>
      <c r="H307">
        <v>570.12627276052604</v>
      </c>
      <c r="I307">
        <v>81.386609006296098</v>
      </c>
      <c r="K307">
        <v>9.3039929866790771E-2</v>
      </c>
      <c r="L307" s="2">
        <f t="shared" si="14"/>
        <v>-1.7453262455771865</v>
      </c>
      <c r="N307">
        <v>80.373756408691406</v>
      </c>
      <c r="O307">
        <v>568.35894775390625</v>
      </c>
      <c r="P307" s="2">
        <f t="shared" si="12"/>
        <v>-1.2444953905455589</v>
      </c>
      <c r="Q307" s="2">
        <f t="shared" si="13"/>
        <v>-0.30998834662757707</v>
      </c>
    </row>
    <row r="308" spans="1:17" x14ac:dyDescent="0.3">
      <c r="A308" t="s">
        <v>329</v>
      </c>
      <c r="B308">
        <v>74.5</v>
      </c>
      <c r="C308">
        <v>105.2</v>
      </c>
      <c r="D308">
        <v>2.1433000000000001E-2</v>
      </c>
      <c r="E308">
        <v>29.53</v>
      </c>
      <c r="F308">
        <v>1.9</v>
      </c>
      <c r="G308">
        <v>0.148600459098815</v>
      </c>
      <c r="H308">
        <v>724.57220977372106</v>
      </c>
      <c r="I308">
        <v>94.184908606631893</v>
      </c>
      <c r="K308">
        <v>0.13618148863315579</v>
      </c>
      <c r="L308" s="2">
        <f t="shared" si="14"/>
        <v>-8.3572894330029968</v>
      </c>
      <c r="N308">
        <v>92.178749084472656</v>
      </c>
      <c r="O308">
        <v>723.71685791015625</v>
      </c>
      <c r="P308" s="2">
        <f t="shared" si="12"/>
        <v>-2.1300222634796677</v>
      </c>
      <c r="Q308" s="2">
        <f t="shared" si="13"/>
        <v>-0.11804922297971193</v>
      </c>
    </row>
    <row r="309" spans="1:17" x14ac:dyDescent="0.3">
      <c r="A309" t="s">
        <v>330</v>
      </c>
      <c r="B309">
        <v>58.3</v>
      </c>
      <c r="C309">
        <v>110.8</v>
      </c>
      <c r="D309">
        <v>1.1748E-2</v>
      </c>
      <c r="E309">
        <v>22.37</v>
      </c>
      <c r="F309">
        <v>1</v>
      </c>
      <c r="G309">
        <v>6.9636769592761993E-2</v>
      </c>
      <c r="H309">
        <v>512.163483050325</v>
      </c>
      <c r="I309">
        <v>53.958371424666801</v>
      </c>
      <c r="K309">
        <v>6.5937727689743042E-2</v>
      </c>
      <c r="L309" s="2">
        <f t="shared" si="14"/>
        <v>-5.3119091029797394</v>
      </c>
      <c r="N309">
        <v>53.726108551025391</v>
      </c>
      <c r="O309">
        <v>508.00741577148438</v>
      </c>
      <c r="P309" s="2">
        <f t="shared" si="12"/>
        <v>-0.4304482650401722</v>
      </c>
      <c r="Q309" s="2">
        <f t="shared" si="13"/>
        <v>-0.81147278483972873</v>
      </c>
    </row>
    <row r="310" spans="1:17" x14ac:dyDescent="0.3">
      <c r="A310" t="s">
        <v>331</v>
      </c>
      <c r="B310">
        <v>44.6</v>
      </c>
      <c r="C310">
        <v>130</v>
      </c>
      <c r="D310">
        <v>7.5960000000000003E-3</v>
      </c>
      <c r="E310">
        <v>27.52</v>
      </c>
      <c r="F310">
        <v>1</v>
      </c>
      <c r="G310">
        <v>3.2919023185968399E-2</v>
      </c>
      <c r="H310">
        <v>551.54829180160198</v>
      </c>
      <c r="I310">
        <v>31.1209085080914</v>
      </c>
      <c r="K310">
        <v>3.6342065781354897E-2</v>
      </c>
      <c r="L310" s="2">
        <f t="shared" si="14"/>
        <v>10.398372321222327</v>
      </c>
      <c r="N310">
        <v>34.34442138671875</v>
      </c>
      <c r="O310">
        <v>543.91314697265625</v>
      </c>
      <c r="P310" s="2">
        <f t="shared" si="12"/>
        <v>10.358029482941477</v>
      </c>
      <c r="Q310" s="2">
        <f t="shared" si="13"/>
        <v>-1.3843112094511161</v>
      </c>
    </row>
    <row r="311" spans="1:17" x14ac:dyDescent="0.3">
      <c r="A311" t="s">
        <v>332</v>
      </c>
      <c r="B311">
        <v>76.2</v>
      </c>
      <c r="C311">
        <v>103.7</v>
      </c>
      <c r="D311">
        <v>1.9997999999999998E-2</v>
      </c>
      <c r="E311">
        <v>25.95</v>
      </c>
      <c r="F311">
        <v>1</v>
      </c>
      <c r="G311">
        <v>0.15572685003280601</v>
      </c>
      <c r="H311">
        <v>532.18785470374701</v>
      </c>
      <c r="I311">
        <v>80.515157264165893</v>
      </c>
      <c r="K311">
        <v>0.124863401055336</v>
      </c>
      <c r="L311" s="2">
        <f t="shared" si="14"/>
        <v>-19.818964405282838</v>
      </c>
      <c r="N311">
        <v>78.040420532226563</v>
      </c>
      <c r="O311">
        <v>533.68017578125</v>
      </c>
      <c r="P311" s="2">
        <f t="shared" si="12"/>
        <v>-3.0736283900183574</v>
      </c>
      <c r="Q311" s="2">
        <f t="shared" si="13"/>
        <v>0.28041246419156318</v>
      </c>
    </row>
    <row r="312" spans="1:17" x14ac:dyDescent="0.3">
      <c r="A312" t="s">
        <v>333</v>
      </c>
      <c r="B312">
        <v>46.5</v>
      </c>
      <c r="C312">
        <v>108</v>
      </c>
      <c r="D312">
        <v>1.0485E-2</v>
      </c>
      <c r="E312">
        <v>30.18</v>
      </c>
      <c r="F312">
        <v>1</v>
      </c>
      <c r="G312">
        <v>6.5836697816848699E-2</v>
      </c>
      <c r="H312">
        <v>558.36626945821899</v>
      </c>
      <c r="I312">
        <v>36.686412927536701</v>
      </c>
      <c r="K312">
        <v>6.4744345843791962E-2</v>
      </c>
      <c r="L312" s="2">
        <f t="shared" si="14"/>
        <v>-1.6591840254436132</v>
      </c>
      <c r="N312">
        <v>37.325244903564453</v>
      </c>
      <c r="O312">
        <v>556.67095947265625</v>
      </c>
      <c r="P312" s="2">
        <f t="shared" si="12"/>
        <v>1.7413312587675951</v>
      </c>
      <c r="Q312" s="2">
        <f t="shared" si="13"/>
        <v>-0.30361969880589279</v>
      </c>
    </row>
    <row r="313" spans="1:17" x14ac:dyDescent="0.3">
      <c r="A313" t="s">
        <v>334</v>
      </c>
      <c r="B313">
        <v>75.599999999999994</v>
      </c>
      <c r="C313">
        <v>105</v>
      </c>
      <c r="D313">
        <v>2.3739E-2</v>
      </c>
      <c r="E313">
        <v>32.56</v>
      </c>
      <c r="F313">
        <v>1</v>
      </c>
      <c r="G313">
        <v>0.169079840183258</v>
      </c>
      <c r="H313">
        <v>572.06357188040295</v>
      </c>
      <c r="I313">
        <v>78.508094582913401</v>
      </c>
      <c r="K313">
        <v>0.12529683113098139</v>
      </c>
      <c r="L313" s="2">
        <f t="shared" si="14"/>
        <v>-25.894872508054295</v>
      </c>
      <c r="N313">
        <v>74.88140869140625</v>
      </c>
      <c r="O313">
        <v>574.61541748046875</v>
      </c>
      <c r="P313" s="2">
        <f t="shared" si="12"/>
        <v>-4.6195056838081348</v>
      </c>
      <c r="Q313" s="2">
        <f t="shared" si="13"/>
        <v>0.44607727628552774</v>
      </c>
    </row>
    <row r="314" spans="1:17" x14ac:dyDescent="0.3">
      <c r="A314" t="s">
        <v>335</v>
      </c>
      <c r="B314">
        <v>78.599999999999994</v>
      </c>
      <c r="C314">
        <v>122.8</v>
      </c>
      <c r="D314">
        <v>2.0868000000000001E-2</v>
      </c>
      <c r="E314">
        <v>30.04</v>
      </c>
      <c r="F314">
        <v>1</v>
      </c>
      <c r="G314">
        <v>9.3792125582694993E-2</v>
      </c>
      <c r="H314">
        <v>562.50188338750695</v>
      </c>
      <c r="I314">
        <v>77.188730761136298</v>
      </c>
      <c r="K314">
        <v>9.3690879642963409E-2</v>
      </c>
      <c r="L314" s="2">
        <f t="shared" si="14"/>
        <v>-0.10794716411701014</v>
      </c>
      <c r="N314">
        <v>76.503761291503906</v>
      </c>
      <c r="O314">
        <v>562.41387939453125</v>
      </c>
      <c r="P314" s="2">
        <f t="shared" si="12"/>
        <v>-0.88739568960145032</v>
      </c>
      <c r="Q314" s="2">
        <f t="shared" si="13"/>
        <v>-1.5645101923165389E-2</v>
      </c>
    </row>
    <row r="315" spans="1:17" x14ac:dyDescent="0.3">
      <c r="A315" t="s">
        <v>336</v>
      </c>
      <c r="B315">
        <v>87</v>
      </c>
      <c r="C315">
        <v>130</v>
      </c>
      <c r="D315">
        <v>1.7770000000000001E-2</v>
      </c>
      <c r="E315">
        <v>22.54</v>
      </c>
      <c r="F315">
        <v>1</v>
      </c>
      <c r="G315">
        <v>7.9354114830493899E-2</v>
      </c>
      <c r="H315">
        <v>521.66829180160198</v>
      </c>
      <c r="I315">
        <v>86.471162395484797</v>
      </c>
      <c r="K315">
        <v>8.3212964236736298E-2</v>
      </c>
      <c r="L315" s="2">
        <f t="shared" si="14"/>
        <v>4.8628220659825621</v>
      </c>
      <c r="N315">
        <v>88.001052856445313</v>
      </c>
      <c r="O315">
        <v>517.2786865234375</v>
      </c>
      <c r="P315" s="2">
        <f t="shared" si="12"/>
        <v>1.7692493295781129</v>
      </c>
      <c r="Q315" s="2">
        <f t="shared" si="13"/>
        <v>-0.84145525943407573</v>
      </c>
    </row>
    <row r="316" spans="1:17" x14ac:dyDescent="0.3">
      <c r="A316" t="s">
        <v>337</v>
      </c>
      <c r="B316">
        <v>80.5</v>
      </c>
      <c r="C316">
        <v>130</v>
      </c>
      <c r="D316">
        <v>1.4704999999999999E-2</v>
      </c>
      <c r="E316">
        <v>20</v>
      </c>
      <c r="F316">
        <v>1</v>
      </c>
      <c r="G316">
        <v>6.6899083554744707E-2</v>
      </c>
      <c r="H316">
        <v>506.42829180160197</v>
      </c>
      <c r="I316">
        <v>80.8027775013461</v>
      </c>
      <c r="K316">
        <v>7.226157933473587E-2</v>
      </c>
      <c r="L316" s="2">
        <f t="shared" si="14"/>
        <v>8.0157985656155333</v>
      </c>
      <c r="N316">
        <v>81.936943054199219</v>
      </c>
      <c r="O316">
        <v>499.703857421875</v>
      </c>
      <c r="P316" s="2">
        <f t="shared" si="12"/>
        <v>1.4036219891503421</v>
      </c>
      <c r="Q316" s="2">
        <f t="shared" si="13"/>
        <v>-1.327815702358377</v>
      </c>
    </row>
    <row r="317" spans="1:17" x14ac:dyDescent="0.3">
      <c r="A317" t="s">
        <v>338</v>
      </c>
      <c r="B317">
        <v>87.4</v>
      </c>
      <c r="C317">
        <v>119.2</v>
      </c>
      <c r="D317">
        <v>2.52E-2</v>
      </c>
      <c r="E317">
        <v>30.71</v>
      </c>
      <c r="F317">
        <v>1</v>
      </c>
      <c r="G317">
        <v>0.11831048130989</v>
      </c>
      <c r="H317">
        <v>564.93442388197798</v>
      </c>
      <c r="I317">
        <v>90.177646700453806</v>
      </c>
      <c r="K317">
        <v>0.1133663207292557</v>
      </c>
      <c r="L317" s="2">
        <f t="shared" si="14"/>
        <v>-4.1789708958110658</v>
      </c>
      <c r="N317">
        <v>88.016716003417969</v>
      </c>
      <c r="O317">
        <v>564.62115478515625</v>
      </c>
      <c r="P317" s="2">
        <f t="shared" si="12"/>
        <v>-2.3963041575190749</v>
      </c>
      <c r="Q317" s="2">
        <f t="shared" si="13"/>
        <v>-5.5452293855467634E-2</v>
      </c>
    </row>
    <row r="318" spans="1:17" x14ac:dyDescent="0.3">
      <c r="A318" t="s">
        <v>339</v>
      </c>
      <c r="B318">
        <v>66.900000000000006</v>
      </c>
      <c r="C318">
        <v>123.2</v>
      </c>
      <c r="D318">
        <v>1.2152E-2</v>
      </c>
      <c r="E318">
        <v>20</v>
      </c>
      <c r="F318">
        <v>1</v>
      </c>
      <c r="G318">
        <v>5.7992856949567698E-2</v>
      </c>
      <c r="H318">
        <v>502.45649666255099</v>
      </c>
      <c r="I318">
        <v>64.532285397540804</v>
      </c>
      <c r="K318">
        <v>6.0242276638746262E-2</v>
      </c>
      <c r="L318" s="2">
        <f t="shared" si="14"/>
        <v>3.8787875050451919</v>
      </c>
      <c r="N318">
        <v>65.602287292480469</v>
      </c>
      <c r="O318">
        <v>497.55703735351563</v>
      </c>
      <c r="P318" s="2">
        <f t="shared" si="12"/>
        <v>1.6580877127597291</v>
      </c>
      <c r="Q318" s="2">
        <f t="shared" si="13"/>
        <v>-0.97510119613914237</v>
      </c>
    </row>
    <row r="319" spans="1:17" x14ac:dyDescent="0.3">
      <c r="A319" t="s">
        <v>340</v>
      </c>
      <c r="B319">
        <v>46.5</v>
      </c>
      <c r="C319">
        <v>130</v>
      </c>
      <c r="D319">
        <v>7.3969999999999999E-3</v>
      </c>
      <c r="E319">
        <v>24.13</v>
      </c>
      <c r="F319">
        <v>1</v>
      </c>
      <c r="G319">
        <v>3.26887257397174E-2</v>
      </c>
      <c r="H319">
        <v>531.20829180160194</v>
      </c>
      <c r="I319">
        <v>34.017619567656801</v>
      </c>
      <c r="K319">
        <v>3.4145120531320572E-2</v>
      </c>
      <c r="L319" s="2">
        <f t="shared" si="14"/>
        <v>4.4553428090151135</v>
      </c>
      <c r="N319">
        <v>37.802909851074219</v>
      </c>
      <c r="O319">
        <v>522.83795166015625</v>
      </c>
      <c r="P319" s="2">
        <f t="shared" si="12"/>
        <v>11.127440225171979</v>
      </c>
      <c r="Q319" s="2">
        <f t="shared" si="13"/>
        <v>-1.5757171472338176</v>
      </c>
    </row>
    <row r="320" spans="1:17" x14ac:dyDescent="0.3">
      <c r="A320" t="s">
        <v>341</v>
      </c>
      <c r="B320">
        <v>87.5</v>
      </c>
      <c r="C320">
        <v>111.9</v>
      </c>
      <c r="D320">
        <v>2.6539E-2</v>
      </c>
      <c r="E320">
        <v>30.71</v>
      </c>
      <c r="F320">
        <v>1</v>
      </c>
      <c r="G320">
        <v>0.14586804807186099</v>
      </c>
      <c r="H320">
        <v>562.49357910599497</v>
      </c>
      <c r="I320">
        <v>93.448007362867699</v>
      </c>
      <c r="K320">
        <v>0.13342465460300451</v>
      </c>
      <c r="L320" s="2">
        <f t="shared" si="14"/>
        <v>-8.5305820111655404</v>
      </c>
      <c r="N320">
        <v>90.582115173339844</v>
      </c>
      <c r="O320">
        <v>563.05328369140625</v>
      </c>
      <c r="P320" s="2">
        <f t="shared" si="12"/>
        <v>-3.0668307119694029</v>
      </c>
      <c r="Q320" s="2">
        <f t="shared" si="13"/>
        <v>9.9504173238893559E-2</v>
      </c>
    </row>
    <row r="321" spans="1:17" x14ac:dyDescent="0.3">
      <c r="A321" t="s">
        <v>342</v>
      </c>
      <c r="B321">
        <v>69.900000000000006</v>
      </c>
      <c r="C321">
        <v>121.5</v>
      </c>
      <c r="D321">
        <v>1.3117999999999999E-2</v>
      </c>
      <c r="E321">
        <v>20</v>
      </c>
      <c r="F321">
        <v>1</v>
      </c>
      <c r="G321">
        <v>6.3772700726985904E-2</v>
      </c>
      <c r="H321">
        <v>501.65542646374502</v>
      </c>
      <c r="I321">
        <v>69.312694594254495</v>
      </c>
      <c r="K321">
        <v>6.5503433346748352E-2</v>
      </c>
      <c r="L321" s="2">
        <f t="shared" si="14"/>
        <v>2.7139083025067428</v>
      </c>
      <c r="N321">
        <v>69.271965026855469</v>
      </c>
      <c r="O321">
        <v>497.347412109375</v>
      </c>
      <c r="P321" s="2">
        <f t="shared" si="12"/>
        <v>-5.8762060308650006E-2</v>
      </c>
      <c r="Q321" s="2">
        <f t="shared" si="13"/>
        <v>-0.85875964399267979</v>
      </c>
    </row>
    <row r="322" spans="1:17" x14ac:dyDescent="0.3">
      <c r="A322" t="s">
        <v>343</v>
      </c>
      <c r="B322">
        <v>73.3</v>
      </c>
      <c r="C322">
        <v>112.7</v>
      </c>
      <c r="D322">
        <v>1.4886E-2</v>
      </c>
      <c r="E322">
        <v>20.059999999999999</v>
      </c>
      <c r="F322">
        <v>1</v>
      </c>
      <c r="G322">
        <v>8.5053093731403295E-2</v>
      </c>
      <c r="H322">
        <v>498.81640840305602</v>
      </c>
      <c r="I322">
        <v>75.691263576145403</v>
      </c>
      <c r="K322">
        <v>8.3361640572547913E-2</v>
      </c>
      <c r="L322" s="2">
        <f t="shared" si="14"/>
        <v>-1.9887026851685992</v>
      </c>
      <c r="N322">
        <v>74.096839904785156</v>
      </c>
      <c r="O322">
        <v>494.01626586914063</v>
      </c>
      <c r="P322" s="2">
        <f t="shared" ref="P322:P385" si="15">(N322-I322)/I322*100</f>
        <v>-2.1064830946523392</v>
      </c>
      <c r="Q322" s="2">
        <f t="shared" ref="Q322:Q385" si="16">(O322-H322)/H322*100</f>
        <v>-0.96230646246840323</v>
      </c>
    </row>
    <row r="323" spans="1:17" x14ac:dyDescent="0.3">
      <c r="A323" t="s">
        <v>344</v>
      </c>
      <c r="B323">
        <v>59.4</v>
      </c>
      <c r="C323">
        <v>113.9</v>
      </c>
      <c r="D323">
        <v>1.0906000000000001E-2</v>
      </c>
      <c r="E323">
        <v>20</v>
      </c>
      <c r="F323">
        <v>1</v>
      </c>
      <c r="G323">
        <v>6.0537185519933701E-2</v>
      </c>
      <c r="H323">
        <v>498.809997181364</v>
      </c>
      <c r="I323">
        <v>55.933163293374797</v>
      </c>
      <c r="K323">
        <v>5.7786144316196442E-2</v>
      </c>
      <c r="L323" s="2">
        <f t="shared" si="14"/>
        <v>-4.5443823991972598</v>
      </c>
      <c r="N323">
        <v>55.222568511962891</v>
      </c>
      <c r="O323">
        <v>495.17919921875</v>
      </c>
      <c r="P323" s="2">
        <f t="shared" si="15"/>
        <v>-1.2704355333610735</v>
      </c>
      <c r="Q323" s="2">
        <f t="shared" si="16"/>
        <v>-0.72789197953742357</v>
      </c>
    </row>
    <row r="324" spans="1:17" x14ac:dyDescent="0.3">
      <c r="A324" t="s">
        <v>345</v>
      </c>
      <c r="B324">
        <v>59.7</v>
      </c>
      <c r="C324">
        <v>110.8</v>
      </c>
      <c r="D324">
        <v>1.5598000000000001E-2</v>
      </c>
      <c r="E324">
        <v>30.45</v>
      </c>
      <c r="F324">
        <v>1</v>
      </c>
      <c r="G324">
        <v>8.8693596422672202E-2</v>
      </c>
      <c r="H324">
        <v>560.64348305032604</v>
      </c>
      <c r="I324">
        <v>55.312528434857498</v>
      </c>
      <c r="K324">
        <v>8.544439822435379E-2</v>
      </c>
      <c r="L324" s="2">
        <f t="shared" si="14"/>
        <v>-3.6633966028779046</v>
      </c>
      <c r="N324">
        <v>55.155803680419922</v>
      </c>
      <c r="O324">
        <v>555.6090087890625</v>
      </c>
      <c r="P324" s="2">
        <f t="shared" si="15"/>
        <v>-0.28334404315317724</v>
      </c>
      <c r="Q324" s="2">
        <f t="shared" si="16"/>
        <v>-0.89798141126552988</v>
      </c>
    </row>
    <row r="325" spans="1:17" x14ac:dyDescent="0.3">
      <c r="A325" t="s">
        <v>346</v>
      </c>
      <c r="B325">
        <v>62.6</v>
      </c>
      <c r="C325">
        <v>114</v>
      </c>
      <c r="D325">
        <v>1.4090999999999999E-2</v>
      </c>
      <c r="E325">
        <v>25.2</v>
      </c>
      <c r="F325">
        <v>1</v>
      </c>
      <c r="G325">
        <v>7.5357586145401001E-2</v>
      </c>
      <c r="H325">
        <v>530.04053541185795</v>
      </c>
      <c r="I325">
        <v>59.105793518248198</v>
      </c>
      <c r="K325">
        <v>7.2797104716300964E-2</v>
      </c>
      <c r="L325" s="2">
        <f t="shared" si="14"/>
        <v>-3.3977752739580023</v>
      </c>
      <c r="N325">
        <v>58.300712585449219</v>
      </c>
      <c r="O325">
        <v>526.01934814453125</v>
      </c>
      <c r="P325" s="2">
        <f t="shared" si="15"/>
        <v>-1.3621015553245566</v>
      </c>
      <c r="Q325" s="2">
        <f t="shared" si="16"/>
        <v>-0.75865655523914</v>
      </c>
    </row>
    <row r="326" spans="1:17" x14ac:dyDescent="0.3">
      <c r="A326" t="s">
        <v>347</v>
      </c>
      <c r="B326">
        <v>60.2</v>
      </c>
      <c r="C326">
        <v>114.1</v>
      </c>
      <c r="D326">
        <v>1.4988E-2</v>
      </c>
      <c r="E326">
        <v>29.26</v>
      </c>
      <c r="F326">
        <v>1</v>
      </c>
      <c r="G326">
        <v>7.8260377049446106E-2</v>
      </c>
      <c r="H326">
        <v>554.43124127383999</v>
      </c>
      <c r="I326">
        <v>55.054788993855503</v>
      </c>
      <c r="K326">
        <v>7.745128870010376E-2</v>
      </c>
      <c r="L326" s="2">
        <f t="shared" si="14"/>
        <v>-1.0338416192796411</v>
      </c>
      <c r="N326">
        <v>55.536914825439453</v>
      </c>
      <c r="O326">
        <v>548.7994384765625</v>
      </c>
      <c r="P326" s="2">
        <f t="shared" si="15"/>
        <v>0.87572006067947805</v>
      </c>
      <c r="Q326" s="2">
        <f t="shared" si="16"/>
        <v>-1.0157802046540654</v>
      </c>
    </row>
    <row r="327" spans="1:17" x14ac:dyDescent="0.3">
      <c r="A327" t="s">
        <v>348</v>
      </c>
      <c r="B327">
        <v>57.3</v>
      </c>
      <c r="C327">
        <v>109.5</v>
      </c>
      <c r="D327">
        <v>1.0887000000000001E-2</v>
      </c>
      <c r="E327">
        <v>20.8</v>
      </c>
      <c r="F327">
        <v>1</v>
      </c>
      <c r="G327">
        <v>6.78853839635849E-2</v>
      </c>
      <c r="H327">
        <v>502.42418257069897</v>
      </c>
      <c r="I327">
        <v>53.577927962616798</v>
      </c>
      <c r="K327">
        <v>6.2979176640510559E-2</v>
      </c>
      <c r="L327" s="2">
        <f t="shared" si="14"/>
        <v>-7.227192418483086</v>
      </c>
      <c r="N327">
        <v>52.425117492675781</v>
      </c>
      <c r="O327">
        <v>497.51107788085938</v>
      </c>
      <c r="P327" s="2">
        <f t="shared" si="15"/>
        <v>-2.1516518345863855</v>
      </c>
      <c r="Q327" s="2">
        <f t="shared" si="16"/>
        <v>-0.97787981953839342</v>
      </c>
    </row>
    <row r="328" spans="1:17" x14ac:dyDescent="0.3">
      <c r="A328" t="s">
        <v>349</v>
      </c>
      <c r="B328">
        <v>42.8</v>
      </c>
      <c r="C328">
        <v>111.9</v>
      </c>
      <c r="D328">
        <v>8.5439999999999995E-3</v>
      </c>
      <c r="E328">
        <v>28.96</v>
      </c>
      <c r="F328">
        <v>1</v>
      </c>
      <c r="G328">
        <v>4.7316119074821403E-2</v>
      </c>
      <c r="H328">
        <v>551.99357910599394</v>
      </c>
      <c r="I328">
        <v>31.4633255683061</v>
      </c>
      <c r="K328">
        <v>4.8001579940319061E-2</v>
      </c>
      <c r="L328" s="2">
        <f t="shared" si="14"/>
        <v>1.4486836175505711</v>
      </c>
      <c r="N328">
        <v>32.722072601318359</v>
      </c>
      <c r="O328">
        <v>550.34014892578125</v>
      </c>
      <c r="P328" s="2">
        <f t="shared" si="15"/>
        <v>4.0006801896371407</v>
      </c>
      <c r="Q328" s="2">
        <f t="shared" si="16"/>
        <v>-0.29953793717865018</v>
      </c>
    </row>
    <row r="329" spans="1:17" x14ac:dyDescent="0.3">
      <c r="A329" t="s">
        <v>350</v>
      </c>
      <c r="B329">
        <v>50.8</v>
      </c>
      <c r="C329">
        <v>120.9</v>
      </c>
      <c r="D329">
        <v>1.0461E-2</v>
      </c>
      <c r="E329">
        <v>27.72</v>
      </c>
      <c r="F329">
        <v>1</v>
      </c>
      <c r="G329">
        <v>4.8636186867952298E-2</v>
      </c>
      <c r="H329">
        <v>547.70849755454606</v>
      </c>
      <c r="I329">
        <v>41.2906493921503</v>
      </c>
      <c r="K329">
        <v>4.8260178416967392E-2</v>
      </c>
      <c r="L329" s="2">
        <f t="shared" ref="L329:L392" si="17">(K329-G329)/G329*100</f>
        <v>-0.77310429784673029</v>
      </c>
      <c r="N329">
        <v>42.398799896240227</v>
      </c>
      <c r="O329">
        <v>545.543701171875</v>
      </c>
      <c r="P329" s="2">
        <f t="shared" si="15"/>
        <v>2.6837807600589496</v>
      </c>
      <c r="Q329" s="2">
        <f t="shared" si="16"/>
        <v>-0.39524608296869918</v>
      </c>
    </row>
    <row r="330" spans="1:17" x14ac:dyDescent="0.3">
      <c r="A330" t="s">
        <v>351</v>
      </c>
      <c r="B330">
        <v>65.099999999999994</v>
      </c>
      <c r="C330">
        <v>106.8</v>
      </c>
      <c r="D330">
        <v>1.9404000000000001E-2</v>
      </c>
      <c r="E330">
        <v>33.15</v>
      </c>
      <c r="F330">
        <v>1</v>
      </c>
      <c r="G330">
        <v>0.12671332061290699</v>
      </c>
      <c r="H330">
        <v>575.93862969411305</v>
      </c>
      <c r="I330">
        <v>62.789587827303301</v>
      </c>
      <c r="K330">
        <v>0.104483887553215</v>
      </c>
      <c r="L330" s="2">
        <f t="shared" si="17"/>
        <v>-17.543090933272968</v>
      </c>
      <c r="N330">
        <v>59.430419921875</v>
      </c>
      <c r="O330">
        <v>574.107421875</v>
      </c>
      <c r="P330" s="2">
        <f t="shared" si="15"/>
        <v>-5.3498804844321759</v>
      </c>
      <c r="Q330" s="2">
        <f t="shared" si="16"/>
        <v>-0.31795190054982425</v>
      </c>
    </row>
    <row r="331" spans="1:17" x14ac:dyDescent="0.3">
      <c r="A331" t="s">
        <v>352</v>
      </c>
      <c r="B331">
        <v>57.3</v>
      </c>
      <c r="C331">
        <v>112.7</v>
      </c>
      <c r="D331">
        <v>1.5036000000000001E-2</v>
      </c>
      <c r="E331">
        <v>31.83</v>
      </c>
      <c r="F331">
        <v>1.01</v>
      </c>
      <c r="G331">
        <v>8.0438144505023901E-2</v>
      </c>
      <c r="H331">
        <v>571.47628433311502</v>
      </c>
      <c r="I331">
        <v>50.976658553548802</v>
      </c>
      <c r="K331">
        <v>7.900729775428772E-2</v>
      </c>
      <c r="L331" s="2">
        <f t="shared" si="17"/>
        <v>-1.7788162065906621</v>
      </c>
      <c r="N331">
        <v>51.621421813964837</v>
      </c>
      <c r="O331">
        <v>566.270263671875</v>
      </c>
      <c r="P331" s="2">
        <f t="shared" si="15"/>
        <v>1.2648205643740624</v>
      </c>
      <c r="Q331" s="2">
        <f t="shared" si="16"/>
        <v>-0.91097755129334723</v>
      </c>
    </row>
    <row r="332" spans="1:17" x14ac:dyDescent="0.3">
      <c r="A332" t="s">
        <v>353</v>
      </c>
      <c r="B332">
        <v>75.5</v>
      </c>
      <c r="C332">
        <v>115.2</v>
      </c>
      <c r="D332">
        <v>1.7842E-2</v>
      </c>
      <c r="E332">
        <v>24.52</v>
      </c>
      <c r="F332">
        <v>1</v>
      </c>
      <c r="G332">
        <v>9.3162171542644501E-2</v>
      </c>
      <c r="H332">
        <v>526.34023822087102</v>
      </c>
      <c r="I332">
        <v>76.849011936663601</v>
      </c>
      <c r="K332">
        <v>9.1655343770980835E-2</v>
      </c>
      <c r="L332" s="2">
        <f t="shared" si="17"/>
        <v>-1.6174244832559783</v>
      </c>
      <c r="N332">
        <v>75.313003540039063</v>
      </c>
      <c r="O332">
        <v>523.248779296875</v>
      </c>
      <c r="P332" s="2">
        <f t="shared" si="15"/>
        <v>-1.9987353876331753</v>
      </c>
      <c r="Q332" s="2">
        <f t="shared" si="16"/>
        <v>-0.58734991161719419</v>
      </c>
    </row>
    <row r="333" spans="1:17" x14ac:dyDescent="0.3">
      <c r="A333" t="s">
        <v>354</v>
      </c>
      <c r="B333">
        <v>88.5</v>
      </c>
      <c r="C333">
        <v>130</v>
      </c>
      <c r="D333">
        <v>1.6955000000000001E-2</v>
      </c>
      <c r="E333">
        <v>20.51</v>
      </c>
      <c r="F333">
        <v>1</v>
      </c>
      <c r="G333">
        <v>7.6827928423881503E-2</v>
      </c>
      <c r="H333">
        <v>509.48829180160197</v>
      </c>
      <c r="I333">
        <v>89.808184116062293</v>
      </c>
      <c r="K333">
        <v>8.2847602665424347E-2</v>
      </c>
      <c r="L333" s="2">
        <f t="shared" si="17"/>
        <v>7.8352681961312189</v>
      </c>
      <c r="N333">
        <v>91.52484130859375</v>
      </c>
      <c r="O333">
        <v>504.38107299804688</v>
      </c>
      <c r="P333" s="2">
        <f t="shared" si="15"/>
        <v>1.9114707745487429</v>
      </c>
      <c r="Q333" s="2">
        <f t="shared" si="16"/>
        <v>-1.0024212304262103</v>
      </c>
    </row>
    <row r="334" spans="1:17" x14ac:dyDescent="0.3">
      <c r="A334" t="s">
        <v>355</v>
      </c>
      <c r="B334">
        <v>65</v>
      </c>
      <c r="C334">
        <v>117.2</v>
      </c>
      <c r="D334">
        <v>1.3077E-2</v>
      </c>
      <c r="E334">
        <v>21.92</v>
      </c>
      <c r="F334">
        <v>1</v>
      </c>
      <c r="G334">
        <v>6.6848985850811005E-2</v>
      </c>
      <c r="H334">
        <v>511.429610131061</v>
      </c>
      <c r="I334">
        <v>61.904532611842299</v>
      </c>
      <c r="K334">
        <v>6.5398216247558594E-2</v>
      </c>
      <c r="L334" s="2">
        <f t="shared" si="17"/>
        <v>-2.1702193156529543</v>
      </c>
      <c r="N334">
        <v>62.194293975830078</v>
      </c>
      <c r="O334">
        <v>508.12826538085938</v>
      </c>
      <c r="P334" s="2">
        <f t="shared" si="15"/>
        <v>0.46807778326129834</v>
      </c>
      <c r="Q334" s="2">
        <f t="shared" si="16"/>
        <v>-0.64551302560592971</v>
      </c>
    </row>
    <row r="335" spans="1:17" x14ac:dyDescent="0.3">
      <c r="A335" t="s">
        <v>356</v>
      </c>
      <c r="B335">
        <v>45.1</v>
      </c>
      <c r="C335">
        <v>108.3</v>
      </c>
      <c r="D335">
        <v>9.3050000000000008E-3</v>
      </c>
      <c r="E335">
        <v>27.93</v>
      </c>
      <c r="F335">
        <v>1</v>
      </c>
      <c r="G335">
        <v>5.8291234076023102E-2</v>
      </c>
      <c r="H335">
        <v>544.93129733090495</v>
      </c>
      <c r="I335">
        <v>35.126408736319199</v>
      </c>
      <c r="K335">
        <v>5.9402540326118469E-2</v>
      </c>
      <c r="L335" s="2">
        <f t="shared" si="17"/>
        <v>1.9064723327799307</v>
      </c>
      <c r="N335">
        <v>36.253746032714837</v>
      </c>
      <c r="O335">
        <v>543.29388427734375</v>
      </c>
      <c r="P335" s="2">
        <f t="shared" si="15"/>
        <v>3.2093724834159301</v>
      </c>
      <c r="Q335" s="2">
        <f t="shared" si="16"/>
        <v>-0.3004806406938485</v>
      </c>
    </row>
    <row r="336" spans="1:17" x14ac:dyDescent="0.3">
      <c r="A336" t="s">
        <v>357</v>
      </c>
      <c r="B336">
        <v>50.3</v>
      </c>
      <c r="C336">
        <v>107.3</v>
      </c>
      <c r="D336">
        <v>1.0303E-2</v>
      </c>
      <c r="E336">
        <v>24.95</v>
      </c>
      <c r="F336">
        <v>1</v>
      </c>
      <c r="G336">
        <v>6.8000495433807304E-2</v>
      </c>
      <c r="H336">
        <v>526.83940869575497</v>
      </c>
      <c r="I336">
        <v>43.096666831463899</v>
      </c>
      <c r="K336">
        <v>6.793329119682312E-2</v>
      </c>
      <c r="L336" s="2">
        <f t="shared" si="17"/>
        <v>-9.8829040223098311E-2</v>
      </c>
      <c r="N336">
        <v>43.826404571533203</v>
      </c>
      <c r="O336">
        <v>523.18353271484375</v>
      </c>
      <c r="P336" s="2">
        <f t="shared" si="15"/>
        <v>1.6932579564054331</v>
      </c>
      <c r="Q336" s="2">
        <f t="shared" si="16"/>
        <v>-0.69392606562248538</v>
      </c>
    </row>
    <row r="337" spans="1:17" x14ac:dyDescent="0.3">
      <c r="A337" t="s">
        <v>358</v>
      </c>
      <c r="B337">
        <v>40.1</v>
      </c>
      <c r="C337">
        <v>113</v>
      </c>
      <c r="D337">
        <v>8.7589999999999994E-3</v>
      </c>
      <c r="E337">
        <v>35</v>
      </c>
      <c r="F337">
        <v>1</v>
      </c>
      <c r="G337">
        <v>4.5898910611867898E-2</v>
      </c>
      <c r="H337">
        <v>588.54260297223198</v>
      </c>
      <c r="I337">
        <v>27.3157994713908</v>
      </c>
      <c r="K337">
        <v>4.7051869332790368E-2</v>
      </c>
      <c r="L337" s="2">
        <f t="shared" si="17"/>
        <v>2.5119522567151171</v>
      </c>
      <c r="N337">
        <v>28.43715858459473</v>
      </c>
      <c r="O337">
        <v>588.58758544921875</v>
      </c>
      <c r="P337" s="2">
        <f t="shared" si="15"/>
        <v>4.1051667346525411</v>
      </c>
      <c r="Q337" s="2">
        <f t="shared" si="16"/>
        <v>7.6430281783520983E-3</v>
      </c>
    </row>
    <row r="338" spans="1:17" x14ac:dyDescent="0.3">
      <c r="A338" t="s">
        <v>359</v>
      </c>
      <c r="B338">
        <v>45.3</v>
      </c>
      <c r="C338">
        <v>107.2</v>
      </c>
      <c r="D338">
        <v>9.9570000000000006E-3</v>
      </c>
      <c r="E338">
        <v>29.86</v>
      </c>
      <c r="F338">
        <v>1</v>
      </c>
      <c r="G338">
        <v>6.4666666090488406E-2</v>
      </c>
      <c r="H338">
        <v>556.27897998859805</v>
      </c>
      <c r="I338">
        <v>35.508523930294601</v>
      </c>
      <c r="K338">
        <v>6.38003870844841E-2</v>
      </c>
      <c r="L338" s="2">
        <f t="shared" si="17"/>
        <v>-1.3396067222517964</v>
      </c>
      <c r="N338">
        <v>35.894214630126953</v>
      </c>
      <c r="O338">
        <v>554.99822998046875</v>
      </c>
      <c r="P338" s="2">
        <f t="shared" si="15"/>
        <v>1.0861918692804207</v>
      </c>
      <c r="Q338" s="2">
        <f t="shared" si="16"/>
        <v>-0.23023519748230542</v>
      </c>
    </row>
    <row r="339" spans="1:17" x14ac:dyDescent="0.3">
      <c r="A339" t="s">
        <v>360</v>
      </c>
      <c r="B339">
        <v>75.7</v>
      </c>
      <c r="C339">
        <v>130</v>
      </c>
      <c r="D339">
        <v>1.4765E-2</v>
      </c>
      <c r="E339">
        <v>22.52</v>
      </c>
      <c r="F339">
        <v>1</v>
      </c>
      <c r="G339">
        <v>6.5935179591178894E-2</v>
      </c>
      <c r="H339">
        <v>521.54829180160198</v>
      </c>
      <c r="I339">
        <v>72.9809037097599</v>
      </c>
      <c r="K339">
        <v>7.2364628314971924E-2</v>
      </c>
      <c r="L339" s="2">
        <f t="shared" si="17"/>
        <v>9.7511658626818853</v>
      </c>
      <c r="N339">
        <v>75.678962707519531</v>
      </c>
      <c r="O339">
        <v>516.5474853515625</v>
      </c>
      <c r="P339" s="2">
        <f t="shared" si="15"/>
        <v>3.6969383230572599</v>
      </c>
      <c r="Q339" s="2">
        <f t="shared" si="16"/>
        <v>-0.95883862120706431</v>
      </c>
    </row>
    <row r="340" spans="1:17" x14ac:dyDescent="0.3">
      <c r="A340" t="s">
        <v>361</v>
      </c>
      <c r="B340">
        <v>54.8</v>
      </c>
      <c r="C340">
        <v>112.9</v>
      </c>
      <c r="D340">
        <v>1.2125E-2</v>
      </c>
      <c r="E340">
        <v>26.66</v>
      </c>
      <c r="F340">
        <v>1</v>
      </c>
      <c r="G340">
        <v>6.6080257296562195E-2</v>
      </c>
      <c r="H340">
        <v>538.47371009739697</v>
      </c>
      <c r="I340">
        <v>47.937555060105701</v>
      </c>
      <c r="K340">
        <v>6.6882029175758362E-2</v>
      </c>
      <c r="L340" s="2">
        <f t="shared" si="17"/>
        <v>1.213330443914417</v>
      </c>
      <c r="N340">
        <v>49.359630584716797</v>
      </c>
      <c r="O340">
        <v>535.4593505859375</v>
      </c>
      <c r="P340" s="2">
        <f t="shared" si="15"/>
        <v>2.9665165919038836</v>
      </c>
      <c r="Q340" s="2">
        <f t="shared" si="16"/>
        <v>-0.55979696964485959</v>
      </c>
    </row>
    <row r="341" spans="1:17" x14ac:dyDescent="0.3">
      <c r="A341" t="s">
        <v>362</v>
      </c>
      <c r="B341">
        <v>73.900000000000006</v>
      </c>
      <c r="C341">
        <v>111</v>
      </c>
      <c r="D341">
        <v>1.7895000000000001E-2</v>
      </c>
      <c r="E341">
        <v>24.78</v>
      </c>
      <c r="F341">
        <v>1</v>
      </c>
      <c r="G341">
        <v>0.103980734944343</v>
      </c>
      <c r="H341">
        <v>526.67484915657303</v>
      </c>
      <c r="I341">
        <v>75.507651284847398</v>
      </c>
      <c r="K341">
        <v>9.8496571183204651E-2</v>
      </c>
      <c r="L341" s="2">
        <f t="shared" si="17"/>
        <v>-5.274211385478103</v>
      </c>
      <c r="N341">
        <v>73.121543884277344</v>
      </c>
      <c r="O341">
        <v>523.84173583984375</v>
      </c>
      <c r="P341" s="2">
        <f t="shared" si="15"/>
        <v>-3.1600869050589711</v>
      </c>
      <c r="Q341" s="2">
        <f t="shared" si="16"/>
        <v>-0.53792455084314028</v>
      </c>
    </row>
    <row r="342" spans="1:17" x14ac:dyDescent="0.3">
      <c r="A342" t="s">
        <v>363</v>
      </c>
      <c r="B342">
        <v>89.6</v>
      </c>
      <c r="C342">
        <v>119.7</v>
      </c>
      <c r="D342">
        <v>2.8872999999999999E-2</v>
      </c>
      <c r="E342">
        <v>35</v>
      </c>
      <c r="F342">
        <v>1</v>
      </c>
      <c r="G342">
        <v>0.13208533823490101</v>
      </c>
      <c r="H342">
        <v>590.87813076697205</v>
      </c>
      <c r="I342">
        <v>92.162896779482097</v>
      </c>
      <c r="K342">
        <v>0.12540632486343381</v>
      </c>
      <c r="L342" s="2">
        <f t="shared" si="17"/>
        <v>-5.0565895206243265</v>
      </c>
      <c r="N342">
        <v>90.003318786621094</v>
      </c>
      <c r="O342">
        <v>589.8704833984375</v>
      </c>
      <c r="P342" s="2">
        <f t="shared" si="15"/>
        <v>-2.3432184407443475</v>
      </c>
      <c r="Q342" s="2">
        <f t="shared" si="16"/>
        <v>-0.17053387425704888</v>
      </c>
    </row>
    <row r="343" spans="1:17" x14ac:dyDescent="0.3">
      <c r="A343" t="s">
        <v>364</v>
      </c>
      <c r="B343">
        <v>83.5</v>
      </c>
      <c r="C343">
        <v>120.5</v>
      </c>
      <c r="D343">
        <v>2.1321E-2</v>
      </c>
      <c r="E343">
        <v>27.22</v>
      </c>
      <c r="F343">
        <v>1</v>
      </c>
      <c r="G343">
        <v>9.9965684115886605E-2</v>
      </c>
      <c r="H343">
        <v>544.53494512192799</v>
      </c>
      <c r="I343">
        <v>84.590318243428896</v>
      </c>
      <c r="K343">
        <v>9.7892433404922485E-2</v>
      </c>
      <c r="L343" s="2">
        <f t="shared" si="17"/>
        <v>-2.0739624095011195</v>
      </c>
      <c r="N343">
        <v>83.386032104492188</v>
      </c>
      <c r="O343">
        <v>543.4193115234375</v>
      </c>
      <c r="P343" s="2">
        <f t="shared" si="15"/>
        <v>-1.4236690013047206</v>
      </c>
      <c r="Q343" s="2">
        <f t="shared" si="16"/>
        <v>-0.2048782375648428</v>
      </c>
    </row>
    <row r="344" spans="1:17" x14ac:dyDescent="0.3">
      <c r="A344" t="s">
        <v>365</v>
      </c>
      <c r="B344">
        <v>52.1</v>
      </c>
      <c r="C344">
        <v>105.4</v>
      </c>
      <c r="D344">
        <v>1.0691000000000001E-2</v>
      </c>
      <c r="E344">
        <v>24.07</v>
      </c>
      <c r="F344">
        <v>1</v>
      </c>
      <c r="G344">
        <v>7.6901637017726898E-2</v>
      </c>
      <c r="H344">
        <v>521.19433222676503</v>
      </c>
      <c r="I344">
        <v>45.964132190716597</v>
      </c>
      <c r="K344">
        <v>7.4424892663955688E-2</v>
      </c>
      <c r="L344" s="2">
        <f t="shared" si="17"/>
        <v>-3.2206653197776345</v>
      </c>
      <c r="N344">
        <v>46.031162261962891</v>
      </c>
      <c r="O344">
        <v>515.89849853515625</v>
      </c>
      <c r="P344" s="2">
        <f t="shared" si="15"/>
        <v>0.1458312559196567</v>
      </c>
      <c r="Q344" s="2">
        <f t="shared" si="16"/>
        <v>-1.0160957946305194</v>
      </c>
    </row>
    <row r="345" spans="1:17" x14ac:dyDescent="0.3">
      <c r="A345" t="s">
        <v>366</v>
      </c>
      <c r="B345">
        <v>64.900000000000006</v>
      </c>
      <c r="C345">
        <v>100</v>
      </c>
      <c r="D345">
        <v>1.6161999999999999E-2</v>
      </c>
      <c r="E345">
        <v>25.97</v>
      </c>
      <c r="F345">
        <v>1.18</v>
      </c>
      <c r="G345">
        <v>0.15754178166389399</v>
      </c>
      <c r="H345">
        <v>562.04990889520104</v>
      </c>
      <c r="I345">
        <v>69.266856681837695</v>
      </c>
      <c r="K345">
        <v>0.13084946572780609</v>
      </c>
      <c r="L345" s="2">
        <f t="shared" si="17"/>
        <v>-16.943007533731187</v>
      </c>
      <c r="N345">
        <v>67.505233764648438</v>
      </c>
      <c r="O345">
        <v>556.89508056640625</v>
      </c>
      <c r="P345" s="2">
        <f t="shared" si="15"/>
        <v>-2.5432407381800077</v>
      </c>
      <c r="Q345" s="2">
        <f t="shared" si="16"/>
        <v>-0.9171477918975971</v>
      </c>
    </row>
    <row r="346" spans="1:17" x14ac:dyDescent="0.3">
      <c r="A346" t="s">
        <v>367</v>
      </c>
      <c r="B346">
        <v>56.3</v>
      </c>
      <c r="C346">
        <v>110.7</v>
      </c>
      <c r="D346">
        <v>1.0224E-2</v>
      </c>
      <c r="E346">
        <v>20</v>
      </c>
      <c r="F346">
        <v>1</v>
      </c>
      <c r="G346">
        <v>6.1733823269605602E-2</v>
      </c>
      <c r="H346">
        <v>497.91802696960201</v>
      </c>
      <c r="I346">
        <v>51.714300325999098</v>
      </c>
      <c r="K346">
        <v>5.7914961129426963E-2</v>
      </c>
      <c r="L346" s="2">
        <f t="shared" si="17"/>
        <v>-6.1860126878920205</v>
      </c>
      <c r="N346">
        <v>51.522235870361328</v>
      </c>
      <c r="O346">
        <v>493.44866943359381</v>
      </c>
      <c r="P346" s="2">
        <f t="shared" si="15"/>
        <v>-0.37139525126903844</v>
      </c>
      <c r="Q346" s="2">
        <f t="shared" si="16"/>
        <v>-0.8976091030905895</v>
      </c>
    </row>
    <row r="347" spans="1:17" x14ac:dyDescent="0.3">
      <c r="A347" t="s">
        <v>368</v>
      </c>
      <c r="B347">
        <v>64.2</v>
      </c>
      <c r="C347">
        <v>130</v>
      </c>
      <c r="D347">
        <v>1.1108E-2</v>
      </c>
      <c r="E347">
        <v>20.94</v>
      </c>
      <c r="F347">
        <v>1.3</v>
      </c>
      <c r="G347">
        <v>5.0234522670507403E-2</v>
      </c>
      <c r="H347">
        <v>554.45975804319801</v>
      </c>
      <c r="I347">
        <v>63.3645025935581</v>
      </c>
      <c r="K347">
        <v>5.8052252978086472E-2</v>
      </c>
      <c r="L347" s="2">
        <f t="shared" si="17"/>
        <v>15.56246559533618</v>
      </c>
      <c r="N347">
        <v>67.196739196777344</v>
      </c>
      <c r="O347">
        <v>543.3975830078125</v>
      </c>
      <c r="P347" s="2">
        <f t="shared" si="15"/>
        <v>6.0479234371972241</v>
      </c>
      <c r="Q347" s="2">
        <f t="shared" si="16"/>
        <v>-1.9951267652725941</v>
      </c>
    </row>
    <row r="348" spans="1:17" x14ac:dyDescent="0.3">
      <c r="A348" t="s">
        <v>369</v>
      </c>
      <c r="B348">
        <v>49.2</v>
      </c>
      <c r="C348">
        <v>114.2</v>
      </c>
      <c r="D348">
        <v>1.0527999999999999E-2</v>
      </c>
      <c r="E348">
        <v>28.09</v>
      </c>
      <c r="F348">
        <v>1</v>
      </c>
      <c r="G348">
        <v>5.5135395377874298E-2</v>
      </c>
      <c r="H348">
        <v>547.44211534676003</v>
      </c>
      <c r="I348">
        <v>40.070166451344399</v>
      </c>
      <c r="K348">
        <v>5.5107146501541138E-2</v>
      </c>
      <c r="L348" s="2">
        <f t="shared" si="17"/>
        <v>-5.1235465238899096E-2</v>
      </c>
      <c r="N348">
        <v>40.995861053466797</v>
      </c>
      <c r="O348">
        <v>546.44976806640625</v>
      </c>
      <c r="P348" s="2">
        <f t="shared" si="15"/>
        <v>2.3101840698526477</v>
      </c>
      <c r="Q348" s="2">
        <f t="shared" si="16"/>
        <v>-0.18126980963552869</v>
      </c>
    </row>
    <row r="349" spans="1:17" x14ac:dyDescent="0.3">
      <c r="A349" t="s">
        <v>370</v>
      </c>
      <c r="B349">
        <v>81.599999999999994</v>
      </c>
      <c r="C349">
        <v>130</v>
      </c>
      <c r="D349">
        <v>1.7819999999999999E-2</v>
      </c>
      <c r="E349">
        <v>25.29</v>
      </c>
      <c r="F349">
        <v>1</v>
      </c>
      <c r="G349">
        <v>7.81908109784126E-2</v>
      </c>
      <c r="H349">
        <v>538.16829180160198</v>
      </c>
      <c r="I349">
        <v>79.389565537400998</v>
      </c>
      <c r="K349">
        <v>8.2307472825050354E-2</v>
      </c>
      <c r="L349" s="2">
        <f t="shared" si="17"/>
        <v>5.2648921211142143</v>
      </c>
      <c r="N349">
        <v>80.236488342285156</v>
      </c>
      <c r="O349">
        <v>534.7239990234375</v>
      </c>
      <c r="P349" s="2">
        <f t="shared" si="15"/>
        <v>1.0667936008355747</v>
      </c>
      <c r="Q349" s="2">
        <f t="shared" si="16"/>
        <v>-0.64000291927905606</v>
      </c>
    </row>
    <row r="350" spans="1:17" x14ac:dyDescent="0.3">
      <c r="A350" t="s">
        <v>371</v>
      </c>
      <c r="B350">
        <v>70.400000000000006</v>
      </c>
      <c r="C350">
        <v>111.9</v>
      </c>
      <c r="D350">
        <v>1.9387000000000001E-2</v>
      </c>
      <c r="E350">
        <v>29.89</v>
      </c>
      <c r="F350">
        <v>1</v>
      </c>
      <c r="G350">
        <v>0.10688452422618799</v>
      </c>
      <c r="H350">
        <v>557.57357910599501</v>
      </c>
      <c r="I350">
        <v>69.024041782924201</v>
      </c>
      <c r="K350">
        <v>9.811718761920929E-2</v>
      </c>
      <c r="L350" s="2">
        <f t="shared" si="17"/>
        <v>-8.2026249080038482</v>
      </c>
      <c r="N350">
        <v>67.660064697265625</v>
      </c>
      <c r="O350">
        <v>553.369384765625</v>
      </c>
      <c r="P350" s="2">
        <f t="shared" si="15"/>
        <v>-1.976089852790986</v>
      </c>
      <c r="Q350" s="2">
        <f t="shared" si="16"/>
        <v>-0.75401606136197308</v>
      </c>
    </row>
    <row r="351" spans="1:17" x14ac:dyDescent="0.3">
      <c r="A351" t="s">
        <v>372</v>
      </c>
      <c r="B351">
        <v>76.3</v>
      </c>
      <c r="C351">
        <v>118.5</v>
      </c>
      <c r="D351">
        <v>1.5129999999999999E-2</v>
      </c>
      <c r="E351">
        <v>20</v>
      </c>
      <c r="F351">
        <v>1</v>
      </c>
      <c r="G351">
        <v>7.6775483787059701E-2</v>
      </c>
      <c r="H351">
        <v>500.397783908024</v>
      </c>
      <c r="I351">
        <v>78.680104001622297</v>
      </c>
      <c r="K351">
        <v>7.7236853539943695E-2</v>
      </c>
      <c r="L351" s="2">
        <f t="shared" si="17"/>
        <v>0.60093369670404739</v>
      </c>
      <c r="N351">
        <v>77.295745849609375</v>
      </c>
      <c r="O351">
        <v>497.43966674804688</v>
      </c>
      <c r="P351" s="2">
        <f t="shared" si="15"/>
        <v>-1.7594767693550304</v>
      </c>
      <c r="Q351" s="2">
        <f t="shared" si="16"/>
        <v>-0.59115312959116539</v>
      </c>
    </row>
    <row r="352" spans="1:17" x14ac:dyDescent="0.3">
      <c r="A352" t="s">
        <v>373</v>
      </c>
      <c r="B352">
        <v>88.1</v>
      </c>
      <c r="C352">
        <v>123.5</v>
      </c>
      <c r="D352">
        <v>2.4785000000000001E-2</v>
      </c>
      <c r="E352">
        <v>31.1</v>
      </c>
      <c r="F352">
        <v>1</v>
      </c>
      <c r="G352">
        <v>0.110019423067569</v>
      </c>
      <c r="H352">
        <v>569.20500734570498</v>
      </c>
      <c r="I352">
        <v>89.413086923224498</v>
      </c>
      <c r="K352">
        <v>0.1055153906345367</v>
      </c>
      <c r="L352" s="2">
        <f t="shared" si="17"/>
        <v>-4.0938520739798108</v>
      </c>
      <c r="N352">
        <v>86.849227905273438</v>
      </c>
      <c r="O352">
        <v>568.99566650390625</v>
      </c>
      <c r="P352" s="2">
        <f t="shared" si="15"/>
        <v>-2.8674314982017624</v>
      </c>
      <c r="Q352" s="2">
        <f t="shared" si="16"/>
        <v>-3.6777758293962487E-2</v>
      </c>
    </row>
    <row r="353" spans="1:17" x14ac:dyDescent="0.3">
      <c r="A353" t="s">
        <v>374</v>
      </c>
      <c r="B353">
        <v>71.5</v>
      </c>
      <c r="C353">
        <v>130</v>
      </c>
      <c r="D353">
        <v>1.4742E-2</v>
      </c>
      <c r="E353">
        <v>24.95</v>
      </c>
      <c r="F353">
        <v>1</v>
      </c>
      <c r="G353">
        <v>6.4831957221031106E-2</v>
      </c>
      <c r="H353">
        <v>536.12829180160202</v>
      </c>
      <c r="I353">
        <v>66.071280630595396</v>
      </c>
      <c r="K353">
        <v>7.3550432920455933E-2</v>
      </c>
      <c r="L353" s="2">
        <f t="shared" si="17"/>
        <v>13.447805793832496</v>
      </c>
      <c r="N353">
        <v>70.419998168945313</v>
      </c>
      <c r="O353">
        <v>530.7833251953125</v>
      </c>
      <c r="P353" s="2">
        <f t="shared" si="15"/>
        <v>6.5818574982125764</v>
      </c>
      <c r="Q353" s="2">
        <f t="shared" si="16"/>
        <v>-0.99695664042058418</v>
      </c>
    </row>
    <row r="354" spans="1:17" x14ac:dyDescent="0.3">
      <c r="A354" t="s">
        <v>375</v>
      </c>
      <c r="B354">
        <v>45.4</v>
      </c>
      <c r="C354">
        <v>107.8</v>
      </c>
      <c r="D354">
        <v>7.6559999999999996E-3</v>
      </c>
      <c r="E354">
        <v>21.47</v>
      </c>
      <c r="F354">
        <v>1</v>
      </c>
      <c r="G354">
        <v>5.0465617328882197E-2</v>
      </c>
      <c r="H354">
        <v>506.06361642565798</v>
      </c>
      <c r="I354">
        <v>36.214768810806</v>
      </c>
      <c r="K354">
        <v>5.0259098410606377E-2</v>
      </c>
      <c r="L354" s="2">
        <f t="shared" si="17"/>
        <v>-0.40922697314875711</v>
      </c>
      <c r="N354">
        <v>38.00994873046875</v>
      </c>
      <c r="O354">
        <v>501.461669921875</v>
      </c>
      <c r="P354" s="2">
        <f t="shared" si="15"/>
        <v>4.9570381880419268</v>
      </c>
      <c r="Q354" s="2">
        <f t="shared" si="16"/>
        <v>-0.90936126495057379</v>
      </c>
    </row>
    <row r="355" spans="1:17" x14ac:dyDescent="0.3">
      <c r="A355" t="s">
        <v>376</v>
      </c>
      <c r="B355">
        <v>40.799999999999997</v>
      </c>
      <c r="C355">
        <v>101</v>
      </c>
      <c r="D355">
        <v>8.9090000000000003E-3</v>
      </c>
      <c r="E355">
        <v>32.17</v>
      </c>
      <c r="F355">
        <v>1</v>
      </c>
      <c r="G355">
        <v>8.1126190721988595E-2</v>
      </c>
      <c r="H355">
        <v>569.12743040402802</v>
      </c>
      <c r="I355">
        <v>29.8992952049582</v>
      </c>
      <c r="K355">
        <v>7.2913780808448792E-2</v>
      </c>
      <c r="L355" s="2">
        <f t="shared" si="17"/>
        <v>-10.123006935803158</v>
      </c>
      <c r="N355">
        <v>30.259172439575199</v>
      </c>
      <c r="O355">
        <v>568.30474853515625</v>
      </c>
      <c r="P355" s="2">
        <f t="shared" si="15"/>
        <v>1.2036311630426668</v>
      </c>
      <c r="Q355" s="2">
        <f t="shared" si="16"/>
        <v>-0.14455143521860125</v>
      </c>
    </row>
    <row r="356" spans="1:17" x14ac:dyDescent="0.3">
      <c r="A356" t="s">
        <v>377</v>
      </c>
      <c r="B356">
        <v>73</v>
      </c>
      <c r="C356">
        <v>119</v>
      </c>
      <c r="D356">
        <v>1.7498E-2</v>
      </c>
      <c r="E356">
        <v>26.25</v>
      </c>
      <c r="F356">
        <v>1</v>
      </c>
      <c r="G356">
        <v>8.4321573376655495E-2</v>
      </c>
      <c r="H356">
        <v>538.09437582908004</v>
      </c>
      <c r="I356">
        <v>72.194452195963606</v>
      </c>
      <c r="K356">
        <v>8.4574103355407715E-2</v>
      </c>
      <c r="L356" s="2">
        <f t="shared" si="17"/>
        <v>0.29948442449501617</v>
      </c>
      <c r="N356">
        <v>70.971916198730469</v>
      </c>
      <c r="O356">
        <v>534.8358154296875</v>
      </c>
      <c r="P356" s="2">
        <f t="shared" si="15"/>
        <v>-1.6933932733705119</v>
      </c>
      <c r="Q356" s="2">
        <f t="shared" si="16"/>
        <v>-0.6055741419656806</v>
      </c>
    </row>
    <row r="357" spans="1:17" x14ac:dyDescent="0.3">
      <c r="A357" t="s">
        <v>378</v>
      </c>
      <c r="B357">
        <v>78.400000000000006</v>
      </c>
      <c r="C357">
        <v>114</v>
      </c>
      <c r="D357">
        <v>1.8969E-2</v>
      </c>
      <c r="E357">
        <v>24.63</v>
      </c>
      <c r="F357">
        <v>1</v>
      </c>
      <c r="G357">
        <v>0.101796016097068</v>
      </c>
      <c r="H357">
        <v>526.62053541185799</v>
      </c>
      <c r="I357">
        <v>81.169913020204504</v>
      </c>
      <c r="K357">
        <v>9.9320285022258759E-2</v>
      </c>
      <c r="L357" s="2">
        <f t="shared" si="17"/>
        <v>-2.4320510465247422</v>
      </c>
      <c r="N357">
        <v>79.244621276855469</v>
      </c>
      <c r="O357">
        <v>524.58502197265625</v>
      </c>
      <c r="P357" s="2">
        <f t="shared" si="15"/>
        <v>-2.371927813782182</v>
      </c>
      <c r="Q357" s="2">
        <f t="shared" si="16"/>
        <v>-0.38652374951725105</v>
      </c>
    </row>
    <row r="358" spans="1:17" x14ac:dyDescent="0.3">
      <c r="A358" t="s">
        <v>379</v>
      </c>
      <c r="B358">
        <v>89.5</v>
      </c>
      <c r="C358">
        <v>117.8</v>
      </c>
      <c r="D358">
        <v>2.3258999999999998E-2</v>
      </c>
      <c r="E358">
        <v>26.4</v>
      </c>
      <c r="F358">
        <v>1</v>
      </c>
      <c r="G358">
        <v>0.114220097661018</v>
      </c>
      <c r="H358">
        <v>538.53086458363498</v>
      </c>
      <c r="I358">
        <v>94.361903856267304</v>
      </c>
      <c r="K358">
        <v>0.1119054332375526</v>
      </c>
      <c r="L358" s="2">
        <f t="shared" si="17"/>
        <v>-2.0264948733758299</v>
      </c>
      <c r="N358">
        <v>92.387481689453125</v>
      </c>
      <c r="O358">
        <v>536.5474853515625</v>
      </c>
      <c r="P358" s="2">
        <f t="shared" si="15"/>
        <v>-2.0923933135363955</v>
      </c>
      <c r="Q358" s="2">
        <f t="shared" si="16"/>
        <v>-0.36829444002358691</v>
      </c>
    </row>
    <row r="359" spans="1:17" x14ac:dyDescent="0.3">
      <c r="A359" t="s">
        <v>380</v>
      </c>
      <c r="B359">
        <v>51.4</v>
      </c>
      <c r="C359">
        <v>112.8</v>
      </c>
      <c r="D359">
        <v>1.157E-2</v>
      </c>
      <c r="E359">
        <v>28.56</v>
      </c>
      <c r="F359">
        <v>1</v>
      </c>
      <c r="G359">
        <v>6.2642604112625094E-2</v>
      </c>
      <c r="H359">
        <v>549.84497875128795</v>
      </c>
      <c r="I359">
        <v>43.312959323336699</v>
      </c>
      <c r="K359">
        <v>6.2117259949445718E-2</v>
      </c>
      <c r="L359" s="2">
        <f t="shared" si="17"/>
        <v>-0.83863717133288529</v>
      </c>
      <c r="N359">
        <v>43.98828125</v>
      </c>
      <c r="O359">
        <v>547.78021240234375</v>
      </c>
      <c r="P359" s="2">
        <f t="shared" si="15"/>
        <v>1.5591682886914693</v>
      </c>
      <c r="Q359" s="2">
        <f t="shared" si="16"/>
        <v>-0.37551790572559945</v>
      </c>
    </row>
    <row r="360" spans="1:17" x14ac:dyDescent="0.3">
      <c r="A360" t="s">
        <v>381</v>
      </c>
      <c r="B360">
        <v>83.9</v>
      </c>
      <c r="C360">
        <v>124.3</v>
      </c>
      <c r="D360">
        <v>2.1246000000000001E-2</v>
      </c>
      <c r="E360">
        <v>28.06</v>
      </c>
      <c r="F360">
        <v>1.17</v>
      </c>
      <c r="G360">
        <v>9.5140703022479997E-2</v>
      </c>
      <c r="H360">
        <v>582.46261843623995</v>
      </c>
      <c r="I360">
        <v>88.155215160589705</v>
      </c>
      <c r="K360">
        <v>9.3358427286148071E-2</v>
      </c>
      <c r="L360" s="2">
        <f t="shared" si="17"/>
        <v>-1.873305199259256</v>
      </c>
      <c r="N360">
        <v>85.969528198242188</v>
      </c>
      <c r="O360">
        <v>578.41253662109375</v>
      </c>
      <c r="P360" s="2">
        <f t="shared" si="15"/>
        <v>-2.4793620642476086</v>
      </c>
      <c r="Q360" s="2">
        <f t="shared" si="16"/>
        <v>-0.69533763832254369</v>
      </c>
    </row>
    <row r="361" spans="1:17" x14ac:dyDescent="0.3">
      <c r="A361" t="s">
        <v>382</v>
      </c>
      <c r="B361">
        <v>77.8</v>
      </c>
      <c r="C361">
        <v>130</v>
      </c>
      <c r="D361">
        <v>1.7940999999999999E-2</v>
      </c>
      <c r="E361">
        <v>27.71</v>
      </c>
      <c r="F361">
        <v>1</v>
      </c>
      <c r="G361">
        <v>7.76853337883949E-2</v>
      </c>
      <c r="H361">
        <v>552.68829180160105</v>
      </c>
      <c r="I361">
        <v>72.917427032399203</v>
      </c>
      <c r="K361">
        <v>8.3108410239219666E-2</v>
      </c>
      <c r="L361" s="2">
        <f t="shared" si="17"/>
        <v>6.9808240324956898</v>
      </c>
      <c r="N361">
        <v>75.315620422363281</v>
      </c>
      <c r="O361">
        <v>549.8310546875</v>
      </c>
      <c r="P361" s="2">
        <f t="shared" si="15"/>
        <v>3.2889166384031832</v>
      </c>
      <c r="Q361" s="2">
        <f t="shared" si="16"/>
        <v>-0.51697080551268815</v>
      </c>
    </row>
    <row r="362" spans="1:17" x14ac:dyDescent="0.3">
      <c r="A362" t="s">
        <v>383</v>
      </c>
      <c r="B362">
        <v>79</v>
      </c>
      <c r="C362">
        <v>130</v>
      </c>
      <c r="D362">
        <v>1.4947999999999999E-2</v>
      </c>
      <c r="E362">
        <v>21.18</v>
      </c>
      <c r="F362">
        <v>1</v>
      </c>
      <c r="G362">
        <v>6.7395344376563998E-2</v>
      </c>
      <c r="H362">
        <v>513.50829180160201</v>
      </c>
      <c r="I362">
        <v>78.061250969813102</v>
      </c>
      <c r="K362">
        <v>7.2904542088508606E-2</v>
      </c>
      <c r="L362" s="2">
        <f t="shared" si="17"/>
        <v>8.1744484918165536</v>
      </c>
      <c r="N362">
        <v>79.613754272460938</v>
      </c>
      <c r="O362">
        <v>507.84573364257813</v>
      </c>
      <c r="P362" s="2">
        <f t="shared" si="15"/>
        <v>1.9888270856025618</v>
      </c>
      <c r="Q362" s="2">
        <f t="shared" si="16"/>
        <v>-1.1027199072399132</v>
      </c>
    </row>
    <row r="363" spans="1:17" x14ac:dyDescent="0.3">
      <c r="A363" t="s">
        <v>384</v>
      </c>
      <c r="B363">
        <v>42.4</v>
      </c>
      <c r="C363">
        <v>130</v>
      </c>
      <c r="D363">
        <v>6.123E-3</v>
      </c>
      <c r="E363">
        <v>23.47</v>
      </c>
      <c r="F363">
        <v>1</v>
      </c>
      <c r="G363">
        <v>2.7174897491931901E-2</v>
      </c>
      <c r="H363">
        <v>527.24829180160202</v>
      </c>
      <c r="I363">
        <v>29.123033158141599</v>
      </c>
      <c r="K363">
        <v>2.7927711606025699E-2</v>
      </c>
      <c r="L363" s="2">
        <f t="shared" si="17"/>
        <v>2.7702555798685342</v>
      </c>
      <c r="N363">
        <v>33.033935546875</v>
      </c>
      <c r="O363">
        <v>519.10528564453125</v>
      </c>
      <c r="P363" s="2">
        <f t="shared" si="15"/>
        <v>13.428897901865946</v>
      </c>
      <c r="Q363" s="2">
        <f t="shared" si="16"/>
        <v>-1.5444348106365984</v>
      </c>
    </row>
    <row r="364" spans="1:17" x14ac:dyDescent="0.3">
      <c r="A364" t="s">
        <v>385</v>
      </c>
      <c r="B364">
        <v>42.1</v>
      </c>
      <c r="C364">
        <v>109.9</v>
      </c>
      <c r="D364">
        <v>6.2500000000000003E-3</v>
      </c>
      <c r="E364">
        <v>20</v>
      </c>
      <c r="F364">
        <v>1</v>
      </c>
      <c r="G364">
        <v>3.8664449006318997E-2</v>
      </c>
      <c r="H364">
        <v>497.71976633225898</v>
      </c>
      <c r="I364">
        <v>31.728774839603901</v>
      </c>
      <c r="K364">
        <v>3.9998527616262443E-2</v>
      </c>
      <c r="L364" s="2">
        <f t="shared" si="17"/>
        <v>3.4504011934203813</v>
      </c>
      <c r="N364">
        <v>34.143653869628913</v>
      </c>
      <c r="O364">
        <v>491.97268676757813</v>
      </c>
      <c r="P364" s="2">
        <f t="shared" si="15"/>
        <v>7.6110062308827553</v>
      </c>
      <c r="Q364" s="2">
        <f t="shared" si="16"/>
        <v>-1.1546818015751308</v>
      </c>
    </row>
    <row r="365" spans="1:17" x14ac:dyDescent="0.3">
      <c r="A365" t="s">
        <v>386</v>
      </c>
      <c r="B365">
        <v>57.3</v>
      </c>
      <c r="C365">
        <v>113.3</v>
      </c>
      <c r="D365">
        <v>1.3840999999999999E-2</v>
      </c>
      <c r="E365">
        <v>28.91</v>
      </c>
      <c r="F365">
        <v>1</v>
      </c>
      <c r="G365">
        <v>7.3833703994750893E-2</v>
      </c>
      <c r="H365">
        <v>552.09025613630195</v>
      </c>
      <c r="I365">
        <v>51.363898664065303</v>
      </c>
      <c r="K365">
        <v>7.296057790517807E-2</v>
      </c>
      <c r="L365" s="2">
        <f t="shared" si="17"/>
        <v>-1.1825576157399567</v>
      </c>
      <c r="N365">
        <v>51.761978149414063</v>
      </c>
      <c r="O365">
        <v>547.61248779296875</v>
      </c>
      <c r="P365" s="2">
        <f t="shared" si="15"/>
        <v>0.77501804906265781</v>
      </c>
      <c r="Q365" s="2">
        <f t="shared" si="16"/>
        <v>-0.81105730332391679</v>
      </c>
    </row>
    <row r="366" spans="1:17" x14ac:dyDescent="0.3">
      <c r="A366" t="s">
        <v>387</v>
      </c>
      <c r="B366">
        <v>61.7</v>
      </c>
      <c r="C366">
        <v>126.7</v>
      </c>
      <c r="D366">
        <v>1.3911E-2</v>
      </c>
      <c r="E366">
        <v>29.01</v>
      </c>
      <c r="F366">
        <v>1</v>
      </c>
      <c r="G366">
        <v>6.07650987803936E-2</v>
      </c>
      <c r="H366">
        <v>558.39397059512805</v>
      </c>
      <c r="I366">
        <v>54.207219046407999</v>
      </c>
      <c r="K366">
        <v>6.689087301492691E-2</v>
      </c>
      <c r="L366" s="2">
        <f t="shared" si="17"/>
        <v>10.081073440976361</v>
      </c>
      <c r="N366">
        <v>55.530105590820313</v>
      </c>
      <c r="O366">
        <v>554.72637939453125</v>
      </c>
      <c r="P366" s="2">
        <f t="shared" si="15"/>
        <v>2.4404250350488566</v>
      </c>
      <c r="Q366" s="2">
        <f t="shared" si="16"/>
        <v>-0.65681067377714308</v>
      </c>
    </row>
    <row r="367" spans="1:17" x14ac:dyDescent="0.3">
      <c r="A367" t="s">
        <v>388</v>
      </c>
      <c r="B367">
        <v>52.6</v>
      </c>
      <c r="C367">
        <v>110.1</v>
      </c>
      <c r="D367">
        <v>1.1429999999999999E-2</v>
      </c>
      <c r="E367">
        <v>26.36</v>
      </c>
      <c r="F367">
        <v>1</v>
      </c>
      <c r="G367">
        <v>6.7712135612964602E-2</v>
      </c>
      <c r="H367">
        <v>535.92843967725901</v>
      </c>
      <c r="I367">
        <v>45.533075286366497</v>
      </c>
      <c r="K367">
        <v>6.8491131067276001E-2</v>
      </c>
      <c r="L367" s="2">
        <f t="shared" si="17"/>
        <v>1.150451757664319</v>
      </c>
      <c r="N367">
        <v>46.892246246337891</v>
      </c>
      <c r="O367">
        <v>532.495361328125</v>
      </c>
      <c r="P367" s="2">
        <f t="shared" si="15"/>
        <v>2.9850190250126953</v>
      </c>
      <c r="Q367" s="2">
        <f t="shared" si="16"/>
        <v>-0.64058521529505663</v>
      </c>
    </row>
    <row r="368" spans="1:17" x14ac:dyDescent="0.3">
      <c r="A368" t="s">
        <v>389</v>
      </c>
      <c r="B368">
        <v>58.8</v>
      </c>
      <c r="C368">
        <v>108.7</v>
      </c>
      <c r="D368">
        <v>1.1034E-2</v>
      </c>
      <c r="E368">
        <v>20</v>
      </c>
      <c r="F368">
        <v>1</v>
      </c>
      <c r="G368">
        <v>7.1017555892467499E-2</v>
      </c>
      <c r="H368">
        <v>497.43997374844099</v>
      </c>
      <c r="I368">
        <v>55.755560271092897</v>
      </c>
      <c r="K368">
        <v>6.6350363194942474E-2</v>
      </c>
      <c r="L368" s="2">
        <f t="shared" si="17"/>
        <v>-6.5718858370625108</v>
      </c>
      <c r="N368">
        <v>54.567867279052727</v>
      </c>
      <c r="O368">
        <v>491.144287109375</v>
      </c>
      <c r="P368" s="2">
        <f t="shared" si="15"/>
        <v>-2.1301785620401024</v>
      </c>
      <c r="Q368" s="2">
        <f t="shared" si="16"/>
        <v>-1.2656173551202714</v>
      </c>
    </row>
    <row r="369" spans="1:17" x14ac:dyDescent="0.3">
      <c r="A369" t="s">
        <v>390</v>
      </c>
      <c r="B369">
        <v>61.3</v>
      </c>
      <c r="C369">
        <v>120</v>
      </c>
      <c r="D369">
        <v>1.3977E-2</v>
      </c>
      <c r="E369">
        <v>27.36</v>
      </c>
      <c r="F369">
        <v>1</v>
      </c>
      <c r="G369">
        <v>6.5958999097347204E-2</v>
      </c>
      <c r="H369">
        <v>545.16284876729401</v>
      </c>
      <c r="I369">
        <v>55.440372535719199</v>
      </c>
      <c r="K369">
        <v>6.8494513630867004E-2</v>
      </c>
      <c r="L369" s="2">
        <f t="shared" si="17"/>
        <v>3.8440767267824958</v>
      </c>
      <c r="N369">
        <v>56.410808563232422</v>
      </c>
      <c r="O369">
        <v>540.379150390625</v>
      </c>
      <c r="P369" s="2">
        <f t="shared" si="15"/>
        <v>1.7504139729363999</v>
      </c>
      <c r="Q369" s="2">
        <f t="shared" si="16"/>
        <v>-0.8774806257406873</v>
      </c>
    </row>
    <row r="370" spans="1:17" x14ac:dyDescent="0.3">
      <c r="A370" t="s">
        <v>391</v>
      </c>
      <c r="B370">
        <v>75.400000000000006</v>
      </c>
      <c r="C370">
        <v>108.5</v>
      </c>
      <c r="D370">
        <v>1.6383000000000002E-2</v>
      </c>
      <c r="E370">
        <v>21.03</v>
      </c>
      <c r="F370">
        <v>1</v>
      </c>
      <c r="G370">
        <v>0.10554065555334</v>
      </c>
      <c r="H370">
        <v>503.57535247708</v>
      </c>
      <c r="I370">
        <v>79.047983926583996</v>
      </c>
      <c r="K370">
        <v>0.1038780584931374</v>
      </c>
      <c r="L370" s="2">
        <f t="shared" si="17"/>
        <v>-1.575314319856884</v>
      </c>
      <c r="N370">
        <v>78.424400329589844</v>
      </c>
      <c r="O370">
        <v>499.80160522460938</v>
      </c>
      <c r="P370" s="2">
        <f t="shared" si="15"/>
        <v>-0.78886717411200091</v>
      </c>
      <c r="Q370" s="2">
        <f t="shared" si="16"/>
        <v>-0.7493907781442477</v>
      </c>
    </row>
    <row r="371" spans="1:17" x14ac:dyDescent="0.3">
      <c r="A371" t="s">
        <v>392</v>
      </c>
      <c r="B371">
        <v>80.7</v>
      </c>
      <c r="C371">
        <v>115.5</v>
      </c>
      <c r="D371">
        <v>2.3066E-2</v>
      </c>
      <c r="E371">
        <v>30.28</v>
      </c>
      <c r="F371">
        <v>1</v>
      </c>
      <c r="G371">
        <v>0.11608563363552001</v>
      </c>
      <c r="H371">
        <v>560.99905697260897</v>
      </c>
      <c r="I371">
        <v>82.552603013159796</v>
      </c>
      <c r="K371">
        <v>0.1101929843425751</v>
      </c>
      <c r="L371" s="2">
        <f t="shared" si="17"/>
        <v>-5.0761227797113602</v>
      </c>
      <c r="N371">
        <v>80.44573974609375</v>
      </c>
      <c r="O371">
        <v>558.90399169921875</v>
      </c>
      <c r="P371" s="2">
        <f t="shared" si="15"/>
        <v>-2.5521463771774577</v>
      </c>
      <c r="Q371" s="2">
        <f t="shared" si="16"/>
        <v>-0.37345254815508738</v>
      </c>
    </row>
    <row r="372" spans="1:17" x14ac:dyDescent="0.3">
      <c r="A372" t="s">
        <v>393</v>
      </c>
      <c r="B372">
        <v>84</v>
      </c>
      <c r="C372">
        <v>100</v>
      </c>
      <c r="D372">
        <v>2.9526E-2</v>
      </c>
      <c r="E372">
        <v>35</v>
      </c>
      <c r="F372">
        <v>1.44</v>
      </c>
      <c r="G372">
        <v>0.28277158737182601</v>
      </c>
      <c r="H372">
        <v>683.75043992428402</v>
      </c>
      <c r="I372">
        <v>102.233063314231</v>
      </c>
      <c r="K372">
        <v>9.8054498434066772E-2</v>
      </c>
      <c r="L372" s="2">
        <f t="shared" si="17"/>
        <v>-65.323779752620069</v>
      </c>
      <c r="N372">
        <v>86.937545776367188</v>
      </c>
      <c r="O372">
        <v>696.02508544921875</v>
      </c>
      <c r="P372" s="2">
        <f t="shared" si="15"/>
        <v>-14.96141956624189</v>
      </c>
      <c r="Q372" s="2">
        <f t="shared" si="16"/>
        <v>1.7951938029164523</v>
      </c>
    </row>
    <row r="373" spans="1:17" x14ac:dyDescent="0.3">
      <c r="A373" t="s">
        <v>394</v>
      </c>
      <c r="B373">
        <v>76.5</v>
      </c>
      <c r="C373">
        <v>127.6</v>
      </c>
      <c r="D373">
        <v>1.4071E-2</v>
      </c>
      <c r="E373">
        <v>20</v>
      </c>
      <c r="F373">
        <v>1</v>
      </c>
      <c r="G373">
        <v>6.4771108329296098E-2</v>
      </c>
      <c r="H373">
        <v>504.87155767604099</v>
      </c>
      <c r="I373">
        <v>76.327241541362298</v>
      </c>
      <c r="K373">
        <v>6.9880716502666473E-2</v>
      </c>
      <c r="L373" s="2">
        <f t="shared" si="17"/>
        <v>7.8887150539298236</v>
      </c>
      <c r="N373">
        <v>77.395713806152344</v>
      </c>
      <c r="O373">
        <v>499.17892456054688</v>
      </c>
      <c r="P373" s="2">
        <f t="shared" si="15"/>
        <v>1.3998570408325746</v>
      </c>
      <c r="Q373" s="2">
        <f t="shared" si="16"/>
        <v>-1.1275408624121561</v>
      </c>
    </row>
    <row r="374" spans="1:17" x14ac:dyDescent="0.3">
      <c r="A374" t="s">
        <v>395</v>
      </c>
      <c r="B374">
        <v>72.5</v>
      </c>
      <c r="C374">
        <v>104.7</v>
      </c>
      <c r="D374">
        <v>2.1464E-2</v>
      </c>
      <c r="E374">
        <v>30.87</v>
      </c>
      <c r="F374">
        <v>2</v>
      </c>
      <c r="G374">
        <v>0.15134672820567999</v>
      </c>
      <c r="H374">
        <v>759.497944744287</v>
      </c>
      <c r="I374">
        <v>92.544258877498294</v>
      </c>
      <c r="K374">
        <v>0.14965821802616119</v>
      </c>
      <c r="L374" s="2">
        <f t="shared" si="17"/>
        <v>-1.1156568757958942</v>
      </c>
      <c r="N374">
        <v>90.847625732421875</v>
      </c>
      <c r="O374">
        <v>754.67120361328125</v>
      </c>
      <c r="P374" s="2">
        <f t="shared" si="15"/>
        <v>-1.8333207976977457</v>
      </c>
      <c r="Q374" s="2">
        <f t="shared" si="16"/>
        <v>-0.63551733936960775</v>
      </c>
    </row>
    <row r="375" spans="1:17" x14ac:dyDescent="0.3">
      <c r="A375" t="s">
        <v>396</v>
      </c>
      <c r="B375">
        <v>73</v>
      </c>
      <c r="C375">
        <v>114.8</v>
      </c>
      <c r="D375">
        <v>1.9279999999999999E-2</v>
      </c>
      <c r="E375">
        <v>28.55</v>
      </c>
      <c r="F375">
        <v>1</v>
      </c>
      <c r="G375">
        <v>9.9399358034133897E-2</v>
      </c>
      <c r="H375">
        <v>550.39092520022905</v>
      </c>
      <c r="I375">
        <v>72.454075974916506</v>
      </c>
      <c r="K375">
        <v>9.535430371761322E-2</v>
      </c>
      <c r="L375" s="2">
        <f t="shared" si="17"/>
        <v>-4.0694974258602343</v>
      </c>
      <c r="N375">
        <v>70.180557250976563</v>
      </c>
      <c r="O375">
        <v>547.08538818359375</v>
      </c>
      <c r="P375" s="2">
        <f t="shared" si="15"/>
        <v>-3.1378755347415273</v>
      </c>
      <c r="Q375" s="2">
        <f t="shared" si="16"/>
        <v>-0.6005798542977</v>
      </c>
    </row>
    <row r="376" spans="1:17" x14ac:dyDescent="0.3">
      <c r="A376" t="s">
        <v>397</v>
      </c>
      <c r="B376">
        <v>76</v>
      </c>
      <c r="C376">
        <v>113.2</v>
      </c>
      <c r="D376">
        <v>1.7024000000000001E-2</v>
      </c>
      <c r="E376">
        <v>22.48</v>
      </c>
      <c r="F376">
        <v>1</v>
      </c>
      <c r="G376">
        <v>9.4374671578407204E-2</v>
      </c>
      <c r="H376">
        <v>513.48087545102396</v>
      </c>
      <c r="I376">
        <v>78.000480558841801</v>
      </c>
      <c r="K376">
        <v>9.3137897551059723E-2</v>
      </c>
      <c r="L376" s="2">
        <f t="shared" si="17"/>
        <v>-1.3104935960703823</v>
      </c>
      <c r="N376">
        <v>77.304100036621094</v>
      </c>
      <c r="O376">
        <v>510.7772216796875</v>
      </c>
      <c r="P376" s="2">
        <f t="shared" si="15"/>
        <v>-0.89279004081952218</v>
      </c>
      <c r="Q376" s="2">
        <f t="shared" si="16"/>
        <v>-0.52653446322838515</v>
      </c>
    </row>
    <row r="377" spans="1:17" x14ac:dyDescent="0.3">
      <c r="A377" t="s">
        <v>398</v>
      </c>
      <c r="B377">
        <v>44.9</v>
      </c>
      <c r="C377">
        <v>114.8</v>
      </c>
      <c r="D377">
        <v>6.8580000000000004E-3</v>
      </c>
      <c r="E377">
        <v>20</v>
      </c>
      <c r="F377">
        <v>1</v>
      </c>
      <c r="G377">
        <v>3.7290591746568597E-2</v>
      </c>
      <c r="H377">
        <v>499.09092520022801</v>
      </c>
      <c r="I377">
        <v>35.053799112592898</v>
      </c>
      <c r="K377">
        <v>3.7413731217384338E-2</v>
      </c>
      <c r="L377" s="2">
        <f t="shared" si="17"/>
        <v>0.33021592055340038</v>
      </c>
      <c r="N377">
        <v>37.253837585449219</v>
      </c>
      <c r="O377">
        <v>494.63311767578119</v>
      </c>
      <c r="P377" s="2">
        <f t="shared" si="15"/>
        <v>6.2761769866649564</v>
      </c>
      <c r="Q377" s="2">
        <f t="shared" si="16"/>
        <v>-0.89318544965697655</v>
      </c>
    </row>
    <row r="378" spans="1:17" x14ac:dyDescent="0.3">
      <c r="A378" t="s">
        <v>399</v>
      </c>
      <c r="B378">
        <v>75.7</v>
      </c>
      <c r="C378">
        <v>122.2</v>
      </c>
      <c r="D378">
        <v>1.9470000000000001E-2</v>
      </c>
      <c r="E378">
        <v>29.14</v>
      </c>
      <c r="F378">
        <v>1</v>
      </c>
      <c r="G378">
        <v>8.8432349264621707E-2</v>
      </c>
      <c r="H378">
        <v>556.81710697568803</v>
      </c>
      <c r="I378">
        <v>73.711514736141993</v>
      </c>
      <c r="K378">
        <v>8.9654766023159027E-2</v>
      </c>
      <c r="L378" s="2">
        <f t="shared" si="17"/>
        <v>1.3823185392026682</v>
      </c>
      <c r="N378">
        <v>73.119194030761719</v>
      </c>
      <c r="O378">
        <v>556.3502197265625</v>
      </c>
      <c r="P378" s="2">
        <f t="shared" si="15"/>
        <v>-0.80356604731370329</v>
      </c>
      <c r="Q378" s="2">
        <f t="shared" si="16"/>
        <v>-8.3849300475231203E-2</v>
      </c>
    </row>
    <row r="379" spans="1:17" x14ac:dyDescent="0.3">
      <c r="A379" t="s">
        <v>400</v>
      </c>
      <c r="B379">
        <v>66.2</v>
      </c>
      <c r="C379">
        <v>113.7</v>
      </c>
      <c r="D379">
        <v>1.3488E-2</v>
      </c>
      <c r="E379">
        <v>21.42</v>
      </c>
      <c r="F379">
        <v>1</v>
      </c>
      <c r="G379">
        <v>7.4436038732528603E-2</v>
      </c>
      <c r="H379">
        <v>507.269421318019</v>
      </c>
      <c r="I379">
        <v>64.835232195567599</v>
      </c>
      <c r="K379">
        <v>7.0361822843551636E-2</v>
      </c>
      <c r="L379" s="2">
        <f t="shared" si="17"/>
        <v>-5.47344533421085</v>
      </c>
      <c r="N379">
        <v>63.574462890625</v>
      </c>
      <c r="O379">
        <v>503.12078857421881</v>
      </c>
      <c r="P379" s="2">
        <f t="shared" si="15"/>
        <v>-1.9445743652766472</v>
      </c>
      <c r="Q379" s="2">
        <f t="shared" si="16"/>
        <v>-0.81783615756316552</v>
      </c>
    </row>
    <row r="380" spans="1:17" x14ac:dyDescent="0.3">
      <c r="A380" t="s">
        <v>401</v>
      </c>
      <c r="B380">
        <v>68.099999999999994</v>
      </c>
      <c r="C380">
        <v>130</v>
      </c>
      <c r="D380">
        <v>1.2161999999999999E-2</v>
      </c>
      <c r="E380">
        <v>21.12</v>
      </c>
      <c r="F380">
        <v>1</v>
      </c>
      <c r="G380">
        <v>5.48547282814979E-2</v>
      </c>
      <c r="H380">
        <v>513.148291801602</v>
      </c>
      <c r="I380">
        <v>63.637897507830097</v>
      </c>
      <c r="K380">
        <v>5.9207163751125343E-2</v>
      </c>
      <c r="L380" s="2">
        <f t="shared" si="17"/>
        <v>7.9344763997226604</v>
      </c>
      <c r="N380">
        <v>67.495277404785156</v>
      </c>
      <c r="O380">
        <v>506.92453002929688</v>
      </c>
      <c r="P380" s="2">
        <f t="shared" si="15"/>
        <v>6.0614508775693636</v>
      </c>
      <c r="Q380" s="2">
        <f t="shared" si="16"/>
        <v>-1.2128583241413986</v>
      </c>
    </row>
    <row r="381" spans="1:17" x14ac:dyDescent="0.3">
      <c r="A381" t="s">
        <v>402</v>
      </c>
      <c r="B381">
        <v>58.6</v>
      </c>
      <c r="C381">
        <v>115.2</v>
      </c>
      <c r="D381">
        <v>1.6572E-2</v>
      </c>
      <c r="E381">
        <v>35</v>
      </c>
      <c r="F381">
        <v>1</v>
      </c>
      <c r="G381">
        <v>8.2345649600028895E-2</v>
      </c>
      <c r="H381">
        <v>589.22023822087101</v>
      </c>
      <c r="I381">
        <v>51.645550763086803</v>
      </c>
      <c r="K381">
        <v>8.3698660135269165E-2</v>
      </c>
      <c r="L381" s="2">
        <f t="shared" si="17"/>
        <v>1.6430868440678326</v>
      </c>
      <c r="N381">
        <v>53.651840209960938</v>
      </c>
      <c r="O381">
        <v>587.24951171875</v>
      </c>
      <c r="P381" s="2">
        <f t="shared" si="15"/>
        <v>3.8847285336883508</v>
      </c>
      <c r="Q381" s="2">
        <f t="shared" si="16"/>
        <v>-0.33446347804881027</v>
      </c>
    </row>
    <row r="382" spans="1:17" x14ac:dyDescent="0.3">
      <c r="A382" t="s">
        <v>403</v>
      </c>
      <c r="B382">
        <v>46.2</v>
      </c>
      <c r="C382">
        <v>114.6</v>
      </c>
      <c r="D382">
        <v>1.1294999999999999E-2</v>
      </c>
      <c r="E382">
        <v>35</v>
      </c>
      <c r="F382">
        <v>1</v>
      </c>
      <c r="G382">
        <v>5.6893419474363299E-2</v>
      </c>
      <c r="H382">
        <v>589.02730548560203</v>
      </c>
      <c r="I382">
        <v>35.387259604487198</v>
      </c>
      <c r="K382">
        <v>5.430319532752037E-2</v>
      </c>
      <c r="L382" s="2">
        <f t="shared" si="17"/>
        <v>-4.5527658045059285</v>
      </c>
      <c r="N382">
        <v>36.178417205810547</v>
      </c>
      <c r="O382">
        <v>588.7877197265625</v>
      </c>
      <c r="P382" s="2">
        <f t="shared" si="15"/>
        <v>2.2357131073891567</v>
      </c>
      <c r="Q382" s="2">
        <f t="shared" si="16"/>
        <v>-4.067481368151691E-2</v>
      </c>
    </row>
    <row r="383" spans="1:17" x14ac:dyDescent="0.3">
      <c r="A383" t="s">
        <v>404</v>
      </c>
      <c r="B383">
        <v>41.3</v>
      </c>
      <c r="C383">
        <v>102.8</v>
      </c>
      <c r="D383">
        <v>6.9579999999999998E-3</v>
      </c>
      <c r="E383">
        <v>23.23</v>
      </c>
      <c r="F383">
        <v>1</v>
      </c>
      <c r="G383">
        <v>5.7464037090539898E-2</v>
      </c>
      <c r="H383">
        <v>515.73105115395697</v>
      </c>
      <c r="I383">
        <v>30.958920200759401</v>
      </c>
      <c r="K383">
        <v>5.8243479579687119E-2</v>
      </c>
      <c r="L383" s="2">
        <f t="shared" si="17"/>
        <v>1.3564005047524548</v>
      </c>
      <c r="N383">
        <v>32.603317260742188</v>
      </c>
      <c r="O383">
        <v>511.40267944335938</v>
      </c>
      <c r="P383" s="2">
        <f t="shared" si="15"/>
        <v>5.3115452648844341</v>
      </c>
      <c r="Q383" s="2">
        <f t="shared" si="16"/>
        <v>-0.8392691696404142</v>
      </c>
    </row>
    <row r="384" spans="1:17" x14ac:dyDescent="0.3">
      <c r="A384" t="s">
        <v>405</v>
      </c>
      <c r="B384">
        <v>47.6</v>
      </c>
      <c r="C384">
        <v>130</v>
      </c>
      <c r="D384">
        <v>8.2819999999999994E-3</v>
      </c>
      <c r="E384">
        <v>26.53</v>
      </c>
      <c r="F384">
        <v>1</v>
      </c>
      <c r="G384">
        <v>3.6091078072786303E-2</v>
      </c>
      <c r="H384">
        <v>545.60829180160204</v>
      </c>
      <c r="I384">
        <v>35.242855376858898</v>
      </c>
      <c r="K384">
        <v>3.9102479815483093E-2</v>
      </c>
      <c r="L384" s="2">
        <f t="shared" si="17"/>
        <v>8.3438952325657247</v>
      </c>
      <c r="N384">
        <v>38.577877044677727</v>
      </c>
      <c r="O384">
        <v>537.25628662109375</v>
      </c>
      <c r="P384" s="2">
        <f t="shared" si="15"/>
        <v>9.462972373142799</v>
      </c>
      <c r="Q384" s="2">
        <f t="shared" si="16"/>
        <v>-1.530769474365925</v>
      </c>
    </row>
    <row r="385" spans="1:17" x14ac:dyDescent="0.3">
      <c r="A385" t="s">
        <v>406</v>
      </c>
      <c r="B385">
        <v>77.900000000000006</v>
      </c>
      <c r="C385">
        <v>119.1</v>
      </c>
      <c r="D385">
        <v>1.8067E-2</v>
      </c>
      <c r="E385">
        <v>24.46</v>
      </c>
      <c r="F385">
        <v>1</v>
      </c>
      <c r="G385">
        <v>8.7897591292858096E-2</v>
      </c>
      <c r="H385">
        <v>527.39429822235104</v>
      </c>
      <c r="I385">
        <v>78.830712932650599</v>
      </c>
      <c r="K385">
        <v>8.7627515196800232E-2</v>
      </c>
      <c r="L385" s="2">
        <f t="shared" si="17"/>
        <v>-0.30726222651314961</v>
      </c>
      <c r="N385">
        <v>77.931388854980469</v>
      </c>
      <c r="O385">
        <v>525.40478515625</v>
      </c>
      <c r="P385" s="2">
        <f t="shared" si="15"/>
        <v>-1.1408295627599763</v>
      </c>
      <c r="Q385" s="2">
        <f t="shared" si="16"/>
        <v>-0.37723446628204826</v>
      </c>
    </row>
    <row r="386" spans="1:17" x14ac:dyDescent="0.3">
      <c r="A386" t="s">
        <v>407</v>
      </c>
      <c r="B386">
        <v>61.3</v>
      </c>
      <c r="C386">
        <v>120</v>
      </c>
      <c r="D386">
        <v>1.3346999999999999E-2</v>
      </c>
      <c r="E386">
        <v>25.81</v>
      </c>
      <c r="F386">
        <v>1.03</v>
      </c>
      <c r="G386">
        <v>6.35517537593841E-2</v>
      </c>
      <c r="H386">
        <v>540.92434096111106</v>
      </c>
      <c r="I386">
        <v>56.038345448779197</v>
      </c>
      <c r="K386">
        <v>6.5653637051582336E-2</v>
      </c>
      <c r="L386" s="2">
        <f t="shared" si="17"/>
        <v>3.307356867217643</v>
      </c>
      <c r="N386">
        <v>57.354633331298828</v>
      </c>
      <c r="O386">
        <v>535.37957763671875</v>
      </c>
      <c r="P386" s="2">
        <f t="shared" ref="P386:P417" si="18">(N386-I386)/I386*100</f>
        <v>2.3489056858803226</v>
      </c>
      <c r="Q386" s="2">
        <f t="shared" ref="Q386:Q417" si="19">(O386-H386)/H386*100</f>
        <v>-1.0250533955525842</v>
      </c>
    </row>
    <row r="387" spans="1:17" x14ac:dyDescent="0.3">
      <c r="A387" t="s">
        <v>408</v>
      </c>
      <c r="B387">
        <v>85.9</v>
      </c>
      <c r="C387">
        <v>118.4</v>
      </c>
      <c r="D387">
        <v>2.1752000000000001E-2</v>
      </c>
      <c r="E387">
        <v>26.09</v>
      </c>
      <c r="F387">
        <v>1</v>
      </c>
      <c r="G387">
        <v>0.10592910647392199</v>
      </c>
      <c r="H387">
        <v>536.899063826673</v>
      </c>
      <c r="I387">
        <v>89.838200324920393</v>
      </c>
      <c r="K387">
        <v>0.10383925586938859</v>
      </c>
      <c r="L387" s="2">
        <f t="shared" si="17"/>
        <v>-1.9728766475037591</v>
      </c>
      <c r="N387">
        <v>87.742393493652344</v>
      </c>
      <c r="O387">
        <v>534.99273681640625</v>
      </c>
      <c r="P387" s="2">
        <f t="shared" si="18"/>
        <v>-2.3328682271996599</v>
      </c>
      <c r="Q387" s="2">
        <f t="shared" si="19"/>
        <v>-0.35506245749055154</v>
      </c>
    </row>
    <row r="388" spans="1:17" x14ac:dyDescent="0.3">
      <c r="A388" t="s">
        <v>409</v>
      </c>
      <c r="B388">
        <v>86</v>
      </c>
      <c r="C388">
        <v>122</v>
      </c>
      <c r="D388">
        <v>2.4580000000000001E-2</v>
      </c>
      <c r="E388">
        <v>31.45</v>
      </c>
      <c r="F388">
        <v>1</v>
      </c>
      <c r="G388">
        <v>0.110687844455242</v>
      </c>
      <c r="H388">
        <v>570.58405190667702</v>
      </c>
      <c r="I388">
        <v>86.763290794446803</v>
      </c>
      <c r="K388">
        <v>0.1062182784080505</v>
      </c>
      <c r="L388" s="2">
        <f t="shared" si="17"/>
        <v>-4.0379917679206709</v>
      </c>
      <c r="N388">
        <v>84.892250061035156</v>
      </c>
      <c r="O388">
        <v>570.22845458984375</v>
      </c>
      <c r="P388" s="2">
        <f t="shared" si="18"/>
        <v>-2.1564888978731553</v>
      </c>
      <c r="Q388" s="2">
        <f t="shared" si="19"/>
        <v>-6.2321636162980046E-2</v>
      </c>
    </row>
    <row r="389" spans="1:17" x14ac:dyDescent="0.3">
      <c r="A389" t="s">
        <v>410</v>
      </c>
      <c r="B389">
        <v>85.9</v>
      </c>
      <c r="C389">
        <v>121.1</v>
      </c>
      <c r="D389">
        <v>2.2776000000000001E-2</v>
      </c>
      <c r="E389">
        <v>28.4</v>
      </c>
      <c r="F389">
        <v>1</v>
      </c>
      <c r="G389">
        <v>0.105264157056808</v>
      </c>
      <c r="H389">
        <v>551.87658613061797</v>
      </c>
      <c r="I389">
        <v>88.794922068533793</v>
      </c>
      <c r="K389">
        <v>0.1023674309253693</v>
      </c>
      <c r="L389" s="2">
        <f t="shared" si="17"/>
        <v>-2.7518637040672989</v>
      </c>
      <c r="N389">
        <v>85.970008850097656</v>
      </c>
      <c r="O389">
        <v>551.2423095703125</v>
      </c>
      <c r="P389" s="2">
        <f t="shared" si="18"/>
        <v>-3.1813905036774623</v>
      </c>
      <c r="Q389" s="2">
        <f t="shared" si="19"/>
        <v>-0.11493086973531171</v>
      </c>
    </row>
    <row r="390" spans="1:17" x14ac:dyDescent="0.3">
      <c r="A390" t="s">
        <v>411</v>
      </c>
      <c r="B390">
        <v>56.9</v>
      </c>
      <c r="C390">
        <v>130</v>
      </c>
      <c r="D390">
        <v>1.0736000000000001E-2</v>
      </c>
      <c r="E390">
        <v>25.48</v>
      </c>
      <c r="F390">
        <v>1</v>
      </c>
      <c r="G390">
        <v>4.7056321054697002E-2</v>
      </c>
      <c r="H390">
        <v>539.30829180160299</v>
      </c>
      <c r="I390">
        <v>47.584462044196798</v>
      </c>
      <c r="K390">
        <v>4.9975696951150887E-2</v>
      </c>
      <c r="L390" s="2">
        <f t="shared" si="17"/>
        <v>6.2040036939149603</v>
      </c>
      <c r="N390">
        <v>49.940784454345703</v>
      </c>
      <c r="O390">
        <v>533.1578369140625</v>
      </c>
      <c r="P390" s="2">
        <f t="shared" si="18"/>
        <v>4.951873592603266</v>
      </c>
      <c r="Q390" s="2">
        <f t="shared" si="19"/>
        <v>-1.1404339560577492</v>
      </c>
    </row>
    <row r="391" spans="1:17" x14ac:dyDescent="0.3">
      <c r="A391" t="s">
        <v>412</v>
      </c>
      <c r="B391">
        <v>86</v>
      </c>
      <c r="C391">
        <v>118.3</v>
      </c>
      <c r="D391">
        <v>2.3172999999999999E-2</v>
      </c>
      <c r="E391">
        <v>28.17</v>
      </c>
      <c r="F391">
        <v>1</v>
      </c>
      <c r="G391">
        <v>0.11177082359790801</v>
      </c>
      <c r="H391">
        <v>549.34054130509105</v>
      </c>
      <c r="I391">
        <v>89.273343213048307</v>
      </c>
      <c r="K391">
        <v>0.1078370362520218</v>
      </c>
      <c r="L391" s="2">
        <f t="shared" si="17"/>
        <v>-3.5195118182522105</v>
      </c>
      <c r="N391">
        <v>87.455337524414063</v>
      </c>
      <c r="O391">
        <v>548.14141845703125</v>
      </c>
      <c r="P391" s="2">
        <f t="shared" si="18"/>
        <v>-2.0364485334615789</v>
      </c>
      <c r="Q391" s="2">
        <f t="shared" si="19"/>
        <v>-0.21828406205210987</v>
      </c>
    </row>
    <row r="392" spans="1:17" x14ac:dyDescent="0.3">
      <c r="A392" t="s">
        <v>413</v>
      </c>
      <c r="B392">
        <v>84.9</v>
      </c>
      <c r="C392">
        <v>118.5</v>
      </c>
      <c r="D392">
        <v>2.7206000000000001E-2</v>
      </c>
      <c r="E392">
        <v>35</v>
      </c>
      <c r="F392">
        <v>1</v>
      </c>
      <c r="G392">
        <v>0.12672741711139601</v>
      </c>
      <c r="H392">
        <v>590.39778390802496</v>
      </c>
      <c r="I392">
        <v>86.749635016156006</v>
      </c>
      <c r="K392">
        <v>0.12179169058799739</v>
      </c>
      <c r="L392" s="2">
        <f t="shared" si="17"/>
        <v>-3.8947582424567306</v>
      </c>
      <c r="N392">
        <v>84.784126281738281</v>
      </c>
      <c r="O392">
        <v>589.134033203125</v>
      </c>
      <c r="P392" s="2">
        <f t="shared" si="18"/>
        <v>-2.265725652968654</v>
      </c>
      <c r="Q392" s="2">
        <f t="shared" si="19"/>
        <v>-0.21405071959024077</v>
      </c>
    </row>
    <row r="393" spans="1:17" x14ac:dyDescent="0.3">
      <c r="A393" t="s">
        <v>414</v>
      </c>
      <c r="B393">
        <v>68.8</v>
      </c>
      <c r="C393">
        <v>115.9</v>
      </c>
      <c r="D393">
        <v>1.3348E-2</v>
      </c>
      <c r="E393">
        <v>20</v>
      </c>
      <c r="F393">
        <v>1</v>
      </c>
      <c r="G393">
        <v>7.0949502289295197E-2</v>
      </c>
      <c r="H393">
        <v>499.45329331630398</v>
      </c>
      <c r="I393">
        <v>68.591899705903103</v>
      </c>
      <c r="K393">
        <v>6.7973226308822632E-2</v>
      </c>
      <c r="L393" s="2">
        <f t="shared" ref="L393:L417" si="20">(K393-G393)/G393*100</f>
        <v>-4.1949215772322939</v>
      </c>
      <c r="N393">
        <v>67.752494812011719</v>
      </c>
      <c r="O393">
        <v>495.40017700195313</v>
      </c>
      <c r="P393" s="2">
        <f t="shared" si="18"/>
        <v>-1.2237667967944381</v>
      </c>
      <c r="Q393" s="2">
        <f t="shared" si="19"/>
        <v>-0.8115105793854519</v>
      </c>
    </row>
    <row r="394" spans="1:17" x14ac:dyDescent="0.3">
      <c r="A394" t="s">
        <v>415</v>
      </c>
      <c r="B394">
        <v>56.7</v>
      </c>
      <c r="C394">
        <v>115.4</v>
      </c>
      <c r="D394">
        <v>1.3540999999999999E-2</v>
      </c>
      <c r="E394">
        <v>29.19</v>
      </c>
      <c r="F394">
        <v>1</v>
      </c>
      <c r="G394">
        <v>6.8667337298393194E-2</v>
      </c>
      <c r="H394">
        <v>554.42594146114004</v>
      </c>
      <c r="I394">
        <v>49.890944775336202</v>
      </c>
      <c r="K394">
        <v>6.7719340324401855E-2</v>
      </c>
      <c r="L394" s="2">
        <f t="shared" si="20"/>
        <v>-1.3805646342042182</v>
      </c>
      <c r="N394">
        <v>50.242134094238281</v>
      </c>
      <c r="O394">
        <v>550.2166748046875</v>
      </c>
      <c r="P394" s="2">
        <f t="shared" si="18"/>
        <v>0.70391394767832005</v>
      </c>
      <c r="Q394" s="2">
        <f t="shared" si="19"/>
        <v>-0.75921170740304744</v>
      </c>
    </row>
    <row r="395" spans="1:17" x14ac:dyDescent="0.3">
      <c r="A395" t="s">
        <v>416</v>
      </c>
      <c r="B395">
        <v>50.2</v>
      </c>
      <c r="C395">
        <v>130</v>
      </c>
      <c r="D395">
        <v>9.1819999999999992E-3</v>
      </c>
      <c r="E395">
        <v>26.98</v>
      </c>
      <c r="F395">
        <v>1</v>
      </c>
      <c r="G395">
        <v>3.9907991886138902E-2</v>
      </c>
      <c r="H395">
        <v>548.30829180160197</v>
      </c>
      <c r="I395">
        <v>38.488644391745503</v>
      </c>
      <c r="K395">
        <v>4.3311178684234619E-2</v>
      </c>
      <c r="L395" s="2">
        <f t="shared" si="20"/>
        <v>8.5275821640069367</v>
      </c>
      <c r="N395">
        <v>41.581138610839837</v>
      </c>
      <c r="O395">
        <v>540.48583984375</v>
      </c>
      <c r="P395" s="2">
        <f t="shared" si="18"/>
        <v>8.0348223949336308</v>
      </c>
      <c r="Q395" s="2">
        <f t="shared" si="19"/>
        <v>-1.4266521361822515</v>
      </c>
    </row>
    <row r="396" spans="1:17" x14ac:dyDescent="0.3">
      <c r="A396" t="s">
        <v>417</v>
      </c>
      <c r="B396">
        <v>53</v>
      </c>
      <c r="C396">
        <v>101.7</v>
      </c>
      <c r="D396">
        <v>1.2465E-2</v>
      </c>
      <c r="E396">
        <v>27.71</v>
      </c>
      <c r="F396">
        <v>1.03</v>
      </c>
      <c r="G396">
        <v>0.108835130929946</v>
      </c>
      <c r="H396">
        <v>547.81291734282297</v>
      </c>
      <c r="I396">
        <v>48.317137322791702</v>
      </c>
      <c r="K396">
        <v>0.1017827019095421</v>
      </c>
      <c r="L396" s="2">
        <f t="shared" si="20"/>
        <v>-6.4799196363748965</v>
      </c>
      <c r="N396">
        <v>48.359081268310547</v>
      </c>
      <c r="O396">
        <v>543.47711181640625</v>
      </c>
      <c r="P396" s="2">
        <f t="shared" si="18"/>
        <v>8.6809665975512748E-2</v>
      </c>
      <c r="Q396" s="2">
        <f t="shared" si="19"/>
        <v>-0.79147559123790445</v>
      </c>
    </row>
    <row r="397" spans="1:17" x14ac:dyDescent="0.3">
      <c r="A397" t="s">
        <v>418</v>
      </c>
      <c r="B397">
        <v>58.2</v>
      </c>
      <c r="C397">
        <v>101.7</v>
      </c>
      <c r="D397">
        <v>1.7537000000000001E-2</v>
      </c>
      <c r="E397">
        <v>35</v>
      </c>
      <c r="F397">
        <v>1.27</v>
      </c>
      <c r="G397">
        <v>0.14978823065757699</v>
      </c>
      <c r="H397">
        <v>646.20622529982802</v>
      </c>
      <c r="I397">
        <v>57.832736430953901</v>
      </c>
      <c r="K397">
        <v>0.13863492012023931</v>
      </c>
      <c r="L397" s="2">
        <f t="shared" si="20"/>
        <v>-7.4460526627320087</v>
      </c>
      <c r="N397">
        <v>55.419281005859382</v>
      </c>
      <c r="O397">
        <v>648.36480712890625</v>
      </c>
      <c r="P397" s="2">
        <f t="shared" si="18"/>
        <v>-4.1731648440601221</v>
      </c>
      <c r="Q397" s="2">
        <f t="shared" si="19"/>
        <v>0.33403915724839806</v>
      </c>
    </row>
    <row r="398" spans="1:17" x14ac:dyDescent="0.3">
      <c r="A398" t="s">
        <v>419</v>
      </c>
      <c r="B398">
        <v>45.6</v>
      </c>
      <c r="C398">
        <v>104.3</v>
      </c>
      <c r="D398">
        <v>1.1650000000000001E-2</v>
      </c>
      <c r="E398">
        <v>35</v>
      </c>
      <c r="F398">
        <v>1</v>
      </c>
      <c r="G398">
        <v>8.5521563887596103E-2</v>
      </c>
      <c r="H398">
        <v>586.58472903572795</v>
      </c>
      <c r="I398">
        <v>36.521536224906797</v>
      </c>
      <c r="K398">
        <v>7.8929446637630463E-2</v>
      </c>
      <c r="L398" s="2">
        <f t="shared" si="20"/>
        <v>-7.7081345923817342</v>
      </c>
      <c r="N398">
        <v>35.902912139892578</v>
      </c>
      <c r="O398">
        <v>586.3289794921875</v>
      </c>
      <c r="P398" s="2">
        <f t="shared" si="18"/>
        <v>-1.6938610720113463</v>
      </c>
      <c r="Q398" s="2">
        <f t="shared" si="19"/>
        <v>-4.3599761616853978E-2</v>
      </c>
    </row>
    <row r="399" spans="1:17" x14ac:dyDescent="0.3">
      <c r="A399" t="s">
        <v>420</v>
      </c>
      <c r="B399">
        <v>59.1</v>
      </c>
      <c r="C399">
        <v>125.4</v>
      </c>
      <c r="D399">
        <v>1.2690999999999999E-2</v>
      </c>
      <c r="E399">
        <v>27.56</v>
      </c>
      <c r="F399">
        <v>1</v>
      </c>
      <c r="G399">
        <v>5.6367125362157801E-2</v>
      </c>
      <c r="H399">
        <v>548.95848327560498</v>
      </c>
      <c r="I399">
        <v>51.193897056877098</v>
      </c>
      <c r="K399">
        <v>5.9736475348472602E-2</v>
      </c>
      <c r="L399" s="2">
        <f t="shared" si="20"/>
        <v>5.9775089906870118</v>
      </c>
      <c r="N399">
        <v>52.696739196777337</v>
      </c>
      <c r="O399">
        <v>544.5045166015625</v>
      </c>
      <c r="P399" s="2">
        <f t="shared" si="18"/>
        <v>2.9355884710838884</v>
      </c>
      <c r="Q399" s="2">
        <f t="shared" si="19"/>
        <v>-0.8113485463355814</v>
      </c>
    </row>
    <row r="400" spans="1:17" x14ac:dyDescent="0.3">
      <c r="A400" t="s">
        <v>421</v>
      </c>
      <c r="B400">
        <v>45.9</v>
      </c>
      <c r="C400">
        <v>117.8</v>
      </c>
      <c r="D400">
        <v>7.4159999999999998E-3</v>
      </c>
      <c r="E400">
        <v>21.6</v>
      </c>
      <c r="F400">
        <v>1</v>
      </c>
      <c r="G400">
        <v>3.75729911029338E-2</v>
      </c>
      <c r="H400">
        <v>509.73086458363503</v>
      </c>
      <c r="I400">
        <v>36.104301718127402</v>
      </c>
      <c r="K400">
        <v>3.7885792553424842E-2</v>
      </c>
      <c r="L400" s="2">
        <f t="shared" si="20"/>
        <v>0.83251676619010873</v>
      </c>
      <c r="N400">
        <v>37.937225341796882</v>
      </c>
      <c r="O400">
        <v>505.73135375976563</v>
      </c>
      <c r="P400" s="2">
        <f t="shared" si="18"/>
        <v>5.0767458071324434</v>
      </c>
      <c r="Q400" s="2">
        <f t="shared" si="19"/>
        <v>-0.78463187178911209</v>
      </c>
    </row>
    <row r="401" spans="1:17" x14ac:dyDescent="0.3">
      <c r="A401" t="s">
        <v>422</v>
      </c>
      <c r="B401">
        <v>66.900000000000006</v>
      </c>
      <c r="C401">
        <v>100</v>
      </c>
      <c r="D401">
        <v>1.5729E-2</v>
      </c>
      <c r="E401">
        <v>23.78</v>
      </c>
      <c r="F401">
        <v>1</v>
      </c>
      <c r="G401">
        <v>0.15589302778243999</v>
      </c>
      <c r="H401">
        <v>518.66898741352702</v>
      </c>
      <c r="I401">
        <v>69.759252124064602</v>
      </c>
      <c r="K401">
        <v>0.13014291226863861</v>
      </c>
      <c r="L401" s="2">
        <f t="shared" si="20"/>
        <v>-16.517810886152994</v>
      </c>
      <c r="N401">
        <v>67.731369018554688</v>
      </c>
      <c r="O401">
        <v>517.80615234375</v>
      </c>
      <c r="P401" s="2">
        <f t="shared" si="18"/>
        <v>-2.9069736898890333</v>
      </c>
      <c r="Q401" s="2">
        <f t="shared" si="19"/>
        <v>-0.16635563157145053</v>
      </c>
    </row>
    <row r="402" spans="1:17" x14ac:dyDescent="0.3">
      <c r="A402" t="s">
        <v>423</v>
      </c>
      <c r="B402">
        <v>44.2</v>
      </c>
      <c r="C402">
        <v>122.5</v>
      </c>
      <c r="D402">
        <v>6.3099999999999996E-3</v>
      </c>
      <c r="E402">
        <v>20</v>
      </c>
      <c r="F402">
        <v>1</v>
      </c>
      <c r="G402">
        <v>3.03230416029691E-2</v>
      </c>
      <c r="H402">
        <v>502.118435093269</v>
      </c>
      <c r="I402">
        <v>33.681069572323999</v>
      </c>
      <c r="K402">
        <v>2.9564350843429569E-2</v>
      </c>
      <c r="L402" s="2">
        <f t="shared" si="20"/>
        <v>-2.502027235504118</v>
      </c>
      <c r="N402">
        <v>35.517219543457031</v>
      </c>
      <c r="O402">
        <v>496.53067016601563</v>
      </c>
      <c r="P402" s="2">
        <f t="shared" si="18"/>
        <v>5.4515785705386604</v>
      </c>
      <c r="Q402" s="2">
        <f t="shared" si="19"/>
        <v>-1.1128380351570724</v>
      </c>
    </row>
    <row r="403" spans="1:17" x14ac:dyDescent="0.3">
      <c r="A403" t="s">
        <v>424</v>
      </c>
      <c r="B403">
        <v>71.900000000000006</v>
      </c>
      <c r="C403">
        <v>100</v>
      </c>
      <c r="D403">
        <v>2.3942999999999999E-2</v>
      </c>
      <c r="E403">
        <v>35</v>
      </c>
      <c r="F403">
        <v>1.17</v>
      </c>
      <c r="G403">
        <v>0.23277519643306699</v>
      </c>
      <c r="H403">
        <v>623.76045770177598</v>
      </c>
      <c r="I403">
        <v>77.822190763261204</v>
      </c>
      <c r="K403">
        <v>0.1090371385216713</v>
      </c>
      <c r="L403" s="2">
        <f t="shared" si="20"/>
        <v>-53.15775039931102</v>
      </c>
      <c r="N403">
        <v>68.0123291015625</v>
      </c>
      <c r="O403">
        <v>633.6304931640625</v>
      </c>
      <c r="P403" s="2">
        <f t="shared" si="18"/>
        <v>-12.60548124575517</v>
      </c>
      <c r="Q403" s="2">
        <f t="shared" si="19"/>
        <v>1.5823438854480021</v>
      </c>
    </row>
    <row r="404" spans="1:17" x14ac:dyDescent="0.3">
      <c r="A404" t="s">
        <v>425</v>
      </c>
      <c r="B404">
        <v>58.3</v>
      </c>
      <c r="C404">
        <v>130</v>
      </c>
      <c r="D404">
        <v>1.1017000000000001E-2</v>
      </c>
      <c r="E404">
        <v>25.11</v>
      </c>
      <c r="F404">
        <v>1</v>
      </c>
      <c r="G404">
        <v>4.8404164612293202E-2</v>
      </c>
      <c r="H404">
        <v>537.08829180160296</v>
      </c>
      <c r="I404">
        <v>49.064589898421097</v>
      </c>
      <c r="K404">
        <v>5.136658251285553E-2</v>
      </c>
      <c r="L404" s="2">
        <f t="shared" si="20"/>
        <v>6.1201715271622783</v>
      </c>
      <c r="N404">
        <v>52.066471099853523</v>
      </c>
      <c r="O404">
        <v>530.93353271484375</v>
      </c>
      <c r="P404" s="2">
        <f t="shared" si="18"/>
        <v>6.1182233615877557</v>
      </c>
      <c r="Q404" s="2">
        <f t="shared" si="19"/>
        <v>-1.1459492192826917</v>
      </c>
    </row>
    <row r="405" spans="1:17" x14ac:dyDescent="0.3">
      <c r="A405" t="s">
        <v>426</v>
      </c>
      <c r="B405">
        <v>69</v>
      </c>
      <c r="C405">
        <v>106</v>
      </c>
      <c r="D405">
        <v>1.9942999999999999E-2</v>
      </c>
      <c r="E405">
        <v>30.9</v>
      </c>
      <c r="F405">
        <v>1</v>
      </c>
      <c r="G405">
        <v>0.136033564805984</v>
      </c>
      <c r="H405">
        <v>562.28440907665697</v>
      </c>
      <c r="I405">
        <v>68.771305317174594</v>
      </c>
      <c r="K405">
        <v>0.1093707457184792</v>
      </c>
      <c r="L405" s="2">
        <f t="shared" si="20"/>
        <v>-19.600176710455454</v>
      </c>
      <c r="N405">
        <v>65.187294006347656</v>
      </c>
      <c r="O405">
        <v>560.271240234375</v>
      </c>
      <c r="P405" s="2">
        <f t="shared" si="18"/>
        <v>-5.2114923430599553</v>
      </c>
      <c r="Q405" s="2">
        <f t="shared" si="19"/>
        <v>-0.35803390771368743</v>
      </c>
    </row>
    <row r="406" spans="1:17" x14ac:dyDescent="0.3">
      <c r="A406" t="s">
        <v>427</v>
      </c>
      <c r="B406">
        <v>59.7</v>
      </c>
      <c r="C406">
        <v>116.1</v>
      </c>
      <c r="D406">
        <v>1.3537E-2</v>
      </c>
      <c r="E406">
        <v>26.63</v>
      </c>
      <c r="F406">
        <v>1</v>
      </c>
      <c r="G406">
        <v>6.8567439913749695E-2</v>
      </c>
      <c r="H406">
        <v>539.30148522849504</v>
      </c>
      <c r="I406">
        <v>54.880596159672798</v>
      </c>
      <c r="K406">
        <v>6.8611934781074524E-2</v>
      </c>
      <c r="L406" s="2">
        <f t="shared" si="20"/>
        <v>6.4892122822142337E-2</v>
      </c>
      <c r="N406">
        <v>54.720340728759773</v>
      </c>
      <c r="O406">
        <v>535.3385009765625</v>
      </c>
      <c r="P406" s="2">
        <f t="shared" si="18"/>
        <v>-0.29200745277396234</v>
      </c>
      <c r="Q406" s="2">
        <f t="shared" si="19"/>
        <v>-0.73483651732453037</v>
      </c>
    </row>
    <row r="407" spans="1:17" x14ac:dyDescent="0.3">
      <c r="A407" t="s">
        <v>428</v>
      </c>
      <c r="B407">
        <v>65.2</v>
      </c>
      <c r="C407">
        <v>120.5</v>
      </c>
      <c r="D407">
        <v>1.5468000000000001E-2</v>
      </c>
      <c r="E407">
        <v>27.86</v>
      </c>
      <c r="F407">
        <v>1</v>
      </c>
      <c r="G407">
        <v>7.2229176759719793E-2</v>
      </c>
      <c r="H407">
        <v>548.374945121927</v>
      </c>
      <c r="I407">
        <v>60.719173368733401</v>
      </c>
      <c r="K407">
        <v>7.740001380443573E-2</v>
      </c>
      <c r="L407" s="2">
        <f t="shared" si="20"/>
        <v>7.1589311642266544</v>
      </c>
      <c r="N407">
        <v>61.823295593261719</v>
      </c>
      <c r="O407">
        <v>543.359619140625</v>
      </c>
      <c r="P407" s="2">
        <f t="shared" si="18"/>
        <v>1.8184078657053528</v>
      </c>
      <c r="Q407" s="2">
        <f t="shared" si="19"/>
        <v>-0.91457970972522795</v>
      </c>
    </row>
    <row r="408" spans="1:17" x14ac:dyDescent="0.3">
      <c r="A408" t="s">
        <v>429</v>
      </c>
      <c r="B408">
        <v>87.5</v>
      </c>
      <c r="C408">
        <v>123.3</v>
      </c>
      <c r="D408">
        <v>2.1632999999999999E-2</v>
      </c>
      <c r="E408">
        <v>26.46</v>
      </c>
      <c r="F408">
        <v>1</v>
      </c>
      <c r="G408">
        <v>9.8558068275451605E-2</v>
      </c>
      <c r="H408">
        <v>541.26575540887404</v>
      </c>
      <c r="I408">
        <v>89.650107112604104</v>
      </c>
      <c r="K408">
        <v>9.7755730152130127E-2</v>
      </c>
      <c r="L408" s="2">
        <f t="shared" si="20"/>
        <v>-0.81407655137790513</v>
      </c>
      <c r="N408">
        <v>87.601997375488281</v>
      </c>
      <c r="O408">
        <v>539.822509765625</v>
      </c>
      <c r="P408" s="2">
        <f t="shared" si="18"/>
        <v>-2.2845591634857896</v>
      </c>
      <c r="Q408" s="2">
        <f t="shared" si="19"/>
        <v>-0.2666427034828408</v>
      </c>
    </row>
    <row r="409" spans="1:17" x14ac:dyDescent="0.3">
      <c r="A409" t="s">
        <v>430</v>
      </c>
      <c r="B409">
        <v>49.9</v>
      </c>
      <c r="C409">
        <v>130</v>
      </c>
      <c r="D409">
        <v>8.3470000000000003E-3</v>
      </c>
      <c r="E409">
        <v>24.14</v>
      </c>
      <c r="F409">
        <v>1</v>
      </c>
      <c r="G409">
        <v>3.6893051117658601E-2</v>
      </c>
      <c r="H409">
        <v>531.268291801602</v>
      </c>
      <c r="I409">
        <v>38.828384341899202</v>
      </c>
      <c r="K409">
        <v>3.8442008197307587E-2</v>
      </c>
      <c r="L409" s="2">
        <f t="shared" si="20"/>
        <v>4.1985063114164278</v>
      </c>
      <c r="N409">
        <v>41.809505462646477</v>
      </c>
      <c r="O409">
        <v>523.18267822265625</v>
      </c>
      <c r="P409" s="2">
        <f t="shared" si="18"/>
        <v>7.6776852070313577</v>
      </c>
      <c r="Q409" s="2">
        <f t="shared" si="19"/>
        <v>-1.5219454470972387</v>
      </c>
    </row>
    <row r="410" spans="1:17" x14ac:dyDescent="0.3">
      <c r="A410" t="s">
        <v>431</v>
      </c>
      <c r="B410">
        <v>72</v>
      </c>
      <c r="C410">
        <v>130</v>
      </c>
      <c r="D410">
        <v>1.9451E-2</v>
      </c>
      <c r="E410">
        <v>35</v>
      </c>
      <c r="F410">
        <v>1.34</v>
      </c>
      <c r="G410">
        <v>8.1725157797336495E-2</v>
      </c>
      <c r="H410">
        <v>673.15435354207796</v>
      </c>
      <c r="I410">
        <v>69.453940838949094</v>
      </c>
      <c r="K410">
        <v>8.5532873868942261E-2</v>
      </c>
      <c r="L410" s="2">
        <f t="shared" si="20"/>
        <v>4.6591724925734717</v>
      </c>
      <c r="N410">
        <v>70.656471252441406</v>
      </c>
      <c r="O410">
        <v>655.7977294921875</v>
      </c>
      <c r="P410" s="2">
        <f t="shared" si="18"/>
        <v>1.7314070288405357</v>
      </c>
      <c r="Q410" s="2">
        <f t="shared" si="19"/>
        <v>-2.5784018120898207</v>
      </c>
    </row>
    <row r="411" spans="1:17" x14ac:dyDescent="0.3">
      <c r="A411" t="s">
        <v>432</v>
      </c>
      <c r="B411">
        <v>55.8</v>
      </c>
      <c r="C411">
        <v>105.4</v>
      </c>
      <c r="D411">
        <v>1.2807000000000001E-2</v>
      </c>
      <c r="E411">
        <v>26.32</v>
      </c>
      <c r="F411">
        <v>1</v>
      </c>
      <c r="G411">
        <v>9.1316588222980499E-2</v>
      </c>
      <c r="H411">
        <v>534.69433222676503</v>
      </c>
      <c r="I411">
        <v>51.120642789875099</v>
      </c>
      <c r="K411">
        <v>8.6123026907444E-2</v>
      </c>
      <c r="L411" s="2">
        <f t="shared" si="20"/>
        <v>-5.6874237382310575</v>
      </c>
      <c r="N411">
        <v>50.632247924804688</v>
      </c>
      <c r="O411">
        <v>529.63323974609375</v>
      </c>
      <c r="P411" s="2">
        <f t="shared" si="18"/>
        <v>-0.9553770031372576</v>
      </c>
      <c r="Q411" s="2">
        <f t="shared" si="19"/>
        <v>-0.94653939187910774</v>
      </c>
    </row>
    <row r="412" spans="1:17" x14ac:dyDescent="0.3">
      <c r="A412" t="s">
        <v>433</v>
      </c>
      <c r="B412">
        <v>40.299999999999997</v>
      </c>
      <c r="C412">
        <v>108.5</v>
      </c>
      <c r="D412">
        <v>9.0699999999999999E-3</v>
      </c>
      <c r="E412">
        <v>35</v>
      </c>
      <c r="F412">
        <v>1</v>
      </c>
      <c r="G412">
        <v>5.4932240396737997E-2</v>
      </c>
      <c r="H412">
        <v>587.39535247708</v>
      </c>
      <c r="I412">
        <v>27.987550237896301</v>
      </c>
      <c r="K412">
        <v>5.5294811725616462E-2</v>
      </c>
      <c r="L412" s="2">
        <f t="shared" si="20"/>
        <v>0.66003375478564219</v>
      </c>
      <c r="N412">
        <v>28.754011154174801</v>
      </c>
      <c r="O412">
        <v>586.880615234375</v>
      </c>
      <c r="P412" s="2">
        <f t="shared" si="18"/>
        <v>2.738578081195119</v>
      </c>
      <c r="Q412" s="2">
        <f t="shared" si="19"/>
        <v>-8.7630458861194471E-2</v>
      </c>
    </row>
    <row r="413" spans="1:17" x14ac:dyDescent="0.3">
      <c r="A413" t="s">
        <v>434</v>
      </c>
      <c r="B413">
        <v>42.9</v>
      </c>
      <c r="C413">
        <v>109.7</v>
      </c>
      <c r="D413">
        <v>6.4819999999999999E-3</v>
      </c>
      <c r="E413">
        <v>20</v>
      </c>
      <c r="F413">
        <v>1</v>
      </c>
      <c r="G413">
        <v>4.0358208119869197E-2</v>
      </c>
      <c r="H413">
        <v>497.67168175847002</v>
      </c>
      <c r="I413">
        <v>32.546098277326699</v>
      </c>
      <c r="K413">
        <v>4.1274089366197593E-2</v>
      </c>
      <c r="L413" s="2">
        <f t="shared" si="20"/>
        <v>2.2693803540734701</v>
      </c>
      <c r="N413">
        <v>35.143508911132813</v>
      </c>
      <c r="O413">
        <v>492.276611328125</v>
      </c>
      <c r="P413" s="2">
        <f t="shared" si="18"/>
        <v>7.9807128082557428</v>
      </c>
      <c r="Q413" s="2">
        <f t="shared" si="19"/>
        <v>-1.0840621695174832</v>
      </c>
    </row>
    <row r="414" spans="1:17" x14ac:dyDescent="0.3">
      <c r="A414" t="s">
        <v>435</v>
      </c>
      <c r="B414">
        <v>71.3</v>
      </c>
      <c r="C414">
        <v>107.2</v>
      </c>
      <c r="D414">
        <v>1.7229999999999999E-2</v>
      </c>
      <c r="E414">
        <v>24.56</v>
      </c>
      <c r="F414">
        <v>1</v>
      </c>
      <c r="G414">
        <v>0.114413060247898</v>
      </c>
      <c r="H414">
        <v>524.47897998859798</v>
      </c>
      <c r="I414">
        <v>72.978496980634105</v>
      </c>
      <c r="K414">
        <v>0.10414484888315199</v>
      </c>
      <c r="L414" s="2">
        <f t="shared" si="20"/>
        <v>-8.9746846579384787</v>
      </c>
      <c r="N414">
        <v>69.97076416015625</v>
      </c>
      <c r="O414">
        <v>520.06591796875</v>
      </c>
      <c r="P414" s="2">
        <f t="shared" si="18"/>
        <v>-4.121395952119979</v>
      </c>
      <c r="Q414" s="2">
        <f t="shared" si="19"/>
        <v>-0.84141828142358033</v>
      </c>
    </row>
    <row r="415" spans="1:17" x14ac:dyDescent="0.3">
      <c r="A415" t="s">
        <v>436</v>
      </c>
      <c r="B415">
        <v>66.5</v>
      </c>
      <c r="C415">
        <v>111.6</v>
      </c>
      <c r="D415">
        <v>1.7611999999999999E-2</v>
      </c>
      <c r="E415">
        <v>29.28</v>
      </c>
      <c r="F415">
        <v>1</v>
      </c>
      <c r="G415">
        <v>9.8243020474910694E-2</v>
      </c>
      <c r="H415">
        <v>553.83261243844095</v>
      </c>
      <c r="I415">
        <v>64.156069812690205</v>
      </c>
      <c r="K415">
        <v>9.2036418616771698E-2</v>
      </c>
      <c r="L415" s="2">
        <f t="shared" si="20"/>
        <v>-6.3176008108627304</v>
      </c>
      <c r="N415">
        <v>63.466461181640618</v>
      </c>
      <c r="O415">
        <v>549.6002197265625</v>
      </c>
      <c r="P415" s="2">
        <f t="shared" si="18"/>
        <v>-1.0748922636049338</v>
      </c>
      <c r="Q415" s="2">
        <f t="shared" si="19"/>
        <v>-0.76420070194925216</v>
      </c>
    </row>
    <row r="416" spans="1:17" x14ac:dyDescent="0.3">
      <c r="A416" t="s">
        <v>437</v>
      </c>
      <c r="B416">
        <v>59</v>
      </c>
      <c r="C416">
        <v>100.2</v>
      </c>
      <c r="D416">
        <v>1.3793E-2</v>
      </c>
      <c r="E416">
        <v>25.42</v>
      </c>
      <c r="F416">
        <v>1</v>
      </c>
      <c r="G416">
        <v>0.134513974189758</v>
      </c>
      <c r="H416">
        <v>528.53172393158195</v>
      </c>
      <c r="I416">
        <v>57.573382591603497</v>
      </c>
      <c r="K416">
        <v>0.1141979321837425</v>
      </c>
      <c r="L416" s="2">
        <f t="shared" si="20"/>
        <v>-15.103294753120439</v>
      </c>
      <c r="N416">
        <v>55.594833374023438</v>
      </c>
      <c r="O416">
        <v>525.68890380859375</v>
      </c>
      <c r="P416" s="2">
        <f t="shared" si="18"/>
        <v>-3.4365693459682385</v>
      </c>
      <c r="Q416" s="2">
        <f t="shared" si="19"/>
        <v>-0.53787123729136865</v>
      </c>
    </row>
    <row r="417" spans="1:19" x14ac:dyDescent="0.3">
      <c r="A417" t="s">
        <v>438</v>
      </c>
      <c r="B417">
        <v>70.900000000000006</v>
      </c>
      <c r="C417">
        <v>108</v>
      </c>
      <c r="D417">
        <v>2.2075999999999998E-2</v>
      </c>
      <c r="E417">
        <v>33.69</v>
      </c>
      <c r="F417">
        <v>1</v>
      </c>
      <c r="G417">
        <v>0.13689646124839699</v>
      </c>
      <c r="H417">
        <v>579.42626945821996</v>
      </c>
      <c r="I417">
        <v>70.714017161090098</v>
      </c>
      <c r="K417">
        <v>0.1156139522790909</v>
      </c>
      <c r="L417" s="2">
        <f t="shared" si="20"/>
        <v>-15.546427405957003</v>
      </c>
      <c r="N417">
        <v>68.293479919433594</v>
      </c>
      <c r="O417">
        <v>578.9649658203125</v>
      </c>
      <c r="P417" s="2">
        <f t="shared" si="18"/>
        <v>-3.4229949574811993</v>
      </c>
      <c r="Q417" s="2">
        <f t="shared" si="19"/>
        <v>-7.9613863268366294E-2</v>
      </c>
    </row>
    <row r="418" spans="1:19" x14ac:dyDescent="0.3">
      <c r="L418" s="2"/>
      <c r="P418" s="2"/>
      <c r="Q418" s="2"/>
    </row>
    <row r="420" spans="1:19" x14ac:dyDescent="0.3">
      <c r="L420" s="2">
        <f>MIN(L8:L257)</f>
        <v>-66.05082074818057</v>
      </c>
      <c r="P420" s="2">
        <f>MIN(P8:P257)</f>
        <v>-15.029913840360187</v>
      </c>
      <c r="Q420" s="2">
        <f>MIN(Q8:Q257)</f>
        <v>-1.6500498153083343</v>
      </c>
      <c r="S420" t="s">
        <v>221</v>
      </c>
    </row>
    <row r="421" spans="1:19" x14ac:dyDescent="0.3">
      <c r="L421" s="2">
        <f>MAX(L8:L257)</f>
        <v>15.543205210196872</v>
      </c>
      <c r="P421" s="2">
        <f>MAX(P8:P257)</f>
        <v>13.669353115814737</v>
      </c>
      <c r="Q421" s="2">
        <f>MAX(Q8:Q257)</f>
        <v>2.1681621518513623</v>
      </c>
      <c r="S421" t="s">
        <v>222</v>
      </c>
    </row>
    <row r="422" spans="1:19" x14ac:dyDescent="0.3">
      <c r="L422" s="2" cm="1">
        <f t="array" ref="L422">AVERAGE(ABS(L8:L257))</f>
        <v>8.1982470376822896</v>
      </c>
      <c r="P422" s="2" cm="1">
        <f t="array" ref="P422">AVERAGE(ABS(P8:P257))</f>
        <v>3.6808391162410983</v>
      </c>
      <c r="Q422" s="2" cm="1">
        <f t="array" ref="Q422">AVERAGE(ABS(Q8:Q257))</f>
        <v>0.72686491711811652</v>
      </c>
      <c r="S422" t="s">
        <v>223</v>
      </c>
    </row>
  </sheetData>
  <mergeCells count="6">
    <mergeCell ref="P4:P7"/>
    <mergeCell ref="Q4:Q7"/>
    <mergeCell ref="K4:K7"/>
    <mergeCell ref="L4:L7"/>
    <mergeCell ref="N4:N7"/>
    <mergeCell ref="O4:O7"/>
  </mergeCells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E2B13623D744FB2C18A418704D37B" ma:contentTypeVersion="3" ma:contentTypeDescription="Create a new document." ma:contentTypeScope="" ma:versionID="80cde4d9804c78675fc445c67d3090c8">
  <xsd:schema xmlns:xsd="http://www.w3.org/2001/XMLSchema" xmlns:xs="http://www.w3.org/2001/XMLSchema" xmlns:p="http://schemas.microsoft.com/office/2006/metadata/properties" xmlns:ns2="116f2a2b-4914-4672-9ef3-ee7e5f5c2150" targetNamespace="http://schemas.microsoft.com/office/2006/metadata/properties" ma:root="true" ma:fieldsID="132925e758d6b2a764f07c223b5d5857" ns2:_="">
    <xsd:import namespace="116f2a2b-4914-4672-9ef3-ee7e5f5c2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f2a2b-4914-4672-9ef3-ee7e5f5c2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5AF754-7E35-41C0-B99D-D383E95D35E2}"/>
</file>

<file path=customXml/itemProps2.xml><?xml version="1.0" encoding="utf-8"?>
<ds:datastoreItem xmlns:ds="http://schemas.openxmlformats.org/officeDocument/2006/customXml" ds:itemID="{0909B3FD-DED3-4ABC-A8A3-83A686A8EBB1}"/>
</file>

<file path=customXml/itemProps3.xml><?xml version="1.0" encoding="utf-8"?>
<ds:datastoreItem xmlns:ds="http://schemas.openxmlformats.org/officeDocument/2006/customXml" ds:itemID="{41D1B160-D8E9-483E-B757-F7927A5698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</dc:creator>
  <cp:lastModifiedBy>Radu Stefan Chiorean</cp:lastModifiedBy>
  <dcterms:created xsi:type="dcterms:W3CDTF">2025-11-08T20:48:59Z</dcterms:created>
  <dcterms:modified xsi:type="dcterms:W3CDTF">2026-05-24T14:20:30Z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2025-11-08T20:59:09Z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b7ef1366-deed-434e-a4a1-16787cfe8120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0x010100826E2B13623D744FB2C18A418704D37B</vt:lpwstr>
  </property>
</Properties>
</file>