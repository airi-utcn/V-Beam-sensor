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dor\Desktop\facultate\AIRI_V-Beam-Sensor\Data\FEA_results\"/>
    </mc:Choice>
  </mc:AlternateContent>
  <xr:revisionPtr revIDLastSave="0" documentId="13_ncr:1_{774C4AE0-B855-450A-BC72-411EA5165C00}" xr6:coauthVersionLast="47" xr6:coauthVersionMax="47" xr10:uidLastSave="{00000000-0000-0000-0000-000000000000}"/>
  <bookViews>
    <workbookView xWindow="-98" yWindow="-98" windowWidth="19396" windowHeight="11475" xr2:uid="{F7D0C80D-C0C8-44C2-96E5-EF0F645C93F3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78" i="1" l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P258" i="1"/>
  <c r="Q258" i="1"/>
  <c r="P259" i="1"/>
  <c r="Q259" i="1"/>
  <c r="P260" i="1"/>
  <c r="Q260" i="1"/>
  <c r="P261" i="1"/>
  <c r="Q261" i="1"/>
  <c r="P262" i="1"/>
  <c r="Q262" i="1"/>
  <c r="P263" i="1"/>
  <c r="Q263" i="1"/>
  <c r="P264" i="1"/>
  <c r="Q264" i="1"/>
  <c r="P265" i="1"/>
  <c r="Q265" i="1"/>
  <c r="P266" i="1"/>
  <c r="Q266" i="1"/>
  <c r="P267" i="1"/>
  <c r="Q267" i="1"/>
  <c r="P268" i="1"/>
  <c r="Q268" i="1"/>
  <c r="P269" i="1"/>
  <c r="Q269" i="1"/>
  <c r="P270" i="1"/>
  <c r="Q270" i="1"/>
  <c r="P271" i="1"/>
  <c r="Q271" i="1"/>
  <c r="P272" i="1"/>
  <c r="Q272" i="1"/>
  <c r="P273" i="1"/>
  <c r="Q273" i="1"/>
  <c r="P274" i="1"/>
  <c r="Q274" i="1"/>
  <c r="P275" i="1"/>
  <c r="Q275" i="1"/>
  <c r="P276" i="1"/>
  <c r="Q276" i="1"/>
  <c r="P277" i="1"/>
  <c r="Q277" i="1"/>
  <c r="P278" i="1"/>
  <c r="Q278" i="1"/>
  <c r="P279" i="1"/>
  <c r="Q279" i="1"/>
  <c r="P280" i="1"/>
  <c r="Q280" i="1"/>
  <c r="P281" i="1"/>
  <c r="Q281" i="1"/>
  <c r="P282" i="1"/>
  <c r="Q282" i="1"/>
  <c r="P283" i="1"/>
  <c r="Q283" i="1"/>
  <c r="P284" i="1"/>
  <c r="Q284" i="1"/>
  <c r="P285" i="1"/>
  <c r="Q285" i="1"/>
  <c r="P286" i="1"/>
  <c r="Q286" i="1"/>
  <c r="P287" i="1"/>
  <c r="Q287" i="1"/>
  <c r="P288" i="1"/>
  <c r="Q288" i="1"/>
  <c r="P289" i="1"/>
  <c r="Q289" i="1"/>
  <c r="P290" i="1"/>
  <c r="Q290" i="1"/>
  <c r="P291" i="1"/>
  <c r="Q291" i="1"/>
  <c r="P292" i="1"/>
  <c r="Q292" i="1"/>
  <c r="P293" i="1"/>
  <c r="Q293" i="1"/>
  <c r="P294" i="1"/>
  <c r="Q294" i="1"/>
  <c r="P295" i="1"/>
  <c r="Q295" i="1"/>
  <c r="P296" i="1"/>
  <c r="Q296" i="1"/>
  <c r="P297" i="1"/>
  <c r="Q297" i="1"/>
  <c r="P298" i="1"/>
  <c r="Q298" i="1"/>
  <c r="P299" i="1"/>
  <c r="Q299" i="1"/>
  <c r="P300" i="1"/>
  <c r="Q300" i="1"/>
  <c r="P301" i="1"/>
  <c r="Q301" i="1"/>
  <c r="P302" i="1"/>
  <c r="Q302" i="1"/>
  <c r="P303" i="1"/>
  <c r="Q303" i="1"/>
  <c r="P304" i="1"/>
  <c r="Q304" i="1"/>
  <c r="P305" i="1"/>
  <c r="Q305" i="1"/>
  <c r="P306" i="1"/>
  <c r="Q306" i="1"/>
  <c r="P307" i="1"/>
  <c r="Q307" i="1"/>
  <c r="P308" i="1"/>
  <c r="Q308" i="1"/>
  <c r="P309" i="1"/>
  <c r="Q309" i="1"/>
  <c r="P310" i="1"/>
  <c r="Q310" i="1"/>
  <c r="P311" i="1"/>
  <c r="Q311" i="1"/>
  <c r="P312" i="1"/>
  <c r="Q312" i="1"/>
  <c r="P313" i="1"/>
  <c r="Q313" i="1"/>
  <c r="P314" i="1"/>
  <c r="Q314" i="1"/>
  <c r="P315" i="1"/>
  <c r="Q315" i="1"/>
  <c r="P316" i="1"/>
  <c r="Q316" i="1"/>
  <c r="P317" i="1"/>
  <c r="Q317" i="1"/>
  <c r="P318" i="1"/>
  <c r="Q318" i="1"/>
  <c r="P319" i="1"/>
  <c r="Q319" i="1"/>
  <c r="P320" i="1"/>
  <c r="Q320" i="1"/>
  <c r="P321" i="1"/>
  <c r="Q321" i="1"/>
  <c r="P322" i="1"/>
  <c r="Q322" i="1"/>
  <c r="P323" i="1"/>
  <c r="Q323" i="1"/>
  <c r="P324" i="1"/>
  <c r="Q324" i="1"/>
  <c r="P325" i="1"/>
  <c r="Q325" i="1"/>
  <c r="P326" i="1"/>
  <c r="Q326" i="1"/>
  <c r="P327" i="1"/>
  <c r="Q327" i="1"/>
  <c r="P328" i="1"/>
  <c r="Q328" i="1"/>
  <c r="P329" i="1"/>
  <c r="Q329" i="1"/>
  <c r="P330" i="1"/>
  <c r="Q330" i="1"/>
  <c r="P331" i="1"/>
  <c r="Q331" i="1"/>
  <c r="P332" i="1"/>
  <c r="Q332" i="1"/>
  <c r="P333" i="1"/>
  <c r="Q333" i="1"/>
  <c r="P334" i="1"/>
  <c r="Q334" i="1"/>
  <c r="P335" i="1"/>
  <c r="Q335" i="1"/>
  <c r="P336" i="1"/>
  <c r="Q336" i="1"/>
  <c r="P337" i="1"/>
  <c r="Q337" i="1"/>
  <c r="P338" i="1"/>
  <c r="Q338" i="1"/>
  <c r="P339" i="1"/>
  <c r="Q339" i="1"/>
  <c r="P340" i="1"/>
  <c r="Q340" i="1"/>
  <c r="P341" i="1"/>
  <c r="Q341" i="1"/>
  <c r="P342" i="1"/>
  <c r="Q342" i="1"/>
  <c r="P343" i="1"/>
  <c r="Q343" i="1"/>
  <c r="P344" i="1"/>
  <c r="Q344" i="1"/>
  <c r="P345" i="1"/>
  <c r="Q345" i="1"/>
  <c r="P346" i="1"/>
  <c r="Q346" i="1"/>
  <c r="P347" i="1"/>
  <c r="Q347" i="1"/>
  <c r="P348" i="1"/>
  <c r="Q348" i="1"/>
  <c r="P349" i="1"/>
  <c r="Q349" i="1"/>
  <c r="P350" i="1"/>
  <c r="Q350" i="1"/>
  <c r="P351" i="1"/>
  <c r="Q351" i="1"/>
  <c r="P352" i="1"/>
  <c r="Q352" i="1"/>
  <c r="P353" i="1"/>
  <c r="Q353" i="1"/>
  <c r="P354" i="1"/>
  <c r="Q354" i="1"/>
  <c r="P355" i="1"/>
  <c r="Q355" i="1"/>
  <c r="P356" i="1"/>
  <c r="Q356" i="1"/>
  <c r="P357" i="1"/>
  <c r="Q357" i="1"/>
  <c r="P358" i="1"/>
  <c r="Q358" i="1"/>
  <c r="P359" i="1"/>
  <c r="Q359" i="1"/>
  <c r="P360" i="1"/>
  <c r="Q360" i="1"/>
  <c r="P361" i="1"/>
  <c r="Q361" i="1"/>
  <c r="P362" i="1"/>
  <c r="Q362" i="1"/>
  <c r="P363" i="1"/>
  <c r="Q363" i="1"/>
  <c r="P364" i="1"/>
  <c r="Q364" i="1"/>
  <c r="P365" i="1"/>
  <c r="Q365" i="1"/>
  <c r="P366" i="1"/>
  <c r="Q366" i="1"/>
  <c r="P367" i="1"/>
  <c r="Q367" i="1"/>
  <c r="P368" i="1"/>
  <c r="Q368" i="1"/>
  <c r="P369" i="1"/>
  <c r="Q369" i="1"/>
  <c r="P370" i="1"/>
  <c r="Q370" i="1"/>
  <c r="P371" i="1"/>
  <c r="Q371" i="1"/>
  <c r="P372" i="1"/>
  <c r="Q372" i="1"/>
  <c r="P373" i="1"/>
  <c r="Q373" i="1"/>
  <c r="P374" i="1"/>
  <c r="Q374" i="1"/>
  <c r="P375" i="1"/>
  <c r="Q375" i="1"/>
  <c r="P376" i="1"/>
  <c r="Q376" i="1"/>
  <c r="P377" i="1"/>
  <c r="Q377" i="1"/>
  <c r="P418" i="1"/>
  <c r="Q418" i="1"/>
  <c r="P419" i="1"/>
  <c r="Q419" i="1"/>
  <c r="P420" i="1"/>
  <c r="Q420" i="1"/>
  <c r="P421" i="1"/>
  <c r="Q421" i="1"/>
  <c r="P422" i="1"/>
  <c r="Q422" i="1"/>
  <c r="P423" i="1"/>
  <c r="Q423" i="1"/>
  <c r="P424" i="1"/>
  <c r="Q424" i="1"/>
  <c r="P425" i="1"/>
  <c r="Q425" i="1"/>
  <c r="P426" i="1"/>
  <c r="Q426" i="1"/>
  <c r="P427" i="1"/>
  <c r="Q427" i="1"/>
  <c r="P428" i="1"/>
  <c r="Q428" i="1"/>
  <c r="P429" i="1"/>
  <c r="Q429" i="1"/>
  <c r="P430" i="1"/>
  <c r="Q430" i="1"/>
  <c r="P431" i="1"/>
  <c r="Q431" i="1"/>
  <c r="P432" i="1"/>
  <c r="Q432" i="1"/>
  <c r="P433" i="1"/>
  <c r="Q433" i="1"/>
  <c r="P434" i="1"/>
  <c r="Q434" i="1"/>
  <c r="P435" i="1"/>
  <c r="Q435" i="1"/>
  <c r="P436" i="1"/>
  <c r="Q436" i="1"/>
  <c r="P437" i="1"/>
  <c r="Q437" i="1"/>
  <c r="P438" i="1"/>
  <c r="Q438" i="1"/>
  <c r="P439" i="1"/>
  <c r="Q439" i="1"/>
  <c r="P440" i="1"/>
  <c r="Q440" i="1"/>
  <c r="P441" i="1"/>
  <c r="Q441" i="1"/>
  <c r="P442" i="1"/>
  <c r="Q442" i="1"/>
  <c r="P443" i="1"/>
  <c r="Q443" i="1"/>
  <c r="P444" i="1"/>
  <c r="Q444" i="1"/>
  <c r="P445" i="1"/>
  <c r="Q445" i="1"/>
  <c r="P446" i="1"/>
  <c r="Q446" i="1"/>
  <c r="P447" i="1"/>
  <c r="Q447" i="1"/>
  <c r="P448" i="1"/>
  <c r="Q448" i="1"/>
  <c r="P449" i="1"/>
  <c r="Q449" i="1"/>
  <c r="P450" i="1"/>
  <c r="Q450" i="1"/>
  <c r="P451" i="1"/>
  <c r="Q451" i="1"/>
  <c r="P452" i="1"/>
  <c r="Q452" i="1"/>
  <c r="P453" i="1"/>
  <c r="Q453" i="1"/>
  <c r="P454" i="1"/>
  <c r="Q454" i="1"/>
  <c r="P455" i="1"/>
  <c r="Q455" i="1"/>
  <c r="P456" i="1"/>
  <c r="Q456" i="1"/>
  <c r="P457" i="1"/>
  <c r="Q4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8" i="1"/>
  <c r="P8" i="1"/>
  <c r="Q8" i="1"/>
  <c r="L9" i="1"/>
  <c r="P9" i="1"/>
  <c r="Q9" i="1"/>
  <c r="L10" i="1"/>
  <c r="P10" i="1"/>
  <c r="Q10" i="1"/>
  <c r="L11" i="1"/>
  <c r="P11" i="1"/>
  <c r="Q11" i="1"/>
  <c r="L12" i="1"/>
  <c r="P12" i="1"/>
  <c r="Q12" i="1"/>
  <c r="L13" i="1"/>
  <c r="P13" i="1"/>
  <c r="Q13" i="1"/>
  <c r="L14" i="1"/>
  <c r="P14" i="1"/>
  <c r="Q14" i="1"/>
  <c r="L15" i="1"/>
  <c r="P15" i="1"/>
  <c r="Q15" i="1"/>
  <c r="L16" i="1"/>
  <c r="P16" i="1"/>
  <c r="Q16" i="1"/>
  <c r="L17" i="1"/>
  <c r="P17" i="1"/>
  <c r="Q17" i="1"/>
  <c r="L18" i="1"/>
  <c r="P18" i="1"/>
  <c r="Q18" i="1"/>
  <c r="L19" i="1"/>
  <c r="P19" i="1"/>
  <c r="Q19" i="1"/>
  <c r="L20" i="1"/>
  <c r="P20" i="1"/>
  <c r="Q20" i="1"/>
  <c r="L21" i="1"/>
  <c r="P21" i="1"/>
  <c r="Q21" i="1"/>
  <c r="L22" i="1"/>
  <c r="P22" i="1"/>
  <c r="Q22" i="1"/>
  <c r="L23" i="1"/>
  <c r="P23" i="1"/>
  <c r="Q23" i="1"/>
  <c r="L24" i="1"/>
  <c r="P24" i="1"/>
  <c r="Q24" i="1"/>
  <c r="L25" i="1"/>
  <c r="P25" i="1"/>
  <c r="Q25" i="1"/>
  <c r="L26" i="1"/>
  <c r="P26" i="1"/>
  <c r="Q26" i="1"/>
  <c r="L27" i="1"/>
  <c r="P27" i="1"/>
  <c r="Q27" i="1"/>
  <c r="L28" i="1"/>
  <c r="P28" i="1"/>
  <c r="Q28" i="1"/>
  <c r="L29" i="1"/>
  <c r="P29" i="1"/>
  <c r="Q29" i="1"/>
  <c r="L30" i="1"/>
  <c r="P30" i="1"/>
  <c r="Q30" i="1"/>
  <c r="L31" i="1"/>
  <c r="P31" i="1"/>
  <c r="Q31" i="1"/>
  <c r="L32" i="1"/>
  <c r="P32" i="1"/>
  <c r="Q32" i="1"/>
  <c r="L33" i="1"/>
  <c r="P33" i="1"/>
  <c r="Q33" i="1"/>
  <c r="L34" i="1"/>
  <c r="P34" i="1"/>
  <c r="Q34" i="1"/>
  <c r="L35" i="1"/>
  <c r="P35" i="1"/>
  <c r="Q35" i="1"/>
  <c r="L36" i="1"/>
  <c r="P36" i="1"/>
  <c r="Q36" i="1"/>
  <c r="L37" i="1"/>
  <c r="P37" i="1"/>
  <c r="Q37" i="1"/>
  <c r="L38" i="1"/>
  <c r="P38" i="1"/>
  <c r="Q38" i="1"/>
  <c r="L39" i="1"/>
  <c r="P39" i="1"/>
  <c r="Q39" i="1"/>
  <c r="L40" i="1"/>
  <c r="P40" i="1"/>
  <c r="Q40" i="1"/>
  <c r="L41" i="1"/>
  <c r="P41" i="1"/>
  <c r="Q41" i="1"/>
  <c r="L42" i="1"/>
  <c r="P42" i="1"/>
  <c r="Q42" i="1"/>
  <c r="L43" i="1"/>
  <c r="P43" i="1"/>
  <c r="Q43" i="1"/>
  <c r="L44" i="1"/>
  <c r="P44" i="1"/>
  <c r="Q44" i="1"/>
  <c r="L45" i="1"/>
  <c r="P45" i="1"/>
  <c r="Q45" i="1"/>
  <c r="L46" i="1"/>
  <c r="P46" i="1"/>
  <c r="Q46" i="1"/>
  <c r="L47" i="1"/>
  <c r="P47" i="1"/>
  <c r="Q47" i="1"/>
  <c r="L48" i="1"/>
  <c r="P48" i="1"/>
  <c r="Q48" i="1"/>
  <c r="L49" i="1"/>
  <c r="P49" i="1"/>
  <c r="Q49" i="1"/>
  <c r="L50" i="1"/>
  <c r="P50" i="1"/>
  <c r="Q50" i="1"/>
  <c r="L51" i="1"/>
  <c r="P51" i="1"/>
  <c r="Q51" i="1"/>
  <c r="L52" i="1"/>
  <c r="P52" i="1"/>
  <c r="Q52" i="1"/>
  <c r="L53" i="1"/>
  <c r="P53" i="1"/>
  <c r="Q53" i="1"/>
  <c r="L54" i="1"/>
  <c r="P54" i="1"/>
  <c r="Q54" i="1"/>
  <c r="L55" i="1"/>
  <c r="P55" i="1"/>
  <c r="Q55" i="1"/>
  <c r="L56" i="1"/>
  <c r="P56" i="1"/>
  <c r="Q56" i="1"/>
  <c r="L57" i="1"/>
  <c r="P57" i="1"/>
  <c r="Q57" i="1"/>
  <c r="L58" i="1"/>
  <c r="P58" i="1"/>
  <c r="Q58" i="1"/>
  <c r="L59" i="1"/>
  <c r="P59" i="1"/>
  <c r="Q59" i="1"/>
  <c r="L60" i="1"/>
  <c r="P60" i="1"/>
  <c r="Q60" i="1"/>
  <c r="L61" i="1"/>
  <c r="P61" i="1"/>
  <c r="Q61" i="1"/>
  <c r="L62" i="1"/>
  <c r="P62" i="1"/>
  <c r="Q62" i="1"/>
  <c r="L63" i="1"/>
  <c r="P63" i="1"/>
  <c r="Q63" i="1"/>
  <c r="L64" i="1"/>
  <c r="P64" i="1"/>
  <c r="Q64" i="1"/>
  <c r="L65" i="1"/>
  <c r="P65" i="1"/>
  <c r="Q65" i="1"/>
  <c r="L66" i="1"/>
  <c r="P66" i="1"/>
  <c r="Q66" i="1"/>
  <c r="L67" i="1"/>
  <c r="P67" i="1"/>
  <c r="Q67" i="1"/>
  <c r="L68" i="1"/>
  <c r="P68" i="1"/>
  <c r="Q68" i="1"/>
  <c r="L69" i="1"/>
  <c r="P69" i="1"/>
  <c r="Q69" i="1"/>
  <c r="L70" i="1"/>
  <c r="P70" i="1"/>
  <c r="Q70" i="1"/>
  <c r="L71" i="1"/>
  <c r="P71" i="1"/>
  <c r="Q71" i="1"/>
  <c r="L72" i="1"/>
  <c r="P72" i="1"/>
  <c r="Q72" i="1"/>
  <c r="L73" i="1"/>
  <c r="P73" i="1"/>
  <c r="Q73" i="1"/>
  <c r="L74" i="1"/>
  <c r="P74" i="1"/>
  <c r="Q74" i="1"/>
  <c r="L75" i="1"/>
  <c r="P75" i="1"/>
  <c r="Q75" i="1"/>
  <c r="L76" i="1"/>
  <c r="P76" i="1"/>
  <c r="Q76" i="1"/>
  <c r="L77" i="1"/>
  <c r="P77" i="1"/>
  <c r="Q77" i="1"/>
  <c r="L78" i="1"/>
  <c r="P78" i="1"/>
  <c r="Q78" i="1"/>
  <c r="L79" i="1"/>
  <c r="P79" i="1"/>
  <c r="Q79" i="1"/>
  <c r="L80" i="1"/>
  <c r="P80" i="1"/>
  <c r="Q80" i="1"/>
  <c r="L81" i="1"/>
  <c r="P81" i="1"/>
  <c r="Q81" i="1"/>
  <c r="L82" i="1"/>
  <c r="P82" i="1"/>
  <c r="Q82" i="1"/>
  <c r="L83" i="1"/>
  <c r="P83" i="1"/>
  <c r="Q83" i="1"/>
  <c r="L84" i="1"/>
  <c r="P84" i="1"/>
  <c r="Q84" i="1"/>
  <c r="L85" i="1"/>
  <c r="P85" i="1"/>
  <c r="Q85" i="1"/>
  <c r="L86" i="1"/>
  <c r="P86" i="1"/>
  <c r="Q86" i="1"/>
  <c r="L87" i="1"/>
  <c r="P87" i="1"/>
  <c r="Q87" i="1"/>
  <c r="L88" i="1"/>
  <c r="P88" i="1"/>
  <c r="Q88" i="1"/>
  <c r="L89" i="1"/>
  <c r="P89" i="1"/>
  <c r="Q89" i="1"/>
  <c r="L90" i="1"/>
  <c r="P90" i="1"/>
  <c r="Q90" i="1"/>
  <c r="L91" i="1"/>
  <c r="P91" i="1"/>
  <c r="Q91" i="1"/>
  <c r="L92" i="1"/>
  <c r="P92" i="1"/>
  <c r="Q92" i="1"/>
  <c r="L93" i="1"/>
  <c r="P93" i="1"/>
  <c r="Q93" i="1"/>
  <c r="L94" i="1"/>
  <c r="P94" i="1"/>
  <c r="Q94" i="1"/>
  <c r="L95" i="1"/>
  <c r="P95" i="1"/>
  <c r="Q95" i="1"/>
  <c r="L96" i="1"/>
  <c r="P96" i="1"/>
  <c r="Q96" i="1"/>
  <c r="L97" i="1"/>
  <c r="P97" i="1"/>
  <c r="Q97" i="1"/>
  <c r="L98" i="1"/>
  <c r="P98" i="1"/>
  <c r="Q98" i="1"/>
  <c r="L99" i="1"/>
  <c r="P99" i="1"/>
  <c r="Q99" i="1"/>
  <c r="L100" i="1"/>
  <c r="P100" i="1"/>
  <c r="Q100" i="1"/>
  <c r="L101" i="1"/>
  <c r="P101" i="1"/>
  <c r="Q101" i="1"/>
  <c r="L102" i="1"/>
  <c r="P102" i="1"/>
  <c r="Q102" i="1"/>
  <c r="L103" i="1"/>
  <c r="P103" i="1"/>
  <c r="Q103" i="1"/>
  <c r="L104" i="1"/>
  <c r="P104" i="1"/>
  <c r="Q104" i="1"/>
  <c r="L105" i="1"/>
  <c r="P105" i="1"/>
  <c r="Q105" i="1"/>
  <c r="L106" i="1"/>
  <c r="P106" i="1"/>
  <c r="Q106" i="1"/>
  <c r="L107" i="1"/>
  <c r="P107" i="1"/>
  <c r="Q107" i="1"/>
  <c r="L108" i="1"/>
  <c r="P108" i="1"/>
  <c r="Q108" i="1"/>
  <c r="L109" i="1"/>
  <c r="P109" i="1"/>
  <c r="Q109" i="1"/>
  <c r="L110" i="1"/>
  <c r="P110" i="1"/>
  <c r="Q110" i="1"/>
  <c r="L111" i="1"/>
  <c r="P111" i="1"/>
  <c r="Q111" i="1"/>
  <c r="L112" i="1"/>
  <c r="P112" i="1"/>
  <c r="Q112" i="1"/>
  <c r="L113" i="1"/>
  <c r="P113" i="1"/>
  <c r="Q113" i="1"/>
  <c r="L114" i="1"/>
  <c r="P114" i="1"/>
  <c r="Q114" i="1"/>
  <c r="L115" i="1"/>
  <c r="P115" i="1"/>
  <c r="Q115" i="1"/>
  <c r="L116" i="1"/>
  <c r="P116" i="1"/>
  <c r="Q116" i="1"/>
  <c r="L117" i="1"/>
  <c r="P117" i="1"/>
  <c r="Q117" i="1"/>
  <c r="L118" i="1"/>
  <c r="P118" i="1"/>
  <c r="Q118" i="1"/>
  <c r="L119" i="1"/>
  <c r="P119" i="1"/>
  <c r="Q119" i="1"/>
  <c r="L120" i="1"/>
  <c r="P120" i="1"/>
  <c r="Q120" i="1"/>
  <c r="L121" i="1"/>
  <c r="P121" i="1"/>
  <c r="Q121" i="1"/>
  <c r="L122" i="1"/>
  <c r="P122" i="1"/>
  <c r="Q122" i="1"/>
  <c r="L123" i="1"/>
  <c r="P123" i="1"/>
  <c r="Q123" i="1"/>
  <c r="L124" i="1"/>
  <c r="P124" i="1"/>
  <c r="Q124" i="1"/>
  <c r="L125" i="1"/>
  <c r="P125" i="1"/>
  <c r="Q125" i="1"/>
  <c r="L126" i="1"/>
  <c r="P126" i="1"/>
  <c r="Q126" i="1"/>
  <c r="L127" i="1"/>
  <c r="P127" i="1"/>
  <c r="Q127" i="1"/>
  <c r="L128" i="1"/>
  <c r="P128" i="1"/>
  <c r="Q128" i="1"/>
  <c r="L129" i="1"/>
  <c r="P129" i="1"/>
  <c r="Q129" i="1"/>
  <c r="L130" i="1"/>
  <c r="P130" i="1"/>
  <c r="Q130" i="1"/>
  <c r="L131" i="1"/>
  <c r="P131" i="1"/>
  <c r="Q131" i="1"/>
  <c r="L132" i="1"/>
  <c r="P132" i="1"/>
  <c r="Q132" i="1"/>
  <c r="L133" i="1"/>
  <c r="P133" i="1"/>
  <c r="Q133" i="1"/>
  <c r="L134" i="1"/>
  <c r="P134" i="1"/>
  <c r="Q134" i="1"/>
  <c r="L135" i="1"/>
  <c r="P135" i="1"/>
  <c r="Q135" i="1"/>
  <c r="L136" i="1"/>
  <c r="P136" i="1"/>
  <c r="Q136" i="1"/>
  <c r="L137" i="1"/>
  <c r="P137" i="1"/>
  <c r="Q137" i="1"/>
  <c r="L138" i="1"/>
  <c r="P138" i="1"/>
  <c r="Q138" i="1"/>
  <c r="L139" i="1"/>
  <c r="P139" i="1"/>
  <c r="Q139" i="1"/>
  <c r="L140" i="1"/>
  <c r="P140" i="1"/>
  <c r="Q140" i="1"/>
  <c r="L141" i="1"/>
  <c r="P141" i="1"/>
  <c r="Q141" i="1"/>
  <c r="L142" i="1"/>
  <c r="P142" i="1"/>
  <c r="Q142" i="1"/>
  <c r="L143" i="1"/>
  <c r="P143" i="1"/>
  <c r="Q143" i="1"/>
  <c r="L144" i="1"/>
  <c r="P144" i="1"/>
  <c r="Q144" i="1"/>
  <c r="L145" i="1"/>
  <c r="P145" i="1"/>
  <c r="Q145" i="1"/>
  <c r="L146" i="1"/>
  <c r="P146" i="1"/>
  <c r="Q146" i="1"/>
  <c r="L147" i="1"/>
  <c r="P147" i="1"/>
  <c r="Q147" i="1"/>
  <c r="L148" i="1"/>
  <c r="P148" i="1"/>
  <c r="Q148" i="1"/>
  <c r="L149" i="1"/>
  <c r="P149" i="1"/>
  <c r="Q149" i="1"/>
  <c r="L150" i="1"/>
  <c r="P150" i="1"/>
  <c r="Q150" i="1"/>
  <c r="L151" i="1"/>
  <c r="P151" i="1"/>
  <c r="Q151" i="1"/>
  <c r="L152" i="1"/>
  <c r="P152" i="1"/>
  <c r="Q152" i="1"/>
  <c r="L153" i="1"/>
  <c r="P153" i="1"/>
  <c r="Q153" i="1"/>
  <c r="L154" i="1"/>
  <c r="P154" i="1"/>
  <c r="Q154" i="1"/>
  <c r="L155" i="1"/>
  <c r="P155" i="1"/>
  <c r="Q155" i="1"/>
  <c r="L156" i="1"/>
  <c r="P156" i="1"/>
  <c r="Q156" i="1"/>
  <c r="L157" i="1"/>
  <c r="P157" i="1"/>
  <c r="Q157" i="1"/>
  <c r="L158" i="1"/>
  <c r="P158" i="1"/>
  <c r="Q158" i="1"/>
  <c r="L159" i="1"/>
  <c r="P159" i="1"/>
  <c r="Q159" i="1"/>
  <c r="L160" i="1"/>
  <c r="P160" i="1"/>
  <c r="Q160" i="1"/>
  <c r="L161" i="1"/>
  <c r="P161" i="1"/>
  <c r="Q161" i="1"/>
  <c r="L162" i="1"/>
  <c r="P162" i="1"/>
  <c r="Q162" i="1"/>
  <c r="L163" i="1"/>
  <c r="P163" i="1"/>
  <c r="Q163" i="1"/>
  <c r="L164" i="1"/>
  <c r="P164" i="1"/>
  <c r="Q164" i="1"/>
  <c r="L165" i="1"/>
  <c r="P165" i="1"/>
  <c r="Q165" i="1"/>
  <c r="L166" i="1"/>
  <c r="P166" i="1"/>
  <c r="Q166" i="1"/>
  <c r="L167" i="1"/>
  <c r="P167" i="1"/>
  <c r="Q167" i="1"/>
  <c r="L168" i="1"/>
  <c r="P168" i="1"/>
  <c r="Q168" i="1"/>
  <c r="L169" i="1"/>
  <c r="P169" i="1"/>
  <c r="Q169" i="1"/>
  <c r="L170" i="1"/>
  <c r="P170" i="1"/>
  <c r="Q170" i="1"/>
  <c r="L171" i="1"/>
  <c r="P171" i="1"/>
  <c r="Q171" i="1"/>
  <c r="L172" i="1"/>
  <c r="P172" i="1"/>
  <c r="Q172" i="1"/>
  <c r="L173" i="1"/>
  <c r="P173" i="1"/>
  <c r="Q173" i="1"/>
  <c r="L174" i="1"/>
  <c r="P174" i="1"/>
  <c r="Q174" i="1"/>
  <c r="L175" i="1"/>
  <c r="P175" i="1"/>
  <c r="Q175" i="1"/>
  <c r="L176" i="1"/>
  <c r="P176" i="1"/>
  <c r="Q176" i="1"/>
  <c r="L177" i="1"/>
  <c r="P177" i="1"/>
  <c r="Q177" i="1"/>
  <c r="L178" i="1"/>
  <c r="P178" i="1"/>
  <c r="Q178" i="1"/>
  <c r="L179" i="1"/>
  <c r="P179" i="1"/>
  <c r="Q179" i="1"/>
  <c r="L180" i="1"/>
  <c r="P180" i="1"/>
  <c r="Q180" i="1"/>
  <c r="L181" i="1"/>
  <c r="P181" i="1"/>
  <c r="Q181" i="1"/>
  <c r="L182" i="1"/>
  <c r="P182" i="1"/>
  <c r="Q182" i="1"/>
  <c r="L183" i="1"/>
  <c r="P183" i="1"/>
  <c r="Q183" i="1"/>
  <c r="L184" i="1"/>
  <c r="P184" i="1"/>
  <c r="Q184" i="1"/>
  <c r="L185" i="1"/>
  <c r="P185" i="1"/>
  <c r="Q185" i="1"/>
  <c r="L186" i="1"/>
  <c r="P186" i="1"/>
  <c r="Q186" i="1"/>
  <c r="L187" i="1"/>
  <c r="P187" i="1"/>
  <c r="Q187" i="1"/>
  <c r="L188" i="1"/>
  <c r="P188" i="1"/>
  <c r="Q188" i="1"/>
  <c r="L189" i="1"/>
  <c r="P189" i="1"/>
  <c r="Q189" i="1"/>
  <c r="L190" i="1"/>
  <c r="P190" i="1"/>
  <c r="Q190" i="1"/>
  <c r="L191" i="1"/>
  <c r="P191" i="1"/>
  <c r="Q191" i="1"/>
  <c r="L192" i="1"/>
  <c r="P192" i="1"/>
  <c r="Q192" i="1"/>
  <c r="L193" i="1"/>
  <c r="P193" i="1"/>
  <c r="Q193" i="1"/>
  <c r="L194" i="1"/>
  <c r="P194" i="1"/>
  <c r="Q194" i="1"/>
  <c r="L195" i="1"/>
  <c r="P195" i="1"/>
  <c r="Q195" i="1"/>
  <c r="L196" i="1"/>
  <c r="P196" i="1"/>
  <c r="Q196" i="1"/>
  <c r="L197" i="1"/>
  <c r="P197" i="1"/>
  <c r="Q197" i="1"/>
  <c r="L198" i="1"/>
  <c r="P198" i="1"/>
  <c r="Q198" i="1"/>
  <c r="L199" i="1"/>
  <c r="P199" i="1"/>
  <c r="Q199" i="1"/>
  <c r="L200" i="1"/>
  <c r="P200" i="1"/>
  <c r="Q200" i="1"/>
  <c r="L201" i="1"/>
  <c r="P201" i="1"/>
  <c r="Q201" i="1"/>
  <c r="L202" i="1"/>
  <c r="P202" i="1"/>
  <c r="Q202" i="1"/>
  <c r="L203" i="1"/>
  <c r="P203" i="1"/>
  <c r="Q203" i="1"/>
  <c r="L204" i="1"/>
  <c r="P204" i="1"/>
  <c r="Q204" i="1"/>
  <c r="L205" i="1"/>
  <c r="P205" i="1"/>
  <c r="Q205" i="1"/>
  <c r="L206" i="1"/>
  <c r="P206" i="1"/>
  <c r="Q206" i="1"/>
  <c r="L207" i="1"/>
  <c r="P207" i="1"/>
  <c r="Q207" i="1"/>
  <c r="L208" i="1"/>
  <c r="P208" i="1"/>
  <c r="Q208" i="1"/>
  <c r="L209" i="1"/>
  <c r="P209" i="1"/>
  <c r="Q209" i="1"/>
  <c r="L210" i="1"/>
  <c r="P210" i="1"/>
  <c r="Q210" i="1"/>
  <c r="L211" i="1"/>
  <c r="P211" i="1"/>
  <c r="Q211" i="1"/>
  <c r="L212" i="1"/>
  <c r="P212" i="1"/>
  <c r="Q212" i="1"/>
  <c r="L213" i="1"/>
  <c r="P213" i="1"/>
  <c r="Q213" i="1"/>
  <c r="L214" i="1"/>
  <c r="P214" i="1"/>
  <c r="Q214" i="1"/>
  <c r="L215" i="1"/>
  <c r="P215" i="1"/>
  <c r="Q215" i="1"/>
  <c r="L216" i="1"/>
  <c r="P216" i="1"/>
  <c r="Q216" i="1"/>
  <c r="L217" i="1"/>
  <c r="P217" i="1"/>
  <c r="Q217" i="1"/>
  <c r="L218" i="1"/>
  <c r="P218" i="1"/>
  <c r="Q218" i="1"/>
  <c r="L219" i="1"/>
  <c r="P219" i="1"/>
  <c r="Q219" i="1"/>
  <c r="L220" i="1"/>
  <c r="P220" i="1"/>
  <c r="Q220" i="1"/>
  <c r="L221" i="1"/>
  <c r="P221" i="1"/>
  <c r="Q221" i="1"/>
  <c r="L222" i="1"/>
  <c r="P222" i="1"/>
  <c r="Q222" i="1"/>
  <c r="L223" i="1"/>
  <c r="P223" i="1"/>
  <c r="Q223" i="1"/>
  <c r="L224" i="1"/>
  <c r="P224" i="1"/>
  <c r="Q224" i="1"/>
  <c r="L225" i="1"/>
  <c r="P225" i="1"/>
  <c r="Q225" i="1"/>
  <c r="L226" i="1"/>
  <c r="P226" i="1"/>
  <c r="Q226" i="1"/>
  <c r="L227" i="1"/>
  <c r="P227" i="1"/>
  <c r="Q227" i="1"/>
  <c r="L228" i="1"/>
  <c r="P228" i="1"/>
  <c r="Q228" i="1"/>
  <c r="L229" i="1"/>
  <c r="P229" i="1"/>
  <c r="Q229" i="1"/>
  <c r="L230" i="1"/>
  <c r="P230" i="1"/>
  <c r="Q230" i="1"/>
  <c r="L231" i="1"/>
  <c r="P231" i="1"/>
  <c r="Q231" i="1"/>
  <c r="L232" i="1"/>
  <c r="P232" i="1"/>
  <c r="Q232" i="1"/>
  <c r="L233" i="1"/>
  <c r="P233" i="1"/>
  <c r="Q233" i="1"/>
  <c r="L234" i="1"/>
  <c r="P234" i="1"/>
  <c r="Q234" i="1"/>
  <c r="L235" i="1"/>
  <c r="P235" i="1"/>
  <c r="Q235" i="1"/>
  <c r="L236" i="1"/>
  <c r="P236" i="1"/>
  <c r="Q236" i="1"/>
  <c r="L237" i="1"/>
  <c r="P237" i="1"/>
  <c r="Q237" i="1"/>
  <c r="L238" i="1"/>
  <c r="P238" i="1"/>
  <c r="Q238" i="1"/>
  <c r="L239" i="1"/>
  <c r="P239" i="1"/>
  <c r="Q239" i="1"/>
  <c r="L240" i="1"/>
  <c r="P240" i="1"/>
  <c r="Q240" i="1"/>
  <c r="L241" i="1"/>
  <c r="P241" i="1"/>
  <c r="Q241" i="1"/>
  <c r="L242" i="1"/>
  <c r="P242" i="1"/>
  <c r="Q242" i="1"/>
  <c r="L243" i="1"/>
  <c r="P243" i="1"/>
  <c r="Q243" i="1"/>
  <c r="L244" i="1"/>
  <c r="P244" i="1"/>
  <c r="Q244" i="1"/>
  <c r="L245" i="1"/>
  <c r="P245" i="1"/>
  <c r="Q245" i="1"/>
  <c r="L246" i="1"/>
  <c r="P246" i="1"/>
  <c r="Q246" i="1"/>
  <c r="L247" i="1"/>
  <c r="P247" i="1"/>
  <c r="Q247" i="1"/>
  <c r="L248" i="1"/>
  <c r="P248" i="1"/>
  <c r="Q248" i="1"/>
  <c r="L249" i="1"/>
  <c r="P249" i="1"/>
  <c r="Q249" i="1"/>
  <c r="L250" i="1"/>
  <c r="P250" i="1"/>
  <c r="Q250" i="1"/>
  <c r="L251" i="1"/>
  <c r="P251" i="1"/>
  <c r="Q251" i="1"/>
  <c r="P252" i="1"/>
  <c r="Q252" i="1"/>
  <c r="P253" i="1"/>
  <c r="Q253" i="1"/>
  <c r="P254" i="1"/>
  <c r="Q254" i="1"/>
  <c r="P255" i="1"/>
  <c r="Q255" i="1"/>
  <c r="P256" i="1"/>
  <c r="Q256" i="1"/>
  <c r="P257" i="1"/>
  <c r="Q257" i="1"/>
  <c r="L252" i="1"/>
  <c r="L253" i="1"/>
  <c r="L254" i="1"/>
  <c r="L255" i="1"/>
  <c r="L256" i="1"/>
  <c r="L257" i="1"/>
  <c r="Q462" i="1" l="1" a="1"/>
  <c r="Q462" i="1" s="1"/>
  <c r="P461" i="1"/>
  <c r="P462" i="1" a="1"/>
  <c r="P462" i="1" s="1"/>
  <c r="P460" i="1"/>
  <c r="Q460" i="1"/>
  <c r="Q461" i="1"/>
  <c r="L461" i="1"/>
  <c r="L462" i="1" a="1"/>
  <c r="L462" i="1" s="1"/>
  <c r="L46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<sst xmlns="http://schemas.openxmlformats.org/spreadsheetml/2006/main" count="482" uniqueCount="480">
  <si>
    <t xml:space="preserve"># </t>
  </si>
  <si>
    <t># The parameters defined in the project are:</t>
  </si>
  <si>
    <t>P2 - Thermal Condition Magnitude [C]</t>
  </si>
  <si>
    <t>P7 - B [degree]</t>
  </si>
  <si>
    <t>P13 - AnchorDisplacement X Component [mm]</t>
  </si>
  <si>
    <t>P14 - L [mm]</t>
  </si>
  <si>
    <t>P15 - w [mm]</t>
  </si>
  <si>
    <t>P3 - Directional Deformation Maximum [mm]</t>
  </si>
  <si>
    <t>P5 - Solid Volume [mm^3]</t>
  </si>
  <si>
    <t>P6 - Equivalent Stress Maximum [MPa]</t>
  </si>
  <si>
    <t># The following header line defines the name of the columns by reference to the parameters.</t>
  </si>
  <si>
    <t>Name</t>
  </si>
  <si>
    <t>P2</t>
  </si>
  <si>
    <t>P7</t>
  </si>
  <si>
    <t>P13</t>
  </si>
  <si>
    <t>P14</t>
  </si>
  <si>
    <t>P15</t>
  </si>
  <si>
    <t>P3</t>
  </si>
  <si>
    <t>P5</t>
  </si>
  <si>
    <t>P6</t>
  </si>
  <si>
    <t>DP 0</t>
  </si>
  <si>
    <t>DP 1</t>
  </si>
  <si>
    <t>DP 2</t>
  </si>
  <si>
    <t>DP 3</t>
  </si>
  <si>
    <t>DP 4</t>
  </si>
  <si>
    <t>DP 5</t>
  </si>
  <si>
    <t>DP 6</t>
  </si>
  <si>
    <t>DP 7</t>
  </si>
  <si>
    <t>DP 8</t>
  </si>
  <si>
    <t>DP 9</t>
  </si>
  <si>
    <t>DP 10</t>
  </si>
  <si>
    <t>DP 11</t>
  </si>
  <si>
    <t>DP 12</t>
  </si>
  <si>
    <t>DP 13</t>
  </si>
  <si>
    <t>DP 14</t>
  </si>
  <si>
    <t>DP 15</t>
  </si>
  <si>
    <t>DP 16</t>
  </si>
  <si>
    <t>DP 17</t>
  </si>
  <si>
    <t>DP 18</t>
  </si>
  <si>
    <t>DP 19</t>
  </si>
  <si>
    <t>DP 20</t>
  </si>
  <si>
    <t>DP 21</t>
  </si>
  <si>
    <t>DP 22</t>
  </si>
  <si>
    <t>DP 23</t>
  </si>
  <si>
    <t>DP 24</t>
  </si>
  <si>
    <t>DP 25</t>
  </si>
  <si>
    <t>DP 26</t>
  </si>
  <si>
    <t>DP 27</t>
  </si>
  <si>
    <t>DP 28</t>
  </si>
  <si>
    <t>DP 29</t>
  </si>
  <si>
    <t>DP 30</t>
  </si>
  <si>
    <t>DP 31</t>
  </si>
  <si>
    <t>DP 32</t>
  </si>
  <si>
    <t>DP 33</t>
  </si>
  <si>
    <t>DP 34</t>
  </si>
  <si>
    <t>DP 35</t>
  </si>
  <si>
    <t>DP 36</t>
  </si>
  <si>
    <t>DP 37</t>
  </si>
  <si>
    <t>DP 38</t>
  </si>
  <si>
    <t>DP 39</t>
  </si>
  <si>
    <t>DP 40</t>
  </si>
  <si>
    <t>DP 41</t>
  </si>
  <si>
    <t>DP 42</t>
  </si>
  <si>
    <t>DP 43</t>
  </si>
  <si>
    <t>DP 44</t>
  </si>
  <si>
    <t>DP 45</t>
  </si>
  <si>
    <t>DP 46</t>
  </si>
  <si>
    <t>DP 47</t>
  </si>
  <si>
    <t>DP 48</t>
  </si>
  <si>
    <t>DP 49</t>
  </si>
  <si>
    <t>DP 50</t>
  </si>
  <si>
    <t>DP 51</t>
  </si>
  <si>
    <t>DP 52</t>
  </si>
  <si>
    <t>DP 53</t>
  </si>
  <si>
    <t>DP 54</t>
  </si>
  <si>
    <t>DP 55</t>
  </si>
  <si>
    <t>DP 56</t>
  </si>
  <si>
    <t>DP 57</t>
  </si>
  <si>
    <t>DP 58</t>
  </si>
  <si>
    <t>DP 59</t>
  </si>
  <si>
    <t>DP 60</t>
  </si>
  <si>
    <t>DP 61</t>
  </si>
  <si>
    <t>DP 62</t>
  </si>
  <si>
    <t>DP 63</t>
  </si>
  <si>
    <t>DP 64</t>
  </si>
  <si>
    <t>DP 65</t>
  </si>
  <si>
    <t>DP 66</t>
  </si>
  <si>
    <t>DP 67</t>
  </si>
  <si>
    <t>DP 68</t>
  </si>
  <si>
    <t>DP 69</t>
  </si>
  <si>
    <t>DP 70</t>
  </si>
  <si>
    <t>DP 71</t>
  </si>
  <si>
    <t>DP 72</t>
  </si>
  <si>
    <t>DP 73</t>
  </si>
  <si>
    <t>DP 74</t>
  </si>
  <si>
    <t>DP 75</t>
  </si>
  <si>
    <t>DP 76</t>
  </si>
  <si>
    <t>DP 77</t>
  </si>
  <si>
    <t>DP 78</t>
  </si>
  <si>
    <t>DP 79</t>
  </si>
  <si>
    <t>DP 80</t>
  </si>
  <si>
    <t>DP 81</t>
  </si>
  <si>
    <t>DP 82</t>
  </si>
  <si>
    <t>DP 83</t>
  </si>
  <si>
    <t>DP 84</t>
  </si>
  <si>
    <t>DP 85</t>
  </si>
  <si>
    <t>DP 86</t>
  </si>
  <si>
    <t>DP 87</t>
  </si>
  <si>
    <t>DP 88</t>
  </si>
  <si>
    <t>DP 89</t>
  </si>
  <si>
    <t>DP 90</t>
  </si>
  <si>
    <t>DP 91</t>
  </si>
  <si>
    <t>DP 92</t>
  </si>
  <si>
    <t>DP 93</t>
  </si>
  <si>
    <t>DP 94</t>
  </si>
  <si>
    <t>DP 95</t>
  </si>
  <si>
    <t>DP 96</t>
  </si>
  <si>
    <t>DP 97</t>
  </si>
  <si>
    <t>DP 98</t>
  </si>
  <si>
    <t>DP 99</t>
  </si>
  <si>
    <t>DP 100</t>
  </si>
  <si>
    <t>DP 101</t>
  </si>
  <si>
    <t>DP 102</t>
  </si>
  <si>
    <t>DP 103</t>
  </si>
  <si>
    <t>DP 104</t>
  </si>
  <si>
    <t>DP 105</t>
  </si>
  <si>
    <t>DP 106</t>
  </si>
  <si>
    <t>DP 107</t>
  </si>
  <si>
    <t>DP 108</t>
  </si>
  <si>
    <t>DP 109</t>
  </si>
  <si>
    <t>DP 110</t>
  </si>
  <si>
    <t>DP 111</t>
  </si>
  <si>
    <t>DP 112</t>
  </si>
  <si>
    <t>DP 113</t>
  </si>
  <si>
    <t>DP 114</t>
  </si>
  <si>
    <t>DP 115</t>
  </si>
  <si>
    <t>DP 116</t>
  </si>
  <si>
    <t>DP 117</t>
  </si>
  <si>
    <t>DP 118</t>
  </si>
  <si>
    <t>DP 119</t>
  </si>
  <si>
    <t>DP 120</t>
  </si>
  <si>
    <t>DP 121</t>
  </si>
  <si>
    <t>DP 122</t>
  </si>
  <si>
    <t>DP 123</t>
  </si>
  <si>
    <t>DP 124</t>
  </si>
  <si>
    <t>DP 125</t>
  </si>
  <si>
    <t>DP 126</t>
  </si>
  <si>
    <t>DP 127</t>
  </si>
  <si>
    <t>DP 128</t>
  </si>
  <si>
    <t>DP 129</t>
  </si>
  <si>
    <t>DP 130</t>
  </si>
  <si>
    <t>DP 131</t>
  </si>
  <si>
    <t>DP 132</t>
  </si>
  <si>
    <t>DP 133</t>
  </si>
  <si>
    <t>DP 134</t>
  </si>
  <si>
    <t>DP 135</t>
  </si>
  <si>
    <t>DP 136</t>
  </si>
  <si>
    <t>DP 137</t>
  </si>
  <si>
    <t>DP 138</t>
  </si>
  <si>
    <t>DP 139</t>
  </si>
  <si>
    <t>DP 140</t>
  </si>
  <si>
    <t>DP 141</t>
  </si>
  <si>
    <t>DP 142</t>
  </si>
  <si>
    <t>DP 143</t>
  </si>
  <si>
    <t>DP 144</t>
  </si>
  <si>
    <t>DP 145</t>
  </si>
  <si>
    <t>DP 146</t>
  </si>
  <si>
    <t>DP 147</t>
  </si>
  <si>
    <t>DP 148</t>
  </si>
  <si>
    <t>DP 149</t>
  </si>
  <si>
    <t>DP 150</t>
  </si>
  <si>
    <t>DP 151</t>
  </si>
  <si>
    <t>DP 152</t>
  </si>
  <si>
    <t>DP 153</t>
  </si>
  <si>
    <t>DP 154</t>
  </si>
  <si>
    <t>DP 155</t>
  </si>
  <si>
    <t>DP 156</t>
  </si>
  <si>
    <t>DP 157</t>
  </si>
  <si>
    <t>DP 158</t>
  </si>
  <si>
    <t>DP 159</t>
  </si>
  <si>
    <t>DP 160</t>
  </si>
  <si>
    <t>DP 161</t>
  </si>
  <si>
    <t>DP 162</t>
  </si>
  <si>
    <t>DP 163</t>
  </si>
  <si>
    <t>DP 164</t>
  </si>
  <si>
    <t>DP 165</t>
  </si>
  <si>
    <t>DP 166</t>
  </si>
  <si>
    <t>DP 167</t>
  </si>
  <si>
    <t>DP 168</t>
  </si>
  <si>
    <t>DP 169</t>
  </si>
  <si>
    <t>DP 170</t>
  </si>
  <si>
    <t>DP 171</t>
  </si>
  <si>
    <t>DP 172</t>
  </si>
  <si>
    <t>DP 173</t>
  </si>
  <si>
    <t>DP 174</t>
  </si>
  <si>
    <t>DP 175</t>
  </si>
  <si>
    <t>DP 176</t>
  </si>
  <si>
    <t>DP 177</t>
  </si>
  <si>
    <t>DP 178</t>
  </si>
  <si>
    <t>DP 179</t>
  </si>
  <si>
    <t>DP 180</t>
  </si>
  <si>
    <t>DP 181</t>
  </si>
  <si>
    <t>DP 182</t>
  </si>
  <si>
    <t>DP 183</t>
  </si>
  <si>
    <t>DP 184</t>
  </si>
  <si>
    <t>DP 185</t>
  </si>
  <si>
    <t>DP 186</t>
  </si>
  <si>
    <t>DP 187</t>
  </si>
  <si>
    <t>DP 188</t>
  </si>
  <si>
    <t>DP 189</t>
  </si>
  <si>
    <t>DP 190</t>
  </si>
  <si>
    <t>DP 191</t>
  </si>
  <si>
    <t>DP 192</t>
  </si>
  <si>
    <t>DP 193</t>
  </si>
  <si>
    <t>DP 194</t>
  </si>
  <si>
    <t>DP 195</t>
  </si>
  <si>
    <t>DP 196</t>
  </si>
  <si>
    <t>DP 197</t>
  </si>
  <si>
    <t>DP 198</t>
  </si>
  <si>
    <t>DP 199</t>
  </si>
  <si>
    <t>Relative Error [%]</t>
  </si>
  <si>
    <t>min</t>
  </si>
  <si>
    <t>max</t>
  </si>
  <si>
    <t>MeanAbsError</t>
  </si>
  <si>
    <t>DP 200</t>
  </si>
  <si>
    <t>DP 201</t>
  </si>
  <si>
    <t>DP 202</t>
  </si>
  <si>
    <t>DP 203</t>
  </si>
  <si>
    <t>DP 204</t>
  </si>
  <si>
    <t>DP 205</t>
  </si>
  <si>
    <t>DP 206</t>
  </si>
  <si>
    <t>DP 207</t>
  </si>
  <si>
    <t>DP 208</t>
  </si>
  <si>
    <t>DP 209</t>
  </si>
  <si>
    <t>DP 210</t>
  </si>
  <si>
    <t>DP 211</t>
  </si>
  <si>
    <t>DP 212</t>
  </si>
  <si>
    <t>DP 213</t>
  </si>
  <si>
    <t>DP 214</t>
  </si>
  <si>
    <t>DP 215</t>
  </si>
  <si>
    <t>DP 216</t>
  </si>
  <si>
    <t>DP 217</t>
  </si>
  <si>
    <t>DP 218</t>
  </si>
  <si>
    <t>DP 219</t>
  </si>
  <si>
    <t>DP 220</t>
  </si>
  <si>
    <t>DP 221</t>
  </si>
  <si>
    <t>DP 222</t>
  </si>
  <si>
    <t>DP 223</t>
  </si>
  <si>
    <t>DP 224</t>
  </si>
  <si>
    <t>DP 225</t>
  </si>
  <si>
    <t>DP 226</t>
  </si>
  <si>
    <t>DP 227</t>
  </si>
  <si>
    <t>DP 228</t>
  </si>
  <si>
    <t>DP 229</t>
  </si>
  <si>
    <t>DP 230</t>
  </si>
  <si>
    <t>DP 231</t>
  </si>
  <si>
    <t>DP 232</t>
  </si>
  <si>
    <t>DP 233</t>
  </si>
  <si>
    <t>DP 234</t>
  </si>
  <si>
    <t>DP 235</t>
  </si>
  <si>
    <t>DP 236</t>
  </si>
  <si>
    <t>DP 237</t>
  </si>
  <si>
    <t>DP 238</t>
  </si>
  <si>
    <t>DP 239</t>
  </si>
  <si>
    <t>DP 240</t>
  </si>
  <si>
    <t>DP 241</t>
  </si>
  <si>
    <t>DP 242</t>
  </si>
  <si>
    <t>DP 243</t>
  </si>
  <si>
    <t>DP 244</t>
  </si>
  <si>
    <t>DP 245</t>
  </si>
  <si>
    <t>DP 246</t>
  </si>
  <si>
    <t>DP 247</t>
  </si>
  <si>
    <t>DP 248</t>
  </si>
  <si>
    <t>DP 249</t>
  </si>
  <si>
    <t>Pred Stress [MPa]</t>
  </si>
  <si>
    <t>Pred Volume [mm3]</t>
  </si>
  <si>
    <t>Target Displacement [mm]</t>
  </si>
  <si>
    <t>Stress Relative Error [%]</t>
  </si>
  <si>
    <t>Volume Relative Error [%]</t>
  </si>
  <si>
    <t>DP 250</t>
  </si>
  <si>
    <t>DP 251</t>
  </si>
  <si>
    <t>DP 252</t>
  </si>
  <si>
    <t>DP 253</t>
  </si>
  <si>
    <t>DP 254</t>
  </si>
  <si>
    <t>DP 255</t>
  </si>
  <si>
    <t>DP 256</t>
  </si>
  <si>
    <t>DP 257</t>
  </si>
  <si>
    <t>DP 258</t>
  </si>
  <si>
    <t>DP 259</t>
  </si>
  <si>
    <t>DP 260</t>
  </si>
  <si>
    <t>DP 261</t>
  </si>
  <si>
    <t>DP 262</t>
  </si>
  <si>
    <t>DP 263</t>
  </si>
  <si>
    <t>DP 264</t>
  </si>
  <si>
    <t>DP 265</t>
  </si>
  <si>
    <t>DP 266</t>
  </si>
  <si>
    <t>DP 267</t>
  </si>
  <si>
    <t>DP 268</t>
  </si>
  <si>
    <t>DP 269</t>
  </si>
  <si>
    <t>DP 270</t>
  </si>
  <si>
    <t>DP 271</t>
  </si>
  <si>
    <t>DP 272</t>
  </si>
  <si>
    <t>DP 273</t>
  </si>
  <si>
    <t>DP 274</t>
  </si>
  <si>
    <t>DP 275</t>
  </si>
  <si>
    <t>DP 276</t>
  </si>
  <si>
    <t>DP 277</t>
  </si>
  <si>
    <t>DP 278</t>
  </si>
  <si>
    <t>DP 279</t>
  </si>
  <si>
    <t>DP 280</t>
  </si>
  <si>
    <t>DP 281</t>
  </si>
  <si>
    <t>DP 282</t>
  </si>
  <si>
    <t>DP 283</t>
  </si>
  <si>
    <t>DP 284</t>
  </si>
  <si>
    <t>DP 285</t>
  </si>
  <si>
    <t>DP 286</t>
  </si>
  <si>
    <t>DP 287</t>
  </si>
  <si>
    <t>DP 288</t>
  </si>
  <si>
    <t>DP 289</t>
  </si>
  <si>
    <t>DP 290</t>
  </si>
  <si>
    <t>DP 291</t>
  </si>
  <si>
    <t>DP 292</t>
  </si>
  <si>
    <t>DP 293</t>
  </si>
  <si>
    <t>DP 294</t>
  </si>
  <si>
    <t>DP 295</t>
  </si>
  <si>
    <t>DP 296</t>
  </si>
  <si>
    <t>DP 297</t>
  </si>
  <si>
    <t>DP 298</t>
  </si>
  <si>
    <t>DP 299</t>
  </si>
  <si>
    <t>DP 300</t>
  </si>
  <si>
    <t>DP 301</t>
  </si>
  <si>
    <t>DP 302</t>
  </si>
  <si>
    <t>DP 303</t>
  </si>
  <si>
    <t>DP 304</t>
  </si>
  <si>
    <t>DP 305</t>
  </si>
  <si>
    <t>DP 306</t>
  </si>
  <si>
    <t>DP 307</t>
  </si>
  <si>
    <t>DP 308</t>
  </si>
  <si>
    <t>DP 309</t>
  </si>
  <si>
    <t>DP 310</t>
  </si>
  <si>
    <t>DP 311</t>
  </si>
  <si>
    <t>DP 312</t>
  </si>
  <si>
    <t>DP 313</t>
  </si>
  <si>
    <t>DP 314</t>
  </si>
  <si>
    <t>DP 315</t>
  </si>
  <si>
    <t>DP 316</t>
  </si>
  <si>
    <t>DP 317</t>
  </si>
  <si>
    <t>DP 318</t>
  </si>
  <si>
    <t>DP 319</t>
  </si>
  <si>
    <t>DP 320</t>
  </si>
  <si>
    <t>DP 321</t>
  </si>
  <si>
    <t>DP 322</t>
  </si>
  <si>
    <t>DP 323</t>
  </si>
  <si>
    <t>DP 324</t>
  </si>
  <si>
    <t>DP 325</t>
  </si>
  <si>
    <t>DP 326</t>
  </si>
  <si>
    <t>DP 327</t>
  </si>
  <si>
    <t>DP 328</t>
  </si>
  <si>
    <t>DP 329</t>
  </si>
  <si>
    <t>DP 330</t>
  </si>
  <si>
    <t>DP 331</t>
  </si>
  <si>
    <t>DP 332</t>
  </si>
  <si>
    <t>DP 333</t>
  </si>
  <si>
    <t>DP 334</t>
  </si>
  <si>
    <t>DP 335</t>
  </si>
  <si>
    <t>DP 336</t>
  </si>
  <si>
    <t>DP 337</t>
  </si>
  <si>
    <t>DP 338</t>
  </si>
  <si>
    <t>DP 339</t>
  </si>
  <si>
    <t>DP 340</t>
  </si>
  <si>
    <t>DP 341</t>
  </si>
  <si>
    <t>DP 342</t>
  </si>
  <si>
    <t>DP 343</t>
  </si>
  <si>
    <t>DP 344</t>
  </si>
  <si>
    <t>DP 345</t>
  </si>
  <si>
    <t>DP 346</t>
  </si>
  <si>
    <t>DP 347</t>
  </si>
  <si>
    <t>DP 348</t>
  </si>
  <si>
    <t>DP 349</t>
  </si>
  <si>
    <t>DP 350</t>
  </si>
  <si>
    <t>DP 351</t>
  </si>
  <si>
    <t>DP 352</t>
  </si>
  <si>
    <t>DP 353</t>
  </si>
  <si>
    <t>DP 354</t>
  </si>
  <si>
    <t>DP 355</t>
  </si>
  <si>
    <t>DP 356</t>
  </si>
  <si>
    <t>DP 357</t>
  </si>
  <si>
    <t>DP 358</t>
  </si>
  <si>
    <t>DP 359</t>
  </si>
  <si>
    <t>DP 360</t>
  </si>
  <si>
    <t>DP 361</t>
  </si>
  <si>
    <t>DP 362</t>
  </si>
  <si>
    <t>DP 363</t>
  </si>
  <si>
    <t>DP 364</t>
  </si>
  <si>
    <t>DP 365</t>
  </si>
  <si>
    <t>DP 366</t>
  </si>
  <si>
    <t>DP 367</t>
  </si>
  <si>
    <t>DP 368</t>
  </si>
  <si>
    <t>DP 369</t>
  </si>
  <si>
    <t>DP 370</t>
  </si>
  <si>
    <t>DP 371</t>
  </si>
  <si>
    <t>DP 372</t>
  </si>
  <si>
    <t>DP 373</t>
  </si>
  <si>
    <t>DP 374</t>
  </si>
  <si>
    <t>DP 375</t>
  </si>
  <si>
    <t>DP 376</t>
  </si>
  <si>
    <t>DP 377</t>
  </si>
  <si>
    <t>DP 378</t>
  </si>
  <si>
    <t>DP 379</t>
  </si>
  <si>
    <t>DP 380</t>
  </si>
  <si>
    <t>DP 381</t>
  </si>
  <si>
    <t>DP 382</t>
  </si>
  <si>
    <t>DP 383</t>
  </si>
  <si>
    <t>DP 384</t>
  </si>
  <si>
    <t>DP 385</t>
  </si>
  <si>
    <t>DP 386</t>
  </si>
  <si>
    <t>DP 387</t>
  </si>
  <si>
    <t>DP 388</t>
  </si>
  <si>
    <t>DP 389</t>
  </si>
  <si>
    <t>DP 390</t>
  </si>
  <si>
    <t>DP 391</t>
  </si>
  <si>
    <t>DP 392</t>
  </si>
  <si>
    <t>DP 393</t>
  </si>
  <si>
    <t>DP 394</t>
  </si>
  <si>
    <t>DP 395</t>
  </si>
  <si>
    <t>DP 396</t>
  </si>
  <si>
    <t>DP 397</t>
  </si>
  <si>
    <t>DP 398</t>
  </si>
  <si>
    <t>DP 399</t>
  </si>
  <si>
    <t>DP 400</t>
  </si>
  <si>
    <t>DP 401</t>
  </si>
  <si>
    <t>DP 402</t>
  </si>
  <si>
    <t>DP 403</t>
  </si>
  <si>
    <t>DP 404</t>
  </si>
  <si>
    <t>DP 405</t>
  </si>
  <si>
    <t>DP 406</t>
  </si>
  <si>
    <t>DP 407</t>
  </si>
  <si>
    <t>DP 408</t>
  </si>
  <si>
    <t>DP 409</t>
  </si>
  <si>
    <t>DP 410</t>
  </si>
  <si>
    <t>DP 411</t>
  </si>
  <si>
    <t>DP 412</t>
  </si>
  <si>
    <t>DP 413</t>
  </si>
  <si>
    <t>DP 414</t>
  </si>
  <si>
    <t>DP 415</t>
  </si>
  <si>
    <t>DP 416</t>
  </si>
  <si>
    <t>DP 417</t>
  </si>
  <si>
    <t>DP 418</t>
  </si>
  <si>
    <t>DP 419</t>
  </si>
  <si>
    <t>DP 420</t>
  </si>
  <si>
    <t>DP 421</t>
  </si>
  <si>
    <t>DP 422</t>
  </si>
  <si>
    <t>DP 423</t>
  </si>
  <si>
    <t>DP 424</t>
  </si>
  <si>
    <t>DP 425</t>
  </si>
  <si>
    <t>DP 426</t>
  </si>
  <si>
    <t>DP 427</t>
  </si>
  <si>
    <t>DP 428</t>
  </si>
  <si>
    <t>DP 429</t>
  </si>
  <si>
    <t>DP 430</t>
  </si>
  <si>
    <t>DP 431</t>
  </si>
  <si>
    <t>DP 432</t>
  </si>
  <si>
    <t>DP 433</t>
  </si>
  <si>
    <t>DP 434</t>
  </si>
  <si>
    <t>DP 435</t>
  </si>
  <si>
    <t>DP 436</t>
  </si>
  <si>
    <t>DP 437</t>
  </si>
  <si>
    <t>DP 438</t>
  </si>
  <si>
    <t>DP 439</t>
  </si>
  <si>
    <t>DP 440</t>
  </si>
  <si>
    <t>DP 441</t>
  </si>
  <si>
    <t>DP 442</t>
  </si>
  <si>
    <t>DP 443</t>
  </si>
  <si>
    <t>DP 444</t>
  </si>
  <si>
    <t>DP 445</t>
  </si>
  <si>
    <t>DP 446</t>
  </si>
  <si>
    <t>DP 447</t>
  </si>
  <si>
    <t>DP 448</t>
  </si>
  <si>
    <t>DP 449</t>
  </si>
  <si>
    <t># 05/24/2026 17:04:11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</si>
</sst>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b/>
      <sz val="1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0" fillId="0" borderId="0" xfId="0" applyAlignment="1">
      <alignment horizontal="center" wrapText="1"/>
    </xf>
    <xf numFmtId="0" fontId="18" fillId="0" borderId="0" xfId="0" applyFont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0" fontId="20" fillId="0" borderId="0" xfId="0" applyFont="1" applyAlignment="1">
      <alignment horizontal="center" wrapText="1"/>
    </xf>
    <xf numFmtId="0" fontId="20" fillId="0" borderId="10" xfId="0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 vs Error</a:t>
            </a:r>
          </a:p>
        </c:rich>
      </c:tx>
      <c:layout>
        <c:manualLayout>
          <c:xMode val="edge"/>
          <c:yMode val="edge"/>
          <c:x val="0.4229790026246719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'1'!$B$8:$B$257</c:f>
              <c:numCache>
                <c:formatCode>General</c:formatCode>
                <c:ptCount val="250"/>
                <c:pt idx="0">
                  <c:v>77.8</c:v>
                </c:pt>
                <c:pt idx="1">
                  <c:v>73</c:v>
                </c:pt>
                <c:pt idx="2">
                  <c:v>62.4</c:v>
                </c:pt>
                <c:pt idx="3">
                  <c:v>75.5</c:v>
                </c:pt>
                <c:pt idx="4">
                  <c:v>55.6</c:v>
                </c:pt>
                <c:pt idx="5">
                  <c:v>78.8</c:v>
                </c:pt>
                <c:pt idx="6">
                  <c:v>83.8</c:v>
                </c:pt>
                <c:pt idx="7">
                  <c:v>56.8</c:v>
                </c:pt>
                <c:pt idx="8">
                  <c:v>42.1</c:v>
                </c:pt>
                <c:pt idx="9">
                  <c:v>58.6</c:v>
                </c:pt>
                <c:pt idx="10">
                  <c:v>77.2</c:v>
                </c:pt>
                <c:pt idx="11">
                  <c:v>84.1</c:v>
                </c:pt>
                <c:pt idx="12">
                  <c:v>86.3</c:v>
                </c:pt>
                <c:pt idx="13">
                  <c:v>81.8</c:v>
                </c:pt>
                <c:pt idx="14">
                  <c:v>75.8</c:v>
                </c:pt>
                <c:pt idx="15">
                  <c:v>82.1</c:v>
                </c:pt>
                <c:pt idx="16">
                  <c:v>71.900000000000006</c:v>
                </c:pt>
                <c:pt idx="17">
                  <c:v>54.1</c:v>
                </c:pt>
                <c:pt idx="18">
                  <c:v>54.9</c:v>
                </c:pt>
                <c:pt idx="19">
                  <c:v>79.400000000000006</c:v>
                </c:pt>
                <c:pt idx="20">
                  <c:v>89.9</c:v>
                </c:pt>
                <c:pt idx="21">
                  <c:v>53.3</c:v>
                </c:pt>
                <c:pt idx="22">
                  <c:v>82.4</c:v>
                </c:pt>
                <c:pt idx="23">
                  <c:v>89.7</c:v>
                </c:pt>
                <c:pt idx="24">
                  <c:v>87.3</c:v>
                </c:pt>
                <c:pt idx="25">
                  <c:v>40.4</c:v>
                </c:pt>
                <c:pt idx="26">
                  <c:v>79.5</c:v>
                </c:pt>
                <c:pt idx="27">
                  <c:v>73.2</c:v>
                </c:pt>
                <c:pt idx="28">
                  <c:v>50.6</c:v>
                </c:pt>
                <c:pt idx="29">
                  <c:v>42</c:v>
                </c:pt>
                <c:pt idx="30">
                  <c:v>46</c:v>
                </c:pt>
                <c:pt idx="31">
                  <c:v>83</c:v>
                </c:pt>
                <c:pt idx="32">
                  <c:v>65.099999999999994</c:v>
                </c:pt>
                <c:pt idx="33">
                  <c:v>84.4</c:v>
                </c:pt>
                <c:pt idx="34">
                  <c:v>70.400000000000006</c:v>
                </c:pt>
                <c:pt idx="35">
                  <c:v>75.400000000000006</c:v>
                </c:pt>
                <c:pt idx="36">
                  <c:v>78.900000000000006</c:v>
                </c:pt>
                <c:pt idx="37">
                  <c:v>74.400000000000006</c:v>
                </c:pt>
                <c:pt idx="38">
                  <c:v>84.8</c:v>
                </c:pt>
                <c:pt idx="39">
                  <c:v>48.5</c:v>
                </c:pt>
                <c:pt idx="40">
                  <c:v>67.5</c:v>
                </c:pt>
                <c:pt idx="41">
                  <c:v>51.6</c:v>
                </c:pt>
                <c:pt idx="42">
                  <c:v>70.8</c:v>
                </c:pt>
                <c:pt idx="43">
                  <c:v>51.7</c:v>
                </c:pt>
                <c:pt idx="44">
                  <c:v>70</c:v>
                </c:pt>
                <c:pt idx="45">
                  <c:v>83.6</c:v>
                </c:pt>
                <c:pt idx="46">
                  <c:v>68.3</c:v>
                </c:pt>
                <c:pt idx="47">
                  <c:v>70.8</c:v>
                </c:pt>
                <c:pt idx="48">
                  <c:v>59.4</c:v>
                </c:pt>
                <c:pt idx="49">
                  <c:v>54.8</c:v>
                </c:pt>
                <c:pt idx="50">
                  <c:v>61.3</c:v>
                </c:pt>
                <c:pt idx="51">
                  <c:v>84.3</c:v>
                </c:pt>
                <c:pt idx="52">
                  <c:v>64</c:v>
                </c:pt>
                <c:pt idx="53">
                  <c:v>82.6</c:v>
                </c:pt>
                <c:pt idx="54">
                  <c:v>73.2</c:v>
                </c:pt>
                <c:pt idx="55">
                  <c:v>75.099999999999994</c:v>
                </c:pt>
                <c:pt idx="56">
                  <c:v>80.3</c:v>
                </c:pt>
                <c:pt idx="57">
                  <c:v>80.8</c:v>
                </c:pt>
                <c:pt idx="58">
                  <c:v>47.3</c:v>
                </c:pt>
                <c:pt idx="59">
                  <c:v>77.099999999999994</c:v>
                </c:pt>
                <c:pt idx="60">
                  <c:v>56.7</c:v>
                </c:pt>
                <c:pt idx="61">
                  <c:v>61</c:v>
                </c:pt>
                <c:pt idx="62">
                  <c:v>77.599999999999994</c:v>
                </c:pt>
                <c:pt idx="63">
                  <c:v>78.400000000000006</c:v>
                </c:pt>
                <c:pt idx="64">
                  <c:v>87.4</c:v>
                </c:pt>
                <c:pt idx="65">
                  <c:v>54.1</c:v>
                </c:pt>
                <c:pt idx="66">
                  <c:v>69.3</c:v>
                </c:pt>
                <c:pt idx="67">
                  <c:v>72.8</c:v>
                </c:pt>
                <c:pt idx="68">
                  <c:v>52.1</c:v>
                </c:pt>
                <c:pt idx="69">
                  <c:v>58.2</c:v>
                </c:pt>
                <c:pt idx="70">
                  <c:v>45.2</c:v>
                </c:pt>
                <c:pt idx="71">
                  <c:v>44.2</c:v>
                </c:pt>
                <c:pt idx="72">
                  <c:v>63</c:v>
                </c:pt>
                <c:pt idx="73">
                  <c:v>80.7</c:v>
                </c:pt>
                <c:pt idx="74">
                  <c:v>54.8</c:v>
                </c:pt>
                <c:pt idx="75">
                  <c:v>64.5</c:v>
                </c:pt>
                <c:pt idx="76">
                  <c:v>83.2</c:v>
                </c:pt>
                <c:pt idx="77">
                  <c:v>55.4</c:v>
                </c:pt>
                <c:pt idx="78">
                  <c:v>73.7</c:v>
                </c:pt>
                <c:pt idx="79">
                  <c:v>78.599999999999994</c:v>
                </c:pt>
                <c:pt idx="80">
                  <c:v>65</c:v>
                </c:pt>
                <c:pt idx="81">
                  <c:v>88.6</c:v>
                </c:pt>
                <c:pt idx="82">
                  <c:v>52.8</c:v>
                </c:pt>
                <c:pt idx="83">
                  <c:v>77.5</c:v>
                </c:pt>
                <c:pt idx="84">
                  <c:v>46.4</c:v>
                </c:pt>
                <c:pt idx="85">
                  <c:v>66.900000000000006</c:v>
                </c:pt>
                <c:pt idx="86">
                  <c:v>86.8</c:v>
                </c:pt>
                <c:pt idx="87">
                  <c:v>89.4</c:v>
                </c:pt>
                <c:pt idx="88">
                  <c:v>61.1</c:v>
                </c:pt>
                <c:pt idx="89">
                  <c:v>55.6</c:v>
                </c:pt>
                <c:pt idx="90">
                  <c:v>56.1</c:v>
                </c:pt>
                <c:pt idx="91">
                  <c:v>63.6</c:v>
                </c:pt>
                <c:pt idx="92">
                  <c:v>86.1</c:v>
                </c:pt>
                <c:pt idx="93">
                  <c:v>54.1</c:v>
                </c:pt>
                <c:pt idx="94">
                  <c:v>51.6</c:v>
                </c:pt>
                <c:pt idx="95">
                  <c:v>83.3</c:v>
                </c:pt>
                <c:pt idx="96">
                  <c:v>42.9</c:v>
                </c:pt>
                <c:pt idx="97">
                  <c:v>47.5</c:v>
                </c:pt>
                <c:pt idx="98">
                  <c:v>80.5</c:v>
                </c:pt>
                <c:pt idx="99">
                  <c:v>81.8</c:v>
                </c:pt>
                <c:pt idx="100">
                  <c:v>75.400000000000006</c:v>
                </c:pt>
                <c:pt idx="101">
                  <c:v>58.8</c:v>
                </c:pt>
                <c:pt idx="102">
                  <c:v>82.9</c:v>
                </c:pt>
                <c:pt idx="103">
                  <c:v>51.5</c:v>
                </c:pt>
                <c:pt idx="104">
                  <c:v>67.900000000000006</c:v>
                </c:pt>
                <c:pt idx="105">
                  <c:v>72.900000000000006</c:v>
                </c:pt>
                <c:pt idx="106">
                  <c:v>77.5</c:v>
                </c:pt>
                <c:pt idx="107">
                  <c:v>54.8</c:v>
                </c:pt>
                <c:pt idx="108">
                  <c:v>83</c:v>
                </c:pt>
                <c:pt idx="109">
                  <c:v>72.2</c:v>
                </c:pt>
                <c:pt idx="110">
                  <c:v>49.1</c:v>
                </c:pt>
                <c:pt idx="111">
                  <c:v>53</c:v>
                </c:pt>
                <c:pt idx="112">
                  <c:v>57</c:v>
                </c:pt>
                <c:pt idx="113">
                  <c:v>77.599999999999994</c:v>
                </c:pt>
                <c:pt idx="114">
                  <c:v>52.5</c:v>
                </c:pt>
                <c:pt idx="115">
                  <c:v>84.7</c:v>
                </c:pt>
                <c:pt idx="116">
                  <c:v>42.4</c:v>
                </c:pt>
                <c:pt idx="117">
                  <c:v>51.9</c:v>
                </c:pt>
                <c:pt idx="118">
                  <c:v>45.6</c:v>
                </c:pt>
                <c:pt idx="119">
                  <c:v>68.8</c:v>
                </c:pt>
                <c:pt idx="120">
                  <c:v>46.9</c:v>
                </c:pt>
                <c:pt idx="121">
                  <c:v>46.6</c:v>
                </c:pt>
                <c:pt idx="122">
                  <c:v>63.5</c:v>
                </c:pt>
                <c:pt idx="123">
                  <c:v>53.9</c:v>
                </c:pt>
                <c:pt idx="124">
                  <c:v>50.3</c:v>
                </c:pt>
                <c:pt idx="125">
                  <c:v>47</c:v>
                </c:pt>
                <c:pt idx="126">
                  <c:v>60.8</c:v>
                </c:pt>
                <c:pt idx="127">
                  <c:v>81.3</c:v>
                </c:pt>
                <c:pt idx="128">
                  <c:v>83.4</c:v>
                </c:pt>
                <c:pt idx="129">
                  <c:v>65</c:v>
                </c:pt>
                <c:pt idx="130">
                  <c:v>66.900000000000006</c:v>
                </c:pt>
                <c:pt idx="131">
                  <c:v>46.6</c:v>
                </c:pt>
                <c:pt idx="132">
                  <c:v>88.3</c:v>
                </c:pt>
                <c:pt idx="133">
                  <c:v>60.1</c:v>
                </c:pt>
                <c:pt idx="134">
                  <c:v>41.6</c:v>
                </c:pt>
                <c:pt idx="135">
                  <c:v>46.4</c:v>
                </c:pt>
                <c:pt idx="136">
                  <c:v>66.900000000000006</c:v>
                </c:pt>
                <c:pt idx="137">
                  <c:v>51.7</c:v>
                </c:pt>
                <c:pt idx="138">
                  <c:v>46</c:v>
                </c:pt>
                <c:pt idx="139">
                  <c:v>53.8</c:v>
                </c:pt>
                <c:pt idx="140">
                  <c:v>82.1</c:v>
                </c:pt>
                <c:pt idx="141">
                  <c:v>40.799999999999997</c:v>
                </c:pt>
                <c:pt idx="142">
                  <c:v>87.4</c:v>
                </c:pt>
                <c:pt idx="143">
                  <c:v>44</c:v>
                </c:pt>
                <c:pt idx="144">
                  <c:v>56.3</c:v>
                </c:pt>
                <c:pt idx="145">
                  <c:v>55.6</c:v>
                </c:pt>
                <c:pt idx="146">
                  <c:v>67.099999999999994</c:v>
                </c:pt>
                <c:pt idx="147">
                  <c:v>71</c:v>
                </c:pt>
                <c:pt idx="148">
                  <c:v>85.9</c:v>
                </c:pt>
                <c:pt idx="149">
                  <c:v>89</c:v>
                </c:pt>
                <c:pt idx="150">
                  <c:v>78.8</c:v>
                </c:pt>
                <c:pt idx="151">
                  <c:v>57.7</c:v>
                </c:pt>
                <c:pt idx="152">
                  <c:v>47.2</c:v>
                </c:pt>
                <c:pt idx="153">
                  <c:v>64.5</c:v>
                </c:pt>
                <c:pt idx="154">
                  <c:v>49.7</c:v>
                </c:pt>
                <c:pt idx="155">
                  <c:v>62.9</c:v>
                </c:pt>
                <c:pt idx="156">
                  <c:v>63.5</c:v>
                </c:pt>
                <c:pt idx="157">
                  <c:v>60.4</c:v>
                </c:pt>
                <c:pt idx="158">
                  <c:v>77</c:v>
                </c:pt>
                <c:pt idx="159">
                  <c:v>84.6</c:v>
                </c:pt>
                <c:pt idx="160">
                  <c:v>89.9</c:v>
                </c:pt>
                <c:pt idx="161">
                  <c:v>57.1</c:v>
                </c:pt>
                <c:pt idx="162">
                  <c:v>52.7</c:v>
                </c:pt>
                <c:pt idx="163">
                  <c:v>78.900000000000006</c:v>
                </c:pt>
                <c:pt idx="164">
                  <c:v>50.5</c:v>
                </c:pt>
                <c:pt idx="165">
                  <c:v>68.2</c:v>
                </c:pt>
                <c:pt idx="166">
                  <c:v>85</c:v>
                </c:pt>
                <c:pt idx="167">
                  <c:v>76.900000000000006</c:v>
                </c:pt>
                <c:pt idx="168">
                  <c:v>58.3</c:v>
                </c:pt>
                <c:pt idx="169">
                  <c:v>76</c:v>
                </c:pt>
                <c:pt idx="170">
                  <c:v>51.9</c:v>
                </c:pt>
                <c:pt idx="171">
                  <c:v>43</c:v>
                </c:pt>
                <c:pt idx="172">
                  <c:v>60.5</c:v>
                </c:pt>
                <c:pt idx="173">
                  <c:v>45.8</c:v>
                </c:pt>
                <c:pt idx="174">
                  <c:v>44.9</c:v>
                </c:pt>
                <c:pt idx="175">
                  <c:v>74</c:v>
                </c:pt>
                <c:pt idx="176">
                  <c:v>50.4</c:v>
                </c:pt>
                <c:pt idx="177">
                  <c:v>78</c:v>
                </c:pt>
                <c:pt idx="178">
                  <c:v>65.5</c:v>
                </c:pt>
                <c:pt idx="179">
                  <c:v>50.1</c:v>
                </c:pt>
                <c:pt idx="180">
                  <c:v>65.8</c:v>
                </c:pt>
                <c:pt idx="181">
                  <c:v>89.9</c:v>
                </c:pt>
                <c:pt idx="182">
                  <c:v>75.900000000000006</c:v>
                </c:pt>
                <c:pt idx="183">
                  <c:v>70.3</c:v>
                </c:pt>
                <c:pt idx="184">
                  <c:v>74.400000000000006</c:v>
                </c:pt>
                <c:pt idx="185">
                  <c:v>47.2</c:v>
                </c:pt>
                <c:pt idx="186">
                  <c:v>57.1</c:v>
                </c:pt>
                <c:pt idx="187">
                  <c:v>79.400000000000006</c:v>
                </c:pt>
                <c:pt idx="188">
                  <c:v>58.8</c:v>
                </c:pt>
                <c:pt idx="189">
                  <c:v>88.8</c:v>
                </c:pt>
                <c:pt idx="190">
                  <c:v>63.2</c:v>
                </c:pt>
                <c:pt idx="191">
                  <c:v>70.5</c:v>
                </c:pt>
                <c:pt idx="192">
                  <c:v>59.4</c:v>
                </c:pt>
                <c:pt idx="193">
                  <c:v>48.2</c:v>
                </c:pt>
                <c:pt idx="194">
                  <c:v>73.8</c:v>
                </c:pt>
                <c:pt idx="195">
                  <c:v>68.2</c:v>
                </c:pt>
                <c:pt idx="196">
                  <c:v>54.2</c:v>
                </c:pt>
                <c:pt idx="197">
                  <c:v>47.4</c:v>
                </c:pt>
                <c:pt idx="198">
                  <c:v>69.5</c:v>
                </c:pt>
                <c:pt idx="199">
                  <c:v>83.1</c:v>
                </c:pt>
                <c:pt idx="200">
                  <c:v>85.4</c:v>
                </c:pt>
                <c:pt idx="201">
                  <c:v>44.3</c:v>
                </c:pt>
                <c:pt idx="202">
                  <c:v>59.4</c:v>
                </c:pt>
                <c:pt idx="203">
                  <c:v>43.8</c:v>
                </c:pt>
                <c:pt idx="204">
                  <c:v>74.599999999999994</c:v>
                </c:pt>
                <c:pt idx="205">
                  <c:v>63.7</c:v>
                </c:pt>
                <c:pt idx="206">
                  <c:v>85.7</c:v>
                </c:pt>
                <c:pt idx="207">
                  <c:v>51.2</c:v>
                </c:pt>
                <c:pt idx="208">
                  <c:v>84</c:v>
                </c:pt>
                <c:pt idx="209">
                  <c:v>65.3</c:v>
                </c:pt>
                <c:pt idx="210">
                  <c:v>58.5</c:v>
                </c:pt>
                <c:pt idx="211">
                  <c:v>69.7</c:v>
                </c:pt>
                <c:pt idx="212">
                  <c:v>82.9</c:v>
                </c:pt>
                <c:pt idx="213">
                  <c:v>41.8</c:v>
                </c:pt>
                <c:pt idx="214">
                  <c:v>71.400000000000006</c:v>
                </c:pt>
                <c:pt idx="215">
                  <c:v>85.2</c:v>
                </c:pt>
                <c:pt idx="216">
                  <c:v>42.5</c:v>
                </c:pt>
                <c:pt idx="217">
                  <c:v>76.2</c:v>
                </c:pt>
                <c:pt idx="218">
                  <c:v>68.900000000000006</c:v>
                </c:pt>
                <c:pt idx="219">
                  <c:v>83.8</c:v>
                </c:pt>
                <c:pt idx="220">
                  <c:v>74.099999999999994</c:v>
                </c:pt>
                <c:pt idx="221">
                  <c:v>68.7</c:v>
                </c:pt>
                <c:pt idx="222">
                  <c:v>63.5</c:v>
                </c:pt>
                <c:pt idx="223">
                  <c:v>62.2</c:v>
                </c:pt>
                <c:pt idx="224">
                  <c:v>73.2</c:v>
                </c:pt>
                <c:pt idx="225">
                  <c:v>62.1</c:v>
                </c:pt>
                <c:pt idx="226">
                  <c:v>49</c:v>
                </c:pt>
                <c:pt idx="227">
                  <c:v>47.7</c:v>
                </c:pt>
                <c:pt idx="228">
                  <c:v>71.5</c:v>
                </c:pt>
                <c:pt idx="229">
                  <c:v>42.5</c:v>
                </c:pt>
                <c:pt idx="230">
                  <c:v>56.6</c:v>
                </c:pt>
                <c:pt idx="231">
                  <c:v>67.099999999999994</c:v>
                </c:pt>
                <c:pt idx="232">
                  <c:v>64.5</c:v>
                </c:pt>
                <c:pt idx="233">
                  <c:v>40.299999999999997</c:v>
                </c:pt>
                <c:pt idx="234">
                  <c:v>62.7</c:v>
                </c:pt>
                <c:pt idx="235">
                  <c:v>83.7</c:v>
                </c:pt>
                <c:pt idx="236">
                  <c:v>55.2</c:v>
                </c:pt>
                <c:pt idx="237">
                  <c:v>79.400000000000006</c:v>
                </c:pt>
                <c:pt idx="238">
                  <c:v>55.8</c:v>
                </c:pt>
                <c:pt idx="239">
                  <c:v>68.5</c:v>
                </c:pt>
                <c:pt idx="240">
                  <c:v>50.7</c:v>
                </c:pt>
                <c:pt idx="241">
                  <c:v>78.099999999999994</c:v>
                </c:pt>
                <c:pt idx="242">
                  <c:v>85.8</c:v>
                </c:pt>
                <c:pt idx="243">
                  <c:v>52.8</c:v>
                </c:pt>
                <c:pt idx="244">
                  <c:v>63.9</c:v>
                </c:pt>
                <c:pt idx="245">
                  <c:v>54.7</c:v>
                </c:pt>
                <c:pt idx="246">
                  <c:v>55.7</c:v>
                </c:pt>
                <c:pt idx="247">
                  <c:v>41.3</c:v>
                </c:pt>
                <c:pt idx="248">
                  <c:v>56.4</c:v>
                </c:pt>
                <c:pt idx="249">
                  <c:v>79.400000000000006</c:v>
                </c:pt>
              </c:numCache>
            </c:numRef>
          </c:xVal>
          <c:yVal>
            <c:numRef>
              <c:f>'1'!$L$8:$L$257</c:f>
              <c:numCache>
                <c:formatCode>0.00</c:formatCode>
                <c:ptCount val="250"/>
                <c:pt idx="0">
                  <c:v>4.8885098440760766</c:v>
                </c:pt>
                <c:pt idx="1">
                  <c:v>-3.1758157930647242</c:v>
                </c:pt>
                <c:pt idx="2">
                  <c:v>1.0452844633796494</c:v>
                </c:pt>
                <c:pt idx="3">
                  <c:v>2.457156321819459</c:v>
                </c:pt>
                <c:pt idx="4">
                  <c:v>-8.9182521495693408</c:v>
                </c:pt>
                <c:pt idx="5">
                  <c:v>-3.161937830000884</c:v>
                </c:pt>
                <c:pt idx="6">
                  <c:v>4.484107592714639</c:v>
                </c:pt>
                <c:pt idx="7">
                  <c:v>-1.741426936156236</c:v>
                </c:pt>
                <c:pt idx="8">
                  <c:v>13.153365928508656</c:v>
                </c:pt>
                <c:pt idx="9">
                  <c:v>5.0068032408146017</c:v>
                </c:pt>
                <c:pt idx="10">
                  <c:v>-2.3836290771657653</c:v>
                </c:pt>
                <c:pt idx="11">
                  <c:v>4.9694920042427624</c:v>
                </c:pt>
                <c:pt idx="12">
                  <c:v>-2.6048606244716135</c:v>
                </c:pt>
                <c:pt idx="13">
                  <c:v>-6.1790050073687715</c:v>
                </c:pt>
                <c:pt idx="14">
                  <c:v>3.9279242105262985E-2</c:v>
                </c:pt>
                <c:pt idx="15">
                  <c:v>-6.5425449787600645</c:v>
                </c:pt>
                <c:pt idx="16">
                  <c:v>4.8749534760646149</c:v>
                </c:pt>
                <c:pt idx="17">
                  <c:v>4.5252337803011198</c:v>
                </c:pt>
                <c:pt idx="18">
                  <c:v>-2.2821013336854543</c:v>
                </c:pt>
                <c:pt idx="19">
                  <c:v>-1.8174959364670376</c:v>
                </c:pt>
                <c:pt idx="20">
                  <c:v>9.1768952668614769</c:v>
                </c:pt>
                <c:pt idx="21">
                  <c:v>-3.3253769624631913</c:v>
                </c:pt>
                <c:pt idx="22">
                  <c:v>-1.9066887614604666</c:v>
                </c:pt>
                <c:pt idx="23">
                  <c:v>1.1536673375925808</c:v>
                </c:pt>
                <c:pt idx="24">
                  <c:v>-0.48266950206591314</c:v>
                </c:pt>
                <c:pt idx="25">
                  <c:v>6.3312864565250022</c:v>
                </c:pt>
                <c:pt idx="26">
                  <c:v>0.88392153919634331</c:v>
                </c:pt>
                <c:pt idx="27">
                  <c:v>4.9627473650803529</c:v>
                </c:pt>
                <c:pt idx="28">
                  <c:v>-5.5252199180184753</c:v>
                </c:pt>
                <c:pt idx="29">
                  <c:v>10.647907077342234</c:v>
                </c:pt>
                <c:pt idx="30">
                  <c:v>12.677373104439003</c:v>
                </c:pt>
                <c:pt idx="31">
                  <c:v>5.4941525658857815</c:v>
                </c:pt>
                <c:pt idx="32">
                  <c:v>7.0793814822198291</c:v>
                </c:pt>
                <c:pt idx="33">
                  <c:v>0.67482811835853973</c:v>
                </c:pt>
                <c:pt idx="34">
                  <c:v>4.4962693198742336</c:v>
                </c:pt>
                <c:pt idx="35">
                  <c:v>-0.63257633043953909</c:v>
                </c:pt>
                <c:pt idx="36">
                  <c:v>-6.2989017989937128</c:v>
                </c:pt>
                <c:pt idx="37">
                  <c:v>18.024566142736202</c:v>
                </c:pt>
                <c:pt idx="38">
                  <c:v>5.2034035111980055</c:v>
                </c:pt>
                <c:pt idx="39">
                  <c:v>-0.9557776741704419</c:v>
                </c:pt>
                <c:pt idx="40">
                  <c:v>1.5294746549882063</c:v>
                </c:pt>
                <c:pt idx="41">
                  <c:v>-1.4823146867675476</c:v>
                </c:pt>
                <c:pt idx="42">
                  <c:v>7.8659023504445607</c:v>
                </c:pt>
                <c:pt idx="43">
                  <c:v>12.119695435462376</c:v>
                </c:pt>
                <c:pt idx="44">
                  <c:v>-1.8024677687643553</c:v>
                </c:pt>
                <c:pt idx="45">
                  <c:v>5.2037972829042589</c:v>
                </c:pt>
                <c:pt idx="46">
                  <c:v>12.594577858277717</c:v>
                </c:pt>
                <c:pt idx="47">
                  <c:v>-5.0513933324880664</c:v>
                </c:pt>
                <c:pt idx="48">
                  <c:v>4.4785906210611808</c:v>
                </c:pt>
                <c:pt idx="49">
                  <c:v>2.7797903541666504</c:v>
                </c:pt>
                <c:pt idx="50">
                  <c:v>-4.7501013477016496</c:v>
                </c:pt>
                <c:pt idx="51">
                  <c:v>2.1645383227240775</c:v>
                </c:pt>
                <c:pt idx="52">
                  <c:v>2.7275536325109311</c:v>
                </c:pt>
                <c:pt idx="53">
                  <c:v>5.8058120424471733</c:v>
                </c:pt>
                <c:pt idx="54">
                  <c:v>-1.0048326295481147</c:v>
                </c:pt>
                <c:pt idx="55">
                  <c:v>-4.3533735611412707</c:v>
                </c:pt>
                <c:pt idx="56">
                  <c:v>-0.95672866990093497</c:v>
                </c:pt>
                <c:pt idx="57">
                  <c:v>-4.8393870018265925</c:v>
                </c:pt>
                <c:pt idx="58">
                  <c:v>2.5744245415936411</c:v>
                </c:pt>
                <c:pt idx="59">
                  <c:v>0.89501461305293883</c:v>
                </c:pt>
                <c:pt idx="60">
                  <c:v>0.32796039437609587</c:v>
                </c:pt>
                <c:pt idx="61">
                  <c:v>-5.0540723133752214</c:v>
                </c:pt>
                <c:pt idx="62">
                  <c:v>-7.5904577826555037</c:v>
                </c:pt>
                <c:pt idx="63">
                  <c:v>-6.6586119143590832</c:v>
                </c:pt>
                <c:pt idx="64">
                  <c:v>-1.1979047265614531</c:v>
                </c:pt>
                <c:pt idx="65">
                  <c:v>-1.1862431088479104</c:v>
                </c:pt>
                <c:pt idx="66">
                  <c:v>-1.4682372490539786</c:v>
                </c:pt>
                <c:pt idx="67">
                  <c:v>-2.9199116696251979</c:v>
                </c:pt>
                <c:pt idx="68">
                  <c:v>5.2335117689057009</c:v>
                </c:pt>
                <c:pt idx="69">
                  <c:v>6.4904113666324177</c:v>
                </c:pt>
                <c:pt idx="70">
                  <c:v>3.7082624202208452</c:v>
                </c:pt>
                <c:pt idx="71">
                  <c:v>7.0085999985036391</c:v>
                </c:pt>
                <c:pt idx="72">
                  <c:v>18.586103943794097</c:v>
                </c:pt>
                <c:pt idx="73">
                  <c:v>2.6633449689039272</c:v>
                </c:pt>
                <c:pt idx="74">
                  <c:v>4.4254731515713299</c:v>
                </c:pt>
                <c:pt idx="75">
                  <c:v>8.5542976513921989</c:v>
                </c:pt>
                <c:pt idx="76">
                  <c:v>2.0094332802228378</c:v>
                </c:pt>
                <c:pt idx="77">
                  <c:v>-2.2878332138294417</c:v>
                </c:pt>
                <c:pt idx="78">
                  <c:v>2.9740373761449388</c:v>
                </c:pt>
                <c:pt idx="79">
                  <c:v>1.6094502941588822</c:v>
                </c:pt>
                <c:pt idx="80">
                  <c:v>2.6644408016302372</c:v>
                </c:pt>
                <c:pt idx="81">
                  <c:v>8.9842181886788808</c:v>
                </c:pt>
                <c:pt idx="82">
                  <c:v>9.3615783435585147</c:v>
                </c:pt>
                <c:pt idx="83">
                  <c:v>-3.9483563465540397</c:v>
                </c:pt>
                <c:pt idx="84">
                  <c:v>-1.346389061547018</c:v>
                </c:pt>
                <c:pt idx="85">
                  <c:v>6.5373341616106941</c:v>
                </c:pt>
                <c:pt idx="86">
                  <c:v>-0.84456135459693094</c:v>
                </c:pt>
                <c:pt idx="87">
                  <c:v>5.9172891673648316</c:v>
                </c:pt>
                <c:pt idx="88">
                  <c:v>5.9142926907735385</c:v>
                </c:pt>
                <c:pt idx="89">
                  <c:v>7.7237826424533793</c:v>
                </c:pt>
                <c:pt idx="90">
                  <c:v>7.8476429736226549</c:v>
                </c:pt>
                <c:pt idx="91">
                  <c:v>-3.7015913831933998</c:v>
                </c:pt>
                <c:pt idx="92">
                  <c:v>-4.3598153763183722</c:v>
                </c:pt>
                <c:pt idx="93">
                  <c:v>4.8294808580980151</c:v>
                </c:pt>
                <c:pt idx="94">
                  <c:v>11.681957505273294</c:v>
                </c:pt>
                <c:pt idx="95">
                  <c:v>4.5435713883603475</c:v>
                </c:pt>
                <c:pt idx="96">
                  <c:v>15.799221990876452</c:v>
                </c:pt>
                <c:pt idx="97">
                  <c:v>-1.2485265828092047</c:v>
                </c:pt>
                <c:pt idx="98">
                  <c:v>-3.4003261294812028</c:v>
                </c:pt>
                <c:pt idx="99">
                  <c:v>4.2112422842340385</c:v>
                </c:pt>
                <c:pt idx="100">
                  <c:v>0.18276677653432194</c:v>
                </c:pt>
                <c:pt idx="101">
                  <c:v>3.1520210867265379</c:v>
                </c:pt>
                <c:pt idx="102">
                  <c:v>0.96004141311605184</c:v>
                </c:pt>
                <c:pt idx="103">
                  <c:v>7.640951327079688</c:v>
                </c:pt>
                <c:pt idx="104">
                  <c:v>-1.6876600150160248</c:v>
                </c:pt>
                <c:pt idx="105">
                  <c:v>-7.1304683361713552</c:v>
                </c:pt>
                <c:pt idx="106">
                  <c:v>4.0346450539190748</c:v>
                </c:pt>
                <c:pt idx="107">
                  <c:v>8.8254990016050403</c:v>
                </c:pt>
                <c:pt idx="108">
                  <c:v>3.3908321499486345</c:v>
                </c:pt>
                <c:pt idx="109">
                  <c:v>-0.72768651123699879</c:v>
                </c:pt>
                <c:pt idx="110">
                  <c:v>8.9759810100706474</c:v>
                </c:pt>
                <c:pt idx="111">
                  <c:v>-0.13071337085433218</c:v>
                </c:pt>
                <c:pt idx="112">
                  <c:v>1.7880777687119758</c:v>
                </c:pt>
                <c:pt idx="113">
                  <c:v>1.3158315650293015</c:v>
                </c:pt>
                <c:pt idx="114">
                  <c:v>5.9747558508538399</c:v>
                </c:pt>
                <c:pt idx="115">
                  <c:v>5.6177159709261755</c:v>
                </c:pt>
                <c:pt idx="116">
                  <c:v>-1.3467567219898282</c:v>
                </c:pt>
                <c:pt idx="117">
                  <c:v>1.6443573162752703</c:v>
                </c:pt>
                <c:pt idx="118">
                  <c:v>7.6206092017835365</c:v>
                </c:pt>
                <c:pt idx="119">
                  <c:v>9.6786746776843824</c:v>
                </c:pt>
                <c:pt idx="120">
                  <c:v>5.199670399858519</c:v>
                </c:pt>
                <c:pt idx="121">
                  <c:v>8.9844400940233307</c:v>
                </c:pt>
                <c:pt idx="122">
                  <c:v>2.14701893870056</c:v>
                </c:pt>
                <c:pt idx="123">
                  <c:v>4.4535292823738413</c:v>
                </c:pt>
                <c:pt idx="124">
                  <c:v>0.30547359562555793</c:v>
                </c:pt>
                <c:pt idx="125">
                  <c:v>3.0935793723527527</c:v>
                </c:pt>
                <c:pt idx="126">
                  <c:v>-4.0645639778846308</c:v>
                </c:pt>
                <c:pt idx="127">
                  <c:v>-4.4756014277603038</c:v>
                </c:pt>
                <c:pt idx="128">
                  <c:v>-8.2796545432830762</c:v>
                </c:pt>
                <c:pt idx="129">
                  <c:v>-8.6205636893817204</c:v>
                </c:pt>
                <c:pt idx="130">
                  <c:v>-0.90065305095860038</c:v>
                </c:pt>
                <c:pt idx="131">
                  <c:v>3.9415604426390409</c:v>
                </c:pt>
                <c:pt idx="132">
                  <c:v>3.0941240187756964</c:v>
                </c:pt>
                <c:pt idx="133">
                  <c:v>2.280703473578082</c:v>
                </c:pt>
                <c:pt idx="134">
                  <c:v>15.130947092618063</c:v>
                </c:pt>
                <c:pt idx="135">
                  <c:v>2.869895011340569</c:v>
                </c:pt>
                <c:pt idx="136">
                  <c:v>-1.3449569712012077</c:v>
                </c:pt>
                <c:pt idx="137">
                  <c:v>7.558364927413173</c:v>
                </c:pt>
                <c:pt idx="138">
                  <c:v>6.1999277793429552</c:v>
                </c:pt>
                <c:pt idx="139">
                  <c:v>0.8881289121383501</c:v>
                </c:pt>
                <c:pt idx="140">
                  <c:v>-4.9458324922030705</c:v>
                </c:pt>
                <c:pt idx="141">
                  <c:v>7.3013482303446455</c:v>
                </c:pt>
                <c:pt idx="142">
                  <c:v>1.5265849739851753</c:v>
                </c:pt>
                <c:pt idx="143">
                  <c:v>8.2183301554405919</c:v>
                </c:pt>
                <c:pt idx="144">
                  <c:v>9.6687599682584757</c:v>
                </c:pt>
                <c:pt idx="145">
                  <c:v>15.369128586924836</c:v>
                </c:pt>
                <c:pt idx="146">
                  <c:v>11.300233723720757</c:v>
                </c:pt>
                <c:pt idx="147">
                  <c:v>0.23651564015676063</c:v>
                </c:pt>
                <c:pt idx="148">
                  <c:v>-5.1169172675739547E-2</c:v>
                </c:pt>
                <c:pt idx="149">
                  <c:v>-5.5650497668570367</c:v>
                </c:pt>
                <c:pt idx="150">
                  <c:v>2.0215579593192605</c:v>
                </c:pt>
                <c:pt idx="151">
                  <c:v>3.6757122848482968</c:v>
                </c:pt>
                <c:pt idx="152">
                  <c:v>10.989539192514682</c:v>
                </c:pt>
                <c:pt idx="153">
                  <c:v>5.8912797864119453</c:v>
                </c:pt>
                <c:pt idx="154">
                  <c:v>3.0837923048874911</c:v>
                </c:pt>
                <c:pt idx="155">
                  <c:v>11.167600439077164</c:v>
                </c:pt>
                <c:pt idx="156">
                  <c:v>12.291029384402224</c:v>
                </c:pt>
                <c:pt idx="157">
                  <c:v>10.130773416178487</c:v>
                </c:pt>
                <c:pt idx="158">
                  <c:v>-2.4998527086554874</c:v>
                </c:pt>
                <c:pt idx="159">
                  <c:v>-2.4960306679771516</c:v>
                </c:pt>
                <c:pt idx="160">
                  <c:v>1.4826617992418574</c:v>
                </c:pt>
                <c:pt idx="161">
                  <c:v>13.243207061003936</c:v>
                </c:pt>
                <c:pt idx="162">
                  <c:v>-1.3238984871308541</c:v>
                </c:pt>
                <c:pt idx="163">
                  <c:v>5.9133120007497499</c:v>
                </c:pt>
                <c:pt idx="164">
                  <c:v>6.5634362101372217</c:v>
                </c:pt>
                <c:pt idx="165">
                  <c:v>7.0071276438979178</c:v>
                </c:pt>
                <c:pt idx="166">
                  <c:v>2.0936340229052819</c:v>
                </c:pt>
                <c:pt idx="167">
                  <c:v>-3.6604196667424906</c:v>
                </c:pt>
                <c:pt idx="168">
                  <c:v>3.5248271433814433</c:v>
                </c:pt>
                <c:pt idx="169">
                  <c:v>1.0157034107674427</c:v>
                </c:pt>
                <c:pt idx="170">
                  <c:v>10.638660290802497</c:v>
                </c:pt>
                <c:pt idx="171">
                  <c:v>9.2568298740254491</c:v>
                </c:pt>
                <c:pt idx="172">
                  <c:v>3.8349175147653289</c:v>
                </c:pt>
                <c:pt idx="173">
                  <c:v>9.523939856033552</c:v>
                </c:pt>
                <c:pt idx="174">
                  <c:v>4.0029459641273561</c:v>
                </c:pt>
                <c:pt idx="175">
                  <c:v>0.683269082952777</c:v>
                </c:pt>
                <c:pt idx="176">
                  <c:v>-1.4062945487482386</c:v>
                </c:pt>
                <c:pt idx="177">
                  <c:v>6.1046568495157709</c:v>
                </c:pt>
                <c:pt idx="178">
                  <c:v>-2.011918585544286</c:v>
                </c:pt>
                <c:pt idx="179">
                  <c:v>0.90050231444452589</c:v>
                </c:pt>
                <c:pt idx="180">
                  <c:v>-4.900406483937358</c:v>
                </c:pt>
                <c:pt idx="181">
                  <c:v>-3.4896455072452546</c:v>
                </c:pt>
                <c:pt idx="182">
                  <c:v>1.7534891659176992</c:v>
                </c:pt>
                <c:pt idx="183">
                  <c:v>-7.4885539945258222</c:v>
                </c:pt>
                <c:pt idx="184">
                  <c:v>-4.672365648686946</c:v>
                </c:pt>
                <c:pt idx="185">
                  <c:v>1.6925046080391259</c:v>
                </c:pt>
                <c:pt idx="186">
                  <c:v>-2.8628122763339214</c:v>
                </c:pt>
                <c:pt idx="187">
                  <c:v>-6.017204612240926</c:v>
                </c:pt>
                <c:pt idx="188">
                  <c:v>-5.1290368973616784</c:v>
                </c:pt>
                <c:pt idx="189">
                  <c:v>7.8551766319928396</c:v>
                </c:pt>
                <c:pt idx="190">
                  <c:v>0.60474023540772426</c:v>
                </c:pt>
                <c:pt idx="191">
                  <c:v>5.8368889190323552</c:v>
                </c:pt>
                <c:pt idx="192">
                  <c:v>3.5120087375004854</c:v>
                </c:pt>
                <c:pt idx="193">
                  <c:v>3.1913386525254341</c:v>
                </c:pt>
                <c:pt idx="194">
                  <c:v>2.3751494334817549</c:v>
                </c:pt>
                <c:pt idx="195">
                  <c:v>-5.6791962761246646</c:v>
                </c:pt>
                <c:pt idx="196">
                  <c:v>7.239511811431905</c:v>
                </c:pt>
                <c:pt idx="197">
                  <c:v>20.367240536879454</c:v>
                </c:pt>
                <c:pt idx="198">
                  <c:v>-0.71956987321682908</c:v>
                </c:pt>
                <c:pt idx="199">
                  <c:v>3.5805941907883527</c:v>
                </c:pt>
                <c:pt idx="200">
                  <c:v>-5.5323974447623439</c:v>
                </c:pt>
                <c:pt idx="201">
                  <c:v>15.480222334287291</c:v>
                </c:pt>
                <c:pt idx="202">
                  <c:v>5.8050698288069871</c:v>
                </c:pt>
                <c:pt idx="203">
                  <c:v>8.5444389722209877</c:v>
                </c:pt>
                <c:pt idx="204">
                  <c:v>-6.5849769731617211</c:v>
                </c:pt>
                <c:pt idx="205">
                  <c:v>9.4107498360143769</c:v>
                </c:pt>
                <c:pt idx="206">
                  <c:v>6.6877905066015266</c:v>
                </c:pt>
                <c:pt idx="207">
                  <c:v>3.3363591090094902</c:v>
                </c:pt>
                <c:pt idx="208">
                  <c:v>-2.6311064062008986</c:v>
                </c:pt>
                <c:pt idx="209">
                  <c:v>1.5219329504063306</c:v>
                </c:pt>
                <c:pt idx="210">
                  <c:v>3.4909346276464901</c:v>
                </c:pt>
                <c:pt idx="211">
                  <c:v>0.52858532033641059</c:v>
                </c:pt>
                <c:pt idx="212">
                  <c:v>-7.7452628630627736</c:v>
                </c:pt>
                <c:pt idx="213">
                  <c:v>13.9069659107173</c:v>
                </c:pt>
                <c:pt idx="214">
                  <c:v>-2.5212267639254282</c:v>
                </c:pt>
                <c:pt idx="215">
                  <c:v>4.7010709403174342</c:v>
                </c:pt>
                <c:pt idx="216">
                  <c:v>13.844014585345876</c:v>
                </c:pt>
                <c:pt idx="217">
                  <c:v>3.2355349574473169</c:v>
                </c:pt>
                <c:pt idx="218">
                  <c:v>-7.6329337541058404</c:v>
                </c:pt>
                <c:pt idx="219">
                  <c:v>-2.0288918968264094</c:v>
                </c:pt>
                <c:pt idx="220">
                  <c:v>-2.600504617100051</c:v>
                </c:pt>
                <c:pt idx="221">
                  <c:v>12.653186191658767</c:v>
                </c:pt>
                <c:pt idx="222">
                  <c:v>-3.8933094616324722</c:v>
                </c:pt>
                <c:pt idx="223">
                  <c:v>-0.82526173255656599</c:v>
                </c:pt>
                <c:pt idx="224">
                  <c:v>1.6599455096258209</c:v>
                </c:pt>
                <c:pt idx="225">
                  <c:v>7.5516819928313055</c:v>
                </c:pt>
                <c:pt idx="226">
                  <c:v>4.7305473814399015</c:v>
                </c:pt>
                <c:pt idx="227">
                  <c:v>14.307377373053813</c:v>
                </c:pt>
                <c:pt idx="228">
                  <c:v>3.865800524968376</c:v>
                </c:pt>
                <c:pt idx="229">
                  <c:v>10.250141213742838</c:v>
                </c:pt>
                <c:pt idx="230">
                  <c:v>9.4909974776552293</c:v>
                </c:pt>
                <c:pt idx="231">
                  <c:v>4.9705926463823218</c:v>
                </c:pt>
                <c:pt idx="232">
                  <c:v>13.212373531871172</c:v>
                </c:pt>
                <c:pt idx="233">
                  <c:v>10.423889030158774</c:v>
                </c:pt>
                <c:pt idx="234">
                  <c:v>16.176614010343666</c:v>
                </c:pt>
                <c:pt idx="235">
                  <c:v>-8.6396375872200958E-3</c:v>
                </c:pt>
                <c:pt idx="236">
                  <c:v>16.304508639125771</c:v>
                </c:pt>
                <c:pt idx="237">
                  <c:v>1.8052407058256206</c:v>
                </c:pt>
                <c:pt idx="238">
                  <c:v>16.245927691127434</c:v>
                </c:pt>
                <c:pt idx="239">
                  <c:v>-5.0869738798833053</c:v>
                </c:pt>
                <c:pt idx="240">
                  <c:v>5.7033495920879114</c:v>
                </c:pt>
                <c:pt idx="241">
                  <c:v>3.8414769061781864</c:v>
                </c:pt>
                <c:pt idx="242">
                  <c:v>-3.1094897861202622</c:v>
                </c:pt>
                <c:pt idx="243">
                  <c:v>3.8238184437740905</c:v>
                </c:pt>
                <c:pt idx="244">
                  <c:v>1.3608235646037026</c:v>
                </c:pt>
                <c:pt idx="245">
                  <c:v>4.3497392022997277</c:v>
                </c:pt>
                <c:pt idx="246">
                  <c:v>5.8906907776137096</c:v>
                </c:pt>
                <c:pt idx="247">
                  <c:v>18.548582344690306</c:v>
                </c:pt>
                <c:pt idx="248">
                  <c:v>8.9160987352932644</c:v>
                </c:pt>
                <c:pt idx="249">
                  <c:v>-4.2883611600264109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2D-40C8-85F0-ABB2CCBCC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8027344"/>
        <c:axId val="1618031184"/>
      </c:scatterChart>
      <c:valAx>
        <c:axId val="1618027344"/>
        <c:scaling>
          <c:orientation val="minMax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031184"/>
        <c:crosses val="autoZero"/>
        <c:crossBetween val="midCat"/>
        <c:majorUnit val="10"/>
        <c:minorUnit val="5"/>
      </c:valAx>
      <c:valAx>
        <c:axId val="161803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02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Beta angle vs 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'1'!$C$8:$C$257</c:f>
              <c:numCache>
                <c:formatCode>General</c:formatCode>
                <c:ptCount val="250"/>
                <c:pt idx="0">
                  <c:v>130</c:v>
                </c:pt>
                <c:pt idx="1">
                  <c:v>114.4</c:v>
                </c:pt>
                <c:pt idx="2">
                  <c:v>108.8</c:v>
                </c:pt>
                <c:pt idx="3">
                  <c:v>130</c:v>
                </c:pt>
                <c:pt idx="4">
                  <c:v>100</c:v>
                </c:pt>
                <c:pt idx="5">
                  <c:v>112.2</c:v>
                </c:pt>
                <c:pt idx="6">
                  <c:v>130</c:v>
                </c:pt>
                <c:pt idx="7">
                  <c:v>114.4</c:v>
                </c:pt>
                <c:pt idx="8">
                  <c:v>130</c:v>
                </c:pt>
                <c:pt idx="9">
                  <c:v>115.3</c:v>
                </c:pt>
                <c:pt idx="10">
                  <c:v>104</c:v>
                </c:pt>
                <c:pt idx="11">
                  <c:v>114.1</c:v>
                </c:pt>
                <c:pt idx="12">
                  <c:v>114.4</c:v>
                </c:pt>
                <c:pt idx="13">
                  <c:v>111.6</c:v>
                </c:pt>
                <c:pt idx="14">
                  <c:v>109.1</c:v>
                </c:pt>
                <c:pt idx="15">
                  <c:v>118.2</c:v>
                </c:pt>
                <c:pt idx="16">
                  <c:v>126.4</c:v>
                </c:pt>
                <c:pt idx="17">
                  <c:v>108.6</c:v>
                </c:pt>
                <c:pt idx="18">
                  <c:v>108.2</c:v>
                </c:pt>
                <c:pt idx="19">
                  <c:v>113.9</c:v>
                </c:pt>
                <c:pt idx="20">
                  <c:v>118.3</c:v>
                </c:pt>
                <c:pt idx="21">
                  <c:v>106.9</c:v>
                </c:pt>
                <c:pt idx="22">
                  <c:v>118.8</c:v>
                </c:pt>
                <c:pt idx="23">
                  <c:v>104</c:v>
                </c:pt>
                <c:pt idx="24">
                  <c:v>125.9</c:v>
                </c:pt>
                <c:pt idx="25">
                  <c:v>127.3</c:v>
                </c:pt>
                <c:pt idx="26">
                  <c:v>108.6</c:v>
                </c:pt>
                <c:pt idx="27">
                  <c:v>124.9</c:v>
                </c:pt>
                <c:pt idx="28">
                  <c:v>128.6</c:v>
                </c:pt>
                <c:pt idx="29">
                  <c:v>107.6</c:v>
                </c:pt>
                <c:pt idx="30">
                  <c:v>112.5</c:v>
                </c:pt>
                <c:pt idx="31">
                  <c:v>115.4</c:v>
                </c:pt>
                <c:pt idx="32">
                  <c:v>114.7</c:v>
                </c:pt>
                <c:pt idx="33">
                  <c:v>119</c:v>
                </c:pt>
                <c:pt idx="34">
                  <c:v>130</c:v>
                </c:pt>
                <c:pt idx="35">
                  <c:v>115.4</c:v>
                </c:pt>
                <c:pt idx="36">
                  <c:v>111.6</c:v>
                </c:pt>
                <c:pt idx="37">
                  <c:v>128.30000000000001</c:v>
                </c:pt>
                <c:pt idx="38">
                  <c:v>118.9</c:v>
                </c:pt>
                <c:pt idx="39">
                  <c:v>104.1</c:v>
                </c:pt>
                <c:pt idx="40">
                  <c:v>110.7</c:v>
                </c:pt>
                <c:pt idx="41">
                  <c:v>103.4</c:v>
                </c:pt>
                <c:pt idx="42">
                  <c:v>122.2</c:v>
                </c:pt>
                <c:pt idx="43">
                  <c:v>130</c:v>
                </c:pt>
                <c:pt idx="44">
                  <c:v>107.3</c:v>
                </c:pt>
                <c:pt idx="45">
                  <c:v>106.3</c:v>
                </c:pt>
                <c:pt idx="46">
                  <c:v>130</c:v>
                </c:pt>
                <c:pt idx="47">
                  <c:v>107.6</c:v>
                </c:pt>
                <c:pt idx="48">
                  <c:v>111.6</c:v>
                </c:pt>
                <c:pt idx="49">
                  <c:v>116.2</c:v>
                </c:pt>
                <c:pt idx="50">
                  <c:v>105.6</c:v>
                </c:pt>
                <c:pt idx="51">
                  <c:v>126.2</c:v>
                </c:pt>
                <c:pt idx="52">
                  <c:v>103.6</c:v>
                </c:pt>
                <c:pt idx="53">
                  <c:v>106.4</c:v>
                </c:pt>
                <c:pt idx="54">
                  <c:v>113</c:v>
                </c:pt>
                <c:pt idx="55">
                  <c:v>112.1</c:v>
                </c:pt>
                <c:pt idx="56">
                  <c:v>115.4</c:v>
                </c:pt>
                <c:pt idx="57">
                  <c:v>101.6</c:v>
                </c:pt>
                <c:pt idx="58">
                  <c:v>130</c:v>
                </c:pt>
                <c:pt idx="59">
                  <c:v>111.1</c:v>
                </c:pt>
                <c:pt idx="60">
                  <c:v>105.8</c:v>
                </c:pt>
                <c:pt idx="61">
                  <c:v>102.5</c:v>
                </c:pt>
                <c:pt idx="62">
                  <c:v>100</c:v>
                </c:pt>
                <c:pt idx="63">
                  <c:v>114.1</c:v>
                </c:pt>
                <c:pt idx="64">
                  <c:v>123.4</c:v>
                </c:pt>
                <c:pt idx="65">
                  <c:v>107.8</c:v>
                </c:pt>
                <c:pt idx="66">
                  <c:v>125.2</c:v>
                </c:pt>
                <c:pt idx="67">
                  <c:v>106.1</c:v>
                </c:pt>
                <c:pt idx="68">
                  <c:v>112.3</c:v>
                </c:pt>
                <c:pt idx="69">
                  <c:v>130</c:v>
                </c:pt>
                <c:pt idx="70">
                  <c:v>115</c:v>
                </c:pt>
                <c:pt idx="71">
                  <c:v>130</c:v>
                </c:pt>
                <c:pt idx="72">
                  <c:v>130</c:v>
                </c:pt>
                <c:pt idx="73">
                  <c:v>107.2</c:v>
                </c:pt>
                <c:pt idx="74">
                  <c:v>112.8</c:v>
                </c:pt>
                <c:pt idx="75">
                  <c:v>124.9</c:v>
                </c:pt>
                <c:pt idx="76">
                  <c:v>109.4</c:v>
                </c:pt>
                <c:pt idx="77">
                  <c:v>104.2</c:v>
                </c:pt>
                <c:pt idx="78">
                  <c:v>114.4</c:v>
                </c:pt>
                <c:pt idx="79">
                  <c:v>110.1</c:v>
                </c:pt>
                <c:pt idx="80">
                  <c:v>112.9</c:v>
                </c:pt>
                <c:pt idx="81">
                  <c:v>116.1</c:v>
                </c:pt>
                <c:pt idx="82">
                  <c:v>120</c:v>
                </c:pt>
                <c:pt idx="83">
                  <c:v>113.3</c:v>
                </c:pt>
                <c:pt idx="84">
                  <c:v>102.7</c:v>
                </c:pt>
                <c:pt idx="85">
                  <c:v>118.1</c:v>
                </c:pt>
                <c:pt idx="86">
                  <c:v>105.8</c:v>
                </c:pt>
                <c:pt idx="87">
                  <c:v>106.2</c:v>
                </c:pt>
                <c:pt idx="88">
                  <c:v>113.9</c:v>
                </c:pt>
                <c:pt idx="89">
                  <c:v>122.5</c:v>
                </c:pt>
                <c:pt idx="90">
                  <c:v>119.8</c:v>
                </c:pt>
                <c:pt idx="91">
                  <c:v>115.1</c:v>
                </c:pt>
                <c:pt idx="92">
                  <c:v>111.5</c:v>
                </c:pt>
                <c:pt idx="93">
                  <c:v>115.9</c:v>
                </c:pt>
                <c:pt idx="94">
                  <c:v>127.2</c:v>
                </c:pt>
                <c:pt idx="95">
                  <c:v>122.7</c:v>
                </c:pt>
                <c:pt idx="96">
                  <c:v>110.6</c:v>
                </c:pt>
                <c:pt idx="97">
                  <c:v>104.7</c:v>
                </c:pt>
                <c:pt idx="98">
                  <c:v>123.2</c:v>
                </c:pt>
                <c:pt idx="99">
                  <c:v>130</c:v>
                </c:pt>
                <c:pt idx="100">
                  <c:v>111.5</c:v>
                </c:pt>
                <c:pt idx="101">
                  <c:v>110</c:v>
                </c:pt>
                <c:pt idx="102">
                  <c:v>108.8</c:v>
                </c:pt>
                <c:pt idx="103">
                  <c:v>114.8</c:v>
                </c:pt>
                <c:pt idx="104">
                  <c:v>108.2</c:v>
                </c:pt>
                <c:pt idx="105">
                  <c:v>114.6</c:v>
                </c:pt>
                <c:pt idx="106">
                  <c:v>103.5</c:v>
                </c:pt>
                <c:pt idx="107">
                  <c:v>130</c:v>
                </c:pt>
                <c:pt idx="108">
                  <c:v>111.6</c:v>
                </c:pt>
                <c:pt idx="109">
                  <c:v>105.7</c:v>
                </c:pt>
                <c:pt idx="110">
                  <c:v>116.8</c:v>
                </c:pt>
                <c:pt idx="111">
                  <c:v>111.2</c:v>
                </c:pt>
                <c:pt idx="112">
                  <c:v>116.6</c:v>
                </c:pt>
                <c:pt idx="113">
                  <c:v>109.3</c:v>
                </c:pt>
                <c:pt idx="114">
                  <c:v>113.9</c:v>
                </c:pt>
                <c:pt idx="115">
                  <c:v>130</c:v>
                </c:pt>
                <c:pt idx="116">
                  <c:v>100</c:v>
                </c:pt>
                <c:pt idx="117">
                  <c:v>108.5</c:v>
                </c:pt>
                <c:pt idx="118">
                  <c:v>128.4</c:v>
                </c:pt>
                <c:pt idx="119">
                  <c:v>130</c:v>
                </c:pt>
                <c:pt idx="120">
                  <c:v>114</c:v>
                </c:pt>
                <c:pt idx="121">
                  <c:v>126.7</c:v>
                </c:pt>
                <c:pt idx="122">
                  <c:v>111.3</c:v>
                </c:pt>
                <c:pt idx="123">
                  <c:v>119.8</c:v>
                </c:pt>
                <c:pt idx="124">
                  <c:v>104.2</c:v>
                </c:pt>
                <c:pt idx="125">
                  <c:v>113.8</c:v>
                </c:pt>
                <c:pt idx="126">
                  <c:v>114.9</c:v>
                </c:pt>
                <c:pt idx="127">
                  <c:v>112.2</c:v>
                </c:pt>
                <c:pt idx="128">
                  <c:v>100</c:v>
                </c:pt>
                <c:pt idx="129">
                  <c:v>100</c:v>
                </c:pt>
                <c:pt idx="130">
                  <c:v>108.5</c:v>
                </c:pt>
                <c:pt idx="131">
                  <c:v>109.9</c:v>
                </c:pt>
                <c:pt idx="132">
                  <c:v>104.7</c:v>
                </c:pt>
                <c:pt idx="133">
                  <c:v>118.9</c:v>
                </c:pt>
                <c:pt idx="134">
                  <c:v>128</c:v>
                </c:pt>
                <c:pt idx="135">
                  <c:v>103.8</c:v>
                </c:pt>
                <c:pt idx="136">
                  <c:v>124.4</c:v>
                </c:pt>
                <c:pt idx="137">
                  <c:v>130</c:v>
                </c:pt>
                <c:pt idx="138">
                  <c:v>113.2</c:v>
                </c:pt>
                <c:pt idx="139">
                  <c:v>107.5</c:v>
                </c:pt>
                <c:pt idx="140">
                  <c:v>113.9</c:v>
                </c:pt>
                <c:pt idx="141">
                  <c:v>105.2</c:v>
                </c:pt>
                <c:pt idx="142">
                  <c:v>121.8</c:v>
                </c:pt>
                <c:pt idx="143">
                  <c:v>113.2</c:v>
                </c:pt>
                <c:pt idx="144">
                  <c:v>130</c:v>
                </c:pt>
                <c:pt idx="145">
                  <c:v>127.9</c:v>
                </c:pt>
                <c:pt idx="146">
                  <c:v>130</c:v>
                </c:pt>
                <c:pt idx="147">
                  <c:v>113.5</c:v>
                </c:pt>
                <c:pt idx="148">
                  <c:v>122.3</c:v>
                </c:pt>
                <c:pt idx="149">
                  <c:v>113.5</c:v>
                </c:pt>
                <c:pt idx="150">
                  <c:v>116</c:v>
                </c:pt>
                <c:pt idx="151">
                  <c:v>117</c:v>
                </c:pt>
                <c:pt idx="152">
                  <c:v>111.7</c:v>
                </c:pt>
                <c:pt idx="153">
                  <c:v>117.2</c:v>
                </c:pt>
                <c:pt idx="154">
                  <c:v>114.6</c:v>
                </c:pt>
                <c:pt idx="155">
                  <c:v>125.1</c:v>
                </c:pt>
                <c:pt idx="156">
                  <c:v>130</c:v>
                </c:pt>
                <c:pt idx="157">
                  <c:v>130</c:v>
                </c:pt>
                <c:pt idx="158">
                  <c:v>122.4</c:v>
                </c:pt>
                <c:pt idx="159">
                  <c:v>120.5</c:v>
                </c:pt>
                <c:pt idx="160">
                  <c:v>120.5</c:v>
                </c:pt>
                <c:pt idx="161">
                  <c:v>130</c:v>
                </c:pt>
                <c:pt idx="162">
                  <c:v>103.3</c:v>
                </c:pt>
                <c:pt idx="163">
                  <c:v>121.8</c:v>
                </c:pt>
                <c:pt idx="164">
                  <c:v>118.8</c:v>
                </c:pt>
                <c:pt idx="165">
                  <c:v>115.9</c:v>
                </c:pt>
                <c:pt idx="166">
                  <c:v>121.7</c:v>
                </c:pt>
                <c:pt idx="167">
                  <c:v>103.2</c:v>
                </c:pt>
                <c:pt idx="168">
                  <c:v>117.8</c:v>
                </c:pt>
                <c:pt idx="169">
                  <c:v>117.2</c:v>
                </c:pt>
                <c:pt idx="170">
                  <c:v>120.6</c:v>
                </c:pt>
                <c:pt idx="171">
                  <c:v>125.6</c:v>
                </c:pt>
                <c:pt idx="172">
                  <c:v>121.8</c:v>
                </c:pt>
                <c:pt idx="173">
                  <c:v>112</c:v>
                </c:pt>
                <c:pt idx="174">
                  <c:v>103.9</c:v>
                </c:pt>
                <c:pt idx="175">
                  <c:v>119.4</c:v>
                </c:pt>
                <c:pt idx="176">
                  <c:v>102.9</c:v>
                </c:pt>
                <c:pt idx="177">
                  <c:v>130</c:v>
                </c:pt>
                <c:pt idx="178">
                  <c:v>102.8</c:v>
                </c:pt>
                <c:pt idx="179">
                  <c:v>111.1</c:v>
                </c:pt>
                <c:pt idx="180">
                  <c:v>130</c:v>
                </c:pt>
                <c:pt idx="181">
                  <c:v>117.8</c:v>
                </c:pt>
                <c:pt idx="182">
                  <c:v>111</c:v>
                </c:pt>
                <c:pt idx="183">
                  <c:v>113.3</c:v>
                </c:pt>
                <c:pt idx="184">
                  <c:v>113.9</c:v>
                </c:pt>
                <c:pt idx="185">
                  <c:v>114.9</c:v>
                </c:pt>
                <c:pt idx="186">
                  <c:v>105.8</c:v>
                </c:pt>
                <c:pt idx="187">
                  <c:v>114.5</c:v>
                </c:pt>
                <c:pt idx="188">
                  <c:v>109.1</c:v>
                </c:pt>
                <c:pt idx="189">
                  <c:v>123.5</c:v>
                </c:pt>
                <c:pt idx="190">
                  <c:v>110.7</c:v>
                </c:pt>
                <c:pt idx="191">
                  <c:v>117.3</c:v>
                </c:pt>
                <c:pt idx="192">
                  <c:v>114.6</c:v>
                </c:pt>
                <c:pt idx="193">
                  <c:v>114.6</c:v>
                </c:pt>
                <c:pt idx="194">
                  <c:v>106.8</c:v>
                </c:pt>
                <c:pt idx="195">
                  <c:v>104.4</c:v>
                </c:pt>
                <c:pt idx="196">
                  <c:v>110.1</c:v>
                </c:pt>
                <c:pt idx="197">
                  <c:v>126.3</c:v>
                </c:pt>
                <c:pt idx="198">
                  <c:v>111.9</c:v>
                </c:pt>
                <c:pt idx="199">
                  <c:v>111.8</c:v>
                </c:pt>
                <c:pt idx="200">
                  <c:v>113.2</c:v>
                </c:pt>
                <c:pt idx="201">
                  <c:v>130</c:v>
                </c:pt>
                <c:pt idx="202">
                  <c:v>121.1</c:v>
                </c:pt>
                <c:pt idx="203">
                  <c:v>125.9</c:v>
                </c:pt>
                <c:pt idx="204">
                  <c:v>117.5</c:v>
                </c:pt>
                <c:pt idx="205">
                  <c:v>125.4</c:v>
                </c:pt>
                <c:pt idx="206">
                  <c:v>114.5</c:v>
                </c:pt>
                <c:pt idx="207">
                  <c:v>111.6</c:v>
                </c:pt>
                <c:pt idx="208">
                  <c:v>102.3</c:v>
                </c:pt>
                <c:pt idx="209">
                  <c:v>121.1</c:v>
                </c:pt>
                <c:pt idx="210">
                  <c:v>111.1</c:v>
                </c:pt>
                <c:pt idx="211">
                  <c:v>119</c:v>
                </c:pt>
                <c:pt idx="212">
                  <c:v>114.3</c:v>
                </c:pt>
                <c:pt idx="213">
                  <c:v>120.2</c:v>
                </c:pt>
                <c:pt idx="214">
                  <c:v>111.3</c:v>
                </c:pt>
                <c:pt idx="215">
                  <c:v>110.2</c:v>
                </c:pt>
                <c:pt idx="216">
                  <c:v>115.5</c:v>
                </c:pt>
                <c:pt idx="217">
                  <c:v>114.9</c:v>
                </c:pt>
                <c:pt idx="218">
                  <c:v>109.7</c:v>
                </c:pt>
                <c:pt idx="219">
                  <c:v>123.6</c:v>
                </c:pt>
                <c:pt idx="220">
                  <c:v>107</c:v>
                </c:pt>
                <c:pt idx="221">
                  <c:v>130</c:v>
                </c:pt>
                <c:pt idx="222">
                  <c:v>105.1</c:v>
                </c:pt>
                <c:pt idx="223">
                  <c:v>108.7</c:v>
                </c:pt>
                <c:pt idx="224">
                  <c:v>119</c:v>
                </c:pt>
                <c:pt idx="225">
                  <c:v>130</c:v>
                </c:pt>
                <c:pt idx="226">
                  <c:v>122.5</c:v>
                </c:pt>
                <c:pt idx="227">
                  <c:v>120.5</c:v>
                </c:pt>
                <c:pt idx="228">
                  <c:v>117.1</c:v>
                </c:pt>
                <c:pt idx="229">
                  <c:v>130</c:v>
                </c:pt>
                <c:pt idx="230">
                  <c:v>130</c:v>
                </c:pt>
                <c:pt idx="231">
                  <c:v>115.7</c:v>
                </c:pt>
                <c:pt idx="232">
                  <c:v>130</c:v>
                </c:pt>
                <c:pt idx="233">
                  <c:v>129.5</c:v>
                </c:pt>
                <c:pt idx="234">
                  <c:v>126</c:v>
                </c:pt>
                <c:pt idx="235">
                  <c:v>108.7</c:v>
                </c:pt>
                <c:pt idx="236">
                  <c:v>130</c:v>
                </c:pt>
                <c:pt idx="237">
                  <c:v>111</c:v>
                </c:pt>
                <c:pt idx="238">
                  <c:v>124.2</c:v>
                </c:pt>
                <c:pt idx="239">
                  <c:v>109.3</c:v>
                </c:pt>
                <c:pt idx="240">
                  <c:v>113.5</c:v>
                </c:pt>
                <c:pt idx="241">
                  <c:v>116.4</c:v>
                </c:pt>
                <c:pt idx="242">
                  <c:v>112.5</c:v>
                </c:pt>
                <c:pt idx="243">
                  <c:v>110.4</c:v>
                </c:pt>
                <c:pt idx="244">
                  <c:v>111.2</c:v>
                </c:pt>
                <c:pt idx="245">
                  <c:v>113.6</c:v>
                </c:pt>
                <c:pt idx="246">
                  <c:v>110.8</c:v>
                </c:pt>
                <c:pt idx="247">
                  <c:v>112.7</c:v>
                </c:pt>
                <c:pt idx="248">
                  <c:v>119.9</c:v>
                </c:pt>
                <c:pt idx="249">
                  <c:v>102.3</c:v>
                </c:pt>
              </c:numCache>
            </c:numRef>
          </c:xVal>
          <c:yVal>
            <c:numRef>
              <c:f>'1'!$L$8:$L$257</c:f>
              <c:numCache>
                <c:formatCode>0.00</c:formatCode>
                <c:ptCount val="250"/>
                <c:pt idx="0">
                  <c:v>4.8885098440760766</c:v>
                </c:pt>
                <c:pt idx="1">
                  <c:v>-3.1758157930647242</c:v>
                </c:pt>
                <c:pt idx="2">
                  <c:v>1.0452844633796494</c:v>
                </c:pt>
                <c:pt idx="3">
                  <c:v>2.457156321819459</c:v>
                </c:pt>
                <c:pt idx="4">
                  <c:v>-8.9182521495693408</c:v>
                </c:pt>
                <c:pt idx="5">
                  <c:v>-3.161937830000884</c:v>
                </c:pt>
                <c:pt idx="6">
                  <c:v>4.484107592714639</c:v>
                </c:pt>
                <c:pt idx="7">
                  <c:v>-1.741426936156236</c:v>
                </c:pt>
                <c:pt idx="8">
                  <c:v>13.153365928508656</c:v>
                </c:pt>
                <c:pt idx="9">
                  <c:v>5.0068032408146017</c:v>
                </c:pt>
                <c:pt idx="10">
                  <c:v>-2.3836290771657653</c:v>
                </c:pt>
                <c:pt idx="11">
                  <c:v>4.9694920042427624</c:v>
                </c:pt>
                <c:pt idx="12">
                  <c:v>-2.6048606244716135</c:v>
                </c:pt>
                <c:pt idx="13">
                  <c:v>-6.1790050073687715</c:v>
                </c:pt>
                <c:pt idx="14">
                  <c:v>3.9279242105262985E-2</c:v>
                </c:pt>
                <c:pt idx="15">
                  <c:v>-6.5425449787600645</c:v>
                </c:pt>
                <c:pt idx="16">
                  <c:v>4.8749534760646149</c:v>
                </c:pt>
                <c:pt idx="17">
                  <c:v>4.5252337803011198</c:v>
                </c:pt>
                <c:pt idx="18">
                  <c:v>-2.2821013336854543</c:v>
                </c:pt>
                <c:pt idx="19">
                  <c:v>-1.8174959364670376</c:v>
                </c:pt>
                <c:pt idx="20">
                  <c:v>9.1768952668614769</c:v>
                </c:pt>
                <c:pt idx="21">
                  <c:v>-3.3253769624631913</c:v>
                </c:pt>
                <c:pt idx="22">
                  <c:v>-1.9066887614604666</c:v>
                </c:pt>
                <c:pt idx="23">
                  <c:v>1.1536673375925808</c:v>
                </c:pt>
                <c:pt idx="24">
                  <c:v>-0.48266950206591314</c:v>
                </c:pt>
                <c:pt idx="25">
                  <c:v>6.3312864565250022</c:v>
                </c:pt>
                <c:pt idx="26">
                  <c:v>0.88392153919634331</c:v>
                </c:pt>
                <c:pt idx="27">
                  <c:v>4.9627473650803529</c:v>
                </c:pt>
                <c:pt idx="28">
                  <c:v>-5.5252199180184753</c:v>
                </c:pt>
                <c:pt idx="29">
                  <c:v>10.647907077342234</c:v>
                </c:pt>
                <c:pt idx="30">
                  <c:v>12.677373104439003</c:v>
                </c:pt>
                <c:pt idx="31">
                  <c:v>5.4941525658857815</c:v>
                </c:pt>
                <c:pt idx="32">
                  <c:v>7.0793814822198291</c:v>
                </c:pt>
                <c:pt idx="33">
                  <c:v>0.67482811835853973</c:v>
                </c:pt>
                <c:pt idx="34">
                  <c:v>4.4962693198742336</c:v>
                </c:pt>
                <c:pt idx="35">
                  <c:v>-0.63257633043953909</c:v>
                </c:pt>
                <c:pt idx="36">
                  <c:v>-6.2989017989937128</c:v>
                </c:pt>
                <c:pt idx="37">
                  <c:v>18.024566142736202</c:v>
                </c:pt>
                <c:pt idx="38">
                  <c:v>5.2034035111980055</c:v>
                </c:pt>
                <c:pt idx="39">
                  <c:v>-0.9557776741704419</c:v>
                </c:pt>
                <c:pt idx="40">
                  <c:v>1.5294746549882063</c:v>
                </c:pt>
                <c:pt idx="41">
                  <c:v>-1.4823146867675476</c:v>
                </c:pt>
                <c:pt idx="42">
                  <c:v>7.8659023504445607</c:v>
                </c:pt>
                <c:pt idx="43">
                  <c:v>12.119695435462376</c:v>
                </c:pt>
                <c:pt idx="44">
                  <c:v>-1.8024677687643553</c:v>
                </c:pt>
                <c:pt idx="45">
                  <c:v>5.2037972829042589</c:v>
                </c:pt>
                <c:pt idx="46">
                  <c:v>12.594577858277717</c:v>
                </c:pt>
                <c:pt idx="47">
                  <c:v>-5.0513933324880664</c:v>
                </c:pt>
                <c:pt idx="48">
                  <c:v>4.4785906210611808</c:v>
                </c:pt>
                <c:pt idx="49">
                  <c:v>2.7797903541666504</c:v>
                </c:pt>
                <c:pt idx="50">
                  <c:v>-4.7501013477016496</c:v>
                </c:pt>
                <c:pt idx="51">
                  <c:v>2.1645383227240775</c:v>
                </c:pt>
                <c:pt idx="52">
                  <c:v>2.7275536325109311</c:v>
                </c:pt>
                <c:pt idx="53">
                  <c:v>5.8058120424471733</c:v>
                </c:pt>
                <c:pt idx="54">
                  <c:v>-1.0048326295481147</c:v>
                </c:pt>
                <c:pt idx="55">
                  <c:v>-4.3533735611412707</c:v>
                </c:pt>
                <c:pt idx="56">
                  <c:v>-0.95672866990093497</c:v>
                </c:pt>
                <c:pt idx="57">
                  <c:v>-4.8393870018265925</c:v>
                </c:pt>
                <c:pt idx="58">
                  <c:v>2.5744245415936411</c:v>
                </c:pt>
                <c:pt idx="59">
                  <c:v>0.89501461305293883</c:v>
                </c:pt>
                <c:pt idx="60">
                  <c:v>0.32796039437609587</c:v>
                </c:pt>
                <c:pt idx="61">
                  <c:v>-5.0540723133752214</c:v>
                </c:pt>
                <c:pt idx="62">
                  <c:v>-7.5904577826555037</c:v>
                </c:pt>
                <c:pt idx="63">
                  <c:v>-6.6586119143590832</c:v>
                </c:pt>
                <c:pt idx="64">
                  <c:v>-1.1979047265614531</c:v>
                </c:pt>
                <c:pt idx="65">
                  <c:v>-1.1862431088479104</c:v>
                </c:pt>
                <c:pt idx="66">
                  <c:v>-1.4682372490539786</c:v>
                </c:pt>
                <c:pt idx="67">
                  <c:v>-2.9199116696251979</c:v>
                </c:pt>
                <c:pt idx="68">
                  <c:v>5.2335117689057009</c:v>
                </c:pt>
                <c:pt idx="69">
                  <c:v>6.4904113666324177</c:v>
                </c:pt>
                <c:pt idx="70">
                  <c:v>3.7082624202208452</c:v>
                </c:pt>
                <c:pt idx="71">
                  <c:v>7.0085999985036391</c:v>
                </c:pt>
                <c:pt idx="72">
                  <c:v>18.586103943794097</c:v>
                </c:pt>
                <c:pt idx="73">
                  <c:v>2.6633449689039272</c:v>
                </c:pt>
                <c:pt idx="74">
                  <c:v>4.4254731515713299</c:v>
                </c:pt>
                <c:pt idx="75">
                  <c:v>8.5542976513921989</c:v>
                </c:pt>
                <c:pt idx="76">
                  <c:v>2.0094332802228378</c:v>
                </c:pt>
                <c:pt idx="77">
                  <c:v>-2.2878332138294417</c:v>
                </c:pt>
                <c:pt idx="78">
                  <c:v>2.9740373761449388</c:v>
                </c:pt>
                <c:pt idx="79">
                  <c:v>1.6094502941588822</c:v>
                </c:pt>
                <c:pt idx="80">
                  <c:v>2.6644408016302372</c:v>
                </c:pt>
                <c:pt idx="81">
                  <c:v>8.9842181886788808</c:v>
                </c:pt>
                <c:pt idx="82">
                  <c:v>9.3615783435585147</c:v>
                </c:pt>
                <c:pt idx="83">
                  <c:v>-3.9483563465540397</c:v>
                </c:pt>
                <c:pt idx="84">
                  <c:v>-1.346389061547018</c:v>
                </c:pt>
                <c:pt idx="85">
                  <c:v>6.5373341616106941</c:v>
                </c:pt>
                <c:pt idx="86">
                  <c:v>-0.84456135459693094</c:v>
                </c:pt>
                <c:pt idx="87">
                  <c:v>5.9172891673648316</c:v>
                </c:pt>
                <c:pt idx="88">
                  <c:v>5.9142926907735385</c:v>
                </c:pt>
                <c:pt idx="89">
                  <c:v>7.7237826424533793</c:v>
                </c:pt>
                <c:pt idx="90">
                  <c:v>7.8476429736226549</c:v>
                </c:pt>
                <c:pt idx="91">
                  <c:v>-3.7015913831933998</c:v>
                </c:pt>
                <c:pt idx="92">
                  <c:v>-4.3598153763183722</c:v>
                </c:pt>
                <c:pt idx="93">
                  <c:v>4.8294808580980151</c:v>
                </c:pt>
                <c:pt idx="94">
                  <c:v>11.681957505273294</c:v>
                </c:pt>
                <c:pt idx="95">
                  <c:v>4.5435713883603475</c:v>
                </c:pt>
                <c:pt idx="96">
                  <c:v>15.799221990876452</c:v>
                </c:pt>
                <c:pt idx="97">
                  <c:v>-1.2485265828092047</c:v>
                </c:pt>
                <c:pt idx="98">
                  <c:v>-3.4003261294812028</c:v>
                </c:pt>
                <c:pt idx="99">
                  <c:v>4.2112422842340385</c:v>
                </c:pt>
                <c:pt idx="100">
                  <c:v>0.18276677653432194</c:v>
                </c:pt>
                <c:pt idx="101">
                  <c:v>3.1520210867265379</c:v>
                </c:pt>
                <c:pt idx="102">
                  <c:v>0.96004141311605184</c:v>
                </c:pt>
                <c:pt idx="103">
                  <c:v>7.640951327079688</c:v>
                </c:pt>
                <c:pt idx="104">
                  <c:v>-1.6876600150160248</c:v>
                </c:pt>
                <c:pt idx="105">
                  <c:v>-7.1304683361713552</c:v>
                </c:pt>
                <c:pt idx="106">
                  <c:v>4.0346450539190748</c:v>
                </c:pt>
                <c:pt idx="107">
                  <c:v>8.8254990016050403</c:v>
                </c:pt>
                <c:pt idx="108">
                  <c:v>3.3908321499486345</c:v>
                </c:pt>
                <c:pt idx="109">
                  <c:v>-0.72768651123699879</c:v>
                </c:pt>
                <c:pt idx="110">
                  <c:v>8.9759810100706474</c:v>
                </c:pt>
                <c:pt idx="111">
                  <c:v>-0.13071337085433218</c:v>
                </c:pt>
                <c:pt idx="112">
                  <c:v>1.7880777687119758</c:v>
                </c:pt>
                <c:pt idx="113">
                  <c:v>1.3158315650293015</c:v>
                </c:pt>
                <c:pt idx="114">
                  <c:v>5.9747558508538399</c:v>
                </c:pt>
                <c:pt idx="115">
                  <c:v>5.6177159709261755</c:v>
                </c:pt>
                <c:pt idx="116">
                  <c:v>-1.3467567219898282</c:v>
                </c:pt>
                <c:pt idx="117">
                  <c:v>1.6443573162752703</c:v>
                </c:pt>
                <c:pt idx="118">
                  <c:v>7.6206092017835365</c:v>
                </c:pt>
                <c:pt idx="119">
                  <c:v>9.6786746776843824</c:v>
                </c:pt>
                <c:pt idx="120">
                  <c:v>5.199670399858519</c:v>
                </c:pt>
                <c:pt idx="121">
                  <c:v>8.9844400940233307</c:v>
                </c:pt>
                <c:pt idx="122">
                  <c:v>2.14701893870056</c:v>
                </c:pt>
                <c:pt idx="123">
                  <c:v>4.4535292823738413</c:v>
                </c:pt>
                <c:pt idx="124">
                  <c:v>0.30547359562555793</c:v>
                </c:pt>
                <c:pt idx="125">
                  <c:v>3.0935793723527527</c:v>
                </c:pt>
                <c:pt idx="126">
                  <c:v>-4.0645639778846308</c:v>
                </c:pt>
                <c:pt idx="127">
                  <c:v>-4.4756014277603038</c:v>
                </c:pt>
                <c:pt idx="128">
                  <c:v>-8.2796545432830762</c:v>
                </c:pt>
                <c:pt idx="129">
                  <c:v>-8.6205636893817204</c:v>
                </c:pt>
                <c:pt idx="130">
                  <c:v>-0.90065305095860038</c:v>
                </c:pt>
                <c:pt idx="131">
                  <c:v>3.9415604426390409</c:v>
                </c:pt>
                <c:pt idx="132">
                  <c:v>3.0941240187756964</c:v>
                </c:pt>
                <c:pt idx="133">
                  <c:v>2.280703473578082</c:v>
                </c:pt>
                <c:pt idx="134">
                  <c:v>15.130947092618063</c:v>
                </c:pt>
                <c:pt idx="135">
                  <c:v>2.869895011340569</c:v>
                </c:pt>
                <c:pt idx="136">
                  <c:v>-1.3449569712012077</c:v>
                </c:pt>
                <c:pt idx="137">
                  <c:v>7.558364927413173</c:v>
                </c:pt>
                <c:pt idx="138">
                  <c:v>6.1999277793429552</c:v>
                </c:pt>
                <c:pt idx="139">
                  <c:v>0.8881289121383501</c:v>
                </c:pt>
                <c:pt idx="140">
                  <c:v>-4.9458324922030705</c:v>
                </c:pt>
                <c:pt idx="141">
                  <c:v>7.3013482303446455</c:v>
                </c:pt>
                <c:pt idx="142">
                  <c:v>1.5265849739851753</c:v>
                </c:pt>
                <c:pt idx="143">
                  <c:v>8.2183301554405919</c:v>
                </c:pt>
                <c:pt idx="144">
                  <c:v>9.6687599682584757</c:v>
                </c:pt>
                <c:pt idx="145">
                  <c:v>15.369128586924836</c:v>
                </c:pt>
                <c:pt idx="146">
                  <c:v>11.300233723720757</c:v>
                </c:pt>
                <c:pt idx="147">
                  <c:v>0.23651564015676063</c:v>
                </c:pt>
                <c:pt idx="148">
                  <c:v>-5.1169172675739547E-2</c:v>
                </c:pt>
                <c:pt idx="149">
                  <c:v>-5.5650497668570367</c:v>
                </c:pt>
                <c:pt idx="150">
                  <c:v>2.0215579593192605</c:v>
                </c:pt>
                <c:pt idx="151">
                  <c:v>3.6757122848482968</c:v>
                </c:pt>
                <c:pt idx="152">
                  <c:v>10.989539192514682</c:v>
                </c:pt>
                <c:pt idx="153">
                  <c:v>5.8912797864119453</c:v>
                </c:pt>
                <c:pt idx="154">
                  <c:v>3.0837923048874911</c:v>
                </c:pt>
                <c:pt idx="155">
                  <c:v>11.167600439077164</c:v>
                </c:pt>
                <c:pt idx="156">
                  <c:v>12.291029384402224</c:v>
                </c:pt>
                <c:pt idx="157">
                  <c:v>10.130773416178487</c:v>
                </c:pt>
                <c:pt idx="158">
                  <c:v>-2.4998527086554874</c:v>
                </c:pt>
                <c:pt idx="159">
                  <c:v>-2.4960306679771516</c:v>
                </c:pt>
                <c:pt idx="160">
                  <c:v>1.4826617992418574</c:v>
                </c:pt>
                <c:pt idx="161">
                  <c:v>13.243207061003936</c:v>
                </c:pt>
                <c:pt idx="162">
                  <c:v>-1.3238984871308541</c:v>
                </c:pt>
                <c:pt idx="163">
                  <c:v>5.9133120007497499</c:v>
                </c:pt>
                <c:pt idx="164">
                  <c:v>6.5634362101372217</c:v>
                </c:pt>
                <c:pt idx="165">
                  <c:v>7.0071276438979178</c:v>
                </c:pt>
                <c:pt idx="166">
                  <c:v>2.0936340229052819</c:v>
                </c:pt>
                <c:pt idx="167">
                  <c:v>-3.6604196667424906</c:v>
                </c:pt>
                <c:pt idx="168">
                  <c:v>3.5248271433814433</c:v>
                </c:pt>
                <c:pt idx="169">
                  <c:v>1.0157034107674427</c:v>
                </c:pt>
                <c:pt idx="170">
                  <c:v>10.638660290802497</c:v>
                </c:pt>
                <c:pt idx="171">
                  <c:v>9.2568298740254491</c:v>
                </c:pt>
                <c:pt idx="172">
                  <c:v>3.8349175147653289</c:v>
                </c:pt>
                <c:pt idx="173">
                  <c:v>9.523939856033552</c:v>
                </c:pt>
                <c:pt idx="174">
                  <c:v>4.0029459641273561</c:v>
                </c:pt>
                <c:pt idx="175">
                  <c:v>0.683269082952777</c:v>
                </c:pt>
                <c:pt idx="176">
                  <c:v>-1.4062945487482386</c:v>
                </c:pt>
                <c:pt idx="177">
                  <c:v>6.1046568495157709</c:v>
                </c:pt>
                <c:pt idx="178">
                  <c:v>-2.011918585544286</c:v>
                </c:pt>
                <c:pt idx="179">
                  <c:v>0.90050231444452589</c:v>
                </c:pt>
                <c:pt idx="180">
                  <c:v>-4.900406483937358</c:v>
                </c:pt>
                <c:pt idx="181">
                  <c:v>-3.4896455072452546</c:v>
                </c:pt>
                <c:pt idx="182">
                  <c:v>1.7534891659176992</c:v>
                </c:pt>
                <c:pt idx="183">
                  <c:v>-7.4885539945258222</c:v>
                </c:pt>
                <c:pt idx="184">
                  <c:v>-4.672365648686946</c:v>
                </c:pt>
                <c:pt idx="185">
                  <c:v>1.6925046080391259</c:v>
                </c:pt>
                <c:pt idx="186">
                  <c:v>-2.8628122763339214</c:v>
                </c:pt>
                <c:pt idx="187">
                  <c:v>-6.017204612240926</c:v>
                </c:pt>
                <c:pt idx="188">
                  <c:v>-5.1290368973616784</c:v>
                </c:pt>
                <c:pt idx="189">
                  <c:v>7.8551766319928396</c:v>
                </c:pt>
                <c:pt idx="190">
                  <c:v>0.60474023540772426</c:v>
                </c:pt>
                <c:pt idx="191">
                  <c:v>5.8368889190323552</c:v>
                </c:pt>
                <c:pt idx="192">
                  <c:v>3.5120087375004854</c:v>
                </c:pt>
                <c:pt idx="193">
                  <c:v>3.1913386525254341</c:v>
                </c:pt>
                <c:pt idx="194">
                  <c:v>2.3751494334817549</c:v>
                </c:pt>
                <c:pt idx="195">
                  <c:v>-5.6791962761246646</c:v>
                </c:pt>
                <c:pt idx="196">
                  <c:v>7.239511811431905</c:v>
                </c:pt>
                <c:pt idx="197">
                  <c:v>20.367240536879454</c:v>
                </c:pt>
                <c:pt idx="198">
                  <c:v>-0.71956987321682908</c:v>
                </c:pt>
                <c:pt idx="199">
                  <c:v>3.5805941907883527</c:v>
                </c:pt>
                <c:pt idx="200">
                  <c:v>-5.5323974447623439</c:v>
                </c:pt>
                <c:pt idx="201">
                  <c:v>15.480222334287291</c:v>
                </c:pt>
                <c:pt idx="202">
                  <c:v>5.8050698288069871</c:v>
                </c:pt>
                <c:pt idx="203">
                  <c:v>8.5444389722209877</c:v>
                </c:pt>
                <c:pt idx="204">
                  <c:v>-6.5849769731617211</c:v>
                </c:pt>
                <c:pt idx="205">
                  <c:v>9.4107498360143769</c:v>
                </c:pt>
                <c:pt idx="206">
                  <c:v>6.6877905066015266</c:v>
                </c:pt>
                <c:pt idx="207">
                  <c:v>3.3363591090094902</c:v>
                </c:pt>
                <c:pt idx="208">
                  <c:v>-2.6311064062008986</c:v>
                </c:pt>
                <c:pt idx="209">
                  <c:v>1.5219329504063306</c:v>
                </c:pt>
                <c:pt idx="210">
                  <c:v>3.4909346276464901</c:v>
                </c:pt>
                <c:pt idx="211">
                  <c:v>0.52858532033641059</c:v>
                </c:pt>
                <c:pt idx="212">
                  <c:v>-7.7452628630627736</c:v>
                </c:pt>
                <c:pt idx="213">
                  <c:v>13.9069659107173</c:v>
                </c:pt>
                <c:pt idx="214">
                  <c:v>-2.5212267639254282</c:v>
                </c:pt>
                <c:pt idx="215">
                  <c:v>4.7010709403174342</c:v>
                </c:pt>
                <c:pt idx="216">
                  <c:v>13.844014585345876</c:v>
                </c:pt>
                <c:pt idx="217">
                  <c:v>3.2355349574473169</c:v>
                </c:pt>
                <c:pt idx="218">
                  <c:v>-7.6329337541058404</c:v>
                </c:pt>
                <c:pt idx="219">
                  <c:v>-2.0288918968264094</c:v>
                </c:pt>
                <c:pt idx="220">
                  <c:v>-2.600504617100051</c:v>
                </c:pt>
                <c:pt idx="221">
                  <c:v>12.653186191658767</c:v>
                </c:pt>
                <c:pt idx="222">
                  <c:v>-3.8933094616324722</c:v>
                </c:pt>
                <c:pt idx="223">
                  <c:v>-0.82526173255656599</c:v>
                </c:pt>
                <c:pt idx="224">
                  <c:v>1.6599455096258209</c:v>
                </c:pt>
                <c:pt idx="225">
                  <c:v>7.5516819928313055</c:v>
                </c:pt>
                <c:pt idx="226">
                  <c:v>4.7305473814399015</c:v>
                </c:pt>
                <c:pt idx="227">
                  <c:v>14.307377373053813</c:v>
                </c:pt>
                <c:pt idx="228">
                  <c:v>3.865800524968376</c:v>
                </c:pt>
                <c:pt idx="229">
                  <c:v>10.250141213742838</c:v>
                </c:pt>
                <c:pt idx="230">
                  <c:v>9.4909974776552293</c:v>
                </c:pt>
                <c:pt idx="231">
                  <c:v>4.9705926463823218</c:v>
                </c:pt>
                <c:pt idx="232">
                  <c:v>13.212373531871172</c:v>
                </c:pt>
                <c:pt idx="233">
                  <c:v>10.423889030158774</c:v>
                </c:pt>
                <c:pt idx="234">
                  <c:v>16.176614010343666</c:v>
                </c:pt>
                <c:pt idx="235">
                  <c:v>-8.6396375872200958E-3</c:v>
                </c:pt>
                <c:pt idx="236">
                  <c:v>16.304508639125771</c:v>
                </c:pt>
                <c:pt idx="237">
                  <c:v>1.8052407058256206</c:v>
                </c:pt>
                <c:pt idx="238">
                  <c:v>16.245927691127434</c:v>
                </c:pt>
                <c:pt idx="239">
                  <c:v>-5.0869738798833053</c:v>
                </c:pt>
                <c:pt idx="240">
                  <c:v>5.7033495920879114</c:v>
                </c:pt>
                <c:pt idx="241">
                  <c:v>3.8414769061781864</c:v>
                </c:pt>
                <c:pt idx="242">
                  <c:v>-3.1094897861202622</c:v>
                </c:pt>
                <c:pt idx="243">
                  <c:v>3.8238184437740905</c:v>
                </c:pt>
                <c:pt idx="244">
                  <c:v>1.3608235646037026</c:v>
                </c:pt>
                <c:pt idx="245">
                  <c:v>4.3497392022997277</c:v>
                </c:pt>
                <c:pt idx="246">
                  <c:v>5.8906907776137096</c:v>
                </c:pt>
                <c:pt idx="247">
                  <c:v>18.548582344690306</c:v>
                </c:pt>
                <c:pt idx="248">
                  <c:v>8.9160987352932644</c:v>
                </c:pt>
                <c:pt idx="249">
                  <c:v>-4.2883611600264109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A0-4B9B-8724-2A13AF043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8088304"/>
        <c:axId val="1618086384"/>
      </c:scatterChart>
      <c:valAx>
        <c:axId val="1618088304"/>
        <c:scaling>
          <c:orientation val="minMax"/>
          <c:max val="135"/>
          <c:min val="9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086384"/>
        <c:crosses val="autoZero"/>
        <c:crossBetween val="midCat"/>
        <c:majorUnit val="10"/>
        <c:minorUnit val="5"/>
      </c:valAx>
      <c:valAx>
        <c:axId val="161808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088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 vs 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'1'!$E$8:$E$257</c:f>
              <c:numCache>
                <c:formatCode>General</c:formatCode>
                <c:ptCount val="250"/>
                <c:pt idx="0">
                  <c:v>24.44</c:v>
                </c:pt>
                <c:pt idx="1">
                  <c:v>25.46</c:v>
                </c:pt>
                <c:pt idx="2">
                  <c:v>35</c:v>
                </c:pt>
                <c:pt idx="3">
                  <c:v>21.75</c:v>
                </c:pt>
                <c:pt idx="4">
                  <c:v>31.06</c:v>
                </c:pt>
                <c:pt idx="5">
                  <c:v>22.46</c:v>
                </c:pt>
                <c:pt idx="6">
                  <c:v>24.65</c:v>
                </c:pt>
                <c:pt idx="7">
                  <c:v>20</c:v>
                </c:pt>
                <c:pt idx="8">
                  <c:v>25.01</c:v>
                </c:pt>
                <c:pt idx="9">
                  <c:v>26</c:v>
                </c:pt>
                <c:pt idx="10">
                  <c:v>35</c:v>
                </c:pt>
                <c:pt idx="11">
                  <c:v>30.62</c:v>
                </c:pt>
                <c:pt idx="12">
                  <c:v>28.8</c:v>
                </c:pt>
                <c:pt idx="13">
                  <c:v>25.76</c:v>
                </c:pt>
                <c:pt idx="14">
                  <c:v>35</c:v>
                </c:pt>
                <c:pt idx="15">
                  <c:v>26.35</c:v>
                </c:pt>
                <c:pt idx="16">
                  <c:v>24.94</c:v>
                </c:pt>
                <c:pt idx="17">
                  <c:v>24.63</c:v>
                </c:pt>
                <c:pt idx="18">
                  <c:v>22.54</c:v>
                </c:pt>
                <c:pt idx="19">
                  <c:v>28.53</c:v>
                </c:pt>
                <c:pt idx="20">
                  <c:v>35</c:v>
                </c:pt>
                <c:pt idx="21">
                  <c:v>22.41</c:v>
                </c:pt>
                <c:pt idx="22">
                  <c:v>28.65</c:v>
                </c:pt>
                <c:pt idx="23">
                  <c:v>35</c:v>
                </c:pt>
                <c:pt idx="24">
                  <c:v>22.37</c:v>
                </c:pt>
                <c:pt idx="25">
                  <c:v>20</c:v>
                </c:pt>
                <c:pt idx="26">
                  <c:v>29.38</c:v>
                </c:pt>
                <c:pt idx="27">
                  <c:v>25.66</c:v>
                </c:pt>
                <c:pt idx="28">
                  <c:v>26.79</c:v>
                </c:pt>
                <c:pt idx="29">
                  <c:v>20</c:v>
                </c:pt>
                <c:pt idx="30">
                  <c:v>35</c:v>
                </c:pt>
                <c:pt idx="31">
                  <c:v>35</c:v>
                </c:pt>
                <c:pt idx="32">
                  <c:v>26.98</c:v>
                </c:pt>
                <c:pt idx="33">
                  <c:v>30.39</c:v>
                </c:pt>
                <c:pt idx="34">
                  <c:v>23.78</c:v>
                </c:pt>
                <c:pt idx="35">
                  <c:v>29.56</c:v>
                </c:pt>
                <c:pt idx="36">
                  <c:v>26.46</c:v>
                </c:pt>
                <c:pt idx="37">
                  <c:v>27.98</c:v>
                </c:pt>
                <c:pt idx="38">
                  <c:v>33.5</c:v>
                </c:pt>
                <c:pt idx="39">
                  <c:v>23.41</c:v>
                </c:pt>
                <c:pt idx="40">
                  <c:v>35</c:v>
                </c:pt>
                <c:pt idx="41">
                  <c:v>35</c:v>
                </c:pt>
                <c:pt idx="42">
                  <c:v>28.36</c:v>
                </c:pt>
                <c:pt idx="43">
                  <c:v>24.27</c:v>
                </c:pt>
                <c:pt idx="44">
                  <c:v>29.54</c:v>
                </c:pt>
                <c:pt idx="45">
                  <c:v>31.84</c:v>
                </c:pt>
                <c:pt idx="46">
                  <c:v>26.31</c:v>
                </c:pt>
                <c:pt idx="47">
                  <c:v>28.62</c:v>
                </c:pt>
                <c:pt idx="48">
                  <c:v>27.44</c:v>
                </c:pt>
                <c:pt idx="49">
                  <c:v>30.14</c:v>
                </c:pt>
                <c:pt idx="50">
                  <c:v>29.14</c:v>
                </c:pt>
                <c:pt idx="51">
                  <c:v>26.21</c:v>
                </c:pt>
                <c:pt idx="52">
                  <c:v>28.74</c:v>
                </c:pt>
                <c:pt idx="53">
                  <c:v>31.42</c:v>
                </c:pt>
                <c:pt idx="54">
                  <c:v>29.92</c:v>
                </c:pt>
                <c:pt idx="55">
                  <c:v>20.37</c:v>
                </c:pt>
                <c:pt idx="56">
                  <c:v>20</c:v>
                </c:pt>
                <c:pt idx="57">
                  <c:v>33.96</c:v>
                </c:pt>
                <c:pt idx="58">
                  <c:v>26.53</c:v>
                </c:pt>
                <c:pt idx="59">
                  <c:v>33.03</c:v>
                </c:pt>
                <c:pt idx="60">
                  <c:v>25.8</c:v>
                </c:pt>
                <c:pt idx="61">
                  <c:v>28.94</c:v>
                </c:pt>
                <c:pt idx="62">
                  <c:v>33.82</c:v>
                </c:pt>
                <c:pt idx="63">
                  <c:v>25.68</c:v>
                </c:pt>
                <c:pt idx="64">
                  <c:v>23.55</c:v>
                </c:pt>
                <c:pt idx="65">
                  <c:v>22.9</c:v>
                </c:pt>
                <c:pt idx="66">
                  <c:v>32.549999999999997</c:v>
                </c:pt>
                <c:pt idx="67">
                  <c:v>22.29</c:v>
                </c:pt>
                <c:pt idx="68">
                  <c:v>24.32</c:v>
                </c:pt>
                <c:pt idx="69">
                  <c:v>20</c:v>
                </c:pt>
                <c:pt idx="70">
                  <c:v>20</c:v>
                </c:pt>
                <c:pt idx="71">
                  <c:v>21.16</c:v>
                </c:pt>
                <c:pt idx="72">
                  <c:v>27.98</c:v>
                </c:pt>
                <c:pt idx="73">
                  <c:v>29.48</c:v>
                </c:pt>
                <c:pt idx="74">
                  <c:v>24.93</c:v>
                </c:pt>
                <c:pt idx="75">
                  <c:v>23.4</c:v>
                </c:pt>
                <c:pt idx="76">
                  <c:v>35</c:v>
                </c:pt>
                <c:pt idx="77">
                  <c:v>35</c:v>
                </c:pt>
                <c:pt idx="78">
                  <c:v>35</c:v>
                </c:pt>
                <c:pt idx="79">
                  <c:v>33.07</c:v>
                </c:pt>
                <c:pt idx="80">
                  <c:v>35</c:v>
                </c:pt>
                <c:pt idx="81">
                  <c:v>35</c:v>
                </c:pt>
                <c:pt idx="82">
                  <c:v>35</c:v>
                </c:pt>
                <c:pt idx="83">
                  <c:v>21.18</c:v>
                </c:pt>
                <c:pt idx="84">
                  <c:v>25.31</c:v>
                </c:pt>
                <c:pt idx="85">
                  <c:v>27.5</c:v>
                </c:pt>
                <c:pt idx="86">
                  <c:v>25.23</c:v>
                </c:pt>
                <c:pt idx="87">
                  <c:v>35</c:v>
                </c:pt>
                <c:pt idx="88">
                  <c:v>27.52</c:v>
                </c:pt>
                <c:pt idx="89">
                  <c:v>27.02</c:v>
                </c:pt>
                <c:pt idx="90">
                  <c:v>23.09</c:v>
                </c:pt>
                <c:pt idx="91">
                  <c:v>21.21</c:v>
                </c:pt>
                <c:pt idx="92">
                  <c:v>26.16</c:v>
                </c:pt>
                <c:pt idx="93">
                  <c:v>30.62</c:v>
                </c:pt>
                <c:pt idx="94">
                  <c:v>20</c:v>
                </c:pt>
                <c:pt idx="95">
                  <c:v>31.11</c:v>
                </c:pt>
                <c:pt idx="96">
                  <c:v>35</c:v>
                </c:pt>
                <c:pt idx="97">
                  <c:v>21.76</c:v>
                </c:pt>
                <c:pt idx="98">
                  <c:v>20</c:v>
                </c:pt>
                <c:pt idx="99">
                  <c:v>24.69</c:v>
                </c:pt>
                <c:pt idx="100">
                  <c:v>29.47</c:v>
                </c:pt>
                <c:pt idx="101">
                  <c:v>27.57</c:v>
                </c:pt>
                <c:pt idx="102">
                  <c:v>29.2</c:v>
                </c:pt>
                <c:pt idx="103">
                  <c:v>35</c:v>
                </c:pt>
                <c:pt idx="104">
                  <c:v>33.729999999999997</c:v>
                </c:pt>
                <c:pt idx="105">
                  <c:v>20</c:v>
                </c:pt>
                <c:pt idx="106">
                  <c:v>29.66</c:v>
                </c:pt>
                <c:pt idx="107">
                  <c:v>20</c:v>
                </c:pt>
                <c:pt idx="108">
                  <c:v>35</c:v>
                </c:pt>
                <c:pt idx="109">
                  <c:v>35</c:v>
                </c:pt>
                <c:pt idx="110">
                  <c:v>35</c:v>
                </c:pt>
                <c:pt idx="111">
                  <c:v>21.26</c:v>
                </c:pt>
                <c:pt idx="112">
                  <c:v>22.97</c:v>
                </c:pt>
                <c:pt idx="113">
                  <c:v>32.409999999999997</c:v>
                </c:pt>
                <c:pt idx="114">
                  <c:v>35</c:v>
                </c:pt>
                <c:pt idx="115">
                  <c:v>28.98</c:v>
                </c:pt>
                <c:pt idx="116">
                  <c:v>31.76</c:v>
                </c:pt>
                <c:pt idx="117">
                  <c:v>23.02</c:v>
                </c:pt>
                <c:pt idx="118">
                  <c:v>28.28</c:v>
                </c:pt>
                <c:pt idx="119">
                  <c:v>25.31</c:v>
                </c:pt>
                <c:pt idx="120">
                  <c:v>26.08</c:v>
                </c:pt>
                <c:pt idx="121">
                  <c:v>28.7</c:v>
                </c:pt>
                <c:pt idx="122">
                  <c:v>35</c:v>
                </c:pt>
                <c:pt idx="123">
                  <c:v>27.91</c:v>
                </c:pt>
                <c:pt idx="124">
                  <c:v>24.72</c:v>
                </c:pt>
                <c:pt idx="125">
                  <c:v>20</c:v>
                </c:pt>
                <c:pt idx="126">
                  <c:v>20</c:v>
                </c:pt>
                <c:pt idx="127">
                  <c:v>28.05</c:v>
                </c:pt>
                <c:pt idx="128">
                  <c:v>32.950000000000003</c:v>
                </c:pt>
                <c:pt idx="129">
                  <c:v>27.94</c:v>
                </c:pt>
                <c:pt idx="130">
                  <c:v>35</c:v>
                </c:pt>
                <c:pt idx="131">
                  <c:v>20</c:v>
                </c:pt>
                <c:pt idx="132">
                  <c:v>35</c:v>
                </c:pt>
                <c:pt idx="133">
                  <c:v>35</c:v>
                </c:pt>
                <c:pt idx="134">
                  <c:v>30.71</c:v>
                </c:pt>
                <c:pt idx="135">
                  <c:v>26.65</c:v>
                </c:pt>
                <c:pt idx="136">
                  <c:v>20</c:v>
                </c:pt>
                <c:pt idx="137">
                  <c:v>21.06</c:v>
                </c:pt>
                <c:pt idx="138">
                  <c:v>26.65</c:v>
                </c:pt>
                <c:pt idx="139">
                  <c:v>35</c:v>
                </c:pt>
                <c:pt idx="140">
                  <c:v>27.63</c:v>
                </c:pt>
                <c:pt idx="141">
                  <c:v>31.93</c:v>
                </c:pt>
                <c:pt idx="142">
                  <c:v>30.69</c:v>
                </c:pt>
                <c:pt idx="143">
                  <c:v>20</c:v>
                </c:pt>
                <c:pt idx="144">
                  <c:v>22.34</c:v>
                </c:pt>
                <c:pt idx="145">
                  <c:v>20.23</c:v>
                </c:pt>
                <c:pt idx="146">
                  <c:v>31.32</c:v>
                </c:pt>
                <c:pt idx="147">
                  <c:v>26.49</c:v>
                </c:pt>
                <c:pt idx="148">
                  <c:v>28.29</c:v>
                </c:pt>
                <c:pt idx="149">
                  <c:v>27.66</c:v>
                </c:pt>
                <c:pt idx="150">
                  <c:v>32.42</c:v>
                </c:pt>
                <c:pt idx="151">
                  <c:v>35</c:v>
                </c:pt>
                <c:pt idx="152">
                  <c:v>35</c:v>
                </c:pt>
                <c:pt idx="153">
                  <c:v>26.06</c:v>
                </c:pt>
                <c:pt idx="154">
                  <c:v>25.66</c:v>
                </c:pt>
                <c:pt idx="155">
                  <c:v>23</c:v>
                </c:pt>
                <c:pt idx="156">
                  <c:v>24.57</c:v>
                </c:pt>
                <c:pt idx="157">
                  <c:v>24.23</c:v>
                </c:pt>
                <c:pt idx="158">
                  <c:v>24.48</c:v>
                </c:pt>
                <c:pt idx="159">
                  <c:v>27.72</c:v>
                </c:pt>
                <c:pt idx="160">
                  <c:v>31.43</c:v>
                </c:pt>
                <c:pt idx="161">
                  <c:v>26.86</c:v>
                </c:pt>
                <c:pt idx="162">
                  <c:v>25.31</c:v>
                </c:pt>
                <c:pt idx="163">
                  <c:v>31.47</c:v>
                </c:pt>
                <c:pt idx="164">
                  <c:v>22.81</c:v>
                </c:pt>
                <c:pt idx="165">
                  <c:v>28.4</c:v>
                </c:pt>
                <c:pt idx="166">
                  <c:v>30.46</c:v>
                </c:pt>
                <c:pt idx="167">
                  <c:v>35</c:v>
                </c:pt>
                <c:pt idx="168">
                  <c:v>35</c:v>
                </c:pt>
                <c:pt idx="169">
                  <c:v>31.4</c:v>
                </c:pt>
                <c:pt idx="170">
                  <c:v>25.52</c:v>
                </c:pt>
                <c:pt idx="171">
                  <c:v>20</c:v>
                </c:pt>
                <c:pt idx="172">
                  <c:v>27.09</c:v>
                </c:pt>
                <c:pt idx="173">
                  <c:v>23.03</c:v>
                </c:pt>
                <c:pt idx="174">
                  <c:v>26.02</c:v>
                </c:pt>
                <c:pt idx="175">
                  <c:v>31.52</c:v>
                </c:pt>
                <c:pt idx="176">
                  <c:v>35</c:v>
                </c:pt>
                <c:pt idx="177">
                  <c:v>24.8</c:v>
                </c:pt>
                <c:pt idx="178">
                  <c:v>21.38</c:v>
                </c:pt>
                <c:pt idx="179">
                  <c:v>20</c:v>
                </c:pt>
                <c:pt idx="180">
                  <c:v>34.65</c:v>
                </c:pt>
                <c:pt idx="181">
                  <c:v>23.37</c:v>
                </c:pt>
                <c:pt idx="182">
                  <c:v>30.45</c:v>
                </c:pt>
                <c:pt idx="183">
                  <c:v>20</c:v>
                </c:pt>
                <c:pt idx="184">
                  <c:v>25.21</c:v>
                </c:pt>
                <c:pt idx="185">
                  <c:v>20</c:v>
                </c:pt>
                <c:pt idx="186">
                  <c:v>31.09</c:v>
                </c:pt>
                <c:pt idx="187">
                  <c:v>26.94</c:v>
                </c:pt>
                <c:pt idx="188">
                  <c:v>20</c:v>
                </c:pt>
                <c:pt idx="189">
                  <c:v>35</c:v>
                </c:pt>
                <c:pt idx="190">
                  <c:v>27.79</c:v>
                </c:pt>
                <c:pt idx="191">
                  <c:v>28.16</c:v>
                </c:pt>
                <c:pt idx="192">
                  <c:v>24.45</c:v>
                </c:pt>
                <c:pt idx="193">
                  <c:v>26.51</c:v>
                </c:pt>
                <c:pt idx="194">
                  <c:v>30.97</c:v>
                </c:pt>
                <c:pt idx="195">
                  <c:v>27.3</c:v>
                </c:pt>
                <c:pt idx="196">
                  <c:v>25.54</c:v>
                </c:pt>
                <c:pt idx="197">
                  <c:v>35</c:v>
                </c:pt>
                <c:pt idx="198">
                  <c:v>26.47</c:v>
                </c:pt>
                <c:pt idx="199">
                  <c:v>35</c:v>
                </c:pt>
                <c:pt idx="200">
                  <c:v>27.75</c:v>
                </c:pt>
                <c:pt idx="201">
                  <c:v>30.55</c:v>
                </c:pt>
                <c:pt idx="202">
                  <c:v>28.33</c:v>
                </c:pt>
                <c:pt idx="203">
                  <c:v>20</c:v>
                </c:pt>
                <c:pt idx="204">
                  <c:v>20</c:v>
                </c:pt>
                <c:pt idx="205">
                  <c:v>23.48</c:v>
                </c:pt>
                <c:pt idx="206">
                  <c:v>35</c:v>
                </c:pt>
                <c:pt idx="207">
                  <c:v>22.7</c:v>
                </c:pt>
                <c:pt idx="208">
                  <c:v>26.28</c:v>
                </c:pt>
                <c:pt idx="209">
                  <c:v>22.96</c:v>
                </c:pt>
                <c:pt idx="210">
                  <c:v>24.76</c:v>
                </c:pt>
                <c:pt idx="211">
                  <c:v>35</c:v>
                </c:pt>
                <c:pt idx="212">
                  <c:v>25.9</c:v>
                </c:pt>
                <c:pt idx="213">
                  <c:v>20.25</c:v>
                </c:pt>
                <c:pt idx="214">
                  <c:v>29.38</c:v>
                </c:pt>
                <c:pt idx="215">
                  <c:v>31.82</c:v>
                </c:pt>
                <c:pt idx="216">
                  <c:v>35</c:v>
                </c:pt>
                <c:pt idx="217">
                  <c:v>35</c:v>
                </c:pt>
                <c:pt idx="218">
                  <c:v>22.35</c:v>
                </c:pt>
                <c:pt idx="219">
                  <c:v>22.5</c:v>
                </c:pt>
                <c:pt idx="220">
                  <c:v>35</c:v>
                </c:pt>
                <c:pt idx="221">
                  <c:v>26.32</c:v>
                </c:pt>
                <c:pt idx="222">
                  <c:v>35</c:v>
                </c:pt>
                <c:pt idx="223">
                  <c:v>35</c:v>
                </c:pt>
                <c:pt idx="224">
                  <c:v>35</c:v>
                </c:pt>
                <c:pt idx="225">
                  <c:v>32.68</c:v>
                </c:pt>
                <c:pt idx="226">
                  <c:v>20</c:v>
                </c:pt>
                <c:pt idx="227">
                  <c:v>35</c:v>
                </c:pt>
                <c:pt idx="228">
                  <c:v>26.61</c:v>
                </c:pt>
                <c:pt idx="229">
                  <c:v>29.22</c:v>
                </c:pt>
                <c:pt idx="230">
                  <c:v>22.91</c:v>
                </c:pt>
                <c:pt idx="231">
                  <c:v>26.03</c:v>
                </c:pt>
                <c:pt idx="232">
                  <c:v>26.78</c:v>
                </c:pt>
                <c:pt idx="233">
                  <c:v>29.54</c:v>
                </c:pt>
                <c:pt idx="234">
                  <c:v>29.04</c:v>
                </c:pt>
                <c:pt idx="235">
                  <c:v>28.53</c:v>
                </c:pt>
                <c:pt idx="236">
                  <c:v>28.13</c:v>
                </c:pt>
                <c:pt idx="237">
                  <c:v>29.9</c:v>
                </c:pt>
                <c:pt idx="238">
                  <c:v>24.85</c:v>
                </c:pt>
                <c:pt idx="239">
                  <c:v>20</c:v>
                </c:pt>
                <c:pt idx="240">
                  <c:v>24.3</c:v>
                </c:pt>
                <c:pt idx="241">
                  <c:v>35</c:v>
                </c:pt>
                <c:pt idx="242">
                  <c:v>26.93</c:v>
                </c:pt>
                <c:pt idx="243">
                  <c:v>30.84</c:v>
                </c:pt>
                <c:pt idx="244">
                  <c:v>35</c:v>
                </c:pt>
                <c:pt idx="245">
                  <c:v>25.04</c:v>
                </c:pt>
                <c:pt idx="246">
                  <c:v>25.36</c:v>
                </c:pt>
                <c:pt idx="247">
                  <c:v>35</c:v>
                </c:pt>
                <c:pt idx="248">
                  <c:v>23.35</c:v>
                </c:pt>
                <c:pt idx="249">
                  <c:v>35</c:v>
                </c:pt>
              </c:numCache>
            </c:numRef>
          </c:xVal>
          <c:yVal>
            <c:numRef>
              <c:f>'1'!$L$8:$L$257</c:f>
              <c:numCache>
                <c:formatCode>0.00</c:formatCode>
                <c:ptCount val="250"/>
                <c:pt idx="0">
                  <c:v>4.8885098440760766</c:v>
                </c:pt>
                <c:pt idx="1">
                  <c:v>-3.1758157930647242</c:v>
                </c:pt>
                <c:pt idx="2">
                  <c:v>1.0452844633796494</c:v>
                </c:pt>
                <c:pt idx="3">
                  <c:v>2.457156321819459</c:v>
                </c:pt>
                <c:pt idx="4">
                  <c:v>-8.9182521495693408</c:v>
                </c:pt>
                <c:pt idx="5">
                  <c:v>-3.161937830000884</c:v>
                </c:pt>
                <c:pt idx="6">
                  <c:v>4.484107592714639</c:v>
                </c:pt>
                <c:pt idx="7">
                  <c:v>-1.741426936156236</c:v>
                </c:pt>
                <c:pt idx="8">
                  <c:v>13.153365928508656</c:v>
                </c:pt>
                <c:pt idx="9">
                  <c:v>5.0068032408146017</c:v>
                </c:pt>
                <c:pt idx="10">
                  <c:v>-2.3836290771657653</c:v>
                </c:pt>
                <c:pt idx="11">
                  <c:v>4.9694920042427624</c:v>
                </c:pt>
                <c:pt idx="12">
                  <c:v>-2.6048606244716135</c:v>
                </c:pt>
                <c:pt idx="13">
                  <c:v>-6.1790050073687715</c:v>
                </c:pt>
                <c:pt idx="14">
                  <c:v>3.9279242105262985E-2</c:v>
                </c:pt>
                <c:pt idx="15">
                  <c:v>-6.5425449787600645</c:v>
                </c:pt>
                <c:pt idx="16">
                  <c:v>4.8749534760646149</c:v>
                </c:pt>
                <c:pt idx="17">
                  <c:v>4.5252337803011198</c:v>
                </c:pt>
                <c:pt idx="18">
                  <c:v>-2.2821013336854543</c:v>
                </c:pt>
                <c:pt idx="19">
                  <c:v>-1.8174959364670376</c:v>
                </c:pt>
                <c:pt idx="20">
                  <c:v>9.1768952668614769</c:v>
                </c:pt>
                <c:pt idx="21">
                  <c:v>-3.3253769624631913</c:v>
                </c:pt>
                <c:pt idx="22">
                  <c:v>-1.9066887614604666</c:v>
                </c:pt>
                <c:pt idx="23">
                  <c:v>1.1536673375925808</c:v>
                </c:pt>
                <c:pt idx="24">
                  <c:v>-0.48266950206591314</c:v>
                </c:pt>
                <c:pt idx="25">
                  <c:v>6.3312864565250022</c:v>
                </c:pt>
                <c:pt idx="26">
                  <c:v>0.88392153919634331</c:v>
                </c:pt>
                <c:pt idx="27">
                  <c:v>4.9627473650803529</c:v>
                </c:pt>
                <c:pt idx="28">
                  <c:v>-5.5252199180184753</c:v>
                </c:pt>
                <c:pt idx="29">
                  <c:v>10.647907077342234</c:v>
                </c:pt>
                <c:pt idx="30">
                  <c:v>12.677373104439003</c:v>
                </c:pt>
                <c:pt idx="31">
                  <c:v>5.4941525658857815</c:v>
                </c:pt>
                <c:pt idx="32">
                  <c:v>7.0793814822198291</c:v>
                </c:pt>
                <c:pt idx="33">
                  <c:v>0.67482811835853973</c:v>
                </c:pt>
                <c:pt idx="34">
                  <c:v>4.4962693198742336</c:v>
                </c:pt>
                <c:pt idx="35">
                  <c:v>-0.63257633043953909</c:v>
                </c:pt>
                <c:pt idx="36">
                  <c:v>-6.2989017989937128</c:v>
                </c:pt>
                <c:pt idx="37">
                  <c:v>18.024566142736202</c:v>
                </c:pt>
                <c:pt idx="38">
                  <c:v>5.2034035111980055</c:v>
                </c:pt>
                <c:pt idx="39">
                  <c:v>-0.9557776741704419</c:v>
                </c:pt>
                <c:pt idx="40">
                  <c:v>1.5294746549882063</c:v>
                </c:pt>
                <c:pt idx="41">
                  <c:v>-1.4823146867675476</c:v>
                </c:pt>
                <c:pt idx="42">
                  <c:v>7.8659023504445607</c:v>
                </c:pt>
                <c:pt idx="43">
                  <c:v>12.119695435462376</c:v>
                </c:pt>
                <c:pt idx="44">
                  <c:v>-1.8024677687643553</c:v>
                </c:pt>
                <c:pt idx="45">
                  <c:v>5.2037972829042589</c:v>
                </c:pt>
                <c:pt idx="46">
                  <c:v>12.594577858277717</c:v>
                </c:pt>
                <c:pt idx="47">
                  <c:v>-5.0513933324880664</c:v>
                </c:pt>
                <c:pt idx="48">
                  <c:v>4.4785906210611808</c:v>
                </c:pt>
                <c:pt idx="49">
                  <c:v>2.7797903541666504</c:v>
                </c:pt>
                <c:pt idx="50">
                  <c:v>-4.7501013477016496</c:v>
                </c:pt>
                <c:pt idx="51">
                  <c:v>2.1645383227240775</c:v>
                </c:pt>
                <c:pt idx="52">
                  <c:v>2.7275536325109311</c:v>
                </c:pt>
                <c:pt idx="53">
                  <c:v>5.8058120424471733</c:v>
                </c:pt>
                <c:pt idx="54">
                  <c:v>-1.0048326295481147</c:v>
                </c:pt>
                <c:pt idx="55">
                  <c:v>-4.3533735611412707</c:v>
                </c:pt>
                <c:pt idx="56">
                  <c:v>-0.95672866990093497</c:v>
                </c:pt>
                <c:pt idx="57">
                  <c:v>-4.8393870018265925</c:v>
                </c:pt>
                <c:pt idx="58">
                  <c:v>2.5744245415936411</c:v>
                </c:pt>
                <c:pt idx="59">
                  <c:v>0.89501461305293883</c:v>
                </c:pt>
                <c:pt idx="60">
                  <c:v>0.32796039437609587</c:v>
                </c:pt>
                <c:pt idx="61">
                  <c:v>-5.0540723133752214</c:v>
                </c:pt>
                <c:pt idx="62">
                  <c:v>-7.5904577826555037</c:v>
                </c:pt>
                <c:pt idx="63">
                  <c:v>-6.6586119143590832</c:v>
                </c:pt>
                <c:pt idx="64">
                  <c:v>-1.1979047265614531</c:v>
                </c:pt>
                <c:pt idx="65">
                  <c:v>-1.1862431088479104</c:v>
                </c:pt>
                <c:pt idx="66">
                  <c:v>-1.4682372490539786</c:v>
                </c:pt>
                <c:pt idx="67">
                  <c:v>-2.9199116696251979</c:v>
                </c:pt>
                <c:pt idx="68">
                  <c:v>5.2335117689057009</c:v>
                </c:pt>
                <c:pt idx="69">
                  <c:v>6.4904113666324177</c:v>
                </c:pt>
                <c:pt idx="70">
                  <c:v>3.7082624202208452</c:v>
                </c:pt>
                <c:pt idx="71">
                  <c:v>7.0085999985036391</c:v>
                </c:pt>
                <c:pt idx="72">
                  <c:v>18.586103943794097</c:v>
                </c:pt>
                <c:pt idx="73">
                  <c:v>2.6633449689039272</c:v>
                </c:pt>
                <c:pt idx="74">
                  <c:v>4.4254731515713299</c:v>
                </c:pt>
                <c:pt idx="75">
                  <c:v>8.5542976513921989</c:v>
                </c:pt>
                <c:pt idx="76">
                  <c:v>2.0094332802228378</c:v>
                </c:pt>
                <c:pt idx="77">
                  <c:v>-2.2878332138294417</c:v>
                </c:pt>
                <c:pt idx="78">
                  <c:v>2.9740373761449388</c:v>
                </c:pt>
                <c:pt idx="79">
                  <c:v>1.6094502941588822</c:v>
                </c:pt>
                <c:pt idx="80">
                  <c:v>2.6644408016302372</c:v>
                </c:pt>
                <c:pt idx="81">
                  <c:v>8.9842181886788808</c:v>
                </c:pt>
                <c:pt idx="82">
                  <c:v>9.3615783435585147</c:v>
                </c:pt>
                <c:pt idx="83">
                  <c:v>-3.9483563465540397</c:v>
                </c:pt>
                <c:pt idx="84">
                  <c:v>-1.346389061547018</c:v>
                </c:pt>
                <c:pt idx="85">
                  <c:v>6.5373341616106941</c:v>
                </c:pt>
                <c:pt idx="86">
                  <c:v>-0.84456135459693094</c:v>
                </c:pt>
                <c:pt idx="87">
                  <c:v>5.9172891673648316</c:v>
                </c:pt>
                <c:pt idx="88">
                  <c:v>5.9142926907735385</c:v>
                </c:pt>
                <c:pt idx="89">
                  <c:v>7.7237826424533793</c:v>
                </c:pt>
                <c:pt idx="90">
                  <c:v>7.8476429736226549</c:v>
                </c:pt>
                <c:pt idx="91">
                  <c:v>-3.7015913831933998</c:v>
                </c:pt>
                <c:pt idx="92">
                  <c:v>-4.3598153763183722</c:v>
                </c:pt>
                <c:pt idx="93">
                  <c:v>4.8294808580980151</c:v>
                </c:pt>
                <c:pt idx="94">
                  <c:v>11.681957505273294</c:v>
                </c:pt>
                <c:pt idx="95">
                  <c:v>4.5435713883603475</c:v>
                </c:pt>
                <c:pt idx="96">
                  <c:v>15.799221990876452</c:v>
                </c:pt>
                <c:pt idx="97">
                  <c:v>-1.2485265828092047</c:v>
                </c:pt>
                <c:pt idx="98">
                  <c:v>-3.4003261294812028</c:v>
                </c:pt>
                <c:pt idx="99">
                  <c:v>4.2112422842340385</c:v>
                </c:pt>
                <c:pt idx="100">
                  <c:v>0.18276677653432194</c:v>
                </c:pt>
                <c:pt idx="101">
                  <c:v>3.1520210867265379</c:v>
                </c:pt>
                <c:pt idx="102">
                  <c:v>0.96004141311605184</c:v>
                </c:pt>
                <c:pt idx="103">
                  <c:v>7.640951327079688</c:v>
                </c:pt>
                <c:pt idx="104">
                  <c:v>-1.6876600150160248</c:v>
                </c:pt>
                <c:pt idx="105">
                  <c:v>-7.1304683361713552</c:v>
                </c:pt>
                <c:pt idx="106">
                  <c:v>4.0346450539190748</c:v>
                </c:pt>
                <c:pt idx="107">
                  <c:v>8.8254990016050403</c:v>
                </c:pt>
                <c:pt idx="108">
                  <c:v>3.3908321499486345</c:v>
                </c:pt>
                <c:pt idx="109">
                  <c:v>-0.72768651123699879</c:v>
                </c:pt>
                <c:pt idx="110">
                  <c:v>8.9759810100706474</c:v>
                </c:pt>
                <c:pt idx="111">
                  <c:v>-0.13071337085433218</c:v>
                </c:pt>
                <c:pt idx="112">
                  <c:v>1.7880777687119758</c:v>
                </c:pt>
                <c:pt idx="113">
                  <c:v>1.3158315650293015</c:v>
                </c:pt>
                <c:pt idx="114">
                  <c:v>5.9747558508538399</c:v>
                </c:pt>
                <c:pt idx="115">
                  <c:v>5.6177159709261755</c:v>
                </c:pt>
                <c:pt idx="116">
                  <c:v>-1.3467567219898282</c:v>
                </c:pt>
                <c:pt idx="117">
                  <c:v>1.6443573162752703</c:v>
                </c:pt>
                <c:pt idx="118">
                  <c:v>7.6206092017835365</c:v>
                </c:pt>
                <c:pt idx="119">
                  <c:v>9.6786746776843824</c:v>
                </c:pt>
                <c:pt idx="120">
                  <c:v>5.199670399858519</c:v>
                </c:pt>
                <c:pt idx="121">
                  <c:v>8.9844400940233307</c:v>
                </c:pt>
                <c:pt idx="122">
                  <c:v>2.14701893870056</c:v>
                </c:pt>
                <c:pt idx="123">
                  <c:v>4.4535292823738413</c:v>
                </c:pt>
                <c:pt idx="124">
                  <c:v>0.30547359562555793</c:v>
                </c:pt>
                <c:pt idx="125">
                  <c:v>3.0935793723527527</c:v>
                </c:pt>
                <c:pt idx="126">
                  <c:v>-4.0645639778846308</c:v>
                </c:pt>
                <c:pt idx="127">
                  <c:v>-4.4756014277603038</c:v>
                </c:pt>
                <c:pt idx="128">
                  <c:v>-8.2796545432830762</c:v>
                </c:pt>
                <c:pt idx="129">
                  <c:v>-8.6205636893817204</c:v>
                </c:pt>
                <c:pt idx="130">
                  <c:v>-0.90065305095860038</c:v>
                </c:pt>
                <c:pt idx="131">
                  <c:v>3.9415604426390409</c:v>
                </c:pt>
                <c:pt idx="132">
                  <c:v>3.0941240187756964</c:v>
                </c:pt>
                <c:pt idx="133">
                  <c:v>2.280703473578082</c:v>
                </c:pt>
                <c:pt idx="134">
                  <c:v>15.130947092618063</c:v>
                </c:pt>
                <c:pt idx="135">
                  <c:v>2.869895011340569</c:v>
                </c:pt>
                <c:pt idx="136">
                  <c:v>-1.3449569712012077</c:v>
                </c:pt>
                <c:pt idx="137">
                  <c:v>7.558364927413173</c:v>
                </c:pt>
                <c:pt idx="138">
                  <c:v>6.1999277793429552</c:v>
                </c:pt>
                <c:pt idx="139">
                  <c:v>0.8881289121383501</c:v>
                </c:pt>
                <c:pt idx="140">
                  <c:v>-4.9458324922030705</c:v>
                </c:pt>
                <c:pt idx="141">
                  <c:v>7.3013482303446455</c:v>
                </c:pt>
                <c:pt idx="142">
                  <c:v>1.5265849739851753</c:v>
                </c:pt>
                <c:pt idx="143">
                  <c:v>8.2183301554405919</c:v>
                </c:pt>
                <c:pt idx="144">
                  <c:v>9.6687599682584757</c:v>
                </c:pt>
                <c:pt idx="145">
                  <c:v>15.369128586924836</c:v>
                </c:pt>
                <c:pt idx="146">
                  <c:v>11.300233723720757</c:v>
                </c:pt>
                <c:pt idx="147">
                  <c:v>0.23651564015676063</c:v>
                </c:pt>
                <c:pt idx="148">
                  <c:v>-5.1169172675739547E-2</c:v>
                </c:pt>
                <c:pt idx="149">
                  <c:v>-5.5650497668570367</c:v>
                </c:pt>
                <c:pt idx="150">
                  <c:v>2.0215579593192605</c:v>
                </c:pt>
                <c:pt idx="151">
                  <c:v>3.6757122848482968</c:v>
                </c:pt>
                <c:pt idx="152">
                  <c:v>10.989539192514682</c:v>
                </c:pt>
                <c:pt idx="153">
                  <c:v>5.8912797864119453</c:v>
                </c:pt>
                <c:pt idx="154">
                  <c:v>3.0837923048874911</c:v>
                </c:pt>
                <c:pt idx="155">
                  <c:v>11.167600439077164</c:v>
                </c:pt>
                <c:pt idx="156">
                  <c:v>12.291029384402224</c:v>
                </c:pt>
                <c:pt idx="157">
                  <c:v>10.130773416178487</c:v>
                </c:pt>
                <c:pt idx="158">
                  <c:v>-2.4998527086554874</c:v>
                </c:pt>
                <c:pt idx="159">
                  <c:v>-2.4960306679771516</c:v>
                </c:pt>
                <c:pt idx="160">
                  <c:v>1.4826617992418574</c:v>
                </c:pt>
                <c:pt idx="161">
                  <c:v>13.243207061003936</c:v>
                </c:pt>
                <c:pt idx="162">
                  <c:v>-1.3238984871308541</c:v>
                </c:pt>
                <c:pt idx="163">
                  <c:v>5.9133120007497499</c:v>
                </c:pt>
                <c:pt idx="164">
                  <c:v>6.5634362101372217</c:v>
                </c:pt>
                <c:pt idx="165">
                  <c:v>7.0071276438979178</c:v>
                </c:pt>
                <c:pt idx="166">
                  <c:v>2.0936340229052819</c:v>
                </c:pt>
                <c:pt idx="167">
                  <c:v>-3.6604196667424906</c:v>
                </c:pt>
                <c:pt idx="168">
                  <c:v>3.5248271433814433</c:v>
                </c:pt>
                <c:pt idx="169">
                  <c:v>1.0157034107674427</c:v>
                </c:pt>
                <c:pt idx="170">
                  <c:v>10.638660290802497</c:v>
                </c:pt>
                <c:pt idx="171">
                  <c:v>9.2568298740254491</c:v>
                </c:pt>
                <c:pt idx="172">
                  <c:v>3.8349175147653289</c:v>
                </c:pt>
                <c:pt idx="173">
                  <c:v>9.523939856033552</c:v>
                </c:pt>
                <c:pt idx="174">
                  <c:v>4.0029459641273561</c:v>
                </c:pt>
                <c:pt idx="175">
                  <c:v>0.683269082952777</c:v>
                </c:pt>
                <c:pt idx="176">
                  <c:v>-1.4062945487482386</c:v>
                </c:pt>
                <c:pt idx="177">
                  <c:v>6.1046568495157709</c:v>
                </c:pt>
                <c:pt idx="178">
                  <c:v>-2.011918585544286</c:v>
                </c:pt>
                <c:pt idx="179">
                  <c:v>0.90050231444452589</c:v>
                </c:pt>
                <c:pt idx="180">
                  <c:v>-4.900406483937358</c:v>
                </c:pt>
                <c:pt idx="181">
                  <c:v>-3.4896455072452546</c:v>
                </c:pt>
                <c:pt idx="182">
                  <c:v>1.7534891659176992</c:v>
                </c:pt>
                <c:pt idx="183">
                  <c:v>-7.4885539945258222</c:v>
                </c:pt>
                <c:pt idx="184">
                  <c:v>-4.672365648686946</c:v>
                </c:pt>
                <c:pt idx="185">
                  <c:v>1.6925046080391259</c:v>
                </c:pt>
                <c:pt idx="186">
                  <c:v>-2.8628122763339214</c:v>
                </c:pt>
                <c:pt idx="187">
                  <c:v>-6.017204612240926</c:v>
                </c:pt>
                <c:pt idx="188">
                  <c:v>-5.1290368973616784</c:v>
                </c:pt>
                <c:pt idx="189">
                  <c:v>7.8551766319928396</c:v>
                </c:pt>
                <c:pt idx="190">
                  <c:v>0.60474023540772426</c:v>
                </c:pt>
                <c:pt idx="191">
                  <c:v>5.8368889190323552</c:v>
                </c:pt>
                <c:pt idx="192">
                  <c:v>3.5120087375004854</c:v>
                </c:pt>
                <c:pt idx="193">
                  <c:v>3.1913386525254341</c:v>
                </c:pt>
                <c:pt idx="194">
                  <c:v>2.3751494334817549</c:v>
                </c:pt>
                <c:pt idx="195">
                  <c:v>-5.6791962761246646</c:v>
                </c:pt>
                <c:pt idx="196">
                  <c:v>7.239511811431905</c:v>
                </c:pt>
                <c:pt idx="197">
                  <c:v>20.367240536879454</c:v>
                </c:pt>
                <c:pt idx="198">
                  <c:v>-0.71956987321682908</c:v>
                </c:pt>
                <c:pt idx="199">
                  <c:v>3.5805941907883527</c:v>
                </c:pt>
                <c:pt idx="200">
                  <c:v>-5.5323974447623439</c:v>
                </c:pt>
                <c:pt idx="201">
                  <c:v>15.480222334287291</c:v>
                </c:pt>
                <c:pt idx="202">
                  <c:v>5.8050698288069871</c:v>
                </c:pt>
                <c:pt idx="203">
                  <c:v>8.5444389722209877</c:v>
                </c:pt>
                <c:pt idx="204">
                  <c:v>-6.5849769731617211</c:v>
                </c:pt>
                <c:pt idx="205">
                  <c:v>9.4107498360143769</c:v>
                </c:pt>
                <c:pt idx="206">
                  <c:v>6.6877905066015266</c:v>
                </c:pt>
                <c:pt idx="207">
                  <c:v>3.3363591090094902</c:v>
                </c:pt>
                <c:pt idx="208">
                  <c:v>-2.6311064062008986</c:v>
                </c:pt>
                <c:pt idx="209">
                  <c:v>1.5219329504063306</c:v>
                </c:pt>
                <c:pt idx="210">
                  <c:v>3.4909346276464901</c:v>
                </c:pt>
                <c:pt idx="211">
                  <c:v>0.52858532033641059</c:v>
                </c:pt>
                <c:pt idx="212">
                  <c:v>-7.7452628630627736</c:v>
                </c:pt>
                <c:pt idx="213">
                  <c:v>13.9069659107173</c:v>
                </c:pt>
                <c:pt idx="214">
                  <c:v>-2.5212267639254282</c:v>
                </c:pt>
                <c:pt idx="215">
                  <c:v>4.7010709403174342</c:v>
                </c:pt>
                <c:pt idx="216">
                  <c:v>13.844014585345876</c:v>
                </c:pt>
                <c:pt idx="217">
                  <c:v>3.2355349574473169</c:v>
                </c:pt>
                <c:pt idx="218">
                  <c:v>-7.6329337541058404</c:v>
                </c:pt>
                <c:pt idx="219">
                  <c:v>-2.0288918968264094</c:v>
                </c:pt>
                <c:pt idx="220">
                  <c:v>-2.600504617100051</c:v>
                </c:pt>
                <c:pt idx="221">
                  <c:v>12.653186191658767</c:v>
                </c:pt>
                <c:pt idx="222">
                  <c:v>-3.8933094616324722</c:v>
                </c:pt>
                <c:pt idx="223">
                  <c:v>-0.82526173255656599</c:v>
                </c:pt>
                <c:pt idx="224">
                  <c:v>1.6599455096258209</c:v>
                </c:pt>
                <c:pt idx="225">
                  <c:v>7.5516819928313055</c:v>
                </c:pt>
                <c:pt idx="226">
                  <c:v>4.7305473814399015</c:v>
                </c:pt>
                <c:pt idx="227">
                  <c:v>14.307377373053813</c:v>
                </c:pt>
                <c:pt idx="228">
                  <c:v>3.865800524968376</c:v>
                </c:pt>
                <c:pt idx="229">
                  <c:v>10.250141213742838</c:v>
                </c:pt>
                <c:pt idx="230">
                  <c:v>9.4909974776552293</c:v>
                </c:pt>
                <c:pt idx="231">
                  <c:v>4.9705926463823218</c:v>
                </c:pt>
                <c:pt idx="232">
                  <c:v>13.212373531871172</c:v>
                </c:pt>
                <c:pt idx="233">
                  <c:v>10.423889030158774</c:v>
                </c:pt>
                <c:pt idx="234">
                  <c:v>16.176614010343666</c:v>
                </c:pt>
                <c:pt idx="235">
                  <c:v>-8.6396375872200958E-3</c:v>
                </c:pt>
                <c:pt idx="236">
                  <c:v>16.304508639125771</c:v>
                </c:pt>
                <c:pt idx="237">
                  <c:v>1.8052407058256206</c:v>
                </c:pt>
                <c:pt idx="238">
                  <c:v>16.245927691127434</c:v>
                </c:pt>
                <c:pt idx="239">
                  <c:v>-5.0869738798833053</c:v>
                </c:pt>
                <c:pt idx="240">
                  <c:v>5.7033495920879114</c:v>
                </c:pt>
                <c:pt idx="241">
                  <c:v>3.8414769061781864</c:v>
                </c:pt>
                <c:pt idx="242">
                  <c:v>-3.1094897861202622</c:v>
                </c:pt>
                <c:pt idx="243">
                  <c:v>3.8238184437740905</c:v>
                </c:pt>
                <c:pt idx="244">
                  <c:v>1.3608235646037026</c:v>
                </c:pt>
                <c:pt idx="245">
                  <c:v>4.3497392022997277</c:v>
                </c:pt>
                <c:pt idx="246">
                  <c:v>5.8906907776137096</c:v>
                </c:pt>
                <c:pt idx="247">
                  <c:v>18.548582344690306</c:v>
                </c:pt>
                <c:pt idx="248">
                  <c:v>8.9160987352932644</c:v>
                </c:pt>
                <c:pt idx="249">
                  <c:v>-4.2883611600264109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D2-478C-A70F-F835CA524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7344"/>
        <c:axId val="19653504"/>
      </c:scatterChart>
      <c:valAx>
        <c:axId val="19657344"/>
        <c:scaling>
          <c:orientation val="minMax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3504"/>
        <c:crosses val="autoZero"/>
        <c:crossBetween val="midCat"/>
      </c:valAx>
      <c:valAx>
        <c:axId val="1965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39253</xdr:colOff>
      <xdr:row>5</xdr:row>
      <xdr:rowOff>144428</xdr:rowOff>
    </xdr:from>
    <xdr:to>
      <xdr:col>25</xdr:col>
      <xdr:colOff>344053</xdr:colOff>
      <xdr:row>20</xdr:row>
      <xdr:rowOff>171322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0D19EF-1488-1A0D-D2CB-0353330875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55517</xdr:colOff>
      <xdr:row>22</xdr:row>
      <xdr:rowOff>53148</xdr:rowOff>
    </xdr:from>
    <xdr:to>
      <xdr:col>25</xdr:col>
      <xdr:colOff>360317</xdr:colOff>
      <xdr:row>37</xdr:row>
      <xdr:rowOff>101173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6A3FD4-A93B-F9AD-00A0-0643B945B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88878</xdr:colOff>
      <xdr:row>39</xdr:row>
      <xdr:rowOff>57726</xdr:rowOff>
    </xdr:from>
    <xdr:to>
      <xdr:col>25</xdr:col>
      <xdr:colOff>393678</xdr:colOff>
      <xdr:row>54</xdr:row>
      <xdr:rowOff>57726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580703-A048-A34D-B539-579ABC5DFC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8B2D9-F766-41E6-B6B4-CABBBC0B4D56}">
  <dimension ref="A1:S462"/>
  <sheetViews>
    <sheetView tabSelected="1" topLeftCell="A453" zoomScale="85" zoomScaleNormal="85" workbookViewId="0">
      <selection activeCell="L465" sqref="L465"/>
    </sheetView>
  </sheetViews>
  <sheetFormatPr defaultRowHeight="14.25" x14ac:dyDescent="0.45"/>
  <cols>
    <col min="7" max="7" width="9.53125" bestFit="1" customWidth="1"/>
    <col min="8" max="9" width="11.53125" bestFit="1" customWidth="1"/>
    <col min="11" max="11" width="11" customWidth="1"/>
    <col min="16" max="17" width="9.33203125" bestFit="1" customWidth="1"/>
  </cols>
  <sheetData>
    <row r="1" spans="1:17" x14ac:dyDescent="0.45">
      <c r="A1" t="s">
        <v>0</v>
      </c>
    </row>
    <row r="2" spans="1:17" x14ac:dyDescent="0.45">
      <c r="A2" t="s">
        <v>479</v>
      </c>
    </row>
    <row r="3" spans="1:17" x14ac:dyDescent="0.45">
      <c r="A3" t="s">
        <v>1</v>
      </c>
    </row>
    <row r="4" spans="1:17" s="1" customFormat="1" ht="85.5" x14ac:dyDescent="0.45">
      <c r="A4" s="1" t="s">
        <v>0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K4" s="4" t="s">
        <v>276</v>
      </c>
      <c r="L4" s="3" t="s">
        <v>220</v>
      </c>
      <c r="N4" s="6" t="s">
        <v>274</v>
      </c>
      <c r="O4" s="6" t="s">
        <v>275</v>
      </c>
      <c r="P4" s="3" t="s">
        <v>277</v>
      </c>
      <c r="Q4" s="3" t="s">
        <v>278</v>
      </c>
    </row>
    <row r="5" spans="1:17" x14ac:dyDescent="0.45">
      <c r="A5" t="s">
        <v>0</v>
      </c>
      <c r="K5" s="4"/>
      <c r="L5" s="3"/>
      <c r="N5" s="6"/>
      <c r="O5" s="6"/>
      <c r="P5" s="3"/>
      <c r="Q5" s="3"/>
    </row>
    <row r="6" spans="1:17" x14ac:dyDescent="0.45">
      <c r="A6" t="s">
        <v>10</v>
      </c>
      <c r="K6" s="4"/>
      <c r="L6" s="3"/>
      <c r="N6" s="6"/>
      <c r="O6" s="6"/>
      <c r="P6" s="3"/>
      <c r="Q6" s="3"/>
    </row>
    <row r="7" spans="1:17" ht="43.25" customHeight="1" x14ac:dyDescent="0.45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K7" s="5"/>
      <c r="L7" s="3"/>
      <c r="N7" s="7"/>
      <c r="O7" s="7"/>
      <c r="P7" s="3"/>
      <c r="Q7" s="3"/>
    </row>
    <row r="8" spans="1:17" x14ac:dyDescent="0.45">
      <c r="A8" t="s">
        <v>20</v>
      </c>
      <c r="B8">
        <v>77.8</v>
      </c>
      <c r="C8">
        <v>130</v>
      </c>
      <c r="D8">
        <v>1.6288E-2</v>
      </c>
      <c r="E8">
        <v>24.44</v>
      </c>
      <c r="F8">
        <v>1</v>
      </c>
      <c r="G8">
        <v>7.1854330599308E-2</v>
      </c>
      <c r="H8">
        <v>533.06829180160196</v>
      </c>
      <c r="I8">
        <v>73.793583831823895</v>
      </c>
      <c r="K8">
        <v>7.536693662405014E-2</v>
      </c>
      <c r="L8" s="2">
        <f>(K8-G8)/G8*100</f>
        <v>4.8885098440760766</v>
      </c>
      <c r="N8">
        <v>76.980842590332031</v>
      </c>
      <c r="O8">
        <v>522.37457275390625</v>
      </c>
      <c r="P8" s="2">
        <f>(N8-I8)/I8*100</f>
        <v>4.3191543126187257</v>
      </c>
      <c r="Q8" s="2">
        <f>(O8-H8)/H8*100</f>
        <v>-2.0060692433148342</v>
      </c>
    </row>
    <row r="9" spans="1:17" x14ac:dyDescent="0.45">
      <c r="A9" t="s">
        <v>21</v>
      </c>
      <c r="B9">
        <v>73</v>
      </c>
      <c r="C9">
        <v>114.4</v>
      </c>
      <c r="D9">
        <v>1.7637E-2</v>
      </c>
      <c r="E9">
        <v>25.46</v>
      </c>
      <c r="F9">
        <v>1</v>
      </c>
      <c r="G9">
        <v>9.3255430459976196E-2</v>
      </c>
      <c r="H9">
        <v>531.72437046441405</v>
      </c>
      <c r="I9">
        <v>73.280737000618103</v>
      </c>
      <c r="K9">
        <v>9.0293809771537781E-2</v>
      </c>
      <c r="L9" s="2">
        <f t="shared" ref="L9:L72" si="0">(K9-G9)/G9*100</f>
        <v>-3.1758157930647242</v>
      </c>
      <c r="N9">
        <v>73.743377685546875</v>
      </c>
      <c r="O9">
        <v>529.366943359375</v>
      </c>
      <c r="P9" s="2">
        <f t="shared" ref="P9:P72" si="1">(N9-I9)/I9*100</f>
        <v>0.6313264629487414</v>
      </c>
      <c r="Q9" s="2">
        <f t="shared" ref="Q9:Q72" si="2">(O9-H9)/H9*100</f>
        <v>-0.443355098240099</v>
      </c>
    </row>
    <row r="10" spans="1:17" x14ac:dyDescent="0.45">
      <c r="A10" t="s">
        <v>22</v>
      </c>
      <c r="B10">
        <v>62.4</v>
      </c>
      <c r="C10">
        <v>108.8</v>
      </c>
      <c r="D10">
        <v>1.8915000000000001E-2</v>
      </c>
      <c r="E10">
        <v>35</v>
      </c>
      <c r="F10">
        <v>1.23</v>
      </c>
      <c r="G10">
        <v>0.11312249302864</v>
      </c>
      <c r="H10">
        <v>638.67804421068695</v>
      </c>
      <c r="I10">
        <v>61.968300984785799</v>
      </c>
      <c r="K10">
        <v>0.1143049448728561</v>
      </c>
      <c r="L10" s="2">
        <f t="shared" si="0"/>
        <v>1.0452844633796494</v>
      </c>
      <c r="N10">
        <v>63.061622619628913</v>
      </c>
      <c r="O10">
        <v>636.3175048828125</v>
      </c>
      <c r="P10" s="2">
        <f t="shared" si="1"/>
        <v>1.7643240454688962</v>
      </c>
      <c r="Q10" s="2">
        <f t="shared" si="2"/>
        <v>-0.36959769468695791</v>
      </c>
    </row>
    <row r="11" spans="1:17" x14ac:dyDescent="0.45">
      <c r="A11" t="s">
        <v>23</v>
      </c>
      <c r="B11">
        <v>75.5</v>
      </c>
      <c r="C11">
        <v>130</v>
      </c>
      <c r="D11">
        <v>1.4338E-2</v>
      </c>
      <c r="E11">
        <v>21.75</v>
      </c>
      <c r="F11">
        <v>1</v>
      </c>
      <c r="G11">
        <v>6.4377471804618794E-2</v>
      </c>
      <c r="H11">
        <v>516.92829180160402</v>
      </c>
      <c r="I11">
        <v>73.184131086984493</v>
      </c>
      <c r="K11">
        <v>6.5959326922893524E-2</v>
      </c>
      <c r="L11" s="2">
        <f t="shared" si="0"/>
        <v>2.457156321819459</v>
      </c>
      <c r="N11">
        <v>74.513656616210938</v>
      </c>
      <c r="O11">
        <v>502.22647094726563</v>
      </c>
      <c r="P11" s="2">
        <f t="shared" si="1"/>
        <v>1.8166855429986724</v>
      </c>
      <c r="Q11" s="2">
        <f t="shared" si="2"/>
        <v>-2.8440735567208848</v>
      </c>
    </row>
    <row r="12" spans="1:17" x14ac:dyDescent="0.45">
      <c r="A12" t="s">
        <v>24</v>
      </c>
      <c r="B12">
        <v>55.6</v>
      </c>
      <c r="C12">
        <v>100</v>
      </c>
      <c r="D12">
        <v>1.485E-2</v>
      </c>
      <c r="E12">
        <v>31.06</v>
      </c>
      <c r="F12">
        <v>1</v>
      </c>
      <c r="G12">
        <v>0.146206200122833</v>
      </c>
      <c r="H12">
        <v>562.34898741352697</v>
      </c>
      <c r="I12">
        <v>52.0858615121344</v>
      </c>
      <c r="K12">
        <v>0.1331671625375748</v>
      </c>
      <c r="L12" s="2">
        <f t="shared" si="0"/>
        <v>-8.9182521495693408</v>
      </c>
      <c r="N12">
        <v>52.003738403320313</v>
      </c>
      <c r="O12">
        <v>561.071533203125</v>
      </c>
      <c r="P12" s="2">
        <f t="shared" si="1"/>
        <v>-0.15766871552072828</v>
      </c>
      <c r="Q12" s="2">
        <f t="shared" si="2"/>
        <v>-0.22716395672329823</v>
      </c>
    </row>
    <row r="13" spans="1:17" x14ac:dyDescent="0.45">
      <c r="A13" t="s">
        <v>25</v>
      </c>
      <c r="B13">
        <v>78.8</v>
      </c>
      <c r="C13">
        <v>112.2</v>
      </c>
      <c r="D13">
        <v>1.7961999999999999E-2</v>
      </c>
      <c r="E13">
        <v>22.46</v>
      </c>
      <c r="F13">
        <v>1</v>
      </c>
      <c r="G13">
        <v>0.10222647339105601</v>
      </c>
      <c r="H13">
        <v>513.07595332013295</v>
      </c>
      <c r="I13">
        <v>84.292223504151295</v>
      </c>
      <c r="K13">
        <v>9.8994135856628418E-2</v>
      </c>
      <c r="L13" s="2">
        <f t="shared" si="0"/>
        <v>-3.161937830000884</v>
      </c>
      <c r="N13">
        <v>82.09393310546875</v>
      </c>
      <c r="O13">
        <v>504.75125122070313</v>
      </c>
      <c r="P13" s="2">
        <f t="shared" si="1"/>
        <v>-2.6079397449686228</v>
      </c>
      <c r="Q13" s="2">
        <f t="shared" si="2"/>
        <v>-1.6225087232329602</v>
      </c>
    </row>
    <row r="14" spans="1:17" x14ac:dyDescent="0.45">
      <c r="A14" t="s">
        <v>26</v>
      </c>
      <c r="B14">
        <v>83.8</v>
      </c>
      <c r="C14">
        <v>130</v>
      </c>
      <c r="D14">
        <v>1.8096999999999999E-2</v>
      </c>
      <c r="E14">
        <v>24.65</v>
      </c>
      <c r="F14">
        <v>1</v>
      </c>
      <c r="G14">
        <v>7.9725779592990806E-2</v>
      </c>
      <c r="H14">
        <v>534.328291801604</v>
      </c>
      <c r="I14">
        <v>82.032359580761906</v>
      </c>
      <c r="K14">
        <v>8.3300769329071045E-2</v>
      </c>
      <c r="L14" s="2">
        <f t="shared" si="0"/>
        <v>4.484107592714639</v>
      </c>
      <c r="N14">
        <v>85.440414428710938</v>
      </c>
      <c r="O14">
        <v>525.2603759765625</v>
      </c>
      <c r="P14" s="2">
        <f t="shared" si="1"/>
        <v>4.1545249525508998</v>
      </c>
      <c r="Q14" s="2">
        <f t="shared" si="2"/>
        <v>-1.6970682563835513</v>
      </c>
    </row>
    <row r="15" spans="1:17" x14ac:dyDescent="0.45">
      <c r="A15" t="s">
        <v>27</v>
      </c>
      <c r="B15">
        <v>56.8</v>
      </c>
      <c r="C15">
        <v>114.4</v>
      </c>
      <c r="D15">
        <v>1.0160000000000001E-2</v>
      </c>
      <c r="E15">
        <v>20</v>
      </c>
      <c r="F15">
        <v>1</v>
      </c>
      <c r="G15">
        <v>5.5731739848852102E-2</v>
      </c>
      <c r="H15">
        <v>498.964370464414</v>
      </c>
      <c r="I15">
        <v>52.785299784269299</v>
      </c>
      <c r="K15">
        <v>5.4761212319135673E-2</v>
      </c>
      <c r="L15" s="2">
        <f t="shared" si="0"/>
        <v>-1.741426936156236</v>
      </c>
      <c r="N15">
        <v>52.277748107910163</v>
      </c>
      <c r="O15">
        <v>485.0966796875</v>
      </c>
      <c r="P15" s="2">
        <f t="shared" si="1"/>
        <v>-0.96153981967227964</v>
      </c>
      <c r="Q15" s="2">
        <f t="shared" si="2"/>
        <v>-2.7792947949382776</v>
      </c>
    </row>
    <row r="16" spans="1:17" x14ac:dyDescent="0.45">
      <c r="A16" t="s">
        <v>28</v>
      </c>
      <c r="B16">
        <v>42.1</v>
      </c>
      <c r="C16">
        <v>130</v>
      </c>
      <c r="D16">
        <v>6.339E-3</v>
      </c>
      <c r="E16">
        <v>25.01</v>
      </c>
      <c r="F16">
        <v>1</v>
      </c>
      <c r="G16">
        <v>2.7861524373292899E-2</v>
      </c>
      <c r="H16">
        <v>536.48829180160396</v>
      </c>
      <c r="I16">
        <v>28.408331153794101</v>
      </c>
      <c r="K16">
        <v>3.1526252627372742E-2</v>
      </c>
      <c r="L16" s="2">
        <f t="shared" si="0"/>
        <v>13.153365928508656</v>
      </c>
      <c r="N16">
        <v>28.911275863647461</v>
      </c>
      <c r="O16">
        <v>526.190185546875</v>
      </c>
      <c r="P16" s="2">
        <f t="shared" si="1"/>
        <v>1.7704127255155158</v>
      </c>
      <c r="Q16" s="2">
        <f t="shared" si="2"/>
        <v>-1.919539794642388</v>
      </c>
    </row>
    <row r="17" spans="1:17" x14ac:dyDescent="0.45">
      <c r="A17" t="s">
        <v>29</v>
      </c>
      <c r="B17">
        <v>58.6</v>
      </c>
      <c r="C17">
        <v>115.3</v>
      </c>
      <c r="D17">
        <v>1.2985999999999999E-2</v>
      </c>
      <c r="E17">
        <v>26</v>
      </c>
      <c r="F17">
        <v>1</v>
      </c>
      <c r="G17">
        <v>6.7094467580318395E-2</v>
      </c>
      <c r="H17">
        <v>535.25300208950205</v>
      </c>
      <c r="I17">
        <v>53.193596010426802</v>
      </c>
      <c r="K17">
        <v>7.0453755557537079E-2</v>
      </c>
      <c r="L17" s="2">
        <f t="shared" si="0"/>
        <v>5.0068032408146017</v>
      </c>
      <c r="N17">
        <v>54.182277679443359</v>
      </c>
      <c r="O17">
        <v>531.4600830078125</v>
      </c>
      <c r="P17" s="2">
        <f t="shared" si="1"/>
        <v>1.8586479260074087</v>
      </c>
      <c r="Q17" s="2">
        <f t="shared" si="2"/>
        <v>-0.7086217297021935</v>
      </c>
    </row>
    <row r="18" spans="1:17" x14ac:dyDescent="0.45">
      <c r="A18" t="s">
        <v>30</v>
      </c>
      <c r="B18">
        <v>77.2</v>
      </c>
      <c r="C18">
        <v>104</v>
      </c>
      <c r="D18">
        <v>2.6054000000000001E-2</v>
      </c>
      <c r="E18">
        <v>35</v>
      </c>
      <c r="F18">
        <v>1</v>
      </c>
      <c r="G18">
        <v>0.194513544440269</v>
      </c>
      <c r="H18">
        <v>586.53572004223497</v>
      </c>
      <c r="I18">
        <v>80.559881617611794</v>
      </c>
      <c r="K18">
        <v>0.18987706303596499</v>
      </c>
      <c r="L18" s="2">
        <f t="shared" si="0"/>
        <v>-2.3836290771657653</v>
      </c>
      <c r="N18">
        <v>81.34088134765625</v>
      </c>
      <c r="O18">
        <v>589.6033935546875</v>
      </c>
      <c r="P18" s="2">
        <f t="shared" si="1"/>
        <v>0.96946484324738169</v>
      </c>
      <c r="Q18" s="2">
        <f t="shared" si="2"/>
        <v>0.52301563359715475</v>
      </c>
    </row>
    <row r="19" spans="1:17" x14ac:dyDescent="0.45">
      <c r="A19" t="s">
        <v>31</v>
      </c>
      <c r="B19">
        <v>84.1</v>
      </c>
      <c r="C19">
        <v>114.1</v>
      </c>
      <c r="D19">
        <v>2.4815E-2</v>
      </c>
      <c r="E19">
        <v>30.62</v>
      </c>
      <c r="F19">
        <v>1</v>
      </c>
      <c r="G19">
        <v>0.12870252132415699</v>
      </c>
      <c r="H19">
        <v>562.59124127383905</v>
      </c>
      <c r="I19">
        <v>87.584905750053693</v>
      </c>
      <c r="K19">
        <v>0.13509838283061981</v>
      </c>
      <c r="L19" s="2">
        <f t="shared" si="0"/>
        <v>4.9694920042427624</v>
      </c>
      <c r="N19">
        <v>87.271865844726563</v>
      </c>
      <c r="O19">
        <v>563.30224609375</v>
      </c>
      <c r="P19" s="2">
        <f t="shared" si="1"/>
        <v>-0.35741307551380053</v>
      </c>
      <c r="Q19" s="2">
        <f t="shared" si="2"/>
        <v>0.12638035713124005</v>
      </c>
    </row>
    <row r="20" spans="1:17" x14ac:dyDescent="0.45">
      <c r="A20" t="s">
        <v>32</v>
      </c>
      <c r="B20">
        <v>86.3</v>
      </c>
      <c r="C20">
        <v>114.4</v>
      </c>
      <c r="D20">
        <v>2.4361000000000001E-2</v>
      </c>
      <c r="E20">
        <v>28.8</v>
      </c>
      <c r="F20">
        <v>1</v>
      </c>
      <c r="G20">
        <v>0.12654365599155401</v>
      </c>
      <c r="H20">
        <v>551.76437046441504</v>
      </c>
      <c r="I20">
        <v>92.359163791777704</v>
      </c>
      <c r="K20">
        <v>0.12324737012386321</v>
      </c>
      <c r="L20" s="2">
        <f t="shared" si="0"/>
        <v>-2.6048606244716135</v>
      </c>
      <c r="N20">
        <v>89.954658508300781</v>
      </c>
      <c r="O20">
        <v>548.3946533203125</v>
      </c>
      <c r="P20" s="2">
        <f t="shared" si="1"/>
        <v>-2.603429031577031</v>
      </c>
      <c r="Q20" s="2">
        <f t="shared" si="2"/>
        <v>-0.61071669801119588</v>
      </c>
    </row>
    <row r="21" spans="1:17" x14ac:dyDescent="0.45">
      <c r="A21" t="s">
        <v>33</v>
      </c>
      <c r="B21">
        <v>81.8</v>
      </c>
      <c r="C21">
        <v>111.6</v>
      </c>
      <c r="D21">
        <v>2.1107000000000001E-2</v>
      </c>
      <c r="E21">
        <v>25.76</v>
      </c>
      <c r="F21">
        <v>1</v>
      </c>
      <c r="G21">
        <v>0.119761444628238</v>
      </c>
      <c r="H21">
        <v>532.71261243844197</v>
      </c>
      <c r="I21">
        <v>86.435785815221706</v>
      </c>
      <c r="K21">
        <v>0.11236137896776199</v>
      </c>
      <c r="L21" s="2">
        <f t="shared" si="0"/>
        <v>-6.1790050073687715</v>
      </c>
      <c r="N21">
        <v>85.149673461914063</v>
      </c>
      <c r="O21">
        <v>524.862060546875</v>
      </c>
      <c r="P21" s="2">
        <f t="shared" si="1"/>
        <v>-1.4879396781988345</v>
      </c>
      <c r="Q21" s="2">
        <f t="shared" si="2"/>
        <v>-1.4736936404850265</v>
      </c>
    </row>
    <row r="22" spans="1:17" x14ac:dyDescent="0.45">
      <c r="A22" t="s">
        <v>34</v>
      </c>
      <c r="B22">
        <v>75.8</v>
      </c>
      <c r="C22">
        <v>109.1</v>
      </c>
      <c r="D22">
        <v>2.4858999999999999E-2</v>
      </c>
      <c r="E22">
        <v>35</v>
      </c>
      <c r="F22">
        <v>1</v>
      </c>
      <c r="G22">
        <v>0.14719353616237599</v>
      </c>
      <c r="H22">
        <v>587.53092706685095</v>
      </c>
      <c r="I22">
        <v>78.118173531744603</v>
      </c>
      <c r="K22">
        <v>0.1472513526678085</v>
      </c>
      <c r="L22" s="2">
        <f t="shared" si="0"/>
        <v>3.9279242105262985E-2</v>
      </c>
      <c r="N22">
        <v>76.801742553710938</v>
      </c>
      <c r="O22">
        <v>590.11676025390625</v>
      </c>
      <c r="P22" s="2">
        <f t="shared" si="1"/>
        <v>-1.6851789007825584</v>
      </c>
      <c r="Q22" s="2">
        <f t="shared" si="2"/>
        <v>0.44011865042826537</v>
      </c>
    </row>
    <row r="23" spans="1:17" x14ac:dyDescent="0.45">
      <c r="A23" t="s">
        <v>35</v>
      </c>
      <c r="B23">
        <v>82.1</v>
      </c>
      <c r="C23">
        <v>118.2</v>
      </c>
      <c r="D23">
        <v>2.0683E-2</v>
      </c>
      <c r="E23">
        <v>26.35</v>
      </c>
      <c r="F23">
        <v>1</v>
      </c>
      <c r="G23">
        <v>0.10095003247261</v>
      </c>
      <c r="H23">
        <v>538.38221555155997</v>
      </c>
      <c r="I23">
        <v>84.141885214661798</v>
      </c>
      <c r="K23">
        <v>9.4345331192016602E-2</v>
      </c>
      <c r="L23" s="2">
        <f t="shared" si="0"/>
        <v>-6.5425449787600645</v>
      </c>
      <c r="N23">
        <v>84.969459533691406</v>
      </c>
      <c r="O23">
        <v>528.85296630859375</v>
      </c>
      <c r="P23" s="2">
        <f t="shared" si="1"/>
        <v>0.98354620522027802</v>
      </c>
      <c r="Q23" s="2">
        <f t="shared" si="2"/>
        <v>-1.7699784591145389</v>
      </c>
    </row>
    <row r="24" spans="1:17" x14ac:dyDescent="0.45">
      <c r="A24" t="s">
        <v>36</v>
      </c>
      <c r="B24">
        <v>71.900000000000006</v>
      </c>
      <c r="C24">
        <v>126.4</v>
      </c>
      <c r="D24">
        <v>1.5435000000000001E-2</v>
      </c>
      <c r="E24">
        <v>24.94</v>
      </c>
      <c r="F24">
        <v>1</v>
      </c>
      <c r="G24">
        <v>6.9082595407962799E-2</v>
      </c>
      <c r="H24">
        <v>533.80002697779605</v>
      </c>
      <c r="I24">
        <v>68.2064624078115</v>
      </c>
      <c r="K24">
        <v>7.2450339794158936E-2</v>
      </c>
      <c r="L24" s="2">
        <f t="shared" si="0"/>
        <v>4.8749534760646149</v>
      </c>
      <c r="N24">
        <v>70.102912902832031</v>
      </c>
      <c r="O24">
        <v>526.1422119140625</v>
      </c>
      <c r="P24" s="2">
        <f t="shared" si="1"/>
        <v>2.7804557340644833</v>
      </c>
      <c r="Q24" s="2">
        <f t="shared" si="2"/>
        <v>-1.4345849900176355</v>
      </c>
    </row>
    <row r="25" spans="1:17" x14ac:dyDescent="0.45">
      <c r="A25" t="s">
        <v>37</v>
      </c>
      <c r="B25">
        <v>54.1</v>
      </c>
      <c r="C25">
        <v>108.6</v>
      </c>
      <c r="D25">
        <v>1.1408E-2</v>
      </c>
      <c r="E25">
        <v>24.63</v>
      </c>
      <c r="F25">
        <v>1</v>
      </c>
      <c r="G25">
        <v>7.1769669651985099E-2</v>
      </c>
      <c r="H25">
        <v>525.197592155233</v>
      </c>
      <c r="I25">
        <v>47.8914538202215</v>
      </c>
      <c r="K25">
        <v>7.501741498708725E-2</v>
      </c>
      <c r="L25" s="2">
        <f t="shared" si="0"/>
        <v>4.5252337803011198</v>
      </c>
      <c r="N25">
        <v>47.200817108154297</v>
      </c>
      <c r="O25">
        <v>521.11962890625</v>
      </c>
      <c r="P25" s="2">
        <f t="shared" si="1"/>
        <v>-1.4420875896976659</v>
      </c>
      <c r="Q25" s="2">
        <f t="shared" si="2"/>
        <v>-0.77646267041103834</v>
      </c>
    </row>
    <row r="26" spans="1:17" x14ac:dyDescent="0.45">
      <c r="A26" t="s">
        <v>38</v>
      </c>
      <c r="B26">
        <v>54.9</v>
      </c>
      <c r="C26">
        <v>108.2</v>
      </c>
      <c r="D26">
        <v>1.0909E-2</v>
      </c>
      <c r="E26">
        <v>22.54</v>
      </c>
      <c r="F26">
        <v>1</v>
      </c>
      <c r="G26">
        <v>7.0398330688476493E-2</v>
      </c>
      <c r="H26">
        <v>512.56948110277403</v>
      </c>
      <c r="I26">
        <v>49.738260316218501</v>
      </c>
      <c r="K26">
        <v>6.8791769444942474E-2</v>
      </c>
      <c r="L26" s="2">
        <f t="shared" si="0"/>
        <v>-2.2821013336854543</v>
      </c>
      <c r="N26">
        <v>49.19268798828125</v>
      </c>
      <c r="O26">
        <v>505.63995361328119</v>
      </c>
      <c r="P26" s="2">
        <f t="shared" si="1"/>
        <v>-1.0968866310737291</v>
      </c>
      <c r="Q26" s="2">
        <f t="shared" si="2"/>
        <v>-1.351919641135134</v>
      </c>
    </row>
    <row r="27" spans="1:17" x14ac:dyDescent="0.45">
      <c r="A27" t="s">
        <v>39</v>
      </c>
      <c r="B27">
        <v>79.400000000000006</v>
      </c>
      <c r="C27">
        <v>113.9</v>
      </c>
      <c r="D27">
        <v>2.1725999999999999E-2</v>
      </c>
      <c r="E27">
        <v>28.53</v>
      </c>
      <c r="F27">
        <v>1</v>
      </c>
      <c r="G27">
        <v>0.11437517404556199</v>
      </c>
      <c r="H27">
        <v>549.98999718136395</v>
      </c>
      <c r="I27">
        <v>81.472481306046006</v>
      </c>
      <c r="K27">
        <v>0.1122964099049568</v>
      </c>
      <c r="L27" s="2">
        <f t="shared" si="0"/>
        <v>-1.8174959364670376</v>
      </c>
      <c r="N27">
        <v>79.761398315429688</v>
      </c>
      <c r="O27">
        <v>544.20220947265625</v>
      </c>
      <c r="P27" s="2">
        <f t="shared" si="1"/>
        <v>-2.1001974693623833</v>
      </c>
      <c r="Q27" s="2">
        <f t="shared" si="2"/>
        <v>-1.0523441768703883</v>
      </c>
    </row>
    <row r="28" spans="1:17" x14ac:dyDescent="0.45">
      <c r="A28" t="s">
        <v>40</v>
      </c>
      <c r="B28">
        <v>89.9</v>
      </c>
      <c r="C28">
        <v>118.3</v>
      </c>
      <c r="D28">
        <v>2.9335E-2</v>
      </c>
      <c r="E28">
        <v>35</v>
      </c>
      <c r="F28">
        <v>1</v>
      </c>
      <c r="G28">
        <v>0.137182042002677</v>
      </c>
      <c r="H28">
        <v>590.32054130509096</v>
      </c>
      <c r="I28">
        <v>92.543580968248094</v>
      </c>
      <c r="K28">
        <v>0.14977109432220459</v>
      </c>
      <c r="L28" s="2">
        <f t="shared" si="0"/>
        <v>9.1768952668614769</v>
      </c>
      <c r="N28">
        <v>95.346305847167969</v>
      </c>
      <c r="O28">
        <v>587.14019775390625</v>
      </c>
      <c r="P28" s="2">
        <f t="shared" si="1"/>
        <v>3.0285459559658667</v>
      </c>
      <c r="Q28" s="2">
        <f t="shared" si="2"/>
        <v>-0.53874858295690442</v>
      </c>
    </row>
    <row r="29" spans="1:17" x14ac:dyDescent="0.45">
      <c r="A29" t="s">
        <v>41</v>
      </c>
      <c r="B29">
        <v>53.3</v>
      </c>
      <c r="C29">
        <v>106.9</v>
      </c>
      <c r="D29">
        <v>1.0418E-2</v>
      </c>
      <c r="E29">
        <v>22.41</v>
      </c>
      <c r="F29">
        <v>1</v>
      </c>
      <c r="G29">
        <v>7.0762857794761602E-2</v>
      </c>
      <c r="H29">
        <v>511.51851327089298</v>
      </c>
      <c r="I29">
        <v>47.2378232556471</v>
      </c>
      <c r="K29">
        <v>6.8409726023674011E-2</v>
      </c>
      <c r="L29" s="2">
        <f t="shared" si="0"/>
        <v>-3.3253769624631913</v>
      </c>
      <c r="N29">
        <v>46.676376342773438</v>
      </c>
      <c r="O29">
        <v>504.28341674804688</v>
      </c>
      <c r="P29" s="2">
        <f t="shared" si="1"/>
        <v>-1.1885537354995379</v>
      </c>
      <c r="Q29" s="2">
        <f t="shared" si="2"/>
        <v>-1.4144349295554237</v>
      </c>
    </row>
    <row r="30" spans="1:17" x14ac:dyDescent="0.45">
      <c r="A30" t="s">
        <v>42</v>
      </c>
      <c r="B30">
        <v>82.4</v>
      </c>
      <c r="C30">
        <v>118.8</v>
      </c>
      <c r="D30">
        <v>2.2137E-2</v>
      </c>
      <c r="E30">
        <v>28.65</v>
      </c>
      <c r="F30">
        <v>1</v>
      </c>
      <c r="G30">
        <v>0.10556464642286301</v>
      </c>
      <c r="H30">
        <v>552.41513751495995</v>
      </c>
      <c r="I30">
        <v>84.133573230399705</v>
      </c>
      <c r="K30">
        <v>0.1035518571734428</v>
      </c>
      <c r="L30" s="2">
        <f t="shared" si="0"/>
        <v>-1.9066887614604666</v>
      </c>
      <c r="N30">
        <v>83.892646789550781</v>
      </c>
      <c r="O30">
        <v>547.1422119140625</v>
      </c>
      <c r="P30" s="2">
        <f t="shared" si="1"/>
        <v>-0.28636183107205815</v>
      </c>
      <c r="Q30" s="2">
        <f t="shared" si="2"/>
        <v>-0.95452228637645831</v>
      </c>
    </row>
    <row r="31" spans="1:17" x14ac:dyDescent="0.45">
      <c r="A31" t="s">
        <v>43</v>
      </c>
      <c r="B31">
        <v>89.7</v>
      </c>
      <c r="C31">
        <v>104</v>
      </c>
      <c r="D31">
        <v>3.175E-2</v>
      </c>
      <c r="E31">
        <v>35</v>
      </c>
      <c r="F31">
        <v>1</v>
      </c>
      <c r="G31">
        <v>0.237016156315803</v>
      </c>
      <c r="H31">
        <v>586.53572004223497</v>
      </c>
      <c r="I31">
        <v>98.164686452184995</v>
      </c>
      <c r="K31">
        <v>0.23975053429603579</v>
      </c>
      <c r="L31" s="2">
        <f t="shared" si="0"/>
        <v>1.1536673375925808</v>
      </c>
      <c r="N31">
        <v>99.113945007324219</v>
      </c>
      <c r="O31">
        <v>589.98712158203125</v>
      </c>
      <c r="P31" s="2">
        <f t="shared" si="1"/>
        <v>0.9670061500187217</v>
      </c>
      <c r="Q31" s="2">
        <f t="shared" si="2"/>
        <v>0.58843842273540514</v>
      </c>
    </row>
    <row r="32" spans="1:17" x14ac:dyDescent="0.45">
      <c r="A32" t="s">
        <v>44</v>
      </c>
      <c r="B32">
        <v>87.3</v>
      </c>
      <c r="C32">
        <v>125.9</v>
      </c>
      <c r="D32">
        <v>1.8506999999999999E-2</v>
      </c>
      <c r="E32">
        <v>22.37</v>
      </c>
      <c r="F32">
        <v>1</v>
      </c>
      <c r="G32">
        <v>8.4611959755420602E-2</v>
      </c>
      <c r="H32">
        <v>518.09578914941198</v>
      </c>
      <c r="I32">
        <v>90.697854772401996</v>
      </c>
      <c r="K32">
        <v>8.4203563630580902E-2</v>
      </c>
      <c r="L32" s="2">
        <f t="shared" si="0"/>
        <v>-0.48266950206591314</v>
      </c>
      <c r="N32">
        <v>91.449913024902344</v>
      </c>
      <c r="O32">
        <v>505.54598999023438</v>
      </c>
      <c r="P32" s="2">
        <f t="shared" si="1"/>
        <v>0.82919078338464491</v>
      </c>
      <c r="Q32" s="2">
        <f t="shared" si="2"/>
        <v>-2.4222932172024301</v>
      </c>
    </row>
    <row r="33" spans="1:17" x14ac:dyDescent="0.45">
      <c r="A33" t="s">
        <v>45</v>
      </c>
      <c r="B33">
        <v>40.4</v>
      </c>
      <c r="C33">
        <v>127.3</v>
      </c>
      <c r="D33">
        <v>5.0959999999999998E-3</v>
      </c>
      <c r="E33">
        <v>20</v>
      </c>
      <c r="F33">
        <v>1</v>
      </c>
      <c r="G33">
        <v>2.3496039211749999E-2</v>
      </c>
      <c r="H33">
        <v>504.68969494462198</v>
      </c>
      <c r="I33">
        <v>27.721725608124199</v>
      </c>
      <c r="K33">
        <v>2.4983640760183331E-2</v>
      </c>
      <c r="L33" s="2">
        <f t="shared" si="0"/>
        <v>6.3312864565250022</v>
      </c>
      <c r="N33">
        <v>26.600309371948239</v>
      </c>
      <c r="O33">
        <v>500.17730712890619</v>
      </c>
      <c r="P33" s="2">
        <f t="shared" si="1"/>
        <v>-4.0452612944387392</v>
      </c>
      <c r="Q33" s="2">
        <f t="shared" si="2"/>
        <v>-0.89409153008581121</v>
      </c>
    </row>
    <row r="34" spans="1:17" x14ac:dyDescent="0.45">
      <c r="A34" t="s">
        <v>46</v>
      </c>
      <c r="B34">
        <v>79.5</v>
      </c>
      <c r="C34">
        <v>108.6</v>
      </c>
      <c r="D34">
        <v>2.2950999999999999E-2</v>
      </c>
      <c r="E34">
        <v>29.38</v>
      </c>
      <c r="F34">
        <v>1</v>
      </c>
      <c r="G34">
        <v>0.14136624336242601</v>
      </c>
      <c r="H34">
        <v>553.697592155233</v>
      </c>
      <c r="I34">
        <v>83.057199040382301</v>
      </c>
      <c r="K34">
        <v>0.14261581003665921</v>
      </c>
      <c r="L34" s="2">
        <f t="shared" si="0"/>
        <v>0.88392153919634331</v>
      </c>
      <c r="N34">
        <v>80.789642333984375</v>
      </c>
      <c r="O34">
        <v>545.18939208984375</v>
      </c>
      <c r="P34" s="2">
        <f t="shared" si="1"/>
        <v>-2.7301145868107626</v>
      </c>
      <c r="Q34" s="2">
        <f t="shared" si="2"/>
        <v>-1.5366149656298149</v>
      </c>
    </row>
    <row r="35" spans="1:17" x14ac:dyDescent="0.45">
      <c r="A35" t="s">
        <v>47</v>
      </c>
      <c r="B35">
        <v>73.2</v>
      </c>
      <c r="C35">
        <v>124.9</v>
      </c>
      <c r="D35">
        <v>1.6402E-2</v>
      </c>
      <c r="E35">
        <v>25.66</v>
      </c>
      <c r="F35">
        <v>1</v>
      </c>
      <c r="G35">
        <v>7.3971532285213401E-2</v>
      </c>
      <c r="H35">
        <v>537.287938548375</v>
      </c>
      <c r="I35">
        <v>70.856490295085607</v>
      </c>
      <c r="K35">
        <v>7.7642552554607391E-2</v>
      </c>
      <c r="L35" s="2">
        <f t="shared" si="0"/>
        <v>4.9627473650803529</v>
      </c>
      <c r="N35">
        <v>71.453353881835938</v>
      </c>
      <c r="O35">
        <v>530.0859375</v>
      </c>
      <c r="P35" s="2">
        <f t="shared" si="1"/>
        <v>0.8423555615931031</v>
      </c>
      <c r="Q35" s="2">
        <f t="shared" si="2"/>
        <v>-1.3404360179446984</v>
      </c>
    </row>
    <row r="36" spans="1:17" x14ac:dyDescent="0.45">
      <c r="A36" t="s">
        <v>48</v>
      </c>
      <c r="B36">
        <v>50.6</v>
      </c>
      <c r="C36">
        <v>128.6</v>
      </c>
      <c r="D36">
        <v>9.3970000000000008E-3</v>
      </c>
      <c r="E36">
        <v>26.79</v>
      </c>
      <c r="F36">
        <v>1</v>
      </c>
      <c r="G36">
        <v>4.1112892329692799E-2</v>
      </c>
      <c r="H36">
        <v>546.23768179437604</v>
      </c>
      <c r="I36">
        <v>39.0532426209612</v>
      </c>
      <c r="K36">
        <v>3.8841314613819122E-2</v>
      </c>
      <c r="L36" s="2">
        <f t="shared" si="0"/>
        <v>-5.5252199180184753</v>
      </c>
      <c r="N36">
        <v>40.866573333740227</v>
      </c>
      <c r="O36">
        <v>535.98199462890625</v>
      </c>
      <c r="P36" s="2">
        <f t="shared" si="1"/>
        <v>4.6432270179935102</v>
      </c>
      <c r="Q36" s="2">
        <f t="shared" si="2"/>
        <v>-1.8775136734946845</v>
      </c>
    </row>
    <row r="37" spans="1:17" x14ac:dyDescent="0.45">
      <c r="A37" t="s">
        <v>49</v>
      </c>
      <c r="B37">
        <v>42</v>
      </c>
      <c r="C37">
        <v>107.6</v>
      </c>
      <c r="D37">
        <v>6.2859999999999999E-3</v>
      </c>
      <c r="E37">
        <v>20</v>
      </c>
      <c r="F37">
        <v>1</v>
      </c>
      <c r="G37">
        <v>4.2095378041267298E-2</v>
      </c>
      <c r="H37">
        <v>497.20151908115599</v>
      </c>
      <c r="I37">
        <v>31.656041929423601</v>
      </c>
      <c r="K37">
        <v>4.6577654778957367E-2</v>
      </c>
      <c r="L37" s="2">
        <f t="shared" si="0"/>
        <v>10.647907077342234</v>
      </c>
      <c r="N37">
        <v>32.627445220947273</v>
      </c>
      <c r="O37">
        <v>484.5233154296875</v>
      </c>
      <c r="P37" s="2">
        <f t="shared" si="1"/>
        <v>3.0686189185918824</v>
      </c>
      <c r="Q37" s="2">
        <f t="shared" si="2"/>
        <v>-2.5499124932076258</v>
      </c>
    </row>
    <row r="38" spans="1:17" x14ac:dyDescent="0.45">
      <c r="A38" t="s">
        <v>50</v>
      </c>
      <c r="B38">
        <v>46</v>
      </c>
      <c r="C38">
        <v>112.5</v>
      </c>
      <c r="D38">
        <v>1.1362000000000001E-2</v>
      </c>
      <c r="E38">
        <v>35</v>
      </c>
      <c r="F38">
        <v>1</v>
      </c>
      <c r="G38">
        <v>6.03758133947849E-2</v>
      </c>
      <c r="H38">
        <v>588.39974859616802</v>
      </c>
      <c r="I38">
        <v>35.326134379557899</v>
      </c>
      <c r="K38">
        <v>6.8029880523681641E-2</v>
      </c>
      <c r="L38" s="2">
        <f t="shared" si="0"/>
        <v>12.677373104439003</v>
      </c>
      <c r="N38">
        <v>35.399871826171882</v>
      </c>
      <c r="O38">
        <v>586.64947509765625</v>
      </c>
      <c r="P38" s="2">
        <f t="shared" si="1"/>
        <v>0.20873341481895094</v>
      </c>
      <c r="Q38" s="2">
        <f t="shared" si="2"/>
        <v>-0.29746333214581744</v>
      </c>
    </row>
    <row r="39" spans="1:17" x14ac:dyDescent="0.45">
      <c r="A39" t="s">
        <v>51</v>
      </c>
      <c r="B39">
        <v>83</v>
      </c>
      <c r="C39">
        <v>115.4</v>
      </c>
      <c r="D39">
        <v>2.7012000000000001E-2</v>
      </c>
      <c r="E39">
        <v>35</v>
      </c>
      <c r="F39">
        <v>1</v>
      </c>
      <c r="G39">
        <v>0.133623957633972</v>
      </c>
      <c r="H39">
        <v>589.28594146113801</v>
      </c>
      <c r="I39">
        <v>84.689343095832101</v>
      </c>
      <c r="K39">
        <v>0.140965461730957</v>
      </c>
      <c r="L39" s="2">
        <f t="shared" si="0"/>
        <v>5.4941525658857815</v>
      </c>
      <c r="N39">
        <v>84.927589416503906</v>
      </c>
      <c r="O39">
        <v>590.1298828125</v>
      </c>
      <c r="P39" s="2">
        <f t="shared" si="1"/>
        <v>0.28131794622873957</v>
      </c>
      <c r="Q39" s="2">
        <f t="shared" si="2"/>
        <v>0.14321423471760306</v>
      </c>
    </row>
    <row r="40" spans="1:17" x14ac:dyDescent="0.45">
      <c r="A40" t="s">
        <v>52</v>
      </c>
      <c r="B40">
        <v>65.099999999999994</v>
      </c>
      <c r="C40">
        <v>114.7</v>
      </c>
      <c r="D40">
        <v>1.5684E-2</v>
      </c>
      <c r="E40">
        <v>26.98</v>
      </c>
      <c r="F40">
        <v>1</v>
      </c>
      <c r="G40">
        <v>8.1702753901481601E-2</v>
      </c>
      <c r="H40">
        <v>540.93902945413902</v>
      </c>
      <c r="I40">
        <v>61.990032398133401</v>
      </c>
      <c r="K40">
        <v>8.7486803531646729E-2</v>
      </c>
      <c r="L40" s="2">
        <f t="shared" si="0"/>
        <v>7.0793814822198291</v>
      </c>
      <c r="N40">
        <v>62.436561584472663</v>
      </c>
      <c r="O40">
        <v>537.06097412109375</v>
      </c>
      <c r="P40" s="2">
        <f t="shared" si="1"/>
        <v>0.72032416997528093</v>
      </c>
      <c r="Q40" s="2">
        <f t="shared" si="2"/>
        <v>-0.71691172606986941</v>
      </c>
    </row>
    <row r="41" spans="1:17" x14ac:dyDescent="0.45">
      <c r="A41" t="s">
        <v>53</v>
      </c>
      <c r="B41">
        <v>84.4</v>
      </c>
      <c r="C41">
        <v>119</v>
      </c>
      <c r="D41">
        <v>2.3928000000000001E-2</v>
      </c>
      <c r="E41">
        <v>30.39</v>
      </c>
      <c r="F41">
        <v>1</v>
      </c>
      <c r="G41">
        <v>0.112769797444343</v>
      </c>
      <c r="H41">
        <v>562.93437582907995</v>
      </c>
      <c r="I41">
        <v>86.028706126171599</v>
      </c>
      <c r="K41">
        <v>0.11353079974651339</v>
      </c>
      <c r="L41" s="2">
        <f t="shared" si="0"/>
        <v>0.67482811835853973</v>
      </c>
      <c r="N41">
        <v>87.633125305175781</v>
      </c>
      <c r="O41">
        <v>558.26336669921875</v>
      </c>
      <c r="P41" s="2">
        <f t="shared" si="1"/>
        <v>1.8649811804109961</v>
      </c>
      <c r="Q41" s="2">
        <f t="shared" si="2"/>
        <v>-0.8297608620866016</v>
      </c>
    </row>
    <row r="42" spans="1:17" x14ac:dyDescent="0.45">
      <c r="A42" t="s">
        <v>54</v>
      </c>
      <c r="B42">
        <v>70.400000000000006</v>
      </c>
      <c r="C42">
        <v>130</v>
      </c>
      <c r="D42">
        <v>1.3915E-2</v>
      </c>
      <c r="E42">
        <v>23.78</v>
      </c>
      <c r="F42">
        <v>1</v>
      </c>
      <c r="G42">
        <v>6.1624839901924099E-2</v>
      </c>
      <c r="H42">
        <v>529.10829180160397</v>
      </c>
      <c r="I42">
        <v>65.566795411171299</v>
      </c>
      <c r="K42">
        <v>6.4395658671855927E-2</v>
      </c>
      <c r="L42" s="2">
        <f t="shared" si="0"/>
        <v>4.4962693198742336</v>
      </c>
      <c r="N42">
        <v>67.108154296875</v>
      </c>
      <c r="O42">
        <v>515.5374755859375</v>
      </c>
      <c r="P42" s="2">
        <f t="shared" si="1"/>
        <v>2.3508223576244567</v>
      </c>
      <c r="Q42" s="2">
        <f t="shared" si="2"/>
        <v>-2.564846634600658</v>
      </c>
    </row>
    <row r="43" spans="1:17" x14ac:dyDescent="0.45">
      <c r="A43" t="s">
        <v>55</v>
      </c>
      <c r="B43">
        <v>75.400000000000006</v>
      </c>
      <c r="C43">
        <v>115.4</v>
      </c>
      <c r="D43">
        <v>2.0648E-2</v>
      </c>
      <c r="E43">
        <v>29.56</v>
      </c>
      <c r="F43">
        <v>1</v>
      </c>
      <c r="G43">
        <v>0.104539349675178</v>
      </c>
      <c r="H43">
        <v>556.64594146113802</v>
      </c>
      <c r="I43">
        <v>75.573122131494799</v>
      </c>
      <c r="K43">
        <v>0.1038780584931374</v>
      </c>
      <c r="L43" s="2">
        <f t="shared" si="0"/>
        <v>-0.63257633043953909</v>
      </c>
      <c r="N43">
        <v>74.141822814941406</v>
      </c>
      <c r="O43">
        <v>553.11846923828125</v>
      </c>
      <c r="P43" s="2">
        <f t="shared" si="1"/>
        <v>-1.8939264068817716</v>
      </c>
      <c r="Q43" s="2">
        <f t="shared" si="2"/>
        <v>-0.63370123809715073</v>
      </c>
    </row>
    <row r="44" spans="1:17" x14ac:dyDescent="0.45">
      <c r="A44" t="s">
        <v>56</v>
      </c>
      <c r="B44">
        <v>78.900000000000006</v>
      </c>
      <c r="C44">
        <v>111.6</v>
      </c>
      <c r="D44">
        <v>2.0545000000000001E-2</v>
      </c>
      <c r="E44">
        <v>26.46</v>
      </c>
      <c r="F44">
        <v>1</v>
      </c>
      <c r="G44">
        <v>0.11619964241981499</v>
      </c>
      <c r="H44">
        <v>536.91261243844099</v>
      </c>
      <c r="I44">
        <v>82.205834186956196</v>
      </c>
      <c r="K44">
        <v>0.10888034105300901</v>
      </c>
      <c r="L44" s="2">
        <f t="shared" si="0"/>
        <v>-6.2989017989937128</v>
      </c>
      <c r="N44">
        <v>79.81494140625</v>
      </c>
      <c r="O44">
        <v>530.34808349609375</v>
      </c>
      <c r="P44" s="2">
        <f t="shared" si="1"/>
        <v>-2.9084222602360805</v>
      </c>
      <c r="Q44" s="2">
        <f t="shared" si="2"/>
        <v>-1.2226438325845597</v>
      </c>
    </row>
    <row r="45" spans="1:17" x14ac:dyDescent="0.45">
      <c r="A45" t="s">
        <v>57</v>
      </c>
      <c r="B45">
        <v>74.400000000000006</v>
      </c>
      <c r="C45">
        <v>128.30000000000001</v>
      </c>
      <c r="D45">
        <v>1.7344999999999999E-2</v>
      </c>
      <c r="E45">
        <v>27.98</v>
      </c>
      <c r="F45">
        <v>1</v>
      </c>
      <c r="G45">
        <v>7.5472250580787603E-2</v>
      </c>
      <c r="H45">
        <v>553.18657020258502</v>
      </c>
      <c r="I45">
        <v>69.964479392791304</v>
      </c>
      <c r="K45">
        <v>8.907579630613327E-2</v>
      </c>
      <c r="L45" s="2">
        <f t="shared" si="0"/>
        <v>18.024566142736202</v>
      </c>
      <c r="N45">
        <v>73.058158874511719</v>
      </c>
      <c r="O45">
        <v>552.3671875</v>
      </c>
      <c r="P45" s="2">
        <f t="shared" si="1"/>
        <v>4.4217858956000002</v>
      </c>
      <c r="Q45" s="2">
        <f t="shared" si="2"/>
        <v>-0.14812049798767654</v>
      </c>
    </row>
    <row r="46" spans="1:17" x14ac:dyDescent="0.45">
      <c r="A46" t="s">
        <v>58</v>
      </c>
      <c r="B46">
        <v>84.8</v>
      </c>
      <c r="C46">
        <v>118.9</v>
      </c>
      <c r="D46">
        <v>2.6100999999999999E-2</v>
      </c>
      <c r="E46">
        <v>33.5</v>
      </c>
      <c r="F46">
        <v>1</v>
      </c>
      <c r="G46">
        <v>0.12154859304428101</v>
      </c>
      <c r="H46">
        <v>581.55465586898799</v>
      </c>
      <c r="I46">
        <v>86.402983292121107</v>
      </c>
      <c r="K46">
        <v>0.1278732568025589</v>
      </c>
      <c r="L46" s="2">
        <f t="shared" si="0"/>
        <v>5.2034035111980055</v>
      </c>
      <c r="N46">
        <v>87.591232299804688</v>
      </c>
      <c r="O46">
        <v>579.3702392578125</v>
      </c>
      <c r="P46" s="2">
        <f t="shared" si="1"/>
        <v>1.3752407178652761</v>
      </c>
      <c r="Q46" s="2">
        <f t="shared" si="2"/>
        <v>-0.37561673509627891</v>
      </c>
    </row>
    <row r="47" spans="1:17" x14ac:dyDescent="0.45">
      <c r="A47" t="s">
        <v>59</v>
      </c>
      <c r="B47">
        <v>48.5</v>
      </c>
      <c r="C47">
        <v>104.1</v>
      </c>
      <c r="D47">
        <v>9.3259999999999992E-3</v>
      </c>
      <c r="E47">
        <v>23.41</v>
      </c>
      <c r="F47">
        <v>1</v>
      </c>
      <c r="G47">
        <v>7.1719944477081299E-2</v>
      </c>
      <c r="H47">
        <v>517.01192894749602</v>
      </c>
      <c r="I47">
        <v>41.202914058022301</v>
      </c>
      <c r="K47">
        <v>7.1034461259841919E-2</v>
      </c>
      <c r="L47" s="2">
        <f t="shared" si="0"/>
        <v>-0.9557776741704419</v>
      </c>
      <c r="N47">
        <v>39.768638610839837</v>
      </c>
      <c r="O47">
        <v>510.75546264648438</v>
      </c>
      <c r="P47" s="2">
        <f t="shared" si="1"/>
        <v>-3.4810048754384355</v>
      </c>
      <c r="Q47" s="2">
        <f t="shared" si="2"/>
        <v>-1.210120299109579</v>
      </c>
    </row>
    <row r="48" spans="1:17" x14ac:dyDescent="0.45">
      <c r="A48" t="s">
        <v>60</v>
      </c>
      <c r="B48">
        <v>67.5</v>
      </c>
      <c r="C48">
        <v>110.7</v>
      </c>
      <c r="D48">
        <v>2.0976000000000002E-2</v>
      </c>
      <c r="E48">
        <v>35</v>
      </c>
      <c r="F48">
        <v>1</v>
      </c>
      <c r="G48">
        <v>0.117619313299655</v>
      </c>
      <c r="H48">
        <v>587.91802696960099</v>
      </c>
      <c r="I48">
        <v>65.496476636542496</v>
      </c>
      <c r="K48">
        <v>0.11941827088594439</v>
      </c>
      <c r="L48" s="2">
        <f t="shared" si="0"/>
        <v>1.5294746549882063</v>
      </c>
      <c r="N48">
        <v>65.041954040527344</v>
      </c>
      <c r="O48">
        <v>586.70428466796875</v>
      </c>
      <c r="P48" s="2">
        <f t="shared" si="1"/>
        <v>-0.69396495713413775</v>
      </c>
      <c r="Q48" s="2">
        <f t="shared" si="2"/>
        <v>-0.2064475396150755</v>
      </c>
    </row>
    <row r="49" spans="1:17" x14ac:dyDescent="0.45">
      <c r="A49" t="s">
        <v>61</v>
      </c>
      <c r="B49">
        <v>51.6</v>
      </c>
      <c r="C49">
        <v>103.4</v>
      </c>
      <c r="D49">
        <v>1.4429000000000001E-2</v>
      </c>
      <c r="E49">
        <v>35</v>
      </c>
      <c r="F49">
        <v>1</v>
      </c>
      <c r="G49">
        <v>0.11146456748247099</v>
      </c>
      <c r="H49">
        <v>586.44112598009303</v>
      </c>
      <c r="I49">
        <v>44.454114445705599</v>
      </c>
      <c r="K49">
        <v>0.1098123118281364</v>
      </c>
      <c r="L49" s="2">
        <f t="shared" si="0"/>
        <v>-1.4823146867675476</v>
      </c>
      <c r="N49">
        <v>45.507472991943359</v>
      </c>
      <c r="O49">
        <v>592.5494384765625</v>
      </c>
      <c r="P49" s="2">
        <f t="shared" si="1"/>
        <v>2.3695411760463436</v>
      </c>
      <c r="Q49" s="2">
        <f t="shared" si="2"/>
        <v>1.0415900634971524</v>
      </c>
    </row>
    <row r="50" spans="1:17" x14ac:dyDescent="0.45">
      <c r="A50" t="s">
        <v>62</v>
      </c>
      <c r="B50">
        <v>70.8</v>
      </c>
      <c r="C50">
        <v>122.2</v>
      </c>
      <c r="D50">
        <v>1.7371000000000001E-2</v>
      </c>
      <c r="E50">
        <v>28.36</v>
      </c>
      <c r="F50">
        <v>1</v>
      </c>
      <c r="G50">
        <v>7.9241119325160897E-2</v>
      </c>
      <c r="H50">
        <v>552.13710697568797</v>
      </c>
      <c r="I50">
        <v>67.675746895090995</v>
      </c>
      <c r="K50">
        <v>8.5474148392677307E-2</v>
      </c>
      <c r="L50" s="2">
        <f t="shared" si="0"/>
        <v>7.8659023504445607</v>
      </c>
      <c r="N50">
        <v>67.784568786621094</v>
      </c>
      <c r="O50">
        <v>549.1102294921875</v>
      </c>
      <c r="P50" s="2">
        <f t="shared" si="1"/>
        <v>0.16079895165219388</v>
      </c>
      <c r="Q50" s="2">
        <f t="shared" si="2"/>
        <v>-0.54821120429309456</v>
      </c>
    </row>
    <row r="51" spans="1:17" x14ac:dyDescent="0.45">
      <c r="A51" t="s">
        <v>63</v>
      </c>
      <c r="B51">
        <v>51.7</v>
      </c>
      <c r="C51">
        <v>130</v>
      </c>
      <c r="D51">
        <v>8.8880000000000001E-3</v>
      </c>
      <c r="E51">
        <v>24.27</v>
      </c>
      <c r="F51">
        <v>1</v>
      </c>
      <c r="G51">
        <v>3.9239726960658999E-2</v>
      </c>
      <c r="H51">
        <v>532.04829180160505</v>
      </c>
      <c r="I51">
        <v>41.119935002145297</v>
      </c>
      <c r="K51">
        <v>4.3995462357997887E-2</v>
      </c>
      <c r="L51" s="2">
        <f t="shared" si="0"/>
        <v>12.119695435462376</v>
      </c>
      <c r="N51">
        <v>42.508769989013672</v>
      </c>
      <c r="O51">
        <v>520.80511474609375</v>
      </c>
      <c r="P51" s="2">
        <f t="shared" si="1"/>
        <v>3.3775223302174888</v>
      </c>
      <c r="Q51" s="2">
        <f t="shared" si="2"/>
        <v>-2.1131873231732419</v>
      </c>
    </row>
    <row r="52" spans="1:17" x14ac:dyDescent="0.45">
      <c r="A52" t="s">
        <v>64</v>
      </c>
      <c r="B52">
        <v>70</v>
      </c>
      <c r="C52">
        <v>107.3</v>
      </c>
      <c r="D52">
        <v>1.9501000000000001E-2</v>
      </c>
      <c r="E52">
        <v>29.54</v>
      </c>
      <c r="F52">
        <v>1</v>
      </c>
      <c r="G52">
        <v>0.12622852623462599</v>
      </c>
      <c r="H52">
        <v>554.37940869575402</v>
      </c>
      <c r="I52">
        <v>70.539266172749805</v>
      </c>
      <c r="K52">
        <v>0.1239532977342606</v>
      </c>
      <c r="L52" s="2">
        <f t="shared" si="0"/>
        <v>-1.8024677687643553</v>
      </c>
      <c r="N52">
        <v>68.227462768554688</v>
      </c>
      <c r="O52">
        <v>550.19622802734375</v>
      </c>
      <c r="P52" s="2">
        <f t="shared" si="1"/>
        <v>-3.2773284010830781</v>
      </c>
      <c r="Q52" s="2">
        <f t="shared" si="2"/>
        <v>-0.75456999354498433</v>
      </c>
    </row>
    <row r="53" spans="1:17" x14ac:dyDescent="0.45">
      <c r="A53" t="s">
        <v>65</v>
      </c>
      <c r="B53">
        <v>83.6</v>
      </c>
      <c r="C53">
        <v>106.3</v>
      </c>
      <c r="D53">
        <v>2.6502999999999999E-2</v>
      </c>
      <c r="E53">
        <v>31.84</v>
      </c>
      <c r="F53">
        <v>1</v>
      </c>
      <c r="G53">
        <v>0.177789747714996</v>
      </c>
      <c r="H53">
        <v>567.98123671078395</v>
      </c>
      <c r="I53">
        <v>90.043472668037396</v>
      </c>
      <c r="K53">
        <v>0.1870415657758713</v>
      </c>
      <c r="L53" s="2">
        <f t="shared" si="0"/>
        <v>5.2037972829042589</v>
      </c>
      <c r="N53">
        <v>87.8885498046875</v>
      </c>
      <c r="O53">
        <v>565.50482177734375</v>
      </c>
      <c r="P53" s="2">
        <f t="shared" si="1"/>
        <v>-2.3932027491814245</v>
      </c>
      <c r="Q53" s="2">
        <f t="shared" si="2"/>
        <v>-0.43600294752363222</v>
      </c>
    </row>
    <row r="54" spans="1:17" x14ac:dyDescent="0.45">
      <c r="A54" t="s">
        <v>66</v>
      </c>
      <c r="B54">
        <v>68.3</v>
      </c>
      <c r="C54">
        <v>130</v>
      </c>
      <c r="D54">
        <v>1.4402E-2</v>
      </c>
      <c r="E54">
        <v>26.31</v>
      </c>
      <c r="F54">
        <v>1</v>
      </c>
      <c r="G54">
        <v>6.2829755246639196E-2</v>
      </c>
      <c r="H54">
        <v>544.28829180160403</v>
      </c>
      <c r="I54">
        <v>61.2705443066681</v>
      </c>
      <c r="K54">
        <v>7.0742897689342499E-2</v>
      </c>
      <c r="L54" s="2">
        <f t="shared" si="0"/>
        <v>12.594577858277717</v>
      </c>
      <c r="N54">
        <v>63.266914367675781</v>
      </c>
      <c r="O54">
        <v>534.7010498046875</v>
      </c>
      <c r="P54" s="2">
        <f t="shared" si="1"/>
        <v>3.2582868058353704</v>
      </c>
      <c r="Q54" s="2">
        <f t="shared" si="2"/>
        <v>-1.761427196088049</v>
      </c>
    </row>
    <row r="55" spans="1:17" x14ac:dyDescent="0.45">
      <c r="A55" t="s">
        <v>67</v>
      </c>
      <c r="B55">
        <v>70.8</v>
      </c>
      <c r="C55">
        <v>107.6</v>
      </c>
      <c r="D55">
        <v>1.9278E-2</v>
      </c>
      <c r="E55">
        <v>28.62</v>
      </c>
      <c r="F55">
        <v>1</v>
      </c>
      <c r="G55">
        <v>0.123721778392791</v>
      </c>
      <c r="H55">
        <v>548.92151908115704</v>
      </c>
      <c r="I55">
        <v>71.806783158379304</v>
      </c>
      <c r="K55">
        <v>0.11747210472822189</v>
      </c>
      <c r="L55" s="2">
        <f t="shared" si="0"/>
        <v>-5.0513933324880664</v>
      </c>
      <c r="N55">
        <v>69.4613037109375</v>
      </c>
      <c r="O55">
        <v>544.40240478515625</v>
      </c>
      <c r="P55" s="2">
        <f t="shared" si="1"/>
        <v>-3.2663758829977669</v>
      </c>
      <c r="Q55" s="2">
        <f t="shared" si="2"/>
        <v>-0.82327147668857392</v>
      </c>
    </row>
    <row r="56" spans="1:17" x14ac:dyDescent="0.45">
      <c r="A56" t="s">
        <v>68</v>
      </c>
      <c r="B56">
        <v>59.4</v>
      </c>
      <c r="C56">
        <v>111.6</v>
      </c>
      <c r="D56">
        <v>1.4153000000000001E-2</v>
      </c>
      <c r="E56">
        <v>27.44</v>
      </c>
      <c r="F56">
        <v>1.02</v>
      </c>
      <c r="G56">
        <v>7.9639829695224706E-2</v>
      </c>
      <c r="H56">
        <v>546.34353899212704</v>
      </c>
      <c r="I56">
        <v>54.584038601359801</v>
      </c>
      <c r="K56">
        <v>8.3206571638584137E-2</v>
      </c>
      <c r="L56" s="2">
        <f t="shared" si="0"/>
        <v>4.4785906210611808</v>
      </c>
      <c r="N56">
        <v>56.140064239501953</v>
      </c>
      <c r="O56">
        <v>544.9932861328125</v>
      </c>
      <c r="P56" s="2">
        <f t="shared" si="1"/>
        <v>2.850697159853226</v>
      </c>
      <c r="Q56" s="2">
        <f t="shared" si="2"/>
        <v>-0.24714355766070378</v>
      </c>
    </row>
    <row r="57" spans="1:17" x14ac:dyDescent="0.45">
      <c r="A57" t="s">
        <v>69</v>
      </c>
      <c r="B57">
        <v>54.8</v>
      </c>
      <c r="C57">
        <v>116.2</v>
      </c>
      <c r="D57">
        <v>1.3106E-2</v>
      </c>
      <c r="E57">
        <v>30.14</v>
      </c>
      <c r="F57">
        <v>1</v>
      </c>
      <c r="G57">
        <v>6.5073132514953599E-2</v>
      </c>
      <c r="H57">
        <v>560.39585194352605</v>
      </c>
      <c r="I57">
        <v>47.288714962299203</v>
      </c>
      <c r="K57">
        <v>6.6882029175758362E-2</v>
      </c>
      <c r="L57" s="2">
        <f t="shared" si="0"/>
        <v>2.7797903541666504</v>
      </c>
      <c r="N57">
        <v>48.056411743164063</v>
      </c>
      <c r="O57">
        <v>557.7825927734375</v>
      </c>
      <c r="P57" s="2">
        <f t="shared" si="1"/>
        <v>1.6234249153881724</v>
      </c>
      <c r="Q57" s="2">
        <f t="shared" si="2"/>
        <v>-0.46632378898334625</v>
      </c>
    </row>
    <row r="58" spans="1:17" x14ac:dyDescent="0.45">
      <c r="A58" t="s">
        <v>70</v>
      </c>
      <c r="B58">
        <v>61.3</v>
      </c>
      <c r="C58">
        <v>105.6</v>
      </c>
      <c r="D58">
        <v>1.6036999999999999E-2</v>
      </c>
      <c r="E58">
        <v>29.14</v>
      </c>
      <c r="F58">
        <v>1</v>
      </c>
      <c r="G58">
        <v>0.112147197127342</v>
      </c>
      <c r="H58">
        <v>551.65049725924803</v>
      </c>
      <c r="I58">
        <v>58.289900386037402</v>
      </c>
      <c r="K58">
        <v>0.1068200916051865</v>
      </c>
      <c r="L58" s="2">
        <f t="shared" si="0"/>
        <v>-4.7501013477016496</v>
      </c>
      <c r="N58">
        <v>57.480396270751953</v>
      </c>
      <c r="O58">
        <v>552.9613037109375</v>
      </c>
      <c r="P58" s="2">
        <f t="shared" si="1"/>
        <v>-1.3887553588603412</v>
      </c>
      <c r="Q58" s="2">
        <f t="shared" si="2"/>
        <v>0.23761538477748523</v>
      </c>
    </row>
    <row r="59" spans="1:17" x14ac:dyDescent="0.45">
      <c r="A59" t="s">
        <v>71</v>
      </c>
      <c r="B59">
        <v>84.3</v>
      </c>
      <c r="C59">
        <v>126.2</v>
      </c>
      <c r="D59">
        <v>1.9894999999999999E-2</v>
      </c>
      <c r="E59">
        <v>26.21</v>
      </c>
      <c r="F59">
        <v>1</v>
      </c>
      <c r="G59">
        <v>8.8576868176460197E-2</v>
      </c>
      <c r="H59">
        <v>541.305488802073</v>
      </c>
      <c r="I59">
        <v>84.364935456994999</v>
      </c>
      <c r="K59">
        <v>9.0494148433208466E-2</v>
      </c>
      <c r="L59" s="2">
        <f t="shared" si="0"/>
        <v>2.1645383227240775</v>
      </c>
      <c r="N59">
        <v>85.059059143066406</v>
      </c>
      <c r="O59">
        <v>535.9139404296875</v>
      </c>
      <c r="P59" s="2">
        <f t="shared" si="1"/>
        <v>0.82276325147577023</v>
      </c>
      <c r="Q59" s="2">
        <f t="shared" si="2"/>
        <v>-0.99602691713272218</v>
      </c>
    </row>
    <row r="60" spans="1:17" x14ac:dyDescent="0.45">
      <c r="A60" t="s">
        <v>72</v>
      </c>
      <c r="B60">
        <v>64</v>
      </c>
      <c r="C60">
        <v>103.6</v>
      </c>
      <c r="D60">
        <v>1.7021000000000001E-2</v>
      </c>
      <c r="E60">
        <v>28.74</v>
      </c>
      <c r="F60">
        <v>1.29</v>
      </c>
      <c r="G60">
        <v>0.13088124990463201</v>
      </c>
      <c r="H60">
        <v>602.50014308331004</v>
      </c>
      <c r="I60">
        <v>67.248968535467696</v>
      </c>
      <c r="K60">
        <v>0.13445110619068151</v>
      </c>
      <c r="L60" s="2">
        <f t="shared" si="0"/>
        <v>2.7275536325109311</v>
      </c>
      <c r="N60">
        <v>65.991783142089844</v>
      </c>
      <c r="O60">
        <v>597.98797607421875</v>
      </c>
      <c r="P60" s="2">
        <f t="shared" si="1"/>
        <v>-1.8694493324679058</v>
      </c>
      <c r="Q60" s="2">
        <f t="shared" si="2"/>
        <v>-0.74890720954855794</v>
      </c>
    </row>
    <row r="61" spans="1:17" x14ac:dyDescent="0.45">
      <c r="A61" t="s">
        <v>73</v>
      </c>
      <c r="B61">
        <v>82.6</v>
      </c>
      <c r="C61">
        <v>106.4</v>
      </c>
      <c r="D61">
        <v>2.5794000000000001E-2</v>
      </c>
      <c r="E61">
        <v>31.42</v>
      </c>
      <c r="F61">
        <v>1</v>
      </c>
      <c r="G61">
        <v>0.17244045436382199</v>
      </c>
      <c r="H61">
        <v>565.48044641888498</v>
      </c>
      <c r="I61">
        <v>88.305216762540496</v>
      </c>
      <c r="K61">
        <v>0.18245202302932739</v>
      </c>
      <c r="L61" s="2">
        <f t="shared" si="0"/>
        <v>5.8058120424471733</v>
      </c>
      <c r="N61">
        <v>86.822723388671875</v>
      </c>
      <c r="O61">
        <v>561.8304443359375</v>
      </c>
      <c r="P61" s="2">
        <f t="shared" si="1"/>
        <v>-1.6788287580507952</v>
      </c>
      <c r="Q61" s="2">
        <f t="shared" si="2"/>
        <v>-0.64546919456940999</v>
      </c>
    </row>
    <row r="62" spans="1:17" x14ac:dyDescent="0.45">
      <c r="A62" t="s">
        <v>74</v>
      </c>
      <c r="B62">
        <v>73.2</v>
      </c>
      <c r="C62">
        <v>113</v>
      </c>
      <c r="D62">
        <v>2.034E-2</v>
      </c>
      <c r="E62">
        <v>29.92</v>
      </c>
      <c r="F62">
        <v>1</v>
      </c>
      <c r="G62">
        <v>0.108841083943843</v>
      </c>
      <c r="H62">
        <v>558.06260297223105</v>
      </c>
      <c r="I62">
        <v>72.417677528926902</v>
      </c>
      <c r="K62">
        <v>0.10774741321802141</v>
      </c>
      <c r="L62" s="2">
        <f t="shared" si="0"/>
        <v>-1.0048326295481147</v>
      </c>
      <c r="N62">
        <v>70.998863220214844</v>
      </c>
      <c r="O62">
        <v>555.638427734375</v>
      </c>
      <c r="P62" s="2">
        <f t="shared" si="1"/>
        <v>-1.9592099016781077</v>
      </c>
      <c r="Q62" s="2">
        <f t="shared" si="2"/>
        <v>-0.43439127168617558</v>
      </c>
    </row>
    <row r="63" spans="1:17" x14ac:dyDescent="0.45">
      <c r="A63" t="s">
        <v>75</v>
      </c>
      <c r="B63">
        <v>75.099999999999994</v>
      </c>
      <c r="C63">
        <v>112.1</v>
      </c>
      <c r="D63">
        <v>1.5624000000000001E-2</v>
      </c>
      <c r="E63">
        <v>20.37</v>
      </c>
      <c r="F63">
        <v>1</v>
      </c>
      <c r="G63">
        <v>9.04403701424598E-2</v>
      </c>
      <c r="H63">
        <v>500.50833802656399</v>
      </c>
      <c r="I63">
        <v>77.932902104815994</v>
      </c>
      <c r="K63">
        <v>8.6503162980079651E-2</v>
      </c>
      <c r="L63" s="2">
        <f t="shared" si="0"/>
        <v>-4.3533735611412707</v>
      </c>
      <c r="N63">
        <v>76.817787170410156</v>
      </c>
      <c r="O63">
        <v>493.49774169921881</v>
      </c>
      <c r="P63" s="2">
        <f t="shared" si="1"/>
        <v>-1.4308654038137349</v>
      </c>
      <c r="Q63" s="2">
        <f t="shared" si="2"/>
        <v>-1.400695212189073</v>
      </c>
    </row>
    <row r="64" spans="1:17" x14ac:dyDescent="0.45">
      <c r="A64" t="s">
        <v>76</v>
      </c>
      <c r="B64">
        <v>80.3</v>
      </c>
      <c r="C64">
        <v>115.4</v>
      </c>
      <c r="D64">
        <v>1.6539000000000002E-2</v>
      </c>
      <c r="E64">
        <v>20</v>
      </c>
      <c r="F64">
        <v>1</v>
      </c>
      <c r="G64">
        <v>8.8845141232013702E-2</v>
      </c>
      <c r="H64">
        <v>499.28594146113801</v>
      </c>
      <c r="I64">
        <v>85.168171809531998</v>
      </c>
      <c r="K64">
        <v>8.7995134294033051E-2</v>
      </c>
      <c r="L64" s="2">
        <f t="shared" si="0"/>
        <v>-0.95672866990093497</v>
      </c>
      <c r="N64">
        <v>84.590858459472656</v>
      </c>
      <c r="O64">
        <v>490.73095703125</v>
      </c>
      <c r="P64" s="2">
        <f t="shared" si="1"/>
        <v>-0.67785105373687149</v>
      </c>
      <c r="Q64" s="2">
        <f t="shared" si="2"/>
        <v>-1.7134438844507076</v>
      </c>
    </row>
    <row r="65" spans="1:17" x14ac:dyDescent="0.45">
      <c r="A65" t="s">
        <v>77</v>
      </c>
      <c r="B65">
        <v>80.8</v>
      </c>
      <c r="C65">
        <v>101.6</v>
      </c>
      <c r="D65">
        <v>2.7215E-2</v>
      </c>
      <c r="E65">
        <v>33.96</v>
      </c>
      <c r="F65">
        <v>1</v>
      </c>
      <c r="G65">
        <v>0.236606836318969</v>
      </c>
      <c r="H65">
        <v>579.94425167292695</v>
      </c>
      <c r="I65">
        <v>87.969496855197903</v>
      </c>
      <c r="K65">
        <v>0.2251565158367157</v>
      </c>
      <c r="L65" s="2">
        <f t="shared" si="0"/>
        <v>-4.8393870018265925</v>
      </c>
      <c r="N65">
        <v>86.526931762695313</v>
      </c>
      <c r="O65">
        <v>581.75714111328125</v>
      </c>
      <c r="P65" s="2">
        <f t="shared" si="1"/>
        <v>-1.6398469288475337</v>
      </c>
      <c r="Q65" s="2">
        <f t="shared" si="2"/>
        <v>0.31259719104461758</v>
      </c>
    </row>
    <row r="66" spans="1:17" x14ac:dyDescent="0.45">
      <c r="A66" t="s">
        <v>78</v>
      </c>
      <c r="B66">
        <v>47.3</v>
      </c>
      <c r="C66">
        <v>130</v>
      </c>
      <c r="D66">
        <v>8.1930000000000006E-3</v>
      </c>
      <c r="E66">
        <v>26.53</v>
      </c>
      <c r="F66">
        <v>1</v>
      </c>
      <c r="G66">
        <v>3.5697560757398598E-2</v>
      </c>
      <c r="H66">
        <v>545.60829180160397</v>
      </c>
      <c r="I66">
        <v>34.684536393417503</v>
      </c>
      <c r="K66">
        <v>3.6616567522287369E-2</v>
      </c>
      <c r="L66" s="2">
        <f t="shared" si="0"/>
        <v>2.5744245415936411</v>
      </c>
      <c r="N66">
        <v>35.68017578125</v>
      </c>
      <c r="O66">
        <v>533.3648681640625</v>
      </c>
      <c r="P66" s="2">
        <f t="shared" si="1"/>
        <v>2.8705570013657491</v>
      </c>
      <c r="Q66" s="2">
        <f t="shared" si="2"/>
        <v>-2.2439951557762372</v>
      </c>
    </row>
    <row r="67" spans="1:17" x14ac:dyDescent="0.45">
      <c r="A67" t="s">
        <v>79</v>
      </c>
      <c r="B67">
        <v>77.099999999999994</v>
      </c>
      <c r="C67">
        <v>111.1</v>
      </c>
      <c r="D67">
        <v>2.3959000000000001E-2</v>
      </c>
      <c r="E67">
        <v>33.03</v>
      </c>
      <c r="F67">
        <v>1</v>
      </c>
      <c r="G67">
        <v>0.133633762598037</v>
      </c>
      <c r="H67">
        <v>576.20076010135597</v>
      </c>
      <c r="I67">
        <v>78.333894828654493</v>
      </c>
      <c r="K67">
        <v>0.1348298043012619</v>
      </c>
      <c r="L67" s="2">
        <f t="shared" si="0"/>
        <v>0.89501461305293883</v>
      </c>
      <c r="N67">
        <v>77.166671752929688</v>
      </c>
      <c r="O67">
        <v>575.10809326171875</v>
      </c>
      <c r="P67" s="2">
        <f t="shared" si="1"/>
        <v>-1.4900613307661505</v>
      </c>
      <c r="Q67" s="2">
        <f t="shared" si="2"/>
        <v>-0.18963300906528022</v>
      </c>
    </row>
    <row r="68" spans="1:17" x14ac:dyDescent="0.45">
      <c r="A68" t="s">
        <v>80</v>
      </c>
      <c r="B68">
        <v>56.7</v>
      </c>
      <c r="C68">
        <v>105.8</v>
      </c>
      <c r="D68">
        <v>1.2895999999999999E-2</v>
      </c>
      <c r="E68">
        <v>25.8</v>
      </c>
      <c r="F68">
        <v>1</v>
      </c>
      <c r="G68">
        <v>9.0462788939475999E-2</v>
      </c>
      <c r="H68">
        <v>531.64718872675905</v>
      </c>
      <c r="I68">
        <v>52.268067216326799</v>
      </c>
      <c r="K68">
        <v>9.075947105884552E-2</v>
      </c>
      <c r="L68" s="2">
        <f t="shared" si="0"/>
        <v>0.32796039437609587</v>
      </c>
      <c r="N68">
        <v>52.800525665283203</v>
      </c>
      <c r="O68">
        <v>530.5404052734375</v>
      </c>
      <c r="P68" s="2">
        <f t="shared" si="1"/>
        <v>1.0187069798327695</v>
      </c>
      <c r="Q68" s="2">
        <f t="shared" si="2"/>
        <v>-0.20818006316786672</v>
      </c>
    </row>
    <row r="69" spans="1:17" x14ac:dyDescent="0.45">
      <c r="A69" t="s">
        <v>81</v>
      </c>
      <c r="B69">
        <v>61</v>
      </c>
      <c r="C69">
        <v>102.5</v>
      </c>
      <c r="D69">
        <v>1.6008999999999999E-2</v>
      </c>
      <c r="E69">
        <v>28.94</v>
      </c>
      <c r="F69">
        <v>1</v>
      </c>
      <c r="G69">
        <v>0.13260281085968001</v>
      </c>
      <c r="H69">
        <v>549.94769190096395</v>
      </c>
      <c r="I69">
        <v>58.5978376092324</v>
      </c>
      <c r="K69">
        <v>0.12590096890926361</v>
      </c>
      <c r="L69" s="2">
        <f t="shared" si="0"/>
        <v>-5.0540723133752214</v>
      </c>
      <c r="N69">
        <v>58.538063049316413</v>
      </c>
      <c r="O69">
        <v>548.88720703125</v>
      </c>
      <c r="P69" s="2">
        <f t="shared" si="1"/>
        <v>-0.10200813264578328</v>
      </c>
      <c r="Q69" s="2">
        <f t="shared" si="2"/>
        <v>-0.19283377043519276</v>
      </c>
    </row>
    <row r="70" spans="1:17" x14ac:dyDescent="0.45">
      <c r="A70" t="s">
        <v>82</v>
      </c>
      <c r="B70">
        <v>77.599999999999994</v>
      </c>
      <c r="C70">
        <v>100</v>
      </c>
      <c r="D70">
        <v>2.5808000000000001E-2</v>
      </c>
      <c r="E70">
        <v>33.82</v>
      </c>
      <c r="F70">
        <v>1.1399999999999999</v>
      </c>
      <c r="G70">
        <v>0.25154685974120999</v>
      </c>
      <c r="H70">
        <v>609.02370412149401</v>
      </c>
      <c r="I70">
        <v>85.961903296424197</v>
      </c>
      <c r="K70">
        <v>0.2324533015489578</v>
      </c>
      <c r="L70" s="2">
        <f t="shared" si="0"/>
        <v>-7.5904577826555037</v>
      </c>
      <c r="N70">
        <v>86.110328674316406</v>
      </c>
      <c r="O70">
        <v>607.99676513671875</v>
      </c>
      <c r="P70" s="2">
        <f t="shared" si="1"/>
        <v>0.1726641363214019</v>
      </c>
      <c r="Q70" s="2">
        <f t="shared" si="2"/>
        <v>-0.16862052787528162</v>
      </c>
    </row>
    <row r="71" spans="1:17" x14ac:dyDescent="0.45">
      <c r="A71" t="s">
        <v>83</v>
      </c>
      <c r="B71">
        <v>78.400000000000006</v>
      </c>
      <c r="C71">
        <v>114.1</v>
      </c>
      <c r="D71">
        <v>1.9595999999999999E-2</v>
      </c>
      <c r="E71">
        <v>25.68</v>
      </c>
      <c r="F71">
        <v>1</v>
      </c>
      <c r="G71">
        <v>0.104265086352825</v>
      </c>
      <c r="H71">
        <v>532.95124127383895</v>
      </c>
      <c r="I71">
        <v>80.796306060909103</v>
      </c>
      <c r="K71">
        <v>9.7322478890419006E-2</v>
      </c>
      <c r="L71" s="2">
        <f t="shared" si="0"/>
        <v>-6.6586119143590832</v>
      </c>
      <c r="N71">
        <v>80.1544189453125</v>
      </c>
      <c r="O71">
        <v>526.6461181640625</v>
      </c>
      <c r="P71" s="2">
        <f t="shared" si="1"/>
        <v>-0.79445106699891699</v>
      </c>
      <c r="Q71" s="2">
        <f t="shared" si="2"/>
        <v>-1.1830581526944548</v>
      </c>
    </row>
    <row r="72" spans="1:17" x14ac:dyDescent="0.45">
      <c r="A72" t="s">
        <v>84</v>
      </c>
      <c r="B72">
        <v>87.4</v>
      </c>
      <c r="C72">
        <v>123.4</v>
      </c>
      <c r="D72">
        <v>1.9720999999999999E-2</v>
      </c>
      <c r="E72">
        <v>23.55</v>
      </c>
      <c r="F72">
        <v>1</v>
      </c>
      <c r="G72">
        <v>9.1389447450637804E-2</v>
      </c>
      <c r="H72">
        <v>523.855258587967</v>
      </c>
      <c r="I72">
        <v>91.425772421013406</v>
      </c>
      <c r="K72">
        <v>9.0294688940048218E-2</v>
      </c>
      <c r="L72" s="2">
        <f t="shared" si="0"/>
        <v>-1.1979047265614531</v>
      </c>
      <c r="N72">
        <v>91.86407470703125</v>
      </c>
      <c r="O72">
        <v>513.7506103515625</v>
      </c>
      <c r="P72" s="2">
        <f t="shared" si="1"/>
        <v>0.47940780199206096</v>
      </c>
      <c r="Q72" s="2">
        <f t="shared" si="2"/>
        <v>-1.928900792871912</v>
      </c>
    </row>
    <row r="73" spans="1:17" x14ac:dyDescent="0.45">
      <c r="A73" t="s">
        <v>85</v>
      </c>
      <c r="B73">
        <v>54.1</v>
      </c>
      <c r="C73">
        <v>107.8</v>
      </c>
      <c r="D73">
        <v>1.0808E-2</v>
      </c>
      <c r="E73">
        <v>22.9</v>
      </c>
      <c r="F73">
        <v>1</v>
      </c>
      <c r="G73">
        <v>7.0686243474483407E-2</v>
      </c>
      <c r="H73">
        <v>514.643616425657</v>
      </c>
      <c r="I73">
        <v>48.433423042271002</v>
      </c>
      <c r="K73">
        <v>6.9847732782363892E-2</v>
      </c>
      <c r="L73" s="2">
        <f t="shared" ref="L73:L136" si="3">(K73-G73)/G73*100</f>
        <v>-1.1862431088479104</v>
      </c>
      <c r="N73">
        <v>47.733673095703118</v>
      </c>
      <c r="O73">
        <v>508.543212890625</v>
      </c>
      <c r="P73" s="2">
        <f t="shared" ref="P73:P136" si="4">(N73-I73)/I73*100</f>
        <v>-1.4447666561935275</v>
      </c>
      <c r="Q73" s="2">
        <f t="shared" ref="Q73:Q136" si="5">(O73-H73)/H73*100</f>
        <v>-1.1853646563035212</v>
      </c>
    </row>
    <row r="74" spans="1:17" x14ac:dyDescent="0.45">
      <c r="A74" t="s">
        <v>86</v>
      </c>
      <c r="B74">
        <v>69.3</v>
      </c>
      <c r="C74">
        <v>125.2</v>
      </c>
      <c r="D74">
        <v>1.8325000000000001E-2</v>
      </c>
      <c r="E74">
        <v>32.549999999999997</v>
      </c>
      <c r="F74">
        <v>1</v>
      </c>
      <c r="G74">
        <v>7.9559139907359994E-2</v>
      </c>
      <c r="H74">
        <v>578.78946339176105</v>
      </c>
      <c r="I74">
        <v>63.991775277019002</v>
      </c>
      <c r="K74">
        <v>7.8391022980213165E-2</v>
      </c>
      <c r="L74" s="2">
        <f t="shared" si="3"/>
        <v>-1.4682372490539786</v>
      </c>
      <c r="N74">
        <v>64.554344177246094</v>
      </c>
      <c r="O74">
        <v>576.476806640625</v>
      </c>
      <c r="P74" s="2">
        <f t="shared" si="4"/>
        <v>0.87912688434059405</v>
      </c>
      <c r="Q74" s="2">
        <f t="shared" si="5"/>
        <v>-0.39956787353792844</v>
      </c>
    </row>
    <row r="75" spans="1:17" x14ac:dyDescent="0.45">
      <c r="A75" t="s">
        <v>87</v>
      </c>
      <c r="B75">
        <v>72.8</v>
      </c>
      <c r="C75">
        <v>106.1</v>
      </c>
      <c r="D75">
        <v>1.6504000000000001E-2</v>
      </c>
      <c r="E75">
        <v>22.29</v>
      </c>
      <c r="F75">
        <v>1</v>
      </c>
      <c r="G75">
        <v>0.11598327755928001</v>
      </c>
      <c r="H75">
        <v>510.643218358524</v>
      </c>
      <c r="I75">
        <v>76.047232103174593</v>
      </c>
      <c r="K75">
        <v>0.11259666830301281</v>
      </c>
      <c r="L75" s="2">
        <f t="shared" si="3"/>
        <v>-2.9199116696251979</v>
      </c>
      <c r="N75">
        <v>74.082107543945313</v>
      </c>
      <c r="O75">
        <v>506.44540405273438</v>
      </c>
      <c r="P75" s="2">
        <f t="shared" si="4"/>
        <v>-2.5840842656352865</v>
      </c>
      <c r="Q75" s="2">
        <f t="shared" si="5"/>
        <v>-0.82206404684734768</v>
      </c>
    </row>
    <row r="76" spans="1:17" x14ac:dyDescent="0.45">
      <c r="A76" t="s">
        <v>88</v>
      </c>
      <c r="B76">
        <v>52.1</v>
      </c>
      <c r="C76">
        <v>112.3</v>
      </c>
      <c r="D76">
        <v>1.043E-2</v>
      </c>
      <c r="E76">
        <v>24.32</v>
      </c>
      <c r="F76">
        <v>1</v>
      </c>
      <c r="G76">
        <v>5.8523833751678397E-2</v>
      </c>
      <c r="H76">
        <v>524.26372650698204</v>
      </c>
      <c r="I76">
        <v>44.865428612189802</v>
      </c>
      <c r="K76">
        <v>6.1586685478687293E-2</v>
      </c>
      <c r="L76" s="2">
        <f t="shared" si="3"/>
        <v>5.2335117689057009</v>
      </c>
      <c r="N76">
        <v>44.288028717041023</v>
      </c>
      <c r="O76">
        <v>520.244384765625</v>
      </c>
      <c r="P76" s="2">
        <f t="shared" si="4"/>
        <v>-1.2869594986815793</v>
      </c>
      <c r="Q76" s="2">
        <f t="shared" si="5"/>
        <v>-0.76666409254303236</v>
      </c>
    </row>
    <row r="77" spans="1:17" x14ac:dyDescent="0.45">
      <c r="A77" t="s">
        <v>89</v>
      </c>
      <c r="B77">
        <v>58.2</v>
      </c>
      <c r="C77">
        <v>130</v>
      </c>
      <c r="D77">
        <v>9.2849999999999999E-3</v>
      </c>
      <c r="E77">
        <v>20</v>
      </c>
      <c r="F77">
        <v>1.2</v>
      </c>
      <c r="G77">
        <v>4.2279135435819598E-2</v>
      </c>
      <c r="H77">
        <v>533.561269296001</v>
      </c>
      <c r="I77">
        <v>54.159088414276198</v>
      </c>
      <c r="K77">
        <v>4.5023225247859948E-2</v>
      </c>
      <c r="L77" s="2">
        <f t="shared" si="3"/>
        <v>6.4904113666324177</v>
      </c>
      <c r="N77">
        <v>55.182338714599609</v>
      </c>
      <c r="O77">
        <v>517.11846923828125</v>
      </c>
      <c r="P77" s="2">
        <f t="shared" si="4"/>
        <v>1.8893418081492031</v>
      </c>
      <c r="Q77" s="2">
        <f t="shared" si="5"/>
        <v>-3.0817079506941991</v>
      </c>
    </row>
    <row r="78" spans="1:17" x14ac:dyDescent="0.45">
      <c r="A78" t="s">
        <v>90</v>
      </c>
      <c r="B78">
        <v>45.2</v>
      </c>
      <c r="C78">
        <v>115</v>
      </c>
      <c r="D78">
        <v>6.9309999999999997E-3</v>
      </c>
      <c r="E78">
        <v>20</v>
      </c>
      <c r="F78">
        <v>1</v>
      </c>
      <c r="G78">
        <v>3.7532757967710398E-2</v>
      </c>
      <c r="H78">
        <v>499.15523446829002</v>
      </c>
      <c r="I78">
        <v>35.570211590467302</v>
      </c>
      <c r="K78">
        <v>3.8924571126699448E-2</v>
      </c>
      <c r="L78" s="2">
        <f t="shared" si="3"/>
        <v>3.7082624202208452</v>
      </c>
      <c r="N78">
        <v>35.859909057617188</v>
      </c>
      <c r="O78">
        <v>489.50909423828119</v>
      </c>
      <c r="P78" s="2">
        <f t="shared" si="4"/>
        <v>0.81443841404509176</v>
      </c>
      <c r="Q78" s="2">
        <f t="shared" si="5"/>
        <v>-1.9324930530447273</v>
      </c>
    </row>
    <row r="79" spans="1:17" x14ac:dyDescent="0.45">
      <c r="A79" t="s">
        <v>91</v>
      </c>
      <c r="B79">
        <v>44.2</v>
      </c>
      <c r="C79">
        <v>130</v>
      </c>
      <c r="D79">
        <v>6.1269999999999996E-3</v>
      </c>
      <c r="E79">
        <v>21.16</v>
      </c>
      <c r="F79">
        <v>1</v>
      </c>
      <c r="G79">
        <v>2.7628013864159501E-2</v>
      </c>
      <c r="H79">
        <v>513.38829180160405</v>
      </c>
      <c r="I79">
        <v>32.041352996754902</v>
      </c>
      <c r="K79">
        <v>2.9564350843429569E-2</v>
      </c>
      <c r="L79" s="2">
        <f t="shared" si="3"/>
        <v>7.0085999985036391</v>
      </c>
      <c r="N79">
        <v>31.497713088989261</v>
      </c>
      <c r="O79">
        <v>506.10995483398438</v>
      </c>
      <c r="P79" s="2">
        <f t="shared" si="4"/>
        <v>-1.6966821214469316</v>
      </c>
      <c r="Q79" s="2">
        <f t="shared" si="5"/>
        <v>-1.4177060684571186</v>
      </c>
    </row>
    <row r="80" spans="1:17" x14ac:dyDescent="0.45">
      <c r="A80" t="s">
        <v>92</v>
      </c>
      <c r="B80">
        <v>63</v>
      </c>
      <c r="C80">
        <v>130</v>
      </c>
      <c r="D80">
        <v>1.345E-2</v>
      </c>
      <c r="E80">
        <v>27.98</v>
      </c>
      <c r="F80">
        <v>1</v>
      </c>
      <c r="G80">
        <v>5.8149680495262097E-2</v>
      </c>
      <c r="H80">
        <v>554.30829180160401</v>
      </c>
      <c r="I80">
        <v>54.848685882816802</v>
      </c>
      <c r="K80">
        <v>6.8957440555095673E-2</v>
      </c>
      <c r="L80" s="2">
        <f t="shared" si="3"/>
        <v>18.586103943794097</v>
      </c>
      <c r="N80">
        <v>56.649318695068359</v>
      </c>
      <c r="O80">
        <v>548.36285400390625</v>
      </c>
      <c r="P80" s="2">
        <f t="shared" si="4"/>
        <v>3.282909669155202</v>
      </c>
      <c r="Q80" s="2">
        <f t="shared" si="5"/>
        <v>-1.0725868412276491</v>
      </c>
    </row>
    <row r="81" spans="1:17" x14ac:dyDescent="0.45">
      <c r="A81" t="s">
        <v>93</v>
      </c>
      <c r="B81">
        <v>80.7</v>
      </c>
      <c r="C81">
        <v>107.2</v>
      </c>
      <c r="D81">
        <v>2.3640000000000001E-2</v>
      </c>
      <c r="E81">
        <v>29.48</v>
      </c>
      <c r="F81">
        <v>1</v>
      </c>
      <c r="G81">
        <v>0.153738468885421</v>
      </c>
      <c r="H81">
        <v>553.99897998859694</v>
      </c>
      <c r="I81">
        <v>85.432290172763601</v>
      </c>
      <c r="K81">
        <v>0.15783305466175079</v>
      </c>
      <c r="L81" s="2">
        <f t="shared" si="3"/>
        <v>2.6633449689039272</v>
      </c>
      <c r="N81">
        <v>83.296913146972656</v>
      </c>
      <c r="O81">
        <v>544.60040283203125</v>
      </c>
      <c r="P81" s="2">
        <f t="shared" si="4"/>
        <v>-2.4994964099320347</v>
      </c>
      <c r="Q81" s="2">
        <f t="shared" si="5"/>
        <v>-1.6964971951318657</v>
      </c>
    </row>
    <row r="82" spans="1:17" x14ac:dyDescent="0.45">
      <c r="A82" t="s">
        <v>94</v>
      </c>
      <c r="B82">
        <v>54.8</v>
      </c>
      <c r="C82">
        <v>112.8</v>
      </c>
      <c r="D82">
        <v>1.1498E-2</v>
      </c>
      <c r="E82">
        <v>24.93</v>
      </c>
      <c r="F82">
        <v>1</v>
      </c>
      <c r="G82">
        <v>6.3437983393669101E-2</v>
      </c>
      <c r="H82">
        <v>528.06497875128798</v>
      </c>
      <c r="I82">
        <v>48.6987815847395</v>
      </c>
      <c r="K82">
        <v>6.6245414316654205E-2</v>
      </c>
      <c r="L82" s="2">
        <f t="shared" si="3"/>
        <v>4.4254731515713299</v>
      </c>
      <c r="N82">
        <v>48.399482727050781</v>
      </c>
      <c r="O82">
        <v>523.9869384765625</v>
      </c>
      <c r="P82" s="2">
        <f t="shared" si="4"/>
        <v>-0.61459208618580385</v>
      </c>
      <c r="Q82" s="2">
        <f t="shared" si="5"/>
        <v>-0.77226107369755859</v>
      </c>
    </row>
    <row r="83" spans="1:17" x14ac:dyDescent="0.45">
      <c r="A83" t="s">
        <v>95</v>
      </c>
      <c r="B83">
        <v>64.5</v>
      </c>
      <c r="C83">
        <v>124.9</v>
      </c>
      <c r="D83">
        <v>1.2786E-2</v>
      </c>
      <c r="E83">
        <v>23.4</v>
      </c>
      <c r="F83">
        <v>1</v>
      </c>
      <c r="G83">
        <v>5.8470651507377597E-2</v>
      </c>
      <c r="H83">
        <v>523.72793854837403</v>
      </c>
      <c r="I83">
        <v>59.748189328353803</v>
      </c>
      <c r="K83">
        <v>6.3472405076026917E-2</v>
      </c>
      <c r="L83" s="2">
        <f t="shared" si="3"/>
        <v>8.5542976513921989</v>
      </c>
      <c r="N83">
        <v>62.350650787353523</v>
      </c>
      <c r="O83">
        <v>515.8421630859375</v>
      </c>
      <c r="P83" s="2">
        <f t="shared" si="4"/>
        <v>4.3557160279746068</v>
      </c>
      <c r="Q83" s="2">
        <f t="shared" si="5"/>
        <v>-1.5057007430792542</v>
      </c>
    </row>
    <row r="84" spans="1:17" x14ac:dyDescent="0.45">
      <c r="A84" t="s">
        <v>96</v>
      </c>
      <c r="B84">
        <v>83.2</v>
      </c>
      <c r="C84">
        <v>109.4</v>
      </c>
      <c r="D84">
        <v>2.8101999999999999E-2</v>
      </c>
      <c r="E84">
        <v>35</v>
      </c>
      <c r="F84">
        <v>1</v>
      </c>
      <c r="G84">
        <v>0.16468350589275299</v>
      </c>
      <c r="H84">
        <v>587.60065145265901</v>
      </c>
      <c r="I84">
        <v>87.015643240979401</v>
      </c>
      <c r="K84">
        <v>0.16799271106719971</v>
      </c>
      <c r="L84" s="2">
        <f t="shared" si="3"/>
        <v>2.0094332802228378</v>
      </c>
      <c r="N84">
        <v>87.098243713378906</v>
      </c>
      <c r="O84">
        <v>588.455810546875</v>
      </c>
      <c r="P84" s="2">
        <f t="shared" si="4"/>
        <v>9.492600332879618E-2</v>
      </c>
      <c r="Q84" s="2">
        <f t="shared" si="5"/>
        <v>0.14553406162874025</v>
      </c>
    </row>
    <row r="85" spans="1:17" x14ac:dyDescent="0.45">
      <c r="A85" t="s">
        <v>97</v>
      </c>
      <c r="B85">
        <v>55.4</v>
      </c>
      <c r="C85">
        <v>104.2</v>
      </c>
      <c r="D85">
        <v>1.6114E-2</v>
      </c>
      <c r="E85">
        <v>35</v>
      </c>
      <c r="F85">
        <v>1</v>
      </c>
      <c r="G85">
        <v>0.11895614862442</v>
      </c>
      <c r="H85">
        <v>586.56826518939499</v>
      </c>
      <c r="I85">
        <v>50.556558279817303</v>
      </c>
      <c r="K85">
        <v>0.1162346303462982</v>
      </c>
      <c r="L85" s="2">
        <f t="shared" si="3"/>
        <v>-2.2878332138294417</v>
      </c>
      <c r="N85">
        <v>49.749553680419922</v>
      </c>
      <c r="O85">
        <v>591.3759765625</v>
      </c>
      <c r="P85" s="2">
        <f t="shared" si="4"/>
        <v>-1.596241173955754</v>
      </c>
      <c r="Q85" s="2">
        <f t="shared" si="5"/>
        <v>0.81963373377396453</v>
      </c>
    </row>
    <row r="86" spans="1:17" x14ac:dyDescent="0.45">
      <c r="A86" t="s">
        <v>98</v>
      </c>
      <c r="B86">
        <v>73.7</v>
      </c>
      <c r="C86">
        <v>114.4</v>
      </c>
      <c r="D86">
        <v>2.3182000000000001E-2</v>
      </c>
      <c r="E86">
        <v>35</v>
      </c>
      <c r="F86">
        <v>1.02</v>
      </c>
      <c r="G86">
        <v>0.11732187122106499</v>
      </c>
      <c r="H86">
        <v>593.42790873827403</v>
      </c>
      <c r="I86">
        <v>73.0777611083479</v>
      </c>
      <c r="K86">
        <v>0.1208110675215721</v>
      </c>
      <c r="L86" s="2">
        <f t="shared" si="3"/>
        <v>2.9740373761449388</v>
      </c>
      <c r="N86">
        <v>73.338577270507813</v>
      </c>
      <c r="O86">
        <v>592.99359130859375</v>
      </c>
      <c r="P86" s="2">
        <f t="shared" si="4"/>
        <v>0.35690223428330853</v>
      </c>
      <c r="Q86" s="2">
        <f t="shared" si="5"/>
        <v>-7.3187900886513405E-2</v>
      </c>
    </row>
    <row r="87" spans="1:17" x14ac:dyDescent="0.45">
      <c r="A87" t="s">
        <v>99</v>
      </c>
      <c r="B87">
        <v>78.599999999999994</v>
      </c>
      <c r="C87">
        <v>110.1</v>
      </c>
      <c r="D87">
        <v>2.4752E-2</v>
      </c>
      <c r="E87">
        <v>33.07</v>
      </c>
      <c r="F87">
        <v>1</v>
      </c>
      <c r="G87">
        <v>0.14252319931983901</v>
      </c>
      <c r="H87">
        <v>576.188439677259</v>
      </c>
      <c r="I87">
        <v>81.148882518893302</v>
      </c>
      <c r="K87">
        <v>0.1448170393705368</v>
      </c>
      <c r="L87" s="2">
        <f t="shared" si="3"/>
        <v>1.6094502941588822</v>
      </c>
      <c r="N87">
        <v>79.481544494628906</v>
      </c>
      <c r="O87">
        <v>574.94097900390625</v>
      </c>
      <c r="P87" s="2">
        <f t="shared" si="4"/>
        <v>-2.054665415603476</v>
      </c>
      <c r="Q87" s="2">
        <f t="shared" si="5"/>
        <v>-0.21650220439193285</v>
      </c>
    </row>
    <row r="88" spans="1:17" x14ac:dyDescent="0.45">
      <c r="A88" t="s">
        <v>100</v>
      </c>
      <c r="B88">
        <v>65</v>
      </c>
      <c r="C88">
        <v>112.9</v>
      </c>
      <c r="D88">
        <v>1.9612999999999998E-2</v>
      </c>
      <c r="E88">
        <v>35</v>
      </c>
      <c r="F88">
        <v>1</v>
      </c>
      <c r="G88">
        <v>0.103109434247016</v>
      </c>
      <c r="H88">
        <v>588.51371009739796</v>
      </c>
      <c r="I88">
        <v>61.836722451154401</v>
      </c>
      <c r="K88">
        <v>0.1058567240834236</v>
      </c>
      <c r="L88" s="2">
        <f t="shared" si="3"/>
        <v>2.6644408016302372</v>
      </c>
      <c r="N88">
        <v>61.145992279052727</v>
      </c>
      <c r="O88">
        <v>586.2257080078125</v>
      </c>
      <c r="P88" s="2">
        <f t="shared" si="4"/>
        <v>-1.1170226116807696</v>
      </c>
      <c r="Q88" s="2">
        <f t="shared" si="5"/>
        <v>-0.38877634459982269</v>
      </c>
    </row>
    <row r="89" spans="1:17" x14ac:dyDescent="0.45">
      <c r="A89" t="s">
        <v>101</v>
      </c>
      <c r="B89">
        <v>88.6</v>
      </c>
      <c r="C89">
        <v>116.1</v>
      </c>
      <c r="D89">
        <v>2.9266E-2</v>
      </c>
      <c r="E89">
        <v>35</v>
      </c>
      <c r="F89">
        <v>1</v>
      </c>
      <c r="G89">
        <v>0.14265044033527299</v>
      </c>
      <c r="H89">
        <v>589.52148522849495</v>
      </c>
      <c r="I89">
        <v>91.709748685394999</v>
      </c>
      <c r="K89">
        <v>0.1554664671421051</v>
      </c>
      <c r="L89" s="2">
        <f t="shared" si="3"/>
        <v>8.9842181886788808</v>
      </c>
      <c r="N89">
        <v>93.778884887695313</v>
      </c>
      <c r="O89">
        <v>587.51129150390625</v>
      </c>
      <c r="P89" s="2">
        <f t="shared" si="4"/>
        <v>2.2561791215875706</v>
      </c>
      <c r="Q89" s="2">
        <f t="shared" si="5"/>
        <v>-0.3409873558398917</v>
      </c>
    </row>
    <row r="90" spans="1:17" x14ac:dyDescent="0.45">
      <c r="A90" t="s">
        <v>102</v>
      </c>
      <c r="B90">
        <v>52.8</v>
      </c>
      <c r="C90">
        <v>120</v>
      </c>
      <c r="D90">
        <v>1.3576E-2</v>
      </c>
      <c r="E90">
        <v>35</v>
      </c>
      <c r="F90">
        <v>1</v>
      </c>
      <c r="G90">
        <v>6.1816539615392602E-2</v>
      </c>
      <c r="H90">
        <v>591.00284876729302</v>
      </c>
      <c r="I90">
        <v>43.282594672259499</v>
      </c>
      <c r="K90">
        <v>6.7603543400764465E-2</v>
      </c>
      <c r="L90" s="2">
        <f t="shared" si="3"/>
        <v>9.3615783435585147</v>
      </c>
      <c r="N90">
        <v>43.401111602783203</v>
      </c>
      <c r="O90">
        <v>590.97412109375</v>
      </c>
      <c r="P90" s="2">
        <f t="shared" si="4"/>
        <v>0.27382122403041448</v>
      </c>
      <c r="Q90" s="2">
        <f t="shared" si="5"/>
        <v>-4.8608350370792147E-3</v>
      </c>
    </row>
    <row r="91" spans="1:17" x14ac:dyDescent="0.45">
      <c r="A91" t="s">
        <v>103</v>
      </c>
      <c r="B91">
        <v>77.5</v>
      </c>
      <c r="C91">
        <v>113.3</v>
      </c>
      <c r="D91">
        <v>1.6684999999999998E-2</v>
      </c>
      <c r="E91">
        <v>21.18</v>
      </c>
      <c r="F91">
        <v>1</v>
      </c>
      <c r="G91">
        <v>9.3109510838985401E-2</v>
      </c>
      <c r="H91">
        <v>505.71025613630002</v>
      </c>
      <c r="I91">
        <v>80.837281044576798</v>
      </c>
      <c r="K91">
        <v>8.94332155585289E-2</v>
      </c>
      <c r="L91" s="2">
        <f t="shared" si="3"/>
        <v>-3.9483563465540397</v>
      </c>
      <c r="N91">
        <v>79.978309631347656</v>
      </c>
      <c r="O91">
        <v>497.7117919921875</v>
      </c>
      <c r="P91" s="2">
        <f t="shared" si="4"/>
        <v>-1.0625931527255004</v>
      </c>
      <c r="Q91" s="2">
        <f t="shared" si="5"/>
        <v>-1.5816298062099725</v>
      </c>
    </row>
    <row r="92" spans="1:17" x14ac:dyDescent="0.45">
      <c r="A92" t="s">
        <v>104</v>
      </c>
      <c r="B92">
        <v>46.4</v>
      </c>
      <c r="C92">
        <v>102.7</v>
      </c>
      <c r="D92">
        <v>9.2359999999999994E-3</v>
      </c>
      <c r="E92">
        <v>25.31</v>
      </c>
      <c r="F92">
        <v>1</v>
      </c>
      <c r="G92">
        <v>7.62954726815223E-2</v>
      </c>
      <c r="H92">
        <v>528.19647431656995</v>
      </c>
      <c r="I92">
        <v>38.403672045393797</v>
      </c>
      <c r="K92">
        <v>7.526823878288269E-2</v>
      </c>
      <c r="L92" s="2">
        <f t="shared" si="3"/>
        <v>-1.346389061547018</v>
      </c>
      <c r="N92">
        <v>37.191829681396477</v>
      </c>
      <c r="O92">
        <v>524.0506591796875</v>
      </c>
      <c r="P92" s="2">
        <f t="shared" si="4"/>
        <v>-3.1555377375499454</v>
      </c>
      <c r="Q92" s="2">
        <f t="shared" si="5"/>
        <v>-0.78490019121136534</v>
      </c>
    </row>
    <row r="93" spans="1:17" x14ac:dyDescent="0.45">
      <c r="A93" t="s">
        <v>105</v>
      </c>
      <c r="B93">
        <v>66.900000000000006</v>
      </c>
      <c r="C93">
        <v>118.1</v>
      </c>
      <c r="D93">
        <v>1.6181999999999998E-2</v>
      </c>
      <c r="E93">
        <v>27.5</v>
      </c>
      <c r="F93">
        <v>1.05</v>
      </c>
      <c r="G93">
        <v>7.8570716083049705E-2</v>
      </c>
      <c r="H93">
        <v>554.17426005334801</v>
      </c>
      <c r="I93">
        <v>64.407011234092707</v>
      </c>
      <c r="K93">
        <v>8.3707146346569061E-2</v>
      </c>
      <c r="L93" s="2">
        <f t="shared" si="3"/>
        <v>6.5373341616106941</v>
      </c>
      <c r="N93">
        <v>64.780036926269531</v>
      </c>
      <c r="O93">
        <v>546.64788818359375</v>
      </c>
      <c r="P93" s="2">
        <f t="shared" si="4"/>
        <v>0.57916938704240006</v>
      </c>
      <c r="Q93" s="2">
        <f t="shared" si="5"/>
        <v>-1.3581236827978487</v>
      </c>
    </row>
    <row r="94" spans="1:17" x14ac:dyDescent="0.45">
      <c r="A94" t="s">
        <v>106</v>
      </c>
      <c r="B94">
        <v>86.8</v>
      </c>
      <c r="C94">
        <v>105.8</v>
      </c>
      <c r="D94">
        <v>2.3054999999999999E-2</v>
      </c>
      <c r="E94">
        <v>25.23</v>
      </c>
      <c r="F94">
        <v>1.1399999999999999</v>
      </c>
      <c r="G94">
        <v>0.16152073442935899</v>
      </c>
      <c r="H94">
        <v>551.16635482934396</v>
      </c>
      <c r="I94">
        <v>97.964621130468103</v>
      </c>
      <c r="K94">
        <v>0.16015659272670749</v>
      </c>
      <c r="L94" s="2">
        <f t="shared" si="3"/>
        <v>-0.84456135459693094</v>
      </c>
      <c r="N94">
        <v>97.3013916015625</v>
      </c>
      <c r="O94">
        <v>543.0096435546875</v>
      </c>
      <c r="P94" s="2">
        <f t="shared" si="4"/>
        <v>-0.67700923175349403</v>
      </c>
      <c r="Q94" s="2">
        <f t="shared" si="5"/>
        <v>-1.479900070675032</v>
      </c>
    </row>
    <row r="95" spans="1:17" x14ac:dyDescent="0.45">
      <c r="A95" t="s">
        <v>107</v>
      </c>
      <c r="B95">
        <v>89.4</v>
      </c>
      <c r="C95">
        <v>106.2</v>
      </c>
      <c r="D95">
        <v>3.1331999999999999E-2</v>
      </c>
      <c r="E95">
        <v>35</v>
      </c>
      <c r="F95">
        <v>1.1000000000000001</v>
      </c>
      <c r="G95">
        <v>0.20890925824642101</v>
      </c>
      <c r="H95">
        <v>609.17177851110898</v>
      </c>
      <c r="I95">
        <v>98.769125498866799</v>
      </c>
      <c r="K95">
        <v>0.2212710231542587</v>
      </c>
      <c r="L95" s="2">
        <f t="shared" si="3"/>
        <v>5.9172891673648316</v>
      </c>
      <c r="N95">
        <v>98.744758605957031</v>
      </c>
      <c r="O95">
        <v>609.479248046875</v>
      </c>
      <c r="P95" s="2">
        <f t="shared" si="4"/>
        <v>-2.4670556499001885E-2</v>
      </c>
      <c r="Q95" s="2">
        <f t="shared" si="5"/>
        <v>5.0473371651837032E-2</v>
      </c>
    </row>
    <row r="96" spans="1:17" x14ac:dyDescent="0.45">
      <c r="A96" t="s">
        <v>108</v>
      </c>
      <c r="B96">
        <v>61.1</v>
      </c>
      <c r="C96">
        <v>113.9</v>
      </c>
      <c r="D96">
        <v>1.4596E-2</v>
      </c>
      <c r="E96">
        <v>27.52</v>
      </c>
      <c r="F96">
        <v>1</v>
      </c>
      <c r="G96">
        <v>7.7258974313735906E-2</v>
      </c>
      <c r="H96">
        <v>543.929997181364</v>
      </c>
      <c r="I96">
        <v>56.507508935900297</v>
      </c>
      <c r="K96">
        <v>8.1828296184539795E-2</v>
      </c>
      <c r="L96" s="2">
        <f t="shared" si="3"/>
        <v>5.9142926907735385</v>
      </c>
      <c r="N96">
        <v>57.938873291015618</v>
      </c>
      <c r="O96">
        <v>540.67193603515625</v>
      </c>
      <c r="P96" s="2">
        <f t="shared" si="4"/>
        <v>2.5330515927343376</v>
      </c>
      <c r="Q96" s="2">
        <f t="shared" si="5"/>
        <v>-0.59898537736307411</v>
      </c>
    </row>
    <row r="97" spans="1:17" x14ac:dyDescent="0.45">
      <c r="A97" t="s">
        <v>109</v>
      </c>
      <c r="B97">
        <v>55.6</v>
      </c>
      <c r="C97">
        <v>122.5</v>
      </c>
      <c r="D97">
        <v>1.1679E-2</v>
      </c>
      <c r="E97">
        <v>27.02</v>
      </c>
      <c r="F97">
        <v>1.1100000000000001</v>
      </c>
      <c r="G97">
        <v>5.35311885178089E-2</v>
      </c>
      <c r="H97">
        <v>563.63674463588302</v>
      </c>
      <c r="I97">
        <v>48.856788691955302</v>
      </c>
      <c r="K97">
        <v>5.766582116484642E-2</v>
      </c>
      <c r="L97" s="2">
        <f t="shared" si="3"/>
        <v>7.7237826424533793</v>
      </c>
      <c r="N97">
        <v>49.530948638916023</v>
      </c>
      <c r="O97">
        <v>557.01519775390625</v>
      </c>
      <c r="P97" s="2">
        <f t="shared" si="4"/>
        <v>1.3798695432303909</v>
      </c>
      <c r="Q97" s="2">
        <f t="shared" si="5"/>
        <v>-1.1747897817155939</v>
      </c>
    </row>
    <row r="98" spans="1:17" x14ac:dyDescent="0.45">
      <c r="A98" t="s">
        <v>110</v>
      </c>
      <c r="B98">
        <v>56.1</v>
      </c>
      <c r="C98">
        <v>119.8</v>
      </c>
      <c r="D98">
        <v>1.0716E-2</v>
      </c>
      <c r="E98">
        <v>23.09</v>
      </c>
      <c r="F98">
        <v>1</v>
      </c>
      <c r="G98">
        <v>5.2060309797525399E-2</v>
      </c>
      <c r="H98">
        <v>519.45949386692098</v>
      </c>
      <c r="I98">
        <v>49.648368307135698</v>
      </c>
      <c r="K98">
        <v>5.6145817041397088E-2</v>
      </c>
      <c r="L98" s="2">
        <f t="shared" si="3"/>
        <v>7.8476429736226549</v>
      </c>
      <c r="N98">
        <v>49.496074676513672</v>
      </c>
      <c r="O98">
        <v>511.0106201171875</v>
      </c>
      <c r="P98" s="2">
        <f t="shared" si="4"/>
        <v>-0.3067444828798887</v>
      </c>
      <c r="Q98" s="2">
        <f t="shared" si="5"/>
        <v>-1.6264740272314622</v>
      </c>
    </row>
    <row r="99" spans="1:17" x14ac:dyDescent="0.45">
      <c r="A99" t="s">
        <v>111</v>
      </c>
      <c r="B99">
        <v>63.6</v>
      </c>
      <c r="C99">
        <v>115.1</v>
      </c>
      <c r="D99">
        <v>1.2529E-2</v>
      </c>
      <c r="E99">
        <v>21.21</v>
      </c>
      <c r="F99">
        <v>1</v>
      </c>
      <c r="G99">
        <v>6.7082151770591694E-2</v>
      </c>
      <c r="H99">
        <v>506.44764922301903</v>
      </c>
      <c r="I99">
        <v>61.279396993917103</v>
      </c>
      <c r="K99">
        <v>6.4599044620990753E-2</v>
      </c>
      <c r="L99" s="2">
        <f t="shared" si="3"/>
        <v>-3.7015913831933998</v>
      </c>
      <c r="N99">
        <v>61.163589477539063</v>
      </c>
      <c r="O99">
        <v>494.49456787109381</v>
      </c>
      <c r="P99" s="2">
        <f t="shared" si="4"/>
        <v>-0.18898279366152479</v>
      </c>
      <c r="Q99" s="2">
        <f t="shared" si="5"/>
        <v>-2.3601810315959368</v>
      </c>
    </row>
    <row r="100" spans="1:17" x14ac:dyDescent="0.45">
      <c r="A100" t="s">
        <v>112</v>
      </c>
      <c r="B100">
        <v>86.1</v>
      </c>
      <c r="C100">
        <v>111.5</v>
      </c>
      <c r="D100">
        <v>2.2863999999999999E-2</v>
      </c>
      <c r="E100">
        <v>26.16</v>
      </c>
      <c r="F100">
        <v>1</v>
      </c>
      <c r="G100">
        <v>0.129863992333412</v>
      </c>
      <c r="H100">
        <v>535.08593404415899</v>
      </c>
      <c r="I100">
        <v>91.453331990666399</v>
      </c>
      <c r="K100">
        <v>0.12420216202735899</v>
      </c>
      <c r="L100" s="2">
        <f t="shared" si="3"/>
        <v>-4.3598153763183722</v>
      </c>
      <c r="N100">
        <v>91.142784118652344</v>
      </c>
      <c r="O100">
        <v>528.08209228515625</v>
      </c>
      <c r="P100" s="2">
        <f t="shared" si="4"/>
        <v>-0.33956977318852571</v>
      </c>
      <c r="Q100" s="2">
        <f t="shared" si="5"/>
        <v>-1.308919056434164</v>
      </c>
    </row>
    <row r="101" spans="1:17" x14ac:dyDescent="0.45">
      <c r="A101" t="s">
        <v>113</v>
      </c>
      <c r="B101">
        <v>54.1</v>
      </c>
      <c r="C101">
        <v>115.9</v>
      </c>
      <c r="D101">
        <v>1.3043000000000001E-2</v>
      </c>
      <c r="E101">
        <v>30.62</v>
      </c>
      <c r="F101">
        <v>1</v>
      </c>
      <c r="G101">
        <v>6.4977280795574105E-2</v>
      </c>
      <c r="H101">
        <v>563.17329331630299</v>
      </c>
      <c r="I101">
        <v>46.439723426148497</v>
      </c>
      <c r="K101">
        <v>6.8115346133708954E-2</v>
      </c>
      <c r="L101" s="2">
        <f t="shared" si="3"/>
        <v>4.8294808580980151</v>
      </c>
      <c r="N101">
        <v>46.943195343017578</v>
      </c>
      <c r="O101">
        <v>561.10888671875</v>
      </c>
      <c r="P101" s="2">
        <f t="shared" si="4"/>
        <v>1.0841406445276003</v>
      </c>
      <c r="Q101" s="2">
        <f t="shared" si="5"/>
        <v>-0.36656684932563494</v>
      </c>
    </row>
    <row r="102" spans="1:17" x14ac:dyDescent="0.45">
      <c r="A102" t="s">
        <v>114</v>
      </c>
      <c r="B102">
        <v>51.6</v>
      </c>
      <c r="C102">
        <v>127.2</v>
      </c>
      <c r="D102">
        <v>7.8980000000000005E-3</v>
      </c>
      <c r="E102">
        <v>20</v>
      </c>
      <c r="F102">
        <v>1</v>
      </c>
      <c r="G102">
        <v>3.64578478038311E-2</v>
      </c>
      <c r="H102">
        <v>504.62967185106203</v>
      </c>
      <c r="I102">
        <v>43.033642984045102</v>
      </c>
      <c r="K102">
        <v>4.0716838091611862E-2</v>
      </c>
      <c r="L102" s="2">
        <f t="shared" si="3"/>
        <v>11.681957505273294</v>
      </c>
      <c r="N102">
        <v>43.847984313964837</v>
      </c>
      <c r="O102">
        <v>491.7222900390625</v>
      </c>
      <c r="P102" s="2">
        <f t="shared" si="4"/>
        <v>1.8923364917575192</v>
      </c>
      <c r="Q102" s="2">
        <f t="shared" si="5"/>
        <v>-2.5577928790142668</v>
      </c>
    </row>
    <row r="103" spans="1:17" x14ac:dyDescent="0.45">
      <c r="A103" t="s">
        <v>115</v>
      </c>
      <c r="B103">
        <v>83.3</v>
      </c>
      <c r="C103">
        <v>122.7</v>
      </c>
      <c r="D103">
        <v>2.3230000000000001E-2</v>
      </c>
      <c r="E103">
        <v>31.11</v>
      </c>
      <c r="F103">
        <v>1</v>
      </c>
      <c r="G103">
        <v>0.103892274200916</v>
      </c>
      <c r="H103">
        <v>568.87382991590505</v>
      </c>
      <c r="I103">
        <v>83.443677480134596</v>
      </c>
      <c r="K103">
        <v>0.1086126938462257</v>
      </c>
      <c r="L103" s="2">
        <f t="shared" si="3"/>
        <v>4.5435713883603475</v>
      </c>
      <c r="N103">
        <v>84.853729248046875</v>
      </c>
      <c r="O103">
        <v>563.7396240234375</v>
      </c>
      <c r="P103" s="2">
        <f t="shared" si="4"/>
        <v>1.6898245744837521</v>
      </c>
      <c r="Q103" s="2">
        <f t="shared" si="5"/>
        <v>-0.90252102003471024</v>
      </c>
    </row>
    <row r="104" spans="1:17" x14ac:dyDescent="0.45">
      <c r="A104" t="s">
        <v>116</v>
      </c>
      <c r="B104">
        <v>42.9</v>
      </c>
      <c r="C104">
        <v>110.6</v>
      </c>
      <c r="D104">
        <v>1.0120000000000001E-2</v>
      </c>
      <c r="E104">
        <v>35</v>
      </c>
      <c r="F104">
        <v>1</v>
      </c>
      <c r="G104">
        <v>5.6915830820798798E-2</v>
      </c>
      <c r="H104">
        <v>587.892721596672</v>
      </c>
      <c r="I104">
        <v>31.1311712210201</v>
      </c>
      <c r="K104">
        <v>6.5908089280128479E-2</v>
      </c>
      <c r="L104" s="2">
        <f t="shared" si="3"/>
        <v>15.799221990876452</v>
      </c>
      <c r="N104">
        <v>31.150251388549801</v>
      </c>
      <c r="O104">
        <v>585.35430908203125</v>
      </c>
      <c r="P104" s="2">
        <f t="shared" si="4"/>
        <v>6.1289591047630917E-2</v>
      </c>
      <c r="Q104" s="2">
        <f t="shared" si="5"/>
        <v>-0.43178158554959117</v>
      </c>
    </row>
    <row r="105" spans="1:17" x14ac:dyDescent="0.45">
      <c r="A105" t="s">
        <v>117</v>
      </c>
      <c r="B105">
        <v>47.5</v>
      </c>
      <c r="C105">
        <v>104.7</v>
      </c>
      <c r="D105">
        <v>8.4779999999999994E-3</v>
      </c>
      <c r="E105">
        <v>21.76</v>
      </c>
      <c r="F105">
        <v>1</v>
      </c>
      <c r="G105">
        <v>6.3688725233078003E-2</v>
      </c>
      <c r="H105">
        <v>507.21186590462599</v>
      </c>
      <c r="I105">
        <v>39.624923726930298</v>
      </c>
      <c r="K105">
        <v>6.289355456829071E-2</v>
      </c>
      <c r="L105" s="2">
        <f t="shared" si="3"/>
        <v>-1.2485265828092047</v>
      </c>
      <c r="N105">
        <v>38.99615478515625</v>
      </c>
      <c r="O105">
        <v>498.13180541992188</v>
      </c>
      <c r="P105" s="2">
        <f t="shared" si="4"/>
        <v>-1.5868016456186078</v>
      </c>
      <c r="Q105" s="2">
        <f t="shared" si="5"/>
        <v>-1.7901908640306725</v>
      </c>
    </row>
    <row r="106" spans="1:17" x14ac:dyDescent="0.45">
      <c r="A106" t="s">
        <v>118</v>
      </c>
      <c r="B106">
        <v>80.5</v>
      </c>
      <c r="C106">
        <v>123.2</v>
      </c>
      <c r="D106">
        <v>1.5679999999999999E-2</v>
      </c>
      <c r="E106">
        <v>20</v>
      </c>
      <c r="F106">
        <v>1</v>
      </c>
      <c r="G106">
        <v>7.4805200099944999E-2</v>
      </c>
      <c r="H106">
        <v>502.45649666255099</v>
      </c>
      <c r="I106">
        <v>83.096277480698404</v>
      </c>
      <c r="K106">
        <v>7.226157933473587E-2</v>
      </c>
      <c r="L106" s="2">
        <f t="shared" si="3"/>
        <v>-3.4003261294812028</v>
      </c>
      <c r="N106">
        <v>82.597618103027344</v>
      </c>
      <c r="O106">
        <v>489.74734497070313</v>
      </c>
      <c r="P106" s="2">
        <f t="shared" si="4"/>
        <v>-0.60009833507510513</v>
      </c>
      <c r="Q106" s="2">
        <f t="shared" si="5"/>
        <v>-2.5294033963667331</v>
      </c>
    </row>
    <row r="107" spans="1:17" x14ac:dyDescent="0.45">
      <c r="A107" t="s">
        <v>119</v>
      </c>
      <c r="B107">
        <v>81.8</v>
      </c>
      <c r="C107">
        <v>130</v>
      </c>
      <c r="D107">
        <v>1.7551000000000001E-2</v>
      </c>
      <c r="E107">
        <v>24.69</v>
      </c>
      <c r="F107">
        <v>1</v>
      </c>
      <c r="G107">
        <v>7.7302359044551794E-2</v>
      </c>
      <c r="H107">
        <v>534.568291801604</v>
      </c>
      <c r="I107">
        <v>79.780401797490995</v>
      </c>
      <c r="K107">
        <v>8.0557748675346375E-2</v>
      </c>
      <c r="L107" s="2">
        <f t="shared" si="3"/>
        <v>4.2112422842340385</v>
      </c>
      <c r="N107">
        <v>82.449859619140625</v>
      </c>
      <c r="O107">
        <v>525.4818115234375</v>
      </c>
      <c r="P107" s="2">
        <f t="shared" si="4"/>
        <v>3.3460069910723123</v>
      </c>
      <c r="Q107" s="2">
        <f t="shared" si="5"/>
        <v>-1.6997791334654768</v>
      </c>
    </row>
    <row r="108" spans="1:17" x14ac:dyDescent="0.45">
      <c r="A108" t="s">
        <v>120</v>
      </c>
      <c r="B108">
        <v>75.400000000000006</v>
      </c>
      <c r="C108">
        <v>111.5</v>
      </c>
      <c r="D108">
        <v>2.1107000000000001E-2</v>
      </c>
      <c r="E108">
        <v>29.47</v>
      </c>
      <c r="F108">
        <v>1</v>
      </c>
      <c r="G108">
        <v>0.11798353493213599</v>
      </c>
      <c r="H108">
        <v>554.945934044159</v>
      </c>
      <c r="I108">
        <v>76.440136639911898</v>
      </c>
      <c r="K108">
        <v>0.11819916963577271</v>
      </c>
      <c r="L108" s="2">
        <f t="shared" si="3"/>
        <v>0.18276677653432194</v>
      </c>
      <c r="N108">
        <v>74.354972839355469</v>
      </c>
      <c r="O108">
        <v>551.1715087890625</v>
      </c>
      <c r="P108" s="2">
        <f t="shared" si="4"/>
        <v>-2.7278389236521816</v>
      </c>
      <c r="Q108" s="2">
        <f t="shared" si="5"/>
        <v>-0.68014287943159502</v>
      </c>
    </row>
    <row r="109" spans="1:17" x14ac:dyDescent="0.45">
      <c r="A109" t="s">
        <v>121</v>
      </c>
      <c r="B109">
        <v>58.8</v>
      </c>
      <c r="C109">
        <v>110</v>
      </c>
      <c r="D109">
        <v>1.4109E-2</v>
      </c>
      <c r="E109">
        <v>27.57</v>
      </c>
      <c r="F109">
        <v>1</v>
      </c>
      <c r="G109">
        <v>8.3402924239635398E-2</v>
      </c>
      <c r="H109">
        <v>543.16402919477196</v>
      </c>
      <c r="I109">
        <v>54.252547459539699</v>
      </c>
      <c r="K109">
        <v>8.6031801998615265E-2</v>
      </c>
      <c r="L109" s="2">
        <f t="shared" si="3"/>
        <v>3.1520210867265379</v>
      </c>
      <c r="N109">
        <v>55.058822631835938</v>
      </c>
      <c r="O109">
        <v>543.96453857421875</v>
      </c>
      <c r="P109" s="2">
        <f t="shared" si="4"/>
        <v>1.4861517293681747</v>
      </c>
      <c r="Q109" s="2">
        <f t="shared" si="5"/>
        <v>0.14737893829853396</v>
      </c>
    </row>
    <row r="110" spans="1:17" x14ac:dyDescent="0.45">
      <c r="A110" t="s">
        <v>122</v>
      </c>
      <c r="B110">
        <v>82.9</v>
      </c>
      <c r="C110">
        <v>108.8</v>
      </c>
      <c r="D110">
        <v>2.4126000000000002E-2</v>
      </c>
      <c r="E110">
        <v>29.2</v>
      </c>
      <c r="F110">
        <v>1</v>
      </c>
      <c r="G110">
        <v>0.14755393564701</v>
      </c>
      <c r="H110">
        <v>552.66249764419695</v>
      </c>
      <c r="I110">
        <v>87.482898421840702</v>
      </c>
      <c r="K110">
        <v>0.1489705145359039</v>
      </c>
      <c r="L110" s="2">
        <f t="shared" si="3"/>
        <v>0.96004141311605184</v>
      </c>
      <c r="N110">
        <v>85.868270874023438</v>
      </c>
      <c r="O110">
        <v>543.65728759765625</v>
      </c>
      <c r="P110" s="2">
        <f t="shared" si="4"/>
        <v>-1.8456493519814168</v>
      </c>
      <c r="Q110" s="2">
        <f t="shared" si="5"/>
        <v>-1.6294230357454493</v>
      </c>
    </row>
    <row r="111" spans="1:17" x14ac:dyDescent="0.45">
      <c r="A111" t="s">
        <v>123</v>
      </c>
      <c r="B111">
        <v>51.5</v>
      </c>
      <c r="C111">
        <v>114.8</v>
      </c>
      <c r="D111">
        <v>1.3565000000000001E-2</v>
      </c>
      <c r="E111">
        <v>35</v>
      </c>
      <c r="F111">
        <v>1</v>
      </c>
      <c r="G111">
        <v>6.79904669523239E-2</v>
      </c>
      <c r="H111">
        <v>589.09092520022796</v>
      </c>
      <c r="I111">
        <v>42.408210425787303</v>
      </c>
      <c r="K111">
        <v>7.318558543920517E-2</v>
      </c>
      <c r="L111" s="2">
        <f t="shared" si="3"/>
        <v>7.640951327079688</v>
      </c>
      <c r="N111">
        <v>42.994594573974609</v>
      </c>
      <c r="O111">
        <v>587.4896240234375</v>
      </c>
      <c r="P111" s="2">
        <f t="shared" si="4"/>
        <v>1.3827137299590979</v>
      </c>
      <c r="Q111" s="2">
        <f t="shared" si="5"/>
        <v>-0.27182580961439629</v>
      </c>
    </row>
    <row r="112" spans="1:17" x14ac:dyDescent="0.45">
      <c r="A112" t="s">
        <v>124</v>
      </c>
      <c r="B112">
        <v>67.900000000000006</v>
      </c>
      <c r="C112">
        <v>108.2</v>
      </c>
      <c r="D112">
        <v>2.0774999999999998E-2</v>
      </c>
      <c r="E112">
        <v>33.729999999999997</v>
      </c>
      <c r="F112">
        <v>1</v>
      </c>
      <c r="G112">
        <v>0.12781202793121299</v>
      </c>
      <c r="H112">
        <v>579.70948110277504</v>
      </c>
      <c r="I112">
        <v>66.272230075451802</v>
      </c>
      <c r="K112">
        <v>0.1256549954414368</v>
      </c>
      <c r="L112" s="2">
        <f t="shared" si="3"/>
        <v>-1.6876600150160248</v>
      </c>
      <c r="N112">
        <v>65.511222839355469</v>
      </c>
      <c r="O112">
        <v>581.36566162109375</v>
      </c>
      <c r="P112" s="2">
        <f t="shared" si="4"/>
        <v>-1.148304855940288</v>
      </c>
      <c r="Q112" s="2">
        <f t="shared" si="5"/>
        <v>0.2856914665546218</v>
      </c>
    </row>
    <row r="113" spans="1:17" x14ac:dyDescent="0.45">
      <c r="A113" t="s">
        <v>125</v>
      </c>
      <c r="B113">
        <v>72.900000000000006</v>
      </c>
      <c r="C113">
        <v>114.6</v>
      </c>
      <c r="D113">
        <v>1.4585000000000001E-2</v>
      </c>
      <c r="E113">
        <v>20</v>
      </c>
      <c r="F113">
        <v>1</v>
      </c>
      <c r="G113">
        <v>7.9667806625366197E-2</v>
      </c>
      <c r="H113">
        <v>499.02730548560203</v>
      </c>
      <c r="I113">
        <v>75.031976225165295</v>
      </c>
      <c r="K113">
        <v>7.3987118899822235E-2</v>
      </c>
      <c r="L113" s="2">
        <f t="shared" si="3"/>
        <v>-7.1304683361713552</v>
      </c>
      <c r="N113">
        <v>72.709571838378906</v>
      </c>
      <c r="O113">
        <v>489.38031005859381</v>
      </c>
      <c r="P113" s="2">
        <f t="shared" si="4"/>
        <v>-3.0952195365573578</v>
      </c>
      <c r="Q113" s="2">
        <f t="shared" si="5"/>
        <v>-1.9331598333323181</v>
      </c>
    </row>
    <row r="114" spans="1:17" x14ac:dyDescent="0.45">
      <c r="A114" t="s">
        <v>126</v>
      </c>
      <c r="B114">
        <v>77.5</v>
      </c>
      <c r="C114">
        <v>103.5</v>
      </c>
      <c r="D114">
        <v>2.2841E-2</v>
      </c>
      <c r="E114">
        <v>29.66</v>
      </c>
      <c r="F114">
        <v>1</v>
      </c>
      <c r="G114">
        <v>0.17785537242889399</v>
      </c>
      <c r="H114">
        <v>554.416576357586</v>
      </c>
      <c r="I114">
        <v>81.353381081011406</v>
      </c>
      <c r="K114">
        <v>0.18503120541572571</v>
      </c>
      <c r="L114" s="2">
        <f t="shared" si="3"/>
        <v>4.0346450539190748</v>
      </c>
      <c r="N114">
        <v>82.216018676757813</v>
      </c>
      <c r="O114">
        <v>552.896484375</v>
      </c>
      <c r="P114" s="2">
        <f t="shared" si="4"/>
        <v>1.0603586283493183</v>
      </c>
      <c r="Q114" s="2">
        <f t="shared" si="5"/>
        <v>-0.27417866770375404</v>
      </c>
    </row>
    <row r="115" spans="1:17" x14ac:dyDescent="0.45">
      <c r="A115" t="s">
        <v>127</v>
      </c>
      <c r="B115">
        <v>54.8</v>
      </c>
      <c r="C115">
        <v>130</v>
      </c>
      <c r="D115">
        <v>8.4580000000000002E-3</v>
      </c>
      <c r="E115">
        <v>20</v>
      </c>
      <c r="F115">
        <v>1.1100000000000001</v>
      </c>
      <c r="G115">
        <v>3.8501199334859799E-2</v>
      </c>
      <c r="H115">
        <v>521.35142942352195</v>
      </c>
      <c r="I115">
        <v>48.121148041488702</v>
      </c>
      <c r="K115">
        <v>4.1899122297763818E-2</v>
      </c>
      <c r="L115" s="2">
        <f t="shared" si="3"/>
        <v>8.8254990016050403</v>
      </c>
      <c r="N115">
        <v>48.647636413574219</v>
      </c>
      <c r="O115">
        <v>505.45330810546881</v>
      </c>
      <c r="P115" s="2">
        <f t="shared" si="4"/>
        <v>1.0940893838018853</v>
      </c>
      <c r="Q115" s="2">
        <f t="shared" si="5"/>
        <v>-3.0494059133265061</v>
      </c>
    </row>
    <row r="116" spans="1:17" x14ac:dyDescent="0.45">
      <c r="A116" t="s">
        <v>128</v>
      </c>
      <c r="B116">
        <v>83</v>
      </c>
      <c r="C116">
        <v>111.6</v>
      </c>
      <c r="D116">
        <v>2.7678999999999999E-2</v>
      </c>
      <c r="E116">
        <v>35</v>
      </c>
      <c r="F116">
        <v>1</v>
      </c>
      <c r="G116">
        <v>0.150935888290405</v>
      </c>
      <c r="H116">
        <v>588.15261243844202</v>
      </c>
      <c r="I116">
        <v>86.768534405378304</v>
      </c>
      <c r="K116">
        <v>0.1560538709163666</v>
      </c>
      <c r="L116" s="2">
        <f t="shared" si="3"/>
        <v>3.3908321499486345</v>
      </c>
      <c r="N116">
        <v>86.083892822265625</v>
      </c>
      <c r="O116">
        <v>588.76373291015625</v>
      </c>
      <c r="P116" s="2">
        <f t="shared" si="4"/>
        <v>-0.78904361794803113</v>
      </c>
      <c r="Q116" s="2">
        <f t="shared" si="5"/>
        <v>0.1039050849711548</v>
      </c>
    </row>
    <row r="117" spans="1:17" x14ac:dyDescent="0.45">
      <c r="A117" t="s">
        <v>129</v>
      </c>
      <c r="B117">
        <v>72.2</v>
      </c>
      <c r="C117">
        <v>105.7</v>
      </c>
      <c r="D117">
        <v>2.3623000000000002E-2</v>
      </c>
      <c r="E117">
        <v>35</v>
      </c>
      <c r="F117">
        <v>1.34</v>
      </c>
      <c r="G117">
        <v>0.16063942015171001</v>
      </c>
      <c r="H117">
        <v>662.46689377040104</v>
      </c>
      <c r="I117">
        <v>77.946392776469395</v>
      </c>
      <c r="K117">
        <v>0.15947046875953669</v>
      </c>
      <c r="L117" s="2">
        <f t="shared" si="3"/>
        <v>-0.72768651123699879</v>
      </c>
      <c r="N117">
        <v>78.492752075195313</v>
      </c>
      <c r="O117">
        <v>659.06341552734375</v>
      </c>
      <c r="P117" s="2">
        <f t="shared" si="4"/>
        <v>0.7009423775295649</v>
      </c>
      <c r="Q117" s="2">
        <f t="shared" si="5"/>
        <v>-0.51375823834554923</v>
      </c>
    </row>
    <row r="118" spans="1:17" x14ac:dyDescent="0.45">
      <c r="A118" t="s">
        <v>130</v>
      </c>
      <c r="B118">
        <v>49.1</v>
      </c>
      <c r="C118">
        <v>116.8</v>
      </c>
      <c r="D118">
        <v>1.2352999999999999E-2</v>
      </c>
      <c r="E118">
        <v>35</v>
      </c>
      <c r="F118">
        <v>1</v>
      </c>
      <c r="G118">
        <v>5.9363182634115198E-2</v>
      </c>
      <c r="H118">
        <v>589.76588568613897</v>
      </c>
      <c r="I118">
        <v>39.106258360253598</v>
      </c>
      <c r="K118">
        <v>6.4691610634326935E-2</v>
      </c>
      <c r="L118" s="2">
        <f t="shared" si="3"/>
        <v>8.9759810100706474</v>
      </c>
      <c r="N118">
        <v>38.777114868164063</v>
      </c>
      <c r="O118">
        <v>588.81793212890625</v>
      </c>
      <c r="P118" s="2">
        <f t="shared" si="4"/>
        <v>-0.84166449537925336</v>
      </c>
      <c r="Q118" s="2">
        <f t="shared" si="5"/>
        <v>-0.16073387427790342</v>
      </c>
    </row>
    <row r="119" spans="1:17" x14ac:dyDescent="0.45">
      <c r="A119" t="s">
        <v>131</v>
      </c>
      <c r="B119">
        <v>53</v>
      </c>
      <c r="C119">
        <v>111.2</v>
      </c>
      <c r="D119">
        <v>9.7140000000000004E-3</v>
      </c>
      <c r="E119">
        <v>21.26</v>
      </c>
      <c r="F119">
        <v>1</v>
      </c>
      <c r="G119">
        <v>5.7301472872495603E-2</v>
      </c>
      <c r="H119">
        <v>505.60682359248699</v>
      </c>
      <c r="I119">
        <v>46.705650594204599</v>
      </c>
      <c r="K119">
        <v>5.7226572185754783E-2</v>
      </c>
      <c r="L119" s="2">
        <f t="shared" si="3"/>
        <v>-0.13071337085433218</v>
      </c>
      <c r="N119">
        <v>47.799598693847663</v>
      </c>
      <c r="O119">
        <v>495.81137084960938</v>
      </c>
      <c r="P119" s="2">
        <f t="shared" si="4"/>
        <v>2.3422178809747818</v>
      </c>
      <c r="Q119" s="2">
        <f t="shared" si="5"/>
        <v>-1.9373656141105862</v>
      </c>
    </row>
    <row r="120" spans="1:17" x14ac:dyDescent="0.45">
      <c r="A120" t="s">
        <v>132</v>
      </c>
      <c r="B120">
        <v>57</v>
      </c>
      <c r="C120">
        <v>116.6</v>
      </c>
      <c r="D120">
        <v>1.1195999999999999E-2</v>
      </c>
      <c r="E120">
        <v>22.97</v>
      </c>
      <c r="F120">
        <v>1</v>
      </c>
      <c r="G120">
        <v>5.7418227195739698E-2</v>
      </c>
      <c r="H120">
        <v>517.515139667413</v>
      </c>
      <c r="I120">
        <v>51.246325328880197</v>
      </c>
      <c r="K120">
        <v>5.8444909751415253E-2</v>
      </c>
      <c r="L120" s="2">
        <f t="shared" si="3"/>
        <v>1.7880777687119758</v>
      </c>
      <c r="N120">
        <v>51.14361572265625</v>
      </c>
      <c r="O120">
        <v>509.01174926757813</v>
      </c>
      <c r="P120" s="2">
        <f t="shared" si="4"/>
        <v>-0.20042335828919208</v>
      </c>
      <c r="Q120" s="2">
        <f t="shared" si="5"/>
        <v>-1.6431191569196744</v>
      </c>
    </row>
    <row r="121" spans="1:17" x14ac:dyDescent="0.45">
      <c r="A121" t="s">
        <v>133</v>
      </c>
      <c r="B121">
        <v>77.599999999999994</v>
      </c>
      <c r="C121">
        <v>109.3</v>
      </c>
      <c r="D121">
        <v>2.4022000000000002E-2</v>
      </c>
      <c r="E121">
        <v>32.409999999999997</v>
      </c>
      <c r="F121">
        <v>1</v>
      </c>
      <c r="G121">
        <v>0.14253947138786299</v>
      </c>
      <c r="H121">
        <v>572.037265434755</v>
      </c>
      <c r="I121">
        <v>79.461884441909504</v>
      </c>
      <c r="K121">
        <v>0.1444150507450104</v>
      </c>
      <c r="L121" s="2">
        <f t="shared" si="3"/>
        <v>1.3158315650293015</v>
      </c>
      <c r="N121">
        <v>77.904037475585938</v>
      </c>
      <c r="O121">
        <v>568.97052001953125</v>
      </c>
      <c r="P121" s="2">
        <f t="shared" si="4"/>
        <v>-1.9604958745503049</v>
      </c>
      <c r="Q121" s="2">
        <f t="shared" si="5"/>
        <v>-0.53610937617726484</v>
      </c>
    </row>
    <row r="122" spans="1:17" x14ac:dyDescent="0.45">
      <c r="A122" t="s">
        <v>134</v>
      </c>
      <c r="B122">
        <v>52.5</v>
      </c>
      <c r="C122">
        <v>113.9</v>
      </c>
      <c r="D122">
        <v>1.4076999999999999E-2</v>
      </c>
      <c r="E122">
        <v>35</v>
      </c>
      <c r="F122">
        <v>1</v>
      </c>
      <c r="G122">
        <v>7.2108231484889901E-2</v>
      </c>
      <c r="H122">
        <v>588.80999718136502</v>
      </c>
      <c r="I122">
        <v>44.163284704710101</v>
      </c>
      <c r="K122">
        <v>7.6416522264480591E-2</v>
      </c>
      <c r="L122" s="2">
        <f t="shared" si="3"/>
        <v>5.9747558508538399</v>
      </c>
      <c r="N122">
        <v>44.224029541015618</v>
      </c>
      <c r="O122">
        <v>587.71307373046875</v>
      </c>
      <c r="P122" s="2">
        <f t="shared" si="4"/>
        <v>0.13754601070023764</v>
      </c>
      <c r="Q122" s="2">
        <f t="shared" si="5"/>
        <v>-0.18629497735215864</v>
      </c>
    </row>
    <row r="123" spans="1:17" x14ac:dyDescent="0.45">
      <c r="A123" t="s">
        <v>135</v>
      </c>
      <c r="B123">
        <v>84.7</v>
      </c>
      <c r="C123">
        <v>130</v>
      </c>
      <c r="D123">
        <v>2.0799000000000002E-2</v>
      </c>
      <c r="E123">
        <v>28.98</v>
      </c>
      <c r="F123">
        <v>1</v>
      </c>
      <c r="G123">
        <v>8.9489206671714699E-2</v>
      </c>
      <c r="H123">
        <v>560.30829180160504</v>
      </c>
      <c r="I123">
        <v>81.000791087964799</v>
      </c>
      <c r="K123">
        <v>9.4516456127166748E-2</v>
      </c>
      <c r="L123" s="2">
        <f t="shared" si="3"/>
        <v>5.6177159709261755</v>
      </c>
      <c r="N123">
        <v>86.021385192871094</v>
      </c>
      <c r="O123">
        <v>554.811279296875</v>
      </c>
      <c r="P123" s="2">
        <f t="shared" si="4"/>
        <v>6.1982037921753834</v>
      </c>
      <c r="Q123" s="2">
        <f t="shared" si="5"/>
        <v>-0.98106927653257514</v>
      </c>
    </row>
    <row r="124" spans="1:17" x14ac:dyDescent="0.45">
      <c r="A124" t="s">
        <v>136</v>
      </c>
      <c r="B124">
        <v>42.4</v>
      </c>
      <c r="C124">
        <v>100</v>
      </c>
      <c r="D124">
        <v>9.5180000000000004E-3</v>
      </c>
      <c r="E124">
        <v>31.76</v>
      </c>
      <c r="F124">
        <v>1</v>
      </c>
      <c r="G124">
        <v>9.3655280768871293E-2</v>
      </c>
      <c r="H124">
        <v>566.54898741352702</v>
      </c>
      <c r="I124">
        <v>32.7344089627492</v>
      </c>
      <c r="K124">
        <v>9.2393971979618073E-2</v>
      </c>
      <c r="L124" s="2">
        <f t="shared" si="3"/>
        <v>-1.3467567219898282</v>
      </c>
      <c r="N124">
        <v>32.886058807373047</v>
      </c>
      <c r="O124">
        <v>564.78955078125</v>
      </c>
      <c r="P124" s="2">
        <f t="shared" si="4"/>
        <v>0.46327350769161685</v>
      </c>
      <c r="Q124" s="2">
        <f t="shared" si="5"/>
        <v>-0.31055330983987689</v>
      </c>
    </row>
    <row r="125" spans="1:17" x14ac:dyDescent="0.45">
      <c r="A125" t="s">
        <v>137</v>
      </c>
      <c r="B125">
        <v>51.9</v>
      </c>
      <c r="C125">
        <v>108.5</v>
      </c>
      <c r="D125">
        <v>1.0121E-2</v>
      </c>
      <c r="E125">
        <v>23.02</v>
      </c>
      <c r="F125">
        <v>1</v>
      </c>
      <c r="G125">
        <v>6.4453907310962594E-2</v>
      </c>
      <c r="H125">
        <v>515.51535247708</v>
      </c>
      <c r="I125">
        <v>44.972955609950901</v>
      </c>
      <c r="K125">
        <v>6.5513759851455688E-2</v>
      </c>
      <c r="L125" s="2">
        <f t="shared" si="3"/>
        <v>1.6443573162752703</v>
      </c>
      <c r="N125">
        <v>44.333324432373047</v>
      </c>
      <c r="O125">
        <v>510.06954956054688</v>
      </c>
      <c r="P125" s="2">
        <f t="shared" si="4"/>
        <v>-1.4222573742436595</v>
      </c>
      <c r="Q125" s="2">
        <f t="shared" si="5"/>
        <v>-1.0563803561553964</v>
      </c>
    </row>
    <row r="126" spans="1:17" x14ac:dyDescent="0.45">
      <c r="A126" t="s">
        <v>138</v>
      </c>
      <c r="B126">
        <v>45.6</v>
      </c>
      <c r="C126">
        <v>128.4</v>
      </c>
      <c r="D126">
        <v>8.2199999999999999E-3</v>
      </c>
      <c r="E126">
        <v>28.28</v>
      </c>
      <c r="F126">
        <v>1</v>
      </c>
      <c r="G126">
        <v>3.5706546157598398E-2</v>
      </c>
      <c r="H126">
        <v>555.04995775928899</v>
      </c>
      <c r="I126">
        <v>32.918293882485301</v>
      </c>
      <c r="K126">
        <v>3.8427602499723428E-2</v>
      </c>
      <c r="L126" s="2">
        <f t="shared" si="3"/>
        <v>7.6206092017835365</v>
      </c>
      <c r="N126">
        <v>33.521369934082031</v>
      </c>
      <c r="O126">
        <v>546.73529052734375</v>
      </c>
      <c r="P126" s="2">
        <f t="shared" si="4"/>
        <v>1.8320392112350827</v>
      </c>
      <c r="Q126" s="2">
        <f t="shared" si="5"/>
        <v>-1.4980033987411085</v>
      </c>
    </row>
    <row r="127" spans="1:17" x14ac:dyDescent="0.45">
      <c r="A127" t="s">
        <v>139</v>
      </c>
      <c r="B127">
        <v>68.8</v>
      </c>
      <c r="C127">
        <v>130</v>
      </c>
      <c r="D127">
        <v>1.4125E-2</v>
      </c>
      <c r="E127">
        <v>25.31</v>
      </c>
      <c r="F127">
        <v>1</v>
      </c>
      <c r="G127">
        <v>6.1974879354238503E-2</v>
      </c>
      <c r="H127">
        <v>538.28829180160403</v>
      </c>
      <c r="I127">
        <v>62.787720444705201</v>
      </c>
      <c r="K127">
        <v>6.7973226308822632E-2</v>
      </c>
      <c r="L127" s="2">
        <f t="shared" si="3"/>
        <v>9.6786746776843824</v>
      </c>
      <c r="N127">
        <v>64.171928405761719</v>
      </c>
      <c r="O127">
        <v>526.53643798828125</v>
      </c>
      <c r="P127" s="2">
        <f t="shared" si="4"/>
        <v>2.2045838760391661</v>
      </c>
      <c r="Q127" s="2">
        <f t="shared" si="5"/>
        <v>-2.1831895644600317</v>
      </c>
    </row>
    <row r="128" spans="1:17" x14ac:dyDescent="0.45">
      <c r="A128" t="s">
        <v>140</v>
      </c>
      <c r="B128">
        <v>46.9</v>
      </c>
      <c r="C128">
        <v>114</v>
      </c>
      <c r="D128">
        <v>9.1470000000000006E-3</v>
      </c>
      <c r="E128">
        <v>26.08</v>
      </c>
      <c r="F128">
        <v>1</v>
      </c>
      <c r="G128">
        <v>4.8654802143573699E-2</v>
      </c>
      <c r="H128">
        <v>535.32053541185803</v>
      </c>
      <c r="I128">
        <v>37.211442336181399</v>
      </c>
      <c r="K128">
        <v>5.1184691488742828E-2</v>
      </c>
      <c r="L128" s="2">
        <f t="shared" si="3"/>
        <v>5.199670399858519</v>
      </c>
      <c r="N128">
        <v>37.570255279541023</v>
      </c>
      <c r="O128">
        <v>534.2681884765625</v>
      </c>
      <c r="P128" s="2">
        <f t="shared" si="4"/>
        <v>0.96425432832723867</v>
      </c>
      <c r="Q128" s="2">
        <f t="shared" si="5"/>
        <v>-0.19658258289790628</v>
      </c>
    </row>
    <row r="129" spans="1:17" x14ac:dyDescent="0.45">
      <c r="A129" t="s">
        <v>141</v>
      </c>
      <c r="B129">
        <v>46.6</v>
      </c>
      <c r="C129">
        <v>126.7</v>
      </c>
      <c r="D129">
        <v>8.7930000000000005E-3</v>
      </c>
      <c r="E129">
        <v>28.7</v>
      </c>
      <c r="F129">
        <v>1</v>
      </c>
      <c r="G129">
        <v>3.8495697081088999E-2</v>
      </c>
      <c r="H129">
        <v>556.53397059512497</v>
      </c>
      <c r="I129">
        <v>34.494298180620099</v>
      </c>
      <c r="K129">
        <v>4.1954319924116128E-2</v>
      </c>
      <c r="L129" s="2">
        <f t="shared" si="3"/>
        <v>8.9844400940233307</v>
      </c>
      <c r="N129">
        <v>35.549282073974609</v>
      </c>
      <c r="O129">
        <v>550.38037109375</v>
      </c>
      <c r="P129" s="2">
        <f t="shared" si="4"/>
        <v>3.0584297956444031</v>
      </c>
      <c r="Q129" s="2">
        <f t="shared" si="5"/>
        <v>-1.1057006088585517</v>
      </c>
    </row>
    <row r="130" spans="1:17" x14ac:dyDescent="0.45">
      <c r="A130" t="s">
        <v>142</v>
      </c>
      <c r="B130">
        <v>63.5</v>
      </c>
      <c r="C130">
        <v>111.3</v>
      </c>
      <c r="D130">
        <v>1.915E-2</v>
      </c>
      <c r="E130">
        <v>35</v>
      </c>
      <c r="F130">
        <v>1.17</v>
      </c>
      <c r="G130">
        <v>0.10531807690858799</v>
      </c>
      <c r="H130">
        <v>625.96260670528397</v>
      </c>
      <c r="I130">
        <v>61.631539409240503</v>
      </c>
      <c r="K130">
        <v>0.1075792759656906</v>
      </c>
      <c r="L130" s="2">
        <f t="shared" si="3"/>
        <v>2.14701893870056</v>
      </c>
      <c r="N130">
        <v>62.639629364013672</v>
      </c>
      <c r="O130">
        <v>623.78302001953125</v>
      </c>
      <c r="P130" s="2">
        <f t="shared" si="4"/>
        <v>1.635672197118647</v>
      </c>
      <c r="Q130" s="2">
        <f t="shared" si="5"/>
        <v>-0.34819758599077444</v>
      </c>
    </row>
    <row r="131" spans="1:17" x14ac:dyDescent="0.45">
      <c r="A131" t="s">
        <v>143</v>
      </c>
      <c r="B131">
        <v>53.9</v>
      </c>
      <c r="C131">
        <v>119.8</v>
      </c>
      <c r="D131">
        <v>1.1676000000000001E-2</v>
      </c>
      <c r="E131">
        <v>27.91</v>
      </c>
      <c r="F131">
        <v>1</v>
      </c>
      <c r="G131">
        <v>5.5092360824346501E-2</v>
      </c>
      <c r="H131">
        <v>548.37949386692105</v>
      </c>
      <c r="I131">
        <v>45.671629530051902</v>
      </c>
      <c r="K131">
        <v>5.7545915246009827E-2</v>
      </c>
      <c r="L131" s="2">
        <f t="shared" si="3"/>
        <v>4.4535292823738413</v>
      </c>
      <c r="N131">
        <v>47.4652099609375</v>
      </c>
      <c r="O131">
        <v>544.468017578125</v>
      </c>
      <c r="P131" s="2">
        <f t="shared" si="4"/>
        <v>3.9271216055591425</v>
      </c>
      <c r="Q131" s="2">
        <f t="shared" si="5"/>
        <v>-0.71327909459453209</v>
      </c>
    </row>
    <row r="132" spans="1:17" x14ac:dyDescent="0.45">
      <c r="A132" t="s">
        <v>144</v>
      </c>
      <c r="B132">
        <v>50.3</v>
      </c>
      <c r="C132">
        <v>104.2</v>
      </c>
      <c r="D132">
        <v>1.0352E-2</v>
      </c>
      <c r="E132">
        <v>24.72</v>
      </c>
      <c r="F132">
        <v>1</v>
      </c>
      <c r="G132">
        <v>7.8812249004840795E-2</v>
      </c>
      <c r="H132">
        <v>524.88826518939504</v>
      </c>
      <c r="I132">
        <v>43.657950073613002</v>
      </c>
      <c r="K132">
        <v>7.905299961566925E-2</v>
      </c>
      <c r="L132" s="2">
        <f t="shared" si="3"/>
        <v>0.30547359562555793</v>
      </c>
      <c r="N132">
        <v>42.774566650390618</v>
      </c>
      <c r="O132">
        <v>519.77508544921875</v>
      </c>
      <c r="P132" s="2">
        <f t="shared" si="4"/>
        <v>-2.023419381196057</v>
      </c>
      <c r="Q132" s="2">
        <f t="shared" si="5"/>
        <v>-0.97414632394788014</v>
      </c>
    </row>
    <row r="133" spans="1:17" x14ac:dyDescent="0.45">
      <c r="A133" t="s">
        <v>145</v>
      </c>
      <c r="B133">
        <v>47</v>
      </c>
      <c r="C133">
        <v>113.8</v>
      </c>
      <c r="D133">
        <v>7.4809999999999998E-3</v>
      </c>
      <c r="E133">
        <v>20</v>
      </c>
      <c r="F133">
        <v>1</v>
      </c>
      <c r="G133">
        <v>4.1601158678531598E-2</v>
      </c>
      <c r="H133">
        <v>498.77962600710902</v>
      </c>
      <c r="I133">
        <v>38.360385645513801</v>
      </c>
      <c r="K133">
        <v>4.2888123542070389E-2</v>
      </c>
      <c r="L133" s="2">
        <f t="shared" si="3"/>
        <v>3.0935793723527527</v>
      </c>
      <c r="N133">
        <v>38.549289703369141</v>
      </c>
      <c r="O133">
        <v>488.4661865234375</v>
      </c>
      <c r="P133" s="2">
        <f t="shared" si="4"/>
        <v>0.49244566934490985</v>
      </c>
      <c r="Q133" s="2">
        <f t="shared" si="5"/>
        <v>-2.0677347160777013</v>
      </c>
    </row>
    <row r="134" spans="1:17" x14ac:dyDescent="0.45">
      <c r="A134" t="s">
        <v>146</v>
      </c>
      <c r="B134">
        <v>60.8</v>
      </c>
      <c r="C134">
        <v>114.9</v>
      </c>
      <c r="D134">
        <v>1.123E-2</v>
      </c>
      <c r="E134">
        <v>20</v>
      </c>
      <c r="F134">
        <v>1</v>
      </c>
      <c r="G134">
        <v>6.0933131724596003E-2</v>
      </c>
      <c r="H134">
        <v>499.12299333356401</v>
      </c>
      <c r="I134">
        <v>57.674564919261499</v>
      </c>
      <c r="K134">
        <v>5.8456465601921082E-2</v>
      </c>
      <c r="L134" s="2">
        <f t="shared" si="3"/>
        <v>-4.0645639778846308</v>
      </c>
      <c r="N134">
        <v>58.241264343261719</v>
      </c>
      <c r="O134">
        <v>483.65310668945313</v>
      </c>
      <c r="P134" s="2">
        <f t="shared" si="4"/>
        <v>0.98258118599341138</v>
      </c>
      <c r="Q134" s="2">
        <f t="shared" si="5"/>
        <v>-3.0994137418494678</v>
      </c>
    </row>
    <row r="135" spans="1:17" x14ac:dyDescent="0.45">
      <c r="A135" t="s">
        <v>147</v>
      </c>
      <c r="B135">
        <v>81.3</v>
      </c>
      <c r="C135">
        <v>112.2</v>
      </c>
      <c r="D135">
        <v>2.2341E-2</v>
      </c>
      <c r="E135">
        <v>28.05</v>
      </c>
      <c r="F135">
        <v>1</v>
      </c>
      <c r="G135">
        <v>0.123226530849933</v>
      </c>
      <c r="H135">
        <v>546.61595332013303</v>
      </c>
      <c r="I135">
        <v>84.401038764842397</v>
      </c>
      <c r="K135">
        <v>0.11771140247583391</v>
      </c>
      <c r="L135" s="2">
        <f t="shared" si="3"/>
        <v>-4.4756014277603038</v>
      </c>
      <c r="N135">
        <v>82.612251281738281</v>
      </c>
      <c r="O135">
        <v>540.14996337890625</v>
      </c>
      <c r="P135" s="2">
        <f t="shared" si="4"/>
        <v>-2.1193903644812044</v>
      </c>
      <c r="Q135" s="2">
        <f t="shared" si="5"/>
        <v>-1.182912774856369</v>
      </c>
    </row>
    <row r="136" spans="1:17" x14ac:dyDescent="0.45">
      <c r="A136" t="s">
        <v>148</v>
      </c>
      <c r="B136">
        <v>83.4</v>
      </c>
      <c r="C136">
        <v>100</v>
      </c>
      <c r="D136">
        <v>2.7788E-2</v>
      </c>
      <c r="E136">
        <v>32.950000000000003</v>
      </c>
      <c r="F136">
        <v>1</v>
      </c>
      <c r="G136">
        <v>0.27301830053329401</v>
      </c>
      <c r="H136">
        <v>573.68898741352598</v>
      </c>
      <c r="I136">
        <v>92.3337353504742</v>
      </c>
      <c r="K136">
        <v>0.25041332840919489</v>
      </c>
      <c r="L136" s="2">
        <f t="shared" si="3"/>
        <v>-8.2796545432830762</v>
      </c>
      <c r="N136">
        <v>92.630897521972656</v>
      </c>
      <c r="O136">
        <v>574.4451904296875</v>
      </c>
      <c r="P136" s="2">
        <f t="shared" si="4"/>
        <v>0.3218348855599833</v>
      </c>
      <c r="Q136" s="2">
        <f t="shared" si="5"/>
        <v>0.13181410707757507</v>
      </c>
    </row>
    <row r="137" spans="1:17" x14ac:dyDescent="0.45">
      <c r="A137" t="s">
        <v>149</v>
      </c>
      <c r="B137">
        <v>65</v>
      </c>
      <c r="C137">
        <v>100</v>
      </c>
      <c r="D137">
        <v>1.7191999999999999E-2</v>
      </c>
      <c r="E137">
        <v>27.94</v>
      </c>
      <c r="F137">
        <v>1</v>
      </c>
      <c r="G137">
        <v>0.16989652812480899</v>
      </c>
      <c r="H137">
        <v>543.62898741352706</v>
      </c>
      <c r="I137">
        <v>65.768843633073701</v>
      </c>
      <c r="K137">
        <v>0.1552504897117615</v>
      </c>
      <c r="L137" s="2">
        <f t="shared" ref="L137:L200" si="6">(K137-G137)/G137*100</f>
        <v>-8.6205636893817204</v>
      </c>
      <c r="N137">
        <v>65.589775085449219</v>
      </c>
      <c r="O137">
        <v>540.266357421875</v>
      </c>
      <c r="P137" s="2">
        <f t="shared" ref="P137:P200" si="7">(N137-I137)/I137*100</f>
        <v>-0.27226956980346262</v>
      </c>
      <c r="Q137" s="2">
        <f t="shared" ref="Q137:Q200" si="8">(O137-H137)/H137*100</f>
        <v>-0.61855237110345174</v>
      </c>
    </row>
    <row r="138" spans="1:17" x14ac:dyDescent="0.45">
      <c r="A138" t="s">
        <v>150</v>
      </c>
      <c r="B138">
        <v>66.900000000000006</v>
      </c>
      <c r="C138">
        <v>108.5</v>
      </c>
      <c r="D138">
        <v>2.0955000000000001E-2</v>
      </c>
      <c r="E138">
        <v>35</v>
      </c>
      <c r="F138">
        <v>1</v>
      </c>
      <c r="G138">
        <v>0.12690554559230799</v>
      </c>
      <c r="H138">
        <v>587.39535247708102</v>
      </c>
      <c r="I138">
        <v>64.9754580674403</v>
      </c>
      <c r="K138">
        <v>0.12576256692409521</v>
      </c>
      <c r="L138" s="2">
        <f t="shared" si="6"/>
        <v>-0.90065305095860038</v>
      </c>
      <c r="N138">
        <v>64.474212646484375</v>
      </c>
      <c r="O138">
        <v>587.13592529296875</v>
      </c>
      <c r="P138" s="2">
        <f t="shared" si="7"/>
        <v>-0.77143807194966596</v>
      </c>
      <c r="Q138" s="2">
        <f t="shared" si="8"/>
        <v>-4.4165685516279495E-2</v>
      </c>
    </row>
    <row r="139" spans="1:17" x14ac:dyDescent="0.45">
      <c r="A139" t="s">
        <v>151</v>
      </c>
      <c r="B139">
        <v>46.6</v>
      </c>
      <c r="C139">
        <v>109.9</v>
      </c>
      <c r="D139">
        <v>7.5209999999999999E-3</v>
      </c>
      <c r="E139">
        <v>20</v>
      </c>
      <c r="F139">
        <v>1</v>
      </c>
      <c r="G139">
        <v>4.6540983021259301E-2</v>
      </c>
      <c r="H139">
        <v>497.71976633225802</v>
      </c>
      <c r="I139">
        <v>37.9498104081176</v>
      </c>
      <c r="K139">
        <v>4.837542399764061E-2</v>
      </c>
      <c r="L139" s="2">
        <f t="shared" si="6"/>
        <v>3.9415604426390409</v>
      </c>
      <c r="N139">
        <v>38.644699096679688</v>
      </c>
      <c r="O139">
        <v>486.29037475585938</v>
      </c>
      <c r="P139" s="2">
        <f t="shared" si="7"/>
        <v>1.8310728857118315</v>
      </c>
      <c r="Q139" s="2">
        <f t="shared" si="8"/>
        <v>-2.2963507478561409</v>
      </c>
    </row>
    <row r="140" spans="1:17" x14ac:dyDescent="0.45">
      <c r="A140" t="s">
        <v>152</v>
      </c>
      <c r="B140">
        <v>88.3</v>
      </c>
      <c r="C140">
        <v>104.7</v>
      </c>
      <c r="D140">
        <v>3.1033999999999999E-2</v>
      </c>
      <c r="E140">
        <v>35</v>
      </c>
      <c r="F140">
        <v>1.04</v>
      </c>
      <c r="G140">
        <v>0.222858786582946</v>
      </c>
      <c r="H140">
        <v>595.54810905821296</v>
      </c>
      <c r="I140">
        <v>97.225424052518306</v>
      </c>
      <c r="K140">
        <v>0.229754313826561</v>
      </c>
      <c r="L140" s="2">
        <f t="shared" si="6"/>
        <v>3.0941240187756964</v>
      </c>
      <c r="N140">
        <v>97.025558471679688</v>
      </c>
      <c r="O140">
        <v>597.07501220703125</v>
      </c>
      <c r="P140" s="2">
        <f t="shared" si="7"/>
        <v>-0.20556925597018477</v>
      </c>
      <c r="Q140" s="2">
        <f t="shared" si="8"/>
        <v>0.25638619711729149</v>
      </c>
    </row>
    <row r="141" spans="1:17" x14ac:dyDescent="0.45">
      <c r="A141" t="s">
        <v>153</v>
      </c>
      <c r="B141">
        <v>60.1</v>
      </c>
      <c r="C141">
        <v>118.9</v>
      </c>
      <c r="D141">
        <v>1.6747000000000001E-2</v>
      </c>
      <c r="E141">
        <v>35</v>
      </c>
      <c r="F141">
        <v>1</v>
      </c>
      <c r="G141">
        <v>7.7551648020744296E-2</v>
      </c>
      <c r="H141">
        <v>590.55465586898902</v>
      </c>
      <c r="I141">
        <v>53.286379521035101</v>
      </c>
      <c r="K141">
        <v>7.9320371150970459E-2</v>
      </c>
      <c r="L141" s="2">
        <f t="shared" si="6"/>
        <v>2.280703473578082</v>
      </c>
      <c r="N141">
        <v>53.230548858642578</v>
      </c>
      <c r="O141">
        <v>587.4151611328125</v>
      </c>
      <c r="P141" s="2">
        <f t="shared" si="7"/>
        <v>-0.10477473398335094</v>
      </c>
      <c r="Q141" s="2">
        <f t="shared" si="8"/>
        <v>-0.53161798065190324</v>
      </c>
    </row>
    <row r="142" spans="1:17" x14ac:dyDescent="0.45">
      <c r="A142" t="s">
        <v>154</v>
      </c>
      <c r="B142">
        <v>41.6</v>
      </c>
      <c r="C142">
        <v>128</v>
      </c>
      <c r="D142">
        <v>7.4400000000000004E-3</v>
      </c>
      <c r="E142">
        <v>30.71</v>
      </c>
      <c r="F142">
        <v>1</v>
      </c>
      <c r="G142">
        <v>3.1984724104404401E-2</v>
      </c>
      <c r="H142">
        <v>569.37828512825297</v>
      </c>
      <c r="I142">
        <v>27.442283141956999</v>
      </c>
      <c r="K142">
        <v>3.6824315786361687E-2</v>
      </c>
      <c r="L142" s="2">
        <f t="shared" si="6"/>
        <v>15.130947092618063</v>
      </c>
      <c r="N142">
        <v>26.367792129516602</v>
      </c>
      <c r="O142">
        <v>563.9346923828125</v>
      </c>
      <c r="P142" s="2">
        <f t="shared" si="7"/>
        <v>-3.9154577878310302</v>
      </c>
      <c r="Q142" s="2">
        <f t="shared" si="8"/>
        <v>-0.95605907138068946</v>
      </c>
    </row>
    <row r="143" spans="1:17" x14ac:dyDescent="0.45">
      <c r="A143" t="s">
        <v>155</v>
      </c>
      <c r="B143">
        <v>46.4</v>
      </c>
      <c r="C143">
        <v>103.8</v>
      </c>
      <c r="D143">
        <v>9.5949999999999994E-3</v>
      </c>
      <c r="E143">
        <v>26.65</v>
      </c>
      <c r="F143">
        <v>1</v>
      </c>
      <c r="G143">
        <v>7.4147671461105305E-2</v>
      </c>
      <c r="H143">
        <v>536.40368318226899</v>
      </c>
      <c r="I143">
        <v>38.039940402470002</v>
      </c>
      <c r="K143">
        <v>7.6275631785392761E-2</v>
      </c>
      <c r="L143" s="2">
        <f t="shared" si="6"/>
        <v>2.869895011340569</v>
      </c>
      <c r="N143">
        <v>37.082752227783203</v>
      </c>
      <c r="O143">
        <v>533.5233154296875</v>
      </c>
      <c r="P143" s="2">
        <f t="shared" si="7"/>
        <v>-2.516271488755137</v>
      </c>
      <c r="Q143" s="2">
        <f t="shared" si="8"/>
        <v>-0.53697762392186044</v>
      </c>
    </row>
    <row r="144" spans="1:17" x14ac:dyDescent="0.45">
      <c r="A144" t="s">
        <v>156</v>
      </c>
      <c r="B144">
        <v>66.900000000000006</v>
      </c>
      <c r="C144">
        <v>124.4</v>
      </c>
      <c r="D144">
        <v>1.2036E-2</v>
      </c>
      <c r="E144">
        <v>20</v>
      </c>
      <c r="F144">
        <v>1</v>
      </c>
      <c r="G144">
        <v>5.6726768612861599E-2</v>
      </c>
      <c r="H144">
        <v>503.063990633054</v>
      </c>
      <c r="I144">
        <v>64.5702241442347</v>
      </c>
      <c r="K144">
        <v>5.5963817983865738E-2</v>
      </c>
      <c r="L144" s="2">
        <f t="shared" si="6"/>
        <v>-1.3449569712012077</v>
      </c>
      <c r="N144">
        <v>64.939811706542969</v>
      </c>
      <c r="O144">
        <v>489.73092651367188</v>
      </c>
      <c r="P144" s="2">
        <f t="shared" si="7"/>
        <v>0.57238079502821104</v>
      </c>
      <c r="Q144" s="2">
        <f t="shared" si="8"/>
        <v>-2.6503713976036818</v>
      </c>
    </row>
    <row r="145" spans="1:17" x14ac:dyDescent="0.45">
      <c r="A145" t="s">
        <v>157</v>
      </c>
      <c r="B145">
        <v>51.7</v>
      </c>
      <c r="C145">
        <v>130</v>
      </c>
      <c r="D145">
        <v>8.0000000000000002E-3</v>
      </c>
      <c r="E145">
        <v>21.06</v>
      </c>
      <c r="F145">
        <v>1</v>
      </c>
      <c r="G145">
        <v>3.6092564463615397E-2</v>
      </c>
      <c r="H145">
        <v>512.78829180160403</v>
      </c>
      <c r="I145">
        <v>42.045809462895001</v>
      </c>
      <c r="K145">
        <v>3.8820572197437293E-2</v>
      </c>
      <c r="L145" s="2">
        <f t="shared" si="6"/>
        <v>7.558364927413173</v>
      </c>
      <c r="N145">
        <v>42.79705810546875</v>
      </c>
      <c r="O145">
        <v>497.8466796875</v>
      </c>
      <c r="P145" s="2">
        <f t="shared" si="7"/>
        <v>1.7867384459246016</v>
      </c>
      <c r="Q145" s="2">
        <f t="shared" si="8"/>
        <v>-2.9137974390189254</v>
      </c>
    </row>
    <row r="146" spans="1:17" x14ac:dyDescent="0.45">
      <c r="A146" t="s">
        <v>158</v>
      </c>
      <c r="B146">
        <v>46</v>
      </c>
      <c r="C146">
        <v>113.2</v>
      </c>
      <c r="D146">
        <v>9.0410000000000004E-3</v>
      </c>
      <c r="E146">
        <v>26.65</v>
      </c>
      <c r="F146">
        <v>1</v>
      </c>
      <c r="G146">
        <v>4.88894768059253E-2</v>
      </c>
      <c r="H146">
        <v>538.50087545102394</v>
      </c>
      <c r="I146">
        <v>36.087591551043602</v>
      </c>
      <c r="K146">
        <v>5.1920589059591293E-2</v>
      </c>
      <c r="L146" s="2">
        <f t="shared" si="6"/>
        <v>6.1999277793429552</v>
      </c>
      <c r="N146">
        <v>36.120059967041023</v>
      </c>
      <c r="O146">
        <v>537.55450439453125</v>
      </c>
      <c r="P146" s="2">
        <f t="shared" si="7"/>
        <v>8.9971135789144063E-2</v>
      </c>
      <c r="Q146" s="2">
        <f t="shared" si="8"/>
        <v>-0.17574178606488924</v>
      </c>
    </row>
    <row r="147" spans="1:17" x14ac:dyDescent="0.45">
      <c r="A147" t="s">
        <v>159</v>
      </c>
      <c r="B147">
        <v>53.8</v>
      </c>
      <c r="C147">
        <v>107.5</v>
      </c>
      <c r="D147">
        <v>1.5173000000000001E-2</v>
      </c>
      <c r="E147">
        <v>35</v>
      </c>
      <c r="F147">
        <v>1</v>
      </c>
      <c r="G147">
        <v>9.5640495419502203E-2</v>
      </c>
      <c r="H147">
        <v>587.18067789070994</v>
      </c>
      <c r="I147">
        <v>46.817542347077897</v>
      </c>
      <c r="K147">
        <v>9.6489906311035156E-2</v>
      </c>
      <c r="L147" s="2">
        <f t="shared" si="6"/>
        <v>0.8881289121383501</v>
      </c>
      <c r="N147">
        <v>46.486843109130859</v>
      </c>
      <c r="O147">
        <v>591.21563720703125</v>
      </c>
      <c r="P147" s="2">
        <f t="shared" si="7"/>
        <v>-0.70635753473650198</v>
      </c>
      <c r="Q147" s="2">
        <f t="shared" si="8"/>
        <v>0.68717508396492566</v>
      </c>
    </row>
    <row r="148" spans="1:17" x14ac:dyDescent="0.45">
      <c r="A148" t="s">
        <v>160</v>
      </c>
      <c r="B148">
        <v>82.1</v>
      </c>
      <c r="C148">
        <v>113.9</v>
      </c>
      <c r="D148">
        <v>2.2134000000000001E-2</v>
      </c>
      <c r="E148">
        <v>27.63</v>
      </c>
      <c r="F148">
        <v>1</v>
      </c>
      <c r="G148">
        <v>0.117033965885639</v>
      </c>
      <c r="H148">
        <v>544.58999718136397</v>
      </c>
      <c r="I148">
        <v>85.231259147702204</v>
      </c>
      <c r="K148">
        <v>0.11124566197395321</v>
      </c>
      <c r="L148" s="2">
        <f t="shared" si="6"/>
        <v>-4.9458324922030705</v>
      </c>
      <c r="N148">
        <v>83.864952087402344</v>
      </c>
      <c r="O148">
        <v>537.5289306640625</v>
      </c>
      <c r="P148" s="2">
        <f t="shared" si="7"/>
        <v>-1.603058635954336</v>
      </c>
      <c r="Q148" s="2">
        <f t="shared" si="8"/>
        <v>-1.2965839537720949</v>
      </c>
    </row>
    <row r="149" spans="1:17" x14ac:dyDescent="0.45">
      <c r="A149" t="s">
        <v>161</v>
      </c>
      <c r="B149">
        <v>40.799999999999997</v>
      </c>
      <c r="C149">
        <v>105.2</v>
      </c>
      <c r="D149">
        <v>8.7299999999999999E-3</v>
      </c>
      <c r="E149">
        <v>31.93</v>
      </c>
      <c r="F149">
        <v>1</v>
      </c>
      <c r="G149">
        <v>6.1666507273912402E-2</v>
      </c>
      <c r="H149">
        <v>568.31869122262594</v>
      </c>
      <c r="I149">
        <v>29.3166356546032</v>
      </c>
      <c r="K149">
        <v>6.6168993711471558E-2</v>
      </c>
      <c r="L149" s="2">
        <f t="shared" si="6"/>
        <v>7.3013482303446455</v>
      </c>
      <c r="N149">
        <v>28.58458137512207</v>
      </c>
      <c r="O149">
        <v>565.95379638671875</v>
      </c>
      <c r="P149" s="2">
        <f t="shared" si="7"/>
        <v>-2.4970610137735392</v>
      </c>
      <c r="Q149" s="2">
        <f t="shared" si="8"/>
        <v>-0.41612124894565533</v>
      </c>
    </row>
    <row r="150" spans="1:17" x14ac:dyDescent="0.45">
      <c r="A150" t="s">
        <v>162</v>
      </c>
      <c r="B150">
        <v>87.4</v>
      </c>
      <c r="C150">
        <v>121.8</v>
      </c>
      <c r="D150">
        <v>2.4643999999999999E-2</v>
      </c>
      <c r="E150">
        <v>30.69</v>
      </c>
      <c r="F150">
        <v>1</v>
      </c>
      <c r="G150">
        <v>0.111661709845066</v>
      </c>
      <c r="H150">
        <v>565.93191802262299</v>
      </c>
      <c r="I150">
        <v>89.136166491473304</v>
      </c>
      <c r="K150">
        <v>0.1133663207292557</v>
      </c>
      <c r="L150" s="2">
        <f t="shared" si="6"/>
        <v>1.5265849739851753</v>
      </c>
      <c r="N150">
        <v>91.005088806152344</v>
      </c>
      <c r="O150">
        <v>560.71881103515625</v>
      </c>
      <c r="P150" s="2">
        <f t="shared" si="7"/>
        <v>2.0967048373768904</v>
      </c>
      <c r="Q150" s="2">
        <f t="shared" si="8"/>
        <v>-0.9211544395095157</v>
      </c>
    </row>
    <row r="151" spans="1:17" x14ac:dyDescent="0.45">
      <c r="A151" t="s">
        <v>163</v>
      </c>
      <c r="B151">
        <v>44</v>
      </c>
      <c r="C151">
        <v>113.2</v>
      </c>
      <c r="D151">
        <v>6.6730000000000001E-3</v>
      </c>
      <c r="E151">
        <v>20</v>
      </c>
      <c r="F151">
        <v>1</v>
      </c>
      <c r="G151">
        <v>3.7644907832145601E-2</v>
      </c>
      <c r="H151">
        <v>498.60087545102402</v>
      </c>
      <c r="I151">
        <v>34.046329599835303</v>
      </c>
      <c r="K151">
        <v>4.073869064450264E-2</v>
      </c>
      <c r="L151" s="2">
        <f t="shared" si="6"/>
        <v>8.2183301554405919</v>
      </c>
      <c r="N151">
        <v>34.636322021484382</v>
      </c>
      <c r="O151">
        <v>488.89666748046881</v>
      </c>
      <c r="P151" s="2">
        <f t="shared" si="7"/>
        <v>1.7329105033745924</v>
      </c>
      <c r="Q151" s="2">
        <f t="shared" si="8"/>
        <v>-1.9462877921698374</v>
      </c>
    </row>
    <row r="152" spans="1:17" x14ac:dyDescent="0.45">
      <c r="A152" t="s">
        <v>164</v>
      </c>
      <c r="B152">
        <v>56.3</v>
      </c>
      <c r="C152">
        <v>130</v>
      </c>
      <c r="D152">
        <v>9.5639999999999996E-3</v>
      </c>
      <c r="E152">
        <v>22.34</v>
      </c>
      <c r="F152">
        <v>1.07</v>
      </c>
      <c r="G152">
        <v>4.2785726487636497E-2</v>
      </c>
      <c r="H152">
        <v>530.94763392464301</v>
      </c>
      <c r="I152">
        <v>48.498223847073497</v>
      </c>
      <c r="K152">
        <v>4.6922575682401657E-2</v>
      </c>
      <c r="L152" s="2">
        <f t="shared" si="6"/>
        <v>9.6687599682584757</v>
      </c>
      <c r="N152">
        <v>50.300117492675781</v>
      </c>
      <c r="O152">
        <v>513.69085693359375</v>
      </c>
      <c r="P152" s="2">
        <f t="shared" si="7"/>
        <v>3.715380693701456</v>
      </c>
      <c r="Q152" s="2">
        <f t="shared" si="8"/>
        <v>-3.2501843662982601</v>
      </c>
    </row>
    <row r="153" spans="1:17" x14ac:dyDescent="0.45">
      <c r="A153" t="s">
        <v>165</v>
      </c>
      <c r="B153">
        <v>55.6</v>
      </c>
      <c r="C153">
        <v>127.9</v>
      </c>
      <c r="D153">
        <v>8.9130000000000008E-3</v>
      </c>
      <c r="E153">
        <v>20.23</v>
      </c>
      <c r="F153">
        <v>1</v>
      </c>
      <c r="G153">
        <v>4.0885452181100797E-2</v>
      </c>
      <c r="H153">
        <v>506.43614375626299</v>
      </c>
      <c r="I153">
        <v>48.203009138959501</v>
      </c>
      <c r="K153">
        <v>4.7169189900159843E-2</v>
      </c>
      <c r="L153" s="2">
        <f t="shared" si="6"/>
        <v>15.369128586924836</v>
      </c>
      <c r="N153">
        <v>49.92767333984375</v>
      </c>
      <c r="O153">
        <v>490.63934326171881</v>
      </c>
      <c r="P153" s="2">
        <f t="shared" si="7"/>
        <v>3.5779181252199241</v>
      </c>
      <c r="Q153" s="2">
        <f t="shared" si="8"/>
        <v>-3.1192087471045222</v>
      </c>
    </row>
    <row r="154" spans="1:17" x14ac:dyDescent="0.45">
      <c r="A154" t="s">
        <v>166</v>
      </c>
      <c r="B154">
        <v>67.099999999999994</v>
      </c>
      <c r="C154">
        <v>130</v>
      </c>
      <c r="D154">
        <v>1.6105999999999999E-2</v>
      </c>
      <c r="E154">
        <v>31.32</v>
      </c>
      <c r="F154">
        <v>1</v>
      </c>
      <c r="G154">
        <v>6.8540297448635101E-2</v>
      </c>
      <c r="H154">
        <v>574.34829180160398</v>
      </c>
      <c r="I154">
        <v>58.485653301529197</v>
      </c>
      <c r="K154">
        <v>7.6285511255264282E-2</v>
      </c>
      <c r="L154" s="2">
        <f t="shared" si="6"/>
        <v>11.300233723720757</v>
      </c>
      <c r="N154">
        <v>60.999141693115227</v>
      </c>
      <c r="O154">
        <v>570.490234375</v>
      </c>
      <c r="P154" s="2">
        <f t="shared" si="7"/>
        <v>4.2976153119594391</v>
      </c>
      <c r="Q154" s="2">
        <f t="shared" si="8"/>
        <v>-0.67172784905516159</v>
      </c>
    </row>
    <row r="155" spans="1:17" x14ac:dyDescent="0.45">
      <c r="A155" t="s">
        <v>167</v>
      </c>
      <c r="B155">
        <v>71</v>
      </c>
      <c r="C155">
        <v>113.5</v>
      </c>
      <c r="D155">
        <v>1.7614999999999999E-2</v>
      </c>
      <c r="E155">
        <v>26.49</v>
      </c>
      <c r="F155">
        <v>1</v>
      </c>
      <c r="G155">
        <v>9.4627141952514607E-2</v>
      </c>
      <c r="H155">
        <v>537.62950913172597</v>
      </c>
      <c r="I155">
        <v>70.442171835128207</v>
      </c>
      <c r="K155">
        <v>9.4850949943065643E-2</v>
      </c>
      <c r="L155" s="2">
        <f t="shared" si="6"/>
        <v>0.23651564015676063</v>
      </c>
      <c r="N155">
        <v>70.348602294921875</v>
      </c>
      <c r="O155">
        <v>535.9932861328125</v>
      </c>
      <c r="P155" s="2">
        <f t="shared" si="7"/>
        <v>-0.13283170829163771</v>
      </c>
      <c r="Q155" s="2">
        <f t="shared" si="8"/>
        <v>-0.30434025125517666</v>
      </c>
    </row>
    <row r="156" spans="1:17" x14ac:dyDescent="0.45">
      <c r="A156" t="s">
        <v>168</v>
      </c>
      <c r="B156">
        <v>85.9</v>
      </c>
      <c r="C156">
        <v>122.3</v>
      </c>
      <c r="D156">
        <v>2.2475999999999999E-2</v>
      </c>
      <c r="E156">
        <v>28.29</v>
      </c>
      <c r="F156">
        <v>1</v>
      </c>
      <c r="G156">
        <v>0.102419838309288</v>
      </c>
      <c r="H156">
        <v>551.76398255795903</v>
      </c>
      <c r="I156">
        <v>87.474799921307195</v>
      </c>
      <c r="K156">
        <v>0.1023674309253693</v>
      </c>
      <c r="L156" s="2">
        <f t="shared" si="6"/>
        <v>-5.1169172675739547E-2</v>
      </c>
      <c r="N156">
        <v>88.612152099609375</v>
      </c>
      <c r="O156">
        <v>547.42852783203125</v>
      </c>
      <c r="P156" s="2">
        <f t="shared" si="7"/>
        <v>1.3002055212762398</v>
      </c>
      <c r="Q156" s="2">
        <f t="shared" si="8"/>
        <v>-0.78574442388007182</v>
      </c>
    </row>
    <row r="157" spans="1:17" x14ac:dyDescent="0.45">
      <c r="A157" t="s">
        <v>169</v>
      </c>
      <c r="B157">
        <v>89</v>
      </c>
      <c r="C157">
        <v>113.5</v>
      </c>
      <c r="D157">
        <v>2.4666E-2</v>
      </c>
      <c r="E157">
        <v>27.66</v>
      </c>
      <c r="F157">
        <v>1</v>
      </c>
      <c r="G157">
        <v>0.13175949454307501</v>
      </c>
      <c r="H157">
        <v>544.64950913172697</v>
      </c>
      <c r="I157">
        <v>94.860791194374798</v>
      </c>
      <c r="K157">
        <v>0.1244270130991936</v>
      </c>
      <c r="L157" s="2">
        <f t="shared" si="6"/>
        <v>-5.5650497668570367</v>
      </c>
      <c r="N157">
        <v>94.277114868164063</v>
      </c>
      <c r="O157">
        <v>538.80743408203125</v>
      </c>
      <c r="P157" s="2">
        <f t="shared" si="7"/>
        <v>-0.61529776302914396</v>
      </c>
      <c r="Q157" s="2">
        <f t="shared" si="8"/>
        <v>-1.072630187257321</v>
      </c>
    </row>
    <row r="158" spans="1:17" x14ac:dyDescent="0.45">
      <c r="A158" t="s">
        <v>170</v>
      </c>
      <c r="B158">
        <v>78.8</v>
      </c>
      <c r="C158">
        <v>116</v>
      </c>
      <c r="D158">
        <v>2.3550999999999999E-2</v>
      </c>
      <c r="E158">
        <v>32.42</v>
      </c>
      <c r="F158">
        <v>1</v>
      </c>
      <c r="G158">
        <v>0.116211719810962</v>
      </c>
      <c r="H158">
        <v>574.00729924274697</v>
      </c>
      <c r="I158">
        <v>79.7223683366974</v>
      </c>
      <c r="K158">
        <v>0.1185610070824623</v>
      </c>
      <c r="L158" s="2">
        <f t="shared" si="6"/>
        <v>2.0215579593192605</v>
      </c>
      <c r="N158">
        <v>78.613883972167969</v>
      </c>
      <c r="O158">
        <v>572.8450927734375</v>
      </c>
      <c r="P158" s="2">
        <f t="shared" si="7"/>
        <v>-1.3904308008611672</v>
      </c>
      <c r="Q158" s="2">
        <f t="shared" si="8"/>
        <v>-0.20247241992265527</v>
      </c>
    </row>
    <row r="159" spans="1:17" x14ac:dyDescent="0.45">
      <c r="A159" t="s">
        <v>171</v>
      </c>
      <c r="B159">
        <v>57.7</v>
      </c>
      <c r="C159">
        <v>117</v>
      </c>
      <c r="D159">
        <v>1.5977999999999999E-2</v>
      </c>
      <c r="E159">
        <v>35</v>
      </c>
      <c r="F159">
        <v>1</v>
      </c>
      <c r="G159">
        <v>7.6500304043292999E-2</v>
      </c>
      <c r="H159">
        <v>589.83737394047705</v>
      </c>
      <c r="I159">
        <v>50.527859905816499</v>
      </c>
      <c r="K159">
        <v>7.9312235116958618E-2</v>
      </c>
      <c r="L159" s="2">
        <f t="shared" si="6"/>
        <v>3.6757122848482968</v>
      </c>
      <c r="N159">
        <v>50.186660766601563</v>
      </c>
      <c r="O159">
        <v>587.0338134765625</v>
      </c>
      <c r="P159" s="2">
        <f t="shared" si="7"/>
        <v>-0.67526932636950854</v>
      </c>
      <c r="Q159" s="2">
        <f t="shared" si="8"/>
        <v>-0.47531075306148191</v>
      </c>
    </row>
    <row r="160" spans="1:17" x14ac:dyDescent="0.45">
      <c r="A160" t="s">
        <v>172</v>
      </c>
      <c r="B160">
        <v>47.2</v>
      </c>
      <c r="C160">
        <v>111.7</v>
      </c>
      <c r="D160">
        <v>1.1946E-2</v>
      </c>
      <c r="E160">
        <v>35</v>
      </c>
      <c r="F160">
        <v>1</v>
      </c>
      <c r="G160">
        <v>6.4931854605674702E-2</v>
      </c>
      <c r="H160">
        <v>588.17944575559295</v>
      </c>
      <c r="I160">
        <v>37.234691124963803</v>
      </c>
      <c r="K160">
        <v>7.2067566215991974E-2</v>
      </c>
      <c r="L160" s="2">
        <f t="shared" si="6"/>
        <v>10.989539192514682</v>
      </c>
      <c r="N160">
        <v>37.092247009277337</v>
      </c>
      <c r="O160">
        <v>586.98388671875</v>
      </c>
      <c r="P160" s="2">
        <f t="shared" si="7"/>
        <v>-0.38255753272776599</v>
      </c>
      <c r="Q160" s="2">
        <f t="shared" si="8"/>
        <v>-0.20326433462956192</v>
      </c>
    </row>
    <row r="161" spans="1:17" x14ac:dyDescent="0.45">
      <c r="A161" t="s">
        <v>173</v>
      </c>
      <c r="B161">
        <v>64.5</v>
      </c>
      <c r="C161">
        <v>117.2</v>
      </c>
      <c r="D161">
        <v>1.4796999999999999E-2</v>
      </c>
      <c r="E161">
        <v>26.06</v>
      </c>
      <c r="F161">
        <v>1</v>
      </c>
      <c r="G161">
        <v>7.3633685708045904E-2</v>
      </c>
      <c r="H161">
        <v>536.26961013106097</v>
      </c>
      <c r="I161">
        <v>60.870751574346301</v>
      </c>
      <c r="K161">
        <v>7.7971652150154114E-2</v>
      </c>
      <c r="L161" s="2">
        <f t="shared" si="6"/>
        <v>5.8912797864119453</v>
      </c>
      <c r="N161">
        <v>60.720706939697273</v>
      </c>
      <c r="O161">
        <v>530.4830322265625</v>
      </c>
      <c r="P161" s="2">
        <f t="shared" si="7"/>
        <v>-0.24649709551518578</v>
      </c>
      <c r="Q161" s="2">
        <f t="shared" si="8"/>
        <v>-1.0790426671920246</v>
      </c>
    </row>
    <row r="162" spans="1:17" x14ac:dyDescent="0.45">
      <c r="A162" t="s">
        <v>174</v>
      </c>
      <c r="B162">
        <v>49.7</v>
      </c>
      <c r="C162">
        <v>114.6</v>
      </c>
      <c r="D162">
        <v>9.9340000000000001E-3</v>
      </c>
      <c r="E162">
        <v>25.66</v>
      </c>
      <c r="F162">
        <v>1</v>
      </c>
      <c r="G162">
        <v>5.2217494696378701E-2</v>
      </c>
      <c r="H162">
        <v>532.98730548560297</v>
      </c>
      <c r="I162">
        <v>40.856818288442803</v>
      </c>
      <c r="K162">
        <v>5.3827773779630661E-2</v>
      </c>
      <c r="L162" s="2">
        <f t="shared" si="6"/>
        <v>3.0837923048874911</v>
      </c>
      <c r="N162">
        <v>41.540599822998047</v>
      </c>
      <c r="O162">
        <v>531.80657958984375</v>
      </c>
      <c r="P162" s="2">
        <f t="shared" si="7"/>
        <v>1.6736044635875771</v>
      </c>
      <c r="Q162" s="2">
        <f t="shared" si="8"/>
        <v>-0.22152983450205599</v>
      </c>
    </row>
    <row r="163" spans="1:17" x14ac:dyDescent="0.45">
      <c r="A163" t="s">
        <v>175</v>
      </c>
      <c r="B163">
        <v>62.9</v>
      </c>
      <c r="C163">
        <v>125.1</v>
      </c>
      <c r="D163">
        <v>1.2134000000000001E-2</v>
      </c>
      <c r="E163">
        <v>23</v>
      </c>
      <c r="F163">
        <v>1.01</v>
      </c>
      <c r="G163">
        <v>5.5599745362997E-2</v>
      </c>
      <c r="H163">
        <v>522.96202818199004</v>
      </c>
      <c r="I163">
        <v>57.829912852619699</v>
      </c>
      <c r="K163">
        <v>6.1808902770280838E-2</v>
      </c>
      <c r="L163" s="2">
        <f t="shared" si="6"/>
        <v>11.167600439077164</v>
      </c>
      <c r="N163">
        <v>60.250133514404297</v>
      </c>
      <c r="O163">
        <v>513.10430908203125</v>
      </c>
      <c r="P163" s="2">
        <f t="shared" si="7"/>
        <v>4.1850671086995446</v>
      </c>
      <c r="Q163" s="2">
        <f t="shared" si="8"/>
        <v>-1.8849779847741284</v>
      </c>
    </row>
    <row r="164" spans="1:17" x14ac:dyDescent="0.45">
      <c r="A164" t="s">
        <v>176</v>
      </c>
      <c r="B164">
        <v>63.5</v>
      </c>
      <c r="C164">
        <v>130</v>
      </c>
      <c r="D164">
        <v>1.231E-2</v>
      </c>
      <c r="E164">
        <v>24.57</v>
      </c>
      <c r="F164">
        <v>1.35</v>
      </c>
      <c r="G164">
        <v>5.4357890039682298E-2</v>
      </c>
      <c r="H164">
        <v>590.92800241679902</v>
      </c>
      <c r="I164">
        <v>61.625433896555499</v>
      </c>
      <c r="K164">
        <v>6.1039034277200699E-2</v>
      </c>
      <c r="L164" s="2">
        <f t="shared" si="6"/>
        <v>12.291029384402224</v>
      </c>
      <c r="N164">
        <v>62.344146728515618</v>
      </c>
      <c r="O164">
        <v>579.06500244140625</v>
      </c>
      <c r="P164" s="2">
        <f t="shared" si="7"/>
        <v>1.1662600756151276</v>
      </c>
      <c r="Q164" s="2">
        <f t="shared" si="8"/>
        <v>-2.0075203623580262</v>
      </c>
    </row>
    <row r="165" spans="1:17" x14ac:dyDescent="0.45">
      <c r="A165" t="s">
        <v>177</v>
      </c>
      <c r="B165">
        <v>60.4</v>
      </c>
      <c r="C165">
        <v>130</v>
      </c>
      <c r="D165">
        <v>1.1311999999999999E-2</v>
      </c>
      <c r="E165">
        <v>24.23</v>
      </c>
      <c r="F165">
        <v>1</v>
      </c>
      <c r="G165">
        <v>4.9960087984800297E-2</v>
      </c>
      <c r="H165">
        <v>531.80829180160401</v>
      </c>
      <c r="I165">
        <v>52.530279057859303</v>
      </c>
      <c r="K165">
        <v>5.5021431297063828E-2</v>
      </c>
      <c r="L165" s="2">
        <f t="shared" si="6"/>
        <v>10.130773416178487</v>
      </c>
      <c r="N165">
        <v>54.981029510498047</v>
      </c>
      <c r="O165">
        <v>517.27490234375</v>
      </c>
      <c r="P165" s="2">
        <f t="shared" si="7"/>
        <v>4.6654053559079189</v>
      </c>
      <c r="Q165" s="2">
        <f t="shared" si="8"/>
        <v>-2.7328249073776814</v>
      </c>
    </row>
    <row r="166" spans="1:17" x14ac:dyDescent="0.45">
      <c r="A166" t="s">
        <v>178</v>
      </c>
      <c r="B166">
        <v>77</v>
      </c>
      <c r="C166">
        <v>122.4</v>
      </c>
      <c r="D166">
        <v>1.7330999999999999E-2</v>
      </c>
      <c r="E166">
        <v>24.48</v>
      </c>
      <c r="F166">
        <v>1</v>
      </c>
      <c r="G166">
        <v>8.0681428313255296E-2</v>
      </c>
      <c r="H166">
        <v>528.95109157616901</v>
      </c>
      <c r="I166">
        <v>76.914641132812505</v>
      </c>
      <c r="K166">
        <v>7.8664511442184448E-2</v>
      </c>
      <c r="L166" s="2">
        <f t="shared" si="6"/>
        <v>-2.4998527086554874</v>
      </c>
      <c r="N166">
        <v>77.614791870117188</v>
      </c>
      <c r="O166">
        <v>522.20379638671875</v>
      </c>
      <c r="P166" s="2">
        <f t="shared" si="7"/>
        <v>0.91029578633240371</v>
      </c>
      <c r="Q166" s="2">
        <f t="shared" si="8"/>
        <v>-1.2755990670790864</v>
      </c>
    </row>
    <row r="167" spans="1:17" x14ac:dyDescent="0.45">
      <c r="A167" t="s">
        <v>179</v>
      </c>
      <c r="B167">
        <v>84.6</v>
      </c>
      <c r="C167">
        <v>120.5</v>
      </c>
      <c r="D167">
        <v>2.2010999999999999E-2</v>
      </c>
      <c r="E167">
        <v>27.72</v>
      </c>
      <c r="F167">
        <v>1</v>
      </c>
      <c r="G167">
        <v>0.102899134159088</v>
      </c>
      <c r="H167">
        <v>547.53494512192799</v>
      </c>
      <c r="I167">
        <v>86.784175838512198</v>
      </c>
      <c r="K167">
        <v>0.10033074021339421</v>
      </c>
      <c r="L167" s="2">
        <f t="shared" si="6"/>
        <v>-2.4960306679771516</v>
      </c>
      <c r="N167">
        <v>86.925117492675781</v>
      </c>
      <c r="O167">
        <v>541.4656982421875</v>
      </c>
      <c r="P167" s="2">
        <f t="shared" si="7"/>
        <v>0.1624047849758318</v>
      </c>
      <c r="Q167" s="2">
        <f t="shared" si="8"/>
        <v>-1.1084674930453906</v>
      </c>
    </row>
    <row r="168" spans="1:17" x14ac:dyDescent="0.45">
      <c r="A168" t="s">
        <v>180</v>
      </c>
      <c r="B168">
        <v>89.9</v>
      </c>
      <c r="C168">
        <v>120.5</v>
      </c>
      <c r="D168">
        <v>2.6360000000000001E-2</v>
      </c>
      <c r="E168">
        <v>31.43</v>
      </c>
      <c r="F168">
        <v>1</v>
      </c>
      <c r="G168">
        <v>0.12098673731088599</v>
      </c>
      <c r="H168">
        <v>569.794945121929</v>
      </c>
      <c r="I168">
        <v>92.803256009914605</v>
      </c>
      <c r="K168">
        <v>0.1227805614471436</v>
      </c>
      <c r="L168" s="2">
        <f t="shared" si="6"/>
        <v>1.4826617992418574</v>
      </c>
      <c r="N168">
        <v>95.476631164550781</v>
      </c>
      <c r="O168">
        <v>565.02069091796875</v>
      </c>
      <c r="P168" s="2">
        <f t="shared" si="7"/>
        <v>2.880691119663481</v>
      </c>
      <c r="Q168" s="2">
        <f t="shared" si="8"/>
        <v>-0.83788988386666419</v>
      </c>
    </row>
    <row r="169" spans="1:17" x14ac:dyDescent="0.45">
      <c r="A169" t="s">
        <v>181</v>
      </c>
      <c r="B169">
        <v>57.1</v>
      </c>
      <c r="C169">
        <v>130</v>
      </c>
      <c r="D169">
        <v>1.124E-2</v>
      </c>
      <c r="E169">
        <v>26.86</v>
      </c>
      <c r="F169">
        <v>1</v>
      </c>
      <c r="G169">
        <v>4.8891652375459602E-2</v>
      </c>
      <c r="H169">
        <v>547.58829180160399</v>
      </c>
      <c r="I169">
        <v>47.739134715796503</v>
      </c>
      <c r="K169">
        <v>5.5366475135087967E-2</v>
      </c>
      <c r="L169" s="2">
        <f t="shared" si="6"/>
        <v>13.243207061003936</v>
      </c>
      <c r="N169">
        <v>49.933170318603523</v>
      </c>
      <c r="O169">
        <v>535.69195556640625</v>
      </c>
      <c r="P169" s="2">
        <f t="shared" si="7"/>
        <v>4.5958847303552632</v>
      </c>
      <c r="Q169" s="2">
        <f t="shared" si="8"/>
        <v>-2.1724964564267717</v>
      </c>
    </row>
    <row r="170" spans="1:17" x14ac:dyDescent="0.45">
      <c r="A170" t="s">
        <v>182</v>
      </c>
      <c r="B170">
        <v>52.7</v>
      </c>
      <c r="C170">
        <v>103.3</v>
      </c>
      <c r="D170">
        <v>1.142E-2</v>
      </c>
      <c r="E170">
        <v>25.31</v>
      </c>
      <c r="F170">
        <v>1</v>
      </c>
      <c r="G170">
        <v>9.1100461781024905E-2</v>
      </c>
      <c r="H170">
        <v>528.28580113025396</v>
      </c>
      <c r="I170">
        <v>47.161804421832301</v>
      </c>
      <c r="K170">
        <v>8.9894384145736694E-2</v>
      </c>
      <c r="L170" s="2">
        <f t="shared" si="6"/>
        <v>-1.3238984871308541</v>
      </c>
      <c r="N170">
        <v>47.268764495849609</v>
      </c>
      <c r="O170">
        <v>523.9315185546875</v>
      </c>
      <c r="P170" s="2">
        <f t="shared" si="7"/>
        <v>0.2267938543246118</v>
      </c>
      <c r="Q170" s="2">
        <f t="shared" si="8"/>
        <v>-0.82422858351494233</v>
      </c>
    </row>
    <row r="171" spans="1:17" x14ac:dyDescent="0.45">
      <c r="A171" t="s">
        <v>183</v>
      </c>
      <c r="B171">
        <v>78.900000000000006</v>
      </c>
      <c r="C171">
        <v>121.8</v>
      </c>
      <c r="D171">
        <v>2.1992999999999999E-2</v>
      </c>
      <c r="E171">
        <v>31.47</v>
      </c>
      <c r="F171">
        <v>1</v>
      </c>
      <c r="G171">
        <v>9.92265939712524E-2</v>
      </c>
      <c r="H171">
        <v>570.61191802262294</v>
      </c>
      <c r="I171">
        <v>78.0133216499041</v>
      </c>
      <c r="K171">
        <v>0.1050941720604897</v>
      </c>
      <c r="L171" s="2">
        <f t="shared" si="6"/>
        <v>5.9133120007497499</v>
      </c>
      <c r="N171">
        <v>79.266357421875</v>
      </c>
      <c r="O171">
        <v>566.0137939453125</v>
      </c>
      <c r="P171" s="2">
        <f t="shared" si="7"/>
        <v>1.6061817975064268</v>
      </c>
      <c r="Q171" s="2">
        <f t="shared" si="8"/>
        <v>-0.80582335070122812</v>
      </c>
    </row>
    <row r="172" spans="1:17" x14ac:dyDescent="0.45">
      <c r="A172" t="s">
        <v>184</v>
      </c>
      <c r="B172">
        <v>50.5</v>
      </c>
      <c r="C172">
        <v>118.8</v>
      </c>
      <c r="D172">
        <v>9.0340000000000004E-3</v>
      </c>
      <c r="E172">
        <v>22.81</v>
      </c>
      <c r="F172">
        <v>1</v>
      </c>
      <c r="G172">
        <v>4.4663108885288197E-2</v>
      </c>
      <c r="H172">
        <v>517.37513751496101</v>
      </c>
      <c r="I172">
        <v>42.008960058956397</v>
      </c>
      <c r="K172">
        <v>4.7594543546438217E-2</v>
      </c>
      <c r="L172" s="2">
        <f t="shared" si="6"/>
        <v>6.5634362101372217</v>
      </c>
      <c r="N172">
        <v>43.157211303710938</v>
      </c>
      <c r="O172">
        <v>508.95309448242188</v>
      </c>
      <c r="P172" s="2">
        <f t="shared" si="7"/>
        <v>2.7333484169640392</v>
      </c>
      <c r="Q172" s="2">
        <f t="shared" si="8"/>
        <v>-1.6278406946633757</v>
      </c>
    </row>
    <row r="173" spans="1:17" x14ac:dyDescent="0.45">
      <c r="A173" t="s">
        <v>185</v>
      </c>
      <c r="B173">
        <v>68.2</v>
      </c>
      <c r="C173">
        <v>115.9</v>
      </c>
      <c r="D173">
        <v>1.7336000000000001E-2</v>
      </c>
      <c r="E173">
        <v>28.4</v>
      </c>
      <c r="F173">
        <v>1</v>
      </c>
      <c r="G173">
        <v>8.7317682802677099E-2</v>
      </c>
      <c r="H173">
        <v>549.85329331630305</v>
      </c>
      <c r="I173">
        <v>65.774938066009497</v>
      </c>
      <c r="K173">
        <v>9.3436144292354584E-2</v>
      </c>
      <c r="L173" s="2">
        <f t="shared" si="6"/>
        <v>7.0071276438979178</v>
      </c>
      <c r="N173">
        <v>66.173446655273438</v>
      </c>
      <c r="O173">
        <v>546.57171630859375</v>
      </c>
      <c r="P173" s="2">
        <f t="shared" si="7"/>
        <v>0.60586691676396665</v>
      </c>
      <c r="Q173" s="2">
        <f t="shared" si="8"/>
        <v>-0.59680955767624644</v>
      </c>
    </row>
    <row r="174" spans="1:17" x14ac:dyDescent="0.45">
      <c r="A174" t="s">
        <v>186</v>
      </c>
      <c r="B174">
        <v>85</v>
      </c>
      <c r="C174">
        <v>121.7</v>
      </c>
      <c r="D174">
        <v>2.3654999999999999E-2</v>
      </c>
      <c r="E174">
        <v>30.46</v>
      </c>
      <c r="F174">
        <v>1</v>
      </c>
      <c r="G174">
        <v>0.107360139489173</v>
      </c>
      <c r="H174">
        <v>564.50619395049296</v>
      </c>
      <c r="I174">
        <v>86.099080497493006</v>
      </c>
      <c r="K174">
        <v>0.1096078678965569</v>
      </c>
      <c r="L174" s="2">
        <f t="shared" si="6"/>
        <v>2.0936340229052819</v>
      </c>
      <c r="N174">
        <v>87.462593078613281</v>
      </c>
      <c r="O174">
        <v>559.70611572265625</v>
      </c>
      <c r="P174" s="2">
        <f t="shared" si="7"/>
        <v>1.5836552181994299</v>
      </c>
      <c r="Q174" s="2">
        <f t="shared" si="8"/>
        <v>-0.85031453671838231</v>
      </c>
    </row>
    <row r="175" spans="1:17" x14ac:dyDescent="0.45">
      <c r="A175" t="s">
        <v>187</v>
      </c>
      <c r="B175">
        <v>76.900000000000006</v>
      </c>
      <c r="C175">
        <v>103.2</v>
      </c>
      <c r="D175">
        <v>2.5992000000000001E-2</v>
      </c>
      <c r="E175">
        <v>35</v>
      </c>
      <c r="F175">
        <v>1</v>
      </c>
      <c r="G175">
        <v>0.203281864523887</v>
      </c>
      <c r="H175">
        <v>586.41060155888704</v>
      </c>
      <c r="I175">
        <v>81.521325808227203</v>
      </c>
      <c r="K175">
        <v>0.19584089517593381</v>
      </c>
      <c r="L175" s="2">
        <f t="shared" si="6"/>
        <v>-3.6604196667424906</v>
      </c>
      <c r="N175">
        <v>81.111724853515625</v>
      </c>
      <c r="O175">
        <v>589.77728271484375</v>
      </c>
      <c r="P175" s="2">
        <f t="shared" si="7"/>
        <v>-0.50244638522579221</v>
      </c>
      <c r="Q175" s="2">
        <f t="shared" si="8"/>
        <v>0.5741166934920483</v>
      </c>
    </row>
    <row r="176" spans="1:17" x14ac:dyDescent="0.45">
      <c r="A176" t="s">
        <v>188</v>
      </c>
      <c r="B176">
        <v>58.3</v>
      </c>
      <c r="C176">
        <v>117.8</v>
      </c>
      <c r="D176">
        <v>1.6143000000000001E-2</v>
      </c>
      <c r="E176">
        <v>35</v>
      </c>
      <c r="F176">
        <v>1</v>
      </c>
      <c r="G176">
        <v>7.61074498295784E-2</v>
      </c>
      <c r="H176">
        <v>590.130864583635</v>
      </c>
      <c r="I176">
        <v>51.121330533680798</v>
      </c>
      <c r="K176">
        <v>7.8790105879306793E-2</v>
      </c>
      <c r="L176" s="2">
        <f t="shared" si="6"/>
        <v>3.5248271433814433</v>
      </c>
      <c r="N176">
        <v>50.858299255371087</v>
      </c>
      <c r="O176">
        <v>587.1795654296875</v>
      </c>
      <c r="P176" s="2">
        <f t="shared" si="7"/>
        <v>-0.51452353756014901</v>
      </c>
      <c r="Q176" s="2">
        <f t="shared" si="8"/>
        <v>-0.50010926915842335</v>
      </c>
    </row>
    <row r="177" spans="1:17" x14ac:dyDescent="0.45">
      <c r="A177" t="s">
        <v>189</v>
      </c>
      <c r="B177">
        <v>76</v>
      </c>
      <c r="C177">
        <v>117.2</v>
      </c>
      <c r="D177">
        <v>2.1654E-2</v>
      </c>
      <c r="E177">
        <v>31.4</v>
      </c>
      <c r="F177">
        <v>1</v>
      </c>
      <c r="G177">
        <v>0.10484106093645</v>
      </c>
      <c r="H177">
        <v>568.30961013106196</v>
      </c>
      <c r="I177">
        <v>75.670985721992196</v>
      </c>
      <c r="K177">
        <v>0.1059059351682663</v>
      </c>
      <c r="L177" s="2">
        <f t="shared" si="6"/>
        <v>1.0157034107674427</v>
      </c>
      <c r="N177">
        <v>75.248786926269531</v>
      </c>
      <c r="O177">
        <v>565.36761474609375</v>
      </c>
      <c r="P177" s="2">
        <f t="shared" si="7"/>
        <v>-0.5579401294887073</v>
      </c>
      <c r="Q177" s="2">
        <f t="shared" si="8"/>
        <v>-0.51767475554209508</v>
      </c>
    </row>
    <row r="178" spans="1:17" x14ac:dyDescent="0.45">
      <c r="A178" t="s">
        <v>190</v>
      </c>
      <c r="B178">
        <v>51.9</v>
      </c>
      <c r="C178">
        <v>120.6</v>
      </c>
      <c r="D178">
        <v>1.0173E-2</v>
      </c>
      <c r="E178">
        <v>25.52</v>
      </c>
      <c r="F178">
        <v>1</v>
      </c>
      <c r="G178">
        <v>4.8092480748891803E-2</v>
      </c>
      <c r="H178">
        <v>534.37800750426004</v>
      </c>
      <c r="I178">
        <v>43.274717466475202</v>
      </c>
      <c r="K178">
        <v>5.3208876401185989E-2</v>
      </c>
      <c r="L178" s="2">
        <f t="shared" si="6"/>
        <v>10.638660290802497</v>
      </c>
      <c r="N178">
        <v>44.527477264404297</v>
      </c>
      <c r="O178">
        <v>528.5859375</v>
      </c>
      <c r="P178" s="2">
        <f t="shared" si="7"/>
        <v>2.8949000046033899</v>
      </c>
      <c r="Q178" s="2">
        <f t="shared" si="8"/>
        <v>-1.0838900409302241</v>
      </c>
    </row>
    <row r="179" spans="1:17" x14ac:dyDescent="0.45">
      <c r="A179" t="s">
        <v>191</v>
      </c>
      <c r="B179">
        <v>43</v>
      </c>
      <c r="C179">
        <v>125.6</v>
      </c>
      <c r="D179">
        <v>5.8380000000000003E-3</v>
      </c>
      <c r="E179">
        <v>20</v>
      </c>
      <c r="F179">
        <v>1</v>
      </c>
      <c r="G179">
        <v>2.7242505922913499E-2</v>
      </c>
      <c r="H179">
        <v>503.70858487042301</v>
      </c>
      <c r="I179">
        <v>31.616812927591699</v>
      </c>
      <c r="K179">
        <v>2.9764298349618908E-2</v>
      </c>
      <c r="L179" s="2">
        <f t="shared" si="6"/>
        <v>9.2568298740254491</v>
      </c>
      <c r="N179">
        <v>30.594682693481449</v>
      </c>
      <c r="O179">
        <v>498.76226806640619</v>
      </c>
      <c r="P179" s="2">
        <f t="shared" si="7"/>
        <v>-3.2328692852474279</v>
      </c>
      <c r="Q179" s="2">
        <f t="shared" si="8"/>
        <v>-0.98197984957696072</v>
      </c>
    </row>
    <row r="180" spans="1:17" x14ac:dyDescent="0.45">
      <c r="A180" t="s">
        <v>192</v>
      </c>
      <c r="B180">
        <v>60.5</v>
      </c>
      <c r="C180">
        <v>121.8</v>
      </c>
      <c r="D180">
        <v>1.3402000000000001E-2</v>
      </c>
      <c r="E180">
        <v>27.09</v>
      </c>
      <c r="F180">
        <v>1.08</v>
      </c>
      <c r="G180">
        <v>6.1857663094997399E-2</v>
      </c>
      <c r="H180">
        <v>558.46467238627497</v>
      </c>
      <c r="I180">
        <v>55.111030853667003</v>
      </c>
      <c r="K180">
        <v>6.4229853451251984E-2</v>
      </c>
      <c r="L180" s="2">
        <f t="shared" si="6"/>
        <v>3.8349175147653289</v>
      </c>
      <c r="N180">
        <v>55.504592895507813</v>
      </c>
      <c r="O180">
        <v>551.60302734375</v>
      </c>
      <c r="P180" s="2">
        <f t="shared" si="7"/>
        <v>0.71412571266505753</v>
      </c>
      <c r="Q180" s="2">
        <f t="shared" si="8"/>
        <v>-1.2286623275928463</v>
      </c>
    </row>
    <row r="181" spans="1:17" x14ac:dyDescent="0.45">
      <c r="A181" t="s">
        <v>193</v>
      </c>
      <c r="B181">
        <v>45.8</v>
      </c>
      <c r="C181">
        <v>112</v>
      </c>
      <c r="D181">
        <v>8.0459999999999993E-3</v>
      </c>
      <c r="E181">
        <v>23.03</v>
      </c>
      <c r="F181">
        <v>1</v>
      </c>
      <c r="G181">
        <v>4.58689630031585E-2</v>
      </c>
      <c r="H181">
        <v>516.44088012203395</v>
      </c>
      <c r="I181">
        <v>36.131543781955003</v>
      </c>
      <c r="K181">
        <v>5.0237495452165597E-2</v>
      </c>
      <c r="L181" s="2">
        <f t="shared" si="6"/>
        <v>9.523939856033552</v>
      </c>
      <c r="N181">
        <v>36.326534271240227</v>
      </c>
      <c r="O181">
        <v>510.59402465820313</v>
      </c>
      <c r="P181" s="2">
        <f t="shared" si="7"/>
        <v>0.53966830330290982</v>
      </c>
      <c r="Q181" s="2">
        <f t="shared" si="8"/>
        <v>-1.1321441986639826</v>
      </c>
    </row>
    <row r="182" spans="1:17" x14ac:dyDescent="0.45">
      <c r="A182" t="s">
        <v>194</v>
      </c>
      <c r="B182">
        <v>44.9</v>
      </c>
      <c r="C182">
        <v>103.9</v>
      </c>
      <c r="D182">
        <v>8.8739999999999999E-3</v>
      </c>
      <c r="E182">
        <v>26.02</v>
      </c>
      <c r="F182">
        <v>1</v>
      </c>
      <c r="G182">
        <v>6.8335756659507696E-2</v>
      </c>
      <c r="H182">
        <v>532.63963820818697</v>
      </c>
      <c r="I182">
        <v>35.712204434571397</v>
      </c>
      <c r="K182">
        <v>7.107120007276535E-2</v>
      </c>
      <c r="L182" s="2">
        <f t="shared" si="6"/>
        <v>4.0029459641273561</v>
      </c>
      <c r="N182">
        <v>34.622795104980469</v>
      </c>
      <c r="O182">
        <v>528.98590087890625</v>
      </c>
      <c r="P182" s="2">
        <f t="shared" si="7"/>
        <v>-3.0505238946726005</v>
      </c>
      <c r="Q182" s="2">
        <f t="shared" si="8"/>
        <v>-0.6859679729379472</v>
      </c>
    </row>
    <row r="183" spans="1:17" x14ac:dyDescent="0.45">
      <c r="A183" t="s">
        <v>195</v>
      </c>
      <c r="B183">
        <v>74</v>
      </c>
      <c r="C183">
        <v>119.4</v>
      </c>
      <c r="D183">
        <v>2.0594999999999999E-2</v>
      </c>
      <c r="E183">
        <v>31.52</v>
      </c>
      <c r="F183">
        <v>1</v>
      </c>
      <c r="G183">
        <v>9.6020117402076693E-2</v>
      </c>
      <c r="H183">
        <v>569.87528836360195</v>
      </c>
      <c r="I183">
        <v>72.587469267748702</v>
      </c>
      <c r="K183">
        <v>9.6676193177700043E-2</v>
      </c>
      <c r="L183" s="2">
        <f t="shared" si="6"/>
        <v>0.683269082952777</v>
      </c>
      <c r="N183">
        <v>72.769767761230469</v>
      </c>
      <c r="O183">
        <v>564.0755615234375</v>
      </c>
      <c r="P183" s="2">
        <f t="shared" si="7"/>
        <v>0.25114320050108674</v>
      </c>
      <c r="Q183" s="2">
        <f t="shared" si="8"/>
        <v>-1.0177186059108441</v>
      </c>
    </row>
    <row r="184" spans="1:17" x14ac:dyDescent="0.45">
      <c r="A184" t="s">
        <v>196</v>
      </c>
      <c r="B184">
        <v>50.4</v>
      </c>
      <c r="C184">
        <v>102.9</v>
      </c>
      <c r="D184">
        <v>1.3904E-2</v>
      </c>
      <c r="E184">
        <v>35</v>
      </c>
      <c r="F184">
        <v>1</v>
      </c>
      <c r="G184">
        <v>0.11072178930044101</v>
      </c>
      <c r="H184">
        <v>586.36575205787005</v>
      </c>
      <c r="I184">
        <v>43.240958577269403</v>
      </c>
      <c r="K184">
        <v>0.10916471481323239</v>
      </c>
      <c r="L184" s="2">
        <f t="shared" si="6"/>
        <v>-1.4062945487482386</v>
      </c>
      <c r="N184">
        <v>44.045555114746087</v>
      </c>
      <c r="O184">
        <v>592.57391357421875</v>
      </c>
      <c r="P184" s="2">
        <f t="shared" si="7"/>
        <v>1.8607278005618455</v>
      </c>
      <c r="Q184" s="2">
        <f t="shared" si="8"/>
        <v>1.0587524074455146</v>
      </c>
    </row>
    <row r="185" spans="1:17" x14ac:dyDescent="0.45">
      <c r="A185" t="s">
        <v>197</v>
      </c>
      <c r="B185">
        <v>78</v>
      </c>
      <c r="C185">
        <v>130</v>
      </c>
      <c r="D185">
        <v>1.6531000000000001E-2</v>
      </c>
      <c r="E185">
        <v>24.8</v>
      </c>
      <c r="F185">
        <v>1</v>
      </c>
      <c r="G185">
        <v>7.2744943201541901E-2</v>
      </c>
      <c r="H185">
        <v>535.22829180160397</v>
      </c>
      <c r="I185">
        <v>74.731115137240806</v>
      </c>
      <c r="K185">
        <v>7.7185772359371185E-2</v>
      </c>
      <c r="L185" s="2">
        <f t="shared" si="6"/>
        <v>6.1046568495157709</v>
      </c>
      <c r="N185">
        <v>77.458335876464844</v>
      </c>
      <c r="O185">
        <v>525.35400390625</v>
      </c>
      <c r="P185" s="2">
        <f t="shared" si="7"/>
        <v>3.6493778183499628</v>
      </c>
      <c r="Q185" s="2">
        <f t="shared" si="8"/>
        <v>-1.844874055912973</v>
      </c>
    </row>
    <row r="186" spans="1:17" x14ac:dyDescent="0.45">
      <c r="A186" t="s">
        <v>198</v>
      </c>
      <c r="B186">
        <v>65.5</v>
      </c>
      <c r="C186">
        <v>102.8</v>
      </c>
      <c r="D186">
        <v>1.3925E-2</v>
      </c>
      <c r="E186">
        <v>21.38</v>
      </c>
      <c r="F186">
        <v>1</v>
      </c>
      <c r="G186">
        <v>0.115622729063034</v>
      </c>
      <c r="H186">
        <v>504.631051153957</v>
      </c>
      <c r="I186">
        <v>66.550581723852503</v>
      </c>
      <c r="K186">
        <v>0.11329649388790131</v>
      </c>
      <c r="L186" s="2">
        <f t="shared" si="6"/>
        <v>-2.011918585544286</v>
      </c>
      <c r="N186">
        <v>65.880691528320313</v>
      </c>
      <c r="O186">
        <v>500.26669311523438</v>
      </c>
      <c r="P186" s="2">
        <f t="shared" si="7"/>
        <v>-1.0065880390224955</v>
      </c>
      <c r="Q186" s="2">
        <f t="shared" si="8"/>
        <v>-0.86486117505898652</v>
      </c>
    </row>
    <row r="187" spans="1:17" x14ac:dyDescent="0.45">
      <c r="A187" t="s">
        <v>199</v>
      </c>
      <c r="B187">
        <v>50.1</v>
      </c>
      <c r="C187">
        <v>111.1</v>
      </c>
      <c r="D187">
        <v>8.4600000000000005E-3</v>
      </c>
      <c r="E187">
        <v>20</v>
      </c>
      <c r="F187">
        <v>1</v>
      </c>
      <c r="G187">
        <v>5.0495032221078803E-2</v>
      </c>
      <c r="H187">
        <v>498.02076010135602</v>
      </c>
      <c r="I187">
        <v>43.072985776531297</v>
      </c>
      <c r="K187">
        <v>5.0949741154909127E-2</v>
      </c>
      <c r="L187" s="2">
        <f t="shared" si="6"/>
        <v>0.90050231444452589</v>
      </c>
      <c r="N187">
        <v>43.701717376708977</v>
      </c>
      <c r="O187">
        <v>486.13394165039063</v>
      </c>
      <c r="P187" s="2">
        <f t="shared" si="7"/>
        <v>1.4596889183388122</v>
      </c>
      <c r="Q187" s="2">
        <f t="shared" si="8"/>
        <v>-2.3868118366282993</v>
      </c>
    </row>
    <row r="188" spans="1:17" x14ac:dyDescent="0.45">
      <c r="A188" t="s">
        <v>200</v>
      </c>
      <c r="B188">
        <v>65.8</v>
      </c>
      <c r="C188">
        <v>130</v>
      </c>
      <c r="D188">
        <v>1.6990000000000002E-2</v>
      </c>
      <c r="E188">
        <v>34.65</v>
      </c>
      <c r="F188">
        <v>1.31</v>
      </c>
      <c r="G188">
        <v>7.1475245058536502E-2</v>
      </c>
      <c r="H188">
        <v>663.63340691792098</v>
      </c>
      <c r="I188">
        <v>60.866182217329197</v>
      </c>
      <c r="K188">
        <v>6.7972667515277863E-2</v>
      </c>
      <c r="L188" s="2">
        <f t="shared" si="6"/>
        <v>-4.900406483937358</v>
      </c>
      <c r="N188">
        <v>63.701686859130859</v>
      </c>
      <c r="O188">
        <v>657.3873291015625</v>
      </c>
      <c r="P188" s="2">
        <f t="shared" si="7"/>
        <v>4.6585879687298126</v>
      </c>
      <c r="Q188" s="2">
        <f t="shared" si="8"/>
        <v>-0.94119400127350761</v>
      </c>
    </row>
    <row r="189" spans="1:17" x14ac:dyDescent="0.45">
      <c r="A189" t="s">
        <v>201</v>
      </c>
      <c r="B189">
        <v>89.9</v>
      </c>
      <c r="C189">
        <v>117.8</v>
      </c>
      <c r="D189">
        <v>2.1257000000000002E-2</v>
      </c>
      <c r="E189">
        <v>23.37</v>
      </c>
      <c r="F189">
        <v>1.05</v>
      </c>
      <c r="G189">
        <v>0.106390580534935</v>
      </c>
      <c r="H189">
        <v>528.04015183693605</v>
      </c>
      <c r="I189">
        <v>97.726342799485295</v>
      </c>
      <c r="K189">
        <v>0.10267792642116549</v>
      </c>
      <c r="L189" s="2">
        <f t="shared" si="6"/>
        <v>-3.4896455072452546</v>
      </c>
      <c r="N189">
        <v>96.613250732421875</v>
      </c>
      <c r="O189">
        <v>513.81524658203125</v>
      </c>
      <c r="P189" s="2">
        <f t="shared" si="7"/>
        <v>-1.1389887671814953</v>
      </c>
      <c r="Q189" s="2">
        <f t="shared" si="8"/>
        <v>-2.6939059852587852</v>
      </c>
    </row>
    <row r="190" spans="1:17" x14ac:dyDescent="0.45">
      <c r="A190" t="s">
        <v>202</v>
      </c>
      <c r="B190">
        <v>75.900000000000006</v>
      </c>
      <c r="C190">
        <v>111</v>
      </c>
      <c r="D190">
        <v>2.1937999999999999E-2</v>
      </c>
      <c r="E190">
        <v>30.45</v>
      </c>
      <c r="F190">
        <v>1</v>
      </c>
      <c r="G190">
        <v>0.12397825717926</v>
      </c>
      <c r="H190">
        <v>560.69484915657301</v>
      </c>
      <c r="I190">
        <v>76.964190708344503</v>
      </c>
      <c r="K190">
        <v>0.12615220248699191</v>
      </c>
      <c r="L190" s="2">
        <f t="shared" si="6"/>
        <v>1.7534891659176992</v>
      </c>
      <c r="N190">
        <v>74.827186584472656</v>
      </c>
      <c r="O190">
        <v>557.9827880859375</v>
      </c>
      <c r="P190" s="2">
        <f t="shared" si="7"/>
        <v>-2.7766213146708916</v>
      </c>
      <c r="Q190" s="2">
        <f t="shared" si="8"/>
        <v>-0.48369644820442709</v>
      </c>
    </row>
    <row r="191" spans="1:17" x14ac:dyDescent="0.45">
      <c r="A191" t="s">
        <v>203</v>
      </c>
      <c r="B191">
        <v>70.3</v>
      </c>
      <c r="C191">
        <v>113.3</v>
      </c>
      <c r="D191">
        <v>1.3974E-2</v>
      </c>
      <c r="E191">
        <v>20</v>
      </c>
      <c r="F191">
        <v>1</v>
      </c>
      <c r="G191">
        <v>7.8666858375072396E-2</v>
      </c>
      <c r="H191">
        <v>498.630256136301</v>
      </c>
      <c r="I191">
        <v>71.204064633439003</v>
      </c>
      <c r="K191">
        <v>7.2775848209857941E-2</v>
      </c>
      <c r="L191" s="2">
        <f t="shared" si="6"/>
        <v>-7.4885539945258222</v>
      </c>
      <c r="N191">
        <v>69.296173095703125</v>
      </c>
      <c r="O191">
        <v>489.12362670898438</v>
      </c>
      <c r="P191" s="2">
        <f t="shared" si="7"/>
        <v>-2.6794699818862453</v>
      </c>
      <c r="Q191" s="2">
        <f t="shared" si="8"/>
        <v>-1.9065488526468357</v>
      </c>
    </row>
    <row r="192" spans="1:17" x14ac:dyDescent="0.45">
      <c r="A192" t="s">
        <v>204</v>
      </c>
      <c r="B192">
        <v>74.400000000000006</v>
      </c>
      <c r="C192">
        <v>113.9</v>
      </c>
      <c r="D192">
        <v>1.8020999999999999E-2</v>
      </c>
      <c r="E192">
        <v>25.21</v>
      </c>
      <c r="F192">
        <v>1</v>
      </c>
      <c r="G192">
        <v>9.6532322466373402E-2</v>
      </c>
      <c r="H192">
        <v>530.06999718136399</v>
      </c>
      <c r="I192">
        <v>75.026094915212795</v>
      </c>
      <c r="K192">
        <v>9.202197939157486E-2</v>
      </c>
      <c r="L192" s="2">
        <f t="shared" si="6"/>
        <v>-4.672365648686946</v>
      </c>
      <c r="N192">
        <v>75.58306884765625</v>
      </c>
      <c r="O192">
        <v>527.260009765625</v>
      </c>
      <c r="P192" s="2">
        <f t="shared" si="7"/>
        <v>0.74237361423767678</v>
      </c>
      <c r="Q192" s="2">
        <f t="shared" si="8"/>
        <v>-0.53011629231630464</v>
      </c>
    </row>
    <row r="193" spans="1:17" x14ac:dyDescent="0.45">
      <c r="A193" t="s">
        <v>205</v>
      </c>
      <c r="B193">
        <v>47.2</v>
      </c>
      <c r="C193">
        <v>114.9</v>
      </c>
      <c r="D193">
        <v>7.4869999999999997E-3</v>
      </c>
      <c r="E193">
        <v>20</v>
      </c>
      <c r="F193">
        <v>1</v>
      </c>
      <c r="G193">
        <v>4.0621731430292102E-2</v>
      </c>
      <c r="H193">
        <v>499.12299333356401</v>
      </c>
      <c r="I193">
        <v>38.449693319554903</v>
      </c>
      <c r="K193">
        <v>4.1309256106615073E-2</v>
      </c>
      <c r="L193" s="2">
        <f t="shared" si="6"/>
        <v>1.6925046080391259</v>
      </c>
      <c r="N193">
        <v>38.538406372070313</v>
      </c>
      <c r="O193">
        <v>489.07659912109381</v>
      </c>
      <c r="P193" s="2">
        <f t="shared" si="7"/>
        <v>0.23072499376813266</v>
      </c>
      <c r="Q193" s="2">
        <f t="shared" si="8"/>
        <v>-2.0128093369075057</v>
      </c>
    </row>
    <row r="194" spans="1:17" x14ac:dyDescent="0.45">
      <c r="A194" t="s">
        <v>206</v>
      </c>
      <c r="B194">
        <v>57.1</v>
      </c>
      <c r="C194">
        <v>105.8</v>
      </c>
      <c r="D194">
        <v>1.5191E-2</v>
      </c>
      <c r="E194">
        <v>31.09</v>
      </c>
      <c r="F194">
        <v>1</v>
      </c>
      <c r="G194">
        <v>0.104514062404632</v>
      </c>
      <c r="H194">
        <v>563.38718872675895</v>
      </c>
      <c r="I194">
        <v>52.011681979194201</v>
      </c>
      <c r="K194">
        <v>0.1015220209956169</v>
      </c>
      <c r="L194" s="2">
        <f t="shared" si="6"/>
        <v>-2.8628122763339214</v>
      </c>
      <c r="N194">
        <v>52.645130157470703</v>
      </c>
      <c r="O194">
        <v>564.42755126953125</v>
      </c>
      <c r="P194" s="2">
        <f t="shared" si="7"/>
        <v>1.2178959690822833</v>
      </c>
      <c r="Q194" s="2">
        <f t="shared" si="8"/>
        <v>0.18466208738673903</v>
      </c>
    </row>
    <row r="195" spans="1:17" x14ac:dyDescent="0.45">
      <c r="A195" t="s">
        <v>207</v>
      </c>
      <c r="B195">
        <v>79.400000000000006</v>
      </c>
      <c r="C195">
        <v>114.5</v>
      </c>
      <c r="D195">
        <v>2.0656000000000001E-2</v>
      </c>
      <c r="E195">
        <v>26.94</v>
      </c>
      <c r="F195">
        <v>1</v>
      </c>
      <c r="G195">
        <v>0.10813437402248301</v>
      </c>
      <c r="H195">
        <v>540.63575268933005</v>
      </c>
      <c r="I195">
        <v>81.314219415325795</v>
      </c>
      <c r="K195">
        <v>0.10162770748138431</v>
      </c>
      <c r="L195" s="2">
        <f t="shared" si="6"/>
        <v>-6.017204612240926</v>
      </c>
      <c r="N195">
        <v>80.0985107421875</v>
      </c>
      <c r="O195">
        <v>532.4368896484375</v>
      </c>
      <c r="P195" s="2">
        <f t="shared" si="7"/>
        <v>-1.4950751318522311</v>
      </c>
      <c r="Q195" s="2">
        <f t="shared" si="8"/>
        <v>-1.5165225385313958</v>
      </c>
    </row>
    <row r="196" spans="1:17" x14ac:dyDescent="0.45">
      <c r="A196" t="s">
        <v>208</v>
      </c>
      <c r="B196">
        <v>58.8</v>
      </c>
      <c r="C196">
        <v>109.1</v>
      </c>
      <c r="D196">
        <v>1.1011999999999999E-2</v>
      </c>
      <c r="E196">
        <v>20</v>
      </c>
      <c r="F196">
        <v>1</v>
      </c>
      <c r="G196">
        <v>6.9937482476234394E-2</v>
      </c>
      <c r="H196">
        <v>497.53092706684998</v>
      </c>
      <c r="I196">
        <v>56.026597600392499</v>
      </c>
      <c r="K196">
        <v>6.6350363194942474E-2</v>
      </c>
      <c r="L196" s="2">
        <f t="shared" si="6"/>
        <v>-5.1290368973616784</v>
      </c>
      <c r="N196">
        <v>55.446292877197273</v>
      </c>
      <c r="O196">
        <v>484.58343505859381</v>
      </c>
      <c r="P196" s="2">
        <f t="shared" si="7"/>
        <v>-1.0357664895773733</v>
      </c>
      <c r="Q196" s="2">
        <f t="shared" si="8"/>
        <v>-2.6023491815045512</v>
      </c>
    </row>
    <row r="197" spans="1:17" x14ac:dyDescent="0.45">
      <c r="A197" t="s">
        <v>209</v>
      </c>
      <c r="B197">
        <v>88.8</v>
      </c>
      <c r="C197">
        <v>123.5</v>
      </c>
      <c r="D197">
        <v>2.7607E-2</v>
      </c>
      <c r="E197">
        <v>35</v>
      </c>
      <c r="F197">
        <v>1</v>
      </c>
      <c r="G197">
        <v>0.120436899363994</v>
      </c>
      <c r="H197">
        <v>592.60500734570303</v>
      </c>
      <c r="I197">
        <v>88.900968955956699</v>
      </c>
      <c r="K197">
        <v>0.12989743053913119</v>
      </c>
      <c r="L197" s="2">
        <f t="shared" si="6"/>
        <v>7.8551766319928396</v>
      </c>
      <c r="N197">
        <v>92.461318969726563</v>
      </c>
      <c r="O197">
        <v>591.4576416015625</v>
      </c>
      <c r="P197" s="2">
        <f t="shared" si="7"/>
        <v>4.0048495034218705</v>
      </c>
      <c r="Q197" s="2">
        <f t="shared" si="8"/>
        <v>-0.19361391313239446</v>
      </c>
    </row>
    <row r="198" spans="1:17" x14ac:dyDescent="0.45">
      <c r="A198" t="s">
        <v>210</v>
      </c>
      <c r="B198">
        <v>63.2</v>
      </c>
      <c r="C198">
        <v>110.7</v>
      </c>
      <c r="D198">
        <v>1.5761000000000001E-2</v>
      </c>
      <c r="E198">
        <v>27.79</v>
      </c>
      <c r="F198">
        <v>1</v>
      </c>
      <c r="G198">
        <v>9.0944752097129794E-2</v>
      </c>
      <c r="H198">
        <v>544.65802696960202</v>
      </c>
      <c r="I198">
        <v>60.393124356015299</v>
      </c>
      <c r="K198">
        <v>9.1494731605052948E-2</v>
      </c>
      <c r="L198" s="2">
        <f t="shared" si="6"/>
        <v>0.60474023540772426</v>
      </c>
      <c r="N198">
        <v>60.707218170166023</v>
      </c>
      <c r="O198">
        <v>544.21575927734375</v>
      </c>
      <c r="P198" s="2">
        <f t="shared" si="7"/>
        <v>0.52008207473942192</v>
      </c>
      <c r="Q198" s="2">
        <f t="shared" si="8"/>
        <v>-8.1200986740061945E-2</v>
      </c>
    </row>
    <row r="199" spans="1:17" x14ac:dyDescent="0.45">
      <c r="A199" t="s">
        <v>211</v>
      </c>
      <c r="B199">
        <v>70.5</v>
      </c>
      <c r="C199">
        <v>117.3</v>
      </c>
      <c r="D199">
        <v>1.7853000000000001E-2</v>
      </c>
      <c r="E199">
        <v>28.16</v>
      </c>
      <c r="F199">
        <v>1</v>
      </c>
      <c r="G199">
        <v>8.7663486599922097E-2</v>
      </c>
      <c r="H199">
        <v>548.90601050663395</v>
      </c>
      <c r="I199">
        <v>68.208338034673304</v>
      </c>
      <c r="K199">
        <v>9.2780306935310364E-2</v>
      </c>
      <c r="L199" s="2">
        <f t="shared" si="6"/>
        <v>5.8368889190323552</v>
      </c>
      <c r="N199">
        <v>69.282928466796875</v>
      </c>
      <c r="O199">
        <v>545.510009765625</v>
      </c>
      <c r="P199" s="2">
        <f t="shared" si="7"/>
        <v>1.5754531822448299</v>
      </c>
      <c r="Q199" s="2">
        <f t="shared" si="8"/>
        <v>-0.61868528964994896</v>
      </c>
    </row>
    <row r="200" spans="1:17" x14ac:dyDescent="0.45">
      <c r="A200" t="s">
        <v>212</v>
      </c>
      <c r="B200">
        <v>59.4</v>
      </c>
      <c r="C200">
        <v>114.6</v>
      </c>
      <c r="D200">
        <v>1.2685E-2</v>
      </c>
      <c r="E200">
        <v>24.45</v>
      </c>
      <c r="F200">
        <v>1</v>
      </c>
      <c r="G200">
        <v>6.7152857780456501E-2</v>
      </c>
      <c r="H200">
        <v>525.72730548560196</v>
      </c>
      <c r="I200">
        <v>54.6588838809744</v>
      </c>
      <c r="K200">
        <v>6.9511272013187408E-2</v>
      </c>
      <c r="L200" s="2">
        <f t="shared" si="6"/>
        <v>3.5120087375004854</v>
      </c>
      <c r="N200">
        <v>55.216533660888672</v>
      </c>
      <c r="O200">
        <v>520.7742919921875</v>
      </c>
      <c r="P200" s="2">
        <f t="shared" si="7"/>
        <v>1.0202363098533329</v>
      </c>
      <c r="Q200" s="2">
        <f t="shared" si="8"/>
        <v>-0.94212597324376712</v>
      </c>
    </row>
    <row r="201" spans="1:17" x14ac:dyDescent="0.45">
      <c r="A201" t="s">
        <v>213</v>
      </c>
      <c r="B201">
        <v>48.2</v>
      </c>
      <c r="C201">
        <v>114.6</v>
      </c>
      <c r="D201">
        <v>9.6769999999999998E-3</v>
      </c>
      <c r="E201">
        <v>26.51</v>
      </c>
      <c r="F201">
        <v>1</v>
      </c>
      <c r="G201">
        <v>5.0646431744098601E-2</v>
      </c>
      <c r="H201">
        <v>538.08730548560197</v>
      </c>
      <c r="I201">
        <v>38.915674700724097</v>
      </c>
      <c r="K201">
        <v>5.2262730896472931E-2</v>
      </c>
      <c r="L201" s="2">
        <f t="shared" ref="L201:L264" si="9">(K201-G201)/G201*100</f>
        <v>3.1913386525254341</v>
      </c>
      <c r="N201">
        <v>39.311092376708977</v>
      </c>
      <c r="O201">
        <v>535.8431396484375</v>
      </c>
      <c r="P201" s="2">
        <f t="shared" ref="P201:P257" si="10">(N201-I201)/I201*100</f>
        <v>1.0160884502858771</v>
      </c>
      <c r="Q201" s="2">
        <f t="shared" ref="Q201:Q257" si="11">(O201-H201)/H201*100</f>
        <v>-0.41706351632644539</v>
      </c>
    </row>
    <row r="202" spans="1:17" x14ac:dyDescent="0.45">
      <c r="A202" t="s">
        <v>214</v>
      </c>
      <c r="B202">
        <v>73.8</v>
      </c>
      <c r="C202">
        <v>106.8</v>
      </c>
      <c r="D202">
        <v>2.1859E-2</v>
      </c>
      <c r="E202">
        <v>30.97</v>
      </c>
      <c r="F202">
        <v>1</v>
      </c>
      <c r="G202">
        <v>0.14385522902011799</v>
      </c>
      <c r="H202">
        <v>562.85862969411198</v>
      </c>
      <c r="I202">
        <v>75.388871961821906</v>
      </c>
      <c r="K202">
        <v>0.14727200567722321</v>
      </c>
      <c r="L202" s="2">
        <f t="shared" si="9"/>
        <v>2.3751494334817549</v>
      </c>
      <c r="N202">
        <v>74.315345764160156</v>
      </c>
      <c r="O202">
        <v>559.72601318359375</v>
      </c>
      <c r="P202" s="2">
        <f t="shared" si="10"/>
        <v>-1.4239849592197105</v>
      </c>
      <c r="Q202" s="2">
        <f t="shared" si="11"/>
        <v>-0.55655476264451464</v>
      </c>
    </row>
    <row r="203" spans="1:17" x14ac:dyDescent="0.45">
      <c r="A203" t="s">
        <v>215</v>
      </c>
      <c r="B203">
        <v>68.2</v>
      </c>
      <c r="C203">
        <v>104.4</v>
      </c>
      <c r="D203">
        <v>1.7826000000000002E-2</v>
      </c>
      <c r="E203">
        <v>27.3</v>
      </c>
      <c r="F203">
        <v>1</v>
      </c>
      <c r="G203">
        <v>0.13314497470855699</v>
      </c>
      <c r="H203">
        <v>540.40132075666395</v>
      </c>
      <c r="I203">
        <v>68.205454437487106</v>
      </c>
      <c r="K203">
        <v>0.1255834102630615</v>
      </c>
      <c r="L203" s="2">
        <f t="shared" si="9"/>
        <v>-5.6791962761246646</v>
      </c>
      <c r="N203">
        <v>67.516494750976563</v>
      </c>
      <c r="O203">
        <v>540.312255859375</v>
      </c>
      <c r="P203" s="2">
        <f t="shared" si="10"/>
        <v>-1.0101240321505385</v>
      </c>
      <c r="Q203" s="2">
        <f t="shared" si="11"/>
        <v>-1.6481250853392016E-2</v>
      </c>
    </row>
    <row r="204" spans="1:17" x14ac:dyDescent="0.45">
      <c r="A204" t="s">
        <v>216</v>
      </c>
      <c r="B204">
        <v>54.2</v>
      </c>
      <c r="C204">
        <v>110.1</v>
      </c>
      <c r="D204">
        <v>1.1691E-2</v>
      </c>
      <c r="E204">
        <v>25.54</v>
      </c>
      <c r="F204">
        <v>1</v>
      </c>
      <c r="G204">
        <v>6.9545671343803406E-2</v>
      </c>
      <c r="H204">
        <v>531.00843967725905</v>
      </c>
      <c r="I204">
        <v>47.892001265667403</v>
      </c>
      <c r="K204">
        <v>7.4580438435077667E-2</v>
      </c>
      <c r="L204" s="2">
        <f t="shared" si="9"/>
        <v>7.239511811431905</v>
      </c>
      <c r="N204">
        <v>47.541980743408203</v>
      </c>
      <c r="O204">
        <v>528.56121826171875</v>
      </c>
      <c r="P204" s="2">
        <f t="shared" si="10"/>
        <v>-0.73085382320433789</v>
      </c>
      <c r="Q204" s="2">
        <f t="shared" si="11"/>
        <v>-0.46086299815266435</v>
      </c>
    </row>
    <row r="205" spans="1:17" x14ac:dyDescent="0.45">
      <c r="A205" t="s">
        <v>217</v>
      </c>
      <c r="B205">
        <v>47.4</v>
      </c>
      <c r="C205">
        <v>126.3</v>
      </c>
      <c r="D205">
        <v>1.0683E-2</v>
      </c>
      <c r="E205">
        <v>35</v>
      </c>
      <c r="F205">
        <v>1</v>
      </c>
      <c r="G205">
        <v>4.5577831566333701E-2</v>
      </c>
      <c r="H205">
        <v>594.10261643193201</v>
      </c>
      <c r="I205">
        <v>35.058353715842898</v>
      </c>
      <c r="K205">
        <v>5.4860778152942657E-2</v>
      </c>
      <c r="L205" s="2">
        <f t="shared" si="9"/>
        <v>20.367240536879454</v>
      </c>
      <c r="N205">
        <v>33.841785430908203</v>
      </c>
      <c r="O205">
        <v>593.8416748046875</v>
      </c>
      <c r="P205" s="2">
        <f t="shared" si="10"/>
        <v>-3.4701238249670774</v>
      </c>
      <c r="Q205" s="2">
        <f t="shared" si="11"/>
        <v>-4.3921979137488409E-2</v>
      </c>
    </row>
    <row r="206" spans="1:17" x14ac:dyDescent="0.45">
      <c r="A206" t="s">
        <v>218</v>
      </c>
      <c r="B206">
        <v>69.5</v>
      </c>
      <c r="C206">
        <v>111.9</v>
      </c>
      <c r="D206">
        <v>1.7242E-2</v>
      </c>
      <c r="E206">
        <v>26.47</v>
      </c>
      <c r="F206">
        <v>1</v>
      </c>
      <c r="G206">
        <v>9.6687652170658098E-2</v>
      </c>
      <c r="H206">
        <v>537.05357910599605</v>
      </c>
      <c r="I206">
        <v>68.900938139365493</v>
      </c>
      <c r="K206">
        <v>9.5991916954517365E-2</v>
      </c>
      <c r="L206" s="2">
        <f t="shared" si="9"/>
        <v>-0.71956987321682908</v>
      </c>
      <c r="N206">
        <v>69.313453674316406</v>
      </c>
      <c r="O206">
        <v>536.815185546875</v>
      </c>
      <c r="P206" s="2">
        <f t="shared" si="10"/>
        <v>0.5987081541858259</v>
      </c>
      <c r="Q206" s="2">
        <f t="shared" si="11"/>
        <v>-4.438915750601477E-2</v>
      </c>
    </row>
    <row r="207" spans="1:17" x14ac:dyDescent="0.45">
      <c r="A207" t="s">
        <v>219</v>
      </c>
      <c r="B207">
        <v>83.1</v>
      </c>
      <c r="C207">
        <v>111.8</v>
      </c>
      <c r="D207">
        <v>2.7687E-2</v>
      </c>
      <c r="E207">
        <v>35</v>
      </c>
      <c r="F207">
        <v>1</v>
      </c>
      <c r="G207">
        <v>0.15011635422706601</v>
      </c>
      <c r="H207">
        <v>588.20643448158501</v>
      </c>
      <c r="I207">
        <v>85.550468326765696</v>
      </c>
      <c r="K207">
        <v>0.1554914116859436</v>
      </c>
      <c r="L207" s="2">
        <f t="shared" si="9"/>
        <v>3.5805941907883527</v>
      </c>
      <c r="N207">
        <v>86.138267517089844</v>
      </c>
      <c r="O207">
        <v>588.82720947265625</v>
      </c>
      <c r="P207" s="2">
        <f t="shared" si="10"/>
        <v>0.68707886914073912</v>
      </c>
      <c r="Q207" s="2">
        <f t="shared" si="11"/>
        <v>0.10553692626949294</v>
      </c>
    </row>
    <row r="208" spans="1:17" x14ac:dyDescent="0.45">
      <c r="A208" t="s">
        <v>224</v>
      </c>
      <c r="B208">
        <v>85.4</v>
      </c>
      <c r="C208">
        <v>113.2</v>
      </c>
      <c r="D208">
        <v>2.3484999999999999E-2</v>
      </c>
      <c r="E208">
        <v>27.75</v>
      </c>
      <c r="F208">
        <v>1</v>
      </c>
      <c r="G208">
        <v>0.12633846700191401</v>
      </c>
      <c r="H208">
        <v>545.10087545102397</v>
      </c>
      <c r="I208">
        <v>90.171917674675896</v>
      </c>
      <c r="K208">
        <v>0.1193489208817482</v>
      </c>
      <c r="L208" s="2">
        <f t="shared" si="9"/>
        <v>-5.5323974447623439</v>
      </c>
      <c r="N208">
        <v>88.829048156738281</v>
      </c>
      <c r="O208">
        <v>539.19775390625</v>
      </c>
      <c r="P208" s="2">
        <f t="shared" si="10"/>
        <v>-1.4892325155847823</v>
      </c>
      <c r="Q208" s="2">
        <f t="shared" si="11"/>
        <v>-1.0829411234919852</v>
      </c>
    </row>
    <row r="209" spans="1:17" x14ac:dyDescent="0.45">
      <c r="A209" t="s">
        <v>225</v>
      </c>
      <c r="B209">
        <v>44.3</v>
      </c>
      <c r="C209">
        <v>130</v>
      </c>
      <c r="D209">
        <v>8.1449999999999995E-3</v>
      </c>
      <c r="E209">
        <v>30.55</v>
      </c>
      <c r="F209">
        <v>1</v>
      </c>
      <c r="G209">
        <v>3.47861312329769E-2</v>
      </c>
      <c r="H209">
        <v>569.72829180160397</v>
      </c>
      <c r="I209">
        <v>30.490820733813202</v>
      </c>
      <c r="K209">
        <v>4.0171101689338677E-2</v>
      </c>
      <c r="L209" s="2">
        <f t="shared" si="9"/>
        <v>15.480222334287291</v>
      </c>
      <c r="N209">
        <v>29.494752883911129</v>
      </c>
      <c r="O209">
        <v>564.03106689453125</v>
      </c>
      <c r="P209" s="2">
        <f t="shared" si="10"/>
        <v>-3.2667793976351369</v>
      </c>
      <c r="Q209" s="2">
        <f t="shared" si="11"/>
        <v>-0.99998981778785578</v>
      </c>
    </row>
    <row r="210" spans="1:17" x14ac:dyDescent="0.45">
      <c r="A210" t="s">
        <v>226</v>
      </c>
      <c r="B210">
        <v>59.4</v>
      </c>
      <c r="C210">
        <v>121.1</v>
      </c>
      <c r="D210">
        <v>1.3587999999999999E-2</v>
      </c>
      <c r="E210">
        <v>28.33</v>
      </c>
      <c r="F210">
        <v>1</v>
      </c>
      <c r="G210">
        <v>6.2835939228534698E-2</v>
      </c>
      <c r="H210">
        <v>551.45658613062005</v>
      </c>
      <c r="I210">
        <v>52.8339655848972</v>
      </c>
      <c r="K210">
        <v>6.648360937833786E-2</v>
      </c>
      <c r="L210" s="2">
        <f t="shared" si="9"/>
        <v>5.8050698288069871</v>
      </c>
      <c r="N210">
        <v>53.146308898925781</v>
      </c>
      <c r="O210">
        <v>544.138671875</v>
      </c>
      <c r="P210" s="2">
        <f t="shared" si="10"/>
        <v>0.59117900875088913</v>
      </c>
      <c r="Q210" s="2">
        <f t="shared" si="11"/>
        <v>-1.3270154785832415</v>
      </c>
    </row>
    <row r="211" spans="1:17" x14ac:dyDescent="0.45">
      <c r="A211" t="s">
        <v>227</v>
      </c>
      <c r="B211">
        <v>43.8</v>
      </c>
      <c r="C211">
        <v>125.9</v>
      </c>
      <c r="D211">
        <v>6.025E-3</v>
      </c>
      <c r="E211">
        <v>20</v>
      </c>
      <c r="F211">
        <v>1</v>
      </c>
      <c r="G211">
        <v>2.80474573373794E-2</v>
      </c>
      <c r="H211">
        <v>503.87578914941201</v>
      </c>
      <c r="I211">
        <v>32.684714052348603</v>
      </c>
      <c r="K211">
        <v>3.0443955212831501E-2</v>
      </c>
      <c r="L211" s="2">
        <f t="shared" si="9"/>
        <v>8.5444389722209877</v>
      </c>
      <c r="N211">
        <v>31.701803207397461</v>
      </c>
      <c r="O211">
        <v>498.70184326171881</v>
      </c>
      <c r="P211" s="2">
        <f t="shared" si="10"/>
        <v>-3.0072493318341085</v>
      </c>
      <c r="Q211" s="2">
        <f t="shared" si="11"/>
        <v>-1.0268296272832034</v>
      </c>
    </row>
    <row r="212" spans="1:17" x14ac:dyDescent="0.45">
      <c r="A212" t="s">
        <v>228</v>
      </c>
      <c r="B212">
        <v>74.599999999999994</v>
      </c>
      <c r="C212">
        <v>117.5</v>
      </c>
      <c r="D212">
        <v>1.4781000000000001E-2</v>
      </c>
      <c r="E212">
        <v>20</v>
      </c>
      <c r="F212">
        <v>1</v>
      </c>
      <c r="G212">
        <v>7.6238997280597604E-2</v>
      </c>
      <c r="H212">
        <v>500.01937947282897</v>
      </c>
      <c r="I212">
        <v>76.108197210894005</v>
      </c>
      <c r="K212">
        <v>7.1218676865100861E-2</v>
      </c>
      <c r="L212" s="2">
        <f t="shared" si="9"/>
        <v>-6.5849769731617211</v>
      </c>
      <c r="N212">
        <v>74.557235717773438</v>
      </c>
      <c r="O212">
        <v>488.78378295898438</v>
      </c>
      <c r="P212" s="2">
        <f t="shared" si="10"/>
        <v>-2.0378376442459807</v>
      </c>
      <c r="Q212" s="2">
        <f t="shared" si="11"/>
        <v>-2.2470322101695941</v>
      </c>
    </row>
    <row r="213" spans="1:17" x14ac:dyDescent="0.45">
      <c r="A213" t="s">
        <v>229</v>
      </c>
      <c r="B213">
        <v>63.7</v>
      </c>
      <c r="C213">
        <v>125.4</v>
      </c>
      <c r="D213">
        <v>1.2522E-2</v>
      </c>
      <c r="E213">
        <v>23.48</v>
      </c>
      <c r="F213">
        <v>1</v>
      </c>
      <c r="G213">
        <v>5.7042792439460699E-2</v>
      </c>
      <c r="H213">
        <v>524.47848327560405</v>
      </c>
      <c r="I213">
        <v>58.957471692384097</v>
      </c>
      <c r="K213">
        <v>6.2410946935415268E-2</v>
      </c>
      <c r="L213" s="2">
        <f t="shared" si="9"/>
        <v>9.4107498360143769</v>
      </c>
      <c r="N213">
        <v>61.14508056640625</v>
      </c>
      <c r="O213">
        <v>515.986083984375</v>
      </c>
      <c r="P213" s="2">
        <f t="shared" si="10"/>
        <v>3.7104862390236115</v>
      </c>
      <c r="Q213" s="2">
        <f t="shared" si="11"/>
        <v>-1.6192083301854816</v>
      </c>
    </row>
    <row r="214" spans="1:17" x14ac:dyDescent="0.45">
      <c r="A214" t="s">
        <v>230</v>
      </c>
      <c r="B214">
        <v>85.7</v>
      </c>
      <c r="C214">
        <v>114.5</v>
      </c>
      <c r="D214">
        <v>2.8344999999999999E-2</v>
      </c>
      <c r="E214">
        <v>35</v>
      </c>
      <c r="F214">
        <v>1</v>
      </c>
      <c r="G214">
        <v>0.14309662580490101</v>
      </c>
      <c r="H214">
        <v>588.99575268932995</v>
      </c>
      <c r="I214">
        <v>88.812754533737802</v>
      </c>
      <c r="K214">
        <v>0.15266662836074829</v>
      </c>
      <c r="L214" s="2">
        <f t="shared" si="9"/>
        <v>6.6877905066015266</v>
      </c>
      <c r="N214">
        <v>89.340438842773438</v>
      </c>
      <c r="O214">
        <v>588.42974853515625</v>
      </c>
      <c r="P214" s="2">
        <f t="shared" si="10"/>
        <v>0.59415374717961333</v>
      </c>
      <c r="Q214" s="2">
        <f t="shared" si="11"/>
        <v>-9.6096474650172944E-2</v>
      </c>
    </row>
    <row r="215" spans="1:17" x14ac:dyDescent="0.45">
      <c r="A215" t="s">
        <v>231</v>
      </c>
      <c r="B215">
        <v>51.2</v>
      </c>
      <c r="C215">
        <v>111.6</v>
      </c>
      <c r="D215">
        <v>9.6439999999999998E-3</v>
      </c>
      <c r="E215">
        <v>22.7</v>
      </c>
      <c r="F215">
        <v>1</v>
      </c>
      <c r="G215">
        <v>5.5698819458484601E-2</v>
      </c>
      <c r="H215">
        <v>514.35261243844104</v>
      </c>
      <c r="I215">
        <v>43.787541170063399</v>
      </c>
      <c r="K215">
        <v>5.7557132095098502E-2</v>
      </c>
      <c r="L215" s="2">
        <f t="shared" si="9"/>
        <v>3.3363591090094902</v>
      </c>
      <c r="N215">
        <v>43.855609893798828</v>
      </c>
      <c r="O215">
        <v>507.57064819335938</v>
      </c>
      <c r="P215" s="2">
        <f t="shared" si="10"/>
        <v>0.15545226317016009</v>
      </c>
      <c r="Q215" s="2">
        <f t="shared" si="11"/>
        <v>-1.3185437540464227</v>
      </c>
    </row>
    <row r="216" spans="1:17" x14ac:dyDescent="0.45">
      <c r="A216" t="s">
        <v>232</v>
      </c>
      <c r="B216">
        <v>84</v>
      </c>
      <c r="C216">
        <v>102.3</v>
      </c>
      <c r="D216">
        <v>2.3106999999999999E-2</v>
      </c>
      <c r="E216">
        <v>26.28</v>
      </c>
      <c r="F216">
        <v>1</v>
      </c>
      <c r="G216">
        <v>0.19509650766849501</v>
      </c>
      <c r="H216">
        <v>533.959402952353</v>
      </c>
      <c r="I216">
        <v>93.304094879391698</v>
      </c>
      <c r="K216">
        <v>0.18996331095695501</v>
      </c>
      <c r="L216" s="2">
        <f t="shared" si="9"/>
        <v>-2.6311064062008986</v>
      </c>
      <c r="N216">
        <v>92.386611938476563</v>
      </c>
      <c r="O216">
        <v>529.1866455078125</v>
      </c>
      <c r="P216" s="2">
        <f t="shared" si="10"/>
        <v>-0.98332548223216554</v>
      </c>
      <c r="Q216" s="2">
        <f t="shared" si="11"/>
        <v>-0.89384275623785414</v>
      </c>
    </row>
    <row r="217" spans="1:17" x14ac:dyDescent="0.45">
      <c r="A217" t="s">
        <v>233</v>
      </c>
      <c r="B217">
        <v>65.3</v>
      </c>
      <c r="C217">
        <v>121.1</v>
      </c>
      <c r="D217">
        <v>1.3252999999999999E-2</v>
      </c>
      <c r="E217">
        <v>22.96</v>
      </c>
      <c r="F217">
        <v>1</v>
      </c>
      <c r="G217">
        <v>6.3310205936431801E-2</v>
      </c>
      <c r="H217">
        <v>519.23658613061798</v>
      </c>
      <c r="I217">
        <v>61.732733354609998</v>
      </c>
      <c r="K217">
        <v>6.4273744821548462E-2</v>
      </c>
      <c r="L217" s="2">
        <f t="shared" si="9"/>
        <v>1.5219329504063306</v>
      </c>
      <c r="N217">
        <v>63.103969573974609</v>
      </c>
      <c r="O217">
        <v>513.60467529296875</v>
      </c>
      <c r="P217" s="2">
        <f t="shared" si="10"/>
        <v>2.2212465653964308</v>
      </c>
      <c r="Q217" s="2">
        <f t="shared" si="11"/>
        <v>-1.0846521582037516</v>
      </c>
    </row>
    <row r="218" spans="1:17" x14ac:dyDescent="0.45">
      <c r="A218" t="s">
        <v>234</v>
      </c>
      <c r="B218">
        <v>58.5</v>
      </c>
      <c r="C218">
        <v>111.1</v>
      </c>
      <c r="D218">
        <v>1.2772E-2</v>
      </c>
      <c r="E218">
        <v>24.76</v>
      </c>
      <c r="F218">
        <v>1</v>
      </c>
      <c r="G218">
        <v>7.3968939483165699E-2</v>
      </c>
      <c r="H218">
        <v>526.58076010135596</v>
      </c>
      <c r="I218">
        <v>53.838556813208498</v>
      </c>
      <c r="K218">
        <v>7.6551146805286407E-2</v>
      </c>
      <c r="L218" s="2">
        <f t="shared" si="9"/>
        <v>3.4909346276464901</v>
      </c>
      <c r="N218">
        <v>54.861408233642578</v>
      </c>
      <c r="O218">
        <v>522.21002197265625</v>
      </c>
      <c r="P218" s="2">
        <f t="shared" si="10"/>
        <v>1.8998492548432098</v>
      </c>
      <c r="Q218" s="2">
        <f t="shared" si="11"/>
        <v>-0.83002237450879068</v>
      </c>
    </row>
    <row r="219" spans="1:17" x14ac:dyDescent="0.45">
      <c r="A219" t="s">
        <v>235</v>
      </c>
      <c r="B219">
        <v>69.7</v>
      </c>
      <c r="C219">
        <v>119</v>
      </c>
      <c r="D219">
        <v>2.0747999999999999E-2</v>
      </c>
      <c r="E219">
        <v>35</v>
      </c>
      <c r="F219">
        <v>1</v>
      </c>
      <c r="G219">
        <v>9.5880612730979906E-2</v>
      </c>
      <c r="H219">
        <v>590.59437582908004</v>
      </c>
      <c r="I219">
        <v>66.537973562102493</v>
      </c>
      <c r="K219">
        <v>9.6387423574924469E-2</v>
      </c>
      <c r="L219" s="2">
        <f t="shared" si="9"/>
        <v>0.52858532033641059</v>
      </c>
      <c r="N219">
        <v>66.182914733886719</v>
      </c>
      <c r="O219">
        <v>590.0189208984375</v>
      </c>
      <c r="P219" s="2">
        <f t="shared" si="10"/>
        <v>-0.53361833733091446</v>
      </c>
      <c r="Q219" s="2">
        <f t="shared" si="11"/>
        <v>-9.7436574778537108E-2</v>
      </c>
    </row>
    <row r="220" spans="1:17" x14ac:dyDescent="0.45">
      <c r="A220" t="s">
        <v>236</v>
      </c>
      <c r="B220">
        <v>82.9</v>
      </c>
      <c r="C220">
        <v>114.3</v>
      </c>
      <c r="D220">
        <v>2.1222999999999999E-2</v>
      </c>
      <c r="E220">
        <v>25.9</v>
      </c>
      <c r="F220">
        <v>1</v>
      </c>
      <c r="G220">
        <v>0.112254843115806</v>
      </c>
      <c r="H220">
        <v>534.33315821430301</v>
      </c>
      <c r="I220">
        <v>86.920483059207399</v>
      </c>
      <c r="K220">
        <v>0.1035604104399681</v>
      </c>
      <c r="L220" s="2">
        <f t="shared" si="9"/>
        <v>-7.7452628630627736</v>
      </c>
      <c r="N220">
        <v>86.232139587402344</v>
      </c>
      <c r="O220">
        <v>525.04248046875</v>
      </c>
      <c r="P220" s="2">
        <f t="shared" si="10"/>
        <v>-0.79192320104362279</v>
      </c>
      <c r="Q220" s="2">
        <f t="shared" si="11"/>
        <v>-1.7387425060053703</v>
      </c>
    </row>
    <row r="221" spans="1:17" x14ac:dyDescent="0.45">
      <c r="A221" t="s">
        <v>237</v>
      </c>
      <c r="B221">
        <v>41.8</v>
      </c>
      <c r="C221">
        <v>120.2</v>
      </c>
      <c r="D221">
        <v>5.842E-3</v>
      </c>
      <c r="E221">
        <v>20.25</v>
      </c>
      <c r="F221">
        <v>1</v>
      </c>
      <c r="G221">
        <v>2.8828987851738899E-2</v>
      </c>
      <c r="H221">
        <v>502.58704785696602</v>
      </c>
      <c r="I221">
        <v>30.3306334586376</v>
      </c>
      <c r="K221">
        <v>3.2838225364685059E-2</v>
      </c>
      <c r="L221" s="2">
        <f t="shared" si="9"/>
        <v>13.9069659107173</v>
      </c>
      <c r="N221">
        <v>30.878854751586911</v>
      </c>
      <c r="O221">
        <v>498.14688110351563</v>
      </c>
      <c r="P221" s="2">
        <f t="shared" si="10"/>
        <v>1.8074838222450236</v>
      </c>
      <c r="Q221" s="2">
        <f t="shared" si="11"/>
        <v>-0.88346223253927736</v>
      </c>
    </row>
    <row r="222" spans="1:17" x14ac:dyDescent="0.45">
      <c r="A222" t="s">
        <v>238</v>
      </c>
      <c r="B222">
        <v>71.400000000000006</v>
      </c>
      <c r="C222">
        <v>111.3</v>
      </c>
      <c r="D222">
        <v>1.9550999999999999E-2</v>
      </c>
      <c r="E222">
        <v>29.38</v>
      </c>
      <c r="F222">
        <v>1</v>
      </c>
      <c r="G222">
        <v>0.110017240047454</v>
      </c>
      <c r="H222">
        <v>554.35304009823699</v>
      </c>
      <c r="I222">
        <v>71.063269118706501</v>
      </c>
      <c r="K222">
        <v>0.10724345594644551</v>
      </c>
      <c r="L222" s="2">
        <f t="shared" si="9"/>
        <v>-2.5212267639254282</v>
      </c>
      <c r="N222">
        <v>68.947410583496094</v>
      </c>
      <c r="O222">
        <v>550.025146484375</v>
      </c>
      <c r="P222" s="2">
        <f t="shared" si="10"/>
        <v>-2.977429214065574</v>
      </c>
      <c r="Q222" s="2">
        <f t="shared" si="11"/>
        <v>-0.780710720571685</v>
      </c>
    </row>
    <row r="223" spans="1:17" x14ac:dyDescent="0.45">
      <c r="A223" t="s">
        <v>239</v>
      </c>
      <c r="B223">
        <v>85.2</v>
      </c>
      <c r="C223">
        <v>110.2</v>
      </c>
      <c r="D223">
        <v>2.6661000000000001E-2</v>
      </c>
      <c r="E223">
        <v>31.82</v>
      </c>
      <c r="F223">
        <v>1</v>
      </c>
      <c r="G223">
        <v>0.15366443991661</v>
      </c>
      <c r="H223">
        <v>568.71299821093498</v>
      </c>
      <c r="I223">
        <v>90.238562467725899</v>
      </c>
      <c r="K223">
        <v>0.16088831424713129</v>
      </c>
      <c r="L223" s="2">
        <f t="shared" si="9"/>
        <v>4.7010709403174342</v>
      </c>
      <c r="N223">
        <v>89.027313232421875</v>
      </c>
      <c r="O223">
        <v>570.3114013671875</v>
      </c>
      <c r="P223" s="2">
        <f t="shared" si="10"/>
        <v>-1.3422745245273946</v>
      </c>
      <c r="Q223" s="2">
        <f t="shared" si="11"/>
        <v>0.28105620256276792</v>
      </c>
    </row>
    <row r="224" spans="1:17" x14ac:dyDescent="0.45">
      <c r="A224" t="s">
        <v>240</v>
      </c>
      <c r="B224">
        <v>42.5</v>
      </c>
      <c r="C224">
        <v>115.5</v>
      </c>
      <c r="D224">
        <v>9.6399999999999993E-3</v>
      </c>
      <c r="E224">
        <v>35</v>
      </c>
      <c r="F224">
        <v>1</v>
      </c>
      <c r="G224">
        <v>4.7585528343915898E-2</v>
      </c>
      <c r="H224">
        <v>589.31905697261004</v>
      </c>
      <c r="I224">
        <v>30.2816247568237</v>
      </c>
      <c r="K224">
        <v>5.4173275828361511E-2</v>
      </c>
      <c r="L224" s="2">
        <f t="shared" si="9"/>
        <v>13.844014585345876</v>
      </c>
      <c r="N224">
        <v>29.202688217163089</v>
      </c>
      <c r="O224">
        <v>588.0145263671875</v>
      </c>
      <c r="P224" s="2">
        <f t="shared" si="10"/>
        <v>-3.56300742884505</v>
      </c>
      <c r="Q224" s="2">
        <f t="shared" si="11"/>
        <v>-0.22136236559598871</v>
      </c>
    </row>
    <row r="225" spans="1:17" x14ac:dyDescent="0.45">
      <c r="A225" t="s">
        <v>241</v>
      </c>
      <c r="B225">
        <v>76.2</v>
      </c>
      <c r="C225">
        <v>114.9</v>
      </c>
      <c r="D225">
        <v>2.4181999999999999E-2</v>
      </c>
      <c r="E225">
        <v>35</v>
      </c>
      <c r="F225">
        <v>1</v>
      </c>
      <c r="G225">
        <v>0.12095002084970401</v>
      </c>
      <c r="H225">
        <v>589.12299333356498</v>
      </c>
      <c r="I225">
        <v>75.725960297145306</v>
      </c>
      <c r="K225">
        <v>0.124863401055336</v>
      </c>
      <c r="L225" s="2">
        <f t="shared" si="9"/>
        <v>3.2355349574473169</v>
      </c>
      <c r="N225">
        <v>76.061721801757813</v>
      </c>
      <c r="O225">
        <v>589.6474609375</v>
      </c>
      <c r="P225" s="2">
        <f t="shared" si="10"/>
        <v>0.44339022350458546</v>
      </c>
      <c r="Q225" s="2">
        <f t="shared" si="11"/>
        <v>8.9025145830297914E-2</v>
      </c>
    </row>
    <row r="226" spans="1:17" x14ac:dyDescent="0.45">
      <c r="A226" t="s">
        <v>242</v>
      </c>
      <c r="B226">
        <v>68.900000000000006</v>
      </c>
      <c r="C226">
        <v>109.7</v>
      </c>
      <c r="D226">
        <v>1.5074000000000001E-2</v>
      </c>
      <c r="E226">
        <v>22.35</v>
      </c>
      <c r="F226">
        <v>1</v>
      </c>
      <c r="G226">
        <v>9.24820005893707E-2</v>
      </c>
      <c r="H226">
        <v>511.77168175846998</v>
      </c>
      <c r="I226">
        <v>69.387972328746102</v>
      </c>
      <c r="K226">
        <v>8.5422910749912262E-2</v>
      </c>
      <c r="L226" s="2">
        <f t="shared" si="9"/>
        <v>-7.6329337541058404</v>
      </c>
      <c r="N226">
        <v>68.058074951171875</v>
      </c>
      <c r="O226">
        <v>506.76300048828119</v>
      </c>
      <c r="P226" s="2">
        <f t="shared" si="10"/>
        <v>-1.916610808676529</v>
      </c>
      <c r="Q226" s="2">
        <f t="shared" si="11"/>
        <v>-0.97869449379823814</v>
      </c>
    </row>
    <row r="227" spans="1:17" x14ac:dyDescent="0.45">
      <c r="A227" t="s">
        <v>243</v>
      </c>
      <c r="B227">
        <v>83.8</v>
      </c>
      <c r="C227">
        <v>123.6</v>
      </c>
      <c r="D227">
        <v>1.7985999999999999E-2</v>
      </c>
      <c r="E227">
        <v>22.5</v>
      </c>
      <c r="F227">
        <v>1</v>
      </c>
      <c r="G227">
        <v>8.3859302103519398E-2</v>
      </c>
      <c r="H227">
        <v>517.655002836638</v>
      </c>
      <c r="I227">
        <v>86.525243897783895</v>
      </c>
      <c r="K227">
        <v>8.2157887518405914E-2</v>
      </c>
      <c r="L227" s="2">
        <f t="shared" si="9"/>
        <v>-2.0288918968264094</v>
      </c>
      <c r="N227">
        <v>87.015899658203125</v>
      </c>
      <c r="O227">
        <v>507.73455810546881</v>
      </c>
      <c r="P227" s="2">
        <f t="shared" si="10"/>
        <v>0.56706660197209435</v>
      </c>
      <c r="Q227" s="2">
        <f t="shared" si="11"/>
        <v>-1.9164201402106222</v>
      </c>
    </row>
    <row r="228" spans="1:17" x14ac:dyDescent="0.45">
      <c r="A228" t="s">
        <v>244</v>
      </c>
      <c r="B228">
        <v>74.099999999999994</v>
      </c>
      <c r="C228">
        <v>107</v>
      </c>
      <c r="D228">
        <v>2.4337999999999999E-2</v>
      </c>
      <c r="E228">
        <v>35</v>
      </c>
      <c r="F228">
        <v>1</v>
      </c>
      <c r="G228">
        <v>0.15673151612281799</v>
      </c>
      <c r="H228">
        <v>587.07853261917705</v>
      </c>
      <c r="I228">
        <v>76.057483999945006</v>
      </c>
      <c r="K228">
        <v>0.1526557058095932</v>
      </c>
      <c r="L228" s="2">
        <f t="shared" si="9"/>
        <v>-2.600504617100051</v>
      </c>
      <c r="N228">
        <v>75.19287109375</v>
      </c>
      <c r="O228">
        <v>590.43524169921875</v>
      </c>
      <c r="P228" s="2">
        <f t="shared" si="10"/>
        <v>-1.1367887296871817</v>
      </c>
      <c r="Q228" s="2">
        <f t="shared" si="11"/>
        <v>0.57176491619718417</v>
      </c>
    </row>
    <row r="229" spans="1:17" x14ac:dyDescent="0.45">
      <c r="A229" t="s">
        <v>245</v>
      </c>
      <c r="B229">
        <v>68.7</v>
      </c>
      <c r="C229">
        <v>130</v>
      </c>
      <c r="D229">
        <v>1.4522999999999999E-2</v>
      </c>
      <c r="E229">
        <v>26.32</v>
      </c>
      <c r="F229">
        <v>1</v>
      </c>
      <c r="G229">
        <v>6.3367865979671395E-2</v>
      </c>
      <c r="H229">
        <v>544.34829180160398</v>
      </c>
      <c r="I229">
        <v>61.871170150034402</v>
      </c>
      <c r="K229">
        <v>7.138592004776001E-2</v>
      </c>
      <c r="L229" s="2">
        <f t="shared" si="9"/>
        <v>12.653186191658767</v>
      </c>
      <c r="N229">
        <v>63.770832061767578</v>
      </c>
      <c r="O229">
        <v>534.8377685546875</v>
      </c>
      <c r="P229" s="2">
        <f t="shared" si="10"/>
        <v>3.0703507095899329</v>
      </c>
      <c r="Q229" s="2">
        <f t="shared" si="11"/>
        <v>-1.7471393573110967</v>
      </c>
    </row>
    <row r="230" spans="1:17" x14ac:dyDescent="0.45">
      <c r="A230" t="s">
        <v>246</v>
      </c>
      <c r="B230">
        <v>63.5</v>
      </c>
      <c r="C230">
        <v>105.1</v>
      </c>
      <c r="D230">
        <v>1.9729E-2</v>
      </c>
      <c r="E230">
        <v>35</v>
      </c>
      <c r="F230">
        <v>1</v>
      </c>
      <c r="G230">
        <v>0.13889281451702101</v>
      </c>
      <c r="H230">
        <v>586.72106649011505</v>
      </c>
      <c r="I230">
        <v>61.280023843020103</v>
      </c>
      <c r="K230">
        <v>0.13348528742790219</v>
      </c>
      <c r="L230" s="2">
        <f t="shared" si="9"/>
        <v>-3.8933094616324722</v>
      </c>
      <c r="N230">
        <v>60.252353668212891</v>
      </c>
      <c r="O230">
        <v>591.71331787109375</v>
      </c>
      <c r="P230" s="2">
        <f t="shared" si="10"/>
        <v>-1.6770068129212488</v>
      </c>
      <c r="Q230" s="2">
        <f t="shared" si="11"/>
        <v>0.85087304105907857</v>
      </c>
    </row>
    <row r="231" spans="1:17" x14ac:dyDescent="0.45">
      <c r="A231" t="s">
        <v>247</v>
      </c>
      <c r="B231">
        <v>62.2</v>
      </c>
      <c r="C231">
        <v>108.7</v>
      </c>
      <c r="D231">
        <v>1.8834E-2</v>
      </c>
      <c r="E231">
        <v>35</v>
      </c>
      <c r="F231">
        <v>1</v>
      </c>
      <c r="G231">
        <v>0.113216519355773</v>
      </c>
      <c r="H231">
        <v>587.43997374844105</v>
      </c>
      <c r="I231">
        <v>58.157701165530398</v>
      </c>
      <c r="K231">
        <v>0.1122821867465973</v>
      </c>
      <c r="L231" s="2">
        <f t="shared" si="9"/>
        <v>-0.82526173255656599</v>
      </c>
      <c r="N231">
        <v>57.991641998291023</v>
      </c>
      <c r="O231">
        <v>586.9659423828125</v>
      </c>
      <c r="P231" s="2">
        <f t="shared" si="10"/>
        <v>-0.28553255013765383</v>
      </c>
      <c r="Q231" s="2">
        <f t="shared" si="11"/>
        <v>-8.0694434633680895E-2</v>
      </c>
    </row>
    <row r="232" spans="1:17" x14ac:dyDescent="0.45">
      <c r="A232" t="s">
        <v>248</v>
      </c>
      <c r="B232">
        <v>73.2</v>
      </c>
      <c r="C232">
        <v>119</v>
      </c>
      <c r="D232">
        <v>2.2211000000000002E-2</v>
      </c>
      <c r="E232">
        <v>35</v>
      </c>
      <c r="F232">
        <v>1</v>
      </c>
      <c r="G232">
        <v>0.102631077170372</v>
      </c>
      <c r="H232">
        <v>590.59437582908004</v>
      </c>
      <c r="I232">
        <v>71.223732229239801</v>
      </c>
      <c r="K232">
        <v>0.1043346971273422</v>
      </c>
      <c r="L232" s="2">
        <f t="shared" si="9"/>
        <v>1.6599455096258209</v>
      </c>
      <c r="N232">
        <v>70.942070007324219</v>
      </c>
      <c r="O232">
        <v>589.522216796875</v>
      </c>
      <c r="P232" s="2">
        <f t="shared" si="10"/>
        <v>-0.3954611940427768</v>
      </c>
      <c r="Q232" s="2">
        <f t="shared" si="11"/>
        <v>-0.18153898446796629</v>
      </c>
    </row>
    <row r="233" spans="1:17" x14ac:dyDescent="0.45">
      <c r="A233" t="s">
        <v>249</v>
      </c>
      <c r="B233">
        <v>62.1</v>
      </c>
      <c r="C233">
        <v>130</v>
      </c>
      <c r="D233">
        <v>1.4893999999999999E-2</v>
      </c>
      <c r="E233">
        <v>32.68</v>
      </c>
      <c r="F233">
        <v>1</v>
      </c>
      <c r="G233">
        <v>6.3026554882526398E-2</v>
      </c>
      <c r="H233">
        <v>582.50829180160395</v>
      </c>
      <c r="I233">
        <v>52.228877402852603</v>
      </c>
      <c r="K233">
        <v>6.7786119878292084E-2</v>
      </c>
      <c r="L233" s="2">
        <f t="shared" si="9"/>
        <v>7.5516819928313055</v>
      </c>
      <c r="N233">
        <v>55.541812896728523</v>
      </c>
      <c r="O233">
        <v>580.88092041015625</v>
      </c>
      <c r="P233" s="2">
        <f t="shared" si="10"/>
        <v>6.3431106671555142</v>
      </c>
      <c r="Q233" s="2">
        <f t="shared" si="11"/>
        <v>-0.27937308607479205</v>
      </c>
    </row>
    <row r="234" spans="1:17" x14ac:dyDescent="0.45">
      <c r="A234" t="s">
        <v>250</v>
      </c>
      <c r="B234">
        <v>49</v>
      </c>
      <c r="C234">
        <v>122.5</v>
      </c>
      <c r="D234">
        <v>7.561E-3</v>
      </c>
      <c r="E234">
        <v>20</v>
      </c>
      <c r="F234">
        <v>1</v>
      </c>
      <c r="G234">
        <v>3.6337852478027302E-2</v>
      </c>
      <c r="H234">
        <v>502.11843509327002</v>
      </c>
      <c r="I234">
        <v>40.319517323527698</v>
      </c>
      <c r="K234">
        <v>3.8056831806898117E-2</v>
      </c>
      <c r="L234" s="2">
        <f t="shared" si="9"/>
        <v>4.7305473814399015</v>
      </c>
      <c r="N234">
        <v>40.200008392333977</v>
      </c>
      <c r="O234">
        <v>491.882568359375</v>
      </c>
      <c r="P234" s="2">
        <f t="shared" si="10"/>
        <v>-0.29640466733460563</v>
      </c>
      <c r="Q234" s="2">
        <f t="shared" si="11"/>
        <v>-2.0385363329656836</v>
      </c>
    </row>
    <row r="235" spans="1:17" x14ac:dyDescent="0.45">
      <c r="A235" t="s">
        <v>251</v>
      </c>
      <c r="B235">
        <v>47.7</v>
      </c>
      <c r="C235">
        <v>120.5</v>
      </c>
      <c r="D235">
        <v>1.1415E-2</v>
      </c>
      <c r="E235">
        <v>35</v>
      </c>
      <c r="F235">
        <v>1</v>
      </c>
      <c r="G235">
        <v>5.1618944853544201E-2</v>
      </c>
      <c r="H235">
        <v>591.21494512192896</v>
      </c>
      <c r="I235">
        <v>36.470808131120101</v>
      </c>
      <c r="K235">
        <v>5.9004262089729309E-2</v>
      </c>
      <c r="L235" s="2">
        <f t="shared" si="9"/>
        <v>14.307377373053813</v>
      </c>
      <c r="N235">
        <v>35.971378326416023</v>
      </c>
      <c r="O235">
        <v>592.33984375</v>
      </c>
      <c r="P235" s="2">
        <f t="shared" si="10"/>
        <v>-1.3693960465820367</v>
      </c>
      <c r="Q235" s="2">
        <f t="shared" si="11"/>
        <v>0.19026897701969356</v>
      </c>
    </row>
    <row r="236" spans="1:17" x14ac:dyDescent="0.45">
      <c r="A236" t="s">
        <v>252</v>
      </c>
      <c r="B236">
        <v>71.5</v>
      </c>
      <c r="C236">
        <v>117.1</v>
      </c>
      <c r="D236">
        <v>1.7430000000000001E-2</v>
      </c>
      <c r="E236">
        <v>26.61</v>
      </c>
      <c r="F236">
        <v>1</v>
      </c>
      <c r="G236">
        <v>8.6588077247142695E-2</v>
      </c>
      <c r="H236">
        <v>539.53339818421</v>
      </c>
      <c r="I236">
        <v>70.085017270432601</v>
      </c>
      <c r="K236">
        <v>8.993539959192276E-2</v>
      </c>
      <c r="L236" s="2">
        <f t="shared" si="9"/>
        <v>3.865800524968376</v>
      </c>
      <c r="N236">
        <v>71.2984619140625</v>
      </c>
      <c r="O236">
        <v>534.78485107421875</v>
      </c>
      <c r="P236" s="2">
        <f t="shared" si="10"/>
        <v>1.7313895193143165</v>
      </c>
      <c r="Q236" s="2">
        <f t="shared" si="11"/>
        <v>-0.88012106868127182</v>
      </c>
    </row>
    <row r="237" spans="1:17" x14ac:dyDescent="0.45">
      <c r="A237" t="s">
        <v>253</v>
      </c>
      <c r="B237">
        <v>42.5</v>
      </c>
      <c r="C237">
        <v>130</v>
      </c>
      <c r="D237">
        <v>7.28E-3</v>
      </c>
      <c r="E237">
        <v>29.22</v>
      </c>
      <c r="F237">
        <v>1</v>
      </c>
      <c r="G237">
        <v>3.1287282705307E-2</v>
      </c>
      <c r="H237">
        <v>561.74829180160395</v>
      </c>
      <c r="I237">
        <v>28.476080717875099</v>
      </c>
      <c r="K237">
        <v>3.4494273364543908E-2</v>
      </c>
      <c r="L237" s="2">
        <f t="shared" si="9"/>
        <v>10.250141213742838</v>
      </c>
      <c r="N237">
        <v>27.621286392211911</v>
      </c>
      <c r="O237">
        <v>553.2474365234375</v>
      </c>
      <c r="P237" s="2">
        <f t="shared" si="10"/>
        <v>-3.001797663561947</v>
      </c>
      <c r="Q237" s="2">
        <f t="shared" si="11"/>
        <v>-1.513285470064011</v>
      </c>
    </row>
    <row r="238" spans="1:17" x14ac:dyDescent="0.45">
      <c r="A238" t="s">
        <v>254</v>
      </c>
      <c r="B238">
        <v>56.6</v>
      </c>
      <c r="C238">
        <v>130</v>
      </c>
      <c r="D238">
        <v>9.8259999999999997E-3</v>
      </c>
      <c r="E238">
        <v>22.91</v>
      </c>
      <c r="F238">
        <v>1.08</v>
      </c>
      <c r="G238">
        <v>4.3789070099592202E-2</v>
      </c>
      <c r="H238">
        <v>536.13828279936297</v>
      </c>
      <c r="I238">
        <v>48.511730873949503</v>
      </c>
      <c r="K238">
        <v>4.7945089638233178E-2</v>
      </c>
      <c r="L238" s="2">
        <f t="shared" si="9"/>
        <v>9.4909974776552293</v>
      </c>
      <c r="N238">
        <v>50.640666961669922</v>
      </c>
      <c r="O238">
        <v>519.28741455078125</v>
      </c>
      <c r="P238" s="2">
        <f t="shared" si="10"/>
        <v>4.3884974816753948</v>
      </c>
      <c r="Q238" s="2">
        <f t="shared" si="11"/>
        <v>-3.1430078375671147</v>
      </c>
    </row>
    <row r="239" spans="1:17" x14ac:dyDescent="0.45">
      <c r="A239" t="s">
        <v>255</v>
      </c>
      <c r="B239">
        <v>67.099999999999994</v>
      </c>
      <c r="C239">
        <v>115.7</v>
      </c>
      <c r="D239">
        <v>1.5820000000000001E-2</v>
      </c>
      <c r="E239">
        <v>26.03</v>
      </c>
      <c r="F239">
        <v>1</v>
      </c>
      <c r="G239">
        <v>8.10250714421272E-2</v>
      </c>
      <c r="H239">
        <v>535.56581898556999</v>
      </c>
      <c r="I239">
        <v>64.566081979079001</v>
      </c>
      <c r="K239">
        <v>8.5052497684955597E-2</v>
      </c>
      <c r="L239" s="2">
        <f t="shared" si="9"/>
        <v>4.9705926463823218</v>
      </c>
      <c r="N239">
        <v>64.706855773925781</v>
      </c>
      <c r="O239">
        <v>530.82366943359375</v>
      </c>
      <c r="P239" s="2">
        <f t="shared" si="10"/>
        <v>0.21803056733780737</v>
      </c>
      <c r="Q239" s="2">
        <f t="shared" si="11"/>
        <v>-0.88544664051908251</v>
      </c>
    </row>
    <row r="240" spans="1:17" x14ac:dyDescent="0.45">
      <c r="A240" t="s">
        <v>256</v>
      </c>
      <c r="B240">
        <v>64.5</v>
      </c>
      <c r="C240">
        <v>130</v>
      </c>
      <c r="D240">
        <v>1.3452E-2</v>
      </c>
      <c r="E240">
        <v>26.78</v>
      </c>
      <c r="F240">
        <v>1</v>
      </c>
      <c r="G240">
        <v>5.8530516922473901E-2</v>
      </c>
      <c r="H240">
        <v>547.10829180160397</v>
      </c>
      <c r="I240">
        <v>56.807846439209499</v>
      </c>
      <c r="K240">
        <v>6.6263787448406219E-2</v>
      </c>
      <c r="L240" s="2">
        <f t="shared" si="9"/>
        <v>13.212373531871172</v>
      </c>
      <c r="N240">
        <v>58.790447235107422</v>
      </c>
      <c r="O240">
        <v>536.5416259765625</v>
      </c>
      <c r="P240" s="2">
        <f t="shared" si="10"/>
        <v>3.4900122433254341</v>
      </c>
      <c r="Q240" s="2">
        <f t="shared" si="11"/>
        <v>-1.9313664192962412</v>
      </c>
    </row>
    <row r="241" spans="1:17" x14ac:dyDescent="0.45">
      <c r="A241" t="s">
        <v>257</v>
      </c>
      <c r="B241">
        <v>40.299999999999997</v>
      </c>
      <c r="C241">
        <v>129.5</v>
      </c>
      <c r="D241">
        <v>6.6600000000000001E-3</v>
      </c>
      <c r="E241">
        <v>29.54</v>
      </c>
      <c r="F241">
        <v>1</v>
      </c>
      <c r="G241">
        <v>2.8640832751989299E-2</v>
      </c>
      <c r="H241">
        <v>563.32844155083399</v>
      </c>
      <c r="I241">
        <v>25.690356792607901</v>
      </c>
      <c r="K241">
        <v>3.1626321375370033E-2</v>
      </c>
      <c r="L241" s="2">
        <f t="shared" si="9"/>
        <v>10.423889030158774</v>
      </c>
      <c r="N241">
        <v>24.40836143493652</v>
      </c>
      <c r="O241">
        <v>554.8924560546875</v>
      </c>
      <c r="P241" s="2">
        <f t="shared" si="10"/>
        <v>-4.990181210874657</v>
      </c>
      <c r="Q241" s="2">
        <f t="shared" si="11"/>
        <v>-1.4975252222171416</v>
      </c>
    </row>
    <row r="242" spans="1:17" x14ac:dyDescent="0.45">
      <c r="A242" t="s">
        <v>258</v>
      </c>
      <c r="B242">
        <v>62.7</v>
      </c>
      <c r="C242">
        <v>126</v>
      </c>
      <c r="D242">
        <v>1.4364999999999999E-2</v>
      </c>
      <c r="E242">
        <v>29.04</v>
      </c>
      <c r="F242">
        <v>1.07</v>
      </c>
      <c r="G242">
        <v>6.3025899231433799E-2</v>
      </c>
      <c r="H242">
        <v>571.40717367673301</v>
      </c>
      <c r="I242">
        <v>56.4977121781357</v>
      </c>
      <c r="K242">
        <v>7.3221355676651001E-2</v>
      </c>
      <c r="L242" s="2">
        <f t="shared" si="9"/>
        <v>16.176614010343666</v>
      </c>
      <c r="N242">
        <v>58.482013702392578</v>
      </c>
      <c r="O242">
        <v>568.77886962890625</v>
      </c>
      <c r="P242" s="2">
        <f t="shared" si="10"/>
        <v>3.5121803127185593</v>
      </c>
      <c r="Q242" s="2">
        <f t="shared" si="11"/>
        <v>-0.45997043245272451</v>
      </c>
    </row>
    <row r="243" spans="1:17" x14ac:dyDescent="0.45">
      <c r="A243" t="s">
        <v>259</v>
      </c>
      <c r="B243">
        <v>83.7</v>
      </c>
      <c r="C243">
        <v>108.7</v>
      </c>
      <c r="D243">
        <v>2.3980000000000001E-2</v>
      </c>
      <c r="E243">
        <v>28.53</v>
      </c>
      <c r="F243">
        <v>1</v>
      </c>
      <c r="G243">
        <v>0.14763806760311099</v>
      </c>
      <c r="H243">
        <v>548.619973748441</v>
      </c>
      <c r="I243">
        <v>88.924767709525099</v>
      </c>
      <c r="K243">
        <v>0.14762531220912931</v>
      </c>
      <c r="L243" s="2">
        <f t="shared" si="9"/>
        <v>-8.6396375872200958E-3</v>
      </c>
      <c r="N243">
        <v>87.645606994628906</v>
      </c>
      <c r="O243">
        <v>539.75567626953125</v>
      </c>
      <c r="P243" s="2">
        <f t="shared" si="10"/>
        <v>-1.4384751828361277</v>
      </c>
      <c r="Q243" s="2">
        <f t="shared" si="11"/>
        <v>-1.6157445778622523</v>
      </c>
    </row>
    <row r="244" spans="1:17" x14ac:dyDescent="0.45">
      <c r="A244" t="s">
        <v>260</v>
      </c>
      <c r="B244">
        <v>55.2</v>
      </c>
      <c r="C244">
        <v>130</v>
      </c>
      <c r="D244">
        <v>1.1055000000000001E-2</v>
      </c>
      <c r="E244">
        <v>28.13</v>
      </c>
      <c r="F244">
        <v>1</v>
      </c>
      <c r="G244">
        <v>4.7765944153070401E-2</v>
      </c>
      <c r="H244">
        <v>555.20829180160399</v>
      </c>
      <c r="I244">
        <v>45.0968290374676</v>
      </c>
      <c r="K244">
        <v>5.5553946644067757E-2</v>
      </c>
      <c r="L244" s="2">
        <f t="shared" si="9"/>
        <v>16.304508639125771</v>
      </c>
      <c r="N244">
        <v>46.641189575195313</v>
      </c>
      <c r="O244">
        <v>543.695556640625</v>
      </c>
      <c r="P244" s="2">
        <f t="shared" si="10"/>
        <v>3.4245435226601368</v>
      </c>
      <c r="Q244" s="2">
        <f t="shared" si="11"/>
        <v>-2.0735884767896997</v>
      </c>
    </row>
    <row r="245" spans="1:17" x14ac:dyDescent="0.45">
      <c r="A245" t="s">
        <v>261</v>
      </c>
      <c r="B245">
        <v>79.400000000000006</v>
      </c>
      <c r="C245">
        <v>111</v>
      </c>
      <c r="D245">
        <v>2.2963999999999998E-2</v>
      </c>
      <c r="E245">
        <v>29.9</v>
      </c>
      <c r="F245">
        <v>1</v>
      </c>
      <c r="G245">
        <v>0.13007928431033999</v>
      </c>
      <c r="H245">
        <v>557.39484915657295</v>
      </c>
      <c r="I245">
        <v>81.711819469215797</v>
      </c>
      <c r="K245">
        <v>0.13242752850055689</v>
      </c>
      <c r="L245" s="2">
        <f t="shared" si="9"/>
        <v>1.8052407058256206</v>
      </c>
      <c r="N245">
        <v>79.985641479492188</v>
      </c>
      <c r="O245">
        <v>554.41900634765625</v>
      </c>
      <c r="P245" s="2">
        <f t="shared" si="10"/>
        <v>-2.1125193404534723</v>
      </c>
      <c r="Q245" s="2">
        <f t="shared" si="11"/>
        <v>-0.53388416011013007</v>
      </c>
    </row>
    <row r="246" spans="1:17" x14ac:dyDescent="0.45">
      <c r="A246" t="s">
        <v>262</v>
      </c>
      <c r="B246">
        <v>55.8</v>
      </c>
      <c r="C246">
        <v>124.2</v>
      </c>
      <c r="D246">
        <v>1.0839E-2</v>
      </c>
      <c r="E246">
        <v>24.85</v>
      </c>
      <c r="F246">
        <v>1</v>
      </c>
      <c r="G246">
        <v>4.94178719818592E-2</v>
      </c>
      <c r="H246">
        <v>532.06022294827699</v>
      </c>
      <c r="I246">
        <v>47.923832534391003</v>
      </c>
      <c r="K246">
        <v>5.744626373052597E-2</v>
      </c>
      <c r="L246" s="2">
        <f t="shared" si="9"/>
        <v>16.245927691127434</v>
      </c>
      <c r="N246">
        <v>48.586982727050781</v>
      </c>
      <c r="O246">
        <v>522.75994873046875</v>
      </c>
      <c r="P246" s="2">
        <f t="shared" si="10"/>
        <v>1.3837586803682476</v>
      </c>
      <c r="Q246" s="2">
        <f t="shared" si="11"/>
        <v>-1.7479739729974784</v>
      </c>
    </row>
    <row r="247" spans="1:17" x14ac:dyDescent="0.45">
      <c r="A247" t="s">
        <v>263</v>
      </c>
      <c r="B247">
        <v>68.5</v>
      </c>
      <c r="C247">
        <v>109.3</v>
      </c>
      <c r="D247">
        <v>1.3754000000000001E-2</v>
      </c>
      <c r="E247">
        <v>20</v>
      </c>
      <c r="F247">
        <v>1</v>
      </c>
      <c r="G247">
        <v>8.6759798228740595E-2</v>
      </c>
      <c r="H247">
        <v>497.57726543475502</v>
      </c>
      <c r="I247">
        <v>69.316232913079901</v>
      </c>
      <c r="K247">
        <v>8.2346349954605103E-2</v>
      </c>
      <c r="L247" s="2">
        <f t="shared" si="9"/>
        <v>-5.0869738798833053</v>
      </c>
      <c r="N247">
        <v>67.406745910644531</v>
      </c>
      <c r="O247">
        <v>491.86044311523438</v>
      </c>
      <c r="P247" s="2">
        <f t="shared" si="10"/>
        <v>-2.7547472246938156</v>
      </c>
      <c r="Q247" s="2">
        <f t="shared" si="11"/>
        <v>-1.1489315763905747</v>
      </c>
    </row>
    <row r="248" spans="1:17" x14ac:dyDescent="0.45">
      <c r="A248" t="s">
        <v>264</v>
      </c>
      <c r="B248">
        <v>50.7</v>
      </c>
      <c r="C248">
        <v>113.5</v>
      </c>
      <c r="D248">
        <v>9.9010000000000001E-3</v>
      </c>
      <c r="E248">
        <v>24.3</v>
      </c>
      <c r="F248">
        <v>1</v>
      </c>
      <c r="G248">
        <v>5.3854350000619798E-2</v>
      </c>
      <c r="H248">
        <v>524.489509131727</v>
      </c>
      <c r="I248">
        <v>42.858744335631499</v>
      </c>
      <c r="K248">
        <v>5.6925851851701743E-2</v>
      </c>
      <c r="L248" s="2">
        <f t="shared" si="9"/>
        <v>5.7033495920879114</v>
      </c>
      <c r="N248">
        <v>42.780288696289063</v>
      </c>
      <c r="O248">
        <v>520.55859375</v>
      </c>
      <c r="P248" s="2">
        <f t="shared" si="10"/>
        <v>-0.18305631804805583</v>
      </c>
      <c r="Q248" s="2">
        <f t="shared" si="11"/>
        <v>-0.74947454873491925</v>
      </c>
    </row>
    <row r="249" spans="1:17" x14ac:dyDescent="0.45">
      <c r="A249" t="s">
        <v>265</v>
      </c>
      <c r="B249">
        <v>78.099999999999994</v>
      </c>
      <c r="C249">
        <v>116.4</v>
      </c>
      <c r="D249">
        <v>2.4736999999999999E-2</v>
      </c>
      <c r="E249">
        <v>35</v>
      </c>
      <c r="F249">
        <v>1</v>
      </c>
      <c r="G249">
        <v>0.119809314608573</v>
      </c>
      <c r="H249">
        <v>589.62513026576403</v>
      </c>
      <c r="I249">
        <v>77.6082308807201</v>
      </c>
      <c r="K249">
        <v>0.1244117617607117</v>
      </c>
      <c r="L249" s="2">
        <f t="shared" si="9"/>
        <v>3.8414769061781864</v>
      </c>
      <c r="N249">
        <v>78.013435363769531</v>
      </c>
      <c r="O249">
        <v>590.0203857421875</v>
      </c>
      <c r="P249" s="2">
        <f t="shared" si="10"/>
        <v>0.52211534582228747</v>
      </c>
      <c r="Q249" s="2">
        <f t="shared" si="11"/>
        <v>6.7035045851135427E-2</v>
      </c>
    </row>
    <row r="250" spans="1:17" x14ac:dyDescent="0.45">
      <c r="A250" t="s">
        <v>266</v>
      </c>
      <c r="B250">
        <v>85.8</v>
      </c>
      <c r="C250">
        <v>112.5</v>
      </c>
      <c r="D250">
        <v>2.3165999999999999E-2</v>
      </c>
      <c r="E250">
        <v>26.93</v>
      </c>
      <c r="F250">
        <v>1.27</v>
      </c>
      <c r="G250">
        <v>0.127260982990264</v>
      </c>
      <c r="H250">
        <v>587.11329932511399</v>
      </c>
      <c r="I250">
        <v>96.803784878746001</v>
      </c>
      <c r="K250">
        <v>0.1233038157224655</v>
      </c>
      <c r="L250" s="2">
        <f t="shared" si="9"/>
        <v>-3.1094897861202622</v>
      </c>
      <c r="N250">
        <v>94.160446166992188</v>
      </c>
      <c r="O250">
        <v>578.56243896484375</v>
      </c>
      <c r="P250" s="2">
        <f t="shared" si="10"/>
        <v>-2.7306150426502365</v>
      </c>
      <c r="Q250" s="2">
        <f t="shared" si="11"/>
        <v>-1.4564242319326506</v>
      </c>
    </row>
    <row r="251" spans="1:17" x14ac:dyDescent="0.45">
      <c r="A251" t="s">
        <v>267</v>
      </c>
      <c r="B251">
        <v>52.8</v>
      </c>
      <c r="C251">
        <v>110.4</v>
      </c>
      <c r="D251">
        <v>1.3049E-2</v>
      </c>
      <c r="E251">
        <v>30.84</v>
      </c>
      <c r="F251">
        <v>1</v>
      </c>
      <c r="G251">
        <v>7.5051017105579307E-2</v>
      </c>
      <c r="H251">
        <v>562.88256117309095</v>
      </c>
      <c r="I251">
        <v>45.368947773948399</v>
      </c>
      <c r="K251">
        <v>7.7920831739902496E-2</v>
      </c>
      <c r="L251" s="2">
        <f t="shared" si="9"/>
        <v>3.8238184437740905</v>
      </c>
      <c r="N251">
        <v>46.113616943359382</v>
      </c>
      <c r="O251">
        <v>563.05511474609375</v>
      </c>
      <c r="P251" s="2">
        <f t="shared" si="10"/>
        <v>1.6413631039479042</v>
      </c>
      <c r="Q251" s="2">
        <f t="shared" si="11"/>
        <v>3.0655341789801827E-2</v>
      </c>
    </row>
    <row r="252" spans="1:17" x14ac:dyDescent="0.45">
      <c r="A252" t="s">
        <v>268</v>
      </c>
      <c r="B252">
        <v>63.9</v>
      </c>
      <c r="C252">
        <v>111.2</v>
      </c>
      <c r="D252">
        <v>1.9335999999999999E-2</v>
      </c>
      <c r="E252">
        <v>35</v>
      </c>
      <c r="F252">
        <v>1</v>
      </c>
      <c r="G252">
        <v>0.10670384764671299</v>
      </c>
      <c r="H252">
        <v>588.04682359248704</v>
      </c>
      <c r="I252">
        <v>60.008937127430997</v>
      </c>
      <c r="K252">
        <v>0.1081558987498283</v>
      </c>
      <c r="L252" s="2">
        <f t="shared" si="9"/>
        <v>1.3608235646037026</v>
      </c>
      <c r="N252">
        <v>60.007503509521477</v>
      </c>
      <c r="O252">
        <v>585.44940185546875</v>
      </c>
      <c r="P252" s="2">
        <f t="shared" si="10"/>
        <v>-2.3890073348162011E-3</v>
      </c>
      <c r="Q252" s="2">
        <f t="shared" si="11"/>
        <v>-0.44170321695645987</v>
      </c>
    </row>
    <row r="253" spans="1:17" x14ac:dyDescent="0.45">
      <c r="A253" t="s">
        <v>269</v>
      </c>
      <c r="B253">
        <v>54.7</v>
      </c>
      <c r="C253">
        <v>113.6</v>
      </c>
      <c r="D253">
        <v>1.1450999999999999E-2</v>
      </c>
      <c r="E253">
        <v>25.04</v>
      </c>
      <c r="F253">
        <v>1</v>
      </c>
      <c r="G253">
        <v>6.1871360987424802E-2</v>
      </c>
      <c r="H253">
        <v>528.95938254716202</v>
      </c>
      <c r="I253">
        <v>47.992027042991602</v>
      </c>
      <c r="K253">
        <v>6.4562603831291199E-2</v>
      </c>
      <c r="L253" s="2">
        <f t="shared" si="9"/>
        <v>4.3497392022997277</v>
      </c>
      <c r="N253">
        <v>48.254047393798828</v>
      </c>
      <c r="O253">
        <v>525.2359619140625</v>
      </c>
      <c r="P253" s="2">
        <f t="shared" si="10"/>
        <v>0.545966417656222</v>
      </c>
      <c r="Q253" s="2">
        <f t="shared" si="11"/>
        <v>-0.70391428074679097</v>
      </c>
    </row>
    <row r="254" spans="1:17" x14ac:dyDescent="0.45">
      <c r="A254" t="s">
        <v>270</v>
      </c>
      <c r="B254">
        <v>55.7</v>
      </c>
      <c r="C254">
        <v>110.8</v>
      </c>
      <c r="D254">
        <v>1.2089000000000001E-2</v>
      </c>
      <c r="E254">
        <v>25.36</v>
      </c>
      <c r="F254">
        <v>1</v>
      </c>
      <c r="G254">
        <v>7.0425152778625405E-2</v>
      </c>
      <c r="H254">
        <v>530.10348305032505</v>
      </c>
      <c r="I254">
        <v>50.000088002600897</v>
      </c>
      <c r="K254">
        <v>7.4573680758476257E-2</v>
      </c>
      <c r="L254" s="2">
        <f t="shared" si="9"/>
        <v>5.8906907776137096</v>
      </c>
      <c r="N254">
        <v>50.100852966308587</v>
      </c>
      <c r="O254">
        <v>526.99371337890625</v>
      </c>
      <c r="P254" s="2">
        <f t="shared" si="10"/>
        <v>0.20152957271284788</v>
      </c>
      <c r="Q254" s="2">
        <f t="shared" si="11"/>
        <v>-0.58663445362112043</v>
      </c>
    </row>
    <row r="255" spans="1:17" x14ac:dyDescent="0.45">
      <c r="A255" t="s">
        <v>271</v>
      </c>
      <c r="B255">
        <v>41.3</v>
      </c>
      <c r="C255">
        <v>112.7</v>
      </c>
      <c r="D255">
        <v>9.2949999999999994E-3</v>
      </c>
      <c r="E255">
        <v>35</v>
      </c>
      <c r="F255">
        <v>1</v>
      </c>
      <c r="G255">
        <v>4.9130473285913398E-2</v>
      </c>
      <c r="H255">
        <v>588.45640840305703</v>
      </c>
      <c r="I255">
        <v>28.9290511805495</v>
      </c>
      <c r="K255">
        <v>5.8243479579687119E-2</v>
      </c>
      <c r="L255" s="2">
        <f t="shared" si="9"/>
        <v>18.548582344690306</v>
      </c>
      <c r="N255">
        <v>28.62081336975098</v>
      </c>
      <c r="O255">
        <v>585.9400634765625</v>
      </c>
      <c r="P255" s="2">
        <f t="shared" si="10"/>
        <v>-1.0654957498425119</v>
      </c>
      <c r="Q255" s="2">
        <f t="shared" si="11"/>
        <v>-0.42761789837982045</v>
      </c>
    </row>
    <row r="256" spans="1:17" x14ac:dyDescent="0.45">
      <c r="A256" t="s">
        <v>272</v>
      </c>
      <c r="B256">
        <v>56.4</v>
      </c>
      <c r="C256">
        <v>119.9</v>
      </c>
      <c r="D256">
        <v>1.089E-2</v>
      </c>
      <c r="E256">
        <v>23.35</v>
      </c>
      <c r="F256">
        <v>1</v>
      </c>
      <c r="G256">
        <v>5.2737593650817802E-2</v>
      </c>
      <c r="H256">
        <v>521.06106623922403</v>
      </c>
      <c r="I256">
        <v>49.816606103799799</v>
      </c>
      <c r="K256">
        <v>5.7439729571342468E-2</v>
      </c>
      <c r="L256" s="2">
        <f t="shared" si="9"/>
        <v>8.9160987352932644</v>
      </c>
      <c r="N256">
        <v>49.814136505126953</v>
      </c>
      <c r="O256">
        <v>512.78094482421875</v>
      </c>
      <c r="P256" s="2">
        <f t="shared" si="10"/>
        <v>-4.9573804118656093E-3</v>
      </c>
      <c r="Q256" s="2">
        <f t="shared" si="11"/>
        <v>-1.5890884872223021</v>
      </c>
    </row>
    <row r="257" spans="1:17" x14ac:dyDescent="0.45">
      <c r="A257" t="s">
        <v>273</v>
      </c>
      <c r="B257">
        <v>79.400000000000006</v>
      </c>
      <c r="C257">
        <v>102.3</v>
      </c>
      <c r="D257">
        <v>2.7222E-2</v>
      </c>
      <c r="E257">
        <v>35</v>
      </c>
      <c r="F257">
        <v>1.1200000000000001</v>
      </c>
      <c r="G257">
        <v>0.22451323270797699</v>
      </c>
      <c r="H257">
        <v>612.953233895023</v>
      </c>
      <c r="I257">
        <v>86.456646765780306</v>
      </c>
      <c r="K257">
        <v>0.21488529443740839</v>
      </c>
      <c r="L257" s="2">
        <f t="shared" si="9"/>
        <v>-4.2883611600264109</v>
      </c>
      <c r="N257">
        <v>86.198440551757813</v>
      </c>
      <c r="O257">
        <v>611.3533935546875</v>
      </c>
      <c r="P257" s="2">
        <f t="shared" si="10"/>
        <v>-0.29865397708749897</v>
      </c>
      <c r="Q257" s="2">
        <f t="shared" si="11"/>
        <v>-0.26100528586321148</v>
      </c>
    </row>
    <row r="258" spans="1:17" x14ac:dyDescent="0.45">
      <c r="A258" t="s">
        <v>279</v>
      </c>
      <c r="B258">
        <v>83.1</v>
      </c>
      <c r="C258">
        <v>102.6</v>
      </c>
      <c r="D258">
        <v>2.8884E-2</v>
      </c>
      <c r="E258">
        <v>35</v>
      </c>
      <c r="F258">
        <v>1.1399999999999999</v>
      </c>
      <c r="G258">
        <v>0.233629405498504</v>
      </c>
      <c r="H258">
        <v>617.44347959985805</v>
      </c>
      <c r="I258">
        <v>91.884022463779004</v>
      </c>
      <c r="K258">
        <v>0.22948187589645391</v>
      </c>
      <c r="L258" s="2">
        <f t="shared" si="9"/>
        <v>-1.7752600933090354</v>
      </c>
      <c r="N258">
        <v>92.125656127929688</v>
      </c>
      <c r="O258">
        <v>617.0347900390625</v>
      </c>
      <c r="P258" s="2">
        <f t="shared" ref="P258:P321" si="12">(N258-I258)/I258*100</f>
        <v>0.26297680235531251</v>
      </c>
      <c r="Q258" s="2">
        <f t="shared" ref="Q258:Q321" si="13">(O258-H258)/H258*100</f>
        <v>-6.6190602751268438E-2</v>
      </c>
    </row>
    <row r="259" spans="1:17" x14ac:dyDescent="0.45">
      <c r="A259" t="s">
        <v>280</v>
      </c>
      <c r="B259">
        <v>45.4</v>
      </c>
      <c r="C259">
        <v>130</v>
      </c>
      <c r="D259">
        <v>7.5900000000000004E-3</v>
      </c>
      <c r="E259">
        <v>26.38</v>
      </c>
      <c r="F259">
        <v>1</v>
      </c>
      <c r="G259">
        <v>3.3096063882112503E-2</v>
      </c>
      <c r="H259">
        <v>544.70829180160399</v>
      </c>
      <c r="I259">
        <v>32.491697968431602</v>
      </c>
      <c r="K259">
        <v>3.2297935336828232E-2</v>
      </c>
      <c r="L259" s="2">
        <f t="shared" si="9"/>
        <v>-2.4115512591684278</v>
      </c>
      <c r="N259">
        <v>33.056522369384773</v>
      </c>
      <c r="O259">
        <v>532.56744384765625</v>
      </c>
      <c r="P259" s="2">
        <f t="shared" si="12"/>
        <v>1.7383652941189622</v>
      </c>
      <c r="Q259" s="2">
        <f t="shared" si="13"/>
        <v>-2.2288715146582958</v>
      </c>
    </row>
    <row r="260" spans="1:17" x14ac:dyDescent="0.45">
      <c r="A260" t="s">
        <v>281</v>
      </c>
      <c r="B260">
        <v>47.2</v>
      </c>
      <c r="C260">
        <v>104.1</v>
      </c>
      <c r="D260">
        <v>9.0039999999999999E-3</v>
      </c>
      <c r="E260">
        <v>23.76</v>
      </c>
      <c r="F260">
        <v>1</v>
      </c>
      <c r="G260">
        <v>6.9175265729427296E-2</v>
      </c>
      <c r="H260">
        <v>519.11192894749604</v>
      </c>
      <c r="I260">
        <v>39.142100622140902</v>
      </c>
      <c r="K260">
        <v>6.8850718438625336E-2</v>
      </c>
      <c r="L260" s="2">
        <f t="shared" si="9"/>
        <v>-0.46916667016704677</v>
      </c>
      <c r="N260">
        <v>37.722190856933587</v>
      </c>
      <c r="O260">
        <v>513.24066162109375</v>
      </c>
      <c r="P260" s="2">
        <f t="shared" si="12"/>
        <v>-3.6275768102341872</v>
      </c>
      <c r="Q260" s="2">
        <f t="shared" si="13"/>
        <v>-1.1310214616540089</v>
      </c>
    </row>
    <row r="261" spans="1:17" x14ac:dyDescent="0.45">
      <c r="A261" t="s">
        <v>282</v>
      </c>
      <c r="B261">
        <v>61.9</v>
      </c>
      <c r="C261">
        <v>108</v>
      </c>
      <c r="D261">
        <v>1.4323000000000001E-2</v>
      </c>
      <c r="E261">
        <v>25.22</v>
      </c>
      <c r="F261">
        <v>1</v>
      </c>
      <c r="G261">
        <v>9.1884173452854101E-2</v>
      </c>
      <c r="H261">
        <v>528.60626945821798</v>
      </c>
      <c r="I261">
        <v>58.881655217606898</v>
      </c>
      <c r="K261">
        <v>9.1354049742221832E-2</v>
      </c>
      <c r="L261" s="2">
        <f t="shared" si="9"/>
        <v>-0.57694779276027974</v>
      </c>
      <c r="N261">
        <v>59.724575042724609</v>
      </c>
      <c r="O261">
        <v>529.3046875</v>
      </c>
      <c r="P261" s="2">
        <f t="shared" si="12"/>
        <v>1.4315491336012236</v>
      </c>
      <c r="Q261" s="2">
        <f t="shared" si="13"/>
        <v>0.13212443403250707</v>
      </c>
    </row>
    <row r="262" spans="1:17" x14ac:dyDescent="0.45">
      <c r="A262" t="s">
        <v>283</v>
      </c>
      <c r="B262">
        <v>77.900000000000006</v>
      </c>
      <c r="C262">
        <v>115.8</v>
      </c>
      <c r="D262">
        <v>1.8259999999999998E-2</v>
      </c>
      <c r="E262">
        <v>24.07</v>
      </c>
      <c r="F262">
        <v>1</v>
      </c>
      <c r="G262">
        <v>9.4501294195651994E-2</v>
      </c>
      <c r="H262">
        <v>523.83946678402401</v>
      </c>
      <c r="I262">
        <v>80.238521374764503</v>
      </c>
      <c r="K262">
        <v>8.7627515196800232E-2</v>
      </c>
      <c r="L262" s="2">
        <f t="shared" si="9"/>
        <v>-7.273740595150521</v>
      </c>
      <c r="N262">
        <v>80.835487365722656</v>
      </c>
      <c r="O262">
        <v>517.7913818359375</v>
      </c>
      <c r="P262" s="2">
        <f t="shared" si="12"/>
        <v>0.74398927189840158</v>
      </c>
      <c r="Q262" s="2">
        <f t="shared" si="13"/>
        <v>-1.1545683995933247</v>
      </c>
    </row>
    <row r="263" spans="1:17" x14ac:dyDescent="0.45">
      <c r="A263" t="s">
        <v>284</v>
      </c>
      <c r="B263">
        <v>83</v>
      </c>
      <c r="C263">
        <v>113.3</v>
      </c>
      <c r="D263">
        <v>2.7399E-2</v>
      </c>
      <c r="E263">
        <v>35</v>
      </c>
      <c r="F263">
        <v>1</v>
      </c>
      <c r="G263">
        <v>0.14246663451194699</v>
      </c>
      <c r="H263">
        <v>588.63025613630202</v>
      </c>
      <c r="I263">
        <v>85.569100184830106</v>
      </c>
      <c r="K263">
        <v>0.14954771101474759</v>
      </c>
      <c r="L263" s="2">
        <f t="shared" si="9"/>
        <v>4.9703402674306822</v>
      </c>
      <c r="N263">
        <v>85.521186828613281</v>
      </c>
      <c r="O263">
        <v>589.46124267578125</v>
      </c>
      <c r="P263" s="2">
        <f t="shared" si="12"/>
        <v>-5.5993759561957561E-2</v>
      </c>
      <c r="Q263" s="2">
        <f t="shared" si="13"/>
        <v>0.1411729232088276</v>
      </c>
    </row>
    <row r="264" spans="1:17" x14ac:dyDescent="0.45">
      <c r="A264" t="s">
        <v>285</v>
      </c>
      <c r="B264">
        <v>79.599999999999994</v>
      </c>
      <c r="C264">
        <v>130</v>
      </c>
      <c r="D264">
        <v>2.1798999999999999E-2</v>
      </c>
      <c r="E264">
        <v>34.049999999999997</v>
      </c>
      <c r="F264">
        <v>1</v>
      </c>
      <c r="G264">
        <v>9.17371585965156E-2</v>
      </c>
      <c r="H264">
        <v>590.728291801605</v>
      </c>
      <c r="I264">
        <v>73.757182662230704</v>
      </c>
      <c r="K264">
        <v>9.840817004442215E-2</v>
      </c>
      <c r="L264" s="2">
        <f t="shared" si="9"/>
        <v>7.271874941371828</v>
      </c>
      <c r="N264">
        <v>77.837211608886719</v>
      </c>
      <c r="O264">
        <v>583.865478515625</v>
      </c>
      <c r="P264" s="2">
        <f t="shared" si="12"/>
        <v>5.5317038956604563</v>
      </c>
      <c r="Q264" s="2">
        <f t="shared" si="13"/>
        <v>-1.1617546308895697</v>
      </c>
    </row>
    <row r="265" spans="1:17" x14ac:dyDescent="0.45">
      <c r="A265" t="s">
        <v>286</v>
      </c>
      <c r="B265">
        <v>84.6</v>
      </c>
      <c r="C265">
        <v>100</v>
      </c>
      <c r="D265">
        <v>2.8275999999999999E-2</v>
      </c>
      <c r="E265">
        <v>32.9</v>
      </c>
      <c r="F265">
        <v>1.01</v>
      </c>
      <c r="G265">
        <v>0.27770918607711698</v>
      </c>
      <c r="H265">
        <v>575.48483860695205</v>
      </c>
      <c r="I265">
        <v>94.959197716245995</v>
      </c>
      <c r="K265">
        <v>0.25504162907600397</v>
      </c>
      <c r="L265" s="2">
        <f t="shared" ref="L265:L328" si="14">(K265-G265)/G265*100</f>
        <v>-8.1623360470396733</v>
      </c>
      <c r="N265">
        <v>94.724464416503906</v>
      </c>
      <c r="O265">
        <v>577.148681640625</v>
      </c>
      <c r="P265" s="2">
        <f t="shared" si="12"/>
        <v>-0.24719385313628248</v>
      </c>
      <c r="Q265" s="2">
        <f t="shared" si="13"/>
        <v>0.28912022038678381</v>
      </c>
    </row>
    <row r="266" spans="1:17" x14ac:dyDescent="0.45">
      <c r="A266" t="s">
        <v>287</v>
      </c>
      <c r="B266">
        <v>69.3</v>
      </c>
      <c r="C266">
        <v>118.1</v>
      </c>
      <c r="D266">
        <v>1.3287999999999999E-2</v>
      </c>
      <c r="E266">
        <v>20</v>
      </c>
      <c r="F266">
        <v>1</v>
      </c>
      <c r="G266">
        <v>6.7859247326850794E-2</v>
      </c>
      <c r="H266">
        <v>500.24408578010599</v>
      </c>
      <c r="I266">
        <v>69.305459613251401</v>
      </c>
      <c r="K266">
        <v>6.3542410731315613E-2</v>
      </c>
      <c r="L266" s="2">
        <f t="shared" si="14"/>
        <v>-6.361456640894807</v>
      </c>
      <c r="N266">
        <v>67.895713806152344</v>
      </c>
      <c r="O266">
        <v>488.12066650390619</v>
      </c>
      <c r="P266" s="2">
        <f t="shared" si="12"/>
        <v>-2.0341049824442829</v>
      </c>
      <c r="Q266" s="2">
        <f t="shared" si="13"/>
        <v>-2.4235007710873626</v>
      </c>
    </row>
    <row r="267" spans="1:17" x14ac:dyDescent="0.45">
      <c r="A267" t="s">
        <v>288</v>
      </c>
      <c r="B267">
        <v>61.2</v>
      </c>
      <c r="C267">
        <v>130</v>
      </c>
      <c r="D267">
        <v>1.111E-2</v>
      </c>
      <c r="E267">
        <v>23.05</v>
      </c>
      <c r="F267">
        <v>1</v>
      </c>
      <c r="G267">
        <v>4.9446567893028197E-2</v>
      </c>
      <c r="H267">
        <v>524.72829180160397</v>
      </c>
      <c r="I267">
        <v>54.051615108471402</v>
      </c>
      <c r="K267">
        <v>5.5537212640047073E-2</v>
      </c>
      <c r="L267" s="2">
        <f t="shared" si="14"/>
        <v>12.317628920565864</v>
      </c>
      <c r="N267">
        <v>56.664852142333977</v>
      </c>
      <c r="O267">
        <v>508.41952514648438</v>
      </c>
      <c r="P267" s="2">
        <f t="shared" si="12"/>
        <v>4.834706656994987</v>
      </c>
      <c r="Q267" s="2">
        <f t="shared" si="13"/>
        <v>-3.1080402772118538</v>
      </c>
    </row>
    <row r="268" spans="1:17" x14ac:dyDescent="0.45">
      <c r="A268" t="s">
        <v>289</v>
      </c>
      <c r="B268">
        <v>65.5</v>
      </c>
      <c r="C268">
        <v>102.6</v>
      </c>
      <c r="D268">
        <v>1.4283000000000001E-2</v>
      </c>
      <c r="E268">
        <v>22.07</v>
      </c>
      <c r="F268">
        <v>1</v>
      </c>
      <c r="G268">
        <v>0.119728073477745</v>
      </c>
      <c r="H268">
        <v>508.74202131005302</v>
      </c>
      <c r="I268">
        <v>66.775932339120303</v>
      </c>
      <c r="K268">
        <v>0.117296077311039</v>
      </c>
      <c r="L268" s="2">
        <f t="shared" si="14"/>
        <v>-2.0312664323944545</v>
      </c>
      <c r="N268">
        <v>65.994026184082031</v>
      </c>
      <c r="O268">
        <v>506.04544067382813</v>
      </c>
      <c r="P268" s="2">
        <f t="shared" si="12"/>
        <v>-1.1709400792300073</v>
      </c>
      <c r="Q268" s="2">
        <f t="shared" si="13"/>
        <v>-0.53004873261323582</v>
      </c>
    </row>
    <row r="269" spans="1:17" x14ac:dyDescent="0.45">
      <c r="A269" t="s">
        <v>290</v>
      </c>
      <c r="B269">
        <v>41.7</v>
      </c>
      <c r="C269">
        <v>130</v>
      </c>
      <c r="D269">
        <v>6.8869999999999999E-3</v>
      </c>
      <c r="E269">
        <v>28.51</v>
      </c>
      <c r="F269">
        <v>1</v>
      </c>
      <c r="G269">
        <v>2.9700428247451699E-2</v>
      </c>
      <c r="H269">
        <v>557.48829180160396</v>
      </c>
      <c r="I269">
        <v>27.362780771707701</v>
      </c>
      <c r="K269">
        <v>3.1826086342334747E-2</v>
      </c>
      <c r="L269" s="2">
        <f t="shared" si="14"/>
        <v>7.1569947651021844</v>
      </c>
      <c r="N269">
        <v>26.952058792114261</v>
      </c>
      <c r="O269">
        <v>547.92425537109375</v>
      </c>
      <c r="P269" s="2">
        <f t="shared" si="12"/>
        <v>-1.5010242673073422</v>
      </c>
      <c r="Q269" s="2">
        <f t="shared" si="13"/>
        <v>-1.7155582585604889</v>
      </c>
    </row>
    <row r="270" spans="1:17" x14ac:dyDescent="0.45">
      <c r="A270" t="s">
        <v>291</v>
      </c>
      <c r="B270">
        <v>61.7</v>
      </c>
      <c r="C270">
        <v>126.2</v>
      </c>
      <c r="D270">
        <v>1.0521000000000001E-2</v>
      </c>
      <c r="E270">
        <v>20</v>
      </c>
      <c r="F270">
        <v>1.2</v>
      </c>
      <c r="G270">
        <v>4.8935744911432197E-2</v>
      </c>
      <c r="H270">
        <v>531.01961276316899</v>
      </c>
      <c r="I270">
        <v>60.275069731040503</v>
      </c>
      <c r="K270">
        <v>5.1256440579891198E-2</v>
      </c>
      <c r="L270" s="2">
        <f t="shared" si="14"/>
        <v>4.7423323639175834</v>
      </c>
      <c r="N270">
        <v>61.848640441894531</v>
      </c>
      <c r="O270">
        <v>521.284912109375</v>
      </c>
      <c r="P270" s="2">
        <f t="shared" si="12"/>
        <v>2.6106493412212006</v>
      </c>
      <c r="Q270" s="2">
        <f t="shared" si="13"/>
        <v>-1.833209248739293</v>
      </c>
    </row>
    <row r="271" spans="1:17" x14ac:dyDescent="0.45">
      <c r="A271" t="s">
        <v>292</v>
      </c>
      <c r="B271">
        <v>61.4</v>
      </c>
      <c r="C271">
        <v>103.7</v>
      </c>
      <c r="D271">
        <v>1.6774000000000001E-2</v>
      </c>
      <c r="E271">
        <v>30.4</v>
      </c>
      <c r="F271">
        <v>1</v>
      </c>
      <c r="G271">
        <v>0.128861159086227</v>
      </c>
      <c r="H271">
        <v>558.88785470374603</v>
      </c>
      <c r="I271">
        <v>58.900352427729104</v>
      </c>
      <c r="K271">
        <v>0.12548939883708951</v>
      </c>
      <c r="L271" s="2">
        <f t="shared" si="14"/>
        <v>-2.6165838279332005</v>
      </c>
      <c r="N271">
        <v>57.056632995605469</v>
      </c>
      <c r="O271">
        <v>559.39007568359375</v>
      </c>
      <c r="P271" s="2">
        <f t="shared" si="12"/>
        <v>-3.1302349750553424</v>
      </c>
      <c r="Q271" s="2">
        <f t="shared" si="13"/>
        <v>8.9860778977552971E-2</v>
      </c>
    </row>
    <row r="272" spans="1:17" x14ac:dyDescent="0.45">
      <c r="A272" t="s">
        <v>293</v>
      </c>
      <c r="B272">
        <v>56.3</v>
      </c>
      <c r="C272">
        <v>127.7</v>
      </c>
      <c r="D272">
        <v>1.0063000000000001E-2</v>
      </c>
      <c r="E272">
        <v>23.15</v>
      </c>
      <c r="F272">
        <v>1</v>
      </c>
      <c r="G272">
        <v>4.5223597437143298E-2</v>
      </c>
      <c r="H272">
        <v>523.83278164793603</v>
      </c>
      <c r="I272">
        <v>47.540427194775901</v>
      </c>
      <c r="K272">
        <v>5.0377633422613137E-2</v>
      </c>
      <c r="L272" s="2">
        <f t="shared" si="14"/>
        <v>11.396784593780895</v>
      </c>
      <c r="N272">
        <v>49.616493225097663</v>
      </c>
      <c r="O272">
        <v>512.27685546875</v>
      </c>
      <c r="P272" s="2">
        <f t="shared" si="12"/>
        <v>4.3669486220979854</v>
      </c>
      <c r="Q272" s="2">
        <f t="shared" si="13"/>
        <v>-2.2060334106681929</v>
      </c>
    </row>
    <row r="273" spans="1:17" x14ac:dyDescent="0.45">
      <c r="A273" t="s">
        <v>294</v>
      </c>
      <c r="B273">
        <v>44.7</v>
      </c>
      <c r="C273">
        <v>122.3</v>
      </c>
      <c r="D273">
        <v>6.5079999999999999E-3</v>
      </c>
      <c r="E273">
        <v>20.25</v>
      </c>
      <c r="F273">
        <v>1.06</v>
      </c>
      <c r="G273">
        <v>3.12974713742733E-2</v>
      </c>
      <c r="H273">
        <v>511.66578962140397</v>
      </c>
      <c r="I273">
        <v>34.833597928568999</v>
      </c>
      <c r="K273">
        <v>3.4937743097543723E-2</v>
      </c>
      <c r="L273" s="2">
        <f t="shared" si="14"/>
        <v>11.631200743785158</v>
      </c>
      <c r="N273">
        <v>34.30078125</v>
      </c>
      <c r="O273">
        <v>510.44827270507813</v>
      </c>
      <c r="P273" s="2">
        <f t="shared" si="12"/>
        <v>-1.529605640111054</v>
      </c>
      <c r="Q273" s="2">
        <f t="shared" si="13"/>
        <v>-0.23795159673010857</v>
      </c>
    </row>
    <row r="274" spans="1:17" x14ac:dyDescent="0.45">
      <c r="A274" t="s">
        <v>295</v>
      </c>
      <c r="B274">
        <v>60.1</v>
      </c>
      <c r="C274">
        <v>130</v>
      </c>
      <c r="D274">
        <v>1.2508E-2</v>
      </c>
      <c r="E274">
        <v>27.88</v>
      </c>
      <c r="F274">
        <v>1</v>
      </c>
      <c r="G274">
        <v>5.4104853421449599E-2</v>
      </c>
      <c r="H274">
        <v>553.70829180160399</v>
      </c>
      <c r="I274">
        <v>51.012030989756298</v>
      </c>
      <c r="K274">
        <v>6.3667543232440948E-2</v>
      </c>
      <c r="L274" s="2">
        <f t="shared" si="14"/>
        <v>17.674365988024782</v>
      </c>
      <c r="N274">
        <v>53.391410827636719</v>
      </c>
      <c r="O274">
        <v>544.85906982421875</v>
      </c>
      <c r="P274" s="2">
        <f t="shared" si="12"/>
        <v>4.6643503340579073</v>
      </c>
      <c r="Q274" s="2">
        <f t="shared" si="13"/>
        <v>-1.5981740039674095</v>
      </c>
    </row>
    <row r="275" spans="1:17" x14ac:dyDescent="0.45">
      <c r="A275" t="s">
        <v>296</v>
      </c>
      <c r="B275">
        <v>44.6</v>
      </c>
      <c r="C275">
        <v>126.6</v>
      </c>
      <c r="D275">
        <v>6.927E-3</v>
      </c>
      <c r="E275">
        <v>23.31</v>
      </c>
      <c r="F275">
        <v>1</v>
      </c>
      <c r="G275">
        <v>3.1328275799751198E-2</v>
      </c>
      <c r="H275">
        <v>524.13570259964195</v>
      </c>
      <c r="I275">
        <v>32.838607626270402</v>
      </c>
      <c r="K275">
        <v>3.6342065781354897E-2</v>
      </c>
      <c r="L275" s="2">
        <f t="shared" si="14"/>
        <v>16.004040610634299</v>
      </c>
      <c r="N275">
        <v>32.796981811523438</v>
      </c>
      <c r="O275">
        <v>514.7315673828125</v>
      </c>
      <c r="P275" s="2">
        <f t="shared" si="12"/>
        <v>-0.12675876888782814</v>
      </c>
      <c r="Q275" s="2">
        <f t="shared" si="13"/>
        <v>-1.7942176368040206</v>
      </c>
    </row>
    <row r="276" spans="1:17" x14ac:dyDescent="0.45">
      <c r="A276" t="s">
        <v>297</v>
      </c>
      <c r="B276">
        <v>56.4</v>
      </c>
      <c r="C276">
        <v>119.9</v>
      </c>
      <c r="D276">
        <v>1.0893999999999999E-2</v>
      </c>
      <c r="E276">
        <v>23.37</v>
      </c>
      <c r="F276">
        <v>1</v>
      </c>
      <c r="G276">
        <v>5.2767660468816702E-2</v>
      </c>
      <c r="H276">
        <v>521.18106623922495</v>
      </c>
      <c r="I276">
        <v>50.182754359450399</v>
      </c>
      <c r="K276">
        <v>5.7506807148456567E-2</v>
      </c>
      <c r="L276" s="2">
        <f t="shared" si="14"/>
        <v>8.9811574694324126</v>
      </c>
      <c r="N276">
        <v>49.807106018066413</v>
      </c>
      <c r="O276">
        <v>512.90509033203125</v>
      </c>
      <c r="P276" s="2">
        <f t="shared" si="12"/>
        <v>-0.74856062840489346</v>
      </c>
      <c r="Q276" s="2">
        <f t="shared" si="13"/>
        <v>-1.5879271990657811</v>
      </c>
    </row>
    <row r="277" spans="1:17" x14ac:dyDescent="0.45">
      <c r="A277" t="s">
        <v>298</v>
      </c>
      <c r="B277">
        <v>77.3</v>
      </c>
      <c r="C277">
        <v>106.8</v>
      </c>
      <c r="D277">
        <v>2.2091E-2</v>
      </c>
      <c r="E277">
        <v>29.06</v>
      </c>
      <c r="F277">
        <v>1</v>
      </c>
      <c r="G277">
        <v>0.146356672048568</v>
      </c>
      <c r="H277">
        <v>551.39862969411195</v>
      </c>
      <c r="I277">
        <v>81.656818327785302</v>
      </c>
      <c r="K277">
        <v>0.14780397713184359</v>
      </c>
      <c r="L277" s="2">
        <f t="shared" si="14"/>
        <v>0.98888903595410194</v>
      </c>
      <c r="N277">
        <v>78.718170166015625</v>
      </c>
      <c r="O277">
        <v>543.31903076171875</v>
      </c>
      <c r="P277" s="2">
        <f t="shared" si="12"/>
        <v>-3.5987786714557135</v>
      </c>
      <c r="Q277" s="2">
        <f t="shared" si="13"/>
        <v>-1.4652918047466583</v>
      </c>
    </row>
    <row r="278" spans="1:17" x14ac:dyDescent="0.45">
      <c r="A278" t="s">
        <v>299</v>
      </c>
      <c r="B278">
        <v>89.3</v>
      </c>
      <c r="C278">
        <v>119.6</v>
      </c>
      <c r="D278">
        <v>2.0485E-2</v>
      </c>
      <c r="E278">
        <v>22.93</v>
      </c>
      <c r="F278">
        <v>1</v>
      </c>
      <c r="G278">
        <v>9.9968686699867207E-2</v>
      </c>
      <c r="H278">
        <v>518.416976062412</v>
      </c>
      <c r="I278">
        <v>95.050494096069897</v>
      </c>
      <c r="K278">
        <v>9.7109965980052948E-2</v>
      </c>
      <c r="L278" s="2">
        <f t="shared" si="14"/>
        <v>-2.8596161600050873</v>
      </c>
      <c r="N278">
        <v>95.066024780273438</v>
      </c>
      <c r="O278">
        <v>506.767333984375</v>
      </c>
      <c r="P278" s="2">
        <f t="shared" si="12"/>
        <v>1.6339403967582579E-2</v>
      </c>
      <c r="Q278" s="2">
        <f t="shared" si="13"/>
        <v>-2.2471567514090256</v>
      </c>
    </row>
    <row r="279" spans="1:17" x14ac:dyDescent="0.45">
      <c r="A279" t="s">
        <v>300</v>
      </c>
      <c r="B279">
        <v>71</v>
      </c>
      <c r="C279">
        <v>130</v>
      </c>
      <c r="D279">
        <v>1.3476E-2</v>
      </c>
      <c r="E279">
        <v>22.42</v>
      </c>
      <c r="F279">
        <v>1</v>
      </c>
      <c r="G279">
        <v>6.0212559998035403E-2</v>
      </c>
      <c r="H279">
        <v>520.94829180160298</v>
      </c>
      <c r="I279">
        <v>66.882293716862605</v>
      </c>
      <c r="K279">
        <v>6.3131995499134064E-2</v>
      </c>
      <c r="L279" s="2">
        <f t="shared" si="14"/>
        <v>4.8485490422495152</v>
      </c>
      <c r="N279">
        <v>68.524765014648438</v>
      </c>
      <c r="O279">
        <v>504.29986572265619</v>
      </c>
      <c r="P279" s="2">
        <f t="shared" si="12"/>
        <v>2.4557640094387585</v>
      </c>
      <c r="Q279" s="2">
        <f t="shared" si="13"/>
        <v>-3.1957924310244481</v>
      </c>
    </row>
    <row r="280" spans="1:17" x14ac:dyDescent="0.45">
      <c r="A280" t="s">
        <v>301</v>
      </c>
      <c r="B280">
        <v>87.8</v>
      </c>
      <c r="C280">
        <v>126</v>
      </c>
      <c r="D280">
        <v>2.1434000000000002E-2</v>
      </c>
      <c r="E280">
        <v>26.87</v>
      </c>
      <c r="F280">
        <v>1</v>
      </c>
      <c r="G280">
        <v>9.5192097127437494E-2</v>
      </c>
      <c r="H280">
        <v>545.15207657563303</v>
      </c>
      <c r="I280">
        <v>89.0366634079341</v>
      </c>
      <c r="K280">
        <v>9.6399717032909393E-2</v>
      </c>
      <c r="L280" s="2">
        <f t="shared" si="14"/>
        <v>1.2686136159551245</v>
      </c>
      <c r="N280">
        <v>89.913612365722656</v>
      </c>
      <c r="O280">
        <v>540.67083740234375</v>
      </c>
      <c r="P280" s="2">
        <f t="shared" si="12"/>
        <v>0.98493016721739723</v>
      </c>
      <c r="Q280" s="2">
        <f t="shared" si="13"/>
        <v>-0.82201634476715901</v>
      </c>
    </row>
    <row r="281" spans="1:17" x14ac:dyDescent="0.45">
      <c r="A281" t="s">
        <v>302</v>
      </c>
      <c r="B281">
        <v>86.9</v>
      </c>
      <c r="C281">
        <v>123.3</v>
      </c>
      <c r="D281">
        <v>2.4747000000000002E-2</v>
      </c>
      <c r="E281">
        <v>31.63</v>
      </c>
      <c r="F281">
        <v>1</v>
      </c>
      <c r="G281">
        <v>0.109726950526237</v>
      </c>
      <c r="H281">
        <v>572.285755408873</v>
      </c>
      <c r="I281">
        <v>87.675763093976002</v>
      </c>
      <c r="K281">
        <v>0.11334756761789321</v>
      </c>
      <c r="L281" s="2">
        <f t="shared" si="14"/>
        <v>3.2996607253661629</v>
      </c>
      <c r="N281">
        <v>89.371543884277344</v>
      </c>
      <c r="O281">
        <v>568.01373291015625</v>
      </c>
      <c r="P281" s="2">
        <f t="shared" si="12"/>
        <v>1.9341500210083202</v>
      </c>
      <c r="Q281" s="2">
        <f t="shared" si="13"/>
        <v>-0.74648415731832762</v>
      </c>
    </row>
    <row r="282" spans="1:17" x14ac:dyDescent="0.45">
      <c r="A282" t="s">
        <v>303</v>
      </c>
      <c r="B282">
        <v>43.5</v>
      </c>
      <c r="C282">
        <v>120.9</v>
      </c>
      <c r="D282">
        <v>9.6570000000000007E-3</v>
      </c>
      <c r="E282">
        <v>35</v>
      </c>
      <c r="F282">
        <v>1.29</v>
      </c>
      <c r="G282">
        <v>4.3455615639686501E-2</v>
      </c>
      <c r="H282">
        <v>656.34413481087495</v>
      </c>
      <c r="I282">
        <v>33.000545633745901</v>
      </c>
      <c r="K282">
        <v>4.8214327543973923E-2</v>
      </c>
      <c r="L282" s="2">
        <f t="shared" si="14"/>
        <v>10.950740966931454</v>
      </c>
      <c r="N282">
        <v>31.842668533325199</v>
      </c>
      <c r="O282">
        <v>646.66552734375</v>
      </c>
      <c r="P282" s="2">
        <f t="shared" si="12"/>
        <v>-3.5086604726822244</v>
      </c>
      <c r="Q282" s="2">
        <f t="shared" si="13"/>
        <v>-1.4746238983172799</v>
      </c>
    </row>
    <row r="283" spans="1:17" x14ac:dyDescent="0.45">
      <c r="A283" t="s">
        <v>304</v>
      </c>
      <c r="B283">
        <v>56.8</v>
      </c>
      <c r="C283">
        <v>117.8</v>
      </c>
      <c r="D283">
        <v>9.9389999999999999E-3</v>
      </c>
      <c r="E283">
        <v>20</v>
      </c>
      <c r="F283">
        <v>1</v>
      </c>
      <c r="G283">
        <v>5.1015097647905301E-2</v>
      </c>
      <c r="H283">
        <v>500.13086458363603</v>
      </c>
      <c r="I283">
        <v>51.775454029699802</v>
      </c>
      <c r="K283">
        <v>4.9733053892850883E-2</v>
      </c>
      <c r="L283" s="2">
        <f t="shared" si="14"/>
        <v>-2.5130673352872814</v>
      </c>
      <c r="N283">
        <v>52.002147674560547</v>
      </c>
      <c r="O283">
        <v>484.65188598632813</v>
      </c>
      <c r="P283" s="2">
        <f t="shared" si="12"/>
        <v>0.43783999408427726</v>
      </c>
      <c r="Q283" s="2">
        <f t="shared" si="13"/>
        <v>-3.0949856714390753</v>
      </c>
    </row>
    <row r="284" spans="1:17" x14ac:dyDescent="0.45">
      <c r="A284" t="s">
        <v>305</v>
      </c>
      <c r="B284">
        <v>65.099999999999994</v>
      </c>
      <c r="C284">
        <v>130</v>
      </c>
      <c r="D284">
        <v>1.4004000000000001E-2</v>
      </c>
      <c r="E284">
        <v>27.72</v>
      </c>
      <c r="F284">
        <v>1</v>
      </c>
      <c r="G284">
        <v>6.0629308223724303E-2</v>
      </c>
      <c r="H284">
        <v>552.74829180160395</v>
      </c>
      <c r="I284">
        <v>56.529551398784498</v>
      </c>
      <c r="K284">
        <v>7.0840045809745789E-2</v>
      </c>
      <c r="L284" s="2">
        <f t="shared" si="14"/>
        <v>16.841256951742714</v>
      </c>
      <c r="N284">
        <v>59.140758514404297</v>
      </c>
      <c r="O284">
        <v>547.19036865234375</v>
      </c>
      <c r="P284" s="2">
        <f t="shared" si="12"/>
        <v>4.619189523014585</v>
      </c>
      <c r="Q284" s="2">
        <f t="shared" si="13"/>
        <v>-1.0055070692565959</v>
      </c>
    </row>
    <row r="285" spans="1:17" x14ac:dyDescent="0.45">
      <c r="A285" t="s">
        <v>306</v>
      </c>
      <c r="B285">
        <v>43.4</v>
      </c>
      <c r="C285">
        <v>130</v>
      </c>
      <c r="D285">
        <v>6.1729999999999997E-3</v>
      </c>
      <c r="E285">
        <v>22.38</v>
      </c>
      <c r="F285">
        <v>1</v>
      </c>
      <c r="G285">
        <v>2.75992415845394E-2</v>
      </c>
      <c r="H285">
        <v>520.70829180160399</v>
      </c>
      <c r="I285">
        <v>30.754360653215699</v>
      </c>
      <c r="K285">
        <v>3.1094163656234741E-2</v>
      </c>
      <c r="L285" s="2">
        <f t="shared" si="14"/>
        <v>12.663109096639577</v>
      </c>
      <c r="N285">
        <v>30.497823715209961</v>
      </c>
      <c r="O285">
        <v>512.07794189453125</v>
      </c>
      <c r="P285" s="2">
        <f t="shared" si="12"/>
        <v>-0.83414817462288526</v>
      </c>
      <c r="Q285" s="2">
        <f t="shared" si="13"/>
        <v>-1.6574250963456918</v>
      </c>
    </row>
    <row r="286" spans="1:17" x14ac:dyDescent="0.45">
      <c r="A286" t="s">
        <v>307</v>
      </c>
      <c r="B286">
        <v>82</v>
      </c>
      <c r="C286">
        <v>102.9</v>
      </c>
      <c r="D286">
        <v>2.8355000000000002E-2</v>
      </c>
      <c r="E286">
        <v>35</v>
      </c>
      <c r="F286">
        <v>1</v>
      </c>
      <c r="G286">
        <v>0.22581814229488301</v>
      </c>
      <c r="H286">
        <v>586.36575205787005</v>
      </c>
      <c r="I286">
        <v>88.188845651454898</v>
      </c>
      <c r="K286">
        <v>0.21992018818855291</v>
      </c>
      <c r="L286" s="2">
        <f t="shared" si="14"/>
        <v>-2.6118158826354585</v>
      </c>
      <c r="N286">
        <v>87.995628356933594</v>
      </c>
      <c r="O286">
        <v>588.8470458984375</v>
      </c>
      <c r="P286" s="2">
        <f t="shared" si="12"/>
        <v>-0.21909493552614198</v>
      </c>
      <c r="Q286" s="2">
        <f t="shared" si="13"/>
        <v>0.42316486456776559</v>
      </c>
    </row>
    <row r="287" spans="1:17" x14ac:dyDescent="0.45">
      <c r="A287" t="s">
        <v>308</v>
      </c>
      <c r="B287">
        <v>76.599999999999994</v>
      </c>
      <c r="C287">
        <v>113.8</v>
      </c>
      <c r="D287">
        <v>2.0174999999999998E-2</v>
      </c>
      <c r="E287">
        <v>27.62</v>
      </c>
      <c r="F287">
        <v>1</v>
      </c>
      <c r="G287">
        <v>0.10697191953658999</v>
      </c>
      <c r="H287">
        <v>544.49962600710899</v>
      </c>
      <c r="I287">
        <v>77.913030774439605</v>
      </c>
      <c r="K287">
        <v>0.1037917286157608</v>
      </c>
      <c r="L287" s="2">
        <f t="shared" si="14"/>
        <v>-2.9729212438236172</v>
      </c>
      <c r="N287">
        <v>75.899589538574219</v>
      </c>
      <c r="O287">
        <v>538.200927734375</v>
      </c>
      <c r="P287" s="2">
        <f t="shared" si="12"/>
        <v>-2.5842162932852073</v>
      </c>
      <c r="Q287" s="2">
        <f t="shared" si="13"/>
        <v>-1.1567865195653506</v>
      </c>
    </row>
    <row r="288" spans="1:17" x14ac:dyDescent="0.45">
      <c r="A288" t="s">
        <v>309</v>
      </c>
      <c r="B288">
        <v>62.1</v>
      </c>
      <c r="C288">
        <v>114.3</v>
      </c>
      <c r="D288">
        <v>1.8192E-2</v>
      </c>
      <c r="E288">
        <v>35</v>
      </c>
      <c r="F288">
        <v>1</v>
      </c>
      <c r="G288">
        <v>9.2250898480415303E-2</v>
      </c>
      <c r="H288">
        <v>588.93315821430201</v>
      </c>
      <c r="I288">
        <v>56.937708507367198</v>
      </c>
      <c r="K288">
        <v>9.483201801776886E-2</v>
      </c>
      <c r="L288" s="2">
        <f t="shared" si="14"/>
        <v>2.7979343072756349</v>
      </c>
      <c r="N288">
        <v>56.615055084228523</v>
      </c>
      <c r="O288">
        <v>585.4285888671875</v>
      </c>
      <c r="P288" s="2">
        <f t="shared" si="12"/>
        <v>-0.56667792153406871</v>
      </c>
      <c r="Q288" s="2">
        <f t="shared" si="13"/>
        <v>-0.59507081546243368</v>
      </c>
    </row>
    <row r="289" spans="1:17" x14ac:dyDescent="0.45">
      <c r="A289" t="s">
        <v>310</v>
      </c>
      <c r="B289">
        <v>65</v>
      </c>
      <c r="C289">
        <v>126.8</v>
      </c>
      <c r="D289">
        <v>1.6362000000000002E-2</v>
      </c>
      <c r="E289">
        <v>32.33</v>
      </c>
      <c r="F289">
        <v>1</v>
      </c>
      <c r="G289">
        <v>7.0315390825271606E-2</v>
      </c>
      <c r="H289">
        <v>578.37252734582</v>
      </c>
      <c r="I289">
        <v>57.9426199648153</v>
      </c>
      <c r="K289">
        <v>7.2159014642238617E-2</v>
      </c>
      <c r="L289" s="2">
        <f t="shared" si="14"/>
        <v>2.6219349637809386</v>
      </c>
      <c r="N289">
        <v>58.855571746826172</v>
      </c>
      <c r="O289">
        <v>576.4180908203125</v>
      </c>
      <c r="P289" s="2">
        <f t="shared" si="12"/>
        <v>1.5756135683288857</v>
      </c>
      <c r="Q289" s="2">
        <f t="shared" si="13"/>
        <v>-0.33792001402219241</v>
      </c>
    </row>
    <row r="290" spans="1:17" x14ac:dyDescent="0.45">
      <c r="A290" t="s">
        <v>311</v>
      </c>
      <c r="B290">
        <v>42.8</v>
      </c>
      <c r="C290">
        <v>100.8</v>
      </c>
      <c r="D290">
        <v>8.8129999999999997E-3</v>
      </c>
      <c r="E290">
        <v>28.41</v>
      </c>
      <c r="F290">
        <v>1</v>
      </c>
      <c r="G290">
        <v>8.19291472434997E-2</v>
      </c>
      <c r="H290">
        <v>546.54278672051896</v>
      </c>
      <c r="I290">
        <v>33.047779195848697</v>
      </c>
      <c r="K290">
        <v>8.1161677837371826E-2</v>
      </c>
      <c r="L290" s="2">
        <f t="shared" si="14"/>
        <v>-0.93674770450972267</v>
      </c>
      <c r="N290">
        <v>32.692073822021477</v>
      </c>
      <c r="O290">
        <v>543.0457763671875</v>
      </c>
      <c r="P290" s="2">
        <f t="shared" si="12"/>
        <v>-1.0763366933651695</v>
      </c>
      <c r="Q290" s="2">
        <f t="shared" si="13"/>
        <v>-0.6398420102321648</v>
      </c>
    </row>
    <row r="291" spans="1:17" x14ac:dyDescent="0.45">
      <c r="A291" t="s">
        <v>312</v>
      </c>
      <c r="B291">
        <v>77.599999999999994</v>
      </c>
      <c r="C291">
        <v>122.2</v>
      </c>
      <c r="D291">
        <v>1.9528E-2</v>
      </c>
      <c r="E291">
        <v>28.07</v>
      </c>
      <c r="F291">
        <v>1</v>
      </c>
      <c r="G291">
        <v>8.9257068932056399E-2</v>
      </c>
      <c r="H291">
        <v>550.39710697568898</v>
      </c>
      <c r="I291">
        <v>77.023724680876697</v>
      </c>
      <c r="K291">
        <v>9.2187322676181793E-2</v>
      </c>
      <c r="L291" s="2">
        <f t="shared" si="14"/>
        <v>3.2829374515490084</v>
      </c>
      <c r="N291">
        <v>77.140945434570313</v>
      </c>
      <c r="O291">
        <v>546.1431884765625</v>
      </c>
      <c r="P291" s="2">
        <f t="shared" si="12"/>
        <v>0.15218785404014482</v>
      </c>
      <c r="Q291" s="2">
        <f t="shared" si="13"/>
        <v>-0.77288169672635654</v>
      </c>
    </row>
    <row r="292" spans="1:17" x14ac:dyDescent="0.45">
      <c r="A292" t="s">
        <v>313</v>
      </c>
      <c r="B292">
        <v>52.3</v>
      </c>
      <c r="C292">
        <v>106.7</v>
      </c>
      <c r="D292">
        <v>1.4551E-2</v>
      </c>
      <c r="E292">
        <v>35</v>
      </c>
      <c r="F292">
        <v>1</v>
      </c>
      <c r="G292">
        <v>9.4938486814498901E-2</v>
      </c>
      <c r="H292">
        <v>587.01888155265499</v>
      </c>
      <c r="I292">
        <v>44.647507189123402</v>
      </c>
      <c r="K292">
        <v>9.6248418092727661E-2</v>
      </c>
      <c r="L292" s="2">
        <f t="shared" si="14"/>
        <v>1.3797684397353471</v>
      </c>
      <c r="N292">
        <v>45.069751739501953</v>
      </c>
      <c r="O292">
        <v>591.1656494140625</v>
      </c>
      <c r="P292" s="2">
        <f t="shared" si="12"/>
        <v>0.94572928470553885</v>
      </c>
      <c r="Q292" s="2">
        <f t="shared" si="13"/>
        <v>0.70641132538009344</v>
      </c>
    </row>
    <row r="293" spans="1:17" x14ac:dyDescent="0.45">
      <c r="A293" t="s">
        <v>314</v>
      </c>
      <c r="B293">
        <v>43.3</v>
      </c>
      <c r="C293">
        <v>117.6</v>
      </c>
      <c r="D293">
        <v>9.8289999999999992E-3</v>
      </c>
      <c r="E293">
        <v>35</v>
      </c>
      <c r="F293">
        <v>1</v>
      </c>
      <c r="G293">
        <v>4.6546060591936098E-2</v>
      </c>
      <c r="H293">
        <v>590.05634954123695</v>
      </c>
      <c r="I293">
        <v>31.185365037248999</v>
      </c>
      <c r="K293">
        <v>5.3898811340332031E-2</v>
      </c>
      <c r="L293" s="2">
        <f t="shared" si="14"/>
        <v>15.796719754345368</v>
      </c>
      <c r="N293">
        <v>30.125772476196289</v>
      </c>
      <c r="O293">
        <v>590.1724853515625</v>
      </c>
      <c r="P293" s="2">
        <f t="shared" si="12"/>
        <v>-3.3977237713494528</v>
      </c>
      <c r="Q293" s="2">
        <f t="shared" si="13"/>
        <v>1.9682155851019935E-2</v>
      </c>
    </row>
    <row r="294" spans="1:17" x14ac:dyDescent="0.45">
      <c r="A294" t="s">
        <v>315</v>
      </c>
      <c r="B294">
        <v>59</v>
      </c>
      <c r="C294">
        <v>114.6</v>
      </c>
      <c r="D294">
        <v>1.3226E-2</v>
      </c>
      <c r="E294">
        <v>26.11</v>
      </c>
      <c r="F294">
        <v>1</v>
      </c>
      <c r="G294">
        <v>6.9348528981208801E-2</v>
      </c>
      <c r="H294">
        <v>535.68730548560302</v>
      </c>
      <c r="I294">
        <v>53.959896390066199</v>
      </c>
      <c r="K294">
        <v>7.3036186397075653E-2</v>
      </c>
      <c r="L294" s="2">
        <f t="shared" si="14"/>
        <v>5.3175712160615358</v>
      </c>
      <c r="N294">
        <v>54.906314849853523</v>
      </c>
      <c r="O294">
        <v>531.685791015625</v>
      </c>
      <c r="P294" s="2">
        <f t="shared" si="12"/>
        <v>1.7539293495781361</v>
      </c>
      <c r="Q294" s="2">
        <f t="shared" si="13"/>
        <v>-0.74698698830479626</v>
      </c>
    </row>
    <row r="295" spans="1:17" x14ac:dyDescent="0.45">
      <c r="A295" t="s">
        <v>316</v>
      </c>
      <c r="B295">
        <v>68.599999999999994</v>
      </c>
      <c r="C295">
        <v>130</v>
      </c>
      <c r="D295">
        <v>1.3887999999999999E-2</v>
      </c>
      <c r="E295">
        <v>24.89</v>
      </c>
      <c r="F295">
        <v>1</v>
      </c>
      <c r="G295">
        <v>6.1092350631952202E-2</v>
      </c>
      <c r="H295">
        <v>535.76829180160303</v>
      </c>
      <c r="I295">
        <v>61.701246546154003</v>
      </c>
      <c r="K295">
        <v>6.6291384398937225E-2</v>
      </c>
      <c r="L295" s="2">
        <f t="shared" si="14"/>
        <v>8.5101223200697262</v>
      </c>
      <c r="N295">
        <v>64.159210205078125</v>
      </c>
      <c r="O295">
        <v>523.4044189453125</v>
      </c>
      <c r="P295" s="2">
        <f t="shared" si="12"/>
        <v>3.9836531618295692</v>
      </c>
      <c r="Q295" s="2">
        <f t="shared" si="13"/>
        <v>-2.3076902917705544</v>
      </c>
    </row>
    <row r="296" spans="1:17" x14ac:dyDescent="0.45">
      <c r="A296" t="s">
        <v>317</v>
      </c>
      <c r="B296">
        <v>70.900000000000006</v>
      </c>
      <c r="C296">
        <v>127.3</v>
      </c>
      <c r="D296">
        <v>1.6532000000000002E-2</v>
      </c>
      <c r="E296">
        <v>28.29</v>
      </c>
      <c r="F296">
        <v>1</v>
      </c>
      <c r="G296">
        <v>7.2267949581146199E-2</v>
      </c>
      <c r="H296">
        <v>554.42969494462102</v>
      </c>
      <c r="I296">
        <v>65.892641076190799</v>
      </c>
      <c r="K296">
        <v>8.4567897021770477E-2</v>
      </c>
      <c r="L296" s="2">
        <f t="shared" si="14"/>
        <v>17.019920326940035</v>
      </c>
      <c r="N296">
        <v>66.996940612792969</v>
      </c>
      <c r="O296">
        <v>554.58551025390625</v>
      </c>
      <c r="P296" s="2">
        <f t="shared" si="12"/>
        <v>1.6759072311660461</v>
      </c>
      <c r="Q296" s="2">
        <f t="shared" si="13"/>
        <v>2.8103709217954919E-2</v>
      </c>
    </row>
    <row r="297" spans="1:17" x14ac:dyDescent="0.45">
      <c r="A297" t="s">
        <v>318</v>
      </c>
      <c r="B297">
        <v>50.2</v>
      </c>
      <c r="C297">
        <v>121.9</v>
      </c>
      <c r="D297">
        <v>8.3529999999999993E-3</v>
      </c>
      <c r="E297">
        <v>21.5</v>
      </c>
      <c r="F297">
        <v>1</v>
      </c>
      <c r="G297">
        <v>3.99276316165924E-2</v>
      </c>
      <c r="H297">
        <v>510.83787033333903</v>
      </c>
      <c r="I297">
        <v>41.488976856222898</v>
      </c>
      <c r="K297">
        <v>4.3311178684234619E-2</v>
      </c>
      <c r="L297" s="2">
        <f t="shared" si="14"/>
        <v>8.4741992716546353</v>
      </c>
      <c r="N297">
        <v>41.643711090087891</v>
      </c>
      <c r="O297">
        <v>500.99435424804688</v>
      </c>
      <c r="P297" s="2">
        <f t="shared" si="12"/>
        <v>0.3729526384832606</v>
      </c>
      <c r="Q297" s="2">
        <f t="shared" si="13"/>
        <v>-1.9269354636665688</v>
      </c>
    </row>
    <row r="298" spans="1:17" x14ac:dyDescent="0.45">
      <c r="A298" t="s">
        <v>319</v>
      </c>
      <c r="B298">
        <v>66</v>
      </c>
      <c r="C298">
        <v>103.9</v>
      </c>
      <c r="D298">
        <v>1.8748999999999998E-2</v>
      </c>
      <c r="E298">
        <v>30.66</v>
      </c>
      <c r="F298">
        <v>1</v>
      </c>
      <c r="G298">
        <v>0.14240571856498699</v>
      </c>
      <c r="H298">
        <v>560.47963820818597</v>
      </c>
      <c r="I298">
        <v>65.952051092247302</v>
      </c>
      <c r="K298">
        <v>0.1416831761598587</v>
      </c>
      <c r="L298" s="2">
        <f t="shared" si="14"/>
        <v>-0.50738299866697534</v>
      </c>
      <c r="N298">
        <v>63.834217071533203</v>
      </c>
      <c r="O298">
        <v>561.89031982421875</v>
      </c>
      <c r="P298" s="2">
        <f t="shared" si="12"/>
        <v>-3.211172337539403</v>
      </c>
      <c r="Q298" s="2">
        <f t="shared" si="13"/>
        <v>0.25169185816323769</v>
      </c>
    </row>
    <row r="299" spans="1:17" x14ac:dyDescent="0.45">
      <c r="A299" t="s">
        <v>320</v>
      </c>
      <c r="B299">
        <v>60</v>
      </c>
      <c r="C299">
        <v>105.4</v>
      </c>
      <c r="D299">
        <v>1.5932999999999999E-2</v>
      </c>
      <c r="E299">
        <v>30.01</v>
      </c>
      <c r="F299">
        <v>1</v>
      </c>
      <c r="G299">
        <v>0.112110376358032</v>
      </c>
      <c r="H299">
        <v>556.83433222676501</v>
      </c>
      <c r="I299">
        <v>57.026993533184303</v>
      </c>
      <c r="K299">
        <v>0.1074542626738548</v>
      </c>
      <c r="L299" s="2">
        <f t="shared" si="14"/>
        <v>-4.1531514168747359</v>
      </c>
      <c r="N299">
        <v>56.015525817871087</v>
      </c>
      <c r="O299">
        <v>558.95849609375</v>
      </c>
      <c r="P299" s="2">
        <f t="shared" si="12"/>
        <v>-1.7736648079205473</v>
      </c>
      <c r="Q299" s="2">
        <f t="shared" si="13"/>
        <v>0.38147142588900979</v>
      </c>
    </row>
    <row r="300" spans="1:17" x14ac:dyDescent="0.45">
      <c r="A300" t="s">
        <v>321</v>
      </c>
      <c r="B300">
        <v>59.1</v>
      </c>
      <c r="C300">
        <v>130</v>
      </c>
      <c r="D300">
        <v>1.0566000000000001E-2</v>
      </c>
      <c r="E300">
        <v>23.11</v>
      </c>
      <c r="F300">
        <v>1.05</v>
      </c>
      <c r="G300">
        <v>4.7011971473693799E-2</v>
      </c>
      <c r="H300">
        <v>532.804536175203</v>
      </c>
      <c r="I300">
        <v>51.371363383051502</v>
      </c>
      <c r="K300">
        <v>5.184902623295784E-2</v>
      </c>
      <c r="L300" s="2">
        <f t="shared" si="14"/>
        <v>10.28898514066929</v>
      </c>
      <c r="N300">
        <v>54.391521453857422</v>
      </c>
      <c r="O300">
        <v>516.77935791015625</v>
      </c>
      <c r="P300" s="2">
        <f t="shared" si="12"/>
        <v>5.879069333406739</v>
      </c>
      <c r="Q300" s="2">
        <f t="shared" si="13"/>
        <v>-3.0077030462400498</v>
      </c>
    </row>
    <row r="301" spans="1:17" x14ac:dyDescent="0.45">
      <c r="A301" t="s">
        <v>322</v>
      </c>
      <c r="B301">
        <v>61.4</v>
      </c>
      <c r="C301">
        <v>105.1</v>
      </c>
      <c r="D301">
        <v>1.602E-2</v>
      </c>
      <c r="E301">
        <v>28.95</v>
      </c>
      <c r="F301">
        <v>1</v>
      </c>
      <c r="G301">
        <v>0.114859849214553</v>
      </c>
      <c r="H301">
        <v>550.42106649011498</v>
      </c>
      <c r="I301">
        <v>58.705804273538597</v>
      </c>
      <c r="K301">
        <v>0.1091339737176895</v>
      </c>
      <c r="L301" s="2">
        <f t="shared" si="14"/>
        <v>-4.9850975219093518</v>
      </c>
      <c r="N301">
        <v>57.752277374267578</v>
      </c>
      <c r="O301">
        <v>551.6905517578125</v>
      </c>
      <c r="P301" s="2">
        <f t="shared" si="12"/>
        <v>-1.6242463774588249</v>
      </c>
      <c r="Q301" s="2">
        <f t="shared" si="13"/>
        <v>0.23063893171689087</v>
      </c>
    </row>
    <row r="302" spans="1:17" x14ac:dyDescent="0.45">
      <c r="A302" t="s">
        <v>323</v>
      </c>
      <c r="B302">
        <v>65.400000000000006</v>
      </c>
      <c r="C302">
        <v>111.1</v>
      </c>
      <c r="D302">
        <v>1.8443000000000001E-2</v>
      </c>
      <c r="E302">
        <v>31.76</v>
      </c>
      <c r="F302">
        <v>1</v>
      </c>
      <c r="G302">
        <v>0.103332966566085</v>
      </c>
      <c r="H302">
        <v>568.58076010135596</v>
      </c>
      <c r="I302">
        <v>62.616052776694502</v>
      </c>
      <c r="K302">
        <v>0.1003790944814682</v>
      </c>
      <c r="L302" s="2">
        <f t="shared" si="14"/>
        <v>-2.8585960345265931</v>
      </c>
      <c r="N302">
        <v>61.175319671630859</v>
      </c>
      <c r="O302">
        <v>565.564208984375</v>
      </c>
      <c r="P302" s="2">
        <f t="shared" si="12"/>
        <v>-2.3009005537312937</v>
      </c>
      <c r="Q302" s="2">
        <f t="shared" si="13"/>
        <v>-0.53054048407181931</v>
      </c>
    </row>
    <row r="303" spans="1:17" x14ac:dyDescent="0.45">
      <c r="A303" t="s">
        <v>324</v>
      </c>
      <c r="B303">
        <v>52.7</v>
      </c>
      <c r="C303">
        <v>111.2</v>
      </c>
      <c r="D303">
        <v>1.4397999999999999E-2</v>
      </c>
      <c r="E303">
        <v>35</v>
      </c>
      <c r="F303">
        <v>1</v>
      </c>
      <c r="G303">
        <v>7.9487293958663899E-2</v>
      </c>
      <c r="H303">
        <v>588.04682359248704</v>
      </c>
      <c r="I303">
        <v>44.699218133439103</v>
      </c>
      <c r="K303">
        <v>8.2780554890632629E-2</v>
      </c>
      <c r="L303" s="2">
        <f t="shared" si="14"/>
        <v>4.1431287542400659</v>
      </c>
      <c r="N303">
        <v>44.058921813964837</v>
      </c>
      <c r="O303">
        <v>588.9866943359375</v>
      </c>
      <c r="P303" s="2">
        <f t="shared" si="12"/>
        <v>-1.4324553005889527</v>
      </c>
      <c r="Q303" s="2">
        <f t="shared" si="13"/>
        <v>0.15982923565654367</v>
      </c>
    </row>
    <row r="304" spans="1:17" x14ac:dyDescent="0.45">
      <c r="A304" t="s">
        <v>325</v>
      </c>
      <c r="B304">
        <v>52.3</v>
      </c>
      <c r="C304">
        <v>106.2</v>
      </c>
      <c r="D304">
        <v>1.2404E-2</v>
      </c>
      <c r="E304">
        <v>28.83</v>
      </c>
      <c r="F304">
        <v>1</v>
      </c>
      <c r="G304">
        <v>8.44423472881317E-2</v>
      </c>
      <c r="H304">
        <v>549.902160797384</v>
      </c>
      <c r="I304">
        <v>46.1014446884001</v>
      </c>
      <c r="K304">
        <v>8.624943345785141E-2</v>
      </c>
      <c r="L304" s="2">
        <f t="shared" si="14"/>
        <v>2.1400236110841679</v>
      </c>
      <c r="N304">
        <v>46.593795776367188</v>
      </c>
      <c r="O304">
        <v>550.46527099609375</v>
      </c>
      <c r="P304" s="2">
        <f t="shared" si="12"/>
        <v>1.0679732301121811</v>
      </c>
      <c r="Q304" s="2">
        <f t="shared" si="13"/>
        <v>0.10240188870929597</v>
      </c>
    </row>
    <row r="305" spans="1:17" x14ac:dyDescent="0.45">
      <c r="A305" t="s">
        <v>326</v>
      </c>
      <c r="B305">
        <v>77</v>
      </c>
      <c r="C305">
        <v>110.3</v>
      </c>
      <c r="D305">
        <v>2.248E-2</v>
      </c>
      <c r="E305">
        <v>30.5</v>
      </c>
      <c r="F305">
        <v>1</v>
      </c>
      <c r="G305">
        <v>0.12990324199199599</v>
      </c>
      <c r="H305">
        <v>560.81770523029002</v>
      </c>
      <c r="I305">
        <v>79.096217825359801</v>
      </c>
      <c r="K305">
        <v>0.1320089399814606</v>
      </c>
      <c r="L305" s="2">
        <f t="shared" si="14"/>
        <v>1.6209741629037666</v>
      </c>
      <c r="N305">
        <v>76.66241455078125</v>
      </c>
      <c r="O305">
        <v>557.582275390625</v>
      </c>
      <c r="P305" s="2">
        <f t="shared" si="12"/>
        <v>-3.0770159958245511</v>
      </c>
      <c r="Q305" s="2">
        <f t="shared" si="13"/>
        <v>-0.5769129272294361</v>
      </c>
    </row>
    <row r="306" spans="1:17" x14ac:dyDescent="0.45">
      <c r="A306" t="s">
        <v>327</v>
      </c>
      <c r="B306">
        <v>81.900000000000006</v>
      </c>
      <c r="C306">
        <v>117.4</v>
      </c>
      <c r="D306">
        <v>1.6766E-2</v>
      </c>
      <c r="E306">
        <v>20</v>
      </c>
      <c r="F306">
        <v>1</v>
      </c>
      <c r="G306">
        <v>8.6642377078533103E-2</v>
      </c>
      <c r="H306">
        <v>499.98260004181799</v>
      </c>
      <c r="I306">
        <v>86.532625904813997</v>
      </c>
      <c r="K306">
        <v>8.5697516798973083E-2</v>
      </c>
      <c r="L306" s="2">
        <f t="shared" si="14"/>
        <v>-1.0905290360438673</v>
      </c>
      <c r="N306">
        <v>86.104301452636719</v>
      </c>
      <c r="O306">
        <v>489.96621704101563</v>
      </c>
      <c r="P306" s="2">
        <f t="shared" si="12"/>
        <v>-0.49498607917947168</v>
      </c>
      <c r="Q306" s="2">
        <f t="shared" si="13"/>
        <v>-2.0033463164447332</v>
      </c>
    </row>
    <row r="307" spans="1:17" x14ac:dyDescent="0.45">
      <c r="A307" t="s">
        <v>328</v>
      </c>
      <c r="B307">
        <v>40.1</v>
      </c>
      <c r="C307">
        <v>109.6</v>
      </c>
      <c r="D307">
        <v>7.6420000000000004E-3</v>
      </c>
      <c r="E307">
        <v>29.03</v>
      </c>
      <c r="F307">
        <v>1</v>
      </c>
      <c r="G307">
        <v>4.5466389507055199E-2</v>
      </c>
      <c r="H307">
        <v>551.82785920090805</v>
      </c>
      <c r="I307">
        <v>27.9600856521464</v>
      </c>
      <c r="K307">
        <v>4.8228781670331948E-2</v>
      </c>
      <c r="L307" s="2">
        <f t="shared" si="14"/>
        <v>6.0756796245017375</v>
      </c>
      <c r="N307">
        <v>28.500616073608398</v>
      </c>
      <c r="O307">
        <v>544.38592529296875</v>
      </c>
      <c r="P307" s="2">
        <f t="shared" si="12"/>
        <v>1.9332216223754788</v>
      </c>
      <c r="Q307" s="2">
        <f t="shared" si="13"/>
        <v>-1.3485969915900642</v>
      </c>
    </row>
    <row r="308" spans="1:17" x14ac:dyDescent="0.45">
      <c r="A308" t="s">
        <v>329</v>
      </c>
      <c r="B308">
        <v>75</v>
      </c>
      <c r="C308">
        <v>111.4</v>
      </c>
      <c r="D308">
        <v>2.0476999999999999E-2</v>
      </c>
      <c r="E308">
        <v>28.64</v>
      </c>
      <c r="F308">
        <v>1</v>
      </c>
      <c r="G308">
        <v>0.115271851420402</v>
      </c>
      <c r="H308">
        <v>549.93941009036598</v>
      </c>
      <c r="I308">
        <v>76.496989054744802</v>
      </c>
      <c r="K308">
        <v>0.1120411977171898</v>
      </c>
      <c r="L308" s="2">
        <f t="shared" si="14"/>
        <v>-2.8026388605747705</v>
      </c>
      <c r="N308">
        <v>73.438247680664063</v>
      </c>
      <c r="O308">
        <v>544.76190185546875</v>
      </c>
      <c r="P308" s="2">
        <f t="shared" si="12"/>
        <v>-3.9985121138451105</v>
      </c>
      <c r="Q308" s="2">
        <f t="shared" si="13"/>
        <v>-0.94146884909493289</v>
      </c>
    </row>
    <row r="309" spans="1:17" x14ac:dyDescent="0.45">
      <c r="A309" t="s">
        <v>330</v>
      </c>
      <c r="B309">
        <v>51.5</v>
      </c>
      <c r="C309">
        <v>101.6</v>
      </c>
      <c r="D309">
        <v>1.4467000000000001E-2</v>
      </c>
      <c r="E309">
        <v>35</v>
      </c>
      <c r="F309">
        <v>1</v>
      </c>
      <c r="G309">
        <v>0.125515967607498</v>
      </c>
      <c r="H309">
        <v>586.18425167292799</v>
      </c>
      <c r="I309">
        <v>45.408775294627802</v>
      </c>
      <c r="K309">
        <v>0.1207078620791435</v>
      </c>
      <c r="L309" s="2">
        <f t="shared" si="14"/>
        <v>-3.8306723996981575</v>
      </c>
      <c r="N309">
        <v>45.790390014648438</v>
      </c>
      <c r="O309">
        <v>591.64691162109375</v>
      </c>
      <c r="P309" s="2">
        <f t="shared" si="12"/>
        <v>0.84039861798647486</v>
      </c>
      <c r="Q309" s="2">
        <f t="shared" si="13"/>
        <v>0.93190151945838251</v>
      </c>
    </row>
    <row r="310" spans="1:17" x14ac:dyDescent="0.45">
      <c r="A310" t="s">
        <v>331</v>
      </c>
      <c r="B310">
        <v>49.4</v>
      </c>
      <c r="C310">
        <v>103.8</v>
      </c>
      <c r="D310">
        <v>1.3402000000000001E-2</v>
      </c>
      <c r="E310">
        <v>35</v>
      </c>
      <c r="F310">
        <v>1.1399999999999999</v>
      </c>
      <c r="G310">
        <v>0.10091903805732701</v>
      </c>
      <c r="H310">
        <v>617.63361902611098</v>
      </c>
      <c r="I310">
        <v>42.958320736581904</v>
      </c>
      <c r="K310">
        <v>0.1013819947838783</v>
      </c>
      <c r="L310" s="2">
        <f t="shared" si="14"/>
        <v>0.45874072470677879</v>
      </c>
      <c r="N310">
        <v>42.686336517333977</v>
      </c>
      <c r="O310">
        <v>617.18402099609375</v>
      </c>
      <c r="P310" s="2">
        <f t="shared" si="12"/>
        <v>-0.63313512861854815</v>
      </c>
      <c r="Q310" s="2">
        <f t="shared" si="13"/>
        <v>-7.2793645968649998E-2</v>
      </c>
    </row>
    <row r="311" spans="1:17" x14ac:dyDescent="0.45">
      <c r="A311" t="s">
        <v>332</v>
      </c>
      <c r="B311">
        <v>86.8</v>
      </c>
      <c r="C311">
        <v>106.4</v>
      </c>
      <c r="D311">
        <v>3.0141999999999999E-2</v>
      </c>
      <c r="E311">
        <v>35</v>
      </c>
      <c r="F311">
        <v>1</v>
      </c>
      <c r="G311">
        <v>0.19925573468208299</v>
      </c>
      <c r="H311">
        <v>586.960446418885</v>
      </c>
      <c r="I311">
        <v>92.209620826794804</v>
      </c>
      <c r="K311">
        <v>0.20706924796104431</v>
      </c>
      <c r="L311" s="2">
        <f t="shared" si="14"/>
        <v>3.9213492607517457</v>
      </c>
      <c r="N311">
        <v>93.341232299804688</v>
      </c>
      <c r="O311">
        <v>587.74169921875</v>
      </c>
      <c r="P311" s="2">
        <f t="shared" si="12"/>
        <v>1.2272162740322785</v>
      </c>
      <c r="Q311" s="2">
        <f t="shared" si="13"/>
        <v>0.13310143888425818</v>
      </c>
    </row>
    <row r="312" spans="1:17" x14ac:dyDescent="0.45">
      <c r="A312" t="s">
        <v>333</v>
      </c>
      <c r="B312">
        <v>78.900000000000006</v>
      </c>
      <c r="C312">
        <v>107.8</v>
      </c>
      <c r="D312">
        <v>2.1426000000000001E-2</v>
      </c>
      <c r="E312">
        <v>27.21</v>
      </c>
      <c r="F312">
        <v>1</v>
      </c>
      <c r="G312">
        <v>0.13726010918617201</v>
      </c>
      <c r="H312">
        <v>540.50361642565701</v>
      </c>
      <c r="I312">
        <v>82.892096962917293</v>
      </c>
      <c r="K312">
        <v>0.1341596394777298</v>
      </c>
      <c r="L312" s="2">
        <f t="shared" si="14"/>
        <v>-2.2588279485024385</v>
      </c>
      <c r="N312">
        <v>79.541145324707031</v>
      </c>
      <c r="O312">
        <v>532.85491943359375</v>
      </c>
      <c r="P312" s="2">
        <f t="shared" si="12"/>
        <v>-4.0425465888615983</v>
      </c>
      <c r="Q312" s="2">
        <f t="shared" si="13"/>
        <v>-1.4151056088475398</v>
      </c>
    </row>
    <row r="313" spans="1:17" x14ac:dyDescent="0.45">
      <c r="A313" t="s">
        <v>334</v>
      </c>
      <c r="B313">
        <v>47.2</v>
      </c>
      <c r="C313">
        <v>105.9</v>
      </c>
      <c r="D313">
        <v>9.247E-3</v>
      </c>
      <c r="E313">
        <v>24.77</v>
      </c>
      <c r="F313">
        <v>1.19</v>
      </c>
      <c r="G313">
        <v>6.4510539174079895E-2</v>
      </c>
      <c r="H313">
        <v>556.094232509427</v>
      </c>
      <c r="I313">
        <v>40.883816325663702</v>
      </c>
      <c r="K313">
        <v>6.502126157283783E-2</v>
      </c>
      <c r="L313" s="2">
        <f t="shared" si="14"/>
        <v>0.79168831216828683</v>
      </c>
      <c r="N313">
        <v>40.280120849609382</v>
      </c>
      <c r="O313">
        <v>551.50408935546875</v>
      </c>
      <c r="P313" s="2">
        <f t="shared" si="12"/>
        <v>-1.4766123378637874</v>
      </c>
      <c r="Q313" s="2">
        <f t="shared" si="13"/>
        <v>-0.8254254199409341</v>
      </c>
    </row>
    <row r="314" spans="1:17" x14ac:dyDescent="0.45">
      <c r="A314" t="s">
        <v>335</v>
      </c>
      <c r="B314">
        <v>59.7</v>
      </c>
      <c r="C314">
        <v>104.6</v>
      </c>
      <c r="D314">
        <v>1.4588E-2</v>
      </c>
      <c r="E314">
        <v>27.11</v>
      </c>
      <c r="F314">
        <v>1</v>
      </c>
      <c r="G314">
        <v>0.10791105031967101</v>
      </c>
      <c r="H314">
        <v>539.29488891495805</v>
      </c>
      <c r="I314">
        <v>56.3489759898005</v>
      </c>
      <c r="K314">
        <v>0.1018218919634819</v>
      </c>
      <c r="L314" s="2">
        <f t="shared" si="14"/>
        <v>-5.64275700973241</v>
      </c>
      <c r="N314">
        <v>56.931961059570313</v>
      </c>
      <c r="O314">
        <v>542.6541748046875</v>
      </c>
      <c r="P314" s="2">
        <f t="shared" si="12"/>
        <v>1.0345974519134753</v>
      </c>
      <c r="Q314" s="2">
        <f t="shared" si="13"/>
        <v>0.62290334263842395</v>
      </c>
    </row>
    <row r="315" spans="1:17" x14ac:dyDescent="0.45">
      <c r="A315" t="s">
        <v>336</v>
      </c>
      <c r="B315">
        <v>87.2</v>
      </c>
      <c r="C315">
        <v>118.3</v>
      </c>
      <c r="D315">
        <v>2.7171000000000001E-2</v>
      </c>
      <c r="E315">
        <v>33.450000000000003</v>
      </c>
      <c r="F315">
        <v>1</v>
      </c>
      <c r="G315">
        <v>0.12777069211006101</v>
      </c>
      <c r="H315">
        <v>581.020541305091</v>
      </c>
      <c r="I315">
        <v>89.883545090221304</v>
      </c>
      <c r="K315">
        <v>0.136487141251564</v>
      </c>
      <c r="L315" s="2">
        <f t="shared" si="14"/>
        <v>6.8219471911404277</v>
      </c>
      <c r="N315">
        <v>91.203437805175781</v>
      </c>
      <c r="O315">
        <v>579.02874755859375</v>
      </c>
      <c r="P315" s="2">
        <f t="shared" si="12"/>
        <v>1.4684475491366353</v>
      </c>
      <c r="Q315" s="2">
        <f t="shared" si="13"/>
        <v>-0.34280952305460233</v>
      </c>
    </row>
    <row r="316" spans="1:17" x14ac:dyDescent="0.45">
      <c r="A316" t="s">
        <v>337</v>
      </c>
      <c r="B316">
        <v>53.6</v>
      </c>
      <c r="C316">
        <v>130</v>
      </c>
      <c r="D316">
        <v>1.0691000000000001E-2</v>
      </c>
      <c r="E316">
        <v>28.6</v>
      </c>
      <c r="F316">
        <v>1</v>
      </c>
      <c r="G316">
        <v>4.6080444008111898E-2</v>
      </c>
      <c r="H316">
        <v>558.02829180160404</v>
      </c>
      <c r="I316">
        <v>42.737355817881301</v>
      </c>
      <c r="K316">
        <v>5.3257565945386887E-2</v>
      </c>
      <c r="L316" s="2">
        <f t="shared" si="14"/>
        <v>15.575201350081489</v>
      </c>
      <c r="N316">
        <v>43.965953826904297</v>
      </c>
      <c r="O316">
        <v>547.8948974609375</v>
      </c>
      <c r="P316" s="2">
        <f t="shared" si="12"/>
        <v>2.8747637412536187</v>
      </c>
      <c r="Q316" s="2">
        <f t="shared" si="13"/>
        <v>-1.8159284196775582</v>
      </c>
    </row>
    <row r="317" spans="1:17" x14ac:dyDescent="0.45">
      <c r="A317" t="s">
        <v>338</v>
      </c>
      <c r="B317">
        <v>73.599999999999994</v>
      </c>
      <c r="C317">
        <v>105.2</v>
      </c>
      <c r="D317">
        <v>1.9456000000000001E-2</v>
      </c>
      <c r="E317">
        <v>26.78</v>
      </c>
      <c r="F317">
        <v>1</v>
      </c>
      <c r="G317">
        <v>0.139862030744552</v>
      </c>
      <c r="H317">
        <v>537.41869122262597</v>
      </c>
      <c r="I317">
        <v>77.163291415721304</v>
      </c>
      <c r="K317">
        <v>0.13442553579807279</v>
      </c>
      <c r="L317" s="2">
        <f t="shared" si="14"/>
        <v>-3.887041334619675</v>
      </c>
      <c r="N317">
        <v>74.265365600585938</v>
      </c>
      <c r="O317">
        <v>533.427734375</v>
      </c>
      <c r="P317" s="2">
        <f t="shared" si="12"/>
        <v>-3.7555756914549403</v>
      </c>
      <c r="Q317" s="2">
        <f t="shared" si="13"/>
        <v>-0.74261593666319103</v>
      </c>
    </row>
    <row r="318" spans="1:17" x14ac:dyDescent="0.45">
      <c r="A318" t="s">
        <v>339</v>
      </c>
      <c r="B318">
        <v>77.2</v>
      </c>
      <c r="C318">
        <v>102</v>
      </c>
      <c r="D318">
        <v>2.0500999999999998E-2</v>
      </c>
      <c r="E318">
        <v>26.01</v>
      </c>
      <c r="F318">
        <v>1</v>
      </c>
      <c r="G318">
        <v>0.17648203670978499</v>
      </c>
      <c r="H318">
        <v>532.29789080078103</v>
      </c>
      <c r="I318">
        <v>83.153837282712999</v>
      </c>
      <c r="K318">
        <v>0.16996853053569791</v>
      </c>
      <c r="L318" s="2">
        <f t="shared" si="14"/>
        <v>-3.6907473958939985</v>
      </c>
      <c r="N318">
        <v>81.282928466796875</v>
      </c>
      <c r="O318">
        <v>529.35284423828125</v>
      </c>
      <c r="P318" s="2">
        <f t="shared" si="12"/>
        <v>-2.2499368364147285</v>
      </c>
      <c r="Q318" s="2">
        <f t="shared" si="13"/>
        <v>-0.55327037987494165</v>
      </c>
    </row>
    <row r="319" spans="1:17" x14ac:dyDescent="0.45">
      <c r="A319" t="s">
        <v>340</v>
      </c>
      <c r="B319">
        <v>64.8</v>
      </c>
      <c r="C319">
        <v>121.3</v>
      </c>
      <c r="D319">
        <v>1.3535E-2</v>
      </c>
      <c r="E319">
        <v>24</v>
      </c>
      <c r="F319">
        <v>1</v>
      </c>
      <c r="G319">
        <v>6.4061693847179399E-2</v>
      </c>
      <c r="H319">
        <v>525.56555983149303</v>
      </c>
      <c r="I319">
        <v>60.565933649607501</v>
      </c>
      <c r="K319">
        <v>6.7615903913974762E-2</v>
      </c>
      <c r="L319" s="2">
        <f t="shared" si="14"/>
        <v>5.5481050427327299</v>
      </c>
      <c r="N319">
        <v>62.534530639648438</v>
      </c>
      <c r="O319">
        <v>520.744140625</v>
      </c>
      <c r="P319" s="2">
        <f t="shared" si="12"/>
        <v>3.2503370647761716</v>
      </c>
      <c r="Q319" s="2">
        <f t="shared" si="13"/>
        <v>-0.91737731217374252</v>
      </c>
    </row>
    <row r="320" spans="1:17" x14ac:dyDescent="0.45">
      <c r="A320" t="s">
        <v>341</v>
      </c>
      <c r="B320">
        <v>83.7</v>
      </c>
      <c r="C320">
        <v>108.3</v>
      </c>
      <c r="D320">
        <v>2.8493000000000001E-2</v>
      </c>
      <c r="E320">
        <v>35</v>
      </c>
      <c r="F320">
        <v>1</v>
      </c>
      <c r="G320">
        <v>0.17386926710605599</v>
      </c>
      <c r="H320">
        <v>587.35129733090605</v>
      </c>
      <c r="I320">
        <v>89.002848024814497</v>
      </c>
      <c r="K320">
        <v>0.1773803383111954</v>
      </c>
      <c r="L320" s="2">
        <f t="shared" si="14"/>
        <v>2.0193742480076957</v>
      </c>
      <c r="N320">
        <v>88.36322021484375</v>
      </c>
      <c r="O320">
        <v>587.69305419921875</v>
      </c>
      <c r="P320" s="2">
        <f t="shared" si="12"/>
        <v>-0.71865993523310112</v>
      </c>
      <c r="Q320" s="2">
        <f t="shared" si="13"/>
        <v>5.8186109380492054E-2</v>
      </c>
    </row>
    <row r="321" spans="1:17" x14ac:dyDescent="0.45">
      <c r="A321" t="s">
        <v>342</v>
      </c>
      <c r="B321">
        <v>58.2</v>
      </c>
      <c r="C321">
        <v>130</v>
      </c>
      <c r="D321">
        <v>1.1325E-2</v>
      </c>
      <c r="E321">
        <v>26.11</v>
      </c>
      <c r="F321">
        <v>1</v>
      </c>
      <c r="G321">
        <v>4.9456052482128102E-2</v>
      </c>
      <c r="H321">
        <v>543.08829180160399</v>
      </c>
      <c r="I321">
        <v>48.917718962392797</v>
      </c>
      <c r="K321">
        <v>5.5594131350517273E-2</v>
      </c>
      <c r="L321" s="2">
        <f t="shared" si="14"/>
        <v>12.411178329704507</v>
      </c>
      <c r="N321">
        <v>51.113021850585938</v>
      </c>
      <c r="O321">
        <v>531.7642822265625</v>
      </c>
      <c r="P321" s="2">
        <f t="shared" si="12"/>
        <v>4.487745820447711</v>
      </c>
      <c r="Q321" s="2">
        <f t="shared" si="13"/>
        <v>-2.085113920883102</v>
      </c>
    </row>
    <row r="322" spans="1:17" x14ac:dyDescent="0.45">
      <c r="A322" t="s">
        <v>343</v>
      </c>
      <c r="B322">
        <v>79</v>
      </c>
      <c r="C322">
        <v>119.6</v>
      </c>
      <c r="D322">
        <v>1.7482999999999999E-2</v>
      </c>
      <c r="E322">
        <v>22.99</v>
      </c>
      <c r="F322">
        <v>1</v>
      </c>
      <c r="G322">
        <v>8.5243776440620395E-2</v>
      </c>
      <c r="H322">
        <v>518.77697606241202</v>
      </c>
      <c r="I322">
        <v>81.492108552282602</v>
      </c>
      <c r="K322">
        <v>8.0110520124435425E-2</v>
      </c>
      <c r="L322" s="2">
        <f t="shared" si="14"/>
        <v>-6.0218546508914033</v>
      </c>
      <c r="N322">
        <v>80.547981262207031</v>
      </c>
      <c r="O322">
        <v>512.069091796875</v>
      </c>
      <c r="P322" s="2">
        <f t="shared" ref="P322:P425" si="15">(N322-I322)/I322*100</f>
        <v>-1.1585505723782448</v>
      </c>
      <c r="Q322" s="2">
        <f t="shared" ref="Q322:Q425" si="16">(O322-H322)/H322*100</f>
        <v>-1.2930188838469228</v>
      </c>
    </row>
    <row r="323" spans="1:17" x14ac:dyDescent="0.45">
      <c r="A323" t="s">
        <v>344</v>
      </c>
      <c r="B323">
        <v>70.2</v>
      </c>
      <c r="C323">
        <v>101.5</v>
      </c>
      <c r="D323">
        <v>1.6337999999999998E-2</v>
      </c>
      <c r="E323">
        <v>23.01</v>
      </c>
      <c r="F323">
        <v>1</v>
      </c>
      <c r="G323">
        <v>0.14609998464584301</v>
      </c>
      <c r="H323">
        <v>514.23114588077704</v>
      </c>
      <c r="I323">
        <v>73.915099854695299</v>
      </c>
      <c r="K323">
        <v>0.1394779235124588</v>
      </c>
      <c r="L323" s="2">
        <f t="shared" si="14"/>
        <v>-4.5325542979601003</v>
      </c>
      <c r="N323">
        <v>72.622161865234375</v>
      </c>
      <c r="O323">
        <v>513.82794189453125</v>
      </c>
      <c r="P323" s="2">
        <f t="shared" si="15"/>
        <v>-1.7492203785189002</v>
      </c>
      <c r="Q323" s="2">
        <f t="shared" si="16"/>
        <v>-7.8409094718519187E-2</v>
      </c>
    </row>
    <row r="324" spans="1:17" x14ac:dyDescent="0.45">
      <c r="A324" t="s">
        <v>345</v>
      </c>
      <c r="B324">
        <v>44.4</v>
      </c>
      <c r="C324">
        <v>130</v>
      </c>
      <c r="D324">
        <v>6.2389999999999998E-3</v>
      </c>
      <c r="E324">
        <v>21.45</v>
      </c>
      <c r="F324">
        <v>1</v>
      </c>
      <c r="G324">
        <v>2.8076801449060398E-2</v>
      </c>
      <c r="H324">
        <v>515.12829180160395</v>
      </c>
      <c r="I324">
        <v>31.715609841074698</v>
      </c>
      <c r="K324">
        <v>3.043278306722641E-2</v>
      </c>
      <c r="L324" s="2">
        <f t="shared" si="14"/>
        <v>8.3912037574524181</v>
      </c>
      <c r="N324">
        <v>31.817216873168949</v>
      </c>
      <c r="O324">
        <v>507.46661376953119</v>
      </c>
      <c r="P324" s="2">
        <f t="shared" si="15"/>
        <v>0.32036915765895096</v>
      </c>
      <c r="Q324" s="2">
        <f t="shared" si="16"/>
        <v>-1.4873339620460158</v>
      </c>
    </row>
    <row r="325" spans="1:17" x14ac:dyDescent="0.45">
      <c r="A325" t="s">
        <v>346</v>
      </c>
      <c r="B325">
        <v>87.6</v>
      </c>
      <c r="C325">
        <v>113.5</v>
      </c>
      <c r="D325">
        <v>2.2623000000000001E-2</v>
      </c>
      <c r="E325">
        <v>25.47</v>
      </c>
      <c r="F325">
        <v>1</v>
      </c>
      <c r="G325">
        <v>0.12224643677473</v>
      </c>
      <c r="H325">
        <v>531.50950913172699</v>
      </c>
      <c r="I325">
        <v>93.990236872087095</v>
      </c>
      <c r="K325">
        <v>0.1160010248422623</v>
      </c>
      <c r="L325" s="2">
        <f t="shared" si="14"/>
        <v>-5.1088703255837702</v>
      </c>
      <c r="N325">
        <v>93.938629150390625</v>
      </c>
      <c r="O325">
        <v>522.65643310546875</v>
      </c>
      <c r="P325" s="2">
        <f t="shared" si="15"/>
        <v>-5.4907534456694843E-2</v>
      </c>
      <c r="Q325" s="2">
        <f t="shared" si="16"/>
        <v>-1.6656477210954523</v>
      </c>
    </row>
    <row r="326" spans="1:17" x14ac:dyDescent="0.45">
      <c r="A326" t="s">
        <v>347</v>
      </c>
      <c r="B326">
        <v>73.400000000000006</v>
      </c>
      <c r="C326">
        <v>114.2</v>
      </c>
      <c r="D326">
        <v>1.4758E-2</v>
      </c>
      <c r="E326">
        <v>20</v>
      </c>
      <c r="F326">
        <v>1</v>
      </c>
      <c r="G326">
        <v>8.1337817013263702E-2</v>
      </c>
      <c r="H326">
        <v>498.90211534676001</v>
      </c>
      <c r="I326">
        <v>75.6359787484094</v>
      </c>
      <c r="K326">
        <v>7.5925484299659729E-2</v>
      </c>
      <c r="L326" s="2">
        <f t="shared" si="14"/>
        <v>-6.654140610537147</v>
      </c>
      <c r="N326">
        <v>73.505325317382813</v>
      </c>
      <c r="O326">
        <v>489.6087646484375</v>
      </c>
      <c r="P326" s="2">
        <f t="shared" si="15"/>
        <v>-2.8169840151257306</v>
      </c>
      <c r="Q326" s="2">
        <f t="shared" si="16"/>
        <v>-1.8627603316260153</v>
      </c>
    </row>
    <row r="327" spans="1:17" x14ac:dyDescent="0.45">
      <c r="A327" t="s">
        <v>348</v>
      </c>
      <c r="B327">
        <v>63.4</v>
      </c>
      <c r="C327">
        <v>106.9</v>
      </c>
      <c r="D327">
        <v>1.7306999999999999E-2</v>
      </c>
      <c r="E327">
        <v>30.28</v>
      </c>
      <c r="F327">
        <v>1</v>
      </c>
      <c r="G327">
        <v>0.11361812055110899</v>
      </c>
      <c r="H327">
        <v>558.73851327089301</v>
      </c>
      <c r="I327">
        <v>60.533210283691403</v>
      </c>
      <c r="K327">
        <v>0.10846329480409619</v>
      </c>
      <c r="L327" s="2">
        <f t="shared" si="14"/>
        <v>-4.5369750194855571</v>
      </c>
      <c r="N327">
        <v>59.005630493164063</v>
      </c>
      <c r="O327">
        <v>558.837646484375</v>
      </c>
      <c r="P327" s="2">
        <f t="shared" si="15"/>
        <v>-2.5235400259927974</v>
      </c>
      <c r="Q327" s="2">
        <f t="shared" si="16"/>
        <v>1.7742326889488753E-2</v>
      </c>
    </row>
    <row r="328" spans="1:17" x14ac:dyDescent="0.45">
      <c r="A328" t="s">
        <v>349</v>
      </c>
      <c r="B328">
        <v>85.6</v>
      </c>
      <c r="C328">
        <v>118.8</v>
      </c>
      <c r="D328">
        <v>1.7596000000000001E-2</v>
      </c>
      <c r="E328">
        <v>20</v>
      </c>
      <c r="F328">
        <v>1</v>
      </c>
      <c r="G328">
        <v>8.8838502764701802E-2</v>
      </c>
      <c r="H328">
        <v>500.515137514961</v>
      </c>
      <c r="I328">
        <v>91.514431288180901</v>
      </c>
      <c r="K328">
        <v>8.8532812893390656E-2</v>
      </c>
      <c r="L328" s="2">
        <f t="shared" si="14"/>
        <v>-0.34409615402996846</v>
      </c>
      <c r="N328">
        <v>91.723884582519531</v>
      </c>
      <c r="O328">
        <v>489.82034301757813</v>
      </c>
      <c r="P328" s="2">
        <f t="shared" si="15"/>
        <v>0.2288746063219875</v>
      </c>
      <c r="Q328" s="2">
        <f t="shared" si="16"/>
        <v>-2.1367574516291614</v>
      </c>
    </row>
    <row r="329" spans="1:17" x14ac:dyDescent="0.45">
      <c r="A329" t="s">
        <v>350</v>
      </c>
      <c r="B329">
        <v>72.8</v>
      </c>
      <c r="C329">
        <v>105.5</v>
      </c>
      <c r="D329">
        <v>2.3914999999999999E-2</v>
      </c>
      <c r="E329">
        <v>35</v>
      </c>
      <c r="F329">
        <v>1.1299999999999999</v>
      </c>
      <c r="G329">
        <v>0.164706796407699</v>
      </c>
      <c r="H329">
        <v>615.71122694384906</v>
      </c>
      <c r="I329">
        <v>75.437599148300293</v>
      </c>
      <c r="K329">
        <v>0.16103747487068179</v>
      </c>
      <c r="L329" s="2">
        <f t="shared" ref="L329:L432" si="17">(K329-G329)/G329*100</f>
        <v>-2.2277899983765903</v>
      </c>
      <c r="N329">
        <v>76.399726867675781</v>
      </c>
      <c r="O329">
        <v>617.103515625</v>
      </c>
      <c r="P329" s="2">
        <f t="shared" si="15"/>
        <v>1.2753954662370319</v>
      </c>
      <c r="Q329" s="2">
        <f t="shared" si="16"/>
        <v>0.22612689524303844</v>
      </c>
    </row>
    <row r="330" spans="1:17" x14ac:dyDescent="0.45">
      <c r="A330" t="s">
        <v>351</v>
      </c>
      <c r="B330">
        <v>73.400000000000006</v>
      </c>
      <c r="C330">
        <v>114.5</v>
      </c>
      <c r="D330">
        <v>1.4728E-2</v>
      </c>
      <c r="E330">
        <v>20</v>
      </c>
      <c r="F330">
        <v>1</v>
      </c>
      <c r="G330">
        <v>8.0649569630622794E-2</v>
      </c>
      <c r="H330">
        <v>498.99575268933</v>
      </c>
      <c r="I330">
        <v>75.344429649299101</v>
      </c>
      <c r="K330">
        <v>7.5059771537780762E-2</v>
      </c>
      <c r="L330" s="2">
        <f t="shared" si="17"/>
        <v>-6.9309707645601319</v>
      </c>
      <c r="N330">
        <v>73.460418701171875</v>
      </c>
      <c r="O330">
        <v>489.4130859375</v>
      </c>
      <c r="P330" s="2">
        <f t="shared" si="15"/>
        <v>-2.5005311698510586</v>
      </c>
      <c r="Q330" s="2">
        <f t="shared" si="16"/>
        <v>-1.920390444244138</v>
      </c>
    </row>
    <row r="331" spans="1:17" x14ac:dyDescent="0.45">
      <c r="A331" t="s">
        <v>352</v>
      </c>
      <c r="B331">
        <v>82.4</v>
      </c>
      <c r="C331">
        <v>109.9</v>
      </c>
      <c r="D331">
        <v>2.2790000000000001E-2</v>
      </c>
      <c r="E331">
        <v>27.69</v>
      </c>
      <c r="F331">
        <v>1</v>
      </c>
      <c r="G331">
        <v>0.135040402412414</v>
      </c>
      <c r="H331">
        <v>543.859766332258</v>
      </c>
      <c r="I331">
        <v>87.586026656905801</v>
      </c>
      <c r="K331">
        <v>0.1298209726810455</v>
      </c>
      <c r="L331" s="2">
        <f t="shared" si="17"/>
        <v>-3.8650875131638971</v>
      </c>
      <c r="N331">
        <v>84.820892333984375</v>
      </c>
      <c r="O331">
        <v>536.361572265625</v>
      </c>
      <c r="P331" s="2">
        <f t="shared" si="15"/>
        <v>-3.1570496213432309</v>
      </c>
      <c r="Q331" s="2">
        <f t="shared" si="16"/>
        <v>-1.3786999022193092</v>
      </c>
    </row>
    <row r="332" spans="1:17" x14ac:dyDescent="0.45">
      <c r="A332" t="s">
        <v>353</v>
      </c>
      <c r="B332">
        <v>74.7</v>
      </c>
      <c r="C332">
        <v>111.9</v>
      </c>
      <c r="D332">
        <v>2.0625000000000001E-2</v>
      </c>
      <c r="E332">
        <v>29.17</v>
      </c>
      <c r="F332">
        <v>1</v>
      </c>
      <c r="G332">
        <v>0.11407621204853</v>
      </c>
      <c r="H332">
        <v>553.25357910599598</v>
      </c>
      <c r="I332">
        <v>75.794856931085704</v>
      </c>
      <c r="K332">
        <v>0.1131462082266808</v>
      </c>
      <c r="L332" s="2">
        <f t="shared" si="17"/>
        <v>-0.81524781122076417</v>
      </c>
      <c r="N332">
        <v>73.24810791015625</v>
      </c>
      <c r="O332">
        <v>549.1494140625</v>
      </c>
      <c r="P332" s="2">
        <f t="shared" si="15"/>
        <v>-3.3600551858617691</v>
      </c>
      <c r="Q332" s="2">
        <f t="shared" si="16"/>
        <v>-0.74182349622173505</v>
      </c>
    </row>
    <row r="333" spans="1:17" x14ac:dyDescent="0.45">
      <c r="A333" t="s">
        <v>354</v>
      </c>
      <c r="B333">
        <v>53.6</v>
      </c>
      <c r="C333">
        <v>102.1</v>
      </c>
      <c r="D333">
        <v>1.5409000000000001E-2</v>
      </c>
      <c r="E333">
        <v>35</v>
      </c>
      <c r="F333">
        <v>1</v>
      </c>
      <c r="G333">
        <v>0.12917830049991599</v>
      </c>
      <c r="H333">
        <v>586.25160564727196</v>
      </c>
      <c r="I333">
        <v>48.036522251046101</v>
      </c>
      <c r="K333">
        <v>0.12535339593887329</v>
      </c>
      <c r="L333" s="2">
        <f t="shared" si="17"/>
        <v>-2.9609497463896344</v>
      </c>
      <c r="N333">
        <v>48.375205993652337</v>
      </c>
      <c r="O333">
        <v>590.6036376953125</v>
      </c>
      <c r="P333" s="2">
        <f t="shared" si="15"/>
        <v>0.70505466827141117</v>
      </c>
      <c r="Q333" s="2">
        <f t="shared" si="16"/>
        <v>0.7423488492173127</v>
      </c>
    </row>
    <row r="334" spans="1:17" x14ac:dyDescent="0.45">
      <c r="A334" t="s">
        <v>355</v>
      </c>
      <c r="B334">
        <v>54.8</v>
      </c>
      <c r="C334">
        <v>106.8</v>
      </c>
      <c r="D334">
        <v>9.9769999999999998E-3</v>
      </c>
      <c r="E334">
        <v>20</v>
      </c>
      <c r="F334">
        <v>1</v>
      </c>
      <c r="G334">
        <v>6.8904206156730596E-2</v>
      </c>
      <c r="H334">
        <v>497.03862969411199</v>
      </c>
      <c r="I334">
        <v>50.1310717665908</v>
      </c>
      <c r="K334">
        <v>6.5690189599990845E-2</v>
      </c>
      <c r="L334" s="2">
        <f t="shared" si="17"/>
        <v>-4.6644707718264673</v>
      </c>
      <c r="N334">
        <v>50.812408447265618</v>
      </c>
      <c r="O334">
        <v>484.87069702148438</v>
      </c>
      <c r="P334" s="2">
        <f t="shared" si="15"/>
        <v>1.3591105409577255</v>
      </c>
      <c r="Q334" s="2">
        <f t="shared" si="16"/>
        <v>-2.4480859123798919</v>
      </c>
    </row>
    <row r="335" spans="1:17" x14ac:dyDescent="0.45">
      <c r="A335" t="s">
        <v>356</v>
      </c>
      <c r="B335">
        <v>71.2</v>
      </c>
      <c r="C335">
        <v>118</v>
      </c>
      <c r="D335">
        <v>1.7266E-2</v>
      </c>
      <c r="E335">
        <v>26.72</v>
      </c>
      <c r="F335">
        <v>1</v>
      </c>
      <c r="G335">
        <v>8.4394603967666598E-2</v>
      </c>
      <c r="H335">
        <v>540.52615121044505</v>
      </c>
      <c r="I335">
        <v>69.0471058631164</v>
      </c>
      <c r="K335">
        <v>8.8192664086818695E-2</v>
      </c>
      <c r="L335" s="2">
        <f t="shared" si="17"/>
        <v>4.5003589573181912</v>
      </c>
      <c r="N335">
        <v>70.936027526855469</v>
      </c>
      <c r="O335">
        <v>534.72900390625</v>
      </c>
      <c r="P335" s="2">
        <f t="shared" si="15"/>
        <v>2.7356999835500617</v>
      </c>
      <c r="Q335" s="2">
        <f t="shared" si="16"/>
        <v>-1.0725008015269968</v>
      </c>
    </row>
    <row r="336" spans="1:17" x14ac:dyDescent="0.45">
      <c r="A336" t="s">
        <v>357</v>
      </c>
      <c r="B336">
        <v>50.3</v>
      </c>
      <c r="C336">
        <v>118</v>
      </c>
      <c r="D336">
        <v>1.2743000000000001E-2</v>
      </c>
      <c r="E336">
        <v>35</v>
      </c>
      <c r="F336">
        <v>1</v>
      </c>
      <c r="G336">
        <v>5.9914167970418902E-2</v>
      </c>
      <c r="H336">
        <v>590.206151210445</v>
      </c>
      <c r="I336">
        <v>39.968088068627402</v>
      </c>
      <c r="K336">
        <v>6.5165251493453979E-2</v>
      </c>
      <c r="L336" s="2">
        <f t="shared" si="17"/>
        <v>8.7643435616558456</v>
      </c>
      <c r="N336">
        <v>40.315021514892578</v>
      </c>
      <c r="O336">
        <v>589.75213623046875</v>
      </c>
      <c r="P336" s="2">
        <f t="shared" si="15"/>
        <v>0.86802612541653745</v>
      </c>
      <c r="Q336" s="2">
        <f t="shared" si="16"/>
        <v>-7.6924813312283805E-2</v>
      </c>
    </row>
    <row r="337" spans="1:17" x14ac:dyDescent="0.45">
      <c r="A337" t="s">
        <v>358</v>
      </c>
      <c r="B337">
        <v>57.9</v>
      </c>
      <c r="C337">
        <v>112.6</v>
      </c>
      <c r="D337">
        <v>1.2744E-2</v>
      </c>
      <c r="E337">
        <v>25.44</v>
      </c>
      <c r="F337">
        <v>1</v>
      </c>
      <c r="G337">
        <v>7.0455603301525102E-2</v>
      </c>
      <c r="H337">
        <v>531.06799852572306</v>
      </c>
      <c r="I337">
        <v>52.588616789032599</v>
      </c>
      <c r="K337">
        <v>7.3932521045207977E-2</v>
      </c>
      <c r="L337" s="2">
        <f t="shared" si="17"/>
        <v>4.9349059276419718</v>
      </c>
      <c r="N337">
        <v>53.635589599609382</v>
      </c>
      <c r="O337">
        <v>526.09136962890625</v>
      </c>
      <c r="P337" s="2">
        <f t="shared" si="15"/>
        <v>1.9908734522850766</v>
      </c>
      <c r="Q337" s="2">
        <f t="shared" si="16"/>
        <v>-0.93709824554148025</v>
      </c>
    </row>
    <row r="338" spans="1:17" x14ac:dyDescent="0.45">
      <c r="A338" t="s">
        <v>359</v>
      </c>
      <c r="B338">
        <v>48.1</v>
      </c>
      <c r="C338">
        <v>110.8</v>
      </c>
      <c r="D338">
        <v>8.9499999999999996E-3</v>
      </c>
      <c r="E338">
        <v>23.47</v>
      </c>
      <c r="F338">
        <v>1</v>
      </c>
      <c r="G338">
        <v>5.2691373974084799E-2</v>
      </c>
      <c r="H338">
        <v>518.76348305032502</v>
      </c>
      <c r="I338">
        <v>39.328373686827</v>
      </c>
      <c r="K338">
        <v>5.6350335478782647E-2</v>
      </c>
      <c r="L338" s="2">
        <f t="shared" si="17"/>
        <v>6.9441375859688836</v>
      </c>
      <c r="N338">
        <v>38.943134307861328</v>
      </c>
      <c r="O338">
        <v>514.08404541015625</v>
      </c>
      <c r="P338" s="2">
        <f t="shared" si="15"/>
        <v>-0.97954566347783456</v>
      </c>
      <c r="Q338" s="2">
        <f t="shared" si="16"/>
        <v>-0.90203682276433894</v>
      </c>
    </row>
    <row r="339" spans="1:17" x14ac:dyDescent="0.45">
      <c r="A339" t="s">
        <v>360</v>
      </c>
      <c r="B339">
        <v>61</v>
      </c>
      <c r="C339">
        <v>113</v>
      </c>
      <c r="D339">
        <v>1.7861999999999999E-2</v>
      </c>
      <c r="E339">
        <v>35</v>
      </c>
      <c r="F339">
        <v>1</v>
      </c>
      <c r="G339">
        <v>9.3629412353038705E-2</v>
      </c>
      <c r="H339">
        <v>588.54260297223095</v>
      </c>
      <c r="I339">
        <v>55.483193152262999</v>
      </c>
      <c r="K339">
        <v>9.5255039632320404E-2</v>
      </c>
      <c r="L339" s="2">
        <f t="shared" si="17"/>
        <v>1.7362356960568284</v>
      </c>
      <c r="N339">
        <v>55.219642639160163</v>
      </c>
      <c r="O339">
        <v>583.93328857421875</v>
      </c>
      <c r="P339" s="2">
        <f t="shared" si="15"/>
        <v>-0.47500963468265317</v>
      </c>
      <c r="Q339" s="2">
        <f t="shared" si="16"/>
        <v>-0.78317429778820657</v>
      </c>
    </row>
    <row r="340" spans="1:17" x14ac:dyDescent="0.45">
      <c r="A340" t="s">
        <v>361</v>
      </c>
      <c r="B340">
        <v>84.6</v>
      </c>
      <c r="C340">
        <v>116.2</v>
      </c>
      <c r="D340">
        <v>2.0952999999999999E-2</v>
      </c>
      <c r="E340">
        <v>25.03</v>
      </c>
      <c r="F340">
        <v>1.18</v>
      </c>
      <c r="G340">
        <v>0.106908023357391</v>
      </c>
      <c r="H340">
        <v>559.17558529699897</v>
      </c>
      <c r="I340">
        <v>92.589572020633597</v>
      </c>
      <c r="K340">
        <v>0.10173922777175901</v>
      </c>
      <c r="L340" s="2">
        <f t="shared" si="17"/>
        <v>-4.8348060541282569</v>
      </c>
      <c r="N340">
        <v>91.319847106933594</v>
      </c>
      <c r="O340">
        <v>545.722900390625</v>
      </c>
      <c r="P340" s="2">
        <f t="shared" si="15"/>
        <v>-1.3713476431417617</v>
      </c>
      <c r="Q340" s="2">
        <f t="shared" si="16"/>
        <v>-2.4058069164855889</v>
      </c>
    </row>
    <row r="341" spans="1:17" x14ac:dyDescent="0.45">
      <c r="A341" t="s">
        <v>362</v>
      </c>
      <c r="B341">
        <v>48</v>
      </c>
      <c r="C341">
        <v>106.3</v>
      </c>
      <c r="D341">
        <v>9.7719999999999994E-3</v>
      </c>
      <c r="E341">
        <v>25.65</v>
      </c>
      <c r="F341">
        <v>1</v>
      </c>
      <c r="G341">
        <v>6.70826882123947E-2</v>
      </c>
      <c r="H341">
        <v>530.84123671078396</v>
      </c>
      <c r="I341">
        <v>39.6530736732511</v>
      </c>
      <c r="K341">
        <v>7.0823349058628082E-2</v>
      </c>
      <c r="L341" s="2">
        <f t="shared" si="17"/>
        <v>5.5761940165394703</v>
      </c>
      <c r="N341">
        <v>38.598117828369141</v>
      </c>
      <c r="O341">
        <v>525.9803466796875</v>
      </c>
      <c r="P341" s="2">
        <f t="shared" si="15"/>
        <v>-2.6604642393550555</v>
      </c>
      <c r="Q341" s="2">
        <f t="shared" si="16"/>
        <v>-0.91569563457723591</v>
      </c>
    </row>
    <row r="342" spans="1:17" x14ac:dyDescent="0.45">
      <c r="A342" t="s">
        <v>363</v>
      </c>
      <c r="B342">
        <v>69.3</v>
      </c>
      <c r="C342">
        <v>130</v>
      </c>
      <c r="D342">
        <v>1.3188E-2</v>
      </c>
      <c r="E342">
        <v>22.8</v>
      </c>
      <c r="F342">
        <v>1.47</v>
      </c>
      <c r="G342">
        <v>5.8928366750478703E-2</v>
      </c>
      <c r="H342">
        <v>594.88678891343795</v>
      </c>
      <c r="I342">
        <v>72.663773894882397</v>
      </c>
      <c r="K342">
        <v>6.503816694021225E-2</v>
      </c>
      <c r="L342" s="2">
        <f t="shared" si="17"/>
        <v>10.368181788584721</v>
      </c>
      <c r="N342">
        <v>73.376129150390625</v>
      </c>
      <c r="O342">
        <v>580.75872802734375</v>
      </c>
      <c r="P342" s="2">
        <f t="shared" si="15"/>
        <v>0.98034442380978315</v>
      </c>
      <c r="Q342" s="2">
        <f t="shared" si="16"/>
        <v>-2.3749158914587998</v>
      </c>
    </row>
    <row r="343" spans="1:17" x14ac:dyDescent="0.45">
      <c r="A343" t="s">
        <v>364</v>
      </c>
      <c r="B343">
        <v>56</v>
      </c>
      <c r="C343">
        <v>101.9</v>
      </c>
      <c r="D343">
        <v>1.473E-2</v>
      </c>
      <c r="E343">
        <v>30.55</v>
      </c>
      <c r="F343">
        <v>1</v>
      </c>
      <c r="G343">
        <v>0.12632998824119501</v>
      </c>
      <c r="H343">
        <v>559.52429819718498</v>
      </c>
      <c r="I343">
        <v>52.289744216189803</v>
      </c>
      <c r="K343">
        <v>0.1184403523802757</v>
      </c>
      <c r="L343" s="2">
        <f t="shared" si="17"/>
        <v>-6.2452597128846872</v>
      </c>
      <c r="N343">
        <v>52.020351409912109</v>
      </c>
      <c r="O343">
        <v>558.94488525390625</v>
      </c>
      <c r="P343" s="2">
        <f t="shared" si="15"/>
        <v>-0.51519243460801767</v>
      </c>
      <c r="Q343" s="2">
        <f t="shared" si="16"/>
        <v>-0.10355456325053676</v>
      </c>
    </row>
    <row r="344" spans="1:17" x14ac:dyDescent="0.45">
      <c r="A344" t="s">
        <v>365</v>
      </c>
      <c r="B344">
        <v>56.8</v>
      </c>
      <c r="C344">
        <v>113.8</v>
      </c>
      <c r="D344">
        <v>1.2097E-2</v>
      </c>
      <c r="E344">
        <v>24.95</v>
      </c>
      <c r="F344">
        <v>1</v>
      </c>
      <c r="G344">
        <v>6.5062738955020905E-2</v>
      </c>
      <c r="H344">
        <v>528.479626007109</v>
      </c>
      <c r="I344">
        <v>51.464705872055603</v>
      </c>
      <c r="K344">
        <v>6.7717202007770538E-2</v>
      </c>
      <c r="L344" s="2">
        <f t="shared" si="17"/>
        <v>4.0798513794273461</v>
      </c>
      <c r="N344">
        <v>51.482940673828118</v>
      </c>
      <c r="O344">
        <v>524.03326416015625</v>
      </c>
      <c r="P344" s="2">
        <f t="shared" si="15"/>
        <v>3.5431664212455645E-2</v>
      </c>
      <c r="Q344" s="2">
        <f t="shared" si="16"/>
        <v>-0.84134971872935427</v>
      </c>
    </row>
    <row r="345" spans="1:17" x14ac:dyDescent="0.45">
      <c r="A345" t="s">
        <v>366</v>
      </c>
      <c r="B345">
        <v>71.900000000000006</v>
      </c>
      <c r="C345">
        <v>109.2</v>
      </c>
      <c r="D345">
        <v>1.5524E-2</v>
      </c>
      <c r="E345">
        <v>21.43</v>
      </c>
      <c r="F345">
        <v>1</v>
      </c>
      <c r="G345">
        <v>9.7369022667407906E-2</v>
      </c>
      <c r="H345">
        <v>506.13402410808197</v>
      </c>
      <c r="I345">
        <v>73.781857958630098</v>
      </c>
      <c r="K345">
        <v>9.2187978327274323E-2</v>
      </c>
      <c r="L345" s="2">
        <f t="shared" si="17"/>
        <v>-5.3210396881880406</v>
      </c>
      <c r="N345">
        <v>71.907470703125</v>
      </c>
      <c r="O345">
        <v>502.2078857421875</v>
      </c>
      <c r="P345" s="2">
        <f t="shared" si="15"/>
        <v>-2.5404446395970099</v>
      </c>
      <c r="Q345" s="2">
        <f t="shared" si="16"/>
        <v>-0.77571121064488435</v>
      </c>
    </row>
    <row r="346" spans="1:17" x14ac:dyDescent="0.45">
      <c r="A346" t="s">
        <v>367</v>
      </c>
      <c r="B346">
        <v>45.5</v>
      </c>
      <c r="C346">
        <v>117.1</v>
      </c>
      <c r="D346">
        <v>1.0803999999999999E-2</v>
      </c>
      <c r="E346">
        <v>35</v>
      </c>
      <c r="F346">
        <v>1</v>
      </c>
      <c r="G346">
        <v>5.1602188497781698E-2</v>
      </c>
      <c r="H346">
        <v>589.87339818420901</v>
      </c>
      <c r="I346">
        <v>34.105981434565599</v>
      </c>
      <c r="K346">
        <v>5.763346329331398E-2</v>
      </c>
      <c r="L346" s="2">
        <f t="shared" si="17"/>
        <v>11.688021324505565</v>
      </c>
      <c r="N346">
        <v>33.301780700683587</v>
      </c>
      <c r="O346">
        <v>589.1676025390625</v>
      </c>
      <c r="P346" s="2">
        <f t="shared" si="15"/>
        <v>-2.3579463192546468</v>
      </c>
      <c r="Q346" s="2">
        <f t="shared" si="16"/>
        <v>-0.11965205539343528</v>
      </c>
    </row>
    <row r="347" spans="1:17" x14ac:dyDescent="0.45">
      <c r="A347" t="s">
        <v>368</v>
      </c>
      <c r="B347">
        <v>45.4</v>
      </c>
      <c r="C347">
        <v>128.30000000000001</v>
      </c>
      <c r="D347">
        <v>6.2830000000000004E-3</v>
      </c>
      <c r="E347">
        <v>20</v>
      </c>
      <c r="F347">
        <v>1</v>
      </c>
      <c r="G347">
        <v>2.88033690303564E-2</v>
      </c>
      <c r="H347">
        <v>505.306570202584</v>
      </c>
      <c r="I347">
        <v>34.439224802852301</v>
      </c>
      <c r="K347">
        <v>3.0458040535449982E-2</v>
      </c>
      <c r="L347" s="2">
        <f t="shared" si="17"/>
        <v>5.7447151524173883</v>
      </c>
      <c r="N347">
        <v>33.777088165283203</v>
      </c>
      <c r="O347">
        <v>498.87466430664063</v>
      </c>
      <c r="P347" s="2">
        <f t="shared" si="15"/>
        <v>-1.9226235240761262</v>
      </c>
      <c r="Q347" s="2">
        <f t="shared" si="16"/>
        <v>-1.2728720098305348</v>
      </c>
    </row>
    <row r="348" spans="1:17" x14ac:dyDescent="0.45">
      <c r="A348" t="s">
        <v>369</v>
      </c>
      <c r="B348">
        <v>84.9</v>
      </c>
      <c r="C348">
        <v>114.6</v>
      </c>
      <c r="D348">
        <v>2.1069000000000001E-2</v>
      </c>
      <c r="E348">
        <v>24.73</v>
      </c>
      <c r="F348">
        <v>1</v>
      </c>
      <c r="G348">
        <v>0.111435644328594</v>
      </c>
      <c r="H348">
        <v>527.40730548560202</v>
      </c>
      <c r="I348">
        <v>90.033066088248702</v>
      </c>
      <c r="K348">
        <v>0.10238122940063479</v>
      </c>
      <c r="L348" s="2">
        <f t="shared" si="17"/>
        <v>-8.1252412390241577</v>
      </c>
      <c r="N348">
        <v>90.527511596679688</v>
      </c>
      <c r="O348">
        <v>517.19287109375</v>
      </c>
      <c r="P348" s="2">
        <f t="shared" si="15"/>
        <v>0.54918212820425216</v>
      </c>
      <c r="Q348" s="2">
        <f t="shared" si="16"/>
        <v>-1.9367259963240826</v>
      </c>
    </row>
    <row r="349" spans="1:17" x14ac:dyDescent="0.45">
      <c r="A349" t="s">
        <v>370</v>
      </c>
      <c r="B349">
        <v>55.3</v>
      </c>
      <c r="C349">
        <v>108.4</v>
      </c>
      <c r="D349">
        <v>1.5778E-2</v>
      </c>
      <c r="E349">
        <v>35</v>
      </c>
      <c r="F349">
        <v>1</v>
      </c>
      <c r="G349">
        <v>9.5936775207519503E-2</v>
      </c>
      <c r="H349">
        <v>587.37325432948205</v>
      </c>
      <c r="I349">
        <v>48.797778876371197</v>
      </c>
      <c r="K349">
        <v>9.5990829169750214E-2</v>
      </c>
      <c r="L349" s="2">
        <f t="shared" si="17"/>
        <v>5.6343317892212613E-2</v>
      </c>
      <c r="N349">
        <v>47.94378662109375</v>
      </c>
      <c r="O349">
        <v>590.004638671875</v>
      </c>
      <c r="P349" s="2">
        <f t="shared" si="15"/>
        <v>-1.750063783519799</v>
      </c>
      <c r="Q349" s="2">
        <f t="shared" si="16"/>
        <v>0.44799185577436856</v>
      </c>
    </row>
    <row r="350" spans="1:17" x14ac:dyDescent="0.45">
      <c r="A350" t="s">
        <v>371</v>
      </c>
      <c r="B350">
        <v>74.8</v>
      </c>
      <c r="C350">
        <v>114</v>
      </c>
      <c r="D350">
        <v>1.516E-2</v>
      </c>
      <c r="E350">
        <v>20</v>
      </c>
      <c r="F350">
        <v>1</v>
      </c>
      <c r="G350">
        <v>8.3959788084030096E-2</v>
      </c>
      <c r="H350">
        <v>498.84053541185699</v>
      </c>
      <c r="I350">
        <v>77.517015615477902</v>
      </c>
      <c r="K350">
        <v>7.9597122967243195E-2</v>
      </c>
      <c r="L350" s="2">
        <f t="shared" si="17"/>
        <v>-5.1961364080869075</v>
      </c>
      <c r="N350">
        <v>75.914047241210938</v>
      </c>
      <c r="O350">
        <v>489.5919189453125</v>
      </c>
      <c r="P350" s="2">
        <f t="shared" si="15"/>
        <v>-2.0678922705415643</v>
      </c>
      <c r="Q350" s="2">
        <f t="shared" si="16"/>
        <v>-1.8540226405034566</v>
      </c>
    </row>
    <row r="351" spans="1:17" x14ac:dyDescent="0.45">
      <c r="A351" t="s">
        <v>372</v>
      </c>
      <c r="B351">
        <v>87.8</v>
      </c>
      <c r="C351">
        <v>116.1</v>
      </c>
      <c r="D351">
        <v>2.5689E-2</v>
      </c>
      <c r="E351">
        <v>30.32</v>
      </c>
      <c r="F351">
        <v>1</v>
      </c>
      <c r="G351">
        <v>0.12762780487537301</v>
      </c>
      <c r="H351">
        <v>561.44148522849503</v>
      </c>
      <c r="I351">
        <v>91.843007781037997</v>
      </c>
      <c r="K351">
        <v>0.13103009760379791</v>
      </c>
      <c r="L351" s="2">
        <f t="shared" si="17"/>
        <v>2.6657927179325873</v>
      </c>
      <c r="N351">
        <v>92.647811889648438</v>
      </c>
      <c r="O351">
        <v>561.9122314453125</v>
      </c>
      <c r="P351" s="2">
        <f t="shared" si="15"/>
        <v>0.87628239542107111</v>
      </c>
      <c r="Q351" s="2">
        <f t="shared" si="16"/>
        <v>8.3845998060846957E-2</v>
      </c>
    </row>
    <row r="352" spans="1:17" x14ac:dyDescent="0.45">
      <c r="A352" t="s">
        <v>373</v>
      </c>
      <c r="B352">
        <v>54.6</v>
      </c>
      <c r="C352">
        <v>120.7</v>
      </c>
      <c r="D352">
        <v>1.09E-2</v>
      </c>
      <c r="E352">
        <v>25.16</v>
      </c>
      <c r="F352">
        <v>1</v>
      </c>
      <c r="G352">
        <v>5.1593448966741499E-2</v>
      </c>
      <c r="H352">
        <v>532.26128641135597</v>
      </c>
      <c r="I352">
        <v>46.941676807317897</v>
      </c>
      <c r="K352">
        <v>5.7213470339775092E-2</v>
      </c>
      <c r="L352" s="2">
        <f t="shared" si="17"/>
        <v>10.892897229368028</v>
      </c>
      <c r="N352">
        <v>47.507820129394531</v>
      </c>
      <c r="O352">
        <v>525.59051513671875</v>
      </c>
      <c r="P352" s="2">
        <f t="shared" si="15"/>
        <v>1.2060568786251284</v>
      </c>
      <c r="Q352" s="2">
        <f t="shared" si="16"/>
        <v>-1.2532888348151889</v>
      </c>
    </row>
    <row r="353" spans="1:17" x14ac:dyDescent="0.45">
      <c r="A353" t="s">
        <v>374</v>
      </c>
      <c r="B353">
        <v>67.2</v>
      </c>
      <c r="C353">
        <v>105</v>
      </c>
      <c r="D353">
        <v>1.9191E-2</v>
      </c>
      <c r="E353">
        <v>30.71</v>
      </c>
      <c r="F353">
        <v>1</v>
      </c>
      <c r="G353">
        <v>0.137451067566871</v>
      </c>
      <c r="H353">
        <v>560.96357188040395</v>
      </c>
      <c r="I353">
        <v>66.630226640471903</v>
      </c>
      <c r="K353">
        <v>0.13753537833690641</v>
      </c>
      <c r="L353" s="2">
        <f t="shared" si="17"/>
        <v>6.1338752421390121E-2</v>
      </c>
      <c r="N353">
        <v>64.907989501953125</v>
      </c>
      <c r="O353">
        <v>562.09136962890625</v>
      </c>
      <c r="P353" s="2">
        <f t="shared" si="15"/>
        <v>-2.5847685432795355</v>
      </c>
      <c r="Q353" s="2">
        <f t="shared" si="16"/>
        <v>0.20104652156321245</v>
      </c>
    </row>
    <row r="354" spans="1:17" x14ac:dyDescent="0.45">
      <c r="A354" t="s">
        <v>375</v>
      </c>
      <c r="B354">
        <v>69.599999999999994</v>
      </c>
      <c r="C354">
        <v>106.1</v>
      </c>
      <c r="D354">
        <v>2.0544E-2</v>
      </c>
      <c r="E354">
        <v>31.57</v>
      </c>
      <c r="F354">
        <v>1</v>
      </c>
      <c r="G354">
        <v>0.13916529715061099</v>
      </c>
      <c r="H354">
        <v>566.32321835852395</v>
      </c>
      <c r="I354">
        <v>69.816985650870194</v>
      </c>
      <c r="K354">
        <v>0.1400781124830246</v>
      </c>
      <c r="L354" s="2">
        <f t="shared" si="17"/>
        <v>0.65592166373612359</v>
      </c>
      <c r="N354">
        <v>68.31494140625</v>
      </c>
      <c r="O354">
        <v>567.77734375</v>
      </c>
      <c r="P354" s="2">
        <f t="shared" si="15"/>
        <v>-2.1514023136595739</v>
      </c>
      <c r="Q354" s="2">
        <f t="shared" si="16"/>
        <v>0.25676598527794903</v>
      </c>
    </row>
    <row r="355" spans="1:17" x14ac:dyDescent="0.45">
      <c r="A355" t="s">
        <v>376</v>
      </c>
      <c r="B355">
        <v>73.3</v>
      </c>
      <c r="C355">
        <v>125.6</v>
      </c>
      <c r="D355">
        <v>1.3523E-2</v>
      </c>
      <c r="E355">
        <v>20</v>
      </c>
      <c r="F355">
        <v>1</v>
      </c>
      <c r="G355">
        <v>6.3135690987110096E-2</v>
      </c>
      <c r="H355">
        <v>503.70858487042301</v>
      </c>
      <c r="I355">
        <v>73.2687185960515</v>
      </c>
      <c r="K355">
        <v>6.2286537140607827E-2</v>
      </c>
      <c r="L355" s="2">
        <f t="shared" si="17"/>
        <v>-1.3449664258456193</v>
      </c>
      <c r="N355">
        <v>71.155555725097656</v>
      </c>
      <c r="O355">
        <v>489.1812744140625</v>
      </c>
      <c r="P355" s="2">
        <f t="shared" si="15"/>
        <v>-2.8841269663855194</v>
      </c>
      <c r="Q355" s="2">
        <f t="shared" si="16"/>
        <v>-2.8840704511910595</v>
      </c>
    </row>
    <row r="356" spans="1:17" x14ac:dyDescent="0.45">
      <c r="A356" t="s">
        <v>377</v>
      </c>
      <c r="B356">
        <v>59</v>
      </c>
      <c r="C356">
        <v>125.8</v>
      </c>
      <c r="D356">
        <v>1.0817E-2</v>
      </c>
      <c r="E356">
        <v>22.6</v>
      </c>
      <c r="F356">
        <v>1</v>
      </c>
      <c r="G356">
        <v>4.9414418637752498E-2</v>
      </c>
      <c r="H356">
        <v>519.41977897971299</v>
      </c>
      <c r="I356">
        <v>52.589025640983898</v>
      </c>
      <c r="K356">
        <v>5.6885480880737298E-2</v>
      </c>
      <c r="L356" s="2">
        <f t="shared" si="17"/>
        <v>15.119194860418586</v>
      </c>
      <c r="N356">
        <v>54.495986938476563</v>
      </c>
      <c r="O356">
        <v>509.64138793945313</v>
      </c>
      <c r="P356" s="2">
        <f t="shared" si="15"/>
        <v>3.6261582606819074</v>
      </c>
      <c r="Q356" s="2">
        <f t="shared" si="16"/>
        <v>-1.8825603944977569</v>
      </c>
    </row>
    <row r="357" spans="1:17" x14ac:dyDescent="0.45">
      <c r="A357" t="s">
        <v>378</v>
      </c>
      <c r="B357">
        <v>66.599999999999994</v>
      </c>
      <c r="C357">
        <v>130</v>
      </c>
      <c r="D357">
        <v>1.4559000000000001E-2</v>
      </c>
      <c r="E357">
        <v>27.94</v>
      </c>
      <c r="F357">
        <v>1</v>
      </c>
      <c r="G357">
        <v>6.2959626317024203E-2</v>
      </c>
      <c r="H357">
        <v>554.06829180160298</v>
      </c>
      <c r="I357">
        <v>59.222128208155603</v>
      </c>
      <c r="K357">
        <v>7.3839463293552399E-2</v>
      </c>
      <c r="L357" s="2">
        <f t="shared" si="17"/>
        <v>17.280656847841396</v>
      </c>
      <c r="N357">
        <v>60.827415466308587</v>
      </c>
      <c r="O357">
        <v>550.053466796875</v>
      </c>
      <c r="P357" s="2">
        <f t="shared" si="15"/>
        <v>2.710620686427673</v>
      </c>
      <c r="Q357" s="2">
        <f t="shared" si="16"/>
        <v>-0.72460833152415494</v>
      </c>
    </row>
    <row r="358" spans="1:17" x14ac:dyDescent="0.45">
      <c r="A358" t="s">
        <v>379</v>
      </c>
      <c r="B358">
        <v>55.8</v>
      </c>
      <c r="C358">
        <v>113.3</v>
      </c>
      <c r="D358">
        <v>1.3965999999999999E-2</v>
      </c>
      <c r="E358">
        <v>30.73</v>
      </c>
      <c r="F358">
        <v>1</v>
      </c>
      <c r="G358">
        <v>7.3886469006538294E-2</v>
      </c>
      <c r="H358">
        <v>563.01025613630202</v>
      </c>
      <c r="I358">
        <v>48.983869664353001</v>
      </c>
      <c r="K358">
        <v>7.8497089445590973E-2</v>
      </c>
      <c r="L358" s="2">
        <f t="shared" si="17"/>
        <v>6.2401418027496751</v>
      </c>
      <c r="N358">
        <v>50.891853332519531</v>
      </c>
      <c r="O358">
        <v>561.13250732421875</v>
      </c>
      <c r="P358" s="2">
        <f t="shared" si="15"/>
        <v>3.8951264594659527</v>
      </c>
      <c r="Q358" s="2">
        <f t="shared" si="16"/>
        <v>-0.33351946818330691</v>
      </c>
    </row>
    <row r="359" spans="1:17" x14ac:dyDescent="0.45">
      <c r="A359" t="s">
        <v>380</v>
      </c>
      <c r="B359">
        <v>53.8</v>
      </c>
      <c r="C359">
        <v>114.9</v>
      </c>
      <c r="D359">
        <v>9.299E-3</v>
      </c>
      <c r="E359">
        <v>20</v>
      </c>
      <c r="F359">
        <v>1</v>
      </c>
      <c r="G359">
        <v>5.0483502447605098E-2</v>
      </c>
      <c r="H359">
        <v>499.12299333356401</v>
      </c>
      <c r="I359">
        <v>47.779632064962499</v>
      </c>
      <c r="K359">
        <v>5.0180681049823761E-2</v>
      </c>
      <c r="L359" s="2">
        <f t="shared" si="17"/>
        <v>-0.59984229124281574</v>
      </c>
      <c r="N359">
        <v>48.231216430664063</v>
      </c>
      <c r="O359">
        <v>487.6514892578125</v>
      </c>
      <c r="P359" s="2">
        <f t="shared" si="15"/>
        <v>0.94513989787024144</v>
      </c>
      <c r="Q359" s="2">
        <f t="shared" si="16"/>
        <v>-2.2983321203327338</v>
      </c>
    </row>
    <row r="360" spans="1:17" x14ac:dyDescent="0.45">
      <c r="A360" t="s">
        <v>381</v>
      </c>
      <c r="B360">
        <v>65.2</v>
      </c>
      <c r="C360">
        <v>104.6</v>
      </c>
      <c r="D360">
        <v>1.6681999999999999E-2</v>
      </c>
      <c r="E360">
        <v>27.26</v>
      </c>
      <c r="F360">
        <v>1</v>
      </c>
      <c r="G360">
        <v>0.123353771865367</v>
      </c>
      <c r="H360">
        <v>540.19488891495803</v>
      </c>
      <c r="I360">
        <v>65.2127131503958</v>
      </c>
      <c r="K360">
        <v>0.1144173815846443</v>
      </c>
      <c r="L360" s="2">
        <f t="shared" si="17"/>
        <v>-7.2445213029044737</v>
      </c>
      <c r="N360">
        <v>63.651615142822273</v>
      </c>
      <c r="O360">
        <v>541.0299072265625</v>
      </c>
      <c r="P360" s="2">
        <f t="shared" si="15"/>
        <v>-2.3938553269103666</v>
      </c>
      <c r="Q360" s="2">
        <f t="shared" si="16"/>
        <v>0.15457723290971886</v>
      </c>
    </row>
    <row r="361" spans="1:17" x14ac:dyDescent="0.45">
      <c r="A361" t="s">
        <v>382</v>
      </c>
      <c r="B361">
        <v>61.3</v>
      </c>
      <c r="C361">
        <v>123.7</v>
      </c>
      <c r="D361">
        <v>1.6528999999999999E-2</v>
      </c>
      <c r="E361">
        <v>35</v>
      </c>
      <c r="F361">
        <v>1</v>
      </c>
      <c r="G361">
        <v>7.2028063237667E-2</v>
      </c>
      <c r="H361">
        <v>592.70524622409198</v>
      </c>
      <c r="I361">
        <v>53.397683927022001</v>
      </c>
      <c r="K361">
        <v>7.4506290256977081E-2</v>
      </c>
      <c r="L361" s="2">
        <f t="shared" si="17"/>
        <v>3.4406409223205308</v>
      </c>
      <c r="N361">
        <v>53.37615966796875</v>
      </c>
      <c r="O361">
        <v>592.22979736328125</v>
      </c>
      <c r="P361" s="2">
        <f t="shared" si="15"/>
        <v>-4.030934952659769E-2</v>
      </c>
      <c r="Q361" s="2">
        <f t="shared" si="16"/>
        <v>-8.0216745817527343E-2</v>
      </c>
    </row>
    <row r="362" spans="1:17" x14ac:dyDescent="0.45">
      <c r="A362" t="s">
        <v>383</v>
      </c>
      <c r="B362">
        <v>43.5</v>
      </c>
      <c r="C362">
        <v>108.4</v>
      </c>
      <c r="D362">
        <v>7.4729999999999996E-3</v>
      </c>
      <c r="E362">
        <v>23.08</v>
      </c>
      <c r="F362">
        <v>1</v>
      </c>
      <c r="G362">
        <v>4.7759145498275701E-2</v>
      </c>
      <c r="H362">
        <v>515.85325432948105</v>
      </c>
      <c r="I362">
        <v>33.394868251854</v>
      </c>
      <c r="K362">
        <v>5.4040059447288513E-2</v>
      </c>
      <c r="L362" s="2">
        <f t="shared" si="17"/>
        <v>13.151227651758507</v>
      </c>
      <c r="N362">
        <v>33.159736633300781</v>
      </c>
      <c r="O362">
        <v>510.54428100585938</v>
      </c>
      <c r="P362" s="2">
        <f t="shared" si="15"/>
        <v>-0.70409506269025179</v>
      </c>
      <c r="Q362" s="2">
        <f t="shared" si="16"/>
        <v>-1.0291634838133197</v>
      </c>
    </row>
    <row r="363" spans="1:17" x14ac:dyDescent="0.45">
      <c r="A363" t="s">
        <v>384</v>
      </c>
      <c r="B363">
        <v>47.6</v>
      </c>
      <c r="C363">
        <v>110.5</v>
      </c>
      <c r="D363">
        <v>7.7819999999999999E-3</v>
      </c>
      <c r="E363">
        <v>20</v>
      </c>
      <c r="F363">
        <v>1</v>
      </c>
      <c r="G363">
        <v>4.7268103808164597E-2</v>
      </c>
      <c r="H363">
        <v>497.867566480417</v>
      </c>
      <c r="I363">
        <v>39.3331740861789</v>
      </c>
      <c r="K363">
        <v>4.8713825643062592E-2</v>
      </c>
      <c r="L363" s="2">
        <f t="shared" si="17"/>
        <v>3.0585568669422196</v>
      </c>
      <c r="N363">
        <v>40.033668518066413</v>
      </c>
      <c r="O363">
        <v>486.4114990234375</v>
      </c>
      <c r="P363" s="2">
        <f t="shared" si="15"/>
        <v>1.7809252575262078</v>
      </c>
      <c r="Q363" s="2">
        <f t="shared" si="16"/>
        <v>-2.3010270658854233</v>
      </c>
    </row>
    <row r="364" spans="1:17" x14ac:dyDescent="0.45">
      <c r="A364" t="s">
        <v>385</v>
      </c>
      <c r="B364">
        <v>40.799999999999997</v>
      </c>
      <c r="C364">
        <v>114.4</v>
      </c>
      <c r="D364">
        <v>7.77E-3</v>
      </c>
      <c r="E364">
        <v>29.39</v>
      </c>
      <c r="F364">
        <v>1.1100000000000001</v>
      </c>
      <c r="G364">
        <v>4.0247716009616803E-2</v>
      </c>
      <c r="H364">
        <v>576.15123097063804</v>
      </c>
      <c r="I364">
        <v>29.137073447937201</v>
      </c>
      <c r="K364">
        <v>3.5207249224185937E-2</v>
      </c>
      <c r="L364" s="2">
        <f t="shared" si="17"/>
        <v>-12.523609499298036</v>
      </c>
      <c r="N364">
        <v>29.390806198120121</v>
      </c>
      <c r="O364">
        <v>567.28863525390625</v>
      </c>
      <c r="P364" s="2">
        <f t="shared" si="15"/>
        <v>0.87082441768318009</v>
      </c>
      <c r="Q364" s="2">
        <f t="shared" si="16"/>
        <v>-1.5382412186816012</v>
      </c>
    </row>
    <row r="365" spans="1:17" x14ac:dyDescent="0.45">
      <c r="A365" t="s">
        <v>386</v>
      </c>
      <c r="B365">
        <v>75.599999999999994</v>
      </c>
      <c r="C365">
        <v>122.3</v>
      </c>
      <c r="D365">
        <v>1.4518E-2</v>
      </c>
      <c r="E365">
        <v>20</v>
      </c>
      <c r="F365">
        <v>1</v>
      </c>
      <c r="G365">
        <v>6.9942429661750793E-2</v>
      </c>
      <c r="H365">
        <v>502.02398255795799</v>
      </c>
      <c r="I365">
        <v>77.015519711709302</v>
      </c>
      <c r="K365">
        <v>6.7666821181774139E-2</v>
      </c>
      <c r="L365" s="2">
        <f t="shared" si="17"/>
        <v>-3.2535450812643258</v>
      </c>
      <c r="N365">
        <v>74.957496643066406</v>
      </c>
      <c r="O365">
        <v>489.69625854492188</v>
      </c>
      <c r="P365" s="2">
        <f t="shared" si="15"/>
        <v>-2.6722186337853122</v>
      </c>
      <c r="Q365" s="2">
        <f t="shared" si="16"/>
        <v>-2.4556046008445223</v>
      </c>
    </row>
    <row r="366" spans="1:17" x14ac:dyDescent="0.45">
      <c r="A366" t="s">
        <v>387</v>
      </c>
      <c r="B366">
        <v>57.9</v>
      </c>
      <c r="C366">
        <v>121.5</v>
      </c>
      <c r="D366">
        <v>1.2168999999999999E-2</v>
      </c>
      <c r="E366">
        <v>25.99</v>
      </c>
      <c r="F366">
        <v>1</v>
      </c>
      <c r="G366">
        <v>5.6711971759796101E-2</v>
      </c>
      <c r="H366">
        <v>537.59542646374405</v>
      </c>
      <c r="I366">
        <v>51.265439686628397</v>
      </c>
      <c r="K366">
        <v>6.2870800495147705E-2</v>
      </c>
      <c r="L366" s="2">
        <f t="shared" si="17"/>
        <v>10.85983883868006</v>
      </c>
      <c r="N366">
        <v>51.348587036132813</v>
      </c>
      <c r="O366">
        <v>531.1065673828125</v>
      </c>
      <c r="P366" s="2">
        <f t="shared" si="15"/>
        <v>0.16218986906709867</v>
      </c>
      <c r="Q366" s="2">
        <f t="shared" si="16"/>
        <v>-1.2070153058434105</v>
      </c>
    </row>
    <row r="367" spans="1:17" x14ac:dyDescent="0.45">
      <c r="A367" t="s">
        <v>388</v>
      </c>
      <c r="B367">
        <v>72.599999999999994</v>
      </c>
      <c r="C367">
        <v>113</v>
      </c>
      <c r="D367">
        <v>1.9036000000000001E-2</v>
      </c>
      <c r="E367">
        <v>27.97</v>
      </c>
      <c r="F367">
        <v>1</v>
      </c>
      <c r="G367">
        <v>0.102801620960235</v>
      </c>
      <c r="H367">
        <v>546.36260297222998</v>
      </c>
      <c r="I367">
        <v>72.321891143913305</v>
      </c>
      <c r="K367">
        <v>0.1030576229095459</v>
      </c>
      <c r="L367" s="2">
        <f t="shared" si="17"/>
        <v>0.24902520691762667</v>
      </c>
      <c r="N367">
        <v>70.025886535644531</v>
      </c>
      <c r="O367">
        <v>542.84832763671875</v>
      </c>
      <c r="P367" s="2">
        <f t="shared" si="15"/>
        <v>-3.1747021157120394</v>
      </c>
      <c r="Q367" s="2">
        <f t="shared" si="16"/>
        <v>-0.64321300842946771</v>
      </c>
    </row>
    <row r="368" spans="1:17" x14ac:dyDescent="0.45">
      <c r="A368" t="s">
        <v>389</v>
      </c>
      <c r="B368">
        <v>45.5</v>
      </c>
      <c r="C368">
        <v>115</v>
      </c>
      <c r="D368">
        <v>7.012E-3</v>
      </c>
      <c r="E368">
        <v>20</v>
      </c>
      <c r="F368">
        <v>1</v>
      </c>
      <c r="G368">
        <v>3.7981186062097501E-2</v>
      </c>
      <c r="H368">
        <v>499.15523446829002</v>
      </c>
      <c r="I368">
        <v>35.9937286501399</v>
      </c>
      <c r="K368">
        <v>3.9180487394332893E-2</v>
      </c>
      <c r="L368" s="2">
        <f t="shared" si="17"/>
        <v>3.1576194863282807</v>
      </c>
      <c r="N368">
        <v>36.252864837646477</v>
      </c>
      <c r="O368">
        <v>489.46188354492188</v>
      </c>
      <c r="P368" s="2">
        <f t="shared" si="15"/>
        <v>0.71994816104046488</v>
      </c>
      <c r="Q368" s="2">
        <f t="shared" si="16"/>
        <v>-1.9419511715015252</v>
      </c>
    </row>
    <row r="369" spans="1:17" x14ac:dyDescent="0.45">
      <c r="A369" t="s">
        <v>390</v>
      </c>
      <c r="B369">
        <v>53.2</v>
      </c>
      <c r="C369">
        <v>119.6</v>
      </c>
      <c r="D369">
        <v>1.0213E-2</v>
      </c>
      <c r="E369">
        <v>24.14</v>
      </c>
      <c r="F369">
        <v>1.07</v>
      </c>
      <c r="G369">
        <v>4.9436345696449203E-2</v>
      </c>
      <c r="H369">
        <v>536.78185415153598</v>
      </c>
      <c r="I369">
        <v>46.075049404654102</v>
      </c>
      <c r="K369">
        <v>5.4884489625692368E-2</v>
      </c>
      <c r="L369" s="2">
        <f t="shared" si="17"/>
        <v>11.020523164669269</v>
      </c>
      <c r="N369">
        <v>46.898555755615227</v>
      </c>
      <c r="O369">
        <v>529.72479248046875</v>
      </c>
      <c r="P369" s="2">
        <f t="shared" si="15"/>
        <v>1.7873151773070952</v>
      </c>
      <c r="Q369" s="2">
        <f t="shared" si="16"/>
        <v>-1.3146982552571513</v>
      </c>
    </row>
    <row r="370" spans="1:17" x14ac:dyDescent="0.45">
      <c r="A370" t="s">
        <v>391</v>
      </c>
      <c r="B370">
        <v>50.6</v>
      </c>
      <c r="C370">
        <v>107.1</v>
      </c>
      <c r="D370">
        <v>1.23E-2</v>
      </c>
      <c r="E370">
        <v>30.61</v>
      </c>
      <c r="F370">
        <v>1</v>
      </c>
      <c r="G370">
        <v>7.9988330602645805E-2</v>
      </c>
      <c r="H370">
        <v>560.75868807786799</v>
      </c>
      <c r="I370">
        <v>43.254303681138701</v>
      </c>
      <c r="K370">
        <v>8.3232223987579346E-2</v>
      </c>
      <c r="L370" s="2">
        <f t="shared" si="17"/>
        <v>4.0554582905950047</v>
      </c>
      <c r="N370">
        <v>43.310733795166023</v>
      </c>
      <c r="O370">
        <v>561.52606201171875</v>
      </c>
      <c r="P370" s="2">
        <f t="shared" si="15"/>
        <v>0.13046127026645041</v>
      </c>
      <c r="Q370" s="2">
        <f t="shared" si="16"/>
        <v>0.13684566109552709</v>
      </c>
    </row>
    <row r="371" spans="1:17" x14ac:dyDescent="0.45">
      <c r="A371" t="s">
        <v>392</v>
      </c>
      <c r="B371">
        <v>46.3</v>
      </c>
      <c r="C371">
        <v>126.2</v>
      </c>
      <c r="D371">
        <v>8.9540000000000002E-3</v>
      </c>
      <c r="E371">
        <v>29.59</v>
      </c>
      <c r="F371">
        <v>1</v>
      </c>
      <c r="G371">
        <v>3.9153967052698101E-2</v>
      </c>
      <c r="H371">
        <v>561.585488802074</v>
      </c>
      <c r="I371">
        <v>34.093628665019899</v>
      </c>
      <c r="K371">
        <v>4.2861700057983398E-2</v>
      </c>
      <c r="L371" s="2">
        <f t="shared" si="17"/>
        <v>9.469622836161113</v>
      </c>
      <c r="N371">
        <v>34.476818084716797</v>
      </c>
      <c r="O371">
        <v>556.6729736328125</v>
      </c>
      <c r="P371" s="2">
        <f t="shared" si="15"/>
        <v>1.1239326369799125</v>
      </c>
      <c r="Q371" s="2">
        <f t="shared" si="16"/>
        <v>-0.87475820996380305</v>
      </c>
    </row>
    <row r="372" spans="1:17" x14ac:dyDescent="0.45">
      <c r="A372" t="s">
        <v>393</v>
      </c>
      <c r="B372">
        <v>55.3</v>
      </c>
      <c r="C372">
        <v>115.1</v>
      </c>
      <c r="D372">
        <v>9.7059999999999994E-3</v>
      </c>
      <c r="E372">
        <v>20</v>
      </c>
      <c r="F372">
        <v>1</v>
      </c>
      <c r="G372">
        <v>5.2428442984819398E-2</v>
      </c>
      <c r="H372">
        <v>499.18764922301898</v>
      </c>
      <c r="I372">
        <v>49.810800967552503</v>
      </c>
      <c r="K372">
        <v>5.18038310110569E-2</v>
      </c>
      <c r="L372" s="2">
        <f t="shared" si="17"/>
        <v>-1.1913609067951036</v>
      </c>
      <c r="N372">
        <v>50.099216461181641</v>
      </c>
      <c r="O372">
        <v>486.5452880859375</v>
      </c>
      <c r="P372" s="2">
        <f t="shared" si="15"/>
        <v>0.57902199528374632</v>
      </c>
      <c r="Q372" s="2">
        <f t="shared" si="16"/>
        <v>-2.5325869253294226</v>
      </c>
    </row>
    <row r="373" spans="1:17" x14ac:dyDescent="0.45">
      <c r="A373" t="s">
        <v>394</v>
      </c>
      <c r="B373">
        <v>71.599999999999994</v>
      </c>
      <c r="C373">
        <v>113</v>
      </c>
      <c r="D373">
        <v>1.8988999999999999E-2</v>
      </c>
      <c r="E373">
        <v>28.54</v>
      </c>
      <c r="F373">
        <v>1</v>
      </c>
      <c r="G373">
        <v>0.10221777856349901</v>
      </c>
      <c r="H373">
        <v>549.78260297223096</v>
      </c>
      <c r="I373">
        <v>71.004891324219798</v>
      </c>
      <c r="K373">
        <v>0.1026489213109016</v>
      </c>
      <c r="L373" s="2">
        <f t="shared" si="17"/>
        <v>0.42178841436547382</v>
      </c>
      <c r="N373">
        <v>69.127494812011719</v>
      </c>
      <c r="O373">
        <v>546.86126708984375</v>
      </c>
      <c r="P373" s="2">
        <f t="shared" si="15"/>
        <v>-2.6440382869337609</v>
      </c>
      <c r="Q373" s="2">
        <f t="shared" si="16"/>
        <v>-0.53136200865467642</v>
      </c>
    </row>
    <row r="374" spans="1:17" x14ac:dyDescent="0.45">
      <c r="A374" t="s">
        <v>395</v>
      </c>
      <c r="B374">
        <v>64.2</v>
      </c>
      <c r="C374">
        <v>130</v>
      </c>
      <c r="D374">
        <v>1.6327999999999999E-2</v>
      </c>
      <c r="E374">
        <v>34.47</v>
      </c>
      <c r="F374">
        <v>1.32</v>
      </c>
      <c r="G374">
        <v>6.8735346198081901E-2</v>
      </c>
      <c r="H374">
        <v>664.44345579263995</v>
      </c>
      <c r="I374">
        <v>57.993213162590997</v>
      </c>
      <c r="K374">
        <v>6.5363623201847076E-2</v>
      </c>
      <c r="L374" s="2">
        <f t="shared" si="17"/>
        <v>-4.9053699191652784</v>
      </c>
      <c r="N374">
        <v>61.469932556152337</v>
      </c>
      <c r="O374">
        <v>657.85003662109375</v>
      </c>
      <c r="P374" s="2">
        <f t="shared" si="15"/>
        <v>5.9950452888580861</v>
      </c>
      <c r="Q374" s="2">
        <f t="shared" si="16"/>
        <v>-0.99232208761551588</v>
      </c>
    </row>
    <row r="375" spans="1:17" x14ac:dyDescent="0.45">
      <c r="A375" t="s">
        <v>396</v>
      </c>
      <c r="B375">
        <v>69.3</v>
      </c>
      <c r="C375">
        <v>114.6</v>
      </c>
      <c r="D375">
        <v>1.6943E-2</v>
      </c>
      <c r="E375">
        <v>26.56</v>
      </c>
      <c r="F375">
        <v>1</v>
      </c>
      <c r="G375">
        <v>8.8652797043323503E-2</v>
      </c>
      <c r="H375">
        <v>538.38730548560295</v>
      </c>
      <c r="I375">
        <v>69.0709641123795</v>
      </c>
      <c r="K375">
        <v>9.2021547257900238E-2</v>
      </c>
      <c r="L375" s="2">
        <f t="shared" si="17"/>
        <v>3.7999367498021179</v>
      </c>
      <c r="N375">
        <v>67.852981567382813</v>
      </c>
      <c r="O375">
        <v>535.26129150390625</v>
      </c>
      <c r="P375" s="2">
        <f t="shared" si="15"/>
        <v>-1.7633785204083892</v>
      </c>
      <c r="Q375" s="2">
        <f t="shared" si="16"/>
        <v>-0.58062549949560316</v>
      </c>
    </row>
    <row r="376" spans="1:17" x14ac:dyDescent="0.45">
      <c r="A376" t="s">
        <v>397</v>
      </c>
      <c r="B376">
        <v>51.7</v>
      </c>
      <c r="C376">
        <v>114.3</v>
      </c>
      <c r="D376">
        <v>1.3697000000000001E-2</v>
      </c>
      <c r="E376">
        <v>35</v>
      </c>
      <c r="F376">
        <v>1</v>
      </c>
      <c r="G376">
        <v>6.9463193416595403E-2</v>
      </c>
      <c r="H376">
        <v>588.93315821430201</v>
      </c>
      <c r="I376">
        <v>42.872350420121499</v>
      </c>
      <c r="K376">
        <v>7.4372522532939911E-2</v>
      </c>
      <c r="L376" s="2">
        <f t="shared" si="17"/>
        <v>7.0675258001766768</v>
      </c>
      <c r="N376">
        <v>43.248298645019531</v>
      </c>
      <c r="O376">
        <v>587.51568603515625</v>
      </c>
      <c r="P376" s="2">
        <f t="shared" si="15"/>
        <v>0.87690136233255411</v>
      </c>
      <c r="Q376" s="2">
        <f t="shared" si="16"/>
        <v>-0.2406847295614436</v>
      </c>
    </row>
    <row r="377" spans="1:17" x14ac:dyDescent="0.45">
      <c r="A377" t="s">
        <v>398</v>
      </c>
      <c r="B377">
        <v>63.4</v>
      </c>
      <c r="C377">
        <v>123.7</v>
      </c>
      <c r="D377">
        <v>1.1431999999999999E-2</v>
      </c>
      <c r="E377">
        <v>20.55</v>
      </c>
      <c r="F377">
        <v>1</v>
      </c>
      <c r="G377">
        <v>5.3994797170162201E-2</v>
      </c>
      <c r="H377">
        <v>506.00524622409199</v>
      </c>
      <c r="I377">
        <v>59.819705476592702</v>
      </c>
      <c r="K377">
        <v>5.5843785405158997E-2</v>
      </c>
      <c r="L377" s="2">
        <f t="shared" si="17"/>
        <v>3.424382221808874</v>
      </c>
      <c r="N377">
        <v>61.446338653564453</v>
      </c>
      <c r="O377">
        <v>493.62759399414063</v>
      </c>
      <c r="P377" s="2">
        <f t="shared" si="15"/>
        <v>2.7192263218484891</v>
      </c>
      <c r="Q377" s="2">
        <f t="shared" si="16"/>
        <v>-2.4461509682588818</v>
      </c>
    </row>
    <row r="378" spans="1:17" x14ac:dyDescent="0.45">
      <c r="A378" t="s">
        <v>399</v>
      </c>
      <c r="B378">
        <v>84.8</v>
      </c>
      <c r="C378">
        <v>111.1</v>
      </c>
      <c r="D378">
        <v>2.2109E-2</v>
      </c>
      <c r="E378">
        <v>25.65</v>
      </c>
      <c r="F378">
        <v>1</v>
      </c>
      <c r="G378">
        <v>0.12743154168128901</v>
      </c>
      <c r="H378">
        <v>531.920760101356</v>
      </c>
      <c r="I378">
        <v>89.672881947226799</v>
      </c>
      <c r="K378">
        <v>0.1226257234811783</v>
      </c>
      <c r="L378" s="2">
        <f t="shared" si="17"/>
        <v>-3.7712940899124003</v>
      </c>
      <c r="N378">
        <v>89.970138549804688</v>
      </c>
      <c r="O378">
        <v>525.090087890625</v>
      </c>
      <c r="P378" s="2">
        <f t="shared" si="15"/>
        <v>0.33148996231974204</v>
      </c>
      <c r="Q378" s="2">
        <f t="shared" si="16"/>
        <v>-1.2841522127148091</v>
      </c>
    </row>
    <row r="379" spans="1:17" x14ac:dyDescent="0.45">
      <c r="A379" t="s">
        <v>400</v>
      </c>
      <c r="B379">
        <v>88.6</v>
      </c>
      <c r="C379">
        <v>115.2</v>
      </c>
      <c r="D379">
        <v>2.2808999999999999E-2</v>
      </c>
      <c r="E379">
        <v>25.59</v>
      </c>
      <c r="F379">
        <v>1</v>
      </c>
      <c r="G379">
        <v>0.11834670603275201</v>
      </c>
      <c r="H379">
        <v>532.76023822087097</v>
      </c>
      <c r="I379">
        <v>94.509866034026004</v>
      </c>
      <c r="K379">
        <v>0.10944442451000209</v>
      </c>
      <c r="L379" s="2">
        <f t="shared" si="17"/>
        <v>-7.5222047331729183</v>
      </c>
      <c r="N379">
        <v>94.879005432128906</v>
      </c>
      <c r="O379">
        <v>521.15936279296875</v>
      </c>
      <c r="P379" s="2">
        <f t="shared" si="15"/>
        <v>0.39058292387167554</v>
      </c>
      <c r="Q379" s="2">
        <f t="shared" si="16"/>
        <v>-2.1775039869046591</v>
      </c>
    </row>
    <row r="380" spans="1:17" x14ac:dyDescent="0.45">
      <c r="A380" t="s">
        <v>401</v>
      </c>
      <c r="B380">
        <v>52.6</v>
      </c>
      <c r="C380">
        <v>111.5</v>
      </c>
      <c r="D380">
        <v>9.1430000000000001E-3</v>
      </c>
      <c r="E380">
        <v>20</v>
      </c>
      <c r="F380">
        <v>1</v>
      </c>
      <c r="G380">
        <v>5.39640970528125E-2</v>
      </c>
      <c r="H380">
        <v>498.12593404415901</v>
      </c>
      <c r="I380">
        <v>46.4765000632433</v>
      </c>
      <c r="K380">
        <v>5.3636066615581512E-2</v>
      </c>
      <c r="L380" s="2">
        <f t="shared" si="17"/>
        <v>-0.60786792542819212</v>
      </c>
      <c r="N380">
        <v>47.525249481201172</v>
      </c>
      <c r="O380">
        <v>486.27706909179688</v>
      </c>
      <c r="P380" s="2">
        <f t="shared" si="15"/>
        <v>2.2565154788565769</v>
      </c>
      <c r="Q380" s="2">
        <f t="shared" si="16"/>
        <v>-2.378688629231605</v>
      </c>
    </row>
    <row r="381" spans="1:17" x14ac:dyDescent="0.45">
      <c r="A381" t="s">
        <v>402</v>
      </c>
      <c r="B381">
        <v>82.9</v>
      </c>
      <c r="C381">
        <v>130</v>
      </c>
      <c r="D381">
        <v>2.1222999999999999E-2</v>
      </c>
      <c r="E381">
        <v>30.8</v>
      </c>
      <c r="F381">
        <v>1.1000000000000001</v>
      </c>
      <c r="G381">
        <v>9.0578913688659599E-2</v>
      </c>
      <c r="H381">
        <v>591.27478054880203</v>
      </c>
      <c r="I381">
        <v>80.706299301383098</v>
      </c>
      <c r="K381">
        <v>9.6206963062286377E-2</v>
      </c>
      <c r="L381" s="2">
        <f t="shared" si="17"/>
        <v>6.2134211423330479</v>
      </c>
      <c r="N381">
        <v>84.073539733886719</v>
      </c>
      <c r="O381">
        <v>580.79412841796875</v>
      </c>
      <c r="P381" s="2">
        <f t="shared" si="15"/>
        <v>4.1722151327113517</v>
      </c>
      <c r="Q381" s="2">
        <f t="shared" si="16"/>
        <v>-1.772551861776597</v>
      </c>
    </row>
    <row r="382" spans="1:17" x14ac:dyDescent="0.45">
      <c r="A382" t="s">
        <v>403</v>
      </c>
      <c r="B382">
        <v>80.7</v>
      </c>
      <c r="C382">
        <v>120.6</v>
      </c>
      <c r="D382">
        <v>2.2815999999999999E-2</v>
      </c>
      <c r="E382">
        <v>31.33</v>
      </c>
      <c r="F382">
        <v>1</v>
      </c>
      <c r="G382">
        <v>0.104605488479137</v>
      </c>
      <c r="H382">
        <v>569.23800750426005</v>
      </c>
      <c r="I382">
        <v>80.624639072689604</v>
      </c>
      <c r="K382">
        <v>0.1089083030819893</v>
      </c>
      <c r="L382" s="2">
        <f t="shared" si="17"/>
        <v>4.113373653152502</v>
      </c>
      <c r="N382">
        <v>81.852485656738281</v>
      </c>
      <c r="O382">
        <v>565.32159423828125</v>
      </c>
      <c r="P382" s="2">
        <f t="shared" si="15"/>
        <v>1.5229173093620609</v>
      </c>
      <c r="Q382" s="2">
        <f t="shared" si="16"/>
        <v>-0.68800979807194174</v>
      </c>
    </row>
    <row r="383" spans="1:17" x14ac:dyDescent="0.45">
      <c r="A383" t="s">
        <v>404</v>
      </c>
      <c r="B383">
        <v>68.8</v>
      </c>
      <c r="C383">
        <v>110.8</v>
      </c>
      <c r="D383">
        <v>1.8277000000000002E-2</v>
      </c>
      <c r="E383">
        <v>28.72</v>
      </c>
      <c r="F383">
        <v>1</v>
      </c>
      <c r="G383">
        <v>0.104692228138446</v>
      </c>
      <c r="H383">
        <v>550.26348305032502</v>
      </c>
      <c r="I383">
        <v>67.826515889713804</v>
      </c>
      <c r="K383">
        <v>9.9962808191776276E-2</v>
      </c>
      <c r="L383" s="2">
        <f t="shared" si="17"/>
        <v>-4.5174508468914212</v>
      </c>
      <c r="N383">
        <v>65.982803344726563</v>
      </c>
      <c r="O383">
        <v>547.34881591796875</v>
      </c>
      <c r="P383" s="2">
        <f t="shared" si="15"/>
        <v>-2.7182769464159495</v>
      </c>
      <c r="Q383" s="2">
        <f t="shared" si="16"/>
        <v>-0.52968572731723629</v>
      </c>
    </row>
    <row r="384" spans="1:17" x14ac:dyDescent="0.45">
      <c r="A384" t="s">
        <v>405</v>
      </c>
      <c r="B384">
        <v>83.7</v>
      </c>
      <c r="C384">
        <v>109.5</v>
      </c>
      <c r="D384">
        <v>2.8313000000000001E-2</v>
      </c>
      <c r="E384">
        <v>35</v>
      </c>
      <c r="F384">
        <v>1.01</v>
      </c>
      <c r="G384">
        <v>0.165301844477653</v>
      </c>
      <c r="H384">
        <v>589.85148441465003</v>
      </c>
      <c r="I384">
        <v>87.542138913402098</v>
      </c>
      <c r="K384">
        <v>0.1693688631057739</v>
      </c>
      <c r="L384" s="2">
        <f t="shared" si="17"/>
        <v>2.460358891319395</v>
      </c>
      <c r="N384">
        <v>87.913284301757813</v>
      </c>
      <c r="O384">
        <v>589.51385498046875</v>
      </c>
      <c r="P384" s="2">
        <f t="shared" si="15"/>
        <v>0.42396198329453227</v>
      </c>
      <c r="Q384" s="2">
        <f t="shared" si="16"/>
        <v>-5.7239736289946559E-2</v>
      </c>
    </row>
    <row r="385" spans="1:17" x14ac:dyDescent="0.45">
      <c r="A385" t="s">
        <v>406</v>
      </c>
      <c r="B385">
        <v>65.2</v>
      </c>
      <c r="C385">
        <v>119.8</v>
      </c>
      <c r="D385">
        <v>1.5328E-2</v>
      </c>
      <c r="E385">
        <v>27.35</v>
      </c>
      <c r="F385">
        <v>1</v>
      </c>
      <c r="G385">
        <v>7.2487510740756905E-2</v>
      </c>
      <c r="H385">
        <v>545.01949386692104</v>
      </c>
      <c r="I385">
        <v>61.188771863012498</v>
      </c>
      <c r="K385">
        <v>7.740001380443573E-2</v>
      </c>
      <c r="L385" s="2">
        <f t="shared" si="17"/>
        <v>6.7770337448168378</v>
      </c>
      <c r="N385">
        <v>61.221946716308587</v>
      </c>
      <c r="O385">
        <v>535.7982177734375</v>
      </c>
      <c r="P385" s="2">
        <f t="shared" si="15"/>
        <v>5.4217223660510024E-2</v>
      </c>
      <c r="Q385" s="2">
        <f t="shared" si="16"/>
        <v>-1.6919167474283268</v>
      </c>
    </row>
    <row r="386" spans="1:17" x14ac:dyDescent="0.45">
      <c r="A386" t="s">
        <v>407</v>
      </c>
      <c r="B386">
        <v>82.4</v>
      </c>
      <c r="C386">
        <v>129.19999999999999</v>
      </c>
      <c r="D386">
        <v>2.3570000000000001E-2</v>
      </c>
      <c r="E386">
        <v>35</v>
      </c>
      <c r="F386">
        <v>1</v>
      </c>
      <c r="G386">
        <v>9.9041022360324804E-2</v>
      </c>
      <c r="H386">
        <v>595.88856973910595</v>
      </c>
      <c r="I386">
        <v>77.536244180751396</v>
      </c>
      <c r="K386">
        <v>0.1045020893216133</v>
      </c>
      <c r="L386" s="2">
        <f t="shared" si="17"/>
        <v>5.5139444556825996</v>
      </c>
      <c r="N386">
        <v>81.456489562988281</v>
      </c>
      <c r="O386">
        <v>590.01580810546875</v>
      </c>
      <c r="P386" s="2">
        <f t="shared" si="15"/>
        <v>5.0560166070180861</v>
      </c>
      <c r="Q386" s="2">
        <f t="shared" si="16"/>
        <v>-0.9855469515396863</v>
      </c>
    </row>
    <row r="387" spans="1:17" x14ac:dyDescent="0.45">
      <c r="A387" t="s">
        <v>408</v>
      </c>
      <c r="B387">
        <v>59.2</v>
      </c>
      <c r="C387">
        <v>102.5</v>
      </c>
      <c r="D387">
        <v>1.5599E-2</v>
      </c>
      <c r="E387">
        <v>29.61</v>
      </c>
      <c r="F387">
        <v>1</v>
      </c>
      <c r="G387">
        <v>0.12898862361907901</v>
      </c>
      <c r="H387">
        <v>553.96769190096404</v>
      </c>
      <c r="I387">
        <v>55.964332117081298</v>
      </c>
      <c r="K387">
        <v>0.1234344244003296</v>
      </c>
      <c r="L387" s="2">
        <f t="shared" si="17"/>
        <v>-4.3059605280785931</v>
      </c>
      <c r="N387">
        <v>55.946399688720703</v>
      </c>
      <c r="O387">
        <v>552.524169921875</v>
      </c>
      <c r="P387" s="2">
        <f t="shared" si="15"/>
        <v>-3.2042602282966876E-2</v>
      </c>
      <c r="Q387" s="2">
        <f t="shared" si="16"/>
        <v>-0.26057873052768354</v>
      </c>
    </row>
    <row r="388" spans="1:17" x14ac:dyDescent="0.45">
      <c r="A388" t="s">
        <v>409</v>
      </c>
      <c r="B388">
        <v>72.3</v>
      </c>
      <c r="C388">
        <v>118.5</v>
      </c>
      <c r="D388">
        <v>1.8079000000000001E-2</v>
      </c>
      <c r="E388">
        <v>27.69</v>
      </c>
      <c r="F388">
        <v>1</v>
      </c>
      <c r="G388">
        <v>8.7159998714923803E-2</v>
      </c>
      <c r="H388">
        <v>546.53778390802495</v>
      </c>
      <c r="I388">
        <v>70.987832385506707</v>
      </c>
      <c r="K388">
        <v>9.0845204889774323E-2</v>
      </c>
      <c r="L388" s="2">
        <f t="shared" si="17"/>
        <v>4.2280934249480744</v>
      </c>
      <c r="N388">
        <v>71.938392639160156</v>
      </c>
      <c r="O388">
        <v>542.7978515625</v>
      </c>
      <c r="P388" s="2">
        <f t="shared" si="15"/>
        <v>1.3390467376033328</v>
      </c>
      <c r="Q388" s="2">
        <f t="shared" si="16"/>
        <v>-0.68429529588650173</v>
      </c>
    </row>
    <row r="389" spans="1:17" x14ac:dyDescent="0.45">
      <c r="A389" t="s">
        <v>410</v>
      </c>
      <c r="B389">
        <v>88.3</v>
      </c>
      <c r="C389">
        <v>116.7</v>
      </c>
      <c r="D389">
        <v>2.9024999999999999E-2</v>
      </c>
      <c r="E389">
        <v>35</v>
      </c>
      <c r="F389">
        <v>1</v>
      </c>
      <c r="G389">
        <v>0.139690667390823</v>
      </c>
      <c r="H389">
        <v>589.73042025039399</v>
      </c>
      <c r="I389">
        <v>91.454375477838695</v>
      </c>
      <c r="K389">
        <v>0.15240469574928281</v>
      </c>
      <c r="L389" s="2">
        <f t="shared" si="17"/>
        <v>9.1015588914675458</v>
      </c>
      <c r="N389">
        <v>93.183242797851563</v>
      </c>
      <c r="O389">
        <v>587.7178955078125</v>
      </c>
      <c r="P389" s="2">
        <f t="shared" si="15"/>
        <v>1.8904150960298314</v>
      </c>
      <c r="Q389" s="2">
        <f t="shared" si="16"/>
        <v>-0.34126181615779488</v>
      </c>
    </row>
    <row r="390" spans="1:17" x14ac:dyDescent="0.45">
      <c r="A390" t="s">
        <v>411</v>
      </c>
      <c r="B390">
        <v>52.6</v>
      </c>
      <c r="C390">
        <v>126.9</v>
      </c>
      <c r="D390">
        <v>8.1740000000000007E-3</v>
      </c>
      <c r="E390">
        <v>20</v>
      </c>
      <c r="F390">
        <v>1</v>
      </c>
      <c r="G390">
        <v>3.7792090326547602E-2</v>
      </c>
      <c r="H390">
        <v>504.45137434039202</v>
      </c>
      <c r="I390">
        <v>44.279536229689199</v>
      </c>
      <c r="K390">
        <v>4.3143272399902337E-2</v>
      </c>
      <c r="L390" s="2">
        <f t="shared" si="17"/>
        <v>14.159529221901016</v>
      </c>
      <c r="N390">
        <v>45.482398986816413</v>
      </c>
      <c r="O390">
        <v>491.40390014648438</v>
      </c>
      <c r="P390" s="2">
        <f t="shared" si="15"/>
        <v>2.716520676476057</v>
      </c>
      <c r="Q390" s="2">
        <f t="shared" si="16"/>
        <v>-2.5864681627576487</v>
      </c>
    </row>
    <row r="391" spans="1:17" x14ac:dyDescent="0.45">
      <c r="A391" t="s">
        <v>412</v>
      </c>
      <c r="B391">
        <v>73.8</v>
      </c>
      <c r="C391">
        <v>121.5</v>
      </c>
      <c r="D391">
        <v>2.035E-2</v>
      </c>
      <c r="E391">
        <v>31.86</v>
      </c>
      <c r="F391">
        <v>1</v>
      </c>
      <c r="G391">
        <v>9.1961719095706898E-2</v>
      </c>
      <c r="H391">
        <v>572.81542646374498</v>
      </c>
      <c r="I391">
        <v>71.621503151187298</v>
      </c>
      <c r="K391">
        <v>9.4208516180515289E-2</v>
      </c>
      <c r="L391" s="2">
        <f t="shared" si="17"/>
        <v>2.4431873467590277</v>
      </c>
      <c r="N391">
        <v>71.913917541503906</v>
      </c>
      <c r="O391">
        <v>567.29248046875</v>
      </c>
      <c r="P391" s="2">
        <f t="shared" si="15"/>
        <v>0.40827737125168229</v>
      </c>
      <c r="Q391" s="2">
        <f t="shared" si="16"/>
        <v>-0.96417549874497777</v>
      </c>
    </row>
    <row r="392" spans="1:17" x14ac:dyDescent="0.45">
      <c r="A392" t="s">
        <v>413</v>
      </c>
      <c r="B392">
        <v>64.900000000000006</v>
      </c>
      <c r="C392">
        <v>121.9</v>
      </c>
      <c r="D392">
        <v>1.6229E-2</v>
      </c>
      <c r="E392">
        <v>30.29</v>
      </c>
      <c r="F392">
        <v>1</v>
      </c>
      <c r="G392">
        <v>7.3586031794548007E-2</v>
      </c>
      <c r="H392">
        <v>563.57787033334</v>
      </c>
      <c r="I392">
        <v>59.266945627437998</v>
      </c>
      <c r="K392">
        <v>7.5269877910614014E-2</v>
      </c>
      <c r="L392" s="2">
        <f t="shared" si="17"/>
        <v>2.2882686768153233</v>
      </c>
      <c r="N392">
        <v>59.327442169189453</v>
      </c>
      <c r="O392">
        <v>561.2813720703125</v>
      </c>
      <c r="P392" s="2">
        <f t="shared" si="15"/>
        <v>0.1020746743585309</v>
      </c>
      <c r="Q392" s="2">
        <f t="shared" si="16"/>
        <v>-0.40748552842736518</v>
      </c>
    </row>
    <row r="393" spans="1:17" x14ac:dyDescent="0.45">
      <c r="A393" t="s">
        <v>414</v>
      </c>
      <c r="B393">
        <v>47.6</v>
      </c>
      <c r="C393">
        <v>130</v>
      </c>
      <c r="D393">
        <v>9.5479999999999992E-3</v>
      </c>
      <c r="E393">
        <v>31.78</v>
      </c>
      <c r="F393">
        <v>1</v>
      </c>
      <c r="G393">
        <v>4.05542515218257E-2</v>
      </c>
      <c r="H393">
        <v>577.10829180160499</v>
      </c>
      <c r="I393">
        <v>34.239303304194202</v>
      </c>
      <c r="K393">
        <v>4.7679565846920013E-2</v>
      </c>
      <c r="L393" s="2">
        <f t="shared" si="17"/>
        <v>17.569833143781668</v>
      </c>
      <c r="N393">
        <v>34.22369384765625</v>
      </c>
      <c r="O393">
        <v>572.89654541015625</v>
      </c>
      <c r="P393" s="2">
        <f t="shared" si="15"/>
        <v>-4.5589293681801535E-2</v>
      </c>
      <c r="Q393" s="2">
        <f t="shared" si="16"/>
        <v>-0.72980174627202066</v>
      </c>
    </row>
    <row r="394" spans="1:17" x14ac:dyDescent="0.45">
      <c r="A394" t="s">
        <v>415</v>
      </c>
      <c r="B394">
        <v>40.299999999999997</v>
      </c>
      <c r="C394">
        <v>130</v>
      </c>
      <c r="D394">
        <v>6.6379999999999998E-3</v>
      </c>
      <c r="E394">
        <v>29.61</v>
      </c>
      <c r="F394">
        <v>1</v>
      </c>
      <c r="G394">
        <v>2.84716561436653E-2</v>
      </c>
      <c r="H394">
        <v>564.08829180160399</v>
      </c>
      <c r="I394">
        <v>25.565975665471601</v>
      </c>
      <c r="K394">
        <v>3.1619813293218613E-2</v>
      </c>
      <c r="L394" s="2">
        <f t="shared" si="17"/>
        <v>11.057162019897993</v>
      </c>
      <c r="N394">
        <v>24.178121566772461</v>
      </c>
      <c r="O394">
        <v>555.49652099609375</v>
      </c>
      <c r="P394" s="2">
        <f t="shared" si="15"/>
        <v>-5.4285199863251119</v>
      </c>
      <c r="Q394" s="2">
        <f t="shared" si="16"/>
        <v>-1.5231251792285128</v>
      </c>
    </row>
    <row r="395" spans="1:17" x14ac:dyDescent="0.45">
      <c r="A395" t="s">
        <v>416</v>
      </c>
      <c r="B395">
        <v>77.3</v>
      </c>
      <c r="C395">
        <v>109.6</v>
      </c>
      <c r="D395">
        <v>2.1350999999999998E-2</v>
      </c>
      <c r="E395">
        <v>28.32</v>
      </c>
      <c r="F395">
        <v>1</v>
      </c>
      <c r="G395">
        <v>0.12740515172481501</v>
      </c>
      <c r="H395">
        <v>547.56785920090795</v>
      </c>
      <c r="I395">
        <v>79.840508018794495</v>
      </c>
      <c r="K395">
        <v>0.12388920783996581</v>
      </c>
      <c r="L395" s="2">
        <f t="shared" si="17"/>
        <v>-2.7596559772114717</v>
      </c>
      <c r="N395">
        <v>76.88824462890625</v>
      </c>
      <c r="O395">
        <v>542.02264404296875</v>
      </c>
      <c r="P395" s="2">
        <f t="shared" si="15"/>
        <v>-3.6977011584060566</v>
      </c>
      <c r="Q395" s="2">
        <f t="shared" si="16"/>
        <v>-1.0126991686531046</v>
      </c>
    </row>
    <row r="396" spans="1:17" x14ac:dyDescent="0.45">
      <c r="A396" t="s">
        <v>417</v>
      </c>
      <c r="B396">
        <v>59.4</v>
      </c>
      <c r="C396">
        <v>100</v>
      </c>
      <c r="D396">
        <v>1.5939999999999999E-2</v>
      </c>
      <c r="E396">
        <v>29.94</v>
      </c>
      <c r="F396">
        <v>1</v>
      </c>
      <c r="G396">
        <v>0.15714238584041501</v>
      </c>
      <c r="H396">
        <v>555.62898741352706</v>
      </c>
      <c r="I396">
        <v>57.602212665132299</v>
      </c>
      <c r="K396">
        <v>0.1450595706701279</v>
      </c>
      <c r="L396" s="2">
        <f t="shared" si="17"/>
        <v>-7.6890872603638236</v>
      </c>
      <c r="N396">
        <v>57.49591064453125</v>
      </c>
      <c r="O396">
        <v>553.00750732421875</v>
      </c>
      <c r="P396" s="2">
        <f t="shared" si="15"/>
        <v>-0.18454502992624763</v>
      </c>
      <c r="Q396" s="2">
        <f t="shared" si="16"/>
        <v>-0.47180405426854899</v>
      </c>
    </row>
    <row r="397" spans="1:17" x14ac:dyDescent="0.45">
      <c r="A397" t="s">
        <v>418</v>
      </c>
      <c r="B397">
        <v>61.1</v>
      </c>
      <c r="C397">
        <v>116.9</v>
      </c>
      <c r="D397">
        <v>1.2083E-2</v>
      </c>
      <c r="E397">
        <v>22.19</v>
      </c>
      <c r="F397">
        <v>1</v>
      </c>
      <c r="G397">
        <v>6.1971329152584E-2</v>
      </c>
      <c r="H397">
        <v>512.941536679504</v>
      </c>
      <c r="I397">
        <v>57.286012765834499</v>
      </c>
      <c r="K397">
        <v>6.1702776700258262E-2</v>
      </c>
      <c r="L397" s="2">
        <f t="shared" si="17"/>
        <v>-0.43334951177909331</v>
      </c>
      <c r="N397">
        <v>56.905162811279297</v>
      </c>
      <c r="O397">
        <v>502.2794189453125</v>
      </c>
      <c r="P397" s="2">
        <f t="shared" si="15"/>
        <v>-0.66482189310676232</v>
      </c>
      <c r="Q397" s="2">
        <f t="shared" si="16"/>
        <v>-2.078622410501608</v>
      </c>
    </row>
    <row r="398" spans="1:17" x14ac:dyDescent="0.45">
      <c r="A398" t="s">
        <v>419</v>
      </c>
      <c r="B398">
        <v>43.5</v>
      </c>
      <c r="C398">
        <v>127.5</v>
      </c>
      <c r="D398">
        <v>7.7260000000000002E-3</v>
      </c>
      <c r="E398">
        <v>28.8</v>
      </c>
      <c r="F398">
        <v>1</v>
      </c>
      <c r="G398">
        <v>3.3640779554843903E-2</v>
      </c>
      <c r="H398">
        <v>557.61063629001103</v>
      </c>
      <c r="I398">
        <v>30.325501027130201</v>
      </c>
      <c r="K398">
        <v>3.6720413714647293E-2</v>
      </c>
      <c r="L398" s="2">
        <f t="shared" si="17"/>
        <v>9.1544672880802995</v>
      </c>
      <c r="N398">
        <v>30.593198776245121</v>
      </c>
      <c r="O398">
        <v>550.67230224609375</v>
      </c>
      <c r="P398" s="2">
        <f t="shared" si="15"/>
        <v>0.88274798452770231</v>
      </c>
      <c r="Q398" s="2">
        <f t="shared" si="16"/>
        <v>-1.2442972914004247</v>
      </c>
    </row>
    <row r="399" spans="1:17" x14ac:dyDescent="0.45">
      <c r="A399" t="s">
        <v>420</v>
      </c>
      <c r="B399">
        <v>83.1</v>
      </c>
      <c r="C399">
        <v>114.7</v>
      </c>
      <c r="D399">
        <v>2.0712000000000001E-2</v>
      </c>
      <c r="E399">
        <v>25.08</v>
      </c>
      <c r="F399">
        <v>1</v>
      </c>
      <c r="G399">
        <v>0.109001211822032</v>
      </c>
      <c r="H399">
        <v>529.53902945413904</v>
      </c>
      <c r="I399">
        <v>87.392439113952506</v>
      </c>
      <c r="K399">
        <v>0.1002791747450829</v>
      </c>
      <c r="L399" s="2">
        <f t="shared" si="17"/>
        <v>-8.0017799170799222</v>
      </c>
      <c r="N399">
        <v>87.515861511230469</v>
      </c>
      <c r="O399">
        <v>520.12945556640625</v>
      </c>
      <c r="P399" s="2">
        <f t="shared" si="15"/>
        <v>0.14122777499896819</v>
      </c>
      <c r="Q399" s="2">
        <f t="shared" si="16"/>
        <v>-1.7769368005664083</v>
      </c>
    </row>
    <row r="400" spans="1:17" x14ac:dyDescent="0.45">
      <c r="A400" t="s">
        <v>421</v>
      </c>
      <c r="B400">
        <v>70.7</v>
      </c>
      <c r="C400">
        <v>111.4</v>
      </c>
      <c r="D400">
        <v>1.4234E-2</v>
      </c>
      <c r="E400">
        <v>20</v>
      </c>
      <c r="F400">
        <v>1</v>
      </c>
      <c r="G400">
        <v>8.4197074174880898E-2</v>
      </c>
      <c r="H400">
        <v>498.09941009036601</v>
      </c>
      <c r="I400">
        <v>71.859212608308098</v>
      </c>
      <c r="K400">
        <v>7.8833520412445068E-2</v>
      </c>
      <c r="L400" s="2">
        <f t="shared" si="17"/>
        <v>-6.37023770124779</v>
      </c>
      <c r="N400">
        <v>70.107276916503906</v>
      </c>
      <c r="O400">
        <v>491.52157592773438</v>
      </c>
      <c r="P400" s="2">
        <f t="shared" si="15"/>
        <v>-2.4380112559174352</v>
      </c>
      <c r="Q400" s="2">
        <f t="shared" si="16"/>
        <v>-1.3205866197348579</v>
      </c>
    </row>
    <row r="401" spans="1:17" x14ac:dyDescent="0.45">
      <c r="A401" t="s">
        <v>422</v>
      </c>
      <c r="B401">
        <v>49.6</v>
      </c>
      <c r="C401">
        <v>130</v>
      </c>
      <c r="D401">
        <v>8.1700000000000002E-3</v>
      </c>
      <c r="E401">
        <v>23.77</v>
      </c>
      <c r="F401">
        <v>1</v>
      </c>
      <c r="G401">
        <v>3.6184065043926197E-2</v>
      </c>
      <c r="H401">
        <v>529.04829180160402</v>
      </c>
      <c r="I401">
        <v>38.265645682873703</v>
      </c>
      <c r="K401">
        <v>4.1036441922187812E-2</v>
      </c>
      <c r="L401" s="2">
        <f t="shared" si="17"/>
        <v>13.410259108176481</v>
      </c>
      <c r="N401">
        <v>39.524406433105469</v>
      </c>
      <c r="O401">
        <v>518.24151611328125</v>
      </c>
      <c r="P401" s="2">
        <f t="shared" si="15"/>
        <v>3.2895322364706372</v>
      </c>
      <c r="Q401" s="2">
        <f t="shared" si="16"/>
        <v>-2.042682276039816</v>
      </c>
    </row>
    <row r="402" spans="1:17" x14ac:dyDescent="0.45">
      <c r="A402" t="s">
        <v>423</v>
      </c>
      <c r="B402">
        <v>88.6</v>
      </c>
      <c r="C402">
        <v>111.8</v>
      </c>
      <c r="D402">
        <v>3.0112E-2</v>
      </c>
      <c r="E402">
        <v>35</v>
      </c>
      <c r="F402">
        <v>1</v>
      </c>
      <c r="G402">
        <v>0.16318638622760701</v>
      </c>
      <c r="H402">
        <v>588.20643448158501</v>
      </c>
      <c r="I402">
        <v>93.007131418716597</v>
      </c>
      <c r="K402">
        <v>0.17388911545276639</v>
      </c>
      <c r="L402" s="2">
        <f t="shared" si="17"/>
        <v>6.5585919711657628</v>
      </c>
      <c r="N402">
        <v>94.372879028320313</v>
      </c>
      <c r="O402">
        <v>586.72906494140625</v>
      </c>
      <c r="P402" s="2">
        <f t="shared" si="15"/>
        <v>1.4684332144974368</v>
      </c>
      <c r="Q402" s="2">
        <f t="shared" si="16"/>
        <v>-0.25116514433930565</v>
      </c>
    </row>
    <row r="403" spans="1:17" x14ac:dyDescent="0.45">
      <c r="A403" t="s">
        <v>424</v>
      </c>
      <c r="B403">
        <v>57</v>
      </c>
      <c r="C403">
        <v>119.5</v>
      </c>
      <c r="D403">
        <v>1.1063E-2</v>
      </c>
      <c r="E403">
        <v>23.24</v>
      </c>
      <c r="F403">
        <v>1</v>
      </c>
      <c r="G403">
        <v>5.3932182490825598E-2</v>
      </c>
      <c r="H403">
        <v>520.23602888269102</v>
      </c>
      <c r="I403">
        <v>50.535039313719899</v>
      </c>
      <c r="K403">
        <v>5.7832773774862289E-2</v>
      </c>
      <c r="L403" s="2">
        <f t="shared" si="17"/>
        <v>7.2324002179964095</v>
      </c>
      <c r="N403">
        <v>50.707199096679688</v>
      </c>
      <c r="O403">
        <v>512.04827880859375</v>
      </c>
      <c r="P403" s="2">
        <f t="shared" si="15"/>
        <v>0.34067408534309412</v>
      </c>
      <c r="Q403" s="2">
        <f t="shared" si="16"/>
        <v>-1.573852947417361</v>
      </c>
    </row>
    <row r="404" spans="1:17" x14ac:dyDescent="0.45">
      <c r="A404" t="s">
        <v>425</v>
      </c>
      <c r="B404">
        <v>57.7</v>
      </c>
      <c r="C404">
        <v>121</v>
      </c>
      <c r="D404">
        <v>1.1738E-2</v>
      </c>
      <c r="E404">
        <v>24.86</v>
      </c>
      <c r="F404">
        <v>1</v>
      </c>
      <c r="G404">
        <v>5.5440563708543701E-2</v>
      </c>
      <c r="H404">
        <v>530.59243168539001</v>
      </c>
      <c r="I404">
        <v>50.867628940669697</v>
      </c>
      <c r="K404">
        <v>6.2172383069992072E-2</v>
      </c>
      <c r="L404" s="2">
        <f t="shared" si="17"/>
        <v>12.142407852918279</v>
      </c>
      <c r="N404">
        <v>51.130558013916023</v>
      </c>
      <c r="O404">
        <v>523.1138916015625</v>
      </c>
      <c r="P404" s="2">
        <f t="shared" si="15"/>
        <v>0.51688879297479695</v>
      </c>
      <c r="Q404" s="2">
        <f t="shared" si="16"/>
        <v>-1.4094697996487526</v>
      </c>
    </row>
    <row r="405" spans="1:17" x14ac:dyDescent="0.45">
      <c r="A405" t="s">
        <v>426</v>
      </c>
      <c r="B405">
        <v>45</v>
      </c>
      <c r="C405">
        <v>113.3</v>
      </c>
      <c r="D405">
        <v>7.4929999999999997E-3</v>
      </c>
      <c r="E405">
        <v>22.09</v>
      </c>
      <c r="F405">
        <v>1</v>
      </c>
      <c r="G405">
        <v>4.1548389941453899E-2</v>
      </c>
      <c r="H405">
        <v>511.17025613630102</v>
      </c>
      <c r="I405">
        <v>35.104151491340502</v>
      </c>
      <c r="K405">
        <v>4.4975791126489639E-2</v>
      </c>
      <c r="L405" s="2">
        <f t="shared" si="17"/>
        <v>8.2491793060219969</v>
      </c>
      <c r="N405">
        <v>35.661083221435547</v>
      </c>
      <c r="O405">
        <v>502.7918701171875</v>
      </c>
      <c r="P405" s="2">
        <f t="shared" si="15"/>
        <v>1.5865124392265357</v>
      </c>
      <c r="Q405" s="2">
        <f t="shared" si="16"/>
        <v>-1.6390597689391897</v>
      </c>
    </row>
    <row r="406" spans="1:17" x14ac:dyDescent="0.45">
      <c r="A406" t="s">
        <v>427</v>
      </c>
      <c r="B406">
        <v>41.2</v>
      </c>
      <c r="C406">
        <v>110.1</v>
      </c>
      <c r="D406">
        <v>5.9899999999999997E-3</v>
      </c>
      <c r="E406">
        <v>20</v>
      </c>
      <c r="F406">
        <v>1</v>
      </c>
      <c r="G406">
        <v>3.6823641508817603E-2</v>
      </c>
      <c r="H406">
        <v>497.76843967725802</v>
      </c>
      <c r="I406">
        <v>30.299691508586999</v>
      </c>
      <c r="K406">
        <v>4.2212385684251792E-2</v>
      </c>
      <c r="L406" s="2">
        <f t="shared" si="17"/>
        <v>14.63392525734813</v>
      </c>
      <c r="N406">
        <v>31.312715530395511</v>
      </c>
      <c r="O406">
        <v>486.967041015625</v>
      </c>
      <c r="P406" s="2">
        <f t="shared" si="15"/>
        <v>3.3433476427356328</v>
      </c>
      <c r="Q406" s="2">
        <f t="shared" si="16"/>
        <v>-2.169964545891339</v>
      </c>
    </row>
    <row r="407" spans="1:17" x14ac:dyDescent="0.45">
      <c r="A407" t="s">
        <v>428</v>
      </c>
      <c r="B407">
        <v>56.8</v>
      </c>
      <c r="C407">
        <v>130</v>
      </c>
      <c r="D407">
        <v>1.1818E-2</v>
      </c>
      <c r="E407">
        <v>28.94</v>
      </c>
      <c r="F407">
        <v>1</v>
      </c>
      <c r="G407">
        <v>5.0854884088039398E-2</v>
      </c>
      <c r="H407">
        <v>560.068291801604</v>
      </c>
      <c r="I407">
        <v>46.690536461985602</v>
      </c>
      <c r="K407">
        <v>5.9245225042104721E-2</v>
      </c>
      <c r="L407" s="2">
        <f t="shared" si="17"/>
        <v>16.498594195082738</v>
      </c>
      <c r="N407">
        <v>48.341724395751953</v>
      </c>
      <c r="O407">
        <v>551.8670654296875</v>
      </c>
      <c r="P407" s="2">
        <f t="shared" si="15"/>
        <v>3.5364509789059975</v>
      </c>
      <c r="Q407" s="2">
        <f t="shared" si="16"/>
        <v>-1.464326135217394</v>
      </c>
    </row>
    <row r="408" spans="1:17" x14ac:dyDescent="0.45">
      <c r="A408" t="s">
        <v>429</v>
      </c>
      <c r="B408">
        <v>62.2</v>
      </c>
      <c r="C408">
        <v>119.7</v>
      </c>
      <c r="D408">
        <v>1.2983E-2</v>
      </c>
      <c r="E408">
        <v>24.17</v>
      </c>
      <c r="F408">
        <v>1</v>
      </c>
      <c r="G408">
        <v>6.2734551727771704E-2</v>
      </c>
      <c r="H408">
        <v>525.89813076696998</v>
      </c>
      <c r="I408">
        <v>57.433273567733501</v>
      </c>
      <c r="K408">
        <v>6.7554406821727753E-2</v>
      </c>
      <c r="L408" s="2">
        <f t="shared" si="17"/>
        <v>7.6829354179036358</v>
      </c>
      <c r="N408">
        <v>58.475425720214837</v>
      </c>
      <c r="O408">
        <v>519.80584716796875</v>
      </c>
      <c r="P408" s="2">
        <f t="shared" si="15"/>
        <v>1.814544231493755</v>
      </c>
      <c r="Q408" s="2">
        <f t="shared" si="16"/>
        <v>-1.1584531761153527</v>
      </c>
    </row>
    <row r="409" spans="1:17" x14ac:dyDescent="0.45">
      <c r="A409" t="s">
        <v>430</v>
      </c>
      <c r="B409">
        <v>71.2</v>
      </c>
      <c r="C409">
        <v>102.8</v>
      </c>
      <c r="D409">
        <v>1.8138999999999999E-2</v>
      </c>
      <c r="E409">
        <v>25.72</v>
      </c>
      <c r="F409">
        <v>1</v>
      </c>
      <c r="G409">
        <v>0.14879979193210599</v>
      </c>
      <c r="H409">
        <v>530.67105115395702</v>
      </c>
      <c r="I409">
        <v>74.284481096166601</v>
      </c>
      <c r="K409">
        <v>0.14302815496921539</v>
      </c>
      <c r="L409" s="2">
        <f t="shared" si="17"/>
        <v>-3.8787937052519976</v>
      </c>
      <c r="N409">
        <v>73.788352966308594</v>
      </c>
      <c r="O409">
        <v>532.0379638671875</v>
      </c>
      <c r="P409" s="2">
        <f t="shared" si="15"/>
        <v>-0.66787587735281351</v>
      </c>
      <c r="Q409" s="2">
        <f t="shared" si="16"/>
        <v>0.2575819258009443</v>
      </c>
    </row>
    <row r="410" spans="1:17" x14ac:dyDescent="0.45">
      <c r="A410" t="s">
        <v>431</v>
      </c>
      <c r="B410">
        <v>78.5</v>
      </c>
      <c r="C410">
        <v>110.7</v>
      </c>
      <c r="D410">
        <v>2.3394999999999999E-2</v>
      </c>
      <c r="E410">
        <v>31.08</v>
      </c>
      <c r="F410">
        <v>1</v>
      </c>
      <c r="G410">
        <v>0.133069902658462</v>
      </c>
      <c r="H410">
        <v>564.39802696960101</v>
      </c>
      <c r="I410">
        <v>80.826949185526303</v>
      </c>
      <c r="K410">
        <v>0.13677288591861719</v>
      </c>
      <c r="L410" s="2">
        <f t="shared" si="17"/>
        <v>2.7827353790580993</v>
      </c>
      <c r="N410">
        <v>78.474105834960938</v>
      </c>
      <c r="O410">
        <v>561.14141845703125</v>
      </c>
      <c r="P410" s="2">
        <f t="shared" si="15"/>
        <v>-2.9109639473893312</v>
      </c>
      <c r="Q410" s="2">
        <f t="shared" si="16"/>
        <v>-0.57700565150011751</v>
      </c>
    </row>
    <row r="411" spans="1:17" x14ac:dyDescent="0.45">
      <c r="A411" t="s">
        <v>432</v>
      </c>
      <c r="B411">
        <v>67.400000000000006</v>
      </c>
      <c r="C411">
        <v>122</v>
      </c>
      <c r="D411">
        <v>1.6948999999999999E-2</v>
      </c>
      <c r="E411">
        <v>29.91</v>
      </c>
      <c r="F411">
        <v>1</v>
      </c>
      <c r="G411">
        <v>7.6872706413269001E-2</v>
      </c>
      <c r="H411">
        <v>561.34405190667599</v>
      </c>
      <c r="I411">
        <v>62.744102403257997</v>
      </c>
      <c r="K411">
        <v>8.039749413728714E-2</v>
      </c>
      <c r="L411" s="2">
        <f t="shared" si="17"/>
        <v>4.5852265237922269</v>
      </c>
      <c r="N411">
        <v>62.87689208984375</v>
      </c>
      <c r="O411">
        <v>557.9888916015625</v>
      </c>
      <c r="P411" s="2">
        <f t="shared" si="15"/>
        <v>0.21163692123972022</v>
      </c>
      <c r="Q411" s="2">
        <f t="shared" si="16"/>
        <v>-0.59770123041604528</v>
      </c>
    </row>
    <row r="412" spans="1:17" x14ac:dyDescent="0.45">
      <c r="A412" t="s">
        <v>433</v>
      </c>
      <c r="B412">
        <v>62.4</v>
      </c>
      <c r="C412">
        <v>105.9</v>
      </c>
      <c r="D412">
        <v>1.5731999999999999E-2</v>
      </c>
      <c r="E412">
        <v>27.6</v>
      </c>
      <c r="F412">
        <v>1</v>
      </c>
      <c r="G412">
        <v>0.109059669077396</v>
      </c>
      <c r="H412">
        <v>542.46573263685104</v>
      </c>
      <c r="I412">
        <v>60.407292734789102</v>
      </c>
      <c r="K412">
        <v>0.10124526917934421</v>
      </c>
      <c r="L412" s="2">
        <f t="shared" si="17"/>
        <v>-7.165251796707893</v>
      </c>
      <c r="N412">
        <v>59.766742706298828</v>
      </c>
      <c r="O412">
        <v>546.07122802734375</v>
      </c>
      <c r="P412" s="2">
        <f t="shared" si="15"/>
        <v>-1.0603852606050921</v>
      </c>
      <c r="Q412" s="2">
        <f t="shared" si="16"/>
        <v>0.66464942826284912</v>
      </c>
    </row>
    <row r="413" spans="1:17" x14ac:dyDescent="0.45">
      <c r="A413" t="s">
        <v>434</v>
      </c>
      <c r="B413">
        <v>58.9</v>
      </c>
      <c r="C413">
        <v>115.5</v>
      </c>
      <c r="D413">
        <v>1.6671999999999999E-2</v>
      </c>
      <c r="E413">
        <v>35</v>
      </c>
      <c r="F413">
        <v>1</v>
      </c>
      <c r="G413">
        <v>8.2264319062232902E-2</v>
      </c>
      <c r="H413">
        <v>589.31905697261004</v>
      </c>
      <c r="I413">
        <v>52.353484391372902</v>
      </c>
      <c r="K413">
        <v>8.4335334599018097E-2</v>
      </c>
      <c r="L413" s="2">
        <f t="shared" si="17"/>
        <v>2.5175137415511495</v>
      </c>
      <c r="N413">
        <v>51.653484344482422</v>
      </c>
      <c r="O413">
        <v>585.6373291015625</v>
      </c>
      <c r="P413" s="2">
        <f t="shared" si="15"/>
        <v>-1.3370648678463701</v>
      </c>
      <c r="Q413" s="2">
        <f t="shared" si="16"/>
        <v>-0.6247427140674765</v>
      </c>
    </row>
    <row r="414" spans="1:17" x14ac:dyDescent="0.45">
      <c r="A414" t="s">
        <v>435</v>
      </c>
      <c r="B414">
        <v>44.2</v>
      </c>
      <c r="C414">
        <v>110.5</v>
      </c>
      <c r="D414">
        <v>1.0697999999999999E-2</v>
      </c>
      <c r="E414">
        <v>35</v>
      </c>
      <c r="F414">
        <v>1</v>
      </c>
      <c r="G414">
        <v>6.0380585491657202E-2</v>
      </c>
      <c r="H414">
        <v>587.86756648041796</v>
      </c>
      <c r="I414">
        <v>33.297111461513801</v>
      </c>
      <c r="K414">
        <v>6.8507865071296692E-2</v>
      </c>
      <c r="L414" s="2">
        <f t="shared" si="17"/>
        <v>13.460087399719631</v>
      </c>
      <c r="N414">
        <v>33.023891448974609</v>
      </c>
      <c r="O414">
        <v>585.49383544921875</v>
      </c>
      <c r="P414" s="2">
        <f t="shared" si="15"/>
        <v>-0.82055169516728321</v>
      </c>
      <c r="Q414" s="2">
        <f t="shared" si="16"/>
        <v>-0.40378669730170985</v>
      </c>
    </row>
    <row r="415" spans="1:17" x14ac:dyDescent="0.45">
      <c r="A415" t="s">
        <v>436</v>
      </c>
      <c r="B415">
        <v>82.5</v>
      </c>
      <c r="C415">
        <v>108</v>
      </c>
      <c r="D415">
        <v>2.1731E-2</v>
      </c>
      <c r="E415">
        <v>25.77</v>
      </c>
      <c r="F415">
        <v>1.06</v>
      </c>
      <c r="G415">
        <v>0.13896887004375399</v>
      </c>
      <c r="H415">
        <v>541.94052225967005</v>
      </c>
      <c r="I415">
        <v>89.5477936802682</v>
      </c>
      <c r="K415">
        <v>0.13667027652263641</v>
      </c>
      <c r="L415" s="2">
        <f t="shared" si="17"/>
        <v>-1.6540348355670409</v>
      </c>
      <c r="N415">
        <v>88.745079040527344</v>
      </c>
      <c r="O415">
        <v>534.3763427734375</v>
      </c>
      <c r="P415" s="2">
        <f t="shared" si="15"/>
        <v>-0.8964091763186941</v>
      </c>
      <c r="Q415" s="2">
        <f t="shared" si="16"/>
        <v>-1.3957582383197729</v>
      </c>
    </row>
    <row r="416" spans="1:17" x14ac:dyDescent="0.45">
      <c r="A416" t="s">
        <v>437</v>
      </c>
      <c r="B416">
        <v>82.9</v>
      </c>
      <c r="C416">
        <v>109.5</v>
      </c>
      <c r="D416">
        <v>2.7959999999999999E-2</v>
      </c>
      <c r="E416">
        <v>35</v>
      </c>
      <c r="F416">
        <v>1.1200000000000001</v>
      </c>
      <c r="G416">
        <v>0.16314809024333901</v>
      </c>
      <c r="H416">
        <v>614.35180469810302</v>
      </c>
      <c r="I416">
        <v>88.503476733073697</v>
      </c>
      <c r="K416">
        <v>0.16901685297489169</v>
      </c>
      <c r="L416" s="2">
        <f t="shared" si="17"/>
        <v>3.597199772794943</v>
      </c>
      <c r="N416">
        <v>88.45635986328125</v>
      </c>
      <c r="O416">
        <v>610.61285400390625</v>
      </c>
      <c r="P416" s="2">
        <f t="shared" si="15"/>
        <v>-5.3237309461357407E-2</v>
      </c>
      <c r="Q416" s="2">
        <f t="shared" si="16"/>
        <v>-0.60860091328845722</v>
      </c>
    </row>
    <row r="417" spans="1:17" x14ac:dyDescent="0.45">
      <c r="A417" t="s">
        <v>438</v>
      </c>
      <c r="B417">
        <v>78.3</v>
      </c>
      <c r="C417">
        <v>112.1</v>
      </c>
      <c r="D417">
        <v>2.2197000000000001E-2</v>
      </c>
      <c r="E417">
        <v>29.57</v>
      </c>
      <c r="F417">
        <v>1</v>
      </c>
      <c r="G417">
        <v>0.12189532071351999</v>
      </c>
      <c r="H417">
        <v>555.708338026565</v>
      </c>
      <c r="I417">
        <v>80.241285011116005</v>
      </c>
      <c r="K417">
        <v>0.12307062745094299</v>
      </c>
      <c r="L417" s="2">
        <f t="shared" si="17"/>
        <v>0.96419348219708956</v>
      </c>
      <c r="N417">
        <v>78.113410949707031</v>
      </c>
      <c r="O417">
        <v>552.97076416015625</v>
      </c>
      <c r="P417" s="2">
        <f t="shared" si="15"/>
        <v>-2.6518444477979073</v>
      </c>
      <c r="Q417" s="2">
        <f t="shared" si="16"/>
        <v>-0.49262781914168174</v>
      </c>
    </row>
    <row r="418" spans="1:17" x14ac:dyDescent="0.45">
      <c r="A418" t="s">
        <v>439</v>
      </c>
      <c r="B418">
        <v>84.9</v>
      </c>
      <c r="C418">
        <v>114.6</v>
      </c>
      <c r="D418">
        <v>2.1669999999999998E-2</v>
      </c>
      <c r="E418">
        <v>25.62</v>
      </c>
      <c r="F418">
        <v>1</v>
      </c>
      <c r="G418">
        <v>0.114001274108886</v>
      </c>
      <c r="H418">
        <v>532.74730548560206</v>
      </c>
      <c r="I418">
        <v>89.517093407829293</v>
      </c>
      <c r="K418">
        <v>0.1048774868249893</v>
      </c>
      <c r="L418" s="2">
        <f t="shared" si="17"/>
        <v>-8.0032327315765723</v>
      </c>
      <c r="N418">
        <v>89.488677978515625</v>
      </c>
      <c r="O418">
        <v>522.45367431640625</v>
      </c>
      <c r="P418" s="2">
        <f t="shared" si="15"/>
        <v>-3.1743020502476203E-2</v>
      </c>
      <c r="Q418" s="2">
        <f t="shared" si="16"/>
        <v>-1.9321789267076828</v>
      </c>
    </row>
    <row r="419" spans="1:17" x14ac:dyDescent="0.45">
      <c r="A419" t="s">
        <v>440</v>
      </c>
      <c r="B419">
        <v>70</v>
      </c>
      <c r="C419">
        <v>111.5</v>
      </c>
      <c r="D419">
        <v>1.4425E-2</v>
      </c>
      <c r="E419">
        <v>20.75</v>
      </c>
      <c r="F419">
        <v>1</v>
      </c>
      <c r="G419">
        <v>8.46563875675201E-2</v>
      </c>
      <c r="H419">
        <v>502.62593404415998</v>
      </c>
      <c r="I419">
        <v>70.599239071015106</v>
      </c>
      <c r="K419">
        <v>7.8964978456497192E-2</v>
      </c>
      <c r="L419" s="2">
        <f t="shared" si="17"/>
        <v>-6.7229529567199675</v>
      </c>
      <c r="N419">
        <v>69.067176818847656</v>
      </c>
      <c r="O419">
        <v>496.24072265625</v>
      </c>
      <c r="P419" s="2">
        <f t="shared" si="15"/>
        <v>-2.170083236486958</v>
      </c>
      <c r="Q419" s="2">
        <f t="shared" si="16"/>
        <v>-1.2703704595053746</v>
      </c>
    </row>
    <row r="420" spans="1:17" x14ac:dyDescent="0.45">
      <c r="A420" t="s">
        <v>441</v>
      </c>
      <c r="B420">
        <v>65.900000000000006</v>
      </c>
      <c r="C420">
        <v>130</v>
      </c>
      <c r="D420">
        <v>1.392E-2</v>
      </c>
      <c r="E420">
        <v>26.9</v>
      </c>
      <c r="F420">
        <v>1</v>
      </c>
      <c r="G420">
        <v>6.0545995831489501E-2</v>
      </c>
      <c r="H420">
        <v>547.828291801604</v>
      </c>
      <c r="I420">
        <v>57.803201523415801</v>
      </c>
      <c r="K420">
        <v>6.8607442080974579E-2</v>
      </c>
      <c r="L420" s="2">
        <f t="shared" si="17"/>
        <v>13.314581978173331</v>
      </c>
      <c r="N420">
        <v>60.399745941162109</v>
      </c>
      <c r="O420">
        <v>538.25274658203125</v>
      </c>
      <c r="P420" s="2">
        <f t="shared" si="15"/>
        <v>4.492042567390425</v>
      </c>
      <c r="Q420" s="2">
        <f t="shared" si="16"/>
        <v>-1.7479099496819213</v>
      </c>
    </row>
    <row r="421" spans="1:17" x14ac:dyDescent="0.45">
      <c r="A421" t="s">
        <v>442</v>
      </c>
      <c r="B421">
        <v>54.7</v>
      </c>
      <c r="C421">
        <v>102.7</v>
      </c>
      <c r="D421">
        <v>1.5878E-2</v>
      </c>
      <c r="E421">
        <v>35</v>
      </c>
      <c r="F421">
        <v>1</v>
      </c>
      <c r="G421">
        <v>0.128069177269935</v>
      </c>
      <c r="H421">
        <v>586.33647431657005</v>
      </c>
      <c r="I421">
        <v>49.734506344567301</v>
      </c>
      <c r="K421">
        <v>0.1245127841830254</v>
      </c>
      <c r="L421" s="2">
        <f t="shared" si="17"/>
        <v>-2.7769313137802754</v>
      </c>
      <c r="N421">
        <v>49.409095764160163</v>
      </c>
      <c r="O421">
        <v>590.8216552734375</v>
      </c>
      <c r="P421" s="2">
        <f t="shared" si="15"/>
        <v>-0.65429538629105766</v>
      </c>
      <c r="Q421" s="2">
        <f t="shared" si="16"/>
        <v>0.7649500164722568</v>
      </c>
    </row>
    <row r="422" spans="1:17" x14ac:dyDescent="0.45">
      <c r="A422" t="s">
        <v>443</v>
      </c>
      <c r="B422">
        <v>68.7</v>
      </c>
      <c r="C422">
        <v>130</v>
      </c>
      <c r="D422">
        <v>1.8047000000000001E-2</v>
      </c>
      <c r="E422">
        <v>34.6</v>
      </c>
      <c r="F422">
        <v>1.29</v>
      </c>
      <c r="G422">
        <v>7.5912848114967305E-2</v>
      </c>
      <c r="H422">
        <v>658.77510916847996</v>
      </c>
      <c r="I422">
        <v>64.413358068200907</v>
      </c>
      <c r="K422">
        <v>7.5332231819629669E-2</v>
      </c>
      <c r="L422" s="2">
        <f t="shared" si="17"/>
        <v>-0.76484588545316157</v>
      </c>
      <c r="N422">
        <v>67.010551452636719</v>
      </c>
      <c r="O422">
        <v>648.5406494140625</v>
      </c>
      <c r="P422" s="2">
        <f t="shared" si="15"/>
        <v>4.0320726357503389</v>
      </c>
      <c r="Q422" s="2">
        <f t="shared" si="16"/>
        <v>-1.5535589629874771</v>
      </c>
    </row>
    <row r="423" spans="1:17" x14ac:dyDescent="0.45">
      <c r="A423" t="s">
        <v>444</v>
      </c>
      <c r="B423">
        <v>87.1</v>
      </c>
      <c r="C423">
        <v>115.4</v>
      </c>
      <c r="D423">
        <v>2.8775999999999999E-2</v>
      </c>
      <c r="E423">
        <v>35</v>
      </c>
      <c r="F423">
        <v>1</v>
      </c>
      <c r="G423">
        <v>0.14231373369693701</v>
      </c>
      <c r="H423">
        <v>589.28594146113801</v>
      </c>
      <c r="I423">
        <v>90.200797247633403</v>
      </c>
      <c r="K423">
        <v>0.15376695990562439</v>
      </c>
      <c r="L423" s="2">
        <f t="shared" si="17"/>
        <v>8.0478713551831227</v>
      </c>
      <c r="N423">
        <v>91.51605224609375</v>
      </c>
      <c r="O423">
        <v>588.00225830078125</v>
      </c>
      <c r="P423" s="2">
        <f t="shared" si="15"/>
        <v>1.4581412122661201</v>
      </c>
      <c r="Q423" s="2">
        <f t="shared" si="16"/>
        <v>-0.21783705838524822</v>
      </c>
    </row>
    <row r="424" spans="1:17" x14ac:dyDescent="0.45">
      <c r="A424" t="s">
        <v>445</v>
      </c>
      <c r="B424">
        <v>63.6</v>
      </c>
      <c r="C424">
        <v>113.3</v>
      </c>
      <c r="D424">
        <v>1.3892E-2</v>
      </c>
      <c r="E424">
        <v>23.91</v>
      </c>
      <c r="F424">
        <v>1</v>
      </c>
      <c r="G424">
        <v>7.6172411441802895E-2</v>
      </c>
      <c r="H424">
        <v>522.09025613630104</v>
      </c>
      <c r="I424">
        <v>60.826508599913801</v>
      </c>
      <c r="K424">
        <v>7.5489461421966553E-2</v>
      </c>
      <c r="L424" s="2">
        <f t="shared" si="17"/>
        <v>-0.89658448105995536</v>
      </c>
      <c r="N424">
        <v>60.610824584960938</v>
      </c>
      <c r="O424">
        <v>515.6297607421875</v>
      </c>
      <c r="P424" s="2">
        <f t="shared" si="15"/>
        <v>-0.35458884607618107</v>
      </c>
      <c r="Q424" s="2">
        <f t="shared" si="16"/>
        <v>-1.2374288388226322</v>
      </c>
    </row>
    <row r="425" spans="1:17" x14ac:dyDescent="0.45">
      <c r="A425" t="s">
        <v>446</v>
      </c>
      <c r="B425">
        <v>84.4</v>
      </c>
      <c r="C425">
        <v>130</v>
      </c>
      <c r="D425">
        <v>1.9012999999999999E-2</v>
      </c>
      <c r="E425">
        <v>25.97</v>
      </c>
      <c r="F425">
        <v>1</v>
      </c>
      <c r="G425">
        <v>8.3097726106643593E-2</v>
      </c>
      <c r="H425">
        <v>542.24829180160395</v>
      </c>
      <c r="I425">
        <v>81.430629232267705</v>
      </c>
      <c r="K425">
        <v>8.7855026125907898E-2</v>
      </c>
      <c r="L425" s="2">
        <f t="shared" si="17"/>
        <v>5.7249460871637039</v>
      </c>
      <c r="N425">
        <v>86.208084106445313</v>
      </c>
      <c r="O425">
        <v>535.9625244140625</v>
      </c>
      <c r="P425" s="2">
        <f t="shared" si="15"/>
        <v>5.8669015814070278</v>
      </c>
      <c r="Q425" s="2">
        <f t="shared" si="16"/>
        <v>-1.1592046452847604</v>
      </c>
    </row>
    <row r="426" spans="1:17" x14ac:dyDescent="0.45">
      <c r="A426" t="s">
        <v>447</v>
      </c>
      <c r="B426">
        <v>69.7</v>
      </c>
      <c r="C426">
        <v>108</v>
      </c>
      <c r="D426">
        <v>1.8127999999999998E-2</v>
      </c>
      <c r="E426">
        <v>27.33</v>
      </c>
      <c r="F426">
        <v>1</v>
      </c>
      <c r="G426">
        <v>0.115164749324321</v>
      </c>
      <c r="H426">
        <v>541.26626945821795</v>
      </c>
      <c r="I426">
        <v>70.120880370261901</v>
      </c>
      <c r="K426">
        <v>0.1056843996047974</v>
      </c>
      <c r="L426" s="2">
        <f t="shared" si="17"/>
        <v>-8.2319891938682765</v>
      </c>
      <c r="N426">
        <v>68.731147766113281</v>
      </c>
      <c r="O426">
        <v>539.26129150390625</v>
      </c>
      <c r="P426" s="2">
        <f t="shared" ref="P426:P457" si="18">(N426-I426)/I426*100</f>
        <v>-1.9819098060525804</v>
      </c>
      <c r="Q426" s="2">
        <f t="shared" ref="Q426:Q457" si="19">(O426-H426)/H426*100</f>
        <v>-0.37042359139034969</v>
      </c>
    </row>
    <row r="427" spans="1:17" x14ac:dyDescent="0.45">
      <c r="A427" t="s">
        <v>448</v>
      </c>
      <c r="B427">
        <v>50.3</v>
      </c>
      <c r="C427">
        <v>110.1</v>
      </c>
      <c r="D427">
        <v>9.1680000000000008E-3</v>
      </c>
      <c r="E427">
        <v>21.88</v>
      </c>
      <c r="F427">
        <v>1</v>
      </c>
      <c r="G427">
        <v>5.5698577314615201E-2</v>
      </c>
      <c r="H427">
        <v>509.04843967725799</v>
      </c>
      <c r="I427">
        <v>43.031256168256903</v>
      </c>
      <c r="K427">
        <v>5.6854147464036942E-2</v>
      </c>
      <c r="L427" s="2">
        <f t="shared" si="17"/>
        <v>2.0746852166339282</v>
      </c>
      <c r="N427">
        <v>43.094108581542969</v>
      </c>
      <c r="O427">
        <v>501.900634765625</v>
      </c>
      <c r="P427" s="2">
        <f t="shared" si="18"/>
        <v>0.14606223216051695</v>
      </c>
      <c r="Q427" s="2">
        <f t="shared" si="19"/>
        <v>-1.404150244751712</v>
      </c>
    </row>
    <row r="428" spans="1:17" x14ac:dyDescent="0.45">
      <c r="A428" t="s">
        <v>449</v>
      </c>
      <c r="B428">
        <v>73.900000000000006</v>
      </c>
      <c r="C428">
        <v>113.2</v>
      </c>
      <c r="D428">
        <v>1.9335999999999999E-2</v>
      </c>
      <c r="E428">
        <v>27.71</v>
      </c>
      <c r="F428">
        <v>1.19</v>
      </c>
      <c r="G428">
        <v>0.103966124355793</v>
      </c>
      <c r="H428">
        <v>578.93086770183095</v>
      </c>
      <c r="I428">
        <v>77.236745042699994</v>
      </c>
      <c r="K428">
        <v>9.8496571183204651E-2</v>
      </c>
      <c r="L428" s="2">
        <f t="shared" si="17"/>
        <v>-5.2608993616713429</v>
      </c>
      <c r="N428">
        <v>75.714065551757813</v>
      </c>
      <c r="O428">
        <v>573.30133056640625</v>
      </c>
      <c r="P428" s="2">
        <f t="shared" si="18"/>
        <v>-1.9714444078403028</v>
      </c>
      <c r="Q428" s="2">
        <f t="shared" si="19"/>
        <v>-0.97240231079267669</v>
      </c>
    </row>
    <row r="429" spans="1:17" x14ac:dyDescent="0.45">
      <c r="A429" t="s">
        <v>450</v>
      </c>
      <c r="B429">
        <v>49.4</v>
      </c>
      <c r="C429">
        <v>112.6</v>
      </c>
      <c r="D429">
        <v>8.9479999999999994E-3</v>
      </c>
      <c r="E429">
        <v>22.42</v>
      </c>
      <c r="F429">
        <v>1</v>
      </c>
      <c r="G429">
        <v>5.04034869372844E-2</v>
      </c>
      <c r="H429">
        <v>512.94799852572396</v>
      </c>
      <c r="I429">
        <v>41.131645846122602</v>
      </c>
      <c r="K429">
        <v>5.2734255790710449E-2</v>
      </c>
      <c r="L429" s="2">
        <f t="shared" si="17"/>
        <v>4.6242214478656152</v>
      </c>
      <c r="N429">
        <v>41.256721496582031</v>
      </c>
      <c r="O429">
        <v>505.22396850585938</v>
      </c>
      <c r="P429" s="2">
        <f t="shared" si="18"/>
        <v>0.30408617959842688</v>
      </c>
      <c r="Q429" s="2">
        <f t="shared" si="19"/>
        <v>-1.5058115134603125</v>
      </c>
    </row>
    <row r="430" spans="1:17" x14ac:dyDescent="0.45">
      <c r="A430" t="s">
        <v>451</v>
      </c>
      <c r="B430">
        <v>45.2</v>
      </c>
      <c r="C430">
        <v>130</v>
      </c>
      <c r="D430">
        <v>7.0109999999999999E-3</v>
      </c>
      <c r="E430">
        <v>24.03</v>
      </c>
      <c r="F430">
        <v>1</v>
      </c>
      <c r="G430">
        <v>3.1008396297693201E-2</v>
      </c>
      <c r="H430">
        <v>530.60829180160397</v>
      </c>
      <c r="I430">
        <v>32.675899637973501</v>
      </c>
      <c r="K430">
        <v>3.5481855273246772E-2</v>
      </c>
      <c r="L430" s="2">
        <f t="shared" si="17"/>
        <v>14.426605402635301</v>
      </c>
      <c r="N430">
        <v>32.935543060302727</v>
      </c>
      <c r="O430">
        <v>519.5264892578125</v>
      </c>
      <c r="P430" s="2">
        <f t="shared" si="18"/>
        <v>0.79460221510623086</v>
      </c>
      <c r="Q430" s="2">
        <f t="shared" si="19"/>
        <v>-2.0885091158611195</v>
      </c>
    </row>
    <row r="431" spans="1:17" x14ac:dyDescent="0.45">
      <c r="A431" t="s">
        <v>452</v>
      </c>
      <c r="B431">
        <v>71.599999999999994</v>
      </c>
      <c r="C431">
        <v>124.2</v>
      </c>
      <c r="D431">
        <v>1.8176000000000001E-2</v>
      </c>
      <c r="E431">
        <v>30.11</v>
      </c>
      <c r="F431">
        <v>1.03</v>
      </c>
      <c r="G431">
        <v>8.0529890954494407E-2</v>
      </c>
      <c r="H431">
        <v>569.47528888390298</v>
      </c>
      <c r="I431">
        <v>68.2391007432999</v>
      </c>
      <c r="K431">
        <v>8.7822750210762024E-2</v>
      </c>
      <c r="L431" s="2">
        <f t="shared" si="17"/>
        <v>9.0560898193549573</v>
      </c>
      <c r="N431">
        <v>69.261627197265625</v>
      </c>
      <c r="O431">
        <v>570.2813720703125</v>
      </c>
      <c r="P431" s="2">
        <f t="shared" si="18"/>
        <v>1.4984465545820107</v>
      </c>
      <c r="Q431" s="2">
        <f t="shared" si="19"/>
        <v>0.14154840467078758</v>
      </c>
    </row>
    <row r="432" spans="1:17" x14ac:dyDescent="0.45">
      <c r="A432" t="s">
        <v>453</v>
      </c>
      <c r="B432">
        <v>40.799999999999997</v>
      </c>
      <c r="C432">
        <v>108.9</v>
      </c>
      <c r="D432">
        <v>8.2559999999999995E-3</v>
      </c>
      <c r="E432">
        <v>30.46</v>
      </c>
      <c r="F432">
        <v>1</v>
      </c>
      <c r="G432">
        <v>5.0059899687767001E-2</v>
      </c>
      <c r="H432">
        <v>560.24516423299701</v>
      </c>
      <c r="I432">
        <v>28.765743837892</v>
      </c>
      <c r="K432">
        <v>5.2340641617774963E-2</v>
      </c>
      <c r="L432" s="2">
        <f t="shared" si="17"/>
        <v>4.5560257695947817</v>
      </c>
      <c r="N432">
        <v>29.491998672485352</v>
      </c>
      <c r="O432">
        <v>554.806640625</v>
      </c>
      <c r="P432" s="2">
        <f t="shared" si="18"/>
        <v>2.5247212054940307</v>
      </c>
      <c r="Q432" s="2">
        <f t="shared" si="19"/>
        <v>-0.97073994658081819</v>
      </c>
    </row>
    <row r="433" spans="1:17" x14ac:dyDescent="0.45">
      <c r="A433" t="s">
        <v>454</v>
      </c>
      <c r="B433">
        <v>74.5</v>
      </c>
      <c r="C433">
        <v>112.7</v>
      </c>
      <c r="D433">
        <v>2.0659E-2</v>
      </c>
      <c r="E433">
        <v>29.54</v>
      </c>
      <c r="F433">
        <v>1</v>
      </c>
      <c r="G433">
        <v>0.11160676181316299</v>
      </c>
      <c r="H433">
        <v>555.69640840305703</v>
      </c>
      <c r="I433">
        <v>74.792802380455498</v>
      </c>
      <c r="K433">
        <v>0.1111756414175034</v>
      </c>
      <c r="L433" s="2">
        <f t="shared" ref="L433:L457" si="20">(K433-G433)/G433*100</f>
        <v>-0.38628519334815858</v>
      </c>
      <c r="N433">
        <v>72.762214660644531</v>
      </c>
      <c r="O433">
        <v>552.8685302734375</v>
      </c>
      <c r="P433" s="2">
        <f t="shared" si="18"/>
        <v>-2.7149507107405704</v>
      </c>
      <c r="Q433" s="2">
        <f t="shared" si="19"/>
        <v>-0.50888904208436447</v>
      </c>
    </row>
    <row r="434" spans="1:17" x14ac:dyDescent="0.45">
      <c r="A434" t="s">
        <v>455</v>
      </c>
      <c r="B434">
        <v>51.7</v>
      </c>
      <c r="C434">
        <v>130</v>
      </c>
      <c r="D434">
        <v>1.0481000000000001E-2</v>
      </c>
      <c r="E434">
        <v>30.03</v>
      </c>
      <c r="F434">
        <v>1</v>
      </c>
      <c r="G434">
        <v>4.4872470200061798E-2</v>
      </c>
      <c r="H434">
        <v>566.60829180160397</v>
      </c>
      <c r="I434">
        <v>39.946310802366398</v>
      </c>
      <c r="K434">
        <v>5.1568549126386642E-2</v>
      </c>
      <c r="L434" s="2">
        <f t="shared" si="20"/>
        <v>14.922465592980933</v>
      </c>
      <c r="N434">
        <v>40.143672943115227</v>
      </c>
      <c r="O434">
        <v>560.6168212890625</v>
      </c>
      <c r="P434" s="2">
        <f t="shared" si="18"/>
        <v>0.49406850541286507</v>
      </c>
      <c r="Q434" s="2">
        <f t="shared" si="19"/>
        <v>-1.0574272560485865</v>
      </c>
    </row>
    <row r="435" spans="1:17" x14ac:dyDescent="0.45">
      <c r="A435" t="s">
        <v>456</v>
      </c>
      <c r="B435">
        <v>69.900000000000006</v>
      </c>
      <c r="C435">
        <v>130</v>
      </c>
      <c r="D435">
        <v>1.5082999999999999E-2</v>
      </c>
      <c r="E435">
        <v>26.78</v>
      </c>
      <c r="F435">
        <v>1</v>
      </c>
      <c r="G435">
        <v>6.5633922815322807E-2</v>
      </c>
      <c r="H435">
        <v>547.10829180160397</v>
      </c>
      <c r="I435">
        <v>63.701404977583302</v>
      </c>
      <c r="K435">
        <v>7.4850752949714661E-2</v>
      </c>
      <c r="L435" s="2">
        <f t="shared" si="20"/>
        <v>14.042784186960262</v>
      </c>
      <c r="N435">
        <v>65.430152893066406</v>
      </c>
      <c r="O435">
        <v>539.10504150390625</v>
      </c>
      <c r="P435" s="2">
        <f t="shared" si="18"/>
        <v>2.713830120531024</v>
      </c>
      <c r="Q435" s="2">
        <f t="shared" si="19"/>
        <v>-1.46282745438629</v>
      </c>
    </row>
    <row r="436" spans="1:17" x14ac:dyDescent="0.45">
      <c r="A436" t="s">
        <v>457</v>
      </c>
      <c r="B436">
        <v>60.8</v>
      </c>
      <c r="C436">
        <v>113.2</v>
      </c>
      <c r="D436">
        <v>1.7755E-2</v>
      </c>
      <c r="E436">
        <v>35</v>
      </c>
      <c r="F436">
        <v>1</v>
      </c>
      <c r="G436">
        <v>9.2563062906265203E-2</v>
      </c>
      <c r="H436">
        <v>588.60087545102397</v>
      </c>
      <c r="I436">
        <v>55.494528746198199</v>
      </c>
      <c r="K436">
        <v>9.4260424375534058E-2</v>
      </c>
      <c r="L436" s="2">
        <f t="shared" si="20"/>
        <v>1.8337352027640899</v>
      </c>
      <c r="N436">
        <v>54.878452301025391</v>
      </c>
      <c r="O436">
        <v>583.8065185546875</v>
      </c>
      <c r="P436" s="2">
        <f t="shared" si="18"/>
        <v>-1.1101570895221169</v>
      </c>
      <c r="Q436" s="2">
        <f t="shared" si="19"/>
        <v>-0.81453444877442982</v>
      </c>
    </row>
    <row r="437" spans="1:17" x14ac:dyDescent="0.45">
      <c r="A437" t="s">
        <v>458</v>
      </c>
      <c r="B437">
        <v>83.9</v>
      </c>
      <c r="C437">
        <v>114.6</v>
      </c>
      <c r="D437">
        <v>2.3691E-2</v>
      </c>
      <c r="E437">
        <v>29.18</v>
      </c>
      <c r="F437">
        <v>1</v>
      </c>
      <c r="G437">
        <v>0.122328698635101</v>
      </c>
      <c r="H437">
        <v>554.10730548560298</v>
      </c>
      <c r="I437">
        <v>87.292863912527693</v>
      </c>
      <c r="K437">
        <v>0.1213927790522575</v>
      </c>
      <c r="L437" s="2">
        <f t="shared" si="20"/>
        <v>-0.76508586561138336</v>
      </c>
      <c r="N437">
        <v>86.194435119628906</v>
      </c>
      <c r="O437">
        <v>551.44464111328125</v>
      </c>
      <c r="P437" s="2">
        <f t="shared" si="18"/>
        <v>-1.2583259887079357</v>
      </c>
      <c r="Q437" s="2">
        <f t="shared" si="19"/>
        <v>-0.48053226260719478</v>
      </c>
    </row>
    <row r="438" spans="1:17" x14ac:dyDescent="0.45">
      <c r="A438" t="s">
        <v>459</v>
      </c>
      <c r="B438">
        <v>78.900000000000006</v>
      </c>
      <c r="C438">
        <v>105.3</v>
      </c>
      <c r="D438">
        <v>2.6693000000000001E-2</v>
      </c>
      <c r="E438">
        <v>35</v>
      </c>
      <c r="F438">
        <v>1</v>
      </c>
      <c r="G438">
        <v>0.18602362275123499</v>
      </c>
      <c r="H438">
        <v>586.75644636999198</v>
      </c>
      <c r="I438">
        <v>82.718117712603302</v>
      </c>
      <c r="K438">
        <v>0.184613972902298</v>
      </c>
      <c r="L438" s="2">
        <f t="shared" si="20"/>
        <v>-0.75778002174599124</v>
      </c>
      <c r="N438">
        <v>83.148506164550781</v>
      </c>
      <c r="O438">
        <v>589.44744873046875</v>
      </c>
      <c r="P438" s="2">
        <f t="shared" si="18"/>
        <v>0.52030735689951912</v>
      </c>
      <c r="Q438" s="2">
        <f t="shared" si="19"/>
        <v>0.45862339938910585</v>
      </c>
    </row>
    <row r="439" spans="1:17" x14ac:dyDescent="0.45">
      <c r="A439" t="s">
        <v>460</v>
      </c>
      <c r="B439">
        <v>53.7</v>
      </c>
      <c r="C439">
        <v>121.9</v>
      </c>
      <c r="D439">
        <v>1.0938E-2</v>
      </c>
      <c r="E439">
        <v>26.47</v>
      </c>
      <c r="F439">
        <v>1</v>
      </c>
      <c r="G439">
        <v>5.0598617643117898E-2</v>
      </c>
      <c r="H439">
        <v>540.65787033333902</v>
      </c>
      <c r="I439">
        <v>45.290481077029</v>
      </c>
      <c r="K439">
        <v>5.5907204747200012E-2</v>
      </c>
      <c r="L439" s="2">
        <f t="shared" si="20"/>
        <v>10.49156548410993</v>
      </c>
      <c r="N439">
        <v>46.375362396240227</v>
      </c>
      <c r="O439">
        <v>535.88409423828125</v>
      </c>
      <c r="P439" s="2">
        <f t="shared" si="18"/>
        <v>2.3953848433759988</v>
      </c>
      <c r="Q439" s="2">
        <f t="shared" si="19"/>
        <v>-0.88295692285299199</v>
      </c>
    </row>
    <row r="440" spans="1:17" x14ac:dyDescent="0.45">
      <c r="A440" t="s">
        <v>461</v>
      </c>
      <c r="B440">
        <v>44.6</v>
      </c>
      <c r="C440">
        <v>101.8</v>
      </c>
      <c r="D440">
        <v>8.5249999999999996E-3</v>
      </c>
      <c r="E440">
        <v>24.92</v>
      </c>
      <c r="F440">
        <v>1</v>
      </c>
      <c r="G440">
        <v>7.4489451944828006E-2</v>
      </c>
      <c r="H440">
        <v>525.73082761832597</v>
      </c>
      <c r="I440">
        <v>35.872057741594801</v>
      </c>
      <c r="K440">
        <v>7.3103398084640503E-2</v>
      </c>
      <c r="L440" s="2">
        <f t="shared" si="20"/>
        <v>-1.8607384320858062</v>
      </c>
      <c r="N440">
        <v>34.779281616210938</v>
      </c>
      <c r="O440">
        <v>521.27825927734375</v>
      </c>
      <c r="P440" s="2">
        <f t="shared" si="18"/>
        <v>-3.0463156957866819</v>
      </c>
      <c r="Q440" s="2">
        <f t="shared" si="19"/>
        <v>-0.84692928530619371</v>
      </c>
    </row>
    <row r="441" spans="1:17" x14ac:dyDescent="0.45">
      <c r="A441" t="s">
        <v>462</v>
      </c>
      <c r="B441">
        <v>84.1</v>
      </c>
      <c r="C441">
        <v>113.4</v>
      </c>
      <c r="D441">
        <v>2.1943000000000001E-2</v>
      </c>
      <c r="E441">
        <v>26.18</v>
      </c>
      <c r="F441">
        <v>1</v>
      </c>
      <c r="G441">
        <v>0.118385069072246</v>
      </c>
      <c r="H441">
        <v>535.73980051299395</v>
      </c>
      <c r="I441">
        <v>88.689722088735905</v>
      </c>
      <c r="K441">
        <v>0.1105835363268852</v>
      </c>
      <c r="L441" s="2">
        <f t="shared" si="20"/>
        <v>-6.5899634189509282</v>
      </c>
      <c r="N441">
        <v>87.756927490234375</v>
      </c>
      <c r="O441">
        <v>526.84375</v>
      </c>
      <c r="P441" s="2">
        <f t="shared" si="18"/>
        <v>-1.0517505033652605</v>
      </c>
      <c r="Q441" s="2">
        <f t="shared" si="19"/>
        <v>-1.6605170092786836</v>
      </c>
    </row>
    <row r="442" spans="1:17" x14ac:dyDescent="0.45">
      <c r="A442" t="s">
        <v>463</v>
      </c>
      <c r="B442">
        <v>79.5</v>
      </c>
      <c r="C442">
        <v>113.6</v>
      </c>
      <c r="D442">
        <v>2.2308999999999999E-2</v>
      </c>
      <c r="E442">
        <v>29.34</v>
      </c>
      <c r="F442">
        <v>1</v>
      </c>
      <c r="G442">
        <v>0.11784134060144399</v>
      </c>
      <c r="H442">
        <v>554.75938254716198</v>
      </c>
      <c r="I442">
        <v>82.0122189423425</v>
      </c>
      <c r="K442">
        <v>0.11867388337850571</v>
      </c>
      <c r="L442" s="2">
        <f t="shared" si="20"/>
        <v>0.7064946586762697</v>
      </c>
      <c r="N442">
        <v>79.854415893554688</v>
      </c>
      <c r="O442">
        <v>551.5439453125</v>
      </c>
      <c r="P442" s="2">
        <f t="shared" si="18"/>
        <v>-2.6310750722460323</v>
      </c>
      <c r="Q442" s="2">
        <f t="shared" si="19"/>
        <v>-0.57960934701066036</v>
      </c>
    </row>
    <row r="443" spans="1:17" x14ac:dyDescent="0.45">
      <c r="A443" t="s">
        <v>464</v>
      </c>
      <c r="B443">
        <v>86</v>
      </c>
      <c r="C443">
        <v>120.9</v>
      </c>
      <c r="D443">
        <v>1.8511E-2</v>
      </c>
      <c r="E443">
        <v>21.68</v>
      </c>
      <c r="F443">
        <v>1</v>
      </c>
      <c r="G443">
        <v>8.9505858719348894E-2</v>
      </c>
      <c r="H443">
        <v>511.46849755454599</v>
      </c>
      <c r="I443">
        <v>90.530550649974799</v>
      </c>
      <c r="K443">
        <v>8.8325753808021545E-2</v>
      </c>
      <c r="L443" s="2">
        <f t="shared" si="20"/>
        <v>-1.318466665995172</v>
      </c>
      <c r="N443">
        <v>89.899337768554688</v>
      </c>
      <c r="O443">
        <v>499.78204345703119</v>
      </c>
      <c r="P443" s="2">
        <f t="shared" si="18"/>
        <v>-0.69723742635855424</v>
      </c>
      <c r="Q443" s="2">
        <f t="shared" si="19"/>
        <v>-2.2848824812066719</v>
      </c>
    </row>
    <row r="444" spans="1:17" x14ac:dyDescent="0.45">
      <c r="A444" t="s">
        <v>465</v>
      </c>
      <c r="B444">
        <v>72.7</v>
      </c>
      <c r="C444">
        <v>113</v>
      </c>
      <c r="D444">
        <v>2.2963999999999998E-2</v>
      </c>
      <c r="E444">
        <v>35</v>
      </c>
      <c r="F444">
        <v>1</v>
      </c>
      <c r="G444">
        <v>0.12034241110086399</v>
      </c>
      <c r="H444">
        <v>588.54260297223095</v>
      </c>
      <c r="I444">
        <v>71.316136236752499</v>
      </c>
      <c r="K444">
        <v>0.1241341233253479</v>
      </c>
      <c r="L444" s="2">
        <f t="shared" si="20"/>
        <v>3.1507696993921073</v>
      </c>
      <c r="N444">
        <v>72.213386535644531</v>
      </c>
      <c r="O444">
        <v>589.005126953125</v>
      </c>
      <c r="P444" s="2">
        <f t="shared" si="18"/>
        <v>1.2581308329904137</v>
      </c>
      <c r="Q444" s="2">
        <f t="shared" si="19"/>
        <v>7.8588020401281114E-2</v>
      </c>
    </row>
    <row r="445" spans="1:17" x14ac:dyDescent="0.45">
      <c r="A445" t="s">
        <v>466</v>
      </c>
      <c r="B445">
        <v>60</v>
      </c>
      <c r="C445">
        <v>114.5</v>
      </c>
      <c r="D445">
        <v>1.7264000000000002E-2</v>
      </c>
      <c r="E445">
        <v>35</v>
      </c>
      <c r="F445">
        <v>1</v>
      </c>
      <c r="G445">
        <v>8.7113827466964694E-2</v>
      </c>
      <c r="H445">
        <v>588.99575268932995</v>
      </c>
      <c r="I445">
        <v>54.071594072643499</v>
      </c>
      <c r="K445">
        <v>8.889838308095932E-2</v>
      </c>
      <c r="L445" s="2">
        <f t="shared" si="20"/>
        <v>2.0485331271563809</v>
      </c>
      <c r="N445">
        <v>53.116260528564453</v>
      </c>
      <c r="O445">
        <v>584.3533935546875</v>
      </c>
      <c r="P445" s="2">
        <f t="shared" si="18"/>
        <v>-1.7667937490350025</v>
      </c>
      <c r="Q445" s="2">
        <f t="shared" si="19"/>
        <v>-0.78818210716217063</v>
      </c>
    </row>
    <row r="446" spans="1:17" x14ac:dyDescent="0.45">
      <c r="A446" t="s">
        <v>467</v>
      </c>
      <c r="B446">
        <v>46.8</v>
      </c>
      <c r="C446">
        <v>123.2</v>
      </c>
      <c r="D446">
        <v>7.1900000000000002E-3</v>
      </c>
      <c r="E446">
        <v>20.95</v>
      </c>
      <c r="F446">
        <v>1</v>
      </c>
      <c r="G446">
        <v>3.4030020236968897E-2</v>
      </c>
      <c r="H446">
        <v>508.15649666255001</v>
      </c>
      <c r="I446">
        <v>36.539745670525903</v>
      </c>
      <c r="K446">
        <v>3.7158139050006873E-2</v>
      </c>
      <c r="L446" s="2">
        <f t="shared" si="20"/>
        <v>9.1922331848621965</v>
      </c>
      <c r="N446">
        <v>36.607883453369141</v>
      </c>
      <c r="O446">
        <v>499.26461791992188</v>
      </c>
      <c r="P446" s="2">
        <f t="shared" si="18"/>
        <v>0.18647579941477127</v>
      </c>
      <c r="Q446" s="2">
        <f t="shared" si="19"/>
        <v>-1.749830770840846</v>
      </c>
    </row>
    <row r="447" spans="1:17" x14ac:dyDescent="0.45">
      <c r="A447" t="s">
        <v>468</v>
      </c>
      <c r="B447">
        <v>81.2</v>
      </c>
      <c r="C447">
        <v>100</v>
      </c>
      <c r="D447">
        <v>2.7643999999999998E-2</v>
      </c>
      <c r="E447">
        <v>34.14</v>
      </c>
      <c r="F447">
        <v>1.1200000000000001</v>
      </c>
      <c r="G447">
        <v>0.26960593461990301</v>
      </c>
      <c r="H447">
        <v>606.87200173463998</v>
      </c>
      <c r="I447">
        <v>91.370430363181399</v>
      </c>
      <c r="K447">
        <v>0.24741460382938391</v>
      </c>
      <c r="L447" s="2">
        <f t="shared" si="20"/>
        <v>-8.2310245958810153</v>
      </c>
      <c r="N447">
        <v>91.181037902832031</v>
      </c>
      <c r="O447">
        <v>607.180908203125</v>
      </c>
      <c r="P447" s="2">
        <f t="shared" si="18"/>
        <v>-0.2072798164532722</v>
      </c>
      <c r="Q447" s="2">
        <f t="shared" si="19"/>
        <v>5.0901420332798944E-2</v>
      </c>
    </row>
    <row r="448" spans="1:17" x14ac:dyDescent="0.45">
      <c r="A448" t="s">
        <v>469</v>
      </c>
      <c r="B448">
        <v>84.5</v>
      </c>
      <c r="C448">
        <v>108.4</v>
      </c>
      <c r="D448">
        <v>2.4521999999999999E-2</v>
      </c>
      <c r="E448">
        <v>28.82</v>
      </c>
      <c r="F448">
        <v>1</v>
      </c>
      <c r="G448">
        <v>0.152459472417831</v>
      </c>
      <c r="H448">
        <v>550.29325432948099</v>
      </c>
      <c r="I448">
        <v>90.051302651887397</v>
      </c>
      <c r="K448">
        <v>0.1538738161325455</v>
      </c>
      <c r="L448" s="2">
        <f t="shared" si="20"/>
        <v>0.92768503805282665</v>
      </c>
      <c r="N448">
        <v>89.177139282226563</v>
      </c>
      <c r="O448">
        <v>541.09368896484375</v>
      </c>
      <c r="P448" s="2">
        <f t="shared" si="18"/>
        <v>-0.97073928296195833</v>
      </c>
      <c r="Q448" s="2">
        <f t="shared" si="19"/>
        <v>-1.6717568845808741</v>
      </c>
    </row>
    <row r="449" spans="1:19" x14ac:dyDescent="0.45">
      <c r="A449" t="s">
        <v>470</v>
      </c>
      <c r="B449">
        <v>51.4</v>
      </c>
      <c r="C449">
        <v>108.6</v>
      </c>
      <c r="D449">
        <v>1.0309E-2</v>
      </c>
      <c r="E449">
        <v>24.06</v>
      </c>
      <c r="F449">
        <v>1</v>
      </c>
      <c r="G449">
        <v>6.5065339207649203E-2</v>
      </c>
      <c r="H449">
        <v>521.77759215523395</v>
      </c>
      <c r="I449">
        <v>44.587890043016799</v>
      </c>
      <c r="K449">
        <v>6.7761898040771484E-2</v>
      </c>
      <c r="L449" s="2">
        <f t="shared" si="20"/>
        <v>4.1443860371133958</v>
      </c>
      <c r="N449">
        <v>42.879116058349609</v>
      </c>
      <c r="O449">
        <v>516.68927001953125</v>
      </c>
      <c r="P449" s="2">
        <f t="shared" si="18"/>
        <v>-3.8323723841128734</v>
      </c>
      <c r="Q449" s="2">
        <f t="shared" si="19"/>
        <v>-0.97518985334059172</v>
      </c>
    </row>
    <row r="450" spans="1:19" x14ac:dyDescent="0.45">
      <c r="A450" t="s">
        <v>471</v>
      </c>
      <c r="B450">
        <v>58.8</v>
      </c>
      <c r="C450">
        <v>111.7</v>
      </c>
      <c r="D450">
        <v>1.704E-2</v>
      </c>
      <c r="E450">
        <v>35</v>
      </c>
      <c r="F450">
        <v>1</v>
      </c>
      <c r="G450">
        <v>9.2624150216579396E-2</v>
      </c>
      <c r="H450">
        <v>588.17944575559295</v>
      </c>
      <c r="I450">
        <v>53.114200581641398</v>
      </c>
      <c r="K450">
        <v>9.3692414462566376E-2</v>
      </c>
      <c r="L450" s="2">
        <f t="shared" si="20"/>
        <v>1.1533323042522927</v>
      </c>
      <c r="N450">
        <v>52.003047943115227</v>
      </c>
      <c r="O450">
        <v>585.32598876953125</v>
      </c>
      <c r="P450" s="2">
        <f t="shared" si="18"/>
        <v>-2.0920067069789137</v>
      </c>
      <c r="Q450" s="2">
        <f t="shared" si="19"/>
        <v>-0.48513374730326808</v>
      </c>
    </row>
    <row r="451" spans="1:19" x14ac:dyDescent="0.45">
      <c r="A451" t="s">
        <v>472</v>
      </c>
      <c r="B451">
        <v>85.4</v>
      </c>
      <c r="C451">
        <v>106.2</v>
      </c>
      <c r="D451">
        <v>2.9526E-2</v>
      </c>
      <c r="E451">
        <v>35</v>
      </c>
      <c r="F451">
        <v>1</v>
      </c>
      <c r="G451">
        <v>0.19706676900386799</v>
      </c>
      <c r="H451">
        <v>586.922160797385</v>
      </c>
      <c r="I451">
        <v>91.387816245472294</v>
      </c>
      <c r="K451">
        <v>0.20254968106746671</v>
      </c>
      <c r="L451" s="2">
        <f t="shared" si="20"/>
        <v>2.7822611043524534</v>
      </c>
      <c r="N451">
        <v>91.485679626464844</v>
      </c>
      <c r="O451">
        <v>588.16552734375</v>
      </c>
      <c r="P451" s="2">
        <f t="shared" si="18"/>
        <v>0.10708580751036198</v>
      </c>
      <c r="Q451" s="2">
        <f t="shared" si="19"/>
        <v>0.21184522061252103</v>
      </c>
    </row>
    <row r="452" spans="1:19" x14ac:dyDescent="0.45">
      <c r="A452" t="s">
        <v>473</v>
      </c>
      <c r="B452">
        <v>87.5</v>
      </c>
      <c r="C452">
        <v>115.9</v>
      </c>
      <c r="D452">
        <v>2.5869E-2</v>
      </c>
      <c r="E452">
        <v>30.69</v>
      </c>
      <c r="F452">
        <v>1</v>
      </c>
      <c r="G452">
        <v>0.12882114946842099</v>
      </c>
      <c r="H452">
        <v>563.59329331630295</v>
      </c>
      <c r="I452">
        <v>91.725260592724297</v>
      </c>
      <c r="K452">
        <v>0.13342465460300451</v>
      </c>
      <c r="L452" s="2">
        <f t="shared" si="20"/>
        <v>3.573563156034417</v>
      </c>
      <c r="N452">
        <v>92.22271728515625</v>
      </c>
      <c r="O452">
        <v>563.620361328125</v>
      </c>
      <c r="P452" s="2">
        <f t="shared" si="18"/>
        <v>0.5423333651138319</v>
      </c>
      <c r="Q452" s="2">
        <f t="shared" si="19"/>
        <v>4.8027561972532702E-3</v>
      </c>
    </row>
    <row r="453" spans="1:19" x14ac:dyDescent="0.45">
      <c r="A453" t="s">
        <v>474</v>
      </c>
      <c r="B453">
        <v>58.4</v>
      </c>
      <c r="C453">
        <v>105.4</v>
      </c>
      <c r="D453">
        <v>1.5021E-2</v>
      </c>
      <c r="E453">
        <v>29.37</v>
      </c>
      <c r="F453">
        <v>1</v>
      </c>
      <c r="G453">
        <v>0.10596033930778501</v>
      </c>
      <c r="H453">
        <v>552.99433222676396</v>
      </c>
      <c r="I453">
        <v>54.113823167369503</v>
      </c>
      <c r="K453">
        <v>0.1035933792591095</v>
      </c>
      <c r="L453" s="2">
        <f t="shared" si="20"/>
        <v>-2.2338169773127619</v>
      </c>
      <c r="N453">
        <v>54.787006378173828</v>
      </c>
      <c r="O453">
        <v>555.25103759765625</v>
      </c>
      <c r="P453" s="2">
        <f t="shared" si="18"/>
        <v>1.2440133987987245</v>
      </c>
      <c r="Q453" s="2">
        <f t="shared" si="19"/>
        <v>0.40808833642202574</v>
      </c>
    </row>
    <row r="454" spans="1:19" x14ac:dyDescent="0.45">
      <c r="A454" t="s">
        <v>475</v>
      </c>
      <c r="B454">
        <v>41.8</v>
      </c>
      <c r="C454">
        <v>128.6</v>
      </c>
      <c r="D454">
        <v>6.8310000000000003E-3</v>
      </c>
      <c r="E454">
        <v>27.51</v>
      </c>
      <c r="F454">
        <v>2</v>
      </c>
      <c r="G454">
        <v>2.99312751740217E-2</v>
      </c>
      <c r="H454">
        <v>730.97236593062098</v>
      </c>
      <c r="I454">
        <v>34.956510221668999</v>
      </c>
      <c r="K454">
        <v>2.988805994391441E-2</v>
      </c>
      <c r="L454" s="2">
        <f t="shared" si="20"/>
        <v>-0.14438152018594233</v>
      </c>
      <c r="N454">
        <v>36.292507171630859</v>
      </c>
      <c r="O454">
        <v>715.66900634765625</v>
      </c>
      <c r="P454" s="2">
        <f t="shared" si="18"/>
        <v>3.8218830812627753</v>
      </c>
      <c r="Q454" s="2">
        <f t="shared" si="19"/>
        <v>-2.0935619862293429</v>
      </c>
    </row>
    <row r="455" spans="1:19" x14ac:dyDescent="0.45">
      <c r="A455" t="s">
        <v>476</v>
      </c>
      <c r="B455">
        <v>79.8</v>
      </c>
      <c r="C455">
        <v>108.3</v>
      </c>
      <c r="D455">
        <v>2.2473E-2</v>
      </c>
      <c r="E455">
        <v>28.4</v>
      </c>
      <c r="F455">
        <v>1</v>
      </c>
      <c r="G455">
        <v>0.14050596952438299</v>
      </c>
      <c r="H455">
        <v>547.751297330905</v>
      </c>
      <c r="I455">
        <v>83.296838774735605</v>
      </c>
      <c r="K455">
        <v>0.1398259699344635</v>
      </c>
      <c r="L455" s="2">
        <f t="shared" si="20"/>
        <v>-0.4839649106876443</v>
      </c>
      <c r="N455">
        <v>80.720588684082031</v>
      </c>
      <c r="O455">
        <v>539.72100830078125</v>
      </c>
      <c r="P455" s="2">
        <f t="shared" si="18"/>
        <v>-3.0928545771354825</v>
      </c>
      <c r="Q455" s="2">
        <f t="shared" si="19"/>
        <v>-1.4660465560289733</v>
      </c>
    </row>
    <row r="456" spans="1:19" x14ac:dyDescent="0.45">
      <c r="A456" t="s">
        <v>477</v>
      </c>
      <c r="B456">
        <v>51.9</v>
      </c>
      <c r="C456">
        <v>113.8</v>
      </c>
      <c r="D456">
        <v>1.3831E-2</v>
      </c>
      <c r="E456">
        <v>35</v>
      </c>
      <c r="F456">
        <v>1</v>
      </c>
      <c r="G456">
        <v>7.0994198322296101E-2</v>
      </c>
      <c r="H456">
        <v>588.77962600711101</v>
      </c>
      <c r="I456">
        <v>43.525637677201303</v>
      </c>
      <c r="K456">
        <v>7.5642064213752747E-2</v>
      </c>
      <c r="L456" s="2">
        <f t="shared" si="20"/>
        <v>6.5468249537187297</v>
      </c>
      <c r="N456">
        <v>43.433628082275391</v>
      </c>
      <c r="O456">
        <v>587.74432373046875</v>
      </c>
      <c r="P456" s="2">
        <f t="shared" si="18"/>
        <v>-0.21139172183594832</v>
      </c>
      <c r="Q456" s="2">
        <f t="shared" si="19"/>
        <v>-0.17583867221481464</v>
      </c>
    </row>
    <row r="457" spans="1:19" x14ac:dyDescent="0.45">
      <c r="A457" t="s">
        <v>478</v>
      </c>
      <c r="B457">
        <v>56.2</v>
      </c>
      <c r="C457">
        <v>106.9</v>
      </c>
      <c r="D457">
        <v>1.0374E-2</v>
      </c>
      <c r="E457">
        <v>20</v>
      </c>
      <c r="F457">
        <v>1</v>
      </c>
      <c r="G457">
        <v>7.1363195776939295E-2</v>
      </c>
      <c r="H457">
        <v>497.05851327089198</v>
      </c>
      <c r="I457">
        <v>51.998506137131201</v>
      </c>
      <c r="K457">
        <v>6.7320302128791809E-2</v>
      </c>
      <c r="L457" s="2">
        <f t="shared" si="20"/>
        <v>-5.6652362665825695</v>
      </c>
      <c r="N457">
        <v>52.368625640869141</v>
      </c>
      <c r="O457">
        <v>484.45352172851563</v>
      </c>
      <c r="P457" s="2">
        <f t="shared" si="18"/>
        <v>0.71178872477962118</v>
      </c>
      <c r="Q457" s="2">
        <f t="shared" si="19"/>
        <v>-2.5359170411204199</v>
      </c>
    </row>
    <row r="458" spans="1:19" x14ac:dyDescent="0.45">
      <c r="L458" s="2"/>
      <c r="P458" s="2"/>
      <c r="Q458" s="2"/>
    </row>
    <row r="460" spans="1:19" x14ac:dyDescent="0.45">
      <c r="L460" s="2">
        <f>MIN(L8:L257)</f>
        <v>-8.9182521495693408</v>
      </c>
      <c r="P460" s="2">
        <f>MIN(P8:P257)</f>
        <v>-4.990181210874657</v>
      </c>
      <c r="Q460" s="2">
        <f>MIN(Q8:Q257)</f>
        <v>-3.2501843662982601</v>
      </c>
      <c r="S460" t="s">
        <v>221</v>
      </c>
    </row>
    <row r="461" spans="1:19" x14ac:dyDescent="0.45">
      <c r="L461" s="2">
        <f>MAX(L8:L257)</f>
        <v>20.367240536879454</v>
      </c>
      <c r="P461" s="2">
        <f>MAX(P8:P257)</f>
        <v>6.3431106671555142</v>
      </c>
      <c r="Q461" s="2">
        <f>MAX(Q8:Q257)</f>
        <v>1.0587524074455146</v>
      </c>
      <c r="S461" t="s">
        <v>222</v>
      </c>
    </row>
    <row r="462" spans="1:19" x14ac:dyDescent="0.45">
      <c r="L462" s="2" cm="1">
        <f t="array" ref="L462">AVERAGE(ABS(L8:L257))</f>
        <v>5.2811997754850868</v>
      </c>
      <c r="P462" s="2" cm="1">
        <f t="array" ref="P462">AVERAGE(ABS(P8:P257))</f>
        <v>1.6833198232759616</v>
      </c>
      <c r="Q462" s="2" cm="1">
        <f t="array" ref="Q462">AVERAGE(ABS(Q8:Q257))</f>
        <v>1.038678012118291</v>
      </c>
      <c r="S462" t="s">
        <v>223</v>
      </c>
    </row>
  </sheetData>
  <mergeCells count="6">
    <mergeCell ref="P4:P7"/>
    <mergeCell ref="Q4:Q7"/>
    <mergeCell ref="K4:K7"/>
    <mergeCell ref="L4:L7"/>
    <mergeCell ref="N4:N7"/>
    <mergeCell ref="O4:O7"/>
  </mergeCells>
  <phoneticPr fontId="19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6E2B13623D744FB2C18A418704D37B" ma:contentTypeVersion="3" ma:contentTypeDescription="Create a new document." ma:contentTypeScope="" ma:versionID="80cde4d9804c78675fc445c67d3090c8">
  <xsd:schema xmlns:xsd="http://www.w3.org/2001/XMLSchema" xmlns:xs="http://www.w3.org/2001/XMLSchema" xmlns:p="http://schemas.microsoft.com/office/2006/metadata/properties" xmlns:ns2="116f2a2b-4914-4672-9ef3-ee7e5f5c2150" targetNamespace="http://schemas.microsoft.com/office/2006/metadata/properties" ma:root="true" ma:fieldsID="132925e758d6b2a764f07c223b5d5857" ns2:_="">
    <xsd:import namespace="116f2a2b-4914-4672-9ef3-ee7e5f5c21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f2a2b-4914-4672-9ef3-ee7e5f5c21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49A32F-D81F-4C5C-A46A-FA3F22847A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71625D-FCBD-4DAA-AD98-72CA3AA308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6f2a2b-4914-4672-9ef3-ee7e5f5c21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81E481B-47DF-4161-B816-5833B2099AC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Radu</dc:creator>
  <cp:lastModifiedBy>Tudor Bartha</cp:lastModifiedBy>
  <dcterms:created xsi:type="dcterms:W3CDTF">2025-11-08T20:48:59Z</dcterms:created>
  <dcterms:modified xsi:type="dcterms:W3CDTF">2026-05-26T10:57:10Z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2025-11-08T20:59:09Z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b7ef1366-deed-434e-a4a1-16787cfe8120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10, 3, 0, 1</vt:lpwstr>
  </property>
  <property fmtid="{D5CDD505-2E9C-101B-9397-08002B2CF9AE}" pid="10" name="ContentTypeId">
    <vt:lpwstr>0x010100826E2B13623D744FB2C18A418704D37B</vt:lpwstr>
  </property>
</Properties>
</file>