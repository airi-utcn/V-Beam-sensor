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u\Desktop\ANSYS V-Beam\Sensor\Model predictions\"/>
    </mc:Choice>
  </mc:AlternateContent>
  <xr:revisionPtr revIDLastSave="0" documentId="13_ncr:1_{91410AE3-D493-4723-80AA-72346B7903D6}" xr6:coauthVersionLast="47" xr6:coauthVersionMax="47" xr10:uidLastSave="{00000000-0000-0000-0000-000000000000}"/>
  <bookViews>
    <workbookView xWindow="1152" yWindow="1152" windowWidth="17280" windowHeight="8880" xr2:uid="{F7D0C80D-C0C8-44C2-96E5-EF0F645C93F3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8" i="1" l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P355" i="1"/>
  <c r="Q355" i="1"/>
  <c r="P356" i="1"/>
  <c r="Q356" i="1"/>
  <c r="P357" i="1"/>
  <c r="Q357" i="1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P372" i="1"/>
  <c r="Q372" i="1"/>
  <c r="P373" i="1"/>
  <c r="Q373" i="1"/>
  <c r="P374" i="1"/>
  <c r="Q374" i="1"/>
  <c r="P375" i="1"/>
  <c r="Q375" i="1"/>
  <c r="P376" i="1"/>
  <c r="Q376" i="1"/>
  <c r="P377" i="1"/>
  <c r="Q377" i="1"/>
  <c r="P378" i="1"/>
  <c r="Q378" i="1"/>
  <c r="P379" i="1"/>
  <c r="Q379" i="1"/>
  <c r="P380" i="1"/>
  <c r="Q380" i="1"/>
  <c r="P381" i="1"/>
  <c r="Q381" i="1"/>
  <c r="P382" i="1"/>
  <c r="Q382" i="1"/>
  <c r="P383" i="1"/>
  <c r="Q383" i="1"/>
  <c r="P384" i="1"/>
  <c r="Q384" i="1"/>
  <c r="P385" i="1"/>
  <c r="Q385" i="1"/>
  <c r="P386" i="1"/>
  <c r="Q386" i="1"/>
  <c r="P387" i="1"/>
  <c r="Q387" i="1"/>
  <c r="P388" i="1"/>
  <c r="Q388" i="1"/>
  <c r="P389" i="1"/>
  <c r="Q389" i="1"/>
  <c r="P390" i="1"/>
  <c r="Q390" i="1"/>
  <c r="P391" i="1"/>
  <c r="Q391" i="1"/>
  <c r="P392" i="1"/>
  <c r="Q392" i="1"/>
  <c r="P393" i="1"/>
  <c r="Q393" i="1"/>
  <c r="P394" i="1"/>
  <c r="Q394" i="1"/>
  <c r="P395" i="1"/>
  <c r="Q395" i="1"/>
  <c r="P396" i="1"/>
  <c r="Q396" i="1"/>
  <c r="P397" i="1"/>
  <c r="Q397" i="1"/>
  <c r="P398" i="1"/>
  <c r="Q398" i="1"/>
  <c r="P399" i="1"/>
  <c r="Q399" i="1"/>
  <c r="P400" i="1"/>
  <c r="Q400" i="1"/>
  <c r="P401" i="1"/>
  <c r="Q401" i="1"/>
  <c r="P402" i="1"/>
  <c r="Q402" i="1"/>
  <c r="P403" i="1"/>
  <c r="Q403" i="1"/>
  <c r="P404" i="1"/>
  <c r="Q404" i="1"/>
  <c r="P405" i="1"/>
  <c r="Q405" i="1"/>
  <c r="P406" i="1"/>
  <c r="Q406" i="1"/>
  <c r="P407" i="1"/>
  <c r="Q407" i="1"/>
  <c r="P408" i="1"/>
  <c r="Q408" i="1"/>
  <c r="P409" i="1"/>
  <c r="Q409" i="1"/>
  <c r="P410" i="1"/>
  <c r="Q410" i="1"/>
  <c r="P411" i="1"/>
  <c r="Q411" i="1"/>
  <c r="P412" i="1"/>
  <c r="Q412" i="1"/>
  <c r="P413" i="1"/>
  <c r="Q413" i="1"/>
  <c r="P414" i="1"/>
  <c r="Q414" i="1"/>
  <c r="P415" i="1"/>
  <c r="Q415" i="1"/>
  <c r="P416" i="1"/>
  <c r="Q416" i="1"/>
  <c r="P417" i="1"/>
  <c r="Q41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8" i="1"/>
  <c r="P8" i="1"/>
  <c r="Q8" i="1"/>
  <c r="L9" i="1"/>
  <c r="P9" i="1"/>
  <c r="Q9" i="1"/>
  <c r="L10" i="1"/>
  <c r="P10" i="1"/>
  <c r="Q10" i="1"/>
  <c r="L11" i="1"/>
  <c r="P11" i="1"/>
  <c r="Q11" i="1"/>
  <c r="L12" i="1"/>
  <c r="P12" i="1"/>
  <c r="Q12" i="1"/>
  <c r="L13" i="1"/>
  <c r="P13" i="1"/>
  <c r="Q13" i="1"/>
  <c r="L14" i="1"/>
  <c r="P14" i="1"/>
  <c r="Q14" i="1"/>
  <c r="L15" i="1"/>
  <c r="P15" i="1"/>
  <c r="Q15" i="1"/>
  <c r="L16" i="1"/>
  <c r="P16" i="1"/>
  <c r="Q16" i="1"/>
  <c r="L17" i="1"/>
  <c r="P17" i="1"/>
  <c r="Q17" i="1"/>
  <c r="L18" i="1"/>
  <c r="P18" i="1"/>
  <c r="Q18" i="1"/>
  <c r="L19" i="1"/>
  <c r="P19" i="1"/>
  <c r="Q19" i="1"/>
  <c r="L20" i="1"/>
  <c r="P20" i="1"/>
  <c r="Q20" i="1"/>
  <c r="L21" i="1"/>
  <c r="P21" i="1"/>
  <c r="Q21" i="1"/>
  <c r="L22" i="1"/>
  <c r="P22" i="1"/>
  <c r="Q22" i="1"/>
  <c r="L23" i="1"/>
  <c r="P23" i="1"/>
  <c r="Q23" i="1"/>
  <c r="L24" i="1"/>
  <c r="P24" i="1"/>
  <c r="Q24" i="1"/>
  <c r="L25" i="1"/>
  <c r="P25" i="1"/>
  <c r="Q25" i="1"/>
  <c r="L26" i="1"/>
  <c r="P26" i="1"/>
  <c r="Q26" i="1"/>
  <c r="L27" i="1"/>
  <c r="P27" i="1"/>
  <c r="Q27" i="1"/>
  <c r="L28" i="1"/>
  <c r="P28" i="1"/>
  <c r="Q28" i="1"/>
  <c r="L29" i="1"/>
  <c r="P29" i="1"/>
  <c r="Q29" i="1"/>
  <c r="L30" i="1"/>
  <c r="P30" i="1"/>
  <c r="Q30" i="1"/>
  <c r="L31" i="1"/>
  <c r="P31" i="1"/>
  <c r="Q31" i="1"/>
  <c r="L32" i="1"/>
  <c r="P32" i="1"/>
  <c r="Q32" i="1"/>
  <c r="L33" i="1"/>
  <c r="P33" i="1"/>
  <c r="Q33" i="1"/>
  <c r="L34" i="1"/>
  <c r="P34" i="1"/>
  <c r="Q34" i="1"/>
  <c r="L35" i="1"/>
  <c r="P35" i="1"/>
  <c r="Q35" i="1"/>
  <c r="L36" i="1"/>
  <c r="P36" i="1"/>
  <c r="Q36" i="1"/>
  <c r="L37" i="1"/>
  <c r="P37" i="1"/>
  <c r="Q37" i="1"/>
  <c r="L38" i="1"/>
  <c r="P38" i="1"/>
  <c r="Q38" i="1"/>
  <c r="L39" i="1"/>
  <c r="P39" i="1"/>
  <c r="Q39" i="1"/>
  <c r="L40" i="1"/>
  <c r="P40" i="1"/>
  <c r="Q40" i="1"/>
  <c r="L41" i="1"/>
  <c r="P41" i="1"/>
  <c r="Q41" i="1"/>
  <c r="L42" i="1"/>
  <c r="P42" i="1"/>
  <c r="Q42" i="1"/>
  <c r="L43" i="1"/>
  <c r="P43" i="1"/>
  <c r="Q43" i="1"/>
  <c r="L44" i="1"/>
  <c r="P44" i="1"/>
  <c r="Q44" i="1"/>
  <c r="L45" i="1"/>
  <c r="P45" i="1"/>
  <c r="Q45" i="1"/>
  <c r="L46" i="1"/>
  <c r="P46" i="1"/>
  <c r="Q46" i="1"/>
  <c r="L47" i="1"/>
  <c r="P47" i="1"/>
  <c r="Q47" i="1"/>
  <c r="L48" i="1"/>
  <c r="P48" i="1"/>
  <c r="Q48" i="1"/>
  <c r="L49" i="1"/>
  <c r="P49" i="1"/>
  <c r="Q49" i="1"/>
  <c r="L50" i="1"/>
  <c r="P50" i="1"/>
  <c r="Q50" i="1"/>
  <c r="L51" i="1"/>
  <c r="P51" i="1"/>
  <c r="Q51" i="1"/>
  <c r="L52" i="1"/>
  <c r="P52" i="1"/>
  <c r="Q52" i="1"/>
  <c r="L53" i="1"/>
  <c r="P53" i="1"/>
  <c r="Q53" i="1"/>
  <c r="L54" i="1"/>
  <c r="P54" i="1"/>
  <c r="Q54" i="1"/>
  <c r="L55" i="1"/>
  <c r="P55" i="1"/>
  <c r="Q55" i="1"/>
  <c r="L56" i="1"/>
  <c r="P56" i="1"/>
  <c r="Q56" i="1"/>
  <c r="L57" i="1"/>
  <c r="P57" i="1"/>
  <c r="Q57" i="1"/>
  <c r="L58" i="1"/>
  <c r="P58" i="1"/>
  <c r="Q58" i="1"/>
  <c r="L59" i="1"/>
  <c r="P59" i="1"/>
  <c r="Q59" i="1"/>
  <c r="L60" i="1"/>
  <c r="P60" i="1"/>
  <c r="Q60" i="1"/>
  <c r="L61" i="1"/>
  <c r="P61" i="1"/>
  <c r="Q61" i="1"/>
  <c r="L62" i="1"/>
  <c r="P62" i="1"/>
  <c r="Q62" i="1"/>
  <c r="L63" i="1"/>
  <c r="P63" i="1"/>
  <c r="Q63" i="1"/>
  <c r="L64" i="1"/>
  <c r="P64" i="1"/>
  <c r="Q64" i="1"/>
  <c r="L65" i="1"/>
  <c r="P65" i="1"/>
  <c r="Q65" i="1"/>
  <c r="L66" i="1"/>
  <c r="P66" i="1"/>
  <c r="Q66" i="1"/>
  <c r="L67" i="1"/>
  <c r="P67" i="1"/>
  <c r="Q67" i="1"/>
  <c r="L68" i="1"/>
  <c r="P68" i="1"/>
  <c r="Q68" i="1"/>
  <c r="L69" i="1"/>
  <c r="P69" i="1"/>
  <c r="Q69" i="1"/>
  <c r="L70" i="1"/>
  <c r="P70" i="1"/>
  <c r="Q70" i="1"/>
  <c r="L71" i="1"/>
  <c r="P71" i="1"/>
  <c r="Q71" i="1"/>
  <c r="L72" i="1"/>
  <c r="P72" i="1"/>
  <c r="Q72" i="1"/>
  <c r="L73" i="1"/>
  <c r="P73" i="1"/>
  <c r="Q73" i="1"/>
  <c r="L74" i="1"/>
  <c r="P74" i="1"/>
  <c r="Q74" i="1"/>
  <c r="L75" i="1"/>
  <c r="P75" i="1"/>
  <c r="Q75" i="1"/>
  <c r="L76" i="1"/>
  <c r="P76" i="1"/>
  <c r="Q76" i="1"/>
  <c r="L77" i="1"/>
  <c r="P77" i="1"/>
  <c r="Q77" i="1"/>
  <c r="L78" i="1"/>
  <c r="P78" i="1"/>
  <c r="Q78" i="1"/>
  <c r="L79" i="1"/>
  <c r="P79" i="1"/>
  <c r="Q79" i="1"/>
  <c r="L80" i="1"/>
  <c r="P80" i="1"/>
  <c r="Q80" i="1"/>
  <c r="L81" i="1"/>
  <c r="P81" i="1"/>
  <c r="Q81" i="1"/>
  <c r="L82" i="1"/>
  <c r="P82" i="1"/>
  <c r="Q82" i="1"/>
  <c r="L83" i="1"/>
  <c r="P83" i="1"/>
  <c r="Q83" i="1"/>
  <c r="L84" i="1"/>
  <c r="P84" i="1"/>
  <c r="Q84" i="1"/>
  <c r="L85" i="1"/>
  <c r="P85" i="1"/>
  <c r="Q85" i="1"/>
  <c r="L86" i="1"/>
  <c r="P86" i="1"/>
  <c r="Q86" i="1"/>
  <c r="L87" i="1"/>
  <c r="P87" i="1"/>
  <c r="Q87" i="1"/>
  <c r="L88" i="1"/>
  <c r="P88" i="1"/>
  <c r="Q88" i="1"/>
  <c r="L89" i="1"/>
  <c r="P89" i="1"/>
  <c r="Q89" i="1"/>
  <c r="L90" i="1"/>
  <c r="P90" i="1"/>
  <c r="Q90" i="1"/>
  <c r="L91" i="1"/>
  <c r="P91" i="1"/>
  <c r="Q91" i="1"/>
  <c r="L92" i="1"/>
  <c r="P92" i="1"/>
  <c r="Q92" i="1"/>
  <c r="L93" i="1"/>
  <c r="P93" i="1"/>
  <c r="Q93" i="1"/>
  <c r="L94" i="1"/>
  <c r="P94" i="1"/>
  <c r="Q94" i="1"/>
  <c r="L95" i="1"/>
  <c r="P95" i="1"/>
  <c r="Q95" i="1"/>
  <c r="L96" i="1"/>
  <c r="P96" i="1"/>
  <c r="Q96" i="1"/>
  <c r="L97" i="1"/>
  <c r="P97" i="1"/>
  <c r="Q97" i="1"/>
  <c r="L98" i="1"/>
  <c r="P98" i="1"/>
  <c r="Q98" i="1"/>
  <c r="L99" i="1"/>
  <c r="P99" i="1"/>
  <c r="Q99" i="1"/>
  <c r="L100" i="1"/>
  <c r="P100" i="1"/>
  <c r="Q100" i="1"/>
  <c r="L101" i="1"/>
  <c r="P101" i="1"/>
  <c r="Q101" i="1"/>
  <c r="L102" i="1"/>
  <c r="P102" i="1"/>
  <c r="Q102" i="1"/>
  <c r="L103" i="1"/>
  <c r="P103" i="1"/>
  <c r="Q103" i="1"/>
  <c r="L104" i="1"/>
  <c r="P104" i="1"/>
  <c r="Q104" i="1"/>
  <c r="L105" i="1"/>
  <c r="P105" i="1"/>
  <c r="Q105" i="1"/>
  <c r="L106" i="1"/>
  <c r="P106" i="1"/>
  <c r="Q106" i="1"/>
  <c r="L107" i="1"/>
  <c r="P107" i="1"/>
  <c r="Q107" i="1"/>
  <c r="L108" i="1"/>
  <c r="P108" i="1"/>
  <c r="Q108" i="1"/>
  <c r="L109" i="1"/>
  <c r="P109" i="1"/>
  <c r="Q109" i="1"/>
  <c r="L110" i="1"/>
  <c r="P110" i="1"/>
  <c r="Q110" i="1"/>
  <c r="L111" i="1"/>
  <c r="P111" i="1"/>
  <c r="Q111" i="1"/>
  <c r="L112" i="1"/>
  <c r="P112" i="1"/>
  <c r="Q112" i="1"/>
  <c r="L113" i="1"/>
  <c r="P113" i="1"/>
  <c r="Q113" i="1"/>
  <c r="L114" i="1"/>
  <c r="P114" i="1"/>
  <c r="Q114" i="1"/>
  <c r="L115" i="1"/>
  <c r="P115" i="1"/>
  <c r="Q115" i="1"/>
  <c r="L116" i="1"/>
  <c r="P116" i="1"/>
  <c r="Q116" i="1"/>
  <c r="L117" i="1"/>
  <c r="P117" i="1"/>
  <c r="Q117" i="1"/>
  <c r="L118" i="1"/>
  <c r="P118" i="1"/>
  <c r="Q118" i="1"/>
  <c r="L119" i="1"/>
  <c r="P119" i="1"/>
  <c r="Q119" i="1"/>
  <c r="L120" i="1"/>
  <c r="P120" i="1"/>
  <c r="Q120" i="1"/>
  <c r="L121" i="1"/>
  <c r="P121" i="1"/>
  <c r="Q121" i="1"/>
  <c r="L122" i="1"/>
  <c r="P122" i="1"/>
  <c r="Q122" i="1"/>
  <c r="L123" i="1"/>
  <c r="P123" i="1"/>
  <c r="Q123" i="1"/>
  <c r="L124" i="1"/>
  <c r="P124" i="1"/>
  <c r="Q124" i="1"/>
  <c r="L125" i="1"/>
  <c r="P125" i="1"/>
  <c r="Q125" i="1"/>
  <c r="L126" i="1"/>
  <c r="P126" i="1"/>
  <c r="Q126" i="1"/>
  <c r="L127" i="1"/>
  <c r="P127" i="1"/>
  <c r="Q127" i="1"/>
  <c r="L128" i="1"/>
  <c r="P128" i="1"/>
  <c r="Q128" i="1"/>
  <c r="L129" i="1"/>
  <c r="P129" i="1"/>
  <c r="Q129" i="1"/>
  <c r="L130" i="1"/>
  <c r="P130" i="1"/>
  <c r="Q130" i="1"/>
  <c r="L131" i="1"/>
  <c r="P131" i="1"/>
  <c r="Q131" i="1"/>
  <c r="L132" i="1"/>
  <c r="P132" i="1"/>
  <c r="Q132" i="1"/>
  <c r="L133" i="1"/>
  <c r="P133" i="1"/>
  <c r="Q133" i="1"/>
  <c r="L134" i="1"/>
  <c r="P134" i="1"/>
  <c r="Q134" i="1"/>
  <c r="L135" i="1"/>
  <c r="P135" i="1"/>
  <c r="Q135" i="1"/>
  <c r="L136" i="1"/>
  <c r="P136" i="1"/>
  <c r="Q136" i="1"/>
  <c r="L137" i="1"/>
  <c r="P137" i="1"/>
  <c r="Q137" i="1"/>
  <c r="L138" i="1"/>
  <c r="P138" i="1"/>
  <c r="Q138" i="1"/>
  <c r="L139" i="1"/>
  <c r="P139" i="1"/>
  <c r="Q139" i="1"/>
  <c r="L140" i="1"/>
  <c r="P140" i="1"/>
  <c r="Q140" i="1"/>
  <c r="L141" i="1"/>
  <c r="P141" i="1"/>
  <c r="Q141" i="1"/>
  <c r="L142" i="1"/>
  <c r="P142" i="1"/>
  <c r="Q142" i="1"/>
  <c r="L143" i="1"/>
  <c r="P143" i="1"/>
  <c r="Q143" i="1"/>
  <c r="L144" i="1"/>
  <c r="P144" i="1"/>
  <c r="Q144" i="1"/>
  <c r="L145" i="1"/>
  <c r="P145" i="1"/>
  <c r="Q145" i="1"/>
  <c r="L146" i="1"/>
  <c r="P146" i="1"/>
  <c r="Q146" i="1"/>
  <c r="L147" i="1"/>
  <c r="P147" i="1"/>
  <c r="Q147" i="1"/>
  <c r="L148" i="1"/>
  <c r="P148" i="1"/>
  <c r="Q148" i="1"/>
  <c r="L149" i="1"/>
  <c r="P149" i="1"/>
  <c r="Q149" i="1"/>
  <c r="L150" i="1"/>
  <c r="P150" i="1"/>
  <c r="Q150" i="1"/>
  <c r="L151" i="1"/>
  <c r="P151" i="1"/>
  <c r="Q151" i="1"/>
  <c r="L152" i="1"/>
  <c r="P152" i="1"/>
  <c r="Q152" i="1"/>
  <c r="L153" i="1"/>
  <c r="P153" i="1"/>
  <c r="Q153" i="1"/>
  <c r="L154" i="1"/>
  <c r="P154" i="1"/>
  <c r="Q154" i="1"/>
  <c r="L155" i="1"/>
  <c r="P155" i="1"/>
  <c r="Q155" i="1"/>
  <c r="L156" i="1"/>
  <c r="P156" i="1"/>
  <c r="Q156" i="1"/>
  <c r="L157" i="1"/>
  <c r="P157" i="1"/>
  <c r="Q157" i="1"/>
  <c r="L158" i="1"/>
  <c r="P158" i="1"/>
  <c r="Q158" i="1"/>
  <c r="L159" i="1"/>
  <c r="P159" i="1"/>
  <c r="Q159" i="1"/>
  <c r="L160" i="1"/>
  <c r="P160" i="1"/>
  <c r="Q160" i="1"/>
  <c r="L161" i="1"/>
  <c r="P161" i="1"/>
  <c r="Q161" i="1"/>
  <c r="L162" i="1"/>
  <c r="P162" i="1"/>
  <c r="Q162" i="1"/>
  <c r="L163" i="1"/>
  <c r="P163" i="1"/>
  <c r="Q163" i="1"/>
  <c r="L164" i="1"/>
  <c r="P164" i="1"/>
  <c r="Q164" i="1"/>
  <c r="L165" i="1"/>
  <c r="P165" i="1"/>
  <c r="Q165" i="1"/>
  <c r="L166" i="1"/>
  <c r="P166" i="1"/>
  <c r="Q166" i="1"/>
  <c r="L167" i="1"/>
  <c r="P167" i="1"/>
  <c r="Q167" i="1"/>
  <c r="L168" i="1"/>
  <c r="P168" i="1"/>
  <c r="Q168" i="1"/>
  <c r="L169" i="1"/>
  <c r="P169" i="1"/>
  <c r="Q169" i="1"/>
  <c r="L170" i="1"/>
  <c r="P170" i="1"/>
  <c r="Q170" i="1"/>
  <c r="L171" i="1"/>
  <c r="P171" i="1"/>
  <c r="Q171" i="1"/>
  <c r="L172" i="1"/>
  <c r="P172" i="1"/>
  <c r="Q172" i="1"/>
  <c r="L173" i="1"/>
  <c r="P173" i="1"/>
  <c r="Q173" i="1"/>
  <c r="L174" i="1"/>
  <c r="P174" i="1"/>
  <c r="Q174" i="1"/>
  <c r="L175" i="1"/>
  <c r="P175" i="1"/>
  <c r="Q175" i="1"/>
  <c r="L176" i="1"/>
  <c r="P176" i="1"/>
  <c r="Q176" i="1"/>
  <c r="L177" i="1"/>
  <c r="P177" i="1"/>
  <c r="Q177" i="1"/>
  <c r="L178" i="1"/>
  <c r="P178" i="1"/>
  <c r="Q178" i="1"/>
  <c r="L179" i="1"/>
  <c r="P179" i="1"/>
  <c r="Q179" i="1"/>
  <c r="L180" i="1"/>
  <c r="P180" i="1"/>
  <c r="Q180" i="1"/>
  <c r="L181" i="1"/>
  <c r="P181" i="1"/>
  <c r="Q181" i="1"/>
  <c r="L182" i="1"/>
  <c r="P182" i="1"/>
  <c r="Q182" i="1"/>
  <c r="L183" i="1"/>
  <c r="P183" i="1"/>
  <c r="Q183" i="1"/>
  <c r="L184" i="1"/>
  <c r="P184" i="1"/>
  <c r="Q184" i="1"/>
  <c r="L185" i="1"/>
  <c r="P185" i="1"/>
  <c r="Q185" i="1"/>
  <c r="L186" i="1"/>
  <c r="P186" i="1"/>
  <c r="Q186" i="1"/>
  <c r="L187" i="1"/>
  <c r="P187" i="1"/>
  <c r="Q187" i="1"/>
  <c r="L188" i="1"/>
  <c r="P188" i="1"/>
  <c r="Q188" i="1"/>
  <c r="L189" i="1"/>
  <c r="P189" i="1"/>
  <c r="Q189" i="1"/>
  <c r="L190" i="1"/>
  <c r="P190" i="1"/>
  <c r="Q190" i="1"/>
  <c r="L191" i="1"/>
  <c r="P191" i="1"/>
  <c r="Q191" i="1"/>
  <c r="L192" i="1"/>
  <c r="P192" i="1"/>
  <c r="Q192" i="1"/>
  <c r="L193" i="1"/>
  <c r="P193" i="1"/>
  <c r="Q193" i="1"/>
  <c r="L194" i="1"/>
  <c r="P194" i="1"/>
  <c r="Q194" i="1"/>
  <c r="L195" i="1"/>
  <c r="P195" i="1"/>
  <c r="Q195" i="1"/>
  <c r="L196" i="1"/>
  <c r="P196" i="1"/>
  <c r="Q196" i="1"/>
  <c r="L197" i="1"/>
  <c r="P197" i="1"/>
  <c r="Q197" i="1"/>
  <c r="L198" i="1"/>
  <c r="P198" i="1"/>
  <c r="Q198" i="1"/>
  <c r="L199" i="1"/>
  <c r="P199" i="1"/>
  <c r="Q199" i="1"/>
  <c r="L200" i="1"/>
  <c r="P200" i="1"/>
  <c r="Q200" i="1"/>
  <c r="L201" i="1"/>
  <c r="P201" i="1"/>
  <c r="Q201" i="1"/>
  <c r="L202" i="1"/>
  <c r="P202" i="1"/>
  <c r="Q202" i="1"/>
  <c r="L203" i="1"/>
  <c r="P203" i="1"/>
  <c r="Q203" i="1"/>
  <c r="L204" i="1"/>
  <c r="P204" i="1"/>
  <c r="Q204" i="1"/>
  <c r="L205" i="1"/>
  <c r="P205" i="1"/>
  <c r="Q205" i="1"/>
  <c r="L206" i="1"/>
  <c r="P206" i="1"/>
  <c r="Q206" i="1"/>
  <c r="L207" i="1"/>
  <c r="P207" i="1"/>
  <c r="Q207" i="1"/>
  <c r="L208" i="1"/>
  <c r="P208" i="1"/>
  <c r="Q208" i="1"/>
  <c r="L209" i="1"/>
  <c r="P209" i="1"/>
  <c r="Q209" i="1"/>
  <c r="L210" i="1"/>
  <c r="P210" i="1"/>
  <c r="Q210" i="1"/>
  <c r="L211" i="1"/>
  <c r="P211" i="1"/>
  <c r="Q211" i="1"/>
  <c r="L212" i="1"/>
  <c r="P212" i="1"/>
  <c r="Q212" i="1"/>
  <c r="L213" i="1"/>
  <c r="P213" i="1"/>
  <c r="Q213" i="1"/>
  <c r="L214" i="1"/>
  <c r="P214" i="1"/>
  <c r="Q214" i="1"/>
  <c r="L215" i="1"/>
  <c r="P215" i="1"/>
  <c r="Q215" i="1"/>
  <c r="L216" i="1"/>
  <c r="P216" i="1"/>
  <c r="Q216" i="1"/>
  <c r="L217" i="1"/>
  <c r="P217" i="1"/>
  <c r="Q217" i="1"/>
  <c r="L218" i="1"/>
  <c r="P218" i="1"/>
  <c r="Q218" i="1"/>
  <c r="L219" i="1"/>
  <c r="P219" i="1"/>
  <c r="Q219" i="1"/>
  <c r="L220" i="1"/>
  <c r="P220" i="1"/>
  <c r="Q220" i="1"/>
  <c r="L221" i="1"/>
  <c r="P221" i="1"/>
  <c r="Q221" i="1"/>
  <c r="L222" i="1"/>
  <c r="P222" i="1"/>
  <c r="Q222" i="1"/>
  <c r="L223" i="1"/>
  <c r="P223" i="1"/>
  <c r="Q223" i="1"/>
  <c r="L224" i="1"/>
  <c r="P224" i="1"/>
  <c r="Q224" i="1"/>
  <c r="L225" i="1"/>
  <c r="P225" i="1"/>
  <c r="Q225" i="1"/>
  <c r="L226" i="1"/>
  <c r="P226" i="1"/>
  <c r="Q226" i="1"/>
  <c r="L227" i="1"/>
  <c r="P227" i="1"/>
  <c r="Q227" i="1"/>
  <c r="L228" i="1"/>
  <c r="P228" i="1"/>
  <c r="Q228" i="1"/>
  <c r="L229" i="1"/>
  <c r="P229" i="1"/>
  <c r="Q229" i="1"/>
  <c r="L230" i="1"/>
  <c r="P230" i="1"/>
  <c r="Q230" i="1"/>
  <c r="L231" i="1"/>
  <c r="P231" i="1"/>
  <c r="Q231" i="1"/>
  <c r="L232" i="1"/>
  <c r="P232" i="1"/>
  <c r="Q232" i="1"/>
  <c r="L233" i="1"/>
  <c r="P233" i="1"/>
  <c r="Q233" i="1"/>
  <c r="L234" i="1"/>
  <c r="P234" i="1"/>
  <c r="Q234" i="1"/>
  <c r="L235" i="1"/>
  <c r="P235" i="1"/>
  <c r="Q235" i="1"/>
  <c r="L236" i="1"/>
  <c r="P236" i="1"/>
  <c r="Q236" i="1"/>
  <c r="L237" i="1"/>
  <c r="P237" i="1"/>
  <c r="Q237" i="1"/>
  <c r="L238" i="1"/>
  <c r="P238" i="1"/>
  <c r="Q238" i="1"/>
  <c r="L239" i="1"/>
  <c r="P239" i="1"/>
  <c r="Q239" i="1"/>
  <c r="L240" i="1"/>
  <c r="P240" i="1"/>
  <c r="Q240" i="1"/>
  <c r="L241" i="1"/>
  <c r="P241" i="1"/>
  <c r="Q241" i="1"/>
  <c r="L242" i="1"/>
  <c r="P242" i="1"/>
  <c r="Q242" i="1"/>
  <c r="L243" i="1"/>
  <c r="P243" i="1"/>
  <c r="Q243" i="1"/>
  <c r="L244" i="1"/>
  <c r="P244" i="1"/>
  <c r="Q244" i="1"/>
  <c r="L245" i="1"/>
  <c r="P245" i="1"/>
  <c r="Q245" i="1"/>
  <c r="L246" i="1"/>
  <c r="P246" i="1"/>
  <c r="Q246" i="1"/>
  <c r="L247" i="1"/>
  <c r="P247" i="1"/>
  <c r="Q247" i="1"/>
  <c r="L248" i="1"/>
  <c r="P248" i="1"/>
  <c r="Q248" i="1"/>
  <c r="L249" i="1"/>
  <c r="P249" i="1"/>
  <c r="Q249" i="1"/>
  <c r="L250" i="1"/>
  <c r="P250" i="1"/>
  <c r="Q250" i="1"/>
  <c r="L251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L252" i="1"/>
  <c r="L253" i="1"/>
  <c r="L254" i="1"/>
  <c r="L255" i="1"/>
  <c r="L256" i="1"/>
  <c r="L257" i="1"/>
  <c r="Q422" i="1" l="1" a="1"/>
  <c r="Q422" i="1" s="1"/>
  <c r="P421" i="1"/>
  <c r="P422" i="1" a="1"/>
  <c r="P422" i="1" s="1"/>
  <c r="P420" i="1"/>
  <c r="Q420" i="1"/>
  <c r="Q421" i="1"/>
  <c r="L421" i="1"/>
  <c r="L422" i="1" a="1"/>
  <c r="L422" i="1" s="1"/>
  <c r="L4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<sst xmlns="http://schemas.openxmlformats.org/spreadsheetml/2006/main" count="442" uniqueCount="440">
  <si>
    <t xml:space="preserve"># </t>
  </si>
  <si>
    <t># The parameters defined in the project are:</t>
  </si>
  <si>
    <t>P2 - Thermal Condition Magnitude [C]</t>
  </si>
  <si>
    <t>P7 - B [degree]</t>
  </si>
  <si>
    <t>P13 - AnchorDisplacement X Component [mm]</t>
  </si>
  <si>
    <t>P14 - L [mm]</t>
  </si>
  <si>
    <t>P15 - w [mm]</t>
  </si>
  <si>
    <t>P3 - Directional Deformation Maximum [mm]</t>
  </si>
  <si>
    <t>P5 - Solid Volume [mm^3]</t>
  </si>
  <si>
    <t>P6 - Equivalent Stress Maximum [MPa]</t>
  </si>
  <si>
    <t># The following header line defines the name of the columns by reference to the parameters.</t>
  </si>
  <si>
    <t>Name</t>
  </si>
  <si>
    <t>P2</t>
  </si>
  <si>
    <t>P7</t>
  </si>
  <si>
    <t>P13</t>
  </si>
  <si>
    <t>P14</t>
  </si>
  <si>
    <t>P15</t>
  </si>
  <si>
    <t>P3</t>
  </si>
  <si>
    <t>P5</t>
  </si>
  <si>
    <t>P6</t>
  </si>
  <si>
    <t>DP 0</t>
  </si>
  <si>
    <t>DP 1</t>
  </si>
  <si>
    <t>DP 2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</si>
  <si>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</si>
  <si>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</si>
  <si>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</si>
  <si>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</si>
  <si>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</si>
  <si>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</si>
  <si>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</si>
  <si>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</si>
  <si>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</si>
  <si>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</si>
  <si>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</si>
  <si>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</si>
  <si>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</si>
  <si>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</si>
  <si>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</si>
  <si>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</si>
  <si>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19</t>
  </si>
  <si>
    <t>DP 20</t>
  </si>
  <si>
    <t>DP 21</t>
  </si>
  <si>
    <t>DP 22</t>
  </si>
  <si>
    <t>DP 23</t>
  </si>
  <si>
    <t>DP 24</t>
  </si>
  <si>
    <t>DP 25</t>
  </si>
  <si>
    <t>DP 26</t>
  </si>
  <si>
    <t>DP 27</t>
  </si>
  <si>
    <t>DP 28</t>
  </si>
  <si>
    <t>DP 29</t>
  </si>
  <si>
    <t>DP 30</t>
  </si>
  <si>
    <t>DP 31</t>
  </si>
  <si>
    <t>DP 32</t>
  </si>
  <si>
    <t>DP 33</t>
  </si>
  <si>
    <t>DP 34</t>
  </si>
  <si>
    <t>DP 35</t>
  </si>
  <si>
    <t>DP 36</t>
  </si>
  <si>
    <t>DP 37</t>
  </si>
  <si>
    <t>DP 38</t>
  </si>
  <si>
    <t>DP 39</t>
  </si>
  <si>
    <t>DP 40</t>
  </si>
  <si>
    <t>DP 41</t>
  </si>
  <si>
    <t>DP 42</t>
  </si>
  <si>
    <t>DP 43</t>
  </si>
  <si>
    <t>DP 44</t>
  </si>
  <si>
    <t>DP 45</t>
  </si>
  <si>
    <t>DP 46</t>
  </si>
  <si>
    <t>DP 47</t>
  </si>
  <si>
    <t>DP 48</t>
  </si>
  <si>
    <t>DP 49</t>
  </si>
  <si>
    <t>DP 50</t>
  </si>
  <si>
    <t>DP 51</t>
  </si>
  <si>
    <t>DP 52</t>
  </si>
  <si>
    <t>DP 53</t>
  </si>
  <si>
    <t>DP 54</t>
  </si>
  <si>
    <t>DP 55</t>
  </si>
  <si>
    <t>DP 56</t>
  </si>
  <si>
    <t>DP 57</t>
  </si>
  <si>
    <t>DP 58</t>
  </si>
  <si>
    <t>DP 59</t>
  </si>
  <si>
    <t>DP 60</t>
  </si>
  <si>
    <t>DP 61</t>
  </si>
  <si>
    <t>DP 62</t>
  </si>
  <si>
    <t>DP 63</t>
  </si>
  <si>
    <t>DP 64</t>
  </si>
  <si>
    <t>DP 65</t>
  </si>
  <si>
    <t>DP 66</t>
  </si>
  <si>
    <t>DP 67</t>
  </si>
  <si>
    <t>DP 68</t>
  </si>
  <si>
    <t>DP 69</t>
  </si>
  <si>
    <t>DP 70</t>
  </si>
  <si>
    <t>DP 71</t>
  </si>
  <si>
    <t>DP 72</t>
  </si>
  <si>
    <t>DP 73</t>
  </si>
  <si>
    <t>DP 74</t>
  </si>
  <si>
    <t>DP 75</t>
  </si>
  <si>
    <t>DP 76</t>
  </si>
  <si>
    <t>DP 77</t>
  </si>
  <si>
    <t>DP 78</t>
  </si>
  <si>
    <t>DP 79</t>
  </si>
  <si>
    <t>DP 80</t>
  </si>
  <si>
    <t>DP 81</t>
  </si>
  <si>
    <t>DP 82</t>
  </si>
  <si>
    <t>DP 83</t>
  </si>
  <si>
    <t>DP 84</t>
  </si>
  <si>
    <t>DP 85</t>
  </si>
  <si>
    <t>DP 86</t>
  </si>
  <si>
    <t>DP 87</t>
  </si>
  <si>
    <t>DP 88</t>
  </si>
  <si>
    <t>DP 89</t>
  </si>
  <si>
    <t>DP 90</t>
  </si>
  <si>
    <t>DP 91</t>
  </si>
  <si>
    <t>DP 92</t>
  </si>
  <si>
    <t>DP 93</t>
  </si>
  <si>
    <t>DP 94</t>
  </si>
  <si>
    <t>DP 95</t>
  </si>
  <si>
    <t>DP 96</t>
  </si>
  <si>
    <t>DP 97</t>
  </si>
  <si>
    <t>DP 98</t>
  </si>
  <si>
    <t>DP 99</t>
  </si>
  <si>
    <t>DP 100</t>
  </si>
  <si>
    <t>DP 101</t>
  </si>
  <si>
    <t>DP 102</t>
  </si>
  <si>
    <t>DP 103</t>
  </si>
  <si>
    <t>DP 104</t>
  </si>
  <si>
    <t>DP 105</t>
  </si>
  <si>
    <t>DP 106</t>
  </si>
  <si>
    <t>DP 107</t>
  </si>
  <si>
    <t>DP 108</t>
  </si>
  <si>
    <t>DP 109</t>
  </si>
  <si>
    <t>DP 110</t>
  </si>
  <si>
    <t>DP 111</t>
  </si>
  <si>
    <t>DP 112</t>
  </si>
  <si>
    <t>DP 113</t>
  </si>
  <si>
    <t>DP 114</t>
  </si>
  <si>
    <t>DP 115</t>
  </si>
  <si>
    <t>DP 116</t>
  </si>
  <si>
    <t>DP 117</t>
  </si>
  <si>
    <t>DP 118</t>
  </si>
  <si>
    <t>DP 119</t>
  </si>
  <si>
    <t>DP 120</t>
  </si>
  <si>
    <t>DP 121</t>
  </si>
  <si>
    <t>DP 122</t>
  </si>
  <si>
    <t>DP 123</t>
  </si>
  <si>
    <t>DP 124</t>
  </si>
  <si>
    <t>DP 125</t>
  </si>
  <si>
    <t>DP 126</t>
  </si>
  <si>
    <t>DP 127</t>
  </si>
  <si>
    <t>DP 128</t>
  </si>
  <si>
    <t>DP 129</t>
  </si>
  <si>
    <t>DP 130</t>
  </si>
  <si>
    <t>DP 131</t>
  </si>
  <si>
    <t>DP 132</t>
  </si>
  <si>
    <t>DP 133</t>
  </si>
  <si>
    <t>DP 134</t>
  </si>
  <si>
    <t>DP 135</t>
  </si>
  <si>
    <t>DP 136</t>
  </si>
  <si>
    <t>DP 137</t>
  </si>
  <si>
    <t>DP 138</t>
  </si>
  <si>
    <t>DP 139</t>
  </si>
  <si>
    <t>DP 140</t>
  </si>
  <si>
    <t>DP 141</t>
  </si>
  <si>
    <t>DP 142</t>
  </si>
  <si>
    <t>DP 143</t>
  </si>
  <si>
    <t>DP 144</t>
  </si>
  <si>
    <t>DP 145</t>
  </si>
  <si>
    <t>DP 146</t>
  </si>
  <si>
    <t>DP 147</t>
  </si>
  <si>
    <t>DP 148</t>
  </si>
  <si>
    <t>DP 149</t>
  </si>
  <si>
    <t>DP 150</t>
  </si>
  <si>
    <t>DP 151</t>
  </si>
  <si>
    <t>DP 152</t>
  </si>
  <si>
    <t>DP 153</t>
  </si>
  <si>
    <t>DP 154</t>
  </si>
  <si>
    <t>DP 155</t>
  </si>
  <si>
    <t>DP 156</t>
  </si>
  <si>
    <t>DP 157</t>
  </si>
  <si>
    <t>DP 158</t>
  </si>
  <si>
    <t>DP 159</t>
  </si>
  <si>
    <t>DP 160</t>
  </si>
  <si>
    <t>DP 161</t>
  </si>
  <si>
    <t>DP 162</t>
  </si>
  <si>
    <t>DP 163</t>
  </si>
  <si>
    <t>DP 164</t>
  </si>
  <si>
    <t>DP 165</t>
  </si>
  <si>
    <t>DP 166</t>
  </si>
  <si>
    <t>DP 167</t>
  </si>
  <si>
    <t>DP 168</t>
  </si>
  <si>
    <t>DP 169</t>
  </si>
  <si>
    <t>DP 170</t>
  </si>
  <si>
    <t>DP 171</t>
  </si>
  <si>
    <t>DP 172</t>
  </si>
  <si>
    <t>DP 173</t>
  </si>
  <si>
    <t>DP 174</t>
  </si>
  <si>
    <t>DP 175</t>
  </si>
  <si>
    <t>DP 176</t>
  </si>
  <si>
    <t>DP 177</t>
  </si>
  <si>
    <t>DP 178</t>
  </si>
  <si>
    <t>DP 179</t>
  </si>
  <si>
    <t>DP 180</t>
  </si>
  <si>
    <t>DP 181</t>
  </si>
  <si>
    <t>DP 182</t>
  </si>
  <si>
    <t>DP 183</t>
  </si>
  <si>
    <t>DP 184</t>
  </si>
  <si>
    <t>DP 185</t>
  </si>
  <si>
    <t>DP 186</t>
  </si>
  <si>
    <t>DP 187</t>
  </si>
  <si>
    <t>DP 188</t>
  </si>
  <si>
    <t>DP 189</t>
  </si>
  <si>
    <t>DP 190</t>
  </si>
  <si>
    <t>DP 191</t>
  </si>
  <si>
    <t>DP 192</t>
  </si>
  <si>
    <t>DP 193</t>
  </si>
  <si>
    <t>DP 194</t>
  </si>
  <si>
    <t>DP 195</t>
  </si>
  <si>
    <t>DP 196</t>
  </si>
  <si>
    <t>DP 197</t>
  </si>
  <si>
    <t>DP 198</t>
  </si>
  <si>
    <t>DP 199</t>
  </si>
  <si>
    <t>Relative Error [%]</t>
  </si>
  <si>
    <t>min</t>
  </si>
  <si>
    <t>max</t>
  </si>
  <si>
    <t>MeanAbsError</t>
  </si>
  <si>
    <t>DP 200</t>
  </si>
  <si>
    <t>DP 201</t>
  </si>
  <si>
    <t>DP 202</t>
  </si>
  <si>
    <t>DP 203</t>
  </si>
  <si>
    <t>DP 204</t>
  </si>
  <si>
    <t>DP 205</t>
  </si>
  <si>
    <t>DP 206</t>
  </si>
  <si>
    <t>DP 207</t>
  </si>
  <si>
    <t>DP 208</t>
  </si>
  <si>
    <t>DP 209</t>
  </si>
  <si>
    <t>DP 210</t>
  </si>
  <si>
    <t>DP 211</t>
  </si>
  <si>
    <t>DP 212</t>
  </si>
  <si>
    <t>DP 213</t>
  </si>
  <si>
    <t>DP 214</t>
  </si>
  <si>
    <t>DP 215</t>
  </si>
  <si>
    <t>DP 216</t>
  </si>
  <si>
    <t>DP 217</t>
  </si>
  <si>
    <t>DP 218</t>
  </si>
  <si>
    <t>DP 219</t>
  </si>
  <si>
    <t>DP 220</t>
  </si>
  <si>
    <t>DP 221</t>
  </si>
  <si>
    <t>DP 222</t>
  </si>
  <si>
    <t>DP 223</t>
  </si>
  <si>
    <t>DP 224</t>
  </si>
  <si>
    <t>DP 225</t>
  </si>
  <si>
    <t>DP 226</t>
  </si>
  <si>
    <t>DP 227</t>
  </si>
  <si>
    <t>DP 228</t>
  </si>
  <si>
    <t>DP 229</t>
  </si>
  <si>
    <t>DP 230</t>
  </si>
  <si>
    <t>DP 231</t>
  </si>
  <si>
    <t>DP 232</t>
  </si>
  <si>
    <t>DP 233</t>
  </si>
  <si>
    <t>DP 234</t>
  </si>
  <si>
    <t>DP 235</t>
  </si>
  <si>
    <t>DP 236</t>
  </si>
  <si>
    <t>DP 237</t>
  </si>
  <si>
    <t>DP 238</t>
  </si>
  <si>
    <t>DP 239</t>
  </si>
  <si>
    <t>DP 240</t>
  </si>
  <si>
    <t>DP 241</t>
  </si>
  <si>
    <t>DP 242</t>
  </si>
  <si>
    <t>DP 243</t>
  </si>
  <si>
    <t>DP 244</t>
  </si>
  <si>
    <t>DP 245</t>
  </si>
  <si>
    <t>DP 246</t>
  </si>
  <si>
    <t>DP 247</t>
  </si>
  <si>
    <t>DP 248</t>
  </si>
  <si>
    <t>DP 249</t>
  </si>
  <si>
    <t>Pred Stress [MPa]</t>
  </si>
  <si>
    <t>Pred Volume [mm3]</t>
  </si>
  <si>
    <t>Target Displacement [mm]</t>
  </si>
  <si>
    <t>Stress Relative Error [%]</t>
  </si>
  <si>
    <t>Volume Relative Error [%]</t>
  </si>
  <si>
    <t>DP 250</t>
  </si>
  <si>
    <t>DP 251</t>
  </si>
  <si>
    <t>DP 252</t>
  </si>
  <si>
    <t>DP 253</t>
  </si>
  <si>
    <t>DP 254</t>
  </si>
  <si>
    <t>DP 255</t>
  </si>
  <si>
    <t>DP 256</t>
  </si>
  <si>
    <t>DP 257</t>
  </si>
  <si>
    <t>DP 258</t>
  </si>
  <si>
    <t>DP 259</t>
  </si>
  <si>
    <t>DP 260</t>
  </si>
  <si>
    <t>DP 261</t>
  </si>
  <si>
    <t>DP 262</t>
  </si>
  <si>
    <t>DP 263</t>
  </si>
  <si>
    <t>DP 264</t>
  </si>
  <si>
    <t>DP 265</t>
  </si>
  <si>
    <t>DP 266</t>
  </si>
  <si>
    <t>DP 267</t>
  </si>
  <si>
    <t>DP 268</t>
  </si>
  <si>
    <t>DP 269</t>
  </si>
  <si>
    <t>DP 270</t>
  </si>
  <si>
    <t>DP 271</t>
  </si>
  <si>
    <t>DP 272</t>
  </si>
  <si>
    <t>DP 273</t>
  </si>
  <si>
    <t>DP 274</t>
  </si>
  <si>
    <t>DP 275</t>
  </si>
  <si>
    <t>DP 276</t>
  </si>
  <si>
    <t>DP 277</t>
  </si>
  <si>
    <t>DP 278</t>
  </si>
  <si>
    <t>DP 279</t>
  </si>
  <si>
    <t>DP 280</t>
  </si>
  <si>
    <t>DP 281</t>
  </si>
  <si>
    <t>DP 282</t>
  </si>
  <si>
    <t>DP 283</t>
  </si>
  <si>
    <t>DP 284</t>
  </si>
  <si>
    <t>DP 285</t>
  </si>
  <si>
    <t>DP 286</t>
  </si>
  <si>
    <t>DP 287</t>
  </si>
  <si>
    <t>DP 288</t>
  </si>
  <si>
    <t>DP 289</t>
  </si>
  <si>
    <t>DP 290</t>
  </si>
  <si>
    <t>DP 291</t>
  </si>
  <si>
    <t>DP 292</t>
  </si>
  <si>
    <t>DP 293</t>
  </si>
  <si>
    <t>DP 294</t>
  </si>
  <si>
    <t>DP 295</t>
  </si>
  <si>
    <t>DP 296</t>
  </si>
  <si>
    <t>DP 297</t>
  </si>
  <si>
    <t>DP 298</t>
  </si>
  <si>
    <t>DP 299</t>
  </si>
  <si>
    <t>DP 300</t>
  </si>
  <si>
    <t>DP 301</t>
  </si>
  <si>
    <t>DP 302</t>
  </si>
  <si>
    <t>DP 303</t>
  </si>
  <si>
    <t>DP 304</t>
  </si>
  <si>
    <t>DP 305</t>
  </si>
  <si>
    <t>DP 306</t>
  </si>
  <si>
    <t>DP 307</t>
  </si>
  <si>
    <t>DP 308</t>
  </si>
  <si>
    <t>DP 309</t>
  </si>
  <si>
    <t>DP 310</t>
  </si>
  <si>
    <t>DP 311</t>
  </si>
  <si>
    <t>DP 312</t>
  </si>
  <si>
    <t>DP 313</t>
  </si>
  <si>
    <t>DP 314</t>
  </si>
  <si>
    <t>DP 315</t>
  </si>
  <si>
    <t>DP 316</t>
  </si>
  <si>
    <t>DP 317</t>
  </si>
  <si>
    <t>DP 318</t>
  </si>
  <si>
    <t>DP 319</t>
  </si>
  <si>
    <t>DP 320</t>
  </si>
  <si>
    <t>DP 321</t>
  </si>
  <si>
    <t>DP 322</t>
  </si>
  <si>
    <t>DP 323</t>
  </si>
  <si>
    <t>DP 324</t>
  </si>
  <si>
    <t>DP 325</t>
  </si>
  <si>
    <t>DP 326</t>
  </si>
  <si>
    <t>DP 327</t>
  </si>
  <si>
    <t>DP 328</t>
  </si>
  <si>
    <t>DP 329</t>
  </si>
  <si>
    <t>DP 330</t>
  </si>
  <si>
    <t>DP 331</t>
  </si>
  <si>
    <t>DP 332</t>
  </si>
  <si>
    <t>DP 333</t>
  </si>
  <si>
    <t>DP 334</t>
  </si>
  <si>
    <t>DP 335</t>
  </si>
  <si>
    <t>DP 336</t>
  </si>
  <si>
    <t>DP 337</t>
  </si>
  <si>
    <t>DP 338</t>
  </si>
  <si>
    <t>DP 339</t>
  </si>
  <si>
    <t>DP 340</t>
  </si>
  <si>
    <t>DP 341</t>
  </si>
  <si>
    <t>DP 342</t>
  </si>
  <si>
    <t>DP 343</t>
  </si>
  <si>
    <t>DP 344</t>
  </si>
  <si>
    <t>DP 345</t>
  </si>
  <si>
    <t>DP 346</t>
  </si>
  <si>
    <t>DP 347</t>
  </si>
  <si>
    <t>DP 348</t>
  </si>
  <si>
    <t>DP 349</t>
  </si>
  <si>
    <t>DP 350</t>
  </si>
  <si>
    <t>DP 351</t>
  </si>
  <si>
    <t>DP 352</t>
  </si>
  <si>
    <t>DP 353</t>
  </si>
  <si>
    <t>DP 354</t>
  </si>
  <si>
    <t>DP 355</t>
  </si>
  <si>
    <t>DP 356</t>
  </si>
  <si>
    <t>DP 357</t>
  </si>
  <si>
    <t>DP 358</t>
  </si>
  <si>
    <t>DP 359</t>
  </si>
  <si>
    <t>DP 360</t>
  </si>
  <si>
    <t>DP 361</t>
  </si>
  <si>
    <t>DP 362</t>
  </si>
  <si>
    <t>DP 363</t>
  </si>
  <si>
    <t>DP 364</t>
  </si>
  <si>
    <t>DP 365</t>
  </si>
  <si>
    <t>DP 366</t>
  </si>
  <si>
    <t>DP 367</t>
  </si>
  <si>
    <t>DP 368</t>
  </si>
  <si>
    <t>DP 369</t>
  </si>
  <si>
    <t>DP 370</t>
  </si>
  <si>
    <t>DP 371</t>
  </si>
  <si>
    <t>DP 372</t>
  </si>
  <si>
    <t>DP 373</t>
  </si>
  <si>
    <t>DP 374</t>
  </si>
  <si>
    <t>DP 375</t>
  </si>
  <si>
    <t>DP 376</t>
  </si>
  <si>
    <t>DP 377</t>
  </si>
  <si>
    <t>DP 378</t>
  </si>
  <si>
    <t>DP 379</t>
  </si>
  <si>
    <t>DP 380</t>
  </si>
  <si>
    <t>DP 381</t>
  </si>
  <si>
    <t>DP 382</t>
  </si>
  <si>
    <t>DP 383</t>
  </si>
  <si>
    <t>DP 384</t>
  </si>
  <si>
    <t>DP 385</t>
  </si>
  <si>
    <t>DP 386</t>
  </si>
  <si>
    <t>DP 387</t>
  </si>
  <si>
    <t>DP 388</t>
  </si>
  <si>
    <t>DP 389</t>
  </si>
  <si>
    <t>DP 390</t>
  </si>
  <si>
    <t>DP 391</t>
  </si>
  <si>
    <t>DP 392</t>
  </si>
  <si>
    <t>DP 393</t>
  </si>
  <si>
    <t>DP 394</t>
  </si>
  <si>
    <t>DP 395</t>
  </si>
  <si>
    <t>DP 396</t>
  </si>
  <si>
    <t>DP 397</t>
  </si>
  <si>
    <t>DP 398</t>
  </si>
  <si>
    <t>DP 399</t>
  </si>
  <si>
    <t>DP 400</t>
  </si>
  <si>
    <t>DP 401</t>
  </si>
  <si>
    <t>DP 402</t>
  </si>
  <si>
    <t>DP 403</t>
  </si>
  <si>
    <t>DP 404</t>
  </si>
  <si>
    <t>DP 405</t>
  </si>
  <si>
    <t>DP 406</t>
  </si>
  <si>
    <t>DP 407</t>
  </si>
  <si>
    <t>DP 408</t>
  </si>
  <si>
    <t>DP 409</t>
  </si>
  <si>
    <t># 05/24/2026 09:21:44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</si>
</sst>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 vs Error</a:t>
            </a:r>
          </a:p>
        </c:rich>
      </c:tx>
      <c:layout>
        <c:manualLayout>
          <c:xMode val="edge"/>
          <c:yMode val="edge"/>
          <c:x val="0.422979002624671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'1'!$B$8:$B$257</c:f>
              <c:numCache>
                <c:formatCode>General</c:formatCode>
                <c:ptCount val="250"/>
                <c:pt idx="0">
                  <c:v>42.5</c:v>
                </c:pt>
                <c:pt idx="1">
                  <c:v>81.8</c:v>
                </c:pt>
                <c:pt idx="2">
                  <c:v>48.8</c:v>
                </c:pt>
                <c:pt idx="3">
                  <c:v>68.5</c:v>
                </c:pt>
                <c:pt idx="4">
                  <c:v>56.7</c:v>
                </c:pt>
                <c:pt idx="5">
                  <c:v>78.900000000000006</c:v>
                </c:pt>
                <c:pt idx="6">
                  <c:v>79</c:v>
                </c:pt>
                <c:pt idx="7">
                  <c:v>58.8</c:v>
                </c:pt>
                <c:pt idx="8">
                  <c:v>59.4</c:v>
                </c:pt>
                <c:pt idx="9">
                  <c:v>62.6</c:v>
                </c:pt>
                <c:pt idx="10">
                  <c:v>42.8</c:v>
                </c:pt>
                <c:pt idx="11">
                  <c:v>59.7</c:v>
                </c:pt>
                <c:pt idx="12">
                  <c:v>40.700000000000003</c:v>
                </c:pt>
                <c:pt idx="13">
                  <c:v>72.099999999999994</c:v>
                </c:pt>
                <c:pt idx="14">
                  <c:v>58.3</c:v>
                </c:pt>
                <c:pt idx="15">
                  <c:v>56.8</c:v>
                </c:pt>
                <c:pt idx="16">
                  <c:v>51.3</c:v>
                </c:pt>
                <c:pt idx="17">
                  <c:v>86.8</c:v>
                </c:pt>
                <c:pt idx="18">
                  <c:v>70.5</c:v>
                </c:pt>
                <c:pt idx="19">
                  <c:v>49.6</c:v>
                </c:pt>
                <c:pt idx="20">
                  <c:v>68.7</c:v>
                </c:pt>
                <c:pt idx="21">
                  <c:v>53.5</c:v>
                </c:pt>
                <c:pt idx="22">
                  <c:v>55.3</c:v>
                </c:pt>
                <c:pt idx="23">
                  <c:v>40.1</c:v>
                </c:pt>
                <c:pt idx="24">
                  <c:v>58.6</c:v>
                </c:pt>
                <c:pt idx="25">
                  <c:v>43.4</c:v>
                </c:pt>
                <c:pt idx="26">
                  <c:v>83.9</c:v>
                </c:pt>
                <c:pt idx="27">
                  <c:v>59.9</c:v>
                </c:pt>
                <c:pt idx="28">
                  <c:v>83.8</c:v>
                </c:pt>
                <c:pt idx="29">
                  <c:v>89.9</c:v>
                </c:pt>
                <c:pt idx="30">
                  <c:v>85.8</c:v>
                </c:pt>
                <c:pt idx="31">
                  <c:v>59.4</c:v>
                </c:pt>
                <c:pt idx="32">
                  <c:v>62.1</c:v>
                </c:pt>
                <c:pt idx="33">
                  <c:v>61.7</c:v>
                </c:pt>
                <c:pt idx="34">
                  <c:v>50.6</c:v>
                </c:pt>
                <c:pt idx="35">
                  <c:v>70.400000000000006</c:v>
                </c:pt>
                <c:pt idx="36">
                  <c:v>75.099999999999994</c:v>
                </c:pt>
                <c:pt idx="37">
                  <c:v>89.6</c:v>
                </c:pt>
                <c:pt idx="38">
                  <c:v>45.8</c:v>
                </c:pt>
                <c:pt idx="39">
                  <c:v>50.3</c:v>
                </c:pt>
                <c:pt idx="40">
                  <c:v>66.099999999999994</c:v>
                </c:pt>
                <c:pt idx="41">
                  <c:v>81</c:v>
                </c:pt>
                <c:pt idx="42">
                  <c:v>79.900000000000006</c:v>
                </c:pt>
                <c:pt idx="43">
                  <c:v>58.3</c:v>
                </c:pt>
                <c:pt idx="44">
                  <c:v>50.2</c:v>
                </c:pt>
                <c:pt idx="45">
                  <c:v>85.1</c:v>
                </c:pt>
                <c:pt idx="46">
                  <c:v>81.8</c:v>
                </c:pt>
                <c:pt idx="47">
                  <c:v>62.6</c:v>
                </c:pt>
                <c:pt idx="48">
                  <c:v>50.8</c:v>
                </c:pt>
                <c:pt idx="49">
                  <c:v>42.9</c:v>
                </c:pt>
                <c:pt idx="50">
                  <c:v>72.5</c:v>
                </c:pt>
                <c:pt idx="51">
                  <c:v>84</c:v>
                </c:pt>
                <c:pt idx="52">
                  <c:v>74.8</c:v>
                </c:pt>
                <c:pt idx="53">
                  <c:v>40.299999999999997</c:v>
                </c:pt>
                <c:pt idx="54">
                  <c:v>45.1</c:v>
                </c:pt>
                <c:pt idx="55">
                  <c:v>62.9</c:v>
                </c:pt>
                <c:pt idx="56">
                  <c:v>46.6</c:v>
                </c:pt>
                <c:pt idx="57">
                  <c:v>72.2</c:v>
                </c:pt>
                <c:pt idx="58">
                  <c:v>46.6</c:v>
                </c:pt>
                <c:pt idx="59">
                  <c:v>87.6</c:v>
                </c:pt>
                <c:pt idx="60">
                  <c:v>51.7</c:v>
                </c:pt>
                <c:pt idx="61">
                  <c:v>43.7</c:v>
                </c:pt>
                <c:pt idx="62">
                  <c:v>53</c:v>
                </c:pt>
                <c:pt idx="63">
                  <c:v>52.2</c:v>
                </c:pt>
                <c:pt idx="64">
                  <c:v>60</c:v>
                </c:pt>
                <c:pt idx="65">
                  <c:v>66.900000000000006</c:v>
                </c:pt>
                <c:pt idx="66">
                  <c:v>75.5</c:v>
                </c:pt>
                <c:pt idx="67">
                  <c:v>56.6</c:v>
                </c:pt>
                <c:pt idx="68">
                  <c:v>75.400000000000006</c:v>
                </c:pt>
                <c:pt idx="69">
                  <c:v>62.8</c:v>
                </c:pt>
                <c:pt idx="70">
                  <c:v>67.099999999999994</c:v>
                </c:pt>
                <c:pt idx="71">
                  <c:v>53.9</c:v>
                </c:pt>
                <c:pt idx="72">
                  <c:v>73</c:v>
                </c:pt>
                <c:pt idx="73">
                  <c:v>53.5</c:v>
                </c:pt>
                <c:pt idx="74">
                  <c:v>51.9</c:v>
                </c:pt>
                <c:pt idx="75">
                  <c:v>81.2</c:v>
                </c:pt>
                <c:pt idx="76">
                  <c:v>49.6</c:v>
                </c:pt>
                <c:pt idx="77">
                  <c:v>67.400000000000006</c:v>
                </c:pt>
                <c:pt idx="78">
                  <c:v>62.4</c:v>
                </c:pt>
                <c:pt idx="79">
                  <c:v>49</c:v>
                </c:pt>
                <c:pt idx="80">
                  <c:v>72.7</c:v>
                </c:pt>
                <c:pt idx="81">
                  <c:v>61.4</c:v>
                </c:pt>
                <c:pt idx="82">
                  <c:v>58.2</c:v>
                </c:pt>
                <c:pt idx="83">
                  <c:v>42.9</c:v>
                </c:pt>
                <c:pt idx="84">
                  <c:v>59</c:v>
                </c:pt>
                <c:pt idx="85">
                  <c:v>63.8</c:v>
                </c:pt>
                <c:pt idx="86">
                  <c:v>65</c:v>
                </c:pt>
                <c:pt idx="87">
                  <c:v>54.1</c:v>
                </c:pt>
                <c:pt idx="88">
                  <c:v>49.2</c:v>
                </c:pt>
                <c:pt idx="89">
                  <c:v>84.7</c:v>
                </c:pt>
                <c:pt idx="90">
                  <c:v>86</c:v>
                </c:pt>
                <c:pt idx="91">
                  <c:v>89.9</c:v>
                </c:pt>
                <c:pt idx="92">
                  <c:v>53.3</c:v>
                </c:pt>
                <c:pt idx="93">
                  <c:v>59.9</c:v>
                </c:pt>
                <c:pt idx="94">
                  <c:v>89.5</c:v>
                </c:pt>
                <c:pt idx="95">
                  <c:v>53.5</c:v>
                </c:pt>
                <c:pt idx="96">
                  <c:v>89.7</c:v>
                </c:pt>
                <c:pt idx="97">
                  <c:v>59.7</c:v>
                </c:pt>
                <c:pt idx="98">
                  <c:v>70.7</c:v>
                </c:pt>
                <c:pt idx="99">
                  <c:v>45.4</c:v>
                </c:pt>
                <c:pt idx="100">
                  <c:v>81.599999999999994</c:v>
                </c:pt>
                <c:pt idx="101">
                  <c:v>89.9</c:v>
                </c:pt>
                <c:pt idx="102">
                  <c:v>70.7</c:v>
                </c:pt>
                <c:pt idx="103">
                  <c:v>85.8</c:v>
                </c:pt>
                <c:pt idx="104">
                  <c:v>83</c:v>
                </c:pt>
                <c:pt idx="105">
                  <c:v>72.2</c:v>
                </c:pt>
                <c:pt idx="106">
                  <c:v>60.1</c:v>
                </c:pt>
                <c:pt idx="107">
                  <c:v>75.7</c:v>
                </c:pt>
                <c:pt idx="108">
                  <c:v>57.2</c:v>
                </c:pt>
                <c:pt idx="109">
                  <c:v>53.6</c:v>
                </c:pt>
                <c:pt idx="110">
                  <c:v>47.3</c:v>
                </c:pt>
                <c:pt idx="111">
                  <c:v>61.2</c:v>
                </c:pt>
                <c:pt idx="112">
                  <c:v>44.7</c:v>
                </c:pt>
                <c:pt idx="113">
                  <c:v>51.2</c:v>
                </c:pt>
                <c:pt idx="114">
                  <c:v>61.6</c:v>
                </c:pt>
                <c:pt idx="115">
                  <c:v>50.6</c:v>
                </c:pt>
                <c:pt idx="116">
                  <c:v>55</c:v>
                </c:pt>
                <c:pt idx="117">
                  <c:v>77.3</c:v>
                </c:pt>
                <c:pt idx="118">
                  <c:v>46.3</c:v>
                </c:pt>
                <c:pt idx="119">
                  <c:v>57.1</c:v>
                </c:pt>
                <c:pt idx="120">
                  <c:v>71.400000000000006</c:v>
                </c:pt>
                <c:pt idx="121">
                  <c:v>68.3</c:v>
                </c:pt>
                <c:pt idx="122">
                  <c:v>62.4</c:v>
                </c:pt>
                <c:pt idx="123">
                  <c:v>59.4</c:v>
                </c:pt>
                <c:pt idx="124">
                  <c:v>65.2</c:v>
                </c:pt>
                <c:pt idx="125">
                  <c:v>43.2</c:v>
                </c:pt>
                <c:pt idx="126">
                  <c:v>66.900000000000006</c:v>
                </c:pt>
                <c:pt idx="127">
                  <c:v>60</c:v>
                </c:pt>
                <c:pt idx="128">
                  <c:v>57.5</c:v>
                </c:pt>
                <c:pt idx="129">
                  <c:v>62.9</c:v>
                </c:pt>
                <c:pt idx="130">
                  <c:v>73.900000000000006</c:v>
                </c:pt>
                <c:pt idx="131">
                  <c:v>65.099999999999994</c:v>
                </c:pt>
                <c:pt idx="132">
                  <c:v>84</c:v>
                </c:pt>
                <c:pt idx="133">
                  <c:v>75.599999999999994</c:v>
                </c:pt>
                <c:pt idx="134">
                  <c:v>46.5</c:v>
                </c:pt>
                <c:pt idx="135">
                  <c:v>45.1</c:v>
                </c:pt>
                <c:pt idx="136">
                  <c:v>49</c:v>
                </c:pt>
                <c:pt idx="137">
                  <c:v>69.3</c:v>
                </c:pt>
                <c:pt idx="138">
                  <c:v>80.400000000000006</c:v>
                </c:pt>
                <c:pt idx="139">
                  <c:v>45.2</c:v>
                </c:pt>
                <c:pt idx="140">
                  <c:v>66.2</c:v>
                </c:pt>
                <c:pt idx="141">
                  <c:v>76.3</c:v>
                </c:pt>
                <c:pt idx="142">
                  <c:v>59.5</c:v>
                </c:pt>
                <c:pt idx="143">
                  <c:v>57.5</c:v>
                </c:pt>
                <c:pt idx="144">
                  <c:v>56.7</c:v>
                </c:pt>
                <c:pt idx="145">
                  <c:v>73.2</c:v>
                </c:pt>
                <c:pt idx="146">
                  <c:v>76.400000000000006</c:v>
                </c:pt>
                <c:pt idx="147">
                  <c:v>70.400000000000006</c:v>
                </c:pt>
                <c:pt idx="148">
                  <c:v>54.9</c:v>
                </c:pt>
                <c:pt idx="149">
                  <c:v>73.3</c:v>
                </c:pt>
                <c:pt idx="150">
                  <c:v>69.2</c:v>
                </c:pt>
                <c:pt idx="151">
                  <c:v>85.9</c:v>
                </c:pt>
                <c:pt idx="152">
                  <c:v>56.7</c:v>
                </c:pt>
                <c:pt idx="153">
                  <c:v>71.3</c:v>
                </c:pt>
                <c:pt idx="154">
                  <c:v>83.1</c:v>
                </c:pt>
                <c:pt idx="155">
                  <c:v>63</c:v>
                </c:pt>
                <c:pt idx="156">
                  <c:v>86.9</c:v>
                </c:pt>
                <c:pt idx="157">
                  <c:v>64.900000000000006</c:v>
                </c:pt>
                <c:pt idx="158">
                  <c:v>67.8</c:v>
                </c:pt>
                <c:pt idx="159">
                  <c:v>58.2</c:v>
                </c:pt>
                <c:pt idx="160">
                  <c:v>82.1</c:v>
                </c:pt>
                <c:pt idx="161">
                  <c:v>65.599999999999994</c:v>
                </c:pt>
                <c:pt idx="162">
                  <c:v>69</c:v>
                </c:pt>
                <c:pt idx="163">
                  <c:v>42.1</c:v>
                </c:pt>
                <c:pt idx="164">
                  <c:v>87</c:v>
                </c:pt>
                <c:pt idx="165">
                  <c:v>79.599999999999994</c:v>
                </c:pt>
                <c:pt idx="166">
                  <c:v>70.2</c:v>
                </c:pt>
                <c:pt idx="167">
                  <c:v>49.3</c:v>
                </c:pt>
                <c:pt idx="168">
                  <c:v>54.9</c:v>
                </c:pt>
                <c:pt idx="169">
                  <c:v>76</c:v>
                </c:pt>
                <c:pt idx="170">
                  <c:v>78.099999999999994</c:v>
                </c:pt>
                <c:pt idx="171">
                  <c:v>75.3</c:v>
                </c:pt>
                <c:pt idx="172">
                  <c:v>47.2</c:v>
                </c:pt>
                <c:pt idx="173">
                  <c:v>68.900000000000006</c:v>
                </c:pt>
                <c:pt idx="174">
                  <c:v>86</c:v>
                </c:pt>
                <c:pt idx="175">
                  <c:v>43</c:v>
                </c:pt>
                <c:pt idx="176">
                  <c:v>44.2</c:v>
                </c:pt>
                <c:pt idx="177">
                  <c:v>40.799999999999997</c:v>
                </c:pt>
                <c:pt idx="178">
                  <c:v>61.2</c:v>
                </c:pt>
                <c:pt idx="179">
                  <c:v>78.900000000000006</c:v>
                </c:pt>
                <c:pt idx="180">
                  <c:v>70.900000000000006</c:v>
                </c:pt>
                <c:pt idx="181">
                  <c:v>72</c:v>
                </c:pt>
                <c:pt idx="182">
                  <c:v>83.5</c:v>
                </c:pt>
                <c:pt idx="183">
                  <c:v>73.2</c:v>
                </c:pt>
                <c:pt idx="184">
                  <c:v>45.8</c:v>
                </c:pt>
                <c:pt idx="185">
                  <c:v>57.3</c:v>
                </c:pt>
                <c:pt idx="186">
                  <c:v>76.900000000000006</c:v>
                </c:pt>
                <c:pt idx="187">
                  <c:v>62.6</c:v>
                </c:pt>
                <c:pt idx="188">
                  <c:v>79</c:v>
                </c:pt>
                <c:pt idx="189">
                  <c:v>43</c:v>
                </c:pt>
                <c:pt idx="190">
                  <c:v>45.9</c:v>
                </c:pt>
                <c:pt idx="191">
                  <c:v>41.8</c:v>
                </c:pt>
                <c:pt idx="192">
                  <c:v>41.7</c:v>
                </c:pt>
                <c:pt idx="193">
                  <c:v>46.9</c:v>
                </c:pt>
                <c:pt idx="194">
                  <c:v>49</c:v>
                </c:pt>
                <c:pt idx="195">
                  <c:v>52.8</c:v>
                </c:pt>
                <c:pt idx="196">
                  <c:v>45.6</c:v>
                </c:pt>
                <c:pt idx="197">
                  <c:v>59.8</c:v>
                </c:pt>
                <c:pt idx="198">
                  <c:v>77.8</c:v>
                </c:pt>
                <c:pt idx="199">
                  <c:v>83.7</c:v>
                </c:pt>
                <c:pt idx="200">
                  <c:v>41.3</c:v>
                </c:pt>
                <c:pt idx="201">
                  <c:v>44.2</c:v>
                </c:pt>
                <c:pt idx="202">
                  <c:v>54.2</c:v>
                </c:pt>
                <c:pt idx="203">
                  <c:v>52.6</c:v>
                </c:pt>
                <c:pt idx="204">
                  <c:v>67.900000000000006</c:v>
                </c:pt>
                <c:pt idx="205">
                  <c:v>57.6</c:v>
                </c:pt>
                <c:pt idx="206">
                  <c:v>56.3</c:v>
                </c:pt>
                <c:pt idx="207">
                  <c:v>62.6</c:v>
                </c:pt>
                <c:pt idx="208">
                  <c:v>74.900000000000006</c:v>
                </c:pt>
                <c:pt idx="209">
                  <c:v>54.2</c:v>
                </c:pt>
                <c:pt idx="210">
                  <c:v>61.3</c:v>
                </c:pt>
                <c:pt idx="211">
                  <c:v>68.900000000000006</c:v>
                </c:pt>
                <c:pt idx="212">
                  <c:v>72.900000000000006</c:v>
                </c:pt>
                <c:pt idx="213">
                  <c:v>75.599999999999994</c:v>
                </c:pt>
                <c:pt idx="214">
                  <c:v>67.5</c:v>
                </c:pt>
                <c:pt idx="215">
                  <c:v>66.5</c:v>
                </c:pt>
                <c:pt idx="216">
                  <c:v>80.8</c:v>
                </c:pt>
                <c:pt idx="217">
                  <c:v>61.4</c:v>
                </c:pt>
                <c:pt idx="218">
                  <c:v>67.3</c:v>
                </c:pt>
                <c:pt idx="219">
                  <c:v>57.3</c:v>
                </c:pt>
                <c:pt idx="220">
                  <c:v>71.400000000000006</c:v>
                </c:pt>
                <c:pt idx="221">
                  <c:v>47.6</c:v>
                </c:pt>
                <c:pt idx="222">
                  <c:v>65</c:v>
                </c:pt>
                <c:pt idx="223">
                  <c:v>75.7</c:v>
                </c:pt>
                <c:pt idx="224">
                  <c:v>46.5</c:v>
                </c:pt>
                <c:pt idx="225">
                  <c:v>87.3</c:v>
                </c:pt>
                <c:pt idx="226">
                  <c:v>57.3</c:v>
                </c:pt>
                <c:pt idx="227">
                  <c:v>68.8</c:v>
                </c:pt>
                <c:pt idx="228">
                  <c:v>46.5</c:v>
                </c:pt>
                <c:pt idx="229">
                  <c:v>70</c:v>
                </c:pt>
                <c:pt idx="230">
                  <c:v>87.2</c:v>
                </c:pt>
                <c:pt idx="231">
                  <c:v>88.1</c:v>
                </c:pt>
                <c:pt idx="232">
                  <c:v>71.5</c:v>
                </c:pt>
                <c:pt idx="233">
                  <c:v>83.7</c:v>
                </c:pt>
                <c:pt idx="234">
                  <c:v>79</c:v>
                </c:pt>
                <c:pt idx="235">
                  <c:v>78.400000000000006</c:v>
                </c:pt>
                <c:pt idx="236">
                  <c:v>77.2</c:v>
                </c:pt>
                <c:pt idx="237">
                  <c:v>71.900000000000006</c:v>
                </c:pt>
                <c:pt idx="238">
                  <c:v>41.8</c:v>
                </c:pt>
                <c:pt idx="239">
                  <c:v>60.9</c:v>
                </c:pt>
                <c:pt idx="240">
                  <c:v>43.1</c:v>
                </c:pt>
                <c:pt idx="241">
                  <c:v>68.8</c:v>
                </c:pt>
                <c:pt idx="242">
                  <c:v>62.7</c:v>
                </c:pt>
                <c:pt idx="243">
                  <c:v>40.200000000000003</c:v>
                </c:pt>
                <c:pt idx="244">
                  <c:v>84.9</c:v>
                </c:pt>
                <c:pt idx="245">
                  <c:v>65.099999999999994</c:v>
                </c:pt>
                <c:pt idx="246">
                  <c:v>50.4</c:v>
                </c:pt>
                <c:pt idx="247">
                  <c:v>65.099999999999994</c:v>
                </c:pt>
                <c:pt idx="248">
                  <c:v>43.1</c:v>
                </c:pt>
                <c:pt idx="249">
                  <c:v>79.7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-1.5933306757097747</c:v>
                </c:pt>
                <c:pt idx="1">
                  <c:v>1.1674652933031382</c:v>
                </c:pt>
                <c:pt idx="2">
                  <c:v>-2.9632769915513104</c:v>
                </c:pt>
                <c:pt idx="3">
                  <c:v>-4.1265406410988268</c:v>
                </c:pt>
                <c:pt idx="4">
                  <c:v>-1.8393385656311152</c:v>
                </c:pt>
                <c:pt idx="5">
                  <c:v>0.19427167479577967</c:v>
                </c:pt>
                <c:pt idx="6">
                  <c:v>0.64925282389737771</c:v>
                </c:pt>
                <c:pt idx="7">
                  <c:v>3.0624925643217988</c:v>
                </c:pt>
                <c:pt idx="8">
                  <c:v>6.0595388675910815</c:v>
                </c:pt>
                <c:pt idx="9">
                  <c:v>8.1586743449696915</c:v>
                </c:pt>
                <c:pt idx="10">
                  <c:v>6.3690280378693203</c:v>
                </c:pt>
                <c:pt idx="11">
                  <c:v>-7.9028640272852986</c:v>
                </c:pt>
                <c:pt idx="12">
                  <c:v>1.5904311529674273</c:v>
                </c:pt>
                <c:pt idx="13">
                  <c:v>13.938340457955736</c:v>
                </c:pt>
                <c:pt idx="14">
                  <c:v>1.5696098630500082</c:v>
                </c:pt>
                <c:pt idx="15">
                  <c:v>5.7479408257300575</c:v>
                </c:pt>
                <c:pt idx="16">
                  <c:v>0.25348474206502031</c:v>
                </c:pt>
                <c:pt idx="17">
                  <c:v>-0.38727774020833178</c:v>
                </c:pt>
                <c:pt idx="18">
                  <c:v>-0.30466870859461764</c:v>
                </c:pt>
                <c:pt idx="19">
                  <c:v>7.6359151207580149</c:v>
                </c:pt>
                <c:pt idx="20">
                  <c:v>1.5383860068824269</c:v>
                </c:pt>
                <c:pt idx="21">
                  <c:v>-3.69773657241051E-2</c:v>
                </c:pt>
                <c:pt idx="22">
                  <c:v>4.6568825747156639</c:v>
                </c:pt>
                <c:pt idx="23">
                  <c:v>10.50775564628654</c:v>
                </c:pt>
                <c:pt idx="24">
                  <c:v>2.7545066169370007</c:v>
                </c:pt>
                <c:pt idx="25">
                  <c:v>3.2923657754951421</c:v>
                </c:pt>
                <c:pt idx="26">
                  <c:v>-7.8611098662227111E-2</c:v>
                </c:pt>
                <c:pt idx="27">
                  <c:v>-2.687891192096191</c:v>
                </c:pt>
                <c:pt idx="28">
                  <c:v>-1.3575718794965064</c:v>
                </c:pt>
                <c:pt idx="29">
                  <c:v>-11.79587195292827</c:v>
                </c:pt>
                <c:pt idx="30">
                  <c:v>-0.28368888028567246</c:v>
                </c:pt>
                <c:pt idx="31">
                  <c:v>9.2441072984649839</c:v>
                </c:pt>
                <c:pt idx="32">
                  <c:v>1.4767471540517076</c:v>
                </c:pt>
                <c:pt idx="33">
                  <c:v>0.99856263408872847</c:v>
                </c:pt>
                <c:pt idx="34">
                  <c:v>-2.5530867753115807</c:v>
                </c:pt>
                <c:pt idx="35">
                  <c:v>-0.30825631845963503</c:v>
                </c:pt>
                <c:pt idx="36">
                  <c:v>7.2227663945470599</c:v>
                </c:pt>
                <c:pt idx="37">
                  <c:v>-4.534247652200416</c:v>
                </c:pt>
                <c:pt idx="38">
                  <c:v>-6.6017846558817466</c:v>
                </c:pt>
                <c:pt idx="39">
                  <c:v>2.6261949566927933</c:v>
                </c:pt>
                <c:pt idx="40">
                  <c:v>-4.7771892282593678</c:v>
                </c:pt>
                <c:pt idx="41">
                  <c:v>7.7528861682173416</c:v>
                </c:pt>
                <c:pt idx="42">
                  <c:v>-0.22936122382150823</c:v>
                </c:pt>
                <c:pt idx="43">
                  <c:v>8.2515110809990126</c:v>
                </c:pt>
                <c:pt idx="44">
                  <c:v>-4.2246132855309622</c:v>
                </c:pt>
                <c:pt idx="45">
                  <c:v>-1.7018655351116068</c:v>
                </c:pt>
                <c:pt idx="46">
                  <c:v>-2.6650124105219746</c:v>
                </c:pt>
                <c:pt idx="47">
                  <c:v>0.17916568292927168</c:v>
                </c:pt>
                <c:pt idx="48">
                  <c:v>-1.4283771836747645</c:v>
                </c:pt>
                <c:pt idx="49">
                  <c:v>2.5549058019818887</c:v>
                </c:pt>
                <c:pt idx="50">
                  <c:v>9.8760402589179179</c:v>
                </c:pt>
                <c:pt idx="51">
                  <c:v>-0.95256739887580699</c:v>
                </c:pt>
                <c:pt idx="52">
                  <c:v>-3.3139557139236895</c:v>
                </c:pt>
                <c:pt idx="53">
                  <c:v>3.2762227023770358</c:v>
                </c:pt>
                <c:pt idx="54">
                  <c:v>-4.9231555900008406</c:v>
                </c:pt>
                <c:pt idx="55">
                  <c:v>14.082101527715698</c:v>
                </c:pt>
                <c:pt idx="56">
                  <c:v>2.3461842929244154</c:v>
                </c:pt>
                <c:pt idx="57">
                  <c:v>-0.69877239566555993</c:v>
                </c:pt>
                <c:pt idx="58">
                  <c:v>1.951935278226731</c:v>
                </c:pt>
                <c:pt idx="59">
                  <c:v>-0.2642444467409617</c:v>
                </c:pt>
                <c:pt idx="60">
                  <c:v>-0.150233116904533</c:v>
                </c:pt>
                <c:pt idx="61">
                  <c:v>-3.208853642741115</c:v>
                </c:pt>
                <c:pt idx="62">
                  <c:v>-3.4213724768814111</c:v>
                </c:pt>
                <c:pt idx="63">
                  <c:v>0.53990300862665175</c:v>
                </c:pt>
                <c:pt idx="64">
                  <c:v>-1.7912677196802622</c:v>
                </c:pt>
                <c:pt idx="65">
                  <c:v>-0.93214493130069509</c:v>
                </c:pt>
                <c:pt idx="66">
                  <c:v>0.40052406421214853</c:v>
                </c:pt>
                <c:pt idx="67">
                  <c:v>1.4882422316168313</c:v>
                </c:pt>
                <c:pt idx="68">
                  <c:v>3.8949050637791598</c:v>
                </c:pt>
                <c:pt idx="69">
                  <c:v>14.722764184816048</c:v>
                </c:pt>
                <c:pt idx="70">
                  <c:v>12.712329086815883</c:v>
                </c:pt>
                <c:pt idx="71">
                  <c:v>5.2705152699709528</c:v>
                </c:pt>
                <c:pt idx="72">
                  <c:v>1.5580192761439586</c:v>
                </c:pt>
                <c:pt idx="73">
                  <c:v>10.223657818081882</c:v>
                </c:pt>
                <c:pt idx="74">
                  <c:v>-15.316837019799761</c:v>
                </c:pt>
                <c:pt idx="75">
                  <c:v>1.173602524819944</c:v>
                </c:pt>
                <c:pt idx="76">
                  <c:v>2.8720582843187694</c:v>
                </c:pt>
                <c:pt idx="77">
                  <c:v>10.84136156905678</c:v>
                </c:pt>
                <c:pt idx="78">
                  <c:v>-7.5418167358783332</c:v>
                </c:pt>
                <c:pt idx="79">
                  <c:v>-0.93143073110186336</c:v>
                </c:pt>
                <c:pt idx="80">
                  <c:v>-3.7941628157768297</c:v>
                </c:pt>
                <c:pt idx="81">
                  <c:v>-3.3986681053593633</c:v>
                </c:pt>
                <c:pt idx="82">
                  <c:v>6.5069181555240236</c:v>
                </c:pt>
                <c:pt idx="83">
                  <c:v>-0.96580391581236535</c:v>
                </c:pt>
                <c:pt idx="84">
                  <c:v>9.6865738734128204</c:v>
                </c:pt>
                <c:pt idx="85">
                  <c:v>-5.6697293493684793</c:v>
                </c:pt>
                <c:pt idx="86">
                  <c:v>15.729326118325982</c:v>
                </c:pt>
                <c:pt idx="87">
                  <c:v>0.7033061861820511</c:v>
                </c:pt>
                <c:pt idx="88">
                  <c:v>3.8842423434180575</c:v>
                </c:pt>
                <c:pt idx="89">
                  <c:v>-1.6282579877361776</c:v>
                </c:pt>
                <c:pt idx="90">
                  <c:v>-2.238887132642128</c:v>
                </c:pt>
                <c:pt idx="91">
                  <c:v>-2.1549004459889263</c:v>
                </c:pt>
                <c:pt idx="92">
                  <c:v>0.97025036120886243</c:v>
                </c:pt>
                <c:pt idx="93">
                  <c:v>10.484337171094534</c:v>
                </c:pt>
                <c:pt idx="94">
                  <c:v>-1.2215500575941629</c:v>
                </c:pt>
                <c:pt idx="95">
                  <c:v>1.7015291582181851</c:v>
                </c:pt>
                <c:pt idx="96">
                  <c:v>-2.6326307817094077</c:v>
                </c:pt>
                <c:pt idx="97">
                  <c:v>-16.220672619891442</c:v>
                </c:pt>
                <c:pt idx="98">
                  <c:v>-3.5836660087025671</c:v>
                </c:pt>
                <c:pt idx="99">
                  <c:v>4.525510437695778</c:v>
                </c:pt>
                <c:pt idx="100">
                  <c:v>7.2975411389303764</c:v>
                </c:pt>
                <c:pt idx="101">
                  <c:v>-7.6060894106764714</c:v>
                </c:pt>
                <c:pt idx="102">
                  <c:v>-30.415727735161596</c:v>
                </c:pt>
                <c:pt idx="103">
                  <c:v>3.0809667497693001</c:v>
                </c:pt>
                <c:pt idx="104">
                  <c:v>-4.260602914981745</c:v>
                </c:pt>
                <c:pt idx="105">
                  <c:v>-2.4505762704817804</c:v>
                </c:pt>
                <c:pt idx="106">
                  <c:v>2.8187283305991175</c:v>
                </c:pt>
                <c:pt idx="107">
                  <c:v>3.3704153307166003</c:v>
                </c:pt>
                <c:pt idx="108">
                  <c:v>-17.958789028482812</c:v>
                </c:pt>
                <c:pt idx="109">
                  <c:v>1.4588301439206832</c:v>
                </c:pt>
                <c:pt idx="110">
                  <c:v>-3.034110061957723</c:v>
                </c:pt>
                <c:pt idx="111">
                  <c:v>1.1413750375199145</c:v>
                </c:pt>
                <c:pt idx="112">
                  <c:v>0.38727343234547107</c:v>
                </c:pt>
                <c:pt idx="113">
                  <c:v>3.4762972699397023</c:v>
                </c:pt>
                <c:pt idx="114">
                  <c:v>-22.973121511611183</c:v>
                </c:pt>
                <c:pt idx="115">
                  <c:v>-2.3787832757064207</c:v>
                </c:pt>
                <c:pt idx="116">
                  <c:v>2.160607721566755</c:v>
                </c:pt>
                <c:pt idx="117">
                  <c:v>1.189129665055263</c:v>
                </c:pt>
                <c:pt idx="118">
                  <c:v>-0.85998722147116791</c:v>
                </c:pt>
                <c:pt idx="119">
                  <c:v>4.8220046515782533</c:v>
                </c:pt>
                <c:pt idx="120">
                  <c:v>9.7620646097323025</c:v>
                </c:pt>
                <c:pt idx="121">
                  <c:v>-0.88242176083098023</c:v>
                </c:pt>
                <c:pt idx="122">
                  <c:v>11.459416580436068</c:v>
                </c:pt>
                <c:pt idx="123">
                  <c:v>-0.31099186565016829</c:v>
                </c:pt>
                <c:pt idx="124">
                  <c:v>2.0699405960828394</c:v>
                </c:pt>
                <c:pt idx="125">
                  <c:v>-0.14361854767841722</c:v>
                </c:pt>
                <c:pt idx="126">
                  <c:v>-0.82112363933060994</c:v>
                </c:pt>
                <c:pt idx="127">
                  <c:v>2.90114796968891</c:v>
                </c:pt>
                <c:pt idx="128">
                  <c:v>2.3481403261807499</c:v>
                </c:pt>
                <c:pt idx="129">
                  <c:v>11.043662590106711</c:v>
                </c:pt>
                <c:pt idx="130">
                  <c:v>0.42935493898721727</c:v>
                </c:pt>
                <c:pt idx="131">
                  <c:v>-1.6151668285157688</c:v>
                </c:pt>
                <c:pt idx="132">
                  <c:v>-1.4932464840219695</c:v>
                </c:pt>
                <c:pt idx="133">
                  <c:v>3.3658565617615945</c:v>
                </c:pt>
                <c:pt idx="134">
                  <c:v>-1.8157308123876064</c:v>
                </c:pt>
                <c:pt idx="135">
                  <c:v>1.1703548734311864E-2</c:v>
                </c:pt>
                <c:pt idx="136">
                  <c:v>-6.468082075291302</c:v>
                </c:pt>
                <c:pt idx="137">
                  <c:v>2.6479973687946696</c:v>
                </c:pt>
                <c:pt idx="138">
                  <c:v>6.1778910347930216</c:v>
                </c:pt>
                <c:pt idx="139">
                  <c:v>-2.0007491988410964</c:v>
                </c:pt>
                <c:pt idx="140">
                  <c:v>11.833401247127135</c:v>
                </c:pt>
                <c:pt idx="141">
                  <c:v>-0.43577904111513399</c:v>
                </c:pt>
                <c:pt idx="142">
                  <c:v>4.0733953961612723</c:v>
                </c:pt>
                <c:pt idx="143">
                  <c:v>-11.066220225256698</c:v>
                </c:pt>
                <c:pt idx="144">
                  <c:v>3.2757704973594057</c:v>
                </c:pt>
                <c:pt idx="145">
                  <c:v>-1.0873593652664539</c:v>
                </c:pt>
                <c:pt idx="146">
                  <c:v>0.68663644122569134</c:v>
                </c:pt>
                <c:pt idx="147">
                  <c:v>7.2026591980235501</c:v>
                </c:pt>
                <c:pt idx="148">
                  <c:v>-4.0134467538734011</c:v>
                </c:pt>
                <c:pt idx="149">
                  <c:v>8.5952617660211459</c:v>
                </c:pt>
                <c:pt idx="150">
                  <c:v>2.8262022636050803</c:v>
                </c:pt>
                <c:pt idx="151">
                  <c:v>-2.207824429917578</c:v>
                </c:pt>
                <c:pt idx="152">
                  <c:v>1.0577044311512933</c:v>
                </c:pt>
                <c:pt idx="153">
                  <c:v>-2.6016245320335063</c:v>
                </c:pt>
                <c:pt idx="154">
                  <c:v>-0.58280246553922321</c:v>
                </c:pt>
                <c:pt idx="155">
                  <c:v>11.32850681432665</c:v>
                </c:pt>
                <c:pt idx="156">
                  <c:v>-3.5972201258077736</c:v>
                </c:pt>
                <c:pt idx="157">
                  <c:v>-27.398311315794626</c:v>
                </c:pt>
                <c:pt idx="158">
                  <c:v>-0.91830308486536105</c:v>
                </c:pt>
                <c:pt idx="159">
                  <c:v>2.3791805825000418</c:v>
                </c:pt>
                <c:pt idx="160">
                  <c:v>-0.73181892710134189</c:v>
                </c:pt>
                <c:pt idx="161">
                  <c:v>2.3089050941620521</c:v>
                </c:pt>
                <c:pt idx="162">
                  <c:v>-1.2672184920411464</c:v>
                </c:pt>
                <c:pt idx="163">
                  <c:v>0.40783993058908524</c:v>
                </c:pt>
                <c:pt idx="164">
                  <c:v>0.85868439151680842</c:v>
                </c:pt>
                <c:pt idx="165">
                  <c:v>-7.0409744213437445E-2</c:v>
                </c:pt>
                <c:pt idx="166">
                  <c:v>-31.971729062828196</c:v>
                </c:pt>
                <c:pt idx="167">
                  <c:v>1.3331527250750703</c:v>
                </c:pt>
                <c:pt idx="168">
                  <c:v>0.40643996650614533</c:v>
                </c:pt>
                <c:pt idx="169">
                  <c:v>2.4400227452247978</c:v>
                </c:pt>
                <c:pt idx="170">
                  <c:v>-0.47849317367149946</c:v>
                </c:pt>
                <c:pt idx="171">
                  <c:v>1.2071748000317208</c:v>
                </c:pt>
                <c:pt idx="172">
                  <c:v>-3.4242260086185832</c:v>
                </c:pt>
                <c:pt idx="173">
                  <c:v>-6.034565695436382</c:v>
                </c:pt>
                <c:pt idx="174">
                  <c:v>-2.9413247891329455</c:v>
                </c:pt>
                <c:pt idx="175">
                  <c:v>-3.1389667545287776</c:v>
                </c:pt>
                <c:pt idx="176">
                  <c:v>-4.8589742141200754</c:v>
                </c:pt>
                <c:pt idx="177">
                  <c:v>3.0848924506864308</c:v>
                </c:pt>
                <c:pt idx="178">
                  <c:v>14.0223182493982</c:v>
                </c:pt>
                <c:pt idx="179">
                  <c:v>-0.90152880487771869</c:v>
                </c:pt>
                <c:pt idx="180">
                  <c:v>-10.148323712059847</c:v>
                </c:pt>
                <c:pt idx="181">
                  <c:v>1.3915750567270255</c:v>
                </c:pt>
                <c:pt idx="182">
                  <c:v>-1.2521360522784366</c:v>
                </c:pt>
                <c:pt idx="183">
                  <c:v>-3.4671905824389464</c:v>
                </c:pt>
                <c:pt idx="184">
                  <c:v>0.97866508410557085</c:v>
                </c:pt>
                <c:pt idx="185">
                  <c:v>-3.6392616462710707</c:v>
                </c:pt>
                <c:pt idx="186">
                  <c:v>0.43033764082202158</c:v>
                </c:pt>
                <c:pt idx="187">
                  <c:v>-3.3020425933200834</c:v>
                </c:pt>
                <c:pt idx="188">
                  <c:v>-0.7643387900847991</c:v>
                </c:pt>
                <c:pt idx="189">
                  <c:v>-2.5827963140177936</c:v>
                </c:pt>
                <c:pt idx="190">
                  <c:v>-5.0702375827351878</c:v>
                </c:pt>
                <c:pt idx="191">
                  <c:v>4.3321157900540275</c:v>
                </c:pt>
                <c:pt idx="192">
                  <c:v>0.39222143041720409</c:v>
                </c:pt>
                <c:pt idx="193">
                  <c:v>4.1352536951643826</c:v>
                </c:pt>
                <c:pt idx="194">
                  <c:v>3.9857195489307689</c:v>
                </c:pt>
                <c:pt idx="195">
                  <c:v>-1.517782829821088</c:v>
                </c:pt>
                <c:pt idx="196">
                  <c:v>0.25495916924634254</c:v>
                </c:pt>
                <c:pt idx="197">
                  <c:v>3.3241749667192315</c:v>
                </c:pt>
                <c:pt idx="198">
                  <c:v>7.6264018681219197</c:v>
                </c:pt>
                <c:pt idx="199">
                  <c:v>0.80080380795763584</c:v>
                </c:pt>
                <c:pt idx="200">
                  <c:v>1.054913887911364</c:v>
                </c:pt>
                <c:pt idx="201">
                  <c:v>-0.36156053332852367</c:v>
                </c:pt>
                <c:pt idx="202">
                  <c:v>0.93410747026821461</c:v>
                </c:pt>
                <c:pt idx="203">
                  <c:v>9.8490895977279695</c:v>
                </c:pt>
                <c:pt idx="204">
                  <c:v>0.84400530715444977</c:v>
                </c:pt>
                <c:pt idx="205">
                  <c:v>2.3365898477930589</c:v>
                </c:pt>
                <c:pt idx="206">
                  <c:v>-0.86218061601108853</c:v>
                </c:pt>
                <c:pt idx="207">
                  <c:v>4.6162290000094224</c:v>
                </c:pt>
                <c:pt idx="208">
                  <c:v>6.1519486952722614E-2</c:v>
                </c:pt>
                <c:pt idx="209">
                  <c:v>-1.9061581347264243</c:v>
                </c:pt>
                <c:pt idx="210">
                  <c:v>10.064802046425845</c:v>
                </c:pt>
                <c:pt idx="211">
                  <c:v>-13.875965307384536</c:v>
                </c:pt>
                <c:pt idx="212">
                  <c:v>2.8542746884929153</c:v>
                </c:pt>
                <c:pt idx="213">
                  <c:v>7.1002341041048647</c:v>
                </c:pt>
                <c:pt idx="214">
                  <c:v>8.7149688461739139</c:v>
                </c:pt>
                <c:pt idx="215">
                  <c:v>2.3851342407789895</c:v>
                </c:pt>
                <c:pt idx="216">
                  <c:v>-0.28200019221828038</c:v>
                </c:pt>
                <c:pt idx="217">
                  <c:v>2.4549702984155446</c:v>
                </c:pt>
                <c:pt idx="218">
                  <c:v>2.3480043134940431</c:v>
                </c:pt>
                <c:pt idx="219">
                  <c:v>3.4930232115738868</c:v>
                </c:pt>
                <c:pt idx="220">
                  <c:v>-1.4690139181948034</c:v>
                </c:pt>
                <c:pt idx="221">
                  <c:v>-0.56195587435191086</c:v>
                </c:pt>
                <c:pt idx="222">
                  <c:v>11.619796847290248</c:v>
                </c:pt>
                <c:pt idx="223">
                  <c:v>1.469218714794742</c:v>
                </c:pt>
                <c:pt idx="224">
                  <c:v>4.1686266509755381</c:v>
                </c:pt>
                <c:pt idx="225">
                  <c:v>-6.2553955974577553</c:v>
                </c:pt>
                <c:pt idx="226">
                  <c:v>3.5956983700855969</c:v>
                </c:pt>
                <c:pt idx="227">
                  <c:v>8.1789213829174479</c:v>
                </c:pt>
                <c:pt idx="228">
                  <c:v>3.8673285791085319</c:v>
                </c:pt>
                <c:pt idx="229">
                  <c:v>-0.11633860926209441</c:v>
                </c:pt>
                <c:pt idx="230">
                  <c:v>-6.1129940315140567</c:v>
                </c:pt>
                <c:pt idx="231">
                  <c:v>-2.2912714493639745</c:v>
                </c:pt>
                <c:pt idx="232">
                  <c:v>16.796636292766582</c:v>
                </c:pt>
                <c:pt idx="233">
                  <c:v>-7.1063808480414661</c:v>
                </c:pt>
                <c:pt idx="234">
                  <c:v>4.090482326892773</c:v>
                </c:pt>
                <c:pt idx="235">
                  <c:v>1.5513371478932505</c:v>
                </c:pt>
                <c:pt idx="236">
                  <c:v>8.7470547034503454</c:v>
                </c:pt>
                <c:pt idx="237">
                  <c:v>-3.0775380781502988</c:v>
                </c:pt>
                <c:pt idx="238">
                  <c:v>-7.4505992686497544</c:v>
                </c:pt>
                <c:pt idx="239">
                  <c:v>10.850206101202284</c:v>
                </c:pt>
                <c:pt idx="240">
                  <c:v>6.4130755469456364</c:v>
                </c:pt>
                <c:pt idx="241">
                  <c:v>-3.0371359962035982E-3</c:v>
                </c:pt>
                <c:pt idx="242">
                  <c:v>1.7918899287612886</c:v>
                </c:pt>
                <c:pt idx="243">
                  <c:v>4.8044290567784653</c:v>
                </c:pt>
                <c:pt idx="244">
                  <c:v>-3.4280057907113242</c:v>
                </c:pt>
                <c:pt idx="245">
                  <c:v>-3.3046918660548359</c:v>
                </c:pt>
                <c:pt idx="246">
                  <c:v>-0.24731801896295966</c:v>
                </c:pt>
                <c:pt idx="247">
                  <c:v>9.7761997143830186</c:v>
                </c:pt>
                <c:pt idx="248">
                  <c:v>4.7962256343596872</c:v>
                </c:pt>
                <c:pt idx="249">
                  <c:v>0.18243273815658323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D-40C8-85F0-ABB2CCBCC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27344"/>
        <c:axId val="1618031184"/>
      </c:scatterChart>
      <c:valAx>
        <c:axId val="1618027344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31184"/>
        <c:crosses val="autoZero"/>
        <c:crossBetween val="midCat"/>
        <c:majorUnit val="10"/>
        <c:minorUnit val="5"/>
      </c:valAx>
      <c:valAx>
        <c:axId val="16180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 angle vs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'1'!$C$8:$C$257</c:f>
              <c:numCache>
                <c:formatCode>General</c:formatCode>
                <c:ptCount val="250"/>
                <c:pt idx="0">
                  <c:v>121.9</c:v>
                </c:pt>
                <c:pt idx="1">
                  <c:v>127.1</c:v>
                </c:pt>
                <c:pt idx="2">
                  <c:v>108.2</c:v>
                </c:pt>
                <c:pt idx="3">
                  <c:v>110.1</c:v>
                </c:pt>
                <c:pt idx="4">
                  <c:v>103.2</c:v>
                </c:pt>
                <c:pt idx="5">
                  <c:v>120.7</c:v>
                </c:pt>
                <c:pt idx="6">
                  <c:v>124.3</c:v>
                </c:pt>
                <c:pt idx="7">
                  <c:v>117.4</c:v>
                </c:pt>
                <c:pt idx="8">
                  <c:v>123.4</c:v>
                </c:pt>
                <c:pt idx="9">
                  <c:v>123.9</c:v>
                </c:pt>
                <c:pt idx="10">
                  <c:v>112.3</c:v>
                </c:pt>
                <c:pt idx="11">
                  <c:v>104.6</c:v>
                </c:pt>
                <c:pt idx="12">
                  <c:v>112.6</c:v>
                </c:pt>
                <c:pt idx="13">
                  <c:v>130</c:v>
                </c:pt>
                <c:pt idx="14">
                  <c:v>115.3</c:v>
                </c:pt>
                <c:pt idx="15">
                  <c:v>130</c:v>
                </c:pt>
                <c:pt idx="16">
                  <c:v>116.8</c:v>
                </c:pt>
                <c:pt idx="17">
                  <c:v>128.80000000000001</c:v>
                </c:pt>
                <c:pt idx="18">
                  <c:v>120</c:v>
                </c:pt>
                <c:pt idx="19">
                  <c:v>130</c:v>
                </c:pt>
                <c:pt idx="20">
                  <c:v>120.6</c:v>
                </c:pt>
                <c:pt idx="21">
                  <c:v>113.5</c:v>
                </c:pt>
                <c:pt idx="22">
                  <c:v>125.3</c:v>
                </c:pt>
                <c:pt idx="23">
                  <c:v>108.2</c:v>
                </c:pt>
                <c:pt idx="24">
                  <c:v>112.5</c:v>
                </c:pt>
                <c:pt idx="25">
                  <c:v>111.1</c:v>
                </c:pt>
                <c:pt idx="26">
                  <c:v>127.1</c:v>
                </c:pt>
                <c:pt idx="27">
                  <c:v>106.6</c:v>
                </c:pt>
                <c:pt idx="28">
                  <c:v>121.9</c:v>
                </c:pt>
                <c:pt idx="29">
                  <c:v>108.4</c:v>
                </c:pt>
                <c:pt idx="30">
                  <c:v>120.3</c:v>
                </c:pt>
                <c:pt idx="31">
                  <c:v>130</c:v>
                </c:pt>
                <c:pt idx="32">
                  <c:v>110.9</c:v>
                </c:pt>
                <c:pt idx="33">
                  <c:v>116.7</c:v>
                </c:pt>
                <c:pt idx="34">
                  <c:v>108.8</c:v>
                </c:pt>
                <c:pt idx="35">
                  <c:v>118.5</c:v>
                </c:pt>
                <c:pt idx="36">
                  <c:v>126.4</c:v>
                </c:pt>
                <c:pt idx="37">
                  <c:v>114.3</c:v>
                </c:pt>
                <c:pt idx="38">
                  <c:v>114.7</c:v>
                </c:pt>
                <c:pt idx="39">
                  <c:v>109.6</c:v>
                </c:pt>
                <c:pt idx="40">
                  <c:v>109</c:v>
                </c:pt>
                <c:pt idx="41">
                  <c:v>130</c:v>
                </c:pt>
                <c:pt idx="42">
                  <c:v>121</c:v>
                </c:pt>
                <c:pt idx="43">
                  <c:v>125.6</c:v>
                </c:pt>
                <c:pt idx="44">
                  <c:v>112.9</c:v>
                </c:pt>
                <c:pt idx="45">
                  <c:v>124.9</c:v>
                </c:pt>
                <c:pt idx="46">
                  <c:v>130</c:v>
                </c:pt>
                <c:pt idx="47">
                  <c:v>113.9</c:v>
                </c:pt>
                <c:pt idx="48">
                  <c:v>118.6</c:v>
                </c:pt>
                <c:pt idx="49">
                  <c:v>112.2</c:v>
                </c:pt>
                <c:pt idx="50">
                  <c:v>126.8</c:v>
                </c:pt>
                <c:pt idx="51">
                  <c:v>124.8</c:v>
                </c:pt>
                <c:pt idx="52">
                  <c:v>130</c:v>
                </c:pt>
                <c:pt idx="53">
                  <c:v>109.1</c:v>
                </c:pt>
                <c:pt idx="54">
                  <c:v>113.5</c:v>
                </c:pt>
                <c:pt idx="55">
                  <c:v>130</c:v>
                </c:pt>
                <c:pt idx="56">
                  <c:v>108.4</c:v>
                </c:pt>
                <c:pt idx="57">
                  <c:v>124.1</c:v>
                </c:pt>
                <c:pt idx="58">
                  <c:v>115</c:v>
                </c:pt>
                <c:pt idx="59">
                  <c:v>130</c:v>
                </c:pt>
                <c:pt idx="60">
                  <c:v>109.6</c:v>
                </c:pt>
                <c:pt idx="61">
                  <c:v>113.5</c:v>
                </c:pt>
                <c:pt idx="62">
                  <c:v>102.4</c:v>
                </c:pt>
                <c:pt idx="63">
                  <c:v>120.9</c:v>
                </c:pt>
                <c:pt idx="64">
                  <c:v>112.2</c:v>
                </c:pt>
                <c:pt idx="65">
                  <c:v>120.8</c:v>
                </c:pt>
                <c:pt idx="66">
                  <c:v>117.7</c:v>
                </c:pt>
                <c:pt idx="67">
                  <c:v>117.6</c:v>
                </c:pt>
                <c:pt idx="68">
                  <c:v>130</c:v>
                </c:pt>
                <c:pt idx="69">
                  <c:v>130</c:v>
                </c:pt>
                <c:pt idx="70">
                  <c:v>126.5</c:v>
                </c:pt>
                <c:pt idx="71">
                  <c:v>130</c:v>
                </c:pt>
                <c:pt idx="72">
                  <c:v>116.8</c:v>
                </c:pt>
                <c:pt idx="73">
                  <c:v>130</c:v>
                </c:pt>
                <c:pt idx="74">
                  <c:v>100.1</c:v>
                </c:pt>
                <c:pt idx="75">
                  <c:v>125.7</c:v>
                </c:pt>
                <c:pt idx="76">
                  <c:v>105.9</c:v>
                </c:pt>
                <c:pt idx="77">
                  <c:v>125.4</c:v>
                </c:pt>
                <c:pt idx="78">
                  <c:v>105.8</c:v>
                </c:pt>
                <c:pt idx="79">
                  <c:v>117.5</c:v>
                </c:pt>
                <c:pt idx="80">
                  <c:v>111</c:v>
                </c:pt>
                <c:pt idx="81">
                  <c:v>123.2</c:v>
                </c:pt>
                <c:pt idx="82">
                  <c:v>130</c:v>
                </c:pt>
                <c:pt idx="83">
                  <c:v>115.1</c:v>
                </c:pt>
                <c:pt idx="84">
                  <c:v>130</c:v>
                </c:pt>
                <c:pt idx="85">
                  <c:v>108.8</c:v>
                </c:pt>
                <c:pt idx="86">
                  <c:v>130</c:v>
                </c:pt>
                <c:pt idx="87">
                  <c:v>111.1</c:v>
                </c:pt>
                <c:pt idx="88">
                  <c:v>112.5</c:v>
                </c:pt>
                <c:pt idx="89">
                  <c:v>118</c:v>
                </c:pt>
                <c:pt idx="90">
                  <c:v>119.7</c:v>
                </c:pt>
                <c:pt idx="91">
                  <c:v>118.8</c:v>
                </c:pt>
                <c:pt idx="92">
                  <c:v>122.8</c:v>
                </c:pt>
                <c:pt idx="93">
                  <c:v>130</c:v>
                </c:pt>
                <c:pt idx="94">
                  <c:v>121.7</c:v>
                </c:pt>
                <c:pt idx="95">
                  <c:v>116.8</c:v>
                </c:pt>
                <c:pt idx="96">
                  <c:v>119.9</c:v>
                </c:pt>
                <c:pt idx="97">
                  <c:v>100</c:v>
                </c:pt>
                <c:pt idx="98">
                  <c:v>111.7</c:v>
                </c:pt>
                <c:pt idx="99">
                  <c:v>112.3</c:v>
                </c:pt>
                <c:pt idx="100">
                  <c:v>130</c:v>
                </c:pt>
                <c:pt idx="101">
                  <c:v>112</c:v>
                </c:pt>
                <c:pt idx="102">
                  <c:v>100</c:v>
                </c:pt>
                <c:pt idx="103">
                  <c:v>130</c:v>
                </c:pt>
                <c:pt idx="104">
                  <c:v>112.4</c:v>
                </c:pt>
                <c:pt idx="105">
                  <c:v>125.1</c:v>
                </c:pt>
                <c:pt idx="106">
                  <c:v>116.6</c:v>
                </c:pt>
                <c:pt idx="107">
                  <c:v>124.8</c:v>
                </c:pt>
                <c:pt idx="108">
                  <c:v>100</c:v>
                </c:pt>
                <c:pt idx="109">
                  <c:v>113.4</c:v>
                </c:pt>
                <c:pt idx="110">
                  <c:v>122.3</c:v>
                </c:pt>
                <c:pt idx="111">
                  <c:v>111.7</c:v>
                </c:pt>
                <c:pt idx="112">
                  <c:v>110.8</c:v>
                </c:pt>
                <c:pt idx="113">
                  <c:v>113.5</c:v>
                </c:pt>
                <c:pt idx="114">
                  <c:v>100</c:v>
                </c:pt>
                <c:pt idx="115">
                  <c:v>110.2</c:v>
                </c:pt>
                <c:pt idx="116">
                  <c:v>115.7</c:v>
                </c:pt>
                <c:pt idx="117">
                  <c:v>121.7</c:v>
                </c:pt>
                <c:pt idx="118">
                  <c:v>117.8</c:v>
                </c:pt>
                <c:pt idx="119">
                  <c:v>119</c:v>
                </c:pt>
                <c:pt idx="120">
                  <c:v>128.4</c:v>
                </c:pt>
                <c:pt idx="121">
                  <c:v>113.1</c:v>
                </c:pt>
                <c:pt idx="122">
                  <c:v>130</c:v>
                </c:pt>
                <c:pt idx="123">
                  <c:v>119</c:v>
                </c:pt>
                <c:pt idx="124">
                  <c:v>115.3</c:v>
                </c:pt>
                <c:pt idx="125">
                  <c:v>111.1</c:v>
                </c:pt>
                <c:pt idx="126">
                  <c:v>124.7</c:v>
                </c:pt>
                <c:pt idx="127">
                  <c:v>108.2</c:v>
                </c:pt>
                <c:pt idx="128">
                  <c:v>112.7</c:v>
                </c:pt>
                <c:pt idx="129">
                  <c:v>125</c:v>
                </c:pt>
                <c:pt idx="130">
                  <c:v>113.9</c:v>
                </c:pt>
                <c:pt idx="131">
                  <c:v>112.8</c:v>
                </c:pt>
                <c:pt idx="132">
                  <c:v>122.8</c:v>
                </c:pt>
                <c:pt idx="133">
                  <c:v>122.5</c:v>
                </c:pt>
                <c:pt idx="134">
                  <c:v>109.2</c:v>
                </c:pt>
                <c:pt idx="135">
                  <c:v>103.5</c:v>
                </c:pt>
                <c:pt idx="136">
                  <c:v>117.3</c:v>
                </c:pt>
                <c:pt idx="137">
                  <c:v>122.7</c:v>
                </c:pt>
                <c:pt idx="138">
                  <c:v>128.6</c:v>
                </c:pt>
                <c:pt idx="139">
                  <c:v>122.6</c:v>
                </c:pt>
                <c:pt idx="140">
                  <c:v>124.4</c:v>
                </c:pt>
                <c:pt idx="141">
                  <c:v>119.2</c:v>
                </c:pt>
                <c:pt idx="142">
                  <c:v>115.5</c:v>
                </c:pt>
                <c:pt idx="143">
                  <c:v>102.9</c:v>
                </c:pt>
                <c:pt idx="144">
                  <c:v>121.6</c:v>
                </c:pt>
                <c:pt idx="145">
                  <c:v>113.9</c:v>
                </c:pt>
                <c:pt idx="146">
                  <c:v>118.5</c:v>
                </c:pt>
                <c:pt idx="147">
                  <c:v>126.3</c:v>
                </c:pt>
                <c:pt idx="148">
                  <c:v>105.4</c:v>
                </c:pt>
                <c:pt idx="149">
                  <c:v>126.1</c:v>
                </c:pt>
                <c:pt idx="150">
                  <c:v>119.5</c:v>
                </c:pt>
                <c:pt idx="151">
                  <c:v>120.7</c:v>
                </c:pt>
                <c:pt idx="152">
                  <c:v>111.8</c:v>
                </c:pt>
                <c:pt idx="153">
                  <c:v>110.5</c:v>
                </c:pt>
                <c:pt idx="154">
                  <c:v>124.2</c:v>
                </c:pt>
                <c:pt idx="155">
                  <c:v>125.5</c:v>
                </c:pt>
                <c:pt idx="156">
                  <c:v>122.3</c:v>
                </c:pt>
                <c:pt idx="157">
                  <c:v>100</c:v>
                </c:pt>
                <c:pt idx="158">
                  <c:v>120.3</c:v>
                </c:pt>
                <c:pt idx="159">
                  <c:v>113.5</c:v>
                </c:pt>
                <c:pt idx="160">
                  <c:v>122.6</c:v>
                </c:pt>
                <c:pt idx="161">
                  <c:v>110.2</c:v>
                </c:pt>
                <c:pt idx="162">
                  <c:v>108</c:v>
                </c:pt>
                <c:pt idx="163">
                  <c:v>109.1</c:v>
                </c:pt>
                <c:pt idx="164">
                  <c:v>130</c:v>
                </c:pt>
                <c:pt idx="165">
                  <c:v>116.4</c:v>
                </c:pt>
                <c:pt idx="166">
                  <c:v>100</c:v>
                </c:pt>
                <c:pt idx="167">
                  <c:v>121.7</c:v>
                </c:pt>
                <c:pt idx="168">
                  <c:v>115.7</c:v>
                </c:pt>
                <c:pt idx="169">
                  <c:v>121.5</c:v>
                </c:pt>
                <c:pt idx="170">
                  <c:v>117.3</c:v>
                </c:pt>
                <c:pt idx="171">
                  <c:v>119.8</c:v>
                </c:pt>
                <c:pt idx="172">
                  <c:v>114.1</c:v>
                </c:pt>
                <c:pt idx="173">
                  <c:v>109.3</c:v>
                </c:pt>
                <c:pt idx="174">
                  <c:v>118.2</c:v>
                </c:pt>
                <c:pt idx="175">
                  <c:v>124.1</c:v>
                </c:pt>
                <c:pt idx="176">
                  <c:v>100</c:v>
                </c:pt>
                <c:pt idx="177">
                  <c:v>104</c:v>
                </c:pt>
                <c:pt idx="178">
                  <c:v>130</c:v>
                </c:pt>
                <c:pt idx="179">
                  <c:v>115.7</c:v>
                </c:pt>
                <c:pt idx="180">
                  <c:v>107.5</c:v>
                </c:pt>
                <c:pt idx="181">
                  <c:v>115.4</c:v>
                </c:pt>
                <c:pt idx="182">
                  <c:v>122.7</c:v>
                </c:pt>
                <c:pt idx="183">
                  <c:v>110.5</c:v>
                </c:pt>
                <c:pt idx="184">
                  <c:v>110.8</c:v>
                </c:pt>
                <c:pt idx="185">
                  <c:v>111.6</c:v>
                </c:pt>
                <c:pt idx="186">
                  <c:v>116.5</c:v>
                </c:pt>
                <c:pt idx="187">
                  <c:v>110.8</c:v>
                </c:pt>
                <c:pt idx="188">
                  <c:v>114.9</c:v>
                </c:pt>
                <c:pt idx="189">
                  <c:v>111.9</c:v>
                </c:pt>
                <c:pt idx="190">
                  <c:v>113.8</c:v>
                </c:pt>
                <c:pt idx="191">
                  <c:v>110.7</c:v>
                </c:pt>
                <c:pt idx="192">
                  <c:v>109.8</c:v>
                </c:pt>
                <c:pt idx="193">
                  <c:v>108.9</c:v>
                </c:pt>
                <c:pt idx="194">
                  <c:v>130</c:v>
                </c:pt>
                <c:pt idx="195">
                  <c:v>117.8</c:v>
                </c:pt>
                <c:pt idx="196">
                  <c:v>105.8</c:v>
                </c:pt>
                <c:pt idx="197">
                  <c:v>117.6</c:v>
                </c:pt>
                <c:pt idx="198">
                  <c:v>127.8</c:v>
                </c:pt>
                <c:pt idx="199">
                  <c:v>115.7</c:v>
                </c:pt>
                <c:pt idx="200">
                  <c:v>108.5</c:v>
                </c:pt>
                <c:pt idx="201">
                  <c:v>130</c:v>
                </c:pt>
                <c:pt idx="202">
                  <c:v>109.7</c:v>
                </c:pt>
                <c:pt idx="203">
                  <c:v>130</c:v>
                </c:pt>
                <c:pt idx="204">
                  <c:v>116.9</c:v>
                </c:pt>
                <c:pt idx="205">
                  <c:v>110.8</c:v>
                </c:pt>
                <c:pt idx="206">
                  <c:v>115.4</c:v>
                </c:pt>
                <c:pt idx="207">
                  <c:v>117.8</c:v>
                </c:pt>
                <c:pt idx="208">
                  <c:v>116.7</c:v>
                </c:pt>
                <c:pt idx="209">
                  <c:v>117.3</c:v>
                </c:pt>
                <c:pt idx="210">
                  <c:v>126.7</c:v>
                </c:pt>
                <c:pt idx="211">
                  <c:v>103.7</c:v>
                </c:pt>
                <c:pt idx="212">
                  <c:v>119.7</c:v>
                </c:pt>
                <c:pt idx="213">
                  <c:v>130</c:v>
                </c:pt>
                <c:pt idx="214">
                  <c:v>121.6</c:v>
                </c:pt>
                <c:pt idx="215">
                  <c:v>110.7</c:v>
                </c:pt>
                <c:pt idx="216">
                  <c:v>121.5</c:v>
                </c:pt>
                <c:pt idx="217">
                  <c:v>108.7</c:v>
                </c:pt>
                <c:pt idx="218">
                  <c:v>110.1</c:v>
                </c:pt>
                <c:pt idx="219">
                  <c:v>116.1</c:v>
                </c:pt>
                <c:pt idx="220">
                  <c:v>109.2</c:v>
                </c:pt>
                <c:pt idx="221">
                  <c:v>123.3</c:v>
                </c:pt>
                <c:pt idx="222">
                  <c:v>125.1</c:v>
                </c:pt>
                <c:pt idx="223">
                  <c:v>120.1</c:v>
                </c:pt>
                <c:pt idx="224">
                  <c:v>130</c:v>
                </c:pt>
                <c:pt idx="225">
                  <c:v>112.1</c:v>
                </c:pt>
                <c:pt idx="226">
                  <c:v>109.5</c:v>
                </c:pt>
                <c:pt idx="227">
                  <c:v>130</c:v>
                </c:pt>
                <c:pt idx="228">
                  <c:v>106.4</c:v>
                </c:pt>
                <c:pt idx="229">
                  <c:v>110.4</c:v>
                </c:pt>
                <c:pt idx="230">
                  <c:v>111.2</c:v>
                </c:pt>
                <c:pt idx="231">
                  <c:v>121.5</c:v>
                </c:pt>
                <c:pt idx="232">
                  <c:v>130</c:v>
                </c:pt>
                <c:pt idx="233">
                  <c:v>110.5</c:v>
                </c:pt>
                <c:pt idx="234">
                  <c:v>127.3</c:v>
                </c:pt>
                <c:pt idx="235">
                  <c:v>122.6</c:v>
                </c:pt>
                <c:pt idx="236">
                  <c:v>127.9</c:v>
                </c:pt>
                <c:pt idx="237">
                  <c:v>112</c:v>
                </c:pt>
                <c:pt idx="238">
                  <c:v>115.2</c:v>
                </c:pt>
                <c:pt idx="239">
                  <c:v>125.9</c:v>
                </c:pt>
                <c:pt idx="240">
                  <c:v>109.5</c:v>
                </c:pt>
                <c:pt idx="241">
                  <c:v>130</c:v>
                </c:pt>
                <c:pt idx="242">
                  <c:v>111.1</c:v>
                </c:pt>
                <c:pt idx="243">
                  <c:v>110.9</c:v>
                </c:pt>
                <c:pt idx="244">
                  <c:v>111.9</c:v>
                </c:pt>
                <c:pt idx="245">
                  <c:v>111.6</c:v>
                </c:pt>
                <c:pt idx="246">
                  <c:v>122.4</c:v>
                </c:pt>
                <c:pt idx="247">
                  <c:v>122.8</c:v>
                </c:pt>
                <c:pt idx="248">
                  <c:v>108</c:v>
                </c:pt>
                <c:pt idx="249">
                  <c:v>117.3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-1.5933306757097747</c:v>
                </c:pt>
                <c:pt idx="1">
                  <c:v>1.1674652933031382</c:v>
                </c:pt>
                <c:pt idx="2">
                  <c:v>-2.9632769915513104</c:v>
                </c:pt>
                <c:pt idx="3">
                  <c:v>-4.1265406410988268</c:v>
                </c:pt>
                <c:pt idx="4">
                  <c:v>-1.8393385656311152</c:v>
                </c:pt>
                <c:pt idx="5">
                  <c:v>0.19427167479577967</c:v>
                </c:pt>
                <c:pt idx="6">
                  <c:v>0.64925282389737771</c:v>
                </c:pt>
                <c:pt idx="7">
                  <c:v>3.0624925643217988</c:v>
                </c:pt>
                <c:pt idx="8">
                  <c:v>6.0595388675910815</c:v>
                </c:pt>
                <c:pt idx="9">
                  <c:v>8.1586743449696915</c:v>
                </c:pt>
                <c:pt idx="10">
                  <c:v>6.3690280378693203</c:v>
                </c:pt>
                <c:pt idx="11">
                  <c:v>-7.9028640272852986</c:v>
                </c:pt>
                <c:pt idx="12">
                  <c:v>1.5904311529674273</c:v>
                </c:pt>
                <c:pt idx="13">
                  <c:v>13.938340457955736</c:v>
                </c:pt>
                <c:pt idx="14">
                  <c:v>1.5696098630500082</c:v>
                </c:pt>
                <c:pt idx="15">
                  <c:v>5.7479408257300575</c:v>
                </c:pt>
                <c:pt idx="16">
                  <c:v>0.25348474206502031</c:v>
                </c:pt>
                <c:pt idx="17">
                  <c:v>-0.38727774020833178</c:v>
                </c:pt>
                <c:pt idx="18">
                  <c:v>-0.30466870859461764</c:v>
                </c:pt>
                <c:pt idx="19">
                  <c:v>7.6359151207580149</c:v>
                </c:pt>
                <c:pt idx="20">
                  <c:v>1.5383860068824269</c:v>
                </c:pt>
                <c:pt idx="21">
                  <c:v>-3.69773657241051E-2</c:v>
                </c:pt>
                <c:pt idx="22">
                  <c:v>4.6568825747156639</c:v>
                </c:pt>
                <c:pt idx="23">
                  <c:v>10.50775564628654</c:v>
                </c:pt>
                <c:pt idx="24">
                  <c:v>2.7545066169370007</c:v>
                </c:pt>
                <c:pt idx="25">
                  <c:v>3.2923657754951421</c:v>
                </c:pt>
                <c:pt idx="26">
                  <c:v>-7.8611098662227111E-2</c:v>
                </c:pt>
                <c:pt idx="27">
                  <c:v>-2.687891192096191</c:v>
                </c:pt>
                <c:pt idx="28">
                  <c:v>-1.3575718794965064</c:v>
                </c:pt>
                <c:pt idx="29">
                  <c:v>-11.79587195292827</c:v>
                </c:pt>
                <c:pt idx="30">
                  <c:v>-0.28368888028567246</c:v>
                </c:pt>
                <c:pt idx="31">
                  <c:v>9.2441072984649839</c:v>
                </c:pt>
                <c:pt idx="32">
                  <c:v>1.4767471540517076</c:v>
                </c:pt>
                <c:pt idx="33">
                  <c:v>0.99856263408872847</c:v>
                </c:pt>
                <c:pt idx="34">
                  <c:v>-2.5530867753115807</c:v>
                </c:pt>
                <c:pt idx="35">
                  <c:v>-0.30825631845963503</c:v>
                </c:pt>
                <c:pt idx="36">
                  <c:v>7.2227663945470599</c:v>
                </c:pt>
                <c:pt idx="37">
                  <c:v>-4.534247652200416</c:v>
                </c:pt>
                <c:pt idx="38">
                  <c:v>-6.6017846558817466</c:v>
                </c:pt>
                <c:pt idx="39">
                  <c:v>2.6261949566927933</c:v>
                </c:pt>
                <c:pt idx="40">
                  <c:v>-4.7771892282593678</c:v>
                </c:pt>
                <c:pt idx="41">
                  <c:v>7.7528861682173416</c:v>
                </c:pt>
                <c:pt idx="42">
                  <c:v>-0.22936122382150823</c:v>
                </c:pt>
                <c:pt idx="43">
                  <c:v>8.2515110809990126</c:v>
                </c:pt>
                <c:pt idx="44">
                  <c:v>-4.2246132855309622</c:v>
                </c:pt>
                <c:pt idx="45">
                  <c:v>-1.7018655351116068</c:v>
                </c:pt>
                <c:pt idx="46">
                  <c:v>-2.6650124105219746</c:v>
                </c:pt>
                <c:pt idx="47">
                  <c:v>0.17916568292927168</c:v>
                </c:pt>
                <c:pt idx="48">
                  <c:v>-1.4283771836747645</c:v>
                </c:pt>
                <c:pt idx="49">
                  <c:v>2.5549058019818887</c:v>
                </c:pt>
                <c:pt idx="50">
                  <c:v>9.8760402589179179</c:v>
                </c:pt>
                <c:pt idx="51">
                  <c:v>-0.95256739887580699</c:v>
                </c:pt>
                <c:pt idx="52">
                  <c:v>-3.3139557139236895</c:v>
                </c:pt>
                <c:pt idx="53">
                  <c:v>3.2762227023770358</c:v>
                </c:pt>
                <c:pt idx="54">
                  <c:v>-4.9231555900008406</c:v>
                </c:pt>
                <c:pt idx="55">
                  <c:v>14.082101527715698</c:v>
                </c:pt>
                <c:pt idx="56">
                  <c:v>2.3461842929244154</c:v>
                </c:pt>
                <c:pt idx="57">
                  <c:v>-0.69877239566555993</c:v>
                </c:pt>
                <c:pt idx="58">
                  <c:v>1.951935278226731</c:v>
                </c:pt>
                <c:pt idx="59">
                  <c:v>-0.2642444467409617</c:v>
                </c:pt>
                <c:pt idx="60">
                  <c:v>-0.150233116904533</c:v>
                </c:pt>
                <c:pt idx="61">
                  <c:v>-3.208853642741115</c:v>
                </c:pt>
                <c:pt idx="62">
                  <c:v>-3.4213724768814111</c:v>
                </c:pt>
                <c:pt idx="63">
                  <c:v>0.53990300862665175</c:v>
                </c:pt>
                <c:pt idx="64">
                  <c:v>-1.7912677196802622</c:v>
                </c:pt>
                <c:pt idx="65">
                  <c:v>-0.93214493130069509</c:v>
                </c:pt>
                <c:pt idx="66">
                  <c:v>0.40052406421214853</c:v>
                </c:pt>
                <c:pt idx="67">
                  <c:v>1.4882422316168313</c:v>
                </c:pt>
                <c:pt idx="68">
                  <c:v>3.8949050637791598</c:v>
                </c:pt>
                <c:pt idx="69">
                  <c:v>14.722764184816048</c:v>
                </c:pt>
                <c:pt idx="70">
                  <c:v>12.712329086815883</c:v>
                </c:pt>
                <c:pt idx="71">
                  <c:v>5.2705152699709528</c:v>
                </c:pt>
                <c:pt idx="72">
                  <c:v>1.5580192761439586</c:v>
                </c:pt>
                <c:pt idx="73">
                  <c:v>10.223657818081882</c:v>
                </c:pt>
                <c:pt idx="74">
                  <c:v>-15.316837019799761</c:v>
                </c:pt>
                <c:pt idx="75">
                  <c:v>1.173602524819944</c:v>
                </c:pt>
                <c:pt idx="76">
                  <c:v>2.8720582843187694</c:v>
                </c:pt>
                <c:pt idx="77">
                  <c:v>10.84136156905678</c:v>
                </c:pt>
                <c:pt idx="78">
                  <c:v>-7.5418167358783332</c:v>
                </c:pt>
                <c:pt idx="79">
                  <c:v>-0.93143073110186336</c:v>
                </c:pt>
                <c:pt idx="80">
                  <c:v>-3.7941628157768297</c:v>
                </c:pt>
                <c:pt idx="81">
                  <c:v>-3.3986681053593633</c:v>
                </c:pt>
                <c:pt idx="82">
                  <c:v>6.5069181555240236</c:v>
                </c:pt>
                <c:pt idx="83">
                  <c:v>-0.96580391581236535</c:v>
                </c:pt>
                <c:pt idx="84">
                  <c:v>9.6865738734128204</c:v>
                </c:pt>
                <c:pt idx="85">
                  <c:v>-5.6697293493684793</c:v>
                </c:pt>
                <c:pt idx="86">
                  <c:v>15.729326118325982</c:v>
                </c:pt>
                <c:pt idx="87">
                  <c:v>0.7033061861820511</c:v>
                </c:pt>
                <c:pt idx="88">
                  <c:v>3.8842423434180575</c:v>
                </c:pt>
                <c:pt idx="89">
                  <c:v>-1.6282579877361776</c:v>
                </c:pt>
                <c:pt idx="90">
                  <c:v>-2.238887132642128</c:v>
                </c:pt>
                <c:pt idx="91">
                  <c:v>-2.1549004459889263</c:v>
                </c:pt>
                <c:pt idx="92">
                  <c:v>0.97025036120886243</c:v>
                </c:pt>
                <c:pt idx="93">
                  <c:v>10.484337171094534</c:v>
                </c:pt>
                <c:pt idx="94">
                  <c:v>-1.2215500575941629</c:v>
                </c:pt>
                <c:pt idx="95">
                  <c:v>1.7015291582181851</c:v>
                </c:pt>
                <c:pt idx="96">
                  <c:v>-2.6326307817094077</c:v>
                </c:pt>
                <c:pt idx="97">
                  <c:v>-16.220672619891442</c:v>
                </c:pt>
                <c:pt idx="98">
                  <c:v>-3.5836660087025671</c:v>
                </c:pt>
                <c:pt idx="99">
                  <c:v>4.525510437695778</c:v>
                </c:pt>
                <c:pt idx="100">
                  <c:v>7.2975411389303764</c:v>
                </c:pt>
                <c:pt idx="101">
                  <c:v>-7.6060894106764714</c:v>
                </c:pt>
                <c:pt idx="102">
                  <c:v>-30.415727735161596</c:v>
                </c:pt>
                <c:pt idx="103">
                  <c:v>3.0809667497693001</c:v>
                </c:pt>
                <c:pt idx="104">
                  <c:v>-4.260602914981745</c:v>
                </c:pt>
                <c:pt idx="105">
                  <c:v>-2.4505762704817804</c:v>
                </c:pt>
                <c:pt idx="106">
                  <c:v>2.8187283305991175</c:v>
                </c:pt>
                <c:pt idx="107">
                  <c:v>3.3704153307166003</c:v>
                </c:pt>
                <c:pt idx="108">
                  <c:v>-17.958789028482812</c:v>
                </c:pt>
                <c:pt idx="109">
                  <c:v>1.4588301439206832</c:v>
                </c:pt>
                <c:pt idx="110">
                  <c:v>-3.034110061957723</c:v>
                </c:pt>
                <c:pt idx="111">
                  <c:v>1.1413750375199145</c:v>
                </c:pt>
                <c:pt idx="112">
                  <c:v>0.38727343234547107</c:v>
                </c:pt>
                <c:pt idx="113">
                  <c:v>3.4762972699397023</c:v>
                </c:pt>
                <c:pt idx="114">
                  <c:v>-22.973121511611183</c:v>
                </c:pt>
                <c:pt idx="115">
                  <c:v>-2.3787832757064207</c:v>
                </c:pt>
                <c:pt idx="116">
                  <c:v>2.160607721566755</c:v>
                </c:pt>
                <c:pt idx="117">
                  <c:v>1.189129665055263</c:v>
                </c:pt>
                <c:pt idx="118">
                  <c:v>-0.85998722147116791</c:v>
                </c:pt>
                <c:pt idx="119">
                  <c:v>4.8220046515782533</c:v>
                </c:pt>
                <c:pt idx="120">
                  <c:v>9.7620646097323025</c:v>
                </c:pt>
                <c:pt idx="121">
                  <c:v>-0.88242176083098023</c:v>
                </c:pt>
                <c:pt idx="122">
                  <c:v>11.459416580436068</c:v>
                </c:pt>
                <c:pt idx="123">
                  <c:v>-0.31099186565016829</c:v>
                </c:pt>
                <c:pt idx="124">
                  <c:v>2.0699405960828394</c:v>
                </c:pt>
                <c:pt idx="125">
                  <c:v>-0.14361854767841722</c:v>
                </c:pt>
                <c:pt idx="126">
                  <c:v>-0.82112363933060994</c:v>
                </c:pt>
                <c:pt idx="127">
                  <c:v>2.90114796968891</c:v>
                </c:pt>
                <c:pt idx="128">
                  <c:v>2.3481403261807499</c:v>
                </c:pt>
                <c:pt idx="129">
                  <c:v>11.043662590106711</c:v>
                </c:pt>
                <c:pt idx="130">
                  <c:v>0.42935493898721727</c:v>
                </c:pt>
                <c:pt idx="131">
                  <c:v>-1.6151668285157688</c:v>
                </c:pt>
                <c:pt idx="132">
                  <c:v>-1.4932464840219695</c:v>
                </c:pt>
                <c:pt idx="133">
                  <c:v>3.3658565617615945</c:v>
                </c:pt>
                <c:pt idx="134">
                  <c:v>-1.8157308123876064</c:v>
                </c:pt>
                <c:pt idx="135">
                  <c:v>1.1703548734311864E-2</c:v>
                </c:pt>
                <c:pt idx="136">
                  <c:v>-6.468082075291302</c:v>
                </c:pt>
                <c:pt idx="137">
                  <c:v>2.6479973687946696</c:v>
                </c:pt>
                <c:pt idx="138">
                  <c:v>6.1778910347930216</c:v>
                </c:pt>
                <c:pt idx="139">
                  <c:v>-2.0007491988410964</c:v>
                </c:pt>
                <c:pt idx="140">
                  <c:v>11.833401247127135</c:v>
                </c:pt>
                <c:pt idx="141">
                  <c:v>-0.43577904111513399</c:v>
                </c:pt>
                <c:pt idx="142">
                  <c:v>4.0733953961612723</c:v>
                </c:pt>
                <c:pt idx="143">
                  <c:v>-11.066220225256698</c:v>
                </c:pt>
                <c:pt idx="144">
                  <c:v>3.2757704973594057</c:v>
                </c:pt>
                <c:pt idx="145">
                  <c:v>-1.0873593652664539</c:v>
                </c:pt>
                <c:pt idx="146">
                  <c:v>0.68663644122569134</c:v>
                </c:pt>
                <c:pt idx="147">
                  <c:v>7.2026591980235501</c:v>
                </c:pt>
                <c:pt idx="148">
                  <c:v>-4.0134467538734011</c:v>
                </c:pt>
                <c:pt idx="149">
                  <c:v>8.5952617660211459</c:v>
                </c:pt>
                <c:pt idx="150">
                  <c:v>2.8262022636050803</c:v>
                </c:pt>
                <c:pt idx="151">
                  <c:v>-2.207824429917578</c:v>
                </c:pt>
                <c:pt idx="152">
                  <c:v>1.0577044311512933</c:v>
                </c:pt>
                <c:pt idx="153">
                  <c:v>-2.6016245320335063</c:v>
                </c:pt>
                <c:pt idx="154">
                  <c:v>-0.58280246553922321</c:v>
                </c:pt>
                <c:pt idx="155">
                  <c:v>11.32850681432665</c:v>
                </c:pt>
                <c:pt idx="156">
                  <c:v>-3.5972201258077736</c:v>
                </c:pt>
                <c:pt idx="157">
                  <c:v>-27.398311315794626</c:v>
                </c:pt>
                <c:pt idx="158">
                  <c:v>-0.91830308486536105</c:v>
                </c:pt>
                <c:pt idx="159">
                  <c:v>2.3791805825000418</c:v>
                </c:pt>
                <c:pt idx="160">
                  <c:v>-0.73181892710134189</c:v>
                </c:pt>
                <c:pt idx="161">
                  <c:v>2.3089050941620521</c:v>
                </c:pt>
                <c:pt idx="162">
                  <c:v>-1.2672184920411464</c:v>
                </c:pt>
                <c:pt idx="163">
                  <c:v>0.40783993058908524</c:v>
                </c:pt>
                <c:pt idx="164">
                  <c:v>0.85868439151680842</c:v>
                </c:pt>
                <c:pt idx="165">
                  <c:v>-7.0409744213437445E-2</c:v>
                </c:pt>
                <c:pt idx="166">
                  <c:v>-31.971729062828196</c:v>
                </c:pt>
                <c:pt idx="167">
                  <c:v>1.3331527250750703</c:v>
                </c:pt>
                <c:pt idx="168">
                  <c:v>0.40643996650614533</c:v>
                </c:pt>
                <c:pt idx="169">
                  <c:v>2.4400227452247978</c:v>
                </c:pt>
                <c:pt idx="170">
                  <c:v>-0.47849317367149946</c:v>
                </c:pt>
                <c:pt idx="171">
                  <c:v>1.2071748000317208</c:v>
                </c:pt>
                <c:pt idx="172">
                  <c:v>-3.4242260086185832</c:v>
                </c:pt>
                <c:pt idx="173">
                  <c:v>-6.034565695436382</c:v>
                </c:pt>
                <c:pt idx="174">
                  <c:v>-2.9413247891329455</c:v>
                </c:pt>
                <c:pt idx="175">
                  <c:v>-3.1389667545287776</c:v>
                </c:pt>
                <c:pt idx="176">
                  <c:v>-4.8589742141200754</c:v>
                </c:pt>
                <c:pt idx="177">
                  <c:v>3.0848924506864308</c:v>
                </c:pt>
                <c:pt idx="178">
                  <c:v>14.0223182493982</c:v>
                </c:pt>
                <c:pt idx="179">
                  <c:v>-0.90152880487771869</c:v>
                </c:pt>
                <c:pt idx="180">
                  <c:v>-10.148323712059847</c:v>
                </c:pt>
                <c:pt idx="181">
                  <c:v>1.3915750567270255</c:v>
                </c:pt>
                <c:pt idx="182">
                  <c:v>-1.2521360522784366</c:v>
                </c:pt>
                <c:pt idx="183">
                  <c:v>-3.4671905824389464</c:v>
                </c:pt>
                <c:pt idx="184">
                  <c:v>0.97866508410557085</c:v>
                </c:pt>
                <c:pt idx="185">
                  <c:v>-3.6392616462710707</c:v>
                </c:pt>
                <c:pt idx="186">
                  <c:v>0.43033764082202158</c:v>
                </c:pt>
                <c:pt idx="187">
                  <c:v>-3.3020425933200834</c:v>
                </c:pt>
                <c:pt idx="188">
                  <c:v>-0.7643387900847991</c:v>
                </c:pt>
                <c:pt idx="189">
                  <c:v>-2.5827963140177936</c:v>
                </c:pt>
                <c:pt idx="190">
                  <c:v>-5.0702375827351878</c:v>
                </c:pt>
                <c:pt idx="191">
                  <c:v>4.3321157900540275</c:v>
                </c:pt>
                <c:pt idx="192">
                  <c:v>0.39222143041720409</c:v>
                </c:pt>
                <c:pt idx="193">
                  <c:v>4.1352536951643826</c:v>
                </c:pt>
                <c:pt idx="194">
                  <c:v>3.9857195489307689</c:v>
                </c:pt>
                <c:pt idx="195">
                  <c:v>-1.517782829821088</c:v>
                </c:pt>
                <c:pt idx="196">
                  <c:v>0.25495916924634254</c:v>
                </c:pt>
                <c:pt idx="197">
                  <c:v>3.3241749667192315</c:v>
                </c:pt>
                <c:pt idx="198">
                  <c:v>7.6264018681219197</c:v>
                </c:pt>
                <c:pt idx="199">
                  <c:v>0.80080380795763584</c:v>
                </c:pt>
                <c:pt idx="200">
                  <c:v>1.054913887911364</c:v>
                </c:pt>
                <c:pt idx="201">
                  <c:v>-0.36156053332852367</c:v>
                </c:pt>
                <c:pt idx="202">
                  <c:v>0.93410747026821461</c:v>
                </c:pt>
                <c:pt idx="203">
                  <c:v>9.8490895977279695</c:v>
                </c:pt>
                <c:pt idx="204">
                  <c:v>0.84400530715444977</c:v>
                </c:pt>
                <c:pt idx="205">
                  <c:v>2.3365898477930589</c:v>
                </c:pt>
                <c:pt idx="206">
                  <c:v>-0.86218061601108853</c:v>
                </c:pt>
                <c:pt idx="207">
                  <c:v>4.6162290000094224</c:v>
                </c:pt>
                <c:pt idx="208">
                  <c:v>6.1519486952722614E-2</c:v>
                </c:pt>
                <c:pt idx="209">
                  <c:v>-1.9061581347264243</c:v>
                </c:pt>
                <c:pt idx="210">
                  <c:v>10.064802046425845</c:v>
                </c:pt>
                <c:pt idx="211">
                  <c:v>-13.875965307384536</c:v>
                </c:pt>
                <c:pt idx="212">
                  <c:v>2.8542746884929153</c:v>
                </c:pt>
                <c:pt idx="213">
                  <c:v>7.1002341041048647</c:v>
                </c:pt>
                <c:pt idx="214">
                  <c:v>8.7149688461739139</c:v>
                </c:pt>
                <c:pt idx="215">
                  <c:v>2.3851342407789895</c:v>
                </c:pt>
                <c:pt idx="216">
                  <c:v>-0.28200019221828038</c:v>
                </c:pt>
                <c:pt idx="217">
                  <c:v>2.4549702984155446</c:v>
                </c:pt>
                <c:pt idx="218">
                  <c:v>2.3480043134940431</c:v>
                </c:pt>
                <c:pt idx="219">
                  <c:v>3.4930232115738868</c:v>
                </c:pt>
                <c:pt idx="220">
                  <c:v>-1.4690139181948034</c:v>
                </c:pt>
                <c:pt idx="221">
                  <c:v>-0.56195587435191086</c:v>
                </c:pt>
                <c:pt idx="222">
                  <c:v>11.619796847290248</c:v>
                </c:pt>
                <c:pt idx="223">
                  <c:v>1.469218714794742</c:v>
                </c:pt>
                <c:pt idx="224">
                  <c:v>4.1686266509755381</c:v>
                </c:pt>
                <c:pt idx="225">
                  <c:v>-6.2553955974577553</c:v>
                </c:pt>
                <c:pt idx="226">
                  <c:v>3.5956983700855969</c:v>
                </c:pt>
                <c:pt idx="227">
                  <c:v>8.1789213829174479</c:v>
                </c:pt>
                <c:pt idx="228">
                  <c:v>3.8673285791085319</c:v>
                </c:pt>
                <c:pt idx="229">
                  <c:v>-0.11633860926209441</c:v>
                </c:pt>
                <c:pt idx="230">
                  <c:v>-6.1129940315140567</c:v>
                </c:pt>
                <c:pt idx="231">
                  <c:v>-2.2912714493639745</c:v>
                </c:pt>
                <c:pt idx="232">
                  <c:v>16.796636292766582</c:v>
                </c:pt>
                <c:pt idx="233">
                  <c:v>-7.1063808480414661</c:v>
                </c:pt>
                <c:pt idx="234">
                  <c:v>4.090482326892773</c:v>
                </c:pt>
                <c:pt idx="235">
                  <c:v>1.5513371478932505</c:v>
                </c:pt>
                <c:pt idx="236">
                  <c:v>8.7470547034503454</c:v>
                </c:pt>
                <c:pt idx="237">
                  <c:v>-3.0775380781502988</c:v>
                </c:pt>
                <c:pt idx="238">
                  <c:v>-7.4505992686497544</c:v>
                </c:pt>
                <c:pt idx="239">
                  <c:v>10.850206101202284</c:v>
                </c:pt>
                <c:pt idx="240">
                  <c:v>6.4130755469456364</c:v>
                </c:pt>
                <c:pt idx="241">
                  <c:v>-3.0371359962035982E-3</c:v>
                </c:pt>
                <c:pt idx="242">
                  <c:v>1.7918899287612886</c:v>
                </c:pt>
                <c:pt idx="243">
                  <c:v>4.8044290567784653</c:v>
                </c:pt>
                <c:pt idx="244">
                  <c:v>-3.4280057907113242</c:v>
                </c:pt>
                <c:pt idx="245">
                  <c:v>-3.3046918660548359</c:v>
                </c:pt>
                <c:pt idx="246">
                  <c:v>-0.24731801896295966</c:v>
                </c:pt>
                <c:pt idx="247">
                  <c:v>9.7761997143830186</c:v>
                </c:pt>
                <c:pt idx="248">
                  <c:v>4.7962256343596872</c:v>
                </c:pt>
                <c:pt idx="249">
                  <c:v>0.18243273815658323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A0-4B9B-8724-2A13AF04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88304"/>
        <c:axId val="1618086384"/>
      </c:scatterChart>
      <c:valAx>
        <c:axId val="1618088304"/>
        <c:scaling>
          <c:orientation val="minMax"/>
          <c:max val="135"/>
          <c:min val="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86384"/>
        <c:crosses val="autoZero"/>
        <c:crossBetween val="midCat"/>
        <c:majorUnit val="10"/>
        <c:minorUnit val="5"/>
      </c:valAx>
      <c:valAx>
        <c:axId val="16180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8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vs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'1'!$E$8:$E$257</c:f>
              <c:numCache>
                <c:formatCode>General</c:formatCode>
                <c:ptCount val="250"/>
                <c:pt idx="0">
                  <c:v>28.04</c:v>
                </c:pt>
                <c:pt idx="1">
                  <c:v>28.93</c:v>
                </c:pt>
                <c:pt idx="2">
                  <c:v>35</c:v>
                </c:pt>
                <c:pt idx="3">
                  <c:v>33.229999999999997</c:v>
                </c:pt>
                <c:pt idx="4">
                  <c:v>28.24</c:v>
                </c:pt>
                <c:pt idx="5">
                  <c:v>29.1</c:v>
                </c:pt>
                <c:pt idx="6">
                  <c:v>20.91</c:v>
                </c:pt>
                <c:pt idx="7">
                  <c:v>26.38</c:v>
                </c:pt>
                <c:pt idx="8">
                  <c:v>30.3</c:v>
                </c:pt>
                <c:pt idx="9">
                  <c:v>22.4</c:v>
                </c:pt>
                <c:pt idx="10">
                  <c:v>27.55</c:v>
                </c:pt>
                <c:pt idx="11">
                  <c:v>35</c:v>
                </c:pt>
                <c:pt idx="12">
                  <c:v>22.11</c:v>
                </c:pt>
                <c:pt idx="13">
                  <c:v>22.43</c:v>
                </c:pt>
                <c:pt idx="14">
                  <c:v>25</c:v>
                </c:pt>
                <c:pt idx="15">
                  <c:v>29.76</c:v>
                </c:pt>
                <c:pt idx="16">
                  <c:v>26.79</c:v>
                </c:pt>
                <c:pt idx="17">
                  <c:v>27.48</c:v>
                </c:pt>
                <c:pt idx="18">
                  <c:v>35</c:v>
                </c:pt>
                <c:pt idx="19">
                  <c:v>25.89</c:v>
                </c:pt>
                <c:pt idx="20">
                  <c:v>21.85</c:v>
                </c:pt>
                <c:pt idx="21">
                  <c:v>30.42</c:v>
                </c:pt>
                <c:pt idx="22">
                  <c:v>26.31</c:v>
                </c:pt>
                <c:pt idx="23">
                  <c:v>24.26</c:v>
                </c:pt>
                <c:pt idx="24">
                  <c:v>30.56</c:v>
                </c:pt>
                <c:pt idx="25">
                  <c:v>22.64</c:v>
                </c:pt>
                <c:pt idx="26">
                  <c:v>29.46</c:v>
                </c:pt>
                <c:pt idx="27">
                  <c:v>29.23</c:v>
                </c:pt>
                <c:pt idx="28">
                  <c:v>29.42</c:v>
                </c:pt>
                <c:pt idx="29">
                  <c:v>29.96</c:v>
                </c:pt>
                <c:pt idx="30">
                  <c:v>30.77</c:v>
                </c:pt>
                <c:pt idx="31">
                  <c:v>28.57</c:v>
                </c:pt>
                <c:pt idx="32">
                  <c:v>25.52</c:v>
                </c:pt>
                <c:pt idx="33">
                  <c:v>23.94</c:v>
                </c:pt>
                <c:pt idx="34">
                  <c:v>35</c:v>
                </c:pt>
                <c:pt idx="35">
                  <c:v>35</c:v>
                </c:pt>
                <c:pt idx="36">
                  <c:v>28.11</c:v>
                </c:pt>
                <c:pt idx="37">
                  <c:v>28.2</c:v>
                </c:pt>
                <c:pt idx="38">
                  <c:v>20</c:v>
                </c:pt>
                <c:pt idx="39">
                  <c:v>27.6</c:v>
                </c:pt>
                <c:pt idx="40">
                  <c:v>31.05</c:v>
                </c:pt>
                <c:pt idx="41">
                  <c:v>20</c:v>
                </c:pt>
                <c:pt idx="42">
                  <c:v>29.03</c:v>
                </c:pt>
                <c:pt idx="43">
                  <c:v>21.63</c:v>
                </c:pt>
                <c:pt idx="44">
                  <c:v>20</c:v>
                </c:pt>
                <c:pt idx="45">
                  <c:v>28.15</c:v>
                </c:pt>
                <c:pt idx="46">
                  <c:v>27.47</c:v>
                </c:pt>
                <c:pt idx="47">
                  <c:v>35</c:v>
                </c:pt>
                <c:pt idx="48">
                  <c:v>25.83</c:v>
                </c:pt>
                <c:pt idx="49">
                  <c:v>22.85</c:v>
                </c:pt>
                <c:pt idx="50">
                  <c:v>27.72</c:v>
                </c:pt>
                <c:pt idx="51">
                  <c:v>28.61</c:v>
                </c:pt>
                <c:pt idx="52">
                  <c:v>35</c:v>
                </c:pt>
                <c:pt idx="53">
                  <c:v>35</c:v>
                </c:pt>
                <c:pt idx="54">
                  <c:v>20</c:v>
                </c:pt>
                <c:pt idx="55">
                  <c:v>21.19</c:v>
                </c:pt>
                <c:pt idx="56">
                  <c:v>28.65</c:v>
                </c:pt>
                <c:pt idx="57">
                  <c:v>35</c:v>
                </c:pt>
                <c:pt idx="58">
                  <c:v>28.19</c:v>
                </c:pt>
                <c:pt idx="59">
                  <c:v>27.01</c:v>
                </c:pt>
                <c:pt idx="60">
                  <c:v>30.65</c:v>
                </c:pt>
                <c:pt idx="61">
                  <c:v>35</c:v>
                </c:pt>
                <c:pt idx="62">
                  <c:v>28.21</c:v>
                </c:pt>
                <c:pt idx="63">
                  <c:v>27.54</c:v>
                </c:pt>
                <c:pt idx="64">
                  <c:v>23.14</c:v>
                </c:pt>
                <c:pt idx="65">
                  <c:v>20</c:v>
                </c:pt>
                <c:pt idx="66">
                  <c:v>26.33</c:v>
                </c:pt>
                <c:pt idx="67">
                  <c:v>25.53</c:v>
                </c:pt>
                <c:pt idx="68">
                  <c:v>27.59</c:v>
                </c:pt>
                <c:pt idx="69">
                  <c:v>25.62</c:v>
                </c:pt>
                <c:pt idx="70">
                  <c:v>28.24</c:v>
                </c:pt>
                <c:pt idx="71">
                  <c:v>21.24</c:v>
                </c:pt>
                <c:pt idx="72">
                  <c:v>28.48</c:v>
                </c:pt>
                <c:pt idx="73">
                  <c:v>28.07</c:v>
                </c:pt>
                <c:pt idx="74">
                  <c:v>35</c:v>
                </c:pt>
                <c:pt idx="75">
                  <c:v>20.420000000000002</c:v>
                </c:pt>
                <c:pt idx="76">
                  <c:v>28.42</c:v>
                </c:pt>
                <c:pt idx="77">
                  <c:v>30.21</c:v>
                </c:pt>
                <c:pt idx="78">
                  <c:v>32.58</c:v>
                </c:pt>
                <c:pt idx="79">
                  <c:v>28.54</c:v>
                </c:pt>
                <c:pt idx="80">
                  <c:v>35</c:v>
                </c:pt>
                <c:pt idx="81">
                  <c:v>20</c:v>
                </c:pt>
                <c:pt idx="82">
                  <c:v>20</c:v>
                </c:pt>
                <c:pt idx="83">
                  <c:v>22.52</c:v>
                </c:pt>
                <c:pt idx="84">
                  <c:v>27.25</c:v>
                </c:pt>
                <c:pt idx="85">
                  <c:v>35</c:v>
                </c:pt>
                <c:pt idx="86">
                  <c:v>20</c:v>
                </c:pt>
                <c:pt idx="87">
                  <c:v>29.95</c:v>
                </c:pt>
                <c:pt idx="88">
                  <c:v>24.43</c:v>
                </c:pt>
                <c:pt idx="89">
                  <c:v>23.65</c:v>
                </c:pt>
                <c:pt idx="90">
                  <c:v>28.37</c:v>
                </c:pt>
                <c:pt idx="91">
                  <c:v>28.86</c:v>
                </c:pt>
                <c:pt idx="92">
                  <c:v>35</c:v>
                </c:pt>
                <c:pt idx="93">
                  <c:v>20.8</c:v>
                </c:pt>
                <c:pt idx="94">
                  <c:v>29.86</c:v>
                </c:pt>
                <c:pt idx="95">
                  <c:v>29.18</c:v>
                </c:pt>
                <c:pt idx="96">
                  <c:v>28.36</c:v>
                </c:pt>
                <c:pt idx="97">
                  <c:v>35</c:v>
                </c:pt>
                <c:pt idx="98">
                  <c:v>35</c:v>
                </c:pt>
                <c:pt idx="99">
                  <c:v>25.76</c:v>
                </c:pt>
                <c:pt idx="100">
                  <c:v>24.51</c:v>
                </c:pt>
                <c:pt idx="101">
                  <c:v>25.54</c:v>
                </c:pt>
                <c:pt idx="102">
                  <c:v>30.77</c:v>
                </c:pt>
                <c:pt idx="103">
                  <c:v>22.45</c:v>
                </c:pt>
                <c:pt idx="104">
                  <c:v>28.09</c:v>
                </c:pt>
                <c:pt idx="105">
                  <c:v>20</c:v>
                </c:pt>
                <c:pt idx="106">
                  <c:v>25.03</c:v>
                </c:pt>
                <c:pt idx="107">
                  <c:v>21.64</c:v>
                </c:pt>
                <c:pt idx="108">
                  <c:v>33.65</c:v>
                </c:pt>
                <c:pt idx="109">
                  <c:v>23.71</c:v>
                </c:pt>
                <c:pt idx="110">
                  <c:v>23.5</c:v>
                </c:pt>
                <c:pt idx="111">
                  <c:v>29.94</c:v>
                </c:pt>
                <c:pt idx="112">
                  <c:v>21.1</c:v>
                </c:pt>
                <c:pt idx="113">
                  <c:v>24.92</c:v>
                </c:pt>
                <c:pt idx="114">
                  <c:v>35</c:v>
                </c:pt>
                <c:pt idx="115">
                  <c:v>35</c:v>
                </c:pt>
                <c:pt idx="116">
                  <c:v>29.05</c:v>
                </c:pt>
                <c:pt idx="117">
                  <c:v>25.93</c:v>
                </c:pt>
                <c:pt idx="118">
                  <c:v>26.4</c:v>
                </c:pt>
                <c:pt idx="119">
                  <c:v>29.13</c:v>
                </c:pt>
                <c:pt idx="120">
                  <c:v>26.99</c:v>
                </c:pt>
                <c:pt idx="121">
                  <c:v>21.54</c:v>
                </c:pt>
                <c:pt idx="122">
                  <c:v>28.39</c:v>
                </c:pt>
                <c:pt idx="123">
                  <c:v>35</c:v>
                </c:pt>
                <c:pt idx="124">
                  <c:v>24.6</c:v>
                </c:pt>
                <c:pt idx="125">
                  <c:v>28.61</c:v>
                </c:pt>
                <c:pt idx="126">
                  <c:v>20</c:v>
                </c:pt>
                <c:pt idx="127">
                  <c:v>24.97</c:v>
                </c:pt>
                <c:pt idx="128">
                  <c:v>30.2</c:v>
                </c:pt>
                <c:pt idx="129">
                  <c:v>22.98</c:v>
                </c:pt>
                <c:pt idx="130">
                  <c:v>26.2</c:v>
                </c:pt>
                <c:pt idx="131">
                  <c:v>35</c:v>
                </c:pt>
                <c:pt idx="132">
                  <c:v>28.76</c:v>
                </c:pt>
                <c:pt idx="133">
                  <c:v>25.78</c:v>
                </c:pt>
                <c:pt idx="134">
                  <c:v>32.479999999999997</c:v>
                </c:pt>
                <c:pt idx="135">
                  <c:v>20.46</c:v>
                </c:pt>
                <c:pt idx="136">
                  <c:v>20</c:v>
                </c:pt>
                <c:pt idx="137">
                  <c:v>21.04</c:v>
                </c:pt>
                <c:pt idx="138">
                  <c:v>23.02</c:v>
                </c:pt>
                <c:pt idx="139">
                  <c:v>29.17</c:v>
                </c:pt>
                <c:pt idx="140">
                  <c:v>24.45</c:v>
                </c:pt>
                <c:pt idx="141">
                  <c:v>20.92</c:v>
                </c:pt>
                <c:pt idx="142">
                  <c:v>30.84</c:v>
                </c:pt>
                <c:pt idx="143">
                  <c:v>33.81</c:v>
                </c:pt>
                <c:pt idx="144">
                  <c:v>25.68</c:v>
                </c:pt>
                <c:pt idx="145">
                  <c:v>29.79</c:v>
                </c:pt>
                <c:pt idx="146">
                  <c:v>27.28</c:v>
                </c:pt>
                <c:pt idx="147">
                  <c:v>20.59</c:v>
                </c:pt>
                <c:pt idx="148">
                  <c:v>35</c:v>
                </c:pt>
                <c:pt idx="149">
                  <c:v>28.04</c:v>
                </c:pt>
                <c:pt idx="150">
                  <c:v>25.39</c:v>
                </c:pt>
                <c:pt idx="151">
                  <c:v>28.4</c:v>
                </c:pt>
                <c:pt idx="152">
                  <c:v>23.76</c:v>
                </c:pt>
                <c:pt idx="153">
                  <c:v>27.09</c:v>
                </c:pt>
                <c:pt idx="154">
                  <c:v>29.01</c:v>
                </c:pt>
                <c:pt idx="155">
                  <c:v>27.6</c:v>
                </c:pt>
                <c:pt idx="156">
                  <c:v>26.44</c:v>
                </c:pt>
                <c:pt idx="157">
                  <c:v>30.18</c:v>
                </c:pt>
                <c:pt idx="158">
                  <c:v>20</c:v>
                </c:pt>
                <c:pt idx="159">
                  <c:v>30.22</c:v>
                </c:pt>
                <c:pt idx="160">
                  <c:v>29.13</c:v>
                </c:pt>
                <c:pt idx="161">
                  <c:v>23.96</c:v>
                </c:pt>
                <c:pt idx="162">
                  <c:v>25.48</c:v>
                </c:pt>
                <c:pt idx="163">
                  <c:v>20</c:v>
                </c:pt>
                <c:pt idx="164">
                  <c:v>24.06</c:v>
                </c:pt>
                <c:pt idx="165">
                  <c:v>35</c:v>
                </c:pt>
                <c:pt idx="166">
                  <c:v>33.58</c:v>
                </c:pt>
                <c:pt idx="167">
                  <c:v>27.15</c:v>
                </c:pt>
                <c:pt idx="168">
                  <c:v>31.72</c:v>
                </c:pt>
                <c:pt idx="169">
                  <c:v>29.49</c:v>
                </c:pt>
                <c:pt idx="170">
                  <c:v>29.74</c:v>
                </c:pt>
                <c:pt idx="171">
                  <c:v>26.4</c:v>
                </c:pt>
                <c:pt idx="172">
                  <c:v>20.99</c:v>
                </c:pt>
                <c:pt idx="173">
                  <c:v>35</c:v>
                </c:pt>
                <c:pt idx="174">
                  <c:v>27.81</c:v>
                </c:pt>
                <c:pt idx="175">
                  <c:v>23.48</c:v>
                </c:pt>
                <c:pt idx="176">
                  <c:v>35</c:v>
                </c:pt>
                <c:pt idx="177">
                  <c:v>35</c:v>
                </c:pt>
                <c:pt idx="178">
                  <c:v>22.47</c:v>
                </c:pt>
                <c:pt idx="179">
                  <c:v>29.43</c:v>
                </c:pt>
                <c:pt idx="180">
                  <c:v>29.97</c:v>
                </c:pt>
                <c:pt idx="181">
                  <c:v>26.84</c:v>
                </c:pt>
                <c:pt idx="182">
                  <c:v>28.84</c:v>
                </c:pt>
                <c:pt idx="183">
                  <c:v>27.35</c:v>
                </c:pt>
                <c:pt idx="184">
                  <c:v>29.79</c:v>
                </c:pt>
                <c:pt idx="185">
                  <c:v>22.04</c:v>
                </c:pt>
                <c:pt idx="186">
                  <c:v>32.25</c:v>
                </c:pt>
                <c:pt idx="187">
                  <c:v>35</c:v>
                </c:pt>
                <c:pt idx="188">
                  <c:v>35</c:v>
                </c:pt>
                <c:pt idx="189">
                  <c:v>20.21</c:v>
                </c:pt>
                <c:pt idx="190">
                  <c:v>20</c:v>
                </c:pt>
                <c:pt idx="191">
                  <c:v>22.52</c:v>
                </c:pt>
                <c:pt idx="192">
                  <c:v>35</c:v>
                </c:pt>
                <c:pt idx="193">
                  <c:v>27.79</c:v>
                </c:pt>
                <c:pt idx="194">
                  <c:v>22.89</c:v>
                </c:pt>
                <c:pt idx="195">
                  <c:v>23.66</c:v>
                </c:pt>
                <c:pt idx="196">
                  <c:v>35</c:v>
                </c:pt>
                <c:pt idx="197">
                  <c:v>26.49</c:v>
                </c:pt>
                <c:pt idx="198">
                  <c:v>26.03</c:v>
                </c:pt>
                <c:pt idx="199">
                  <c:v>32.799999999999997</c:v>
                </c:pt>
                <c:pt idx="200">
                  <c:v>35</c:v>
                </c:pt>
                <c:pt idx="201">
                  <c:v>23.89</c:v>
                </c:pt>
                <c:pt idx="202">
                  <c:v>31.52</c:v>
                </c:pt>
                <c:pt idx="203">
                  <c:v>23.19</c:v>
                </c:pt>
                <c:pt idx="204">
                  <c:v>23.76</c:v>
                </c:pt>
                <c:pt idx="205">
                  <c:v>30.77</c:v>
                </c:pt>
                <c:pt idx="206">
                  <c:v>23.13</c:v>
                </c:pt>
                <c:pt idx="207">
                  <c:v>26.15</c:v>
                </c:pt>
                <c:pt idx="208">
                  <c:v>29.9</c:v>
                </c:pt>
                <c:pt idx="209">
                  <c:v>22.46</c:v>
                </c:pt>
                <c:pt idx="210">
                  <c:v>30.53</c:v>
                </c:pt>
                <c:pt idx="211">
                  <c:v>26.76</c:v>
                </c:pt>
                <c:pt idx="212">
                  <c:v>30.67</c:v>
                </c:pt>
                <c:pt idx="213">
                  <c:v>20.85</c:v>
                </c:pt>
                <c:pt idx="214">
                  <c:v>28.96</c:v>
                </c:pt>
                <c:pt idx="215">
                  <c:v>24.46</c:v>
                </c:pt>
                <c:pt idx="216">
                  <c:v>29.8</c:v>
                </c:pt>
                <c:pt idx="217">
                  <c:v>25.03</c:v>
                </c:pt>
                <c:pt idx="218">
                  <c:v>23.08</c:v>
                </c:pt>
                <c:pt idx="219">
                  <c:v>30.5</c:v>
                </c:pt>
                <c:pt idx="220">
                  <c:v>25.76</c:v>
                </c:pt>
                <c:pt idx="221">
                  <c:v>25.45</c:v>
                </c:pt>
                <c:pt idx="222">
                  <c:v>23.18</c:v>
                </c:pt>
                <c:pt idx="223">
                  <c:v>27.17</c:v>
                </c:pt>
                <c:pt idx="224">
                  <c:v>24.22</c:v>
                </c:pt>
                <c:pt idx="225">
                  <c:v>27.71</c:v>
                </c:pt>
                <c:pt idx="226">
                  <c:v>24.88</c:v>
                </c:pt>
                <c:pt idx="227">
                  <c:v>25.84</c:v>
                </c:pt>
                <c:pt idx="228">
                  <c:v>35</c:v>
                </c:pt>
                <c:pt idx="229">
                  <c:v>20.61</c:v>
                </c:pt>
                <c:pt idx="230">
                  <c:v>29.18</c:v>
                </c:pt>
                <c:pt idx="231">
                  <c:v>28.45</c:v>
                </c:pt>
                <c:pt idx="232">
                  <c:v>23.76</c:v>
                </c:pt>
                <c:pt idx="233">
                  <c:v>35</c:v>
                </c:pt>
                <c:pt idx="234">
                  <c:v>21.09</c:v>
                </c:pt>
                <c:pt idx="235">
                  <c:v>29.73</c:v>
                </c:pt>
                <c:pt idx="236">
                  <c:v>23.67</c:v>
                </c:pt>
                <c:pt idx="237">
                  <c:v>31</c:v>
                </c:pt>
                <c:pt idx="238">
                  <c:v>20</c:v>
                </c:pt>
                <c:pt idx="239">
                  <c:v>22.13</c:v>
                </c:pt>
                <c:pt idx="240">
                  <c:v>28.17</c:v>
                </c:pt>
                <c:pt idx="241">
                  <c:v>35</c:v>
                </c:pt>
                <c:pt idx="242">
                  <c:v>24.73</c:v>
                </c:pt>
                <c:pt idx="243">
                  <c:v>22.35</c:v>
                </c:pt>
                <c:pt idx="244">
                  <c:v>28.34</c:v>
                </c:pt>
                <c:pt idx="245">
                  <c:v>35</c:v>
                </c:pt>
                <c:pt idx="246">
                  <c:v>23.99</c:v>
                </c:pt>
                <c:pt idx="247">
                  <c:v>25.23</c:v>
                </c:pt>
                <c:pt idx="248">
                  <c:v>21.98</c:v>
                </c:pt>
                <c:pt idx="249">
                  <c:v>23.73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-1.5933306757097747</c:v>
                </c:pt>
                <c:pt idx="1">
                  <c:v>1.1674652933031382</c:v>
                </c:pt>
                <c:pt idx="2">
                  <c:v>-2.9632769915513104</c:v>
                </c:pt>
                <c:pt idx="3">
                  <c:v>-4.1265406410988268</c:v>
                </c:pt>
                <c:pt idx="4">
                  <c:v>-1.8393385656311152</c:v>
                </c:pt>
                <c:pt idx="5">
                  <c:v>0.19427167479577967</c:v>
                </c:pt>
                <c:pt idx="6">
                  <c:v>0.64925282389737771</c:v>
                </c:pt>
                <c:pt idx="7">
                  <c:v>3.0624925643217988</c:v>
                </c:pt>
                <c:pt idx="8">
                  <c:v>6.0595388675910815</c:v>
                </c:pt>
                <c:pt idx="9">
                  <c:v>8.1586743449696915</c:v>
                </c:pt>
                <c:pt idx="10">
                  <c:v>6.3690280378693203</c:v>
                </c:pt>
                <c:pt idx="11">
                  <c:v>-7.9028640272852986</c:v>
                </c:pt>
                <c:pt idx="12">
                  <c:v>1.5904311529674273</c:v>
                </c:pt>
                <c:pt idx="13">
                  <c:v>13.938340457955736</c:v>
                </c:pt>
                <c:pt idx="14">
                  <c:v>1.5696098630500082</c:v>
                </c:pt>
                <c:pt idx="15">
                  <c:v>5.7479408257300575</c:v>
                </c:pt>
                <c:pt idx="16">
                  <c:v>0.25348474206502031</c:v>
                </c:pt>
                <c:pt idx="17">
                  <c:v>-0.38727774020833178</c:v>
                </c:pt>
                <c:pt idx="18">
                  <c:v>-0.30466870859461764</c:v>
                </c:pt>
                <c:pt idx="19">
                  <c:v>7.6359151207580149</c:v>
                </c:pt>
                <c:pt idx="20">
                  <c:v>1.5383860068824269</c:v>
                </c:pt>
                <c:pt idx="21">
                  <c:v>-3.69773657241051E-2</c:v>
                </c:pt>
                <c:pt idx="22">
                  <c:v>4.6568825747156639</c:v>
                </c:pt>
                <c:pt idx="23">
                  <c:v>10.50775564628654</c:v>
                </c:pt>
                <c:pt idx="24">
                  <c:v>2.7545066169370007</c:v>
                </c:pt>
                <c:pt idx="25">
                  <c:v>3.2923657754951421</c:v>
                </c:pt>
                <c:pt idx="26">
                  <c:v>-7.8611098662227111E-2</c:v>
                </c:pt>
                <c:pt idx="27">
                  <c:v>-2.687891192096191</c:v>
                </c:pt>
                <c:pt idx="28">
                  <c:v>-1.3575718794965064</c:v>
                </c:pt>
                <c:pt idx="29">
                  <c:v>-11.79587195292827</c:v>
                </c:pt>
                <c:pt idx="30">
                  <c:v>-0.28368888028567246</c:v>
                </c:pt>
                <c:pt idx="31">
                  <c:v>9.2441072984649839</c:v>
                </c:pt>
                <c:pt idx="32">
                  <c:v>1.4767471540517076</c:v>
                </c:pt>
                <c:pt idx="33">
                  <c:v>0.99856263408872847</c:v>
                </c:pt>
                <c:pt idx="34">
                  <c:v>-2.5530867753115807</c:v>
                </c:pt>
                <c:pt idx="35">
                  <c:v>-0.30825631845963503</c:v>
                </c:pt>
                <c:pt idx="36">
                  <c:v>7.2227663945470599</c:v>
                </c:pt>
                <c:pt idx="37">
                  <c:v>-4.534247652200416</c:v>
                </c:pt>
                <c:pt idx="38">
                  <c:v>-6.6017846558817466</c:v>
                </c:pt>
                <c:pt idx="39">
                  <c:v>2.6261949566927933</c:v>
                </c:pt>
                <c:pt idx="40">
                  <c:v>-4.7771892282593678</c:v>
                </c:pt>
                <c:pt idx="41">
                  <c:v>7.7528861682173416</c:v>
                </c:pt>
                <c:pt idx="42">
                  <c:v>-0.22936122382150823</c:v>
                </c:pt>
                <c:pt idx="43">
                  <c:v>8.2515110809990126</c:v>
                </c:pt>
                <c:pt idx="44">
                  <c:v>-4.2246132855309622</c:v>
                </c:pt>
                <c:pt idx="45">
                  <c:v>-1.7018655351116068</c:v>
                </c:pt>
                <c:pt idx="46">
                  <c:v>-2.6650124105219746</c:v>
                </c:pt>
                <c:pt idx="47">
                  <c:v>0.17916568292927168</c:v>
                </c:pt>
                <c:pt idx="48">
                  <c:v>-1.4283771836747645</c:v>
                </c:pt>
                <c:pt idx="49">
                  <c:v>2.5549058019818887</c:v>
                </c:pt>
                <c:pt idx="50">
                  <c:v>9.8760402589179179</c:v>
                </c:pt>
                <c:pt idx="51">
                  <c:v>-0.95256739887580699</c:v>
                </c:pt>
                <c:pt idx="52">
                  <c:v>-3.3139557139236895</c:v>
                </c:pt>
                <c:pt idx="53">
                  <c:v>3.2762227023770358</c:v>
                </c:pt>
                <c:pt idx="54">
                  <c:v>-4.9231555900008406</c:v>
                </c:pt>
                <c:pt idx="55">
                  <c:v>14.082101527715698</c:v>
                </c:pt>
                <c:pt idx="56">
                  <c:v>2.3461842929244154</c:v>
                </c:pt>
                <c:pt idx="57">
                  <c:v>-0.69877239566555993</c:v>
                </c:pt>
                <c:pt idx="58">
                  <c:v>1.951935278226731</c:v>
                </c:pt>
                <c:pt idx="59">
                  <c:v>-0.2642444467409617</c:v>
                </c:pt>
                <c:pt idx="60">
                  <c:v>-0.150233116904533</c:v>
                </c:pt>
                <c:pt idx="61">
                  <c:v>-3.208853642741115</c:v>
                </c:pt>
                <c:pt idx="62">
                  <c:v>-3.4213724768814111</c:v>
                </c:pt>
                <c:pt idx="63">
                  <c:v>0.53990300862665175</c:v>
                </c:pt>
                <c:pt idx="64">
                  <c:v>-1.7912677196802622</c:v>
                </c:pt>
                <c:pt idx="65">
                  <c:v>-0.93214493130069509</c:v>
                </c:pt>
                <c:pt idx="66">
                  <c:v>0.40052406421214853</c:v>
                </c:pt>
                <c:pt idx="67">
                  <c:v>1.4882422316168313</c:v>
                </c:pt>
                <c:pt idx="68">
                  <c:v>3.8949050637791598</c:v>
                </c:pt>
                <c:pt idx="69">
                  <c:v>14.722764184816048</c:v>
                </c:pt>
                <c:pt idx="70">
                  <c:v>12.712329086815883</c:v>
                </c:pt>
                <c:pt idx="71">
                  <c:v>5.2705152699709528</c:v>
                </c:pt>
                <c:pt idx="72">
                  <c:v>1.5580192761439586</c:v>
                </c:pt>
                <c:pt idx="73">
                  <c:v>10.223657818081882</c:v>
                </c:pt>
                <c:pt idx="74">
                  <c:v>-15.316837019799761</c:v>
                </c:pt>
                <c:pt idx="75">
                  <c:v>1.173602524819944</c:v>
                </c:pt>
                <c:pt idx="76">
                  <c:v>2.8720582843187694</c:v>
                </c:pt>
                <c:pt idx="77">
                  <c:v>10.84136156905678</c:v>
                </c:pt>
                <c:pt idx="78">
                  <c:v>-7.5418167358783332</c:v>
                </c:pt>
                <c:pt idx="79">
                  <c:v>-0.93143073110186336</c:v>
                </c:pt>
                <c:pt idx="80">
                  <c:v>-3.7941628157768297</c:v>
                </c:pt>
                <c:pt idx="81">
                  <c:v>-3.3986681053593633</c:v>
                </c:pt>
                <c:pt idx="82">
                  <c:v>6.5069181555240236</c:v>
                </c:pt>
                <c:pt idx="83">
                  <c:v>-0.96580391581236535</c:v>
                </c:pt>
                <c:pt idx="84">
                  <c:v>9.6865738734128204</c:v>
                </c:pt>
                <c:pt idx="85">
                  <c:v>-5.6697293493684793</c:v>
                </c:pt>
                <c:pt idx="86">
                  <c:v>15.729326118325982</c:v>
                </c:pt>
                <c:pt idx="87">
                  <c:v>0.7033061861820511</c:v>
                </c:pt>
                <c:pt idx="88">
                  <c:v>3.8842423434180575</c:v>
                </c:pt>
                <c:pt idx="89">
                  <c:v>-1.6282579877361776</c:v>
                </c:pt>
                <c:pt idx="90">
                  <c:v>-2.238887132642128</c:v>
                </c:pt>
                <c:pt idx="91">
                  <c:v>-2.1549004459889263</c:v>
                </c:pt>
                <c:pt idx="92">
                  <c:v>0.97025036120886243</c:v>
                </c:pt>
                <c:pt idx="93">
                  <c:v>10.484337171094534</c:v>
                </c:pt>
                <c:pt idx="94">
                  <c:v>-1.2215500575941629</c:v>
                </c:pt>
                <c:pt idx="95">
                  <c:v>1.7015291582181851</c:v>
                </c:pt>
                <c:pt idx="96">
                  <c:v>-2.6326307817094077</c:v>
                </c:pt>
                <c:pt idx="97">
                  <c:v>-16.220672619891442</c:v>
                </c:pt>
                <c:pt idx="98">
                  <c:v>-3.5836660087025671</c:v>
                </c:pt>
                <c:pt idx="99">
                  <c:v>4.525510437695778</c:v>
                </c:pt>
                <c:pt idx="100">
                  <c:v>7.2975411389303764</c:v>
                </c:pt>
                <c:pt idx="101">
                  <c:v>-7.6060894106764714</c:v>
                </c:pt>
                <c:pt idx="102">
                  <c:v>-30.415727735161596</c:v>
                </c:pt>
                <c:pt idx="103">
                  <c:v>3.0809667497693001</c:v>
                </c:pt>
                <c:pt idx="104">
                  <c:v>-4.260602914981745</c:v>
                </c:pt>
                <c:pt idx="105">
                  <c:v>-2.4505762704817804</c:v>
                </c:pt>
                <c:pt idx="106">
                  <c:v>2.8187283305991175</c:v>
                </c:pt>
                <c:pt idx="107">
                  <c:v>3.3704153307166003</c:v>
                </c:pt>
                <c:pt idx="108">
                  <c:v>-17.958789028482812</c:v>
                </c:pt>
                <c:pt idx="109">
                  <c:v>1.4588301439206832</c:v>
                </c:pt>
                <c:pt idx="110">
                  <c:v>-3.034110061957723</c:v>
                </c:pt>
                <c:pt idx="111">
                  <c:v>1.1413750375199145</c:v>
                </c:pt>
                <c:pt idx="112">
                  <c:v>0.38727343234547107</c:v>
                </c:pt>
                <c:pt idx="113">
                  <c:v>3.4762972699397023</c:v>
                </c:pt>
                <c:pt idx="114">
                  <c:v>-22.973121511611183</c:v>
                </c:pt>
                <c:pt idx="115">
                  <c:v>-2.3787832757064207</c:v>
                </c:pt>
                <c:pt idx="116">
                  <c:v>2.160607721566755</c:v>
                </c:pt>
                <c:pt idx="117">
                  <c:v>1.189129665055263</c:v>
                </c:pt>
                <c:pt idx="118">
                  <c:v>-0.85998722147116791</c:v>
                </c:pt>
                <c:pt idx="119">
                  <c:v>4.8220046515782533</c:v>
                </c:pt>
                <c:pt idx="120">
                  <c:v>9.7620646097323025</c:v>
                </c:pt>
                <c:pt idx="121">
                  <c:v>-0.88242176083098023</c:v>
                </c:pt>
                <c:pt idx="122">
                  <c:v>11.459416580436068</c:v>
                </c:pt>
                <c:pt idx="123">
                  <c:v>-0.31099186565016829</c:v>
                </c:pt>
                <c:pt idx="124">
                  <c:v>2.0699405960828394</c:v>
                </c:pt>
                <c:pt idx="125">
                  <c:v>-0.14361854767841722</c:v>
                </c:pt>
                <c:pt idx="126">
                  <c:v>-0.82112363933060994</c:v>
                </c:pt>
                <c:pt idx="127">
                  <c:v>2.90114796968891</c:v>
                </c:pt>
                <c:pt idx="128">
                  <c:v>2.3481403261807499</c:v>
                </c:pt>
                <c:pt idx="129">
                  <c:v>11.043662590106711</c:v>
                </c:pt>
                <c:pt idx="130">
                  <c:v>0.42935493898721727</c:v>
                </c:pt>
                <c:pt idx="131">
                  <c:v>-1.6151668285157688</c:v>
                </c:pt>
                <c:pt idx="132">
                  <c:v>-1.4932464840219695</c:v>
                </c:pt>
                <c:pt idx="133">
                  <c:v>3.3658565617615945</c:v>
                </c:pt>
                <c:pt idx="134">
                  <c:v>-1.8157308123876064</c:v>
                </c:pt>
                <c:pt idx="135">
                  <c:v>1.1703548734311864E-2</c:v>
                </c:pt>
                <c:pt idx="136">
                  <c:v>-6.468082075291302</c:v>
                </c:pt>
                <c:pt idx="137">
                  <c:v>2.6479973687946696</c:v>
                </c:pt>
                <c:pt idx="138">
                  <c:v>6.1778910347930216</c:v>
                </c:pt>
                <c:pt idx="139">
                  <c:v>-2.0007491988410964</c:v>
                </c:pt>
                <c:pt idx="140">
                  <c:v>11.833401247127135</c:v>
                </c:pt>
                <c:pt idx="141">
                  <c:v>-0.43577904111513399</c:v>
                </c:pt>
                <c:pt idx="142">
                  <c:v>4.0733953961612723</c:v>
                </c:pt>
                <c:pt idx="143">
                  <c:v>-11.066220225256698</c:v>
                </c:pt>
                <c:pt idx="144">
                  <c:v>3.2757704973594057</c:v>
                </c:pt>
                <c:pt idx="145">
                  <c:v>-1.0873593652664539</c:v>
                </c:pt>
                <c:pt idx="146">
                  <c:v>0.68663644122569134</c:v>
                </c:pt>
                <c:pt idx="147">
                  <c:v>7.2026591980235501</c:v>
                </c:pt>
                <c:pt idx="148">
                  <c:v>-4.0134467538734011</c:v>
                </c:pt>
                <c:pt idx="149">
                  <c:v>8.5952617660211459</c:v>
                </c:pt>
                <c:pt idx="150">
                  <c:v>2.8262022636050803</c:v>
                </c:pt>
                <c:pt idx="151">
                  <c:v>-2.207824429917578</c:v>
                </c:pt>
                <c:pt idx="152">
                  <c:v>1.0577044311512933</c:v>
                </c:pt>
                <c:pt idx="153">
                  <c:v>-2.6016245320335063</c:v>
                </c:pt>
                <c:pt idx="154">
                  <c:v>-0.58280246553922321</c:v>
                </c:pt>
                <c:pt idx="155">
                  <c:v>11.32850681432665</c:v>
                </c:pt>
                <c:pt idx="156">
                  <c:v>-3.5972201258077736</c:v>
                </c:pt>
                <c:pt idx="157">
                  <c:v>-27.398311315794626</c:v>
                </c:pt>
                <c:pt idx="158">
                  <c:v>-0.91830308486536105</c:v>
                </c:pt>
                <c:pt idx="159">
                  <c:v>2.3791805825000418</c:v>
                </c:pt>
                <c:pt idx="160">
                  <c:v>-0.73181892710134189</c:v>
                </c:pt>
                <c:pt idx="161">
                  <c:v>2.3089050941620521</c:v>
                </c:pt>
                <c:pt idx="162">
                  <c:v>-1.2672184920411464</c:v>
                </c:pt>
                <c:pt idx="163">
                  <c:v>0.40783993058908524</c:v>
                </c:pt>
                <c:pt idx="164">
                  <c:v>0.85868439151680842</c:v>
                </c:pt>
                <c:pt idx="165">
                  <c:v>-7.0409744213437445E-2</c:v>
                </c:pt>
                <c:pt idx="166">
                  <c:v>-31.971729062828196</c:v>
                </c:pt>
                <c:pt idx="167">
                  <c:v>1.3331527250750703</c:v>
                </c:pt>
                <c:pt idx="168">
                  <c:v>0.40643996650614533</c:v>
                </c:pt>
                <c:pt idx="169">
                  <c:v>2.4400227452247978</c:v>
                </c:pt>
                <c:pt idx="170">
                  <c:v>-0.47849317367149946</c:v>
                </c:pt>
                <c:pt idx="171">
                  <c:v>1.2071748000317208</c:v>
                </c:pt>
                <c:pt idx="172">
                  <c:v>-3.4242260086185832</c:v>
                </c:pt>
                <c:pt idx="173">
                  <c:v>-6.034565695436382</c:v>
                </c:pt>
                <c:pt idx="174">
                  <c:v>-2.9413247891329455</c:v>
                </c:pt>
                <c:pt idx="175">
                  <c:v>-3.1389667545287776</c:v>
                </c:pt>
                <c:pt idx="176">
                  <c:v>-4.8589742141200754</c:v>
                </c:pt>
                <c:pt idx="177">
                  <c:v>3.0848924506864308</c:v>
                </c:pt>
                <c:pt idx="178">
                  <c:v>14.0223182493982</c:v>
                </c:pt>
                <c:pt idx="179">
                  <c:v>-0.90152880487771869</c:v>
                </c:pt>
                <c:pt idx="180">
                  <c:v>-10.148323712059847</c:v>
                </c:pt>
                <c:pt idx="181">
                  <c:v>1.3915750567270255</c:v>
                </c:pt>
                <c:pt idx="182">
                  <c:v>-1.2521360522784366</c:v>
                </c:pt>
                <c:pt idx="183">
                  <c:v>-3.4671905824389464</c:v>
                </c:pt>
                <c:pt idx="184">
                  <c:v>0.97866508410557085</c:v>
                </c:pt>
                <c:pt idx="185">
                  <c:v>-3.6392616462710707</c:v>
                </c:pt>
                <c:pt idx="186">
                  <c:v>0.43033764082202158</c:v>
                </c:pt>
                <c:pt idx="187">
                  <c:v>-3.3020425933200834</c:v>
                </c:pt>
                <c:pt idx="188">
                  <c:v>-0.7643387900847991</c:v>
                </c:pt>
                <c:pt idx="189">
                  <c:v>-2.5827963140177936</c:v>
                </c:pt>
                <c:pt idx="190">
                  <c:v>-5.0702375827351878</c:v>
                </c:pt>
                <c:pt idx="191">
                  <c:v>4.3321157900540275</c:v>
                </c:pt>
                <c:pt idx="192">
                  <c:v>0.39222143041720409</c:v>
                </c:pt>
                <c:pt idx="193">
                  <c:v>4.1352536951643826</c:v>
                </c:pt>
                <c:pt idx="194">
                  <c:v>3.9857195489307689</c:v>
                </c:pt>
                <c:pt idx="195">
                  <c:v>-1.517782829821088</c:v>
                </c:pt>
                <c:pt idx="196">
                  <c:v>0.25495916924634254</c:v>
                </c:pt>
                <c:pt idx="197">
                  <c:v>3.3241749667192315</c:v>
                </c:pt>
                <c:pt idx="198">
                  <c:v>7.6264018681219197</c:v>
                </c:pt>
                <c:pt idx="199">
                  <c:v>0.80080380795763584</c:v>
                </c:pt>
                <c:pt idx="200">
                  <c:v>1.054913887911364</c:v>
                </c:pt>
                <c:pt idx="201">
                  <c:v>-0.36156053332852367</c:v>
                </c:pt>
                <c:pt idx="202">
                  <c:v>0.93410747026821461</c:v>
                </c:pt>
                <c:pt idx="203">
                  <c:v>9.8490895977279695</c:v>
                </c:pt>
                <c:pt idx="204">
                  <c:v>0.84400530715444977</c:v>
                </c:pt>
                <c:pt idx="205">
                  <c:v>2.3365898477930589</c:v>
                </c:pt>
                <c:pt idx="206">
                  <c:v>-0.86218061601108853</c:v>
                </c:pt>
                <c:pt idx="207">
                  <c:v>4.6162290000094224</c:v>
                </c:pt>
                <c:pt idx="208">
                  <c:v>6.1519486952722614E-2</c:v>
                </c:pt>
                <c:pt idx="209">
                  <c:v>-1.9061581347264243</c:v>
                </c:pt>
                <c:pt idx="210">
                  <c:v>10.064802046425845</c:v>
                </c:pt>
                <c:pt idx="211">
                  <c:v>-13.875965307384536</c:v>
                </c:pt>
                <c:pt idx="212">
                  <c:v>2.8542746884929153</c:v>
                </c:pt>
                <c:pt idx="213">
                  <c:v>7.1002341041048647</c:v>
                </c:pt>
                <c:pt idx="214">
                  <c:v>8.7149688461739139</c:v>
                </c:pt>
                <c:pt idx="215">
                  <c:v>2.3851342407789895</c:v>
                </c:pt>
                <c:pt idx="216">
                  <c:v>-0.28200019221828038</c:v>
                </c:pt>
                <c:pt idx="217">
                  <c:v>2.4549702984155446</c:v>
                </c:pt>
                <c:pt idx="218">
                  <c:v>2.3480043134940431</c:v>
                </c:pt>
                <c:pt idx="219">
                  <c:v>3.4930232115738868</c:v>
                </c:pt>
                <c:pt idx="220">
                  <c:v>-1.4690139181948034</c:v>
                </c:pt>
                <c:pt idx="221">
                  <c:v>-0.56195587435191086</c:v>
                </c:pt>
                <c:pt idx="222">
                  <c:v>11.619796847290248</c:v>
                </c:pt>
                <c:pt idx="223">
                  <c:v>1.469218714794742</c:v>
                </c:pt>
                <c:pt idx="224">
                  <c:v>4.1686266509755381</c:v>
                </c:pt>
                <c:pt idx="225">
                  <c:v>-6.2553955974577553</c:v>
                </c:pt>
                <c:pt idx="226">
                  <c:v>3.5956983700855969</c:v>
                </c:pt>
                <c:pt idx="227">
                  <c:v>8.1789213829174479</c:v>
                </c:pt>
                <c:pt idx="228">
                  <c:v>3.8673285791085319</c:v>
                </c:pt>
                <c:pt idx="229">
                  <c:v>-0.11633860926209441</c:v>
                </c:pt>
                <c:pt idx="230">
                  <c:v>-6.1129940315140567</c:v>
                </c:pt>
                <c:pt idx="231">
                  <c:v>-2.2912714493639745</c:v>
                </c:pt>
                <c:pt idx="232">
                  <c:v>16.796636292766582</c:v>
                </c:pt>
                <c:pt idx="233">
                  <c:v>-7.1063808480414661</c:v>
                </c:pt>
                <c:pt idx="234">
                  <c:v>4.090482326892773</c:v>
                </c:pt>
                <c:pt idx="235">
                  <c:v>1.5513371478932505</c:v>
                </c:pt>
                <c:pt idx="236">
                  <c:v>8.7470547034503454</c:v>
                </c:pt>
                <c:pt idx="237">
                  <c:v>-3.0775380781502988</c:v>
                </c:pt>
                <c:pt idx="238">
                  <c:v>-7.4505992686497544</c:v>
                </c:pt>
                <c:pt idx="239">
                  <c:v>10.850206101202284</c:v>
                </c:pt>
                <c:pt idx="240">
                  <c:v>6.4130755469456364</c:v>
                </c:pt>
                <c:pt idx="241">
                  <c:v>-3.0371359962035982E-3</c:v>
                </c:pt>
                <c:pt idx="242">
                  <c:v>1.7918899287612886</c:v>
                </c:pt>
                <c:pt idx="243">
                  <c:v>4.8044290567784653</c:v>
                </c:pt>
                <c:pt idx="244">
                  <c:v>-3.4280057907113242</c:v>
                </c:pt>
                <c:pt idx="245">
                  <c:v>-3.3046918660548359</c:v>
                </c:pt>
                <c:pt idx="246">
                  <c:v>-0.24731801896295966</c:v>
                </c:pt>
                <c:pt idx="247">
                  <c:v>9.7761997143830186</c:v>
                </c:pt>
                <c:pt idx="248">
                  <c:v>4.7962256343596872</c:v>
                </c:pt>
                <c:pt idx="249">
                  <c:v>0.18243273815658323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2-478C-A70F-F835CA524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7344"/>
        <c:axId val="19653504"/>
      </c:scatterChart>
      <c:valAx>
        <c:axId val="19657344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504"/>
        <c:crosses val="autoZero"/>
        <c:crossBetween val="midCat"/>
      </c:valAx>
      <c:valAx>
        <c:axId val="196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39253</xdr:colOff>
      <xdr:row>5</xdr:row>
      <xdr:rowOff>144428</xdr:rowOff>
    </xdr:from>
    <xdr:to>
      <xdr:col>25</xdr:col>
      <xdr:colOff>344053</xdr:colOff>
      <xdr:row>20</xdr:row>
      <xdr:rowOff>171322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D19EF-1488-1A0D-D2CB-035333087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55517</xdr:colOff>
      <xdr:row>22</xdr:row>
      <xdr:rowOff>53148</xdr:rowOff>
    </xdr:from>
    <xdr:to>
      <xdr:col>25</xdr:col>
      <xdr:colOff>360317</xdr:colOff>
      <xdr:row>37</xdr:row>
      <xdr:rowOff>101173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6A3FD4-A93B-F9AD-00A0-0643B945B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88878</xdr:colOff>
      <xdr:row>39</xdr:row>
      <xdr:rowOff>57726</xdr:rowOff>
    </xdr:from>
    <xdr:to>
      <xdr:col>25</xdr:col>
      <xdr:colOff>393678</xdr:colOff>
      <xdr:row>54</xdr:row>
      <xdr:rowOff>57726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580703-A048-A34D-B539-579ABC5DF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B2D9-F766-41E6-B6B4-CABBBC0B4D56}">
  <dimension ref="A1:S422"/>
  <sheetViews>
    <sheetView tabSelected="1" zoomScale="85" zoomScaleNormal="85" workbookViewId="0">
      <selection activeCell="A2" sqref="A2"/>
    </sheetView>
  </sheetViews>
  <sheetFormatPr defaultRowHeight="14.4" x14ac:dyDescent="0.3"/>
  <cols>
    <col min="7" max="7" width="9.5546875" bestFit="1" customWidth="1"/>
    <col min="8" max="9" width="11.5546875" bestFit="1" customWidth="1"/>
    <col min="11" max="11" width="11" customWidth="1"/>
    <col min="16" max="17" width="9.33203125" bestFit="1" customWidth="1"/>
  </cols>
  <sheetData>
    <row r="1" spans="1:17" x14ac:dyDescent="0.3">
      <c r="A1" t="s">
        <v>0</v>
      </c>
    </row>
    <row r="2" spans="1:17" x14ac:dyDescent="0.3">
      <c r="A2" t="s">
        <v>439</v>
      </c>
    </row>
    <row r="3" spans="1:17" x14ac:dyDescent="0.3">
      <c r="A3" t="s">
        <v>1</v>
      </c>
    </row>
    <row r="4" spans="1:17" s="1" customFormat="1" ht="100.8" x14ac:dyDescent="0.3">
      <c r="A4" s="1" t="s">
        <v>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K4" s="4" t="s">
        <v>276</v>
      </c>
      <c r="L4" s="3" t="s">
        <v>220</v>
      </c>
      <c r="N4" s="6" t="s">
        <v>274</v>
      </c>
      <c r="O4" s="6" t="s">
        <v>275</v>
      </c>
      <c r="P4" s="3" t="s">
        <v>277</v>
      </c>
      <c r="Q4" s="3" t="s">
        <v>278</v>
      </c>
    </row>
    <row r="5" spans="1:17" x14ac:dyDescent="0.3">
      <c r="A5" t="s">
        <v>0</v>
      </c>
      <c r="K5" s="4"/>
      <c r="L5" s="3"/>
      <c r="N5" s="6"/>
      <c r="O5" s="6"/>
      <c r="P5" s="3"/>
      <c r="Q5" s="3"/>
    </row>
    <row r="6" spans="1:17" x14ac:dyDescent="0.3">
      <c r="A6" t="s">
        <v>10</v>
      </c>
      <c r="K6" s="4"/>
      <c r="L6" s="3"/>
      <c r="N6" s="6"/>
      <c r="O6" s="6"/>
      <c r="P6" s="3"/>
      <c r="Q6" s="3"/>
    </row>
    <row r="7" spans="1:17" ht="43.2" customHeight="1" x14ac:dyDescent="0.3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K7" s="5"/>
      <c r="L7" s="3"/>
      <c r="N7" s="7"/>
      <c r="O7" s="7"/>
      <c r="P7" s="3"/>
      <c r="Q7" s="3"/>
    </row>
    <row r="8" spans="1:17" x14ac:dyDescent="0.3">
      <c r="A8" t="s">
        <v>20</v>
      </c>
      <c r="B8">
        <v>42.5</v>
      </c>
      <c r="C8">
        <v>121.9</v>
      </c>
      <c r="D8">
        <v>7.6449999999999999E-3</v>
      </c>
      <c r="E8">
        <v>28.04</v>
      </c>
      <c r="F8">
        <v>1</v>
      </c>
      <c r="G8">
        <v>3.50527800619602E-2</v>
      </c>
      <c r="H8">
        <v>550.07787033333796</v>
      </c>
      <c r="I8">
        <v>30.0021254920748</v>
      </c>
      <c r="K8">
        <v>3.4494273364543908E-2</v>
      </c>
      <c r="L8" s="2">
        <f>(K8-G8)/G8*100</f>
        <v>-1.5933306757097747</v>
      </c>
      <c r="N8">
        <v>29.455659866333011</v>
      </c>
      <c r="O8">
        <v>547.3818359375</v>
      </c>
      <c r="P8" s="2">
        <f>(N8-I8)/I8*100</f>
        <v>-1.8214230384648582</v>
      </c>
      <c r="Q8" s="2">
        <f>(O8-H8)/H8*100</f>
        <v>-0.49011867977968349</v>
      </c>
    </row>
    <row r="9" spans="1:17" x14ac:dyDescent="0.3">
      <c r="A9" t="s">
        <v>21</v>
      </c>
      <c r="B9">
        <v>81.8</v>
      </c>
      <c r="C9">
        <v>127.1</v>
      </c>
      <c r="D9">
        <v>2.0490000000000001E-2</v>
      </c>
      <c r="E9">
        <v>28.93</v>
      </c>
      <c r="F9">
        <v>1</v>
      </c>
      <c r="G9">
        <v>8.9297942817211096E-2</v>
      </c>
      <c r="H9">
        <v>558.14994507473102</v>
      </c>
      <c r="I9">
        <v>80.023420705192606</v>
      </c>
      <c r="K9">
        <v>9.0340465307235718E-2</v>
      </c>
      <c r="L9" s="2">
        <f t="shared" ref="L9:L72" si="0">(K9-G9)/G9*100</f>
        <v>1.1674652933031382</v>
      </c>
      <c r="N9">
        <v>82.118331909179688</v>
      </c>
      <c r="O9">
        <v>552.1390380859375</v>
      </c>
      <c r="P9" s="2">
        <f t="shared" ref="P9:P72" si="1">(N9-I9)/I9*100</f>
        <v>2.6178725997039831</v>
      </c>
      <c r="Q9" s="2">
        <f t="shared" ref="Q9:Q72" si="2">(O9-H9)/H9*100</f>
        <v>-1.0769340822901483</v>
      </c>
    </row>
    <row r="10" spans="1:17" x14ac:dyDescent="0.3">
      <c r="A10" t="s">
        <v>22</v>
      </c>
      <c r="B10">
        <v>48.8</v>
      </c>
      <c r="C10">
        <v>108.2</v>
      </c>
      <c r="D10">
        <v>1.2884E-2</v>
      </c>
      <c r="E10">
        <v>35</v>
      </c>
      <c r="F10">
        <v>1</v>
      </c>
      <c r="G10">
        <v>7.89629891514778E-2</v>
      </c>
      <c r="H10">
        <v>587.32948110277596</v>
      </c>
      <c r="I10">
        <v>39.550242269496302</v>
      </c>
      <c r="K10">
        <v>7.6623097062110901E-2</v>
      </c>
      <c r="L10" s="2">
        <f t="shared" si="0"/>
        <v>-2.9632769915513104</v>
      </c>
      <c r="N10">
        <v>39.394573211669922</v>
      </c>
      <c r="O10">
        <v>580.76971435546875</v>
      </c>
      <c r="P10" s="2">
        <f t="shared" si="1"/>
        <v>-0.39359824085437206</v>
      </c>
      <c r="Q10" s="2">
        <f t="shared" si="2"/>
        <v>-1.1168802109150935</v>
      </c>
    </row>
    <row r="11" spans="1:17" x14ac:dyDescent="0.3">
      <c r="A11" t="s">
        <v>23</v>
      </c>
      <c r="B11">
        <v>68.5</v>
      </c>
      <c r="C11">
        <v>110.1</v>
      </c>
      <c r="D11">
        <v>2.0570999999999999E-2</v>
      </c>
      <c r="E11">
        <v>33.229999999999997</v>
      </c>
      <c r="F11">
        <v>1</v>
      </c>
      <c r="G11">
        <v>0.11836294829845399</v>
      </c>
      <c r="H11">
        <v>577.14843967725699</v>
      </c>
      <c r="I11">
        <v>67.276817780565693</v>
      </c>
      <c r="K11">
        <v>0.1134786531329155</v>
      </c>
      <c r="L11" s="2">
        <f t="shared" si="0"/>
        <v>-4.1265406410988268</v>
      </c>
      <c r="N11">
        <v>68.099937438964844</v>
      </c>
      <c r="O11">
        <v>568.99407958984375</v>
      </c>
      <c r="P11" s="2">
        <f t="shared" si="1"/>
        <v>1.2234818553456102</v>
      </c>
      <c r="Q11" s="2">
        <f t="shared" si="2"/>
        <v>-1.4128705072776735</v>
      </c>
    </row>
    <row r="12" spans="1:17" x14ac:dyDescent="0.3">
      <c r="A12" t="s">
        <v>24</v>
      </c>
      <c r="B12">
        <v>56.7</v>
      </c>
      <c r="C12">
        <v>103.2</v>
      </c>
      <c r="D12">
        <v>1.4012999999999999E-2</v>
      </c>
      <c r="E12">
        <v>28.24</v>
      </c>
      <c r="F12">
        <v>1.1299999999999999</v>
      </c>
      <c r="G12">
        <v>0.110972963273525</v>
      </c>
      <c r="H12">
        <v>569.48013701972695</v>
      </c>
      <c r="I12">
        <v>54.160847423294499</v>
      </c>
      <c r="K12">
        <v>0.1089317947626114</v>
      </c>
      <c r="L12" s="2">
        <f t="shared" si="0"/>
        <v>-1.8393385656311152</v>
      </c>
      <c r="N12">
        <v>54.586280822753913</v>
      </c>
      <c r="O12">
        <v>563.3399658203125</v>
      </c>
      <c r="P12" s="2">
        <f t="shared" si="1"/>
        <v>0.78549989466456649</v>
      </c>
      <c r="Q12" s="2">
        <f t="shared" si="2"/>
        <v>-1.0782063851336323</v>
      </c>
    </row>
    <row r="13" spans="1:17" x14ac:dyDescent="0.3">
      <c r="A13" t="s">
        <v>25</v>
      </c>
      <c r="B13">
        <v>78.900000000000006</v>
      </c>
      <c r="C13">
        <v>120.7</v>
      </c>
      <c r="D13">
        <v>2.0837000000000001E-2</v>
      </c>
      <c r="E13">
        <v>29.1</v>
      </c>
      <c r="F13">
        <v>1</v>
      </c>
      <c r="G13">
        <v>9.6415288746356895E-2</v>
      </c>
      <c r="H13">
        <v>555.90128641135698</v>
      </c>
      <c r="I13">
        <v>78.719791408991497</v>
      </c>
      <c r="K13">
        <v>9.6602596342563629E-2</v>
      </c>
      <c r="L13" s="2">
        <f t="shared" si="0"/>
        <v>0.19427167479577967</v>
      </c>
      <c r="N13">
        <v>80.747734069824219</v>
      </c>
      <c r="O13">
        <v>549.76080322265625</v>
      </c>
      <c r="P13" s="2">
        <f t="shared" si="1"/>
        <v>2.5761534990565114</v>
      </c>
      <c r="Q13" s="2">
        <f t="shared" si="2"/>
        <v>-1.1045995644911819</v>
      </c>
    </row>
    <row r="14" spans="1:17" x14ac:dyDescent="0.3">
      <c r="A14" t="s">
        <v>26</v>
      </c>
      <c r="B14">
        <v>79</v>
      </c>
      <c r="C14">
        <v>124.3</v>
      </c>
      <c r="D14">
        <v>1.5647000000000001E-2</v>
      </c>
      <c r="E14">
        <v>20.91</v>
      </c>
      <c r="F14">
        <v>1</v>
      </c>
      <c r="G14">
        <v>7.3343001306056907E-2</v>
      </c>
      <c r="H14">
        <v>508.47197864488197</v>
      </c>
      <c r="I14">
        <v>81.083221432395504</v>
      </c>
      <c r="K14">
        <v>7.3819182813167572E-2</v>
      </c>
      <c r="L14" s="2">
        <f t="shared" si="0"/>
        <v>0.64925282389737771</v>
      </c>
      <c r="N14">
        <v>82.696807861328125</v>
      </c>
      <c r="O14">
        <v>502.53945922851563</v>
      </c>
      <c r="P14" s="2">
        <f t="shared" si="1"/>
        <v>1.9900373966739537</v>
      </c>
      <c r="Q14" s="2">
        <f t="shared" si="2"/>
        <v>-1.1667347790092544</v>
      </c>
    </row>
    <row r="15" spans="1:17" x14ac:dyDescent="0.3">
      <c r="A15" t="s">
        <v>27</v>
      </c>
      <c r="B15">
        <v>58.8</v>
      </c>
      <c r="C15">
        <v>117.4</v>
      </c>
      <c r="D15">
        <v>1.3011999999999999E-2</v>
      </c>
      <c r="E15">
        <v>26.38</v>
      </c>
      <c r="F15">
        <v>1</v>
      </c>
      <c r="G15">
        <v>6.43787682056427E-2</v>
      </c>
      <c r="H15">
        <v>538.26260004181904</v>
      </c>
      <c r="I15">
        <v>52.7633825777353</v>
      </c>
      <c r="K15">
        <v>6.6350363194942474E-2</v>
      </c>
      <c r="L15" s="2">
        <f t="shared" si="0"/>
        <v>3.0624925643217988</v>
      </c>
      <c r="N15">
        <v>52.107196807861328</v>
      </c>
      <c r="O15">
        <v>532.94622802734375</v>
      </c>
      <c r="P15" s="2">
        <f t="shared" si="1"/>
        <v>-1.2436385573029274</v>
      </c>
      <c r="Q15" s="2">
        <f t="shared" si="2"/>
        <v>-0.9876911407298683</v>
      </c>
    </row>
    <row r="16" spans="1:17" x14ac:dyDescent="0.3">
      <c r="A16" t="s">
        <v>28</v>
      </c>
      <c r="B16">
        <v>59.4</v>
      </c>
      <c r="C16">
        <v>123.4</v>
      </c>
      <c r="D16">
        <v>1.4050999999999999E-2</v>
      </c>
      <c r="E16">
        <v>30.3</v>
      </c>
      <c r="F16">
        <v>1</v>
      </c>
      <c r="G16">
        <v>6.2685176730155903E-2</v>
      </c>
      <c r="H16">
        <v>564.35525858796905</v>
      </c>
      <c r="I16">
        <v>51.732855133147503</v>
      </c>
      <c r="K16">
        <v>6.648360937833786E-2</v>
      </c>
      <c r="L16" s="2">
        <f t="shared" si="0"/>
        <v>6.0595388675910815</v>
      </c>
      <c r="N16">
        <v>53.088520050048828</v>
      </c>
      <c r="O16">
        <v>559.34991455078125</v>
      </c>
      <c r="P16" s="2">
        <f t="shared" si="1"/>
        <v>2.6205105312903787</v>
      </c>
      <c r="Q16" s="2">
        <f t="shared" si="2"/>
        <v>-0.88691368796869063</v>
      </c>
    </row>
    <row r="17" spans="1:17" x14ac:dyDescent="0.3">
      <c r="A17" t="s">
        <v>29</v>
      </c>
      <c r="B17">
        <v>62.6</v>
      </c>
      <c r="C17">
        <v>123.9</v>
      </c>
      <c r="D17">
        <v>1.1939E-2</v>
      </c>
      <c r="E17">
        <v>22.4</v>
      </c>
      <c r="F17">
        <v>1</v>
      </c>
      <c r="G17">
        <v>5.5533971637487398E-2</v>
      </c>
      <c r="H17">
        <v>517.20648138609602</v>
      </c>
      <c r="I17">
        <v>58.290321638323398</v>
      </c>
      <c r="K17">
        <v>6.0064807534217828E-2</v>
      </c>
      <c r="L17" s="2">
        <f t="shared" si="0"/>
        <v>8.1586743449696915</v>
      </c>
      <c r="N17">
        <v>57.855381011962891</v>
      </c>
      <c r="O17">
        <v>510.46322631835938</v>
      </c>
      <c r="P17" s="2">
        <f t="shared" si="1"/>
        <v>-0.7461626804175201</v>
      </c>
      <c r="Q17" s="2">
        <f t="shared" si="2"/>
        <v>-1.3037839451789048</v>
      </c>
    </row>
    <row r="18" spans="1:17" x14ac:dyDescent="0.3">
      <c r="A18" t="s">
        <v>30</v>
      </c>
      <c r="B18">
        <v>42.8</v>
      </c>
      <c r="C18">
        <v>112.3</v>
      </c>
      <c r="D18">
        <v>8.1860000000000006E-3</v>
      </c>
      <c r="E18">
        <v>27.55</v>
      </c>
      <c r="F18">
        <v>1</v>
      </c>
      <c r="G18">
        <v>4.5127402991056401E-2</v>
      </c>
      <c r="H18">
        <v>543.64372650698203</v>
      </c>
      <c r="I18">
        <v>31.580195436088299</v>
      </c>
      <c r="K18">
        <v>4.8001579940319061E-2</v>
      </c>
      <c r="L18" s="2">
        <f t="shared" si="0"/>
        <v>6.3690280378693203</v>
      </c>
      <c r="N18">
        <v>31.20407676696777</v>
      </c>
      <c r="O18">
        <v>544.58880615234375</v>
      </c>
      <c r="P18" s="2">
        <f t="shared" si="1"/>
        <v>-1.1909953815254721</v>
      </c>
      <c r="Q18" s="2">
        <f t="shared" si="2"/>
        <v>0.17384172745522855</v>
      </c>
    </row>
    <row r="19" spans="1:17" x14ac:dyDescent="0.3">
      <c r="A19" t="s">
        <v>31</v>
      </c>
      <c r="B19">
        <v>59.7</v>
      </c>
      <c r="C19">
        <v>104.6</v>
      </c>
      <c r="D19">
        <v>1.8041999999999999E-2</v>
      </c>
      <c r="E19">
        <v>35</v>
      </c>
      <c r="F19">
        <v>1.08</v>
      </c>
      <c r="G19">
        <v>0.13020233809947901</v>
      </c>
      <c r="H19">
        <v>604.42692250240702</v>
      </c>
      <c r="I19">
        <v>56.717519002726497</v>
      </c>
      <c r="K19">
        <v>0.1199126243591309</v>
      </c>
      <c r="L19" s="2">
        <f t="shared" si="0"/>
        <v>-7.9028640272852986</v>
      </c>
      <c r="N19">
        <v>57.359622955322273</v>
      </c>
      <c r="O19">
        <v>595.71124267578125</v>
      </c>
      <c r="P19" s="2">
        <f t="shared" si="1"/>
        <v>1.1321086745083266</v>
      </c>
      <c r="Q19" s="2">
        <f t="shared" si="2"/>
        <v>-1.4419741249350231</v>
      </c>
    </row>
    <row r="20" spans="1:17" x14ac:dyDescent="0.3">
      <c r="A20" t="s">
        <v>32</v>
      </c>
      <c r="B20">
        <v>40.700000000000003</v>
      </c>
      <c r="C20">
        <v>112.6</v>
      </c>
      <c r="D20">
        <v>6.2310000000000004E-3</v>
      </c>
      <c r="E20">
        <v>22.11</v>
      </c>
      <c r="F20">
        <v>1</v>
      </c>
      <c r="G20">
        <v>3.5181567072868299E-2</v>
      </c>
      <c r="H20">
        <v>511.08799852572298</v>
      </c>
      <c r="I20">
        <v>29.4142671404081</v>
      </c>
      <c r="K20">
        <v>3.5741105675697327E-2</v>
      </c>
      <c r="L20" s="2">
        <f t="shared" si="0"/>
        <v>1.5904311529674273</v>
      </c>
      <c r="N20">
        <v>27.787355422973629</v>
      </c>
      <c r="O20">
        <v>503.54263305664063</v>
      </c>
      <c r="P20" s="2">
        <f t="shared" si="1"/>
        <v>-5.5310292439667377</v>
      </c>
      <c r="Q20" s="2">
        <f t="shared" si="2"/>
        <v>-1.4763339172212235</v>
      </c>
    </row>
    <row r="21" spans="1:17" x14ac:dyDescent="0.3">
      <c r="A21" t="s">
        <v>33</v>
      </c>
      <c r="B21">
        <v>72.099999999999994</v>
      </c>
      <c r="C21">
        <v>130</v>
      </c>
      <c r="D21">
        <v>1.3771E-2</v>
      </c>
      <c r="E21">
        <v>22.43</v>
      </c>
      <c r="F21">
        <v>1</v>
      </c>
      <c r="G21">
        <v>6.1529371887445401E-2</v>
      </c>
      <c r="H21">
        <v>521.00829180160099</v>
      </c>
      <c r="I21">
        <v>68.406288720322706</v>
      </c>
      <c r="K21">
        <v>7.0105545222759247E-2</v>
      </c>
      <c r="L21" s="2">
        <f t="shared" si="0"/>
        <v>13.938340457955736</v>
      </c>
      <c r="N21">
        <v>69.837020874023438</v>
      </c>
      <c r="O21">
        <v>511.99713134765619</v>
      </c>
      <c r="P21" s="2">
        <f t="shared" si="1"/>
        <v>2.091521379781677</v>
      </c>
      <c r="Q21" s="2">
        <f t="shared" si="2"/>
        <v>-1.7295618123053271</v>
      </c>
    </row>
    <row r="22" spans="1:17" x14ac:dyDescent="0.3">
      <c r="A22" t="s">
        <v>34</v>
      </c>
      <c r="B22">
        <v>58.3</v>
      </c>
      <c r="C22">
        <v>115.3</v>
      </c>
      <c r="D22">
        <v>1.2485E-2</v>
      </c>
      <c r="E22">
        <v>25</v>
      </c>
      <c r="F22">
        <v>1</v>
      </c>
      <c r="G22">
        <v>6.4918756484985296E-2</v>
      </c>
      <c r="H22">
        <v>529.25300208950205</v>
      </c>
      <c r="I22">
        <v>52.878618872091103</v>
      </c>
      <c r="K22">
        <v>6.5937727689743042E-2</v>
      </c>
      <c r="L22" s="2">
        <f t="shared" si="0"/>
        <v>1.5696098630500082</v>
      </c>
      <c r="N22">
        <v>51.356666564941413</v>
      </c>
      <c r="O22">
        <v>525.76025390625</v>
      </c>
      <c r="P22" s="2">
        <f t="shared" si="1"/>
        <v>-2.878199808567548</v>
      </c>
      <c r="Q22" s="2">
        <f t="shared" si="2"/>
        <v>-0.65993922934071292</v>
      </c>
    </row>
    <row r="23" spans="1:17" x14ac:dyDescent="0.3">
      <c r="A23" t="s">
        <v>35</v>
      </c>
      <c r="B23">
        <v>56.8</v>
      </c>
      <c r="C23">
        <v>130</v>
      </c>
      <c r="D23">
        <v>1.2082000000000001E-2</v>
      </c>
      <c r="E23">
        <v>29.76</v>
      </c>
      <c r="F23">
        <v>1</v>
      </c>
      <c r="G23">
        <v>5.1784660667181001E-2</v>
      </c>
      <c r="H23">
        <v>564.98829180160203</v>
      </c>
      <c r="I23">
        <v>45.957530304133002</v>
      </c>
      <c r="K23">
        <v>5.4761212319135673E-2</v>
      </c>
      <c r="L23" s="2">
        <f t="shared" si="0"/>
        <v>5.7479408257300575</v>
      </c>
      <c r="N23">
        <v>46.103218078613281</v>
      </c>
      <c r="O23">
        <v>556.689697265625</v>
      </c>
      <c r="P23" s="2">
        <f t="shared" si="1"/>
        <v>0.3170052296460712</v>
      </c>
      <c r="Q23" s="2">
        <f t="shared" si="2"/>
        <v>-1.4688082313201487</v>
      </c>
    </row>
    <row r="24" spans="1:17" x14ac:dyDescent="0.3">
      <c r="A24" t="s">
        <v>36</v>
      </c>
      <c r="B24">
        <v>51.3</v>
      </c>
      <c r="C24">
        <v>116.8</v>
      </c>
      <c r="D24">
        <v>1.0673999999999999E-2</v>
      </c>
      <c r="E24">
        <v>26.79</v>
      </c>
      <c r="F24">
        <v>1</v>
      </c>
      <c r="G24">
        <v>5.3266774863004601E-2</v>
      </c>
      <c r="H24">
        <v>540.50588568613796</v>
      </c>
      <c r="I24">
        <v>42.844300865761298</v>
      </c>
      <c r="K24">
        <v>5.3401798009872443E-2</v>
      </c>
      <c r="L24" s="2">
        <f t="shared" si="0"/>
        <v>0.25348474206502031</v>
      </c>
      <c r="N24">
        <v>41.652309417724609</v>
      </c>
      <c r="O24">
        <v>536.23126220703125</v>
      </c>
      <c r="P24" s="2">
        <f t="shared" si="1"/>
        <v>-2.7821470392792884</v>
      </c>
      <c r="Q24" s="2">
        <f t="shared" si="2"/>
        <v>-0.79085604658686459</v>
      </c>
    </row>
    <row r="25" spans="1:17" x14ac:dyDescent="0.3">
      <c r="A25" t="s">
        <v>37</v>
      </c>
      <c r="B25">
        <v>86.8</v>
      </c>
      <c r="C25">
        <v>128.80000000000001</v>
      </c>
      <c r="D25">
        <v>2.0882000000000001E-2</v>
      </c>
      <c r="E25">
        <v>27.48</v>
      </c>
      <c r="F25">
        <v>1</v>
      </c>
      <c r="G25">
        <v>9.0916544198989799E-2</v>
      </c>
      <c r="H25">
        <v>550.50668248958596</v>
      </c>
      <c r="I25">
        <v>85.692394105269102</v>
      </c>
      <c r="K25">
        <v>9.0564444661140442E-2</v>
      </c>
      <c r="L25" s="2">
        <f t="shared" si="0"/>
        <v>-0.38727774020833178</v>
      </c>
      <c r="N25">
        <v>88.795745849609375</v>
      </c>
      <c r="O25">
        <v>542.99456787109375</v>
      </c>
      <c r="P25" s="2">
        <f t="shared" si="1"/>
        <v>3.6215019742918493</v>
      </c>
      <c r="Q25" s="2">
        <f t="shared" si="2"/>
        <v>-1.3645819128879173</v>
      </c>
    </row>
    <row r="26" spans="1:17" x14ac:dyDescent="0.3">
      <c r="A26" t="s">
        <v>38</v>
      </c>
      <c r="B26">
        <v>70.5</v>
      </c>
      <c r="C26">
        <v>120</v>
      </c>
      <c r="D26">
        <v>2.0903000000000001E-2</v>
      </c>
      <c r="E26">
        <v>35</v>
      </c>
      <c r="F26">
        <v>1</v>
      </c>
      <c r="G26">
        <v>9.5172785222530296E-2</v>
      </c>
      <c r="H26">
        <v>591.00284876729495</v>
      </c>
      <c r="I26">
        <v>66.638750012364099</v>
      </c>
      <c r="K26">
        <v>9.4882823526859283E-2</v>
      </c>
      <c r="L26" s="2">
        <f t="shared" si="0"/>
        <v>-0.30466870859461764</v>
      </c>
      <c r="N26">
        <v>67.9259033203125</v>
      </c>
      <c r="O26">
        <v>585.26495361328125</v>
      </c>
      <c r="P26" s="2">
        <f t="shared" si="1"/>
        <v>1.9315387934341262</v>
      </c>
      <c r="Q26" s="2">
        <f t="shared" si="2"/>
        <v>-0.97087436481595923</v>
      </c>
    </row>
    <row r="27" spans="1:17" x14ac:dyDescent="0.3">
      <c r="A27" t="s">
        <v>39</v>
      </c>
      <c r="B27">
        <v>49.6</v>
      </c>
      <c r="C27">
        <v>130</v>
      </c>
      <c r="D27">
        <v>8.7170000000000008E-3</v>
      </c>
      <c r="E27">
        <v>25.89</v>
      </c>
      <c r="F27">
        <v>1.02</v>
      </c>
      <c r="G27">
        <v>3.8125228136777801E-2</v>
      </c>
      <c r="H27">
        <v>545.18838955104104</v>
      </c>
      <c r="I27">
        <v>38.214055029945797</v>
      </c>
      <c r="K27">
        <v>4.1036438196897507E-2</v>
      </c>
      <c r="L27" s="2">
        <f t="shared" si="0"/>
        <v>7.6359151207580149</v>
      </c>
      <c r="N27">
        <v>38.326053619384773</v>
      </c>
      <c r="O27">
        <v>542.52978515625</v>
      </c>
      <c r="P27" s="2">
        <f t="shared" si="1"/>
        <v>0.29308219018162263</v>
      </c>
      <c r="Q27" s="2">
        <f t="shared" si="2"/>
        <v>-0.4876487551358869</v>
      </c>
    </row>
    <row r="28" spans="1:17" x14ac:dyDescent="0.3">
      <c r="A28" t="s">
        <v>40</v>
      </c>
      <c r="B28">
        <v>68.7</v>
      </c>
      <c r="C28">
        <v>120.6</v>
      </c>
      <c r="D28">
        <v>1.3771E-2</v>
      </c>
      <c r="E28">
        <v>21.85</v>
      </c>
      <c r="F28">
        <v>1</v>
      </c>
      <c r="G28">
        <v>6.6772997379302895E-2</v>
      </c>
      <c r="H28">
        <v>512.35800750425994</v>
      </c>
      <c r="I28">
        <v>67.147515435580999</v>
      </c>
      <c r="K28">
        <v>6.7800223827362061E-2</v>
      </c>
      <c r="L28" s="2">
        <f t="shared" si="0"/>
        <v>1.5383860068824269</v>
      </c>
      <c r="N28">
        <v>68.028846740722656</v>
      </c>
      <c r="O28">
        <v>509.40518188476563</v>
      </c>
      <c r="P28" s="2">
        <f t="shared" si="1"/>
        <v>1.3125300309691663</v>
      </c>
      <c r="Q28" s="2">
        <f t="shared" si="2"/>
        <v>-0.57632077107134283</v>
      </c>
    </row>
    <row r="29" spans="1:17" x14ac:dyDescent="0.3">
      <c r="A29" t="s">
        <v>41</v>
      </c>
      <c r="B29">
        <v>53.5</v>
      </c>
      <c r="C29">
        <v>113.5</v>
      </c>
      <c r="D29">
        <v>1.2943E-2</v>
      </c>
      <c r="E29">
        <v>30.42</v>
      </c>
      <c r="F29">
        <v>1</v>
      </c>
      <c r="G29">
        <v>6.8224616348743397E-2</v>
      </c>
      <c r="H29">
        <v>561.20950913172805</v>
      </c>
      <c r="I29">
        <v>45.728043279410002</v>
      </c>
      <c r="K29">
        <v>6.8199388682842255E-2</v>
      </c>
      <c r="L29" s="2">
        <f t="shared" si="0"/>
        <v>-3.69773657241051E-2</v>
      </c>
      <c r="N29">
        <v>45.466037750244141</v>
      </c>
      <c r="O29">
        <v>553.21453857421875</v>
      </c>
      <c r="P29" s="2">
        <f t="shared" si="1"/>
        <v>-0.57296466320446082</v>
      </c>
      <c r="Q29" s="2">
        <f t="shared" si="2"/>
        <v>-1.4245964167425951</v>
      </c>
    </row>
    <row r="30" spans="1:17" x14ac:dyDescent="0.3">
      <c r="A30" t="s">
        <v>42</v>
      </c>
      <c r="B30">
        <v>55.3</v>
      </c>
      <c r="C30">
        <v>125.3</v>
      </c>
      <c r="D30">
        <v>1.106E-2</v>
      </c>
      <c r="E30">
        <v>26.31</v>
      </c>
      <c r="F30">
        <v>1</v>
      </c>
      <c r="G30">
        <v>4.9498733133077601E-2</v>
      </c>
      <c r="H30">
        <v>541.40383878852299</v>
      </c>
      <c r="I30">
        <v>47.0412897621285</v>
      </c>
      <c r="K30">
        <v>5.18038310110569E-2</v>
      </c>
      <c r="L30" s="2">
        <f t="shared" si="0"/>
        <v>4.6568825747156639</v>
      </c>
      <c r="N30">
        <v>46.300418853759773</v>
      </c>
      <c r="O30">
        <v>537.58843994140625</v>
      </c>
      <c r="P30" s="2">
        <f t="shared" si="1"/>
        <v>-1.5749374902666455</v>
      </c>
      <c r="Q30" s="2">
        <f t="shared" si="2"/>
        <v>-0.70472327193953777</v>
      </c>
    </row>
    <row r="31" spans="1:17" x14ac:dyDescent="0.3">
      <c r="A31" t="s">
        <v>43</v>
      </c>
      <c r="B31">
        <v>40.1</v>
      </c>
      <c r="C31">
        <v>108.2</v>
      </c>
      <c r="D31">
        <v>6.6559999999999996E-3</v>
      </c>
      <c r="E31">
        <v>24.26</v>
      </c>
      <c r="F31">
        <v>1</v>
      </c>
      <c r="G31">
        <v>4.2577888816595001E-2</v>
      </c>
      <c r="H31">
        <v>522.88948110277499</v>
      </c>
      <c r="I31">
        <v>28.1943586909928</v>
      </c>
      <c r="K31">
        <v>4.7051869332790368E-2</v>
      </c>
      <c r="L31" s="2">
        <f t="shared" si="0"/>
        <v>10.50775564628654</v>
      </c>
      <c r="N31">
        <v>28.060163497924801</v>
      </c>
      <c r="O31">
        <v>517.57513427734375</v>
      </c>
      <c r="P31" s="2">
        <f t="shared" si="1"/>
        <v>-0.47596469399699476</v>
      </c>
      <c r="Q31" s="2">
        <f t="shared" si="2"/>
        <v>-1.0163422706884973</v>
      </c>
    </row>
    <row r="32" spans="1:17" x14ac:dyDescent="0.3">
      <c r="A32" t="s">
        <v>44</v>
      </c>
      <c r="B32">
        <v>58.6</v>
      </c>
      <c r="C32">
        <v>112.5</v>
      </c>
      <c r="D32">
        <v>1.5066E-2</v>
      </c>
      <c r="E32">
        <v>30.56</v>
      </c>
      <c r="F32">
        <v>1</v>
      </c>
      <c r="G32">
        <v>8.1454977393150302E-2</v>
      </c>
      <c r="H32">
        <v>561.75974859616701</v>
      </c>
      <c r="I32">
        <v>52.975587447666904</v>
      </c>
      <c r="K32">
        <v>8.3698660135269165E-2</v>
      </c>
      <c r="L32" s="2">
        <f t="shared" si="0"/>
        <v>2.7545066169370007</v>
      </c>
      <c r="N32">
        <v>53.649497985839837</v>
      </c>
      <c r="O32">
        <v>554.61187744140625</v>
      </c>
      <c r="P32" s="2">
        <f t="shared" si="1"/>
        <v>1.2721152716591779</v>
      </c>
      <c r="Q32" s="2">
        <f t="shared" si="2"/>
        <v>-1.2724071407079691</v>
      </c>
    </row>
    <row r="33" spans="1:17" x14ac:dyDescent="0.3">
      <c r="A33" t="s">
        <v>45</v>
      </c>
      <c r="B33">
        <v>43.4</v>
      </c>
      <c r="C33">
        <v>111.1</v>
      </c>
      <c r="D33">
        <v>7.234E-3</v>
      </c>
      <c r="E33">
        <v>22.64</v>
      </c>
      <c r="F33">
        <v>1</v>
      </c>
      <c r="G33">
        <v>4.2429193854331901E-2</v>
      </c>
      <c r="H33">
        <v>513.86076010135605</v>
      </c>
      <c r="I33">
        <v>32.986105352481601</v>
      </c>
      <c r="K33">
        <v>4.3826118111610413E-2</v>
      </c>
      <c r="L33" s="2">
        <f t="shared" si="0"/>
        <v>3.2923657754951421</v>
      </c>
      <c r="N33">
        <v>31.92191123962402</v>
      </c>
      <c r="O33">
        <v>507.39974975585938</v>
      </c>
      <c r="P33" s="2">
        <f t="shared" si="1"/>
        <v>-3.2261890316721504</v>
      </c>
      <c r="Q33" s="2">
        <f t="shared" si="2"/>
        <v>-1.2573465123552687</v>
      </c>
    </row>
    <row r="34" spans="1:17" x14ac:dyDescent="0.3">
      <c r="A34" t="s">
        <v>46</v>
      </c>
      <c r="B34">
        <v>83.9</v>
      </c>
      <c r="C34">
        <v>127.1</v>
      </c>
      <c r="D34">
        <v>2.1486999999999999E-2</v>
      </c>
      <c r="E34">
        <v>29.46</v>
      </c>
      <c r="F34">
        <v>1</v>
      </c>
      <c r="G34">
        <v>9.3431875109672505E-2</v>
      </c>
      <c r="H34">
        <v>561.32994507472995</v>
      </c>
      <c r="I34">
        <v>82.624962306018702</v>
      </c>
      <c r="K34">
        <v>9.3358427286148071E-2</v>
      </c>
      <c r="L34" s="2">
        <f t="shared" si="0"/>
        <v>-7.8611098662227111E-2</v>
      </c>
      <c r="N34">
        <v>84.725013732910156</v>
      </c>
      <c r="O34">
        <v>553.7373046875</v>
      </c>
      <c r="P34" s="2">
        <f t="shared" si="1"/>
        <v>2.5416670317058396</v>
      </c>
      <c r="Q34" s="2">
        <f t="shared" si="2"/>
        <v>-1.3526163095074393</v>
      </c>
    </row>
    <row r="35" spans="1:17" x14ac:dyDescent="0.3">
      <c r="A35" t="s">
        <v>47</v>
      </c>
      <c r="B35">
        <v>59.9</v>
      </c>
      <c r="C35">
        <v>106.6</v>
      </c>
      <c r="D35">
        <v>1.5471E-2</v>
      </c>
      <c r="E35">
        <v>29.23</v>
      </c>
      <c r="F35">
        <v>1</v>
      </c>
      <c r="G35">
        <v>0.103318899869918</v>
      </c>
      <c r="H35">
        <v>552.37926851304201</v>
      </c>
      <c r="I35">
        <v>56.449472040372299</v>
      </c>
      <c r="K35">
        <v>0.1005418002605438</v>
      </c>
      <c r="L35" s="2">
        <f t="shared" si="0"/>
        <v>-2.687891192096191</v>
      </c>
      <c r="N35">
        <v>56.460758209228523</v>
      </c>
      <c r="O35">
        <v>546.43914794921875</v>
      </c>
      <c r="P35" s="2">
        <f t="shared" si="1"/>
        <v>1.9993400200716775E-2</v>
      </c>
      <c r="Q35" s="2">
        <f t="shared" si="2"/>
        <v>-1.0753699319334624</v>
      </c>
    </row>
    <row r="36" spans="1:17" x14ac:dyDescent="0.3">
      <c r="A36" t="s">
        <v>48</v>
      </c>
      <c r="B36">
        <v>83.8</v>
      </c>
      <c r="C36">
        <v>121.9</v>
      </c>
      <c r="D36">
        <v>2.2537999999999999E-2</v>
      </c>
      <c r="E36">
        <v>29.42</v>
      </c>
      <c r="F36">
        <v>1</v>
      </c>
      <c r="G36">
        <v>0.102557368576526</v>
      </c>
      <c r="H36">
        <v>558.35787033333895</v>
      </c>
      <c r="I36">
        <v>84.735300796579196</v>
      </c>
      <c r="K36">
        <v>0.1011650785803795</v>
      </c>
      <c r="L36" s="2">
        <f t="shared" si="0"/>
        <v>-1.3575718794965064</v>
      </c>
      <c r="N36">
        <v>86.385368347167969</v>
      </c>
      <c r="O36">
        <v>549.37835693359375</v>
      </c>
      <c r="P36" s="2">
        <f t="shared" si="1"/>
        <v>1.9473201075311304</v>
      </c>
      <c r="Q36" s="2">
        <f t="shared" si="2"/>
        <v>-1.6082003813046357</v>
      </c>
    </row>
    <row r="37" spans="1:17" x14ac:dyDescent="0.3">
      <c r="A37" t="s">
        <v>49</v>
      </c>
      <c r="B37">
        <v>89.9</v>
      </c>
      <c r="C37">
        <v>108.4</v>
      </c>
      <c r="D37">
        <v>2.7435000000000001E-2</v>
      </c>
      <c r="E37">
        <v>29.96</v>
      </c>
      <c r="F37">
        <v>1</v>
      </c>
      <c r="G37">
        <v>0.169800549745559</v>
      </c>
      <c r="H37">
        <v>557.13325432948204</v>
      </c>
      <c r="I37">
        <v>97.587779193144598</v>
      </c>
      <c r="K37">
        <v>0.14977109432220459</v>
      </c>
      <c r="L37" s="2">
        <f t="shared" si="0"/>
        <v>-11.79587195292827</v>
      </c>
      <c r="N37">
        <v>98.679588317871094</v>
      </c>
      <c r="O37">
        <v>548.5909423828125</v>
      </c>
      <c r="P37" s="2">
        <f t="shared" si="1"/>
        <v>1.1187969782216269</v>
      </c>
      <c r="Q37" s="2">
        <f t="shared" si="2"/>
        <v>-1.533261904631835</v>
      </c>
    </row>
    <row r="38" spans="1:17" x14ac:dyDescent="0.3">
      <c r="A38" t="s">
        <v>50</v>
      </c>
      <c r="B38">
        <v>85.8</v>
      </c>
      <c r="C38">
        <v>120.3</v>
      </c>
      <c r="D38">
        <v>2.4417999999999999E-2</v>
      </c>
      <c r="E38">
        <v>30.77</v>
      </c>
      <c r="F38">
        <v>1</v>
      </c>
      <c r="G38">
        <v>0.112784728407859</v>
      </c>
      <c r="H38">
        <v>565.74946621813206</v>
      </c>
      <c r="I38">
        <v>87.266703171004906</v>
      </c>
      <c r="K38">
        <v>0.11246477067470551</v>
      </c>
      <c r="L38" s="2">
        <f t="shared" si="0"/>
        <v>-0.28368888028567246</v>
      </c>
      <c r="N38">
        <v>88.982467651367188</v>
      </c>
      <c r="O38">
        <v>555.4403076171875</v>
      </c>
      <c r="P38" s="2">
        <f t="shared" si="1"/>
        <v>1.9661158471864431</v>
      </c>
      <c r="Q38" s="2">
        <f t="shared" si="2"/>
        <v>-1.822212695993906</v>
      </c>
    </row>
    <row r="39" spans="1:17" x14ac:dyDescent="0.3">
      <c r="A39" t="s">
        <v>51</v>
      </c>
      <c r="B39">
        <v>59.4</v>
      </c>
      <c r="C39">
        <v>130</v>
      </c>
      <c r="D39">
        <v>1.2525E-2</v>
      </c>
      <c r="E39">
        <v>28.57</v>
      </c>
      <c r="F39">
        <v>1</v>
      </c>
      <c r="G39">
        <v>5.3998108953237499E-2</v>
      </c>
      <c r="H39">
        <v>557.84829180160204</v>
      </c>
      <c r="I39">
        <v>50.055618513767698</v>
      </c>
      <c r="K39">
        <v>5.89897520840168E-2</v>
      </c>
      <c r="L39" s="2">
        <f t="shared" si="0"/>
        <v>9.2441072984649839</v>
      </c>
      <c r="N39">
        <v>49.042587280273438</v>
      </c>
      <c r="O39">
        <v>551.04327392578125</v>
      </c>
      <c r="P39" s="2">
        <f t="shared" si="1"/>
        <v>-2.0238112395227477</v>
      </c>
      <c r="Q39" s="2">
        <f t="shared" si="2"/>
        <v>-1.2198689098506714</v>
      </c>
    </row>
    <row r="40" spans="1:17" x14ac:dyDescent="0.3">
      <c r="A40" t="s">
        <v>52</v>
      </c>
      <c r="B40">
        <v>62.1</v>
      </c>
      <c r="C40">
        <v>110.9</v>
      </c>
      <c r="D40">
        <v>1.4317E-2</v>
      </c>
      <c r="E40">
        <v>25.52</v>
      </c>
      <c r="F40">
        <v>1</v>
      </c>
      <c r="G40">
        <v>8.3102576434612205E-2</v>
      </c>
      <c r="H40">
        <v>531.08909029334404</v>
      </c>
      <c r="I40">
        <v>58.307194118729697</v>
      </c>
      <c r="K40">
        <v>8.4329791367053986E-2</v>
      </c>
      <c r="L40" s="2">
        <f t="shared" si="0"/>
        <v>1.4767471540517076</v>
      </c>
      <c r="N40">
        <v>56.675460815429688</v>
      </c>
      <c r="O40">
        <v>526.44317626953125</v>
      </c>
      <c r="P40" s="2">
        <f t="shared" si="1"/>
        <v>-2.7985111064980179</v>
      </c>
      <c r="Q40" s="2">
        <f t="shared" si="2"/>
        <v>-0.87478995685011129</v>
      </c>
    </row>
    <row r="41" spans="1:17" x14ac:dyDescent="0.3">
      <c r="A41" t="s">
        <v>53</v>
      </c>
      <c r="B41">
        <v>61.7</v>
      </c>
      <c r="C41">
        <v>116.7</v>
      </c>
      <c r="D41">
        <v>1.3017000000000001E-2</v>
      </c>
      <c r="E41">
        <v>23.94</v>
      </c>
      <c r="F41">
        <v>1</v>
      </c>
      <c r="G41">
        <v>6.6229529678821494E-2</v>
      </c>
      <c r="H41">
        <v>523.37042025039295</v>
      </c>
      <c r="I41">
        <v>57.465008447872201</v>
      </c>
      <c r="K41">
        <v>6.689087301492691E-2</v>
      </c>
      <c r="L41" s="2">
        <f t="shared" si="0"/>
        <v>0.99856263408872847</v>
      </c>
      <c r="N41">
        <v>56.076679229736328</v>
      </c>
      <c r="O41">
        <v>518.17156982421875</v>
      </c>
      <c r="P41" s="2">
        <f t="shared" si="1"/>
        <v>-2.4159558236126548</v>
      </c>
      <c r="Q41" s="2">
        <f t="shared" si="2"/>
        <v>-0.99334051467542794</v>
      </c>
    </row>
    <row r="42" spans="1:17" x14ac:dyDescent="0.3">
      <c r="A42" t="s">
        <v>54</v>
      </c>
      <c r="B42">
        <v>50.6</v>
      </c>
      <c r="C42">
        <v>108.8</v>
      </c>
      <c r="D42">
        <v>1.3650000000000001E-2</v>
      </c>
      <c r="E42">
        <v>35</v>
      </c>
      <c r="F42">
        <v>1</v>
      </c>
      <c r="G42">
        <v>8.1748738884925801E-2</v>
      </c>
      <c r="H42">
        <v>587.46249764419599</v>
      </c>
      <c r="I42">
        <v>42.3432884388803</v>
      </c>
      <c r="K42">
        <v>7.9661622643470764E-2</v>
      </c>
      <c r="L42" s="2">
        <f t="shared" si="0"/>
        <v>-2.5530867753115807</v>
      </c>
      <c r="N42">
        <v>42.286125183105469</v>
      </c>
      <c r="O42">
        <v>580.44189453125</v>
      </c>
      <c r="P42" s="2">
        <f t="shared" si="1"/>
        <v>-0.13499956635947855</v>
      </c>
      <c r="Q42" s="2">
        <f t="shared" si="2"/>
        <v>-1.1950725605633652</v>
      </c>
    </row>
    <row r="43" spans="1:17" x14ac:dyDescent="0.3">
      <c r="A43" t="s">
        <v>55</v>
      </c>
      <c r="B43">
        <v>70.400000000000006</v>
      </c>
      <c r="C43">
        <v>118.5</v>
      </c>
      <c r="D43">
        <v>2.1118999999999999E-2</v>
      </c>
      <c r="E43">
        <v>35</v>
      </c>
      <c r="F43">
        <v>1</v>
      </c>
      <c r="G43">
        <v>9.8420575261116E-2</v>
      </c>
      <c r="H43">
        <v>590.39778390802496</v>
      </c>
      <c r="I43">
        <v>67.028175523742107</v>
      </c>
      <c r="K43">
        <v>9.811718761920929E-2</v>
      </c>
      <c r="L43" s="2">
        <f t="shared" si="0"/>
        <v>-0.30825631845963503</v>
      </c>
      <c r="N43">
        <v>68.434951782226563</v>
      </c>
      <c r="O43">
        <v>585.1427001953125</v>
      </c>
      <c r="P43" s="2">
        <f t="shared" si="1"/>
        <v>2.0987834556024287</v>
      </c>
      <c r="Q43" s="2">
        <f t="shared" si="2"/>
        <v>-0.89009204572677125</v>
      </c>
    </row>
    <row r="44" spans="1:17" x14ac:dyDescent="0.3">
      <c r="A44" t="s">
        <v>56</v>
      </c>
      <c r="B44">
        <v>75.099999999999994</v>
      </c>
      <c r="C44">
        <v>126.4</v>
      </c>
      <c r="D44">
        <v>1.7975999999999999E-2</v>
      </c>
      <c r="E44">
        <v>28.11</v>
      </c>
      <c r="F44">
        <v>1</v>
      </c>
      <c r="G44">
        <v>7.9076498746871907E-2</v>
      </c>
      <c r="H44">
        <v>552.82002697779603</v>
      </c>
      <c r="I44">
        <v>71.681276536075003</v>
      </c>
      <c r="K44">
        <v>8.4788009524345398E-2</v>
      </c>
      <c r="L44" s="2">
        <f t="shared" si="0"/>
        <v>7.2227663945470599</v>
      </c>
      <c r="N44">
        <v>73.626518249511719</v>
      </c>
      <c r="O44">
        <v>547.121826171875</v>
      </c>
      <c r="P44" s="2">
        <f t="shared" si="1"/>
        <v>2.7137375440820088</v>
      </c>
      <c r="Q44" s="2">
        <f t="shared" si="2"/>
        <v>-1.0307515154746558</v>
      </c>
    </row>
    <row r="45" spans="1:17" x14ac:dyDescent="0.3">
      <c r="A45" t="s">
        <v>57</v>
      </c>
      <c r="B45">
        <v>89.6</v>
      </c>
      <c r="C45">
        <v>114.3</v>
      </c>
      <c r="D45">
        <v>2.5163999999999999E-2</v>
      </c>
      <c r="E45">
        <v>28.2</v>
      </c>
      <c r="F45">
        <v>1</v>
      </c>
      <c r="G45">
        <v>0.13136263191699901</v>
      </c>
      <c r="H45">
        <v>548.13315821430399</v>
      </c>
      <c r="I45">
        <v>95.530457330778106</v>
      </c>
      <c r="K45">
        <v>0.12540632486343381</v>
      </c>
      <c r="L45" s="2">
        <f t="shared" si="0"/>
        <v>-4.534247652200416</v>
      </c>
      <c r="N45">
        <v>97.438514709472656</v>
      </c>
      <c r="O45">
        <v>538.0152587890625</v>
      </c>
      <c r="P45" s="2">
        <f t="shared" si="1"/>
        <v>1.997328843604113</v>
      </c>
      <c r="Q45" s="2">
        <f t="shared" si="2"/>
        <v>-1.8458834817078675</v>
      </c>
    </row>
    <row r="46" spans="1:17" x14ac:dyDescent="0.3">
      <c r="A46" t="s">
        <v>58</v>
      </c>
      <c r="B46">
        <v>45.8</v>
      </c>
      <c r="C46">
        <v>114.7</v>
      </c>
      <c r="D46">
        <v>7.1069999999999996E-3</v>
      </c>
      <c r="E46">
        <v>20</v>
      </c>
      <c r="F46">
        <v>1</v>
      </c>
      <c r="G46">
        <v>3.87484021484851E-2</v>
      </c>
      <c r="H46">
        <v>499.05902945413999</v>
      </c>
      <c r="I46">
        <v>36.563520192705496</v>
      </c>
      <c r="K46">
        <v>3.6190316081047058E-2</v>
      </c>
      <c r="L46" s="2">
        <f t="shared" si="0"/>
        <v>-6.6017846558817466</v>
      </c>
      <c r="N46">
        <v>35.807300567626953</v>
      </c>
      <c r="O46">
        <v>491.493896484375</v>
      </c>
      <c r="P46" s="2">
        <f t="shared" si="1"/>
        <v>-2.0682352823058072</v>
      </c>
      <c r="Q46" s="2">
        <f t="shared" si="2"/>
        <v>-1.5158793896665026</v>
      </c>
    </row>
    <row r="47" spans="1:17" x14ac:dyDescent="0.3">
      <c r="A47" t="s">
        <v>59</v>
      </c>
      <c r="B47">
        <v>50.3</v>
      </c>
      <c r="C47">
        <v>109.6</v>
      </c>
      <c r="D47">
        <v>1.1050000000000001E-2</v>
      </c>
      <c r="E47">
        <v>27.6</v>
      </c>
      <c r="F47">
        <v>1</v>
      </c>
      <c r="G47">
        <v>6.6194884479045799E-2</v>
      </c>
      <c r="H47">
        <v>543.24785920090903</v>
      </c>
      <c r="I47">
        <v>42.362297917602497</v>
      </c>
      <c r="K47">
        <v>6.793329119682312E-2</v>
      </c>
      <c r="L47" s="2">
        <f t="shared" si="0"/>
        <v>2.6261949566927933</v>
      </c>
      <c r="N47">
        <v>41.93365478515625</v>
      </c>
      <c r="O47">
        <v>540.1590576171875</v>
      </c>
      <c r="P47" s="2">
        <f t="shared" si="1"/>
        <v>-1.0118505216123699</v>
      </c>
      <c r="Q47" s="2">
        <f t="shared" si="2"/>
        <v>-0.56858053490813731</v>
      </c>
    </row>
    <row r="48" spans="1:17" x14ac:dyDescent="0.3">
      <c r="A48" t="s">
        <v>60</v>
      </c>
      <c r="B48">
        <v>66.099999999999994</v>
      </c>
      <c r="C48">
        <v>109</v>
      </c>
      <c r="D48">
        <v>1.8584E-2</v>
      </c>
      <c r="E48">
        <v>31.05</v>
      </c>
      <c r="F48">
        <v>1</v>
      </c>
      <c r="G48">
        <v>0.11200460046529701</v>
      </c>
      <c r="H48">
        <v>563.80797390836199</v>
      </c>
      <c r="I48">
        <v>64.4522749798994</v>
      </c>
      <c r="K48">
        <v>0.10665392875671389</v>
      </c>
      <c r="L48" s="2">
        <f t="shared" si="0"/>
        <v>-4.7771892282593678</v>
      </c>
      <c r="N48">
        <v>64.675926208496094</v>
      </c>
      <c r="O48">
        <v>556.1253662109375</v>
      </c>
      <c r="P48" s="2">
        <f t="shared" si="1"/>
        <v>0.34700284616244109</v>
      </c>
      <c r="Q48" s="2">
        <f t="shared" si="2"/>
        <v>-1.3626284219018818</v>
      </c>
    </row>
    <row r="49" spans="1:17" x14ac:dyDescent="0.3">
      <c r="A49" t="s">
        <v>61</v>
      </c>
      <c r="B49">
        <v>81</v>
      </c>
      <c r="C49">
        <v>130</v>
      </c>
      <c r="D49">
        <v>1.4827E-2</v>
      </c>
      <c r="E49">
        <v>20</v>
      </c>
      <c r="F49">
        <v>1.88</v>
      </c>
      <c r="G49">
        <v>6.7661836743354797E-2</v>
      </c>
      <c r="H49">
        <v>625.81339277695099</v>
      </c>
      <c r="I49">
        <v>101.160285594367</v>
      </c>
      <c r="K49">
        <v>7.2907581925392151E-2</v>
      </c>
      <c r="L49" s="2">
        <f t="shared" si="0"/>
        <v>7.7528861682173416</v>
      </c>
      <c r="N49">
        <v>102.2333297729492</v>
      </c>
      <c r="O49">
        <v>620.879150390625</v>
      </c>
      <c r="P49" s="2">
        <f t="shared" si="1"/>
        <v>1.0607366045652595</v>
      </c>
      <c r="Q49" s="2">
        <f t="shared" si="2"/>
        <v>-0.78845266708515893</v>
      </c>
    </row>
    <row r="50" spans="1:17" x14ac:dyDescent="0.3">
      <c r="A50" t="s">
        <v>62</v>
      </c>
      <c r="B50">
        <v>79.900000000000006</v>
      </c>
      <c r="C50">
        <v>121</v>
      </c>
      <c r="D50">
        <v>2.1087000000000002E-2</v>
      </c>
      <c r="E50">
        <v>29.03</v>
      </c>
      <c r="F50">
        <v>1</v>
      </c>
      <c r="G50">
        <v>9.7273476421832997E-2</v>
      </c>
      <c r="H50">
        <v>555.61243168539204</v>
      </c>
      <c r="I50">
        <v>80.076410748796405</v>
      </c>
      <c r="K50">
        <v>9.7050368785858154E-2</v>
      </c>
      <c r="L50" s="2">
        <f t="shared" si="0"/>
        <v>-0.22936122382150823</v>
      </c>
      <c r="N50">
        <v>81.9744873046875</v>
      </c>
      <c r="O50">
        <v>549.11920166015625</v>
      </c>
      <c r="P50" s="2">
        <f t="shared" si="1"/>
        <v>2.3703317096035348</v>
      </c>
      <c r="Q50" s="2">
        <f t="shared" si="2"/>
        <v>-1.1686617604180052</v>
      </c>
    </row>
    <row r="51" spans="1:17" x14ac:dyDescent="0.3">
      <c r="A51" t="s">
        <v>63</v>
      </c>
      <c r="B51">
        <v>58.3</v>
      </c>
      <c r="C51">
        <v>125.6</v>
      </c>
      <c r="D51">
        <v>1.0304000000000001E-2</v>
      </c>
      <c r="E51">
        <v>21.63</v>
      </c>
      <c r="F51">
        <v>1</v>
      </c>
      <c r="G51">
        <v>4.7451145946979502E-2</v>
      </c>
      <c r="H51">
        <v>513.48858487042298</v>
      </c>
      <c r="I51">
        <v>52.010340830576602</v>
      </c>
      <c r="K51">
        <v>5.136658251285553E-2</v>
      </c>
      <c r="L51" s="2">
        <f t="shared" si="0"/>
        <v>8.2515110809990126</v>
      </c>
      <c r="N51">
        <v>51.882591247558587</v>
      </c>
      <c r="O51">
        <v>505.34048461914063</v>
      </c>
      <c r="P51" s="2">
        <f t="shared" si="1"/>
        <v>-0.24562342983707666</v>
      </c>
      <c r="Q51" s="2">
        <f t="shared" si="2"/>
        <v>-1.5868123442974884</v>
      </c>
    </row>
    <row r="52" spans="1:17" x14ac:dyDescent="0.3">
      <c r="A52" t="s">
        <v>64</v>
      </c>
      <c r="B52">
        <v>50.2</v>
      </c>
      <c r="C52">
        <v>112.9</v>
      </c>
      <c r="D52">
        <v>8.4069999999999995E-3</v>
      </c>
      <c r="E52">
        <v>20</v>
      </c>
      <c r="F52">
        <v>1</v>
      </c>
      <c r="G52">
        <v>4.7808270901441498E-2</v>
      </c>
      <c r="H52">
        <v>498.51371009739501</v>
      </c>
      <c r="I52">
        <v>42.824805060570696</v>
      </c>
      <c r="K52">
        <v>4.5788556337356567E-2</v>
      </c>
      <c r="L52" s="2">
        <f t="shared" si="0"/>
        <v>-4.2246132855309622</v>
      </c>
      <c r="N52">
        <v>42.791179656982422</v>
      </c>
      <c r="O52">
        <v>491.393310546875</v>
      </c>
      <c r="P52" s="2">
        <f t="shared" si="1"/>
        <v>-7.8518521078415601E-2</v>
      </c>
      <c r="Q52" s="2">
        <f t="shared" si="2"/>
        <v>-1.4283257223013761</v>
      </c>
    </row>
    <row r="53" spans="1:17" x14ac:dyDescent="0.3">
      <c r="A53" t="s">
        <v>65</v>
      </c>
      <c r="B53">
        <v>85.1</v>
      </c>
      <c r="C53">
        <v>124.9</v>
      </c>
      <c r="D53">
        <v>2.1579000000000001E-2</v>
      </c>
      <c r="E53">
        <v>28.15</v>
      </c>
      <c r="F53">
        <v>1</v>
      </c>
      <c r="G53">
        <v>9.5987871289253193E-2</v>
      </c>
      <c r="H53">
        <v>552.22793854837403</v>
      </c>
      <c r="I53">
        <v>85.898159161601896</v>
      </c>
      <c r="K53">
        <v>9.4354286789894104E-2</v>
      </c>
      <c r="L53" s="2">
        <f t="shared" si="0"/>
        <v>-1.7018655351116068</v>
      </c>
      <c r="N53">
        <v>87.612632751464844</v>
      </c>
      <c r="O53">
        <v>543.81207275390625</v>
      </c>
      <c r="P53" s="2">
        <f t="shared" si="1"/>
        <v>1.9959375225230085</v>
      </c>
      <c r="Q53" s="2">
        <f t="shared" si="2"/>
        <v>-1.5239840665414948</v>
      </c>
    </row>
    <row r="54" spans="1:17" x14ac:dyDescent="0.3">
      <c r="A54" t="s">
        <v>66</v>
      </c>
      <c r="B54">
        <v>81.8</v>
      </c>
      <c r="C54">
        <v>130</v>
      </c>
      <c r="D54">
        <v>1.9054000000000001E-2</v>
      </c>
      <c r="E54">
        <v>27.47</v>
      </c>
      <c r="F54">
        <v>1.33</v>
      </c>
      <c r="G54">
        <v>8.2763403654098497E-2</v>
      </c>
      <c r="H54">
        <v>610.80830466735802</v>
      </c>
      <c r="I54">
        <v>85.798459275755704</v>
      </c>
      <c r="K54">
        <v>8.0557748675346375E-2</v>
      </c>
      <c r="L54" s="2">
        <f t="shared" si="0"/>
        <v>-2.6650124105219746</v>
      </c>
      <c r="N54">
        <v>88.257759094238281</v>
      </c>
      <c r="O54">
        <v>607.3187255859375</v>
      </c>
      <c r="P54" s="2">
        <f t="shared" si="1"/>
        <v>2.8663682765892142</v>
      </c>
      <c r="Q54" s="2">
        <f t="shared" si="2"/>
        <v>-0.57130511401951489</v>
      </c>
    </row>
    <row r="55" spans="1:17" x14ac:dyDescent="0.3">
      <c r="A55" t="s">
        <v>67</v>
      </c>
      <c r="B55">
        <v>62.6</v>
      </c>
      <c r="C55">
        <v>113.9</v>
      </c>
      <c r="D55">
        <v>1.8453000000000001E-2</v>
      </c>
      <c r="E55">
        <v>35</v>
      </c>
      <c r="F55">
        <v>1</v>
      </c>
      <c r="G55">
        <v>9.4514079391956302E-2</v>
      </c>
      <c r="H55">
        <v>588.80999718136502</v>
      </c>
      <c r="I55">
        <v>58.577382536381002</v>
      </c>
      <c r="K55">
        <v>9.4683416187763214E-2</v>
      </c>
      <c r="L55" s="2">
        <f t="shared" si="0"/>
        <v>0.17916568292927168</v>
      </c>
      <c r="N55">
        <v>59.543113708496087</v>
      </c>
      <c r="O55">
        <v>582.6846923828125</v>
      </c>
      <c r="P55" s="2">
        <f t="shared" si="1"/>
        <v>1.6486417287684241</v>
      </c>
      <c r="Q55" s="2">
        <f t="shared" si="2"/>
        <v>-1.0402854618424229</v>
      </c>
    </row>
    <row r="56" spans="1:17" x14ac:dyDescent="0.3">
      <c r="A56" t="s">
        <v>68</v>
      </c>
      <c r="B56">
        <v>50.8</v>
      </c>
      <c r="C56">
        <v>118.6</v>
      </c>
      <c r="D56">
        <v>1.0069E-2</v>
      </c>
      <c r="E56">
        <v>25.83</v>
      </c>
      <c r="F56">
        <v>1</v>
      </c>
      <c r="G56">
        <v>4.8959504812955801E-2</v>
      </c>
      <c r="H56">
        <v>535.41670234665298</v>
      </c>
      <c r="I56">
        <v>42.147090432720098</v>
      </c>
      <c r="K56">
        <v>4.8260178416967392E-2</v>
      </c>
      <c r="L56" s="2">
        <f t="shared" si="0"/>
        <v>-1.4283771836747645</v>
      </c>
      <c r="N56">
        <v>40.708839416503913</v>
      </c>
      <c r="O56">
        <v>530.1297607421875</v>
      </c>
      <c r="P56" s="2">
        <f t="shared" si="1"/>
        <v>-3.412456237073072</v>
      </c>
      <c r="Q56" s="2">
        <f t="shared" si="2"/>
        <v>-0.98744428055635769</v>
      </c>
    </row>
    <row r="57" spans="1:17" x14ac:dyDescent="0.3">
      <c r="A57" t="s">
        <v>69</v>
      </c>
      <c r="B57">
        <v>42.9</v>
      </c>
      <c r="C57">
        <v>112.2</v>
      </c>
      <c r="D57">
        <v>7.0910000000000001E-3</v>
      </c>
      <c r="E57">
        <v>22.85</v>
      </c>
      <c r="F57">
        <v>1</v>
      </c>
      <c r="G57">
        <v>4.0245845913887003E-2</v>
      </c>
      <c r="H57">
        <v>515.41595332013196</v>
      </c>
      <c r="I57">
        <v>32.215207218009503</v>
      </c>
      <c r="K57">
        <v>4.1274089366197593E-2</v>
      </c>
      <c r="L57" s="2">
        <f t="shared" si="0"/>
        <v>2.5549058019818887</v>
      </c>
      <c r="N57">
        <v>30.89669227600098</v>
      </c>
      <c r="O57">
        <v>508.79556274414063</v>
      </c>
      <c r="P57" s="2">
        <f t="shared" si="1"/>
        <v>-4.0928339621898315</v>
      </c>
      <c r="Q57" s="2">
        <f t="shared" si="2"/>
        <v>-1.2844752928862722</v>
      </c>
    </row>
    <row r="58" spans="1:17" x14ac:dyDescent="0.3">
      <c r="A58" t="s">
        <v>70</v>
      </c>
      <c r="B58">
        <v>72.5</v>
      </c>
      <c r="C58">
        <v>126.8</v>
      </c>
      <c r="D58">
        <v>1.6868000000000001E-2</v>
      </c>
      <c r="E58">
        <v>27.72</v>
      </c>
      <c r="F58">
        <v>1</v>
      </c>
      <c r="G58">
        <v>7.4178390204906394E-2</v>
      </c>
      <c r="H58">
        <v>550.71252734582197</v>
      </c>
      <c r="I58">
        <v>68.721939415020302</v>
      </c>
      <c r="K58">
        <v>8.1504277884960175E-2</v>
      </c>
      <c r="L58" s="2">
        <f t="shared" si="0"/>
        <v>9.8760402589179179</v>
      </c>
      <c r="N58">
        <v>69.521919250488281</v>
      </c>
      <c r="O58">
        <v>542.7139892578125</v>
      </c>
      <c r="P58" s="2">
        <f t="shared" si="1"/>
        <v>1.1640821581544758</v>
      </c>
      <c r="Q58" s="2">
        <f t="shared" si="2"/>
        <v>-1.4523980644781587</v>
      </c>
    </row>
    <row r="59" spans="1:17" x14ac:dyDescent="0.3">
      <c r="A59" t="s">
        <v>71</v>
      </c>
      <c r="B59">
        <v>84</v>
      </c>
      <c r="C59">
        <v>124.8</v>
      </c>
      <c r="D59">
        <v>2.1520999999999998E-2</v>
      </c>
      <c r="E59">
        <v>28.61</v>
      </c>
      <c r="F59">
        <v>1</v>
      </c>
      <c r="G59">
        <v>9.5525719225406605E-2</v>
      </c>
      <c r="H59">
        <v>554.93462636836796</v>
      </c>
      <c r="I59">
        <v>84.700528004560695</v>
      </c>
      <c r="K59">
        <v>9.4615772366523743E-2</v>
      </c>
      <c r="L59" s="2">
        <f t="shared" si="0"/>
        <v>-0.95256739887580699</v>
      </c>
      <c r="N59">
        <v>85.883522033691406</v>
      </c>
      <c r="O59">
        <v>545.8115234375</v>
      </c>
      <c r="P59" s="2">
        <f t="shared" si="1"/>
        <v>1.3966784588013581</v>
      </c>
      <c r="Q59" s="2">
        <f t="shared" si="2"/>
        <v>-1.6439959767102374</v>
      </c>
    </row>
    <row r="60" spans="1:17" x14ac:dyDescent="0.3">
      <c r="A60" t="s">
        <v>72</v>
      </c>
      <c r="B60">
        <v>74.8</v>
      </c>
      <c r="C60">
        <v>130</v>
      </c>
      <c r="D60">
        <v>2.0497999999999999E-2</v>
      </c>
      <c r="E60">
        <v>35</v>
      </c>
      <c r="F60">
        <v>1.1599999999999999</v>
      </c>
      <c r="G60">
        <v>8.6029276251792894E-2</v>
      </c>
      <c r="H60">
        <v>632.53467379712094</v>
      </c>
      <c r="I60">
        <v>69.214260722962706</v>
      </c>
      <c r="K60">
        <v>8.3178304135799408E-2</v>
      </c>
      <c r="L60" s="2">
        <f t="shared" si="0"/>
        <v>-3.3139557139236895</v>
      </c>
      <c r="N60">
        <v>71.607139587402344</v>
      </c>
      <c r="O60">
        <v>620.66693115234375</v>
      </c>
      <c r="P60" s="2">
        <f t="shared" si="1"/>
        <v>3.4572049740116197</v>
      </c>
      <c r="Q60" s="2">
        <f t="shared" si="2"/>
        <v>-1.8762200929689512</v>
      </c>
    </row>
    <row r="61" spans="1:17" x14ac:dyDescent="0.3">
      <c r="A61" t="s">
        <v>73</v>
      </c>
      <c r="B61">
        <v>40.299999999999997</v>
      </c>
      <c r="C61">
        <v>109.1</v>
      </c>
      <c r="D61">
        <v>9.0430000000000007E-3</v>
      </c>
      <c r="E61">
        <v>35</v>
      </c>
      <c r="F61">
        <v>1.04</v>
      </c>
      <c r="G61">
        <v>5.3540699183940797E-2</v>
      </c>
      <c r="H61">
        <v>596.43889103593301</v>
      </c>
      <c r="I61">
        <v>28.208853670952902</v>
      </c>
      <c r="K61">
        <v>5.5294811725616462E-2</v>
      </c>
      <c r="L61" s="2">
        <f t="shared" si="0"/>
        <v>3.2762227023770358</v>
      </c>
      <c r="N61">
        <v>28.036680221557621</v>
      </c>
      <c r="O61">
        <v>590.59552001953125</v>
      </c>
      <c r="P61" s="2">
        <f t="shared" si="1"/>
        <v>-0.61035252053709155</v>
      </c>
      <c r="Q61" s="2">
        <f t="shared" si="2"/>
        <v>-0.97970992573147309</v>
      </c>
    </row>
    <row r="62" spans="1:17" x14ac:dyDescent="0.3">
      <c r="A62" t="s">
        <v>74</v>
      </c>
      <c r="B62">
        <v>45.1</v>
      </c>
      <c r="C62">
        <v>113.5</v>
      </c>
      <c r="D62">
        <v>6.966E-3</v>
      </c>
      <c r="E62">
        <v>20</v>
      </c>
      <c r="F62">
        <v>1</v>
      </c>
      <c r="G62">
        <v>3.9020709693431799E-2</v>
      </c>
      <c r="H62">
        <v>498.68950913172802</v>
      </c>
      <c r="I62">
        <v>35.627888728127502</v>
      </c>
      <c r="K62">
        <v>3.7099659442901611E-2</v>
      </c>
      <c r="L62" s="2">
        <f t="shared" si="0"/>
        <v>-4.9231555900008406</v>
      </c>
      <c r="N62">
        <v>34.883087158203118</v>
      </c>
      <c r="O62">
        <v>490.42822265625</v>
      </c>
      <c r="P62" s="2">
        <f t="shared" si="1"/>
        <v>-2.0905015607516986</v>
      </c>
      <c r="Q62" s="2">
        <f t="shared" si="2"/>
        <v>-1.6565992113733861</v>
      </c>
    </row>
    <row r="63" spans="1:17" x14ac:dyDescent="0.3">
      <c r="A63" t="s">
        <v>75</v>
      </c>
      <c r="B63">
        <v>62.9</v>
      </c>
      <c r="C63">
        <v>130</v>
      </c>
      <c r="D63">
        <v>1.0872E-2</v>
      </c>
      <c r="E63">
        <v>21.19</v>
      </c>
      <c r="F63">
        <v>1</v>
      </c>
      <c r="G63">
        <v>4.9020096659660298E-2</v>
      </c>
      <c r="H63">
        <v>513.56829180160196</v>
      </c>
      <c r="I63">
        <v>55.891911252168697</v>
      </c>
      <c r="K63">
        <v>5.5923156440258033E-2</v>
      </c>
      <c r="L63" s="2">
        <f t="shared" si="0"/>
        <v>14.082101527715698</v>
      </c>
      <c r="N63">
        <v>58.609272003173828</v>
      </c>
      <c r="O63">
        <v>502.4732666015625</v>
      </c>
      <c r="P63" s="2">
        <f t="shared" si="1"/>
        <v>4.8618139729471013</v>
      </c>
      <c r="Q63" s="2">
        <f t="shared" si="2"/>
        <v>-2.1603797152503352</v>
      </c>
    </row>
    <row r="64" spans="1:17" x14ac:dyDescent="0.3">
      <c r="A64" t="s">
        <v>76</v>
      </c>
      <c r="B64">
        <v>46.6</v>
      </c>
      <c r="C64">
        <v>108.4</v>
      </c>
      <c r="D64">
        <v>1.0063000000000001E-2</v>
      </c>
      <c r="E64">
        <v>28.65</v>
      </c>
      <c r="F64">
        <v>1</v>
      </c>
      <c r="G64">
        <v>6.2617115676403004E-2</v>
      </c>
      <c r="H64">
        <v>549.27325432948203</v>
      </c>
      <c r="I64">
        <v>37.098012765895803</v>
      </c>
      <c r="K64">
        <v>6.4086228609085083E-2</v>
      </c>
      <c r="L64" s="2">
        <f t="shared" si="0"/>
        <v>2.3461842929244154</v>
      </c>
      <c r="N64">
        <v>36.436237335205078</v>
      </c>
      <c r="O64">
        <v>547.02154541015625</v>
      </c>
      <c r="P64" s="2">
        <f t="shared" si="1"/>
        <v>-1.7838568196814424</v>
      </c>
      <c r="Q64" s="2">
        <f t="shared" si="2"/>
        <v>-0.40994330264169193</v>
      </c>
    </row>
    <row r="65" spans="1:17" x14ac:dyDescent="0.3">
      <c r="A65" t="s">
        <v>77</v>
      </c>
      <c r="B65">
        <v>72.2</v>
      </c>
      <c r="C65">
        <v>124.1</v>
      </c>
      <c r="D65">
        <v>2.0820999999999999E-2</v>
      </c>
      <c r="E65">
        <v>35</v>
      </c>
      <c r="F65">
        <v>1</v>
      </c>
      <c r="G65">
        <v>9.0337060391902896E-2</v>
      </c>
      <c r="H65">
        <v>592.90872231641504</v>
      </c>
      <c r="I65">
        <v>67.787707703764099</v>
      </c>
      <c r="K65">
        <v>8.9705809950828552E-2</v>
      </c>
      <c r="L65" s="2">
        <f t="shared" si="0"/>
        <v>-0.69877239566555993</v>
      </c>
      <c r="N65">
        <v>68.380142211914063</v>
      </c>
      <c r="O65">
        <v>587.933349609375</v>
      </c>
      <c r="P65" s="2">
        <f t="shared" si="1"/>
        <v>0.87395565983575396</v>
      </c>
      <c r="Q65" s="2">
        <f t="shared" si="2"/>
        <v>-0.83914648575280215</v>
      </c>
    </row>
    <row r="66" spans="1:17" x14ac:dyDescent="0.3">
      <c r="A66" t="s">
        <v>78</v>
      </c>
      <c r="B66">
        <v>46.6</v>
      </c>
      <c r="C66">
        <v>115</v>
      </c>
      <c r="D66">
        <v>9.5670000000000009E-3</v>
      </c>
      <c r="E66">
        <v>28.19</v>
      </c>
      <c r="F66">
        <v>1</v>
      </c>
      <c r="G66">
        <v>4.9179852008819497E-2</v>
      </c>
      <c r="H66">
        <v>548.29523446828898</v>
      </c>
      <c r="I66">
        <v>36.504430927423101</v>
      </c>
      <c r="K66">
        <v>5.0139810889959342E-2</v>
      </c>
      <c r="L66" s="2">
        <f t="shared" si="0"/>
        <v>1.951935278226731</v>
      </c>
      <c r="N66">
        <v>36.237636566162109</v>
      </c>
      <c r="O66">
        <v>547.38006591796875</v>
      </c>
      <c r="P66" s="2">
        <f t="shared" si="1"/>
        <v>-0.73085473320053529</v>
      </c>
      <c r="Q66" s="2">
        <f t="shared" si="2"/>
        <v>-0.16691163679504148</v>
      </c>
    </row>
    <row r="67" spans="1:17" x14ac:dyDescent="0.3">
      <c r="A67" t="s">
        <v>79</v>
      </c>
      <c r="B67">
        <v>87.6</v>
      </c>
      <c r="C67">
        <v>130</v>
      </c>
      <c r="D67">
        <v>2.0570000000000001E-2</v>
      </c>
      <c r="E67">
        <v>27.01</v>
      </c>
      <c r="F67">
        <v>1</v>
      </c>
      <c r="G67">
        <v>8.9394748210906899E-2</v>
      </c>
      <c r="H67">
        <v>548.48829180160203</v>
      </c>
      <c r="I67">
        <v>86.261746018498698</v>
      </c>
      <c r="K67">
        <v>8.9158527553081512E-2</v>
      </c>
      <c r="L67" s="2">
        <f t="shared" si="0"/>
        <v>-0.2642444467409617</v>
      </c>
      <c r="N67">
        <v>89.805534362792969</v>
      </c>
      <c r="O67">
        <v>541.2432861328125</v>
      </c>
      <c r="P67" s="2">
        <f t="shared" si="1"/>
        <v>4.1081806337821059</v>
      </c>
      <c r="Q67" s="2">
        <f t="shared" si="2"/>
        <v>-1.3209043432799801</v>
      </c>
    </row>
    <row r="68" spans="1:17" x14ac:dyDescent="0.3">
      <c r="A68" t="s">
        <v>80</v>
      </c>
      <c r="B68">
        <v>51.7</v>
      </c>
      <c r="C68">
        <v>109.6</v>
      </c>
      <c r="D68">
        <v>1.2603E-2</v>
      </c>
      <c r="E68">
        <v>30.65</v>
      </c>
      <c r="F68">
        <v>1</v>
      </c>
      <c r="G68">
        <v>7.4484422802925096E-2</v>
      </c>
      <c r="H68">
        <v>561.54785920090899</v>
      </c>
      <c r="I68">
        <v>43.897742299902497</v>
      </c>
      <c r="K68">
        <v>7.4372522532939911E-2</v>
      </c>
      <c r="L68" s="2">
        <f t="shared" si="0"/>
        <v>-0.150233116904533</v>
      </c>
      <c r="N68">
        <v>43.236171722412109</v>
      </c>
      <c r="O68">
        <v>553.17010498046875</v>
      </c>
      <c r="P68" s="2">
        <f t="shared" si="1"/>
        <v>-1.5070719878271661</v>
      </c>
      <c r="Q68" s="2">
        <f t="shared" si="2"/>
        <v>-1.4919038659254988</v>
      </c>
    </row>
    <row r="69" spans="1:17" x14ac:dyDescent="0.3">
      <c r="A69" t="s">
        <v>81</v>
      </c>
      <c r="B69">
        <v>43.7</v>
      </c>
      <c r="C69">
        <v>113.5</v>
      </c>
      <c r="D69">
        <v>1.0295E-2</v>
      </c>
      <c r="E69">
        <v>35</v>
      </c>
      <c r="F69">
        <v>1</v>
      </c>
      <c r="G69">
        <v>5.3249817341566003E-2</v>
      </c>
      <c r="H69">
        <v>588.68950913172796</v>
      </c>
      <c r="I69">
        <v>32.147058675139498</v>
      </c>
      <c r="K69">
        <v>5.1541108638048172E-2</v>
      </c>
      <c r="L69" s="2">
        <f t="shared" si="0"/>
        <v>-3.208853642741115</v>
      </c>
      <c r="N69">
        <v>32.78131103515625</v>
      </c>
      <c r="O69">
        <v>587.95062255859375</v>
      </c>
      <c r="P69" s="2">
        <f t="shared" si="1"/>
        <v>1.9729716688116263</v>
      </c>
      <c r="Q69" s="2">
        <f t="shared" si="2"/>
        <v>-0.12551380000367438</v>
      </c>
    </row>
    <row r="70" spans="1:17" x14ac:dyDescent="0.3">
      <c r="A70" t="s">
        <v>82</v>
      </c>
      <c r="B70">
        <v>53</v>
      </c>
      <c r="C70">
        <v>102.4</v>
      </c>
      <c r="D70">
        <v>1.2619E-2</v>
      </c>
      <c r="E70">
        <v>28.21</v>
      </c>
      <c r="F70">
        <v>1</v>
      </c>
      <c r="G70">
        <v>0.10538843274116499</v>
      </c>
      <c r="H70">
        <v>545.55348585807201</v>
      </c>
      <c r="I70">
        <v>47.986440961689397</v>
      </c>
      <c r="K70">
        <v>0.1017827019095421</v>
      </c>
      <c r="L70" s="2">
        <f t="shared" si="0"/>
        <v>-3.4213724768814111</v>
      </c>
      <c r="N70">
        <v>48.200851440429688</v>
      </c>
      <c r="O70">
        <v>540.6124267578125</v>
      </c>
      <c r="P70" s="2">
        <f t="shared" si="1"/>
        <v>0.44681471358017227</v>
      </c>
      <c r="Q70" s="2">
        <f t="shared" si="2"/>
        <v>-0.90569655008032424</v>
      </c>
    </row>
    <row r="71" spans="1:17" x14ac:dyDescent="0.3">
      <c r="A71" t="s">
        <v>83</v>
      </c>
      <c r="B71">
        <v>52.2</v>
      </c>
      <c r="C71">
        <v>120.9</v>
      </c>
      <c r="D71">
        <v>1.0872E-2</v>
      </c>
      <c r="E71">
        <v>27.54</v>
      </c>
      <c r="F71">
        <v>1.1299999999999999</v>
      </c>
      <c r="G71">
        <v>5.0666149705648401E-2</v>
      </c>
      <c r="H71">
        <v>569.92774184186499</v>
      </c>
      <c r="I71">
        <v>44.660495456971901</v>
      </c>
      <c r="K71">
        <v>5.0939697772264481E-2</v>
      </c>
      <c r="L71" s="2">
        <f t="shared" si="0"/>
        <v>0.53990300862665175</v>
      </c>
      <c r="N71">
        <v>44.698207855224609</v>
      </c>
      <c r="O71">
        <v>565.5179443359375</v>
      </c>
      <c r="P71" s="2">
        <f t="shared" si="1"/>
        <v>8.4442409039196781E-2</v>
      </c>
      <c r="Q71" s="2">
        <f t="shared" si="2"/>
        <v>-0.77374677212169307</v>
      </c>
    </row>
    <row r="72" spans="1:17" x14ac:dyDescent="0.3">
      <c r="A72" t="s">
        <v>84</v>
      </c>
      <c r="B72">
        <v>60</v>
      </c>
      <c r="C72">
        <v>112.2</v>
      </c>
      <c r="D72">
        <v>1.2505E-2</v>
      </c>
      <c r="E72">
        <v>23.14</v>
      </c>
      <c r="F72">
        <v>1</v>
      </c>
      <c r="G72">
        <v>7.0868514478206607E-2</v>
      </c>
      <c r="H72">
        <v>517.15595332013299</v>
      </c>
      <c r="I72">
        <v>55.854594837201603</v>
      </c>
      <c r="K72">
        <v>6.9599069654941559E-2</v>
      </c>
      <c r="L72" s="2">
        <f t="shared" si="0"/>
        <v>-1.7912677196802622</v>
      </c>
      <c r="N72">
        <v>54.062885284423828</v>
      </c>
      <c r="O72">
        <v>512.561767578125</v>
      </c>
      <c r="P72" s="2">
        <f t="shared" si="1"/>
        <v>-3.2078104907931726</v>
      </c>
      <c r="Q72" s="2">
        <f t="shared" si="2"/>
        <v>-0.88835596158439145</v>
      </c>
    </row>
    <row r="73" spans="1:17" x14ac:dyDescent="0.3">
      <c r="A73" t="s">
        <v>85</v>
      </c>
      <c r="B73">
        <v>66.900000000000006</v>
      </c>
      <c r="C73">
        <v>120.8</v>
      </c>
      <c r="D73">
        <v>1.2390999999999999E-2</v>
      </c>
      <c r="E73">
        <v>20</v>
      </c>
      <c r="F73">
        <v>1</v>
      </c>
      <c r="G73">
        <v>6.0809105634689303E-2</v>
      </c>
      <c r="H73">
        <v>501.344782780157</v>
      </c>
      <c r="I73">
        <v>65.3889067751211</v>
      </c>
      <c r="K73">
        <v>6.0242276638746262E-2</v>
      </c>
      <c r="L73" s="2">
        <f t="shared" ref="L73:L136" si="3">(K73-G73)/G73*100</f>
        <v>-0.93214493130069509</v>
      </c>
      <c r="N73">
        <v>65.393959045410156</v>
      </c>
      <c r="O73">
        <v>495.16110229492188</v>
      </c>
      <c r="P73" s="2">
        <f t="shared" ref="P73:P136" si="4">(N73-I73)/I73*100</f>
        <v>7.7264945053009343E-3</v>
      </c>
      <c r="Q73" s="2">
        <f t="shared" ref="Q73:Q136" si="5">(O73-H73)/H73*100</f>
        <v>-1.2334187364919111</v>
      </c>
    </row>
    <row r="74" spans="1:17" x14ac:dyDescent="0.3">
      <c r="A74" t="s">
        <v>86</v>
      </c>
      <c r="B74">
        <v>75.5</v>
      </c>
      <c r="C74">
        <v>117.7</v>
      </c>
      <c r="D74">
        <v>1.8543E-2</v>
      </c>
      <c r="E74">
        <v>26.33</v>
      </c>
      <c r="F74">
        <v>1</v>
      </c>
      <c r="G74">
        <v>9.1289706528186798E-2</v>
      </c>
      <c r="H74">
        <v>538.07351099403297</v>
      </c>
      <c r="I74">
        <v>75.862228359616495</v>
      </c>
      <c r="K74">
        <v>9.1655343770980835E-2</v>
      </c>
      <c r="L74" s="2">
        <f t="shared" si="3"/>
        <v>0.40052406421214853</v>
      </c>
      <c r="N74">
        <v>77.836067199707031</v>
      </c>
      <c r="O74">
        <v>534.89532470703125</v>
      </c>
      <c r="P74" s="2">
        <f t="shared" si="4"/>
        <v>2.6018730042225648</v>
      </c>
      <c r="Q74" s="2">
        <f t="shared" si="5"/>
        <v>-0.59066023918002664</v>
      </c>
    </row>
    <row r="75" spans="1:17" x14ac:dyDescent="0.3">
      <c r="A75" t="s">
        <v>87</v>
      </c>
      <c r="B75">
        <v>56.6</v>
      </c>
      <c r="C75">
        <v>117.6</v>
      </c>
      <c r="D75">
        <v>1.1939999999999999E-2</v>
      </c>
      <c r="E75">
        <v>25.53</v>
      </c>
      <c r="F75">
        <v>1</v>
      </c>
      <c r="G75">
        <v>5.91719113290309E-2</v>
      </c>
      <c r="H75">
        <v>533.23634954123997</v>
      </c>
      <c r="I75">
        <v>50.060611753436802</v>
      </c>
      <c r="K75">
        <v>6.0052532702684402E-2</v>
      </c>
      <c r="L75" s="2">
        <f t="shared" si="3"/>
        <v>1.4882422316168313</v>
      </c>
      <c r="N75">
        <v>48.726264953613281</v>
      </c>
      <c r="O75">
        <v>528.677978515625</v>
      </c>
      <c r="P75" s="2">
        <f t="shared" si="4"/>
        <v>-2.6654624326118319</v>
      </c>
      <c r="Q75" s="2">
        <f t="shared" si="5"/>
        <v>-0.85485001717093834</v>
      </c>
    </row>
    <row r="76" spans="1:17" x14ac:dyDescent="0.3">
      <c r="A76" t="s">
        <v>88</v>
      </c>
      <c r="B76">
        <v>75.400000000000006</v>
      </c>
      <c r="C76">
        <v>130</v>
      </c>
      <c r="D76">
        <v>1.7136999999999999E-2</v>
      </c>
      <c r="E76">
        <v>27.59</v>
      </c>
      <c r="F76">
        <v>1.37</v>
      </c>
      <c r="G76">
        <v>7.4416950345039298E-2</v>
      </c>
      <c r="H76">
        <v>619.01410016623697</v>
      </c>
      <c r="I76">
        <v>76.974059952396203</v>
      </c>
      <c r="K76">
        <v>7.7315419912338257E-2</v>
      </c>
      <c r="L76" s="2">
        <f t="shared" si="3"/>
        <v>3.8949050637791598</v>
      </c>
      <c r="N76">
        <v>78.600433349609375</v>
      </c>
      <c r="O76">
        <v>616.11846923828125</v>
      </c>
      <c r="P76" s="2">
        <f t="shared" si="4"/>
        <v>2.112885039738043</v>
      </c>
      <c r="Q76" s="2">
        <f t="shared" si="5"/>
        <v>-0.46778109370660481</v>
      </c>
    </row>
    <row r="77" spans="1:17" x14ac:dyDescent="0.3">
      <c r="A77" t="s">
        <v>89</v>
      </c>
      <c r="B77">
        <v>62.8</v>
      </c>
      <c r="C77">
        <v>130</v>
      </c>
      <c r="D77">
        <v>1.2503999999999999E-2</v>
      </c>
      <c r="E77">
        <v>25.62</v>
      </c>
      <c r="F77">
        <v>1.1399999999999999</v>
      </c>
      <c r="G77">
        <v>5.4808240383863401E-2</v>
      </c>
      <c r="H77">
        <v>563.86217604768103</v>
      </c>
      <c r="I77">
        <v>57.067623286744499</v>
      </c>
      <c r="K77">
        <v>6.2877528369426727E-2</v>
      </c>
      <c r="L77" s="2">
        <f t="shared" si="3"/>
        <v>14.722764184816048</v>
      </c>
      <c r="N77">
        <v>58.518951416015618</v>
      </c>
      <c r="O77">
        <v>557.4078369140625</v>
      </c>
      <c r="P77" s="2">
        <f t="shared" si="4"/>
        <v>2.5431725480816172</v>
      </c>
      <c r="Q77" s="2">
        <f t="shared" si="5"/>
        <v>-1.1446660917849441</v>
      </c>
    </row>
    <row r="78" spans="1:17" x14ac:dyDescent="0.3">
      <c r="A78" t="s">
        <v>90</v>
      </c>
      <c r="B78">
        <v>67.099999999999994</v>
      </c>
      <c r="C78">
        <v>126.5</v>
      </c>
      <c r="D78">
        <v>1.5406E-2</v>
      </c>
      <c r="E78">
        <v>28.24</v>
      </c>
      <c r="F78">
        <v>1</v>
      </c>
      <c r="G78">
        <v>6.7681603133678395E-2</v>
      </c>
      <c r="H78">
        <v>553.65772188235405</v>
      </c>
      <c r="I78">
        <v>61.319674710062202</v>
      </c>
      <c r="K78">
        <v>7.6285511255264282E-2</v>
      </c>
      <c r="L78" s="2">
        <f t="shared" si="3"/>
        <v>12.712329086815883</v>
      </c>
      <c r="N78">
        <v>62.46942138671875</v>
      </c>
      <c r="O78">
        <v>544.90264892578125</v>
      </c>
      <c r="P78" s="2">
        <f t="shared" si="4"/>
        <v>1.8750045268388897</v>
      </c>
      <c r="Q78" s="2">
        <f t="shared" si="5"/>
        <v>-1.5813150635390498</v>
      </c>
    </row>
    <row r="79" spans="1:17" x14ac:dyDescent="0.3">
      <c r="A79" t="s">
        <v>91</v>
      </c>
      <c r="B79">
        <v>53.9</v>
      </c>
      <c r="C79">
        <v>130</v>
      </c>
      <c r="D79">
        <v>8.6070000000000001E-3</v>
      </c>
      <c r="E79">
        <v>21.24</v>
      </c>
      <c r="F79">
        <v>1</v>
      </c>
      <c r="G79">
        <v>3.8787860423326402E-2</v>
      </c>
      <c r="H79">
        <v>513.86829180160203</v>
      </c>
      <c r="I79">
        <v>44.947164815369099</v>
      </c>
      <c r="K79">
        <v>4.083218052983284E-2</v>
      </c>
      <c r="L79" s="2">
        <f t="shared" si="3"/>
        <v>5.2705152699709528</v>
      </c>
      <c r="N79">
        <v>45.466899871826172</v>
      </c>
      <c r="O79">
        <v>505.14303588867188</v>
      </c>
      <c r="P79" s="2">
        <f t="shared" si="4"/>
        <v>1.1563244502562173</v>
      </c>
      <c r="Q79" s="2">
        <f t="shared" si="5"/>
        <v>-1.6979556925646739</v>
      </c>
    </row>
    <row r="80" spans="1:17" x14ac:dyDescent="0.3">
      <c r="A80" t="s">
        <v>92</v>
      </c>
      <c r="B80">
        <v>73</v>
      </c>
      <c r="C80">
        <v>116.8</v>
      </c>
      <c r="D80">
        <v>1.8985999999999999E-2</v>
      </c>
      <c r="E80">
        <v>28.48</v>
      </c>
      <c r="F80">
        <v>1</v>
      </c>
      <c r="G80">
        <v>9.3891456723213196E-2</v>
      </c>
      <c r="H80">
        <v>550.64588568613794</v>
      </c>
      <c r="I80">
        <v>72.369260421713605</v>
      </c>
      <c r="K80">
        <v>9.535430371761322E-2</v>
      </c>
      <c r="L80" s="2">
        <f t="shared" si="3"/>
        <v>1.5580192761439586</v>
      </c>
      <c r="N80">
        <v>72.38897705078125</v>
      </c>
      <c r="O80">
        <v>545.58935546875</v>
      </c>
      <c r="P80" s="2">
        <f t="shared" si="4"/>
        <v>2.7244480533241945E-2</v>
      </c>
      <c r="Q80" s="2">
        <f t="shared" si="5"/>
        <v>-0.91829074707190506</v>
      </c>
    </row>
    <row r="81" spans="1:17" x14ac:dyDescent="0.3">
      <c r="A81" t="s">
        <v>93</v>
      </c>
      <c r="B81">
        <v>53.5</v>
      </c>
      <c r="C81">
        <v>130</v>
      </c>
      <c r="D81">
        <v>1.0503999999999999E-2</v>
      </c>
      <c r="E81">
        <v>28.07</v>
      </c>
      <c r="F81">
        <v>1.07</v>
      </c>
      <c r="G81">
        <v>4.5414973050355897E-2</v>
      </c>
      <c r="H81">
        <v>567.73423392464099</v>
      </c>
      <c r="I81">
        <v>43.308008692490901</v>
      </c>
      <c r="K81">
        <v>5.0058044493198388E-2</v>
      </c>
      <c r="L81" s="2">
        <f t="shared" si="3"/>
        <v>10.223657818081882</v>
      </c>
      <c r="N81">
        <v>43.541549682617188</v>
      </c>
      <c r="O81">
        <v>562.95831298828125</v>
      </c>
      <c r="P81" s="2">
        <f t="shared" si="4"/>
        <v>0.53925589556552311</v>
      </c>
      <c r="Q81" s="2">
        <f t="shared" si="5"/>
        <v>-0.84122475816627917</v>
      </c>
    </row>
    <row r="82" spans="1:17" x14ac:dyDescent="0.3">
      <c r="A82" t="s">
        <v>94</v>
      </c>
      <c r="B82">
        <v>51.9</v>
      </c>
      <c r="C82">
        <v>100.1</v>
      </c>
      <c r="D82">
        <v>1.4711999999999999E-2</v>
      </c>
      <c r="E82">
        <v>35</v>
      </c>
      <c r="F82">
        <v>1.01</v>
      </c>
      <c r="G82">
        <v>0.14292955398559501</v>
      </c>
      <c r="H82">
        <v>588.22218533417299</v>
      </c>
      <c r="I82">
        <v>46.233635237146999</v>
      </c>
      <c r="K82">
        <v>0.12103726714849471</v>
      </c>
      <c r="L82" s="2">
        <f t="shared" si="3"/>
        <v>-15.316837019799761</v>
      </c>
      <c r="N82">
        <v>46.794395446777337</v>
      </c>
      <c r="O82">
        <v>581.82855224609375</v>
      </c>
      <c r="P82" s="2">
        <f t="shared" si="4"/>
        <v>1.2128836652234263</v>
      </c>
      <c r="Q82" s="2">
        <f t="shared" si="5"/>
        <v>-1.086941847398526</v>
      </c>
    </row>
    <row r="83" spans="1:17" x14ac:dyDescent="0.3">
      <c r="A83" t="s">
        <v>95</v>
      </c>
      <c r="B83">
        <v>81.2</v>
      </c>
      <c r="C83">
        <v>125.7</v>
      </c>
      <c r="D83">
        <v>1.5751000000000001E-2</v>
      </c>
      <c r="E83">
        <v>20.420000000000002</v>
      </c>
      <c r="F83">
        <v>1</v>
      </c>
      <c r="G83">
        <v>7.3232777416706002E-2</v>
      </c>
      <c r="H83">
        <v>506.28404467898798</v>
      </c>
      <c r="I83">
        <v>83.507142265104505</v>
      </c>
      <c r="K83">
        <v>7.4092239141464233E-2</v>
      </c>
      <c r="L83" s="2">
        <f t="shared" si="3"/>
        <v>1.173602524819944</v>
      </c>
      <c r="N83">
        <v>85.457977294921875</v>
      </c>
      <c r="O83">
        <v>499.51156616210938</v>
      </c>
      <c r="P83" s="2">
        <f t="shared" si="4"/>
        <v>2.3361295535945716</v>
      </c>
      <c r="Q83" s="2">
        <f t="shared" si="5"/>
        <v>-1.3376835766516664</v>
      </c>
    </row>
    <row r="84" spans="1:17" x14ac:dyDescent="0.3">
      <c r="A84" t="s">
        <v>96</v>
      </c>
      <c r="B84">
        <v>49.6</v>
      </c>
      <c r="C84">
        <v>105.9</v>
      </c>
      <c r="D84">
        <v>1.1247999999999999E-2</v>
      </c>
      <c r="E84">
        <v>28.42</v>
      </c>
      <c r="F84">
        <v>1</v>
      </c>
      <c r="G84">
        <v>7.7744141221046406E-2</v>
      </c>
      <c r="H84">
        <v>547.38573263685203</v>
      </c>
      <c r="I84">
        <v>41.868242199103598</v>
      </c>
      <c r="K84">
        <v>7.9976998269557953E-2</v>
      </c>
      <c r="L84" s="2">
        <f t="shared" si="3"/>
        <v>2.8720582843187694</v>
      </c>
      <c r="N84">
        <v>42.36492919921875</v>
      </c>
      <c r="O84">
        <v>542.48785400390625</v>
      </c>
      <c r="P84" s="2">
        <f t="shared" si="4"/>
        <v>1.1863096562620583</v>
      </c>
      <c r="Q84" s="2">
        <f t="shared" si="5"/>
        <v>-0.89477645121509553</v>
      </c>
    </row>
    <row r="85" spans="1:17" x14ac:dyDescent="0.3">
      <c r="A85" t="s">
        <v>97</v>
      </c>
      <c r="B85">
        <v>67.400000000000006</v>
      </c>
      <c r="C85">
        <v>125.4</v>
      </c>
      <c r="D85">
        <v>1.6538000000000001E-2</v>
      </c>
      <c r="E85">
        <v>30.21</v>
      </c>
      <c r="F85">
        <v>1</v>
      </c>
      <c r="G85">
        <v>7.2533838450908605E-2</v>
      </c>
      <c r="H85">
        <v>564.85848327560495</v>
      </c>
      <c r="I85">
        <v>61.870604303740997</v>
      </c>
      <c r="K85">
        <v>8.039749413728714E-2</v>
      </c>
      <c r="L85" s="2">
        <f t="shared" si="3"/>
        <v>10.84136156905678</v>
      </c>
      <c r="N85">
        <v>63.14959716796875</v>
      </c>
      <c r="O85">
        <v>557.42218017578125</v>
      </c>
      <c r="P85" s="2">
        <f t="shared" si="4"/>
        <v>2.0672060320419705</v>
      </c>
      <c r="Q85" s="2">
        <f t="shared" si="5"/>
        <v>-1.3164895845594291</v>
      </c>
    </row>
    <row r="86" spans="1:17" x14ac:dyDescent="0.3">
      <c r="A86" t="s">
        <v>98</v>
      </c>
      <c r="B86">
        <v>62.4</v>
      </c>
      <c r="C86">
        <v>105.8</v>
      </c>
      <c r="D86">
        <v>1.8053E-2</v>
      </c>
      <c r="E86">
        <v>32.58</v>
      </c>
      <c r="F86">
        <v>1</v>
      </c>
      <c r="G86">
        <v>0.123628802597522</v>
      </c>
      <c r="H86">
        <v>572.327188726759</v>
      </c>
      <c r="I86">
        <v>59.367518025229998</v>
      </c>
      <c r="K86">
        <v>0.1143049448728561</v>
      </c>
      <c r="L86" s="2">
        <f t="shared" si="3"/>
        <v>-7.5418167358783332</v>
      </c>
      <c r="N86">
        <v>60.224315643310547</v>
      </c>
      <c r="O86">
        <v>566.20245361328125</v>
      </c>
      <c r="P86" s="2">
        <f t="shared" si="4"/>
        <v>1.4432094292984037</v>
      </c>
      <c r="Q86" s="2">
        <f t="shared" si="5"/>
        <v>-1.0701457547566959</v>
      </c>
    </row>
    <row r="87" spans="1:17" x14ac:dyDescent="0.3">
      <c r="A87" t="s">
        <v>99</v>
      </c>
      <c r="B87">
        <v>49</v>
      </c>
      <c r="C87">
        <v>117.5</v>
      </c>
      <c r="D87">
        <v>1.0352999999999999E-2</v>
      </c>
      <c r="E87">
        <v>28.54</v>
      </c>
      <c r="F87">
        <v>1</v>
      </c>
      <c r="G87">
        <v>5.0525732338428497E-2</v>
      </c>
      <c r="H87">
        <v>551.25937947282796</v>
      </c>
      <c r="I87">
        <v>39.1921035130798</v>
      </c>
      <c r="K87">
        <v>5.0055120140314102E-2</v>
      </c>
      <c r="L87" s="2">
        <f t="shared" si="3"/>
        <v>-0.93143073110186336</v>
      </c>
      <c r="N87">
        <v>38.821632385253913</v>
      </c>
      <c r="O87">
        <v>549.091064453125</v>
      </c>
      <c r="P87" s="2">
        <f t="shared" si="4"/>
        <v>-0.9452698238109305</v>
      </c>
      <c r="Q87" s="2">
        <f t="shared" si="5"/>
        <v>-0.39333843567007043</v>
      </c>
    </row>
    <row r="88" spans="1:17" x14ac:dyDescent="0.3">
      <c r="A88" t="s">
        <v>100</v>
      </c>
      <c r="B88">
        <v>72.7</v>
      </c>
      <c r="C88">
        <v>111</v>
      </c>
      <c r="D88">
        <v>2.3234000000000001E-2</v>
      </c>
      <c r="E88">
        <v>35</v>
      </c>
      <c r="F88">
        <v>1.04</v>
      </c>
      <c r="G88">
        <v>0.129029721021652</v>
      </c>
      <c r="H88">
        <v>596.90899875351897</v>
      </c>
      <c r="I88">
        <v>72.722487321197505</v>
      </c>
      <c r="K88">
        <v>0.1241341233253479</v>
      </c>
      <c r="L88" s="2">
        <f t="shared" si="3"/>
        <v>-3.7941628157768297</v>
      </c>
      <c r="N88">
        <v>73.614326477050781</v>
      </c>
      <c r="O88">
        <v>588.90802001953125</v>
      </c>
      <c r="P88" s="2">
        <f t="shared" si="4"/>
        <v>1.2263595329381953</v>
      </c>
      <c r="Q88" s="2">
        <f t="shared" si="5"/>
        <v>-1.3404017615240473</v>
      </c>
    </row>
    <row r="89" spans="1:17" x14ac:dyDescent="0.3">
      <c r="A89" t="s">
        <v>101</v>
      </c>
      <c r="B89">
        <v>61.4</v>
      </c>
      <c r="C89">
        <v>123.2</v>
      </c>
      <c r="D89">
        <v>1.0729000000000001E-2</v>
      </c>
      <c r="E89">
        <v>20</v>
      </c>
      <c r="F89">
        <v>1</v>
      </c>
      <c r="G89">
        <v>5.1189873367547899E-2</v>
      </c>
      <c r="H89">
        <v>502.45649666255002</v>
      </c>
      <c r="I89">
        <v>56.897228257218998</v>
      </c>
      <c r="K89">
        <v>4.9450099468231201E-2</v>
      </c>
      <c r="L89" s="2">
        <f t="shared" si="3"/>
        <v>-3.3986681053593633</v>
      </c>
      <c r="N89">
        <v>58.068962097167969</v>
      </c>
      <c r="O89">
        <v>495.89251708984381</v>
      </c>
      <c r="P89" s="2">
        <f t="shared" si="4"/>
        <v>2.0593865041225508</v>
      </c>
      <c r="Q89" s="2">
        <f t="shared" si="5"/>
        <v>-1.306377689671826</v>
      </c>
    </row>
    <row r="90" spans="1:17" x14ac:dyDescent="0.3">
      <c r="A90" t="s">
        <v>102</v>
      </c>
      <c r="B90">
        <v>58.2</v>
      </c>
      <c r="C90">
        <v>130</v>
      </c>
      <c r="D90">
        <v>9.2849999999999999E-3</v>
      </c>
      <c r="E90">
        <v>20</v>
      </c>
      <c r="F90">
        <v>1.17</v>
      </c>
      <c r="G90">
        <v>4.2272586375474902E-2</v>
      </c>
      <c r="H90">
        <v>529.49132267183995</v>
      </c>
      <c r="I90">
        <v>53.552661169986003</v>
      </c>
      <c r="K90">
        <v>4.5023228973150253E-2</v>
      </c>
      <c r="L90" s="2">
        <f t="shared" si="3"/>
        <v>6.5069181555240236</v>
      </c>
      <c r="N90">
        <v>55.167354583740227</v>
      </c>
      <c r="O90">
        <v>520.1944580078125</v>
      </c>
      <c r="P90" s="2">
        <f t="shared" si="4"/>
        <v>3.0151506544724089</v>
      </c>
      <c r="Q90" s="2">
        <f t="shared" si="5"/>
        <v>-1.7558105800705108</v>
      </c>
    </row>
    <row r="91" spans="1:17" x14ac:dyDescent="0.3">
      <c r="A91" t="s">
        <v>103</v>
      </c>
      <c r="B91">
        <v>42.9</v>
      </c>
      <c r="C91">
        <v>115.1</v>
      </c>
      <c r="D91">
        <v>6.8919999999999997E-3</v>
      </c>
      <c r="E91">
        <v>22.52</v>
      </c>
      <c r="F91">
        <v>1</v>
      </c>
      <c r="G91">
        <v>3.6546885967254597E-2</v>
      </c>
      <c r="H91">
        <v>514.30764922302001</v>
      </c>
      <c r="I91">
        <v>32.034701727521998</v>
      </c>
      <c r="K91">
        <v>3.6193914711475372E-2</v>
      </c>
      <c r="L91" s="2">
        <f t="shared" si="3"/>
        <v>-0.96580391581236535</v>
      </c>
      <c r="N91">
        <v>30.41020393371582</v>
      </c>
      <c r="O91">
        <v>507.74172973632813</v>
      </c>
      <c r="P91" s="2">
        <f t="shared" si="4"/>
        <v>-5.0710564050937359</v>
      </c>
      <c r="Q91" s="2">
        <f t="shared" si="5"/>
        <v>-1.2766521160265094</v>
      </c>
    </row>
    <row r="92" spans="1:17" x14ac:dyDescent="0.3">
      <c r="A92" t="s">
        <v>104</v>
      </c>
      <c r="B92">
        <v>59</v>
      </c>
      <c r="C92">
        <v>130</v>
      </c>
      <c r="D92">
        <v>1.1949E-2</v>
      </c>
      <c r="E92">
        <v>27.25</v>
      </c>
      <c r="F92">
        <v>1</v>
      </c>
      <c r="G92">
        <v>5.1861844956874799E-2</v>
      </c>
      <c r="H92">
        <v>549.92829180160095</v>
      </c>
      <c r="I92">
        <v>49.705221356469799</v>
      </c>
      <c r="K92">
        <v>5.6885480880737298E-2</v>
      </c>
      <c r="L92" s="2">
        <f t="shared" si="3"/>
        <v>9.6865738734128204</v>
      </c>
      <c r="N92">
        <v>49.228073120117188</v>
      </c>
      <c r="O92">
        <v>545.04400634765625</v>
      </c>
      <c r="P92" s="2">
        <f t="shared" si="4"/>
        <v>-0.95995596303788433</v>
      </c>
      <c r="Q92" s="2">
        <f t="shared" si="5"/>
        <v>-0.88816769872731238</v>
      </c>
    </row>
    <row r="93" spans="1:17" x14ac:dyDescent="0.3">
      <c r="A93" t="s">
        <v>105</v>
      </c>
      <c r="B93">
        <v>63.8</v>
      </c>
      <c r="C93">
        <v>108.8</v>
      </c>
      <c r="D93">
        <v>1.9539999999999998E-2</v>
      </c>
      <c r="E93">
        <v>35</v>
      </c>
      <c r="F93">
        <v>1</v>
      </c>
      <c r="G93">
        <v>0.117010317742824</v>
      </c>
      <c r="H93">
        <v>587.46249764419599</v>
      </c>
      <c r="I93">
        <v>60.608994321790803</v>
      </c>
      <c r="K93">
        <v>0.11037614941596979</v>
      </c>
      <c r="L93" s="2">
        <f t="shared" si="3"/>
        <v>-5.6697293493684793</v>
      </c>
      <c r="N93">
        <v>61.456474304199219</v>
      </c>
      <c r="O93">
        <v>580.84600830078125</v>
      </c>
      <c r="P93" s="2">
        <f t="shared" si="4"/>
        <v>1.3982742856759802</v>
      </c>
      <c r="Q93" s="2">
        <f t="shared" si="5"/>
        <v>-1.1262828469813406</v>
      </c>
    </row>
    <row r="94" spans="1:17" x14ac:dyDescent="0.3">
      <c r="A94" t="s">
        <v>106</v>
      </c>
      <c r="B94">
        <v>65</v>
      </c>
      <c r="C94">
        <v>130</v>
      </c>
      <c r="D94">
        <v>1.0938E-2</v>
      </c>
      <c r="E94">
        <v>20</v>
      </c>
      <c r="F94">
        <v>1</v>
      </c>
      <c r="G94">
        <v>4.9758605659007998E-2</v>
      </c>
      <c r="H94">
        <v>506.42829180160197</v>
      </c>
      <c r="I94">
        <v>60.249161020012302</v>
      </c>
      <c r="K94">
        <v>5.7585299015045173E-2</v>
      </c>
      <c r="L94" s="2">
        <f t="shared" si="3"/>
        <v>15.729326118325982</v>
      </c>
      <c r="N94">
        <v>62.133541107177727</v>
      </c>
      <c r="O94">
        <v>492.7225341796875</v>
      </c>
      <c r="P94" s="2">
        <f t="shared" si="4"/>
        <v>3.1276453568200089</v>
      </c>
      <c r="Q94" s="2">
        <f t="shared" si="5"/>
        <v>-2.706357019106632</v>
      </c>
    </row>
    <row r="95" spans="1:17" x14ac:dyDescent="0.3">
      <c r="A95" t="s">
        <v>107</v>
      </c>
      <c r="B95">
        <v>54.1</v>
      </c>
      <c r="C95">
        <v>111.1</v>
      </c>
      <c r="D95">
        <v>1.3192000000000001E-2</v>
      </c>
      <c r="E95">
        <v>29.95</v>
      </c>
      <c r="F95">
        <v>1</v>
      </c>
      <c r="G95">
        <v>7.4493497610092094E-2</v>
      </c>
      <c r="H95">
        <v>557.72076010135595</v>
      </c>
      <c r="I95">
        <v>47.129175142643803</v>
      </c>
      <c r="K95">
        <v>7.501741498708725E-2</v>
      </c>
      <c r="L95" s="2">
        <f t="shared" si="3"/>
        <v>0.7033061861820511</v>
      </c>
      <c r="N95">
        <v>46.647785186767578</v>
      </c>
      <c r="O95">
        <v>551.02374267578125</v>
      </c>
      <c r="P95" s="2">
        <f t="shared" si="4"/>
        <v>-1.021426652215369</v>
      </c>
      <c r="Q95" s="2">
        <f t="shared" si="5"/>
        <v>-1.2007832422012827</v>
      </c>
    </row>
    <row r="96" spans="1:17" x14ac:dyDescent="0.3">
      <c r="A96" t="s">
        <v>108</v>
      </c>
      <c r="B96">
        <v>49.2</v>
      </c>
      <c r="C96">
        <v>112.5</v>
      </c>
      <c r="D96">
        <v>9.5110000000000004E-3</v>
      </c>
      <c r="E96">
        <v>24.43</v>
      </c>
      <c r="F96">
        <v>1</v>
      </c>
      <c r="G96">
        <v>5.3046684712171499E-2</v>
      </c>
      <c r="H96">
        <v>524.97974859616602</v>
      </c>
      <c r="I96">
        <v>40.827621099145901</v>
      </c>
      <c r="K96">
        <v>5.5107146501541138E-2</v>
      </c>
      <c r="L96" s="2">
        <f t="shared" si="3"/>
        <v>3.8842423434180575</v>
      </c>
      <c r="N96">
        <v>39.603977203369141</v>
      </c>
      <c r="O96">
        <v>522.20513916015625</v>
      </c>
      <c r="P96" s="2">
        <f t="shared" si="4"/>
        <v>-2.997098196843897</v>
      </c>
      <c r="Q96" s="2">
        <f t="shared" si="5"/>
        <v>-0.5285174225156829</v>
      </c>
    </row>
    <row r="97" spans="1:17" x14ac:dyDescent="0.3">
      <c r="A97" t="s">
        <v>109</v>
      </c>
      <c r="B97">
        <v>84.7</v>
      </c>
      <c r="C97">
        <v>118</v>
      </c>
      <c r="D97">
        <v>1.983E-2</v>
      </c>
      <c r="E97">
        <v>23.65</v>
      </c>
      <c r="F97">
        <v>1</v>
      </c>
      <c r="G97">
        <v>9.8715990781784002E-2</v>
      </c>
      <c r="H97">
        <v>522.106151210446</v>
      </c>
      <c r="I97">
        <v>89.419116286365707</v>
      </c>
      <c r="K97">
        <v>9.7108639776706696E-2</v>
      </c>
      <c r="L97" s="2">
        <f t="shared" si="3"/>
        <v>-1.6282579877361776</v>
      </c>
      <c r="N97">
        <v>92.474494934082031</v>
      </c>
      <c r="O97">
        <v>518.60906982421875</v>
      </c>
      <c r="P97" s="2">
        <f t="shared" si="4"/>
        <v>3.4169188587498898</v>
      </c>
      <c r="Q97" s="2">
        <f t="shared" si="5"/>
        <v>-0.66980275526722866</v>
      </c>
    </row>
    <row r="98" spans="1:17" x14ac:dyDescent="0.3">
      <c r="A98" t="s">
        <v>110</v>
      </c>
      <c r="B98">
        <v>86</v>
      </c>
      <c r="C98">
        <v>119.7</v>
      </c>
      <c r="D98">
        <v>2.3057999999999999E-2</v>
      </c>
      <c r="E98">
        <v>28.37</v>
      </c>
      <c r="F98">
        <v>1</v>
      </c>
      <c r="G98">
        <v>0.108650848269462</v>
      </c>
      <c r="H98">
        <v>551.09813076697003</v>
      </c>
      <c r="I98">
        <v>88.491490246949596</v>
      </c>
      <c r="K98">
        <v>0.1062182784080505</v>
      </c>
      <c r="L98" s="2">
        <f t="shared" si="3"/>
        <v>-2.238887132642128</v>
      </c>
      <c r="N98">
        <v>91.005668640136719</v>
      </c>
      <c r="O98">
        <v>541.2056884765625</v>
      </c>
      <c r="P98" s="2">
        <f t="shared" si="4"/>
        <v>2.8411527325067167</v>
      </c>
      <c r="Q98" s="2">
        <f t="shared" si="5"/>
        <v>-1.7950418878467427</v>
      </c>
    </row>
    <row r="99" spans="1:17" x14ac:dyDescent="0.3">
      <c r="A99" t="s">
        <v>111</v>
      </c>
      <c r="B99">
        <v>89.9</v>
      </c>
      <c r="C99">
        <v>118.8</v>
      </c>
      <c r="D99">
        <v>2.4943E-2</v>
      </c>
      <c r="E99">
        <v>28.86</v>
      </c>
      <c r="F99">
        <v>1</v>
      </c>
      <c r="G99">
        <v>0.118826173245906</v>
      </c>
      <c r="H99">
        <v>553.67513751496097</v>
      </c>
      <c r="I99">
        <v>94.257296000718</v>
      </c>
      <c r="K99">
        <v>0.11626558750867839</v>
      </c>
      <c r="L99" s="2">
        <f t="shared" si="3"/>
        <v>-2.1549004459889263</v>
      </c>
      <c r="N99">
        <v>96.501205444335938</v>
      </c>
      <c r="O99">
        <v>541.20477294921875</v>
      </c>
      <c r="P99" s="2">
        <f t="shared" si="4"/>
        <v>2.3806214890790467</v>
      </c>
      <c r="Q99" s="2">
        <f t="shared" si="5"/>
        <v>-2.2522890628090106</v>
      </c>
    </row>
    <row r="100" spans="1:17" x14ac:dyDescent="0.3">
      <c r="A100" t="s">
        <v>112</v>
      </c>
      <c r="B100">
        <v>53.3</v>
      </c>
      <c r="C100">
        <v>122.8</v>
      </c>
      <c r="D100">
        <v>1.3441E-2</v>
      </c>
      <c r="E100">
        <v>35</v>
      </c>
      <c r="F100">
        <v>1</v>
      </c>
      <c r="G100">
        <v>5.9111244976520497E-2</v>
      </c>
      <c r="H100">
        <v>592.26188338750899</v>
      </c>
      <c r="I100">
        <v>43.2048992908991</v>
      </c>
      <c r="K100">
        <v>5.9684772044420242E-2</v>
      </c>
      <c r="L100" s="2">
        <f t="shared" si="3"/>
        <v>0.97025036120886243</v>
      </c>
      <c r="N100">
        <v>42.908718109130859</v>
      </c>
      <c r="O100">
        <v>588.927490234375</v>
      </c>
      <c r="P100" s="2">
        <f t="shared" si="4"/>
        <v>-0.68552684216215587</v>
      </c>
      <c r="Q100" s="2">
        <f t="shared" si="5"/>
        <v>-0.56299303511861143</v>
      </c>
    </row>
    <row r="101" spans="1:17" x14ac:dyDescent="0.3">
      <c r="A101" t="s">
        <v>113</v>
      </c>
      <c r="B101">
        <v>59.9</v>
      </c>
      <c r="C101">
        <v>130</v>
      </c>
      <c r="D101">
        <v>9.9769999999999998E-3</v>
      </c>
      <c r="E101">
        <v>20.8</v>
      </c>
      <c r="F101">
        <v>1</v>
      </c>
      <c r="G101">
        <v>4.5108780264854403E-2</v>
      </c>
      <c r="H101">
        <v>511.22829180160198</v>
      </c>
      <c r="I101">
        <v>53.895297049648001</v>
      </c>
      <c r="K101">
        <v>4.983813688158989E-2</v>
      </c>
      <c r="L101" s="2">
        <f t="shared" si="3"/>
        <v>10.484337171094534</v>
      </c>
      <c r="N101">
        <v>54.784572601318359</v>
      </c>
      <c r="O101">
        <v>500.39987182617188</v>
      </c>
      <c r="P101" s="2">
        <f t="shared" si="4"/>
        <v>1.6500058453173823</v>
      </c>
      <c r="Q101" s="2">
        <f t="shared" si="5"/>
        <v>-2.118118294523577</v>
      </c>
    </row>
    <row r="102" spans="1:17" x14ac:dyDescent="0.3">
      <c r="A102" t="s">
        <v>114</v>
      </c>
      <c r="B102">
        <v>89.5</v>
      </c>
      <c r="C102">
        <v>121.7</v>
      </c>
      <c r="D102">
        <v>2.4889000000000001E-2</v>
      </c>
      <c r="E102">
        <v>29.86</v>
      </c>
      <c r="F102">
        <v>1</v>
      </c>
      <c r="G102">
        <v>0.113289318978786</v>
      </c>
      <c r="H102">
        <v>560.90619395049396</v>
      </c>
      <c r="I102">
        <v>92.318328919275899</v>
      </c>
      <c r="K102">
        <v>0.1119054332375526</v>
      </c>
      <c r="L102" s="2">
        <f t="shared" si="3"/>
        <v>-1.2215500575941629</v>
      </c>
      <c r="N102">
        <v>94.197219848632813</v>
      </c>
      <c r="O102">
        <v>548.83245849609375</v>
      </c>
      <c r="P102" s="2">
        <f t="shared" si="4"/>
        <v>2.0352306539255438</v>
      </c>
      <c r="Q102" s="2">
        <f t="shared" si="5"/>
        <v>-2.1525409390408416</v>
      </c>
    </row>
    <row r="103" spans="1:17" x14ac:dyDescent="0.3">
      <c r="A103" t="s">
        <v>115</v>
      </c>
      <c r="B103">
        <v>53.5</v>
      </c>
      <c r="C103">
        <v>116.8</v>
      </c>
      <c r="D103">
        <v>1.2239999999999999E-2</v>
      </c>
      <c r="E103">
        <v>29.18</v>
      </c>
      <c r="F103">
        <v>1</v>
      </c>
      <c r="G103">
        <v>6.0312762856483397E-2</v>
      </c>
      <c r="H103">
        <v>554.84588568613901</v>
      </c>
      <c r="I103">
        <v>45.477684958653597</v>
      </c>
      <c r="K103">
        <v>6.1339002102613449E-2</v>
      </c>
      <c r="L103" s="2">
        <f t="shared" si="3"/>
        <v>1.7015291582181851</v>
      </c>
      <c r="N103">
        <v>45.306938171386719</v>
      </c>
      <c r="O103">
        <v>550.7696533203125</v>
      </c>
      <c r="P103" s="2">
        <f t="shared" si="4"/>
        <v>-0.37545180108027587</v>
      </c>
      <c r="Q103" s="2">
        <f t="shared" si="5"/>
        <v>-0.73466028513227999</v>
      </c>
    </row>
    <row r="104" spans="1:17" x14ac:dyDescent="0.3">
      <c r="A104" t="s">
        <v>116</v>
      </c>
      <c r="B104">
        <v>89.7</v>
      </c>
      <c r="C104">
        <v>119.9</v>
      </c>
      <c r="D104">
        <v>2.4309999999999998E-2</v>
      </c>
      <c r="E104">
        <v>28.36</v>
      </c>
      <c r="F104">
        <v>1</v>
      </c>
      <c r="G104">
        <v>0.11419212818145701</v>
      </c>
      <c r="H104">
        <v>551.121066239225</v>
      </c>
      <c r="I104">
        <v>93.681578889378798</v>
      </c>
      <c r="K104">
        <v>0.11118587106466291</v>
      </c>
      <c r="L104" s="2">
        <f t="shared" si="3"/>
        <v>-2.6326307817094077</v>
      </c>
      <c r="N104">
        <v>95.847259521484375</v>
      </c>
      <c r="O104">
        <v>538.09625244140625</v>
      </c>
      <c r="P104" s="2">
        <f t="shared" si="4"/>
        <v>2.311746511726557</v>
      </c>
      <c r="Q104" s="2">
        <f t="shared" si="5"/>
        <v>-2.3633307807843935</v>
      </c>
    </row>
    <row r="105" spans="1:17" x14ac:dyDescent="0.3">
      <c r="A105" t="s">
        <v>117</v>
      </c>
      <c r="B105">
        <v>59.7</v>
      </c>
      <c r="C105">
        <v>100</v>
      </c>
      <c r="D105">
        <v>1.8315000000000001E-2</v>
      </c>
      <c r="E105">
        <v>35</v>
      </c>
      <c r="F105">
        <v>1.22</v>
      </c>
      <c r="G105">
        <v>0.177599042654037</v>
      </c>
      <c r="H105">
        <v>634.869713668906</v>
      </c>
      <c r="I105">
        <v>60.443721466752002</v>
      </c>
      <c r="K105">
        <v>0.1487912833690643</v>
      </c>
      <c r="L105" s="2">
        <f t="shared" si="3"/>
        <v>-16.220672619891442</v>
      </c>
      <c r="N105">
        <v>59.178092956542969</v>
      </c>
      <c r="O105">
        <v>623.154296875</v>
      </c>
      <c r="P105" s="2">
        <f t="shared" si="4"/>
        <v>-2.0938957421826054</v>
      </c>
      <c r="Q105" s="2">
        <f t="shared" si="5"/>
        <v>-1.8453261419894673</v>
      </c>
    </row>
    <row r="106" spans="1:17" x14ac:dyDescent="0.3">
      <c r="A106" t="s">
        <v>118</v>
      </c>
      <c r="B106">
        <v>70.7</v>
      </c>
      <c r="C106">
        <v>111.7</v>
      </c>
      <c r="D106">
        <v>2.2266999999999999E-2</v>
      </c>
      <c r="E106">
        <v>35</v>
      </c>
      <c r="F106">
        <v>1</v>
      </c>
      <c r="G106">
        <v>0.12102770805358801</v>
      </c>
      <c r="H106">
        <v>588.17944575559397</v>
      </c>
      <c r="I106">
        <v>69.272819600834794</v>
      </c>
      <c r="K106">
        <v>0.11669047921895979</v>
      </c>
      <c r="L106" s="2">
        <f t="shared" si="3"/>
        <v>-3.5836660087025671</v>
      </c>
      <c r="N106">
        <v>70.072761535644531</v>
      </c>
      <c r="O106">
        <v>580.7825927734375</v>
      </c>
      <c r="P106" s="2">
        <f t="shared" si="4"/>
        <v>1.1547702828023729</v>
      </c>
      <c r="Q106" s="2">
        <f t="shared" si="5"/>
        <v>-1.25758440481616</v>
      </c>
    </row>
    <row r="107" spans="1:17" x14ac:dyDescent="0.3">
      <c r="A107" t="s">
        <v>119</v>
      </c>
      <c r="B107">
        <v>45.4</v>
      </c>
      <c r="C107">
        <v>112.3</v>
      </c>
      <c r="D107">
        <v>8.6359999999999996E-3</v>
      </c>
      <c r="E107">
        <v>25.76</v>
      </c>
      <c r="F107">
        <v>1</v>
      </c>
      <c r="G107">
        <v>4.8083093017339699E-2</v>
      </c>
      <c r="H107">
        <v>532.90372650698203</v>
      </c>
      <c r="I107">
        <v>35.075290871210697</v>
      </c>
      <c r="K107">
        <v>5.0259098410606377E-2</v>
      </c>
      <c r="L107" s="2">
        <f t="shared" si="3"/>
        <v>4.525510437695778</v>
      </c>
      <c r="N107">
        <v>34.704761505126953</v>
      </c>
      <c r="O107">
        <v>530.8704833984375</v>
      </c>
      <c r="P107" s="2">
        <f t="shared" si="4"/>
        <v>-1.056382874896896</v>
      </c>
      <c r="Q107" s="2">
        <f t="shared" si="5"/>
        <v>-0.38154041854272636</v>
      </c>
    </row>
    <row r="108" spans="1:17" x14ac:dyDescent="0.3">
      <c r="A108" t="s">
        <v>120</v>
      </c>
      <c r="B108">
        <v>81.599999999999994</v>
      </c>
      <c r="C108">
        <v>130</v>
      </c>
      <c r="D108">
        <v>1.7401E-2</v>
      </c>
      <c r="E108">
        <v>24.51</v>
      </c>
      <c r="F108">
        <v>1</v>
      </c>
      <c r="G108">
        <v>7.6709561049938202E-2</v>
      </c>
      <c r="H108">
        <v>533.48829180160305</v>
      </c>
      <c r="I108">
        <v>79.586146582427205</v>
      </c>
      <c r="K108">
        <v>8.2307472825050354E-2</v>
      </c>
      <c r="L108" s="2">
        <f t="shared" si="3"/>
        <v>7.2975411389303764</v>
      </c>
      <c r="N108">
        <v>83.898246765136719</v>
      </c>
      <c r="O108">
        <v>530.41357421875</v>
      </c>
      <c r="P108" s="2">
        <f t="shared" si="4"/>
        <v>5.4181542490482073</v>
      </c>
      <c r="Q108" s="2">
        <f t="shared" si="5"/>
        <v>-0.57634209224529698</v>
      </c>
    </row>
    <row r="109" spans="1:17" x14ac:dyDescent="0.3">
      <c r="A109" t="s">
        <v>121</v>
      </c>
      <c r="B109">
        <v>89.9</v>
      </c>
      <c r="C109">
        <v>112</v>
      </c>
      <c r="D109">
        <v>2.3650000000000001E-2</v>
      </c>
      <c r="E109">
        <v>25.54</v>
      </c>
      <c r="F109">
        <v>1</v>
      </c>
      <c r="G109">
        <v>0.132888153195381</v>
      </c>
      <c r="H109">
        <v>531.500880122034</v>
      </c>
      <c r="I109">
        <v>96.883797136128194</v>
      </c>
      <c r="K109">
        <v>0.1227805614471436</v>
      </c>
      <c r="L109" s="2">
        <f t="shared" si="3"/>
        <v>-7.6060894106764714</v>
      </c>
      <c r="N109">
        <v>99.934364318847656</v>
      </c>
      <c r="O109">
        <v>526.0594482421875</v>
      </c>
      <c r="P109" s="2">
        <f t="shared" si="4"/>
        <v>3.1486866461614955</v>
      </c>
      <c r="Q109" s="2">
        <f t="shared" si="5"/>
        <v>-1.023786052545602</v>
      </c>
    </row>
    <row r="110" spans="1:17" x14ac:dyDescent="0.3">
      <c r="A110" t="s">
        <v>122</v>
      </c>
      <c r="B110">
        <v>70.7</v>
      </c>
      <c r="C110">
        <v>100</v>
      </c>
      <c r="D110">
        <v>2.0982000000000001E-2</v>
      </c>
      <c r="E110">
        <v>30.77</v>
      </c>
      <c r="F110">
        <v>1.1299999999999999</v>
      </c>
      <c r="G110">
        <v>0.20507784187793701</v>
      </c>
      <c r="H110">
        <v>586.19365292807004</v>
      </c>
      <c r="I110">
        <v>76.378979326521602</v>
      </c>
      <c r="K110">
        <v>0.14270192384719849</v>
      </c>
      <c r="L110" s="2">
        <f t="shared" si="3"/>
        <v>-30.415727735161596</v>
      </c>
      <c r="N110">
        <v>72.256935119628906</v>
      </c>
      <c r="O110">
        <v>577.88690185546875</v>
      </c>
      <c r="P110" s="2">
        <f t="shared" si="4"/>
        <v>-5.39683070294888</v>
      </c>
      <c r="Q110" s="2">
        <f t="shared" si="5"/>
        <v>-1.4170660209486408</v>
      </c>
    </row>
    <row r="111" spans="1:17" x14ac:dyDescent="0.3">
      <c r="A111" t="s">
        <v>123</v>
      </c>
      <c r="B111">
        <v>85.8</v>
      </c>
      <c r="C111">
        <v>130</v>
      </c>
      <c r="D111">
        <v>1.7401E-2</v>
      </c>
      <c r="E111">
        <v>22.45</v>
      </c>
      <c r="F111">
        <v>1</v>
      </c>
      <c r="G111">
        <v>7.7749013900756794E-2</v>
      </c>
      <c r="H111">
        <v>521.12829180160202</v>
      </c>
      <c r="I111">
        <v>85.888317449983404</v>
      </c>
      <c r="K111">
        <v>8.0144435167312622E-2</v>
      </c>
      <c r="L111" s="2">
        <f t="shared" si="3"/>
        <v>3.0809667497693001</v>
      </c>
      <c r="N111">
        <v>90.234275817871094</v>
      </c>
      <c r="O111">
        <v>514.7655029296875</v>
      </c>
      <c r="P111" s="2">
        <f t="shared" si="4"/>
        <v>5.0600110666023177</v>
      </c>
      <c r="Q111" s="2">
        <f t="shared" si="5"/>
        <v>-1.2209640067549594</v>
      </c>
    </row>
    <row r="112" spans="1:17" x14ac:dyDescent="0.3">
      <c r="A112" t="s">
        <v>124</v>
      </c>
      <c r="B112">
        <v>83</v>
      </c>
      <c r="C112">
        <v>112.4</v>
      </c>
      <c r="D112">
        <v>2.2963999999999998E-2</v>
      </c>
      <c r="E112">
        <v>28.09</v>
      </c>
      <c r="F112">
        <v>1</v>
      </c>
      <c r="G112">
        <v>0.12592095136642401</v>
      </c>
      <c r="H112">
        <v>546.91165809508504</v>
      </c>
      <c r="I112">
        <v>87.065220126074607</v>
      </c>
      <c r="K112">
        <v>0.1205559596419334</v>
      </c>
      <c r="L112" s="2">
        <f t="shared" si="3"/>
        <v>-4.260602914981745</v>
      </c>
      <c r="N112">
        <v>88.034698486328125</v>
      </c>
      <c r="O112">
        <v>537.7020263671875</v>
      </c>
      <c r="P112" s="2">
        <f t="shared" si="4"/>
        <v>1.1135081940293345</v>
      </c>
      <c r="Q112" s="2">
        <f t="shared" si="5"/>
        <v>-1.6839340671535612</v>
      </c>
    </row>
    <row r="113" spans="1:17" x14ac:dyDescent="0.3">
      <c r="A113" t="s">
        <v>125</v>
      </c>
      <c r="B113">
        <v>72.2</v>
      </c>
      <c r="C113">
        <v>125.1</v>
      </c>
      <c r="D113">
        <v>1.3302E-2</v>
      </c>
      <c r="E113">
        <v>20</v>
      </c>
      <c r="F113">
        <v>1</v>
      </c>
      <c r="G113">
        <v>6.2372233718633603E-2</v>
      </c>
      <c r="H113">
        <v>503.43535576073901</v>
      </c>
      <c r="I113">
        <v>71.734900346370196</v>
      </c>
      <c r="K113">
        <v>6.0843754559755332E-2</v>
      </c>
      <c r="L113" s="2">
        <f t="shared" si="3"/>
        <v>-2.4505762704817804</v>
      </c>
      <c r="N113">
        <v>72.489364624023438</v>
      </c>
      <c r="O113">
        <v>495.68002319335938</v>
      </c>
      <c r="P113" s="2">
        <f t="shared" si="4"/>
        <v>1.0517394936221129</v>
      </c>
      <c r="Q113" s="2">
        <f t="shared" si="5"/>
        <v>-1.5404823039614668</v>
      </c>
    </row>
    <row r="114" spans="1:17" x14ac:dyDescent="0.3">
      <c r="A114" t="s">
        <v>126</v>
      </c>
      <c r="B114">
        <v>60.1</v>
      </c>
      <c r="C114">
        <v>116.6</v>
      </c>
      <c r="D114">
        <v>1.2978999999999999E-2</v>
      </c>
      <c r="E114">
        <v>25.03</v>
      </c>
      <c r="F114">
        <v>1</v>
      </c>
      <c r="G114">
        <v>6.5664999186992604E-2</v>
      </c>
      <c r="H114">
        <v>529.87513966741403</v>
      </c>
      <c r="I114">
        <v>55.321816516997302</v>
      </c>
      <c r="K114">
        <v>6.7515917122364044E-2</v>
      </c>
      <c r="L114" s="2">
        <f t="shared" si="3"/>
        <v>2.8187283305991175</v>
      </c>
      <c r="N114">
        <v>53.538909912109382</v>
      </c>
      <c r="O114">
        <v>525.003662109375</v>
      </c>
      <c r="P114" s="2">
        <f t="shared" si="4"/>
        <v>-3.2227911466720052</v>
      </c>
      <c r="Q114" s="2">
        <f t="shared" si="5"/>
        <v>-0.91936329775665748</v>
      </c>
    </row>
    <row r="115" spans="1:17" x14ac:dyDescent="0.3">
      <c r="A115" t="s">
        <v>127</v>
      </c>
      <c r="B115">
        <v>75.7</v>
      </c>
      <c r="C115">
        <v>124.8</v>
      </c>
      <c r="D115">
        <v>1.5087E-2</v>
      </c>
      <c r="E115">
        <v>21.64</v>
      </c>
      <c r="F115">
        <v>1</v>
      </c>
      <c r="G115">
        <v>7.0005163550376795E-2</v>
      </c>
      <c r="H115">
        <v>513.11462636836802</v>
      </c>
      <c r="I115">
        <v>75.978632615825205</v>
      </c>
      <c r="K115">
        <v>7.2364628314971924E-2</v>
      </c>
      <c r="L115" s="2">
        <f t="shared" si="3"/>
        <v>3.3704153307166003</v>
      </c>
      <c r="N115">
        <v>77.176956176757813</v>
      </c>
      <c r="O115">
        <v>507.90478515625</v>
      </c>
      <c r="P115" s="2">
        <f t="shared" si="4"/>
        <v>1.5771849527639623</v>
      </c>
      <c r="Q115" s="2">
        <f t="shared" si="5"/>
        <v>-1.0153367190078588</v>
      </c>
    </row>
    <row r="116" spans="1:17" x14ac:dyDescent="0.3">
      <c r="A116" t="s">
        <v>128</v>
      </c>
      <c r="B116">
        <v>57.2</v>
      </c>
      <c r="C116">
        <v>100</v>
      </c>
      <c r="D116">
        <v>1.6596E-2</v>
      </c>
      <c r="E116">
        <v>33.65</v>
      </c>
      <c r="F116">
        <v>1.1000000000000001</v>
      </c>
      <c r="G116">
        <v>0.16212992370128601</v>
      </c>
      <c r="H116">
        <v>599.29749934779102</v>
      </c>
      <c r="I116">
        <v>55.1499088460466</v>
      </c>
      <c r="K116">
        <v>0.1330133527517319</v>
      </c>
      <c r="L116" s="2">
        <f t="shared" si="3"/>
        <v>-17.958789028482812</v>
      </c>
      <c r="N116">
        <v>54.372848510742188</v>
      </c>
      <c r="O116">
        <v>591.48419189453125</v>
      </c>
      <c r="P116" s="2">
        <f t="shared" si="4"/>
        <v>-1.4089965904995609</v>
      </c>
      <c r="Q116" s="2">
        <f t="shared" si="5"/>
        <v>-1.3037443776693387</v>
      </c>
    </row>
    <row r="117" spans="1:17" x14ac:dyDescent="0.3">
      <c r="A117" t="s">
        <v>129</v>
      </c>
      <c r="B117">
        <v>53.6</v>
      </c>
      <c r="C117">
        <v>113.4</v>
      </c>
      <c r="D117">
        <v>1.0635E-2</v>
      </c>
      <c r="E117">
        <v>23.71</v>
      </c>
      <c r="F117">
        <v>1</v>
      </c>
      <c r="G117">
        <v>5.8201733976602499E-2</v>
      </c>
      <c r="H117">
        <v>520.91980051299402</v>
      </c>
      <c r="I117">
        <v>46.932169700354699</v>
      </c>
      <c r="K117">
        <v>5.9050798416137702E-2</v>
      </c>
      <c r="L117" s="2">
        <f t="shared" si="3"/>
        <v>1.4588301439206832</v>
      </c>
      <c r="N117">
        <v>45.91839599609375</v>
      </c>
      <c r="O117">
        <v>517.755615234375</v>
      </c>
      <c r="P117" s="2">
        <f t="shared" si="4"/>
        <v>-2.1600827550346282</v>
      </c>
      <c r="Q117" s="2">
        <f t="shared" si="5"/>
        <v>-0.60742273100446043</v>
      </c>
    </row>
    <row r="118" spans="1:17" x14ac:dyDescent="0.3">
      <c r="A118" t="s">
        <v>130</v>
      </c>
      <c r="B118">
        <v>47.3</v>
      </c>
      <c r="C118">
        <v>122.3</v>
      </c>
      <c r="D118">
        <v>8.0520000000000001E-3</v>
      </c>
      <c r="E118">
        <v>23.5</v>
      </c>
      <c r="F118">
        <v>1</v>
      </c>
      <c r="G118">
        <v>3.7762317806482301E-2</v>
      </c>
      <c r="H118">
        <v>523.02398255795902</v>
      </c>
      <c r="I118">
        <v>37.121273829518501</v>
      </c>
      <c r="K118">
        <v>3.6616567522287369E-2</v>
      </c>
      <c r="L118" s="2">
        <f t="shared" si="3"/>
        <v>-3.034110061957723</v>
      </c>
      <c r="N118">
        <v>35.57666015625</v>
      </c>
      <c r="O118">
        <v>516.48956298828125</v>
      </c>
      <c r="P118" s="2">
        <f t="shared" si="4"/>
        <v>-4.1609931824059272</v>
      </c>
      <c r="Q118" s="2">
        <f t="shared" si="5"/>
        <v>-1.2493537175331444</v>
      </c>
    </row>
    <row r="119" spans="1:17" x14ac:dyDescent="0.3">
      <c r="A119" t="s">
        <v>131</v>
      </c>
      <c r="B119">
        <v>61.2</v>
      </c>
      <c r="C119">
        <v>111.7</v>
      </c>
      <c r="D119">
        <v>1.5878E-2</v>
      </c>
      <c r="E119">
        <v>29.94</v>
      </c>
      <c r="F119">
        <v>1</v>
      </c>
      <c r="G119">
        <v>8.8093586266040802E-2</v>
      </c>
      <c r="H119">
        <v>557.81944575559396</v>
      </c>
      <c r="I119">
        <v>56.878212576158603</v>
      </c>
      <c r="K119">
        <v>8.9099064469337463E-2</v>
      </c>
      <c r="L119" s="2">
        <f t="shared" si="3"/>
        <v>1.1413750375199145</v>
      </c>
      <c r="N119">
        <v>57.633453369140618</v>
      </c>
      <c r="O119">
        <v>551.90350341796875</v>
      </c>
      <c r="P119" s="2">
        <f t="shared" si="4"/>
        <v>1.3278208979769979</v>
      </c>
      <c r="Q119" s="2">
        <f t="shared" si="5"/>
        <v>-1.0605478856356065</v>
      </c>
    </row>
    <row r="120" spans="1:17" x14ac:dyDescent="0.3">
      <c r="A120" t="s">
        <v>132</v>
      </c>
      <c r="B120">
        <v>44.7</v>
      </c>
      <c r="C120">
        <v>110.8</v>
      </c>
      <c r="D120">
        <v>7.2439999999999996E-3</v>
      </c>
      <c r="E120">
        <v>21.1</v>
      </c>
      <c r="F120">
        <v>1</v>
      </c>
      <c r="G120">
        <v>4.3277125805616302E-2</v>
      </c>
      <c r="H120">
        <v>504.54348305032403</v>
      </c>
      <c r="I120">
        <v>35.2324102912578</v>
      </c>
      <c r="K120">
        <v>4.344472661614418E-2</v>
      </c>
      <c r="L120" s="2">
        <f t="shared" si="3"/>
        <v>0.38727343234547107</v>
      </c>
      <c r="N120">
        <v>34.398033142089837</v>
      </c>
      <c r="O120">
        <v>497.35986328125</v>
      </c>
      <c r="P120" s="2">
        <f t="shared" si="4"/>
        <v>-2.3682091070987465</v>
      </c>
      <c r="Q120" s="2">
        <f t="shared" si="5"/>
        <v>-1.4237860581696427</v>
      </c>
    </row>
    <row r="121" spans="1:17" x14ac:dyDescent="0.3">
      <c r="A121" t="s">
        <v>133</v>
      </c>
      <c r="B121">
        <v>51.2</v>
      </c>
      <c r="C121">
        <v>113.5</v>
      </c>
      <c r="D121">
        <v>1.0267E-2</v>
      </c>
      <c r="E121">
        <v>24.92</v>
      </c>
      <c r="F121">
        <v>1</v>
      </c>
      <c r="G121">
        <v>5.5623494088649701E-2</v>
      </c>
      <c r="H121">
        <v>528.20950913172805</v>
      </c>
      <c r="I121">
        <v>43.508712632145198</v>
      </c>
      <c r="K121">
        <v>5.7557132095098502E-2</v>
      </c>
      <c r="L121" s="2">
        <f t="shared" si="3"/>
        <v>3.4762972699397023</v>
      </c>
      <c r="N121">
        <v>42.259494781494141</v>
      </c>
      <c r="O121">
        <v>525.0665283203125</v>
      </c>
      <c r="P121" s="2">
        <f t="shared" si="4"/>
        <v>-2.8711901021132658</v>
      </c>
      <c r="Q121" s="2">
        <f t="shared" si="5"/>
        <v>-0.59502541265907793</v>
      </c>
    </row>
    <row r="122" spans="1:17" x14ac:dyDescent="0.3">
      <c r="A122" t="s">
        <v>134</v>
      </c>
      <c r="B122">
        <v>61.6</v>
      </c>
      <c r="C122">
        <v>100</v>
      </c>
      <c r="D122">
        <v>1.9192000000000001E-2</v>
      </c>
      <c r="E122">
        <v>35</v>
      </c>
      <c r="F122">
        <v>1.1599999999999999</v>
      </c>
      <c r="G122">
        <v>0.18667359650134999</v>
      </c>
      <c r="H122">
        <v>621.53860650834804</v>
      </c>
      <c r="I122">
        <v>62.161364080838197</v>
      </c>
      <c r="K122">
        <v>0.14378884434700009</v>
      </c>
      <c r="L122" s="2">
        <f t="shared" si="3"/>
        <v>-22.973121511611183</v>
      </c>
      <c r="N122">
        <v>61.129863739013672</v>
      </c>
      <c r="O122">
        <v>612.554443359375</v>
      </c>
      <c r="P122" s="2">
        <f t="shared" si="4"/>
        <v>-1.6593914195369062</v>
      </c>
      <c r="Q122" s="2">
        <f t="shared" si="5"/>
        <v>-1.4454714566234061</v>
      </c>
    </row>
    <row r="123" spans="1:17" x14ac:dyDescent="0.3">
      <c r="A123" t="s">
        <v>135</v>
      </c>
      <c r="B123">
        <v>50.6</v>
      </c>
      <c r="C123">
        <v>110.2</v>
      </c>
      <c r="D123">
        <v>1.3554999999999999E-2</v>
      </c>
      <c r="E123">
        <v>35</v>
      </c>
      <c r="F123">
        <v>1</v>
      </c>
      <c r="G123">
        <v>7.7227182686328805E-2</v>
      </c>
      <c r="H123">
        <v>587.79299821093502</v>
      </c>
      <c r="I123">
        <v>41.859435610499403</v>
      </c>
      <c r="K123">
        <v>7.539011538028717E-2</v>
      </c>
      <c r="L123" s="2">
        <f t="shared" si="3"/>
        <v>-2.3787832757064207</v>
      </c>
      <c r="N123">
        <v>42.040157318115227</v>
      </c>
      <c r="O123">
        <v>581.73736572265625</v>
      </c>
      <c r="P123" s="2">
        <f t="shared" si="4"/>
        <v>0.43173469727932562</v>
      </c>
      <c r="Q123" s="2">
        <f t="shared" si="5"/>
        <v>-1.0302321577001254</v>
      </c>
    </row>
    <row r="124" spans="1:17" x14ac:dyDescent="0.3">
      <c r="A124" t="s">
        <v>136</v>
      </c>
      <c r="B124">
        <v>55</v>
      </c>
      <c r="C124">
        <v>115.7</v>
      </c>
      <c r="D124">
        <v>1.2836E-2</v>
      </c>
      <c r="E124">
        <v>29.05</v>
      </c>
      <c r="F124">
        <v>1</v>
      </c>
      <c r="G124">
        <v>6.4730092883110005E-2</v>
      </c>
      <c r="H124">
        <v>553.68581898557102</v>
      </c>
      <c r="I124">
        <v>47.542022710244503</v>
      </c>
      <c r="K124">
        <v>6.6128656268119812E-2</v>
      </c>
      <c r="L124" s="2">
        <f t="shared" si="3"/>
        <v>2.160607721566755</v>
      </c>
      <c r="N124">
        <v>47.861454010009773</v>
      </c>
      <c r="O124">
        <v>547.959228515625</v>
      </c>
      <c r="P124" s="2">
        <f t="shared" si="4"/>
        <v>0.67189253118681069</v>
      </c>
      <c r="Q124" s="2">
        <f t="shared" si="5"/>
        <v>-1.0342671373519958</v>
      </c>
    </row>
    <row r="125" spans="1:17" x14ac:dyDescent="0.3">
      <c r="A125" t="s">
        <v>137</v>
      </c>
      <c r="B125">
        <v>77.3</v>
      </c>
      <c r="C125">
        <v>121.7</v>
      </c>
      <c r="D125">
        <v>1.8332999999999999E-2</v>
      </c>
      <c r="E125">
        <v>25.93</v>
      </c>
      <c r="F125">
        <v>1</v>
      </c>
      <c r="G125">
        <v>8.5263818502426106E-2</v>
      </c>
      <c r="H125">
        <v>537.32619395049403</v>
      </c>
      <c r="I125">
        <v>77.175809576974203</v>
      </c>
      <c r="K125">
        <v>8.6277715861797333E-2</v>
      </c>
      <c r="L125" s="2">
        <f t="shared" si="3"/>
        <v>1.189129665055263</v>
      </c>
      <c r="N125">
        <v>79.668312072753906</v>
      </c>
      <c r="O125">
        <v>533.66754150390625</v>
      </c>
      <c r="P125" s="2">
        <f t="shared" si="4"/>
        <v>3.2296421760159344</v>
      </c>
      <c r="Q125" s="2">
        <f t="shared" si="5"/>
        <v>-0.68089970073650752</v>
      </c>
    </row>
    <row r="126" spans="1:17" x14ac:dyDescent="0.3">
      <c r="A126" t="s">
        <v>138</v>
      </c>
      <c r="B126">
        <v>46.3</v>
      </c>
      <c r="C126">
        <v>117.8</v>
      </c>
      <c r="D126">
        <v>8.7969999999999993E-3</v>
      </c>
      <c r="E126">
        <v>26.4</v>
      </c>
      <c r="F126">
        <v>1.06</v>
      </c>
      <c r="G126">
        <v>4.32335026562213E-2</v>
      </c>
      <c r="H126">
        <v>548.84880928759503</v>
      </c>
      <c r="I126">
        <v>36.440914081148797</v>
      </c>
      <c r="K126">
        <v>4.2861700057983398E-2</v>
      </c>
      <c r="L126" s="2">
        <f t="shared" si="3"/>
        <v>-0.85998722147116791</v>
      </c>
      <c r="N126">
        <v>35.153327941894531</v>
      </c>
      <c r="O126">
        <v>544.53662109375</v>
      </c>
      <c r="P126" s="2">
        <f t="shared" si="4"/>
        <v>-3.5333530228879346</v>
      </c>
      <c r="Q126" s="2">
        <f t="shared" si="5"/>
        <v>-0.78567870074132906</v>
      </c>
    </row>
    <row r="127" spans="1:17" x14ac:dyDescent="0.3">
      <c r="A127" t="s">
        <v>139</v>
      </c>
      <c r="B127">
        <v>57.1</v>
      </c>
      <c r="C127">
        <v>119</v>
      </c>
      <c r="D127">
        <v>1.3311999999999999E-2</v>
      </c>
      <c r="E127">
        <v>29.13</v>
      </c>
      <c r="F127">
        <v>1</v>
      </c>
      <c r="G127">
        <v>6.3162691891193307E-2</v>
      </c>
      <c r="H127">
        <v>555.37437582907899</v>
      </c>
      <c r="I127">
        <v>50.057580659208902</v>
      </c>
      <c r="K127">
        <v>6.6208399832248688E-2</v>
      </c>
      <c r="L127" s="2">
        <f t="shared" si="3"/>
        <v>4.8220046515782533</v>
      </c>
      <c r="N127">
        <v>50.399398803710938</v>
      </c>
      <c r="O127">
        <v>551.10504150390625</v>
      </c>
      <c r="P127" s="2">
        <f t="shared" si="4"/>
        <v>0.68284991004484796</v>
      </c>
      <c r="Q127" s="2">
        <f t="shared" si="5"/>
        <v>-0.7687308797420388</v>
      </c>
    </row>
    <row r="128" spans="1:17" x14ac:dyDescent="0.3">
      <c r="A128" t="s">
        <v>140</v>
      </c>
      <c r="B128">
        <v>71.400000000000006</v>
      </c>
      <c r="C128">
        <v>128.4</v>
      </c>
      <c r="D128">
        <v>1.5913E-2</v>
      </c>
      <c r="E128">
        <v>26.99</v>
      </c>
      <c r="F128">
        <v>1</v>
      </c>
      <c r="G128">
        <v>6.9593854248523698E-2</v>
      </c>
      <c r="H128">
        <v>547.30995775928898</v>
      </c>
      <c r="I128">
        <v>66.824063407756796</v>
      </c>
      <c r="K128">
        <v>7.6387651264667511E-2</v>
      </c>
      <c r="L128" s="2">
        <f t="shared" si="3"/>
        <v>9.7620646097323025</v>
      </c>
      <c r="N128">
        <v>67.186378479003906</v>
      </c>
      <c r="O128">
        <v>538.25616455078125</v>
      </c>
      <c r="P128" s="2">
        <f t="shared" si="4"/>
        <v>0.54219251684274772</v>
      </c>
      <c r="Q128" s="2">
        <f t="shared" si="5"/>
        <v>-1.6542350600698652</v>
      </c>
    </row>
    <row r="129" spans="1:17" x14ac:dyDescent="0.3">
      <c r="A129" t="s">
        <v>141</v>
      </c>
      <c r="B129">
        <v>68.3</v>
      </c>
      <c r="C129">
        <v>113.1</v>
      </c>
      <c r="D129">
        <v>1.4217E-2</v>
      </c>
      <c r="E129">
        <v>21.54</v>
      </c>
      <c r="F129">
        <v>1</v>
      </c>
      <c r="G129">
        <v>7.9509176313877106E-2</v>
      </c>
      <c r="H129">
        <v>507.81165791054701</v>
      </c>
      <c r="I129">
        <v>67.897234252839993</v>
      </c>
      <c r="K129">
        <v>7.8807570040225983E-2</v>
      </c>
      <c r="L129" s="2">
        <f t="shared" si="3"/>
        <v>-0.88242176083098023</v>
      </c>
      <c r="N129">
        <v>67.361618041992188</v>
      </c>
      <c r="O129">
        <v>500.97427368164063</v>
      </c>
      <c r="P129" s="2">
        <f t="shared" si="4"/>
        <v>-0.7888630762974006</v>
      </c>
      <c r="Q129" s="2">
        <f t="shared" si="5"/>
        <v>-1.3464409732221663</v>
      </c>
    </row>
    <row r="130" spans="1:17" x14ac:dyDescent="0.3">
      <c r="A130" t="s">
        <v>142</v>
      </c>
      <c r="B130">
        <v>62.4</v>
      </c>
      <c r="C130">
        <v>130</v>
      </c>
      <c r="D130">
        <v>1.3410999999999999E-2</v>
      </c>
      <c r="E130">
        <v>28.39</v>
      </c>
      <c r="F130">
        <v>1</v>
      </c>
      <c r="G130">
        <v>5.7875558733940097E-2</v>
      </c>
      <c r="H130">
        <v>556.768291801602</v>
      </c>
      <c r="I130">
        <v>53.377763666848203</v>
      </c>
      <c r="K130">
        <v>6.4507760107517242E-2</v>
      </c>
      <c r="L130" s="2">
        <f t="shared" si="3"/>
        <v>11.459416580436068</v>
      </c>
      <c r="N130">
        <v>52.854091644287109</v>
      </c>
      <c r="O130">
        <v>549.7745361328125</v>
      </c>
      <c r="P130" s="2">
        <f t="shared" si="4"/>
        <v>-0.9810677454183705</v>
      </c>
      <c r="Q130" s="2">
        <f t="shared" si="5"/>
        <v>-1.2561339738222104</v>
      </c>
    </row>
    <row r="131" spans="1:17" x14ac:dyDescent="0.3">
      <c r="A131" t="s">
        <v>143</v>
      </c>
      <c r="B131">
        <v>59.4</v>
      </c>
      <c r="C131">
        <v>119</v>
      </c>
      <c r="D131">
        <v>1.6449999999999999E-2</v>
      </c>
      <c r="E131">
        <v>35</v>
      </c>
      <c r="F131">
        <v>1</v>
      </c>
      <c r="G131">
        <v>7.600749284029E-2</v>
      </c>
      <c r="H131">
        <v>590.59437582907901</v>
      </c>
      <c r="I131">
        <v>52.389373018068603</v>
      </c>
      <c r="K131">
        <v>7.5771115720272064E-2</v>
      </c>
      <c r="L131" s="2">
        <f t="shared" si="3"/>
        <v>-0.31099186565016829</v>
      </c>
      <c r="N131">
        <v>53.468223571777337</v>
      </c>
      <c r="O131">
        <v>586.43927001953125</v>
      </c>
      <c r="P131" s="2">
        <f t="shared" si="4"/>
        <v>2.0592927373584859</v>
      </c>
      <c r="Q131" s="2">
        <f t="shared" si="5"/>
        <v>-0.70354645753522571</v>
      </c>
    </row>
    <row r="132" spans="1:17" x14ac:dyDescent="0.3">
      <c r="A132" t="s">
        <v>144</v>
      </c>
      <c r="B132">
        <v>65.2</v>
      </c>
      <c r="C132">
        <v>115.3</v>
      </c>
      <c r="D132">
        <v>1.4546E-2</v>
      </c>
      <c r="E132">
        <v>24.6</v>
      </c>
      <c r="F132">
        <v>1</v>
      </c>
      <c r="G132">
        <v>7.5830370187759399E-2</v>
      </c>
      <c r="H132">
        <v>526.85300208950105</v>
      </c>
      <c r="I132">
        <v>62.358993408721702</v>
      </c>
      <c r="K132">
        <v>7.740001380443573E-2</v>
      </c>
      <c r="L132" s="2">
        <f t="shared" si="3"/>
        <v>2.0699405960828394</v>
      </c>
      <c r="N132">
        <v>60.9522705078125</v>
      </c>
      <c r="O132">
        <v>519.43695068359375</v>
      </c>
      <c r="P132" s="2">
        <f t="shared" si="4"/>
        <v>-2.2558460680868744</v>
      </c>
      <c r="Q132" s="2">
        <f t="shared" si="5"/>
        <v>-1.4076130109338292</v>
      </c>
    </row>
    <row r="133" spans="1:17" x14ac:dyDescent="0.3">
      <c r="A133" t="s">
        <v>145</v>
      </c>
      <c r="B133">
        <v>43.2</v>
      </c>
      <c r="C133">
        <v>111.1</v>
      </c>
      <c r="D133">
        <v>8.6449999999999999E-3</v>
      </c>
      <c r="E133">
        <v>28.61</v>
      </c>
      <c r="F133">
        <v>1.27</v>
      </c>
      <c r="G133">
        <v>4.9032080918550401E-2</v>
      </c>
      <c r="H133">
        <v>599.50180186577097</v>
      </c>
      <c r="I133">
        <v>34.028086973342504</v>
      </c>
      <c r="K133">
        <v>4.8961661756038673E-2</v>
      </c>
      <c r="L133" s="2">
        <f t="shared" si="3"/>
        <v>-0.14361854767841722</v>
      </c>
      <c r="N133">
        <v>34.174991607666023</v>
      </c>
      <c r="O133">
        <v>595.07666015625</v>
      </c>
      <c r="P133" s="2">
        <f t="shared" si="4"/>
        <v>0.43171581887222704</v>
      </c>
      <c r="Q133" s="2">
        <f t="shared" si="5"/>
        <v>-0.73813651531138602</v>
      </c>
    </row>
    <row r="134" spans="1:17" x14ac:dyDescent="0.3">
      <c r="A134" t="s">
        <v>146</v>
      </c>
      <c r="B134">
        <v>66.900000000000006</v>
      </c>
      <c r="C134">
        <v>124.7</v>
      </c>
      <c r="D134">
        <v>1.1998999999999999E-2</v>
      </c>
      <c r="E134">
        <v>20</v>
      </c>
      <c r="F134">
        <v>1</v>
      </c>
      <c r="G134">
        <v>5.6427154690027202E-2</v>
      </c>
      <c r="H134">
        <v>503.22157675659702</v>
      </c>
      <c r="I134">
        <v>64.467422411111102</v>
      </c>
      <c r="K134">
        <v>5.5963817983865738E-2</v>
      </c>
      <c r="L134" s="2">
        <f t="shared" si="3"/>
        <v>-0.82112363933060994</v>
      </c>
      <c r="N134">
        <v>64.6871337890625</v>
      </c>
      <c r="O134">
        <v>495.45248413085938</v>
      </c>
      <c r="P134" s="2">
        <f t="shared" si="4"/>
        <v>0.34080993117778302</v>
      </c>
      <c r="Q134" s="2">
        <f t="shared" si="5"/>
        <v>-1.5438711264750618</v>
      </c>
    </row>
    <row r="135" spans="1:17" x14ac:dyDescent="0.3">
      <c r="A135" t="s">
        <v>147</v>
      </c>
      <c r="B135">
        <v>60</v>
      </c>
      <c r="C135">
        <v>108.2</v>
      </c>
      <c r="D135">
        <v>1.3553000000000001E-2</v>
      </c>
      <c r="E135">
        <v>24.97</v>
      </c>
      <c r="F135">
        <v>1</v>
      </c>
      <c r="G135">
        <v>8.6392022669315297E-2</v>
      </c>
      <c r="H135">
        <v>527.14948110277396</v>
      </c>
      <c r="I135">
        <v>56.555685475616599</v>
      </c>
      <c r="K135">
        <v>8.889838308095932E-2</v>
      </c>
      <c r="L135" s="2">
        <f t="shared" si="3"/>
        <v>2.90114796968891</v>
      </c>
      <c r="N135">
        <v>54.947933197021477</v>
      </c>
      <c r="O135">
        <v>524.77508544921875</v>
      </c>
      <c r="P135" s="2">
        <f t="shared" si="4"/>
        <v>-2.8427774591968964</v>
      </c>
      <c r="Q135" s="2">
        <f t="shared" si="5"/>
        <v>-0.45042169985410557</v>
      </c>
    </row>
    <row r="136" spans="1:17" x14ac:dyDescent="0.3">
      <c r="A136" t="s">
        <v>148</v>
      </c>
      <c r="B136">
        <v>57.5</v>
      </c>
      <c r="C136">
        <v>112.7</v>
      </c>
      <c r="D136">
        <v>1.4473E-2</v>
      </c>
      <c r="E136">
        <v>30.2</v>
      </c>
      <c r="F136">
        <v>1</v>
      </c>
      <c r="G136">
        <v>7.7972583472728701E-2</v>
      </c>
      <c r="H136">
        <v>559.65640840305605</v>
      </c>
      <c r="I136">
        <v>51.280210117294402</v>
      </c>
      <c r="K136">
        <v>7.9803489148616791E-2</v>
      </c>
      <c r="L136" s="2">
        <f t="shared" si="3"/>
        <v>2.3481403261807499</v>
      </c>
      <c r="N136">
        <v>51.74725341796875</v>
      </c>
      <c r="O136">
        <v>552.9547119140625</v>
      </c>
      <c r="P136" s="2">
        <f t="shared" si="4"/>
        <v>0.91076713532582865</v>
      </c>
      <c r="Q136" s="2">
        <f t="shared" si="5"/>
        <v>-1.197466228987963</v>
      </c>
    </row>
    <row r="137" spans="1:17" x14ac:dyDescent="0.3">
      <c r="A137" t="s">
        <v>149</v>
      </c>
      <c r="B137">
        <v>62.9</v>
      </c>
      <c r="C137">
        <v>125</v>
      </c>
      <c r="D137">
        <v>1.2145E-2</v>
      </c>
      <c r="E137">
        <v>22.98</v>
      </c>
      <c r="F137">
        <v>1</v>
      </c>
      <c r="G137">
        <v>5.5661801248788799E-2</v>
      </c>
      <c r="H137">
        <v>521.26151458105403</v>
      </c>
      <c r="I137">
        <v>57.822704835165297</v>
      </c>
      <c r="K137">
        <v>6.1808902770280838E-2</v>
      </c>
      <c r="L137" s="2">
        <f t="shared" ref="L137:L200" si="6">(K137-G137)/G137*100</f>
        <v>11.043662590106711</v>
      </c>
      <c r="N137">
        <v>57.648178100585938</v>
      </c>
      <c r="O137">
        <v>514.71319580078125</v>
      </c>
      <c r="P137" s="2">
        <f t="shared" ref="P137:P200" si="7">(N137-I137)/I137*100</f>
        <v>-0.30183080344802482</v>
      </c>
      <c r="Q137" s="2">
        <f t="shared" ref="Q137:Q200" si="8">(O137-H137)/H137*100</f>
        <v>-1.2562444372160804</v>
      </c>
    </row>
    <row r="138" spans="1:17" x14ac:dyDescent="0.3">
      <c r="A138" t="s">
        <v>150</v>
      </c>
      <c r="B138">
        <v>73.900000000000006</v>
      </c>
      <c r="C138">
        <v>113.9</v>
      </c>
      <c r="D138">
        <v>1.8408999999999998E-2</v>
      </c>
      <c r="E138">
        <v>26.2</v>
      </c>
      <c r="F138">
        <v>1</v>
      </c>
      <c r="G138">
        <v>9.8075479269027696E-2</v>
      </c>
      <c r="H138">
        <v>536.00999718136404</v>
      </c>
      <c r="I138">
        <v>74.610773841056499</v>
      </c>
      <c r="K138">
        <v>9.8496571183204651E-2</v>
      </c>
      <c r="L138" s="2">
        <f t="shared" si="6"/>
        <v>0.42935493898721727</v>
      </c>
      <c r="N138">
        <v>74.480751037597656</v>
      </c>
      <c r="O138">
        <v>528.2174072265625</v>
      </c>
      <c r="P138" s="2">
        <f t="shared" si="7"/>
        <v>-0.17426813416495418</v>
      </c>
      <c r="Q138" s="2">
        <f t="shared" si="8"/>
        <v>-1.4538142937219967</v>
      </c>
    </row>
    <row r="139" spans="1:17" x14ac:dyDescent="0.3">
      <c r="A139" t="s">
        <v>151</v>
      </c>
      <c r="B139">
        <v>65.099999999999994</v>
      </c>
      <c r="C139">
        <v>112.8</v>
      </c>
      <c r="D139">
        <v>1.9671999999999999E-2</v>
      </c>
      <c r="E139">
        <v>35</v>
      </c>
      <c r="F139">
        <v>1</v>
      </c>
      <c r="G139">
        <v>0.10367599874734799</v>
      </c>
      <c r="H139">
        <v>588.48497875128896</v>
      </c>
      <c r="I139">
        <v>61.583279779682698</v>
      </c>
      <c r="K139">
        <v>0.10200145840644841</v>
      </c>
      <c r="L139" s="2">
        <f t="shared" si="6"/>
        <v>-1.6151668285157688</v>
      </c>
      <c r="N139">
        <v>62.227806091308587</v>
      </c>
      <c r="O139">
        <v>581.84637451171875</v>
      </c>
      <c r="P139" s="2">
        <f t="shared" si="7"/>
        <v>1.0465930264378807</v>
      </c>
      <c r="Q139" s="2">
        <f t="shared" si="8"/>
        <v>-1.1280838898652472</v>
      </c>
    </row>
    <row r="140" spans="1:17" x14ac:dyDescent="0.3">
      <c r="A140" t="s">
        <v>152</v>
      </c>
      <c r="B140">
        <v>84</v>
      </c>
      <c r="C140">
        <v>122.8</v>
      </c>
      <c r="D140">
        <v>2.2017999999999999E-2</v>
      </c>
      <c r="E140">
        <v>28.76</v>
      </c>
      <c r="F140">
        <v>1</v>
      </c>
      <c r="G140">
        <v>9.9540889263153007E-2</v>
      </c>
      <c r="H140">
        <v>554.82188338750802</v>
      </c>
      <c r="I140">
        <v>84.398413518114296</v>
      </c>
      <c r="K140">
        <v>9.8054498434066772E-2</v>
      </c>
      <c r="L140" s="2">
        <f t="shared" si="6"/>
        <v>-1.4932464840219695</v>
      </c>
      <c r="N140">
        <v>86.668121337890625</v>
      </c>
      <c r="O140">
        <v>546.22540283203125</v>
      </c>
      <c r="P140" s="2">
        <f t="shared" si="7"/>
        <v>2.6892778254524718</v>
      </c>
      <c r="Q140" s="2">
        <f t="shared" si="8"/>
        <v>-1.5494126697004622</v>
      </c>
    </row>
    <row r="141" spans="1:17" x14ac:dyDescent="0.3">
      <c r="A141" t="s">
        <v>153</v>
      </c>
      <c r="B141">
        <v>75.599999999999994</v>
      </c>
      <c r="C141">
        <v>122.5</v>
      </c>
      <c r="D141">
        <v>1.7575E-2</v>
      </c>
      <c r="E141">
        <v>25.78</v>
      </c>
      <c r="F141">
        <v>1</v>
      </c>
      <c r="G141">
        <v>8.1120491027832003E-2</v>
      </c>
      <c r="H141">
        <v>536.79843509326895</v>
      </c>
      <c r="I141">
        <v>74.652523123272502</v>
      </c>
      <c r="K141">
        <v>8.3850890398025513E-2</v>
      </c>
      <c r="L141" s="2">
        <f t="shared" si="6"/>
        <v>3.3658565617615945</v>
      </c>
      <c r="N141">
        <v>77.095008850097656</v>
      </c>
      <c r="O141">
        <v>532.74786376953125</v>
      </c>
      <c r="P141" s="2">
        <f t="shared" si="7"/>
        <v>3.2718059948113436</v>
      </c>
      <c r="Q141" s="2">
        <f t="shared" si="8"/>
        <v>-0.75457957008274634</v>
      </c>
    </row>
    <row r="142" spans="1:17" x14ac:dyDescent="0.3">
      <c r="A142" t="s">
        <v>154</v>
      </c>
      <c r="B142">
        <v>46.5</v>
      </c>
      <c r="C142">
        <v>109.2</v>
      </c>
      <c r="D142">
        <v>1.1082E-2</v>
      </c>
      <c r="E142">
        <v>32.479999999999997</v>
      </c>
      <c r="F142">
        <v>1</v>
      </c>
      <c r="G142">
        <v>6.5941669046878801E-2</v>
      </c>
      <c r="H142">
        <v>572.43402410808096</v>
      </c>
      <c r="I142">
        <v>36.705947011345998</v>
      </c>
      <c r="K142">
        <v>6.4744345843791962E-2</v>
      </c>
      <c r="L142" s="2">
        <f t="shared" si="6"/>
        <v>-1.8157308123876064</v>
      </c>
      <c r="N142">
        <v>35.806434631347663</v>
      </c>
      <c r="O142">
        <v>565.25909423828125</v>
      </c>
      <c r="P142" s="2">
        <f t="shared" si="7"/>
        <v>-2.4505903082143359</v>
      </c>
      <c r="Q142" s="2">
        <f t="shared" si="8"/>
        <v>-1.2534073041830611</v>
      </c>
    </row>
    <row r="143" spans="1:17" x14ac:dyDescent="0.3">
      <c r="A143" t="s">
        <v>155</v>
      </c>
      <c r="B143">
        <v>45.1</v>
      </c>
      <c r="C143">
        <v>103.5</v>
      </c>
      <c r="D143">
        <v>7.4089999999999998E-3</v>
      </c>
      <c r="E143">
        <v>20.46</v>
      </c>
      <c r="F143">
        <v>1</v>
      </c>
      <c r="G143">
        <v>5.9395588934421498E-2</v>
      </c>
      <c r="H143">
        <v>499.216576357588</v>
      </c>
      <c r="I143">
        <v>36.937659992319197</v>
      </c>
      <c r="K143">
        <v>5.9402540326118469E-2</v>
      </c>
      <c r="L143" s="2">
        <f t="shared" si="6"/>
        <v>1.1703548734311864E-2</v>
      </c>
      <c r="N143">
        <v>38.211235046386719</v>
      </c>
      <c r="O143">
        <v>491.00741577148438</v>
      </c>
      <c r="P143" s="2">
        <f t="shared" si="7"/>
        <v>3.4479039937352498</v>
      </c>
      <c r="Q143" s="2">
        <f t="shared" si="8"/>
        <v>-1.6444086544561001</v>
      </c>
    </row>
    <row r="144" spans="1:17" x14ac:dyDescent="0.3">
      <c r="A144" t="s">
        <v>156</v>
      </c>
      <c r="B144">
        <v>49</v>
      </c>
      <c r="C144">
        <v>117.3</v>
      </c>
      <c r="D144">
        <v>7.8619999999999992E-3</v>
      </c>
      <c r="E144">
        <v>20</v>
      </c>
      <c r="F144">
        <v>1</v>
      </c>
      <c r="G144">
        <v>4.0688604116439799E-2</v>
      </c>
      <c r="H144">
        <v>499.94601050663402</v>
      </c>
      <c r="I144">
        <v>40.361872732804599</v>
      </c>
      <c r="K144">
        <v>3.8056831806898117E-2</v>
      </c>
      <c r="L144" s="2">
        <f t="shared" si="6"/>
        <v>-6.468082075291302</v>
      </c>
      <c r="N144">
        <v>39.939216613769531</v>
      </c>
      <c r="O144">
        <v>492.40194702148438</v>
      </c>
      <c r="P144" s="2">
        <f t="shared" si="7"/>
        <v>-1.047166770068003</v>
      </c>
      <c r="Q144" s="2">
        <f t="shared" si="8"/>
        <v>-1.508975634689967</v>
      </c>
    </row>
    <row r="145" spans="1:17" x14ac:dyDescent="0.3">
      <c r="A145" t="s">
        <v>157</v>
      </c>
      <c r="B145">
        <v>69.3</v>
      </c>
      <c r="C145">
        <v>122.7</v>
      </c>
      <c r="D145">
        <v>1.332E-2</v>
      </c>
      <c r="E145">
        <v>21.04</v>
      </c>
      <c r="F145">
        <v>1</v>
      </c>
      <c r="G145">
        <v>6.3360385596752097E-2</v>
      </c>
      <c r="H145">
        <v>508.453829915906</v>
      </c>
      <c r="I145">
        <v>67.626241472545203</v>
      </c>
      <c r="K145">
        <v>6.503816694021225E-2</v>
      </c>
      <c r="L145" s="2">
        <f t="shared" si="6"/>
        <v>2.6479973687946696</v>
      </c>
      <c r="N145">
        <v>68.617271423339844</v>
      </c>
      <c r="O145">
        <v>503.64202880859381</v>
      </c>
      <c r="P145" s="2">
        <f t="shared" si="7"/>
        <v>1.4654517672654888</v>
      </c>
      <c r="Q145" s="2">
        <f t="shared" si="8"/>
        <v>-0.94635949700841537</v>
      </c>
    </row>
    <row r="146" spans="1:17" x14ac:dyDescent="0.3">
      <c r="A146" t="s">
        <v>158</v>
      </c>
      <c r="B146">
        <v>80.400000000000006</v>
      </c>
      <c r="C146">
        <v>128.6</v>
      </c>
      <c r="D146">
        <v>1.6508999999999999E-2</v>
      </c>
      <c r="E146">
        <v>23.02</v>
      </c>
      <c r="F146">
        <v>1</v>
      </c>
      <c r="G146">
        <v>7.3962487280368805E-2</v>
      </c>
      <c r="H146">
        <v>523.61768179437604</v>
      </c>
      <c r="I146">
        <v>79.546625978749702</v>
      </c>
      <c r="K146">
        <v>7.8531809151172638E-2</v>
      </c>
      <c r="L146" s="2">
        <f t="shared" si="6"/>
        <v>6.1778910347930216</v>
      </c>
      <c r="N146">
        <v>82.286506652832031</v>
      </c>
      <c r="O146">
        <v>517.23980712890625</v>
      </c>
      <c r="P146" s="2">
        <f t="shared" si="7"/>
        <v>3.4443706950113362</v>
      </c>
      <c r="Q146" s="2">
        <f t="shared" si="8"/>
        <v>-1.2180403541021696</v>
      </c>
    </row>
    <row r="147" spans="1:17" x14ac:dyDescent="0.3">
      <c r="A147" t="s">
        <v>159</v>
      </c>
      <c r="B147">
        <v>45.2</v>
      </c>
      <c r="C147">
        <v>122.6</v>
      </c>
      <c r="D147">
        <v>8.7799999999999996E-3</v>
      </c>
      <c r="E147">
        <v>29.17</v>
      </c>
      <c r="F147">
        <v>1</v>
      </c>
      <c r="G147">
        <v>3.97192537784576E-2</v>
      </c>
      <c r="H147">
        <v>557.18601418019</v>
      </c>
      <c r="I147">
        <v>33.399046670317603</v>
      </c>
      <c r="K147">
        <v>3.8924571126699448E-2</v>
      </c>
      <c r="L147" s="2">
        <f t="shared" si="6"/>
        <v>-2.0007491988410964</v>
      </c>
      <c r="N147">
        <v>33.113624572753913</v>
      </c>
      <c r="O147">
        <v>553.4229736328125</v>
      </c>
      <c r="P147" s="2">
        <f t="shared" si="7"/>
        <v>-0.85458157048940409</v>
      </c>
      <c r="Q147" s="2">
        <f t="shared" si="8"/>
        <v>-0.67536521944367378</v>
      </c>
    </row>
    <row r="148" spans="1:17" x14ac:dyDescent="0.3">
      <c r="A148" t="s">
        <v>160</v>
      </c>
      <c r="B148">
        <v>66.2</v>
      </c>
      <c r="C148">
        <v>124.4</v>
      </c>
      <c r="D148">
        <v>1.3783E-2</v>
      </c>
      <c r="E148">
        <v>24.45</v>
      </c>
      <c r="F148">
        <v>1</v>
      </c>
      <c r="G148">
        <v>6.2916643917560494E-2</v>
      </c>
      <c r="H148">
        <v>529.76399063305405</v>
      </c>
      <c r="I148">
        <v>61.813333923466203</v>
      </c>
      <c r="K148">
        <v>7.0361822843551636E-2</v>
      </c>
      <c r="L148" s="2">
        <f t="shared" si="6"/>
        <v>11.833401247127135</v>
      </c>
      <c r="N148">
        <v>62.112541198730469</v>
      </c>
      <c r="O148">
        <v>524.7076416015625</v>
      </c>
      <c r="P148" s="2">
        <f t="shared" si="7"/>
        <v>0.48404972887359105</v>
      </c>
      <c r="Q148" s="2">
        <f t="shared" si="8"/>
        <v>-0.95445313779242447</v>
      </c>
    </row>
    <row r="149" spans="1:17" x14ac:dyDescent="0.3">
      <c r="A149" t="s">
        <v>161</v>
      </c>
      <c r="B149">
        <v>76.3</v>
      </c>
      <c r="C149">
        <v>119.2</v>
      </c>
      <c r="D149">
        <v>1.5566E-2</v>
      </c>
      <c r="E149">
        <v>20.92</v>
      </c>
      <c r="F149">
        <v>1</v>
      </c>
      <c r="G149">
        <v>7.7574908733367906E-2</v>
      </c>
      <c r="H149">
        <v>506.194423881977</v>
      </c>
      <c r="I149">
        <v>78.091804172322696</v>
      </c>
      <c r="K149">
        <v>7.7236853539943695E-2</v>
      </c>
      <c r="L149" s="2">
        <f t="shared" si="6"/>
        <v>-0.43577904111513399</v>
      </c>
      <c r="N149">
        <v>80.115730285644531</v>
      </c>
      <c r="O149">
        <v>500.21572875976563</v>
      </c>
      <c r="P149" s="2">
        <f t="shared" si="7"/>
        <v>2.5917266668032175</v>
      </c>
      <c r="Q149" s="2">
        <f t="shared" si="8"/>
        <v>-1.1811064761166461</v>
      </c>
    </row>
    <row r="150" spans="1:17" x14ac:dyDescent="0.3">
      <c r="A150" t="s">
        <v>162</v>
      </c>
      <c r="B150">
        <v>59.5</v>
      </c>
      <c r="C150">
        <v>115.5</v>
      </c>
      <c r="D150">
        <v>1.5235E-2</v>
      </c>
      <c r="E150">
        <v>30.84</v>
      </c>
      <c r="F150">
        <v>1</v>
      </c>
      <c r="G150">
        <v>7.6492823660373604E-2</v>
      </c>
      <c r="H150">
        <v>564.35905697260898</v>
      </c>
      <c r="I150">
        <v>53.565907506148598</v>
      </c>
      <c r="K150">
        <v>7.9608678817749023E-2</v>
      </c>
      <c r="L150" s="2">
        <f t="shared" si="6"/>
        <v>4.0733953961612723</v>
      </c>
      <c r="N150">
        <v>54.43280029296875</v>
      </c>
      <c r="O150">
        <v>556.32635498046875</v>
      </c>
      <c r="P150" s="2">
        <f t="shared" si="7"/>
        <v>1.6183666574129174</v>
      </c>
      <c r="Q150" s="2">
        <f t="shared" si="8"/>
        <v>-1.4233318120612881</v>
      </c>
    </row>
    <row r="151" spans="1:17" x14ac:dyDescent="0.3">
      <c r="A151" t="s">
        <v>163</v>
      </c>
      <c r="B151">
        <v>57.5</v>
      </c>
      <c r="C151">
        <v>102.9</v>
      </c>
      <c r="D151">
        <v>1.6653000000000001E-2</v>
      </c>
      <c r="E151">
        <v>33.81</v>
      </c>
      <c r="F151">
        <v>1</v>
      </c>
      <c r="G151">
        <v>0.132994323968887</v>
      </c>
      <c r="H151">
        <v>579.22575205786995</v>
      </c>
      <c r="I151">
        <v>53.013615672812698</v>
      </c>
      <c r="K151">
        <v>0.11827687919139861</v>
      </c>
      <c r="L151" s="2">
        <f t="shared" si="6"/>
        <v>-11.066220225256698</v>
      </c>
      <c r="N151">
        <v>53.672916412353523</v>
      </c>
      <c r="O151">
        <v>573.474609375</v>
      </c>
      <c r="P151" s="2">
        <f t="shared" si="7"/>
        <v>1.2436441679621906</v>
      </c>
      <c r="Q151" s="2">
        <f t="shared" si="8"/>
        <v>-0.9929017593636551</v>
      </c>
    </row>
    <row r="152" spans="1:17" x14ac:dyDescent="0.3">
      <c r="A152" t="s">
        <v>164</v>
      </c>
      <c r="B152">
        <v>56.7</v>
      </c>
      <c r="C152">
        <v>121.6</v>
      </c>
      <c r="D152">
        <v>1.1665E-2</v>
      </c>
      <c r="E152">
        <v>25.68</v>
      </c>
      <c r="F152">
        <v>1</v>
      </c>
      <c r="G152">
        <v>5.4387249052524497E-2</v>
      </c>
      <c r="H152">
        <v>535.78069710050704</v>
      </c>
      <c r="I152">
        <v>49.228357596674698</v>
      </c>
      <c r="K152">
        <v>5.6168850511312478E-2</v>
      </c>
      <c r="L152" s="2">
        <f t="shared" si="6"/>
        <v>3.2757704973594057</v>
      </c>
      <c r="N152">
        <v>48.0908203125</v>
      </c>
      <c r="O152">
        <v>531.31988525390625</v>
      </c>
      <c r="P152" s="2">
        <f t="shared" si="7"/>
        <v>-2.3107358029176601</v>
      </c>
      <c r="Q152" s="2">
        <f t="shared" si="8"/>
        <v>-0.83258166461416727</v>
      </c>
    </row>
    <row r="153" spans="1:17" x14ac:dyDescent="0.3">
      <c r="A153" t="s">
        <v>165</v>
      </c>
      <c r="B153">
        <v>73.2</v>
      </c>
      <c r="C153">
        <v>113.9</v>
      </c>
      <c r="D153">
        <v>2.0156E-2</v>
      </c>
      <c r="E153">
        <v>29.79</v>
      </c>
      <c r="F153">
        <v>1.03</v>
      </c>
      <c r="G153">
        <v>0.105481661856174</v>
      </c>
      <c r="H153">
        <v>563.305960859322</v>
      </c>
      <c r="I153">
        <v>73.4718819272845</v>
      </c>
      <c r="K153">
        <v>0.1043346971273422</v>
      </c>
      <c r="L153" s="2">
        <f t="shared" si="6"/>
        <v>-1.0873593652664539</v>
      </c>
      <c r="N153">
        <v>73.242820739746094</v>
      </c>
      <c r="O153">
        <v>557.2783203125</v>
      </c>
      <c r="P153" s="2">
        <f t="shared" si="7"/>
        <v>-0.31176714347008144</v>
      </c>
      <c r="Q153" s="2">
        <f t="shared" si="8"/>
        <v>-1.0700473571461673</v>
      </c>
    </row>
    <row r="154" spans="1:17" x14ac:dyDescent="0.3">
      <c r="A154" t="s">
        <v>166</v>
      </c>
      <c r="B154">
        <v>76.400000000000006</v>
      </c>
      <c r="C154">
        <v>118.5</v>
      </c>
      <c r="D154">
        <v>1.9272999999999998E-2</v>
      </c>
      <c r="E154">
        <v>27.28</v>
      </c>
      <c r="F154">
        <v>1</v>
      </c>
      <c r="G154">
        <v>9.3075230717658997E-2</v>
      </c>
      <c r="H154">
        <v>544.07778390802605</v>
      </c>
      <c r="I154">
        <v>76.374798411642203</v>
      </c>
      <c r="K154">
        <v>9.3714319169521332E-2</v>
      </c>
      <c r="L154" s="2">
        <f t="shared" si="6"/>
        <v>0.68663644122569134</v>
      </c>
      <c r="N154">
        <v>78.907493591308594</v>
      </c>
      <c r="O154">
        <v>540.833984375</v>
      </c>
      <c r="P154" s="2">
        <f t="shared" si="7"/>
        <v>3.3161399209406208</v>
      </c>
      <c r="Q154" s="2">
        <f t="shared" si="8"/>
        <v>-0.59620143092892741</v>
      </c>
    </row>
    <row r="155" spans="1:17" x14ac:dyDescent="0.3">
      <c r="A155" t="s">
        <v>167</v>
      </c>
      <c r="B155">
        <v>70.400000000000006</v>
      </c>
      <c r="C155">
        <v>126.3</v>
      </c>
      <c r="D155">
        <v>1.2985E-2</v>
      </c>
      <c r="E155">
        <v>20.59</v>
      </c>
      <c r="F155">
        <v>1</v>
      </c>
      <c r="G155">
        <v>5.9981252998113598E-2</v>
      </c>
      <c r="H155">
        <v>507.64261643193402</v>
      </c>
      <c r="I155">
        <v>68.523659908366</v>
      </c>
      <c r="K155">
        <v>6.4301498234272003E-2</v>
      </c>
      <c r="L155" s="2">
        <f t="shared" si="6"/>
        <v>7.2026591980235501</v>
      </c>
      <c r="N155">
        <v>68.935806274414063</v>
      </c>
      <c r="O155">
        <v>499.884765625</v>
      </c>
      <c r="P155" s="2">
        <f t="shared" si="7"/>
        <v>0.60146578072334433</v>
      </c>
      <c r="Q155" s="2">
        <f t="shared" si="8"/>
        <v>-1.5282110988753459</v>
      </c>
    </row>
    <row r="156" spans="1:17" x14ac:dyDescent="0.3">
      <c r="A156" t="s">
        <v>168</v>
      </c>
      <c r="B156">
        <v>54.9</v>
      </c>
      <c r="C156">
        <v>105.4</v>
      </c>
      <c r="D156">
        <v>1.5814999999999999E-2</v>
      </c>
      <c r="E156">
        <v>35</v>
      </c>
      <c r="F156">
        <v>1</v>
      </c>
      <c r="G156">
        <v>0.10962588340043999</v>
      </c>
      <c r="H156">
        <v>586.77433222676405</v>
      </c>
      <c r="I156">
        <v>48.898398794477302</v>
      </c>
      <c r="K156">
        <v>0.1052261069417</v>
      </c>
      <c r="L156" s="2">
        <f t="shared" si="6"/>
        <v>-4.0134467538734011</v>
      </c>
      <c r="N156">
        <v>50.538330078125</v>
      </c>
      <c r="O156">
        <v>579.6690673828125</v>
      </c>
      <c r="P156" s="2">
        <f t="shared" si="7"/>
        <v>3.3537525237593582</v>
      </c>
      <c r="Q156" s="2">
        <f t="shared" si="8"/>
        <v>-1.2109024634713663</v>
      </c>
    </row>
    <row r="157" spans="1:17" x14ac:dyDescent="0.3">
      <c r="A157" t="s">
        <v>169</v>
      </c>
      <c r="B157">
        <v>73.3</v>
      </c>
      <c r="C157">
        <v>126.1</v>
      </c>
      <c r="D157">
        <v>1.7405E-2</v>
      </c>
      <c r="E157">
        <v>28.04</v>
      </c>
      <c r="F157">
        <v>1</v>
      </c>
      <c r="G157">
        <v>7.6763607561588204E-2</v>
      </c>
      <c r="H157">
        <v>552.22864265675105</v>
      </c>
      <c r="I157">
        <v>69.639519937716003</v>
      </c>
      <c r="K157">
        <v>8.3361640572547913E-2</v>
      </c>
      <c r="L157" s="2">
        <f t="shared" si="6"/>
        <v>8.5952617660211459</v>
      </c>
      <c r="N157">
        <v>71.066841125488281</v>
      </c>
      <c r="O157">
        <v>545.57537841796875</v>
      </c>
      <c r="P157" s="2">
        <f t="shared" si="7"/>
        <v>2.0495850474685096</v>
      </c>
      <c r="Q157" s="2">
        <f t="shared" si="8"/>
        <v>-1.2048024540657103</v>
      </c>
    </row>
    <row r="158" spans="1:17" x14ac:dyDescent="0.3">
      <c r="A158" t="s">
        <v>170</v>
      </c>
      <c r="B158">
        <v>69.2</v>
      </c>
      <c r="C158">
        <v>119.5</v>
      </c>
      <c r="D158">
        <v>1.5755999999999999E-2</v>
      </c>
      <c r="E158">
        <v>25.39</v>
      </c>
      <c r="F158">
        <v>1</v>
      </c>
      <c r="G158">
        <v>7.5768247246742207E-2</v>
      </c>
      <c r="H158">
        <v>533.13602888269099</v>
      </c>
      <c r="I158">
        <v>66.855956511637004</v>
      </c>
      <c r="K158">
        <v>7.7909611165523529E-2</v>
      </c>
      <c r="L158" s="2">
        <f t="shared" si="6"/>
        <v>2.8262022636050803</v>
      </c>
      <c r="N158">
        <v>67.739761352539063</v>
      </c>
      <c r="O158">
        <v>526.949951171875</v>
      </c>
      <c r="P158" s="2">
        <f t="shared" si="7"/>
        <v>1.32195377497624</v>
      </c>
      <c r="Q158" s="2">
        <f t="shared" si="8"/>
        <v>-1.1603188259064652</v>
      </c>
    </row>
    <row r="159" spans="1:17" x14ac:dyDescent="0.3">
      <c r="A159" t="s">
        <v>171</v>
      </c>
      <c r="B159">
        <v>85.9</v>
      </c>
      <c r="C159">
        <v>120.7</v>
      </c>
      <c r="D159">
        <v>2.2845000000000001E-2</v>
      </c>
      <c r="E159">
        <v>28.4</v>
      </c>
      <c r="F159">
        <v>1</v>
      </c>
      <c r="G159">
        <v>0.106183603405952</v>
      </c>
      <c r="H159">
        <v>551.70128641135602</v>
      </c>
      <c r="I159">
        <v>88.431178104188405</v>
      </c>
      <c r="K159">
        <v>0.10383925586938859</v>
      </c>
      <c r="L159" s="2">
        <f t="shared" si="6"/>
        <v>-2.207824429917578</v>
      </c>
      <c r="N159">
        <v>90.528472900390625</v>
      </c>
      <c r="O159">
        <v>542.556884765625</v>
      </c>
      <c r="P159" s="2">
        <f t="shared" si="7"/>
        <v>2.3716689533766204</v>
      </c>
      <c r="Q159" s="2">
        <f t="shared" si="8"/>
        <v>-1.6574914488984591</v>
      </c>
    </row>
    <row r="160" spans="1:17" x14ac:dyDescent="0.3">
      <c r="A160" t="s">
        <v>172</v>
      </c>
      <c r="B160">
        <v>56.7</v>
      </c>
      <c r="C160">
        <v>111.8</v>
      </c>
      <c r="D160">
        <v>1.1742000000000001E-2</v>
      </c>
      <c r="E160">
        <v>23.76</v>
      </c>
      <c r="F160">
        <v>1</v>
      </c>
      <c r="G160">
        <v>6.7010566592216395E-2</v>
      </c>
      <c r="H160">
        <v>520.76643448158302</v>
      </c>
      <c r="I160">
        <v>51.498035081523803</v>
      </c>
      <c r="K160">
        <v>6.7719340324401855E-2</v>
      </c>
      <c r="L160" s="2">
        <f t="shared" si="6"/>
        <v>1.0577044311512933</v>
      </c>
      <c r="N160">
        <v>49.73138427734375</v>
      </c>
      <c r="O160">
        <v>517.82220458984375</v>
      </c>
      <c r="P160" s="2">
        <f t="shared" si="7"/>
        <v>-3.4305207982855301</v>
      </c>
      <c r="Q160" s="2">
        <f t="shared" si="8"/>
        <v>-0.56536475793994212</v>
      </c>
    </row>
    <row r="161" spans="1:17" x14ac:dyDescent="0.3">
      <c r="A161" t="s">
        <v>173</v>
      </c>
      <c r="B161">
        <v>71.3</v>
      </c>
      <c r="C161">
        <v>110.5</v>
      </c>
      <c r="D161">
        <v>1.8353000000000001E-2</v>
      </c>
      <c r="E161">
        <v>27.09</v>
      </c>
      <c r="F161">
        <v>1</v>
      </c>
      <c r="G161">
        <v>0.106926679611206</v>
      </c>
      <c r="H161">
        <v>540.40756648041599</v>
      </c>
      <c r="I161">
        <v>71.261446888495399</v>
      </c>
      <c r="K161">
        <v>0.10414484888315199</v>
      </c>
      <c r="L161" s="2">
        <f t="shared" si="6"/>
        <v>-2.6016245320335063</v>
      </c>
      <c r="N161">
        <v>71.461845397949219</v>
      </c>
      <c r="O161">
        <v>534.587158203125</v>
      </c>
      <c r="P161" s="2">
        <f t="shared" si="7"/>
        <v>0.28121588629457395</v>
      </c>
      <c r="Q161" s="2">
        <f t="shared" si="8"/>
        <v>-1.0770404854244249</v>
      </c>
    </row>
    <row r="162" spans="1:17" x14ac:dyDescent="0.3">
      <c r="A162" t="s">
        <v>174</v>
      </c>
      <c r="B162">
        <v>83.1</v>
      </c>
      <c r="C162">
        <v>124.2</v>
      </c>
      <c r="D162">
        <v>2.1578E-2</v>
      </c>
      <c r="E162">
        <v>29.01</v>
      </c>
      <c r="F162">
        <v>1</v>
      </c>
      <c r="G162">
        <v>9.6087537705898202E-2</v>
      </c>
      <c r="H162">
        <v>557.020222948276</v>
      </c>
      <c r="I162">
        <v>82.990573485152893</v>
      </c>
      <c r="K162">
        <v>9.5527537167072296E-2</v>
      </c>
      <c r="L162" s="2">
        <f t="shared" si="6"/>
        <v>-0.58280246553922321</v>
      </c>
      <c r="N162">
        <v>84.85223388671875</v>
      </c>
      <c r="O162">
        <v>547.98809814453125</v>
      </c>
      <c r="P162" s="2">
        <f t="shared" si="7"/>
        <v>2.2432191071663214</v>
      </c>
      <c r="Q162" s="2">
        <f t="shared" si="8"/>
        <v>-1.6215075201288442</v>
      </c>
    </row>
    <row r="163" spans="1:17" x14ac:dyDescent="0.3">
      <c r="A163" t="s">
        <v>175</v>
      </c>
      <c r="B163">
        <v>63</v>
      </c>
      <c r="C163">
        <v>125.5</v>
      </c>
      <c r="D163">
        <v>1.3955E-2</v>
      </c>
      <c r="E163">
        <v>27.6</v>
      </c>
      <c r="F163">
        <v>1</v>
      </c>
      <c r="G163">
        <v>6.1940506100654602E-2</v>
      </c>
      <c r="H163">
        <v>549.25339818784198</v>
      </c>
      <c r="I163">
        <v>56.350495016862403</v>
      </c>
      <c r="K163">
        <v>6.8957440555095673E-2</v>
      </c>
      <c r="L163" s="2">
        <f t="shared" si="6"/>
        <v>11.32850681432665</v>
      </c>
      <c r="N163">
        <v>56.018508911132813</v>
      </c>
      <c r="O163">
        <v>541.85736083984375</v>
      </c>
      <c r="P163" s="2">
        <f t="shared" si="7"/>
        <v>-0.5891449678130547</v>
      </c>
      <c r="Q163" s="2">
        <f t="shared" si="8"/>
        <v>-1.3465619643683702</v>
      </c>
    </row>
    <row r="164" spans="1:17" x14ac:dyDescent="0.3">
      <c r="A164" t="s">
        <v>176</v>
      </c>
      <c r="B164">
        <v>86.9</v>
      </c>
      <c r="C164">
        <v>122.3</v>
      </c>
      <c r="D164">
        <v>2.1624000000000001E-2</v>
      </c>
      <c r="E164">
        <v>26.44</v>
      </c>
      <c r="F164">
        <v>1</v>
      </c>
      <c r="G164">
        <v>9.9560342729091603E-2</v>
      </c>
      <c r="H164">
        <v>540.66398255795798</v>
      </c>
      <c r="I164">
        <v>89.418565029084505</v>
      </c>
      <c r="K164">
        <v>9.5978938043117523E-2</v>
      </c>
      <c r="L164" s="2">
        <f t="shared" si="6"/>
        <v>-3.5972201258077736</v>
      </c>
      <c r="N164">
        <v>93.495223999023438</v>
      </c>
      <c r="O164">
        <v>535.9893798828125</v>
      </c>
      <c r="P164" s="2">
        <f t="shared" si="7"/>
        <v>4.5590744702880759</v>
      </c>
      <c r="Q164" s="2">
        <f t="shared" si="8"/>
        <v>-0.86460404723637618</v>
      </c>
    </row>
    <row r="165" spans="1:17" x14ac:dyDescent="0.3">
      <c r="A165" t="s">
        <v>177</v>
      </c>
      <c r="B165">
        <v>64.900000000000006</v>
      </c>
      <c r="C165">
        <v>100</v>
      </c>
      <c r="D165">
        <v>1.8284000000000002E-2</v>
      </c>
      <c r="E165">
        <v>30.18</v>
      </c>
      <c r="F165">
        <v>1</v>
      </c>
      <c r="G165">
        <v>0.180229231715202</v>
      </c>
      <c r="H165">
        <v>557.06898741352802</v>
      </c>
      <c r="I165">
        <v>65.496830809419706</v>
      </c>
      <c r="K165">
        <v>0.13084946572780609</v>
      </c>
      <c r="L165" s="2">
        <f t="shared" si="6"/>
        <v>-27.398311315794626</v>
      </c>
      <c r="N165">
        <v>63.367145538330078</v>
      </c>
      <c r="O165">
        <v>549.467529296875</v>
      </c>
      <c r="P165" s="2">
        <f t="shared" si="7"/>
        <v>-3.2515852214079004</v>
      </c>
      <c r="Q165" s="2">
        <f t="shared" si="8"/>
        <v>-1.3645451978841256</v>
      </c>
    </row>
    <row r="166" spans="1:17" x14ac:dyDescent="0.3">
      <c r="A166" t="s">
        <v>178</v>
      </c>
      <c r="B166">
        <v>67.8</v>
      </c>
      <c r="C166">
        <v>120.3</v>
      </c>
      <c r="D166">
        <v>1.2678999999999999E-2</v>
      </c>
      <c r="E166">
        <v>20</v>
      </c>
      <c r="F166">
        <v>1</v>
      </c>
      <c r="G166">
        <v>6.2631562352180398E-2</v>
      </c>
      <c r="H166">
        <v>501.12946621813302</v>
      </c>
      <c r="I166">
        <v>66.875882051550093</v>
      </c>
      <c r="K166">
        <v>6.2056414783000953E-2</v>
      </c>
      <c r="L166" s="2">
        <f t="shared" si="6"/>
        <v>-0.91830308486536105</v>
      </c>
      <c r="N166">
        <v>67.094779968261719</v>
      </c>
      <c r="O166">
        <v>495.24435424804688</v>
      </c>
      <c r="P166" s="2">
        <f t="shared" si="7"/>
        <v>0.32731967040508303</v>
      </c>
      <c r="Q166" s="2">
        <f t="shared" si="8"/>
        <v>-1.1743695724977496</v>
      </c>
    </row>
    <row r="167" spans="1:17" x14ac:dyDescent="0.3">
      <c r="A167" t="s">
        <v>179</v>
      </c>
      <c r="B167">
        <v>58.2</v>
      </c>
      <c r="C167">
        <v>113.5</v>
      </c>
      <c r="D167">
        <v>1.4681E-2</v>
      </c>
      <c r="E167">
        <v>30.22</v>
      </c>
      <c r="F167">
        <v>1</v>
      </c>
      <c r="G167">
        <v>7.7443830668926197E-2</v>
      </c>
      <c r="H167">
        <v>560.00950913172801</v>
      </c>
      <c r="I167">
        <v>52.238605782069101</v>
      </c>
      <c r="K167">
        <v>7.9286359250545502E-2</v>
      </c>
      <c r="L167" s="2">
        <f t="shared" si="6"/>
        <v>2.3791805825000418</v>
      </c>
      <c r="N167">
        <v>52.804046630859382</v>
      </c>
      <c r="O167">
        <v>552.72088623046875</v>
      </c>
      <c r="P167" s="2">
        <f t="shared" si="7"/>
        <v>1.0824194871302804</v>
      </c>
      <c r="Q167" s="2">
        <f t="shared" si="8"/>
        <v>-1.3015177032547132</v>
      </c>
    </row>
    <row r="168" spans="1:17" x14ac:dyDescent="0.3">
      <c r="A168" t="s">
        <v>180</v>
      </c>
      <c r="B168">
        <v>82.1</v>
      </c>
      <c r="C168">
        <v>122.6</v>
      </c>
      <c r="D168">
        <v>2.1617999999999998E-2</v>
      </c>
      <c r="E168">
        <v>29.13</v>
      </c>
      <c r="F168">
        <v>1</v>
      </c>
      <c r="G168">
        <v>9.7788631916046101E-2</v>
      </c>
      <c r="H168">
        <v>556.94601418019101</v>
      </c>
      <c r="I168">
        <v>81.932931122612402</v>
      </c>
      <c r="K168">
        <v>9.7072996199131012E-2</v>
      </c>
      <c r="L168" s="2">
        <f t="shared" si="6"/>
        <v>-0.73181892710134189</v>
      </c>
      <c r="N168">
        <v>84.183975219726563</v>
      </c>
      <c r="O168">
        <v>548.8516845703125</v>
      </c>
      <c r="P168" s="2">
        <f t="shared" si="7"/>
        <v>2.7474228814607882</v>
      </c>
      <c r="Q168" s="2">
        <f t="shared" si="8"/>
        <v>-1.4533418686536685</v>
      </c>
    </row>
    <row r="169" spans="1:17" x14ac:dyDescent="0.3">
      <c r="A169" t="s">
        <v>181</v>
      </c>
      <c r="B169">
        <v>65.599999999999994</v>
      </c>
      <c r="C169">
        <v>110.2</v>
      </c>
      <c r="D169">
        <v>1.4808999999999999E-2</v>
      </c>
      <c r="E169">
        <v>23.96</v>
      </c>
      <c r="F169">
        <v>1</v>
      </c>
      <c r="G169">
        <v>8.8563583791255895E-2</v>
      </c>
      <c r="H169">
        <v>521.55299821093502</v>
      </c>
      <c r="I169">
        <v>64.1056540065767</v>
      </c>
      <c r="K169">
        <v>9.060843288898468E-2</v>
      </c>
      <c r="L169" s="2">
        <f t="shared" si="6"/>
        <v>2.3089050941620521</v>
      </c>
      <c r="N169">
        <v>62.008594512939453</v>
      </c>
      <c r="O169">
        <v>516.15435791015625</v>
      </c>
      <c r="P169" s="2">
        <f t="shared" si="7"/>
        <v>-3.2712551273903321</v>
      </c>
      <c r="Q169" s="2">
        <f t="shared" si="8"/>
        <v>-1.035108669549889</v>
      </c>
    </row>
    <row r="170" spans="1:17" x14ac:dyDescent="0.3">
      <c r="A170" t="s">
        <v>182</v>
      </c>
      <c r="B170">
        <v>69</v>
      </c>
      <c r="C170">
        <v>108</v>
      </c>
      <c r="D170">
        <v>1.6889000000000001E-2</v>
      </c>
      <c r="E170">
        <v>25.48</v>
      </c>
      <c r="F170">
        <v>1</v>
      </c>
      <c r="G170">
        <v>0.108203522861003</v>
      </c>
      <c r="H170">
        <v>530.16626945821804</v>
      </c>
      <c r="I170">
        <v>68.833766339215501</v>
      </c>
      <c r="K170">
        <v>0.1068323478102684</v>
      </c>
      <c r="L170" s="2">
        <f t="shared" si="6"/>
        <v>-1.2672184920411464</v>
      </c>
      <c r="N170">
        <v>68.588836669921875</v>
      </c>
      <c r="O170">
        <v>525.61627197265625</v>
      </c>
      <c r="P170" s="2">
        <f t="shared" si="7"/>
        <v>-0.35582778964411566</v>
      </c>
      <c r="Q170" s="2">
        <f t="shared" si="8"/>
        <v>-0.8582208540372579</v>
      </c>
    </row>
    <row r="171" spans="1:17" x14ac:dyDescent="0.3">
      <c r="A171" t="s">
        <v>183</v>
      </c>
      <c r="B171">
        <v>42.1</v>
      </c>
      <c r="C171">
        <v>109.1</v>
      </c>
      <c r="D171">
        <v>6.2719999999999998E-3</v>
      </c>
      <c r="E171">
        <v>20</v>
      </c>
      <c r="F171">
        <v>1</v>
      </c>
      <c r="G171">
        <v>3.9836060255765901E-2</v>
      </c>
      <c r="H171">
        <v>497.53092706684902</v>
      </c>
      <c r="I171">
        <v>31.5559582406615</v>
      </c>
      <c r="K171">
        <v>3.9998527616262443E-2</v>
      </c>
      <c r="L171" s="2">
        <f t="shared" si="6"/>
        <v>0.40783993058908524</v>
      </c>
      <c r="N171">
        <v>31.320840835571289</v>
      </c>
      <c r="O171">
        <v>487.87139892578119</v>
      </c>
      <c r="P171" s="2">
        <f t="shared" si="7"/>
        <v>-0.74508086015670383</v>
      </c>
      <c r="Q171" s="2">
        <f t="shared" si="8"/>
        <v>-1.9414930038650553</v>
      </c>
    </row>
    <row r="172" spans="1:17" x14ac:dyDescent="0.3">
      <c r="A172" t="s">
        <v>184</v>
      </c>
      <c r="B172">
        <v>87</v>
      </c>
      <c r="C172">
        <v>130</v>
      </c>
      <c r="D172">
        <v>1.8658999999999999E-2</v>
      </c>
      <c r="E172">
        <v>24.06</v>
      </c>
      <c r="F172">
        <v>1</v>
      </c>
      <c r="G172">
        <v>8.2504510879516602E-2</v>
      </c>
      <c r="H172">
        <v>530.78829180160199</v>
      </c>
      <c r="I172">
        <v>86.818184908053496</v>
      </c>
      <c r="K172">
        <v>8.3212964236736298E-2</v>
      </c>
      <c r="L172" s="2">
        <f t="shared" si="6"/>
        <v>0.85868439151680842</v>
      </c>
      <c r="N172">
        <v>91.462699890136719</v>
      </c>
      <c r="O172">
        <v>526.2120361328125</v>
      </c>
      <c r="P172" s="2">
        <f t="shared" si="7"/>
        <v>5.3497029303274282</v>
      </c>
      <c r="Q172" s="2">
        <f t="shared" si="8"/>
        <v>-0.86216213497414484</v>
      </c>
    </row>
    <row r="173" spans="1:17" x14ac:dyDescent="0.3">
      <c r="A173" t="s">
        <v>185</v>
      </c>
      <c r="B173">
        <v>79.599999999999994</v>
      </c>
      <c r="C173">
        <v>116.4</v>
      </c>
      <c r="D173">
        <v>2.5384E-2</v>
      </c>
      <c r="E173">
        <v>35</v>
      </c>
      <c r="F173">
        <v>1</v>
      </c>
      <c r="G173">
        <v>0.122896403074264</v>
      </c>
      <c r="H173">
        <v>589.62513026576505</v>
      </c>
      <c r="I173">
        <v>80.348060730996593</v>
      </c>
      <c r="K173">
        <v>0.12280987203121189</v>
      </c>
      <c r="L173" s="2">
        <f t="shared" si="6"/>
        <v>-7.0409744213437445E-2</v>
      </c>
      <c r="N173">
        <v>81.663993835449219</v>
      </c>
      <c r="O173">
        <v>581.81341552734375</v>
      </c>
      <c r="P173" s="2">
        <f t="shared" si="7"/>
        <v>1.6377907475058278</v>
      </c>
      <c r="Q173" s="2">
        <f t="shared" si="8"/>
        <v>-1.3248612274887746</v>
      </c>
    </row>
    <row r="174" spans="1:17" x14ac:dyDescent="0.3">
      <c r="A174" t="s">
        <v>186</v>
      </c>
      <c r="B174">
        <v>70.2</v>
      </c>
      <c r="C174">
        <v>100</v>
      </c>
      <c r="D174">
        <v>2.2356999999999998E-2</v>
      </c>
      <c r="E174">
        <v>33.58</v>
      </c>
      <c r="F174">
        <v>1.07</v>
      </c>
      <c r="G174">
        <v>0.21874411404132801</v>
      </c>
      <c r="H174">
        <v>592.42554576751002</v>
      </c>
      <c r="I174">
        <v>74.209961370664701</v>
      </c>
      <c r="K174">
        <v>0.1488078385591507</v>
      </c>
      <c r="L174" s="2">
        <f t="shared" si="6"/>
        <v>-31.971729062828196</v>
      </c>
      <c r="N174">
        <v>72.121124267578125</v>
      </c>
      <c r="O174">
        <v>587.00213623046875</v>
      </c>
      <c r="P174" s="2">
        <f t="shared" si="7"/>
        <v>-2.8147664606011986</v>
      </c>
      <c r="Q174" s="2">
        <f t="shared" si="8"/>
        <v>-0.91545841933859062</v>
      </c>
    </row>
    <row r="175" spans="1:17" x14ac:dyDescent="0.3">
      <c r="A175" t="s">
        <v>187</v>
      </c>
      <c r="B175">
        <v>49.3</v>
      </c>
      <c r="C175">
        <v>121.7</v>
      </c>
      <c r="D175">
        <v>9.7210000000000005E-3</v>
      </c>
      <c r="E175">
        <v>27.15</v>
      </c>
      <c r="F175">
        <v>1.1100000000000001</v>
      </c>
      <c r="G175">
        <v>4.4910453259944902E-2</v>
      </c>
      <c r="H175">
        <v>564.11665465120598</v>
      </c>
      <c r="I175">
        <v>40.1675085877988</v>
      </c>
      <c r="K175">
        <v>4.5509178191423423E-2</v>
      </c>
      <c r="L175" s="2">
        <f t="shared" si="6"/>
        <v>1.3331527250750703</v>
      </c>
      <c r="N175">
        <v>40.167900085449219</v>
      </c>
      <c r="O175">
        <v>559.82867431640625</v>
      </c>
      <c r="P175" s="2">
        <f t="shared" si="7"/>
        <v>9.7466251750064081E-4</v>
      </c>
      <c r="Q175" s="2">
        <f t="shared" si="8"/>
        <v>-0.76012298155795277</v>
      </c>
    </row>
    <row r="176" spans="1:17" x14ac:dyDescent="0.3">
      <c r="A176" t="s">
        <v>188</v>
      </c>
      <c r="B176">
        <v>54.9</v>
      </c>
      <c r="C176">
        <v>115.7</v>
      </c>
      <c r="D176">
        <v>1.376E-2</v>
      </c>
      <c r="E176">
        <v>31.72</v>
      </c>
      <c r="F176">
        <v>1</v>
      </c>
      <c r="G176">
        <v>6.8513303995132405E-2</v>
      </c>
      <c r="H176">
        <v>569.70581898556998</v>
      </c>
      <c r="I176">
        <v>47.203238944875999</v>
      </c>
      <c r="K176">
        <v>6.8791769444942474E-2</v>
      </c>
      <c r="L176" s="2">
        <f t="shared" si="6"/>
        <v>0.40643996650614533</v>
      </c>
      <c r="N176">
        <v>47.493217468261719</v>
      </c>
      <c r="O176">
        <v>562.7039794921875</v>
      </c>
      <c r="P176" s="2">
        <f t="shared" si="7"/>
        <v>0.61431912272875477</v>
      </c>
      <c r="Q176" s="2">
        <f t="shared" si="8"/>
        <v>-1.2290272031712961</v>
      </c>
    </row>
    <row r="177" spans="1:17" x14ac:dyDescent="0.3">
      <c r="A177" t="s">
        <v>189</v>
      </c>
      <c r="B177">
        <v>76</v>
      </c>
      <c r="C177">
        <v>121.5</v>
      </c>
      <c r="D177">
        <v>1.9878E-2</v>
      </c>
      <c r="E177">
        <v>29.49</v>
      </c>
      <c r="F177">
        <v>1</v>
      </c>
      <c r="G177">
        <v>9.0919442474842002E-2</v>
      </c>
      <c r="H177">
        <v>558.595426463747</v>
      </c>
      <c r="I177">
        <v>74.482198091732997</v>
      </c>
      <c r="K177">
        <v>9.3137897551059723E-2</v>
      </c>
      <c r="L177" s="2">
        <f t="shared" si="6"/>
        <v>2.4400227452247978</v>
      </c>
      <c r="N177">
        <v>76.564361572265625</v>
      </c>
      <c r="O177">
        <v>553.70428466796875</v>
      </c>
      <c r="P177" s="2">
        <f t="shared" si="7"/>
        <v>2.795518303539076</v>
      </c>
      <c r="Q177" s="2">
        <f t="shared" si="8"/>
        <v>-0.87561436489772082</v>
      </c>
    </row>
    <row r="178" spans="1:17" x14ac:dyDescent="0.3">
      <c r="A178" t="s">
        <v>190</v>
      </c>
      <c r="B178">
        <v>78.099999999999994</v>
      </c>
      <c r="C178">
        <v>117.3</v>
      </c>
      <c r="D178">
        <v>2.1486999999999999E-2</v>
      </c>
      <c r="E178">
        <v>29.74</v>
      </c>
      <c r="F178">
        <v>1</v>
      </c>
      <c r="G178">
        <v>0.10456342250108699</v>
      </c>
      <c r="H178">
        <v>558.38601050663306</v>
      </c>
      <c r="I178">
        <v>78.448814175155306</v>
      </c>
      <c r="K178">
        <v>0.104063093662262</v>
      </c>
      <c r="L178" s="2">
        <f t="shared" si="6"/>
        <v>-0.47849317367149946</v>
      </c>
      <c r="N178">
        <v>78.840591430664063</v>
      </c>
      <c r="O178">
        <v>550.15618896484375</v>
      </c>
      <c r="P178" s="2">
        <f t="shared" si="7"/>
        <v>0.49940494273632025</v>
      </c>
      <c r="Q178" s="2">
        <f t="shared" si="8"/>
        <v>-1.4738588336628007</v>
      </c>
    </row>
    <row r="179" spans="1:17" x14ac:dyDescent="0.3">
      <c r="A179" t="s">
        <v>191</v>
      </c>
      <c r="B179">
        <v>75.3</v>
      </c>
      <c r="C179">
        <v>119.8</v>
      </c>
      <c r="D179">
        <v>1.8223E-2</v>
      </c>
      <c r="E179">
        <v>26.4</v>
      </c>
      <c r="F179">
        <v>1</v>
      </c>
      <c r="G179">
        <v>8.6701214313506997E-2</v>
      </c>
      <c r="H179">
        <v>539.31949386692099</v>
      </c>
      <c r="I179">
        <v>74.663911713580205</v>
      </c>
      <c r="K179">
        <v>8.7747849524021149E-2</v>
      </c>
      <c r="L179" s="2">
        <f t="shared" si="6"/>
        <v>1.2071748000317208</v>
      </c>
      <c r="N179">
        <v>77.338912963867188</v>
      </c>
      <c r="O179">
        <v>536.02288818359375</v>
      </c>
      <c r="P179" s="2">
        <f t="shared" si="7"/>
        <v>3.5827231508424187</v>
      </c>
      <c r="Q179" s="2">
        <f t="shared" si="8"/>
        <v>-0.61125283265594188</v>
      </c>
    </row>
    <row r="180" spans="1:17" x14ac:dyDescent="0.3">
      <c r="A180" t="s">
        <v>192</v>
      </c>
      <c r="B180">
        <v>47.2</v>
      </c>
      <c r="C180">
        <v>114.1</v>
      </c>
      <c r="D180">
        <v>7.8050000000000003E-3</v>
      </c>
      <c r="E180">
        <v>20.99</v>
      </c>
      <c r="F180">
        <v>1</v>
      </c>
      <c r="G180">
        <v>4.2773932218551601E-2</v>
      </c>
      <c r="H180">
        <v>504.81124127383902</v>
      </c>
      <c r="I180">
        <v>38.351758534940998</v>
      </c>
      <c r="K180">
        <v>4.1309256106615073E-2</v>
      </c>
      <c r="L180" s="2">
        <f t="shared" si="6"/>
        <v>-3.4242260086185832</v>
      </c>
      <c r="N180">
        <v>37.433563232421882</v>
      </c>
      <c r="O180">
        <v>499.457275390625</v>
      </c>
      <c r="P180" s="2">
        <f t="shared" si="7"/>
        <v>-2.3941413317008124</v>
      </c>
      <c r="Q180" s="2">
        <f t="shared" si="8"/>
        <v>-1.0605876901044906</v>
      </c>
    </row>
    <row r="181" spans="1:17" x14ac:dyDescent="0.3">
      <c r="A181" t="s">
        <v>193</v>
      </c>
      <c r="B181">
        <v>68.900000000000006</v>
      </c>
      <c r="C181">
        <v>109.3</v>
      </c>
      <c r="D181">
        <v>2.1760000000000002E-2</v>
      </c>
      <c r="E181">
        <v>35</v>
      </c>
      <c r="F181">
        <v>1</v>
      </c>
      <c r="G181">
        <v>0.127936601638793</v>
      </c>
      <c r="H181">
        <v>587.57726543475599</v>
      </c>
      <c r="I181">
        <v>67.261731307293502</v>
      </c>
      <c r="K181">
        <v>0.1202161833643913</v>
      </c>
      <c r="L181" s="2">
        <f t="shared" si="6"/>
        <v>-6.034565695436382</v>
      </c>
      <c r="N181">
        <v>68.268081665039063</v>
      </c>
      <c r="O181">
        <v>579.95501708984375</v>
      </c>
      <c r="P181" s="2">
        <f t="shared" si="7"/>
        <v>1.4961707618674356</v>
      </c>
      <c r="Q181" s="2">
        <f t="shared" si="8"/>
        <v>-1.2972333671338419</v>
      </c>
    </row>
    <row r="182" spans="1:17" x14ac:dyDescent="0.3">
      <c r="A182" t="s">
        <v>194</v>
      </c>
      <c r="B182">
        <v>86</v>
      </c>
      <c r="C182">
        <v>118.2</v>
      </c>
      <c r="D182">
        <v>2.2950999999999999E-2</v>
      </c>
      <c r="E182">
        <v>27.81</v>
      </c>
      <c r="F182">
        <v>1</v>
      </c>
      <c r="G182">
        <v>0.11110499501228301</v>
      </c>
      <c r="H182">
        <v>547.14221555156098</v>
      </c>
      <c r="I182">
        <v>89.5167297907538</v>
      </c>
      <c r="K182">
        <v>0.1078370362520218</v>
      </c>
      <c r="L182" s="2">
        <f t="shared" si="6"/>
        <v>-2.9413247891329455</v>
      </c>
      <c r="N182">
        <v>91.915153503417969</v>
      </c>
      <c r="O182">
        <v>537.419677734375</v>
      </c>
      <c r="P182" s="2">
        <f t="shared" si="7"/>
        <v>2.6793022022481234</v>
      </c>
      <c r="Q182" s="2">
        <f t="shared" si="8"/>
        <v>-1.7769672200096867</v>
      </c>
    </row>
    <row r="183" spans="1:17" x14ac:dyDescent="0.3">
      <c r="A183" t="s">
        <v>195</v>
      </c>
      <c r="B183">
        <v>43</v>
      </c>
      <c r="C183">
        <v>124.1</v>
      </c>
      <c r="D183">
        <v>6.6680000000000003E-3</v>
      </c>
      <c r="E183">
        <v>23.48</v>
      </c>
      <c r="F183">
        <v>1</v>
      </c>
      <c r="G183">
        <v>3.0728867277503E-2</v>
      </c>
      <c r="H183">
        <v>523.78872231641401</v>
      </c>
      <c r="I183">
        <v>31.1809918167917</v>
      </c>
      <c r="K183">
        <v>2.9764298349618908E-2</v>
      </c>
      <c r="L183" s="2">
        <f t="shared" si="6"/>
        <v>-3.1389667545287776</v>
      </c>
      <c r="N183">
        <v>29.45927619934082</v>
      </c>
      <c r="O183">
        <v>517.2843017578125</v>
      </c>
      <c r="P183" s="2">
        <f t="shared" si="7"/>
        <v>-5.5216832984885844</v>
      </c>
      <c r="Q183" s="2">
        <f t="shared" si="8"/>
        <v>-1.2418023301143686</v>
      </c>
    </row>
    <row r="184" spans="1:17" x14ac:dyDescent="0.3">
      <c r="A184" t="s">
        <v>196</v>
      </c>
      <c r="B184">
        <v>44.2</v>
      </c>
      <c r="C184">
        <v>100</v>
      </c>
      <c r="D184">
        <v>1.1164E-2</v>
      </c>
      <c r="E184">
        <v>35</v>
      </c>
      <c r="F184">
        <v>1.1200000000000001</v>
      </c>
      <c r="G184">
        <v>0.108804814517498</v>
      </c>
      <c r="H184">
        <v>612.651201734643</v>
      </c>
      <c r="I184">
        <v>35.606594132961199</v>
      </c>
      <c r="K184">
        <v>0.1035180166363716</v>
      </c>
      <c r="L184" s="2">
        <f t="shared" si="6"/>
        <v>-4.8589742141200754</v>
      </c>
      <c r="N184">
        <v>35.925418853759773</v>
      </c>
      <c r="O184">
        <v>608.0921630859375</v>
      </c>
      <c r="P184" s="2">
        <f t="shared" si="7"/>
        <v>0.89540920316059192</v>
      </c>
      <c r="Q184" s="2">
        <f t="shared" si="8"/>
        <v>-0.74414913996694443</v>
      </c>
    </row>
    <row r="185" spans="1:17" x14ac:dyDescent="0.3">
      <c r="A185" t="s">
        <v>197</v>
      </c>
      <c r="B185">
        <v>40.799999999999997</v>
      </c>
      <c r="C185">
        <v>104</v>
      </c>
      <c r="D185">
        <v>9.4739999999999998E-3</v>
      </c>
      <c r="E185">
        <v>35</v>
      </c>
      <c r="F185">
        <v>1</v>
      </c>
      <c r="G185">
        <v>7.0731781423091805E-2</v>
      </c>
      <c r="H185">
        <v>586.53572004223599</v>
      </c>
      <c r="I185">
        <v>29.4277128086764</v>
      </c>
      <c r="K185">
        <v>7.2913780808448792E-2</v>
      </c>
      <c r="L185" s="2">
        <f t="shared" si="6"/>
        <v>3.0848924506864308</v>
      </c>
      <c r="N185">
        <v>28.54234504699707</v>
      </c>
      <c r="O185">
        <v>580.90789794921875</v>
      </c>
      <c r="P185" s="2">
        <f t="shared" si="7"/>
        <v>-3.008619009691742</v>
      </c>
      <c r="Q185" s="2">
        <f t="shared" si="8"/>
        <v>-0.95950202190788791</v>
      </c>
    </row>
    <row r="186" spans="1:17" x14ac:dyDescent="0.3">
      <c r="A186" t="s">
        <v>198</v>
      </c>
      <c r="B186">
        <v>61.2</v>
      </c>
      <c r="C186">
        <v>130</v>
      </c>
      <c r="D186">
        <v>1.0904E-2</v>
      </c>
      <c r="E186">
        <v>22.47</v>
      </c>
      <c r="F186">
        <v>1</v>
      </c>
      <c r="G186">
        <v>4.8707317560911102E-2</v>
      </c>
      <c r="H186">
        <v>521.24829180160202</v>
      </c>
      <c r="I186">
        <v>54.075280767462601</v>
      </c>
      <c r="K186">
        <v>5.5537212640047073E-2</v>
      </c>
      <c r="L186" s="2">
        <f t="shared" si="6"/>
        <v>14.0223182493982</v>
      </c>
      <c r="N186">
        <v>55.62933349609375</v>
      </c>
      <c r="O186">
        <v>514.54815673828125</v>
      </c>
      <c r="P186" s="2">
        <f t="shared" si="7"/>
        <v>2.8738689962868045</v>
      </c>
      <c r="Q186" s="2">
        <f t="shared" si="8"/>
        <v>-1.2854018264813774</v>
      </c>
    </row>
    <row r="187" spans="1:17" x14ac:dyDescent="0.3">
      <c r="A187" t="s">
        <v>199</v>
      </c>
      <c r="B187">
        <v>78.900000000000006</v>
      </c>
      <c r="C187">
        <v>115.7</v>
      </c>
      <c r="D187">
        <v>2.1842E-2</v>
      </c>
      <c r="E187">
        <v>29.43</v>
      </c>
      <c r="F187">
        <v>1</v>
      </c>
      <c r="G187">
        <v>0.109870858490467</v>
      </c>
      <c r="H187">
        <v>555.96581898556997</v>
      </c>
      <c r="I187">
        <v>80.042558197243693</v>
      </c>
      <c r="K187">
        <v>0.10888034105300901</v>
      </c>
      <c r="L187" s="2">
        <f t="shared" si="6"/>
        <v>-0.90152880487771869</v>
      </c>
      <c r="N187">
        <v>80.464683532714844</v>
      </c>
      <c r="O187">
        <v>548.5426025390625</v>
      </c>
      <c r="P187" s="2">
        <f t="shared" si="7"/>
        <v>0.52737611712875865</v>
      </c>
      <c r="Q187" s="2">
        <f t="shared" si="8"/>
        <v>-1.3351929548568409</v>
      </c>
    </row>
    <row r="188" spans="1:17" x14ac:dyDescent="0.3">
      <c r="A188" t="s">
        <v>200</v>
      </c>
      <c r="B188">
        <v>70.900000000000006</v>
      </c>
      <c r="C188">
        <v>107.5</v>
      </c>
      <c r="D188">
        <v>2.0063000000000001E-2</v>
      </c>
      <c r="E188">
        <v>29.97</v>
      </c>
      <c r="F188">
        <v>1</v>
      </c>
      <c r="G188">
        <v>0.12867200374603199</v>
      </c>
      <c r="H188">
        <v>557.00067789070999</v>
      </c>
      <c r="I188">
        <v>71.808911504390807</v>
      </c>
      <c r="K188">
        <v>0.1156139522790909</v>
      </c>
      <c r="L188" s="2">
        <f t="shared" si="6"/>
        <v>-10.148323712059847</v>
      </c>
      <c r="N188">
        <v>72.229866027832031</v>
      </c>
      <c r="O188">
        <v>549.45489501953125</v>
      </c>
      <c r="P188" s="2">
        <f t="shared" si="7"/>
        <v>0.58621487865818034</v>
      </c>
      <c r="Q188" s="2">
        <f t="shared" si="8"/>
        <v>-1.3547169995831343</v>
      </c>
    </row>
    <row r="189" spans="1:17" x14ac:dyDescent="0.3">
      <c r="A189" t="s">
        <v>201</v>
      </c>
      <c r="B189">
        <v>72</v>
      </c>
      <c r="C189">
        <v>115.4</v>
      </c>
      <c r="D189">
        <v>1.7930999999999999E-2</v>
      </c>
      <c r="E189">
        <v>26.84</v>
      </c>
      <c r="F189">
        <v>1</v>
      </c>
      <c r="G189">
        <v>9.2020817101001698E-2</v>
      </c>
      <c r="H189">
        <v>540.325941461139</v>
      </c>
      <c r="I189">
        <v>70.999957215906093</v>
      </c>
      <c r="K189">
        <v>9.3301355838775635E-2</v>
      </c>
      <c r="L189" s="2">
        <f t="shared" si="6"/>
        <v>1.3915750567270255</v>
      </c>
      <c r="N189">
        <v>71.405647277832031</v>
      </c>
      <c r="O189">
        <v>532.3651123046875</v>
      </c>
      <c r="P189" s="2">
        <f t="shared" si="7"/>
        <v>0.57139479773524637</v>
      </c>
      <c r="Q189" s="2">
        <f t="shared" si="8"/>
        <v>-1.473338321481285</v>
      </c>
    </row>
    <row r="190" spans="1:17" x14ac:dyDescent="0.3">
      <c r="A190" t="s">
        <v>202</v>
      </c>
      <c r="B190">
        <v>83.5</v>
      </c>
      <c r="C190">
        <v>122.7</v>
      </c>
      <c r="D190">
        <v>2.1918E-2</v>
      </c>
      <c r="E190">
        <v>28.84</v>
      </c>
      <c r="F190">
        <v>1</v>
      </c>
      <c r="G190">
        <v>9.9133722484111703E-2</v>
      </c>
      <c r="H190">
        <v>555.25382991590595</v>
      </c>
      <c r="I190">
        <v>84.668918796575895</v>
      </c>
      <c r="K190">
        <v>9.7892433404922485E-2</v>
      </c>
      <c r="L190" s="2">
        <f t="shared" si="6"/>
        <v>-1.2521360522784366</v>
      </c>
      <c r="N190">
        <v>86.051467895507813</v>
      </c>
      <c r="O190">
        <v>546.79833984375</v>
      </c>
      <c r="P190" s="2">
        <f t="shared" si="7"/>
        <v>1.6328885718425279</v>
      </c>
      <c r="Q190" s="2">
        <f t="shared" si="8"/>
        <v>-1.5228152633249825</v>
      </c>
    </row>
    <row r="191" spans="1:17" x14ac:dyDescent="0.3">
      <c r="A191" t="s">
        <v>203</v>
      </c>
      <c r="B191">
        <v>73.2</v>
      </c>
      <c r="C191">
        <v>110.5</v>
      </c>
      <c r="D191">
        <v>1.9175000000000001E-2</v>
      </c>
      <c r="E191">
        <v>27.35</v>
      </c>
      <c r="F191">
        <v>1</v>
      </c>
      <c r="G191">
        <v>0.111617401242256</v>
      </c>
      <c r="H191">
        <v>541.96756648041605</v>
      </c>
      <c r="I191">
        <v>73.5359910807842</v>
      </c>
      <c r="K191">
        <v>0.10774741321802141</v>
      </c>
      <c r="L191" s="2">
        <f t="shared" si="6"/>
        <v>-3.4671905824389464</v>
      </c>
      <c r="N191">
        <v>74.1805419921875</v>
      </c>
      <c r="O191">
        <v>534.95538330078125</v>
      </c>
      <c r="P191" s="2">
        <f t="shared" si="7"/>
        <v>0.87651081046180213</v>
      </c>
      <c r="Q191" s="2">
        <f t="shared" si="8"/>
        <v>-1.2938381580972684</v>
      </c>
    </row>
    <row r="192" spans="1:17" x14ac:dyDescent="0.3">
      <c r="A192" t="s">
        <v>204</v>
      </c>
      <c r="B192">
        <v>45.8</v>
      </c>
      <c r="C192">
        <v>110.8</v>
      </c>
      <c r="D192">
        <v>9.953E-3</v>
      </c>
      <c r="E192">
        <v>29.79</v>
      </c>
      <c r="F192">
        <v>1</v>
      </c>
      <c r="G192">
        <v>5.6771308183670002E-2</v>
      </c>
      <c r="H192">
        <v>556.68348305032498</v>
      </c>
      <c r="I192">
        <v>35.563322643150897</v>
      </c>
      <c r="K192">
        <v>5.7326909154653549E-2</v>
      </c>
      <c r="L192" s="2">
        <f t="shared" si="6"/>
        <v>0.97866508410557085</v>
      </c>
      <c r="N192">
        <v>35.0345458984375</v>
      </c>
      <c r="O192">
        <v>552.348388671875</v>
      </c>
      <c r="P192" s="2">
        <f t="shared" si="7"/>
        <v>-1.4868597909684735</v>
      </c>
      <c r="Q192" s="2">
        <f t="shared" si="8"/>
        <v>-0.77873594429207837</v>
      </c>
    </row>
    <row r="193" spans="1:17" x14ac:dyDescent="0.3">
      <c r="A193" t="s">
        <v>205</v>
      </c>
      <c r="B193">
        <v>57.3</v>
      </c>
      <c r="C193">
        <v>111.6</v>
      </c>
      <c r="D193">
        <v>1.1265000000000001E-2</v>
      </c>
      <c r="E193">
        <v>22.04</v>
      </c>
      <c r="F193">
        <v>1</v>
      </c>
      <c r="G193">
        <v>6.5357714891433702E-2</v>
      </c>
      <c r="H193">
        <v>510.39261243844197</v>
      </c>
      <c r="I193">
        <v>52.593535918971497</v>
      </c>
      <c r="K193">
        <v>6.2979176640510559E-2</v>
      </c>
      <c r="L193" s="2">
        <f t="shared" si="6"/>
        <v>-3.6392616462710707</v>
      </c>
      <c r="N193">
        <v>51.18487548828125</v>
      </c>
      <c r="O193">
        <v>505.83346557617188</v>
      </c>
      <c r="P193" s="2">
        <f t="shared" si="7"/>
        <v>-2.6783908061639119</v>
      </c>
      <c r="Q193" s="2">
        <f t="shared" si="8"/>
        <v>-0.89326270623087678</v>
      </c>
    </row>
    <row r="194" spans="1:17" x14ac:dyDescent="0.3">
      <c r="A194" t="s">
        <v>206</v>
      </c>
      <c r="B194">
        <v>76.900000000000006</v>
      </c>
      <c r="C194">
        <v>116.5</v>
      </c>
      <c r="D194">
        <v>2.2608E-2</v>
      </c>
      <c r="E194">
        <v>32.25</v>
      </c>
      <c r="F194">
        <v>1</v>
      </c>
      <c r="G194">
        <v>0.110523149371147</v>
      </c>
      <c r="H194">
        <v>573.16004323744005</v>
      </c>
      <c r="I194">
        <v>76.294240087250202</v>
      </c>
      <c r="K194">
        <v>0.110998772084713</v>
      </c>
      <c r="L194" s="2">
        <f t="shared" si="6"/>
        <v>0.43033764082202158</v>
      </c>
      <c r="N194">
        <v>77.416107177734375</v>
      </c>
      <c r="O194">
        <v>565.77947998046875</v>
      </c>
      <c r="P194" s="2">
        <f t="shared" si="7"/>
        <v>1.4704479515114171</v>
      </c>
      <c r="Q194" s="2">
        <f t="shared" si="8"/>
        <v>-1.2876967513790545</v>
      </c>
    </row>
    <row r="195" spans="1:17" x14ac:dyDescent="0.3">
      <c r="A195" t="s">
        <v>207</v>
      </c>
      <c r="B195">
        <v>62.6</v>
      </c>
      <c r="C195">
        <v>110.8</v>
      </c>
      <c r="D195">
        <v>1.8800000000000001E-2</v>
      </c>
      <c r="E195">
        <v>35</v>
      </c>
      <c r="F195">
        <v>1</v>
      </c>
      <c r="G195">
        <v>0.105093799531459</v>
      </c>
      <c r="H195">
        <v>587.94348305032497</v>
      </c>
      <c r="I195">
        <v>58.489831216870698</v>
      </c>
      <c r="K195">
        <v>0.1016235575079918</v>
      </c>
      <c r="L195" s="2">
        <f t="shared" si="6"/>
        <v>-3.3020425933200834</v>
      </c>
      <c r="N195">
        <v>59.506874084472663</v>
      </c>
      <c r="O195">
        <v>580.41998291015625</v>
      </c>
      <c r="P195" s="2">
        <f t="shared" si="7"/>
        <v>1.7388370703805542</v>
      </c>
      <c r="Q195" s="2">
        <f t="shared" si="8"/>
        <v>-1.2796298210732524</v>
      </c>
    </row>
    <row r="196" spans="1:17" x14ac:dyDescent="0.3">
      <c r="A196" t="s">
        <v>208</v>
      </c>
      <c r="B196">
        <v>79</v>
      </c>
      <c r="C196">
        <v>114.9</v>
      </c>
      <c r="D196">
        <v>2.5395000000000001E-2</v>
      </c>
      <c r="E196">
        <v>35</v>
      </c>
      <c r="F196">
        <v>1</v>
      </c>
      <c r="G196">
        <v>0.126968294382095</v>
      </c>
      <c r="H196">
        <v>589.12299333356395</v>
      </c>
      <c r="I196">
        <v>79.330515047109799</v>
      </c>
      <c r="K196">
        <v>0.12599782645702359</v>
      </c>
      <c r="L196" s="2">
        <f t="shared" si="6"/>
        <v>-0.7643387900847991</v>
      </c>
      <c r="N196">
        <v>81.591888427734375</v>
      </c>
      <c r="O196">
        <v>581.42572021484375</v>
      </c>
      <c r="P196" s="2">
        <f t="shared" si="7"/>
        <v>2.8505719133194551</v>
      </c>
      <c r="Q196" s="2">
        <f t="shared" si="8"/>
        <v>-1.3065647081885285</v>
      </c>
    </row>
    <row r="197" spans="1:17" x14ac:dyDescent="0.3">
      <c r="A197" t="s">
        <v>209</v>
      </c>
      <c r="B197">
        <v>43</v>
      </c>
      <c r="C197">
        <v>111.9</v>
      </c>
      <c r="D197">
        <v>6.4929999999999996E-3</v>
      </c>
      <c r="E197">
        <v>20.21</v>
      </c>
      <c r="F197">
        <v>1</v>
      </c>
      <c r="G197">
        <v>3.7810567766427897E-2</v>
      </c>
      <c r="H197">
        <v>499.49357910599298</v>
      </c>
      <c r="I197">
        <v>32.790117796474398</v>
      </c>
      <c r="K197">
        <v>3.6833997815847397E-2</v>
      </c>
      <c r="L197" s="2">
        <f t="shared" si="6"/>
        <v>-2.5827963140177936</v>
      </c>
      <c r="N197">
        <v>31.787347793579102</v>
      </c>
      <c r="O197">
        <v>490.49505615234381</v>
      </c>
      <c r="P197" s="2">
        <f t="shared" si="7"/>
        <v>-3.0581469975783815</v>
      </c>
      <c r="Q197" s="2">
        <f t="shared" si="8"/>
        <v>-1.8015292548414676</v>
      </c>
    </row>
    <row r="198" spans="1:17" x14ac:dyDescent="0.3">
      <c r="A198" t="s">
        <v>210</v>
      </c>
      <c r="B198">
        <v>45.9</v>
      </c>
      <c r="C198">
        <v>113.8</v>
      </c>
      <c r="D198">
        <v>7.1739999999999998E-3</v>
      </c>
      <c r="E198">
        <v>20</v>
      </c>
      <c r="F198">
        <v>1</v>
      </c>
      <c r="G198">
        <v>3.9909288287162697E-2</v>
      </c>
      <c r="H198">
        <v>498.77962600710902</v>
      </c>
      <c r="I198">
        <v>36.809237350783903</v>
      </c>
      <c r="K198">
        <v>3.7885792553424842E-2</v>
      </c>
      <c r="L198" s="2">
        <f t="shared" si="6"/>
        <v>-5.0702375827351878</v>
      </c>
      <c r="N198">
        <v>36.087627410888672</v>
      </c>
      <c r="O198">
        <v>490.96044921875</v>
      </c>
      <c r="P198" s="2">
        <f t="shared" si="7"/>
        <v>-1.9604044849352558</v>
      </c>
      <c r="Q198" s="2">
        <f t="shared" si="8"/>
        <v>-1.5676616246244932</v>
      </c>
    </row>
    <row r="199" spans="1:17" x14ac:dyDescent="0.3">
      <c r="A199" t="s">
        <v>211</v>
      </c>
      <c r="B199">
        <v>41.8</v>
      </c>
      <c r="C199">
        <v>110.7</v>
      </c>
      <c r="D199">
        <v>6.7260000000000002E-3</v>
      </c>
      <c r="E199">
        <v>22.52</v>
      </c>
      <c r="F199">
        <v>1</v>
      </c>
      <c r="G199">
        <v>3.9946135133504798E-2</v>
      </c>
      <c r="H199">
        <v>513.03802696960099</v>
      </c>
      <c r="I199">
        <v>30.555816868564001</v>
      </c>
      <c r="K199">
        <v>4.1676647961139679E-2</v>
      </c>
      <c r="L199" s="2">
        <f t="shared" si="6"/>
        <v>4.3321157900540275</v>
      </c>
      <c r="N199">
        <v>29.630777359008789</v>
      </c>
      <c r="O199">
        <v>505.4356689453125</v>
      </c>
      <c r="P199" s="2">
        <f t="shared" si="7"/>
        <v>-3.0273761409628621</v>
      </c>
      <c r="Q199" s="2">
        <f t="shared" si="8"/>
        <v>-1.4818312921546757</v>
      </c>
    </row>
    <row r="200" spans="1:17" x14ac:dyDescent="0.3">
      <c r="A200" t="s">
        <v>212</v>
      </c>
      <c r="B200">
        <v>41.7</v>
      </c>
      <c r="C200">
        <v>109.8</v>
      </c>
      <c r="D200">
        <v>9.6299999999999997E-3</v>
      </c>
      <c r="E200">
        <v>35</v>
      </c>
      <c r="F200">
        <v>1</v>
      </c>
      <c r="G200">
        <v>5.5636953562498002E-2</v>
      </c>
      <c r="H200">
        <v>587.69565066174096</v>
      </c>
      <c r="I200">
        <v>29.809835087470301</v>
      </c>
      <c r="K200">
        <v>5.5855173617601388E-2</v>
      </c>
      <c r="L200" s="2">
        <f t="shared" si="6"/>
        <v>0.39222143041720409</v>
      </c>
      <c r="N200">
        <v>29.50222206115723</v>
      </c>
      <c r="O200">
        <v>584.94842529296875</v>
      </c>
      <c r="P200" s="2">
        <f t="shared" si="7"/>
        <v>-1.0319179069942823</v>
      </c>
      <c r="Q200" s="2">
        <f t="shared" si="8"/>
        <v>-0.46745715502213614</v>
      </c>
    </row>
    <row r="201" spans="1:17" x14ac:dyDescent="0.3">
      <c r="A201" t="s">
        <v>213</v>
      </c>
      <c r="B201">
        <v>46.9</v>
      </c>
      <c r="C201">
        <v>108.9</v>
      </c>
      <c r="D201">
        <v>9.9030000000000003E-3</v>
      </c>
      <c r="E201">
        <v>27.79</v>
      </c>
      <c r="F201">
        <v>1</v>
      </c>
      <c r="G201">
        <v>6.0717515647411298E-2</v>
      </c>
      <c r="H201">
        <v>544.22516423299601</v>
      </c>
      <c r="I201">
        <v>37.552173521555602</v>
      </c>
      <c r="K201">
        <v>6.3228338956832886E-2</v>
      </c>
      <c r="L201" s="2">
        <f t="shared" ref="L201:L264" si="9">(K201-G201)/G201*100</f>
        <v>4.1352536951643826</v>
      </c>
      <c r="N201">
        <v>37.223724365234382</v>
      </c>
      <c r="O201">
        <v>542.20318603515625</v>
      </c>
      <c r="P201" s="2">
        <f t="shared" ref="P201:P257" si="10">(N201-I201)/I201*100</f>
        <v>-0.87464752508316035</v>
      </c>
      <c r="Q201" s="2">
        <f t="shared" ref="Q201:Q257" si="11">(O201-H201)/H201*100</f>
        <v>-0.37153338925248591</v>
      </c>
    </row>
    <row r="202" spans="1:17" x14ac:dyDescent="0.3">
      <c r="A202" t="s">
        <v>214</v>
      </c>
      <c r="B202">
        <v>49</v>
      </c>
      <c r="C202">
        <v>130</v>
      </c>
      <c r="D202">
        <v>7.7809999999999997E-3</v>
      </c>
      <c r="E202">
        <v>22.89</v>
      </c>
      <c r="F202">
        <v>1</v>
      </c>
      <c r="G202">
        <v>3.4661844372749301E-2</v>
      </c>
      <c r="H202">
        <v>523.768291801602</v>
      </c>
      <c r="I202">
        <v>37.853527011329497</v>
      </c>
      <c r="K202">
        <v>3.6043368279933929E-2</v>
      </c>
      <c r="L202" s="2">
        <f t="shared" si="9"/>
        <v>3.9857195489307689</v>
      </c>
      <c r="N202">
        <v>37.982387542724609</v>
      </c>
      <c r="O202">
        <v>517.409912109375</v>
      </c>
      <c r="P202" s="2">
        <f t="shared" si="10"/>
        <v>0.34041882373746729</v>
      </c>
      <c r="Q202" s="2">
        <f t="shared" si="11"/>
        <v>-1.2139680449834278</v>
      </c>
    </row>
    <row r="203" spans="1:17" x14ac:dyDescent="0.3">
      <c r="A203" t="s">
        <v>215</v>
      </c>
      <c r="B203">
        <v>52.8</v>
      </c>
      <c r="C203">
        <v>117.8</v>
      </c>
      <c r="D203">
        <v>1.0069E-2</v>
      </c>
      <c r="E203">
        <v>23.66</v>
      </c>
      <c r="F203">
        <v>1</v>
      </c>
      <c r="G203">
        <v>5.0304260104894603E-2</v>
      </c>
      <c r="H203">
        <v>522.09086458363595</v>
      </c>
      <c r="I203">
        <v>45.358262770870297</v>
      </c>
      <c r="K203">
        <v>4.9540750682353973E-2</v>
      </c>
      <c r="L203" s="2">
        <f t="shared" si="9"/>
        <v>-1.517782829821088</v>
      </c>
      <c r="N203">
        <v>43.484840393066413</v>
      </c>
      <c r="O203">
        <v>517.7965087890625</v>
      </c>
      <c r="P203" s="2">
        <f t="shared" si="10"/>
        <v>-4.1302780648094428</v>
      </c>
      <c r="Q203" s="2">
        <f t="shared" si="11"/>
        <v>-0.82253034593856922</v>
      </c>
    </row>
    <row r="204" spans="1:17" x14ac:dyDescent="0.3">
      <c r="A204" t="s">
        <v>216</v>
      </c>
      <c r="B204">
        <v>45.6</v>
      </c>
      <c r="C204">
        <v>105.8</v>
      </c>
      <c r="D204">
        <v>1.1582E-2</v>
      </c>
      <c r="E204">
        <v>35</v>
      </c>
      <c r="F204">
        <v>1</v>
      </c>
      <c r="G204">
        <v>7.8728720545768696E-2</v>
      </c>
      <c r="H204">
        <v>586.84718872675796</v>
      </c>
      <c r="I204">
        <v>35.893428984729901</v>
      </c>
      <c r="K204">
        <v>7.8929446637630463E-2</v>
      </c>
      <c r="L204" s="2">
        <f t="shared" si="9"/>
        <v>0.25495916924634254</v>
      </c>
      <c r="N204">
        <v>35.254470825195313</v>
      </c>
      <c r="O204">
        <v>581.263427734375</v>
      </c>
      <c r="P204" s="2">
        <f t="shared" si="10"/>
        <v>-1.7801535757601203</v>
      </c>
      <c r="Q204" s="2">
        <f t="shared" si="11"/>
        <v>-0.95148466238675622</v>
      </c>
    </row>
    <row r="205" spans="1:17" x14ac:dyDescent="0.3">
      <c r="A205" t="s">
        <v>217</v>
      </c>
      <c r="B205">
        <v>59.8</v>
      </c>
      <c r="C205">
        <v>117.6</v>
      </c>
      <c r="D205">
        <v>1.3372E-2</v>
      </c>
      <c r="E205">
        <v>26.49</v>
      </c>
      <c r="F205">
        <v>1</v>
      </c>
      <c r="G205">
        <v>6.5884858369827201E-2</v>
      </c>
      <c r="H205">
        <v>538.99634954123997</v>
      </c>
      <c r="I205">
        <v>54.263907397111403</v>
      </c>
      <c r="K205">
        <v>6.8074986338615417E-2</v>
      </c>
      <c r="L205" s="2">
        <f t="shared" si="9"/>
        <v>3.3241749667192315</v>
      </c>
      <c r="N205">
        <v>53.546798706054688</v>
      </c>
      <c r="O205">
        <v>533.29052734375</v>
      </c>
      <c r="P205" s="2">
        <f t="shared" si="10"/>
        <v>-1.3215205565806507</v>
      </c>
      <c r="Q205" s="2">
        <f t="shared" si="11"/>
        <v>-1.0586012692565367</v>
      </c>
    </row>
    <row r="206" spans="1:17" x14ac:dyDescent="0.3">
      <c r="A206" t="s">
        <v>218</v>
      </c>
      <c r="B206">
        <v>77.8</v>
      </c>
      <c r="C206">
        <v>127.8</v>
      </c>
      <c r="D206">
        <v>1.7516E-2</v>
      </c>
      <c r="E206">
        <v>26.03</v>
      </c>
      <c r="F206">
        <v>1</v>
      </c>
      <c r="G206">
        <v>7.7219352126121493E-2</v>
      </c>
      <c r="H206">
        <v>541.17430980423705</v>
      </c>
      <c r="I206">
        <v>75.522710178634796</v>
      </c>
      <c r="K206">
        <v>8.3108410239219666E-2</v>
      </c>
      <c r="L206" s="2">
        <f t="shared" si="9"/>
        <v>7.6264018681219197</v>
      </c>
      <c r="N206">
        <v>77.963592529296875</v>
      </c>
      <c r="O206">
        <v>536.531982421875</v>
      </c>
      <c r="P206" s="2">
        <f t="shared" si="10"/>
        <v>3.2319845843569839</v>
      </c>
      <c r="Q206" s="2">
        <f t="shared" si="11"/>
        <v>-0.85782478921465399</v>
      </c>
    </row>
    <row r="207" spans="1:17" x14ac:dyDescent="0.3">
      <c r="A207" t="s">
        <v>219</v>
      </c>
      <c r="B207">
        <v>83.7</v>
      </c>
      <c r="C207">
        <v>115.7</v>
      </c>
      <c r="D207">
        <v>2.5829000000000001E-2</v>
      </c>
      <c r="E207">
        <v>32.799999999999997</v>
      </c>
      <c r="F207">
        <v>1</v>
      </c>
      <c r="G207">
        <v>0.12797297537326799</v>
      </c>
      <c r="H207">
        <v>576.18581898557102</v>
      </c>
      <c r="I207">
        <v>86.055362988721896</v>
      </c>
      <c r="K207">
        <v>0.12899778783321381</v>
      </c>
      <c r="L207" s="2">
        <f t="shared" si="9"/>
        <v>0.80080380795763584</v>
      </c>
      <c r="N207">
        <v>87.5</v>
      </c>
      <c r="O207">
        <v>569.83538818359375</v>
      </c>
      <c r="P207" s="2">
        <f t="shared" si="10"/>
        <v>1.6787297863904576</v>
      </c>
      <c r="Q207" s="2">
        <f t="shared" si="11"/>
        <v>-1.1021497913915679</v>
      </c>
    </row>
    <row r="208" spans="1:17" x14ac:dyDescent="0.3">
      <c r="A208" t="s">
        <v>224</v>
      </c>
      <c r="B208">
        <v>41.3</v>
      </c>
      <c r="C208">
        <v>108.5</v>
      </c>
      <c r="D208">
        <v>9.5180000000000004E-3</v>
      </c>
      <c r="E208">
        <v>35</v>
      </c>
      <c r="F208">
        <v>1</v>
      </c>
      <c r="G208">
        <v>5.7635474950075101E-2</v>
      </c>
      <c r="H208">
        <v>587.39535247708102</v>
      </c>
      <c r="I208">
        <v>29.484443087758098</v>
      </c>
      <c r="K208">
        <v>5.8243479579687119E-2</v>
      </c>
      <c r="L208" s="2">
        <f t="shared" si="9"/>
        <v>1.054913887911364</v>
      </c>
      <c r="N208">
        <v>28.778104782104489</v>
      </c>
      <c r="O208">
        <v>583.1944580078125</v>
      </c>
      <c r="P208" s="2">
        <f t="shared" si="10"/>
        <v>-2.3956304806275295</v>
      </c>
      <c r="Q208" s="2">
        <f t="shared" si="11"/>
        <v>-0.7151732562324673</v>
      </c>
    </row>
    <row r="209" spans="1:17" x14ac:dyDescent="0.3">
      <c r="A209" t="s">
        <v>225</v>
      </c>
      <c r="B209">
        <v>44.2</v>
      </c>
      <c r="C209">
        <v>130</v>
      </c>
      <c r="D209">
        <v>6.705E-3</v>
      </c>
      <c r="E209">
        <v>23.89</v>
      </c>
      <c r="F209">
        <v>1</v>
      </c>
      <c r="G209">
        <v>2.9671631753444599E-2</v>
      </c>
      <c r="H209">
        <v>529.768291801602</v>
      </c>
      <c r="I209">
        <v>31.389519416497699</v>
      </c>
      <c r="K209">
        <v>2.9564350843429569E-2</v>
      </c>
      <c r="L209" s="2">
        <f t="shared" si="9"/>
        <v>-0.36156053332852367</v>
      </c>
      <c r="N209">
        <v>31.479421615600589</v>
      </c>
      <c r="O209">
        <v>525.3055419921875</v>
      </c>
      <c r="P209" s="2">
        <f t="shared" si="10"/>
        <v>0.28640833238001157</v>
      </c>
      <c r="Q209" s="2">
        <f t="shared" si="11"/>
        <v>-0.8423965492985378</v>
      </c>
    </row>
    <row r="210" spans="1:17" x14ac:dyDescent="0.3">
      <c r="A210" t="s">
        <v>226</v>
      </c>
      <c r="B210">
        <v>54.2</v>
      </c>
      <c r="C210">
        <v>109.7</v>
      </c>
      <c r="D210">
        <v>1.3906999999999999E-2</v>
      </c>
      <c r="E210">
        <v>31.52</v>
      </c>
      <c r="F210">
        <v>1</v>
      </c>
      <c r="G210">
        <v>8.1645458936691201E-2</v>
      </c>
      <c r="H210">
        <v>566.79168175847099</v>
      </c>
      <c r="I210">
        <v>47.2489249835157</v>
      </c>
      <c r="K210">
        <v>8.2408115267753601E-2</v>
      </c>
      <c r="L210" s="2">
        <f t="shared" si="9"/>
        <v>0.93410747026821461</v>
      </c>
      <c r="N210">
        <v>47.226753234863281</v>
      </c>
      <c r="O210">
        <v>557.73681640625</v>
      </c>
      <c r="P210" s="2">
        <f t="shared" si="10"/>
        <v>-4.69254034036833E-2</v>
      </c>
      <c r="Q210" s="2">
        <f t="shared" si="11"/>
        <v>-1.5975649685133468</v>
      </c>
    </row>
    <row r="211" spans="1:17" x14ac:dyDescent="0.3">
      <c r="A211" t="s">
        <v>227</v>
      </c>
      <c r="B211">
        <v>52.6</v>
      </c>
      <c r="C211">
        <v>130</v>
      </c>
      <c r="D211">
        <v>8.8319999999999996E-3</v>
      </c>
      <c r="E211">
        <v>23.19</v>
      </c>
      <c r="F211">
        <v>1.04</v>
      </c>
      <c r="G211">
        <v>3.9275035262107801E-2</v>
      </c>
      <c r="H211">
        <v>531.76048730048296</v>
      </c>
      <c r="I211">
        <v>42.943290392569203</v>
      </c>
      <c r="K211">
        <v>4.3143268674612052E-2</v>
      </c>
      <c r="L211" s="2">
        <f t="shared" si="9"/>
        <v>9.8490895977279695</v>
      </c>
      <c r="N211">
        <v>43.478782653808587</v>
      </c>
      <c r="O211">
        <v>526.05859375</v>
      </c>
      <c r="P211" s="2">
        <f t="shared" si="10"/>
        <v>1.2469753862457724</v>
      </c>
      <c r="Q211" s="2">
        <f t="shared" si="11"/>
        <v>-1.0722672493830825</v>
      </c>
    </row>
    <row r="212" spans="1:17" x14ac:dyDescent="0.3">
      <c r="A212" t="s">
        <v>228</v>
      </c>
      <c r="B212">
        <v>67.900000000000006</v>
      </c>
      <c r="C212">
        <v>116.9</v>
      </c>
      <c r="D212">
        <v>1.4848E-2</v>
      </c>
      <c r="E212">
        <v>23.76</v>
      </c>
      <c r="F212">
        <v>1</v>
      </c>
      <c r="G212">
        <v>7.5326308608055101E-2</v>
      </c>
      <c r="H212">
        <v>522.36153667950396</v>
      </c>
      <c r="I212">
        <v>65.973714173834097</v>
      </c>
      <c r="K212">
        <v>7.5962066650390625E-2</v>
      </c>
      <c r="L212" s="2">
        <f t="shared" si="9"/>
        <v>0.84400530715444977</v>
      </c>
      <c r="N212">
        <v>65.76483154296875</v>
      </c>
      <c r="O212">
        <v>515.35137939453125</v>
      </c>
      <c r="P212" s="2">
        <f t="shared" si="10"/>
        <v>-0.31661493290337112</v>
      </c>
      <c r="Q212" s="2">
        <f t="shared" si="11"/>
        <v>-1.3420125320738927</v>
      </c>
    </row>
    <row r="213" spans="1:17" x14ac:dyDescent="0.3">
      <c r="A213" t="s">
        <v>229</v>
      </c>
      <c r="B213">
        <v>57.6</v>
      </c>
      <c r="C213">
        <v>110.8</v>
      </c>
      <c r="D213">
        <v>1.4902E-2</v>
      </c>
      <c r="E213">
        <v>30.77</v>
      </c>
      <c r="F213">
        <v>1</v>
      </c>
      <c r="G213">
        <v>8.4617994725704193E-2</v>
      </c>
      <c r="H213">
        <v>562.563483050326</v>
      </c>
      <c r="I213">
        <v>51.756186270573799</v>
      </c>
      <c r="K213">
        <v>8.6595170199871063E-2</v>
      </c>
      <c r="L213" s="2">
        <f t="shared" si="9"/>
        <v>2.3365898477930589</v>
      </c>
      <c r="N213">
        <v>52.337150573730469</v>
      </c>
      <c r="O213">
        <v>555.2154541015625</v>
      </c>
      <c r="P213" s="2">
        <f t="shared" si="10"/>
        <v>1.1225021490561005</v>
      </c>
      <c r="Q213" s="2">
        <f t="shared" si="11"/>
        <v>-1.3061688449668101</v>
      </c>
    </row>
    <row r="214" spans="1:17" x14ac:dyDescent="0.3">
      <c r="A214" t="s">
        <v>230</v>
      </c>
      <c r="B214">
        <v>56.3</v>
      </c>
      <c r="C214">
        <v>115.4</v>
      </c>
      <c r="D214">
        <v>1.1128000000000001E-2</v>
      </c>
      <c r="E214">
        <v>23.13</v>
      </c>
      <c r="F214">
        <v>1</v>
      </c>
      <c r="G214">
        <v>5.8418635278940201E-2</v>
      </c>
      <c r="H214">
        <v>518.065941461139</v>
      </c>
      <c r="I214">
        <v>50.705817984341699</v>
      </c>
      <c r="K214">
        <v>5.7914961129426963E-2</v>
      </c>
      <c r="L214" s="2">
        <f t="shared" si="9"/>
        <v>-0.86218061601108853</v>
      </c>
      <c r="N214">
        <v>48.974254608154297</v>
      </c>
      <c r="O214">
        <v>514.529541015625</v>
      </c>
      <c r="P214" s="2">
        <f t="shared" si="10"/>
        <v>-3.4149205062072383</v>
      </c>
      <c r="Q214" s="2">
        <f t="shared" si="11"/>
        <v>-0.68261589162569491</v>
      </c>
    </row>
    <row r="215" spans="1:17" x14ac:dyDescent="0.3">
      <c r="A215" t="s">
        <v>231</v>
      </c>
      <c r="B215">
        <v>62.6</v>
      </c>
      <c r="C215">
        <v>117.8</v>
      </c>
      <c r="D215">
        <v>1.4149999999999999E-2</v>
      </c>
      <c r="E215">
        <v>26.15</v>
      </c>
      <c r="F215">
        <v>1</v>
      </c>
      <c r="G215">
        <v>6.9584906101226807E-2</v>
      </c>
      <c r="H215">
        <v>537.03086458363498</v>
      </c>
      <c r="I215">
        <v>57.685588057282303</v>
      </c>
      <c r="K215">
        <v>7.2797104716300964E-2</v>
      </c>
      <c r="L215" s="2">
        <f t="shared" si="9"/>
        <v>4.6162290000094224</v>
      </c>
      <c r="N215">
        <v>57.549121856689453</v>
      </c>
      <c r="O215">
        <v>531.48846435546875</v>
      </c>
      <c r="P215" s="2">
        <f t="shared" si="10"/>
        <v>-0.23656896841779138</v>
      </c>
      <c r="Q215" s="2">
        <f t="shared" si="11"/>
        <v>-1.0320450077787062</v>
      </c>
    </row>
    <row r="216" spans="1:17" x14ac:dyDescent="0.3">
      <c r="A216" t="s">
        <v>232</v>
      </c>
      <c r="B216">
        <v>74.900000000000006</v>
      </c>
      <c r="C216">
        <v>116.7</v>
      </c>
      <c r="D216">
        <v>2.0469000000000001E-2</v>
      </c>
      <c r="E216">
        <v>29.9</v>
      </c>
      <c r="F216">
        <v>1</v>
      </c>
      <c r="G216">
        <v>0.10073869675397799</v>
      </c>
      <c r="H216">
        <v>559.13042025039294</v>
      </c>
      <c r="I216">
        <v>74.478572655332599</v>
      </c>
      <c r="K216">
        <v>0.1008006706833839</v>
      </c>
      <c r="L216" s="2">
        <f t="shared" si="9"/>
        <v>6.1519486952722614E-2</v>
      </c>
      <c r="N216">
        <v>74.379531860351563</v>
      </c>
      <c r="O216">
        <v>552.14508056640625</v>
      </c>
      <c r="P216" s="2">
        <f t="shared" si="10"/>
        <v>-0.13297891118210747</v>
      </c>
      <c r="Q216" s="2">
        <f t="shared" si="11"/>
        <v>-1.2493220599334376</v>
      </c>
    </row>
    <row r="217" spans="1:17" x14ac:dyDescent="0.3">
      <c r="A217" t="s">
        <v>233</v>
      </c>
      <c r="B217">
        <v>54.2</v>
      </c>
      <c r="C217">
        <v>117.3</v>
      </c>
      <c r="D217">
        <v>1.0123E-2</v>
      </c>
      <c r="E217">
        <v>22.46</v>
      </c>
      <c r="F217">
        <v>1</v>
      </c>
      <c r="G217">
        <v>5.1428388804197298E-2</v>
      </c>
      <c r="H217">
        <v>514.70601050663299</v>
      </c>
      <c r="I217">
        <v>46.926942545337297</v>
      </c>
      <c r="K217">
        <v>5.0448082387447357E-2</v>
      </c>
      <c r="L217" s="2">
        <f t="shared" si="9"/>
        <v>-1.9061581347264243</v>
      </c>
      <c r="N217">
        <v>45.865009307861328</v>
      </c>
      <c r="O217">
        <v>509.35818481445313</v>
      </c>
      <c r="P217" s="2">
        <f t="shared" si="10"/>
        <v>-2.2629499811329259</v>
      </c>
      <c r="Q217" s="2">
        <f t="shared" si="11"/>
        <v>-1.0390058757844931</v>
      </c>
    </row>
    <row r="218" spans="1:17" x14ac:dyDescent="0.3">
      <c r="A218" t="s">
        <v>234</v>
      </c>
      <c r="B218">
        <v>61.3</v>
      </c>
      <c r="C218">
        <v>126.7</v>
      </c>
      <c r="D218">
        <v>1.4343E-2</v>
      </c>
      <c r="E218">
        <v>30.53</v>
      </c>
      <c r="F218">
        <v>1</v>
      </c>
      <c r="G218">
        <v>6.2231078743934597E-2</v>
      </c>
      <c r="H218">
        <v>567.51397059512601</v>
      </c>
      <c r="I218">
        <v>53.306973792073997</v>
      </c>
      <c r="K218">
        <v>6.8494513630867004E-2</v>
      </c>
      <c r="L218" s="2">
        <f t="shared" si="9"/>
        <v>10.064802046425845</v>
      </c>
      <c r="N218">
        <v>53.173725128173828</v>
      </c>
      <c r="O218">
        <v>559.588134765625</v>
      </c>
      <c r="P218" s="2">
        <f t="shared" si="10"/>
        <v>-0.24996478775912218</v>
      </c>
      <c r="Q218" s="2">
        <f t="shared" si="11"/>
        <v>-1.3965886727316243</v>
      </c>
    </row>
    <row r="219" spans="1:17" x14ac:dyDescent="0.3">
      <c r="A219" t="s">
        <v>235</v>
      </c>
      <c r="B219">
        <v>68.900000000000006</v>
      </c>
      <c r="C219">
        <v>103.7</v>
      </c>
      <c r="D219">
        <v>1.7840000000000002E-2</v>
      </c>
      <c r="E219">
        <v>26.76</v>
      </c>
      <c r="F219">
        <v>1</v>
      </c>
      <c r="G219">
        <v>0.13855789601802801</v>
      </c>
      <c r="H219">
        <v>537.04785470374702</v>
      </c>
      <c r="I219">
        <v>70.438001039895695</v>
      </c>
      <c r="K219">
        <v>0.1193316504359245</v>
      </c>
      <c r="L219" s="2">
        <f t="shared" si="9"/>
        <v>-13.875965307384536</v>
      </c>
      <c r="N219">
        <v>69.855133056640625</v>
      </c>
      <c r="O219">
        <v>530.554443359375</v>
      </c>
      <c r="P219" s="2">
        <f t="shared" si="10"/>
        <v>-0.82749080702181954</v>
      </c>
      <c r="Q219" s="2">
        <f t="shared" si="11"/>
        <v>-1.2090936194045494</v>
      </c>
    </row>
    <row r="220" spans="1:17" x14ac:dyDescent="0.3">
      <c r="A220" t="s">
        <v>236</v>
      </c>
      <c r="B220">
        <v>72.900000000000006</v>
      </c>
      <c r="C220">
        <v>119.7</v>
      </c>
      <c r="D220">
        <v>1.9691E-2</v>
      </c>
      <c r="E220">
        <v>30.67</v>
      </c>
      <c r="F220">
        <v>1</v>
      </c>
      <c r="G220">
        <v>9.1698057949542999E-2</v>
      </c>
      <c r="H220">
        <v>564.89813076697101</v>
      </c>
      <c r="I220">
        <v>70.3441494545376</v>
      </c>
      <c r="K220">
        <v>9.4315372407436371E-2</v>
      </c>
      <c r="L220" s="2">
        <f t="shared" si="9"/>
        <v>2.8542746884929153</v>
      </c>
      <c r="N220">
        <v>72.079391479492188</v>
      </c>
      <c r="O220">
        <v>558.49212646484375</v>
      </c>
      <c r="P220" s="2">
        <f t="shared" si="10"/>
        <v>2.4667894038239084</v>
      </c>
      <c r="Q220" s="2">
        <f t="shared" si="11"/>
        <v>-1.1340105327361814</v>
      </c>
    </row>
    <row r="221" spans="1:17" x14ac:dyDescent="0.3">
      <c r="A221" t="s">
        <v>237</v>
      </c>
      <c r="B221">
        <v>75.599999999999994</v>
      </c>
      <c r="C221">
        <v>130</v>
      </c>
      <c r="D221">
        <v>1.3925E-2</v>
      </c>
      <c r="E221">
        <v>20.85</v>
      </c>
      <c r="F221">
        <v>2</v>
      </c>
      <c r="G221">
        <v>6.3180834054946899E-2</v>
      </c>
      <c r="H221">
        <v>652.29317927358898</v>
      </c>
      <c r="I221">
        <v>93.768380216044093</v>
      </c>
      <c r="K221">
        <v>6.7666821181774139E-2</v>
      </c>
      <c r="L221" s="2">
        <f t="shared" si="9"/>
        <v>7.1002341041048647</v>
      </c>
      <c r="N221">
        <v>94.341133117675781</v>
      </c>
      <c r="O221">
        <v>650.2403564453125</v>
      </c>
      <c r="P221" s="2">
        <f t="shared" si="10"/>
        <v>0.61081667435446207</v>
      </c>
      <c r="Q221" s="2">
        <f t="shared" si="11"/>
        <v>-0.31470861470030298</v>
      </c>
    </row>
    <row r="222" spans="1:17" x14ac:dyDescent="0.3">
      <c r="A222" t="s">
        <v>238</v>
      </c>
      <c r="B222">
        <v>67.5</v>
      </c>
      <c r="C222">
        <v>121.6</v>
      </c>
      <c r="D222">
        <v>1.6603E-2</v>
      </c>
      <c r="E222">
        <v>28.96</v>
      </c>
      <c r="F222">
        <v>1</v>
      </c>
      <c r="G222">
        <v>7.6046377420425401E-2</v>
      </c>
      <c r="H222">
        <v>555.46069710050699</v>
      </c>
      <c r="I222">
        <v>63.515201755925503</v>
      </c>
      <c r="K222">
        <v>8.2673795521259308E-2</v>
      </c>
      <c r="L222" s="2">
        <f t="shared" si="9"/>
        <v>8.7149688461739139</v>
      </c>
      <c r="N222">
        <v>64.459815979003906</v>
      </c>
      <c r="O222">
        <v>549.37939453125</v>
      </c>
      <c r="P222" s="2">
        <f t="shared" si="10"/>
        <v>1.4872254152767101</v>
      </c>
      <c r="Q222" s="2">
        <f t="shared" si="11"/>
        <v>-1.0948213979857191</v>
      </c>
    </row>
    <row r="223" spans="1:17" x14ac:dyDescent="0.3">
      <c r="A223" t="s">
        <v>239</v>
      </c>
      <c r="B223">
        <v>66.5</v>
      </c>
      <c r="C223">
        <v>110.7</v>
      </c>
      <c r="D223">
        <v>1.5311E-2</v>
      </c>
      <c r="E223">
        <v>24.46</v>
      </c>
      <c r="F223">
        <v>1</v>
      </c>
      <c r="G223">
        <v>8.98923650383949E-2</v>
      </c>
      <c r="H223">
        <v>524.67802696960098</v>
      </c>
      <c r="I223">
        <v>65.292128356108805</v>
      </c>
      <c r="K223">
        <v>9.2036418616771698E-2</v>
      </c>
      <c r="L223" s="2">
        <f t="shared" si="9"/>
        <v>2.3851342407789895</v>
      </c>
      <c r="N223">
        <v>63.098552703857422</v>
      </c>
      <c r="O223">
        <v>518.98162841796875</v>
      </c>
      <c r="P223" s="2">
        <f t="shared" si="10"/>
        <v>-3.3596326348674608</v>
      </c>
      <c r="Q223" s="2">
        <f t="shared" si="11"/>
        <v>-1.0856941321772311</v>
      </c>
    </row>
    <row r="224" spans="1:17" x14ac:dyDescent="0.3">
      <c r="A224" t="s">
        <v>240</v>
      </c>
      <c r="B224">
        <v>80.8</v>
      </c>
      <c r="C224">
        <v>121.5</v>
      </c>
      <c r="D224">
        <v>2.1780000000000001E-2</v>
      </c>
      <c r="E224">
        <v>29.8</v>
      </c>
      <c r="F224">
        <v>1</v>
      </c>
      <c r="G224">
        <v>9.9383279681205694E-2</v>
      </c>
      <c r="H224">
        <v>560.45542646374702</v>
      </c>
      <c r="I224">
        <v>81.019331512333295</v>
      </c>
      <c r="K224">
        <v>9.9103018641471863E-2</v>
      </c>
      <c r="L224" s="2">
        <f t="shared" si="9"/>
        <v>-0.28200019221828038</v>
      </c>
      <c r="N224">
        <v>82.559730529785156</v>
      </c>
      <c r="O224">
        <v>552.3189697265625</v>
      </c>
      <c r="P224" s="2">
        <f t="shared" si="10"/>
        <v>1.9012734228958323</v>
      </c>
      <c r="Q224" s="2">
        <f t="shared" si="11"/>
        <v>-1.4517580440825337</v>
      </c>
    </row>
    <row r="225" spans="1:17" x14ac:dyDescent="0.3">
      <c r="A225" t="s">
        <v>241</v>
      </c>
      <c r="B225">
        <v>61.4</v>
      </c>
      <c r="C225">
        <v>108.7</v>
      </c>
      <c r="D225">
        <v>1.4023000000000001E-2</v>
      </c>
      <c r="E225">
        <v>25.03</v>
      </c>
      <c r="F225">
        <v>1</v>
      </c>
      <c r="G225">
        <v>8.7722770869731903E-2</v>
      </c>
      <c r="H225">
        <v>527.619973748441</v>
      </c>
      <c r="I225">
        <v>58.289541414131897</v>
      </c>
      <c r="K225">
        <v>8.9876338839530945E-2</v>
      </c>
      <c r="L225" s="2">
        <f t="shared" si="9"/>
        <v>2.4549702984155446</v>
      </c>
      <c r="N225">
        <v>56.480682373046882</v>
      </c>
      <c r="O225">
        <v>524.71881103515625</v>
      </c>
      <c r="P225" s="2">
        <f t="shared" si="10"/>
        <v>-3.103230866466328</v>
      </c>
      <c r="Q225" s="2">
        <f t="shared" si="11"/>
        <v>-0.54985839384995805</v>
      </c>
    </row>
    <row r="226" spans="1:17" x14ac:dyDescent="0.3">
      <c r="A226" t="s">
        <v>242</v>
      </c>
      <c r="B226">
        <v>67.3</v>
      </c>
      <c r="C226">
        <v>110.1</v>
      </c>
      <c r="D226">
        <v>1.4923000000000001E-2</v>
      </c>
      <c r="E226">
        <v>23.08</v>
      </c>
      <c r="F226">
        <v>1</v>
      </c>
      <c r="G226">
        <v>8.9983999729156494E-2</v>
      </c>
      <c r="H226">
        <v>516.24843967725803</v>
      </c>
      <c r="I226">
        <v>66.764674833210293</v>
      </c>
      <c r="K226">
        <v>9.2096827924251556E-2</v>
      </c>
      <c r="L226" s="2">
        <f t="shared" si="9"/>
        <v>2.3480043134940431</v>
      </c>
      <c r="N226">
        <v>65.600883483886719</v>
      </c>
      <c r="O226">
        <v>510.92584228515619</v>
      </c>
      <c r="P226" s="2">
        <f t="shared" si="10"/>
        <v>-1.7431244175620211</v>
      </c>
      <c r="Q226" s="2">
        <f t="shared" si="11"/>
        <v>-1.0310147175320001</v>
      </c>
    </row>
    <row r="227" spans="1:17" x14ac:dyDescent="0.3">
      <c r="A227" t="s">
        <v>243</v>
      </c>
      <c r="B227">
        <v>57.3</v>
      </c>
      <c r="C227">
        <v>116.1</v>
      </c>
      <c r="D227">
        <v>1.4200000000000001E-2</v>
      </c>
      <c r="E227">
        <v>30.5</v>
      </c>
      <c r="F227">
        <v>1</v>
      </c>
      <c r="G227">
        <v>7.0498064160346902E-2</v>
      </c>
      <c r="H227">
        <v>562.52148522849495</v>
      </c>
      <c r="I227">
        <v>50.501514731402402</v>
      </c>
      <c r="K227">
        <v>7.296057790517807E-2</v>
      </c>
      <c r="L227" s="2">
        <f t="shared" si="9"/>
        <v>3.4930232115738868</v>
      </c>
      <c r="N227">
        <v>50.823444366455078</v>
      </c>
      <c r="O227">
        <v>554.95404052734375</v>
      </c>
      <c r="P227" s="2">
        <f t="shared" si="10"/>
        <v>0.63746530527825285</v>
      </c>
      <c r="Q227" s="2">
        <f t="shared" si="11"/>
        <v>-1.3452721184644749</v>
      </c>
    </row>
    <row r="228" spans="1:17" x14ac:dyDescent="0.3">
      <c r="A228" t="s">
        <v>244</v>
      </c>
      <c r="B228">
        <v>71.400000000000006</v>
      </c>
      <c r="C228">
        <v>109.2</v>
      </c>
      <c r="D228">
        <v>1.7769E-2</v>
      </c>
      <c r="E228">
        <v>25.76</v>
      </c>
      <c r="F228">
        <v>1</v>
      </c>
      <c r="G228">
        <v>0.108842365443706</v>
      </c>
      <c r="H228">
        <v>532.11402410808296</v>
      </c>
      <c r="I228">
        <v>71.759783796632902</v>
      </c>
      <c r="K228">
        <v>0.10724345594644551</v>
      </c>
      <c r="L228" s="2">
        <f t="shared" si="9"/>
        <v>-1.4690139181948034</v>
      </c>
      <c r="N228">
        <v>72.039207458496094</v>
      </c>
      <c r="O228">
        <v>526.4012451171875</v>
      </c>
      <c r="P228" s="2">
        <f t="shared" si="10"/>
        <v>0.38938754700693845</v>
      </c>
      <c r="Q228" s="2">
        <f t="shared" si="11"/>
        <v>-1.0736005314783958</v>
      </c>
    </row>
    <row r="229" spans="1:17" x14ac:dyDescent="0.3">
      <c r="A229" t="s">
        <v>245</v>
      </c>
      <c r="B229">
        <v>47.6</v>
      </c>
      <c r="C229">
        <v>123.3</v>
      </c>
      <c r="D229">
        <v>8.5839999999999996E-3</v>
      </c>
      <c r="E229">
        <v>25.45</v>
      </c>
      <c r="F229">
        <v>1</v>
      </c>
      <c r="G229">
        <v>3.93234603106975E-2</v>
      </c>
      <c r="H229">
        <v>535.20575540887398</v>
      </c>
      <c r="I229">
        <v>37.0050027313833</v>
      </c>
      <c r="K229">
        <v>3.9102479815483093E-2</v>
      </c>
      <c r="L229" s="2">
        <f t="shared" si="9"/>
        <v>-0.56195587435191086</v>
      </c>
      <c r="N229">
        <v>35.849189758300781</v>
      </c>
      <c r="O229">
        <v>530.2552490234375</v>
      </c>
      <c r="P229" s="2">
        <f t="shared" si="10"/>
        <v>-3.1233965349833461</v>
      </c>
      <c r="Q229" s="2">
        <f t="shared" si="11"/>
        <v>-0.92497256156270424</v>
      </c>
    </row>
    <row r="230" spans="1:17" x14ac:dyDescent="0.3">
      <c r="A230" t="s">
        <v>246</v>
      </c>
      <c r="B230">
        <v>65</v>
      </c>
      <c r="C230">
        <v>125.1</v>
      </c>
      <c r="D230">
        <v>1.2808E-2</v>
      </c>
      <c r="E230">
        <v>23.18</v>
      </c>
      <c r="F230">
        <v>1</v>
      </c>
      <c r="G230">
        <v>5.8590158820152199E-2</v>
      </c>
      <c r="H230">
        <v>522.515355760739</v>
      </c>
      <c r="I230">
        <v>60.181443004566397</v>
      </c>
      <c r="K230">
        <v>6.5398216247558594E-2</v>
      </c>
      <c r="L230" s="2">
        <f t="shared" si="9"/>
        <v>11.619796847290248</v>
      </c>
      <c r="N230">
        <v>60.703521728515618</v>
      </c>
      <c r="O230">
        <v>516.42218017578125</v>
      </c>
      <c r="P230" s="2">
        <f t="shared" si="10"/>
        <v>0.86750781949446965</v>
      </c>
      <c r="Q230" s="2">
        <f t="shared" si="11"/>
        <v>-1.1661237354616287</v>
      </c>
    </row>
    <row r="231" spans="1:17" x14ac:dyDescent="0.3">
      <c r="A231" t="s">
        <v>247</v>
      </c>
      <c r="B231">
        <v>75.7</v>
      </c>
      <c r="C231">
        <v>120.1</v>
      </c>
      <c r="D231">
        <v>1.874E-2</v>
      </c>
      <c r="E231">
        <v>27.17</v>
      </c>
      <c r="F231">
        <v>1</v>
      </c>
      <c r="G231">
        <v>8.8356614112854004E-2</v>
      </c>
      <c r="H231">
        <v>544.06484234104801</v>
      </c>
      <c r="I231">
        <v>74.855734597803107</v>
      </c>
      <c r="K231">
        <v>8.9654766023159027E-2</v>
      </c>
      <c r="L231" s="2">
        <f t="shared" si="9"/>
        <v>1.469218714794742</v>
      </c>
      <c r="N231">
        <v>77.643455505371094</v>
      </c>
      <c r="O231">
        <v>540.693359375</v>
      </c>
      <c r="P231" s="2">
        <f t="shared" si="10"/>
        <v>3.7241247080752076</v>
      </c>
      <c r="Q231" s="2">
        <f t="shared" si="11"/>
        <v>-0.61968403463471478</v>
      </c>
    </row>
    <row r="232" spans="1:17" x14ac:dyDescent="0.3">
      <c r="A232" t="s">
        <v>248</v>
      </c>
      <c r="B232">
        <v>46.5</v>
      </c>
      <c r="C232">
        <v>130</v>
      </c>
      <c r="D232">
        <v>7.417E-3</v>
      </c>
      <c r="E232">
        <v>24.22</v>
      </c>
      <c r="F232">
        <v>1.08</v>
      </c>
      <c r="G232">
        <v>3.2778698951005901E-2</v>
      </c>
      <c r="H232">
        <v>544.62708279936203</v>
      </c>
      <c r="I232">
        <v>35.065123558195701</v>
      </c>
      <c r="K232">
        <v>3.4145120531320572E-2</v>
      </c>
      <c r="L232" s="2">
        <f t="shared" si="9"/>
        <v>4.1686266509755381</v>
      </c>
      <c r="N232">
        <v>35.262733459472663</v>
      </c>
      <c r="O232">
        <v>539.52789306640625</v>
      </c>
      <c r="P232" s="2">
        <f t="shared" si="10"/>
        <v>0.56355113350449137</v>
      </c>
      <c r="Q232" s="2">
        <f t="shared" si="11"/>
        <v>-0.93627178926654586</v>
      </c>
    </row>
    <row r="233" spans="1:17" x14ac:dyDescent="0.3">
      <c r="A233" t="s">
        <v>249</v>
      </c>
      <c r="B233">
        <v>87.3</v>
      </c>
      <c r="C233">
        <v>112.1</v>
      </c>
      <c r="D233">
        <v>2.4296000000000002E-2</v>
      </c>
      <c r="E233">
        <v>27.71</v>
      </c>
      <c r="F233">
        <v>1</v>
      </c>
      <c r="G233">
        <v>0.13463413715362499</v>
      </c>
      <c r="H233">
        <v>544.54833802656503</v>
      </c>
      <c r="I233">
        <v>93.174766563059507</v>
      </c>
      <c r="K233">
        <v>0.12621223926544189</v>
      </c>
      <c r="L233" s="2">
        <f t="shared" si="9"/>
        <v>-6.2553955974577553</v>
      </c>
      <c r="N233">
        <v>94.408576965332031</v>
      </c>
      <c r="O233">
        <v>535.07659912109375</v>
      </c>
      <c r="P233" s="2">
        <f t="shared" si="10"/>
        <v>1.3241894214325693</v>
      </c>
      <c r="Q233" s="2">
        <f t="shared" si="11"/>
        <v>-1.7393752297172962</v>
      </c>
    </row>
    <row r="234" spans="1:17" x14ac:dyDescent="0.3">
      <c r="A234" t="s">
        <v>250</v>
      </c>
      <c r="B234">
        <v>57.3</v>
      </c>
      <c r="C234">
        <v>109.5</v>
      </c>
      <c r="D234">
        <v>1.2520999999999999E-2</v>
      </c>
      <c r="E234">
        <v>24.88</v>
      </c>
      <c r="F234">
        <v>1</v>
      </c>
      <c r="G234">
        <v>7.6265037059783894E-2</v>
      </c>
      <c r="H234">
        <v>526.90418257069996</v>
      </c>
      <c r="I234">
        <v>52.514110870095202</v>
      </c>
      <c r="K234">
        <v>7.900729775428772E-2</v>
      </c>
      <c r="L234" s="2">
        <f t="shared" si="9"/>
        <v>3.5956983700855969</v>
      </c>
      <c r="N234">
        <v>51.233173370361328</v>
      </c>
      <c r="O234">
        <v>525.4649658203125</v>
      </c>
      <c r="P234" s="2">
        <f t="shared" si="10"/>
        <v>-2.4392253405994904</v>
      </c>
      <c r="Q234" s="2">
        <f t="shared" si="11"/>
        <v>-0.27314582005511884</v>
      </c>
    </row>
    <row r="235" spans="1:17" x14ac:dyDescent="0.3">
      <c r="A235" t="s">
        <v>251</v>
      </c>
      <c r="B235">
        <v>68.8</v>
      </c>
      <c r="C235">
        <v>130</v>
      </c>
      <c r="D235">
        <v>1.4352E-2</v>
      </c>
      <c r="E235">
        <v>25.84</v>
      </c>
      <c r="F235">
        <v>1.17</v>
      </c>
      <c r="G235">
        <v>6.2834076583385398E-2</v>
      </c>
      <c r="H235">
        <v>570.48812267183996</v>
      </c>
      <c r="I235">
        <v>65.442060582320906</v>
      </c>
      <c r="K235">
        <v>6.7973226308822632E-2</v>
      </c>
      <c r="L235" s="2">
        <f t="shared" si="9"/>
        <v>8.1789213829174479</v>
      </c>
      <c r="N235">
        <v>66.40106201171875</v>
      </c>
      <c r="O235">
        <v>562.6021728515625</v>
      </c>
      <c r="P235" s="2">
        <f t="shared" si="10"/>
        <v>1.4654205886312162</v>
      </c>
      <c r="Q235" s="2">
        <f t="shared" si="11"/>
        <v>-1.3823162142875445</v>
      </c>
    </row>
    <row r="236" spans="1:17" x14ac:dyDescent="0.3">
      <c r="A236" t="s">
        <v>252</v>
      </c>
      <c r="B236">
        <v>46.5</v>
      </c>
      <c r="C236">
        <v>106.4</v>
      </c>
      <c r="D236">
        <v>1.1958E-2</v>
      </c>
      <c r="E236">
        <v>35</v>
      </c>
      <c r="F236">
        <v>1.21</v>
      </c>
      <c r="G236">
        <v>7.8872539103031103E-2</v>
      </c>
      <c r="H236">
        <v>633.68732361121204</v>
      </c>
      <c r="I236">
        <v>38.459843704341402</v>
      </c>
      <c r="K236">
        <v>8.1922799348831177E-2</v>
      </c>
      <c r="L236" s="2">
        <f t="shared" si="9"/>
        <v>3.8673285791085319</v>
      </c>
      <c r="N236">
        <v>38.310333251953118</v>
      </c>
      <c r="O236">
        <v>626.4681396484375</v>
      </c>
      <c r="P236" s="2">
        <f t="shared" si="10"/>
        <v>-0.38874430571699764</v>
      </c>
      <c r="Q236" s="2">
        <f t="shared" si="11"/>
        <v>-1.1392343974366359</v>
      </c>
    </row>
    <row r="237" spans="1:17" x14ac:dyDescent="0.3">
      <c r="A237" t="s">
        <v>253</v>
      </c>
      <c r="B237">
        <v>70</v>
      </c>
      <c r="C237">
        <v>110.4</v>
      </c>
      <c r="D237">
        <v>1.4429000000000001E-2</v>
      </c>
      <c r="E237">
        <v>20.61</v>
      </c>
      <c r="F237">
        <v>1</v>
      </c>
      <c r="G237">
        <v>8.7552092969417503E-2</v>
      </c>
      <c r="H237">
        <v>501.50256117309101</v>
      </c>
      <c r="I237">
        <v>71.682214147760902</v>
      </c>
      <c r="K237">
        <v>8.7450236082077026E-2</v>
      </c>
      <c r="L237" s="2">
        <f t="shared" si="9"/>
        <v>-0.11633860926209441</v>
      </c>
      <c r="N237">
        <v>70.690849304199219</v>
      </c>
      <c r="O237">
        <v>492.15667724609381</v>
      </c>
      <c r="P237" s="2">
        <f t="shared" si="10"/>
        <v>-1.3829997515396926</v>
      </c>
      <c r="Q237" s="2">
        <f t="shared" si="11"/>
        <v>-1.8635765099854633</v>
      </c>
    </row>
    <row r="238" spans="1:17" x14ac:dyDescent="0.3">
      <c r="A238" t="s">
        <v>254</v>
      </c>
      <c r="B238">
        <v>87.2</v>
      </c>
      <c r="C238">
        <v>111.2</v>
      </c>
      <c r="D238">
        <v>2.5433999999999998E-2</v>
      </c>
      <c r="E238">
        <v>29.18</v>
      </c>
      <c r="F238">
        <v>1</v>
      </c>
      <c r="G238">
        <v>0.14367166161537101</v>
      </c>
      <c r="H238">
        <v>553.12682359248595</v>
      </c>
      <c r="I238">
        <v>92.581792032378701</v>
      </c>
      <c r="K238">
        <v>0.13488902151584631</v>
      </c>
      <c r="L238" s="2">
        <f t="shared" si="9"/>
        <v>-6.1129940315140567</v>
      </c>
      <c r="N238">
        <v>94.286888122558594</v>
      </c>
      <c r="O238">
        <v>544.67340087890625</v>
      </c>
      <c r="P238" s="2">
        <f t="shared" si="10"/>
        <v>1.8417186065955264</v>
      </c>
      <c r="Q238" s="2">
        <f t="shared" si="11"/>
        <v>-1.5282973728657434</v>
      </c>
    </row>
    <row r="239" spans="1:17" x14ac:dyDescent="0.3">
      <c r="A239" t="s">
        <v>255</v>
      </c>
      <c r="B239">
        <v>88.1</v>
      </c>
      <c r="C239">
        <v>121.5</v>
      </c>
      <c r="D239">
        <v>2.3491999999999999E-2</v>
      </c>
      <c r="E239">
        <v>28.45</v>
      </c>
      <c r="F239">
        <v>1</v>
      </c>
      <c r="G239">
        <v>0.10798972845077499</v>
      </c>
      <c r="H239">
        <v>552.35542646374597</v>
      </c>
      <c r="I239">
        <v>90.923009733193695</v>
      </c>
      <c r="K239">
        <v>0.1055153906345367</v>
      </c>
      <c r="L239" s="2">
        <f t="shared" si="9"/>
        <v>-2.2912714493639745</v>
      </c>
      <c r="N239">
        <v>93.137062072753906</v>
      </c>
      <c r="O239">
        <v>541.37408447265625</v>
      </c>
      <c r="P239" s="2">
        <f t="shared" si="10"/>
        <v>2.4350847448376065</v>
      </c>
      <c r="Q239" s="2">
        <f t="shared" si="11"/>
        <v>-1.988093438566134</v>
      </c>
    </row>
    <row r="240" spans="1:17" x14ac:dyDescent="0.3">
      <c r="A240" t="s">
        <v>256</v>
      </c>
      <c r="B240">
        <v>71.5</v>
      </c>
      <c r="C240">
        <v>130</v>
      </c>
      <c r="D240">
        <v>1.4211E-2</v>
      </c>
      <c r="E240">
        <v>23.76</v>
      </c>
      <c r="F240">
        <v>1.1000000000000001</v>
      </c>
      <c r="G240">
        <v>6.2973074615001595E-2</v>
      </c>
      <c r="H240">
        <v>544.81078054880197</v>
      </c>
      <c r="I240">
        <v>68.458348763920796</v>
      </c>
      <c r="K240">
        <v>7.3550432920455933E-2</v>
      </c>
      <c r="L240" s="2">
        <f t="shared" si="9"/>
        <v>16.796636292766582</v>
      </c>
      <c r="N240">
        <v>70.168586730957031</v>
      </c>
      <c r="O240">
        <v>536.43707275390625</v>
      </c>
      <c r="P240" s="2">
        <f t="shared" si="10"/>
        <v>2.4982167959294572</v>
      </c>
      <c r="Q240" s="2">
        <f t="shared" si="11"/>
        <v>-1.5369937772634876</v>
      </c>
    </row>
    <row r="241" spans="1:17" x14ac:dyDescent="0.3">
      <c r="A241" t="s">
        <v>257</v>
      </c>
      <c r="B241">
        <v>83.7</v>
      </c>
      <c r="C241">
        <v>110.5</v>
      </c>
      <c r="D241">
        <v>2.8171000000000002E-2</v>
      </c>
      <c r="E241">
        <v>35</v>
      </c>
      <c r="F241">
        <v>1</v>
      </c>
      <c r="G241">
        <v>0.15891867876052801</v>
      </c>
      <c r="H241">
        <v>587.86756648041603</v>
      </c>
      <c r="I241">
        <v>86.941407972418304</v>
      </c>
      <c r="K241">
        <v>0.14762531220912931</v>
      </c>
      <c r="L241" s="2">
        <f t="shared" si="9"/>
        <v>-7.1063808480414661</v>
      </c>
      <c r="N241">
        <v>88.818489074707031</v>
      </c>
      <c r="O241">
        <v>579.92901611328125</v>
      </c>
      <c r="P241" s="2">
        <f t="shared" si="10"/>
        <v>2.1590185230083012</v>
      </c>
      <c r="Q241" s="2">
        <f t="shared" si="11"/>
        <v>-1.3503977459860836</v>
      </c>
    </row>
    <row r="242" spans="1:17" x14ac:dyDescent="0.3">
      <c r="A242" t="s">
        <v>258</v>
      </c>
      <c r="B242">
        <v>79</v>
      </c>
      <c r="C242">
        <v>127.3</v>
      </c>
      <c r="D242">
        <v>1.5323E-2</v>
      </c>
      <c r="E242">
        <v>21.09</v>
      </c>
      <c r="F242">
        <v>1</v>
      </c>
      <c r="G242">
        <v>7.0039585232734597E-2</v>
      </c>
      <c r="H242">
        <v>511.229694944622</v>
      </c>
      <c r="I242">
        <v>79.532001096202606</v>
      </c>
      <c r="K242">
        <v>7.2904542088508606E-2</v>
      </c>
      <c r="L242" s="2">
        <f t="shared" si="9"/>
        <v>4.090482326892773</v>
      </c>
      <c r="N242">
        <v>81.37481689453125</v>
      </c>
      <c r="O242">
        <v>504.18099975585938</v>
      </c>
      <c r="P242" s="2">
        <f t="shared" si="10"/>
        <v>2.3170746025861435</v>
      </c>
      <c r="Q242" s="2">
        <f t="shared" si="11"/>
        <v>-1.3787726453421605</v>
      </c>
    </row>
    <row r="243" spans="1:17" x14ac:dyDescent="0.3">
      <c r="A243" t="s">
        <v>259</v>
      </c>
      <c r="B243">
        <v>78.400000000000006</v>
      </c>
      <c r="C243">
        <v>122.6</v>
      </c>
      <c r="D243">
        <v>2.0674000000000001E-2</v>
      </c>
      <c r="E243">
        <v>29.73</v>
      </c>
      <c r="F243">
        <v>1</v>
      </c>
      <c r="G243">
        <v>9.3196064233779893E-2</v>
      </c>
      <c r="H243">
        <v>560.54601418019001</v>
      </c>
      <c r="I243">
        <v>77.152437886579605</v>
      </c>
      <c r="K243">
        <v>9.4641849398612976E-2</v>
      </c>
      <c r="L243" s="2">
        <f t="shared" si="9"/>
        <v>1.5513371478932505</v>
      </c>
      <c r="N243">
        <v>79.389305114746094</v>
      </c>
      <c r="O243">
        <v>554.67877197265625</v>
      </c>
      <c r="P243" s="2">
        <f t="shared" si="10"/>
        <v>2.8992826272772692</v>
      </c>
      <c r="Q243" s="2">
        <f t="shared" si="11"/>
        <v>-1.0467012625385848</v>
      </c>
    </row>
    <row r="244" spans="1:17" x14ac:dyDescent="0.3">
      <c r="A244" t="s">
        <v>260</v>
      </c>
      <c r="B244">
        <v>77.2</v>
      </c>
      <c r="C244">
        <v>127.9</v>
      </c>
      <c r="D244">
        <v>1.6088000000000002E-2</v>
      </c>
      <c r="E244">
        <v>23.67</v>
      </c>
      <c r="F244">
        <v>1</v>
      </c>
      <c r="G244">
        <v>7.19939470291137E-2</v>
      </c>
      <c r="H244">
        <v>527.07614375626395</v>
      </c>
      <c r="I244">
        <v>75.555729167037498</v>
      </c>
      <c r="K244">
        <v>7.829129695892334E-2</v>
      </c>
      <c r="L244" s="2">
        <f t="shared" si="9"/>
        <v>8.7470547034503454</v>
      </c>
      <c r="N244">
        <v>77.632545471191406</v>
      </c>
      <c r="O244">
        <v>520.4625244140625</v>
      </c>
      <c r="P244" s="2">
        <f t="shared" si="10"/>
        <v>2.7487211453714031</v>
      </c>
      <c r="Q244" s="2">
        <f t="shared" si="11"/>
        <v>-1.2547749353762792</v>
      </c>
    </row>
    <row r="245" spans="1:17" x14ac:dyDescent="0.3">
      <c r="A245" t="s">
        <v>261</v>
      </c>
      <c r="B245">
        <v>71.900000000000006</v>
      </c>
      <c r="C245">
        <v>112</v>
      </c>
      <c r="D245">
        <v>2.0558E-2</v>
      </c>
      <c r="E245">
        <v>31</v>
      </c>
      <c r="F245">
        <v>1</v>
      </c>
      <c r="G245">
        <v>0.112499348819255</v>
      </c>
      <c r="H245">
        <v>564.26088012203297</v>
      </c>
      <c r="I245">
        <v>71.5786112335079</v>
      </c>
      <c r="K245">
        <v>0.1090371385216713</v>
      </c>
      <c r="L245" s="2">
        <f t="shared" si="9"/>
        <v>-3.0775380781502988</v>
      </c>
      <c r="N245">
        <v>72.8648681640625</v>
      </c>
      <c r="O245">
        <v>557.5233154296875</v>
      </c>
      <c r="P245" s="2">
        <f t="shared" si="10"/>
        <v>1.7969850328033026</v>
      </c>
      <c r="Q245" s="2">
        <f t="shared" si="11"/>
        <v>-1.1940513563315494</v>
      </c>
    </row>
    <row r="246" spans="1:17" x14ac:dyDescent="0.3">
      <c r="A246" t="s">
        <v>262</v>
      </c>
      <c r="B246">
        <v>41.8</v>
      </c>
      <c r="C246">
        <v>115.2</v>
      </c>
      <c r="D246">
        <v>5.9870000000000001E-3</v>
      </c>
      <c r="E246">
        <v>20</v>
      </c>
      <c r="F246">
        <v>1</v>
      </c>
      <c r="G246">
        <v>3.2294169068336397E-2</v>
      </c>
      <c r="H246">
        <v>499.22023822086999</v>
      </c>
      <c r="I246">
        <v>30.708720840021599</v>
      </c>
      <c r="K246">
        <v>2.988805994391441E-2</v>
      </c>
      <c r="L246" s="2">
        <f t="shared" si="9"/>
        <v>-7.4505992686497544</v>
      </c>
      <c r="N246">
        <v>29.659738540649411</v>
      </c>
      <c r="O246">
        <v>490.8411865234375</v>
      </c>
      <c r="P246" s="2">
        <f t="shared" si="10"/>
        <v>-3.4159101085222874</v>
      </c>
      <c r="Q246" s="2">
        <f t="shared" si="11"/>
        <v>-1.6784278873176102</v>
      </c>
    </row>
    <row r="247" spans="1:17" x14ac:dyDescent="0.3">
      <c r="A247" t="s">
        <v>263</v>
      </c>
      <c r="B247">
        <v>60.9</v>
      </c>
      <c r="C247">
        <v>125.9</v>
      </c>
      <c r="D247">
        <v>1.1158E-2</v>
      </c>
      <c r="E247">
        <v>22.13</v>
      </c>
      <c r="F247">
        <v>1</v>
      </c>
      <c r="G247">
        <v>5.1094561815261799E-2</v>
      </c>
      <c r="H247">
        <v>516.65578914941204</v>
      </c>
      <c r="I247">
        <v>54.786836053497197</v>
      </c>
      <c r="K247">
        <v>5.6638427078723907E-2</v>
      </c>
      <c r="L247" s="2">
        <f t="shared" si="9"/>
        <v>10.850206101202284</v>
      </c>
      <c r="N247">
        <v>55.267631530761719</v>
      </c>
      <c r="O247">
        <v>508.11831665039063</v>
      </c>
      <c r="P247" s="2">
        <f t="shared" si="10"/>
        <v>0.87757481887627864</v>
      </c>
      <c r="Q247" s="2">
        <f t="shared" si="11"/>
        <v>-1.6524488215020197</v>
      </c>
    </row>
    <row r="248" spans="1:17" x14ac:dyDescent="0.3">
      <c r="A248" t="s">
        <v>264</v>
      </c>
      <c r="B248">
        <v>43.1</v>
      </c>
      <c r="C248">
        <v>109.5</v>
      </c>
      <c r="D248">
        <v>8.574E-3</v>
      </c>
      <c r="E248">
        <v>28.17</v>
      </c>
      <c r="F248">
        <v>1</v>
      </c>
      <c r="G248">
        <v>5.1378194242715801E-2</v>
      </c>
      <c r="H248">
        <v>546.64418257069997</v>
      </c>
      <c r="I248">
        <v>32.192337035249402</v>
      </c>
      <c r="K248">
        <v>5.4673116654157639E-2</v>
      </c>
      <c r="L248" s="2">
        <f t="shared" si="9"/>
        <v>6.4130755469456364</v>
      </c>
      <c r="N248">
        <v>31.93533897399902</v>
      </c>
      <c r="O248">
        <v>546.824462890625</v>
      </c>
      <c r="P248" s="2">
        <f t="shared" si="10"/>
        <v>-0.79832060955679818</v>
      </c>
      <c r="Q248" s="2">
        <f t="shared" si="11"/>
        <v>3.2979463730360939E-2</v>
      </c>
    </row>
    <row r="249" spans="1:17" x14ac:dyDescent="0.3">
      <c r="A249" t="s">
        <v>265</v>
      </c>
      <c r="B249">
        <v>68.8</v>
      </c>
      <c r="C249">
        <v>130</v>
      </c>
      <c r="D249">
        <v>1.8253999999999999E-2</v>
      </c>
      <c r="E249">
        <v>35</v>
      </c>
      <c r="F249">
        <v>1</v>
      </c>
      <c r="G249">
        <v>7.6538592576980494E-2</v>
      </c>
      <c r="H249">
        <v>596.42829180160197</v>
      </c>
      <c r="I249">
        <v>60.046385260694102</v>
      </c>
      <c r="K249">
        <v>7.6536267995834351E-2</v>
      </c>
      <c r="L249" s="2">
        <f t="shared" si="9"/>
        <v>-3.0371359962035982E-3</v>
      </c>
      <c r="N249">
        <v>62.877677917480469</v>
      </c>
      <c r="O249">
        <v>591.4644775390625</v>
      </c>
      <c r="P249" s="2">
        <f t="shared" si="10"/>
        <v>4.7151758502933721</v>
      </c>
      <c r="Q249" s="2">
        <f t="shared" si="11"/>
        <v>-0.83225667373114032</v>
      </c>
    </row>
    <row r="250" spans="1:17" x14ac:dyDescent="0.3">
      <c r="A250" t="s">
        <v>266</v>
      </c>
      <c r="B250">
        <v>62.7</v>
      </c>
      <c r="C250">
        <v>111.1</v>
      </c>
      <c r="D250">
        <v>1.4154999999999999E-2</v>
      </c>
      <c r="E250">
        <v>24.73</v>
      </c>
      <c r="F250">
        <v>1</v>
      </c>
      <c r="G250">
        <v>8.19672420620918E-2</v>
      </c>
      <c r="H250">
        <v>526.40076010135601</v>
      </c>
      <c r="I250">
        <v>59.743269032966502</v>
      </c>
      <c r="K250">
        <v>8.3436004817485809E-2</v>
      </c>
      <c r="L250" s="2">
        <f t="shared" si="9"/>
        <v>1.7918899287612886</v>
      </c>
      <c r="N250">
        <v>57.235240936279297</v>
      </c>
      <c r="O250">
        <v>521.8001708984375</v>
      </c>
      <c r="P250" s="2">
        <f t="shared" si="10"/>
        <v>-4.1980094783619366</v>
      </c>
      <c r="Q250" s="2">
        <f t="shared" si="11"/>
        <v>-0.8739708510361367</v>
      </c>
    </row>
    <row r="251" spans="1:17" x14ac:dyDescent="0.3">
      <c r="A251" t="s">
        <v>267</v>
      </c>
      <c r="B251">
        <v>40.200000000000003</v>
      </c>
      <c r="C251">
        <v>110.9</v>
      </c>
      <c r="D251">
        <v>6.1910000000000003E-3</v>
      </c>
      <c r="E251">
        <v>22.35</v>
      </c>
      <c r="F251">
        <v>1</v>
      </c>
      <c r="G251">
        <v>3.65758426487445E-2</v>
      </c>
      <c r="H251">
        <v>512.06909029334395</v>
      </c>
      <c r="I251">
        <v>28.528365015157799</v>
      </c>
      <c r="K251">
        <v>3.8333103060722351E-2</v>
      </c>
      <c r="L251" s="2">
        <f t="shared" si="9"/>
        <v>4.8044290567784653</v>
      </c>
      <c r="N251">
        <v>27.198648452758789</v>
      </c>
      <c r="O251">
        <v>503.71963500976563</v>
      </c>
      <c r="P251" s="2">
        <f t="shared" si="10"/>
        <v>-4.6610331916760748</v>
      </c>
      <c r="Q251" s="2">
        <f t="shared" si="11"/>
        <v>-1.630532957729445</v>
      </c>
    </row>
    <row r="252" spans="1:17" x14ac:dyDescent="0.3">
      <c r="A252" t="s">
        <v>268</v>
      </c>
      <c r="B252">
        <v>84.9</v>
      </c>
      <c r="C252">
        <v>111.9</v>
      </c>
      <c r="D252">
        <v>2.3893999999999999E-2</v>
      </c>
      <c r="E252">
        <v>28.34</v>
      </c>
      <c r="F252">
        <v>1.0900000000000001</v>
      </c>
      <c r="G252">
        <v>0.132668361067771</v>
      </c>
      <c r="H252">
        <v>564.74117759760395</v>
      </c>
      <c r="I252">
        <v>91.137851267931595</v>
      </c>
      <c r="K252">
        <v>0.128120481967926</v>
      </c>
      <c r="L252" s="2">
        <f t="shared" si="9"/>
        <v>-3.4280057907113242</v>
      </c>
      <c r="N252">
        <v>92.058357238769531</v>
      </c>
      <c r="O252">
        <v>556.87640380859375</v>
      </c>
      <c r="P252" s="2">
        <f t="shared" si="10"/>
        <v>1.0100150025830512</v>
      </c>
      <c r="Q252" s="2">
        <f t="shared" si="11"/>
        <v>-1.3926333161089419</v>
      </c>
    </row>
    <row r="253" spans="1:17" x14ac:dyDescent="0.3">
      <c r="A253" t="s">
        <v>269</v>
      </c>
      <c r="B253">
        <v>65.099999999999994</v>
      </c>
      <c r="C253">
        <v>111.6</v>
      </c>
      <c r="D253">
        <v>1.9810999999999999E-2</v>
      </c>
      <c r="E253">
        <v>35</v>
      </c>
      <c r="F253">
        <v>1</v>
      </c>
      <c r="G253">
        <v>0.108054764568805</v>
      </c>
      <c r="H253">
        <v>588.152612438441</v>
      </c>
      <c r="I253">
        <v>61.743455103769797</v>
      </c>
      <c r="K253">
        <v>0.104483887553215</v>
      </c>
      <c r="L253" s="2">
        <f t="shared" si="9"/>
        <v>-3.3046918660548359</v>
      </c>
      <c r="N253">
        <v>62.353061676025391</v>
      </c>
      <c r="O253">
        <v>581.42596435546875</v>
      </c>
      <c r="P253" s="2">
        <f t="shared" si="10"/>
        <v>0.98732176751536116</v>
      </c>
      <c r="Q253" s="2">
        <f t="shared" si="11"/>
        <v>-1.1436909299924758</v>
      </c>
    </row>
    <row r="254" spans="1:17" x14ac:dyDescent="0.3">
      <c r="A254" t="s">
        <v>270</v>
      </c>
      <c r="B254">
        <v>50.4</v>
      </c>
      <c r="C254">
        <v>122.4</v>
      </c>
      <c r="D254">
        <v>9.0959999999999999E-3</v>
      </c>
      <c r="E254">
        <v>23.99</v>
      </c>
      <c r="F254">
        <v>1</v>
      </c>
      <c r="G254">
        <v>4.2502570897340698E-2</v>
      </c>
      <c r="H254">
        <v>526.01109157616895</v>
      </c>
      <c r="I254">
        <v>40.927355129700601</v>
      </c>
      <c r="K254">
        <v>4.2397454380989068E-2</v>
      </c>
      <c r="L254" s="2">
        <f t="shared" si="9"/>
        <v>-0.24731801896295966</v>
      </c>
      <c r="N254">
        <v>39.833244323730469</v>
      </c>
      <c r="O254">
        <v>519.359619140625</v>
      </c>
      <c r="P254" s="2">
        <f t="shared" si="10"/>
        <v>-2.6732995633430172</v>
      </c>
      <c r="Q254" s="2">
        <f t="shared" si="11"/>
        <v>-1.2645118215308175</v>
      </c>
    </row>
    <row r="255" spans="1:17" x14ac:dyDescent="0.3">
      <c r="A255" t="s">
        <v>271</v>
      </c>
      <c r="B255">
        <v>65.099999999999994</v>
      </c>
      <c r="C255">
        <v>122.8</v>
      </c>
      <c r="D255">
        <v>1.3989E-2</v>
      </c>
      <c r="E255">
        <v>25.23</v>
      </c>
      <c r="F255">
        <v>1</v>
      </c>
      <c r="G255">
        <v>6.4531333744525896E-2</v>
      </c>
      <c r="H255">
        <v>533.64188338750705</v>
      </c>
      <c r="I255">
        <v>60.446292925644698</v>
      </c>
      <c r="K255">
        <v>7.0840045809745789E-2</v>
      </c>
      <c r="L255" s="2">
        <f t="shared" si="9"/>
        <v>9.7761997143830186</v>
      </c>
      <c r="N255">
        <v>60.49017333984375</v>
      </c>
      <c r="O255">
        <v>530.310546875</v>
      </c>
      <c r="P255" s="2">
        <f t="shared" si="10"/>
        <v>7.2594053456725913E-2</v>
      </c>
      <c r="Q255" s="2">
        <f t="shared" si="11"/>
        <v>-0.62426443954512134</v>
      </c>
    </row>
    <row r="256" spans="1:17" x14ac:dyDescent="0.3">
      <c r="A256" t="s">
        <v>272</v>
      </c>
      <c r="B256">
        <v>43.1</v>
      </c>
      <c r="C256">
        <v>108</v>
      </c>
      <c r="D256">
        <v>7.0829999999999999E-3</v>
      </c>
      <c r="E256">
        <v>21.98</v>
      </c>
      <c r="F256">
        <v>1</v>
      </c>
      <c r="G256">
        <v>4.62207086384296E-2</v>
      </c>
      <c r="H256">
        <v>509.16626945821798</v>
      </c>
      <c r="I256">
        <v>33.111816345149002</v>
      </c>
      <c r="K256">
        <v>4.8437558114528663E-2</v>
      </c>
      <c r="L256" s="2">
        <f t="shared" si="9"/>
        <v>4.7962256343596872</v>
      </c>
      <c r="N256">
        <v>32.672115325927727</v>
      </c>
      <c r="O256">
        <v>501.34481811523438</v>
      </c>
      <c r="P256" s="2">
        <f t="shared" si="10"/>
        <v>-1.3279278147654152</v>
      </c>
      <c r="Q256" s="2">
        <f t="shared" si="11"/>
        <v>-1.5361291216926209</v>
      </c>
    </row>
    <row r="257" spans="1:17" x14ac:dyDescent="0.3">
      <c r="A257" t="s">
        <v>273</v>
      </c>
      <c r="B257">
        <v>79.7</v>
      </c>
      <c r="C257">
        <v>117.3</v>
      </c>
      <c r="D257">
        <v>1.8433000000000001E-2</v>
      </c>
      <c r="E257">
        <v>23.73</v>
      </c>
      <c r="F257">
        <v>1</v>
      </c>
      <c r="G257">
        <v>9.2870503664016696E-2</v>
      </c>
      <c r="H257">
        <v>522.326010506633</v>
      </c>
      <c r="I257">
        <v>82.295664557847005</v>
      </c>
      <c r="K257">
        <v>9.3039929866790771E-2</v>
      </c>
      <c r="L257" s="2">
        <f t="shared" si="9"/>
        <v>0.18243273815658323</v>
      </c>
      <c r="N257">
        <v>85.398971557617188</v>
      </c>
      <c r="O257">
        <v>519.4959716796875</v>
      </c>
      <c r="P257" s="2">
        <f t="shared" si="10"/>
        <v>3.7709240413130347</v>
      </c>
      <c r="Q257" s="2">
        <f t="shared" si="11"/>
        <v>-0.54181464641220634</v>
      </c>
    </row>
    <row r="258" spans="1:17" x14ac:dyDescent="0.3">
      <c r="A258" t="s">
        <v>279</v>
      </c>
      <c r="B258">
        <v>87.5</v>
      </c>
      <c r="C258">
        <v>124.2</v>
      </c>
      <c r="D258">
        <v>2.2384999999999999E-2</v>
      </c>
      <c r="E258">
        <v>27.91</v>
      </c>
      <c r="F258">
        <v>1</v>
      </c>
      <c r="G258">
        <v>0.100248970091342</v>
      </c>
      <c r="H258">
        <v>550.420222948277</v>
      </c>
      <c r="I258">
        <v>89.311317772938196</v>
      </c>
      <c r="K258">
        <v>9.7755730152130127E-2</v>
      </c>
      <c r="L258" s="2">
        <f t="shared" si="9"/>
        <v>-2.4870479336996181</v>
      </c>
      <c r="N258">
        <v>91.472999572753906</v>
      </c>
      <c r="O258">
        <v>541.4127197265625</v>
      </c>
      <c r="P258" s="2">
        <f t="shared" ref="P258:P321" si="12">(N258-I258)/I258*100</f>
        <v>2.4203895471696999</v>
      </c>
      <c r="Q258" s="2">
        <f t="shared" ref="Q258:Q321" si="13">(O258-H258)/H258*100</f>
        <v>-1.6364775213865892</v>
      </c>
    </row>
    <row r="259" spans="1:17" x14ac:dyDescent="0.3">
      <c r="A259" t="s">
        <v>280</v>
      </c>
      <c r="B259">
        <v>70.7</v>
      </c>
      <c r="C259">
        <v>117.7</v>
      </c>
      <c r="D259">
        <v>1.6336E-2</v>
      </c>
      <c r="E259">
        <v>25.16</v>
      </c>
      <c r="F259">
        <v>1</v>
      </c>
      <c r="G259">
        <v>8.1013984978199005E-2</v>
      </c>
      <c r="H259">
        <v>531.05351099403299</v>
      </c>
      <c r="I259">
        <v>69.771026507633096</v>
      </c>
      <c r="K259">
        <v>8.1597819924354553E-2</v>
      </c>
      <c r="L259" s="2">
        <f t="shared" si="9"/>
        <v>0.72065945936699571</v>
      </c>
      <c r="N259">
        <v>70.000923156738281</v>
      </c>
      <c r="O259">
        <v>522.92041015625</v>
      </c>
      <c r="P259" s="2">
        <f t="shared" si="12"/>
        <v>0.32950160061072703</v>
      </c>
      <c r="Q259" s="2">
        <f t="shared" si="13"/>
        <v>-1.5315030725546555</v>
      </c>
    </row>
    <row r="260" spans="1:17" x14ac:dyDescent="0.3">
      <c r="A260" t="s">
        <v>281</v>
      </c>
      <c r="B260">
        <v>80.099999999999994</v>
      </c>
      <c r="C260">
        <v>103.3</v>
      </c>
      <c r="D260">
        <v>1.9945999999999998E-2</v>
      </c>
      <c r="E260">
        <v>23.75</v>
      </c>
      <c r="F260">
        <v>1</v>
      </c>
      <c r="G260">
        <v>0.15991590917110399</v>
      </c>
      <c r="H260">
        <v>518.92580113025497</v>
      </c>
      <c r="I260">
        <v>87.113630418038497</v>
      </c>
      <c r="K260">
        <v>0.13450956344604489</v>
      </c>
      <c r="L260" s="2">
        <f t="shared" si="9"/>
        <v>-15.887315937950403</v>
      </c>
      <c r="N260">
        <v>87.209503173828125</v>
      </c>
      <c r="O260">
        <v>516.15374755859375</v>
      </c>
      <c r="P260" s="2">
        <f t="shared" si="12"/>
        <v>0.11005482761946279</v>
      </c>
      <c r="Q260" s="2">
        <f t="shared" si="13"/>
        <v>-0.53419073895025071</v>
      </c>
    </row>
    <row r="261" spans="1:17" x14ac:dyDescent="0.3">
      <c r="A261" t="s">
        <v>282</v>
      </c>
      <c r="B261">
        <v>58.5</v>
      </c>
      <c r="C261">
        <v>110.5</v>
      </c>
      <c r="D261">
        <v>1.2699E-2</v>
      </c>
      <c r="E261">
        <v>24.49</v>
      </c>
      <c r="F261">
        <v>1</v>
      </c>
      <c r="G261">
        <v>7.50318989157676E-2</v>
      </c>
      <c r="H261">
        <v>524.80756648041597</v>
      </c>
      <c r="I261">
        <v>53.7577552436939</v>
      </c>
      <c r="K261">
        <v>7.6551146805286407E-2</v>
      </c>
      <c r="L261" s="2">
        <f t="shared" si="9"/>
        <v>2.0248026658959373</v>
      </c>
      <c r="N261">
        <v>52.195869445800781</v>
      </c>
      <c r="O261">
        <v>522.45318603515625</v>
      </c>
      <c r="P261" s="2">
        <f t="shared" si="12"/>
        <v>-2.9054148388689227</v>
      </c>
      <c r="Q261" s="2">
        <f t="shared" si="13"/>
        <v>-0.44861785454985026</v>
      </c>
    </row>
    <row r="262" spans="1:17" x14ac:dyDescent="0.3">
      <c r="A262" t="s">
        <v>283</v>
      </c>
      <c r="B262">
        <v>56.2</v>
      </c>
      <c r="C262">
        <v>109.8</v>
      </c>
      <c r="D262">
        <v>1.1346999999999999E-2</v>
      </c>
      <c r="E262">
        <v>22.84</v>
      </c>
      <c r="F262">
        <v>1</v>
      </c>
      <c r="G262">
        <v>6.9163672626018496E-2</v>
      </c>
      <c r="H262">
        <v>514.73565066174001</v>
      </c>
      <c r="I262">
        <v>51.536400831573303</v>
      </c>
      <c r="K262">
        <v>6.8487890064716339E-2</v>
      </c>
      <c r="L262" s="2">
        <f t="shared" si="9"/>
        <v>-0.97707732346176257</v>
      </c>
      <c r="N262">
        <v>49.604816436767578</v>
      </c>
      <c r="O262">
        <v>511.08114624023438</v>
      </c>
      <c r="P262" s="2">
        <f t="shared" si="12"/>
        <v>-3.7480001778128784</v>
      </c>
      <c r="Q262" s="2">
        <f t="shared" si="13"/>
        <v>-0.70997693997053313</v>
      </c>
    </row>
    <row r="263" spans="1:17" x14ac:dyDescent="0.3">
      <c r="A263" t="s">
        <v>284</v>
      </c>
      <c r="B263">
        <v>43.3</v>
      </c>
      <c r="C263">
        <v>113.8</v>
      </c>
      <c r="D263">
        <v>6.4559999999999999E-3</v>
      </c>
      <c r="E263">
        <v>20</v>
      </c>
      <c r="F263">
        <v>1</v>
      </c>
      <c r="G263">
        <v>3.5900510847568498E-2</v>
      </c>
      <c r="H263">
        <v>498.77962600710902</v>
      </c>
      <c r="I263">
        <v>33.113980569690803</v>
      </c>
      <c r="K263">
        <v>3.3789318054914468E-2</v>
      </c>
      <c r="L263" s="2">
        <f t="shared" si="9"/>
        <v>-5.8806761876398737</v>
      </c>
      <c r="N263">
        <v>31.93470573425293</v>
      </c>
      <c r="O263">
        <v>490.09442138671881</v>
      </c>
      <c r="P263" s="2">
        <f t="shared" si="12"/>
        <v>-3.5612596708390365</v>
      </c>
      <c r="Q263" s="2">
        <f t="shared" si="13"/>
        <v>-1.7412909765216473</v>
      </c>
    </row>
    <row r="264" spans="1:17" x14ac:dyDescent="0.3">
      <c r="A264" t="s">
        <v>285</v>
      </c>
      <c r="B264">
        <v>67.3</v>
      </c>
      <c r="C264">
        <v>127.6</v>
      </c>
      <c r="D264">
        <v>1.2496E-2</v>
      </c>
      <c r="E264">
        <v>21.66</v>
      </c>
      <c r="F264">
        <v>1</v>
      </c>
      <c r="G264">
        <v>5.6750603020191102E-2</v>
      </c>
      <c r="H264">
        <v>514.83155767604103</v>
      </c>
      <c r="I264">
        <v>63.570758823110303</v>
      </c>
      <c r="K264">
        <v>6.4395949244499207E-2</v>
      </c>
      <c r="L264" s="2">
        <f t="shared" si="9"/>
        <v>13.471832575220377</v>
      </c>
      <c r="N264">
        <v>63.617824554443359</v>
      </c>
      <c r="O264">
        <v>504.55374145507813</v>
      </c>
      <c r="P264" s="2">
        <f t="shared" si="12"/>
        <v>7.403676187666669E-2</v>
      </c>
      <c r="Q264" s="2">
        <f t="shared" si="13"/>
        <v>-1.9963454197246866</v>
      </c>
    </row>
    <row r="265" spans="1:17" x14ac:dyDescent="0.3">
      <c r="A265" t="s">
        <v>286</v>
      </c>
      <c r="B265">
        <v>73</v>
      </c>
      <c r="C265">
        <v>116.5</v>
      </c>
      <c r="D265">
        <v>1.6389999999999998E-2</v>
      </c>
      <c r="E265">
        <v>23.6</v>
      </c>
      <c r="F265">
        <v>1</v>
      </c>
      <c r="G265">
        <v>8.3855077624320901E-2</v>
      </c>
      <c r="H265">
        <v>521.26004323743996</v>
      </c>
      <c r="I265">
        <v>73.266055850146998</v>
      </c>
      <c r="K265">
        <v>8.4574103355407715E-2</v>
      </c>
      <c r="L265" s="2">
        <f t="shared" ref="L265:L328" si="14">(K265-G265)/G265*100</f>
        <v>0.8574623641851733</v>
      </c>
      <c r="N265">
        <v>74.294380187988281</v>
      </c>
      <c r="O265">
        <v>514.79229736328125</v>
      </c>
      <c r="P265" s="2">
        <f t="shared" si="12"/>
        <v>1.4035481041105069</v>
      </c>
      <c r="Q265" s="2">
        <f t="shared" si="13"/>
        <v>-1.2407906491333685</v>
      </c>
    </row>
    <row r="266" spans="1:17" x14ac:dyDescent="0.3">
      <c r="A266" t="s">
        <v>287</v>
      </c>
      <c r="B266">
        <v>76.2</v>
      </c>
      <c r="C266">
        <v>112.2</v>
      </c>
      <c r="D266">
        <v>2.3886000000000001E-2</v>
      </c>
      <c r="E266">
        <v>33.78</v>
      </c>
      <c r="F266">
        <v>1</v>
      </c>
      <c r="G266">
        <v>0.128533154726028</v>
      </c>
      <c r="H266">
        <v>580.995953320132</v>
      </c>
      <c r="I266">
        <v>77.050758626758295</v>
      </c>
      <c r="K266">
        <v>0.124863401055336</v>
      </c>
      <c r="L266" s="2">
        <f t="shared" si="14"/>
        <v>-2.8551027775784248</v>
      </c>
      <c r="N266">
        <v>78.402862548828125</v>
      </c>
      <c r="O266">
        <v>572.5189208984375</v>
      </c>
      <c r="P266" s="2">
        <f t="shared" si="12"/>
        <v>1.754822335519834</v>
      </c>
      <c r="Q266" s="2">
        <f t="shared" si="13"/>
        <v>-1.4590518872381217</v>
      </c>
    </row>
    <row r="267" spans="1:17" x14ac:dyDescent="0.3">
      <c r="A267" t="s">
        <v>288</v>
      </c>
      <c r="B267">
        <v>46.2</v>
      </c>
      <c r="C267">
        <v>112.1</v>
      </c>
      <c r="D267">
        <v>9.4389999999999995E-3</v>
      </c>
      <c r="E267">
        <v>27.64</v>
      </c>
      <c r="F267">
        <v>1</v>
      </c>
      <c r="G267">
        <v>5.2323184907436301E-2</v>
      </c>
      <c r="H267">
        <v>544.12833802656496</v>
      </c>
      <c r="I267">
        <v>36.6778232753311</v>
      </c>
      <c r="K267">
        <v>5.4236255586147308E-2</v>
      </c>
      <c r="L267" s="2">
        <f t="shared" si="14"/>
        <v>3.6562580853886759</v>
      </c>
      <c r="N267">
        <v>35.576431274414063</v>
      </c>
      <c r="O267">
        <v>543.41546630859375</v>
      </c>
      <c r="P267" s="2">
        <f t="shared" si="12"/>
        <v>-3.0028826755861924</v>
      </c>
      <c r="Q267" s="2">
        <f t="shared" si="13"/>
        <v>-0.13101168752883588</v>
      </c>
    </row>
    <row r="268" spans="1:17" x14ac:dyDescent="0.3">
      <c r="A268" t="s">
        <v>289</v>
      </c>
      <c r="B268">
        <v>63.6</v>
      </c>
      <c r="C268">
        <v>101.2</v>
      </c>
      <c r="D268">
        <v>2.0046000000000001E-2</v>
      </c>
      <c r="E268">
        <v>35</v>
      </c>
      <c r="F268">
        <v>1</v>
      </c>
      <c r="G268">
        <v>0.178988382220268</v>
      </c>
      <c r="H268">
        <v>586.13255471743605</v>
      </c>
      <c r="I268">
        <v>63.003989289382801</v>
      </c>
      <c r="K268">
        <v>0.13640581071376801</v>
      </c>
      <c r="L268" s="2">
        <f t="shared" si="14"/>
        <v>-23.790690199153104</v>
      </c>
      <c r="N268">
        <v>62.947017669677727</v>
      </c>
      <c r="O268">
        <v>580.876953125</v>
      </c>
      <c r="P268" s="2">
        <f t="shared" si="12"/>
        <v>-9.0425416465929165E-2</v>
      </c>
      <c r="Q268" s="2">
        <f t="shared" si="13"/>
        <v>-0.89665751375466274</v>
      </c>
    </row>
    <row r="269" spans="1:17" x14ac:dyDescent="0.3">
      <c r="A269" t="s">
        <v>290</v>
      </c>
      <c r="B269">
        <v>53.6</v>
      </c>
      <c r="C269">
        <v>130</v>
      </c>
      <c r="D269">
        <v>9.7429999999999999E-3</v>
      </c>
      <c r="E269">
        <v>25.37</v>
      </c>
      <c r="F269">
        <v>1</v>
      </c>
      <c r="G269">
        <v>4.2732819914817803E-2</v>
      </c>
      <c r="H269">
        <v>538.64829180160098</v>
      </c>
      <c r="I269">
        <v>43.775007818629398</v>
      </c>
      <c r="K269">
        <v>4.7048855572938919E-2</v>
      </c>
      <c r="L269" s="2">
        <f t="shared" si="14"/>
        <v>10.100048783872815</v>
      </c>
      <c r="N269">
        <v>43.502300262451172</v>
      </c>
      <c r="O269">
        <v>536.115966796875</v>
      </c>
      <c r="P269" s="2">
        <f t="shared" si="12"/>
        <v>-0.62297545966895096</v>
      </c>
      <c r="Q269" s="2">
        <f t="shared" si="13"/>
        <v>-0.47012587680472984</v>
      </c>
    </row>
    <row r="270" spans="1:17" x14ac:dyDescent="0.3">
      <c r="A270" t="s">
        <v>291</v>
      </c>
      <c r="B270">
        <v>52.6</v>
      </c>
      <c r="C270">
        <v>111</v>
      </c>
      <c r="D270">
        <v>1.1461000000000001E-2</v>
      </c>
      <c r="E270">
        <v>26.61</v>
      </c>
      <c r="F270">
        <v>1</v>
      </c>
      <c r="G270">
        <v>6.59335106611251E-2</v>
      </c>
      <c r="H270">
        <v>537.65484915657396</v>
      </c>
      <c r="I270">
        <v>45.324035315344901</v>
      </c>
      <c r="K270">
        <v>6.8491131067276001E-2</v>
      </c>
      <c r="L270" s="2">
        <f t="shared" si="14"/>
        <v>3.8790902842958941</v>
      </c>
      <c r="N270">
        <v>45.199478149414063</v>
      </c>
      <c r="O270">
        <v>535.30816650390625</v>
      </c>
      <c r="P270" s="2">
        <f t="shared" si="12"/>
        <v>-0.27481481969604804</v>
      </c>
      <c r="Q270" s="2">
        <f t="shared" si="13"/>
        <v>-0.43646637919270714</v>
      </c>
    </row>
    <row r="271" spans="1:17" x14ac:dyDescent="0.3">
      <c r="A271" t="s">
        <v>292</v>
      </c>
      <c r="B271">
        <v>74.5</v>
      </c>
      <c r="C271">
        <v>107.7</v>
      </c>
      <c r="D271">
        <v>2.4445000000000001E-2</v>
      </c>
      <c r="E271">
        <v>35</v>
      </c>
      <c r="F271">
        <v>1</v>
      </c>
      <c r="G271">
        <v>0.15280517935752799</v>
      </c>
      <c r="H271">
        <v>587.22249847335604</v>
      </c>
      <c r="I271">
        <v>76.003768815751499</v>
      </c>
      <c r="K271">
        <v>0.13618148863315579</v>
      </c>
      <c r="L271" s="2">
        <f t="shared" si="14"/>
        <v>-10.879009987925011</v>
      </c>
      <c r="N271">
        <v>76.711151123046875</v>
      </c>
      <c r="O271">
        <v>580.60595703125</v>
      </c>
      <c r="P271" s="2">
        <f t="shared" si="12"/>
        <v>0.93072003969989114</v>
      </c>
      <c r="Q271" s="2">
        <f t="shared" si="13"/>
        <v>-1.1267520333957797</v>
      </c>
    </row>
    <row r="272" spans="1:17" x14ac:dyDescent="0.3">
      <c r="A272" t="s">
        <v>293</v>
      </c>
      <c r="B272">
        <v>87.5</v>
      </c>
      <c r="C272">
        <v>114.8</v>
      </c>
      <c r="D272">
        <v>2.6325000000000001E-2</v>
      </c>
      <c r="E272">
        <v>31.08</v>
      </c>
      <c r="F272">
        <v>1.02</v>
      </c>
      <c r="G272">
        <v>0.13409620523452701</v>
      </c>
      <c r="H272">
        <v>569.564907172326</v>
      </c>
      <c r="I272">
        <v>91.428385259666697</v>
      </c>
      <c r="K272">
        <v>0.13342465460300451</v>
      </c>
      <c r="L272" s="2">
        <f t="shared" si="14"/>
        <v>-0.50079764028220497</v>
      </c>
      <c r="N272">
        <v>93.8421630859375</v>
      </c>
      <c r="O272">
        <v>561.9827880859375</v>
      </c>
      <c r="P272" s="2">
        <f t="shared" si="12"/>
        <v>2.6400748732632731</v>
      </c>
      <c r="Q272" s="2">
        <f t="shared" si="13"/>
        <v>-1.3312124730490948</v>
      </c>
    </row>
    <row r="273" spans="1:17" x14ac:dyDescent="0.3">
      <c r="A273" t="s">
        <v>294</v>
      </c>
      <c r="B273">
        <v>45.9</v>
      </c>
      <c r="C273">
        <v>108.2</v>
      </c>
      <c r="D273">
        <v>1.1587999999999999E-2</v>
      </c>
      <c r="E273">
        <v>35</v>
      </c>
      <c r="F273">
        <v>1.01</v>
      </c>
      <c r="G273">
        <v>7.1005076169967596E-2</v>
      </c>
      <c r="H273">
        <v>589.555800608499</v>
      </c>
      <c r="I273">
        <v>36.125007850371098</v>
      </c>
      <c r="K273">
        <v>6.9632589817047119E-2</v>
      </c>
      <c r="L273" s="2">
        <f t="shared" si="14"/>
        <v>-1.9329411740015643</v>
      </c>
      <c r="N273">
        <v>35.160404205322273</v>
      </c>
      <c r="O273">
        <v>583.87225341796875</v>
      </c>
      <c r="P273" s="2">
        <f t="shared" si="12"/>
        <v>-2.670182520220314</v>
      </c>
      <c r="Q273" s="2">
        <f t="shared" si="13"/>
        <v>-0.96403888905241564</v>
      </c>
    </row>
    <row r="274" spans="1:17" x14ac:dyDescent="0.3">
      <c r="A274" t="s">
        <v>295</v>
      </c>
      <c r="B274">
        <v>44.5</v>
      </c>
      <c r="C274">
        <v>114.4</v>
      </c>
      <c r="D274">
        <v>7.8689999999999993E-3</v>
      </c>
      <c r="E274">
        <v>24.35</v>
      </c>
      <c r="F274">
        <v>1</v>
      </c>
      <c r="G274">
        <v>4.1892915964126497E-2</v>
      </c>
      <c r="H274">
        <v>525.06437046441397</v>
      </c>
      <c r="I274">
        <v>34.4849391114778</v>
      </c>
      <c r="K274">
        <v>4.2301438748836517E-2</v>
      </c>
      <c r="L274" s="2">
        <f t="shared" si="14"/>
        <v>0.97515958320935348</v>
      </c>
      <c r="N274">
        <v>32.481449127197273</v>
      </c>
      <c r="O274">
        <v>520.14251708984375</v>
      </c>
      <c r="P274" s="2">
        <f t="shared" si="12"/>
        <v>-5.8097535791028712</v>
      </c>
      <c r="Q274" s="2">
        <f t="shared" si="13"/>
        <v>-0.93738094820962448</v>
      </c>
    </row>
    <row r="275" spans="1:17" x14ac:dyDescent="0.3">
      <c r="A275" t="s">
        <v>296</v>
      </c>
      <c r="B275">
        <v>78.7</v>
      </c>
      <c r="C275">
        <v>110.8</v>
      </c>
      <c r="D275">
        <v>2.307E-2</v>
      </c>
      <c r="E275">
        <v>30.45</v>
      </c>
      <c r="F275">
        <v>1</v>
      </c>
      <c r="G275">
        <v>0.13113379478454501</v>
      </c>
      <c r="H275">
        <v>560.64348305032399</v>
      </c>
      <c r="I275">
        <v>80.952256745625903</v>
      </c>
      <c r="K275">
        <v>0.1245356574654579</v>
      </c>
      <c r="L275" s="2">
        <f t="shared" si="14"/>
        <v>-5.031607092533207</v>
      </c>
      <c r="N275">
        <v>81.9967041015625</v>
      </c>
      <c r="O275">
        <v>554.52691650390625</v>
      </c>
      <c r="P275" s="2">
        <f t="shared" si="12"/>
        <v>1.2902016545610784</v>
      </c>
      <c r="Q275" s="2">
        <f t="shared" si="13"/>
        <v>-1.090990394312443</v>
      </c>
    </row>
    <row r="276" spans="1:17" x14ac:dyDescent="0.3">
      <c r="A276" t="s">
        <v>297</v>
      </c>
      <c r="B276">
        <v>73.2</v>
      </c>
      <c r="C276">
        <v>110.6</v>
      </c>
      <c r="D276">
        <v>2.1381000000000001E-2</v>
      </c>
      <c r="E276">
        <v>31.24</v>
      </c>
      <c r="F276">
        <v>1.02</v>
      </c>
      <c r="G276">
        <v>0.121888287365436</v>
      </c>
      <c r="H276">
        <v>569.33791554474499</v>
      </c>
      <c r="I276">
        <v>73.464342113404101</v>
      </c>
      <c r="K276">
        <v>0.1166713312268257</v>
      </c>
      <c r="L276" s="2">
        <f t="shared" si="14"/>
        <v>-4.2801127584713914</v>
      </c>
      <c r="N276">
        <v>75.367431640625</v>
      </c>
      <c r="O276">
        <v>562.6304931640625</v>
      </c>
      <c r="P276" s="2">
        <f t="shared" si="12"/>
        <v>2.5904942077656843</v>
      </c>
      <c r="Q276" s="2">
        <f t="shared" si="13"/>
        <v>-1.178109203260211</v>
      </c>
    </row>
    <row r="277" spans="1:17" x14ac:dyDescent="0.3">
      <c r="A277" t="s">
        <v>298</v>
      </c>
      <c r="B277">
        <v>78.900000000000006</v>
      </c>
      <c r="C277">
        <v>111.4</v>
      </c>
      <c r="D277">
        <v>2.4115999999999999E-2</v>
      </c>
      <c r="E277">
        <v>32.130000000000003</v>
      </c>
      <c r="F277">
        <v>1</v>
      </c>
      <c r="G277">
        <v>0.13370476663112599</v>
      </c>
      <c r="H277">
        <v>570.87941009036604</v>
      </c>
      <c r="I277">
        <v>80.941407663418701</v>
      </c>
      <c r="K277">
        <v>0.12887176871299741</v>
      </c>
      <c r="L277" s="2">
        <f t="shared" si="14"/>
        <v>-3.6146788479592429</v>
      </c>
      <c r="N277">
        <v>82.216415405273438</v>
      </c>
      <c r="O277">
        <v>564.97052001953125</v>
      </c>
      <c r="P277" s="2">
        <f t="shared" si="12"/>
        <v>1.5752230887269008</v>
      </c>
      <c r="Q277" s="2">
        <f t="shared" si="13"/>
        <v>-1.035050479382231</v>
      </c>
    </row>
    <row r="278" spans="1:17" x14ac:dyDescent="0.3">
      <c r="A278" t="s">
        <v>299</v>
      </c>
      <c r="B278">
        <v>81.7</v>
      </c>
      <c r="C278">
        <v>104</v>
      </c>
      <c r="D278">
        <v>2.5255E-2</v>
      </c>
      <c r="E278">
        <v>30.82</v>
      </c>
      <c r="F278">
        <v>1</v>
      </c>
      <c r="G278">
        <v>0.190610751509666</v>
      </c>
      <c r="H278">
        <v>561.45572004223698</v>
      </c>
      <c r="I278">
        <v>87.409222511304606</v>
      </c>
      <c r="K278">
        <v>0.14803117513656619</v>
      </c>
      <c r="L278" s="2">
        <f t="shared" si="14"/>
        <v>-22.338496667088879</v>
      </c>
      <c r="N278">
        <v>88.046676635742188</v>
      </c>
      <c r="O278">
        <v>553.5906982421875</v>
      </c>
      <c r="P278" s="2">
        <f t="shared" si="12"/>
        <v>0.72927559143446252</v>
      </c>
      <c r="Q278" s="2">
        <f t="shared" si="13"/>
        <v>-1.4008267293915555</v>
      </c>
    </row>
    <row r="279" spans="1:17" x14ac:dyDescent="0.3">
      <c r="A279" t="s">
        <v>300</v>
      </c>
      <c r="B279">
        <v>71.3</v>
      </c>
      <c r="C279">
        <v>109.5</v>
      </c>
      <c r="D279">
        <v>1.9243E-2</v>
      </c>
      <c r="E279">
        <v>28.54</v>
      </c>
      <c r="F279">
        <v>1</v>
      </c>
      <c r="G279">
        <v>0.115134589374065</v>
      </c>
      <c r="H279">
        <v>548.8641825707</v>
      </c>
      <c r="I279">
        <v>71.392908152648403</v>
      </c>
      <c r="K279">
        <v>0.1077319905161858</v>
      </c>
      <c r="L279" s="2">
        <f t="shared" si="14"/>
        <v>-6.4295177479885028</v>
      </c>
      <c r="N279">
        <v>72.036529541015625</v>
      </c>
      <c r="O279">
        <v>542.1300048828125</v>
      </c>
      <c r="P279" s="2">
        <f t="shared" si="12"/>
        <v>0.90152005993517792</v>
      </c>
      <c r="Q279" s="2">
        <f t="shared" si="13"/>
        <v>-1.2269297035100402</v>
      </c>
    </row>
    <row r="280" spans="1:17" x14ac:dyDescent="0.3">
      <c r="A280" t="s">
        <v>301</v>
      </c>
      <c r="B280">
        <v>63</v>
      </c>
      <c r="C280">
        <v>124.5</v>
      </c>
      <c r="D280">
        <v>1.1023E-2</v>
      </c>
      <c r="E280">
        <v>20</v>
      </c>
      <c r="F280">
        <v>1</v>
      </c>
      <c r="G280">
        <v>5.19181005656719E-2</v>
      </c>
      <c r="H280">
        <v>503.11626014901202</v>
      </c>
      <c r="I280">
        <v>59.1517422909657</v>
      </c>
      <c r="K280">
        <v>5.1164101809263229E-2</v>
      </c>
      <c r="L280" s="2">
        <f t="shared" si="14"/>
        <v>-1.4522849414626167</v>
      </c>
      <c r="N280">
        <v>60.072132110595703</v>
      </c>
      <c r="O280">
        <v>495.01052856445313</v>
      </c>
      <c r="P280" s="2">
        <f t="shared" si="12"/>
        <v>1.5559809127897406</v>
      </c>
      <c r="Q280" s="2">
        <f t="shared" si="13"/>
        <v>-1.6111050718492295</v>
      </c>
    </row>
    <row r="281" spans="1:17" x14ac:dyDescent="0.3">
      <c r="A281" t="s">
        <v>302</v>
      </c>
      <c r="B281">
        <v>44.6</v>
      </c>
      <c r="C281">
        <v>119.1</v>
      </c>
      <c r="D281">
        <v>7.7739999999999997E-3</v>
      </c>
      <c r="E281">
        <v>24.87</v>
      </c>
      <c r="F281">
        <v>1</v>
      </c>
      <c r="G281">
        <v>3.7737872451543801E-2</v>
      </c>
      <c r="H281">
        <v>529.85429822235005</v>
      </c>
      <c r="I281">
        <v>33.559278987166401</v>
      </c>
      <c r="K281">
        <v>3.6342065781354897E-2</v>
      </c>
      <c r="L281" s="2">
        <f t="shared" si="14"/>
        <v>-3.6986893524036049</v>
      </c>
      <c r="N281">
        <v>31.760740280151371</v>
      </c>
      <c r="O281">
        <v>524.955078125</v>
      </c>
      <c r="P281" s="2">
        <f t="shared" si="12"/>
        <v>-5.359288880141972</v>
      </c>
      <c r="Q281" s="2">
        <f t="shared" si="13"/>
        <v>-0.92463534103372058</v>
      </c>
    </row>
    <row r="282" spans="1:17" x14ac:dyDescent="0.3">
      <c r="A282" t="s">
        <v>303</v>
      </c>
      <c r="B282">
        <v>49.9</v>
      </c>
      <c r="C282">
        <v>130</v>
      </c>
      <c r="D282">
        <v>8.1700000000000002E-3</v>
      </c>
      <c r="E282">
        <v>23.46</v>
      </c>
      <c r="F282">
        <v>1</v>
      </c>
      <c r="G282">
        <v>3.6265417933464002E-2</v>
      </c>
      <c r="H282">
        <v>527.18829180160299</v>
      </c>
      <c r="I282">
        <v>38.9350182318938</v>
      </c>
      <c r="K282">
        <v>3.8442008197307587E-2</v>
      </c>
      <c r="L282" s="2">
        <f t="shared" si="14"/>
        <v>6.0018342207911832</v>
      </c>
      <c r="N282">
        <v>39.178237915039063</v>
      </c>
      <c r="O282">
        <v>521.690185546875</v>
      </c>
      <c r="P282" s="2">
        <f t="shared" si="12"/>
        <v>0.62468105625806114</v>
      </c>
      <c r="Q282" s="2">
        <f t="shared" si="13"/>
        <v>-1.0429112975819066</v>
      </c>
    </row>
    <row r="283" spans="1:17" x14ac:dyDescent="0.3">
      <c r="A283" t="s">
        <v>304</v>
      </c>
      <c r="B283">
        <v>72.3</v>
      </c>
      <c r="C283">
        <v>100</v>
      </c>
      <c r="D283">
        <v>2.0531000000000001E-2</v>
      </c>
      <c r="E283">
        <v>28.87</v>
      </c>
      <c r="F283">
        <v>1</v>
      </c>
      <c r="G283">
        <v>0.20264606177806799</v>
      </c>
      <c r="H283">
        <v>549.20898741352801</v>
      </c>
      <c r="I283">
        <v>76.645207719141894</v>
      </c>
      <c r="K283">
        <v>0.13716940581798551</v>
      </c>
      <c r="L283" s="2">
        <f t="shared" si="14"/>
        <v>-32.310845513391023</v>
      </c>
      <c r="N283">
        <v>73.844635009765625</v>
      </c>
      <c r="O283">
        <v>542.10986328125</v>
      </c>
      <c r="P283" s="2">
        <f t="shared" si="12"/>
        <v>-3.6539436616033005</v>
      </c>
      <c r="Q283" s="2">
        <f t="shared" si="13"/>
        <v>-1.2926088784000009</v>
      </c>
    </row>
    <row r="284" spans="1:17" x14ac:dyDescent="0.3">
      <c r="A284" t="s">
        <v>305</v>
      </c>
      <c r="B284">
        <v>48.7</v>
      </c>
      <c r="C284">
        <v>105.8</v>
      </c>
      <c r="D284">
        <v>1.2983E-2</v>
      </c>
      <c r="E284">
        <v>35</v>
      </c>
      <c r="F284">
        <v>1.3</v>
      </c>
      <c r="G284">
        <v>8.7923146784305503E-2</v>
      </c>
      <c r="H284">
        <v>653.58854466087098</v>
      </c>
      <c r="I284">
        <v>42.6373222298851</v>
      </c>
      <c r="K284">
        <v>9.1295942664146423E-2</v>
      </c>
      <c r="L284" s="2">
        <f t="shared" si="14"/>
        <v>3.8360727558069754</v>
      </c>
      <c r="N284">
        <v>42.401065826416023</v>
      </c>
      <c r="O284">
        <v>646.76446533203125</v>
      </c>
      <c r="P284" s="2">
        <f t="shared" si="12"/>
        <v>-0.55410703841875486</v>
      </c>
      <c r="Q284" s="2">
        <f t="shared" si="13"/>
        <v>-1.0440940840510839</v>
      </c>
    </row>
    <row r="285" spans="1:17" x14ac:dyDescent="0.3">
      <c r="A285" t="s">
        <v>306</v>
      </c>
      <c r="B285">
        <v>64.2</v>
      </c>
      <c r="C285">
        <v>130</v>
      </c>
      <c r="D285">
        <v>1.1204E-2</v>
      </c>
      <c r="E285">
        <v>21.19</v>
      </c>
      <c r="F285">
        <v>1</v>
      </c>
      <c r="G285">
        <v>5.0504032522439901E-2</v>
      </c>
      <c r="H285">
        <v>513.56829180160196</v>
      </c>
      <c r="I285">
        <v>57.585528052712498</v>
      </c>
      <c r="K285">
        <v>5.8052252978086472E-2</v>
      </c>
      <c r="L285" s="2">
        <f t="shared" si="14"/>
        <v>14.945777750108871</v>
      </c>
      <c r="N285">
        <v>60.224559783935547</v>
      </c>
      <c r="O285">
        <v>502.1231689453125</v>
      </c>
      <c r="P285" s="2">
        <f t="shared" si="12"/>
        <v>4.5828037363959551</v>
      </c>
      <c r="Q285" s="2">
        <f t="shared" si="13"/>
        <v>-2.228549355362238</v>
      </c>
    </row>
    <row r="286" spans="1:17" x14ac:dyDescent="0.3">
      <c r="A286" t="s">
        <v>307</v>
      </c>
      <c r="B286">
        <v>48.6</v>
      </c>
      <c r="C286">
        <v>103.2</v>
      </c>
      <c r="D286">
        <v>1.3067E-2</v>
      </c>
      <c r="E286">
        <v>35</v>
      </c>
      <c r="F286">
        <v>1</v>
      </c>
      <c r="G286">
        <v>0.10217163711786199</v>
      </c>
      <c r="H286">
        <v>586.41060155888601</v>
      </c>
      <c r="I286">
        <v>40.566502395698599</v>
      </c>
      <c r="K286">
        <v>9.9250733852386475E-2</v>
      </c>
      <c r="L286" s="2">
        <f t="shared" si="14"/>
        <v>-2.8588200677513433</v>
      </c>
      <c r="N286">
        <v>41.166435241699219</v>
      </c>
      <c r="O286">
        <v>581.23358154296875</v>
      </c>
      <c r="P286" s="2">
        <f t="shared" si="12"/>
        <v>1.4788872852499912</v>
      </c>
      <c r="Q286" s="2">
        <f t="shared" si="13"/>
        <v>-0.8828319273483326</v>
      </c>
    </row>
    <row r="287" spans="1:17" x14ac:dyDescent="0.3">
      <c r="A287" t="s">
        <v>308</v>
      </c>
      <c r="B287">
        <v>68.5</v>
      </c>
      <c r="C287">
        <v>100</v>
      </c>
      <c r="D287">
        <v>2.1545999999999999E-2</v>
      </c>
      <c r="E287">
        <v>33.479999999999997</v>
      </c>
      <c r="F287">
        <v>1</v>
      </c>
      <c r="G287">
        <v>0.21155050396919201</v>
      </c>
      <c r="H287">
        <v>576.86898741352798</v>
      </c>
      <c r="I287">
        <v>70.272787174259193</v>
      </c>
      <c r="K287">
        <v>0.14399909973144531</v>
      </c>
      <c r="L287" s="2">
        <f t="shared" si="14"/>
        <v>-31.931573298253248</v>
      </c>
      <c r="N287">
        <v>69.089103698730469</v>
      </c>
      <c r="O287">
        <v>571.37225341796875</v>
      </c>
      <c r="P287" s="2">
        <f t="shared" si="12"/>
        <v>-1.6844123068485686</v>
      </c>
      <c r="Q287" s="2">
        <f t="shared" si="13"/>
        <v>-0.95285656110663774</v>
      </c>
    </row>
    <row r="288" spans="1:17" x14ac:dyDescent="0.3">
      <c r="A288" t="s">
        <v>309</v>
      </c>
      <c r="B288">
        <v>51.4</v>
      </c>
      <c r="C288">
        <v>114.1</v>
      </c>
      <c r="D288">
        <v>1.2083E-2</v>
      </c>
      <c r="E288">
        <v>30.39</v>
      </c>
      <c r="F288">
        <v>1</v>
      </c>
      <c r="G288">
        <v>6.2719099223613697E-2</v>
      </c>
      <c r="H288">
        <v>561.21124127383996</v>
      </c>
      <c r="I288">
        <v>42.722942400480697</v>
      </c>
      <c r="K288">
        <v>6.2117259949445718E-2</v>
      </c>
      <c r="L288" s="2">
        <f t="shared" si="14"/>
        <v>-0.95957895061953913</v>
      </c>
      <c r="N288">
        <v>42.459499359130859</v>
      </c>
      <c r="O288">
        <v>554.87139892578125</v>
      </c>
      <c r="P288" s="2">
        <f t="shared" si="12"/>
        <v>-0.61663131457648324</v>
      </c>
      <c r="Q288" s="2">
        <f t="shared" si="13"/>
        <v>-1.1296713041008419</v>
      </c>
    </row>
    <row r="289" spans="1:17" x14ac:dyDescent="0.3">
      <c r="A289" t="s">
        <v>310</v>
      </c>
      <c r="B289">
        <v>88.5</v>
      </c>
      <c r="C289">
        <v>125.3</v>
      </c>
      <c r="D289">
        <v>1.7746000000000001E-2</v>
      </c>
      <c r="E289">
        <v>20.49</v>
      </c>
      <c r="F289">
        <v>1</v>
      </c>
      <c r="G289">
        <v>8.2684002816677094E-2</v>
      </c>
      <c r="H289">
        <v>506.48383878852297</v>
      </c>
      <c r="I289">
        <v>93.390578865048695</v>
      </c>
      <c r="K289">
        <v>8.2847602665424347E-2</v>
      </c>
      <c r="L289" s="2">
        <f t="shared" si="14"/>
        <v>0.1978615489987573</v>
      </c>
      <c r="N289">
        <v>96.045135498046875</v>
      </c>
      <c r="O289">
        <v>499.7247314453125</v>
      </c>
      <c r="P289" s="2">
        <f t="shared" si="12"/>
        <v>2.8424244343040943</v>
      </c>
      <c r="Q289" s="2">
        <f t="shared" si="13"/>
        <v>-1.334515896771322</v>
      </c>
    </row>
    <row r="290" spans="1:17" x14ac:dyDescent="0.3">
      <c r="A290" t="s">
        <v>311</v>
      </c>
      <c r="B290">
        <v>80.7</v>
      </c>
      <c r="C290">
        <v>116.2</v>
      </c>
      <c r="D290">
        <v>2.2353999999999999E-2</v>
      </c>
      <c r="E290">
        <v>29.31</v>
      </c>
      <c r="F290">
        <v>1</v>
      </c>
      <c r="G290">
        <v>0.11138097941875399</v>
      </c>
      <c r="H290">
        <v>555.41585194352797</v>
      </c>
      <c r="I290">
        <v>82.629642295470006</v>
      </c>
      <c r="K290">
        <v>0.1101929843425751</v>
      </c>
      <c r="L290" s="2">
        <f t="shared" si="14"/>
        <v>-1.0666049826267399</v>
      </c>
      <c r="N290">
        <v>83.201850891113281</v>
      </c>
      <c r="O290">
        <v>546.8394775390625</v>
      </c>
      <c r="P290" s="2">
        <f t="shared" si="12"/>
        <v>0.69249797015597769</v>
      </c>
      <c r="Q290" s="2">
        <f t="shared" si="13"/>
        <v>-1.5441356912041238</v>
      </c>
    </row>
    <row r="291" spans="1:17" x14ac:dyDescent="0.3">
      <c r="A291" t="s">
        <v>312</v>
      </c>
      <c r="B291">
        <v>68.599999999999994</v>
      </c>
      <c r="C291">
        <v>124.8</v>
      </c>
      <c r="D291">
        <v>1.3089E-2</v>
      </c>
      <c r="E291">
        <v>21.47</v>
      </c>
      <c r="F291">
        <v>1</v>
      </c>
      <c r="G291">
        <v>6.0799844563007299E-2</v>
      </c>
      <c r="H291">
        <v>512.09462636836804</v>
      </c>
      <c r="I291">
        <v>66.233518459912005</v>
      </c>
      <c r="K291">
        <v>6.5021909773349762E-2</v>
      </c>
      <c r="L291" s="2">
        <f t="shared" si="14"/>
        <v>6.9442039542833163</v>
      </c>
      <c r="N291">
        <v>66.60455322265625</v>
      </c>
      <c r="O291">
        <v>506.47332763671881</v>
      </c>
      <c r="P291" s="2">
        <f t="shared" si="12"/>
        <v>0.56019183545082873</v>
      </c>
      <c r="Q291" s="2">
        <f t="shared" si="13"/>
        <v>-1.0977070334664341</v>
      </c>
    </row>
    <row r="292" spans="1:17" x14ac:dyDescent="0.3">
      <c r="A292" t="s">
        <v>313</v>
      </c>
      <c r="B292">
        <v>66.3</v>
      </c>
      <c r="C292">
        <v>114.6</v>
      </c>
      <c r="D292">
        <v>1.4463E-2</v>
      </c>
      <c r="E292">
        <v>23.55</v>
      </c>
      <c r="F292">
        <v>1</v>
      </c>
      <c r="G292">
        <v>7.7071510255336706E-2</v>
      </c>
      <c r="H292">
        <v>520.32730548560301</v>
      </c>
      <c r="I292">
        <v>64.545725060036801</v>
      </c>
      <c r="K292">
        <v>7.7211104333400726E-2</v>
      </c>
      <c r="L292" s="2">
        <f t="shared" si="14"/>
        <v>0.18112280089172686</v>
      </c>
      <c r="N292">
        <v>62.874832153320313</v>
      </c>
      <c r="O292">
        <v>513.476806640625</v>
      </c>
      <c r="P292" s="2">
        <f t="shared" si="12"/>
        <v>-2.5886964708542948</v>
      </c>
      <c r="Q292" s="2">
        <f t="shared" si="13"/>
        <v>-1.3165749275035026</v>
      </c>
    </row>
    <row r="293" spans="1:17" x14ac:dyDescent="0.3">
      <c r="A293" t="s">
        <v>314</v>
      </c>
      <c r="B293">
        <v>55.9</v>
      </c>
      <c r="C293">
        <v>113.1</v>
      </c>
      <c r="D293">
        <v>1.2534E-2</v>
      </c>
      <c r="E293">
        <v>26.77</v>
      </c>
      <c r="F293">
        <v>1</v>
      </c>
      <c r="G293">
        <v>6.7921958863735199E-2</v>
      </c>
      <c r="H293">
        <v>539.19165791054695</v>
      </c>
      <c r="I293">
        <v>49.666081875882298</v>
      </c>
      <c r="K293">
        <v>6.9554828107357025E-2</v>
      </c>
      <c r="L293" s="2">
        <f t="shared" si="14"/>
        <v>2.4040373259812524</v>
      </c>
      <c r="N293">
        <v>49.228755950927727</v>
      </c>
      <c r="O293">
        <v>535.1824951171875</v>
      </c>
      <c r="P293" s="2">
        <f t="shared" si="12"/>
        <v>-0.88053236421481307</v>
      </c>
      <c r="Q293" s="2">
        <f t="shared" si="13"/>
        <v>-0.74355059736932716</v>
      </c>
    </row>
    <row r="294" spans="1:17" x14ac:dyDescent="0.3">
      <c r="A294" t="s">
        <v>315</v>
      </c>
      <c r="B294">
        <v>70.5</v>
      </c>
      <c r="C294">
        <v>112.5</v>
      </c>
      <c r="D294">
        <v>1.6191000000000001E-2</v>
      </c>
      <c r="E294">
        <v>23.95</v>
      </c>
      <c r="F294">
        <v>1</v>
      </c>
      <c r="G294">
        <v>9.0578846633434296E-2</v>
      </c>
      <c r="H294">
        <v>522.09974859616602</v>
      </c>
      <c r="I294">
        <v>70.474645909964195</v>
      </c>
      <c r="K294">
        <v>9.2780306935310364E-2</v>
      </c>
      <c r="L294" s="2">
        <f t="shared" si="14"/>
        <v>2.4304353430169083</v>
      </c>
      <c r="N294">
        <v>70.180160522460938</v>
      </c>
      <c r="O294">
        <v>515.1044921875</v>
      </c>
      <c r="P294" s="2">
        <f t="shared" si="12"/>
        <v>-0.41786004555380313</v>
      </c>
      <c r="Q294" s="2">
        <f t="shared" si="13"/>
        <v>-1.3398314072119422</v>
      </c>
    </row>
    <row r="295" spans="1:17" x14ac:dyDescent="0.3">
      <c r="A295" t="s">
        <v>316</v>
      </c>
      <c r="B295">
        <v>57</v>
      </c>
      <c r="C295">
        <v>124</v>
      </c>
      <c r="D295">
        <v>1.0482999999999999E-2</v>
      </c>
      <c r="E295">
        <v>22.73</v>
      </c>
      <c r="F295">
        <v>1</v>
      </c>
      <c r="G295">
        <v>4.8562075942754697E-2</v>
      </c>
      <c r="H295">
        <v>519.237475531781</v>
      </c>
      <c r="I295">
        <v>50.275954977208997</v>
      </c>
      <c r="K295">
        <v>5.1440790295600891E-2</v>
      </c>
      <c r="L295" s="2">
        <f t="shared" si="14"/>
        <v>5.9279062868721724</v>
      </c>
      <c r="N295">
        <v>49.435131072998047</v>
      </c>
      <c r="O295">
        <v>513.2584228515625</v>
      </c>
      <c r="P295" s="2">
        <f t="shared" si="12"/>
        <v>-1.6724175693770726</v>
      </c>
      <c r="Q295" s="2">
        <f t="shared" si="13"/>
        <v>-1.1515063842599207</v>
      </c>
    </row>
    <row r="296" spans="1:17" x14ac:dyDescent="0.3">
      <c r="A296" t="s">
        <v>317</v>
      </c>
      <c r="B296">
        <v>53.6</v>
      </c>
      <c r="C296">
        <v>129</v>
      </c>
      <c r="D296">
        <v>1.0553999999999999E-2</v>
      </c>
      <c r="E296">
        <v>27.73</v>
      </c>
      <c r="F296">
        <v>1</v>
      </c>
      <c r="G296">
        <v>4.5854996889829601E-2</v>
      </c>
      <c r="H296">
        <v>552.13697375779498</v>
      </c>
      <c r="I296">
        <v>42.825957494941399</v>
      </c>
      <c r="K296">
        <v>4.5678097754716873E-2</v>
      </c>
      <c r="L296" s="2">
        <f t="shared" si="14"/>
        <v>-0.38577940706820346</v>
      </c>
      <c r="N296">
        <v>42.890998840332031</v>
      </c>
      <c r="O296">
        <v>548.01434326171875</v>
      </c>
      <c r="P296" s="2">
        <f t="shared" si="12"/>
        <v>0.15187365139078357</v>
      </c>
      <c r="Q296" s="2">
        <f t="shared" si="13"/>
        <v>-0.7466680718767974</v>
      </c>
    </row>
    <row r="297" spans="1:17" x14ac:dyDescent="0.3">
      <c r="A297" t="s">
        <v>318</v>
      </c>
      <c r="B297">
        <v>85.9</v>
      </c>
      <c r="C297">
        <v>122.7</v>
      </c>
      <c r="D297">
        <v>2.3122E-2</v>
      </c>
      <c r="E297">
        <v>29.44</v>
      </c>
      <c r="F297">
        <v>1</v>
      </c>
      <c r="G297">
        <v>0.10428016632795301</v>
      </c>
      <c r="H297">
        <v>558.85382991590598</v>
      </c>
      <c r="I297">
        <v>86.748887322868001</v>
      </c>
      <c r="K297">
        <v>0.1023674309253693</v>
      </c>
      <c r="L297" s="2">
        <f t="shared" si="14"/>
        <v>-1.834227418249696</v>
      </c>
      <c r="N297">
        <v>88.867965698242188</v>
      </c>
      <c r="O297">
        <v>548.8328857421875</v>
      </c>
      <c r="P297" s="2">
        <f t="shared" si="12"/>
        <v>2.4427729746979399</v>
      </c>
      <c r="Q297" s="2">
        <f t="shared" si="13"/>
        <v>-1.7931243622731166</v>
      </c>
    </row>
    <row r="298" spans="1:17" x14ac:dyDescent="0.3">
      <c r="A298" t="s">
        <v>319</v>
      </c>
      <c r="B298">
        <v>67.099999999999994</v>
      </c>
      <c r="C298">
        <v>124.4</v>
      </c>
      <c r="D298">
        <v>1.5552E-2</v>
      </c>
      <c r="E298">
        <v>27.84</v>
      </c>
      <c r="F298">
        <v>1</v>
      </c>
      <c r="G298">
        <v>6.9587036967277499E-2</v>
      </c>
      <c r="H298">
        <v>550.10399063305499</v>
      </c>
      <c r="I298">
        <v>62.301337750990797</v>
      </c>
      <c r="K298">
        <v>7.7553525567054749E-2</v>
      </c>
      <c r="L298" s="2">
        <f t="shared" si="14"/>
        <v>11.44823654946452</v>
      </c>
      <c r="N298">
        <v>63.044506072998047</v>
      </c>
      <c r="O298">
        <v>541.9407958984375</v>
      </c>
      <c r="P298" s="2">
        <f t="shared" si="12"/>
        <v>1.1928609381994069</v>
      </c>
      <c r="Q298" s="2">
        <f t="shared" si="13"/>
        <v>-1.4839366508182128</v>
      </c>
    </row>
    <row r="299" spans="1:17" x14ac:dyDescent="0.3">
      <c r="A299" t="s">
        <v>320</v>
      </c>
      <c r="B299">
        <v>55.3</v>
      </c>
      <c r="C299">
        <v>107.2</v>
      </c>
      <c r="D299">
        <v>1.4897000000000001E-2</v>
      </c>
      <c r="E299">
        <v>32.47</v>
      </c>
      <c r="F299">
        <v>1</v>
      </c>
      <c r="G299">
        <v>9.5852702856063801E-2</v>
      </c>
      <c r="H299">
        <v>571.93897998859995</v>
      </c>
      <c r="I299">
        <v>49.244737984945502</v>
      </c>
      <c r="K299">
        <v>9.473903477191925E-2</v>
      </c>
      <c r="L299" s="2">
        <f t="shared" si="14"/>
        <v>-1.1618536055439965</v>
      </c>
      <c r="N299">
        <v>49.824432373046882</v>
      </c>
      <c r="O299">
        <v>563.0103759765625</v>
      </c>
      <c r="P299" s="2">
        <f t="shared" si="12"/>
        <v>1.1771702151783148</v>
      </c>
      <c r="Q299" s="2">
        <f t="shared" si="13"/>
        <v>-1.5611112941131273</v>
      </c>
    </row>
    <row r="300" spans="1:17" x14ac:dyDescent="0.3">
      <c r="A300" t="s">
        <v>321</v>
      </c>
      <c r="B300">
        <v>61.3</v>
      </c>
      <c r="C300">
        <v>111.2</v>
      </c>
      <c r="D300">
        <v>1.1604E-2</v>
      </c>
      <c r="E300">
        <v>20</v>
      </c>
      <c r="F300">
        <v>1</v>
      </c>
      <c r="G300">
        <v>6.9049715995788505E-2</v>
      </c>
      <c r="H300">
        <v>498.04682359248602</v>
      </c>
      <c r="I300">
        <v>58.730311243814398</v>
      </c>
      <c r="K300">
        <v>6.5653637051582336E-2</v>
      </c>
      <c r="L300" s="2">
        <f t="shared" si="14"/>
        <v>-4.9183097935019786</v>
      </c>
      <c r="N300">
        <v>57.418407440185547</v>
      </c>
      <c r="O300">
        <v>488.98284912109381</v>
      </c>
      <c r="P300" s="2">
        <f t="shared" si="12"/>
        <v>-2.2337763513334421</v>
      </c>
      <c r="Q300" s="2">
        <f t="shared" si="13"/>
        <v>-1.8199040817111161</v>
      </c>
    </row>
    <row r="301" spans="1:17" x14ac:dyDescent="0.3">
      <c r="A301" t="s">
        <v>322</v>
      </c>
      <c r="B301">
        <v>44.7</v>
      </c>
      <c r="C301">
        <v>121.3</v>
      </c>
      <c r="D301">
        <v>8.5450000000000005E-3</v>
      </c>
      <c r="E301">
        <v>28.49</v>
      </c>
      <c r="F301">
        <v>1</v>
      </c>
      <c r="G301">
        <v>3.9368148893117898E-2</v>
      </c>
      <c r="H301">
        <v>552.50555983149297</v>
      </c>
      <c r="I301">
        <v>33.028755498711099</v>
      </c>
      <c r="K301">
        <v>3.8810629397630692E-2</v>
      </c>
      <c r="L301" s="2">
        <f t="shared" si="14"/>
        <v>-1.4161689364690155</v>
      </c>
      <c r="N301">
        <v>32.692584991455078</v>
      </c>
      <c r="O301">
        <v>549.3868408203125</v>
      </c>
      <c r="P301" s="2">
        <f t="shared" si="12"/>
        <v>-1.017811607431409</v>
      </c>
      <c r="Q301" s="2">
        <f t="shared" si="13"/>
        <v>-0.56446834890342867</v>
      </c>
    </row>
    <row r="302" spans="1:17" x14ac:dyDescent="0.3">
      <c r="A302" t="s">
        <v>323</v>
      </c>
      <c r="B302">
        <v>44.3</v>
      </c>
      <c r="C302">
        <v>116.5</v>
      </c>
      <c r="D302">
        <v>7.9609999999999993E-3</v>
      </c>
      <c r="E302">
        <v>25.4</v>
      </c>
      <c r="F302">
        <v>1</v>
      </c>
      <c r="G302">
        <v>4.0271490812301601E-2</v>
      </c>
      <c r="H302">
        <v>532.06004323744003</v>
      </c>
      <c r="I302">
        <v>33.349674056479799</v>
      </c>
      <c r="K302">
        <v>4.0171101689338677E-2</v>
      </c>
      <c r="L302" s="2">
        <f t="shared" si="14"/>
        <v>-0.24928087075499666</v>
      </c>
      <c r="N302">
        <v>31.775056838989261</v>
      </c>
      <c r="O302">
        <v>527.521484375</v>
      </c>
      <c r="P302" s="2">
        <f t="shared" si="12"/>
        <v>-4.7215370525775544</v>
      </c>
      <c r="Q302" s="2">
        <f t="shared" si="13"/>
        <v>-0.85301629395512135</v>
      </c>
    </row>
    <row r="303" spans="1:17" x14ac:dyDescent="0.3">
      <c r="A303" t="s">
        <v>324</v>
      </c>
      <c r="B303">
        <v>69</v>
      </c>
      <c r="C303">
        <v>112.9</v>
      </c>
      <c r="D303">
        <v>2.1364999999999999E-2</v>
      </c>
      <c r="E303">
        <v>35</v>
      </c>
      <c r="F303">
        <v>1</v>
      </c>
      <c r="G303">
        <v>0.112263709306716</v>
      </c>
      <c r="H303">
        <v>588.51371009739603</v>
      </c>
      <c r="I303">
        <v>66.469433266491706</v>
      </c>
      <c r="K303">
        <v>0.1093707457184792</v>
      </c>
      <c r="L303" s="2">
        <f t="shared" si="14"/>
        <v>-2.5769356866099362</v>
      </c>
      <c r="N303">
        <v>67.245697021484375</v>
      </c>
      <c r="O303">
        <v>581.894775390625</v>
      </c>
      <c r="P303" s="2">
        <f t="shared" si="12"/>
        <v>1.1678507200150843</v>
      </c>
      <c r="Q303" s="2">
        <f t="shared" si="13"/>
        <v>-1.1246865779347142</v>
      </c>
    </row>
    <row r="304" spans="1:17" x14ac:dyDescent="0.3">
      <c r="A304" t="s">
        <v>325</v>
      </c>
      <c r="B304">
        <v>85.4</v>
      </c>
      <c r="C304">
        <v>117</v>
      </c>
      <c r="D304">
        <v>2.7720000000000002E-2</v>
      </c>
      <c r="E304">
        <v>35</v>
      </c>
      <c r="F304">
        <v>1</v>
      </c>
      <c r="G304">
        <v>0.132702812552452</v>
      </c>
      <c r="H304">
        <v>589.83737394047796</v>
      </c>
      <c r="I304">
        <v>86.988764107010994</v>
      </c>
      <c r="K304">
        <v>0.1320884823799133</v>
      </c>
      <c r="L304" s="2">
        <f t="shared" si="14"/>
        <v>-0.46293681401506254</v>
      </c>
      <c r="N304">
        <v>89.664764404296875</v>
      </c>
      <c r="O304">
        <v>582.65179443359375</v>
      </c>
      <c r="P304" s="2">
        <f t="shared" si="12"/>
        <v>3.0762597040624065</v>
      </c>
      <c r="Q304" s="2">
        <f t="shared" si="13"/>
        <v>-1.2182306215830476</v>
      </c>
    </row>
    <row r="305" spans="1:17" x14ac:dyDescent="0.3">
      <c r="A305" t="s">
        <v>326</v>
      </c>
      <c r="B305">
        <v>44.4</v>
      </c>
      <c r="C305">
        <v>113.5</v>
      </c>
      <c r="D305">
        <v>6.8599999999999998E-3</v>
      </c>
      <c r="E305">
        <v>20.34</v>
      </c>
      <c r="F305">
        <v>1</v>
      </c>
      <c r="G305">
        <v>3.831672295928E-2</v>
      </c>
      <c r="H305">
        <v>500.72950913172798</v>
      </c>
      <c r="I305">
        <v>34.346591010557702</v>
      </c>
      <c r="K305">
        <v>3.6560859531164169E-2</v>
      </c>
      <c r="L305" s="2">
        <f t="shared" si="14"/>
        <v>-4.5824989521724611</v>
      </c>
      <c r="N305">
        <v>33.603954315185547</v>
      </c>
      <c r="O305">
        <v>492.8800048828125</v>
      </c>
      <c r="P305" s="2">
        <f t="shared" si="12"/>
        <v>-2.1621845822890498</v>
      </c>
      <c r="Q305" s="2">
        <f t="shared" si="13"/>
        <v>-1.567613672804431</v>
      </c>
    </row>
    <row r="306" spans="1:17" x14ac:dyDescent="0.3">
      <c r="A306" t="s">
        <v>327</v>
      </c>
      <c r="B306">
        <v>75.400000000000006</v>
      </c>
      <c r="C306">
        <v>115.4</v>
      </c>
      <c r="D306">
        <v>2.0669E-2</v>
      </c>
      <c r="E306">
        <v>29.6</v>
      </c>
      <c r="F306">
        <v>1</v>
      </c>
      <c r="G306">
        <v>0.10463938117027199</v>
      </c>
      <c r="H306">
        <v>556.88594146113905</v>
      </c>
      <c r="I306">
        <v>75.740045028165099</v>
      </c>
      <c r="K306">
        <v>0.1038780584931374</v>
      </c>
      <c r="L306" s="2">
        <f t="shared" si="14"/>
        <v>-0.72756802326243564</v>
      </c>
      <c r="N306">
        <v>75.229110717773438</v>
      </c>
      <c r="O306">
        <v>550.37078857421875</v>
      </c>
      <c r="P306" s="2">
        <f t="shared" si="12"/>
        <v>-0.67458939349938685</v>
      </c>
      <c r="Q306" s="2">
        <f t="shared" si="13"/>
        <v>-1.1699259043649153</v>
      </c>
    </row>
    <row r="307" spans="1:17" x14ac:dyDescent="0.3">
      <c r="A307" t="s">
        <v>328</v>
      </c>
      <c r="B307">
        <v>80.2</v>
      </c>
      <c r="C307">
        <v>114.2</v>
      </c>
      <c r="D307">
        <v>2.6019E-2</v>
      </c>
      <c r="E307">
        <v>35</v>
      </c>
      <c r="F307">
        <v>1</v>
      </c>
      <c r="G307">
        <v>0.13233155012130701</v>
      </c>
      <c r="H307">
        <v>588.90211534676098</v>
      </c>
      <c r="I307">
        <v>81.583433163387994</v>
      </c>
      <c r="K307">
        <v>0.130027711391449</v>
      </c>
      <c r="L307" s="2">
        <f t="shared" si="14"/>
        <v>-1.7409595276002616</v>
      </c>
      <c r="N307">
        <v>83.276878356933594</v>
      </c>
      <c r="O307">
        <v>581.27276611328125</v>
      </c>
      <c r="P307" s="2">
        <f t="shared" si="12"/>
        <v>2.0757219056399836</v>
      </c>
      <c r="Q307" s="2">
        <f t="shared" si="13"/>
        <v>-1.2955207724100921</v>
      </c>
    </row>
    <row r="308" spans="1:17" x14ac:dyDescent="0.3">
      <c r="A308" t="s">
        <v>329</v>
      </c>
      <c r="B308">
        <v>42.4</v>
      </c>
      <c r="C308">
        <v>122.3</v>
      </c>
      <c r="D308">
        <v>6.4790000000000004E-3</v>
      </c>
      <c r="E308">
        <v>22.93</v>
      </c>
      <c r="F308">
        <v>1</v>
      </c>
      <c r="G308">
        <v>3.0531531199812799E-2</v>
      </c>
      <c r="H308">
        <v>519.60398255795894</v>
      </c>
      <c r="I308">
        <v>30.4861206084123</v>
      </c>
      <c r="K308">
        <v>2.7927711606025699E-2</v>
      </c>
      <c r="L308" s="2">
        <f t="shared" si="14"/>
        <v>-8.5282967852037004</v>
      </c>
      <c r="N308">
        <v>28.84757041931152</v>
      </c>
      <c r="O308">
        <v>512.65771484375</v>
      </c>
      <c r="P308" s="2">
        <f t="shared" si="12"/>
        <v>-5.374741542709244</v>
      </c>
      <c r="Q308" s="2">
        <f t="shared" si="13"/>
        <v>-1.3368388132849089</v>
      </c>
    </row>
    <row r="309" spans="1:17" x14ac:dyDescent="0.3">
      <c r="A309" t="s">
        <v>330</v>
      </c>
      <c r="B309">
        <v>59.7</v>
      </c>
      <c r="C309">
        <v>113.2</v>
      </c>
      <c r="D309">
        <v>1.5730999999999998E-2</v>
      </c>
      <c r="E309">
        <v>31.29</v>
      </c>
      <c r="F309">
        <v>1</v>
      </c>
      <c r="G309">
        <v>8.3230413496494293E-2</v>
      </c>
      <c r="H309">
        <v>566.340875451025</v>
      </c>
      <c r="I309">
        <v>54.464646212661698</v>
      </c>
      <c r="K309">
        <v>8.544439822435379E-2</v>
      </c>
      <c r="L309" s="2">
        <f t="shared" si="14"/>
        <v>2.6600669573181337</v>
      </c>
      <c r="N309">
        <v>55.245861053466797</v>
      </c>
      <c r="O309">
        <v>558.27349853515625</v>
      </c>
      <c r="P309" s="2">
        <f t="shared" si="12"/>
        <v>1.4343521809630067</v>
      </c>
      <c r="Q309" s="2">
        <f t="shared" si="13"/>
        <v>-1.4244737163716139</v>
      </c>
    </row>
    <row r="310" spans="1:17" x14ac:dyDescent="0.3">
      <c r="A310" t="s">
        <v>331</v>
      </c>
      <c r="B310">
        <v>88.7</v>
      </c>
      <c r="C310">
        <v>116.4</v>
      </c>
      <c r="D310">
        <v>2.9252E-2</v>
      </c>
      <c r="E310">
        <v>35</v>
      </c>
      <c r="F310">
        <v>1</v>
      </c>
      <c r="G310">
        <v>0.14166857302188801</v>
      </c>
      <c r="H310">
        <v>589.62513026576505</v>
      </c>
      <c r="I310">
        <v>92.616061977137505</v>
      </c>
      <c r="K310">
        <v>0.1404418349266052</v>
      </c>
      <c r="L310" s="2">
        <f t="shared" si="14"/>
        <v>-0.865921120764929</v>
      </c>
      <c r="N310">
        <v>94.281753540039063</v>
      </c>
      <c r="O310">
        <v>581.6685791015625</v>
      </c>
      <c r="P310" s="2">
        <f t="shared" si="12"/>
        <v>1.7984910255768995</v>
      </c>
      <c r="Q310" s="2">
        <f t="shared" si="13"/>
        <v>-1.3494253816176816</v>
      </c>
    </row>
    <row r="311" spans="1:17" x14ac:dyDescent="0.3">
      <c r="A311" t="s">
        <v>332</v>
      </c>
      <c r="B311">
        <v>63.6</v>
      </c>
      <c r="C311">
        <v>120.8</v>
      </c>
      <c r="D311">
        <v>1.2893999999999999E-2</v>
      </c>
      <c r="E311">
        <v>23.22</v>
      </c>
      <c r="F311">
        <v>1</v>
      </c>
      <c r="G311">
        <v>6.1743527650833102E-2</v>
      </c>
      <c r="H311">
        <v>520.66478278015802</v>
      </c>
      <c r="I311">
        <v>59.671683122722101</v>
      </c>
      <c r="K311">
        <v>6.4599044620990753E-2</v>
      </c>
      <c r="L311" s="2">
        <f t="shared" si="14"/>
        <v>4.6248037305317808</v>
      </c>
      <c r="N311">
        <v>59.823738098144531</v>
      </c>
      <c r="O311">
        <v>516.7554931640625</v>
      </c>
      <c r="P311" s="2">
        <f t="shared" si="12"/>
        <v>0.25481931707827127</v>
      </c>
      <c r="Q311" s="2">
        <f t="shared" si="13"/>
        <v>-0.75082658658443446</v>
      </c>
    </row>
    <row r="312" spans="1:17" x14ac:dyDescent="0.3">
      <c r="A312" t="s">
        <v>333</v>
      </c>
      <c r="B312">
        <v>45.5</v>
      </c>
      <c r="C312">
        <v>110.5</v>
      </c>
      <c r="D312">
        <v>9.8169999999999993E-3</v>
      </c>
      <c r="E312">
        <v>29.64</v>
      </c>
      <c r="F312">
        <v>1</v>
      </c>
      <c r="G312">
        <v>5.6533865630626602E-2</v>
      </c>
      <c r="H312">
        <v>555.70756648041595</v>
      </c>
      <c r="I312">
        <v>35.331258944741101</v>
      </c>
      <c r="K312">
        <v>5.763346329331398E-2</v>
      </c>
      <c r="L312" s="2">
        <f t="shared" si="14"/>
        <v>1.9450247217690402</v>
      </c>
      <c r="N312">
        <v>34.641181945800781</v>
      </c>
      <c r="O312">
        <v>551.60333251953125</v>
      </c>
      <c r="P312" s="2">
        <f t="shared" si="12"/>
        <v>-1.9531627786590238</v>
      </c>
      <c r="Q312" s="2">
        <f t="shared" si="13"/>
        <v>-0.73856002841187496</v>
      </c>
    </row>
    <row r="313" spans="1:17" x14ac:dyDescent="0.3">
      <c r="A313" t="s">
        <v>334</v>
      </c>
      <c r="B313">
        <v>59</v>
      </c>
      <c r="C313">
        <v>105.9</v>
      </c>
      <c r="D313">
        <v>1.7339E-2</v>
      </c>
      <c r="E313">
        <v>34.31</v>
      </c>
      <c r="F313">
        <v>1</v>
      </c>
      <c r="G313">
        <v>0.117557846009731</v>
      </c>
      <c r="H313">
        <v>582.72573263685001</v>
      </c>
      <c r="I313">
        <v>55.166281648253403</v>
      </c>
      <c r="K313">
        <v>0.1105825677514076</v>
      </c>
      <c r="L313" s="2">
        <f t="shared" si="14"/>
        <v>-5.9334859348699007</v>
      </c>
      <c r="N313">
        <v>55.428943634033203</v>
      </c>
      <c r="O313">
        <v>576.2860107421875</v>
      </c>
      <c r="P313" s="2">
        <f t="shared" si="12"/>
        <v>0.47612776850642885</v>
      </c>
      <c r="Q313" s="2">
        <f t="shared" si="13"/>
        <v>-1.1051034018220873</v>
      </c>
    </row>
    <row r="314" spans="1:17" x14ac:dyDescent="0.3">
      <c r="A314" t="s">
        <v>335</v>
      </c>
      <c r="B314">
        <v>57.9</v>
      </c>
      <c r="C314">
        <v>109.7</v>
      </c>
      <c r="D314">
        <v>1.2086E-2</v>
      </c>
      <c r="E314">
        <v>23.34</v>
      </c>
      <c r="F314">
        <v>1</v>
      </c>
      <c r="G314">
        <v>7.3720604181289603E-2</v>
      </c>
      <c r="H314">
        <v>517.71168175847095</v>
      </c>
      <c r="I314">
        <v>53.0975958746576</v>
      </c>
      <c r="K314">
        <v>7.3932521045207977E-2</v>
      </c>
      <c r="L314" s="2">
        <f t="shared" si="14"/>
        <v>0.28745947794627358</v>
      </c>
      <c r="N314">
        <v>51.637100219726563</v>
      </c>
      <c r="O314">
        <v>514.49908447265625</v>
      </c>
      <c r="P314" s="2">
        <f t="shared" si="12"/>
        <v>-2.7505871610057246</v>
      </c>
      <c r="Q314" s="2">
        <f t="shared" si="13"/>
        <v>-0.62053791695461002</v>
      </c>
    </row>
    <row r="315" spans="1:17" x14ac:dyDescent="0.3">
      <c r="A315" t="s">
        <v>336</v>
      </c>
      <c r="B315">
        <v>81.400000000000006</v>
      </c>
      <c r="C315">
        <v>122.9</v>
      </c>
      <c r="D315">
        <v>2.1221E-2</v>
      </c>
      <c r="E315">
        <v>28.95</v>
      </c>
      <c r="F315">
        <v>1</v>
      </c>
      <c r="G315">
        <v>9.5718860626220703E-2</v>
      </c>
      <c r="H315">
        <v>556.01017569027397</v>
      </c>
      <c r="I315">
        <v>80.996019542308701</v>
      </c>
      <c r="K315">
        <v>9.556414932012558E-2</v>
      </c>
      <c r="L315" s="2">
        <f t="shared" si="14"/>
        <v>-0.16163095244025766</v>
      </c>
      <c r="N315">
        <v>83.361030578613281</v>
      </c>
      <c r="O315">
        <v>548.43353271484375</v>
      </c>
      <c r="P315" s="2">
        <f t="shared" si="12"/>
        <v>2.9199102001169375</v>
      </c>
      <c r="Q315" s="2">
        <f t="shared" si="13"/>
        <v>-1.3626806318830387</v>
      </c>
    </row>
    <row r="316" spans="1:17" x14ac:dyDescent="0.3">
      <c r="A316" t="s">
        <v>337</v>
      </c>
      <c r="B316">
        <v>70.400000000000006</v>
      </c>
      <c r="C316">
        <v>126.3</v>
      </c>
      <c r="D316">
        <v>1.3485E-2</v>
      </c>
      <c r="E316">
        <v>21.68</v>
      </c>
      <c r="F316">
        <v>1</v>
      </c>
      <c r="G316">
        <v>6.1798091977834597E-2</v>
      </c>
      <c r="H316">
        <v>514.18261643193296</v>
      </c>
      <c r="I316">
        <v>66.876138753908606</v>
      </c>
      <c r="K316">
        <v>6.7881487309932709E-2</v>
      </c>
      <c r="L316" s="2">
        <f t="shared" si="14"/>
        <v>9.8439856917913744</v>
      </c>
      <c r="N316">
        <v>68.920448303222656</v>
      </c>
      <c r="O316">
        <v>507.39801025390619</v>
      </c>
      <c r="P316" s="2">
        <f t="shared" si="12"/>
        <v>3.0568594231146005</v>
      </c>
      <c r="Q316" s="2">
        <f t="shared" si="13"/>
        <v>-1.3194934953474653</v>
      </c>
    </row>
    <row r="317" spans="1:17" x14ac:dyDescent="0.3">
      <c r="A317" t="s">
        <v>338</v>
      </c>
      <c r="B317">
        <v>60.2</v>
      </c>
      <c r="C317">
        <v>118.8</v>
      </c>
      <c r="D317">
        <v>1.6802000000000001E-2</v>
      </c>
      <c r="E317">
        <v>35</v>
      </c>
      <c r="F317">
        <v>1</v>
      </c>
      <c r="G317">
        <v>7.7933624386787401E-2</v>
      </c>
      <c r="H317">
        <v>590.51513751496202</v>
      </c>
      <c r="I317">
        <v>53.324653572048</v>
      </c>
      <c r="K317">
        <v>7.745128870010376E-2</v>
      </c>
      <c r="L317" s="2">
        <f t="shared" si="14"/>
        <v>-0.61890575535123504</v>
      </c>
      <c r="N317">
        <v>54.63116455078125</v>
      </c>
      <c r="O317">
        <v>586.014404296875</v>
      </c>
      <c r="P317" s="2">
        <f t="shared" si="12"/>
        <v>2.450106829044838</v>
      </c>
      <c r="Q317" s="2">
        <f t="shared" si="13"/>
        <v>-0.76217067644146286</v>
      </c>
    </row>
    <row r="318" spans="1:17" x14ac:dyDescent="0.3">
      <c r="A318" t="s">
        <v>339</v>
      </c>
      <c r="B318">
        <v>59</v>
      </c>
      <c r="C318">
        <v>105.2</v>
      </c>
      <c r="D318">
        <v>1.7687000000000001E-2</v>
      </c>
      <c r="E318">
        <v>35</v>
      </c>
      <c r="F318">
        <v>1</v>
      </c>
      <c r="G318">
        <v>0.123837538063526</v>
      </c>
      <c r="H318">
        <v>586.73869122262499</v>
      </c>
      <c r="I318">
        <v>54.7415534583509</v>
      </c>
      <c r="K318">
        <v>0.1141979321837425</v>
      </c>
      <c r="L318" s="2">
        <f t="shared" si="14"/>
        <v>-7.7840742237935929</v>
      </c>
      <c r="N318">
        <v>55.484634399414063</v>
      </c>
      <c r="O318">
        <v>580.78192138671875</v>
      </c>
      <c r="P318" s="2">
        <f t="shared" si="12"/>
        <v>1.3574348810333303</v>
      </c>
      <c r="Q318" s="2">
        <f t="shared" si="13"/>
        <v>-1.0152338553801079</v>
      </c>
    </row>
    <row r="319" spans="1:17" x14ac:dyDescent="0.3">
      <c r="A319" t="s">
        <v>340</v>
      </c>
      <c r="B319">
        <v>56.9</v>
      </c>
      <c r="C319">
        <v>130</v>
      </c>
      <c r="D319">
        <v>1.2970000000000001E-2</v>
      </c>
      <c r="E319">
        <v>32.42</v>
      </c>
      <c r="F319">
        <v>1.03</v>
      </c>
      <c r="G319">
        <v>5.4959885776042897E-2</v>
      </c>
      <c r="H319">
        <v>587.25383842576196</v>
      </c>
      <c r="I319">
        <v>45.7943648407837</v>
      </c>
      <c r="K319">
        <v>5.7190511375665658E-2</v>
      </c>
      <c r="L319" s="2">
        <f t="shared" si="14"/>
        <v>4.0586430778120253</v>
      </c>
      <c r="N319">
        <v>46.340377807617188</v>
      </c>
      <c r="O319">
        <v>577.49725341796875</v>
      </c>
      <c r="P319" s="2">
        <f t="shared" si="12"/>
        <v>1.1923147503668774</v>
      </c>
      <c r="Q319" s="2">
        <f t="shared" si="13"/>
        <v>-1.6613914408712016</v>
      </c>
    </row>
    <row r="320" spans="1:17" x14ac:dyDescent="0.3">
      <c r="A320" t="s">
        <v>341</v>
      </c>
      <c r="B320">
        <v>44.7</v>
      </c>
      <c r="C320">
        <v>114.2</v>
      </c>
      <c r="D320">
        <v>6.8259999999999996E-3</v>
      </c>
      <c r="E320">
        <v>20</v>
      </c>
      <c r="F320">
        <v>1</v>
      </c>
      <c r="G320">
        <v>3.76221761107444E-2</v>
      </c>
      <c r="H320">
        <v>498.90211534676001</v>
      </c>
      <c r="I320">
        <v>34.936008789292799</v>
      </c>
      <c r="K320">
        <v>3.5248860716819763E-2</v>
      </c>
      <c r="L320" s="2">
        <f t="shared" si="14"/>
        <v>-6.3082884598130651</v>
      </c>
      <c r="N320">
        <v>34.132312774658203</v>
      </c>
      <c r="O320">
        <v>490.78128051757813</v>
      </c>
      <c r="P320" s="2">
        <f t="shared" si="12"/>
        <v>-2.3004803424508906</v>
      </c>
      <c r="Q320" s="2">
        <f t="shared" si="13"/>
        <v>-1.6277411098041812</v>
      </c>
    </row>
    <row r="321" spans="1:17" x14ac:dyDescent="0.3">
      <c r="A321" t="s">
        <v>342</v>
      </c>
      <c r="B321">
        <v>64.900000000000006</v>
      </c>
      <c r="C321">
        <v>124.9</v>
      </c>
      <c r="D321">
        <v>1.4428E-2</v>
      </c>
      <c r="E321">
        <v>27.04</v>
      </c>
      <c r="F321">
        <v>1</v>
      </c>
      <c r="G321">
        <v>6.4516358077525995E-2</v>
      </c>
      <c r="H321">
        <v>545.56793854837395</v>
      </c>
      <c r="I321">
        <v>59.521784862709602</v>
      </c>
      <c r="K321">
        <v>7.176276296377182E-2</v>
      </c>
      <c r="L321" s="2">
        <f t="shared" si="14"/>
        <v>11.231887698214758</v>
      </c>
      <c r="N321">
        <v>59.216087341308587</v>
      </c>
      <c r="O321">
        <v>538.5469970703125</v>
      </c>
      <c r="P321" s="2">
        <f t="shared" si="12"/>
        <v>-0.51358930533774139</v>
      </c>
      <c r="Q321" s="2">
        <f t="shared" si="13"/>
        <v>-1.2869050730404896</v>
      </c>
    </row>
    <row r="322" spans="1:17" x14ac:dyDescent="0.3">
      <c r="A322" t="s">
        <v>343</v>
      </c>
      <c r="B322">
        <v>59.7</v>
      </c>
      <c r="C322">
        <v>113.5</v>
      </c>
      <c r="D322">
        <v>1.2619E-2</v>
      </c>
      <c r="E322">
        <v>23.86</v>
      </c>
      <c r="F322">
        <v>1</v>
      </c>
      <c r="G322">
        <v>6.88375234603881E-2</v>
      </c>
      <c r="H322">
        <v>521.84950913172804</v>
      </c>
      <c r="I322">
        <v>55.336242864372501</v>
      </c>
      <c r="K322">
        <v>6.8611934781074524E-2</v>
      </c>
      <c r="L322" s="2">
        <f t="shared" si="14"/>
        <v>-0.32771178853258615</v>
      </c>
      <c r="N322">
        <v>53.162757873535163</v>
      </c>
      <c r="O322">
        <v>518.23663330078125</v>
      </c>
      <c r="P322" s="2">
        <f t="shared" ref="P322:P385" si="15">(N322-I322)/I322*100</f>
        <v>-3.927778393203321</v>
      </c>
      <c r="Q322" s="2">
        <f t="shared" ref="Q322:Q385" si="16">(O322-H322)/H322*100</f>
        <v>-0.69232140065783021</v>
      </c>
    </row>
    <row r="323" spans="1:17" x14ac:dyDescent="0.3">
      <c r="A323" t="s">
        <v>344</v>
      </c>
      <c r="B323">
        <v>42.8</v>
      </c>
      <c r="C323">
        <v>109.4</v>
      </c>
      <c r="D323">
        <v>8.5889999999999994E-3</v>
      </c>
      <c r="E323">
        <v>28.68</v>
      </c>
      <c r="F323">
        <v>1</v>
      </c>
      <c r="G323">
        <v>5.1551248878240502E-2</v>
      </c>
      <c r="H323">
        <v>549.68065145266098</v>
      </c>
      <c r="I323">
        <v>31.725703997577298</v>
      </c>
      <c r="K323">
        <v>5.4584924131631851E-2</v>
      </c>
      <c r="L323" s="2">
        <f t="shared" si="14"/>
        <v>5.884775479555544</v>
      </c>
      <c r="N323">
        <v>31.489877700805661</v>
      </c>
      <c r="O323">
        <v>548.51885986328125</v>
      </c>
      <c r="P323" s="2">
        <f t="shared" si="15"/>
        <v>-0.74332880616186314</v>
      </c>
      <c r="Q323" s="2">
        <f t="shared" si="16"/>
        <v>-0.21135755575704238</v>
      </c>
    </row>
    <row r="324" spans="1:17" x14ac:dyDescent="0.3">
      <c r="A324" t="s">
        <v>345</v>
      </c>
      <c r="B324">
        <v>52.1</v>
      </c>
      <c r="C324">
        <v>111.9</v>
      </c>
      <c r="D324">
        <v>1.4083E-2</v>
      </c>
      <c r="E324">
        <v>35</v>
      </c>
      <c r="F324">
        <v>1</v>
      </c>
      <c r="G324">
        <v>7.6088711619377095E-2</v>
      </c>
      <c r="H324">
        <v>588.23357910599304</v>
      </c>
      <c r="I324">
        <v>43.664010604120698</v>
      </c>
      <c r="K324">
        <v>7.4424892663955688E-2</v>
      </c>
      <c r="L324" s="2">
        <f t="shared" si="14"/>
        <v>-2.186683044055763</v>
      </c>
      <c r="N324">
        <v>44.413070678710938</v>
      </c>
      <c r="O324">
        <v>582.2574462890625</v>
      </c>
      <c r="P324" s="2">
        <f t="shared" si="15"/>
        <v>1.7155090982859666</v>
      </c>
      <c r="Q324" s="2">
        <f t="shared" si="16"/>
        <v>-1.0159455408875446</v>
      </c>
    </row>
    <row r="325" spans="1:17" x14ac:dyDescent="0.3">
      <c r="A325" t="s">
        <v>346</v>
      </c>
      <c r="B325">
        <v>73.2</v>
      </c>
      <c r="C325">
        <v>106</v>
      </c>
      <c r="D325">
        <v>2.4039000000000001E-2</v>
      </c>
      <c r="E325">
        <v>35</v>
      </c>
      <c r="F325">
        <v>1</v>
      </c>
      <c r="G325">
        <v>0.16194519400596599</v>
      </c>
      <c r="H325">
        <v>586.88440907665802</v>
      </c>
      <c r="I325">
        <v>74.6484783080396</v>
      </c>
      <c r="K325">
        <v>0.13865496218204501</v>
      </c>
      <c r="L325" s="2">
        <f t="shared" si="14"/>
        <v>-14.381551713762484</v>
      </c>
      <c r="N325">
        <v>75.095222473144531</v>
      </c>
      <c r="O325">
        <v>580.02850341796875</v>
      </c>
      <c r="P325" s="2">
        <f t="shared" si="15"/>
        <v>0.59846386052429035</v>
      </c>
      <c r="Q325" s="2">
        <f t="shared" si="16"/>
        <v>-1.1681867080905464</v>
      </c>
    </row>
    <row r="326" spans="1:17" x14ac:dyDescent="0.3">
      <c r="A326" t="s">
        <v>347</v>
      </c>
      <c r="B326">
        <v>75.599999999999994</v>
      </c>
      <c r="C326">
        <v>112.6</v>
      </c>
      <c r="D326">
        <v>2.4284E-2</v>
      </c>
      <c r="E326">
        <v>35</v>
      </c>
      <c r="F326">
        <v>1</v>
      </c>
      <c r="G326">
        <v>0.12867279350757599</v>
      </c>
      <c r="H326">
        <v>588.42799852572296</v>
      </c>
      <c r="I326">
        <v>76.024968311618593</v>
      </c>
      <c r="K326">
        <v>0.12529683113098139</v>
      </c>
      <c r="L326" s="2">
        <f t="shared" si="14"/>
        <v>-2.6236800216790424</v>
      </c>
      <c r="N326">
        <v>77.331184387207031</v>
      </c>
      <c r="O326">
        <v>580.31768798828125</v>
      </c>
      <c r="P326" s="2">
        <f t="shared" si="15"/>
        <v>1.7181409010713313</v>
      </c>
      <c r="Q326" s="2">
        <f t="shared" si="16"/>
        <v>-1.3783012633256209</v>
      </c>
    </row>
    <row r="327" spans="1:17" x14ac:dyDescent="0.3">
      <c r="A327" t="s">
        <v>348</v>
      </c>
      <c r="B327">
        <v>80.599999999999994</v>
      </c>
      <c r="C327">
        <v>117</v>
      </c>
      <c r="D327">
        <v>2.3526999999999999E-2</v>
      </c>
      <c r="E327">
        <v>31.49</v>
      </c>
      <c r="F327">
        <v>1</v>
      </c>
      <c r="G327">
        <v>0.114266157150268</v>
      </c>
      <c r="H327">
        <v>568.77737394047699</v>
      </c>
      <c r="I327">
        <v>82.014205001013494</v>
      </c>
      <c r="K327">
        <v>0.1151272132992744</v>
      </c>
      <c r="L327" s="2">
        <f t="shared" si="14"/>
        <v>0.75355308210291361</v>
      </c>
      <c r="N327">
        <v>82.169013977050781</v>
      </c>
      <c r="O327">
        <v>561.43133544921875</v>
      </c>
      <c r="P327" s="2">
        <f t="shared" si="15"/>
        <v>0.18875873519151276</v>
      </c>
      <c r="Q327" s="2">
        <f t="shared" si="16"/>
        <v>-1.291549001037972</v>
      </c>
    </row>
    <row r="328" spans="1:17" x14ac:dyDescent="0.3">
      <c r="A328" t="s">
        <v>349</v>
      </c>
      <c r="B328">
        <v>67.2</v>
      </c>
      <c r="C328">
        <v>106.9</v>
      </c>
      <c r="D328">
        <v>1.5461000000000001E-2</v>
      </c>
      <c r="E328">
        <v>23.75</v>
      </c>
      <c r="F328">
        <v>1</v>
      </c>
      <c r="G328">
        <v>0.104291178286075</v>
      </c>
      <c r="H328">
        <v>519.55851327089295</v>
      </c>
      <c r="I328">
        <v>66.981657103150894</v>
      </c>
      <c r="K328">
        <v>0.1065102517604828</v>
      </c>
      <c r="L328" s="2">
        <f t="shared" si="14"/>
        <v>2.1277671907405216</v>
      </c>
      <c r="N328">
        <v>66.091445922851563</v>
      </c>
      <c r="O328">
        <v>516.2354736328125</v>
      </c>
      <c r="P328" s="2">
        <f t="shared" si="15"/>
        <v>-1.3290372600492968</v>
      </c>
      <c r="Q328" s="2">
        <f t="shared" si="16"/>
        <v>-0.63958910367191757</v>
      </c>
    </row>
    <row r="329" spans="1:17" x14ac:dyDescent="0.3">
      <c r="A329" t="s">
        <v>350</v>
      </c>
      <c r="B329">
        <v>65.7</v>
      </c>
      <c r="C329">
        <v>109.8</v>
      </c>
      <c r="D329">
        <v>1.4855E-2</v>
      </c>
      <c r="E329">
        <v>23.94</v>
      </c>
      <c r="F329">
        <v>1</v>
      </c>
      <c r="G329">
        <v>9.0049780905246707E-2</v>
      </c>
      <c r="H329">
        <v>521.33565066174003</v>
      </c>
      <c r="I329">
        <v>65.030997444883695</v>
      </c>
      <c r="K329">
        <v>9.2051871120929718E-2</v>
      </c>
      <c r="L329" s="2">
        <f t="shared" ref="L329:L392" si="17">(K329-G329)/G329*100</f>
        <v>2.2233149215428689</v>
      </c>
      <c r="N329">
        <v>62.310764312744141</v>
      </c>
      <c r="O329">
        <v>516.2447509765625</v>
      </c>
      <c r="P329" s="2">
        <f t="shared" si="15"/>
        <v>-4.1829792545394344</v>
      </c>
      <c r="Q329" s="2">
        <f t="shared" si="16"/>
        <v>-0.97651094428619423</v>
      </c>
    </row>
    <row r="330" spans="1:17" x14ac:dyDescent="0.3">
      <c r="A330" t="s">
        <v>351</v>
      </c>
      <c r="B330">
        <v>58.2</v>
      </c>
      <c r="C330">
        <v>100</v>
      </c>
      <c r="D330">
        <v>1.7623E-2</v>
      </c>
      <c r="E330">
        <v>35</v>
      </c>
      <c r="F330">
        <v>1.1599999999999999</v>
      </c>
      <c r="G330">
        <v>0.17141778767108901</v>
      </c>
      <c r="H330">
        <v>621.53860650834804</v>
      </c>
      <c r="I330">
        <v>57.080892605498498</v>
      </c>
      <c r="K330">
        <v>0.13863492012023931</v>
      </c>
      <c r="L330" s="2">
        <f t="shared" si="17"/>
        <v>-19.124542438823454</v>
      </c>
      <c r="N330">
        <v>56.416561126708977</v>
      </c>
      <c r="O330">
        <v>611.3765869140625</v>
      </c>
      <c r="P330" s="2">
        <f t="shared" si="15"/>
        <v>-1.1638421343213663</v>
      </c>
      <c r="Q330" s="2">
        <f t="shared" si="16"/>
        <v>-1.6349780187224863</v>
      </c>
    </row>
    <row r="331" spans="1:17" x14ac:dyDescent="0.3">
      <c r="A331" t="s">
        <v>352</v>
      </c>
      <c r="B331">
        <v>60.2</v>
      </c>
      <c r="C331">
        <v>125.8</v>
      </c>
      <c r="D331">
        <v>1.4312E-2</v>
      </c>
      <c r="E331">
        <v>31.12</v>
      </c>
      <c r="F331">
        <v>1</v>
      </c>
      <c r="G331">
        <v>6.2294535338878597E-2</v>
      </c>
      <c r="H331">
        <v>570.53977897971401</v>
      </c>
      <c r="I331">
        <v>52.039900652673403</v>
      </c>
      <c r="K331">
        <v>6.7018002271652222E-2</v>
      </c>
      <c r="L331" s="2">
        <f t="shared" si="17"/>
        <v>7.582473979584635</v>
      </c>
      <c r="N331">
        <v>52.453392028808587</v>
      </c>
      <c r="O331">
        <v>562.1563720703125</v>
      </c>
      <c r="P331" s="2">
        <f t="shared" si="15"/>
        <v>0.79456603673193593</v>
      </c>
      <c r="Q331" s="2">
        <f t="shared" si="16"/>
        <v>-1.4693816659713737</v>
      </c>
    </row>
    <row r="332" spans="1:17" x14ac:dyDescent="0.3">
      <c r="A332" t="s">
        <v>353</v>
      </c>
      <c r="B332">
        <v>78</v>
      </c>
      <c r="C332">
        <v>108.4</v>
      </c>
      <c r="D332">
        <v>2.5928E-2</v>
      </c>
      <c r="E332">
        <v>35</v>
      </c>
      <c r="F332">
        <v>1</v>
      </c>
      <c r="G332">
        <v>0.15762555599212599</v>
      </c>
      <c r="H332">
        <v>587.37325432948103</v>
      </c>
      <c r="I332">
        <v>79.973048509368894</v>
      </c>
      <c r="K332">
        <v>0.14114134013652799</v>
      </c>
      <c r="L332" s="2">
        <f t="shared" si="17"/>
        <v>-10.457832013243751</v>
      </c>
      <c r="N332">
        <v>81.272613525390625</v>
      </c>
      <c r="O332">
        <v>580.8472900390625</v>
      </c>
      <c r="P332" s="2">
        <f t="shared" si="15"/>
        <v>1.6250037234350097</v>
      </c>
      <c r="Q332" s="2">
        <f t="shared" si="16"/>
        <v>-1.11104212565284</v>
      </c>
    </row>
    <row r="333" spans="1:17" x14ac:dyDescent="0.3">
      <c r="A333" t="s">
        <v>354</v>
      </c>
      <c r="B333">
        <v>48.4</v>
      </c>
      <c r="C333">
        <v>118.4</v>
      </c>
      <c r="D333">
        <v>1.0614999999999999E-2</v>
      </c>
      <c r="E333">
        <v>30.44</v>
      </c>
      <c r="F333">
        <v>1</v>
      </c>
      <c r="G333">
        <v>5.0507854670286102E-2</v>
      </c>
      <c r="H333">
        <v>562.99906382667302</v>
      </c>
      <c r="I333">
        <v>38.185366523309398</v>
      </c>
      <c r="K333">
        <v>4.9218621104955673E-2</v>
      </c>
      <c r="L333" s="2">
        <f t="shared" si="17"/>
        <v>-2.5525407359835626</v>
      </c>
      <c r="N333">
        <v>37.953201293945313</v>
      </c>
      <c r="O333">
        <v>559.22967529296875</v>
      </c>
      <c r="P333" s="2">
        <f t="shared" si="15"/>
        <v>-0.60799528851547147</v>
      </c>
      <c r="Q333" s="2">
        <f t="shared" si="16"/>
        <v>-0.66951950294267826</v>
      </c>
    </row>
    <row r="334" spans="1:17" x14ac:dyDescent="0.3">
      <c r="A334" t="s">
        <v>355</v>
      </c>
      <c r="B334">
        <v>66.900000000000006</v>
      </c>
      <c r="C334">
        <v>100</v>
      </c>
      <c r="D334">
        <v>1.8402999999999999E-2</v>
      </c>
      <c r="E334">
        <v>28.86</v>
      </c>
      <c r="F334">
        <v>1</v>
      </c>
      <c r="G334">
        <v>0.18167364597320501</v>
      </c>
      <c r="H334">
        <v>549.14898741352795</v>
      </c>
      <c r="I334">
        <v>68.435762530198204</v>
      </c>
      <c r="K334">
        <v>0.13014291226863861</v>
      </c>
      <c r="L334" s="2">
        <f t="shared" si="17"/>
        <v>-28.364451777538857</v>
      </c>
      <c r="N334">
        <v>65.907806396484375</v>
      </c>
      <c r="O334">
        <v>541.40875244140625</v>
      </c>
      <c r="P334" s="2">
        <f t="shared" si="15"/>
        <v>-3.6939109615361327</v>
      </c>
      <c r="Q334" s="2">
        <f t="shared" si="16"/>
        <v>-1.4094963570046677</v>
      </c>
    </row>
    <row r="335" spans="1:17" x14ac:dyDescent="0.3">
      <c r="A335" t="s">
        <v>356</v>
      </c>
      <c r="B335">
        <v>83.2</v>
      </c>
      <c r="C335">
        <v>112.7</v>
      </c>
      <c r="D335">
        <v>2.3061000000000002E-2</v>
      </c>
      <c r="E335">
        <v>28.2</v>
      </c>
      <c r="F335">
        <v>1.17</v>
      </c>
      <c r="G335">
        <v>0.12536039948463401</v>
      </c>
      <c r="H335">
        <v>578.63169921404301</v>
      </c>
      <c r="I335">
        <v>89.992803629413402</v>
      </c>
      <c r="K335">
        <v>0.12358323484659189</v>
      </c>
      <c r="L335" s="2">
        <f t="shared" si="17"/>
        <v>-1.4176443640481156</v>
      </c>
      <c r="N335">
        <v>90.795661926269531</v>
      </c>
      <c r="O335">
        <v>571.6617431640625</v>
      </c>
      <c r="P335" s="2">
        <f t="shared" si="15"/>
        <v>0.8921361091963157</v>
      </c>
      <c r="Q335" s="2">
        <f t="shared" si="16"/>
        <v>-1.2045582811048583</v>
      </c>
    </row>
    <row r="336" spans="1:17" x14ac:dyDescent="0.3">
      <c r="A336" t="s">
        <v>357</v>
      </c>
      <c r="B336">
        <v>78.400000000000006</v>
      </c>
      <c r="C336">
        <v>117.2</v>
      </c>
      <c r="D336">
        <v>1.9864E-2</v>
      </c>
      <c r="E336">
        <v>26.81</v>
      </c>
      <c r="F336">
        <v>1</v>
      </c>
      <c r="G336">
        <v>9.8422884941101005E-2</v>
      </c>
      <c r="H336">
        <v>540.76961013106097</v>
      </c>
      <c r="I336">
        <v>79.678053282279294</v>
      </c>
      <c r="K336">
        <v>9.7322478890419006E-2</v>
      </c>
      <c r="L336" s="2">
        <f t="shared" si="17"/>
        <v>-1.118038809104724</v>
      </c>
      <c r="N336">
        <v>81.942886352539063</v>
      </c>
      <c r="O336">
        <v>537.47430419921875</v>
      </c>
      <c r="P336" s="2">
        <f t="shared" si="15"/>
        <v>2.8424804283759735</v>
      </c>
      <c r="Q336" s="2">
        <f t="shared" si="16"/>
        <v>-0.6093733579155034</v>
      </c>
    </row>
    <row r="337" spans="1:17" x14ac:dyDescent="0.3">
      <c r="A337" t="s">
        <v>358</v>
      </c>
      <c r="B337">
        <v>49.4</v>
      </c>
      <c r="C337">
        <v>117.9</v>
      </c>
      <c r="D337">
        <v>9.1269999999999997E-3</v>
      </c>
      <c r="E337">
        <v>24.03</v>
      </c>
      <c r="F337">
        <v>1</v>
      </c>
      <c r="G337">
        <v>4.5416928827762597E-2</v>
      </c>
      <c r="H337">
        <v>524.34841106796</v>
      </c>
      <c r="I337">
        <v>40.4545789295614</v>
      </c>
      <c r="K337">
        <v>4.4061083346605301E-2</v>
      </c>
      <c r="L337" s="2">
        <f t="shared" si="17"/>
        <v>-2.9853306160334001</v>
      </c>
      <c r="N337">
        <v>39.132537841796882</v>
      </c>
      <c r="O337">
        <v>519.5784912109375</v>
      </c>
      <c r="P337" s="2">
        <f t="shared" si="15"/>
        <v>-3.2679640296502064</v>
      </c>
      <c r="Q337" s="2">
        <f t="shared" si="16"/>
        <v>-0.90968519334452203</v>
      </c>
    </row>
    <row r="338" spans="1:17" x14ac:dyDescent="0.3">
      <c r="A338" t="s">
        <v>359</v>
      </c>
      <c r="B338">
        <v>77.7</v>
      </c>
      <c r="C338">
        <v>121.4</v>
      </c>
      <c r="D338">
        <v>2.0344000000000001E-2</v>
      </c>
      <c r="E338">
        <v>29.21</v>
      </c>
      <c r="F338">
        <v>1</v>
      </c>
      <c r="G338">
        <v>9.3287587165832506E-2</v>
      </c>
      <c r="H338">
        <v>556.870381038755</v>
      </c>
      <c r="I338">
        <v>76.746079096042493</v>
      </c>
      <c r="K338">
        <v>9.4341807067394257E-2</v>
      </c>
      <c r="L338" s="2">
        <f t="shared" si="17"/>
        <v>1.1300752153528411</v>
      </c>
      <c r="N338">
        <v>79.091140747070313</v>
      </c>
      <c r="O338">
        <v>551.55584716796875</v>
      </c>
      <c r="P338" s="2">
        <f t="shared" si="15"/>
        <v>3.0556110209788496</v>
      </c>
      <c r="Q338" s="2">
        <f t="shared" si="16"/>
        <v>-0.95435743249134808</v>
      </c>
    </row>
    <row r="339" spans="1:17" x14ac:dyDescent="0.3">
      <c r="A339" t="s">
        <v>360</v>
      </c>
      <c r="B339">
        <v>83.1</v>
      </c>
      <c r="C339">
        <v>130</v>
      </c>
      <c r="D339">
        <v>1.6281E-2</v>
      </c>
      <c r="E339">
        <v>21.71</v>
      </c>
      <c r="F339">
        <v>1</v>
      </c>
      <c r="G339">
        <v>7.3112577199935899E-2</v>
      </c>
      <c r="H339">
        <v>516.68829180160196</v>
      </c>
      <c r="I339">
        <v>83.149830806998494</v>
      </c>
      <c r="K339">
        <v>7.658599317073822E-2</v>
      </c>
      <c r="L339" s="2">
        <f t="shared" si="17"/>
        <v>4.750777641586633</v>
      </c>
      <c r="N339">
        <v>86.556304931640625</v>
      </c>
      <c r="O339">
        <v>509.97439575195313</v>
      </c>
      <c r="P339" s="2">
        <f t="shared" si="15"/>
        <v>4.0967902058020993</v>
      </c>
      <c r="Q339" s="2">
        <f t="shared" si="16"/>
        <v>-1.2994093646362013</v>
      </c>
    </row>
    <row r="340" spans="1:17" x14ac:dyDescent="0.3">
      <c r="A340" t="s">
        <v>361</v>
      </c>
      <c r="B340">
        <v>65.900000000000006</v>
      </c>
      <c r="C340">
        <v>130</v>
      </c>
      <c r="D340">
        <v>1.1155999999999999E-2</v>
      </c>
      <c r="E340">
        <v>20</v>
      </c>
      <c r="F340">
        <v>1</v>
      </c>
      <c r="G340">
        <v>5.07542304694652E-2</v>
      </c>
      <c r="H340">
        <v>506.42829180160197</v>
      </c>
      <c r="I340">
        <v>61.454167726280502</v>
      </c>
      <c r="K340">
        <v>5.5260725319385529E-2</v>
      </c>
      <c r="L340" s="2">
        <f t="shared" si="17"/>
        <v>8.8790526587365548</v>
      </c>
      <c r="N340">
        <v>63.269744873046882</v>
      </c>
      <c r="O340">
        <v>492.70980834960938</v>
      </c>
      <c r="P340" s="2">
        <f t="shared" si="15"/>
        <v>2.9543596698812005</v>
      </c>
      <c r="Q340" s="2">
        <f t="shared" si="16"/>
        <v>-2.7088698783374729</v>
      </c>
    </row>
    <row r="341" spans="1:17" x14ac:dyDescent="0.3">
      <c r="A341" t="s">
        <v>362</v>
      </c>
      <c r="B341">
        <v>87.2</v>
      </c>
      <c r="C341">
        <v>121.1</v>
      </c>
      <c r="D341">
        <v>2.2464000000000001E-2</v>
      </c>
      <c r="E341">
        <v>27.24</v>
      </c>
      <c r="F341">
        <v>1</v>
      </c>
      <c r="G341">
        <v>0.104483611881732</v>
      </c>
      <c r="H341">
        <v>544.91658613061804</v>
      </c>
      <c r="I341">
        <v>90.437370429518694</v>
      </c>
      <c r="K341">
        <v>0.1012473180890083</v>
      </c>
      <c r="L341" s="2">
        <f t="shared" si="17"/>
        <v>-3.0974176087891636</v>
      </c>
      <c r="N341">
        <v>93.279685974121094</v>
      </c>
      <c r="O341">
        <v>537.62530517578125</v>
      </c>
      <c r="P341" s="2">
        <f t="shared" si="15"/>
        <v>3.1428551395327498</v>
      </c>
      <c r="Q341" s="2">
        <f t="shared" si="16"/>
        <v>-1.3380545097023442</v>
      </c>
    </row>
    <row r="342" spans="1:17" x14ac:dyDescent="0.3">
      <c r="A342" t="s">
        <v>363</v>
      </c>
      <c r="B342">
        <v>72.099999999999994</v>
      </c>
      <c r="C342">
        <v>118.2</v>
      </c>
      <c r="D342">
        <v>1.6028000000000001E-2</v>
      </c>
      <c r="E342">
        <v>23.81</v>
      </c>
      <c r="F342">
        <v>1</v>
      </c>
      <c r="G342">
        <v>7.9442590475082397E-2</v>
      </c>
      <c r="H342">
        <v>523.14221555155996</v>
      </c>
      <c r="I342">
        <v>71.534018971989198</v>
      </c>
      <c r="K342">
        <v>7.9258367419242859E-2</v>
      </c>
      <c r="L342" s="2">
        <f t="shared" si="17"/>
        <v>-0.2318945728454325</v>
      </c>
      <c r="N342">
        <v>72.457954406738281</v>
      </c>
      <c r="O342">
        <v>517.24395751953125</v>
      </c>
      <c r="P342" s="2">
        <f t="shared" si="15"/>
        <v>1.2916028597678419</v>
      </c>
      <c r="Q342" s="2">
        <f t="shared" si="16"/>
        <v>-1.1274674183596611</v>
      </c>
    </row>
    <row r="343" spans="1:17" x14ac:dyDescent="0.3">
      <c r="A343" t="s">
        <v>364</v>
      </c>
      <c r="B343">
        <v>53.6</v>
      </c>
      <c r="C343">
        <v>100</v>
      </c>
      <c r="D343">
        <v>1.4174000000000001E-2</v>
      </c>
      <c r="E343">
        <v>31.48</v>
      </c>
      <c r="F343">
        <v>1.17</v>
      </c>
      <c r="G343">
        <v>0.13812066614627799</v>
      </c>
      <c r="H343">
        <v>599.05005770177502</v>
      </c>
      <c r="I343">
        <v>51.0194918466796</v>
      </c>
      <c r="K343">
        <v>0.12535339593887329</v>
      </c>
      <c r="L343" s="2">
        <f t="shared" si="17"/>
        <v>-9.2435625772926731</v>
      </c>
      <c r="N343">
        <v>51.140476226806641</v>
      </c>
      <c r="O343">
        <v>589.7000732421875</v>
      </c>
      <c r="P343" s="2">
        <f t="shared" si="15"/>
        <v>0.23713364392302297</v>
      </c>
      <c r="Q343" s="2">
        <f t="shared" si="16"/>
        <v>-1.5608018627789231</v>
      </c>
    </row>
    <row r="344" spans="1:17" x14ac:dyDescent="0.3">
      <c r="A344" t="s">
        <v>365</v>
      </c>
      <c r="B344">
        <v>77.5</v>
      </c>
      <c r="C344">
        <v>126.3</v>
      </c>
      <c r="D344">
        <v>1.4503E-2</v>
      </c>
      <c r="E344">
        <v>20</v>
      </c>
      <c r="F344">
        <v>1.57</v>
      </c>
      <c r="G344">
        <v>6.7415088415145805E-2</v>
      </c>
      <c r="H344">
        <v>580.98972397072805</v>
      </c>
      <c r="I344">
        <v>90.562515859030896</v>
      </c>
      <c r="K344">
        <v>7.4076540768146515E-2</v>
      </c>
      <c r="L344" s="2">
        <f t="shared" si="17"/>
        <v>9.8812484113038952</v>
      </c>
      <c r="N344">
        <v>91.872909545898438</v>
      </c>
      <c r="O344">
        <v>581.359619140625</v>
      </c>
      <c r="P344" s="2">
        <f t="shared" si="15"/>
        <v>1.446949297331021</v>
      </c>
      <c r="Q344" s="2">
        <f t="shared" si="16"/>
        <v>6.366638765466115E-2</v>
      </c>
    </row>
    <row r="345" spans="1:17" x14ac:dyDescent="0.3">
      <c r="A345" t="s">
        <v>366</v>
      </c>
      <c r="B345">
        <v>59.1</v>
      </c>
      <c r="C345">
        <v>118.3</v>
      </c>
      <c r="D345">
        <v>1.1831E-2</v>
      </c>
      <c r="E345">
        <v>23.34</v>
      </c>
      <c r="F345">
        <v>1</v>
      </c>
      <c r="G345">
        <v>5.8754093945026398E-2</v>
      </c>
      <c r="H345">
        <v>520.36054130509103</v>
      </c>
      <c r="I345">
        <v>53.773596565450099</v>
      </c>
      <c r="K345">
        <v>5.9736475348472602E-2</v>
      </c>
      <c r="L345" s="2">
        <f t="shared" si="17"/>
        <v>1.6720220455877937</v>
      </c>
      <c r="N345">
        <v>52.671024322509773</v>
      </c>
      <c r="O345">
        <v>515.06182861328125</v>
      </c>
      <c r="P345" s="2">
        <f t="shared" si="15"/>
        <v>-2.0503970598253347</v>
      </c>
      <c r="Q345" s="2">
        <f t="shared" si="16"/>
        <v>-1.0182771888353292</v>
      </c>
    </row>
    <row r="346" spans="1:17" x14ac:dyDescent="0.3">
      <c r="A346" t="s">
        <v>367</v>
      </c>
      <c r="B346">
        <v>71</v>
      </c>
      <c r="C346">
        <v>127.3</v>
      </c>
      <c r="D346">
        <v>1.6067000000000001E-2</v>
      </c>
      <c r="E346">
        <v>27.2</v>
      </c>
      <c r="F346">
        <v>1</v>
      </c>
      <c r="G346">
        <v>7.0612534880638095E-2</v>
      </c>
      <c r="H346">
        <v>547.88969494462299</v>
      </c>
      <c r="I346">
        <v>66.509202750744706</v>
      </c>
      <c r="K346">
        <v>7.7823914587497711E-2</v>
      </c>
      <c r="L346" s="2">
        <f t="shared" si="17"/>
        <v>10.212605621720813</v>
      </c>
      <c r="N346">
        <v>67.115692138671875</v>
      </c>
      <c r="O346">
        <v>539.19586181640625</v>
      </c>
      <c r="P346" s="2">
        <f t="shared" si="15"/>
        <v>0.91188792354059378</v>
      </c>
      <c r="Q346" s="2">
        <f t="shared" si="16"/>
        <v>-1.5867852979230521</v>
      </c>
    </row>
    <row r="347" spans="1:17" x14ac:dyDescent="0.3">
      <c r="A347" t="s">
        <v>368</v>
      </c>
      <c r="B347">
        <v>70.599999999999994</v>
      </c>
      <c r="C347">
        <v>115.3</v>
      </c>
      <c r="D347">
        <v>1.6712000000000001E-2</v>
      </c>
      <c r="E347">
        <v>25.41</v>
      </c>
      <c r="F347">
        <v>1</v>
      </c>
      <c r="G347">
        <v>8.6663380265235901E-2</v>
      </c>
      <c r="H347">
        <v>531.71300208950095</v>
      </c>
      <c r="I347">
        <v>69.807047200544801</v>
      </c>
      <c r="K347">
        <v>8.7995871901512146E-2</v>
      </c>
      <c r="L347" s="2">
        <f t="shared" si="17"/>
        <v>1.5375486534198344</v>
      </c>
      <c r="N347">
        <v>69.696929931640625</v>
      </c>
      <c r="O347">
        <v>523.91729736328125</v>
      </c>
      <c r="P347" s="2">
        <f t="shared" si="15"/>
        <v>-0.15774520384428559</v>
      </c>
      <c r="Q347" s="2">
        <f t="shared" si="16"/>
        <v>-1.4661489742745617</v>
      </c>
    </row>
    <row r="348" spans="1:17" x14ac:dyDescent="0.3">
      <c r="A348" t="s">
        <v>369</v>
      </c>
      <c r="B348">
        <v>53</v>
      </c>
      <c r="C348">
        <v>114.3</v>
      </c>
      <c r="D348">
        <v>1.0559000000000001E-2</v>
      </c>
      <c r="E348">
        <v>24.21</v>
      </c>
      <c r="F348">
        <v>1</v>
      </c>
      <c r="G348">
        <v>5.6386590003967202E-2</v>
      </c>
      <c r="H348">
        <v>524.19315821430405</v>
      </c>
      <c r="I348">
        <v>45.7313732093562</v>
      </c>
      <c r="K348">
        <v>5.7226572185754783E-2</v>
      </c>
      <c r="L348" s="2">
        <f t="shared" si="17"/>
        <v>1.489684305662893</v>
      </c>
      <c r="N348">
        <v>44.657608032226563</v>
      </c>
      <c r="O348">
        <v>520.9066162109375</v>
      </c>
      <c r="P348" s="2">
        <f t="shared" si="15"/>
        <v>-2.3479836746077747</v>
      </c>
      <c r="Q348" s="2">
        <f t="shared" si="16"/>
        <v>-0.62697155654651315</v>
      </c>
    </row>
    <row r="349" spans="1:17" x14ac:dyDescent="0.3">
      <c r="A349" t="s">
        <v>370</v>
      </c>
      <c r="B349">
        <v>68.599999999999994</v>
      </c>
      <c r="C349">
        <v>100.3</v>
      </c>
      <c r="D349">
        <v>2.0649000000000001E-2</v>
      </c>
      <c r="E349">
        <v>31.78</v>
      </c>
      <c r="F349">
        <v>1.07</v>
      </c>
      <c r="G349">
        <v>0.19764000177383401</v>
      </c>
      <c r="H349">
        <v>580.90462833942001</v>
      </c>
      <c r="I349">
        <v>71.538413895383599</v>
      </c>
      <c r="K349">
        <v>0.14047360420227051</v>
      </c>
      <c r="L349" s="2">
        <f t="shared" si="17"/>
        <v>-28.924507720345449</v>
      </c>
      <c r="N349">
        <v>68.844703674316406</v>
      </c>
      <c r="O349">
        <v>573.11572265625</v>
      </c>
      <c r="P349" s="2">
        <f t="shared" si="15"/>
        <v>-3.7654038919655424</v>
      </c>
      <c r="Q349" s="2">
        <f t="shared" si="16"/>
        <v>-1.3408234851623511</v>
      </c>
    </row>
    <row r="350" spans="1:17" x14ac:dyDescent="0.3">
      <c r="A350" t="s">
        <v>371</v>
      </c>
      <c r="B350">
        <v>89.6</v>
      </c>
      <c r="C350">
        <v>118.8</v>
      </c>
      <c r="D350">
        <v>2.836E-2</v>
      </c>
      <c r="E350">
        <v>33.94</v>
      </c>
      <c r="F350">
        <v>1</v>
      </c>
      <c r="G350">
        <v>0.13205750286579099</v>
      </c>
      <c r="H350">
        <v>584.15513751496201</v>
      </c>
      <c r="I350">
        <v>92.563961495945193</v>
      </c>
      <c r="K350">
        <v>0.13269910216331479</v>
      </c>
      <c r="L350" s="2">
        <f t="shared" si="17"/>
        <v>0.48584842481525353</v>
      </c>
      <c r="N350">
        <v>95.090583801269531</v>
      </c>
      <c r="O350">
        <v>576.3890380859375</v>
      </c>
      <c r="P350" s="2">
        <f t="shared" si="15"/>
        <v>2.7295961241190154</v>
      </c>
      <c r="Q350" s="2">
        <f t="shared" si="16"/>
        <v>-1.3294583801936679</v>
      </c>
    </row>
    <row r="351" spans="1:17" x14ac:dyDescent="0.3">
      <c r="A351" t="s">
        <v>372</v>
      </c>
      <c r="B351">
        <v>72.5</v>
      </c>
      <c r="C351">
        <v>100</v>
      </c>
      <c r="D351">
        <v>2.2991999999999999E-2</v>
      </c>
      <c r="E351">
        <v>32.92</v>
      </c>
      <c r="F351">
        <v>1.06</v>
      </c>
      <c r="G351">
        <v>0.22522543370723699</v>
      </c>
      <c r="H351">
        <v>586.09129457408505</v>
      </c>
      <c r="I351">
        <v>76.756861810437798</v>
      </c>
      <c r="K351">
        <v>0.14965821802616119</v>
      </c>
      <c r="L351" s="2">
        <f t="shared" si="17"/>
        <v>-33.551812704822268</v>
      </c>
      <c r="N351">
        <v>75.040199279785156</v>
      </c>
      <c r="O351">
        <v>579.73590087890625</v>
      </c>
      <c r="P351" s="2">
        <f t="shared" si="15"/>
        <v>-2.236493897955584</v>
      </c>
      <c r="Q351" s="2">
        <f t="shared" si="16"/>
        <v>-1.0843692363315676</v>
      </c>
    </row>
    <row r="352" spans="1:17" x14ac:dyDescent="0.3">
      <c r="A352" t="s">
        <v>373</v>
      </c>
      <c r="B352">
        <v>80.5</v>
      </c>
      <c r="C352">
        <v>126.2</v>
      </c>
      <c r="D352">
        <v>1.5275E-2</v>
      </c>
      <c r="E352">
        <v>20</v>
      </c>
      <c r="F352">
        <v>1</v>
      </c>
      <c r="G352">
        <v>7.0940934121608706E-2</v>
      </c>
      <c r="H352">
        <v>504.04548880207398</v>
      </c>
      <c r="I352">
        <v>83.043729994267494</v>
      </c>
      <c r="K352">
        <v>7.226157933473587E-2</v>
      </c>
      <c r="L352" s="2">
        <f t="shared" si="17"/>
        <v>1.8616123814542407</v>
      </c>
      <c r="N352">
        <v>84.569610595703125</v>
      </c>
      <c r="O352">
        <v>496.656005859375</v>
      </c>
      <c r="P352" s="2">
        <f t="shared" si="15"/>
        <v>1.8374422747400225</v>
      </c>
      <c r="Q352" s="2">
        <f t="shared" si="16"/>
        <v>-1.4660349327321607</v>
      </c>
    </row>
    <row r="353" spans="1:17" x14ac:dyDescent="0.3">
      <c r="A353" t="s">
        <v>374</v>
      </c>
      <c r="B353">
        <v>78.599999999999994</v>
      </c>
      <c r="C353">
        <v>122.4</v>
      </c>
      <c r="D353">
        <v>2.0427000000000001E-2</v>
      </c>
      <c r="E353">
        <v>29.11</v>
      </c>
      <c r="F353">
        <v>1</v>
      </c>
      <c r="G353">
        <v>9.2600353062152793E-2</v>
      </c>
      <c r="H353">
        <v>556.73109157616898</v>
      </c>
      <c r="I353">
        <v>77.8127476314272</v>
      </c>
      <c r="K353">
        <v>9.3690879642963409E-2</v>
      </c>
      <c r="L353" s="2">
        <f t="shared" si="17"/>
        <v>1.1776700031355836</v>
      </c>
      <c r="N353">
        <v>80.104522705078125</v>
      </c>
      <c r="O353">
        <v>551.42010498046875</v>
      </c>
      <c r="P353" s="2">
        <f t="shared" si="15"/>
        <v>2.9452437337212305</v>
      </c>
      <c r="Q353" s="2">
        <f t="shared" si="16"/>
        <v>-0.95395904343409699</v>
      </c>
    </row>
    <row r="354" spans="1:17" x14ac:dyDescent="0.3">
      <c r="A354" t="s">
        <v>375</v>
      </c>
      <c r="B354">
        <v>57.5</v>
      </c>
      <c r="C354">
        <v>130</v>
      </c>
      <c r="D354">
        <v>9.4470000000000005E-3</v>
      </c>
      <c r="E354">
        <v>21.01</v>
      </c>
      <c r="F354">
        <v>1</v>
      </c>
      <c r="G354">
        <v>4.2637880891561501E-2</v>
      </c>
      <c r="H354">
        <v>512.48829180160203</v>
      </c>
      <c r="I354">
        <v>49.7532657062048</v>
      </c>
      <c r="K354">
        <v>4.6157520264387131E-2</v>
      </c>
      <c r="L354" s="2">
        <f t="shared" si="17"/>
        <v>8.2547239666458285</v>
      </c>
      <c r="N354">
        <v>51.025421142578118</v>
      </c>
      <c r="O354">
        <v>502.74838256835938</v>
      </c>
      <c r="P354" s="2">
        <f t="shared" si="15"/>
        <v>2.5569285117593101</v>
      </c>
      <c r="Q354" s="2">
        <f t="shared" si="16"/>
        <v>-1.9005135120263854</v>
      </c>
    </row>
    <row r="355" spans="1:17" x14ac:dyDescent="0.3">
      <c r="A355" t="s">
        <v>376</v>
      </c>
      <c r="B355">
        <v>74</v>
      </c>
      <c r="C355">
        <v>116.3</v>
      </c>
      <c r="D355">
        <v>2.3007E-2</v>
      </c>
      <c r="E355">
        <v>35</v>
      </c>
      <c r="F355">
        <v>1</v>
      </c>
      <c r="G355">
        <v>0.111664220690727</v>
      </c>
      <c r="H355">
        <v>589.59040006269595</v>
      </c>
      <c r="I355">
        <v>72.696433453626199</v>
      </c>
      <c r="K355">
        <v>0.11075620353221891</v>
      </c>
      <c r="L355" s="2">
        <f t="shared" si="17"/>
        <v>-0.81316750602057242</v>
      </c>
      <c r="N355">
        <v>73.365768432617188</v>
      </c>
      <c r="O355">
        <v>583.7430419921875</v>
      </c>
      <c r="P355" s="2">
        <f t="shared" si="15"/>
        <v>0.92072602078610144</v>
      </c>
      <c r="Q355" s="2">
        <f t="shared" si="16"/>
        <v>-0.99176616001323148</v>
      </c>
    </row>
    <row r="356" spans="1:17" x14ac:dyDescent="0.3">
      <c r="A356" t="s">
        <v>377</v>
      </c>
      <c r="B356">
        <v>71.8</v>
      </c>
      <c r="C356">
        <v>130</v>
      </c>
      <c r="D356">
        <v>1.259E-2</v>
      </c>
      <c r="E356">
        <v>20</v>
      </c>
      <c r="F356">
        <v>1</v>
      </c>
      <c r="G356">
        <v>5.72781935334205E-2</v>
      </c>
      <c r="H356">
        <v>506.42829180160197</v>
      </c>
      <c r="I356">
        <v>69.353504509734904</v>
      </c>
      <c r="K356">
        <v>6.2882304191589355E-2</v>
      </c>
      <c r="L356" s="2">
        <f t="shared" si="17"/>
        <v>9.7840213045458331</v>
      </c>
      <c r="N356">
        <v>71.105499267578125</v>
      </c>
      <c r="O356">
        <v>494.58761596679688</v>
      </c>
      <c r="P356" s="2">
        <f t="shared" si="15"/>
        <v>2.5261805733224332</v>
      </c>
      <c r="Q356" s="2">
        <f t="shared" si="16"/>
        <v>-2.3380755037761185</v>
      </c>
    </row>
    <row r="357" spans="1:17" x14ac:dyDescent="0.3">
      <c r="A357" t="s">
        <v>378</v>
      </c>
      <c r="B357">
        <v>69.599999999999994</v>
      </c>
      <c r="C357">
        <v>125</v>
      </c>
      <c r="D357">
        <v>1.6723999999999999E-2</v>
      </c>
      <c r="E357">
        <v>28.77</v>
      </c>
      <c r="F357">
        <v>1</v>
      </c>
      <c r="G357">
        <v>7.4031129479408195E-2</v>
      </c>
      <c r="H357">
        <v>556.00151458105404</v>
      </c>
      <c r="I357">
        <v>64.832482412926893</v>
      </c>
      <c r="K357">
        <v>8.2208558917045593E-2</v>
      </c>
      <c r="L357" s="2">
        <f t="shared" si="17"/>
        <v>11.045933643241193</v>
      </c>
      <c r="N357">
        <v>66.530731201171875</v>
      </c>
      <c r="O357">
        <v>547.02703857421875</v>
      </c>
      <c r="P357" s="2">
        <f t="shared" si="15"/>
        <v>2.6194412508048113</v>
      </c>
      <c r="Q357" s="2">
        <f t="shared" si="16"/>
        <v>-1.6141099927753861</v>
      </c>
    </row>
    <row r="358" spans="1:17" x14ac:dyDescent="0.3">
      <c r="A358" t="s">
        <v>379</v>
      </c>
      <c r="B358">
        <v>44.9</v>
      </c>
      <c r="C358">
        <v>115.8</v>
      </c>
      <c r="D358">
        <v>7.3740000000000003E-3</v>
      </c>
      <c r="E358">
        <v>22.19</v>
      </c>
      <c r="F358">
        <v>1</v>
      </c>
      <c r="G358">
        <v>3.8637172430753701E-2</v>
      </c>
      <c r="H358">
        <v>512.55946678402302</v>
      </c>
      <c r="I358">
        <v>34.758386801681503</v>
      </c>
      <c r="K358">
        <v>3.7413731217384338E-2</v>
      </c>
      <c r="L358" s="2">
        <f t="shared" si="17"/>
        <v>-3.166487443049923</v>
      </c>
      <c r="N358">
        <v>33.381320953369141</v>
      </c>
      <c r="O358">
        <v>506.87783813476563</v>
      </c>
      <c r="P358" s="2">
        <f t="shared" si="15"/>
        <v>-3.9618232461977905</v>
      </c>
      <c r="Q358" s="2">
        <f t="shared" si="16"/>
        <v>-1.108481847951402</v>
      </c>
    </row>
    <row r="359" spans="1:17" x14ac:dyDescent="0.3">
      <c r="A359" t="s">
        <v>380</v>
      </c>
      <c r="B359">
        <v>53.8</v>
      </c>
      <c r="C359">
        <v>108.3</v>
      </c>
      <c r="D359">
        <v>1.0581E-2</v>
      </c>
      <c r="E359">
        <v>22.61</v>
      </c>
      <c r="F359">
        <v>1</v>
      </c>
      <c r="G359">
        <v>6.8047039210796301E-2</v>
      </c>
      <c r="H359">
        <v>513.01129733090499</v>
      </c>
      <c r="I359">
        <v>47.940665585401099</v>
      </c>
      <c r="K359">
        <v>6.7326173186302185E-2</v>
      </c>
      <c r="L359" s="2">
        <f t="shared" si="17"/>
        <v>-1.0593642763221702</v>
      </c>
      <c r="N359">
        <v>47.316432952880859</v>
      </c>
      <c r="O359">
        <v>509.57818603515619</v>
      </c>
      <c r="P359" s="2">
        <f t="shared" si="15"/>
        <v>-1.3020942135403546</v>
      </c>
      <c r="Q359" s="2">
        <f t="shared" si="16"/>
        <v>-0.66920773745346196</v>
      </c>
    </row>
    <row r="360" spans="1:17" x14ac:dyDescent="0.3">
      <c r="A360" t="s">
        <v>381</v>
      </c>
      <c r="B360">
        <v>77.599999999999994</v>
      </c>
      <c r="C360">
        <v>124.2</v>
      </c>
      <c r="D360">
        <v>1.542E-2</v>
      </c>
      <c r="E360">
        <v>21.13</v>
      </c>
      <c r="F360">
        <v>1</v>
      </c>
      <c r="G360">
        <v>7.2157368063926697E-2</v>
      </c>
      <c r="H360">
        <v>509.74022294827699</v>
      </c>
      <c r="I360">
        <v>77.827205653175994</v>
      </c>
      <c r="K360">
        <v>7.2967760264873505E-2</v>
      </c>
      <c r="L360" s="2">
        <f t="shared" si="17"/>
        <v>1.1230900221150715</v>
      </c>
      <c r="N360">
        <v>80.602363586425781</v>
      </c>
      <c r="O360">
        <v>503.97592163085938</v>
      </c>
      <c r="P360" s="2">
        <f t="shared" si="15"/>
        <v>3.5657941332454062</v>
      </c>
      <c r="Q360" s="2">
        <f t="shared" si="16"/>
        <v>-1.1308311680953063</v>
      </c>
    </row>
    <row r="361" spans="1:17" x14ac:dyDescent="0.3">
      <c r="A361" t="s">
        <v>382</v>
      </c>
      <c r="B361">
        <v>57</v>
      </c>
      <c r="C361">
        <v>126.6</v>
      </c>
      <c r="D361">
        <v>1.2517E-2</v>
      </c>
      <c r="E361">
        <v>29.48</v>
      </c>
      <c r="F361">
        <v>1</v>
      </c>
      <c r="G361">
        <v>5.4571647197008098E-2</v>
      </c>
      <c r="H361">
        <v>561.15570259964204</v>
      </c>
      <c r="I361">
        <v>48.056859092411401</v>
      </c>
      <c r="K361">
        <v>5.6834954768419273E-2</v>
      </c>
      <c r="L361" s="2">
        <f t="shared" si="17"/>
        <v>4.147405635824863</v>
      </c>
      <c r="N361">
        <v>47.947593688964837</v>
      </c>
      <c r="O361">
        <v>555.8270263671875</v>
      </c>
      <c r="P361" s="2">
        <f t="shared" si="15"/>
        <v>-0.22736692640784309</v>
      </c>
      <c r="Q361" s="2">
        <f t="shared" si="16"/>
        <v>-0.94958960726383246</v>
      </c>
    </row>
    <row r="362" spans="1:17" x14ac:dyDescent="0.3">
      <c r="A362" t="s">
        <v>383</v>
      </c>
      <c r="B362">
        <v>42.4</v>
      </c>
      <c r="C362">
        <v>100.9</v>
      </c>
      <c r="D362">
        <v>1.0309E-2</v>
      </c>
      <c r="E362">
        <v>35</v>
      </c>
      <c r="F362">
        <v>1</v>
      </c>
      <c r="G362">
        <v>9.41028222441673E-2</v>
      </c>
      <c r="H362">
        <v>586.09504858232401</v>
      </c>
      <c r="I362">
        <v>32.4952477212749</v>
      </c>
      <c r="K362">
        <v>9.0647488832473755E-2</v>
      </c>
      <c r="L362" s="2">
        <f t="shared" si="17"/>
        <v>-3.6718701196102694</v>
      </c>
      <c r="N362">
        <v>31.712892532348629</v>
      </c>
      <c r="O362">
        <v>583.59075927734375</v>
      </c>
      <c r="P362" s="2">
        <f t="shared" si="15"/>
        <v>-2.407598783787873</v>
      </c>
      <c r="Q362" s="2">
        <f t="shared" si="16"/>
        <v>-0.42728381873175036</v>
      </c>
    </row>
    <row r="363" spans="1:17" x14ac:dyDescent="0.3">
      <c r="A363" t="s">
        <v>384</v>
      </c>
      <c r="B363">
        <v>68.7</v>
      </c>
      <c r="C363">
        <v>130</v>
      </c>
      <c r="D363">
        <v>1.4959E-2</v>
      </c>
      <c r="E363">
        <v>27.34</v>
      </c>
      <c r="F363">
        <v>1</v>
      </c>
      <c r="G363">
        <v>6.4898043870925903E-2</v>
      </c>
      <c r="H363">
        <v>550.46829180160205</v>
      </c>
      <c r="I363">
        <v>61.170164845276098</v>
      </c>
      <c r="K363">
        <v>7.138592004776001E-2</v>
      </c>
      <c r="L363" s="2">
        <f t="shared" si="17"/>
        <v>9.9970288622838623</v>
      </c>
      <c r="N363">
        <v>62.666671752929688</v>
      </c>
      <c r="O363">
        <v>541.1680908203125</v>
      </c>
      <c r="P363" s="2">
        <f t="shared" si="15"/>
        <v>2.4464653829834471</v>
      </c>
      <c r="Q363" s="2">
        <f t="shared" si="16"/>
        <v>-1.6895071196292442</v>
      </c>
    </row>
    <row r="364" spans="1:17" x14ac:dyDescent="0.3">
      <c r="A364" t="s">
        <v>385</v>
      </c>
      <c r="B364">
        <v>55.8</v>
      </c>
      <c r="C364">
        <v>109.4</v>
      </c>
      <c r="D364">
        <v>1.4316000000000001E-2</v>
      </c>
      <c r="E364">
        <v>30.84</v>
      </c>
      <c r="F364">
        <v>1</v>
      </c>
      <c r="G364">
        <v>8.51719379425048E-2</v>
      </c>
      <c r="H364">
        <v>562.64065145265999</v>
      </c>
      <c r="I364">
        <v>49.631483567533202</v>
      </c>
      <c r="K364">
        <v>8.6123026907444E-2</v>
      </c>
      <c r="L364" s="2">
        <f t="shared" si="17"/>
        <v>1.1166693959473273</v>
      </c>
      <c r="N364">
        <v>49.665904998779297</v>
      </c>
      <c r="O364">
        <v>554.88897705078125</v>
      </c>
      <c r="P364" s="2">
        <f t="shared" si="15"/>
        <v>6.9354024445507201E-2</v>
      </c>
      <c r="Q364" s="2">
        <f t="shared" si="16"/>
        <v>-1.3777309516944782</v>
      </c>
    </row>
    <row r="365" spans="1:17" x14ac:dyDescent="0.3">
      <c r="A365" t="s">
        <v>386</v>
      </c>
      <c r="B365">
        <v>52.4</v>
      </c>
      <c r="C365">
        <v>104.6</v>
      </c>
      <c r="D365">
        <v>1.2796999999999999E-2</v>
      </c>
      <c r="E365">
        <v>29.61</v>
      </c>
      <c r="F365">
        <v>1</v>
      </c>
      <c r="G365">
        <v>9.3904688954353305E-2</v>
      </c>
      <c r="H365">
        <v>554.29488891495805</v>
      </c>
      <c r="I365">
        <v>45.775218808315003</v>
      </c>
      <c r="K365">
        <v>9.3414150178432465E-2</v>
      </c>
      <c r="L365" s="2">
        <f t="shared" si="17"/>
        <v>-0.52237942682424421</v>
      </c>
      <c r="N365">
        <v>46.614219665527337</v>
      </c>
      <c r="O365">
        <v>548.5467529296875</v>
      </c>
      <c r="P365" s="2">
        <f t="shared" si="15"/>
        <v>1.8328713200163451</v>
      </c>
      <c r="Q365" s="2">
        <f t="shared" si="16"/>
        <v>-1.0370176778145344</v>
      </c>
    </row>
    <row r="366" spans="1:17" x14ac:dyDescent="0.3">
      <c r="A366" t="s">
        <v>387</v>
      </c>
      <c r="B366">
        <v>89.5</v>
      </c>
      <c r="C366">
        <v>118.4</v>
      </c>
      <c r="D366">
        <v>2.9149000000000001E-2</v>
      </c>
      <c r="E366">
        <v>35</v>
      </c>
      <c r="F366">
        <v>1</v>
      </c>
      <c r="G366">
        <v>0.13605237007141099</v>
      </c>
      <c r="H366">
        <v>590.35906382667395</v>
      </c>
      <c r="I366">
        <v>92.162457635240898</v>
      </c>
      <c r="K366">
        <v>0.13569103181362149</v>
      </c>
      <c r="L366" s="2">
        <f t="shared" si="17"/>
        <v>-0.26558762453005563</v>
      </c>
      <c r="N366">
        <v>94.972976684570313</v>
      </c>
      <c r="O366">
        <v>582.93658447265625</v>
      </c>
      <c r="P366" s="2">
        <f t="shared" si="15"/>
        <v>3.0495270215697179</v>
      </c>
      <c r="Q366" s="2">
        <f t="shared" si="16"/>
        <v>-1.2572821878782729</v>
      </c>
    </row>
    <row r="367" spans="1:17" x14ac:dyDescent="0.3">
      <c r="A367" t="s">
        <v>388</v>
      </c>
      <c r="B367">
        <v>44.8</v>
      </c>
      <c r="C367">
        <v>113.9</v>
      </c>
      <c r="D367">
        <v>8.0350000000000005E-3</v>
      </c>
      <c r="E367">
        <v>24.53</v>
      </c>
      <c r="F367">
        <v>1</v>
      </c>
      <c r="G367">
        <v>4.3244488537311498E-2</v>
      </c>
      <c r="H367">
        <v>525.98999718136395</v>
      </c>
      <c r="I367">
        <v>34.3289993127906</v>
      </c>
      <c r="K367">
        <v>4.3929744511842728E-2</v>
      </c>
      <c r="L367" s="2">
        <f t="shared" si="17"/>
        <v>1.5846088084496315</v>
      </c>
      <c r="N367">
        <v>33.038066864013672</v>
      </c>
      <c r="O367">
        <v>521.31439208984375</v>
      </c>
      <c r="P367" s="2">
        <f t="shared" si="15"/>
        <v>-3.7604721215859658</v>
      </c>
      <c r="Q367" s="2">
        <f t="shared" si="16"/>
        <v>-0.88891521066474299</v>
      </c>
    </row>
    <row r="368" spans="1:17" x14ac:dyDescent="0.3">
      <c r="A368" t="s">
        <v>389</v>
      </c>
      <c r="B368">
        <v>68.099999999999994</v>
      </c>
      <c r="C368">
        <v>125.2</v>
      </c>
      <c r="D368">
        <v>1.2248999999999999E-2</v>
      </c>
      <c r="E368">
        <v>20</v>
      </c>
      <c r="F368">
        <v>1</v>
      </c>
      <c r="G368">
        <v>5.7367764413356698E-2</v>
      </c>
      <c r="H368">
        <v>503.48946339176001</v>
      </c>
      <c r="I368">
        <v>66.145760477628599</v>
      </c>
      <c r="K368">
        <v>5.9207163751125343E-2</v>
      </c>
      <c r="L368" s="2">
        <f t="shared" si="17"/>
        <v>3.2063291232948674</v>
      </c>
      <c r="N368">
        <v>66.169845581054688</v>
      </c>
      <c r="O368">
        <v>495.61056518554688</v>
      </c>
      <c r="P368" s="2">
        <f t="shared" si="15"/>
        <v>3.6412164970473664E-2</v>
      </c>
      <c r="Q368" s="2">
        <f t="shared" si="16"/>
        <v>-1.5648586075936701</v>
      </c>
    </row>
    <row r="369" spans="1:17" x14ac:dyDescent="0.3">
      <c r="A369" t="s">
        <v>390</v>
      </c>
      <c r="B369">
        <v>62.1</v>
      </c>
      <c r="C369">
        <v>112</v>
      </c>
      <c r="D369">
        <v>1.3205E-2</v>
      </c>
      <c r="E369">
        <v>23.2</v>
      </c>
      <c r="F369">
        <v>1</v>
      </c>
      <c r="G369">
        <v>7.5198695063591003E-2</v>
      </c>
      <c r="H369">
        <v>517.46088012203404</v>
      </c>
      <c r="I369">
        <v>58.998037315591098</v>
      </c>
      <c r="K369">
        <v>7.4656069278717041E-2</v>
      </c>
      <c r="L369" s="2">
        <f t="shared" si="17"/>
        <v>-0.7215893632397431</v>
      </c>
      <c r="N369">
        <v>56.74176025390625</v>
      </c>
      <c r="O369">
        <v>512.354248046875</v>
      </c>
      <c r="P369" s="2">
        <f t="shared" si="15"/>
        <v>-3.8243256290300254</v>
      </c>
      <c r="Q369" s="2">
        <f t="shared" si="16"/>
        <v>-0.98686340771397685</v>
      </c>
    </row>
    <row r="370" spans="1:17" x14ac:dyDescent="0.3">
      <c r="A370" t="s">
        <v>391</v>
      </c>
      <c r="B370">
        <v>46</v>
      </c>
      <c r="C370">
        <v>123.3</v>
      </c>
      <c r="D370">
        <v>7.8840000000000004E-3</v>
      </c>
      <c r="E370">
        <v>24.65</v>
      </c>
      <c r="F370">
        <v>1.04</v>
      </c>
      <c r="G370">
        <v>3.6328528076410203E-2</v>
      </c>
      <c r="H370">
        <v>536.89605042251605</v>
      </c>
      <c r="I370">
        <v>35.386765872968702</v>
      </c>
      <c r="K370">
        <v>3.6571886390447617E-2</v>
      </c>
      <c r="L370" s="2">
        <f t="shared" si="17"/>
        <v>0.66988211998447866</v>
      </c>
      <c r="N370">
        <v>34.069107055664063</v>
      </c>
      <c r="O370">
        <v>530.49407958984375</v>
      </c>
      <c r="P370" s="2">
        <f t="shared" si="15"/>
        <v>-3.7235920966464331</v>
      </c>
      <c r="Q370" s="2">
        <f t="shared" si="16"/>
        <v>-1.1924041586139824</v>
      </c>
    </row>
    <row r="371" spans="1:17" x14ac:dyDescent="0.3">
      <c r="A371" t="s">
        <v>392</v>
      </c>
      <c r="B371">
        <v>42.2</v>
      </c>
      <c r="C371">
        <v>109.1</v>
      </c>
      <c r="D371">
        <v>8.7690000000000008E-3</v>
      </c>
      <c r="E371">
        <v>30.32</v>
      </c>
      <c r="F371">
        <v>1.07</v>
      </c>
      <c r="G371">
        <v>5.2793223410844803E-2</v>
      </c>
      <c r="H371">
        <v>573.07426401274495</v>
      </c>
      <c r="I371">
        <v>31.286334675897798</v>
      </c>
      <c r="K371">
        <v>5.4839510470628738E-2</v>
      </c>
      <c r="L371" s="2">
        <f t="shared" si="17"/>
        <v>3.8760411423629542</v>
      </c>
      <c r="N371">
        <v>31.409414291381839</v>
      </c>
      <c r="O371">
        <v>567.83447265625</v>
      </c>
      <c r="P371" s="2">
        <f t="shared" si="15"/>
        <v>0.39339736264746494</v>
      </c>
      <c r="Q371" s="2">
        <f t="shared" si="16"/>
        <v>-0.91433025098792731</v>
      </c>
    </row>
    <row r="372" spans="1:17" x14ac:dyDescent="0.3">
      <c r="A372" t="s">
        <v>393</v>
      </c>
      <c r="B372">
        <v>88</v>
      </c>
      <c r="C372">
        <v>124.6</v>
      </c>
      <c r="D372">
        <v>2.3736E-2</v>
      </c>
      <c r="E372">
        <v>29.92</v>
      </c>
      <c r="F372">
        <v>1</v>
      </c>
      <c r="G372">
        <v>0.104890763759613</v>
      </c>
      <c r="H372">
        <v>562.68878843844402</v>
      </c>
      <c r="I372">
        <v>89.182300352268001</v>
      </c>
      <c r="K372">
        <v>0.10246983915567399</v>
      </c>
      <c r="L372" s="2">
        <f t="shared" si="17"/>
        <v>-2.3080436419428101</v>
      </c>
      <c r="N372">
        <v>90.47509765625</v>
      </c>
      <c r="O372">
        <v>551.81842041015625</v>
      </c>
      <c r="P372" s="2">
        <f t="shared" si="15"/>
        <v>1.4496119733125068</v>
      </c>
      <c r="Q372" s="2">
        <f t="shared" si="16"/>
        <v>-1.9318614928253448</v>
      </c>
    </row>
    <row r="373" spans="1:17" x14ac:dyDescent="0.3">
      <c r="A373" t="s">
        <v>394</v>
      </c>
      <c r="B373">
        <v>81.400000000000006</v>
      </c>
      <c r="C373">
        <v>112.8</v>
      </c>
      <c r="D373">
        <v>2.6789E-2</v>
      </c>
      <c r="E373">
        <v>35</v>
      </c>
      <c r="F373">
        <v>1</v>
      </c>
      <c r="G373">
        <v>0.14113797247409801</v>
      </c>
      <c r="H373">
        <v>588.48497875128896</v>
      </c>
      <c r="I373">
        <v>83.840551440742303</v>
      </c>
      <c r="K373">
        <v>0.13664993643760681</v>
      </c>
      <c r="L373" s="2">
        <f t="shared" si="17"/>
        <v>-3.1798926665995966</v>
      </c>
      <c r="N373">
        <v>85.270271301269531</v>
      </c>
      <c r="O373">
        <v>580.78289794921875</v>
      </c>
      <c r="P373" s="2">
        <f t="shared" si="15"/>
        <v>1.7052844190054508</v>
      </c>
      <c r="Q373" s="2">
        <f t="shared" si="16"/>
        <v>-1.3087981987940152</v>
      </c>
    </row>
    <row r="374" spans="1:17" x14ac:dyDescent="0.3">
      <c r="A374" t="s">
        <v>395</v>
      </c>
      <c r="B374">
        <v>42.8</v>
      </c>
      <c r="C374">
        <v>108.9</v>
      </c>
      <c r="D374">
        <v>8.7030000000000007E-3</v>
      </c>
      <c r="E374">
        <v>29.05</v>
      </c>
      <c r="F374">
        <v>1</v>
      </c>
      <c r="G374">
        <v>5.30736669898033E-2</v>
      </c>
      <c r="H374">
        <v>551.78516423299698</v>
      </c>
      <c r="I374">
        <v>31.714313555279801</v>
      </c>
      <c r="K374">
        <v>5.6100897490978241E-2</v>
      </c>
      <c r="L374" s="2">
        <f t="shared" si="17"/>
        <v>5.7038276660938889</v>
      </c>
      <c r="N374">
        <v>31.336538314819339</v>
      </c>
      <c r="O374">
        <v>549.35296630859375</v>
      </c>
      <c r="P374" s="2">
        <f t="shared" si="15"/>
        <v>-1.1911821449390001</v>
      </c>
      <c r="Q374" s="2">
        <f t="shared" si="16"/>
        <v>-0.44078711825898348</v>
      </c>
    </row>
    <row r="375" spans="1:17" x14ac:dyDescent="0.3">
      <c r="A375" t="s">
        <v>396</v>
      </c>
      <c r="B375">
        <v>43.2</v>
      </c>
      <c r="C375">
        <v>113.5</v>
      </c>
      <c r="D375">
        <v>7.6730000000000001E-3</v>
      </c>
      <c r="E375">
        <v>25.1</v>
      </c>
      <c r="F375">
        <v>1</v>
      </c>
      <c r="G375">
        <v>4.1560996323823901E-2</v>
      </c>
      <c r="H375">
        <v>529.28950913172798</v>
      </c>
      <c r="I375">
        <v>32.264291216585498</v>
      </c>
      <c r="K375">
        <v>4.3166272342205048E-2</v>
      </c>
      <c r="L375" s="2">
        <f t="shared" si="17"/>
        <v>3.8624579783256023</v>
      </c>
      <c r="N375">
        <v>31.174497604370121</v>
      </c>
      <c r="O375">
        <v>525.4371337890625</v>
      </c>
      <c r="P375" s="2">
        <f t="shared" si="15"/>
        <v>-3.3777082065734874</v>
      </c>
      <c r="Q375" s="2">
        <f t="shared" si="16"/>
        <v>-0.72783897587260027</v>
      </c>
    </row>
    <row r="376" spans="1:17" x14ac:dyDescent="0.3">
      <c r="A376" t="s">
        <v>397</v>
      </c>
      <c r="B376">
        <v>61.2</v>
      </c>
      <c r="C376">
        <v>102.9</v>
      </c>
      <c r="D376">
        <v>1.5871E-2</v>
      </c>
      <c r="E376">
        <v>28.51</v>
      </c>
      <c r="F376">
        <v>1</v>
      </c>
      <c r="G376">
        <v>0.12841078639030401</v>
      </c>
      <c r="H376">
        <v>547.42575205787102</v>
      </c>
      <c r="I376">
        <v>58.954128709038699</v>
      </c>
      <c r="K376">
        <v>0.1143456026911736</v>
      </c>
      <c r="L376" s="2">
        <f t="shared" si="17"/>
        <v>-10.953272769765112</v>
      </c>
      <c r="N376">
        <v>58.802310943603523</v>
      </c>
      <c r="O376">
        <v>542.82373046875</v>
      </c>
      <c r="P376" s="2">
        <f t="shared" si="15"/>
        <v>-0.25751846182725396</v>
      </c>
      <c r="Q376" s="2">
        <f t="shared" si="16"/>
        <v>-0.84066589337845421</v>
      </c>
    </row>
    <row r="377" spans="1:17" x14ac:dyDescent="0.3">
      <c r="A377" t="s">
        <v>398</v>
      </c>
      <c r="B377">
        <v>70.900000000000006</v>
      </c>
      <c r="C377">
        <v>118.9</v>
      </c>
      <c r="D377">
        <v>1.8824E-2</v>
      </c>
      <c r="E377">
        <v>30.2</v>
      </c>
      <c r="F377">
        <v>1</v>
      </c>
      <c r="G377">
        <v>8.8968820869922596E-2</v>
      </c>
      <c r="H377">
        <v>561.75465586898997</v>
      </c>
      <c r="I377">
        <v>68.446700391783594</v>
      </c>
      <c r="K377">
        <v>9.2461720108985901E-2</v>
      </c>
      <c r="L377" s="2">
        <f t="shared" si="17"/>
        <v>3.9259812650210564</v>
      </c>
      <c r="N377">
        <v>69.416007995605469</v>
      </c>
      <c r="O377">
        <v>555.298828125</v>
      </c>
      <c r="P377" s="2">
        <f t="shared" si="15"/>
        <v>1.4161494977458862</v>
      </c>
      <c r="Q377" s="2">
        <f t="shared" si="16"/>
        <v>-1.1492254984524013</v>
      </c>
    </row>
    <row r="378" spans="1:17" x14ac:dyDescent="0.3">
      <c r="A378" t="s">
        <v>399</v>
      </c>
      <c r="B378">
        <v>83</v>
      </c>
      <c r="C378">
        <v>122</v>
      </c>
      <c r="D378">
        <v>1.8166000000000002E-2</v>
      </c>
      <c r="E378">
        <v>22.76</v>
      </c>
      <c r="F378">
        <v>1.1299999999999999</v>
      </c>
      <c r="G378">
        <v>8.6026459932327201E-2</v>
      </c>
      <c r="H378">
        <v>538.03637021592101</v>
      </c>
      <c r="I378">
        <v>88.323086773786599</v>
      </c>
      <c r="K378">
        <v>8.6881585419178009E-2</v>
      </c>
      <c r="L378" s="2">
        <f t="shared" si="17"/>
        <v>0.99402612582627847</v>
      </c>
      <c r="N378">
        <v>89.842414855957031</v>
      </c>
      <c r="O378">
        <v>534.3323974609375</v>
      </c>
      <c r="P378" s="2">
        <f t="shared" si="15"/>
        <v>1.7201935956583363</v>
      </c>
      <c r="Q378" s="2">
        <f t="shared" si="16"/>
        <v>-0.68842423301180511</v>
      </c>
    </row>
    <row r="379" spans="1:17" x14ac:dyDescent="0.3">
      <c r="A379" t="s">
        <v>400</v>
      </c>
      <c r="B379">
        <v>43.4</v>
      </c>
      <c r="C379">
        <v>123.9</v>
      </c>
      <c r="D379">
        <v>7.8720000000000005E-3</v>
      </c>
      <c r="E379">
        <v>28.33</v>
      </c>
      <c r="F379">
        <v>1</v>
      </c>
      <c r="G379">
        <v>3.5288300365209503E-2</v>
      </c>
      <c r="H379">
        <v>552.78648138609606</v>
      </c>
      <c r="I379">
        <v>30.896714312956199</v>
      </c>
      <c r="K379">
        <v>3.4643962979316711E-2</v>
      </c>
      <c r="L379" s="2">
        <f t="shared" si="17"/>
        <v>-1.8259235475337303</v>
      </c>
      <c r="N379">
        <v>30.649091720581051</v>
      </c>
      <c r="O379">
        <v>549.47259521484375</v>
      </c>
      <c r="P379" s="2">
        <f t="shared" si="15"/>
        <v>-0.80145283367982589</v>
      </c>
      <c r="Q379" s="2">
        <f t="shared" si="16"/>
        <v>-0.59948755674032284</v>
      </c>
    </row>
    <row r="380" spans="1:17" x14ac:dyDescent="0.3">
      <c r="A380" t="s">
        <v>401</v>
      </c>
      <c r="B380">
        <v>84.4</v>
      </c>
      <c r="C380">
        <v>115.7</v>
      </c>
      <c r="D380">
        <v>2.3018E-2</v>
      </c>
      <c r="E380">
        <v>28.13</v>
      </c>
      <c r="F380">
        <v>1</v>
      </c>
      <c r="G380">
        <v>0.11656238883733699</v>
      </c>
      <c r="H380">
        <v>548.16581898557001</v>
      </c>
      <c r="I380">
        <v>87.718707047819393</v>
      </c>
      <c r="K380">
        <v>0.11353079974651339</v>
      </c>
      <c r="L380" s="2">
        <f t="shared" si="17"/>
        <v>-2.6008295823914414</v>
      </c>
      <c r="N380">
        <v>89.734672546386719</v>
      </c>
      <c r="O380">
        <v>538.0189208984375</v>
      </c>
      <c r="P380" s="2">
        <f t="shared" si="15"/>
        <v>2.2982161575504443</v>
      </c>
      <c r="Q380" s="2">
        <f t="shared" si="16"/>
        <v>-1.8510636263147997</v>
      </c>
    </row>
    <row r="381" spans="1:17" x14ac:dyDescent="0.3">
      <c r="A381" t="s">
        <v>402</v>
      </c>
      <c r="B381">
        <v>77.900000000000006</v>
      </c>
      <c r="C381">
        <v>126.9</v>
      </c>
      <c r="D381">
        <v>1.9354E-2</v>
      </c>
      <c r="E381">
        <v>29.18</v>
      </c>
      <c r="F381">
        <v>1</v>
      </c>
      <c r="G381">
        <v>8.4416523575782706E-2</v>
      </c>
      <c r="H381">
        <v>559.53137434039195</v>
      </c>
      <c r="I381">
        <v>75.038610445642803</v>
      </c>
      <c r="K381">
        <v>8.7627515196800232E-2</v>
      </c>
      <c r="L381" s="2">
        <f t="shared" si="17"/>
        <v>3.8037477557754942</v>
      </c>
      <c r="N381">
        <v>76.940643310546875</v>
      </c>
      <c r="O381">
        <v>554.2103271484375</v>
      </c>
      <c r="P381" s="2">
        <f t="shared" si="15"/>
        <v>2.5347389212142795</v>
      </c>
      <c r="Q381" s="2">
        <f t="shared" si="16"/>
        <v>-0.9509828109687698</v>
      </c>
    </row>
    <row r="382" spans="1:17" x14ac:dyDescent="0.3">
      <c r="A382" t="s">
        <v>403</v>
      </c>
      <c r="B382">
        <v>65.8</v>
      </c>
      <c r="C382">
        <v>130</v>
      </c>
      <c r="D382">
        <v>1.1132E-2</v>
      </c>
      <c r="E382">
        <v>20</v>
      </c>
      <c r="F382">
        <v>1.88</v>
      </c>
      <c r="G382">
        <v>5.0802078098058701E-2</v>
      </c>
      <c r="H382">
        <v>625.81339277695099</v>
      </c>
      <c r="I382">
        <v>75.953177512811394</v>
      </c>
      <c r="K382">
        <v>5.4634150117635727E-2</v>
      </c>
      <c r="L382" s="2">
        <f t="shared" si="17"/>
        <v>7.5431402868605515</v>
      </c>
      <c r="N382">
        <v>76.777687072753906</v>
      </c>
      <c r="O382">
        <v>623.56658935546875</v>
      </c>
      <c r="P382" s="2">
        <f t="shared" si="15"/>
        <v>1.0855497912558545</v>
      </c>
      <c r="Q382" s="2">
        <f t="shared" si="16"/>
        <v>-0.35902130689667655</v>
      </c>
    </row>
    <row r="383" spans="1:17" x14ac:dyDescent="0.3">
      <c r="A383" t="s">
        <v>404</v>
      </c>
      <c r="B383">
        <v>47.2</v>
      </c>
      <c r="C383">
        <v>109.5</v>
      </c>
      <c r="D383">
        <v>1.2092E-2</v>
      </c>
      <c r="E383">
        <v>35</v>
      </c>
      <c r="F383">
        <v>1</v>
      </c>
      <c r="G383">
        <v>7.0582360029220498E-2</v>
      </c>
      <c r="H383">
        <v>587.62418257070101</v>
      </c>
      <c r="I383">
        <v>37.404342927237302</v>
      </c>
      <c r="K383">
        <v>6.8850718438625336E-2</v>
      </c>
      <c r="L383" s="2">
        <f t="shared" si="17"/>
        <v>-2.4533631205846294</v>
      </c>
      <c r="N383">
        <v>36.734638214111328</v>
      </c>
      <c r="O383">
        <v>582.17767333984375</v>
      </c>
      <c r="P383" s="2">
        <f t="shared" si="15"/>
        <v>-1.7904464046561406</v>
      </c>
      <c r="Q383" s="2">
        <f t="shared" si="16"/>
        <v>-0.92686948434120198</v>
      </c>
    </row>
    <row r="384" spans="1:17" x14ac:dyDescent="0.3">
      <c r="A384" t="s">
        <v>405</v>
      </c>
      <c r="B384">
        <v>76.5</v>
      </c>
      <c r="C384">
        <v>123.5</v>
      </c>
      <c r="D384">
        <v>1.4605E-2</v>
      </c>
      <c r="E384">
        <v>20</v>
      </c>
      <c r="F384">
        <v>1</v>
      </c>
      <c r="G384">
        <v>6.9471433758735601E-2</v>
      </c>
      <c r="H384">
        <v>502.60500734570201</v>
      </c>
      <c r="I384">
        <v>78.177605763574405</v>
      </c>
      <c r="K384">
        <v>6.9880716502666473E-2</v>
      </c>
      <c r="L384" s="2">
        <f t="shared" si="17"/>
        <v>0.58913818498730408</v>
      </c>
      <c r="N384">
        <v>79.785392761230469</v>
      </c>
      <c r="O384">
        <v>495.77325439453119</v>
      </c>
      <c r="P384" s="2">
        <f t="shared" si="15"/>
        <v>2.0565825493791037</v>
      </c>
      <c r="Q384" s="2">
        <f t="shared" si="16"/>
        <v>-1.3592687799212064</v>
      </c>
    </row>
    <row r="385" spans="1:17" x14ac:dyDescent="0.3">
      <c r="A385" t="s">
        <v>406</v>
      </c>
      <c r="B385">
        <v>84.9</v>
      </c>
      <c r="C385">
        <v>112.7</v>
      </c>
      <c r="D385">
        <v>2.3432999999999999E-2</v>
      </c>
      <c r="E385">
        <v>27.82</v>
      </c>
      <c r="F385">
        <v>1</v>
      </c>
      <c r="G385">
        <v>0.12760345637798301</v>
      </c>
      <c r="H385">
        <v>545.37640840305596</v>
      </c>
      <c r="I385">
        <v>89.630102668859706</v>
      </c>
      <c r="K385">
        <v>0.12179169058799739</v>
      </c>
      <c r="L385" s="2">
        <f t="shared" si="17"/>
        <v>-4.5545520121102223</v>
      </c>
      <c r="N385">
        <v>90.837547302246094</v>
      </c>
      <c r="O385">
        <v>535.46282958984375</v>
      </c>
      <c r="P385" s="2">
        <f t="shared" si="15"/>
        <v>1.3471418613089365</v>
      </c>
      <c r="Q385" s="2">
        <f t="shared" si="16"/>
        <v>-1.8177498440463642</v>
      </c>
    </row>
    <row r="386" spans="1:17" x14ac:dyDescent="0.3">
      <c r="A386" t="s">
        <v>407</v>
      </c>
      <c r="B386">
        <v>79</v>
      </c>
      <c r="C386">
        <v>113.8</v>
      </c>
      <c r="D386">
        <v>2.5569999999999999E-2</v>
      </c>
      <c r="E386">
        <v>35</v>
      </c>
      <c r="F386">
        <v>1</v>
      </c>
      <c r="G386">
        <v>0.131315678358078</v>
      </c>
      <c r="H386">
        <v>588.77962600710998</v>
      </c>
      <c r="I386">
        <v>79.743658037985696</v>
      </c>
      <c r="K386">
        <v>0.12898668646812439</v>
      </c>
      <c r="L386" s="2">
        <f t="shared" si="17"/>
        <v>-1.7735824991154554</v>
      </c>
      <c r="N386">
        <v>81.878242492675781</v>
      </c>
      <c r="O386">
        <v>580.90087890625</v>
      </c>
      <c r="P386" s="2">
        <f t="shared" ref="P386:P417" si="18">(N386-I386)/I386*100</f>
        <v>2.6768077953901752</v>
      </c>
      <c r="Q386" s="2">
        <f t="shared" ref="Q386:Q417" si="19">(O386-H386)/H386*100</f>
        <v>-1.3381487321989705</v>
      </c>
    </row>
    <row r="387" spans="1:17" x14ac:dyDescent="0.3">
      <c r="A387" t="s">
        <v>408</v>
      </c>
      <c r="B387">
        <v>40.6</v>
      </c>
      <c r="C387">
        <v>115.5</v>
      </c>
      <c r="D387">
        <v>6.195E-3</v>
      </c>
      <c r="E387">
        <v>22.58</v>
      </c>
      <c r="F387">
        <v>1</v>
      </c>
      <c r="G387">
        <v>3.2570842653512899E-2</v>
      </c>
      <c r="H387">
        <v>514.79905697260904</v>
      </c>
      <c r="I387">
        <v>28.5897224356133</v>
      </c>
      <c r="K387">
        <v>3.2254613935947418E-2</v>
      </c>
      <c r="L387" s="2">
        <f t="shared" si="17"/>
        <v>-0.97089510679692048</v>
      </c>
      <c r="N387">
        <v>27.062131881713871</v>
      </c>
      <c r="O387">
        <v>507.90634155273438</v>
      </c>
      <c r="P387" s="2">
        <f t="shared" si="18"/>
        <v>-5.343145801221767</v>
      </c>
      <c r="Q387" s="2">
        <f t="shared" si="19"/>
        <v>-1.338913761887758</v>
      </c>
    </row>
    <row r="388" spans="1:17" x14ac:dyDescent="0.3">
      <c r="A388" t="s">
        <v>409</v>
      </c>
      <c r="B388">
        <v>43.8</v>
      </c>
      <c r="C388">
        <v>119.3</v>
      </c>
      <c r="D388">
        <v>7.306E-3</v>
      </c>
      <c r="E388">
        <v>24</v>
      </c>
      <c r="F388">
        <v>1</v>
      </c>
      <c r="G388">
        <v>3.5544294863939202E-2</v>
      </c>
      <c r="H388">
        <v>524.71475364724802</v>
      </c>
      <c r="I388">
        <v>32.706666045460302</v>
      </c>
      <c r="K388">
        <v>3.365209698677063E-2</v>
      </c>
      <c r="L388" s="2">
        <f t="shared" si="17"/>
        <v>-5.3234925166239995</v>
      </c>
      <c r="N388">
        <v>30.737974166870121</v>
      </c>
      <c r="O388">
        <v>519.06182861328125</v>
      </c>
      <c r="P388" s="2">
        <f t="shared" si="18"/>
        <v>-6.0192374112782332</v>
      </c>
      <c r="Q388" s="2">
        <f t="shared" si="19"/>
        <v>-1.077332968946225</v>
      </c>
    </row>
    <row r="389" spans="1:17" x14ac:dyDescent="0.3">
      <c r="A389" t="s">
        <v>410</v>
      </c>
      <c r="B389">
        <v>45.4</v>
      </c>
      <c r="C389">
        <v>108.7</v>
      </c>
      <c r="D389">
        <v>9.672E-3</v>
      </c>
      <c r="E389">
        <v>28.93</v>
      </c>
      <c r="F389">
        <v>1</v>
      </c>
      <c r="G389">
        <v>5.9446383267640998E-2</v>
      </c>
      <c r="H389">
        <v>551.019973748442</v>
      </c>
      <c r="I389">
        <v>35.889684051733902</v>
      </c>
      <c r="K389">
        <v>6.1309609562158578E-2</v>
      </c>
      <c r="L389" s="2">
        <f t="shared" si="17"/>
        <v>3.1342971466050598</v>
      </c>
      <c r="N389">
        <v>34.669017791748047</v>
      </c>
      <c r="O389">
        <v>548.7330322265625</v>
      </c>
      <c r="P389" s="2">
        <f t="shared" si="18"/>
        <v>-3.4011618999662994</v>
      </c>
      <c r="Q389" s="2">
        <f t="shared" si="19"/>
        <v>-0.41503786266077525</v>
      </c>
    </row>
    <row r="390" spans="1:17" x14ac:dyDescent="0.3">
      <c r="A390" t="s">
        <v>411</v>
      </c>
      <c r="B390">
        <v>76.099999999999994</v>
      </c>
      <c r="C390">
        <v>115.3</v>
      </c>
      <c r="D390">
        <v>2.1929000000000001E-2</v>
      </c>
      <c r="E390">
        <v>31.28</v>
      </c>
      <c r="F390">
        <v>1</v>
      </c>
      <c r="G390">
        <v>0.110319390892982</v>
      </c>
      <c r="H390">
        <v>566.933002089502</v>
      </c>
      <c r="I390">
        <v>75.870310859906596</v>
      </c>
      <c r="K390">
        <v>0.1099937632679939</v>
      </c>
      <c r="L390" s="2">
        <f t="shared" si="17"/>
        <v>-0.2951680773001919</v>
      </c>
      <c r="N390">
        <v>76.18475341796875</v>
      </c>
      <c r="O390">
        <v>559.8858642578125</v>
      </c>
      <c r="P390" s="2">
        <f t="shared" si="18"/>
        <v>0.41444743602377998</v>
      </c>
      <c r="Q390" s="2">
        <f t="shared" si="19"/>
        <v>-1.2430283306345538</v>
      </c>
    </row>
    <row r="391" spans="1:17" x14ac:dyDescent="0.3">
      <c r="A391" t="s">
        <v>412</v>
      </c>
      <c r="B391">
        <v>46.2</v>
      </c>
      <c r="C391">
        <v>112.5</v>
      </c>
      <c r="D391">
        <v>9.7789999999999995E-3</v>
      </c>
      <c r="E391">
        <v>28.94</v>
      </c>
      <c r="F391">
        <v>1</v>
      </c>
      <c r="G391">
        <v>5.3260494023561401E-2</v>
      </c>
      <c r="H391">
        <v>552.03974859616596</v>
      </c>
      <c r="I391">
        <v>36.466731027276701</v>
      </c>
      <c r="K391">
        <v>5.430319532752037E-2</v>
      </c>
      <c r="L391" s="2">
        <f t="shared" si="17"/>
        <v>1.957738701217639</v>
      </c>
      <c r="N391">
        <v>35.764968872070313</v>
      </c>
      <c r="O391">
        <v>549.76617431640625</v>
      </c>
      <c r="P391" s="2">
        <f t="shared" si="18"/>
        <v>-1.9243900822409294</v>
      </c>
      <c r="Q391" s="2">
        <f t="shared" si="19"/>
        <v>-0.41184974189655743</v>
      </c>
    </row>
    <row r="392" spans="1:17" x14ac:dyDescent="0.3">
      <c r="A392" t="s">
        <v>413</v>
      </c>
      <c r="B392">
        <v>50.2</v>
      </c>
      <c r="C392">
        <v>130</v>
      </c>
      <c r="D392">
        <v>1.0071E-2</v>
      </c>
      <c r="E392">
        <v>30.35</v>
      </c>
      <c r="F392">
        <v>1</v>
      </c>
      <c r="G392">
        <v>4.3045368045568397E-2</v>
      </c>
      <c r="H392">
        <v>568.52829180160199</v>
      </c>
      <c r="I392">
        <v>37.9845390971307</v>
      </c>
      <c r="K392">
        <v>4.3311178684234619E-2</v>
      </c>
      <c r="L392" s="2">
        <f t="shared" si="17"/>
        <v>0.61751275627340829</v>
      </c>
      <c r="N392">
        <v>39.142993927001953</v>
      </c>
      <c r="O392">
        <v>560.07794189453125</v>
      </c>
      <c r="P392" s="2">
        <f t="shared" si="18"/>
        <v>3.0498062038055935</v>
      </c>
      <c r="Q392" s="2">
        <f t="shared" si="19"/>
        <v>-1.4863552137911271</v>
      </c>
    </row>
    <row r="393" spans="1:17" x14ac:dyDescent="0.3">
      <c r="A393" t="s">
        <v>414</v>
      </c>
      <c r="B393">
        <v>54.8</v>
      </c>
      <c r="C393">
        <v>109.6</v>
      </c>
      <c r="D393">
        <v>1.0963000000000001E-2</v>
      </c>
      <c r="E393">
        <v>22.96</v>
      </c>
      <c r="F393">
        <v>1</v>
      </c>
      <c r="G393">
        <v>6.7222811281681005E-2</v>
      </c>
      <c r="H393">
        <v>515.407859200909</v>
      </c>
      <c r="I393">
        <v>49.4086759011184</v>
      </c>
      <c r="K393">
        <v>6.6882029175758362E-2</v>
      </c>
      <c r="L393" s="2">
        <f t="shared" ref="L393:L417" si="20">(K393-G393)/G393*100</f>
        <v>-0.50694414503832352</v>
      </c>
      <c r="N393">
        <v>47.979831695556641</v>
      </c>
      <c r="O393">
        <v>511.99038696289063</v>
      </c>
      <c r="P393" s="2">
        <f t="shared" si="18"/>
        <v>-2.8918892876654008</v>
      </c>
      <c r="Q393" s="2">
        <f t="shared" si="19"/>
        <v>-0.66306172422687604</v>
      </c>
    </row>
    <row r="394" spans="1:17" x14ac:dyDescent="0.3">
      <c r="A394" t="s">
        <v>415</v>
      </c>
      <c r="B394">
        <v>46.2</v>
      </c>
      <c r="C394">
        <v>115.8</v>
      </c>
      <c r="D394">
        <v>1.1202999999999999E-2</v>
      </c>
      <c r="E394">
        <v>35</v>
      </c>
      <c r="F394">
        <v>1</v>
      </c>
      <c r="G394">
        <v>5.49379214644432E-2</v>
      </c>
      <c r="H394">
        <v>589.41946678402303</v>
      </c>
      <c r="I394">
        <v>35.299293109175899</v>
      </c>
      <c r="K394">
        <v>5.2807774394750602E-2</v>
      </c>
      <c r="L394" s="2">
        <f t="shared" si="20"/>
        <v>-3.8773710633942837</v>
      </c>
      <c r="N394">
        <v>35.935741424560547</v>
      </c>
      <c r="O394">
        <v>587.52587890625</v>
      </c>
      <c r="P394" s="2">
        <f t="shared" si="18"/>
        <v>1.8030058375849058</v>
      </c>
      <c r="Q394" s="2">
        <f t="shared" si="19"/>
        <v>-0.32126320633839606</v>
      </c>
    </row>
    <row r="395" spans="1:17" x14ac:dyDescent="0.3">
      <c r="A395" t="s">
        <v>416</v>
      </c>
      <c r="B395">
        <v>56.9</v>
      </c>
      <c r="C395">
        <v>130</v>
      </c>
      <c r="D395">
        <v>1.0055E-2</v>
      </c>
      <c r="E395">
        <v>23.37</v>
      </c>
      <c r="F395">
        <v>1</v>
      </c>
      <c r="G395">
        <v>4.4650394469499498E-2</v>
      </c>
      <c r="H395">
        <v>526.64829180160098</v>
      </c>
      <c r="I395">
        <v>47.960760516121802</v>
      </c>
      <c r="K395">
        <v>4.9975696951150887E-2</v>
      </c>
      <c r="L395" s="2">
        <f t="shared" si="20"/>
        <v>11.926663907278764</v>
      </c>
      <c r="N395">
        <v>49.031036376953118</v>
      </c>
      <c r="O395">
        <v>521.8433837890625</v>
      </c>
      <c r="P395" s="2">
        <f t="shared" si="18"/>
        <v>2.2315656576620539</v>
      </c>
      <c r="Q395" s="2">
        <f t="shared" si="19"/>
        <v>-0.91235613735714571</v>
      </c>
    </row>
    <row r="396" spans="1:17" x14ac:dyDescent="0.3">
      <c r="A396" t="s">
        <v>417</v>
      </c>
      <c r="B396">
        <v>59.4</v>
      </c>
      <c r="C396">
        <v>130</v>
      </c>
      <c r="D396">
        <v>1.2134000000000001E-2</v>
      </c>
      <c r="E396">
        <v>27.43</v>
      </c>
      <c r="F396">
        <v>1</v>
      </c>
      <c r="G396">
        <v>5.2612196654081303E-2</v>
      </c>
      <c r="H396">
        <v>551.00829180160099</v>
      </c>
      <c r="I396">
        <v>49.907946008586997</v>
      </c>
      <c r="K396">
        <v>5.7786144316196442E-2</v>
      </c>
      <c r="L396" s="2">
        <f t="shared" si="20"/>
        <v>9.8341221069578317</v>
      </c>
      <c r="N396">
        <v>49.616024017333977</v>
      </c>
      <c r="O396">
        <v>545.9239501953125</v>
      </c>
      <c r="P396" s="2">
        <f t="shared" si="18"/>
        <v>-0.58492086851819636</v>
      </c>
      <c r="Q396" s="2">
        <f t="shared" si="19"/>
        <v>-0.92273413702441809</v>
      </c>
    </row>
    <row r="397" spans="1:17" x14ac:dyDescent="0.3">
      <c r="A397" t="s">
        <v>418</v>
      </c>
      <c r="B397">
        <v>42</v>
      </c>
      <c r="C397">
        <v>112.6</v>
      </c>
      <c r="D397">
        <v>6.136E-3</v>
      </c>
      <c r="E397">
        <v>20</v>
      </c>
      <c r="F397">
        <v>1</v>
      </c>
      <c r="G397">
        <v>3.5150449723005198E-2</v>
      </c>
      <c r="H397">
        <v>498.42799852572301</v>
      </c>
      <c r="I397">
        <v>31.199858704000501</v>
      </c>
      <c r="K397">
        <v>3.3586647361516953E-2</v>
      </c>
      <c r="L397" s="2">
        <f t="shared" si="20"/>
        <v>-4.4488829412181632</v>
      </c>
      <c r="N397">
        <v>30.040437698364261</v>
      </c>
      <c r="O397">
        <v>489.11080932617188</v>
      </c>
      <c r="P397" s="2">
        <f t="shared" si="18"/>
        <v>-3.7161097959958931</v>
      </c>
      <c r="Q397" s="2">
        <f t="shared" si="19"/>
        <v>-1.8693149716930062</v>
      </c>
    </row>
    <row r="398" spans="1:17" x14ac:dyDescent="0.3">
      <c r="A398" t="s">
        <v>419</v>
      </c>
      <c r="B398">
        <v>75.8</v>
      </c>
      <c r="C398">
        <v>124.1</v>
      </c>
      <c r="D398">
        <v>2.0118E-2</v>
      </c>
      <c r="E398">
        <v>30.95</v>
      </c>
      <c r="F398">
        <v>1</v>
      </c>
      <c r="G398">
        <v>8.8838845491409302E-2</v>
      </c>
      <c r="H398">
        <v>568.60872231641497</v>
      </c>
      <c r="I398">
        <v>72.860348623011603</v>
      </c>
      <c r="K398">
        <v>9.2335768043994904E-2</v>
      </c>
      <c r="L398" s="2">
        <f t="shared" si="20"/>
        <v>3.936253936262323</v>
      </c>
      <c r="N398">
        <v>75.430206298828125</v>
      </c>
      <c r="O398">
        <v>562.70947265625</v>
      </c>
      <c r="P398" s="2">
        <f t="shared" si="18"/>
        <v>3.5271004385571652</v>
      </c>
      <c r="Q398" s="2">
        <f t="shared" si="19"/>
        <v>-1.0374884219384521</v>
      </c>
    </row>
    <row r="399" spans="1:17" x14ac:dyDescent="0.3">
      <c r="A399" t="s">
        <v>420</v>
      </c>
      <c r="B399">
        <v>86.3</v>
      </c>
      <c r="C399">
        <v>112.4</v>
      </c>
      <c r="D399">
        <v>2.3781E-2</v>
      </c>
      <c r="E399">
        <v>27.54</v>
      </c>
      <c r="F399">
        <v>1</v>
      </c>
      <c r="G399">
        <v>0.13076302409172</v>
      </c>
      <c r="H399">
        <v>543.61165809508498</v>
      </c>
      <c r="I399">
        <v>91.7572181078623</v>
      </c>
      <c r="K399">
        <v>0.12324737012386321</v>
      </c>
      <c r="L399" s="2">
        <f t="shared" si="20"/>
        <v>-5.7475375933376629</v>
      </c>
      <c r="N399">
        <v>93.092109680175781</v>
      </c>
      <c r="O399">
        <v>533.947509765625</v>
      </c>
      <c r="P399" s="2">
        <f t="shared" si="18"/>
        <v>1.4548082427088094</v>
      </c>
      <c r="Q399" s="2">
        <f t="shared" si="19"/>
        <v>-1.7777669381346468</v>
      </c>
    </row>
    <row r="400" spans="1:17" x14ac:dyDescent="0.3">
      <c r="A400" t="s">
        <v>421</v>
      </c>
      <c r="B400">
        <v>69.900000000000006</v>
      </c>
      <c r="C400">
        <v>130</v>
      </c>
      <c r="D400">
        <v>1.2670000000000001E-2</v>
      </c>
      <c r="E400">
        <v>21.24</v>
      </c>
      <c r="F400">
        <v>1</v>
      </c>
      <c r="G400">
        <v>5.7094395160675E-2</v>
      </c>
      <c r="H400">
        <v>513.86829180160203</v>
      </c>
      <c r="I400">
        <v>66.161144286438201</v>
      </c>
      <c r="K400">
        <v>6.5503433346748352E-2</v>
      </c>
      <c r="L400" s="2">
        <f t="shared" si="20"/>
        <v>14.728307677852866</v>
      </c>
      <c r="N400">
        <v>67.209808349609375</v>
      </c>
      <c r="O400">
        <v>502.18490600585938</v>
      </c>
      <c r="P400" s="2">
        <f t="shared" si="18"/>
        <v>1.5850150031128318</v>
      </c>
      <c r="Q400" s="2">
        <f t="shared" si="19"/>
        <v>-2.273614850758968</v>
      </c>
    </row>
    <row r="401" spans="1:17" x14ac:dyDescent="0.3">
      <c r="A401" t="s">
        <v>422</v>
      </c>
      <c r="B401">
        <v>41.2</v>
      </c>
      <c r="C401">
        <v>111.7</v>
      </c>
      <c r="D401">
        <v>5.9420000000000002E-3</v>
      </c>
      <c r="E401">
        <v>20</v>
      </c>
      <c r="F401">
        <v>1</v>
      </c>
      <c r="G401">
        <v>3.485818952322E-2</v>
      </c>
      <c r="H401">
        <v>498.17944575559301</v>
      </c>
      <c r="I401">
        <v>30.025813219643599</v>
      </c>
      <c r="K401">
        <v>3.39510478079319E-2</v>
      </c>
      <c r="L401" s="2">
        <f t="shared" si="20"/>
        <v>-2.6023775981934683</v>
      </c>
      <c r="N401">
        <v>28.898965835571289</v>
      </c>
      <c r="O401">
        <v>488.23684692382813</v>
      </c>
      <c r="P401" s="2">
        <f t="shared" si="18"/>
        <v>-3.7529287744156732</v>
      </c>
      <c r="Q401" s="2">
        <f t="shared" si="19"/>
        <v>-1.9957866420371597</v>
      </c>
    </row>
    <row r="402" spans="1:17" x14ac:dyDescent="0.3">
      <c r="A402" t="s">
        <v>423</v>
      </c>
      <c r="B402">
        <v>88.1</v>
      </c>
      <c r="C402">
        <v>126.8</v>
      </c>
      <c r="D402">
        <v>2.2386E-2</v>
      </c>
      <c r="E402">
        <v>28.53</v>
      </c>
      <c r="F402">
        <v>1</v>
      </c>
      <c r="G402">
        <v>9.8011374473571694E-2</v>
      </c>
      <c r="H402">
        <v>555.57252734582198</v>
      </c>
      <c r="I402">
        <v>88.7202280468493</v>
      </c>
      <c r="K402">
        <v>9.5833592116832733E-2</v>
      </c>
      <c r="L402" s="2">
        <f t="shared" si="20"/>
        <v>-2.2219689994513745</v>
      </c>
      <c r="N402">
        <v>90.62408447265625</v>
      </c>
      <c r="O402">
        <v>545.45428466796875</v>
      </c>
      <c r="P402" s="2">
        <f t="shared" si="18"/>
        <v>2.1459102030278889</v>
      </c>
      <c r="Q402" s="2">
        <f t="shared" si="19"/>
        <v>-1.8212280449128517</v>
      </c>
    </row>
    <row r="403" spans="1:17" x14ac:dyDescent="0.3">
      <c r="A403" t="s">
        <v>424</v>
      </c>
      <c r="B403">
        <v>72</v>
      </c>
      <c r="C403">
        <v>115.1</v>
      </c>
      <c r="D403">
        <v>1.6063999999999998E-2</v>
      </c>
      <c r="E403">
        <v>23.3</v>
      </c>
      <c r="F403">
        <v>1</v>
      </c>
      <c r="G403">
        <v>8.4766432642936707E-2</v>
      </c>
      <c r="H403">
        <v>518.98764922301996</v>
      </c>
      <c r="I403">
        <v>72.205055636428696</v>
      </c>
      <c r="K403">
        <v>8.5532873868942261E-2</v>
      </c>
      <c r="L403" s="2">
        <f t="shared" si="20"/>
        <v>0.90418011246745456</v>
      </c>
      <c r="N403">
        <v>72.915870666503906</v>
      </c>
      <c r="O403">
        <v>511.87774658203119</v>
      </c>
      <c r="P403" s="2">
        <f t="shared" si="18"/>
        <v>0.98443941883287134</v>
      </c>
      <c r="Q403" s="2">
        <f t="shared" si="19"/>
        <v>-1.3699560387675986</v>
      </c>
    </row>
    <row r="404" spans="1:17" x14ac:dyDescent="0.3">
      <c r="A404" t="s">
        <v>425</v>
      </c>
      <c r="B404">
        <v>49.1</v>
      </c>
      <c r="C404">
        <v>115.1</v>
      </c>
      <c r="D404">
        <v>8.4690000000000008E-3</v>
      </c>
      <c r="E404">
        <v>21.56</v>
      </c>
      <c r="F404">
        <v>1</v>
      </c>
      <c r="G404">
        <v>4.5216925442218697E-2</v>
      </c>
      <c r="H404">
        <v>508.54764922302002</v>
      </c>
      <c r="I404">
        <v>40.944593802886402</v>
      </c>
      <c r="K404">
        <v>4.3576978147029877E-2</v>
      </c>
      <c r="L404" s="2">
        <f t="shared" si="20"/>
        <v>-3.6268438845636646</v>
      </c>
      <c r="N404">
        <v>39.841102600097663</v>
      </c>
      <c r="O404">
        <v>503.3868408203125</v>
      </c>
      <c r="P404" s="2">
        <f t="shared" si="18"/>
        <v>-2.6950840154896047</v>
      </c>
      <c r="Q404" s="2">
        <f t="shared" si="19"/>
        <v>-1.0148131469278074</v>
      </c>
    </row>
    <row r="405" spans="1:17" x14ac:dyDescent="0.3">
      <c r="A405" t="s">
        <v>426</v>
      </c>
      <c r="B405">
        <v>62.4</v>
      </c>
      <c r="C405">
        <v>100</v>
      </c>
      <c r="D405">
        <v>1.9560999999999999E-2</v>
      </c>
      <c r="E405">
        <v>35</v>
      </c>
      <c r="F405">
        <v>1.2</v>
      </c>
      <c r="G405">
        <v>0.18988211452960899</v>
      </c>
      <c r="H405">
        <v>630.42601128205399</v>
      </c>
      <c r="I405">
        <v>64.110027916214605</v>
      </c>
      <c r="K405">
        <v>0.14906385540962219</v>
      </c>
      <c r="L405" s="2">
        <f t="shared" si="20"/>
        <v>-21.496631855562079</v>
      </c>
      <c r="N405">
        <v>62.332714080810547</v>
      </c>
      <c r="O405">
        <v>621.00604248046875</v>
      </c>
      <c r="P405" s="2">
        <f t="shared" si="18"/>
        <v>-2.7722867906512687</v>
      </c>
      <c r="Q405" s="2">
        <f t="shared" si="19"/>
        <v>-1.4942227371660157</v>
      </c>
    </row>
    <row r="406" spans="1:17" x14ac:dyDescent="0.3">
      <c r="A406" t="s">
        <v>427</v>
      </c>
      <c r="B406">
        <v>77.8</v>
      </c>
      <c r="C406">
        <v>103.1</v>
      </c>
      <c r="D406">
        <v>2.4124E-2</v>
      </c>
      <c r="E406">
        <v>31.43</v>
      </c>
      <c r="F406">
        <v>1</v>
      </c>
      <c r="G406">
        <v>0.19141919910907701</v>
      </c>
      <c r="H406">
        <v>564.97552701908103</v>
      </c>
      <c r="I406">
        <v>82.950999158561999</v>
      </c>
      <c r="K406">
        <v>0.14465832710266111</v>
      </c>
      <c r="L406" s="2">
        <f t="shared" si="20"/>
        <v>-24.428517214602913</v>
      </c>
      <c r="N406">
        <v>82.706840515136719</v>
      </c>
      <c r="O406">
        <v>559.0550537109375</v>
      </c>
      <c r="P406" s="2">
        <f t="shared" si="18"/>
        <v>-0.29434081072196266</v>
      </c>
      <c r="Q406" s="2">
        <f t="shared" si="19"/>
        <v>-1.0479167724982845</v>
      </c>
    </row>
    <row r="407" spans="1:17" x14ac:dyDescent="0.3">
      <c r="A407" t="s">
        <v>428</v>
      </c>
      <c r="B407">
        <v>59.8</v>
      </c>
      <c r="C407">
        <v>100</v>
      </c>
      <c r="D407">
        <v>1.5805E-2</v>
      </c>
      <c r="E407">
        <v>29.28</v>
      </c>
      <c r="F407">
        <v>1.08</v>
      </c>
      <c r="G407">
        <v>0.155150607228279</v>
      </c>
      <c r="H407">
        <v>566.69819696093896</v>
      </c>
      <c r="I407">
        <v>59.147829033079802</v>
      </c>
      <c r="K407">
        <v>0.12656883895397189</v>
      </c>
      <c r="L407" s="2">
        <f t="shared" si="20"/>
        <v>-18.421950635522595</v>
      </c>
      <c r="N407">
        <v>57.81500244140625</v>
      </c>
      <c r="O407">
        <v>558.321044921875</v>
      </c>
      <c r="P407" s="2">
        <f t="shared" si="18"/>
        <v>-2.2533820994987614</v>
      </c>
      <c r="Q407" s="2">
        <f t="shared" si="19"/>
        <v>-1.4782386963622849</v>
      </c>
    </row>
    <row r="408" spans="1:17" x14ac:dyDescent="0.3">
      <c r="A408" t="s">
        <v>429</v>
      </c>
      <c r="B408">
        <v>78.400000000000006</v>
      </c>
      <c r="C408">
        <v>120.9</v>
      </c>
      <c r="D408">
        <v>2.1565999999999998E-2</v>
      </c>
      <c r="E408">
        <v>30.75</v>
      </c>
      <c r="F408">
        <v>1</v>
      </c>
      <c r="G408">
        <v>9.8732002079486805E-2</v>
      </c>
      <c r="H408">
        <v>565.88849755454601</v>
      </c>
      <c r="I408">
        <v>77.851352853480506</v>
      </c>
      <c r="K408">
        <v>9.9320285022258759E-2</v>
      </c>
      <c r="L408" s="2">
        <f t="shared" si="20"/>
        <v>0.59583815822790731</v>
      </c>
      <c r="N408">
        <v>79.361465454101563</v>
      </c>
      <c r="O408">
        <v>559.143310546875</v>
      </c>
      <c r="P408" s="2">
        <f t="shared" si="18"/>
        <v>1.9397384185001272</v>
      </c>
      <c r="Q408" s="2">
        <f t="shared" si="19"/>
        <v>-1.1919639711391796</v>
      </c>
    </row>
    <row r="409" spans="1:17" x14ac:dyDescent="0.3">
      <c r="A409" t="s">
        <v>430</v>
      </c>
      <c r="B409">
        <v>62.7</v>
      </c>
      <c r="C409">
        <v>112.5</v>
      </c>
      <c r="D409">
        <v>1.8664E-2</v>
      </c>
      <c r="E409">
        <v>35</v>
      </c>
      <c r="F409">
        <v>1</v>
      </c>
      <c r="G409">
        <v>9.9149584770202595E-2</v>
      </c>
      <c r="H409">
        <v>588.399748596167</v>
      </c>
      <c r="I409">
        <v>58.834096917398398</v>
      </c>
      <c r="K409">
        <v>9.8403848707675934E-2</v>
      </c>
      <c r="L409" s="2">
        <f t="shared" si="20"/>
        <v>-0.75213231024117932</v>
      </c>
      <c r="N409">
        <v>59.598648071289063</v>
      </c>
      <c r="O409">
        <v>581.55401611328125</v>
      </c>
      <c r="P409" s="2">
        <f t="shared" si="18"/>
        <v>1.2995035089330518</v>
      </c>
      <c r="Q409" s="2">
        <f t="shared" si="19"/>
        <v>-1.1634492535421088</v>
      </c>
    </row>
    <row r="410" spans="1:17" x14ac:dyDescent="0.3">
      <c r="A410" t="s">
        <v>431</v>
      </c>
      <c r="B410">
        <v>60.8</v>
      </c>
      <c r="C410">
        <v>124.4</v>
      </c>
      <c r="D410">
        <v>1.4256E-2</v>
      </c>
      <c r="E410">
        <v>29.88</v>
      </c>
      <c r="F410">
        <v>1</v>
      </c>
      <c r="G410">
        <v>6.3111767172813402E-2</v>
      </c>
      <c r="H410">
        <v>562.343990633055</v>
      </c>
      <c r="I410">
        <v>53.495944277792397</v>
      </c>
      <c r="K410">
        <v>6.8448528647422791E-2</v>
      </c>
      <c r="L410" s="2">
        <f t="shared" si="20"/>
        <v>8.4560482358166329</v>
      </c>
      <c r="N410">
        <v>54.201053619384773</v>
      </c>
      <c r="O410">
        <v>557.22882080078125</v>
      </c>
      <c r="P410" s="2">
        <f t="shared" si="18"/>
        <v>1.3180613056027235</v>
      </c>
      <c r="Q410" s="2">
        <f t="shared" si="19"/>
        <v>-0.9096158076687868</v>
      </c>
    </row>
    <row r="411" spans="1:17" x14ac:dyDescent="0.3">
      <c r="A411" t="s">
        <v>432</v>
      </c>
      <c r="B411">
        <v>76.900000000000006</v>
      </c>
      <c r="C411">
        <v>124.5</v>
      </c>
      <c r="D411">
        <v>1.8429000000000001E-2</v>
      </c>
      <c r="E411">
        <v>27.19</v>
      </c>
      <c r="F411">
        <v>1</v>
      </c>
      <c r="G411">
        <v>8.2646772265434196E-2</v>
      </c>
      <c r="H411">
        <v>546.25626014901104</v>
      </c>
      <c r="I411">
        <v>75.345609821734598</v>
      </c>
      <c r="K411">
        <v>8.5447825491428375E-2</v>
      </c>
      <c r="L411" s="2">
        <f t="shared" si="20"/>
        <v>3.3891864730035914</v>
      </c>
      <c r="N411">
        <v>77.752700805664063</v>
      </c>
      <c r="O411">
        <v>542.616943359375</v>
      </c>
      <c r="P411" s="2">
        <f t="shared" si="18"/>
        <v>3.1947328976758804</v>
      </c>
      <c r="Q411" s="2">
        <f t="shared" si="19"/>
        <v>-0.66622884809471772</v>
      </c>
    </row>
    <row r="412" spans="1:17" x14ac:dyDescent="0.3">
      <c r="A412" t="s">
        <v>433</v>
      </c>
      <c r="B412">
        <v>83.5</v>
      </c>
      <c r="C412">
        <v>123.3</v>
      </c>
      <c r="D412">
        <v>2.18E-2</v>
      </c>
      <c r="E412">
        <v>28.87</v>
      </c>
      <c r="F412">
        <v>1</v>
      </c>
      <c r="G412">
        <v>9.80643630027771E-2</v>
      </c>
      <c r="H412">
        <v>555.72575540887306</v>
      </c>
      <c r="I412">
        <v>83.663392708642107</v>
      </c>
      <c r="K412">
        <v>9.6840105950832367E-2</v>
      </c>
      <c r="L412" s="2">
        <f t="shared" si="20"/>
        <v>-1.2484219694671985</v>
      </c>
      <c r="N412">
        <v>85.732749938964844</v>
      </c>
      <c r="O412">
        <v>546.853515625</v>
      </c>
      <c r="P412" s="2">
        <f t="shared" si="18"/>
        <v>2.473432122851241</v>
      </c>
      <c r="Q412" s="2">
        <f t="shared" si="19"/>
        <v>-1.5965140534732531</v>
      </c>
    </row>
    <row r="413" spans="1:17" x14ac:dyDescent="0.3">
      <c r="A413" t="s">
        <v>434</v>
      </c>
      <c r="B413">
        <v>44.8</v>
      </c>
      <c r="C413">
        <v>120.2</v>
      </c>
      <c r="D413">
        <v>6.5839999999999996E-3</v>
      </c>
      <c r="E413">
        <v>20</v>
      </c>
      <c r="F413">
        <v>1</v>
      </c>
      <c r="G413">
        <v>3.2563418149948099E-2</v>
      </c>
      <c r="H413">
        <v>501.08704785696699</v>
      </c>
      <c r="I413">
        <v>34.706908947074098</v>
      </c>
      <c r="K413">
        <v>2.931483834981918E-2</v>
      </c>
      <c r="L413" s="2">
        <f t="shared" si="20"/>
        <v>-9.9761633903721414</v>
      </c>
      <c r="N413">
        <v>33.553638458251953</v>
      </c>
      <c r="O413">
        <v>494.01309204101563</v>
      </c>
      <c r="P413" s="2">
        <f t="shared" si="18"/>
        <v>-3.322884474041786</v>
      </c>
      <c r="Q413" s="2">
        <f t="shared" si="19"/>
        <v>-1.4117219445613356</v>
      </c>
    </row>
    <row r="414" spans="1:17" x14ac:dyDescent="0.3">
      <c r="A414" t="s">
        <v>435</v>
      </c>
      <c r="B414">
        <v>57.9</v>
      </c>
      <c r="C414">
        <v>109</v>
      </c>
      <c r="D414">
        <v>1.6891E-2</v>
      </c>
      <c r="E414">
        <v>35</v>
      </c>
      <c r="F414">
        <v>1</v>
      </c>
      <c r="G414">
        <v>0.10039742290973599</v>
      </c>
      <c r="H414">
        <v>587.50797390836101</v>
      </c>
      <c r="I414">
        <v>51.930471658409701</v>
      </c>
      <c r="K414">
        <v>9.7985148429870605E-2</v>
      </c>
      <c r="L414" s="2">
        <f t="shared" si="20"/>
        <v>-2.4027254982771677</v>
      </c>
      <c r="N414">
        <v>54.133438110351563</v>
      </c>
      <c r="O414">
        <v>579.444091796875</v>
      </c>
      <c r="P414" s="2">
        <f t="shared" si="18"/>
        <v>4.2421460494959895</v>
      </c>
      <c r="Q414" s="2">
        <f t="shared" si="19"/>
        <v>-1.3725570493693089</v>
      </c>
    </row>
    <row r="415" spans="1:17" x14ac:dyDescent="0.3">
      <c r="A415" t="s">
        <v>436</v>
      </c>
      <c r="B415">
        <v>87.4</v>
      </c>
      <c r="C415">
        <v>119.4</v>
      </c>
      <c r="D415">
        <v>2.4427999999999998E-2</v>
      </c>
      <c r="E415">
        <v>29.62</v>
      </c>
      <c r="F415">
        <v>1</v>
      </c>
      <c r="G415">
        <v>0.114953808486461</v>
      </c>
      <c r="H415">
        <v>558.475288363603</v>
      </c>
      <c r="I415">
        <v>90.3590092985974</v>
      </c>
      <c r="K415">
        <v>0.1133663207292557</v>
      </c>
      <c r="L415" s="2">
        <f t="shared" si="20"/>
        <v>-1.3809788280240127</v>
      </c>
      <c r="N415">
        <v>92.377410888671875</v>
      </c>
      <c r="O415">
        <v>547.60614013671875</v>
      </c>
      <c r="P415" s="2">
        <f t="shared" si="18"/>
        <v>2.2337579902016547</v>
      </c>
      <c r="Q415" s="2">
        <f t="shared" si="19"/>
        <v>-1.9462182935134169</v>
      </c>
    </row>
    <row r="416" spans="1:17" x14ac:dyDescent="0.3">
      <c r="A416" t="s">
        <v>437</v>
      </c>
      <c r="B416">
        <v>80.8</v>
      </c>
      <c r="C416">
        <v>120.2</v>
      </c>
      <c r="D416">
        <v>2.1441000000000002E-2</v>
      </c>
      <c r="E416">
        <v>28.86</v>
      </c>
      <c r="F416">
        <v>1</v>
      </c>
      <c r="G416">
        <v>0.100092813372612</v>
      </c>
      <c r="H416">
        <v>554.24704785696701</v>
      </c>
      <c r="I416">
        <v>81.2683151544298</v>
      </c>
      <c r="K416">
        <v>9.9096722900867462E-2</v>
      </c>
      <c r="L416" s="2">
        <f t="shared" si="20"/>
        <v>-0.99516682385220445</v>
      </c>
      <c r="N416">
        <v>83.385169982910156</v>
      </c>
      <c r="O416">
        <v>547.70751953125</v>
      </c>
      <c r="P416" s="2">
        <f t="shared" si="18"/>
        <v>2.6047726281242709</v>
      </c>
      <c r="Q416" s="2">
        <f t="shared" si="19"/>
        <v>-1.1798941195992898</v>
      </c>
    </row>
    <row r="417" spans="1:19" x14ac:dyDescent="0.3">
      <c r="A417" t="s">
        <v>438</v>
      </c>
      <c r="B417">
        <v>45.3</v>
      </c>
      <c r="C417">
        <v>107.6</v>
      </c>
      <c r="D417">
        <v>9.7009999999999996E-3</v>
      </c>
      <c r="E417">
        <v>29</v>
      </c>
      <c r="F417">
        <v>1</v>
      </c>
      <c r="G417">
        <v>6.2201689928770003E-2</v>
      </c>
      <c r="H417">
        <v>551.20151908115804</v>
      </c>
      <c r="I417">
        <v>35.418579463935998</v>
      </c>
      <c r="K417">
        <v>6.38003870844841E-2</v>
      </c>
      <c r="L417" s="2">
        <f t="shared" si="20"/>
        <v>2.5701828319211883</v>
      </c>
      <c r="N417">
        <v>34.743595123291023</v>
      </c>
      <c r="O417">
        <v>548.83111572265625</v>
      </c>
      <c r="P417" s="2">
        <f t="shared" si="18"/>
        <v>-1.9057352125944518</v>
      </c>
      <c r="Q417" s="2">
        <f t="shared" si="19"/>
        <v>-0.4300429654934923</v>
      </c>
    </row>
    <row r="418" spans="1:19" x14ac:dyDescent="0.3">
      <c r="L418" s="2"/>
      <c r="P418" s="2"/>
      <c r="Q418" s="2"/>
    </row>
    <row r="420" spans="1:19" x14ac:dyDescent="0.3">
      <c r="L420" s="2">
        <f>MIN(L8:L257)</f>
        <v>-31.971729062828196</v>
      </c>
      <c r="P420" s="2">
        <f>MIN(P8:P257)</f>
        <v>-5.5310292439667377</v>
      </c>
      <c r="Q420" s="2">
        <f>MIN(Q8:Q257)</f>
        <v>-2.706357019106632</v>
      </c>
      <c r="S420" t="s">
        <v>221</v>
      </c>
    </row>
    <row r="421" spans="1:19" x14ac:dyDescent="0.3">
      <c r="L421" s="2">
        <f>MAX(L8:L257)</f>
        <v>16.796636292766582</v>
      </c>
      <c r="P421" s="2">
        <f>MAX(P8:P257)</f>
        <v>5.4181542490482073</v>
      </c>
      <c r="Q421" s="2">
        <f>MAX(Q8:Q257)</f>
        <v>0.17384172745522855</v>
      </c>
      <c r="S421" t="s">
        <v>222</v>
      </c>
    </row>
    <row r="422" spans="1:19" x14ac:dyDescent="0.3">
      <c r="L422" s="2" cm="1">
        <f t="array" ref="L422">AVERAGE(ABS(L8:L257))</f>
        <v>4.3283942587597997</v>
      </c>
      <c r="P422" s="2" cm="1">
        <f t="array" ref="P422">AVERAGE(ABS(P8:P257))</f>
        <v>1.8845410520440111</v>
      </c>
      <c r="Q422" s="2" cm="1">
        <f t="array" ref="Q422">AVERAGE(ABS(Q8:Q257))</f>
        <v>1.1532381818389328</v>
      </c>
      <c r="S422" t="s">
        <v>223</v>
      </c>
    </row>
  </sheetData>
  <mergeCells count="6">
    <mergeCell ref="P4:P7"/>
    <mergeCell ref="Q4:Q7"/>
    <mergeCell ref="K4:K7"/>
    <mergeCell ref="L4:L7"/>
    <mergeCell ref="N4:N7"/>
    <mergeCell ref="O4:O7"/>
  </mergeCells>
  <phoneticPr fontId="19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E2B13623D744FB2C18A418704D37B" ma:contentTypeVersion="3" ma:contentTypeDescription="Create a new document." ma:contentTypeScope="" ma:versionID="80cde4d9804c78675fc445c67d3090c8">
  <xsd:schema xmlns:xsd="http://www.w3.org/2001/XMLSchema" xmlns:xs="http://www.w3.org/2001/XMLSchema" xmlns:p="http://schemas.microsoft.com/office/2006/metadata/properties" xmlns:ns2="116f2a2b-4914-4672-9ef3-ee7e5f5c2150" targetNamespace="http://schemas.microsoft.com/office/2006/metadata/properties" ma:root="true" ma:fieldsID="132925e758d6b2a764f07c223b5d5857" ns2:_="">
    <xsd:import namespace="116f2a2b-4914-4672-9ef3-ee7e5f5c2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f2a2b-4914-4672-9ef3-ee7e5f5c2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EBC75-84FC-4A4F-A20E-BBB8B2E7C17D}"/>
</file>

<file path=customXml/itemProps2.xml><?xml version="1.0" encoding="utf-8"?>
<ds:datastoreItem xmlns:ds="http://schemas.openxmlformats.org/officeDocument/2006/customXml" ds:itemID="{30DEEF03-14CB-4C11-A83D-37BB213113DB}"/>
</file>

<file path=customXml/itemProps3.xml><?xml version="1.0" encoding="utf-8"?>
<ds:datastoreItem xmlns:ds="http://schemas.openxmlformats.org/officeDocument/2006/customXml" ds:itemID="{3C30F0AE-2BDA-4E2F-8484-2A0BC6407A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</dc:creator>
  <cp:lastModifiedBy>Radu Stefan Chiorean</cp:lastModifiedBy>
  <dcterms:created xsi:type="dcterms:W3CDTF">2025-11-08T20:48:59Z</dcterms:created>
  <dcterms:modified xsi:type="dcterms:W3CDTF">2026-05-24T14:21:07Z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2025-11-08T20:59:09Z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b7ef1366-deed-434e-a4a1-16787cfe8120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  <property fmtid="{D5CDD505-2E9C-101B-9397-08002B2CF9AE}" pid="10" name="ContentTypeId">
    <vt:lpwstr>0x010100826E2B13623D744FB2C18A418704D37B</vt:lpwstr>
  </property>
</Properties>
</file>